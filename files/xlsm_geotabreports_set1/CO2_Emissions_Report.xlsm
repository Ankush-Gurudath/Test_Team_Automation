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mc:AlternateContent xmlns:mc="http://schemas.openxmlformats.org/markup-compatibility/2006">
    <mc:Choice Requires="x15">
      <x15ac:absPath xmlns:x15ac="http://schemas.microsoft.com/office/spreadsheetml/2010/11/ac" url="C:\Users\JasonWidla\Desktop\"/>
    </mc:Choice>
  </mc:AlternateContent>
  <bookViews>
    <workbookView xWindow="0" yWindow="0" windowWidth="19200" windowHeight="6375" firstSheet="1" activeTab="1"/>
  </bookViews>
  <sheets>
    <sheet name="Data" sheetId="1" state="hidden" r:id="rId1"/>
    <sheet name="Summary" sheetId="3" r:id="rId2"/>
    <sheet name="Report" sheetId="2" state="hidden" r:id="rId3"/>
    <sheet name="Languages" sheetId="4" state="hidden" r:id="rId4"/>
  </sheets>
  <definedNames>
    <definedName name="_xlnm._FilterDatabase" localSheetId="2">Report!$A$9:$H$15</definedName>
    <definedName name="AllData">Report!$A$9:$H$18</definedName>
  </definedNames>
  <calcPr calcId="152511" forceFullCalc="1"/>
  <pivotCaches>
    <pivotCache cacheId="84" r:id="rId5"/>
  </pivotCaches>
</workbook>
</file>

<file path=xl/calcChain.xml><?xml version="1.0" encoding="utf-8"?>
<calcChain xmlns="http://schemas.openxmlformats.org/spreadsheetml/2006/main">
  <c r="L3" i="3" l="1"/>
  <c r="J5" i="3"/>
  <c r="J6" i="3" s="1"/>
  <c r="J7" i="3" s="1"/>
  <c r="F18" i="2"/>
  <c r="E18" i="2"/>
  <c r="D18" i="2" s="1"/>
  <c r="C18" i="2"/>
  <c r="B18" i="2"/>
  <c r="A18" i="2"/>
  <c r="F17" i="2"/>
  <c r="E17" i="2"/>
  <c r="D17" i="2" s="1"/>
  <c r="C17" i="2"/>
  <c r="B17" i="2"/>
  <c r="A17" i="2"/>
  <c r="F16" i="2"/>
  <c r="E16" i="2"/>
  <c r="D16" i="2" s="1"/>
  <c r="C16" i="2"/>
  <c r="B16" i="2"/>
  <c r="A16" i="2"/>
  <c r="F15" i="2"/>
  <c r="E15" i="2"/>
  <c r="D15" i="2" s="1"/>
  <c r="C15" i="2"/>
  <c r="B15" i="2"/>
  <c r="A15" i="2"/>
  <c r="F14" i="2"/>
  <c r="E14" i="2"/>
  <c r="D14" i="2" s="1"/>
  <c r="C14" i="2"/>
  <c r="B14" i="2"/>
  <c r="A14" i="2"/>
  <c r="F13" i="2"/>
  <c r="E13" i="2"/>
  <c r="D13" i="2" s="1"/>
  <c r="C13" i="2"/>
  <c r="B13" i="2"/>
  <c r="A13" i="2"/>
  <c r="F12" i="2"/>
  <c r="E12" i="2"/>
  <c r="D12" i="2" s="1"/>
  <c r="C12" i="2"/>
  <c r="B12" i="2"/>
  <c r="A12" i="2"/>
  <c r="F11" i="2"/>
  <c r="E11" i="2"/>
  <c r="D11" i="2" s="1"/>
  <c r="C11" i="2"/>
  <c r="B11" i="2"/>
  <c r="A11" i="2"/>
  <c r="F10" i="2"/>
  <c r="E10" i="2"/>
  <c r="D10" i="2" s="1"/>
  <c r="C10" i="2"/>
  <c r="B10" i="2"/>
  <c r="A10" i="2"/>
  <c r="B7" i="2"/>
  <c r="B6" i="2"/>
  <c r="C9" i="2" s="1"/>
  <c r="B5" i="2"/>
  <c r="B4" i="2"/>
  <c r="B3" i="2"/>
  <c r="B7" i="3"/>
  <c r="B6" i="3"/>
  <c r="I5" i="3"/>
  <c r="B5" i="3"/>
  <c r="B4" i="3"/>
  <c r="B3" i="3"/>
  <c r="K3" i="3"/>
  <c r="K5" i="3" s="1"/>
  <c r="E9" i="2" l="1"/>
  <c r="F9" i="2"/>
  <c r="K6" i="3"/>
  <c r="K7" i="3" s="1"/>
  <c r="L5" i="3"/>
  <c r="L6" i="3" s="1"/>
  <c r="L7" i="3" s="1"/>
  <c r="I6" i="3"/>
  <c r="I7" i="3" s="1"/>
  <c r="G12" i="2" s="1"/>
  <c r="G13" i="2" l="1"/>
  <c r="G14" i="2"/>
  <c r="G15" i="2"/>
  <c r="G17" i="2"/>
  <c r="H16" i="2"/>
  <c r="H10" i="2"/>
  <c r="H12" i="2"/>
  <c r="H13" i="2"/>
  <c r="G11" i="2"/>
  <c r="H15" i="2"/>
  <c r="H18" i="2"/>
  <c r="G16" i="2"/>
  <c r="H17" i="2"/>
  <c r="G18" i="2"/>
  <c r="G10" i="2"/>
  <c r="H11" i="2"/>
  <c r="H14" i="2"/>
</calcChain>
</file>

<file path=xl/comments1.xml><?xml version="1.0" encoding="utf-8"?>
<comments xmlns="http://schemas.openxmlformats.org/spreadsheetml/2006/main">
  <authors>
    <author>Thomas</author>
  </authors>
  <commentList>
    <comment ref="A1" authorId="0" shapeId="0">
      <text>
        <r>
          <rPr>
            <sz val="10"/>
            <rFont val="Arial"/>
            <family val="2"/>
          </rPr>
          <t>EngineStatusStatistics.14</t>
        </r>
      </text>
    </comment>
  </commentList>
</comments>
</file>

<file path=xl/sharedStrings.xml><?xml version="1.0" encoding="utf-8"?>
<sst xmlns="http://schemas.openxmlformats.org/spreadsheetml/2006/main" count="303" uniqueCount="250">
  <si>
    <t>RunDate</t>
  </si>
  <si>
    <t>FromDate</t>
  </si>
  <si>
    <t>ToDate</t>
  </si>
  <si>
    <t>CompanyName</t>
  </si>
  <si>
    <t>DistanceUnit</t>
  </si>
  <si>
    <t>SpeedUnit</t>
  </si>
  <si>
    <t>SendReport</t>
  </si>
  <si>
    <t>.Device.DeviceName</t>
  </si>
  <si>
    <t>.Device.DeviceId</t>
  </si>
  <si>
    <t>.Device.DeviceComment</t>
  </si>
  <si>
    <t>.Device.DeviceGroup</t>
  </si>
  <si>
    <t>EngineStatusStatisticsPeriodNumber</t>
  </si>
  <si>
    <t>EngineStatusStatisticsPeriodStartDate</t>
  </si>
  <si>
    <t>EngineStatusStatisticsPeriodEndDate</t>
  </si>
  <si>
    <t>EngineStatusStatisticsDistance</t>
  </si>
  <si>
    <t>Distance</t>
  </si>
  <si>
    <t>LastModifiedUser</t>
  </si>
  <si>
    <t>EngineStatusStatisticsFuelUsed</t>
  </si>
  <si>
    <t>FuelEconomyUnit</t>
  </si>
  <si>
    <t>EngineStatusStatisticsFuelEconomy</t>
  </si>
  <si>
    <t>English</t>
  </si>
  <si>
    <t>French</t>
  </si>
  <si>
    <t>Spanish</t>
  </si>
  <si>
    <t>German</t>
  </si>
  <si>
    <t>Japanese</t>
  </si>
  <si>
    <t>**Device</t>
  </si>
  <si>
    <t>**Group</t>
  </si>
  <si>
    <t>**Period Number</t>
  </si>
  <si>
    <t>**Period Start Date</t>
  </si>
  <si>
    <t>**Period End Date</t>
  </si>
  <si>
    <t>**Distance</t>
  </si>
  <si>
    <t>**Fuel Used</t>
  </si>
  <si>
    <t>**Fuel Economy</t>
  </si>
  <si>
    <t>**Fuel Usage Report</t>
  </si>
  <si>
    <t>**Created</t>
  </si>
  <si>
    <t>**From</t>
  </si>
  <si>
    <t>**To</t>
  </si>
  <si>
    <t>**Distance Unit</t>
  </si>
  <si>
    <t>**Fuel Economy Unit</t>
  </si>
  <si>
    <t>Dispositif</t>
  </si>
  <si>
    <t>Dispositivo</t>
  </si>
  <si>
    <t>Gerät</t>
  </si>
  <si>
    <t>デバイス</t>
  </si>
  <si>
    <t>Groupe</t>
  </si>
  <si>
    <t>Grupo</t>
  </si>
  <si>
    <t>Gruppe</t>
  </si>
  <si>
    <t>グループ</t>
  </si>
  <si>
    <t>Numéro de période</t>
  </si>
  <si>
    <t>Número del periodo</t>
  </si>
  <si>
    <t>Periodennummer</t>
  </si>
  <si>
    <t>期間番号</t>
  </si>
  <si>
    <t>Début de la période (date)</t>
  </si>
  <si>
    <t>Fecha de inicio del periodo</t>
  </si>
  <si>
    <t>Periodenanfangsdatum</t>
  </si>
  <si>
    <t>期間開始日</t>
  </si>
  <si>
    <t>Fin de la période (date)</t>
  </si>
  <si>
    <t>Fecha de fin del periodo</t>
  </si>
  <si>
    <t>Periodenenddatum</t>
  </si>
  <si>
    <t>期間終了日</t>
  </si>
  <si>
    <t>Distancia</t>
  </si>
  <si>
    <t>Entfernung</t>
  </si>
  <si>
    <t>距離</t>
  </si>
  <si>
    <t>Le carburant utilisé</t>
  </si>
  <si>
    <t>Combustible consumido</t>
  </si>
  <si>
    <t>Kraftstoff verwendet</t>
  </si>
  <si>
    <t>使用燃料</t>
  </si>
  <si>
    <t>Économie de carburant</t>
  </si>
  <si>
    <t>Economía de combustible</t>
  </si>
  <si>
    <t>Kraftstoffverbrauch</t>
  </si>
  <si>
    <t>燃費</t>
  </si>
  <si>
    <t>Rapport sur l'utilisation de carburant</t>
  </si>
  <si>
    <t>Reporte de uso de combustible</t>
  </si>
  <si>
    <t>Kraftstoffverbrauchsbericht</t>
  </si>
  <si>
    <t>燃料使用レポート</t>
  </si>
  <si>
    <t>Créé</t>
  </si>
  <si>
    <t>Creado</t>
  </si>
  <si>
    <t>Angelegt</t>
  </si>
  <si>
    <t>作成済</t>
  </si>
  <si>
    <t>À partir de</t>
  </si>
  <si>
    <t>De</t>
  </si>
  <si>
    <t>Von</t>
  </si>
  <si>
    <t>から</t>
  </si>
  <si>
    <t>Pour</t>
  </si>
  <si>
    <t>Para</t>
  </si>
  <si>
    <t>An</t>
  </si>
  <si>
    <t>へ</t>
  </si>
  <si>
    <t>Unité de distance</t>
  </si>
  <si>
    <t>Unidad de distancia</t>
  </si>
  <si>
    <t>Entfernungseinheit</t>
  </si>
  <si>
    <t>距離の単位</t>
  </si>
  <si>
    <t>Unité d'économie de carburant</t>
  </si>
  <si>
    <t>Unidad de ahorro de combustible</t>
  </si>
  <si>
    <t>Einheit Kraftstoffverbrauch</t>
  </si>
  <si>
    <t>燃費の単位</t>
  </si>
  <si>
    <t>gallon</t>
  </si>
  <si>
    <t>kg/gallon</t>
  </si>
  <si>
    <t>Gallons</t>
  </si>
  <si>
    <t>Litres</t>
  </si>
  <si>
    <t>pounds/litre</t>
  </si>
  <si>
    <t>kg/litre</t>
  </si>
  <si>
    <t>litre</t>
  </si>
  <si>
    <t>miles</t>
  </si>
  <si>
    <t>mph</t>
  </si>
  <si>
    <t>MPG (US)</t>
  </si>
  <si>
    <t>b8</t>
  </si>
  <si>
    <t/>
  </si>
  <si>
    <t>Central</t>
  </si>
  <si>
    <t>b3</t>
  </si>
  <si>
    <t>b9</t>
  </si>
  <si>
    <t>b7</t>
  </si>
  <si>
    <t>b4</t>
  </si>
  <si>
    <t>b1</t>
  </si>
  <si>
    <t>b2</t>
  </si>
  <si>
    <t>b6</t>
  </si>
  <si>
    <t>West</t>
  </si>
  <si>
    <t>b5</t>
  </si>
  <si>
    <t>Diesel</t>
  </si>
  <si>
    <t>Vehicle 1</t>
  </si>
  <si>
    <t>Vehicle 2</t>
  </si>
  <si>
    <t>Vehicle 3</t>
  </si>
  <si>
    <t>Vehicle 4</t>
  </si>
  <si>
    <t>Vehicle 5</t>
  </si>
  <si>
    <t>Vehicle 6</t>
  </si>
  <si>
    <t>Vehicle 7</t>
  </si>
  <si>
    <t>Vehicle 8</t>
  </si>
  <si>
    <t>Vehicle 9</t>
  </si>
  <si>
    <t>Fleet Name</t>
  </si>
  <si>
    <t>Northeast</t>
  </si>
  <si>
    <t>**CO2 Pounds</t>
  </si>
  <si>
    <t>**CO2 Emissions (metric tons)</t>
  </si>
  <si>
    <t>**CO2 Emissions Report</t>
  </si>
  <si>
    <t>**Gallons</t>
  </si>
  <si>
    <t>**Litres</t>
  </si>
  <si>
    <t>**Gasoline</t>
  </si>
  <si>
    <t>**Diesel</t>
  </si>
  <si>
    <t>Galones</t>
  </si>
  <si>
    <t>Gallonen</t>
  </si>
  <si>
    <t>ガロン</t>
  </si>
  <si>
    <t>CO2-Emissionen (in Tonnen)</t>
  </si>
  <si>
    <t>Émissions de CO2 (tonnes métriques)</t>
  </si>
  <si>
    <t>Livres de CO2</t>
  </si>
  <si>
    <t>Libras de CO2</t>
  </si>
  <si>
    <t>Distance (miles)</t>
  </si>
  <si>
    <t>**Distance (miles)</t>
  </si>
  <si>
    <t>**Distance (kms)</t>
  </si>
  <si>
    <t>距離（マイル）</t>
  </si>
  <si>
    <t>Entfernung (Meilen)</t>
  </si>
  <si>
    <t>Distancia (millas)</t>
  </si>
  <si>
    <t>Distance (km)</t>
  </si>
  <si>
    <t>**Fuel Used (gallons)</t>
  </si>
  <si>
    <t>**Fuel Used (litres)</t>
  </si>
  <si>
    <t>**Fuel Economy (MPG (US))</t>
  </si>
  <si>
    <t>**Fuel Economy (MPG (IMP))</t>
  </si>
  <si>
    <t>**Fuel Economy (L/100km)</t>
  </si>
  <si>
    <t>**Fuel Economy (km/L)</t>
  </si>
  <si>
    <t>Économie de carburant (km/L)</t>
  </si>
  <si>
    <t>Économie de carburant (L/100km)</t>
  </si>
  <si>
    <t>Économie de carburant (MPG (US))</t>
  </si>
  <si>
    <t>Kraftstoffverbrauch (km/l)</t>
  </si>
  <si>
    <t>**gallon</t>
  </si>
  <si>
    <t>Gallone</t>
  </si>
  <si>
    <t>galón</t>
  </si>
  <si>
    <t>**grams</t>
  </si>
  <si>
    <t>**litre</t>
  </si>
  <si>
    <t>**kg/litre</t>
  </si>
  <si>
    <t>**kg/gallon</t>
  </si>
  <si>
    <t>**carbon content per litre (grams)</t>
  </si>
  <si>
    <t>**carbon content per gallon (grams)</t>
  </si>
  <si>
    <t>grammes</t>
  </si>
  <si>
    <t>teneur en carbone par litre (g)</t>
  </si>
  <si>
    <t>teneur en carbone par gallon (grammes)</t>
  </si>
  <si>
    <t>litros</t>
  </si>
  <si>
    <t>gramos</t>
  </si>
  <si>
    <t>litro</t>
  </si>
  <si>
    <t>kg/galón</t>
  </si>
  <si>
    <t>kg/litro</t>
  </si>
  <si>
    <t>Liter</t>
  </si>
  <si>
    <t>Gramm</t>
  </si>
  <si>
    <t>kg/Gallone</t>
  </si>
  <si>
    <t>Kohlenstoffgehalt pro Gallone (Gramm)</t>
  </si>
  <si>
    <t>Kohlenstoffgehalt pro Liter (g)</t>
  </si>
  <si>
    <t>リットル</t>
  </si>
  <si>
    <t>グラム</t>
  </si>
  <si>
    <t>リットル当たりの炭素含有量（グラム）</t>
  </si>
  <si>
    <t>ガソリン</t>
  </si>
  <si>
    <t>ディーゼル</t>
  </si>
  <si>
    <t>Benzin</t>
  </si>
  <si>
    <t>Gasolina</t>
  </si>
  <si>
    <t>**Include</t>
  </si>
  <si>
    <t>Grand Total</t>
  </si>
  <si>
    <t>TRUE</t>
  </si>
  <si>
    <t>**CO2 Emissions (mt)</t>
  </si>
  <si>
    <t>**Report Description</t>
  </si>
  <si>
    <t>**This report uses engine based fuel economy data in order to calculate the estimated amount of CO2 emissions as a result of fleet activity. An especially useful report for companies who are looking to reduce their carbon footprint and contribute to the goal of a healthier environment. All relative units of measure are supported within the single report template.</t>
  </si>
  <si>
    <t>Berichtbeschreibung</t>
  </si>
  <si>
    <t>Descripción del reporte</t>
  </si>
  <si>
    <t>Description du rapport</t>
  </si>
  <si>
    <t>レポート詳細説明</t>
  </si>
  <si>
    <t>Dieser Bericht verwendet Kraftstoffverbrauchsdaten, um die geschätzte Menge an CO2-Emissionen basierend auf den jeweiligen Fuhrparkaktivitäten berechnen. Dies ist ein besonders nützlicher Bericht für Unternehmen, die ihren Kohlendioxid-Ausstoß reduzieren und zu einer saubereren Umwelt beitragen möchten. Die zugehörigen Maßeinheiten werden alle in der Berichtsvorlage unterstützt.</t>
  </si>
  <si>
    <t>Este reporte utiliza datos del ahorro de combustible basados en el motor para calcular la cantidad estimada de emisiones de CO2como resultado de la actividad de la flota. Un reporte especialmente útil para empresas que buscan reducir su huella de carbono y contribuir al objetivo de lograr un medioambiente más saludable. Todas las unidades relativas de medida son compatibles para la plantilla de reporte individual.</t>
  </si>
  <si>
    <t>Le présent rapport utilise les données d’économie de carburant du moteur pour calculer le total estimatif des émissions de CO2 découlant de l’activité de la flotte. Un rapport particulièrement utile pour les entreprises qui cherchent à réduire leur empreinte de carbone et à contribuer à l’objectif d’un environnement plus sain. Toutes les unités de mesure relatives sont prises en charge dans le modèle de rapport unique.</t>
  </si>
  <si>
    <t>このレポートでは、エンジンベースの燃費データを使用し、フリートで発生したイベントによって発生した CO2 の推定排出量の計算を報告します。二酸化炭素排出量の低減とよりよい地球環境への貢献を目標とする企業や組織に非常に便利なレポートです。測定にまつわる単位はすべて、単一のレポートテンプレート内でサポートされています。</t>
  </si>
  <si>
    <t>Emisiones de CO2(toneladas métricas)</t>
  </si>
  <si>
    <t>CO2 排出量 (トン)</t>
  </si>
  <si>
    <t>CO2-Emissionsbericht</t>
  </si>
  <si>
    <t>Rapport d'émission CO2</t>
  </si>
  <si>
    <t>Reporte sobre las emisiones de CO2</t>
  </si>
  <si>
    <t>CO2排出量レポート</t>
  </si>
  <si>
    <t>CO2-Pfunde</t>
  </si>
  <si>
    <t>CO2 (ポンド)</t>
  </si>
  <si>
    <t>Essence</t>
  </si>
  <si>
    <t>Diésel</t>
  </si>
  <si>
    <t>kg/ガロン</t>
  </si>
  <si>
    <t>kg/Liter</t>
  </si>
  <si>
    <t>kg/L</t>
  </si>
  <si>
    <t>contenido de carbono por galón (gramos)</t>
  </si>
  <si>
    <t>ガロン毎の炭素含有量 (グラム)</t>
  </si>
  <si>
    <t>contenido de carbono por litro (g)</t>
  </si>
  <si>
    <t>Entfernung (km)</t>
  </si>
  <si>
    <t>Distancia (km)</t>
  </si>
  <si>
    <t>距離 (km)</t>
  </si>
  <si>
    <t>Kraftstoff verbraucht (Gallonen)</t>
  </si>
  <si>
    <t>Carburant utilisé (gallons)</t>
  </si>
  <si>
    <t>Combustible utilizado (galones)</t>
  </si>
  <si>
    <t>消費燃料 (ガロン)</t>
  </si>
  <si>
    <t>Kraftstoff verbraucht (Liter)</t>
  </si>
  <si>
    <t>Carburant utilisé (litres)</t>
  </si>
  <si>
    <t>Combustible utilizado (litros)</t>
  </si>
  <si>
    <t>消費燃料 (リットル)</t>
  </si>
  <si>
    <t>Kraftstoffverbrauch (US-MPG)</t>
  </si>
  <si>
    <t>Ahorro de combustible (MPG, EE. UU.)</t>
  </si>
  <si>
    <t>燃費 (MPG: 米国)</t>
  </si>
  <si>
    <t>Kraftstoffverbrauch (IMP-MPG)</t>
  </si>
  <si>
    <t>Économie de carburant (mi/gal (IMP))</t>
  </si>
  <si>
    <t>Ahorro de combustible (MPG, IMPERIAL)</t>
  </si>
  <si>
    <t>燃費 (MPG: IMP)</t>
  </si>
  <si>
    <t>Kraftstoffverbrauch (l/100 km)</t>
  </si>
  <si>
    <t>Ahorro de combustible L/100 km)</t>
  </si>
  <si>
    <t>燃費 (L/100km)</t>
  </si>
  <si>
    <t>Ahorro de combustible (km/L)</t>
  </si>
  <si>
    <t>燃費 (km/L)</t>
  </si>
  <si>
    <t>Enthalten</t>
  </si>
  <si>
    <t>Inclure</t>
  </si>
  <si>
    <t>Incluyen</t>
  </si>
  <si>
    <t>含める項目</t>
  </si>
  <si>
    <t>**pounds/gallon</t>
  </si>
  <si>
    <t>livres/gallon</t>
  </si>
  <si>
    <t>libras/galón</t>
  </si>
  <si>
    <t>Pfunde/Gallone</t>
  </si>
  <si>
    <t>kg/ポンド</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</si>
</sst>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dd/mm/yyyy\ h:mm:ss\ AM/PM"/>
    <numFmt numFmtId="166" formatCode="mmm\ dd\,\ yyyy"/>
    <numFmt numFmtId="167" formatCode="0.0"/>
    <numFmt numFmtId="168" formatCode="0.0000"/>
  </numFmts>
  <fonts count="21" x14ac:knownFonts="1">
    <font>
      <sz val="10"/>
      <name val="Arial"/>
      <family val="2"/>
    </font>
    <font>
      <b/>
      <sz val="7"/>
      <color indexed="8"/>
      <name val="Tahoma"/>
      <family val="2"/>
    </font>
    <font>
      <sz val="8"/>
      <color indexed="8"/>
      <name val="Tahoma"/>
      <family val="2"/>
    </font>
    <font>
      <sz val="10"/>
      <name val="Arial"/>
      <family val="2"/>
    </font>
    <font>
      <sz val="11"/>
      <color theme="1"/>
      <name val="Calibri"/>
      <family val="2"/>
      <scheme val="minor"/>
    </font>
    <font>
      <sz val="11"/>
      <color theme="0"/>
      <name val="Calibri"/>
      <family val="2"/>
      <scheme val="minor"/>
    </font>
    <font>
      <b/>
      <sz val="18"/>
      <color theme="1"/>
      <name val="Calibri"/>
      <family val="2"/>
      <scheme val="minor"/>
    </font>
    <font>
      <sz val="11"/>
      <color theme="3"/>
      <name val="Calibri"/>
      <family val="2"/>
      <scheme val="minor"/>
    </font>
    <font>
      <b/>
      <sz val="11"/>
      <color theme="1"/>
      <name val="Calibri"/>
      <family val="2"/>
    </font>
    <font>
      <b/>
      <sz val="11"/>
      <color theme="1"/>
      <name val="Calibri"/>
      <family val="2"/>
      <scheme val="minor"/>
    </font>
    <font>
      <b/>
      <sz val="14"/>
      <color theme="1"/>
      <name val="Calibri"/>
      <family val="2"/>
    </font>
    <font>
      <sz val="12"/>
      <color theme="0" tint="-0.34998626667073579"/>
      <name val="Segoe UI"/>
      <family val="2"/>
    </font>
    <font>
      <b/>
      <sz val="8"/>
      <color theme="1"/>
      <name val="Tahoma"/>
      <family val="2"/>
    </font>
    <font>
      <sz val="11"/>
      <name val="Calibri"/>
      <family val="2"/>
      <scheme val="minor"/>
    </font>
    <font>
      <b/>
      <sz val="10"/>
      <name val="Arial"/>
      <family val="2"/>
    </font>
    <font>
      <sz val="10"/>
      <color theme="0"/>
      <name val="Calibri"/>
      <family val="2"/>
      <scheme val="minor"/>
    </font>
    <font>
      <sz val="10"/>
      <name val="Calibri"/>
      <family val="2"/>
      <scheme val="minor"/>
    </font>
    <font>
      <b/>
      <sz val="16"/>
      <name val="Calibri"/>
      <family val="2"/>
      <scheme val="minor"/>
    </font>
    <font>
      <b/>
      <sz val="10"/>
      <name val="Calibri"/>
      <family val="2"/>
      <scheme val="minor"/>
    </font>
    <font>
      <b/>
      <sz val="12"/>
      <color rgb="FF000000"/>
      <name val="Calibri"/>
      <family val="2"/>
    </font>
    <font>
      <sz val="11"/>
      <color rgb="FF000000"/>
      <name val="Calibri"/>
      <family val="2"/>
    </font>
  </fonts>
  <fills count="1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11"/>
      </patternFill>
    </fill>
    <fill>
      <patternFill patternType="solid">
        <fgColor indexed="36"/>
      </patternFill>
    </fill>
    <fill>
      <patternFill patternType="solid">
        <fgColor indexed="52"/>
      </patternFill>
    </fill>
    <fill>
      <patternFill patternType="solid">
        <fgColor indexed="22"/>
        <bgColor indexed="64"/>
      </patternFill>
    </fill>
    <fill>
      <patternFill patternType="solid">
        <fgColor theme="0"/>
        <bgColor indexed="64"/>
      </patternFill>
    </fill>
    <fill>
      <patternFill patternType="solid">
        <fgColor theme="6" tint="0.59999389629810485"/>
        <bgColor indexed="64"/>
      </patternFill>
    </fill>
  </fills>
  <borders count="10">
    <border>
      <left/>
      <right/>
      <top/>
      <bottom/>
      <diagonal/>
    </border>
    <border>
      <left/>
      <right/>
      <top/>
      <bottom style="medium">
        <color indexed="8"/>
      </bottom>
      <diagonal/>
    </border>
    <border>
      <left/>
      <right/>
      <top style="thin">
        <color theme="0" tint="-0.14996795556505021"/>
      </top>
      <bottom style="thin">
        <color theme="0" tint="-0.14996795556505021"/>
      </bottom>
      <diagonal/>
    </border>
    <border>
      <left style="thin">
        <color theme="0" tint="-0.14993743705557422"/>
      </left>
      <right/>
      <top style="thin">
        <color theme="0" tint="-0.14996795556505021"/>
      </top>
      <bottom style="thin">
        <color theme="0" tint="-0.14996795556505021"/>
      </bottom>
      <diagonal/>
    </border>
    <border>
      <left style="thin">
        <color theme="0" tint="-0.14993743705557422"/>
      </left>
      <right/>
      <top/>
      <bottom style="thin">
        <color theme="0" tint="-0.14996795556505021"/>
      </bottom>
      <diagonal/>
    </border>
    <border>
      <left/>
      <right style="thin">
        <color theme="0" tint="-0.14990691854609822"/>
      </right>
      <top/>
      <bottom style="thin">
        <color theme="0" tint="-0.14996795556505021"/>
      </bottom>
      <diagonal/>
    </border>
    <border>
      <left/>
      <right style="thin">
        <color theme="0" tint="-0.14993743705557422"/>
      </right>
      <top/>
      <bottom style="thin">
        <color theme="0" tint="-0.14996795556505021"/>
      </bottom>
      <diagonal/>
    </border>
    <border>
      <left/>
      <right style="thin">
        <color theme="0" tint="-0.14993743705557422"/>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6795556505021"/>
      </top>
      <bottom style="thin">
        <color theme="0" tint="-0.14996795556505021"/>
      </bottom>
      <diagonal/>
    </border>
    <border>
      <left style="thin">
        <color theme="0" tint="-0.14993743705557422"/>
      </left>
      <right style="thin">
        <color theme="0" tint="-0.14990691854609822"/>
      </right>
      <top style="thin">
        <color theme="0" tint="-0.14996795556505021"/>
      </top>
      <bottom style="thin">
        <color theme="0" tint="-0.14996795556505021"/>
      </bottom>
      <diagonal/>
    </border>
  </borders>
  <cellStyleXfs count="20">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43" fontId="3" fillId="0" borderId="0" applyFont="0" applyFill="0" applyBorder="0" applyAlignment="0" applyProtection="0"/>
    <xf numFmtId="41" fontId="3" fillId="0" borderId="0" applyFont="0" applyFill="0" applyBorder="0" applyAlignment="0" applyProtection="0"/>
    <xf numFmtId="44" fontId="3" fillId="0" borderId="0" applyFont="0" applyFill="0" applyBorder="0" applyAlignment="0" applyProtection="0"/>
    <xf numFmtId="42" fontId="3" fillId="0" borderId="0" applyFont="0" applyFill="0" applyBorder="0" applyAlignment="0" applyProtection="0"/>
    <xf numFmtId="0" fontId="6" fillId="10" borderId="0" applyNumberFormat="0"/>
    <xf numFmtId="0" fontId="7" fillId="0" borderId="0" applyNumberFormat="0" applyAlignment="0"/>
    <xf numFmtId="0" fontId="8" fillId="10" borderId="0" applyNumberFormat="0"/>
    <xf numFmtId="166" fontId="4" fillId="10" borderId="0"/>
    <xf numFmtId="0" fontId="9" fillId="0" borderId="0" applyNumberFormat="0"/>
    <xf numFmtId="0" fontId="10" fillId="0" borderId="0" applyNumberFormat="0"/>
    <xf numFmtId="0" fontId="11" fillId="0" borderId="0" applyNumberFormat="0" applyFill="0" applyBorder="0" applyAlignment="0" applyProtection="0">
      <alignment horizontal="right"/>
    </xf>
  </cellStyleXfs>
  <cellXfs count="52">
    <xf numFmtId="0" fontId="0" fillId="0" borderId="0" xfId="0"/>
    <xf numFmtId="0" fontId="1" fillId="9" borderId="1" xfId="0" applyFont="1" applyFill="1" applyBorder="1" applyAlignment="1">
      <alignment horizontal="center" wrapText="1"/>
    </xf>
    <xf numFmtId="0" fontId="2" fillId="0" borderId="0" xfId="0" applyFont="1" applyAlignment="1">
      <alignment horizontal="left"/>
    </xf>
    <xf numFmtId="0" fontId="2" fillId="0" borderId="0" xfId="0" applyFont="1" applyAlignment="1">
      <alignment horizontal="right"/>
    </xf>
    <xf numFmtId="164" fontId="2" fillId="0" borderId="0" xfId="0" applyNumberFormat="1" applyFont="1" applyAlignment="1">
      <alignment horizontal="right"/>
    </xf>
    <xf numFmtId="1" fontId="2" fillId="0" borderId="0" xfId="0" applyNumberFormat="1" applyFont="1" applyAlignment="1">
      <alignment horizontal="right"/>
    </xf>
    <xf numFmtId="0" fontId="12" fillId="0" borderId="0" xfId="0" applyFont="1"/>
    <xf numFmtId="165" fontId="2" fillId="0" borderId="0" xfId="0" applyNumberFormat="1" applyFont="1" applyAlignment="1">
      <alignment horizontal="left"/>
    </xf>
    <xf numFmtId="22" fontId="2" fillId="0" borderId="0" xfId="0" applyNumberFormat="1" applyFont="1" applyAlignment="1">
      <alignment horizontal="right"/>
    </xf>
    <xf numFmtId="0" fontId="13" fillId="0" borderId="0" xfId="0" applyFont="1"/>
    <xf numFmtId="0" fontId="6" fillId="10" borderId="0" xfId="13"/>
    <xf numFmtId="166" fontId="4" fillId="10" borderId="0" xfId="16"/>
    <xf numFmtId="166" fontId="7" fillId="0" borderId="0" xfId="14" applyNumberFormat="1" applyAlignment="1">
      <alignment horizontal="left"/>
    </xf>
    <xf numFmtId="0" fontId="8" fillId="10" borderId="0" xfId="15"/>
    <xf numFmtId="0" fontId="7" fillId="0" borderId="0" xfId="14"/>
    <xf numFmtId="0" fontId="11" fillId="0" borderId="0" xfId="19" applyAlignment="1"/>
    <xf numFmtId="0" fontId="14" fillId="0" borderId="0" xfId="0" applyFont="1"/>
    <xf numFmtId="166" fontId="4" fillId="10" borderId="0" xfId="16" applyAlignment="1">
      <alignment horizontal="left"/>
    </xf>
    <xf numFmtId="0" fontId="16" fillId="0" borderId="0" xfId="0" applyNumberFormat="1" applyFont="1" applyBorder="1" applyAlignment="1">
      <alignment horizontal="center"/>
    </xf>
    <xf numFmtId="166" fontId="4" fillId="10" borderId="0" xfId="16" applyAlignment="1"/>
    <xf numFmtId="0" fontId="6" fillId="10" borderId="0" xfId="13" applyAlignment="1"/>
    <xf numFmtId="0" fontId="13" fillId="0" borderId="0" xfId="0" applyFont="1" applyAlignment="1">
      <alignment horizontal="left"/>
    </xf>
    <xf numFmtId="0" fontId="0" fillId="0" borderId="0" xfId="0" applyAlignment="1"/>
    <xf numFmtId="0" fontId="11" fillId="10" borderId="0" xfId="19" applyFill="1" applyAlignment="1">
      <alignment vertical="center" wrapText="1"/>
    </xf>
    <xf numFmtId="0" fontId="11" fillId="10" borderId="0" xfId="19" applyFill="1" applyAlignment="1">
      <alignment horizontal="center" vertical="center" wrapText="1"/>
    </xf>
    <xf numFmtId="2" fontId="7" fillId="0" borderId="0" xfId="14" applyNumberFormat="1" applyAlignment="1">
      <alignment horizontal="center"/>
    </xf>
    <xf numFmtId="1" fontId="7" fillId="0" borderId="0" xfId="14" applyNumberFormat="1" applyAlignment="1">
      <alignment horizontal="center"/>
    </xf>
    <xf numFmtId="0" fontId="15" fillId="0" borderId="0" xfId="0" applyFont="1" applyFill="1" applyBorder="1" applyAlignment="1">
      <alignment horizontal="left"/>
    </xf>
    <xf numFmtId="0" fontId="16" fillId="11" borderId="0" xfId="0" applyFont="1" applyFill="1" applyBorder="1" applyAlignment="1">
      <alignment horizontal="left"/>
    </xf>
    <xf numFmtId="0" fontId="16" fillId="11" borderId="0" xfId="0" applyFont="1" applyFill="1" applyBorder="1" applyAlignment="1">
      <alignment horizontal="right"/>
    </xf>
    <xf numFmtId="167" fontId="16" fillId="0" borderId="2" xfId="0" applyNumberFormat="1" applyFont="1" applyBorder="1" applyAlignment="1">
      <alignment horizontal="center"/>
    </xf>
    <xf numFmtId="3" fontId="16" fillId="0" borderId="3" xfId="0" applyNumberFormat="1" applyFont="1" applyBorder="1" applyAlignment="1">
      <alignment horizontal="center"/>
    </xf>
    <xf numFmtId="164" fontId="16" fillId="0" borderId="3" xfId="0" applyNumberFormat="1" applyFont="1" applyBorder="1" applyAlignment="1">
      <alignment horizontal="center"/>
    </xf>
    <xf numFmtId="1" fontId="0" fillId="0" borderId="0" xfId="0" applyNumberFormat="1"/>
    <xf numFmtId="3" fontId="16" fillId="0" borderId="7" xfId="0" applyNumberFormat="1" applyFont="1" applyBorder="1" applyAlignment="1">
      <alignment horizontal="center"/>
    </xf>
    <xf numFmtId="167" fontId="16" fillId="0" borderId="7" xfId="0" applyNumberFormat="1" applyFont="1" applyBorder="1" applyAlignment="1">
      <alignment horizontal="center"/>
    </xf>
    <xf numFmtId="167" fontId="16" fillId="0" borderId="3" xfId="0" applyNumberFormat="1" applyFont="1" applyBorder="1" applyAlignment="1">
      <alignment horizontal="center"/>
    </xf>
    <xf numFmtId="3" fontId="16" fillId="0" borderId="8" xfId="0" applyNumberFormat="1" applyFont="1" applyBorder="1" applyAlignment="1">
      <alignment horizontal="center"/>
    </xf>
    <xf numFmtId="164" fontId="16" fillId="0" borderId="8" xfId="0" applyNumberFormat="1" applyFont="1" applyBorder="1" applyAlignment="1">
      <alignment horizontal="center"/>
    </xf>
    <xf numFmtId="3" fontId="18" fillId="0" borderId="8" xfId="0" applyNumberFormat="1" applyFont="1" applyBorder="1" applyAlignment="1">
      <alignment horizontal="center"/>
    </xf>
    <xf numFmtId="3" fontId="18" fillId="0" borderId="3" xfId="0" applyNumberFormat="1" applyFont="1" applyBorder="1" applyAlignment="1">
      <alignment horizontal="center"/>
    </xf>
    <xf numFmtId="3" fontId="18" fillId="0" borderId="9" xfId="0" applyNumberFormat="1" applyFont="1" applyBorder="1" applyAlignment="1">
      <alignment horizontal="center"/>
    </xf>
    <xf numFmtId="0" fontId="0" fillId="0" borderId="0" xfId="0" pivotButton="1"/>
    <xf numFmtId="0" fontId="0" fillId="0" borderId="0" xfId="0" applyNumberFormat="1"/>
    <xf numFmtId="0" fontId="0" fillId="0" borderId="0" xfId="0" applyAlignment="1">
      <alignment horizontal="center" vertical="center" wrapText="1"/>
    </xf>
    <xf numFmtId="0" fontId="19" fillId="0" borderId="0" xfId="0" applyFont="1" applyAlignment="1">
      <alignment horizontal="center" vertical="center"/>
    </xf>
    <xf numFmtId="0" fontId="0" fillId="0" borderId="0" xfId="0" applyAlignment="1">
      <alignment vertical="top" wrapText="1"/>
    </xf>
    <xf numFmtId="0" fontId="17" fillId="0" borderId="4" xfId="0" applyFont="1" applyFill="1" applyBorder="1" applyAlignment="1">
      <alignment horizontal="center"/>
    </xf>
    <xf numFmtId="0" fontId="17" fillId="0" borderId="6" xfId="0" applyFont="1" applyFill="1" applyBorder="1" applyAlignment="1">
      <alignment horizontal="center"/>
    </xf>
    <xf numFmtId="0" fontId="17" fillId="0" borderId="5" xfId="0" applyFont="1" applyFill="1" applyBorder="1" applyAlignment="1">
      <alignment horizontal="center"/>
    </xf>
    <xf numFmtId="0" fontId="20" fillId="0" borderId="0" xfId="0" applyFont="1" applyAlignment="1">
      <alignment vertical="top" wrapText="1"/>
    </xf>
    <xf numFmtId="168" fontId="0" fillId="0" borderId="0" xfId="0" applyNumberFormat="1"/>
  </cellXfs>
  <cellStyles count="20">
    <cellStyle name="20% - Accent1" xfId="1" builtinId="30" customBuiltin="1"/>
    <cellStyle name="20% - Accent2" xfId="2" builtinId="34" customBuiltin="1"/>
    <cellStyle name="20% - Accent3" xfId="3" builtinId="38" customBuiltin="1"/>
    <cellStyle name="20% - Accent4" xfId="4" builtinId="42" customBuiltin="1"/>
    <cellStyle name="40% - Accent3" xfId="5" builtinId="39" customBuiltin="1"/>
    <cellStyle name="60% - Accent3" xfId="6" builtinId="40" customBuiltin="1"/>
    <cellStyle name="60% - Accent4" xfId="7" builtinId="44" customBuiltin="1"/>
    <cellStyle name="60% - Accent6" xfId="8" builtinId="52" customBuiltin="1"/>
    <cellStyle name="Comma" xfId="9" builtinId="3" customBuiltin="1"/>
    <cellStyle name="Comma [0]" xfId="10" builtinId="6" customBuiltin="1"/>
    <cellStyle name="Currency" xfId="11" builtinId="4" customBuiltin="1"/>
    <cellStyle name="Currency [0]" xfId="12" builtinId="7" customBuiltin="1"/>
    <cellStyle name="Heading" xfId="13"/>
    <cellStyle name="Normal" xfId="0" builtinId="0" customBuiltin="1"/>
    <cellStyle name="Report Body" xfId="14"/>
    <cellStyle name="Report Column Header" xfId="15"/>
    <cellStyle name="Report Creation DateTime" xfId="16"/>
    <cellStyle name="Report Field Name" xfId="17"/>
    <cellStyle name="Report Name" xfId="18"/>
    <cellStyle name="StandardReportHeading" xfId="19"/>
  </cellStyles>
  <dxfs count="26">
    <dxf>
      <alignment wrapText="1" readingOrder="0"/>
    </dxf>
    <dxf>
      <alignment horizontal="center" readingOrder="0"/>
    </dxf>
    <dxf>
      <alignment vertical="center" readingOrder="0"/>
    </dxf>
    <dxf>
      <numFmt numFmtId="168" formatCode="0.0000"/>
    </dxf>
    <dxf>
      <numFmt numFmtId="168" formatCode="0.0000"/>
    </dxf>
    <dxf>
      <alignment wrapText="1" readingOrder="0"/>
    </dxf>
    <dxf>
      <alignment horizontal="center" readingOrder="0"/>
    </dxf>
    <dxf>
      <alignment vertical="center" readingOrder="0"/>
    </dxf>
    <dxf>
      <alignment wrapText="1" readingOrder="0"/>
    </dxf>
    <dxf>
      <alignment horizontal="center" readingOrder="0"/>
    </dxf>
    <dxf>
      <alignment vertical="center" readingOrder="0"/>
    </dxf>
    <dxf>
      <alignment vertical="center" readingOrder="0"/>
    </dxf>
    <dxf>
      <alignment horizontal="center" readingOrder="0"/>
    </dxf>
    <dxf>
      <alignment wrapText="1" readingOrder="0"/>
    </dxf>
    <dxf>
      <fill>
        <patternFill patternType="solid">
          <fgColor theme="5" tint="0.79995117038483843"/>
          <bgColor theme="0" tint="-4.9989318521683403E-2"/>
        </patternFill>
      </fill>
      <border>
        <bottom style="thin">
          <color theme="5" tint="0.39997558519241921"/>
        </bottom>
      </border>
    </dxf>
    <dxf>
      <fill>
        <patternFill patternType="solid">
          <fgColor theme="5" tint="0.79995117038483843"/>
          <bgColor theme="0" tint="-4.9989318521683403E-2"/>
        </patternFill>
      </fill>
      <border>
        <bottom style="thin">
          <color theme="5" tint="0.39997558519241921"/>
        </bottom>
      </border>
    </dxf>
    <dxf>
      <font>
        <b/>
        <color theme="1"/>
      </font>
    </dxf>
    <dxf>
      <font>
        <b/>
        <color theme="1"/>
      </font>
      <border>
        <bottom style="thin">
          <color theme="5" tint="0.39997558519241921"/>
        </bottom>
      </border>
    </dxf>
    <dxf>
      <font>
        <color theme="1"/>
      </font>
    </dxf>
    <dxf>
      <font>
        <b/>
        <i val="0"/>
        <color theme="1"/>
      </font>
      <fill>
        <patternFill>
          <bgColor theme="0" tint="-4.9989318521683403E-2"/>
        </patternFill>
      </fill>
      <border>
        <top style="thin">
          <color theme="5"/>
        </top>
        <bottom style="thin">
          <color theme="5"/>
        </bottom>
      </border>
    </dxf>
    <dxf>
      <font>
        <color theme="1"/>
      </font>
      <fill>
        <patternFill patternType="solid">
          <fgColor theme="0" tint="-0.14993743705557422"/>
          <bgColor theme="0" tint="-4.9989318521683403E-2"/>
        </patternFill>
      </fill>
    </dxf>
    <dxf>
      <fill>
        <patternFill patternType="solid">
          <fgColor theme="0" tint="-0.14990691854609822"/>
          <bgColor theme="0" tint="-4.9989318521683403E-2"/>
        </patternFill>
      </fill>
      <border>
        <left style="thin">
          <color theme="0" tint="-0.249977111117893"/>
        </left>
        <right style="thin">
          <color theme="0" tint="-0.249977111117893"/>
        </right>
      </border>
    </dxf>
    <dxf>
      <fill>
        <patternFill>
          <fgColor theme="8"/>
          <bgColor theme="8"/>
        </patternFill>
      </fill>
    </dxf>
    <dxf>
      <font>
        <b/>
        <i val="0"/>
        <color theme="1"/>
      </font>
      <fill>
        <patternFill patternType="solid">
          <fgColor theme="5" tint="0.79985961485641044"/>
          <bgColor theme="0" tint="-4.9989318521683403E-2"/>
        </patternFill>
      </fill>
      <border>
        <top style="thin">
          <color theme="5" tint="0.39997558519241921"/>
        </top>
      </border>
    </dxf>
    <dxf>
      <font>
        <b/>
        <i val="0"/>
        <color theme="1"/>
      </font>
      <fill>
        <patternFill patternType="solid">
          <fgColor theme="5" tint="0.79989013336588644"/>
          <bgColor theme="0" tint="-4.9989318521683403E-2"/>
        </patternFill>
      </fill>
      <border>
        <bottom style="thin">
          <color theme="5" tint="0.39997558519241921"/>
        </bottom>
      </border>
    </dxf>
    <dxf>
      <font>
        <color theme="3"/>
      </font>
    </dxf>
  </dxfs>
  <tableStyles count="1" defaultTableStyle="TableStyleMedium9" defaultPivotStyle="PivotStyleLight16">
    <tableStyle name="PivotStyleLightCustom" table="0" count="12">
      <tableStyleElement type="wholeTable" dxfId="25"/>
      <tableStyleElement type="headerRow" dxfId="24"/>
      <tableStyleElement type="totalRow" dxfId="23"/>
      <tableStyleElement type="secondRowStripe" dxfId="22"/>
      <tableStyleElement type="firstColumnStripe" dxfId="21"/>
      <tableStyleElement type="firstSubtotalColumn" dxfId="20"/>
      <tableStyleElement type="firstSubtotalRow" dxfId="19"/>
      <tableStyleElement type="secondSubtotalRow" dxfId="18"/>
      <tableStyleElement type="firstRowSubheading" dxfId="17"/>
      <tableStyleElement type="secondRowSubheading" dxfId="16"/>
      <tableStyleElement type="pageFieldLabels" dxfId="15"/>
      <tableStyleElement type="pageFieldValues" dxfId="1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[CO2 Emissions Report.xlsm]Summary!PivotTable1</c:name>
    <c:fmtId val="0"/>
  </c:pivotSource>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r>
              <a:rPr lang="en-US"/>
              <a:t>CO2 Emissions</a:t>
            </a:r>
            <a:r>
              <a:rPr lang="en-US" baseline="0"/>
              <a:t> Report</a:t>
            </a:r>
            <a:endParaRPr lang="en-US"/>
          </a:p>
        </c:rich>
      </c:tx>
      <c:layout/>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circle"/>
          <c:size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Summary!$B$10</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Summary!$A$11:$A$19</c:f>
              <c:strCache>
                <c:ptCount val="8"/>
                <c:pt idx="0">
                  <c:v>Vehicle 5</c:v>
                </c:pt>
                <c:pt idx="1">
                  <c:v>Vehicle 6</c:v>
                </c:pt>
                <c:pt idx="2">
                  <c:v>Vehicle 3</c:v>
                </c:pt>
                <c:pt idx="3">
                  <c:v>Vehicle 2</c:v>
                </c:pt>
                <c:pt idx="4">
                  <c:v>Vehicle 8</c:v>
                </c:pt>
                <c:pt idx="5">
                  <c:v>Vehicle 7</c:v>
                </c:pt>
                <c:pt idx="6">
                  <c:v>Vehicle 1</c:v>
                </c:pt>
                <c:pt idx="7">
                  <c:v>Vehicle 4</c:v>
                </c:pt>
              </c:strCache>
            </c:strRef>
          </c:cat>
          <c:val>
            <c:numRef>
              <c:f>Summary!$B$11:$B$19</c:f>
              <c:numCache>
                <c:formatCode>0.0000</c:formatCode>
                <c:ptCount val="8"/>
                <c:pt idx="0">
                  <c:v>0.18976014726711304</c:v>
                </c:pt>
                <c:pt idx="1">
                  <c:v>0.16996468802312839</c:v>
                </c:pt>
                <c:pt idx="2">
                  <c:v>0.14175719324838662</c:v>
                </c:pt>
                <c:pt idx="3">
                  <c:v>0.12021268869870172</c:v>
                </c:pt>
                <c:pt idx="4">
                  <c:v>0.10953331168587645</c:v>
                </c:pt>
                <c:pt idx="5">
                  <c:v>0.10753673031884207</c:v>
                </c:pt>
                <c:pt idx="6">
                  <c:v>0.10440256423275976</c:v>
                </c:pt>
                <c:pt idx="7">
                  <c:v>5.0332391139135367E-2</c:v>
                </c:pt>
              </c:numCache>
            </c:numRef>
          </c:val>
          <c:extLst xmlns:c16r2="http://schemas.microsoft.com/office/drawing/2015/06/chart">
            <c:ext xmlns:c16="http://schemas.microsoft.com/office/drawing/2014/chart" uri="{C3380CC4-5D6E-409C-BE32-E72D297353CC}">
              <c16:uniqueId val="{00000000-ACDE-4BC3-ADCA-8F5F87E07BA8}"/>
            </c:ext>
          </c:extLst>
        </c:ser>
        <c:dLbls>
          <c:dLblPos val="inEnd"/>
          <c:showLegendKey val="0"/>
          <c:showVal val="1"/>
          <c:showCatName val="0"/>
          <c:showSerName val="0"/>
          <c:showPercent val="0"/>
          <c:showBubbleSize val="0"/>
        </c:dLbls>
        <c:gapWidth val="41"/>
        <c:axId val="-842616880"/>
        <c:axId val="-844279984"/>
      </c:barChart>
      <c:catAx>
        <c:axId val="-842616880"/>
        <c:scaling>
          <c:orientation val="minMax"/>
        </c:scaling>
        <c:delete val="0"/>
        <c:axPos val="b"/>
        <c:title>
          <c:tx>
            <c:rich>
              <a:bodyPr rot="0" spcFirstLastPara="1" vertOverflow="ellipsis" vert="horz" wrap="square" anchor="ctr" anchorCtr="1"/>
              <a:lstStyle/>
              <a:p>
                <a:pPr>
                  <a:defRPr sz="1200" b="1" i="0" u="none" strike="noStrike" kern="1200" baseline="0">
                    <a:solidFill>
                      <a:schemeClr val="dk1">
                        <a:lumMod val="65000"/>
                        <a:lumOff val="35000"/>
                      </a:schemeClr>
                    </a:solidFill>
                    <a:latin typeface="+mn-lt"/>
                    <a:ea typeface="+mn-ea"/>
                    <a:cs typeface="+mn-cs"/>
                  </a:defRPr>
                </a:pPr>
                <a:r>
                  <a:rPr lang="en-US" sz="1200" baseline="0"/>
                  <a:t>Vehicle</a:t>
                </a:r>
              </a:p>
            </c:rich>
          </c:tx>
          <c:layout/>
          <c:overlay val="0"/>
          <c:spPr>
            <a:noFill/>
            <a:ln>
              <a:noFill/>
            </a:ln>
            <a:effectLst/>
          </c:spPr>
          <c:txPr>
            <a:bodyPr rot="0" spcFirstLastPara="1" vertOverflow="ellipsis" vert="horz" wrap="square" anchor="ctr" anchorCtr="1"/>
            <a:lstStyle/>
            <a:p>
              <a:pPr>
                <a:defRPr sz="12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844279984"/>
        <c:crosses val="autoZero"/>
        <c:auto val="1"/>
        <c:lblAlgn val="ctr"/>
        <c:lblOffset val="100"/>
        <c:noMultiLvlLbl val="0"/>
      </c:catAx>
      <c:valAx>
        <c:axId val="-844279984"/>
        <c:scaling>
          <c:orientation val="minMax"/>
        </c:scaling>
        <c:delete val="1"/>
        <c:axPos val="l"/>
        <c:title>
          <c:tx>
            <c:rich>
              <a:bodyPr rot="-5400000" spcFirstLastPara="1" vertOverflow="ellipsis" vert="horz" wrap="square" anchor="ctr" anchorCtr="1"/>
              <a:lstStyle/>
              <a:p>
                <a:pPr>
                  <a:defRPr sz="1200" b="1" i="0" u="none" strike="noStrike" kern="1200" baseline="0">
                    <a:solidFill>
                      <a:schemeClr val="dk1">
                        <a:lumMod val="65000"/>
                        <a:lumOff val="35000"/>
                      </a:schemeClr>
                    </a:solidFill>
                    <a:latin typeface="+mn-lt"/>
                    <a:ea typeface="+mn-ea"/>
                    <a:cs typeface="+mn-cs"/>
                  </a:defRPr>
                </a:pPr>
                <a:r>
                  <a:rPr lang="en-US" sz="1200" baseline="0"/>
                  <a:t>CO2 (mt)</a:t>
                </a:r>
              </a:p>
            </c:rich>
          </c:tx>
          <c:layout/>
          <c:overlay val="0"/>
          <c:spPr>
            <a:noFill/>
            <a:ln>
              <a:noFill/>
            </a:ln>
            <a:effectLst/>
          </c:spPr>
          <c:txPr>
            <a:bodyPr rot="-5400000" spcFirstLastPara="1" vertOverflow="ellipsis" vert="horz" wrap="square" anchor="ctr" anchorCtr="1"/>
            <a:lstStyle/>
            <a:p>
              <a:pPr>
                <a:defRPr sz="1200" b="1" i="0" u="none" strike="noStrike" kern="1200" baseline="0">
                  <a:solidFill>
                    <a:schemeClr val="dk1">
                      <a:lumMod val="65000"/>
                      <a:lumOff val="35000"/>
                    </a:schemeClr>
                  </a:solidFill>
                  <a:latin typeface="+mn-lt"/>
                  <a:ea typeface="+mn-ea"/>
                  <a:cs typeface="+mn-cs"/>
                </a:defRPr>
              </a:pPr>
              <a:endParaRPr lang="en-US"/>
            </a:p>
          </c:txPr>
        </c:title>
        <c:numFmt formatCode="0.0000" sourceLinked="1"/>
        <c:majorTickMark val="none"/>
        <c:minorTickMark val="none"/>
        <c:tickLblPos val="nextTo"/>
        <c:crossAx val="-842616880"/>
        <c:crosses val="autoZero"/>
        <c:crossBetween val="between"/>
      </c:valAx>
      <c:spPr>
        <a:noFill/>
        <a:ln>
          <a:noFill/>
        </a:ln>
        <a:effectLst/>
      </c:spPr>
    </c:plotArea>
    <c:plotVisOnly val="1"/>
    <c:dispBlanksAs val="gap"/>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000000000000022" l="0.70000000000000018" r="0.70000000000000018" t="0.75000000000000022" header="0.3000000000000001" footer="0.3000000000000001"/>
    <c:pageSetup orientation="portrait"/>
  </c:printSettings>
  <c:extLst xmlns:c16r2="http://schemas.microsoft.com/office/drawing/2015/06/char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7</xdr:col>
      <xdr:colOff>1</xdr:colOff>
      <xdr:row>9</xdr:row>
      <xdr:rowOff>93385</xdr:rowOff>
    </xdr:from>
    <xdr:to>
      <xdr:col>12</xdr:col>
      <xdr:colOff>1830458</xdr:colOff>
      <xdr:row>28</xdr:row>
      <xdr:rowOff>82824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866914</xdr:colOff>
      <xdr:row>1</xdr:row>
      <xdr:rowOff>173934</xdr:rowOff>
    </xdr:from>
    <xdr:to>
      <xdr:col>6</xdr:col>
      <xdr:colOff>110435</xdr:colOff>
      <xdr:row>10</xdr:row>
      <xdr:rowOff>107674</xdr:rowOff>
    </xdr:to>
    <xdr:sp macro="" textlink="">
      <xdr:nvSpPr>
        <xdr:cNvPr id="4" name="Rectangle 3"/>
        <xdr:cNvSpPr/>
      </xdr:nvSpPr>
      <xdr:spPr>
        <a:xfrm>
          <a:off x="4842566" y="472108"/>
          <a:ext cx="3890065" cy="153228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Jason Widla" refreshedDate="42538.66197025463" createdVersion="4" refreshedVersion="5" recordCount="9">
  <cacheSource type="worksheet">
    <worksheetSource name="AllData"/>
  </cacheSource>
  <cacheFields count="8">
    <cacheField name="**Device" numFmtId="0">
      <sharedItems count="9">
        <s v="Vehicle 1"/>
        <s v="Vehicle 2"/>
        <s v="Vehicle 3"/>
        <s v="Vehicle 4"/>
        <s v="Vehicle 5"/>
        <s v="Vehicle 6"/>
        <s v="Vehicle 7"/>
        <s v="Vehicle 8"/>
        <s v="Vehicle 9"/>
      </sharedItems>
    </cacheField>
    <cacheField name="**Group" numFmtId="0">
      <sharedItems/>
    </cacheField>
    <cacheField name="**Distance (miles)" numFmtId="2">
      <sharedItems containsSemiMixedTypes="0" containsString="0" containsNumber="1" minValue="0" maxValue="261.38436889648398"/>
    </cacheField>
    <cacheField name="**Include" numFmtId="1">
      <sharedItems count="2">
        <b v="1"/>
        <b v="0"/>
      </sharedItems>
    </cacheField>
    <cacheField name="**Fuel Used (gallons)" numFmtId="2">
      <sharedItems containsSemiMixedTypes="0" containsString="0" containsNumber="1" minValue="0" maxValue="21.592533111572301"/>
    </cacheField>
    <cacheField name="**Fuel Economy (MPG (US))" numFmtId="2">
      <sharedItems containsSemiMixedTypes="0" containsString="0" containsNumber="1" minValue="0" maxValue="28.921237945556602"/>
    </cacheField>
    <cacheField name="**CO2 Pounds" numFmtId="2">
      <sharedItems containsSemiMixedTypes="0" containsString="0" containsNumber="1" minValue="0" maxValue="418.34951303960861"/>
    </cacheField>
    <cacheField name="**CO2 Emissions (metric tons)" numFmtId="2">
      <sharedItems containsSemiMixedTypes="0" containsString="0" containsNumber="1" minValue="0" maxValue="0.1897601472671130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
  <r>
    <x v="0"/>
    <s v="Central"/>
    <n v="193.27983093261699"/>
    <x v="0"/>
    <n v="11.8798170089722"/>
    <n v="16.269598007202099"/>
    <n v="230.16825469354512"/>
    <n v="0.10440256423275976"/>
  </r>
  <r>
    <x v="1"/>
    <s v="Central"/>
    <n v="222.49693298339801"/>
    <x v="0"/>
    <n v="13.6788282394409"/>
    <n v="16.265789031982401"/>
    <n v="265.02361271617616"/>
    <n v="0.12021268869870172"/>
  </r>
  <r>
    <x v="2"/>
    <s v="Central"/>
    <n v="261.38436889648398"/>
    <x v="0"/>
    <n v="16.130346298217798"/>
    <n v="16.204511642456101"/>
    <n v="312.52111478310439"/>
    <n v="0.14175719324838662"/>
  </r>
  <r>
    <x v="3"/>
    <s v="Central"/>
    <n v="165.63914489746099"/>
    <x v="0"/>
    <n v="5.7272500991821298"/>
    <n v="28.921237945556602"/>
    <n v="110.96392802402541"/>
    <n v="5.0332391139135367E-2"/>
  </r>
  <r>
    <x v="4"/>
    <s v="Northeast"/>
    <n v="233.08871459960901"/>
    <x v="0"/>
    <n v="21.592533111572301"/>
    <n v="10.7948751449585"/>
    <n v="418.34951303960861"/>
    <n v="0.18976014726711304"/>
  </r>
  <r>
    <x v="5"/>
    <s v="Northeast"/>
    <n v="227.25898742675801"/>
    <x v="0"/>
    <n v="19.3400363922119"/>
    <n v="11.7507019042969"/>
    <n v="374.70799581703193"/>
    <n v="0.16996468802312839"/>
  </r>
  <r>
    <x v="6"/>
    <s v="Northeast"/>
    <n v="104.996307373047"/>
    <x v="0"/>
    <n v="12.2364492416382"/>
    <n v="8.5806188583374006"/>
    <n v="237.07790814175905"/>
    <n v="0.10753673031884207"/>
  </r>
  <r>
    <x v="7"/>
    <s v="West"/>
    <n v="205.02958679199199"/>
    <x v="0"/>
    <n v="12.4636373519897"/>
    <n v="16.450222015380898"/>
    <n v="241.47961658619354"/>
    <n v="0.10953331168587645"/>
  </r>
  <r>
    <x v="8"/>
    <s v="West"/>
    <n v="0"/>
    <x v="1"/>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84" applyNumberFormats="0" applyBorderFormats="0" applyFontFormats="0" applyPatternFormats="0" applyAlignmentFormats="0" applyWidthHeightFormats="1" dataCaption="Data" updatedVersion="5" minRefreshableVersion="3" showDrill="0" showMemberPropertyTips="0" itemPrintTitles="1" createdVersion="4" indent="0" showHeaders="0" compact="0" compactData="0" chartFormat="2">
  <location ref="A10:B19" firstHeaderRow="1" firstDataRow="1" firstDataCol="1" rowPageCount="1" colPageCount="1"/>
  <pivotFields count="8">
    <pivotField axis="axisRow" compact="0" outline="0" showAll="0" sortType="descending" defaultSubtotal="0">
      <items count="9">
        <item x="0"/>
        <item x="1"/>
        <item x="2"/>
        <item x="3"/>
        <item x="4"/>
        <item x="5"/>
        <item x="6"/>
        <item x="7"/>
        <item x="8"/>
      </items>
      <autoSortScope>
        <pivotArea dataOnly="0" outline="0" fieldPosition="0">
          <references count="1">
            <reference field="4294967294" count="1" selected="0">
              <x v="0"/>
            </reference>
          </references>
        </pivotArea>
      </autoSortScope>
    </pivotField>
    <pivotField compact="0" outline="0" showAll="0" defaultSubtotal="0"/>
    <pivotField compact="0" numFmtId="2" outline="0" showAll="0" defaultSubtotal="0"/>
    <pivotField axis="axisPage" compact="0" outline="0" multipleItemSelectionAllowed="1" showAll="0" defaultSubtotal="0">
      <items count="2">
        <item h="1" x="1"/>
        <item x="0"/>
      </items>
    </pivotField>
    <pivotField compact="0" numFmtId="2" outline="0" showAll="0" defaultSubtotal="0"/>
    <pivotField compact="0" numFmtId="2" outline="0" showAll="0" defaultSubtotal="0"/>
    <pivotField compact="0" numFmtId="2" outline="0" showAll="0" defaultSubtotal="0"/>
    <pivotField dataField="1" compact="0" numFmtId="2" outline="0" showAll="0" defaultSubtotal="0"/>
  </pivotFields>
  <rowFields count="1">
    <field x="0"/>
  </rowFields>
  <rowItems count="9">
    <i>
      <x v="4"/>
    </i>
    <i>
      <x v="5"/>
    </i>
    <i>
      <x v="2"/>
    </i>
    <i>
      <x v="1"/>
    </i>
    <i>
      <x v="7"/>
    </i>
    <i>
      <x v="6"/>
    </i>
    <i>
      <x/>
    </i>
    <i>
      <x v="3"/>
    </i>
    <i t="grand">
      <x/>
    </i>
  </rowItems>
  <colItems count="1">
    <i/>
  </colItems>
  <pageFields count="1">
    <pageField fld="3" hier="-1"/>
  </pageFields>
  <dataFields count="1">
    <dataField name="**CO2 Emissions (mt)" fld="7" baseField="0" baseItem="0" numFmtId="168"/>
  </dataFields>
  <formats count="4">
    <format dxfId="13">
      <pivotArea dataOnly="0" labelOnly="1" outline="0" axis="axisValues" fieldPosition="0"/>
    </format>
    <format dxfId="12">
      <pivotArea dataOnly="0" labelOnly="1" outline="0" axis="axisValues" fieldPosition="0"/>
    </format>
    <format dxfId="11">
      <pivotArea dataOnly="0" labelOnly="1" outline="0" axis="axisValues" fieldPosition="0"/>
    </format>
    <format dxfId="4">
      <pivotArea outline="0" fieldPosition="0">
        <references count="1">
          <reference field="4294967294" count="1">
            <x v="0"/>
          </reference>
        </references>
      </pivotArea>
    </format>
  </formats>
  <chartFormats count="1">
    <chartFormat chart="0" format="3" series="1">
      <pivotArea type="data" outline="0" fieldPosition="0">
        <references count="1">
          <reference field="4294967294" count="1" selected="0">
            <x v="0"/>
          </reference>
        </references>
      </pivotArea>
    </chartFormat>
  </chartFormats>
  <pivotTableStyleInfo name="PivotStyleLightCustom" showRowHeaders="0" showColHeaders="1" showRowStripes="1" showColStripes="0" showLastColumn="1"/>
</pivotTableDefinition>
</file>

<file path=xl/theme/theme1.xml><?xml version="1.0" encoding="utf-8"?>
<a:theme xmlns:a="http://schemas.openxmlformats.org/drawingml/2006/main" name="CheckmateReportTheme">
  <a:themeElements>
    <a:clrScheme name="Custom 1">
      <a:dk1>
        <a:sysClr val="windowText" lastClr="000000"/>
      </a:dk1>
      <a:lt1>
        <a:sysClr val="window" lastClr="FFFFFF"/>
      </a:lt1>
      <a:dk2>
        <a:srgbClr val="3F3F3F"/>
      </a:dk2>
      <a:lt2>
        <a:srgbClr val="EEECE1"/>
      </a:lt2>
      <a:accent1>
        <a:srgbClr val="25477B"/>
      </a:accent1>
      <a:accent2>
        <a:srgbClr val="5C9CCC"/>
      </a:accent2>
      <a:accent3>
        <a:srgbClr val="9BBB59"/>
      </a:accent3>
      <a:accent4>
        <a:srgbClr val="F7941E"/>
      </a:accent4>
      <a:accent5>
        <a:srgbClr val="F3F8FB"/>
      </a:accent5>
      <a:accent6>
        <a:srgbClr val="EEECE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J19"/>
  <sheetViews>
    <sheetView workbookViewId="0">
      <pane ySplit="10" topLeftCell="A11" activePane="bottomLeft" state="frozen"/>
      <selection pane="bottomLeft"/>
    </sheetView>
  </sheetViews>
  <sheetFormatPr defaultRowHeight="12.75" x14ac:dyDescent="0.2"/>
  <cols>
    <col min="1" max="1" width="16.42578125" bestFit="1" customWidth="1"/>
    <col min="2" max="2" width="18.5703125" customWidth="1"/>
    <col min="3" max="4" width="13" customWidth="1"/>
    <col min="5" max="5" width="11" customWidth="1"/>
    <col min="6" max="6" width="13.28515625" customWidth="1"/>
    <col min="7" max="7" width="17.140625" customWidth="1"/>
    <col min="8" max="8" width="14.85546875" customWidth="1"/>
    <col min="9" max="9" width="13.28515625" customWidth="1"/>
    <col min="10" max="10" width="12.5703125" customWidth="1"/>
  </cols>
  <sheetData>
    <row r="1" spans="1:10" x14ac:dyDescent="0.2">
      <c r="A1" s="6" t="s">
        <v>3</v>
      </c>
      <c r="B1" s="7" t="s">
        <v>126</v>
      </c>
    </row>
    <row r="2" spans="1:10" x14ac:dyDescent="0.2">
      <c r="A2" s="6" t="s">
        <v>0</v>
      </c>
      <c r="B2" s="7">
        <v>42310.662099733803</v>
      </c>
    </row>
    <row r="3" spans="1:10" x14ac:dyDescent="0.2">
      <c r="A3" s="6" t="s">
        <v>1</v>
      </c>
      <c r="B3" s="7">
        <v>42302</v>
      </c>
    </row>
    <row r="4" spans="1:10" x14ac:dyDescent="0.2">
      <c r="A4" s="6" t="s">
        <v>2</v>
      </c>
      <c r="B4" s="7">
        <v>42308.999988425901</v>
      </c>
    </row>
    <row r="5" spans="1:10" x14ac:dyDescent="0.2">
      <c r="A5" s="6" t="s">
        <v>4</v>
      </c>
      <c r="B5" s="7" t="s">
        <v>101</v>
      </c>
    </row>
    <row r="6" spans="1:10" x14ac:dyDescent="0.2">
      <c r="A6" s="6" t="s">
        <v>5</v>
      </c>
      <c r="B6" s="7" t="s">
        <v>102</v>
      </c>
    </row>
    <row r="7" spans="1:10" x14ac:dyDescent="0.2">
      <c r="A7" s="6" t="s">
        <v>6</v>
      </c>
      <c r="B7" s="7" t="b">
        <v>1</v>
      </c>
    </row>
    <row r="8" spans="1:10" x14ac:dyDescent="0.2">
      <c r="A8" s="6" t="s">
        <v>16</v>
      </c>
      <c r="B8" s="7"/>
    </row>
    <row r="9" spans="1:10" x14ac:dyDescent="0.2">
      <c r="A9" s="6" t="s">
        <v>18</v>
      </c>
      <c r="B9" s="7" t="s">
        <v>103</v>
      </c>
    </row>
    <row r="10" spans="1:10" ht="32.25" customHeight="1" thickBot="1" x14ac:dyDescent="0.25">
      <c r="A10" s="1" t="s">
        <v>7</v>
      </c>
      <c r="B10" s="1" t="s">
        <v>8</v>
      </c>
      <c r="C10" s="1" t="s">
        <v>9</v>
      </c>
      <c r="D10" s="1" t="s">
        <v>10</v>
      </c>
      <c r="E10" s="1" t="s">
        <v>11</v>
      </c>
      <c r="F10" s="1" t="s">
        <v>12</v>
      </c>
      <c r="G10" s="1" t="s">
        <v>13</v>
      </c>
      <c r="H10" s="1" t="s">
        <v>14</v>
      </c>
      <c r="I10" s="1" t="s">
        <v>17</v>
      </c>
      <c r="J10" s="1" t="s">
        <v>19</v>
      </c>
    </row>
    <row r="11" spans="1:10" x14ac:dyDescent="0.2">
      <c r="A11" s="2" t="s">
        <v>117</v>
      </c>
      <c r="B11" s="3" t="s">
        <v>104</v>
      </c>
      <c r="C11" t="s">
        <v>105</v>
      </c>
      <c r="D11" s="2" t="s">
        <v>106</v>
      </c>
      <c r="E11" s="5">
        <v>1</v>
      </c>
      <c r="F11" s="8">
        <v>42302</v>
      </c>
      <c r="G11" s="8">
        <v>42308.999988425901</v>
      </c>
      <c r="H11" s="4">
        <v>193.27983093261699</v>
      </c>
      <c r="I11" s="2">
        <v>11.8798170089722</v>
      </c>
      <c r="J11" s="2">
        <v>16.269598007202099</v>
      </c>
    </row>
    <row r="12" spans="1:10" x14ac:dyDescent="0.2">
      <c r="A12" s="2" t="s">
        <v>118</v>
      </c>
      <c r="B12" s="3" t="s">
        <v>107</v>
      </c>
      <c r="D12" s="2" t="s">
        <v>106</v>
      </c>
      <c r="E12" s="5">
        <v>1</v>
      </c>
      <c r="F12" s="8">
        <v>42302</v>
      </c>
      <c r="G12" s="8">
        <v>42308.999988425901</v>
      </c>
      <c r="H12" s="4">
        <v>222.49693298339801</v>
      </c>
      <c r="I12" s="2">
        <v>13.6788282394409</v>
      </c>
      <c r="J12" s="2">
        <v>16.265789031982401</v>
      </c>
    </row>
    <row r="13" spans="1:10" x14ac:dyDescent="0.2">
      <c r="A13" s="2" t="s">
        <v>119</v>
      </c>
      <c r="B13" s="3" t="s">
        <v>108</v>
      </c>
      <c r="D13" s="2" t="s">
        <v>106</v>
      </c>
      <c r="E13" s="5">
        <v>1</v>
      </c>
      <c r="F13" s="8">
        <v>42302</v>
      </c>
      <c r="G13" s="8">
        <v>42308.999988425901</v>
      </c>
      <c r="H13" s="4">
        <v>261.38436889648398</v>
      </c>
      <c r="I13" s="2">
        <v>16.130346298217798</v>
      </c>
      <c r="J13" s="2">
        <v>16.204511642456101</v>
      </c>
    </row>
    <row r="14" spans="1:10" x14ac:dyDescent="0.2">
      <c r="A14" s="2" t="s">
        <v>120</v>
      </c>
      <c r="B14" s="3" t="s">
        <v>109</v>
      </c>
      <c r="D14" s="2" t="s">
        <v>106</v>
      </c>
      <c r="E14" s="5">
        <v>1</v>
      </c>
      <c r="F14" s="8">
        <v>42302</v>
      </c>
      <c r="G14" s="8">
        <v>42308.999988425901</v>
      </c>
      <c r="H14" s="4">
        <v>165.63914489746099</v>
      </c>
      <c r="I14" s="2">
        <v>5.7272500991821298</v>
      </c>
      <c r="J14" s="2">
        <v>28.921237945556602</v>
      </c>
    </row>
    <row r="15" spans="1:10" x14ac:dyDescent="0.2">
      <c r="A15" s="2" t="s">
        <v>121</v>
      </c>
      <c r="B15" s="3" t="s">
        <v>110</v>
      </c>
      <c r="D15" s="2" t="s">
        <v>127</v>
      </c>
      <c r="E15" s="5">
        <v>1</v>
      </c>
      <c r="F15" s="8">
        <v>42302</v>
      </c>
      <c r="G15" s="8">
        <v>42308.999988425901</v>
      </c>
      <c r="H15" s="4">
        <v>233.08871459960901</v>
      </c>
      <c r="I15" s="2">
        <v>21.592533111572301</v>
      </c>
      <c r="J15" s="2">
        <v>10.7948751449585</v>
      </c>
    </row>
    <row r="16" spans="1:10" x14ac:dyDescent="0.2">
      <c r="A16" s="2" t="s">
        <v>122</v>
      </c>
      <c r="B16" s="3" t="s">
        <v>111</v>
      </c>
      <c r="D16" s="2" t="s">
        <v>127</v>
      </c>
      <c r="E16" s="5">
        <v>1</v>
      </c>
      <c r="F16" s="8">
        <v>42302</v>
      </c>
      <c r="G16" s="8">
        <v>42308.999988425901</v>
      </c>
      <c r="H16" s="4">
        <v>227.25898742675801</v>
      </c>
      <c r="I16" s="2">
        <v>19.3400363922119</v>
      </c>
      <c r="J16" s="2">
        <v>11.7507019042969</v>
      </c>
    </row>
    <row r="17" spans="1:10" x14ac:dyDescent="0.2">
      <c r="A17" s="2" t="s">
        <v>123</v>
      </c>
      <c r="B17" s="3" t="s">
        <v>112</v>
      </c>
      <c r="D17" s="2" t="s">
        <v>127</v>
      </c>
      <c r="E17" s="5">
        <v>1</v>
      </c>
      <c r="F17" s="8">
        <v>42302</v>
      </c>
      <c r="G17" s="8">
        <v>42308.999988425901</v>
      </c>
      <c r="H17" s="4">
        <v>104.996307373047</v>
      </c>
      <c r="I17" s="2">
        <v>12.2364492416382</v>
      </c>
      <c r="J17" s="2">
        <v>8.5806188583374006</v>
      </c>
    </row>
    <row r="18" spans="1:10" x14ac:dyDescent="0.2">
      <c r="A18" s="2" t="s">
        <v>124</v>
      </c>
      <c r="B18" s="3" t="s">
        <v>113</v>
      </c>
      <c r="D18" s="2" t="s">
        <v>114</v>
      </c>
      <c r="E18" s="5">
        <v>1</v>
      </c>
      <c r="F18" s="8">
        <v>42302</v>
      </c>
      <c r="G18" s="8">
        <v>42308.999988425901</v>
      </c>
      <c r="H18" s="4">
        <v>205.02958679199199</v>
      </c>
      <c r="I18" s="2">
        <v>12.4636373519897</v>
      </c>
      <c r="J18" s="2">
        <v>16.450222015380898</v>
      </c>
    </row>
    <row r="19" spans="1:10" x14ac:dyDescent="0.2">
      <c r="A19" s="2" t="s">
        <v>125</v>
      </c>
      <c r="B19" s="3" t="s">
        <v>115</v>
      </c>
      <c r="D19" s="2" t="s">
        <v>114</v>
      </c>
      <c r="E19" s="5">
        <v>1</v>
      </c>
      <c r="F19" s="8">
        <v>42302</v>
      </c>
      <c r="G19" s="8">
        <v>42308.999988425901</v>
      </c>
      <c r="H19" s="4">
        <v>0</v>
      </c>
      <c r="I19" s="2">
        <v>0</v>
      </c>
    </row>
  </sheetData>
  <pageMargins left="0.75" right="0.75" top="1" bottom="1" header="0.5" footer="0.5"/>
  <pageSetup scale="86" fitToHeight="100" orientation="landscape"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9"/>
  <sheetViews>
    <sheetView showGridLines="0" tabSelected="1" zoomScale="115" zoomScaleNormal="115" workbookViewId="0"/>
  </sheetViews>
  <sheetFormatPr defaultRowHeight="12.75" x14ac:dyDescent="0.2"/>
  <cols>
    <col min="1" max="1" width="38.5703125" bestFit="1" customWidth="1"/>
    <col min="2" max="2" width="21" customWidth="1"/>
    <col min="3" max="3" width="14.28515625" customWidth="1"/>
    <col min="4" max="4" width="13.5703125" customWidth="1"/>
    <col min="5" max="5" width="22.5703125" customWidth="1"/>
    <col min="6" max="6" width="19.28515625" customWidth="1"/>
    <col min="7" max="7" width="15.28515625" customWidth="1"/>
    <col min="8" max="8" width="30.140625" bestFit="1" customWidth="1"/>
    <col min="9" max="10" width="17.28515625" customWidth="1"/>
    <col min="11" max="11" width="18" customWidth="1"/>
    <col min="12" max="12" width="16.42578125" customWidth="1"/>
    <col min="13" max="13" width="28.28515625" bestFit="1" customWidth="1"/>
    <col min="14" max="14" width="27.28515625" customWidth="1"/>
    <col min="15" max="15" width="13.7109375" bestFit="1" customWidth="1"/>
    <col min="16" max="16" width="14" bestFit="1" customWidth="1"/>
    <col min="17" max="17" width="16.7109375" bestFit="1" customWidth="1"/>
  </cols>
  <sheetData>
    <row r="1" spans="1:14" s="10" customFormat="1" ht="23.25" x14ac:dyDescent="0.35">
      <c r="A1" s="10" t="s">
        <v>130</v>
      </c>
      <c r="H1" s="27"/>
      <c r="I1" s="47" t="s">
        <v>131</v>
      </c>
      <c r="J1" s="48"/>
      <c r="K1" s="47" t="s">
        <v>132</v>
      </c>
      <c r="L1" s="49"/>
      <c r="M1" s="27"/>
      <c r="N1" s="20"/>
    </row>
    <row r="2" spans="1:14" ht="15" x14ac:dyDescent="0.25">
      <c r="A2" s="9"/>
      <c r="I2" s="39" t="s">
        <v>133</v>
      </c>
      <c r="J2" s="40" t="s">
        <v>134</v>
      </c>
      <c r="K2" s="39" t="s">
        <v>133</v>
      </c>
      <c r="L2" s="41" t="s">
        <v>134</v>
      </c>
      <c r="N2" s="18"/>
    </row>
    <row r="3" spans="1:14" ht="17.25" x14ac:dyDescent="0.3">
      <c r="A3" s="15" t="s">
        <v>34</v>
      </c>
      <c r="B3" s="12">
        <f>Data!B2</f>
        <v>42310.662099733803</v>
      </c>
      <c r="C3" s="12"/>
      <c r="E3" s="45" t="s">
        <v>192</v>
      </c>
      <c r="F3" s="45"/>
      <c r="H3" s="29" t="s">
        <v>167</v>
      </c>
      <c r="I3" s="34">
        <v>2421</v>
      </c>
      <c r="J3" s="31">
        <v>2778</v>
      </c>
      <c r="K3" s="37">
        <f>I3*0.264172</f>
        <v>639.56041200000004</v>
      </c>
      <c r="L3" s="31">
        <f>J3*0.264172</f>
        <v>733.86981600000001</v>
      </c>
      <c r="M3" s="28" t="s">
        <v>166</v>
      </c>
    </row>
    <row r="4" spans="1:14" ht="17.25" x14ac:dyDescent="0.3">
      <c r="A4" s="15" t="s">
        <v>35</v>
      </c>
      <c r="B4" s="12">
        <f>Data!B3</f>
        <v>42302</v>
      </c>
      <c r="C4" s="12"/>
      <c r="D4" s="50" t="s">
        <v>193</v>
      </c>
      <c r="E4" s="50"/>
      <c r="F4" s="50"/>
      <c r="H4" s="29" t="s">
        <v>159</v>
      </c>
      <c r="I4" s="34">
        <v>1</v>
      </c>
      <c r="J4" s="31">
        <v>1</v>
      </c>
      <c r="K4" s="37">
        <v>1</v>
      </c>
      <c r="L4" s="31">
        <v>1</v>
      </c>
      <c r="M4" s="28" t="s">
        <v>163</v>
      </c>
    </row>
    <row r="5" spans="1:14" ht="17.25" x14ac:dyDescent="0.3">
      <c r="A5" s="15" t="s">
        <v>36</v>
      </c>
      <c r="B5" s="12">
        <f>Data!B4</f>
        <v>42308.999988425901</v>
      </c>
      <c r="C5" s="12"/>
      <c r="D5" s="50"/>
      <c r="E5" s="50"/>
      <c r="F5" s="50"/>
      <c r="H5" s="29" t="s">
        <v>162</v>
      </c>
      <c r="I5" s="34">
        <f>I3*0.99*(44/12)</f>
        <v>8788.23</v>
      </c>
      <c r="J5" s="31">
        <f>J4*J3*0.99*(44/12)</f>
        <v>10084.14</v>
      </c>
      <c r="K5" s="37">
        <f>K4*K3*0.99*(44/12)</f>
        <v>2321.6042955600001</v>
      </c>
      <c r="L5" s="31">
        <f>L4*L3*0.99*(44/12)</f>
        <v>2663.94743208</v>
      </c>
      <c r="M5" s="28" t="s">
        <v>162</v>
      </c>
    </row>
    <row r="6" spans="1:14" ht="17.25" x14ac:dyDescent="0.3">
      <c r="A6" s="15" t="s">
        <v>37</v>
      </c>
      <c r="B6" s="14" t="str">
        <f>Data!B5</f>
        <v>miles</v>
      </c>
      <c r="C6" s="14"/>
      <c r="D6" s="50"/>
      <c r="E6" s="50"/>
      <c r="F6" s="50"/>
      <c r="H6" s="29" t="s">
        <v>165</v>
      </c>
      <c r="I6" s="35">
        <f>I5/1000</f>
        <v>8.7882300000000004</v>
      </c>
      <c r="J6" s="36">
        <f>J5/1000</f>
        <v>10.08414</v>
      </c>
      <c r="K6" s="38">
        <f>K5/1000</f>
        <v>2.3216042955600003</v>
      </c>
      <c r="L6" s="36">
        <f>L5/1000</f>
        <v>2.6639474320800001</v>
      </c>
      <c r="M6" s="28" t="s">
        <v>164</v>
      </c>
    </row>
    <row r="7" spans="1:14" ht="17.25" x14ac:dyDescent="0.3">
      <c r="A7" s="15" t="s">
        <v>38</v>
      </c>
      <c r="B7" s="14" t="str">
        <f>Data!B9</f>
        <v>MPG (US)</v>
      </c>
      <c r="C7" s="14"/>
      <c r="D7" s="50"/>
      <c r="E7" s="50"/>
      <c r="F7" s="50"/>
      <c r="H7" s="29" t="s">
        <v>245</v>
      </c>
      <c r="I7" s="30">
        <f>I6*2.20462262</f>
        <v>19.3747306477626</v>
      </c>
      <c r="J7" s="30">
        <f>J6*2.20462262</f>
        <v>22.231723147246797</v>
      </c>
      <c r="K7" s="32">
        <f>K6*2.20462262</f>
        <v>5.1182613446807421</v>
      </c>
      <c r="L7" s="30">
        <f>L6*2.20462262</f>
        <v>5.8729987672544812</v>
      </c>
      <c r="M7" s="28" t="s">
        <v>98</v>
      </c>
    </row>
    <row r="8" spans="1:14" ht="12.95" hidden="1" customHeight="1" x14ac:dyDescent="0.2">
      <c r="A8" s="42" t="s">
        <v>188</v>
      </c>
      <c r="B8" t="s">
        <v>190</v>
      </c>
      <c r="D8" s="50"/>
      <c r="E8" s="50"/>
      <c r="F8" s="50"/>
    </row>
    <row r="9" spans="1:14" x14ac:dyDescent="0.2">
      <c r="D9" s="50"/>
      <c r="E9" s="50"/>
      <c r="F9" s="50"/>
    </row>
    <row r="10" spans="1:14" x14ac:dyDescent="0.2">
      <c r="B10" s="44" t="s">
        <v>191</v>
      </c>
      <c r="C10" s="44"/>
      <c r="D10" s="50"/>
      <c r="E10" s="50"/>
      <c r="F10" s="50"/>
      <c r="N10" s="22"/>
    </row>
    <row r="11" spans="1:14" x14ac:dyDescent="0.2">
      <c r="A11" t="s">
        <v>121</v>
      </c>
      <c r="B11" s="51">
        <v>0.18976014726711304</v>
      </c>
      <c r="C11" s="43"/>
    </row>
    <row r="12" spans="1:14" x14ac:dyDescent="0.2">
      <c r="A12" t="s">
        <v>122</v>
      </c>
      <c r="B12" s="51">
        <v>0.16996468802312839</v>
      </c>
      <c r="C12" s="43"/>
      <c r="M12" s="33"/>
    </row>
    <row r="13" spans="1:14" x14ac:dyDescent="0.2">
      <c r="A13" t="s">
        <v>119</v>
      </c>
      <c r="B13" s="51">
        <v>0.14175719324838662</v>
      </c>
      <c r="C13" s="43"/>
    </row>
    <row r="14" spans="1:14" x14ac:dyDescent="0.2">
      <c r="A14" t="s">
        <v>118</v>
      </c>
      <c r="B14" s="51">
        <v>0.12021268869870172</v>
      </c>
      <c r="C14" s="43"/>
    </row>
    <row r="15" spans="1:14" x14ac:dyDescent="0.2">
      <c r="A15" t="s">
        <v>124</v>
      </c>
      <c r="B15" s="51">
        <v>0.10953331168587645</v>
      </c>
      <c r="C15" s="43"/>
    </row>
    <row r="16" spans="1:14" x14ac:dyDescent="0.2">
      <c r="A16" t="s">
        <v>123</v>
      </c>
      <c r="B16" s="51">
        <v>0.10753673031884207</v>
      </c>
      <c r="C16" s="43"/>
    </row>
    <row r="17" spans="1:3" x14ac:dyDescent="0.2">
      <c r="A17" t="s">
        <v>117</v>
      </c>
      <c r="B17" s="51">
        <v>0.10440256423275976</v>
      </c>
      <c r="C17" s="43"/>
    </row>
    <row r="18" spans="1:3" x14ac:dyDescent="0.2">
      <c r="A18" t="s">
        <v>120</v>
      </c>
      <c r="B18" s="51">
        <v>5.0332391139135367E-2</v>
      </c>
      <c r="C18" s="43"/>
    </row>
    <row r="19" spans="1:3" x14ac:dyDescent="0.2">
      <c r="A19" t="s">
        <v>189</v>
      </c>
      <c r="B19" s="51">
        <v>0.99349971461394337</v>
      </c>
      <c r="C19" s="43"/>
    </row>
  </sheetData>
  <mergeCells count="3">
    <mergeCell ref="I1:J1"/>
    <mergeCell ref="K1:L1"/>
    <mergeCell ref="D4:F10"/>
  </mergeCell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6"/>
  <sheetViews>
    <sheetView showGridLines="0" workbookViewId="0">
      <pane ySplit="9" topLeftCell="A10" activePane="bottomLeft" state="frozen"/>
      <selection activeCell="X1" sqref="X1"/>
      <selection pane="bottomLeft"/>
    </sheetView>
  </sheetViews>
  <sheetFormatPr defaultColWidth="9.140625" defaultRowHeight="15" x14ac:dyDescent="0.25"/>
  <cols>
    <col min="1" max="1" width="37" style="9" bestFit="1" customWidth="1"/>
    <col min="2" max="2" width="12" style="9" bestFit="1" customWidth="1"/>
    <col min="3" max="3" width="15.140625" style="9" customWidth="1"/>
    <col min="4" max="4" width="15.140625" style="9" hidden="1" customWidth="1"/>
    <col min="5" max="5" width="9.85546875" style="9" bestFit="1" customWidth="1"/>
    <col min="6" max="6" width="12.42578125" style="9" bestFit="1" customWidth="1"/>
    <col min="7" max="7" width="8.7109375" style="9" bestFit="1" customWidth="1"/>
    <col min="8" max="8" width="18.42578125" style="9" bestFit="1" customWidth="1"/>
    <col min="9" max="16384" width="9.140625" style="9"/>
  </cols>
  <sheetData>
    <row r="1" spans="1:8" s="10" customFormat="1" ht="23.25" x14ac:dyDescent="0.35">
      <c r="A1" s="10" t="s">
        <v>130</v>
      </c>
      <c r="E1" s="11"/>
      <c r="F1" s="11"/>
      <c r="G1" s="11"/>
      <c r="H1" s="11"/>
    </row>
    <row r="3" spans="1:8" ht="17.25" x14ac:dyDescent="0.3">
      <c r="A3" s="15" t="s">
        <v>34</v>
      </c>
      <c r="B3" s="17">
        <f>Data!B2</f>
        <v>42310.662099733803</v>
      </c>
      <c r="C3" s="19"/>
      <c r="D3" s="19"/>
      <c r="E3" s="19"/>
      <c r="F3" s="19"/>
      <c r="G3" s="19"/>
      <c r="H3" s="19"/>
    </row>
    <row r="4" spans="1:8" ht="17.25" x14ac:dyDescent="0.3">
      <c r="A4" s="15" t="s">
        <v>35</v>
      </c>
      <c r="B4" s="17">
        <f>Data!B3</f>
        <v>42302</v>
      </c>
      <c r="C4" s="19"/>
      <c r="D4" s="19"/>
      <c r="E4" s="19"/>
      <c r="F4" s="19"/>
      <c r="G4" s="19"/>
      <c r="H4" s="19"/>
    </row>
    <row r="5" spans="1:8" ht="17.25" x14ac:dyDescent="0.3">
      <c r="A5" s="15" t="s">
        <v>36</v>
      </c>
      <c r="B5" s="17">
        <f>Data!B4</f>
        <v>42308.999988425901</v>
      </c>
      <c r="C5" s="19"/>
      <c r="D5" s="19"/>
      <c r="E5" s="19"/>
      <c r="F5" s="19"/>
      <c r="G5" s="19"/>
      <c r="H5" s="19"/>
    </row>
    <row r="6" spans="1:8" ht="17.25" x14ac:dyDescent="0.3">
      <c r="A6" s="15" t="s">
        <v>37</v>
      </c>
      <c r="B6" s="17" t="str">
        <f>Data!B5</f>
        <v>miles</v>
      </c>
      <c r="C6" s="19"/>
      <c r="D6" s="19"/>
      <c r="E6" s="19"/>
      <c r="F6" s="19"/>
      <c r="G6" s="19"/>
      <c r="H6" s="19"/>
    </row>
    <row r="7" spans="1:8" ht="17.25" x14ac:dyDescent="0.3">
      <c r="A7" s="15" t="s">
        <v>38</v>
      </c>
      <c r="B7" s="17" t="str">
        <f>Data!B9</f>
        <v>MPG (US)</v>
      </c>
      <c r="C7" s="19"/>
      <c r="D7" s="19"/>
      <c r="E7" s="19"/>
      <c r="F7" s="19"/>
      <c r="G7" s="19"/>
      <c r="H7" s="19"/>
    </row>
    <row r="9" spans="1:8" s="13" customFormat="1" ht="51.75" x14ac:dyDescent="0.25">
      <c r="A9" s="23" t="s">
        <v>25</v>
      </c>
      <c r="B9" s="23" t="s">
        <v>26</v>
      </c>
      <c r="C9" s="24" t="str">
        <f>IF(B6="km","**Distance (kms)","**Distance (miles)")</f>
        <v>**Distance (miles)</v>
      </c>
      <c r="D9" s="24" t="s">
        <v>188</v>
      </c>
      <c r="E9" s="24" t="str">
        <f>IF(OR($B$7="L/100 km",$B$7="km/L"),"**Fuel Used (litres)","**Fuel Used (gallons)")</f>
        <v>**Fuel Used (gallons)</v>
      </c>
      <c r="F9" s="24" t="str">
        <f>"**Fuel Economy ("&amp;$B$7&amp;")"</f>
        <v>**Fuel Economy (MPG (US))</v>
      </c>
      <c r="G9" s="24" t="s">
        <v>128</v>
      </c>
      <c r="H9" s="24" t="s">
        <v>129</v>
      </c>
    </row>
    <row r="10" spans="1:8" x14ac:dyDescent="0.25">
      <c r="A10" s="14" t="str">
        <f>Data!A11</f>
        <v>Vehicle 1</v>
      </c>
      <c r="B10" s="14" t="str">
        <f>Data!D11</f>
        <v>Central</v>
      </c>
      <c r="C10" s="25">
        <f>Data!H11</f>
        <v>193.27983093261699</v>
      </c>
      <c r="D10" s="26" t="b">
        <f t="shared" ref="D10:D18" si="0">IF(OR(E10&lt;0,E10=0),FALSE,TRUE)</f>
        <v>1</v>
      </c>
      <c r="E10" s="25">
        <f>Data!I11</f>
        <v>11.8798170089722</v>
      </c>
      <c r="F10" s="25">
        <f>Data!J11</f>
        <v>16.269598007202099</v>
      </c>
      <c r="G10" s="25">
        <f>IF(OR($B$7="L/100 km",$B$7="km/L"),E10*Summary!$K$7,E10*Summary!$I$7)</f>
        <v>230.16825469354512</v>
      </c>
      <c r="H10" s="25">
        <f>IF(OR($B$7="L/100 km",$B$7="km/L"),(E10*Summary!$K$6)*0.001,(E10*Summary!$I$6)*0.001)</f>
        <v>0.10440256423275976</v>
      </c>
    </row>
    <row r="11" spans="1:8" x14ac:dyDescent="0.25">
      <c r="A11" s="14" t="str">
        <f>Data!A12</f>
        <v>Vehicle 2</v>
      </c>
      <c r="B11" s="14" t="str">
        <f>Data!D12</f>
        <v>Central</v>
      </c>
      <c r="C11" s="25">
        <f>Data!H12</f>
        <v>222.49693298339801</v>
      </c>
      <c r="D11" s="26" t="b">
        <f t="shared" si="0"/>
        <v>1</v>
      </c>
      <c r="E11" s="25">
        <f>Data!I12</f>
        <v>13.6788282394409</v>
      </c>
      <c r="F11" s="25">
        <f>Data!J12</f>
        <v>16.265789031982401</v>
      </c>
      <c r="G11" s="25">
        <f>IF(OR($B$7="L/100 km",$B$7="km/L"),E11*Summary!$K$7,E11*Summary!$I$7)</f>
        <v>265.02361271617616</v>
      </c>
      <c r="H11" s="25">
        <f>IF(OR($B$7="L/100 km",$B$7="km/L"),(E11*Summary!$K$6)*0.001,(E11*Summary!$I$6)*0.001)</f>
        <v>0.12021268869870172</v>
      </c>
    </row>
    <row r="12" spans="1:8" x14ac:dyDescent="0.25">
      <c r="A12" s="14" t="str">
        <f>Data!A13</f>
        <v>Vehicle 3</v>
      </c>
      <c r="B12" s="14" t="str">
        <f>Data!D13</f>
        <v>Central</v>
      </c>
      <c r="C12" s="25">
        <f>Data!H13</f>
        <v>261.38436889648398</v>
      </c>
      <c r="D12" s="26" t="b">
        <f t="shared" si="0"/>
        <v>1</v>
      </c>
      <c r="E12" s="25">
        <f>Data!I13</f>
        <v>16.130346298217798</v>
      </c>
      <c r="F12" s="25">
        <f>Data!J13</f>
        <v>16.204511642456101</v>
      </c>
      <c r="G12" s="25">
        <f>IF(OR($B$7="L/100 km",$B$7="km/L"),E12*Summary!$K$7,E12*Summary!$I$7)</f>
        <v>312.52111478310439</v>
      </c>
      <c r="H12" s="25">
        <f>IF(OR($B$7="L/100 km",$B$7="km/L"),(E12*Summary!$K$6)*0.001,(E12*Summary!$I$6)*0.001)</f>
        <v>0.14175719324838662</v>
      </c>
    </row>
    <row r="13" spans="1:8" x14ac:dyDescent="0.25">
      <c r="A13" s="14" t="str">
        <f>Data!A14</f>
        <v>Vehicle 4</v>
      </c>
      <c r="B13" s="14" t="str">
        <f>Data!D14</f>
        <v>Central</v>
      </c>
      <c r="C13" s="25">
        <f>Data!H14</f>
        <v>165.63914489746099</v>
      </c>
      <c r="D13" s="26" t="b">
        <f t="shared" si="0"/>
        <v>1</v>
      </c>
      <c r="E13" s="25">
        <f>Data!I14</f>
        <v>5.7272500991821298</v>
      </c>
      <c r="F13" s="25">
        <f>Data!J14</f>
        <v>28.921237945556602</v>
      </c>
      <c r="G13" s="25">
        <f>IF(OR($B$7="L/100 km",$B$7="km/L"),E13*Summary!$K$7,E13*Summary!$I$7)</f>
        <v>110.96392802402541</v>
      </c>
      <c r="H13" s="25">
        <f>IF(OR($B$7="L/100 km",$B$7="km/L"),(E13*Summary!$K$6)*0.001,(E13*Summary!$I$6)*0.001)</f>
        <v>5.0332391139135367E-2</v>
      </c>
    </row>
    <row r="14" spans="1:8" x14ac:dyDescent="0.25">
      <c r="A14" s="14" t="str">
        <f>Data!A15</f>
        <v>Vehicle 5</v>
      </c>
      <c r="B14" s="14" t="str">
        <f>Data!D15</f>
        <v>Northeast</v>
      </c>
      <c r="C14" s="25">
        <f>Data!H15</f>
        <v>233.08871459960901</v>
      </c>
      <c r="D14" s="26" t="b">
        <f t="shared" si="0"/>
        <v>1</v>
      </c>
      <c r="E14" s="25">
        <f>Data!I15</f>
        <v>21.592533111572301</v>
      </c>
      <c r="F14" s="25">
        <f>Data!J15</f>
        <v>10.7948751449585</v>
      </c>
      <c r="G14" s="25">
        <f>IF(OR($B$7="L/100 km",$B$7="km/L"),E14*Summary!$K$7,E14*Summary!$I$7)</f>
        <v>418.34951303960861</v>
      </c>
      <c r="H14" s="25">
        <f>IF(OR($B$7="L/100 km",$B$7="km/L"),(E14*Summary!$K$6)*0.001,(E14*Summary!$I$6)*0.001)</f>
        <v>0.18976014726711304</v>
      </c>
    </row>
    <row r="15" spans="1:8" x14ac:dyDescent="0.25">
      <c r="A15" s="14" t="str">
        <f>Data!A16</f>
        <v>Vehicle 6</v>
      </c>
      <c r="B15" s="14" t="str">
        <f>Data!D16</f>
        <v>Northeast</v>
      </c>
      <c r="C15" s="25">
        <f>Data!H16</f>
        <v>227.25898742675801</v>
      </c>
      <c r="D15" s="26" t="b">
        <f t="shared" si="0"/>
        <v>1</v>
      </c>
      <c r="E15" s="25">
        <f>Data!I16</f>
        <v>19.3400363922119</v>
      </c>
      <c r="F15" s="25">
        <f>Data!J16</f>
        <v>11.7507019042969</v>
      </c>
      <c r="G15" s="25">
        <f>IF(OR($B$7="L/100 km",$B$7="km/L"),E15*Summary!$K$7,E15*Summary!$I$7)</f>
        <v>374.70799581703193</v>
      </c>
      <c r="H15" s="25">
        <f>IF(OR($B$7="L/100 km",$B$7="km/L"),(E15*Summary!$K$6)*0.001,(E15*Summary!$I$6)*0.001)</f>
        <v>0.16996468802312839</v>
      </c>
    </row>
    <row r="16" spans="1:8" x14ac:dyDescent="0.25">
      <c r="A16" s="14" t="str">
        <f>Data!A17</f>
        <v>Vehicle 7</v>
      </c>
      <c r="B16" s="14" t="str">
        <f>Data!D17</f>
        <v>Northeast</v>
      </c>
      <c r="C16" s="25">
        <f>Data!H17</f>
        <v>104.996307373047</v>
      </c>
      <c r="D16" s="26" t="b">
        <f t="shared" si="0"/>
        <v>1</v>
      </c>
      <c r="E16" s="25">
        <f>Data!I17</f>
        <v>12.2364492416382</v>
      </c>
      <c r="F16" s="25">
        <f>Data!J17</f>
        <v>8.5806188583374006</v>
      </c>
      <c r="G16" s="25">
        <f>IF(OR($B$7="L/100 km",$B$7="km/L"),E16*Summary!$K$7,E16*Summary!$I$7)</f>
        <v>237.07790814175905</v>
      </c>
      <c r="H16" s="25">
        <f>IF(OR($B$7="L/100 km",$B$7="km/L"),(E16*Summary!$K$6)*0.001,(E16*Summary!$I$6)*0.001)</f>
        <v>0.10753673031884207</v>
      </c>
    </row>
    <row r="17" spans="1:8" x14ac:dyDescent="0.25">
      <c r="A17" s="14" t="str">
        <f>Data!A18</f>
        <v>Vehicle 8</v>
      </c>
      <c r="B17" s="14" t="str">
        <f>Data!D18</f>
        <v>West</v>
      </c>
      <c r="C17" s="25">
        <f>Data!H18</f>
        <v>205.02958679199199</v>
      </c>
      <c r="D17" s="26" t="b">
        <f t="shared" si="0"/>
        <v>1</v>
      </c>
      <c r="E17" s="25">
        <f>Data!I18</f>
        <v>12.4636373519897</v>
      </c>
      <c r="F17" s="25">
        <f>Data!J18</f>
        <v>16.450222015380898</v>
      </c>
      <c r="G17" s="25">
        <f>IF(OR($B$7="L/100 km",$B$7="km/L"),E17*Summary!$K$7,E17*Summary!$I$7)</f>
        <v>241.47961658619354</v>
      </c>
      <c r="H17" s="25">
        <f>IF(OR($B$7="L/100 km",$B$7="km/L"),(E17*Summary!$K$6)*0.001,(E17*Summary!$I$6)*0.001)</f>
        <v>0.10953331168587645</v>
      </c>
    </row>
    <row r="18" spans="1:8" x14ac:dyDescent="0.25">
      <c r="A18" s="14" t="str">
        <f>Data!A19</f>
        <v>Vehicle 9</v>
      </c>
      <c r="B18" s="14" t="str">
        <f>Data!D19</f>
        <v>West</v>
      </c>
      <c r="C18" s="25">
        <f>Data!H19</f>
        <v>0</v>
      </c>
      <c r="D18" s="26" t="b">
        <f t="shared" si="0"/>
        <v>0</v>
      </c>
      <c r="E18" s="25">
        <f>Data!I19</f>
        <v>0</v>
      </c>
      <c r="F18" s="25">
        <f>Data!J19</f>
        <v>0</v>
      </c>
      <c r="G18" s="25">
        <f>IF(OR($B$7="L/100 km",$B$7="km/L"),E18*Summary!$K$7,E18*Summary!$I$7)</f>
        <v>0</v>
      </c>
      <c r="H18" s="25">
        <f>IF(OR($B$7="L/100 km",$B$7="km/L"),(E18*Summary!$K$6)*0.001,(E18*Summary!$I$6)*0.001)</f>
        <v>0</v>
      </c>
    </row>
    <row r="26" spans="1:8" x14ac:dyDescent="0.25">
      <c r="G26" s="2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51"/>
  <sheetViews>
    <sheetView workbookViewId="0"/>
  </sheetViews>
  <sheetFormatPr defaultRowHeight="12.75" x14ac:dyDescent="0.2"/>
  <cols>
    <col min="1" max="1" width="30" customWidth="1"/>
    <col min="2" max="2" width="34" bestFit="1" customWidth="1"/>
    <col min="3" max="3" width="38" bestFit="1" customWidth="1"/>
    <col min="4" max="4" width="33.85546875" bestFit="1" customWidth="1"/>
    <col min="5" max="5" width="38" bestFit="1" customWidth="1"/>
  </cols>
  <sheetData>
    <row r="1" spans="1:5" s="16" customFormat="1" x14ac:dyDescent="0.2">
      <c r="A1" s="16" t="s">
        <v>20</v>
      </c>
      <c r="B1" s="16" t="s">
        <v>21</v>
      </c>
      <c r="C1" s="16" t="s">
        <v>22</v>
      </c>
      <c r="D1" s="16" t="s">
        <v>23</v>
      </c>
      <c r="E1" s="16" t="s">
        <v>24</v>
      </c>
    </row>
    <row r="2" spans="1:5" x14ac:dyDescent="0.2">
      <c r="A2" t="s">
        <v>25</v>
      </c>
      <c r="B2" t="s">
        <v>39</v>
      </c>
      <c r="C2" t="s">
        <v>40</v>
      </c>
      <c r="D2" t="s">
        <v>41</v>
      </c>
      <c r="E2" t="s">
        <v>42</v>
      </c>
    </row>
    <row r="3" spans="1:5" x14ac:dyDescent="0.2">
      <c r="A3" t="s">
        <v>26</v>
      </c>
      <c r="B3" t="s">
        <v>43</v>
      </c>
      <c r="C3" t="s">
        <v>44</v>
      </c>
      <c r="D3" t="s">
        <v>45</v>
      </c>
      <c r="E3" t="s">
        <v>46</v>
      </c>
    </row>
    <row r="4" spans="1:5" x14ac:dyDescent="0.2">
      <c r="A4" t="s">
        <v>27</v>
      </c>
      <c r="B4" t="s">
        <v>47</v>
      </c>
      <c r="C4" t="s">
        <v>48</v>
      </c>
      <c r="D4" t="s">
        <v>49</v>
      </c>
      <c r="E4" t="s">
        <v>50</v>
      </c>
    </row>
    <row r="5" spans="1:5" x14ac:dyDescent="0.2">
      <c r="A5" t="s">
        <v>28</v>
      </c>
      <c r="B5" t="s">
        <v>51</v>
      </c>
      <c r="C5" t="s">
        <v>52</v>
      </c>
      <c r="D5" t="s">
        <v>53</v>
      </c>
      <c r="E5" t="s">
        <v>54</v>
      </c>
    </row>
    <row r="6" spans="1:5" x14ac:dyDescent="0.2">
      <c r="A6" t="s">
        <v>29</v>
      </c>
      <c r="B6" t="s">
        <v>55</v>
      </c>
      <c r="C6" t="s">
        <v>56</v>
      </c>
      <c r="D6" t="s">
        <v>57</v>
      </c>
      <c r="E6" t="s">
        <v>58</v>
      </c>
    </row>
    <row r="7" spans="1:5" x14ac:dyDescent="0.2">
      <c r="A7" t="s">
        <v>30</v>
      </c>
      <c r="B7" t="s">
        <v>15</v>
      </c>
      <c r="C7" t="s">
        <v>59</v>
      </c>
      <c r="D7" t="s">
        <v>60</v>
      </c>
      <c r="E7" t="s">
        <v>61</v>
      </c>
    </row>
    <row r="8" spans="1:5" x14ac:dyDescent="0.2">
      <c r="A8" t="s">
        <v>31</v>
      </c>
      <c r="B8" t="s">
        <v>62</v>
      </c>
      <c r="C8" t="s">
        <v>63</v>
      </c>
      <c r="D8" t="s">
        <v>64</v>
      </c>
      <c r="E8" t="s">
        <v>65</v>
      </c>
    </row>
    <row r="9" spans="1:5" x14ac:dyDescent="0.2">
      <c r="A9" t="s">
        <v>32</v>
      </c>
      <c r="B9" t="s">
        <v>66</v>
      </c>
      <c r="C9" t="s">
        <v>67</v>
      </c>
      <c r="D9" t="s">
        <v>68</v>
      </c>
      <c r="E9" t="s">
        <v>69</v>
      </c>
    </row>
    <row r="10" spans="1:5" x14ac:dyDescent="0.2">
      <c r="A10" t="s">
        <v>33</v>
      </c>
      <c r="B10" t="s">
        <v>70</v>
      </c>
      <c r="C10" t="s">
        <v>71</v>
      </c>
      <c r="D10" t="s">
        <v>72</v>
      </c>
      <c r="E10" t="s">
        <v>73</v>
      </c>
    </row>
    <row r="11" spans="1:5" x14ac:dyDescent="0.2">
      <c r="A11" t="s">
        <v>34</v>
      </c>
      <c r="B11" t="s">
        <v>74</v>
      </c>
      <c r="C11" t="s">
        <v>75</v>
      </c>
      <c r="D11" t="s">
        <v>76</v>
      </c>
      <c r="E11" t="s">
        <v>77</v>
      </c>
    </row>
    <row r="12" spans="1:5" x14ac:dyDescent="0.2">
      <c r="A12" t="s">
        <v>35</v>
      </c>
      <c r="B12" t="s">
        <v>78</v>
      </c>
      <c r="C12" t="s">
        <v>79</v>
      </c>
      <c r="D12" t="s">
        <v>80</v>
      </c>
      <c r="E12" t="s">
        <v>81</v>
      </c>
    </row>
    <row r="13" spans="1:5" x14ac:dyDescent="0.2">
      <c r="A13" t="s">
        <v>36</v>
      </c>
      <c r="B13" t="s">
        <v>82</v>
      </c>
      <c r="C13" t="s">
        <v>83</v>
      </c>
      <c r="D13" t="s">
        <v>84</v>
      </c>
      <c r="E13" t="s">
        <v>85</v>
      </c>
    </row>
    <row r="14" spans="1:5" x14ac:dyDescent="0.2">
      <c r="A14" t="s">
        <v>37</v>
      </c>
      <c r="B14" t="s">
        <v>86</v>
      </c>
      <c r="C14" t="s">
        <v>87</v>
      </c>
      <c r="D14" t="s">
        <v>88</v>
      </c>
      <c r="E14" t="s">
        <v>89</v>
      </c>
    </row>
    <row r="15" spans="1:5" x14ac:dyDescent="0.2">
      <c r="A15" t="s">
        <v>38</v>
      </c>
      <c r="B15" t="s">
        <v>90</v>
      </c>
      <c r="C15" t="s">
        <v>91</v>
      </c>
      <c r="D15" t="s">
        <v>92</v>
      </c>
      <c r="E15" t="s">
        <v>93</v>
      </c>
    </row>
    <row r="16" spans="1:5" x14ac:dyDescent="0.2">
      <c r="A16" t="s">
        <v>129</v>
      </c>
      <c r="B16" t="s">
        <v>139</v>
      </c>
      <c r="C16" t="s">
        <v>202</v>
      </c>
      <c r="D16" t="s">
        <v>138</v>
      </c>
      <c r="E16" t="s">
        <v>203</v>
      </c>
    </row>
    <row r="17" spans="1:5" x14ac:dyDescent="0.2">
      <c r="A17" t="s">
        <v>130</v>
      </c>
      <c r="B17" t="s">
        <v>205</v>
      </c>
      <c r="C17" t="s">
        <v>206</v>
      </c>
      <c r="D17" t="s">
        <v>204</v>
      </c>
      <c r="E17" t="s">
        <v>207</v>
      </c>
    </row>
    <row r="18" spans="1:5" x14ac:dyDescent="0.2">
      <c r="A18" t="s">
        <v>128</v>
      </c>
      <c r="B18" t="s">
        <v>140</v>
      </c>
      <c r="C18" t="s">
        <v>141</v>
      </c>
      <c r="D18" t="s">
        <v>208</v>
      </c>
      <c r="E18" t="s">
        <v>209</v>
      </c>
    </row>
    <row r="19" spans="1:5" x14ac:dyDescent="0.2">
      <c r="A19" t="s">
        <v>159</v>
      </c>
      <c r="B19" t="s">
        <v>94</v>
      </c>
      <c r="C19" t="s">
        <v>161</v>
      </c>
      <c r="D19" t="s">
        <v>160</v>
      </c>
      <c r="E19" t="s">
        <v>137</v>
      </c>
    </row>
    <row r="20" spans="1:5" x14ac:dyDescent="0.2">
      <c r="A20" t="s">
        <v>131</v>
      </c>
      <c r="B20" t="s">
        <v>96</v>
      </c>
      <c r="C20" t="s">
        <v>135</v>
      </c>
      <c r="D20" t="s">
        <v>136</v>
      </c>
      <c r="E20" t="s">
        <v>137</v>
      </c>
    </row>
    <row r="21" spans="1:5" x14ac:dyDescent="0.2">
      <c r="A21" t="s">
        <v>132</v>
      </c>
      <c r="B21" t="s">
        <v>97</v>
      </c>
      <c r="C21" t="s">
        <v>171</v>
      </c>
      <c r="D21" t="s">
        <v>176</v>
      </c>
      <c r="E21" t="s">
        <v>181</v>
      </c>
    </row>
    <row r="22" spans="1:5" x14ac:dyDescent="0.2">
      <c r="A22" t="s">
        <v>133</v>
      </c>
      <c r="B22" t="s">
        <v>210</v>
      </c>
      <c r="C22" t="s">
        <v>187</v>
      </c>
      <c r="D22" t="s">
        <v>186</v>
      </c>
      <c r="E22" t="s">
        <v>184</v>
      </c>
    </row>
    <row r="23" spans="1:5" x14ac:dyDescent="0.2">
      <c r="A23" t="s">
        <v>134</v>
      </c>
      <c r="B23" t="s">
        <v>116</v>
      </c>
      <c r="C23" t="s">
        <v>211</v>
      </c>
      <c r="D23" t="s">
        <v>116</v>
      </c>
      <c r="E23" t="s">
        <v>185</v>
      </c>
    </row>
    <row r="24" spans="1:5" x14ac:dyDescent="0.2">
      <c r="A24" t="s">
        <v>162</v>
      </c>
      <c r="B24" t="s">
        <v>168</v>
      </c>
      <c r="C24" t="s">
        <v>172</v>
      </c>
      <c r="D24" t="s">
        <v>177</v>
      </c>
      <c r="E24" t="s">
        <v>182</v>
      </c>
    </row>
    <row r="25" spans="1:5" x14ac:dyDescent="0.2">
      <c r="A25" t="s">
        <v>163</v>
      </c>
      <c r="B25" t="s">
        <v>100</v>
      </c>
      <c r="C25" t="s">
        <v>173</v>
      </c>
      <c r="D25" t="s">
        <v>176</v>
      </c>
      <c r="E25" t="s">
        <v>181</v>
      </c>
    </row>
    <row r="26" spans="1:5" x14ac:dyDescent="0.2">
      <c r="A26" t="s">
        <v>165</v>
      </c>
      <c r="B26" t="s">
        <v>95</v>
      </c>
      <c r="C26" t="s">
        <v>174</v>
      </c>
      <c r="D26" t="s">
        <v>178</v>
      </c>
      <c r="E26" t="s">
        <v>212</v>
      </c>
    </row>
    <row r="27" spans="1:5" x14ac:dyDescent="0.2">
      <c r="A27" t="s">
        <v>245</v>
      </c>
      <c r="B27" t="s">
        <v>246</v>
      </c>
      <c r="C27" t="s">
        <v>247</v>
      </c>
      <c r="D27" t="s">
        <v>248</v>
      </c>
      <c r="E27" t="s">
        <v>249</v>
      </c>
    </row>
    <row r="28" spans="1:5" x14ac:dyDescent="0.2">
      <c r="A28" t="s">
        <v>164</v>
      </c>
      <c r="B28" t="s">
        <v>99</v>
      </c>
      <c r="C28" t="s">
        <v>175</v>
      </c>
      <c r="D28" t="s">
        <v>213</v>
      </c>
      <c r="E28" t="s">
        <v>214</v>
      </c>
    </row>
    <row r="29" spans="1:5" x14ac:dyDescent="0.2">
      <c r="A29" t="s">
        <v>167</v>
      </c>
      <c r="B29" t="s">
        <v>170</v>
      </c>
      <c r="C29" t="s">
        <v>215</v>
      </c>
      <c r="D29" t="s">
        <v>179</v>
      </c>
      <c r="E29" t="s">
        <v>216</v>
      </c>
    </row>
    <row r="30" spans="1:5" x14ac:dyDescent="0.2">
      <c r="A30" t="s">
        <v>166</v>
      </c>
      <c r="B30" t="s">
        <v>169</v>
      </c>
      <c r="C30" t="s">
        <v>217</v>
      </c>
      <c r="D30" t="s">
        <v>180</v>
      </c>
      <c r="E30" t="s">
        <v>183</v>
      </c>
    </row>
    <row r="31" spans="1:5" x14ac:dyDescent="0.2">
      <c r="A31" t="s">
        <v>143</v>
      </c>
      <c r="B31" t="s">
        <v>142</v>
      </c>
      <c r="C31" t="s">
        <v>147</v>
      </c>
      <c r="D31" t="s">
        <v>146</v>
      </c>
      <c r="E31" t="s">
        <v>145</v>
      </c>
    </row>
    <row r="32" spans="1:5" x14ac:dyDescent="0.2">
      <c r="A32" t="s">
        <v>144</v>
      </c>
      <c r="B32" t="s">
        <v>148</v>
      </c>
      <c r="C32" t="s">
        <v>219</v>
      </c>
      <c r="D32" t="s">
        <v>218</v>
      </c>
      <c r="E32" t="s">
        <v>220</v>
      </c>
    </row>
    <row r="33" spans="1:5" x14ac:dyDescent="0.2">
      <c r="A33" t="s">
        <v>149</v>
      </c>
      <c r="B33" t="s">
        <v>222</v>
      </c>
      <c r="C33" t="s">
        <v>223</v>
      </c>
      <c r="D33" t="s">
        <v>221</v>
      </c>
      <c r="E33" t="s">
        <v>224</v>
      </c>
    </row>
    <row r="34" spans="1:5" x14ac:dyDescent="0.2">
      <c r="A34" t="s">
        <v>150</v>
      </c>
      <c r="B34" t="s">
        <v>226</v>
      </c>
      <c r="C34" t="s">
        <v>227</v>
      </c>
      <c r="D34" t="s">
        <v>225</v>
      </c>
      <c r="E34" t="s">
        <v>228</v>
      </c>
    </row>
    <row r="35" spans="1:5" x14ac:dyDescent="0.2">
      <c r="A35" t="s">
        <v>151</v>
      </c>
      <c r="B35" t="s">
        <v>157</v>
      </c>
      <c r="C35" t="s">
        <v>230</v>
      </c>
      <c r="D35" t="s">
        <v>229</v>
      </c>
      <c r="E35" t="s">
        <v>231</v>
      </c>
    </row>
    <row r="36" spans="1:5" x14ac:dyDescent="0.2">
      <c r="A36" t="s">
        <v>152</v>
      </c>
      <c r="B36" t="s">
        <v>233</v>
      </c>
      <c r="C36" t="s">
        <v>234</v>
      </c>
      <c r="D36" t="s">
        <v>232</v>
      </c>
      <c r="E36" t="s">
        <v>235</v>
      </c>
    </row>
    <row r="37" spans="1:5" x14ac:dyDescent="0.2">
      <c r="A37" t="s">
        <v>153</v>
      </c>
      <c r="B37" t="s">
        <v>156</v>
      </c>
      <c r="C37" t="s">
        <v>237</v>
      </c>
      <c r="D37" t="s">
        <v>236</v>
      </c>
      <c r="E37" t="s">
        <v>238</v>
      </c>
    </row>
    <row r="38" spans="1:5" x14ac:dyDescent="0.2">
      <c r="A38" t="s">
        <v>154</v>
      </c>
      <c r="B38" t="s">
        <v>155</v>
      </c>
      <c r="C38" t="s">
        <v>239</v>
      </c>
      <c r="D38" t="s">
        <v>158</v>
      </c>
      <c r="E38" t="s">
        <v>240</v>
      </c>
    </row>
    <row r="39" spans="1:5" x14ac:dyDescent="0.2">
      <c r="A39" t="s">
        <v>188</v>
      </c>
      <c r="B39" t="s">
        <v>242</v>
      </c>
      <c r="C39" t="s">
        <v>243</v>
      </c>
      <c r="D39" t="s">
        <v>241</v>
      </c>
      <c r="E39" t="s">
        <v>244</v>
      </c>
    </row>
    <row r="40" spans="1:5" x14ac:dyDescent="0.2">
      <c r="A40" t="s">
        <v>192</v>
      </c>
      <c r="B40" t="s">
        <v>196</v>
      </c>
      <c r="C40" t="s">
        <v>195</v>
      </c>
      <c r="D40" t="s">
        <v>194</v>
      </c>
      <c r="E40" t="s">
        <v>197</v>
      </c>
    </row>
    <row r="41" spans="1:5" ht="12.75" customHeight="1" x14ac:dyDescent="0.2">
      <c r="A41" s="46" t="s">
        <v>193</v>
      </c>
      <c r="B41" s="46" t="s">
        <v>200</v>
      </c>
      <c r="C41" s="46" t="s">
        <v>199</v>
      </c>
      <c r="D41" s="46" t="s">
        <v>198</v>
      </c>
      <c r="E41" s="46" t="s">
        <v>201</v>
      </c>
    </row>
    <row r="42" spans="1:5" x14ac:dyDescent="0.2">
      <c r="A42" s="46"/>
      <c r="B42" s="46"/>
      <c r="C42" s="46"/>
      <c r="D42" s="46"/>
      <c r="E42" s="46"/>
    </row>
    <row r="43" spans="1:5" x14ac:dyDescent="0.2">
      <c r="A43" s="46"/>
      <c r="B43" s="46"/>
      <c r="C43" s="46"/>
      <c r="D43" s="46"/>
      <c r="E43" s="46"/>
    </row>
    <row r="44" spans="1:5" x14ac:dyDescent="0.2">
      <c r="A44" s="46"/>
      <c r="B44" s="46"/>
      <c r="C44" s="46"/>
      <c r="D44" s="46"/>
      <c r="E44" s="46"/>
    </row>
    <row r="45" spans="1:5" x14ac:dyDescent="0.2">
      <c r="A45" s="46"/>
      <c r="B45" s="46"/>
      <c r="C45" s="46"/>
      <c r="D45" s="46"/>
      <c r="E45" s="46"/>
    </row>
    <row r="46" spans="1:5" x14ac:dyDescent="0.2">
      <c r="A46" s="46"/>
      <c r="B46" s="46"/>
      <c r="C46" s="46"/>
      <c r="D46" s="46"/>
      <c r="E46" s="46"/>
    </row>
    <row r="47" spans="1:5" x14ac:dyDescent="0.2">
      <c r="A47" s="46"/>
      <c r="B47" s="46"/>
      <c r="C47" s="46"/>
      <c r="D47" s="46"/>
      <c r="E47" s="46"/>
    </row>
    <row r="48" spans="1:5" x14ac:dyDescent="0.2">
      <c r="A48" s="46"/>
      <c r="B48" s="46"/>
      <c r="C48" s="46"/>
      <c r="D48" s="46"/>
      <c r="E48" s="46"/>
    </row>
    <row r="49" spans="1:5" x14ac:dyDescent="0.2">
      <c r="A49" s="46"/>
      <c r="B49" s="46"/>
      <c r="C49" s="46"/>
      <c r="D49" s="46"/>
      <c r="E49" s="46"/>
    </row>
    <row r="50" spans="1:5" x14ac:dyDescent="0.2">
      <c r="A50" s="46"/>
      <c r="B50" s="46"/>
      <c r="C50" s="46"/>
      <c r="D50" s="46"/>
      <c r="E50" s="46"/>
    </row>
    <row r="51" spans="1:5" x14ac:dyDescent="0.2">
      <c r="A51" s="46"/>
      <c r="B51" s="46"/>
      <c r="C51" s="46"/>
      <c r="D51" s="46"/>
      <c r="E51" s="46"/>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Data</vt:lpstr>
      <vt:lpstr>Summary</vt:lpstr>
      <vt:lpstr>Report</vt:lpstr>
      <vt:lpstr>Languages</vt:lpstr>
      <vt:lpstr>Report!_FilterDatabase</vt:lpstr>
      <vt:lpstr>AllData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dc:creator>
  <cp:lastModifiedBy>Jason Widla</cp:lastModifiedBy>
  <dcterms:created xsi:type="dcterms:W3CDTF">2009-10-09T14:28:57Z</dcterms:created>
  <dcterms:modified xsi:type="dcterms:W3CDTF">2016-06-17T20:39:57Z</dcterms:modified>
</cp:coreProperties>
</file>