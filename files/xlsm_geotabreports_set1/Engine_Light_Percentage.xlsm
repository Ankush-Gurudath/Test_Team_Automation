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hidePivotFieldList="1"/>
  <mc:AlternateContent xmlns:mc="http://schemas.openxmlformats.org/markup-compatibility/2006">
    <mc:Choice Requires="x15">
      <x15ac:absPath xmlns:x15ac="http://schemas.microsoft.com/office/spreadsheetml/2010/11/ac" url="C:\Users\angiemilne\Google Drive\MARKETPLACE\Custom Reports\Engine Light Percentage\Download File\"/>
    </mc:Choice>
  </mc:AlternateContent>
  <bookViews>
    <workbookView xWindow="0" yWindow="0" windowWidth="13575" windowHeight="7350" firstSheet="1" activeTab="2"/>
  </bookViews>
  <sheets>
    <sheet name="Data" sheetId="1" state="hidden" r:id="rId1"/>
    <sheet name="Report" sheetId="2" r:id="rId2"/>
    <sheet name="Summary" sheetId="3" r:id="rId3"/>
  </sheets>
  <definedNames>
    <definedName name="_xlnm._FilterDatabase" localSheetId="1" hidden="1">Report!$A$5:$G$41</definedName>
    <definedName name="AllData">Report!$A$5:$G$41</definedName>
  </definedNames>
  <calcPr calcId="152511"/>
  <pivotCaches>
    <pivotCache cacheId="3" r:id="rId4"/>
  </pivotCaches>
</workbook>
</file>

<file path=xl/calcChain.xml><?xml version="1.0" encoding="utf-8"?>
<calcChain xmlns="http://schemas.openxmlformats.org/spreadsheetml/2006/main">
  <c r="G7" i="2" l="1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D6" i="2"/>
  <c r="C6" i="2"/>
  <c r="E6" i="2"/>
  <c r="C1" i="2"/>
  <c r="C2" i="2"/>
  <c r="C3" i="2"/>
  <c r="A6" i="2"/>
  <c r="B6" i="2"/>
  <c r="A7" i="2"/>
  <c r="B7" i="2"/>
  <c r="A8" i="2"/>
  <c r="B8" i="2"/>
  <c r="A9" i="2"/>
  <c r="B9" i="2"/>
  <c r="A10" i="2"/>
  <c r="B10" i="2"/>
  <c r="A11" i="2"/>
  <c r="B11" i="2"/>
  <c r="A12" i="2"/>
  <c r="B12" i="2"/>
  <c r="A13" i="2"/>
  <c r="B13" i="2"/>
  <c r="A14" i="2"/>
  <c r="B14" i="2"/>
  <c r="A15" i="2"/>
  <c r="B15" i="2"/>
  <c r="A16" i="2"/>
  <c r="B16" i="2"/>
  <c r="A17" i="2"/>
  <c r="B17" i="2"/>
  <c r="A18" i="2"/>
  <c r="B18" i="2"/>
  <c r="A19" i="2"/>
  <c r="B19" i="2"/>
  <c r="A20" i="2"/>
  <c r="B20" i="2"/>
  <c r="A21" i="2"/>
  <c r="B21" i="2"/>
  <c r="A22" i="2"/>
  <c r="B22" i="2"/>
  <c r="A23" i="2"/>
  <c r="B23" i="2"/>
  <c r="A24" i="2"/>
  <c r="B24" i="2"/>
  <c r="A25" i="2"/>
  <c r="B25" i="2"/>
  <c r="A26" i="2"/>
  <c r="B26" i="2"/>
  <c r="A27" i="2"/>
  <c r="B27" i="2"/>
  <c r="A28" i="2"/>
  <c r="B28" i="2"/>
  <c r="A29" i="2"/>
  <c r="B29" i="2"/>
  <c r="A30" i="2"/>
  <c r="B30" i="2"/>
  <c r="A31" i="2"/>
  <c r="B31" i="2"/>
  <c r="A32" i="2"/>
  <c r="B32" i="2"/>
  <c r="A33" i="2"/>
  <c r="B33" i="2"/>
  <c r="A34" i="2"/>
  <c r="B34" i="2"/>
  <c r="A35" i="2"/>
  <c r="B35" i="2"/>
  <c r="A36" i="2"/>
  <c r="B36" i="2"/>
  <c r="A37" i="2"/>
  <c r="B37" i="2"/>
  <c r="A38" i="2"/>
  <c r="B38" i="2"/>
  <c r="A39" i="2"/>
  <c r="B39" i="2"/>
  <c r="A40" i="2"/>
  <c r="B40" i="2"/>
  <c r="A41" i="2"/>
  <c r="B41" i="2"/>
  <c r="B3" i="3"/>
  <c r="B4" i="3"/>
  <c r="F6" i="2"/>
  <c r="G6" i="2"/>
</calcChain>
</file>

<file path=xl/comments1.xml><?xml version="1.0" encoding="utf-8"?>
<comments xmlns="http://schemas.openxmlformats.org/spreadsheetml/2006/main">
  <authors>
    <author>Thomas</author>
  </authors>
  <commentList>
    <comment ref="A1" authorId="0" shapeId="0">
      <text>
        <r>
          <rPr>
            <sz val="10"/>
            <rFont val="Arial"/>
            <family val="2"/>
          </rPr>
          <t>EngineFault.10</t>
        </r>
      </text>
    </comment>
  </commentList>
</comments>
</file>

<file path=xl/sharedStrings.xml><?xml version="1.0" encoding="utf-8"?>
<sst xmlns="http://schemas.openxmlformats.org/spreadsheetml/2006/main" count="602" uniqueCount="73">
  <si>
    <t/>
  </si>
  <si>
    <t>FaultDataDateTime</t>
  </si>
  <si>
    <t>FaultDataFaultState</t>
  </si>
  <si>
    <t>FaultDataCount</t>
  </si>
  <si>
    <t>FaultDataDismissDateTime</t>
  </si>
  <si>
    <t>Device Group</t>
  </si>
  <si>
    <t>Active</t>
  </si>
  <si>
    <t>.Diagnostic.DiagnosticName</t>
  </si>
  <si>
    <t>.Diagnostic.DiagnosticCode</t>
  </si>
  <si>
    <t>.FailureMode.FailureModeName</t>
  </si>
  <si>
    <t>.FailureMode.FailureModeId</t>
  </si>
  <si>
    <t>.FailureMode.FailureModeCode</t>
  </si>
  <si>
    <t>.Diagnostic.Source.SourceName</t>
  </si>
  <si>
    <t>.Diagnostic.Source.SourceId</t>
  </si>
  <si>
    <t>.Controller.ControllerName</t>
  </si>
  <si>
    <t>.Controller.ControllerId</t>
  </si>
  <si>
    <t>.Controller.ControllerCode</t>
  </si>
  <si>
    <t>.DismissUser.UserName</t>
  </si>
  <si>
    <t>.DismissUser.UserId</t>
  </si>
  <si>
    <t>.DismissUser.UserComment</t>
  </si>
  <si>
    <t>.FlashCode.FlashCodeName</t>
  </si>
  <si>
    <t>.FlashCode.FlashCodeId</t>
  </si>
  <si>
    <t>.FlashCode.FlashCodeCircuitIndex</t>
  </si>
  <si>
    <t>.FlashCode.FlashCodeFlashCodeIndex</t>
  </si>
  <si>
    <t>.FloashCode.FlashCodePriorityLevel</t>
  </si>
  <si>
    <t>.FlashCode.FlashCodeHelpUrl</t>
  </si>
  <si>
    <t>.FlashCode.FlashCodePageReference</t>
  </si>
  <si>
    <t>.FlashCode.FaultDataAmberWarningLamp</t>
  </si>
  <si>
    <t>.FlashCode.FaultDataRedStopLamp</t>
  </si>
  <si>
    <t>.FlashCode.FaultDataMalfunctionLamp</t>
  </si>
  <si>
    <t>.FlashCode.FaultDataProtectWarningLamp</t>
  </si>
  <si>
    <t>.Diagnostic.DiagnosticId</t>
  </si>
  <si>
    <t>RunDate</t>
  </si>
  <si>
    <t>FromDate</t>
  </si>
  <si>
    <t>ToDate</t>
  </si>
  <si>
    <t>From</t>
  </si>
  <si>
    <t>To</t>
  </si>
  <si>
    <t>CompanyName</t>
  </si>
  <si>
    <t>SendReport</t>
  </si>
  <si>
    <t>LastModifiedUser</t>
  </si>
  <si>
    <t>.FaultDataFaultLampStatus</t>
  </si>
  <si>
    <t>.Device.DeviceName</t>
  </si>
  <si>
    <t>.Device.DeviceId</t>
  </si>
  <si>
    <t>.Device.DeviceComment</t>
  </si>
  <si>
    <t>.Device.DeviceGroup</t>
  </si>
  <si>
    <t>Created</t>
  </si>
  <si>
    <t>Vehicle</t>
  </si>
  <si>
    <t>Time</t>
  </si>
  <si>
    <t>bB35</t>
  </si>
  <si>
    <t>Entire Organization</t>
  </si>
  <si>
    <t>NoFailureModeId</t>
  </si>
  <si>
    <t>ControllerNoneId</t>
  </si>
  <si>
    <t>DiagnosticGeneralVehicleWarningLightId</t>
  </si>
  <si>
    <t>General vehicle warning light is on</t>
  </si>
  <si>
    <t>168</t>
  </si>
  <si>
    <t>Telematics Device</t>
  </si>
  <si>
    <t>SourceGeotabGoId</t>
  </si>
  <si>
    <t>NoUserId</t>
  </si>
  <si>
    <t>**&lt;No User&gt;</t>
  </si>
  <si>
    <t>bB6D</t>
  </si>
  <si>
    <t>DiagnosticLowPriorityWarningLightId</t>
  </si>
  <si>
    <t>Low priority warning light</t>
  </si>
  <si>
    <t>175</t>
  </si>
  <si>
    <t>Day</t>
  </si>
  <si>
    <t>Day Count</t>
  </si>
  <si>
    <t>Days in Month</t>
  </si>
  <si>
    <t>Percentage</t>
  </si>
  <si>
    <t>Percentage of Days</t>
  </si>
  <si>
    <t>Engine Light Report</t>
  </si>
  <si>
    <t>Vehicle 23759</t>
  </si>
  <si>
    <t>Vehicle 56745</t>
  </si>
  <si>
    <t>System</t>
  </si>
  <si>
    <t>Fleet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</si>
</sst>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d/mm/yyyy\ h:mm:ss\ AM/PM"/>
    <numFmt numFmtId="165" formatCode="mmm\ dd\,\ yyyy"/>
    <numFmt numFmtId="166" formatCode="mmm\ dd\,\ yyyy\ h:mm:ss\ AM/PM"/>
  </numFmts>
  <fonts count="17" x14ac:knownFonts="1">
    <font>
      <sz val="10"/>
      <name val="Arial"/>
      <family val="2"/>
    </font>
    <font>
      <b/>
      <sz val="7"/>
      <color indexed="8"/>
      <name val="Tahoma"/>
      <family val="2"/>
    </font>
    <font>
      <sz val="10"/>
      <name val="Arial"/>
      <family val="2"/>
    </font>
    <font>
      <sz val="8"/>
      <color indexed="8"/>
      <name val="Tahoma"/>
      <family val="2"/>
    </font>
    <font>
      <sz val="11"/>
      <name val="Segoe U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8"/>
      <color theme="1"/>
      <name val="Tahoma"/>
      <family val="2"/>
    </font>
    <font>
      <sz val="11"/>
      <color theme="3"/>
      <name val="Segoe UI"/>
      <family val="2"/>
    </font>
    <font>
      <sz val="11"/>
      <color theme="1"/>
      <name val="Segoe UI"/>
      <family val="2"/>
    </font>
    <font>
      <sz val="11"/>
      <color theme="0" tint="-0.34998626667073579"/>
      <name val="Segoe UI"/>
      <family val="2"/>
    </font>
    <font>
      <sz val="12"/>
      <color theme="0" tint="-0.34998626667073579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8"/>
      </bottom>
      <diagonal/>
    </border>
  </borders>
  <cellStyleXfs count="21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0" fontId="7" fillId="10" borderId="0" applyNumberFormat="0"/>
    <xf numFmtId="0" fontId="5" fillId="0" borderId="0"/>
    <xf numFmtId="9" fontId="2" fillId="0" borderId="0" applyFont="0" applyFill="0" applyBorder="0" applyAlignment="0" applyProtection="0"/>
    <xf numFmtId="0" fontId="8" fillId="0" borderId="0" applyNumberFormat="0" applyAlignment="0"/>
    <xf numFmtId="0" fontId="9" fillId="10" borderId="0" applyNumberFormat="0"/>
    <xf numFmtId="165" fontId="5" fillId="10" borderId="0"/>
    <xf numFmtId="0" fontId="10" fillId="0" borderId="0" applyNumberFormat="0"/>
    <xf numFmtId="0" fontId="11" fillId="0" borderId="0" applyNumberFormat="0"/>
  </cellStyleXfs>
  <cellXfs count="22">
    <xf numFmtId="0" fontId="0" fillId="0" borderId="0" xfId="0"/>
    <xf numFmtId="0" fontId="1" fillId="9" borderId="1" xfId="0" applyFont="1" applyFill="1" applyBorder="1" applyAlignment="1">
      <alignment horizontal="center" wrapText="1"/>
    </xf>
    <xf numFmtId="0" fontId="1" fillId="9" borderId="0" xfId="0" applyFont="1" applyFill="1" applyBorder="1" applyAlignment="1">
      <alignment horizontal="center" wrapText="1"/>
    </xf>
    <xf numFmtId="0" fontId="3" fillId="0" borderId="0" xfId="0" applyFont="1" applyAlignment="1">
      <alignment horizontal="left"/>
    </xf>
    <xf numFmtId="164" fontId="3" fillId="0" borderId="0" xfId="0" applyNumberFormat="1" applyFont="1" applyAlignment="1">
      <alignment horizontal="left"/>
    </xf>
    <xf numFmtId="0" fontId="12" fillId="0" borderId="0" xfId="0" applyFont="1"/>
    <xf numFmtId="0" fontId="7" fillId="10" borderId="0" xfId="13"/>
    <xf numFmtId="165" fontId="5" fillId="10" borderId="0" xfId="18"/>
    <xf numFmtId="0" fontId="10" fillId="0" borderId="0" xfId="19"/>
    <xf numFmtId="165" fontId="8" fillId="0" borderId="0" xfId="16" applyNumberFormat="1" applyAlignment="1">
      <alignment horizontal="left"/>
    </xf>
    <xf numFmtId="0" fontId="0" fillId="0" borderId="0" xfId="0" pivotButton="1"/>
    <xf numFmtId="0" fontId="4" fillId="0" borderId="0" xfId="0" applyFont="1"/>
    <xf numFmtId="0" fontId="13" fillId="0" borderId="0" xfId="16" applyFont="1"/>
    <xf numFmtId="0" fontId="14" fillId="0" borderId="0" xfId="0" applyFont="1"/>
    <xf numFmtId="165" fontId="13" fillId="0" borderId="0" xfId="16" applyNumberFormat="1" applyFont="1" applyAlignment="1">
      <alignment horizontal="left"/>
    </xf>
    <xf numFmtId="0" fontId="15" fillId="0" borderId="0" xfId="16" applyFont="1" applyAlignment="1">
      <alignment horizontal="right"/>
    </xf>
    <xf numFmtId="0" fontId="16" fillId="0" borderId="0" xfId="16" applyFont="1"/>
    <xf numFmtId="19" fontId="13" fillId="0" borderId="0" xfId="16" applyNumberFormat="1" applyFont="1" applyAlignment="1">
      <alignment horizontal="left"/>
    </xf>
    <xf numFmtId="1" fontId="13" fillId="0" borderId="0" xfId="16" applyNumberFormat="1" applyFont="1" applyAlignment="1">
      <alignment horizontal="left"/>
    </xf>
    <xf numFmtId="9" fontId="0" fillId="0" borderId="0" xfId="0" applyNumberFormat="1"/>
    <xf numFmtId="9" fontId="0" fillId="0" borderId="0" xfId="15" applyFont="1"/>
    <xf numFmtId="9" fontId="13" fillId="0" borderId="0" xfId="15" applyFont="1" applyAlignment="1">
      <alignment horizontal="left"/>
    </xf>
  </cellXfs>
  <cellStyles count="21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40% - Accent3" xfId="5" builtinId="39" customBuiltin="1"/>
    <cellStyle name="60% - Accent3" xfId="6" builtinId="40" customBuiltin="1"/>
    <cellStyle name="60% - Accent4" xfId="7" builtinId="44" customBuiltin="1"/>
    <cellStyle name="60% - Accent6" xfId="8" builtinId="52" customBuiltin="1"/>
    <cellStyle name="Comma" xfId="9" builtinId="3" customBuiltin="1"/>
    <cellStyle name="Comma [0]" xfId="10" builtinId="6" customBuiltin="1"/>
    <cellStyle name="Currency" xfId="11" builtinId="4" customBuiltin="1"/>
    <cellStyle name="Currency [0]" xfId="12" builtinId="7" customBuiltin="1"/>
    <cellStyle name="Heading" xfId="13"/>
    <cellStyle name="Normal" xfId="0" builtinId="0" customBuiltin="1"/>
    <cellStyle name="Normal 2 2" xfId="14"/>
    <cellStyle name="Percent" xfId="15" builtinId="5"/>
    <cellStyle name="Report Body" xfId="16"/>
    <cellStyle name="Report Column Header" xfId="17"/>
    <cellStyle name="Report Creation DateTime" xfId="18"/>
    <cellStyle name="Report Field Name" xfId="19"/>
    <cellStyle name="Report Name" xfId="20"/>
  </cellStyles>
  <dxfs count="12">
    <dxf>
      <fill>
        <patternFill patternType="solid">
          <fgColor theme="5" tint="0.79995117038483843"/>
          <bgColor theme="0" tint="-4.9989318521683403E-2"/>
        </patternFill>
      </fill>
      <border>
        <bottom style="thin">
          <color theme="5" tint="0.39997558519241921"/>
        </bottom>
      </border>
    </dxf>
    <dxf>
      <fill>
        <patternFill patternType="solid">
          <fgColor theme="5" tint="0.79995117038483843"/>
          <bgColor theme="0" tint="-4.9989318521683403E-2"/>
        </patternFill>
      </fill>
      <border>
        <bottom style="thin">
          <color theme="5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5" tint="0.39997558519241921"/>
        </bottom>
      </border>
    </dxf>
    <dxf>
      <font>
        <color theme="1"/>
      </font>
    </dxf>
    <dxf>
      <font>
        <b/>
        <i val="0"/>
        <color theme="1"/>
      </font>
      <fill>
        <patternFill>
          <bgColor theme="0" tint="-4.9989318521683403E-2"/>
        </patternFill>
      </fill>
      <border>
        <top style="thin">
          <color theme="5"/>
        </top>
        <bottom style="thin">
          <color theme="5"/>
        </bottom>
      </border>
    </dxf>
    <dxf>
      <font>
        <color theme="1"/>
      </font>
      <fill>
        <patternFill patternType="solid">
          <fgColor theme="0" tint="-0.14993743705557422"/>
          <bgColor theme="0" tint="-4.9989318521683403E-2"/>
        </patternFill>
      </fill>
    </dxf>
    <dxf>
      <fill>
        <patternFill patternType="solid">
          <fgColor theme="0" tint="-0.14990691854609822"/>
          <bgColor theme="0" tint="-4.9989318521683403E-2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>
          <fgColor theme="8"/>
          <bgColor theme="8"/>
        </patternFill>
      </fill>
    </dxf>
    <dxf>
      <font>
        <b/>
        <i val="0"/>
        <color theme="1"/>
      </font>
      <fill>
        <patternFill patternType="solid">
          <fgColor theme="5" tint="0.79985961485641044"/>
          <bgColor theme="0" tint="-4.9989318521683403E-2"/>
        </patternFill>
      </fill>
      <border>
        <top style="thin">
          <color theme="5" tint="0.39997558519241921"/>
        </top>
      </border>
    </dxf>
    <dxf>
      <font>
        <b/>
        <i val="0"/>
        <color theme="1"/>
      </font>
      <fill>
        <patternFill patternType="solid">
          <fgColor theme="5" tint="0.79989013336588644"/>
          <bgColor theme="0" tint="-4.9989318521683403E-2"/>
        </patternFill>
      </fill>
      <border>
        <bottom style="thin">
          <color theme="5" tint="0.39997558519241921"/>
        </bottom>
      </border>
    </dxf>
    <dxf>
      <font>
        <color theme="3"/>
      </font>
    </dxf>
  </dxfs>
  <tableStyles count="1" defaultTableStyle="TableStyleMedium9" defaultPivotStyle="PivotStyleLight16">
    <tableStyle name="PivotStyleLightCustom" table="0" count="12">
      <tableStyleElement type="wholeTable" dxfId="11"/>
      <tableStyleElement type="headerRow" dxfId="10"/>
      <tableStyleElement type="totalRow" dxfId="9"/>
      <tableStyleElement type="secondRowStripe" dxfId="8"/>
      <tableStyleElement type="firstColumnStripe" dxfId="7"/>
      <tableStyleElement type="firstSubtotalColumn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[Engine Light Percentage.xlsm]Summary!PivotTable7</c:name>
    <c:fmtId val="0"/>
  </c:pivotSource>
  <c:chart>
    <c:autoTitleDeleted val="1"/>
    <c:pivotFmts>
      <c:pivotFmt>
        <c:idx val="0"/>
        <c:spPr>
          <a:solidFill>
            <a:srgbClr val="25477B"/>
          </a:solidFill>
          <a:ln w="25400">
            <a:noFill/>
          </a:ln>
        </c:spPr>
        <c:marker>
          <c:symbol val="none"/>
        </c:marker>
        <c:dLbl>
          <c:idx val="0"/>
          <c:layout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Summary!$B$6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25477B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Summary!$A$7:$A$8</c:f>
              <c:strCache>
                <c:ptCount val="2"/>
                <c:pt idx="0">
                  <c:v>Vehicle 23759</c:v>
                </c:pt>
                <c:pt idx="1">
                  <c:v>Vehicle 56745</c:v>
                </c:pt>
              </c:strCache>
            </c:strRef>
          </c:cat>
          <c:val>
            <c:numRef>
              <c:f>Summary!$B$7:$B$8</c:f>
              <c:numCache>
                <c:formatCode>0%</c:formatCode>
                <c:ptCount val="2"/>
                <c:pt idx="0">
                  <c:v>0.1290323062396716</c:v>
                </c:pt>
                <c:pt idx="1">
                  <c:v>0.1290323062396716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16041768"/>
        <c:axId val="516042552"/>
      </c:barChart>
      <c:catAx>
        <c:axId val="5160417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Vehicle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42552"/>
        <c:crosses val="autoZero"/>
        <c:auto val="0"/>
        <c:lblAlgn val="ctr"/>
        <c:lblOffset val="100"/>
        <c:noMultiLvlLbl val="0"/>
      </c:catAx>
      <c:valAx>
        <c:axId val="516042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Percentage of Days w/ Engine Light On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4176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828675</xdr:colOff>
      <xdr:row>2</xdr:row>
      <xdr:rowOff>171450</xdr:rowOff>
    </xdr:from>
    <xdr:to>
      <xdr:col>6</xdr:col>
      <xdr:colOff>180975</xdr:colOff>
      <xdr:row>19</xdr:row>
      <xdr:rowOff>114300</xdr:rowOff>
    </xdr:to>
    <xdr:graphicFrame macro="">
      <xdr:nvGraphicFramePr>
        <xdr:cNvPr id="205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826770</xdr:colOff>
      <xdr:row>2</xdr:row>
      <xdr:rowOff>30480</xdr:rowOff>
    </xdr:from>
    <xdr:to>
      <xdr:col>10</xdr:col>
      <xdr:colOff>565803</xdr:colOff>
      <xdr:row>22</xdr:row>
      <xdr:rowOff>114301</xdr:rowOff>
    </xdr:to>
    <xdr:sp macro="" textlink="">
      <xdr:nvSpPr>
        <xdr:cNvPr id="3" name="TextBox 2"/>
        <xdr:cNvSpPr txBox="1"/>
      </xdr:nvSpPr>
      <xdr:spPr>
        <a:xfrm>
          <a:off x="10119360" y="495300"/>
          <a:ext cx="4429118" cy="347662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0" u="none" strike="noStrike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Report Description</a:t>
          </a:r>
        </a:p>
        <a:p>
          <a:r>
            <a:rPr lang="en-US" sz="120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This report shows when a vehicle has been driven</a:t>
          </a:r>
          <a:r>
            <a:rPr lang="en-US" sz="12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with the Engine Light on</a:t>
          </a:r>
          <a:r>
            <a:rPr lang="en-US" sz="120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. The display shows the percentage of days</a:t>
          </a:r>
          <a:r>
            <a:rPr lang="en-US" sz="12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driven by vehicle. The information allows for possible maintenance issues and trends to be identified.</a:t>
          </a:r>
          <a:endParaRPr lang="en-US" sz="1200" b="0" i="0" u="none" strike="noStrike">
            <a:solidFill>
              <a:schemeClr val="tx1">
                <a:lumMod val="50000"/>
                <a:lumOff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endParaRPr lang="en-US" sz="1200" b="0" i="0" u="none" strike="noStrike">
            <a:solidFill>
              <a:schemeClr val="tx1">
                <a:lumMod val="50000"/>
                <a:lumOff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The report includes a bar graph with the percentage days driven with the</a:t>
          </a:r>
          <a:r>
            <a:rPr lang="en-US" sz="12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Engine Light on for the selected timeframe</a:t>
          </a:r>
          <a:r>
            <a:rPr lang="en-US" sz="120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. </a:t>
          </a:r>
          <a:endParaRPr lang="en-US" sz="12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ngie Milne" refreshedDate="42251.417527777776" createdVersion="4" refreshedVersion="5" minRefreshableVersion="3" recordCount="36">
  <cacheSource type="worksheet">
    <worksheetSource name="AllData"/>
  </cacheSource>
  <cacheFields count="7">
    <cacheField name="Vehicle" numFmtId="0">
      <sharedItems count="19">
        <s v="Vehicle 23759"/>
        <s v="Vehicle 56745"/>
        <s v="BM Go7" u="1"/>
        <s v="PC Suzuki GO7" u="1"/>
        <s v="RD" u="1"/>
        <s v="BC Merc G7" u="1"/>
        <s v="Dom Suzuki SX4" u="1"/>
        <s v="JG Go7" u="1"/>
        <s v="EG Nissan Sentra 2007" u="1"/>
        <s v="G07 GPKSpec" u="1"/>
        <s v="UPS Vario remote scantool" u="1"/>
        <s v="AS GO7 Mobileye" u="1"/>
        <s v="HC's Car" u="1"/>
        <s v="HS Pontiac" u="1"/>
        <s v="Dom RSX" u="1"/>
        <s v="MM GO6 - Equinox" u="1"/>
        <s v="DB GO7 (Mini Cooper S)" u="1"/>
        <s v="HS Nissan" u="1"/>
        <s v="RS GO7" u="1"/>
      </sharedItems>
    </cacheField>
    <cacheField name="Device Group" numFmtId="0">
      <sharedItems/>
    </cacheField>
    <cacheField name="Day" numFmtId="165">
      <sharedItems containsSemiMixedTypes="0" containsNonDate="0" containsDate="1" containsString="0" minDate="2015-01-01T00:00:00" maxDate="2015-01-06T00:00:00"/>
    </cacheField>
    <cacheField name="Time" numFmtId="19">
      <sharedItems containsSemiMixedTypes="0" containsNonDate="0" containsDate="1" containsString="0" minDate="1899-12-30T00:54:21" maxDate="1899-12-30T20:10:24"/>
    </cacheField>
    <cacheField name="Day Count" numFmtId="1">
      <sharedItems containsSemiMixedTypes="0" containsString="0" containsNumber="1" containsInteger="1" minValue="0" maxValue="1"/>
    </cacheField>
    <cacheField name="Days in Month" numFmtId="1">
      <sharedItems containsSemiMixedTypes="0" containsString="0" containsNumber="1" minValue="30.99998842592322" maxValue="30.99998842592322"/>
    </cacheField>
    <cacheField name="Percentage" numFmtId="9">
      <sharedItems containsSemiMixedTypes="0" containsString="0" containsNumber="1" minValue="0" maxValue="3.22580765599179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">
  <r>
    <x v="0"/>
    <s v="Entire Organization"/>
    <d v="2015-01-02T00:00:00"/>
    <d v="1899-12-30T18:23:55"/>
    <n v="1"/>
    <n v="30.99998842592322"/>
    <n v="3.22580765599179E-2"/>
  </r>
  <r>
    <x v="0"/>
    <s v="Entire Organization"/>
    <d v="2015-01-02T00:00:00"/>
    <d v="1899-12-30T19:06:50"/>
    <n v="0"/>
    <n v="30.99998842592322"/>
    <n v="0"/>
  </r>
  <r>
    <x v="0"/>
    <s v="Entire Organization"/>
    <d v="2015-01-03T00:00:00"/>
    <d v="1899-12-30T00:54:21"/>
    <n v="1"/>
    <n v="30.99998842592322"/>
    <n v="3.22580765599179E-2"/>
  </r>
  <r>
    <x v="0"/>
    <s v="Entire Organization"/>
    <d v="2015-01-03T00:00:00"/>
    <d v="1899-12-30T01:07:57"/>
    <n v="0"/>
    <n v="30.99998842592322"/>
    <n v="0"/>
  </r>
  <r>
    <x v="0"/>
    <s v="Entire Organization"/>
    <d v="2015-01-03T00:00:00"/>
    <d v="1899-12-30T17:22:33"/>
    <n v="0"/>
    <n v="30.99998842592322"/>
    <n v="0"/>
  </r>
  <r>
    <x v="0"/>
    <s v="Entire Organization"/>
    <d v="2015-01-03T00:00:00"/>
    <d v="1899-12-30T19:08:06"/>
    <n v="0"/>
    <n v="30.99998842592322"/>
    <n v="0"/>
  </r>
  <r>
    <x v="0"/>
    <s v="Entire Organization"/>
    <d v="2015-01-03T00:00:00"/>
    <d v="1899-12-30T19:34:26"/>
    <n v="0"/>
    <n v="30.99998842592322"/>
    <n v="0"/>
  </r>
  <r>
    <x v="0"/>
    <s v="Entire Organization"/>
    <d v="2015-01-03T00:00:00"/>
    <d v="1899-12-30T20:02:03"/>
    <n v="0"/>
    <n v="30.99998842592322"/>
    <n v="0"/>
  </r>
  <r>
    <x v="0"/>
    <s v="Entire Organization"/>
    <d v="2015-01-03T00:00:00"/>
    <d v="1899-12-30T20:07:09"/>
    <n v="0"/>
    <n v="30.99998842592322"/>
    <n v="0"/>
  </r>
  <r>
    <x v="0"/>
    <s v="Entire Organization"/>
    <d v="2015-01-04T00:00:00"/>
    <d v="1899-12-30T11:52:02"/>
    <n v="1"/>
    <n v="30.99998842592322"/>
    <n v="3.22580765599179E-2"/>
  </r>
  <r>
    <x v="0"/>
    <s v="Entire Organization"/>
    <d v="2015-01-04T00:00:00"/>
    <d v="1899-12-30T11:58:57"/>
    <n v="0"/>
    <n v="30.99998842592322"/>
    <n v="0"/>
  </r>
  <r>
    <x v="0"/>
    <s v="Entire Organization"/>
    <d v="2015-01-05T00:00:00"/>
    <d v="1899-12-30T08:47:59"/>
    <n v="1"/>
    <n v="30.99998842592322"/>
    <n v="3.22580765599179E-2"/>
  </r>
  <r>
    <x v="0"/>
    <s v="Entire Organization"/>
    <d v="2015-01-05T00:00:00"/>
    <d v="1899-12-30T18:15:59"/>
    <n v="0"/>
    <n v="30.99998842592322"/>
    <n v="0"/>
  </r>
  <r>
    <x v="0"/>
    <s v="Entire Organization"/>
    <d v="2015-01-05T00:00:00"/>
    <d v="1899-12-30T18:29:25"/>
    <n v="0"/>
    <n v="30.99998842592322"/>
    <n v="0"/>
  </r>
  <r>
    <x v="1"/>
    <s v="Entire Organization"/>
    <d v="2015-01-01T00:00:00"/>
    <d v="1899-12-30T10:27:54"/>
    <n v="1"/>
    <n v="30.99998842592322"/>
    <n v="3.22580765599179E-2"/>
  </r>
  <r>
    <x v="1"/>
    <s v="Entire Organization"/>
    <d v="2015-01-01T00:00:00"/>
    <d v="1899-12-30T13:38:46"/>
    <n v="0"/>
    <n v="30.99998842592322"/>
    <n v="0"/>
  </r>
  <r>
    <x v="1"/>
    <s v="Entire Organization"/>
    <d v="2015-01-01T00:00:00"/>
    <d v="1899-12-30T18:13:51"/>
    <n v="0"/>
    <n v="30.99998842592322"/>
    <n v="0"/>
  </r>
  <r>
    <x v="1"/>
    <s v="Entire Organization"/>
    <d v="2015-01-01T00:00:00"/>
    <d v="1899-12-30T18:33:34"/>
    <n v="0"/>
    <n v="30.99998842592322"/>
    <n v="0"/>
  </r>
  <r>
    <x v="1"/>
    <s v="Entire Organization"/>
    <d v="2015-01-01T00:00:00"/>
    <d v="1899-12-30T20:10:24"/>
    <n v="0"/>
    <n v="30.99998842592322"/>
    <n v="0"/>
  </r>
  <r>
    <x v="1"/>
    <s v="Entire Organization"/>
    <d v="2015-01-02T00:00:00"/>
    <d v="1899-12-30T08:55:53"/>
    <n v="1"/>
    <n v="30.99998842592322"/>
    <n v="3.22580765599179E-2"/>
  </r>
  <r>
    <x v="1"/>
    <s v="Entire Organization"/>
    <d v="2015-01-02T00:00:00"/>
    <d v="1899-12-30T10:58:36"/>
    <n v="0"/>
    <n v="30.99998842592322"/>
    <n v="0"/>
  </r>
  <r>
    <x v="1"/>
    <s v="Entire Organization"/>
    <d v="2015-01-02T00:00:00"/>
    <d v="1899-12-30T11:20:44"/>
    <n v="0"/>
    <n v="30.99998842592322"/>
    <n v="0"/>
  </r>
  <r>
    <x v="1"/>
    <s v="Entire Organization"/>
    <d v="2015-01-02T00:00:00"/>
    <d v="1899-12-30T11:38:51"/>
    <n v="0"/>
    <n v="30.99998842592322"/>
    <n v="0"/>
  </r>
  <r>
    <x v="1"/>
    <s v="Entire Organization"/>
    <d v="2015-01-02T00:00:00"/>
    <d v="1899-12-30T12:42:20"/>
    <n v="0"/>
    <n v="30.99998842592322"/>
    <n v="0"/>
  </r>
  <r>
    <x v="1"/>
    <s v="Entire Organization"/>
    <d v="2015-01-02T00:00:00"/>
    <d v="1899-12-30T16:07:35"/>
    <n v="0"/>
    <n v="30.99998842592322"/>
    <n v="0"/>
  </r>
  <r>
    <x v="1"/>
    <s v="Entire Organization"/>
    <d v="2015-01-02T00:00:00"/>
    <d v="1899-12-30T16:20:53"/>
    <n v="0"/>
    <n v="30.99998842592322"/>
    <n v="0"/>
  </r>
  <r>
    <x v="1"/>
    <s v="Entire Organization"/>
    <d v="2015-01-02T00:00:00"/>
    <d v="1899-12-30T18:11:55"/>
    <n v="0"/>
    <n v="30.99998842592322"/>
    <n v="0"/>
  </r>
  <r>
    <x v="1"/>
    <s v="Entire Organization"/>
    <d v="2015-01-02T00:00:00"/>
    <d v="1899-12-30T19:21:59"/>
    <n v="0"/>
    <n v="30.99998842592322"/>
    <n v="0"/>
  </r>
  <r>
    <x v="1"/>
    <s v="Entire Organization"/>
    <d v="2015-01-03T00:00:00"/>
    <d v="1899-12-30T08:37:52"/>
    <n v="1"/>
    <n v="30.99998842592322"/>
    <n v="3.22580765599179E-2"/>
  </r>
  <r>
    <x v="1"/>
    <s v="Entire Organization"/>
    <d v="2015-01-03T00:00:00"/>
    <d v="1899-12-30T09:01:29"/>
    <n v="0"/>
    <n v="30.99998842592322"/>
    <n v="0"/>
  </r>
  <r>
    <x v="1"/>
    <s v="Entire Organization"/>
    <d v="2015-01-03T00:00:00"/>
    <d v="1899-12-30T16:13:04"/>
    <n v="0"/>
    <n v="30.99998842592322"/>
    <n v="0"/>
  </r>
  <r>
    <x v="1"/>
    <s v="Entire Organization"/>
    <d v="2015-01-04T00:00:00"/>
    <d v="1899-12-30T10:11:48"/>
    <n v="1"/>
    <n v="30.99998842592322"/>
    <n v="3.22580765599179E-2"/>
  </r>
  <r>
    <x v="1"/>
    <s v="Entire Organization"/>
    <d v="2015-01-04T00:00:00"/>
    <d v="1899-12-30T11:30:10"/>
    <n v="0"/>
    <n v="30.99998842592322"/>
    <n v="0"/>
  </r>
  <r>
    <x v="1"/>
    <s v="Entire Organization"/>
    <d v="2015-01-04T00:00:00"/>
    <d v="1899-12-30T11:38:38"/>
    <n v="0"/>
    <n v="30.99998842592322"/>
    <n v="0"/>
  </r>
  <r>
    <x v="1"/>
    <s v="Entire Organization"/>
    <d v="2015-01-04T00:00:00"/>
    <d v="1899-12-30T12:06:56"/>
    <n v="0"/>
    <n v="30.99998842592322"/>
    <n v="0"/>
  </r>
  <r>
    <x v="1"/>
    <s v="Entire Organization"/>
    <d v="2015-01-04T00:00:00"/>
    <d v="1899-12-30T12:27:48"/>
    <n v="0"/>
    <n v="30.99998842592322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7" cacheId="3" applyNumberFormats="0" applyBorderFormats="0" applyFontFormats="0" applyPatternFormats="0" applyAlignmentFormats="0" applyWidthHeightFormats="1" dataCaption="Data" updatedVersion="5" minRefreshableVersion="3" showDrill="0" showMemberPropertyTips="0" rowGrandTotals="0" itemPrintTitles="1" createdVersion="5" indent="0" compact="0" compactData="0" chartFormat="1">
  <location ref="A6:B8" firstHeaderRow="1" firstDataRow="1" firstDataCol="1"/>
  <pivotFields count="7">
    <pivotField axis="axisRow" compact="0" outline="0" subtotalTop="0" showAll="0" includeNewItemsInFilter="1" sortType="ascending" defaultSubtotal="0">
      <items count="19">
        <item m="1" x="11"/>
        <item m="1" x="5"/>
        <item m="1" x="2"/>
        <item m="1" x="16"/>
        <item m="1" x="14"/>
        <item m="1" x="6"/>
        <item m="1" x="8"/>
        <item m="1" x="9"/>
        <item m="1" x="12"/>
        <item m="1" x="17"/>
        <item m="1" x="13"/>
        <item m="1" x="7"/>
        <item m="1" x="15"/>
        <item m="1" x="3"/>
        <item m="1" x="4"/>
        <item m="1" x="18"/>
        <item m="1" x="10"/>
        <item x="0"/>
        <item x="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ubtotalTop="0" showAll="0" includeNewItemsInFilter="1" defaultSubtotal="0"/>
    <pivotField compact="0" numFmtId="165" outline="0" showAll="0" defaultSubtotal="0"/>
    <pivotField compact="0" numFmtId="166" outline="0" subtotalTop="0" showAll="0" includeNewItemsInFilter="1" defaultSubtotal="0"/>
    <pivotField compact="0" numFmtId="1" outline="0" showAll="0" defaultSubtotal="0"/>
    <pivotField compact="0" numFmtId="1" outline="0" showAll="0" defaultSubtotal="0"/>
    <pivotField dataField="1" compact="0" numFmtId="9" outline="0" showAll="0" defaultSubtotal="0"/>
  </pivotFields>
  <rowFields count="1">
    <field x="0"/>
  </rowFields>
  <rowItems count="2">
    <i>
      <x v="17"/>
    </i>
    <i>
      <x v="18"/>
    </i>
  </rowItems>
  <colItems count="1">
    <i/>
  </colItems>
  <dataFields count="1">
    <dataField name="Percentage of Days" fld="6" baseField="0" baseItem="1" numFmtId="9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Custom" showRowHeaders="0" showColHeaders="1" showRowStripes="1" showColStripes="0" showLastColumn="1"/>
</pivotTableDefinition>
</file>

<file path=xl/theme/theme1.xml><?xml version="1.0" encoding="utf-8"?>
<a:theme xmlns:a="http://schemas.openxmlformats.org/drawingml/2006/main" name="CheckmateReportTheme">
  <a:themeElements>
    <a:clrScheme name="Custom 1">
      <a:dk1>
        <a:sysClr val="windowText" lastClr="000000"/>
      </a:dk1>
      <a:lt1>
        <a:sysClr val="window" lastClr="FFFFFF"/>
      </a:lt1>
      <a:dk2>
        <a:srgbClr val="3F3F3F"/>
      </a:dk2>
      <a:lt2>
        <a:srgbClr val="EEECE1"/>
      </a:lt2>
      <a:accent1>
        <a:srgbClr val="25477B"/>
      </a:accent1>
      <a:accent2>
        <a:srgbClr val="5C9CCC"/>
      </a:accent2>
      <a:accent3>
        <a:srgbClr val="9BBB59"/>
      </a:accent3>
      <a:accent4>
        <a:srgbClr val="F7941E"/>
      </a:accent4>
      <a:accent5>
        <a:srgbClr val="F3F8FB"/>
      </a:accent5>
      <a:accent6>
        <a:srgbClr val="EEECE1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I43"/>
  <sheetViews>
    <sheetView workbookViewId="0">
      <pane ySplit="7" topLeftCell="A8" activePane="bottomLeft" state="frozen"/>
      <selection pane="bottomLeft" activeCell="D2" sqref="D2"/>
    </sheetView>
  </sheetViews>
  <sheetFormatPr defaultRowHeight="12.75" x14ac:dyDescent="0.2"/>
  <cols>
    <col min="1" max="1" width="14.28515625" customWidth="1"/>
    <col min="2" max="2" width="18.5703125" customWidth="1"/>
    <col min="3" max="3" width="15.7109375" customWidth="1"/>
    <col min="4" max="4" width="27.140625" customWidth="1"/>
    <col min="5" max="5" width="19" customWidth="1"/>
    <col min="6" max="6" width="46" customWidth="1"/>
    <col min="7" max="8" width="13" customWidth="1"/>
    <col min="9" max="9" width="40" customWidth="1"/>
    <col min="10" max="10" width="14.5703125" customWidth="1"/>
    <col min="11" max="11" width="15" customWidth="1"/>
    <col min="12" max="12" width="13.5703125" customWidth="1"/>
    <col min="13" max="13" width="11.7109375" customWidth="1"/>
    <col min="14" max="16" width="13" customWidth="1"/>
    <col min="17" max="17" width="16.42578125" customWidth="1"/>
    <col min="18" max="18" width="12.7109375" customWidth="1"/>
    <col min="19" max="19" width="11.5703125" customWidth="1"/>
    <col min="20" max="21" width="12.7109375" customWidth="1"/>
    <col min="22" max="22" width="23.42578125" customWidth="1"/>
    <col min="23" max="25" width="14.42578125" customWidth="1"/>
    <col min="26" max="26" width="15.5703125" customWidth="1"/>
    <col min="27" max="27" width="11" customWidth="1"/>
    <col min="28" max="28" width="12.42578125" customWidth="1"/>
    <col min="29" max="30" width="11" customWidth="1"/>
    <col min="31" max="32" width="12.85546875" customWidth="1"/>
    <col min="33" max="33" width="13.140625" customWidth="1"/>
    <col min="34" max="34" width="14.140625" customWidth="1"/>
  </cols>
  <sheetData>
    <row r="1" spans="1:35" x14ac:dyDescent="0.2">
      <c r="A1" s="5" t="s">
        <v>37</v>
      </c>
      <c r="B1" s="4" t="s">
        <v>72</v>
      </c>
    </row>
    <row r="2" spans="1:35" x14ac:dyDescent="0.2">
      <c r="A2" s="5" t="s">
        <v>32</v>
      </c>
      <c r="B2" s="4">
        <v>42038.431760405096</v>
      </c>
    </row>
    <row r="3" spans="1:35" x14ac:dyDescent="0.2">
      <c r="A3" s="5" t="s">
        <v>33</v>
      </c>
      <c r="B3" s="4">
        <v>42005</v>
      </c>
    </row>
    <row r="4" spans="1:35" x14ac:dyDescent="0.2">
      <c r="A4" s="5" t="s">
        <v>34</v>
      </c>
      <c r="B4" s="4">
        <v>42035.999988425923</v>
      </c>
    </row>
    <row r="5" spans="1:35" x14ac:dyDescent="0.2">
      <c r="A5" s="5" t="s">
        <v>38</v>
      </c>
      <c r="B5" s="4" t="b">
        <v>1</v>
      </c>
    </row>
    <row r="6" spans="1:35" x14ac:dyDescent="0.2">
      <c r="A6" s="5" t="s">
        <v>39</v>
      </c>
      <c r="B6" s="4" t="s">
        <v>71</v>
      </c>
    </row>
    <row r="7" spans="1:35" ht="28.5" thickBot="1" x14ac:dyDescent="0.25">
      <c r="A7" s="1" t="s">
        <v>41</v>
      </c>
      <c r="B7" s="1" t="s">
        <v>42</v>
      </c>
      <c r="C7" s="1" t="s">
        <v>43</v>
      </c>
      <c r="D7" s="1" t="s">
        <v>44</v>
      </c>
      <c r="E7" s="1" t="s">
        <v>1</v>
      </c>
      <c r="F7" s="1" t="s">
        <v>7</v>
      </c>
      <c r="G7" s="1" t="s">
        <v>31</v>
      </c>
      <c r="H7" s="1" t="s">
        <v>8</v>
      </c>
      <c r="I7" s="1" t="s">
        <v>9</v>
      </c>
      <c r="J7" s="1" t="s">
        <v>10</v>
      </c>
      <c r="K7" s="1" t="s">
        <v>11</v>
      </c>
      <c r="L7" s="1" t="s">
        <v>12</v>
      </c>
      <c r="M7" s="1" t="s">
        <v>13</v>
      </c>
      <c r="N7" s="1" t="s">
        <v>14</v>
      </c>
      <c r="O7" s="1" t="s">
        <v>15</v>
      </c>
      <c r="P7" s="1" t="s">
        <v>16</v>
      </c>
      <c r="Q7" s="1" t="s">
        <v>2</v>
      </c>
      <c r="R7" s="1" t="s">
        <v>3</v>
      </c>
      <c r="S7" s="1" t="s">
        <v>17</v>
      </c>
      <c r="T7" s="1" t="s">
        <v>18</v>
      </c>
      <c r="U7" s="1" t="s">
        <v>19</v>
      </c>
      <c r="V7" s="1" t="s">
        <v>4</v>
      </c>
      <c r="W7" s="1" t="s">
        <v>20</v>
      </c>
      <c r="X7" s="1" t="s">
        <v>21</v>
      </c>
      <c r="Y7" s="1" t="s">
        <v>22</v>
      </c>
      <c r="Z7" s="1" t="s">
        <v>23</v>
      </c>
      <c r="AA7" s="1" t="s">
        <v>24</v>
      </c>
      <c r="AB7" s="1" t="s">
        <v>25</v>
      </c>
      <c r="AC7" s="1" t="s">
        <v>26</v>
      </c>
      <c r="AD7" s="1" t="s">
        <v>26</v>
      </c>
      <c r="AE7" s="2" t="s">
        <v>27</v>
      </c>
      <c r="AF7" s="2" t="s">
        <v>28</v>
      </c>
      <c r="AG7" s="2" t="s">
        <v>29</v>
      </c>
      <c r="AH7" s="2" t="s">
        <v>30</v>
      </c>
      <c r="AI7" s="2" t="s">
        <v>40</v>
      </c>
    </row>
    <row r="8" spans="1:35" x14ac:dyDescent="0.2">
      <c r="A8" s="3" t="s">
        <v>69</v>
      </c>
      <c r="B8" s="3" t="s">
        <v>48</v>
      </c>
      <c r="C8" s="3" t="s">
        <v>0</v>
      </c>
      <c r="D8" s="3" t="s">
        <v>49</v>
      </c>
      <c r="E8" s="4">
        <v>42006.766604895834</v>
      </c>
      <c r="F8" s="3" t="s">
        <v>53</v>
      </c>
      <c r="G8" s="3" t="s">
        <v>52</v>
      </c>
      <c r="H8" s="3" t="s">
        <v>54</v>
      </c>
      <c r="I8" s="3" t="s">
        <v>0</v>
      </c>
      <c r="J8" s="3" t="s">
        <v>50</v>
      </c>
      <c r="L8" s="3" t="s">
        <v>55</v>
      </c>
      <c r="M8" s="3" t="s">
        <v>56</v>
      </c>
      <c r="N8" s="3" t="s">
        <v>0</v>
      </c>
      <c r="O8" s="3" t="s">
        <v>51</v>
      </c>
      <c r="Q8" s="3" t="s">
        <v>6</v>
      </c>
      <c r="R8" s="3">
        <v>1</v>
      </c>
      <c r="S8" s="3" t="s">
        <v>58</v>
      </c>
      <c r="T8" s="3" t="s">
        <v>57</v>
      </c>
      <c r="U8" s="3" t="s">
        <v>0</v>
      </c>
    </row>
    <row r="9" spans="1:35" x14ac:dyDescent="0.2">
      <c r="A9" s="3" t="s">
        <v>69</v>
      </c>
      <c r="B9" s="3" t="s">
        <v>48</v>
      </c>
      <c r="D9" s="3" t="s">
        <v>49</v>
      </c>
      <c r="E9" s="4">
        <v>42006.796408449074</v>
      </c>
      <c r="F9" s="3" t="s">
        <v>53</v>
      </c>
      <c r="G9" s="3" t="s">
        <v>52</v>
      </c>
      <c r="H9" s="3" t="s">
        <v>54</v>
      </c>
      <c r="I9" s="3" t="s">
        <v>0</v>
      </c>
      <c r="J9" s="3" t="s">
        <v>50</v>
      </c>
      <c r="L9" s="3" t="s">
        <v>55</v>
      </c>
      <c r="M9" s="3" t="s">
        <v>56</v>
      </c>
      <c r="N9" s="3" t="s">
        <v>0</v>
      </c>
      <c r="O9" s="3" t="s">
        <v>51</v>
      </c>
      <c r="Q9" s="3" t="s">
        <v>6</v>
      </c>
      <c r="R9" s="3">
        <v>1</v>
      </c>
      <c r="S9" s="3" t="s">
        <v>58</v>
      </c>
      <c r="T9" s="3" t="s">
        <v>57</v>
      </c>
    </row>
    <row r="10" spans="1:35" x14ac:dyDescent="0.2">
      <c r="A10" s="3" t="s">
        <v>69</v>
      </c>
      <c r="B10" s="3" t="s">
        <v>48</v>
      </c>
      <c r="D10" s="3" t="s">
        <v>49</v>
      </c>
      <c r="E10" s="4">
        <v>42007.037739039355</v>
      </c>
      <c r="F10" s="3" t="s">
        <v>53</v>
      </c>
      <c r="G10" s="3" t="s">
        <v>52</v>
      </c>
      <c r="H10" s="3" t="s">
        <v>54</v>
      </c>
      <c r="I10" s="3" t="s">
        <v>0</v>
      </c>
      <c r="J10" s="3" t="s">
        <v>50</v>
      </c>
      <c r="L10" s="3" t="s">
        <v>55</v>
      </c>
      <c r="M10" s="3" t="s">
        <v>56</v>
      </c>
      <c r="N10" s="3" t="s">
        <v>0</v>
      </c>
      <c r="O10" s="3" t="s">
        <v>51</v>
      </c>
      <c r="Q10" s="3" t="s">
        <v>6</v>
      </c>
      <c r="R10" s="3">
        <v>1</v>
      </c>
      <c r="S10" s="3" t="s">
        <v>58</v>
      </c>
      <c r="T10" s="3" t="s">
        <v>57</v>
      </c>
    </row>
    <row r="11" spans="1:35" x14ac:dyDescent="0.2">
      <c r="A11" s="3" t="s">
        <v>69</v>
      </c>
      <c r="B11" s="3" t="s">
        <v>48</v>
      </c>
      <c r="D11" s="3" t="s">
        <v>49</v>
      </c>
      <c r="E11" s="4">
        <v>42007.047183796298</v>
      </c>
      <c r="F11" s="3" t="s">
        <v>53</v>
      </c>
      <c r="G11" s="3" t="s">
        <v>52</v>
      </c>
      <c r="H11" s="3" t="s">
        <v>54</v>
      </c>
      <c r="I11" s="3" t="s">
        <v>0</v>
      </c>
      <c r="J11" s="3" t="s">
        <v>50</v>
      </c>
      <c r="L11" s="3" t="s">
        <v>55</v>
      </c>
      <c r="M11" s="3" t="s">
        <v>56</v>
      </c>
      <c r="N11" s="3" t="s">
        <v>0</v>
      </c>
      <c r="O11" s="3" t="s">
        <v>51</v>
      </c>
      <c r="Q11" s="3" t="s">
        <v>6</v>
      </c>
      <c r="R11" s="3">
        <v>1</v>
      </c>
      <c r="S11" s="3" t="s">
        <v>58</v>
      </c>
      <c r="T11" s="3" t="s">
        <v>57</v>
      </c>
    </row>
    <row r="12" spans="1:35" x14ac:dyDescent="0.2">
      <c r="A12" s="3" t="s">
        <v>69</v>
      </c>
      <c r="B12" s="3" t="s">
        <v>48</v>
      </c>
      <c r="D12" s="3" t="s">
        <v>49</v>
      </c>
      <c r="E12" s="4">
        <v>42007.723989120372</v>
      </c>
      <c r="F12" s="3" t="s">
        <v>53</v>
      </c>
      <c r="G12" s="3" t="s">
        <v>52</v>
      </c>
      <c r="H12" s="3" t="s">
        <v>54</v>
      </c>
      <c r="I12" s="3" t="s">
        <v>0</v>
      </c>
      <c r="J12" s="3" t="s">
        <v>50</v>
      </c>
      <c r="L12" s="3" t="s">
        <v>55</v>
      </c>
      <c r="M12" s="3" t="s">
        <v>56</v>
      </c>
      <c r="N12" s="3" t="s">
        <v>0</v>
      </c>
      <c r="O12" s="3" t="s">
        <v>51</v>
      </c>
      <c r="Q12" s="3" t="s">
        <v>6</v>
      </c>
      <c r="R12" s="3">
        <v>1</v>
      </c>
      <c r="S12" s="3" t="s">
        <v>58</v>
      </c>
      <c r="T12" s="3" t="s">
        <v>57</v>
      </c>
    </row>
    <row r="13" spans="1:35" x14ac:dyDescent="0.2">
      <c r="A13" s="3" t="s">
        <v>69</v>
      </c>
      <c r="B13" s="3" t="s">
        <v>48</v>
      </c>
      <c r="D13" s="3" t="s">
        <v>49</v>
      </c>
      <c r="E13" s="4">
        <v>42007.797288043985</v>
      </c>
      <c r="F13" s="3" t="s">
        <v>53</v>
      </c>
      <c r="G13" s="3" t="s">
        <v>52</v>
      </c>
      <c r="H13" s="3" t="s">
        <v>54</v>
      </c>
      <c r="I13" s="3" t="s">
        <v>0</v>
      </c>
      <c r="J13" s="3" t="s">
        <v>50</v>
      </c>
      <c r="L13" s="3" t="s">
        <v>55</v>
      </c>
      <c r="M13" s="3" t="s">
        <v>56</v>
      </c>
      <c r="N13" s="3" t="s">
        <v>0</v>
      </c>
      <c r="O13" s="3" t="s">
        <v>51</v>
      </c>
      <c r="Q13" s="3" t="s">
        <v>6</v>
      </c>
      <c r="R13" s="3">
        <v>1</v>
      </c>
      <c r="S13" s="3" t="s">
        <v>58</v>
      </c>
      <c r="T13" s="3" t="s">
        <v>57</v>
      </c>
    </row>
    <row r="14" spans="1:35" x14ac:dyDescent="0.2">
      <c r="A14" s="3" t="s">
        <v>69</v>
      </c>
      <c r="B14" s="3" t="s">
        <v>48</v>
      </c>
      <c r="D14" s="3" t="s">
        <v>49</v>
      </c>
      <c r="E14" s="4">
        <v>42007.815574733795</v>
      </c>
      <c r="F14" s="3" t="s">
        <v>53</v>
      </c>
      <c r="G14" s="3" t="s">
        <v>52</v>
      </c>
      <c r="H14" s="3" t="s">
        <v>54</v>
      </c>
      <c r="I14" s="3" t="s">
        <v>0</v>
      </c>
      <c r="J14" s="3" t="s">
        <v>50</v>
      </c>
      <c r="L14" s="3" t="s">
        <v>55</v>
      </c>
      <c r="M14" s="3" t="s">
        <v>56</v>
      </c>
      <c r="N14" s="3" t="s">
        <v>0</v>
      </c>
      <c r="O14" s="3" t="s">
        <v>51</v>
      </c>
      <c r="Q14" s="3" t="s">
        <v>6</v>
      </c>
      <c r="R14" s="3">
        <v>1</v>
      </c>
      <c r="S14" s="3" t="s">
        <v>58</v>
      </c>
      <c r="T14" s="3" t="s">
        <v>57</v>
      </c>
    </row>
    <row r="15" spans="1:35" x14ac:dyDescent="0.2">
      <c r="A15" s="3" t="s">
        <v>69</v>
      </c>
      <c r="B15" s="3" t="s">
        <v>48</v>
      </c>
      <c r="D15" s="3" t="s">
        <v>49</v>
      </c>
      <c r="E15" s="4">
        <v>42007.834753240742</v>
      </c>
      <c r="F15" s="3" t="s">
        <v>53</v>
      </c>
      <c r="G15" s="3" t="s">
        <v>52</v>
      </c>
      <c r="H15" s="3" t="s">
        <v>54</v>
      </c>
      <c r="I15" s="3" t="s">
        <v>0</v>
      </c>
      <c r="J15" s="3" t="s">
        <v>50</v>
      </c>
      <c r="L15" s="3" t="s">
        <v>55</v>
      </c>
      <c r="M15" s="3" t="s">
        <v>56</v>
      </c>
      <c r="N15" s="3" t="s">
        <v>0</v>
      </c>
      <c r="O15" s="3" t="s">
        <v>51</v>
      </c>
      <c r="Q15" s="3" t="s">
        <v>6</v>
      </c>
      <c r="R15" s="3">
        <v>1</v>
      </c>
      <c r="S15" s="3" t="s">
        <v>58</v>
      </c>
      <c r="T15" s="3" t="s">
        <v>57</v>
      </c>
    </row>
    <row r="16" spans="1:35" x14ac:dyDescent="0.2">
      <c r="A16" s="3" t="s">
        <v>69</v>
      </c>
      <c r="B16" s="3" t="s">
        <v>48</v>
      </c>
      <c r="D16" s="3" t="s">
        <v>49</v>
      </c>
      <c r="E16" s="4">
        <v>42007.838294641202</v>
      </c>
      <c r="F16" s="3" t="s">
        <v>53</v>
      </c>
      <c r="G16" s="3" t="s">
        <v>52</v>
      </c>
      <c r="H16" s="3" t="s">
        <v>54</v>
      </c>
      <c r="I16" s="3" t="s">
        <v>0</v>
      </c>
      <c r="J16" s="3" t="s">
        <v>50</v>
      </c>
      <c r="L16" s="3" t="s">
        <v>55</v>
      </c>
      <c r="M16" s="3" t="s">
        <v>56</v>
      </c>
      <c r="N16" s="3" t="s">
        <v>0</v>
      </c>
      <c r="O16" s="3" t="s">
        <v>51</v>
      </c>
      <c r="Q16" s="3" t="s">
        <v>6</v>
      </c>
      <c r="R16" s="3">
        <v>1</v>
      </c>
      <c r="S16" s="3" t="s">
        <v>58</v>
      </c>
      <c r="T16" s="3" t="s">
        <v>57</v>
      </c>
    </row>
    <row r="17" spans="1:20" x14ac:dyDescent="0.2">
      <c r="A17" s="3" t="s">
        <v>69</v>
      </c>
      <c r="B17" s="3" t="s">
        <v>48</v>
      </c>
      <c r="D17" s="3" t="s">
        <v>49</v>
      </c>
      <c r="E17" s="4">
        <v>42008.494463657407</v>
      </c>
      <c r="F17" s="3" t="s">
        <v>53</v>
      </c>
      <c r="G17" s="3" t="s">
        <v>52</v>
      </c>
      <c r="H17" s="3" t="s">
        <v>54</v>
      </c>
      <c r="I17" s="3" t="s">
        <v>0</v>
      </c>
      <c r="J17" s="3" t="s">
        <v>50</v>
      </c>
      <c r="L17" s="3" t="s">
        <v>55</v>
      </c>
      <c r="M17" s="3" t="s">
        <v>56</v>
      </c>
      <c r="N17" s="3" t="s">
        <v>0</v>
      </c>
      <c r="O17" s="3" t="s">
        <v>51</v>
      </c>
      <c r="Q17" s="3" t="s">
        <v>6</v>
      </c>
      <c r="R17" s="3">
        <v>1</v>
      </c>
      <c r="S17" s="3" t="s">
        <v>58</v>
      </c>
      <c r="T17" s="3" t="s">
        <v>57</v>
      </c>
    </row>
    <row r="18" spans="1:20" x14ac:dyDescent="0.2">
      <c r="A18" s="3" t="s">
        <v>69</v>
      </c>
      <c r="B18" s="3" t="s">
        <v>48</v>
      </c>
      <c r="D18" s="3" t="s">
        <v>49</v>
      </c>
      <c r="E18" s="4">
        <v>42008.499266979168</v>
      </c>
      <c r="F18" s="3" t="s">
        <v>53</v>
      </c>
      <c r="G18" s="3" t="s">
        <v>52</v>
      </c>
      <c r="H18" s="3" t="s">
        <v>54</v>
      </c>
      <c r="I18" s="3" t="s">
        <v>0</v>
      </c>
      <c r="J18" s="3" t="s">
        <v>50</v>
      </c>
      <c r="L18" s="3" t="s">
        <v>55</v>
      </c>
      <c r="M18" s="3" t="s">
        <v>56</v>
      </c>
      <c r="N18" s="3" t="s">
        <v>0</v>
      </c>
      <c r="O18" s="3" t="s">
        <v>51</v>
      </c>
      <c r="Q18" s="3" t="s">
        <v>6</v>
      </c>
      <c r="R18" s="3">
        <v>1</v>
      </c>
      <c r="S18" s="3" t="s">
        <v>58</v>
      </c>
      <c r="T18" s="3" t="s">
        <v>57</v>
      </c>
    </row>
    <row r="19" spans="1:20" x14ac:dyDescent="0.2">
      <c r="A19" s="3" t="s">
        <v>69</v>
      </c>
      <c r="B19" s="3" t="s">
        <v>48</v>
      </c>
      <c r="D19" s="3" t="s">
        <v>49</v>
      </c>
      <c r="E19" s="4">
        <v>42009.366651388889</v>
      </c>
      <c r="F19" s="3" t="s">
        <v>53</v>
      </c>
      <c r="G19" s="3" t="s">
        <v>52</v>
      </c>
      <c r="H19" s="3" t="s">
        <v>54</v>
      </c>
      <c r="I19" s="3" t="s">
        <v>0</v>
      </c>
      <c r="J19" s="3" t="s">
        <v>50</v>
      </c>
      <c r="L19" s="3" t="s">
        <v>55</v>
      </c>
      <c r="M19" s="3" t="s">
        <v>56</v>
      </c>
      <c r="N19" s="3" t="s">
        <v>0</v>
      </c>
      <c r="O19" s="3" t="s">
        <v>51</v>
      </c>
      <c r="Q19" s="3" t="s">
        <v>6</v>
      </c>
      <c r="R19" s="3">
        <v>1</v>
      </c>
      <c r="S19" s="3" t="s">
        <v>58</v>
      </c>
      <c r="T19" s="3" t="s">
        <v>57</v>
      </c>
    </row>
    <row r="20" spans="1:20" x14ac:dyDescent="0.2">
      <c r="A20" s="3" t="s">
        <v>69</v>
      </c>
      <c r="B20" s="3" t="s">
        <v>48</v>
      </c>
      <c r="D20" s="3" t="s">
        <v>49</v>
      </c>
      <c r="E20" s="4">
        <v>42009.761096064816</v>
      </c>
      <c r="F20" s="3" t="s">
        <v>53</v>
      </c>
      <c r="G20" s="3" t="s">
        <v>52</v>
      </c>
      <c r="H20" s="3" t="s">
        <v>54</v>
      </c>
      <c r="I20" s="3" t="s">
        <v>0</v>
      </c>
      <c r="J20" s="3" t="s">
        <v>50</v>
      </c>
      <c r="L20" s="3" t="s">
        <v>55</v>
      </c>
      <c r="M20" s="3" t="s">
        <v>56</v>
      </c>
      <c r="N20" s="3" t="s">
        <v>0</v>
      </c>
      <c r="O20" s="3" t="s">
        <v>51</v>
      </c>
      <c r="Q20" s="3" t="s">
        <v>6</v>
      </c>
      <c r="R20" s="3">
        <v>1</v>
      </c>
      <c r="S20" s="3" t="s">
        <v>58</v>
      </c>
      <c r="T20" s="3" t="s">
        <v>57</v>
      </c>
    </row>
    <row r="21" spans="1:20" x14ac:dyDescent="0.2">
      <c r="A21" s="3" t="s">
        <v>69</v>
      </c>
      <c r="B21" s="3" t="s">
        <v>48</v>
      </c>
      <c r="D21" s="3" t="s">
        <v>49</v>
      </c>
      <c r="E21" s="4">
        <v>42009.770424270835</v>
      </c>
      <c r="F21" s="3" t="s">
        <v>53</v>
      </c>
      <c r="G21" s="3" t="s">
        <v>52</v>
      </c>
      <c r="H21" s="3" t="s">
        <v>54</v>
      </c>
      <c r="I21" s="3" t="s">
        <v>0</v>
      </c>
      <c r="J21" s="3" t="s">
        <v>50</v>
      </c>
      <c r="L21" s="3" t="s">
        <v>55</v>
      </c>
      <c r="M21" s="3" t="s">
        <v>56</v>
      </c>
      <c r="N21" s="3" t="s">
        <v>0</v>
      </c>
      <c r="O21" s="3" t="s">
        <v>51</v>
      </c>
      <c r="Q21" s="3" t="s">
        <v>6</v>
      </c>
      <c r="R21" s="3">
        <v>1</v>
      </c>
      <c r="S21" s="3" t="s">
        <v>58</v>
      </c>
      <c r="T21" s="3" t="s">
        <v>57</v>
      </c>
    </row>
    <row r="22" spans="1:20" x14ac:dyDescent="0.2">
      <c r="A22" s="3" t="s">
        <v>70</v>
      </c>
      <c r="B22" s="3" t="s">
        <v>59</v>
      </c>
      <c r="D22" s="3" t="s">
        <v>49</v>
      </c>
      <c r="E22" s="4">
        <v>42005.43603665509</v>
      </c>
      <c r="F22" s="3" t="s">
        <v>61</v>
      </c>
      <c r="G22" s="3" t="s">
        <v>60</v>
      </c>
      <c r="H22" s="3" t="s">
        <v>62</v>
      </c>
      <c r="I22" s="3" t="s">
        <v>0</v>
      </c>
      <c r="J22" s="3" t="s">
        <v>50</v>
      </c>
      <c r="L22" s="3" t="s">
        <v>55</v>
      </c>
      <c r="M22" s="3" t="s">
        <v>56</v>
      </c>
      <c r="N22" s="3" t="s">
        <v>0</v>
      </c>
      <c r="O22" s="3" t="s">
        <v>51</v>
      </c>
      <c r="Q22" s="3" t="s">
        <v>6</v>
      </c>
      <c r="R22" s="3">
        <v>1</v>
      </c>
      <c r="S22" s="3" t="s">
        <v>58</v>
      </c>
      <c r="T22" s="3" t="s">
        <v>57</v>
      </c>
    </row>
    <row r="23" spans="1:20" x14ac:dyDescent="0.2">
      <c r="A23" s="3" t="s">
        <v>70</v>
      </c>
      <c r="B23" s="3" t="s">
        <v>59</v>
      </c>
      <c r="D23" s="3" t="s">
        <v>49</v>
      </c>
      <c r="E23" s="4">
        <v>42005.568582870372</v>
      </c>
      <c r="F23" s="3" t="s">
        <v>61</v>
      </c>
      <c r="G23" s="3" t="s">
        <v>60</v>
      </c>
      <c r="H23" s="3" t="s">
        <v>62</v>
      </c>
      <c r="I23" s="3" t="s">
        <v>0</v>
      </c>
      <c r="J23" s="3" t="s">
        <v>50</v>
      </c>
      <c r="L23" s="3" t="s">
        <v>55</v>
      </c>
      <c r="M23" s="3" t="s">
        <v>56</v>
      </c>
      <c r="N23" s="3" t="s">
        <v>0</v>
      </c>
      <c r="O23" s="3" t="s">
        <v>51</v>
      </c>
      <c r="Q23" s="3" t="s">
        <v>6</v>
      </c>
      <c r="R23" s="3">
        <v>1</v>
      </c>
      <c r="S23" s="3" t="s">
        <v>58</v>
      </c>
      <c r="T23" s="3" t="s">
        <v>57</v>
      </c>
    </row>
    <row r="24" spans="1:20" x14ac:dyDescent="0.2">
      <c r="A24" s="3" t="s">
        <v>70</v>
      </c>
      <c r="B24" s="3" t="s">
        <v>59</v>
      </c>
      <c r="D24" s="3" t="s">
        <v>49</v>
      </c>
      <c r="E24" s="4">
        <v>42005.75961296296</v>
      </c>
      <c r="F24" s="3" t="s">
        <v>61</v>
      </c>
      <c r="G24" s="3" t="s">
        <v>60</v>
      </c>
      <c r="H24" s="3" t="s">
        <v>62</v>
      </c>
      <c r="I24" s="3" t="s">
        <v>0</v>
      </c>
      <c r="J24" s="3" t="s">
        <v>50</v>
      </c>
      <c r="L24" s="3" t="s">
        <v>55</v>
      </c>
      <c r="M24" s="3" t="s">
        <v>56</v>
      </c>
      <c r="N24" s="3" t="s">
        <v>0</v>
      </c>
      <c r="O24" s="3" t="s">
        <v>51</v>
      </c>
      <c r="Q24" s="3" t="s">
        <v>6</v>
      </c>
      <c r="R24" s="3">
        <v>1</v>
      </c>
      <c r="S24" s="3" t="s">
        <v>58</v>
      </c>
      <c r="T24" s="3" t="s">
        <v>57</v>
      </c>
    </row>
    <row r="25" spans="1:20" x14ac:dyDescent="0.2">
      <c r="A25" s="3" t="s">
        <v>70</v>
      </c>
      <c r="B25" s="3" t="s">
        <v>59</v>
      </c>
      <c r="D25" s="3" t="s">
        <v>49</v>
      </c>
      <c r="E25" s="4">
        <v>42005.773305173614</v>
      </c>
      <c r="F25" s="3" t="s">
        <v>61</v>
      </c>
      <c r="G25" s="3" t="s">
        <v>60</v>
      </c>
      <c r="H25" s="3" t="s">
        <v>62</v>
      </c>
      <c r="I25" s="3" t="s">
        <v>0</v>
      </c>
      <c r="J25" s="3" t="s">
        <v>50</v>
      </c>
      <c r="L25" s="3" t="s">
        <v>55</v>
      </c>
      <c r="M25" s="3" t="s">
        <v>56</v>
      </c>
      <c r="N25" s="3" t="s">
        <v>0</v>
      </c>
      <c r="O25" s="3" t="s">
        <v>51</v>
      </c>
      <c r="Q25" s="3" t="s">
        <v>6</v>
      </c>
      <c r="R25" s="3">
        <v>1</v>
      </c>
      <c r="S25" s="3" t="s">
        <v>58</v>
      </c>
      <c r="T25" s="3" t="s">
        <v>57</v>
      </c>
    </row>
    <row r="26" spans="1:20" x14ac:dyDescent="0.2">
      <c r="A26" s="3" t="s">
        <v>70</v>
      </c>
      <c r="B26" s="3" t="s">
        <v>59</v>
      </c>
      <c r="D26" s="3" t="s">
        <v>49</v>
      </c>
      <c r="E26" s="4">
        <v>42005.840550462963</v>
      </c>
      <c r="F26" s="3" t="s">
        <v>61</v>
      </c>
      <c r="G26" s="3" t="s">
        <v>60</v>
      </c>
      <c r="H26" s="3" t="s">
        <v>62</v>
      </c>
      <c r="I26" s="3" t="s">
        <v>0</v>
      </c>
      <c r="J26" s="3" t="s">
        <v>50</v>
      </c>
      <c r="L26" s="3" t="s">
        <v>55</v>
      </c>
      <c r="M26" s="3" t="s">
        <v>56</v>
      </c>
      <c r="N26" s="3" t="s">
        <v>0</v>
      </c>
      <c r="O26" s="3" t="s">
        <v>51</v>
      </c>
      <c r="Q26" s="3" t="s">
        <v>6</v>
      </c>
      <c r="R26" s="3">
        <v>1</v>
      </c>
      <c r="S26" s="3" t="s">
        <v>58</v>
      </c>
      <c r="T26" s="3" t="s">
        <v>57</v>
      </c>
    </row>
    <row r="27" spans="1:20" x14ac:dyDescent="0.2">
      <c r="A27" s="3" t="s">
        <v>70</v>
      </c>
      <c r="B27" s="3" t="s">
        <v>59</v>
      </c>
      <c r="D27" s="3" t="s">
        <v>49</v>
      </c>
      <c r="E27" s="4">
        <v>42006.372136076388</v>
      </c>
      <c r="F27" s="3" t="s">
        <v>61</v>
      </c>
      <c r="G27" s="3" t="s">
        <v>60</v>
      </c>
      <c r="H27" s="3" t="s">
        <v>62</v>
      </c>
      <c r="I27" s="3" t="s">
        <v>0</v>
      </c>
      <c r="J27" s="3" t="s">
        <v>50</v>
      </c>
      <c r="L27" s="3" t="s">
        <v>55</v>
      </c>
      <c r="M27" s="3" t="s">
        <v>56</v>
      </c>
      <c r="N27" s="3" t="s">
        <v>0</v>
      </c>
      <c r="O27" s="3" t="s">
        <v>51</v>
      </c>
      <c r="Q27" s="3" t="s">
        <v>6</v>
      </c>
      <c r="R27" s="3">
        <v>1</v>
      </c>
      <c r="S27" s="3" t="s">
        <v>58</v>
      </c>
      <c r="T27" s="3" t="s">
        <v>57</v>
      </c>
    </row>
    <row r="28" spans="1:20" x14ac:dyDescent="0.2">
      <c r="A28" s="3" t="s">
        <v>70</v>
      </c>
      <c r="B28" s="3" t="s">
        <v>59</v>
      </c>
      <c r="D28" s="3" t="s">
        <v>49</v>
      </c>
      <c r="E28" s="4">
        <v>42006.457356284722</v>
      </c>
      <c r="F28" s="3" t="s">
        <v>61</v>
      </c>
      <c r="G28" s="3" t="s">
        <v>60</v>
      </c>
      <c r="H28" s="3" t="s">
        <v>62</v>
      </c>
      <c r="I28" s="3" t="s">
        <v>0</v>
      </c>
      <c r="J28" s="3" t="s">
        <v>50</v>
      </c>
      <c r="L28" s="3" t="s">
        <v>55</v>
      </c>
      <c r="M28" s="3" t="s">
        <v>56</v>
      </c>
      <c r="N28" s="3" t="s">
        <v>0</v>
      </c>
      <c r="O28" s="3" t="s">
        <v>51</v>
      </c>
      <c r="Q28" s="3" t="s">
        <v>6</v>
      </c>
      <c r="R28" s="3">
        <v>1</v>
      </c>
      <c r="S28" s="3" t="s">
        <v>58</v>
      </c>
      <c r="T28" s="3" t="s">
        <v>57</v>
      </c>
    </row>
    <row r="29" spans="1:20" x14ac:dyDescent="0.2">
      <c r="A29" s="3" t="s">
        <v>70</v>
      </c>
      <c r="B29" s="3" t="s">
        <v>59</v>
      </c>
      <c r="D29" s="3" t="s">
        <v>49</v>
      </c>
      <c r="E29" s="4">
        <v>42006.472726354164</v>
      </c>
      <c r="F29" s="3" t="s">
        <v>61</v>
      </c>
      <c r="G29" s="3" t="s">
        <v>60</v>
      </c>
      <c r="H29" s="3" t="s">
        <v>62</v>
      </c>
      <c r="I29" s="3" t="s">
        <v>0</v>
      </c>
      <c r="J29" s="3" t="s">
        <v>50</v>
      </c>
      <c r="L29" s="3" t="s">
        <v>55</v>
      </c>
      <c r="M29" s="3" t="s">
        <v>56</v>
      </c>
      <c r="N29" s="3" t="s">
        <v>0</v>
      </c>
      <c r="O29" s="3" t="s">
        <v>51</v>
      </c>
      <c r="Q29" s="3" t="s">
        <v>6</v>
      </c>
      <c r="R29" s="3">
        <v>1</v>
      </c>
      <c r="S29" s="3" t="s">
        <v>58</v>
      </c>
      <c r="T29" s="3" t="s">
        <v>57</v>
      </c>
    </row>
    <row r="30" spans="1:20" x14ac:dyDescent="0.2">
      <c r="A30" s="3" t="s">
        <v>70</v>
      </c>
      <c r="B30" s="3" t="s">
        <v>59</v>
      </c>
      <c r="D30" s="3" t="s">
        <v>49</v>
      </c>
      <c r="E30" s="4">
        <v>42006.485307442126</v>
      </c>
      <c r="F30" s="3" t="s">
        <v>61</v>
      </c>
      <c r="G30" s="3" t="s">
        <v>60</v>
      </c>
      <c r="H30" s="3" t="s">
        <v>62</v>
      </c>
      <c r="I30" s="3" t="s">
        <v>0</v>
      </c>
      <c r="J30" s="3" t="s">
        <v>50</v>
      </c>
      <c r="L30" s="3" t="s">
        <v>55</v>
      </c>
      <c r="M30" s="3" t="s">
        <v>56</v>
      </c>
      <c r="N30" s="3" t="s">
        <v>0</v>
      </c>
      <c r="O30" s="3" t="s">
        <v>51</v>
      </c>
      <c r="Q30" s="3" t="s">
        <v>6</v>
      </c>
      <c r="R30" s="3">
        <v>1</v>
      </c>
      <c r="S30" s="3" t="s">
        <v>58</v>
      </c>
      <c r="T30" s="3" t="s">
        <v>57</v>
      </c>
    </row>
    <row r="31" spans="1:20" x14ac:dyDescent="0.2">
      <c r="A31" s="3" t="s">
        <v>70</v>
      </c>
      <c r="B31" s="3" t="s">
        <v>59</v>
      </c>
      <c r="D31" s="3" t="s">
        <v>49</v>
      </c>
      <c r="E31" s="4">
        <v>42006.529393020835</v>
      </c>
      <c r="F31" s="3" t="s">
        <v>61</v>
      </c>
      <c r="G31" s="3" t="s">
        <v>60</v>
      </c>
      <c r="H31" s="3" t="s">
        <v>62</v>
      </c>
      <c r="I31" s="3" t="s">
        <v>0</v>
      </c>
      <c r="J31" s="3" t="s">
        <v>50</v>
      </c>
      <c r="L31" s="3" t="s">
        <v>55</v>
      </c>
      <c r="M31" s="3" t="s">
        <v>56</v>
      </c>
      <c r="N31" s="3" t="s">
        <v>0</v>
      </c>
      <c r="O31" s="3" t="s">
        <v>51</v>
      </c>
      <c r="Q31" s="3" t="s">
        <v>6</v>
      </c>
      <c r="R31" s="3">
        <v>1</v>
      </c>
      <c r="S31" s="3" t="s">
        <v>58</v>
      </c>
      <c r="T31" s="3" t="s">
        <v>57</v>
      </c>
    </row>
    <row r="32" spans="1:20" x14ac:dyDescent="0.2">
      <c r="A32" s="3" t="s">
        <v>70</v>
      </c>
      <c r="B32" s="3" t="s">
        <v>59</v>
      </c>
      <c r="D32" s="3" t="s">
        <v>49</v>
      </c>
      <c r="E32" s="4">
        <v>42006.671927743053</v>
      </c>
      <c r="F32" s="3" t="s">
        <v>61</v>
      </c>
      <c r="G32" s="3" t="s">
        <v>60</v>
      </c>
      <c r="H32" s="3" t="s">
        <v>62</v>
      </c>
      <c r="I32" s="3" t="s">
        <v>0</v>
      </c>
      <c r="J32" s="3" t="s">
        <v>50</v>
      </c>
      <c r="L32" s="3" t="s">
        <v>55</v>
      </c>
      <c r="M32" s="3" t="s">
        <v>56</v>
      </c>
      <c r="N32" s="3" t="s">
        <v>0</v>
      </c>
      <c r="O32" s="3" t="s">
        <v>51</v>
      </c>
      <c r="Q32" s="3" t="s">
        <v>6</v>
      </c>
      <c r="R32" s="3">
        <v>1</v>
      </c>
      <c r="S32" s="3" t="s">
        <v>58</v>
      </c>
      <c r="T32" s="3" t="s">
        <v>57</v>
      </c>
    </row>
    <row r="33" spans="1:20" x14ac:dyDescent="0.2">
      <c r="A33" s="3" t="s">
        <v>70</v>
      </c>
      <c r="B33" s="3" t="s">
        <v>59</v>
      </c>
      <c r="D33" s="3" t="s">
        <v>49</v>
      </c>
      <c r="E33" s="4">
        <v>42006.68116388889</v>
      </c>
      <c r="F33" s="3" t="s">
        <v>61</v>
      </c>
      <c r="G33" s="3" t="s">
        <v>60</v>
      </c>
      <c r="H33" s="3" t="s">
        <v>62</v>
      </c>
      <c r="I33" s="3" t="s">
        <v>0</v>
      </c>
      <c r="J33" s="3" t="s">
        <v>50</v>
      </c>
      <c r="L33" s="3" t="s">
        <v>55</v>
      </c>
      <c r="M33" s="3" t="s">
        <v>56</v>
      </c>
      <c r="N33" s="3" t="s">
        <v>0</v>
      </c>
      <c r="O33" s="3" t="s">
        <v>51</v>
      </c>
      <c r="Q33" s="3" t="s">
        <v>6</v>
      </c>
      <c r="R33" s="3">
        <v>1</v>
      </c>
      <c r="S33" s="3" t="s">
        <v>58</v>
      </c>
      <c r="T33" s="3" t="s">
        <v>57</v>
      </c>
    </row>
    <row r="34" spans="1:20" x14ac:dyDescent="0.2">
      <c r="A34" s="3" t="s">
        <v>70</v>
      </c>
      <c r="B34" s="3" t="s">
        <v>59</v>
      </c>
      <c r="D34" s="3" t="s">
        <v>49</v>
      </c>
      <c r="E34" s="4">
        <v>42006.758270486112</v>
      </c>
      <c r="F34" s="3" t="s">
        <v>61</v>
      </c>
      <c r="G34" s="3" t="s">
        <v>60</v>
      </c>
      <c r="H34" s="3" t="s">
        <v>62</v>
      </c>
      <c r="I34" s="3" t="s">
        <v>0</v>
      </c>
      <c r="J34" s="3" t="s">
        <v>50</v>
      </c>
      <c r="L34" s="3" t="s">
        <v>55</v>
      </c>
      <c r="M34" s="3" t="s">
        <v>56</v>
      </c>
      <c r="N34" s="3" t="s">
        <v>0</v>
      </c>
      <c r="O34" s="3" t="s">
        <v>51</v>
      </c>
      <c r="Q34" s="3" t="s">
        <v>6</v>
      </c>
      <c r="R34" s="3">
        <v>1</v>
      </c>
      <c r="S34" s="3" t="s">
        <v>58</v>
      </c>
      <c r="T34" s="3" t="s">
        <v>57</v>
      </c>
    </row>
    <row r="35" spans="1:20" x14ac:dyDescent="0.2">
      <c r="A35" s="3" t="s">
        <v>70</v>
      </c>
      <c r="B35" s="3" t="s">
        <v>59</v>
      </c>
      <c r="D35" s="3" t="s">
        <v>49</v>
      </c>
      <c r="E35" s="4">
        <v>42006.806928090278</v>
      </c>
      <c r="F35" s="3" t="s">
        <v>61</v>
      </c>
      <c r="G35" s="3" t="s">
        <v>60</v>
      </c>
      <c r="H35" s="3" t="s">
        <v>62</v>
      </c>
      <c r="I35" s="3" t="s">
        <v>0</v>
      </c>
      <c r="J35" s="3" t="s">
        <v>50</v>
      </c>
      <c r="L35" s="3" t="s">
        <v>55</v>
      </c>
      <c r="M35" s="3" t="s">
        <v>56</v>
      </c>
      <c r="N35" s="3" t="s">
        <v>0</v>
      </c>
      <c r="O35" s="3" t="s">
        <v>51</v>
      </c>
      <c r="Q35" s="3" t="s">
        <v>6</v>
      </c>
      <c r="R35" s="3">
        <v>1</v>
      </c>
      <c r="S35" s="3" t="s">
        <v>58</v>
      </c>
      <c r="T35" s="3" t="s">
        <v>57</v>
      </c>
    </row>
    <row r="36" spans="1:20" x14ac:dyDescent="0.2">
      <c r="A36" s="3" t="s">
        <v>70</v>
      </c>
      <c r="B36" s="3" t="s">
        <v>59</v>
      </c>
      <c r="D36" s="3" t="s">
        <v>49</v>
      </c>
      <c r="E36" s="4">
        <v>42007.359624687502</v>
      </c>
      <c r="F36" s="3" t="s">
        <v>61</v>
      </c>
      <c r="G36" s="3" t="s">
        <v>60</v>
      </c>
      <c r="H36" s="3" t="s">
        <v>62</v>
      </c>
      <c r="I36" s="3" t="s">
        <v>0</v>
      </c>
      <c r="J36" s="3" t="s">
        <v>50</v>
      </c>
      <c r="L36" s="3" t="s">
        <v>55</v>
      </c>
      <c r="M36" s="3" t="s">
        <v>56</v>
      </c>
      <c r="N36" s="3" t="s">
        <v>0</v>
      </c>
      <c r="O36" s="3" t="s">
        <v>51</v>
      </c>
      <c r="Q36" s="3" t="s">
        <v>6</v>
      </c>
      <c r="R36" s="3">
        <v>1</v>
      </c>
      <c r="S36" s="3" t="s">
        <v>58</v>
      </c>
      <c r="T36" s="3" t="s">
        <v>57</v>
      </c>
    </row>
    <row r="37" spans="1:20" x14ac:dyDescent="0.2">
      <c r="A37" s="3" t="s">
        <v>70</v>
      </c>
      <c r="B37" s="3" t="s">
        <v>59</v>
      </c>
      <c r="D37" s="3" t="s">
        <v>49</v>
      </c>
      <c r="E37" s="4">
        <v>42007.376024999998</v>
      </c>
      <c r="F37" s="3" t="s">
        <v>61</v>
      </c>
      <c r="G37" s="3" t="s">
        <v>60</v>
      </c>
      <c r="H37" s="3" t="s">
        <v>62</v>
      </c>
      <c r="I37" s="3" t="s">
        <v>0</v>
      </c>
      <c r="J37" s="3" t="s">
        <v>50</v>
      </c>
      <c r="L37" s="3" t="s">
        <v>55</v>
      </c>
      <c r="M37" s="3" t="s">
        <v>56</v>
      </c>
      <c r="N37" s="3" t="s">
        <v>0</v>
      </c>
      <c r="O37" s="3" t="s">
        <v>51</v>
      </c>
      <c r="Q37" s="3" t="s">
        <v>6</v>
      </c>
      <c r="R37" s="3">
        <v>1</v>
      </c>
      <c r="S37" s="3" t="s">
        <v>58</v>
      </c>
      <c r="T37" s="3" t="s">
        <v>57</v>
      </c>
    </row>
    <row r="38" spans="1:20" x14ac:dyDescent="0.2">
      <c r="A38" s="3" t="s">
        <v>70</v>
      </c>
      <c r="B38" s="3" t="s">
        <v>59</v>
      </c>
      <c r="D38" s="3" t="s">
        <v>49</v>
      </c>
      <c r="E38" s="4">
        <v>42007.675735682868</v>
      </c>
      <c r="F38" s="3" t="s">
        <v>61</v>
      </c>
      <c r="G38" s="3" t="s">
        <v>60</v>
      </c>
      <c r="H38" s="3" t="s">
        <v>62</v>
      </c>
      <c r="I38" s="3" t="s">
        <v>0</v>
      </c>
      <c r="J38" s="3" t="s">
        <v>50</v>
      </c>
      <c r="L38" s="3" t="s">
        <v>55</v>
      </c>
      <c r="M38" s="3" t="s">
        <v>56</v>
      </c>
      <c r="N38" s="3" t="s">
        <v>0</v>
      </c>
      <c r="O38" s="3" t="s">
        <v>51</v>
      </c>
      <c r="Q38" s="3" t="s">
        <v>6</v>
      </c>
      <c r="R38" s="3">
        <v>1</v>
      </c>
      <c r="S38" s="3" t="s">
        <v>58</v>
      </c>
      <c r="T38" s="3" t="s">
        <v>57</v>
      </c>
    </row>
    <row r="39" spans="1:20" x14ac:dyDescent="0.2">
      <c r="A39" s="3" t="s">
        <v>70</v>
      </c>
      <c r="B39" s="3" t="s">
        <v>59</v>
      </c>
      <c r="D39" s="3" t="s">
        <v>49</v>
      </c>
      <c r="E39" s="4">
        <v>42008.424855983794</v>
      </c>
      <c r="F39" s="3" t="s">
        <v>61</v>
      </c>
      <c r="G39" s="3" t="s">
        <v>60</v>
      </c>
      <c r="H39" s="3" t="s">
        <v>62</v>
      </c>
      <c r="I39" s="3" t="s">
        <v>0</v>
      </c>
      <c r="J39" s="3" t="s">
        <v>50</v>
      </c>
      <c r="L39" s="3" t="s">
        <v>55</v>
      </c>
      <c r="M39" s="3" t="s">
        <v>56</v>
      </c>
      <c r="N39" s="3" t="s">
        <v>0</v>
      </c>
      <c r="O39" s="3" t="s">
        <v>51</v>
      </c>
      <c r="Q39" s="3" t="s">
        <v>6</v>
      </c>
      <c r="R39" s="3">
        <v>1</v>
      </c>
      <c r="S39" s="3" t="s">
        <v>58</v>
      </c>
      <c r="T39" s="3" t="s">
        <v>57</v>
      </c>
    </row>
    <row r="40" spans="1:20" x14ac:dyDescent="0.2">
      <c r="A40" s="3" t="s">
        <v>70</v>
      </c>
      <c r="B40" s="3" t="s">
        <v>59</v>
      </c>
      <c r="D40" s="3" t="s">
        <v>49</v>
      </c>
      <c r="E40" s="4">
        <v>42008.479277627317</v>
      </c>
      <c r="F40" s="3" t="s">
        <v>61</v>
      </c>
      <c r="G40" s="3" t="s">
        <v>60</v>
      </c>
      <c r="H40" s="3" t="s">
        <v>62</v>
      </c>
      <c r="I40" s="3" t="s">
        <v>0</v>
      </c>
      <c r="J40" s="3" t="s">
        <v>50</v>
      </c>
      <c r="L40" s="3" t="s">
        <v>55</v>
      </c>
      <c r="M40" s="3" t="s">
        <v>56</v>
      </c>
      <c r="N40" s="3" t="s">
        <v>0</v>
      </c>
      <c r="O40" s="3" t="s">
        <v>51</v>
      </c>
      <c r="Q40" s="3" t="s">
        <v>6</v>
      </c>
      <c r="R40" s="3">
        <v>1</v>
      </c>
      <c r="S40" s="3" t="s">
        <v>58</v>
      </c>
      <c r="T40" s="3" t="s">
        <v>57</v>
      </c>
    </row>
    <row r="41" spans="1:20" x14ac:dyDescent="0.2">
      <c r="A41" s="3" t="s">
        <v>70</v>
      </c>
      <c r="B41" s="3" t="s">
        <v>59</v>
      </c>
      <c r="D41" s="3" t="s">
        <v>49</v>
      </c>
      <c r="E41" s="4">
        <v>42008.485157025461</v>
      </c>
      <c r="F41" s="3" t="s">
        <v>61</v>
      </c>
      <c r="G41" s="3" t="s">
        <v>60</v>
      </c>
      <c r="H41" s="3" t="s">
        <v>62</v>
      </c>
      <c r="I41" s="3" t="s">
        <v>0</v>
      </c>
      <c r="J41" s="3" t="s">
        <v>50</v>
      </c>
      <c r="L41" s="3" t="s">
        <v>55</v>
      </c>
      <c r="M41" s="3" t="s">
        <v>56</v>
      </c>
      <c r="N41" s="3" t="s">
        <v>0</v>
      </c>
      <c r="O41" s="3" t="s">
        <v>51</v>
      </c>
      <c r="Q41" s="3" t="s">
        <v>6</v>
      </c>
      <c r="R41" s="3">
        <v>1</v>
      </c>
      <c r="S41" s="3" t="s">
        <v>58</v>
      </c>
      <c r="T41" s="3" t="s">
        <v>57</v>
      </c>
    </row>
    <row r="42" spans="1:20" x14ac:dyDescent="0.2">
      <c r="A42" s="3" t="s">
        <v>70</v>
      </c>
      <c r="B42" s="3" t="s">
        <v>59</v>
      </c>
      <c r="D42" s="3" t="s">
        <v>49</v>
      </c>
      <c r="E42" s="4">
        <v>42008.504809687503</v>
      </c>
      <c r="F42" s="3" t="s">
        <v>61</v>
      </c>
      <c r="G42" s="3" t="s">
        <v>60</v>
      </c>
      <c r="H42" s="3" t="s">
        <v>62</v>
      </c>
      <c r="I42" s="3" t="s">
        <v>0</v>
      </c>
      <c r="J42" s="3" t="s">
        <v>50</v>
      </c>
      <c r="L42" s="3" t="s">
        <v>55</v>
      </c>
      <c r="M42" s="3" t="s">
        <v>56</v>
      </c>
      <c r="N42" s="3" t="s">
        <v>0</v>
      </c>
      <c r="O42" s="3" t="s">
        <v>51</v>
      </c>
      <c r="Q42" s="3" t="s">
        <v>6</v>
      </c>
      <c r="R42" s="3">
        <v>1</v>
      </c>
      <c r="S42" s="3" t="s">
        <v>58</v>
      </c>
      <c r="T42" s="3" t="s">
        <v>57</v>
      </c>
    </row>
    <row r="43" spans="1:20" x14ac:dyDescent="0.2">
      <c r="A43" s="3" t="s">
        <v>70</v>
      </c>
      <c r="B43" s="3" t="s">
        <v>59</v>
      </c>
      <c r="D43" s="3" t="s">
        <v>49</v>
      </c>
      <c r="E43" s="4">
        <v>42008.519300428241</v>
      </c>
      <c r="F43" s="3" t="s">
        <v>61</v>
      </c>
      <c r="G43" s="3" t="s">
        <v>60</v>
      </c>
      <c r="H43" s="3" t="s">
        <v>62</v>
      </c>
      <c r="I43" s="3" t="s">
        <v>0</v>
      </c>
      <c r="J43" s="3" t="s">
        <v>50</v>
      </c>
      <c r="L43" s="3" t="s">
        <v>55</v>
      </c>
      <c r="M43" s="3" t="s">
        <v>56</v>
      </c>
      <c r="N43" s="3" t="s">
        <v>0</v>
      </c>
      <c r="O43" s="3" t="s">
        <v>51</v>
      </c>
      <c r="Q43" s="3" t="s">
        <v>6</v>
      </c>
      <c r="R43" s="3">
        <v>1</v>
      </c>
      <c r="S43" s="3" t="s">
        <v>58</v>
      </c>
      <c r="T43" s="3" t="s">
        <v>57</v>
      </c>
    </row>
  </sheetData>
  <pageMargins left="0.75" right="0.75" top="1" bottom="1" header="0.5" footer="0.5"/>
  <pageSetup fitToHeight="100" orientation="landscape" horizontalDpi="300" verticalDpi="300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1"/>
  <sheetViews>
    <sheetView showGridLines="0" workbookViewId="0">
      <pane ySplit="5" topLeftCell="A6" activePane="bottomLeft" state="frozen"/>
      <selection pane="bottomLeft" activeCell="L20" sqref="L20"/>
    </sheetView>
  </sheetViews>
  <sheetFormatPr defaultColWidth="8.85546875" defaultRowHeight="16.5" x14ac:dyDescent="0.3"/>
  <cols>
    <col min="1" max="1" width="25" style="13" customWidth="1"/>
    <col min="2" max="2" width="17.7109375" style="13" customWidth="1"/>
    <col min="3" max="3" width="26.7109375" style="13" customWidth="1"/>
    <col min="4" max="4" width="12.5703125" style="13" bestFit="1" customWidth="1"/>
    <col min="5" max="5" width="14" style="13" hidden="1" customWidth="1"/>
    <col min="6" max="6" width="18.140625" style="13" hidden="1" customWidth="1"/>
    <col min="7" max="7" width="14.5703125" style="13" hidden="1" customWidth="1"/>
    <col min="8" max="16384" width="8.85546875" style="13"/>
  </cols>
  <sheetData>
    <row r="1" spans="1:7" s="11" customFormat="1" x14ac:dyDescent="0.3">
      <c r="A1" s="15" t="s">
        <v>45</v>
      </c>
      <c r="C1" s="14">
        <f>Data!B2</f>
        <v>42038.431760405096</v>
      </c>
      <c r="D1" s="14"/>
      <c r="E1" s="14"/>
      <c r="F1" s="14"/>
      <c r="G1" s="14"/>
    </row>
    <row r="2" spans="1:7" s="11" customFormat="1" x14ac:dyDescent="0.3">
      <c r="A2" s="15" t="s">
        <v>35</v>
      </c>
      <c r="C2" s="14">
        <f>Data!B3</f>
        <v>42005</v>
      </c>
      <c r="D2" s="14"/>
      <c r="E2" s="14"/>
      <c r="F2" s="14"/>
      <c r="G2" s="14"/>
    </row>
    <row r="3" spans="1:7" s="11" customFormat="1" x14ac:dyDescent="0.3">
      <c r="A3" s="15" t="s">
        <v>36</v>
      </c>
      <c r="C3" s="14">
        <f>Data!B4</f>
        <v>42035.999988425923</v>
      </c>
      <c r="D3" s="14"/>
      <c r="E3" s="14"/>
      <c r="F3" s="14"/>
      <c r="G3" s="14"/>
    </row>
    <row r="4" spans="1:7" s="11" customFormat="1" x14ac:dyDescent="0.3"/>
    <row r="5" spans="1:7" s="16" customFormat="1" ht="17.25" x14ac:dyDescent="0.3">
      <c r="A5" s="16" t="s">
        <v>46</v>
      </c>
      <c r="B5" s="16" t="s">
        <v>5</v>
      </c>
      <c r="C5" s="16" t="s">
        <v>63</v>
      </c>
      <c r="D5" s="16" t="s">
        <v>47</v>
      </c>
      <c r="E5" s="16" t="s">
        <v>64</v>
      </c>
      <c r="F5" s="16" t="s">
        <v>65</v>
      </c>
      <c r="G5" s="16" t="s">
        <v>66</v>
      </c>
    </row>
    <row r="6" spans="1:7" x14ac:dyDescent="0.3">
      <c r="A6" s="12" t="str">
        <f>Data!A8</f>
        <v>Vehicle 23759</v>
      </c>
      <c r="B6" s="12" t="str">
        <f>Data!D8</f>
        <v>Entire Organization</v>
      </c>
      <c r="C6" s="14">
        <f>INT(Data!E8)</f>
        <v>42006</v>
      </c>
      <c r="D6" s="17">
        <f>MOD(Data!E8,1)</f>
        <v>0.76660489583446179</v>
      </c>
      <c r="E6" s="18">
        <f>IF(C6&lt;&gt;C5,1,0)</f>
        <v>1</v>
      </c>
      <c r="F6" s="18">
        <f>$C$3-$C$2</f>
        <v>30.99998842592322</v>
      </c>
      <c r="G6" s="21">
        <f>E6/F6</f>
        <v>3.22580765599179E-2</v>
      </c>
    </row>
    <row r="7" spans="1:7" x14ac:dyDescent="0.3">
      <c r="A7" s="12" t="str">
        <f>Data!A9</f>
        <v>Vehicle 23759</v>
      </c>
      <c r="B7" s="12" t="str">
        <f>Data!D9</f>
        <v>Entire Organization</v>
      </c>
      <c r="C7" s="14">
        <f>INT(Data!E9)</f>
        <v>42006</v>
      </c>
      <c r="D7" s="17">
        <f>MOD(Data!E9,1)</f>
        <v>0.79640844907407882</v>
      </c>
      <c r="E7" s="18">
        <f t="shared" ref="E7:E41" si="0">IF(C7&lt;&gt;C6,1,0)</f>
        <v>0</v>
      </c>
      <c r="F7" s="18">
        <f t="shared" ref="F7:F41" si="1">$C$3-$C$2</f>
        <v>30.99998842592322</v>
      </c>
      <c r="G7" s="21">
        <f t="shared" ref="G7:G41" si="2">E7/F7</f>
        <v>0</v>
      </c>
    </row>
    <row r="8" spans="1:7" x14ac:dyDescent="0.3">
      <c r="A8" s="12" t="str">
        <f>Data!A10</f>
        <v>Vehicle 23759</v>
      </c>
      <c r="B8" s="12" t="str">
        <f>Data!D10</f>
        <v>Entire Organization</v>
      </c>
      <c r="C8" s="14">
        <f>INT(Data!E10)</f>
        <v>42007</v>
      </c>
      <c r="D8" s="17">
        <f>MOD(Data!E10,1)</f>
        <v>3.7739039355074055E-2</v>
      </c>
      <c r="E8" s="18">
        <f t="shared" si="0"/>
        <v>1</v>
      </c>
      <c r="F8" s="18">
        <f t="shared" si="1"/>
        <v>30.99998842592322</v>
      </c>
      <c r="G8" s="21">
        <f t="shared" si="2"/>
        <v>3.22580765599179E-2</v>
      </c>
    </row>
    <row r="9" spans="1:7" x14ac:dyDescent="0.3">
      <c r="A9" s="12" t="str">
        <f>Data!A11</f>
        <v>Vehicle 23759</v>
      </c>
      <c r="B9" s="12" t="str">
        <f>Data!D11</f>
        <v>Entire Organization</v>
      </c>
      <c r="C9" s="14">
        <f>INT(Data!E11)</f>
        <v>42007</v>
      </c>
      <c r="D9" s="17">
        <f>MOD(Data!E11,1)</f>
        <v>4.7183796297758818E-2</v>
      </c>
      <c r="E9" s="18">
        <f t="shared" si="0"/>
        <v>0</v>
      </c>
      <c r="F9" s="18">
        <f t="shared" si="1"/>
        <v>30.99998842592322</v>
      </c>
      <c r="G9" s="21">
        <f t="shared" si="2"/>
        <v>0</v>
      </c>
    </row>
    <row r="10" spans="1:7" x14ac:dyDescent="0.3">
      <c r="A10" s="12" t="str">
        <f>Data!A12</f>
        <v>Vehicle 23759</v>
      </c>
      <c r="B10" s="12" t="str">
        <f>Data!D12</f>
        <v>Entire Organization</v>
      </c>
      <c r="C10" s="14">
        <f>INT(Data!E12)</f>
        <v>42007</v>
      </c>
      <c r="D10" s="17">
        <f>MOD(Data!E12,1)</f>
        <v>0.72398912037169794</v>
      </c>
      <c r="E10" s="18">
        <f t="shared" si="0"/>
        <v>0</v>
      </c>
      <c r="F10" s="18">
        <f t="shared" si="1"/>
        <v>30.99998842592322</v>
      </c>
      <c r="G10" s="21">
        <f t="shared" si="2"/>
        <v>0</v>
      </c>
    </row>
    <row r="11" spans="1:7" x14ac:dyDescent="0.3">
      <c r="A11" s="12" t="str">
        <f>Data!A13</f>
        <v>Vehicle 23759</v>
      </c>
      <c r="B11" s="12" t="str">
        <f>Data!D13</f>
        <v>Entire Organization</v>
      </c>
      <c r="C11" s="14">
        <f>INT(Data!E13)</f>
        <v>42007</v>
      </c>
      <c r="D11" s="17">
        <f>MOD(Data!E13,1)</f>
        <v>0.79728804398473585</v>
      </c>
      <c r="E11" s="18">
        <f t="shared" si="0"/>
        <v>0</v>
      </c>
      <c r="F11" s="18">
        <f t="shared" si="1"/>
        <v>30.99998842592322</v>
      </c>
      <c r="G11" s="21">
        <f t="shared" si="2"/>
        <v>0</v>
      </c>
    </row>
    <row r="12" spans="1:7" x14ac:dyDescent="0.3">
      <c r="A12" s="12" t="str">
        <f>Data!A14</f>
        <v>Vehicle 23759</v>
      </c>
      <c r="B12" s="12" t="str">
        <f>Data!D14</f>
        <v>Entire Organization</v>
      </c>
      <c r="C12" s="14">
        <f>INT(Data!E14)</f>
        <v>42007</v>
      </c>
      <c r="D12" s="17">
        <f>MOD(Data!E14,1)</f>
        <v>0.81557473379507428</v>
      </c>
      <c r="E12" s="18">
        <f t="shared" si="0"/>
        <v>0</v>
      </c>
      <c r="F12" s="18">
        <f t="shared" si="1"/>
        <v>30.99998842592322</v>
      </c>
      <c r="G12" s="21">
        <f t="shared" si="2"/>
        <v>0</v>
      </c>
    </row>
    <row r="13" spans="1:7" x14ac:dyDescent="0.3">
      <c r="A13" s="12" t="str">
        <f>Data!A15</f>
        <v>Vehicle 23759</v>
      </c>
      <c r="B13" s="12" t="str">
        <f>Data!D15</f>
        <v>Entire Organization</v>
      </c>
      <c r="C13" s="14">
        <f>INT(Data!E15)</f>
        <v>42007</v>
      </c>
      <c r="D13" s="17">
        <f>MOD(Data!E15,1)</f>
        <v>0.83475324074242963</v>
      </c>
      <c r="E13" s="18">
        <f t="shared" si="0"/>
        <v>0</v>
      </c>
      <c r="F13" s="18">
        <f t="shared" si="1"/>
        <v>30.99998842592322</v>
      </c>
      <c r="G13" s="21">
        <f t="shared" si="2"/>
        <v>0</v>
      </c>
    </row>
    <row r="14" spans="1:7" x14ac:dyDescent="0.3">
      <c r="A14" s="12" t="str">
        <f>Data!A16</f>
        <v>Vehicle 23759</v>
      </c>
      <c r="B14" s="12" t="str">
        <f>Data!D16</f>
        <v>Entire Organization</v>
      </c>
      <c r="C14" s="14">
        <f>INT(Data!E16)</f>
        <v>42007</v>
      </c>
      <c r="D14" s="17">
        <f>MOD(Data!E16,1)</f>
        <v>0.83829464120208286</v>
      </c>
      <c r="E14" s="18">
        <f t="shared" si="0"/>
        <v>0</v>
      </c>
      <c r="F14" s="18">
        <f t="shared" si="1"/>
        <v>30.99998842592322</v>
      </c>
      <c r="G14" s="21">
        <f t="shared" si="2"/>
        <v>0</v>
      </c>
    </row>
    <row r="15" spans="1:7" x14ac:dyDescent="0.3">
      <c r="A15" s="12" t="str">
        <f>Data!A17</f>
        <v>Vehicle 23759</v>
      </c>
      <c r="B15" s="12" t="str">
        <f>Data!D17</f>
        <v>Entire Organization</v>
      </c>
      <c r="C15" s="14">
        <f>INT(Data!E17)</f>
        <v>42008</v>
      </c>
      <c r="D15" s="17">
        <f>MOD(Data!E17,1)</f>
        <v>0.4944636574073229</v>
      </c>
      <c r="E15" s="18">
        <f t="shared" si="0"/>
        <v>1</v>
      </c>
      <c r="F15" s="18">
        <f t="shared" si="1"/>
        <v>30.99998842592322</v>
      </c>
      <c r="G15" s="21">
        <f t="shared" si="2"/>
        <v>3.22580765599179E-2</v>
      </c>
    </row>
    <row r="16" spans="1:7" x14ac:dyDescent="0.3">
      <c r="A16" s="12" t="str">
        <f>Data!A18</f>
        <v>Vehicle 23759</v>
      </c>
      <c r="B16" s="12" t="str">
        <f>Data!D18</f>
        <v>Entire Organization</v>
      </c>
      <c r="C16" s="14">
        <f>INT(Data!E18)</f>
        <v>42008</v>
      </c>
      <c r="D16" s="17">
        <f>MOD(Data!E18,1)</f>
        <v>0.4992669791681692</v>
      </c>
      <c r="E16" s="18">
        <f t="shared" si="0"/>
        <v>0</v>
      </c>
      <c r="F16" s="18">
        <f t="shared" si="1"/>
        <v>30.99998842592322</v>
      </c>
      <c r="G16" s="21">
        <f t="shared" si="2"/>
        <v>0</v>
      </c>
    </row>
    <row r="17" spans="1:7" x14ac:dyDescent="0.3">
      <c r="A17" s="12" t="str">
        <f>Data!A19</f>
        <v>Vehicle 23759</v>
      </c>
      <c r="B17" s="12" t="str">
        <f>Data!D19</f>
        <v>Entire Organization</v>
      </c>
      <c r="C17" s="14">
        <f>INT(Data!E19)</f>
        <v>42009</v>
      </c>
      <c r="D17" s="17">
        <f>MOD(Data!E19,1)</f>
        <v>0.36665138888929505</v>
      </c>
      <c r="E17" s="18">
        <f t="shared" si="0"/>
        <v>1</v>
      </c>
      <c r="F17" s="18">
        <f t="shared" si="1"/>
        <v>30.99998842592322</v>
      </c>
      <c r="G17" s="21">
        <f t="shared" si="2"/>
        <v>3.22580765599179E-2</v>
      </c>
    </row>
    <row r="18" spans="1:7" x14ac:dyDescent="0.3">
      <c r="A18" s="12" t="str">
        <f>Data!A20</f>
        <v>Vehicle 23759</v>
      </c>
      <c r="B18" s="12" t="str">
        <f>Data!D20</f>
        <v>Entire Organization</v>
      </c>
      <c r="C18" s="14">
        <f>INT(Data!E20)</f>
        <v>42009</v>
      </c>
      <c r="D18" s="17">
        <f>MOD(Data!E20,1)</f>
        <v>0.76109606481622905</v>
      </c>
      <c r="E18" s="18">
        <f t="shared" si="0"/>
        <v>0</v>
      </c>
      <c r="F18" s="18">
        <f t="shared" si="1"/>
        <v>30.99998842592322</v>
      </c>
      <c r="G18" s="21">
        <f t="shared" si="2"/>
        <v>0</v>
      </c>
    </row>
    <row r="19" spans="1:7" x14ac:dyDescent="0.3">
      <c r="A19" s="12" t="str">
        <f>Data!A21</f>
        <v>Vehicle 23759</v>
      </c>
      <c r="B19" s="12" t="str">
        <f>Data!D21</f>
        <v>Entire Organization</v>
      </c>
      <c r="C19" s="14">
        <f>INT(Data!E21)</f>
        <v>42009</v>
      </c>
      <c r="D19" s="17">
        <f>MOD(Data!E21,1)</f>
        <v>0.77042427083506482</v>
      </c>
      <c r="E19" s="18">
        <f t="shared" si="0"/>
        <v>0</v>
      </c>
      <c r="F19" s="18">
        <f t="shared" si="1"/>
        <v>30.99998842592322</v>
      </c>
      <c r="G19" s="21">
        <f t="shared" si="2"/>
        <v>0</v>
      </c>
    </row>
    <row r="20" spans="1:7" x14ac:dyDescent="0.3">
      <c r="A20" s="12" t="str">
        <f>Data!A22</f>
        <v>Vehicle 56745</v>
      </c>
      <c r="B20" s="12" t="str">
        <f>Data!D22</f>
        <v>Entire Organization</v>
      </c>
      <c r="C20" s="14">
        <f>INT(Data!E22)</f>
        <v>42005</v>
      </c>
      <c r="D20" s="17">
        <f>MOD(Data!E22,1)</f>
        <v>0.43603665508999256</v>
      </c>
      <c r="E20" s="18">
        <f t="shared" si="0"/>
        <v>1</v>
      </c>
      <c r="F20" s="18">
        <f t="shared" si="1"/>
        <v>30.99998842592322</v>
      </c>
      <c r="G20" s="21">
        <f t="shared" si="2"/>
        <v>3.22580765599179E-2</v>
      </c>
    </row>
    <row r="21" spans="1:7" x14ac:dyDescent="0.3">
      <c r="A21" s="12" t="str">
        <f>Data!A23</f>
        <v>Vehicle 56745</v>
      </c>
      <c r="B21" s="12" t="str">
        <f>Data!D23</f>
        <v>Entire Organization</v>
      </c>
      <c r="C21" s="14">
        <f>INT(Data!E23)</f>
        <v>42005</v>
      </c>
      <c r="D21" s="17">
        <f>MOD(Data!E23,1)</f>
        <v>0.56858287037175614</v>
      </c>
      <c r="E21" s="18">
        <f t="shared" si="0"/>
        <v>0</v>
      </c>
      <c r="F21" s="18">
        <f t="shared" si="1"/>
        <v>30.99998842592322</v>
      </c>
      <c r="G21" s="21">
        <f t="shared" si="2"/>
        <v>0</v>
      </c>
    </row>
    <row r="22" spans="1:7" x14ac:dyDescent="0.3">
      <c r="A22" s="12" t="str">
        <f>Data!A24</f>
        <v>Vehicle 56745</v>
      </c>
      <c r="B22" s="12" t="str">
        <f>Data!D24</f>
        <v>Entire Organization</v>
      </c>
      <c r="C22" s="14">
        <f>INT(Data!E24)</f>
        <v>42005</v>
      </c>
      <c r="D22" s="17">
        <f>MOD(Data!E24,1)</f>
        <v>0.75961296296009095</v>
      </c>
      <c r="E22" s="18">
        <f t="shared" si="0"/>
        <v>0</v>
      </c>
      <c r="F22" s="18">
        <f t="shared" si="1"/>
        <v>30.99998842592322</v>
      </c>
      <c r="G22" s="21">
        <f t="shared" si="2"/>
        <v>0</v>
      </c>
    </row>
    <row r="23" spans="1:7" x14ac:dyDescent="0.3">
      <c r="A23" s="12" t="str">
        <f>Data!A25</f>
        <v>Vehicle 56745</v>
      </c>
      <c r="B23" s="12" t="str">
        <f>Data!D25</f>
        <v>Entire Organization</v>
      </c>
      <c r="C23" s="14">
        <f>INT(Data!E25)</f>
        <v>42005</v>
      </c>
      <c r="D23" s="17">
        <f>MOD(Data!E25,1)</f>
        <v>0.77330517361406237</v>
      </c>
      <c r="E23" s="18">
        <f t="shared" si="0"/>
        <v>0</v>
      </c>
      <c r="F23" s="18">
        <f t="shared" si="1"/>
        <v>30.99998842592322</v>
      </c>
      <c r="G23" s="21">
        <f t="shared" si="2"/>
        <v>0</v>
      </c>
    </row>
    <row r="24" spans="1:7" x14ac:dyDescent="0.3">
      <c r="A24" s="12" t="str">
        <f>Data!A26</f>
        <v>Vehicle 56745</v>
      </c>
      <c r="B24" s="12" t="str">
        <f>Data!D26</f>
        <v>Entire Organization</v>
      </c>
      <c r="C24" s="14">
        <f>INT(Data!E26)</f>
        <v>42005</v>
      </c>
      <c r="D24" s="17">
        <f>MOD(Data!E26,1)</f>
        <v>0.8405504629627103</v>
      </c>
      <c r="E24" s="18">
        <f t="shared" si="0"/>
        <v>0</v>
      </c>
      <c r="F24" s="18">
        <f t="shared" si="1"/>
        <v>30.99998842592322</v>
      </c>
      <c r="G24" s="21">
        <f t="shared" si="2"/>
        <v>0</v>
      </c>
    </row>
    <row r="25" spans="1:7" x14ac:dyDescent="0.3">
      <c r="A25" s="12" t="str">
        <f>Data!A27</f>
        <v>Vehicle 56745</v>
      </c>
      <c r="B25" s="12" t="str">
        <f>Data!D27</f>
        <v>Entire Organization</v>
      </c>
      <c r="C25" s="14">
        <f>INT(Data!E27)</f>
        <v>42006</v>
      </c>
      <c r="D25" s="17">
        <f>MOD(Data!E27,1)</f>
        <v>0.37213607638841495</v>
      </c>
      <c r="E25" s="18">
        <f t="shared" si="0"/>
        <v>1</v>
      </c>
      <c r="F25" s="18">
        <f t="shared" si="1"/>
        <v>30.99998842592322</v>
      </c>
      <c r="G25" s="21">
        <f t="shared" si="2"/>
        <v>3.22580765599179E-2</v>
      </c>
    </row>
    <row r="26" spans="1:7" x14ac:dyDescent="0.3">
      <c r="A26" s="12" t="str">
        <f>Data!A28</f>
        <v>Vehicle 56745</v>
      </c>
      <c r="B26" s="12" t="str">
        <f>Data!D28</f>
        <v>Entire Organization</v>
      </c>
      <c r="C26" s="14">
        <f>INT(Data!E28)</f>
        <v>42006</v>
      </c>
      <c r="D26" s="17">
        <f>MOD(Data!E28,1)</f>
        <v>0.45735628472175449</v>
      </c>
      <c r="E26" s="18">
        <f t="shared" si="0"/>
        <v>0</v>
      </c>
      <c r="F26" s="18">
        <f t="shared" si="1"/>
        <v>30.99998842592322</v>
      </c>
      <c r="G26" s="21">
        <f t="shared" si="2"/>
        <v>0</v>
      </c>
    </row>
    <row r="27" spans="1:7" x14ac:dyDescent="0.3">
      <c r="A27" s="12" t="str">
        <f>Data!A29</f>
        <v>Vehicle 56745</v>
      </c>
      <c r="B27" s="12" t="str">
        <f>Data!D29</f>
        <v>Entire Organization</v>
      </c>
      <c r="C27" s="14">
        <f>INT(Data!E29)</f>
        <v>42006</v>
      </c>
      <c r="D27" s="17">
        <f>MOD(Data!E29,1)</f>
        <v>0.47272635416447883</v>
      </c>
      <c r="E27" s="18">
        <f t="shared" si="0"/>
        <v>0</v>
      </c>
      <c r="F27" s="18">
        <f t="shared" si="1"/>
        <v>30.99998842592322</v>
      </c>
      <c r="G27" s="21">
        <f t="shared" si="2"/>
        <v>0</v>
      </c>
    </row>
    <row r="28" spans="1:7" x14ac:dyDescent="0.3">
      <c r="A28" s="12" t="str">
        <f>Data!A30</f>
        <v>Vehicle 56745</v>
      </c>
      <c r="B28" s="12" t="str">
        <f>Data!D30</f>
        <v>Entire Organization</v>
      </c>
      <c r="C28" s="14">
        <f>INT(Data!E30)</f>
        <v>42006</v>
      </c>
      <c r="D28" s="17">
        <f>MOD(Data!E30,1)</f>
        <v>0.48530744212621357</v>
      </c>
      <c r="E28" s="18">
        <f t="shared" si="0"/>
        <v>0</v>
      </c>
      <c r="F28" s="18">
        <f t="shared" si="1"/>
        <v>30.99998842592322</v>
      </c>
      <c r="G28" s="21">
        <f t="shared" si="2"/>
        <v>0</v>
      </c>
    </row>
    <row r="29" spans="1:7" x14ac:dyDescent="0.3">
      <c r="A29" s="12" t="str">
        <f>Data!A31</f>
        <v>Vehicle 56745</v>
      </c>
      <c r="B29" s="12" t="str">
        <f>Data!D31</f>
        <v>Entire Organization</v>
      </c>
      <c r="C29" s="14">
        <f>INT(Data!E31)</f>
        <v>42006</v>
      </c>
      <c r="D29" s="17">
        <f>MOD(Data!E31,1)</f>
        <v>0.52939302083541406</v>
      </c>
      <c r="E29" s="18">
        <f t="shared" si="0"/>
        <v>0</v>
      </c>
      <c r="F29" s="18">
        <f t="shared" si="1"/>
        <v>30.99998842592322</v>
      </c>
      <c r="G29" s="21">
        <f t="shared" si="2"/>
        <v>0</v>
      </c>
    </row>
    <row r="30" spans="1:7" x14ac:dyDescent="0.3">
      <c r="A30" s="12" t="str">
        <f>Data!A32</f>
        <v>Vehicle 56745</v>
      </c>
      <c r="B30" s="12" t="str">
        <f>Data!D32</f>
        <v>Entire Organization</v>
      </c>
      <c r="C30" s="14">
        <f>INT(Data!E32)</f>
        <v>42006</v>
      </c>
      <c r="D30" s="17">
        <f>MOD(Data!E32,1)</f>
        <v>0.67192774305294733</v>
      </c>
      <c r="E30" s="18">
        <f t="shared" si="0"/>
        <v>0</v>
      </c>
      <c r="F30" s="18">
        <f t="shared" si="1"/>
        <v>30.99998842592322</v>
      </c>
      <c r="G30" s="21">
        <f t="shared" si="2"/>
        <v>0</v>
      </c>
    </row>
    <row r="31" spans="1:7" x14ac:dyDescent="0.3">
      <c r="A31" s="12" t="str">
        <f>Data!A33</f>
        <v>Vehicle 56745</v>
      </c>
      <c r="B31" s="12" t="str">
        <f>Data!D33</f>
        <v>Entire Organization</v>
      </c>
      <c r="C31" s="14">
        <f>INT(Data!E33)</f>
        <v>42006</v>
      </c>
      <c r="D31" s="17">
        <f>MOD(Data!E33,1)</f>
        <v>0.68116388889029622</v>
      </c>
      <c r="E31" s="18">
        <f t="shared" si="0"/>
        <v>0</v>
      </c>
      <c r="F31" s="18">
        <f t="shared" si="1"/>
        <v>30.99998842592322</v>
      </c>
      <c r="G31" s="21">
        <f t="shared" si="2"/>
        <v>0</v>
      </c>
    </row>
    <row r="32" spans="1:7" x14ac:dyDescent="0.3">
      <c r="A32" s="12" t="str">
        <f>Data!A34</f>
        <v>Vehicle 56745</v>
      </c>
      <c r="B32" s="12" t="str">
        <f>Data!D34</f>
        <v>Entire Organization</v>
      </c>
      <c r="C32" s="14">
        <f>INT(Data!E34)</f>
        <v>42006</v>
      </c>
      <c r="D32" s="17">
        <f>MOD(Data!E34,1)</f>
        <v>0.75827048611245118</v>
      </c>
      <c r="E32" s="18">
        <f t="shared" si="0"/>
        <v>0</v>
      </c>
      <c r="F32" s="18">
        <f t="shared" si="1"/>
        <v>30.99998842592322</v>
      </c>
      <c r="G32" s="21">
        <f t="shared" si="2"/>
        <v>0</v>
      </c>
    </row>
    <row r="33" spans="1:7" x14ac:dyDescent="0.3">
      <c r="A33" s="12" t="str">
        <f>Data!A35</f>
        <v>Vehicle 56745</v>
      </c>
      <c r="B33" s="12" t="str">
        <f>Data!D35</f>
        <v>Entire Organization</v>
      </c>
      <c r="C33" s="14">
        <f>INT(Data!E35)</f>
        <v>42006</v>
      </c>
      <c r="D33" s="17">
        <f>MOD(Data!E35,1)</f>
        <v>0.80692809027823387</v>
      </c>
      <c r="E33" s="18">
        <f t="shared" si="0"/>
        <v>0</v>
      </c>
      <c r="F33" s="18">
        <f t="shared" si="1"/>
        <v>30.99998842592322</v>
      </c>
      <c r="G33" s="21">
        <f t="shared" si="2"/>
        <v>0</v>
      </c>
    </row>
    <row r="34" spans="1:7" x14ac:dyDescent="0.3">
      <c r="A34" s="12" t="str">
        <f>Data!A36</f>
        <v>Vehicle 56745</v>
      </c>
      <c r="B34" s="12" t="str">
        <f>Data!D36</f>
        <v>Entire Organization</v>
      </c>
      <c r="C34" s="14">
        <f>INT(Data!E36)</f>
        <v>42007</v>
      </c>
      <c r="D34" s="17">
        <f>MOD(Data!E36,1)</f>
        <v>0.35962468750221888</v>
      </c>
      <c r="E34" s="18">
        <f t="shared" si="0"/>
        <v>1</v>
      </c>
      <c r="F34" s="18">
        <f t="shared" si="1"/>
        <v>30.99998842592322</v>
      </c>
      <c r="G34" s="21">
        <f t="shared" si="2"/>
        <v>3.22580765599179E-2</v>
      </c>
    </row>
    <row r="35" spans="1:7" x14ac:dyDescent="0.3">
      <c r="A35" s="12" t="str">
        <f>Data!A37</f>
        <v>Vehicle 56745</v>
      </c>
      <c r="B35" s="12" t="str">
        <f>Data!D37</f>
        <v>Entire Organization</v>
      </c>
      <c r="C35" s="14">
        <f>INT(Data!E37)</f>
        <v>42007</v>
      </c>
      <c r="D35" s="17">
        <f>MOD(Data!E37,1)</f>
        <v>0.37602499999775318</v>
      </c>
      <c r="E35" s="18">
        <f t="shared" si="0"/>
        <v>0</v>
      </c>
      <c r="F35" s="18">
        <f t="shared" si="1"/>
        <v>30.99998842592322</v>
      </c>
      <c r="G35" s="21">
        <f t="shared" si="2"/>
        <v>0</v>
      </c>
    </row>
    <row r="36" spans="1:7" x14ac:dyDescent="0.3">
      <c r="A36" s="12" t="str">
        <f>Data!A38</f>
        <v>Vehicle 56745</v>
      </c>
      <c r="B36" s="12" t="str">
        <f>Data!D38</f>
        <v>Entire Organization</v>
      </c>
      <c r="C36" s="14">
        <f>INT(Data!E38)</f>
        <v>42007</v>
      </c>
      <c r="D36" s="17">
        <f>MOD(Data!E38,1)</f>
        <v>0.67573568286752561</v>
      </c>
      <c r="E36" s="18">
        <f t="shared" si="0"/>
        <v>0</v>
      </c>
      <c r="F36" s="18">
        <f t="shared" si="1"/>
        <v>30.99998842592322</v>
      </c>
      <c r="G36" s="21">
        <f t="shared" si="2"/>
        <v>0</v>
      </c>
    </row>
    <row r="37" spans="1:7" x14ac:dyDescent="0.3">
      <c r="A37" s="12" t="str">
        <f>Data!A39</f>
        <v>Vehicle 56745</v>
      </c>
      <c r="B37" s="12" t="str">
        <f>Data!D39</f>
        <v>Entire Organization</v>
      </c>
      <c r="C37" s="14">
        <f>INT(Data!E39)</f>
        <v>42008</v>
      </c>
      <c r="D37" s="17">
        <f>MOD(Data!E39,1)</f>
        <v>0.42485598379425937</v>
      </c>
      <c r="E37" s="18">
        <f t="shared" si="0"/>
        <v>1</v>
      </c>
      <c r="F37" s="18">
        <f t="shared" si="1"/>
        <v>30.99998842592322</v>
      </c>
      <c r="G37" s="21">
        <f t="shared" si="2"/>
        <v>3.22580765599179E-2</v>
      </c>
    </row>
    <row r="38" spans="1:7" x14ac:dyDescent="0.3">
      <c r="A38" s="12" t="str">
        <f>Data!A40</f>
        <v>Vehicle 56745</v>
      </c>
      <c r="B38" s="12" t="str">
        <f>Data!D40</f>
        <v>Entire Organization</v>
      </c>
      <c r="C38" s="14">
        <f>INT(Data!E40)</f>
        <v>42008</v>
      </c>
      <c r="D38" s="17">
        <f>MOD(Data!E40,1)</f>
        <v>0.47927762731706025</v>
      </c>
      <c r="E38" s="18">
        <f t="shared" si="0"/>
        <v>0</v>
      </c>
      <c r="F38" s="18">
        <f t="shared" si="1"/>
        <v>30.99998842592322</v>
      </c>
      <c r="G38" s="21">
        <f t="shared" si="2"/>
        <v>0</v>
      </c>
    </row>
    <row r="39" spans="1:7" x14ac:dyDescent="0.3">
      <c r="A39" s="12" t="str">
        <f>Data!A41</f>
        <v>Vehicle 56745</v>
      </c>
      <c r="B39" s="12" t="str">
        <f>Data!D41</f>
        <v>Entire Organization</v>
      </c>
      <c r="C39" s="14">
        <f>INT(Data!E41)</f>
        <v>42008</v>
      </c>
      <c r="D39" s="17">
        <f>MOD(Data!E41,1)</f>
        <v>0.48515702546137618</v>
      </c>
      <c r="E39" s="18">
        <f t="shared" si="0"/>
        <v>0</v>
      </c>
      <c r="F39" s="18">
        <f t="shared" si="1"/>
        <v>30.99998842592322</v>
      </c>
      <c r="G39" s="21">
        <f t="shared" si="2"/>
        <v>0</v>
      </c>
    </row>
    <row r="40" spans="1:7" x14ac:dyDescent="0.3">
      <c r="A40" s="12" t="str">
        <f>Data!A42</f>
        <v>Vehicle 56745</v>
      </c>
      <c r="B40" s="12" t="str">
        <f>Data!D42</f>
        <v>Entire Organization</v>
      </c>
      <c r="C40" s="14">
        <f>INT(Data!E42)</f>
        <v>42008</v>
      </c>
      <c r="D40" s="17">
        <f>MOD(Data!E42,1)</f>
        <v>0.50480968750343891</v>
      </c>
      <c r="E40" s="18">
        <f t="shared" si="0"/>
        <v>0</v>
      </c>
      <c r="F40" s="18">
        <f t="shared" si="1"/>
        <v>30.99998842592322</v>
      </c>
      <c r="G40" s="21">
        <f t="shared" si="2"/>
        <v>0</v>
      </c>
    </row>
    <row r="41" spans="1:7" x14ac:dyDescent="0.3">
      <c r="A41" s="12" t="str">
        <f>Data!A43</f>
        <v>Vehicle 56745</v>
      </c>
      <c r="B41" s="12" t="str">
        <f>Data!D43</f>
        <v>Entire Organization</v>
      </c>
      <c r="C41" s="14">
        <f>INT(Data!E43)</f>
        <v>42008</v>
      </c>
      <c r="D41" s="17">
        <f>MOD(Data!E43,1)</f>
        <v>0.51930042824096745</v>
      </c>
      <c r="E41" s="18">
        <f t="shared" si="0"/>
        <v>0</v>
      </c>
      <c r="F41" s="18">
        <f t="shared" si="1"/>
        <v>30.99998842592322</v>
      </c>
      <c r="G41" s="21">
        <f t="shared" si="2"/>
        <v>0</v>
      </c>
    </row>
  </sheetData>
  <autoFilter ref="A5:G4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4"/>
  <sheetViews>
    <sheetView showGridLines="0" tabSelected="1" workbookViewId="0">
      <selection activeCell="H29" sqref="H29"/>
    </sheetView>
  </sheetViews>
  <sheetFormatPr defaultRowHeight="12.75" x14ac:dyDescent="0.2"/>
  <cols>
    <col min="1" max="1" width="24" customWidth="1"/>
    <col min="2" max="2" width="19.42578125" customWidth="1"/>
    <col min="3" max="3" width="20.7109375" bestFit="1" customWidth="1"/>
    <col min="4" max="5" width="24" customWidth="1"/>
    <col min="6" max="6" width="23.140625" customWidth="1"/>
    <col min="7" max="7" width="24.7109375" customWidth="1"/>
    <col min="8" max="8" width="14.28515625" customWidth="1"/>
    <col min="9" max="9" width="15.28515625" customWidth="1"/>
    <col min="10" max="10" width="14.28515625" customWidth="1"/>
  </cols>
  <sheetData>
    <row r="1" spans="1:7" s="6" customFormat="1" ht="23.25" x14ac:dyDescent="0.35">
      <c r="A1" s="6" t="s">
        <v>68</v>
      </c>
      <c r="G1" s="7"/>
    </row>
    <row r="3" spans="1:7" ht="15" x14ac:dyDescent="0.25">
      <c r="A3" s="8" t="s">
        <v>35</v>
      </c>
      <c r="B3" s="9">
        <f>Data!B3</f>
        <v>42005</v>
      </c>
    </row>
    <row r="4" spans="1:7" ht="15" x14ac:dyDescent="0.25">
      <c r="A4" s="8" t="s">
        <v>36</v>
      </c>
      <c r="B4" s="9">
        <f>Data!B4</f>
        <v>42035.999988425923</v>
      </c>
    </row>
    <row r="6" spans="1:7" x14ac:dyDescent="0.2">
      <c r="A6" s="10" t="s">
        <v>46</v>
      </c>
      <c r="B6" t="s">
        <v>67</v>
      </c>
    </row>
    <row r="7" spans="1:7" x14ac:dyDescent="0.2">
      <c r="A7" t="s">
        <v>69</v>
      </c>
      <c r="B7" s="19">
        <v>0.1290323062396716</v>
      </c>
    </row>
    <row r="8" spans="1:7" x14ac:dyDescent="0.2">
      <c r="A8" t="s">
        <v>70</v>
      </c>
      <c r="B8" s="19">
        <v>0.1290323062396716</v>
      </c>
      <c r="F8" s="20"/>
    </row>
    <row r="9" spans="1:7" x14ac:dyDescent="0.2">
      <c r="F9" s="20"/>
    </row>
    <row r="10" spans="1:7" x14ac:dyDescent="0.2">
      <c r="F10" s="20"/>
    </row>
    <row r="11" spans="1:7" x14ac:dyDescent="0.2">
      <c r="F11" s="20"/>
    </row>
    <row r="12" spans="1:7" x14ac:dyDescent="0.2">
      <c r="F12" s="20"/>
    </row>
    <row r="13" spans="1:7" x14ac:dyDescent="0.2">
      <c r="F13" s="20"/>
    </row>
    <row r="14" spans="1:7" x14ac:dyDescent="0.2">
      <c r="F14" s="20"/>
    </row>
    <row r="15" spans="1:7" x14ac:dyDescent="0.2">
      <c r="F15" s="20"/>
    </row>
    <row r="16" spans="1:7" x14ac:dyDescent="0.2">
      <c r="F16" s="20"/>
    </row>
    <row r="17" spans="6:6" x14ac:dyDescent="0.2">
      <c r="F17" s="20"/>
    </row>
    <row r="18" spans="6:6" x14ac:dyDescent="0.2">
      <c r="F18" s="20"/>
    </row>
    <row r="19" spans="6:6" x14ac:dyDescent="0.2">
      <c r="F19" s="20"/>
    </row>
    <row r="20" spans="6:6" x14ac:dyDescent="0.2">
      <c r="F20" s="20"/>
    </row>
    <row r="21" spans="6:6" x14ac:dyDescent="0.2">
      <c r="F21" s="20"/>
    </row>
    <row r="22" spans="6:6" x14ac:dyDescent="0.2">
      <c r="F22" s="20"/>
    </row>
    <row r="23" spans="6:6" x14ac:dyDescent="0.2">
      <c r="F23" s="20"/>
    </row>
    <row r="24" spans="6:6" x14ac:dyDescent="0.2">
      <c r="F24" s="20"/>
    </row>
  </sheetData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Report</vt:lpstr>
      <vt:lpstr>Summary</vt:lpstr>
      <vt:lpstr>AllData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</dc:creator>
  <cp:lastModifiedBy>Angie Milne</cp:lastModifiedBy>
  <dcterms:created xsi:type="dcterms:W3CDTF">2009-12-18T16:46:35Z</dcterms:created>
  <dcterms:modified xsi:type="dcterms:W3CDTF">2015-09-04T14:01:21Z</dcterms:modified>
</cp:coreProperties>
</file>