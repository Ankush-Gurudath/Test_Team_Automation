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workbookPr/>
  <mc:AlternateContent xmlns:mc="http://schemas.openxmlformats.org/markup-compatibility/2006">
    <mc:Choice Requires="x15">
      <x15ac:absPath xmlns:x15ac="http://schemas.microsoft.com/office/spreadsheetml/2010/11/ac" url="C:\Users\benschwartz\Downloads\"/>
    </mc:Choice>
  </mc:AlternateContent>
  <bookViews>
    <workbookView xWindow="0" yWindow="0" windowWidth="20400" windowHeight="6630" firstSheet="2" activeTab="2"/>
  </bookViews>
  <sheets>
    <sheet name="Data" sheetId="1" state="hidden" r:id="rId1"/>
    <sheet name="Report" sheetId="2" state="hidden" r:id="rId2"/>
    <sheet name="Summary" sheetId="3" r:id="rId3"/>
    <sheet name="Languages" sheetId="4" state="hidden" r:id="rId4"/>
  </sheets>
  <definedNames>
    <definedName name="AllData">Report!$A$10:$J$13</definedName>
  </definedNames>
  <calcPr calcId="171027"/>
  <pivotCaches>
    <pivotCache cacheId="16" r:id="rId5"/>
  </pivotCaches>
</workbook>
</file>

<file path=xl/calcChain.xml><?xml version="1.0" encoding="utf-8"?>
<calcChain xmlns="http://schemas.openxmlformats.org/spreadsheetml/2006/main">
  <c r="E12" i="2" l="1"/>
  <c r="E13" i="2"/>
  <c r="E11" i="2"/>
  <c r="B5" i="2" l="1"/>
  <c r="B3" i="3"/>
  <c r="B7" i="2"/>
  <c r="G12" i="2" s="1"/>
  <c r="B6" i="2"/>
  <c r="F12" i="2" s="1"/>
  <c r="J13" i="2"/>
  <c r="I13" i="2"/>
  <c r="H13" i="2"/>
  <c r="C13" i="2"/>
  <c r="B13" i="2"/>
  <c r="A13" i="2"/>
  <c r="J12" i="2"/>
  <c r="I12" i="2"/>
  <c r="H12" i="2"/>
  <c r="C12" i="2"/>
  <c r="B12" i="2"/>
  <c r="A12" i="2"/>
  <c r="J11" i="2"/>
  <c r="I11" i="2"/>
  <c r="H11" i="2"/>
  <c r="C11" i="2"/>
  <c r="B11" i="2"/>
  <c r="A11" i="2"/>
  <c r="B4" i="2"/>
  <c r="B3" i="2"/>
  <c r="F13" i="2" l="1"/>
  <c r="G11" i="2"/>
  <c r="F11" i="2"/>
  <c r="G13" i="2"/>
  <c r="D12" i="2"/>
  <c r="D13" i="2" l="1"/>
  <c r="D11" i="2"/>
  <c r="B8" i="2" s="1"/>
  <c r="B4" i="1" s="1"/>
</calcChain>
</file>

<file path=xl/comments1.xml><?xml version="1.0" encoding="utf-8"?>
<comments xmlns="http://schemas.openxmlformats.org/spreadsheetml/2006/main">
  <authors>
    <author>Thomas</author>
  </authors>
  <commentList>
    <comment ref="A1" authorId="0" shapeId="0">
      <text>
        <r>
          <rPr>
            <sz val="10"/>
            <rFont val="Arial"/>
            <family val="2"/>
          </rPr>
          <t>Reminder.1</t>
        </r>
      </text>
    </comment>
  </commentList>
</comments>
</file>

<file path=xl/sharedStrings.xml><?xml version="1.0" encoding="utf-8"?>
<sst xmlns="http://schemas.openxmlformats.org/spreadsheetml/2006/main" count="142" uniqueCount="111">
  <si>
    <t>CompanyName</t>
  </si>
  <si>
    <t>RunDate</t>
  </si>
  <si>
    <t>DistanceUnit</t>
  </si>
  <si>
    <t>SendReport</t>
  </si>
  <si>
    <t>Device.DeviceName</t>
  </si>
  <si>
    <t>DeviceId</t>
  </si>
  <si>
    <t>DeviceGroup</t>
  </si>
  <si>
    <t>DeviceComment</t>
  </si>
  <si>
    <t>EventRuleName</t>
  </si>
  <si>
    <t>EventRuleId</t>
  </si>
  <si>
    <t>EventRuleKilometers</t>
  </si>
  <si>
    <t>EventRuleMonths</t>
  </si>
  <si>
    <t>EventRuleDateTime</t>
  </si>
  <si>
    <t>EventRuleEngineHours</t>
  </si>
  <si>
    <t>EventRuleComment</t>
  </si>
  <si>
    <t>EventOccuranceEventDate</t>
  </si>
  <si>
    <t>EventOccuranceAdjustedOdometer</t>
  </si>
  <si>
    <t>EventOccuranceComment</t>
  </si>
  <si>
    <t>ReminderEventEventRuleType</t>
  </si>
  <si>
    <t>ReminderEventDueDate</t>
  </si>
  <si>
    <t>ReminderEventDueDistance</t>
  </si>
  <si>
    <t>ReminderEventDueEngineHours</t>
  </si>
  <si>
    <t>Template Vehicle 1</t>
  </si>
  <si>
    <t>Template Group 1</t>
  </si>
  <si>
    <t>MonthlyOrMilesBased</t>
  </si>
  <si>
    <t>Template Vehicle 2</t>
  </si>
  <si>
    <t>Template Group 2</t>
  </si>
  <si>
    <t>Template Vehicle 3</t>
  </si>
  <si>
    <t>Template Group 3</t>
  </si>
  <si>
    <t>EngineHoursBased</t>
  </si>
  <si>
    <t>Due Days</t>
  </si>
  <si>
    <t>Due Distance</t>
  </si>
  <si>
    <t>Due Hours</t>
  </si>
  <si>
    <t>Send Report</t>
  </si>
  <si>
    <t>TRUE</t>
  </si>
  <si>
    <t>Due Date?</t>
  </si>
  <si>
    <t>Due Distance?</t>
  </si>
  <si>
    <t>Due Hours?</t>
  </si>
  <si>
    <t>-1000</t>
  </si>
  <si>
    <t>Test Company</t>
  </si>
  <si>
    <t>Oil Change</t>
  </si>
  <si>
    <t>Inspect Wiper Blades</t>
  </si>
  <si>
    <t>Tire Rotation</t>
  </si>
  <si>
    <t>miles</t>
  </si>
  <si>
    <t>English</t>
  </si>
  <si>
    <t>French</t>
  </si>
  <si>
    <t>Spanish</t>
  </si>
  <si>
    <t>German</t>
  </si>
  <si>
    <t>Japanese</t>
  </si>
  <si>
    <t>**Vehicle</t>
  </si>
  <si>
    <t>Véhicule</t>
  </si>
  <si>
    <t>Vehículo</t>
  </si>
  <si>
    <t>Fahrzeug</t>
  </si>
  <si>
    <t>車両</t>
  </si>
  <si>
    <t>**Device Group</t>
  </si>
  <si>
    <t>Groupe de dispositifs</t>
  </si>
  <si>
    <t>Grupo de dispositivos</t>
  </si>
  <si>
    <t>Gerätegruppe</t>
  </si>
  <si>
    <t>デバイスグループ</t>
  </si>
  <si>
    <t>**Reminder</t>
  </si>
  <si>
    <t>Rappel</t>
  </si>
  <si>
    <t>Recordatorio</t>
  </si>
  <si>
    <t>Erinnerung</t>
  </si>
  <si>
    <t>リマインダー</t>
  </si>
  <si>
    <t>**Due Date</t>
  </si>
  <si>
    <t>Date d'échéance</t>
  </si>
  <si>
    <t>Fecha de entrega</t>
  </si>
  <si>
    <t>Fälligkeitsdatum</t>
  </si>
  <si>
    <t>期日</t>
  </si>
  <si>
    <t>**Due Distance</t>
  </si>
  <si>
    <t>Distance dépassée</t>
  </si>
  <si>
    <t>Distancia sobrepasada</t>
  </si>
  <si>
    <t>Fälligkeitsentfernung</t>
  </si>
  <si>
    <t>距離の期日まで</t>
  </si>
  <si>
    <t>**Due Engine Hours</t>
  </si>
  <si>
    <t>Heures-moteur dépassées</t>
  </si>
  <si>
    <t>Horas de motor sobrepasadas</t>
  </si>
  <si>
    <t>Fälligkeitsmotorenstunden</t>
  </si>
  <si>
    <t>エンジン時間の期日まで</t>
  </si>
  <si>
    <t>**Created</t>
  </si>
  <si>
    <t>Créé</t>
  </si>
  <si>
    <t>Creado</t>
  </si>
  <si>
    <t>Angelegt</t>
  </si>
  <si>
    <t>作成済</t>
  </si>
  <si>
    <t>**Distance Unit</t>
  </si>
  <si>
    <t>Unité de distance</t>
  </si>
  <si>
    <t>Unidad de distancia</t>
  </si>
  <si>
    <t>Entfernungseinheit</t>
  </si>
  <si>
    <t>距離の単位</t>
  </si>
  <si>
    <t>**Total</t>
  </si>
  <si>
    <t>Total</t>
  </si>
  <si>
    <t>合計</t>
  </si>
  <si>
    <t>**Due Days</t>
  </si>
  <si>
    <t>Jours d’échéance</t>
  </si>
  <si>
    <t>予定日数</t>
  </si>
  <si>
    <t>**Dynamic Vehicle Maintenance Reminder</t>
  </si>
  <si>
    <t>Dynamische Fahrzeugwartungserinnerung</t>
  </si>
  <si>
    <t>Rappel d’entretien dynamique du véhicule</t>
  </si>
  <si>
    <t>Recordatorio dinámico del mantenimiento del vehículo</t>
  </si>
  <si>
    <t>車両のメンテナンスダイナミックリマインダー</t>
  </si>
  <si>
    <t>**Report Description</t>
  </si>
  <si>
    <t>**This report will only distribute via email if the due date, due distance or due hours of a reminder rule are within the values you specify to the left of this text box. You can enter these criteria in cells B5 - B7 of this sheet. Note, a minimum of one of these cells is required to be populated in order for the dynamic sending feature to work.</t>
  </si>
  <si>
    <t>Berichtbeschreibung</t>
  </si>
  <si>
    <t>Descripción del reporte</t>
  </si>
  <si>
    <t>Description du rapport</t>
  </si>
  <si>
    <t>レポート詳細説明</t>
  </si>
  <si>
    <t>Dieser Bericht wird nur per E-Mail versendet, wenn das Fälligkeitsdatum, die Kilometer- oder Betriebsstundenleistung in den Wertebereich der Erinnerungsregel fällt, den Sie auf der linken Seite dieses Textfeldes festgelegt haben. Sie können diese Kriterien in die Zellen B5 - B7 auf diesem Blatt eingeben. Beachten Sie bitte, dass mindestens ein dieser Zellen aufgefüllt werden muss, damit die dynamische Sendefunktion genutzt werden kann.</t>
  </si>
  <si>
    <t>Este reporte solamente se distribuirá por correo electrónico si la fecha límite, la distancia límite o las horas límite de una regla de recordatorio se encuentran dentro de los valores que especifique a la izquierda de este cuadro de texto. Puede introducir estos criterios en las celdas B5 - B7 de esta hoja. Tenga en cuenta que debe llenar como mínimo una de estas celdas para que la característica de envío dinámico funcione.</t>
  </si>
  <si>
    <t>Ce rapport sera distribué par courriel uniquement si la date, la distance ou les heures d’échéance d’une règle de rappel sont conformes aux critères que vous précisez à gauche de cette zone de texte. Vous pouvez entrer ces critères dans les cellules B5 à B7 de cette feuille. Remarque : au moins une de ces cellules doit être remplie pour activer l’option d’envoi dynamique.</t>
  </si>
  <si>
    <t>このレポートは、リマインダールールの実施予定の期日や距離、時間等の条件がこのテキストボックス左側で指定する値の範囲内にある場合に、Email でのみ配信されます。このシートの B5~B7 にそれらの条件を入力します。この動的な送信機能を動作させるには、セルのうち少なくとも 1 つにデータが入力されていることが必要ですのでご注意ください。</t>
  </si>
  <si>
    <t xml:space="preserve">
**This report will only distribute via email if the due date, due distance or due hours of a reminder rule are within the values you specify to the left of this text box. You can enter these criteria in cells B5 - B7 of this sheet. Note, a minimum of one of these cells is required to be populated in order for the dynamic sending feature to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</si>
</sst>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m/d/yyyy;@"/>
    <numFmt numFmtId="165" formatCode="[h]:mm;@"/>
    <numFmt numFmtId="166" formatCode="dd/mm/yyyy\ h:mm:ss\ \a;@"/>
    <numFmt numFmtId="167" formatCode="mmm\ dd\,\ yyyy;@"/>
    <numFmt numFmtId="168" formatCode="[$-409]mmmm\ d\,\ yyyy;@"/>
    <numFmt numFmtId="169" formatCode="[$-409]d\-mmm\-yy;@"/>
  </numFmts>
  <fonts count="27" x14ac:knownFonts="1">
    <font>
      <sz val="10"/>
      <color rgb="FF000000"/>
      <name val="Arial"/>
      <family val="2"/>
    </font>
    <font>
      <sz val="11"/>
      <color rgb="FF000000"/>
      <name val="Calibri"/>
      <family val="2"/>
    </font>
    <font>
      <b/>
      <sz val="9"/>
      <color rgb="FF000000"/>
      <name val="Calibri"/>
      <family val="2"/>
    </font>
    <font>
      <b/>
      <sz val="8"/>
      <color rgb="FF000000"/>
      <name val="Tahoma"/>
      <family val="2"/>
    </font>
    <font>
      <b/>
      <sz val="11"/>
      <color rgb="FF000000"/>
      <name val="Calibri"/>
      <family val="2"/>
    </font>
    <font>
      <b/>
      <sz val="10"/>
      <color rgb="FF000000"/>
      <name val="Calibri"/>
      <family val="2"/>
    </font>
    <font>
      <sz val="8"/>
      <color rgb="FF000000"/>
      <name val="Tahoma"/>
      <family val="2"/>
    </font>
    <font>
      <b/>
      <sz val="18"/>
      <color rgb="FFFFFFFF"/>
      <name val="Calibri"/>
      <family val="2"/>
    </font>
    <font>
      <sz val="18"/>
      <color rgb="FFFFFFFF"/>
      <name val="Calibri"/>
      <family val="2"/>
    </font>
    <font>
      <b/>
      <sz val="18"/>
      <color rgb="FFFFFFFF"/>
      <name val="Calibri"/>
      <family val="2"/>
      <scheme val="minor"/>
    </font>
    <font>
      <sz val="11"/>
      <color rgb="FF000000"/>
      <name val="Calibri"/>
      <family val="2"/>
      <scheme val="minor"/>
    </font>
    <font>
      <sz val="18"/>
      <color rgb="FFFFFFFF"/>
      <name val="Calibri"/>
      <family val="2"/>
      <scheme val="minor"/>
    </font>
    <font>
      <sz val="14"/>
      <color rgb="FFFFFFFF"/>
      <name val="Calibri"/>
      <family val="2"/>
      <scheme val="minor"/>
    </font>
    <font>
      <b/>
      <sz val="11"/>
      <color theme="2" tint="-0.749992370372631"/>
      <name val="Calibri"/>
      <family val="2"/>
      <scheme val="minor"/>
    </font>
    <font>
      <sz val="11"/>
      <color theme="2" tint="-0.749992370372631"/>
      <name val="Calibri"/>
      <family val="2"/>
      <scheme val="minor"/>
    </font>
    <font>
      <sz val="10"/>
      <color theme="2" tint="-0.749992370372631"/>
      <name val="Calibri"/>
      <family val="2"/>
      <scheme val="minor"/>
    </font>
    <font>
      <b/>
      <sz val="10"/>
      <color theme="2" tint="-0.749992370372631"/>
      <name val="Calibri"/>
      <family val="2"/>
    </font>
    <font>
      <sz val="11"/>
      <color theme="2" tint="-0.749992370372631"/>
      <name val="Calibri"/>
      <family val="2"/>
    </font>
    <font>
      <sz val="10"/>
      <color theme="2" tint="-0.749992370372631"/>
      <name val="Arial"/>
      <family val="2"/>
    </font>
    <font>
      <b/>
      <sz val="11"/>
      <color theme="2" tint="-0.749992370372631"/>
      <name val="Calibri"/>
      <family val="2"/>
    </font>
    <font>
      <b/>
      <sz val="8"/>
      <color theme="1"/>
      <name val="Tahoma"/>
      <family val="2"/>
    </font>
    <font>
      <sz val="10"/>
      <name val="Arial"/>
      <family val="2"/>
    </font>
    <font>
      <b/>
      <sz val="10"/>
      <name val="Arial"/>
      <family val="2"/>
    </font>
    <font>
      <b/>
      <sz val="14"/>
      <color theme="2" tint="-0.749992370372631"/>
      <name val="Calibri"/>
      <family val="2"/>
      <scheme val="minor"/>
    </font>
    <font>
      <b/>
      <sz val="14"/>
      <color rgb="FF000000"/>
      <name val="Calibri"/>
      <family val="2"/>
      <scheme val="minor"/>
    </font>
    <font>
      <sz val="11"/>
      <color rgb="FF000000"/>
      <name val="Calibri"/>
      <scheme val="minor"/>
    </font>
    <font>
      <sz val="11"/>
      <color theme="2" tint="-0.749992370372631"/>
      <name val="Calibri"/>
      <scheme val="minor"/>
    </font>
  </fonts>
  <fills count="7">
    <fill>
      <patternFill patternType="none"/>
    </fill>
    <fill>
      <patternFill patternType="gray125"/>
    </fill>
    <fill>
      <patternFill patternType="solid">
        <fgColor rgb="FFBFBFBF"/>
        <bgColor indexed="64"/>
      </patternFill>
    </fill>
    <fill>
      <patternFill patternType="solid">
        <fgColor rgb="FFC6D9F0"/>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theme="4" tint="0.79998168889431442"/>
        <bgColor indexed="64"/>
      </patternFill>
    </fill>
  </fills>
  <borders count="11">
    <border>
      <left/>
      <right/>
      <top/>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60">
    <xf numFmtId="0" fontId="0" fillId="0" borderId="0" xfId="0" applyAlignment="1">
      <alignment wrapText="1"/>
    </xf>
    <xf numFmtId="0" fontId="1" fillId="0" borderId="0" xfId="0" applyFont="1" applyAlignment="1">
      <alignment wrapText="1"/>
    </xf>
    <xf numFmtId="0" fontId="2" fillId="2" borderId="1" xfId="0" applyFont="1" applyFill="1" applyBorder="1" applyAlignment="1">
      <alignment wrapText="1"/>
    </xf>
    <xf numFmtId="0" fontId="3" fillId="0" borderId="0" xfId="0" applyFont="1"/>
    <xf numFmtId="0" fontId="4" fillId="3" borderId="0" xfId="0" applyFont="1" applyFill="1"/>
    <xf numFmtId="0" fontId="1" fillId="0" borderId="2" xfId="0" applyFont="1" applyBorder="1"/>
    <xf numFmtId="0" fontId="5" fillId="0" borderId="0" xfId="0" applyFont="1"/>
    <xf numFmtId="0" fontId="6" fillId="0" borderId="0" xfId="0" applyFont="1" applyAlignment="1">
      <alignment horizontal="left"/>
    </xf>
    <xf numFmtId="165" fontId="6" fillId="0" borderId="0" xfId="0" applyNumberFormat="1" applyFont="1" applyAlignment="1">
      <alignment horizontal="left"/>
    </xf>
    <xf numFmtId="166" fontId="6" fillId="0" borderId="0" xfId="0" applyNumberFormat="1" applyFont="1" applyAlignment="1">
      <alignment horizontal="left"/>
    </xf>
    <xf numFmtId="167" fontId="1" fillId="0" borderId="0" xfId="0" applyNumberFormat="1" applyFont="1" applyAlignment="1">
      <alignment horizontal="left"/>
    </xf>
    <xf numFmtId="166" fontId="6" fillId="0" borderId="2" xfId="0" applyNumberFormat="1" applyFont="1" applyBorder="1" applyAlignment="1">
      <alignment horizontal="left"/>
    </xf>
    <xf numFmtId="0" fontId="1" fillId="0" borderId="0" xfId="0" applyFont="1"/>
    <xf numFmtId="0" fontId="6" fillId="0" borderId="2" xfId="0" applyFont="1" applyBorder="1" applyAlignment="1">
      <alignment horizontal="left"/>
    </xf>
    <xf numFmtId="0" fontId="7" fillId="4" borderId="0" xfId="0" applyFont="1" applyFill="1"/>
    <xf numFmtId="0" fontId="1" fillId="4" borderId="0" xfId="0" applyFont="1" applyFill="1"/>
    <xf numFmtId="0" fontId="8" fillId="4" borderId="0" xfId="0" applyFont="1" applyFill="1"/>
    <xf numFmtId="0" fontId="9" fillId="4" borderId="0" xfId="0" applyFont="1" applyFill="1" applyAlignment="1"/>
    <xf numFmtId="0" fontId="10" fillId="4" borderId="0" xfId="0" applyFont="1" applyFill="1" applyAlignment="1"/>
    <xf numFmtId="0" fontId="11" fillId="4" borderId="0" xfId="0" applyFont="1" applyFill="1" applyAlignment="1"/>
    <xf numFmtId="169" fontId="12" fillId="4" borderId="0" xfId="0" applyNumberFormat="1" applyFont="1" applyFill="1" applyAlignment="1"/>
    <xf numFmtId="0" fontId="10" fillId="0" borderId="0" xfId="0" applyFont="1" applyAlignment="1"/>
    <xf numFmtId="0" fontId="13" fillId="0" borderId="0" xfId="0" applyFont="1" applyAlignment="1"/>
    <xf numFmtId="168" fontId="14" fillId="0" borderId="0" xfId="0" applyNumberFormat="1" applyFont="1" applyAlignment="1">
      <alignment horizontal="left"/>
    </xf>
    <xf numFmtId="0" fontId="14" fillId="0" borderId="0" xfId="0" applyFont="1" applyAlignment="1"/>
    <xf numFmtId="0" fontId="13" fillId="0" borderId="0" xfId="0" applyFont="1"/>
    <xf numFmtId="1" fontId="14" fillId="0" borderId="0" xfId="0" applyNumberFormat="1" applyFont="1" applyAlignment="1">
      <alignment horizontal="left"/>
    </xf>
    <xf numFmtId="0" fontId="14" fillId="0" borderId="0" xfId="0" applyFont="1" applyAlignment="1">
      <alignment wrapText="1"/>
    </xf>
    <xf numFmtId="0" fontId="15" fillId="0" borderId="0" xfId="0" applyFont="1" applyAlignment="1"/>
    <xf numFmtId="0" fontId="16" fillId="0" borderId="0" xfId="0" applyFont="1"/>
    <xf numFmtId="167" fontId="17" fillId="0" borderId="0" xfId="0" applyNumberFormat="1" applyFont="1" applyAlignment="1">
      <alignment horizontal="left"/>
    </xf>
    <xf numFmtId="1" fontId="17" fillId="0" borderId="0" xfId="0" applyNumberFormat="1" applyFont="1" applyAlignment="1">
      <alignment horizontal="left"/>
    </xf>
    <xf numFmtId="0" fontId="17" fillId="0" borderId="0" xfId="0" applyFont="1"/>
    <xf numFmtId="164" fontId="17" fillId="0" borderId="0" xfId="0" applyNumberFormat="1" applyFont="1"/>
    <xf numFmtId="1" fontId="17" fillId="0" borderId="0" xfId="0" applyNumberFormat="1" applyFont="1" applyAlignment="1">
      <alignment horizontal="right"/>
    </xf>
    <xf numFmtId="0" fontId="18" fillId="0" borderId="0" xfId="0" applyFont="1" applyAlignment="1">
      <alignment wrapText="1"/>
    </xf>
    <xf numFmtId="0" fontId="19" fillId="0" borderId="0" xfId="0" applyFont="1"/>
    <xf numFmtId="1" fontId="14" fillId="5" borderId="0" xfId="0" applyNumberFormat="1" applyFont="1" applyFill="1" applyAlignment="1">
      <alignment horizontal="left"/>
    </xf>
    <xf numFmtId="0" fontId="20" fillId="0" borderId="0" xfId="0" applyFont="1"/>
    <xf numFmtId="0" fontId="22" fillId="0" borderId="0" xfId="0" applyFont="1"/>
    <xf numFmtId="0" fontId="0" fillId="0" borderId="0" xfId="0"/>
    <xf numFmtId="168" fontId="14" fillId="0" borderId="0" xfId="0" applyNumberFormat="1" applyFont="1" applyAlignment="1">
      <alignment horizontal="left" vertical="top" wrapText="1"/>
    </xf>
    <xf numFmtId="168" fontId="23" fillId="0" borderId="0" xfId="0" applyNumberFormat="1" applyFont="1" applyAlignment="1">
      <alignment horizontal="left"/>
    </xf>
    <xf numFmtId="0" fontId="0" fillId="0" borderId="0" xfId="0" applyAlignment="1">
      <alignment vertical="top" wrapText="1"/>
    </xf>
    <xf numFmtId="168" fontId="14" fillId="0" borderId="0" xfId="0" applyNumberFormat="1" applyFont="1" applyAlignment="1">
      <alignment horizontal="left" wrapText="1"/>
    </xf>
    <xf numFmtId="0" fontId="25" fillId="0" borderId="0" xfId="0" pivotButton="1" applyFont="1" applyAlignment="1"/>
    <xf numFmtId="0" fontId="25" fillId="0" borderId="0" xfId="0" applyFont="1" applyAlignment="1"/>
    <xf numFmtId="22" fontId="25" fillId="0" borderId="0" xfId="0" applyNumberFormat="1" applyFont="1" applyAlignment="1"/>
    <xf numFmtId="0" fontId="26" fillId="0" borderId="0" xfId="0" applyFont="1" applyAlignment="1"/>
    <xf numFmtId="0" fontId="10" fillId="6" borderId="3" xfId="0" applyFont="1" applyFill="1" applyBorder="1" applyAlignment="1"/>
    <xf numFmtId="0" fontId="24" fillId="6" borderId="3" xfId="0" applyFont="1" applyFill="1" applyBorder="1" applyAlignment="1">
      <alignment horizontal="center" vertical="center"/>
    </xf>
    <xf numFmtId="0" fontId="10" fillId="6" borderId="4" xfId="0" applyFont="1" applyFill="1" applyBorder="1" applyAlignment="1"/>
    <xf numFmtId="0" fontId="10" fillId="6" borderId="5" xfId="0" applyFont="1" applyFill="1" applyBorder="1" applyAlignment="1"/>
    <xf numFmtId="168" fontId="14" fillId="6" borderId="6" xfId="0" applyNumberFormat="1" applyFont="1" applyFill="1" applyBorder="1" applyAlignment="1">
      <alignment horizontal="left" vertical="top" wrapText="1"/>
    </xf>
    <xf numFmtId="168" fontId="14" fillId="6" borderId="0" xfId="0" applyNumberFormat="1" applyFont="1" applyFill="1" applyBorder="1" applyAlignment="1">
      <alignment horizontal="left" vertical="top" wrapText="1"/>
    </xf>
    <xf numFmtId="168" fontId="14" fillId="6" borderId="7" xfId="0" applyNumberFormat="1" applyFont="1" applyFill="1" applyBorder="1" applyAlignment="1">
      <alignment horizontal="left" vertical="top" wrapText="1"/>
    </xf>
    <xf numFmtId="168" fontId="14" fillId="6" borderId="8" xfId="0" applyNumberFormat="1" applyFont="1" applyFill="1" applyBorder="1" applyAlignment="1">
      <alignment horizontal="left" vertical="top" wrapText="1"/>
    </xf>
    <xf numFmtId="168" fontId="14" fillId="6" borderId="9" xfId="0" applyNumberFormat="1" applyFont="1" applyFill="1" applyBorder="1" applyAlignment="1">
      <alignment horizontal="left" vertical="top" wrapText="1"/>
    </xf>
    <xf numFmtId="168" fontId="14" fillId="6" borderId="10" xfId="0" applyNumberFormat="1" applyFont="1" applyFill="1" applyBorder="1" applyAlignment="1">
      <alignment horizontal="left" vertical="top" wrapText="1"/>
    </xf>
    <xf numFmtId="168" fontId="14" fillId="0" borderId="0" xfId="0" applyNumberFormat="1" applyFont="1" applyAlignment="1">
      <alignment horizontal="left" vertical="top" wrapText="1"/>
    </xf>
  </cellXfs>
  <cellStyles count="1">
    <cellStyle name="Normal" xfId="0" builtinId="0"/>
  </cellStyles>
  <dxfs count="47">
    <dxf>
      <alignment wrapText="0" readingOrder="0"/>
    </dxf>
    <dxf>
      <alignment wrapText="0" readingOrder="0"/>
    </dxf>
    <dxf>
      <alignment wrapText="0" readingOrder="0"/>
    </dxf>
    <dxf>
      <alignment wrapText="0" readingOrder="0"/>
    </dxf>
    <dxf>
      <font>
        <name val="Calibri"/>
        <scheme val="minor"/>
      </font>
    </dxf>
    <dxf>
      <font>
        <name val="Calibri"/>
        <scheme val="minor"/>
      </font>
    </dxf>
    <dxf>
      <font>
        <name val="Calibri"/>
        <scheme val="minor"/>
      </font>
    </dxf>
    <dxf>
      <font>
        <sz val="11"/>
      </font>
    </dxf>
    <dxf>
      <font>
        <sz val="11"/>
      </font>
    </dxf>
    <dxf>
      <font>
        <sz val="11"/>
      </font>
    </dxf>
    <dxf>
      <font>
        <color theme="2" tint="-0.749992370372631"/>
      </font>
    </dxf>
    <dxf>
      <alignment wrapText="0" readingOrder="0"/>
    </dxf>
    <dxf>
      <alignment wrapText="0" readingOrder="0"/>
    </dxf>
    <dxf>
      <alignment wrapText="0" readingOrder="0"/>
    </dxf>
    <dxf>
      <alignment wrapText="0" readingOrder="0"/>
    </dxf>
    <dxf>
      <font>
        <name val="Calibri"/>
        <scheme val="minor"/>
      </font>
    </dxf>
    <dxf>
      <font>
        <name val="Calibri"/>
        <scheme val="minor"/>
      </font>
    </dxf>
    <dxf>
      <font>
        <name val="Calibri"/>
        <scheme val="minor"/>
      </font>
    </dxf>
    <dxf>
      <font>
        <sz val="11"/>
      </font>
    </dxf>
    <dxf>
      <font>
        <sz val="11"/>
      </font>
    </dxf>
    <dxf>
      <font>
        <sz val="11"/>
      </font>
    </dxf>
    <dxf>
      <font>
        <color theme="2" tint="-0.749992370372631"/>
      </font>
    </dxf>
    <dxf>
      <alignment wrapText="0" readingOrder="0"/>
    </dxf>
    <dxf>
      <alignment wrapText="0" readingOrder="0"/>
    </dxf>
    <dxf>
      <alignment wrapText="0" readingOrder="0"/>
    </dxf>
    <dxf>
      <alignment wrapText="0" readingOrder="0"/>
    </dxf>
    <dxf>
      <font>
        <name val="Calibri"/>
        <scheme val="minor"/>
      </font>
    </dxf>
    <dxf>
      <font>
        <name val="Calibri"/>
        <scheme val="minor"/>
      </font>
    </dxf>
    <dxf>
      <font>
        <name val="Calibri"/>
        <scheme val="minor"/>
      </font>
    </dxf>
    <dxf>
      <font>
        <sz val="11"/>
      </font>
    </dxf>
    <dxf>
      <font>
        <sz val="11"/>
      </font>
    </dxf>
    <dxf>
      <font>
        <sz val="11"/>
      </font>
    </dxf>
    <dxf>
      <font>
        <color theme="2" tint="-0.749992370372631"/>
      </font>
    </dxf>
    <dxf>
      <font>
        <color theme="2" tint="-0.749992370372631"/>
      </font>
    </dxf>
    <dxf>
      <font>
        <sz val="11"/>
      </font>
    </dxf>
    <dxf>
      <font>
        <sz val="11"/>
      </font>
    </dxf>
    <dxf>
      <font>
        <sz val="11"/>
      </font>
    </dxf>
    <dxf>
      <font>
        <name val="Calibri"/>
        <scheme val="minor"/>
      </font>
    </dxf>
    <dxf>
      <font>
        <name val="Calibri"/>
        <scheme val="minor"/>
      </font>
    </dxf>
    <dxf>
      <font>
        <name val="Calibri"/>
        <scheme val="minor"/>
      </font>
    </dxf>
    <dxf>
      <alignment wrapText="0" readingOrder="0"/>
    </dxf>
    <dxf>
      <alignment wrapText="0" readingOrder="0"/>
    </dxf>
    <dxf>
      <alignment wrapText="0" readingOrder="0"/>
    </dxf>
    <dxf>
      <alignment wrapText="0" readingOrder="0"/>
    </dxf>
    <dxf>
      <fill>
        <patternFill>
          <bgColor theme="7" tint="0.59996337778862885"/>
        </patternFill>
      </fill>
    </dxf>
    <dxf>
      <fill>
        <patternFill>
          <bgColor theme="7" tint="0.59996337778862885"/>
        </patternFill>
      </fill>
    </dxf>
    <dxf>
      <fill>
        <patternFill>
          <bgColor theme="7"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685800</xdr:colOff>
      <xdr:row>41</xdr:row>
      <xdr:rowOff>76200</xdr:rowOff>
    </xdr:to>
    <xdr:sp macro="" textlink="">
      <xdr:nvSpPr>
        <xdr:cNvPr id="1036" name="Rectangle 2" hidden="1">
          <a:extLst>
            <a:ext uri="{FF2B5EF4-FFF2-40B4-BE49-F238E27FC236}">
              <a16:creationId xmlns:a16="http://schemas.microsoft.com/office/drawing/2014/main" id="{00000000-0008-0000-0000-00000C040000}"/>
            </a:ext>
          </a:extLst>
        </xdr:cNvPr>
        <xdr:cNvSpPr>
          <a:spLocks noSelect="1" noChangeArrowheads="1"/>
        </xdr:cNvSpPr>
      </xdr:nvSpPr>
      <xdr:spPr bwMode="auto">
        <a:xfrm>
          <a:off x="0" y="0"/>
          <a:ext cx="7410450" cy="7886700"/>
        </a:xfrm>
        <a:prstGeom prst="rect">
          <a:avLst/>
        </a:prstGeom>
        <a:solidFill>
          <a:srgbClr val="FFFFFF"/>
        </a:solidFill>
        <a:ln w="9525">
          <a:solidFill>
            <a:srgbClr val="000000"/>
          </a:solidFill>
          <a:round/>
          <a:headEnd/>
          <a:tailEnd/>
        </a:ln>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Ben Schwartz" refreshedDate="42922.435841203704" createdVersion="5" refreshedVersion="6" recordCount="3">
  <cacheSource type="worksheet">
    <worksheetSource name="alldata"/>
  </cacheSource>
  <cacheFields count="10">
    <cacheField name="**Vehicle" numFmtId="0">
      <sharedItems count="3">
        <s v="Template Vehicle 1"/>
        <s v="Template Vehicle 2"/>
        <s v="Template Vehicle 3"/>
      </sharedItems>
    </cacheField>
    <cacheField name="**Device Group" numFmtId="0">
      <sharedItems/>
    </cacheField>
    <cacheField name="**Reminder" numFmtId="0">
      <sharedItems count="3">
        <s v="Oil Change"/>
        <s v="Tire Rotation"/>
        <s v="Inspect Wiper Blades"/>
      </sharedItems>
    </cacheField>
    <cacheField name="Send Report" numFmtId="0">
      <sharedItems count="2">
        <b v="1"/>
        <b v="0"/>
      </sharedItems>
    </cacheField>
    <cacheField name="Due Date?" numFmtId="0">
      <sharedItems/>
    </cacheField>
    <cacheField name="Due Distance?" numFmtId="0">
      <sharedItems/>
    </cacheField>
    <cacheField name="Due Hours?" numFmtId="0">
      <sharedItems/>
    </cacheField>
    <cacheField name="**Due Date" numFmtId="164">
      <sharedItems containsDate="1" containsMixedTypes="1" minDate="2010-03-21T14:54:55" maxDate="2010-03-21T14:54:55" count="2">
        <d v="2010-03-21T14:54:55"/>
        <s v=""/>
      </sharedItems>
    </cacheField>
    <cacheField name="**Due Distance" numFmtId="1">
      <sharedItems count="2">
        <s v=""/>
        <s v="-1000"/>
      </sharedItems>
    </cacheField>
    <cacheField name="**Due Engine Hours" numFmtId="1">
      <sharedItems count="2">
        <s v=""/>
        <s v="30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
  <r>
    <x v="0"/>
    <s v="Template Group 1"/>
    <x v="0"/>
    <x v="0"/>
    <b v="1"/>
    <b v="0"/>
    <b v="0"/>
    <x v="0"/>
    <x v="0"/>
    <x v="0"/>
  </r>
  <r>
    <x v="1"/>
    <s v="Template Group 2"/>
    <x v="1"/>
    <x v="0"/>
    <b v="0"/>
    <b v="1"/>
    <b v="0"/>
    <x v="1"/>
    <x v="1"/>
    <x v="0"/>
  </r>
  <r>
    <x v="2"/>
    <s v="Template Group 3"/>
    <x v="2"/>
    <x v="1"/>
    <b v="0"/>
    <b v="0"/>
    <b v="0"/>
    <x v="1"/>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6" dataOnRows="1" applyNumberFormats="0" applyBorderFormats="0" applyFontFormats="0" applyPatternFormats="0" applyAlignmentFormats="0" applyWidthHeightFormats="1" dataCaption="Data" updatedVersion="6" minRefreshableVersion="3" showDrill="0" showMemberPropertyTips="0" rowGrandTotals="0" itemPrintTitles="1" createdVersion="5" indent="0" compact="0" compactData="0" gridDropZones="1">
  <location ref="A11:K14" firstHeaderRow="2" firstDataRow="2" firstDataCol="5" rowPageCount="1" colPageCount="1"/>
  <pivotFields count="10">
    <pivotField axis="axisRow" compact="0" outline="0" showAll="0" defaultSubtotal="0">
      <items count="3">
        <item x="0"/>
        <item x="1"/>
        <item x="2"/>
      </items>
    </pivotField>
    <pivotField compact="0" outline="0" showAll="0" defaultSubtotal="0"/>
    <pivotField axis="axisRow" compact="0" outline="0" showAll="0" defaultSubtotal="0">
      <items count="3">
        <item x="2"/>
        <item x="0"/>
        <item x="1"/>
      </items>
    </pivotField>
    <pivotField axis="axisPage" compact="0" outline="0" subtotalTop="0" showAll="0" includeNewItemsInFilter="1">
      <items count="3">
        <item h="1" x="1"/>
        <item x="0"/>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Row" compact="0" outline="0" showAll="0" defaultSubtotal="0">
      <items count="2">
        <item x="1"/>
        <item sd="0" x="0"/>
      </items>
    </pivotField>
    <pivotField axis="axisRow" compact="0" outline="0" showAll="0" defaultSubtotal="0">
      <items count="2">
        <item x="0"/>
        <item x="1"/>
      </items>
    </pivotField>
    <pivotField axis="axisRow" compact="0" outline="0" showAll="0" defaultSubtotal="0">
      <items count="2">
        <item x="0"/>
        <item x="1"/>
      </items>
    </pivotField>
  </pivotFields>
  <rowFields count="5">
    <field x="0"/>
    <field x="2"/>
    <field x="7"/>
    <field x="8"/>
    <field x="9"/>
  </rowFields>
  <rowItems count="2">
    <i>
      <x/>
      <x v="1"/>
      <x v="1"/>
    </i>
    <i>
      <x v="1"/>
      <x v="2"/>
      <x/>
      <x v="1"/>
      <x/>
    </i>
  </rowItems>
  <colItems count="1">
    <i/>
  </colItems>
  <pageFields count="1">
    <pageField fld="3" item="1" hier="0"/>
  </pageFields>
  <formats count="11">
    <format dxfId="43">
      <pivotArea type="all" dataOnly="0" outline="0" fieldPosition="0"/>
    </format>
    <format dxfId="42">
      <pivotArea outline="0" fieldPosition="0"/>
    </format>
    <format dxfId="41">
      <pivotArea type="topRight" dataOnly="0" labelOnly="1" outline="0" fieldPosition="0"/>
    </format>
    <format dxfId="40">
      <pivotArea dataOnly="0" labelOnly="1" grandRow="1" outline="0" fieldPosition="0"/>
    </format>
    <format dxfId="39">
      <pivotArea type="all" dataOnly="0" outline="0" fieldPosition="0"/>
    </format>
    <format dxfId="38">
      <pivotArea outline="0" fieldPosition="0"/>
    </format>
    <format dxfId="37">
      <pivotArea type="topRight" dataOnly="0" labelOnly="1" outline="0" fieldPosition="0"/>
    </format>
    <format dxfId="36">
      <pivotArea type="all" dataOnly="0" outline="0" fieldPosition="0"/>
    </format>
    <format dxfId="35">
      <pivotArea outline="0" fieldPosition="0"/>
    </format>
    <format dxfId="34">
      <pivotArea type="topRight" dataOnly="0" labelOnly="1" outline="0" fieldPosition="0"/>
    </format>
    <format dxfId="33">
      <pivotArea outline="0" fieldPosition="0"/>
    </format>
  </formats>
  <pivotTableStyleInfo name="PivotStyleLight16" showRowHeaders="0"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20"/>
  <sheetViews>
    <sheetView workbookViewId="0"/>
  </sheetViews>
  <sheetFormatPr defaultRowHeight="14.25" customHeight="1" x14ac:dyDescent="0.2"/>
  <cols>
    <col min="1" max="1" width="25.28515625" customWidth="1"/>
    <col min="2" max="2" width="20.140625" customWidth="1"/>
    <col min="3" max="3" width="37.140625" customWidth="1"/>
    <col min="4" max="4" width="18.28515625" customWidth="1"/>
    <col min="5" max="5" width="16.5703125" customWidth="1"/>
    <col min="6" max="6" width="15.85546875" customWidth="1"/>
    <col min="7" max="7" width="22.7109375" customWidth="1"/>
    <col min="8" max="8" width="18.85546875" customWidth="1"/>
    <col min="9" max="9" width="22.28515625" customWidth="1"/>
    <col min="10" max="10" width="21.140625" customWidth="1"/>
    <col min="11" max="11" width="22.140625" customWidth="1"/>
    <col min="12" max="12" width="28.140625" customWidth="1"/>
    <col min="13" max="13" width="37.140625" customWidth="1"/>
    <col min="14" max="14" width="38.85546875" customWidth="1"/>
    <col min="15" max="15" width="25.5703125" customWidth="1"/>
    <col min="16" max="16" width="22.85546875" customWidth="1"/>
    <col min="17" max="17" width="23.5703125" customWidth="1"/>
    <col min="18" max="18" width="27.28515625" customWidth="1"/>
  </cols>
  <sheetData>
    <row r="1" spans="1:18" ht="15" x14ac:dyDescent="0.25">
      <c r="A1" s="38" t="s">
        <v>0</v>
      </c>
      <c r="B1" s="9" t="s">
        <v>39</v>
      </c>
      <c r="C1" s="12"/>
      <c r="D1" s="12"/>
      <c r="E1" s="12"/>
      <c r="F1" s="12"/>
      <c r="G1" s="12"/>
      <c r="H1" s="12"/>
      <c r="I1" s="12"/>
      <c r="J1" s="12"/>
      <c r="K1" s="12"/>
      <c r="L1" s="12"/>
      <c r="M1" s="12"/>
      <c r="N1" s="12"/>
      <c r="O1" s="12"/>
      <c r="P1" s="12"/>
      <c r="Q1" s="12"/>
      <c r="R1" s="12"/>
    </row>
    <row r="2" spans="1:18" ht="15" x14ac:dyDescent="0.25">
      <c r="A2" s="3" t="s">
        <v>1</v>
      </c>
      <c r="B2" s="9">
        <v>40255.375</v>
      </c>
      <c r="C2" s="12"/>
      <c r="D2" s="12"/>
      <c r="E2" s="12"/>
      <c r="F2" s="12"/>
      <c r="G2" s="12"/>
      <c r="H2" s="12"/>
      <c r="I2" s="12"/>
      <c r="J2" s="12"/>
      <c r="K2" s="12"/>
      <c r="L2" s="12"/>
      <c r="M2" s="12"/>
      <c r="N2" s="12"/>
      <c r="O2" s="12"/>
      <c r="P2" s="12"/>
      <c r="Q2" s="12"/>
      <c r="R2" s="12"/>
    </row>
    <row r="3" spans="1:18" ht="15" x14ac:dyDescent="0.25">
      <c r="A3" s="3" t="s">
        <v>2</v>
      </c>
      <c r="B3" s="9" t="s">
        <v>43</v>
      </c>
      <c r="C3" s="12"/>
      <c r="D3" s="12"/>
      <c r="E3" s="12"/>
      <c r="F3" s="12"/>
      <c r="G3" s="12"/>
      <c r="H3" s="12"/>
      <c r="I3" s="12"/>
      <c r="J3" s="12"/>
      <c r="K3" s="12"/>
      <c r="L3" s="12"/>
      <c r="M3" s="12"/>
      <c r="N3" s="12"/>
      <c r="O3" s="12"/>
      <c r="P3" s="12"/>
      <c r="Q3" s="12"/>
      <c r="R3" s="12"/>
    </row>
    <row r="4" spans="1:18" ht="15" x14ac:dyDescent="0.25">
      <c r="A4" s="3" t="s">
        <v>3</v>
      </c>
      <c r="B4" s="9" t="b">
        <f>Report!B8</f>
        <v>1</v>
      </c>
      <c r="C4" s="12"/>
      <c r="D4" s="12"/>
      <c r="E4" s="12"/>
      <c r="F4" s="12"/>
      <c r="G4" s="12"/>
      <c r="H4" s="12"/>
      <c r="I4" s="12"/>
      <c r="J4" s="12"/>
      <c r="K4" s="12"/>
      <c r="L4" s="12"/>
      <c r="M4" s="12"/>
      <c r="N4" s="12"/>
      <c r="O4" s="12"/>
      <c r="P4" s="12"/>
      <c r="Q4" s="12"/>
      <c r="R4" s="12"/>
    </row>
    <row r="5" spans="1:18" s="1" customFormat="1" ht="30.75" customHeight="1" x14ac:dyDescent="0.25">
      <c r="A5" s="2" t="s">
        <v>4</v>
      </c>
      <c r="B5" s="2" t="s">
        <v>5</v>
      </c>
      <c r="C5" s="2" t="s">
        <v>6</v>
      </c>
      <c r="D5" s="2" t="s">
        <v>7</v>
      </c>
      <c r="E5" s="2" t="s">
        <v>8</v>
      </c>
      <c r="F5" s="2" t="s">
        <v>9</v>
      </c>
      <c r="G5" s="2" t="s">
        <v>10</v>
      </c>
      <c r="H5" s="2" t="s">
        <v>11</v>
      </c>
      <c r="I5" s="2" t="s">
        <v>12</v>
      </c>
      <c r="J5" s="2" t="s">
        <v>13</v>
      </c>
      <c r="K5" s="2" t="s">
        <v>14</v>
      </c>
      <c r="L5" s="2" t="s">
        <v>15</v>
      </c>
      <c r="M5" s="2" t="s">
        <v>16</v>
      </c>
      <c r="N5" s="2" t="s">
        <v>17</v>
      </c>
      <c r="O5" s="2" t="s">
        <v>18</v>
      </c>
      <c r="P5" s="2" t="s">
        <v>19</v>
      </c>
      <c r="Q5" s="2" t="s">
        <v>20</v>
      </c>
      <c r="R5" s="2" t="s">
        <v>21</v>
      </c>
    </row>
    <row r="6" spans="1:18" ht="15" x14ac:dyDescent="0.25">
      <c r="A6" s="13" t="s">
        <v>22</v>
      </c>
      <c r="B6" s="13">
        <v>141</v>
      </c>
      <c r="C6" s="13" t="s">
        <v>23</v>
      </c>
      <c r="D6" s="13"/>
      <c r="E6" s="13" t="s">
        <v>40</v>
      </c>
      <c r="F6" s="13">
        <v>1</v>
      </c>
      <c r="G6" s="13">
        <v>6000</v>
      </c>
      <c r="H6" s="13">
        <v>6</v>
      </c>
      <c r="I6" s="5"/>
      <c r="J6" s="5"/>
      <c r="K6" s="5"/>
      <c r="L6" s="11">
        <v>40050.663130902802</v>
      </c>
      <c r="M6" s="13">
        <v>200</v>
      </c>
      <c r="N6" s="13"/>
      <c r="O6" s="13" t="s">
        <v>24</v>
      </c>
      <c r="P6" s="11">
        <v>40258.621469907404</v>
      </c>
      <c r="Q6" s="5"/>
      <c r="R6" s="5"/>
    </row>
    <row r="7" spans="1:18" ht="15" x14ac:dyDescent="0.25">
      <c r="A7" s="7" t="s">
        <v>25</v>
      </c>
      <c r="B7" s="7">
        <v>40</v>
      </c>
      <c r="C7" s="7" t="s">
        <v>26</v>
      </c>
      <c r="D7" s="7"/>
      <c r="E7" s="7" t="s">
        <v>42</v>
      </c>
      <c r="F7" s="7">
        <v>6</v>
      </c>
      <c r="G7" s="7">
        <v>8000</v>
      </c>
      <c r="H7" s="7">
        <v>6</v>
      </c>
      <c r="I7" s="12"/>
      <c r="J7" s="12"/>
      <c r="K7" s="12"/>
      <c r="L7" s="9">
        <v>40199.518491169001</v>
      </c>
      <c r="M7" s="7">
        <v>3140</v>
      </c>
      <c r="N7" s="7"/>
      <c r="O7" s="7" t="s">
        <v>24</v>
      </c>
      <c r="P7" s="12"/>
      <c r="Q7" s="7">
        <v>-1000.41650390625</v>
      </c>
      <c r="R7" s="12"/>
    </row>
    <row r="8" spans="1:18" ht="15" x14ac:dyDescent="0.25">
      <c r="A8" s="7" t="s">
        <v>27</v>
      </c>
      <c r="B8" s="7">
        <v>27</v>
      </c>
      <c r="C8" s="7" t="s">
        <v>28</v>
      </c>
      <c r="D8" s="7"/>
      <c r="E8" s="7" t="s">
        <v>41</v>
      </c>
      <c r="F8" s="7">
        <v>12</v>
      </c>
      <c r="G8" s="12"/>
      <c r="H8" s="12"/>
      <c r="I8" s="12"/>
      <c r="J8" s="8">
        <v>6.25</v>
      </c>
      <c r="K8" s="12"/>
      <c r="L8" s="9">
        <v>40156.531400462998</v>
      </c>
      <c r="M8" s="7">
        <v>12631</v>
      </c>
      <c r="N8" s="7"/>
      <c r="O8" s="7" t="s">
        <v>29</v>
      </c>
      <c r="P8" s="9"/>
      <c r="Q8" s="12"/>
      <c r="R8" s="7">
        <v>300</v>
      </c>
    </row>
    <row r="9" spans="1:18" ht="15" x14ac:dyDescent="0.25">
      <c r="A9" s="12"/>
      <c r="B9" s="12"/>
      <c r="C9" s="12"/>
      <c r="D9" s="12"/>
      <c r="E9" s="12"/>
      <c r="F9" s="12"/>
      <c r="G9" s="12"/>
      <c r="H9" s="12"/>
      <c r="I9" s="12"/>
      <c r="J9" s="12"/>
      <c r="K9" s="12"/>
      <c r="L9" s="12"/>
      <c r="M9" s="12"/>
      <c r="N9" s="12"/>
      <c r="O9" s="12"/>
      <c r="P9" s="12"/>
      <c r="Q9" s="12"/>
      <c r="R9" s="12"/>
    </row>
    <row r="10" spans="1:18" ht="15" x14ac:dyDescent="0.25">
      <c r="A10" s="12"/>
      <c r="B10" s="12"/>
      <c r="C10" s="12"/>
      <c r="D10" s="12"/>
      <c r="E10" s="12"/>
      <c r="F10" s="12"/>
      <c r="G10" s="12"/>
      <c r="H10" s="12"/>
      <c r="I10" s="12"/>
      <c r="J10" s="12"/>
      <c r="K10" s="12"/>
      <c r="L10" s="12"/>
      <c r="M10" s="12"/>
      <c r="N10" s="12"/>
      <c r="O10" s="12"/>
      <c r="P10" s="12"/>
      <c r="Q10" s="12"/>
      <c r="R10" s="12"/>
    </row>
    <row r="11" spans="1:18" ht="15" x14ac:dyDescent="0.25">
      <c r="A11" s="12"/>
      <c r="B11" s="12"/>
      <c r="C11" s="12"/>
      <c r="D11" s="12"/>
      <c r="E11" s="12"/>
      <c r="F11" s="12"/>
      <c r="G11" s="12"/>
      <c r="H11" s="12"/>
      <c r="I11" s="12"/>
      <c r="J11" s="12"/>
      <c r="K11" s="12"/>
      <c r="L11" s="12"/>
      <c r="M11" s="12"/>
      <c r="N11" s="12"/>
      <c r="O11" s="12"/>
      <c r="P11" s="12"/>
      <c r="Q11" s="12"/>
      <c r="R11" s="12"/>
    </row>
    <row r="12" spans="1:18" ht="15" x14ac:dyDescent="0.25">
      <c r="A12" s="12"/>
      <c r="B12" s="12"/>
      <c r="C12" s="12"/>
      <c r="D12" s="12"/>
      <c r="E12" s="12"/>
      <c r="F12" s="12"/>
      <c r="G12" s="12"/>
      <c r="H12" s="12"/>
      <c r="I12" s="12"/>
      <c r="J12" s="12"/>
      <c r="K12" s="12"/>
      <c r="L12" s="12"/>
      <c r="M12" s="12"/>
      <c r="N12" s="12"/>
      <c r="O12" s="12"/>
      <c r="P12" s="12"/>
      <c r="Q12" s="12"/>
      <c r="R12" s="12"/>
    </row>
    <row r="13" spans="1:18" ht="15" x14ac:dyDescent="0.25">
      <c r="A13" s="12"/>
      <c r="B13" s="12"/>
      <c r="C13" s="12"/>
      <c r="D13" s="12"/>
      <c r="E13" s="12"/>
      <c r="F13" s="12"/>
      <c r="G13" s="12"/>
      <c r="H13" s="12"/>
      <c r="I13" s="12"/>
      <c r="J13" s="12"/>
      <c r="K13" s="12"/>
      <c r="L13" s="12"/>
      <c r="M13" s="12"/>
      <c r="N13" s="12"/>
      <c r="O13" s="12"/>
      <c r="P13" s="12"/>
      <c r="Q13" s="12"/>
      <c r="R13" s="12"/>
    </row>
    <row r="14" spans="1:18" ht="15" x14ac:dyDescent="0.25">
      <c r="A14" s="12"/>
      <c r="B14" s="12"/>
      <c r="C14" s="12"/>
      <c r="D14" s="12"/>
      <c r="E14" s="12"/>
      <c r="F14" s="12"/>
      <c r="G14" s="12"/>
      <c r="H14" s="12"/>
      <c r="I14" s="12"/>
      <c r="J14" s="12"/>
      <c r="K14" s="12"/>
      <c r="L14" s="12"/>
      <c r="M14" s="12"/>
      <c r="N14" s="12"/>
      <c r="O14" s="12"/>
      <c r="P14" s="12"/>
      <c r="Q14" s="12"/>
      <c r="R14" s="12"/>
    </row>
    <row r="15" spans="1:18" ht="15" x14ac:dyDescent="0.25">
      <c r="A15" s="12"/>
      <c r="B15" s="12"/>
      <c r="C15" s="12"/>
      <c r="D15" s="12"/>
      <c r="E15" s="12"/>
      <c r="F15" s="12"/>
      <c r="G15" s="12"/>
      <c r="H15" s="12"/>
      <c r="I15" s="12"/>
      <c r="J15" s="12"/>
      <c r="K15" s="12"/>
      <c r="L15" s="12"/>
      <c r="M15" s="12"/>
      <c r="N15" s="12"/>
      <c r="O15" s="12"/>
      <c r="P15" s="12"/>
      <c r="Q15" s="12"/>
      <c r="R15" s="12"/>
    </row>
    <row r="16" spans="1:18" ht="15" x14ac:dyDescent="0.25">
      <c r="A16" s="12"/>
      <c r="B16" s="12"/>
      <c r="C16" s="12"/>
      <c r="D16" s="12"/>
      <c r="E16" s="12"/>
      <c r="F16" s="12"/>
      <c r="G16" s="12"/>
      <c r="H16" s="12"/>
      <c r="I16" s="12"/>
      <c r="J16" s="12"/>
      <c r="K16" s="12"/>
      <c r="L16" s="12"/>
      <c r="M16" s="12"/>
      <c r="N16" s="12"/>
      <c r="O16" s="12"/>
      <c r="P16" s="12"/>
      <c r="Q16" s="12"/>
      <c r="R16" s="12"/>
    </row>
    <row r="17" spans="1:18" ht="15" x14ac:dyDescent="0.25">
      <c r="A17" s="12"/>
      <c r="B17" s="12"/>
      <c r="C17" s="12"/>
      <c r="D17" s="12"/>
      <c r="E17" s="12"/>
      <c r="F17" s="12"/>
      <c r="G17" s="12"/>
      <c r="H17" s="12"/>
      <c r="I17" s="12"/>
      <c r="J17" s="12"/>
      <c r="K17" s="12"/>
      <c r="L17" s="12"/>
      <c r="M17" s="12"/>
      <c r="N17" s="12"/>
      <c r="O17" s="12"/>
      <c r="P17" s="12"/>
      <c r="Q17" s="12"/>
      <c r="R17" s="12"/>
    </row>
    <row r="18" spans="1:18" ht="15" x14ac:dyDescent="0.25">
      <c r="A18" s="12"/>
      <c r="B18" s="12"/>
      <c r="C18" s="12"/>
      <c r="D18" s="12"/>
      <c r="E18" s="12"/>
      <c r="F18" s="12"/>
      <c r="G18" s="12"/>
      <c r="H18" s="12"/>
      <c r="I18" s="12"/>
      <c r="J18" s="12"/>
      <c r="K18" s="12"/>
      <c r="L18" s="12"/>
      <c r="M18" s="12"/>
      <c r="N18" s="12"/>
      <c r="O18" s="12"/>
      <c r="P18" s="12"/>
      <c r="Q18" s="12"/>
      <c r="R18" s="12"/>
    </row>
    <row r="19" spans="1:18" ht="15" x14ac:dyDescent="0.25">
      <c r="A19" s="12"/>
      <c r="B19" s="12"/>
      <c r="C19" s="12"/>
      <c r="D19" s="12"/>
      <c r="E19" s="12"/>
      <c r="F19" s="12"/>
      <c r="G19" s="12"/>
      <c r="H19" s="12"/>
      <c r="I19" s="12"/>
      <c r="J19" s="12"/>
      <c r="K19" s="12"/>
      <c r="L19" s="12"/>
      <c r="M19" s="12"/>
      <c r="N19" s="12"/>
      <c r="O19" s="12"/>
      <c r="P19" s="12"/>
      <c r="Q19" s="12"/>
      <c r="R19" s="12"/>
    </row>
    <row r="20" spans="1:18" ht="15" x14ac:dyDescent="0.25">
      <c r="A20" s="12"/>
      <c r="B20" s="12"/>
      <c r="C20" s="12"/>
      <c r="D20" s="12"/>
      <c r="E20" s="12"/>
      <c r="F20" s="12"/>
      <c r="G20" s="12"/>
      <c r="H20" s="12"/>
      <c r="I20" s="12"/>
      <c r="J20" s="12"/>
      <c r="K20" s="12"/>
      <c r="L20" s="12"/>
      <c r="M20" s="12"/>
      <c r="N20" s="12"/>
      <c r="O20" s="12"/>
      <c r="P20" s="12"/>
      <c r="Q20" s="12"/>
      <c r="R20" s="12"/>
    </row>
  </sheetData>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9"/>
  <sheetViews>
    <sheetView showGridLines="0" workbookViewId="0">
      <pane ySplit="9" topLeftCell="A10" activePane="bottomLeft" state="frozen"/>
      <selection activeCell="L5" sqref="L5"/>
      <selection pane="bottomLeft" activeCell="J18" sqref="J18"/>
    </sheetView>
  </sheetViews>
  <sheetFormatPr defaultColWidth="9.140625" defaultRowHeight="14.25" customHeight="1" x14ac:dyDescent="0.25"/>
  <cols>
    <col min="1" max="1" width="26" style="32" customWidth="1"/>
    <col min="2" max="2" width="38.85546875" style="32" customWidth="1"/>
    <col min="3" max="3" width="24.85546875" style="32" customWidth="1"/>
    <col min="4" max="4" width="28.140625" style="32" hidden="1" customWidth="1"/>
    <col min="5" max="7" width="19.5703125" style="32" hidden="1" customWidth="1"/>
    <col min="8" max="8" width="14.42578125" style="32" customWidth="1"/>
    <col min="9" max="9" width="22.28515625" style="32" customWidth="1"/>
    <col min="10" max="10" width="21.140625" style="32" customWidth="1"/>
    <col min="11" max="16384" width="9.140625" style="35"/>
  </cols>
  <sheetData>
    <row r="1" spans="1:10" s="16" customFormat="1" ht="23.25" customHeight="1" x14ac:dyDescent="0.35">
      <c r="A1" s="14" t="s">
        <v>95</v>
      </c>
      <c r="B1" s="15"/>
      <c r="C1" s="15"/>
      <c r="D1" s="15"/>
      <c r="E1" s="15"/>
      <c r="F1" s="15"/>
      <c r="G1" s="15"/>
      <c r="H1" s="15"/>
      <c r="I1" s="15"/>
      <c r="J1" s="15"/>
    </row>
    <row r="2" spans="1:10" customFormat="1" ht="15" x14ac:dyDescent="0.25">
      <c r="A2" s="12"/>
      <c r="B2" s="12"/>
      <c r="C2" s="12"/>
      <c r="D2" s="12"/>
      <c r="E2" s="12"/>
      <c r="F2" s="12"/>
      <c r="G2" s="12"/>
      <c r="H2" s="12"/>
      <c r="I2" s="12"/>
      <c r="J2" s="12"/>
    </row>
    <row r="3" spans="1:10" customFormat="1" ht="15" x14ac:dyDescent="0.25">
      <c r="A3" s="36" t="s">
        <v>79</v>
      </c>
      <c r="B3" s="30">
        <f>Data!B2</f>
        <v>40255.375</v>
      </c>
      <c r="C3" s="12"/>
      <c r="D3" s="12"/>
      <c r="E3" s="12"/>
      <c r="F3" s="12"/>
      <c r="G3" s="12"/>
      <c r="H3" s="12"/>
      <c r="I3" s="12"/>
      <c r="J3" s="12"/>
    </row>
    <row r="4" spans="1:10" customFormat="1" ht="15" x14ac:dyDescent="0.25">
      <c r="A4" s="36" t="s">
        <v>84</v>
      </c>
      <c r="B4" s="30" t="str">
        <f>Data!B3</f>
        <v>miles</v>
      </c>
      <c r="C4" s="12"/>
      <c r="D4" s="12"/>
      <c r="E4" s="12"/>
      <c r="F4" s="12"/>
      <c r="G4" s="12"/>
      <c r="H4" s="12"/>
      <c r="I4" s="12"/>
      <c r="J4" s="12"/>
    </row>
    <row r="5" spans="1:10" customFormat="1" ht="15" x14ac:dyDescent="0.25">
      <c r="A5" s="29" t="s">
        <v>30</v>
      </c>
      <c r="B5" s="31">
        <f>Summary!B5</f>
        <v>5</v>
      </c>
      <c r="C5" s="12"/>
      <c r="D5" s="12"/>
      <c r="E5" s="12"/>
      <c r="F5" s="12"/>
      <c r="G5" s="12"/>
      <c r="H5" s="12"/>
      <c r="I5" s="12"/>
      <c r="J5" s="12"/>
    </row>
    <row r="6" spans="1:10" customFormat="1" ht="15" x14ac:dyDescent="0.25">
      <c r="A6" s="29" t="s">
        <v>31</v>
      </c>
      <c r="B6" s="31">
        <f>Summary!B6</f>
        <v>3000</v>
      </c>
      <c r="C6" s="12"/>
      <c r="D6" s="12"/>
      <c r="E6" s="12"/>
      <c r="F6" s="12"/>
      <c r="G6" s="12"/>
      <c r="H6" s="12"/>
      <c r="I6" s="12"/>
      <c r="J6" s="12"/>
    </row>
    <row r="7" spans="1:10" customFormat="1" ht="15" x14ac:dyDescent="0.25">
      <c r="A7" s="29" t="s">
        <v>32</v>
      </c>
      <c r="B7" s="31">
        <f>Summary!B7</f>
        <v>150</v>
      </c>
      <c r="C7" s="12"/>
      <c r="D7" s="12"/>
      <c r="E7" s="12"/>
      <c r="F7" s="12"/>
      <c r="G7" s="12"/>
      <c r="H7" s="12"/>
      <c r="I7" s="12"/>
      <c r="J7" s="12"/>
    </row>
    <row r="8" spans="1:10" customFormat="1" ht="15" x14ac:dyDescent="0.25">
      <c r="A8" s="6" t="s">
        <v>3</v>
      </c>
      <c r="B8" s="10" t="b">
        <f>IF(ISERROR(MATCH(TRUE,D:D,0)),FALSE,TRUE)</f>
        <v>1</v>
      </c>
      <c r="C8" s="12"/>
      <c r="D8" s="12"/>
      <c r="E8" s="12"/>
      <c r="F8" s="12"/>
      <c r="G8" s="12"/>
      <c r="H8" s="12"/>
      <c r="I8" s="12"/>
      <c r="J8" s="12"/>
    </row>
    <row r="9" spans="1:10" customFormat="1" ht="15" x14ac:dyDescent="0.25">
      <c r="A9" s="12"/>
      <c r="B9" s="12"/>
      <c r="C9" s="12"/>
      <c r="D9" s="12"/>
      <c r="E9" s="12"/>
      <c r="F9" s="12"/>
      <c r="G9" s="12"/>
      <c r="H9" s="12"/>
      <c r="I9" s="12"/>
      <c r="J9" s="12"/>
    </row>
    <row r="10" spans="1:10" customFormat="1" ht="15" x14ac:dyDescent="0.25">
      <c r="A10" s="4" t="s">
        <v>49</v>
      </c>
      <c r="B10" s="4" t="s">
        <v>54</v>
      </c>
      <c r="C10" s="4" t="s">
        <v>59</v>
      </c>
      <c r="D10" s="4" t="s">
        <v>33</v>
      </c>
      <c r="E10" s="4" t="s">
        <v>35</v>
      </c>
      <c r="F10" s="4" t="s">
        <v>36</v>
      </c>
      <c r="G10" s="4" t="s">
        <v>37</v>
      </c>
      <c r="H10" s="4" t="s">
        <v>64</v>
      </c>
      <c r="I10" s="4" t="s">
        <v>69</v>
      </c>
      <c r="J10" s="4" t="s">
        <v>74</v>
      </c>
    </row>
    <row r="11" spans="1:10" ht="15" x14ac:dyDescent="0.25">
      <c r="A11" s="32" t="str">
        <f>Data!A6</f>
        <v>Template Vehicle 1</v>
      </c>
      <c r="B11" s="32" t="str">
        <f>Data!C6</f>
        <v>Template Group 1</v>
      </c>
      <c r="C11" s="32" t="str">
        <f>Data!E6</f>
        <v>Oil Change</v>
      </c>
      <c r="D11" s="32" t="b">
        <f>IF(OR(E11=TRUE,F11=TRUE,G11=TRUE),TRUE,FALSE)</f>
        <v>1</v>
      </c>
      <c r="E11" s="32" t="b">
        <f>IFERROR(IF((H11-$B$3)&lt;$B$5,TRUE,FALSE),FALSE)</f>
        <v>1</v>
      </c>
      <c r="F11" s="32" t="b">
        <f>IF(AND(Data!Q6&lt;$B$6,Data!Q6&lt;&gt;""),TRUE,FALSE)</f>
        <v>0</v>
      </c>
      <c r="G11" s="32" t="b">
        <f>IF(AND(Data!R6&lt;$B$7,Data!R6&lt;&gt;""),TRUE,FALSE)</f>
        <v>0</v>
      </c>
      <c r="H11" s="33">
        <f>IF((Data!P6=""),"",Data!P6)</f>
        <v>40258.621469907404</v>
      </c>
      <c r="I11" s="34" t="str">
        <f>IF((Data!Q6=""),"",TEXT(Data!Q6,"#"))</f>
        <v/>
      </c>
      <c r="J11" s="34" t="str">
        <f>IF((Data!R6=""),"",TEXT(Data!R6,"#"))</f>
        <v/>
      </c>
    </row>
    <row r="12" spans="1:10" ht="15" x14ac:dyDescent="0.25">
      <c r="A12" s="32" t="str">
        <f>Data!A7</f>
        <v>Template Vehicle 2</v>
      </c>
      <c r="B12" s="32" t="str">
        <f>Data!C7</f>
        <v>Template Group 2</v>
      </c>
      <c r="C12" s="32" t="str">
        <f>Data!E7</f>
        <v>Tire Rotation</v>
      </c>
      <c r="D12" s="32" t="b">
        <f>IF(OR(E12=TRUE,F12=TRUE,G12=TRUE),TRUE,FALSE)</f>
        <v>1</v>
      </c>
      <c r="E12" s="32" t="b">
        <f t="shared" ref="E12:E13" si="0">IFERROR(IF((H12-$B$3)&lt;$B$5,TRUE,FALSE),FALSE)</f>
        <v>0</v>
      </c>
      <c r="F12" s="32" t="b">
        <f>IF(AND(Data!Q7&lt;$B$6,Data!Q7&lt;&gt;""),TRUE,FALSE)</f>
        <v>1</v>
      </c>
      <c r="G12" s="32" t="b">
        <f>IF(AND(Data!R7&lt;$B$7,Data!R7&lt;&gt;""),TRUE,FALSE)</f>
        <v>0</v>
      </c>
      <c r="H12" s="33" t="str">
        <f>IF((Data!P7=""),"",Data!P7)</f>
        <v/>
      </c>
      <c r="I12" s="34" t="str">
        <f>IF((Data!Q7=""),"",TEXT(Data!Q7,"#"))</f>
        <v>-1000</v>
      </c>
      <c r="J12" s="34" t="str">
        <f>IF((Data!R7=""),"",TEXT(Data!R7,"#"))</f>
        <v/>
      </c>
    </row>
    <row r="13" spans="1:10" ht="15" x14ac:dyDescent="0.25">
      <c r="A13" s="32" t="str">
        <f>Data!A8</f>
        <v>Template Vehicle 3</v>
      </c>
      <c r="B13" s="32" t="str">
        <f>Data!C8</f>
        <v>Template Group 3</v>
      </c>
      <c r="C13" s="32" t="str">
        <f>Data!E8</f>
        <v>Inspect Wiper Blades</v>
      </c>
      <c r="D13" s="32" t="b">
        <f>IF(OR(E13=TRUE,F13=TRUE,G13=TRUE),TRUE,FALSE)</f>
        <v>0</v>
      </c>
      <c r="E13" s="32" t="b">
        <f t="shared" si="0"/>
        <v>0</v>
      </c>
      <c r="F13" s="32" t="b">
        <f>IF(AND(Data!Q8&lt;$B$6,Data!Q8&lt;&gt;""),TRUE,FALSE)</f>
        <v>0</v>
      </c>
      <c r="G13" s="32" t="b">
        <f>IF(AND(Data!R8&lt;$B$7,Data!R8&lt;&gt;""),TRUE,FALSE)</f>
        <v>0</v>
      </c>
      <c r="H13" s="33" t="str">
        <f>IF((Data!P8=""),"",Data!P8)</f>
        <v/>
      </c>
      <c r="I13" s="34" t="str">
        <f>IF((Data!Q8=""),"",TEXT(Data!Q8,"#"))</f>
        <v/>
      </c>
      <c r="J13" s="34" t="str">
        <f>IF((Data!R8=""),"",TEXT(Data!R8,"#"))</f>
        <v>300</v>
      </c>
    </row>
    <row r="14" spans="1:10" ht="15" x14ac:dyDescent="0.25"/>
    <row r="15" spans="1:10" ht="15" x14ac:dyDescent="0.25"/>
    <row r="16" spans="1:10" ht="15" x14ac:dyDescent="0.25"/>
    <row r="17" ht="15" x14ac:dyDescent="0.25"/>
    <row r="18" ht="15" x14ac:dyDescent="0.25"/>
    <row r="19" ht="15" x14ac:dyDescent="0.25"/>
  </sheetData>
  <conditionalFormatting sqref="H11:H65535">
    <cfRule type="expression" dxfId="46" priority="3" stopIfTrue="1">
      <formula>E11=TRUE</formula>
    </cfRule>
  </conditionalFormatting>
  <conditionalFormatting sqref="I11:I65535">
    <cfRule type="expression" dxfId="45" priority="2" stopIfTrue="1">
      <formula>F11=TRUE</formula>
    </cfRule>
  </conditionalFormatting>
  <conditionalFormatting sqref="J11:J65535">
    <cfRule type="expression" dxfId="44" priority="1" stopIfTrue="1">
      <formula>G11=TRUE</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8"/>
  <sheetViews>
    <sheetView showGridLines="0" tabSelected="1" workbookViewId="0">
      <selection activeCell="B5" sqref="B5"/>
    </sheetView>
  </sheetViews>
  <sheetFormatPr defaultColWidth="8.85546875" defaultRowHeight="12.75" x14ac:dyDescent="0.2"/>
  <cols>
    <col min="1" max="1" width="37.28515625" style="28" bestFit="1" customWidth="1"/>
    <col min="2" max="2" width="24.42578125" style="28" customWidth="1"/>
    <col min="3" max="3" width="20.140625" style="28" customWidth="1"/>
    <col min="4" max="4" width="18.42578125" style="28" customWidth="1"/>
    <col min="5" max="5" width="27.7109375" style="28" customWidth="1"/>
    <col min="6" max="8" width="0" style="28" hidden="1" customWidth="1"/>
    <col min="9" max="9" width="17.85546875" style="28" hidden="1" customWidth="1"/>
    <col min="10" max="11" width="0" style="28" hidden="1" customWidth="1"/>
    <col min="12" max="12" width="8.85546875" style="28"/>
    <col min="13" max="13" width="21.42578125" style="28" customWidth="1"/>
    <col min="14" max="14" width="26" style="28" bestFit="1" customWidth="1"/>
    <col min="15" max="16" width="8.85546875" style="28"/>
    <col min="17" max="17" width="18.140625" style="28" customWidth="1"/>
    <col min="18" max="16384" width="8.85546875" style="28"/>
  </cols>
  <sheetData>
    <row r="1" spans="1:18" s="19" customFormat="1" ht="23.25" customHeight="1" x14ac:dyDescent="0.35">
      <c r="A1" s="17" t="s">
        <v>95</v>
      </c>
      <c r="B1" s="18"/>
      <c r="C1" s="18"/>
      <c r="D1" s="18"/>
      <c r="E1" s="18"/>
      <c r="F1" s="18"/>
      <c r="G1" s="18"/>
      <c r="I1" s="20"/>
    </row>
    <row r="2" spans="1:18" s="21" customFormat="1" ht="14.45" customHeight="1" thickBot="1" x14ac:dyDescent="0.3"/>
    <row r="3" spans="1:18" s="21" customFormat="1" ht="14.45" customHeight="1" x14ac:dyDescent="0.25">
      <c r="A3" s="22" t="s">
        <v>79</v>
      </c>
      <c r="B3" s="23">
        <f>Data!B2</f>
        <v>40255.375</v>
      </c>
      <c r="N3" s="49"/>
      <c r="O3" s="50" t="s">
        <v>100</v>
      </c>
      <c r="P3" s="51"/>
      <c r="Q3" s="52"/>
    </row>
    <row r="4" spans="1:18" s="21" customFormat="1" ht="14.45" customHeight="1" x14ac:dyDescent="0.25">
      <c r="A4" s="24"/>
      <c r="B4" s="24"/>
      <c r="N4" s="53" t="s">
        <v>110</v>
      </c>
      <c r="O4" s="54"/>
      <c r="P4" s="54"/>
      <c r="Q4" s="55"/>
      <c r="R4" s="44"/>
    </row>
    <row r="5" spans="1:18" s="21" customFormat="1" ht="14.45" customHeight="1" x14ac:dyDescent="0.25">
      <c r="A5" s="25" t="s">
        <v>92</v>
      </c>
      <c r="B5" s="37">
        <v>5</v>
      </c>
      <c r="N5" s="53"/>
      <c r="O5" s="54"/>
      <c r="P5" s="54"/>
      <c r="Q5" s="55"/>
      <c r="R5" s="44"/>
    </row>
    <row r="6" spans="1:18" s="21" customFormat="1" ht="14.45" customHeight="1" x14ac:dyDescent="0.25">
      <c r="A6" s="25" t="s">
        <v>69</v>
      </c>
      <c r="B6" s="37">
        <v>3000</v>
      </c>
      <c r="N6" s="53"/>
      <c r="O6" s="54"/>
      <c r="P6" s="54"/>
      <c r="Q6" s="55"/>
      <c r="R6" s="44"/>
    </row>
    <row r="7" spans="1:18" s="21" customFormat="1" ht="14.45" customHeight="1" x14ac:dyDescent="0.25">
      <c r="A7" s="25" t="s">
        <v>74</v>
      </c>
      <c r="B7" s="37">
        <v>150</v>
      </c>
      <c r="N7" s="53"/>
      <c r="O7" s="54"/>
      <c r="P7" s="54"/>
      <c r="Q7" s="55"/>
      <c r="R7" s="44"/>
    </row>
    <row r="8" spans="1:18" s="21" customFormat="1" ht="14.45" customHeight="1" x14ac:dyDescent="0.25">
      <c r="A8" s="25"/>
      <c r="B8" s="26"/>
      <c r="N8" s="53"/>
      <c r="O8" s="54"/>
      <c r="P8" s="54"/>
      <c r="Q8" s="55"/>
      <c r="R8" s="44"/>
    </row>
    <row r="9" spans="1:18" s="21" customFormat="1" ht="14.45" hidden="1" customHeight="1" x14ac:dyDescent="0.25">
      <c r="A9" s="45" t="s">
        <v>33</v>
      </c>
      <c r="B9" s="46" t="s">
        <v>34</v>
      </c>
      <c r="N9" s="53"/>
      <c r="O9" s="54"/>
      <c r="P9" s="54"/>
      <c r="Q9" s="55"/>
      <c r="R9" s="44"/>
    </row>
    <row r="10" spans="1:18" s="21" customFormat="1" ht="14.45" hidden="1" customHeight="1" x14ac:dyDescent="0.25">
      <c r="N10" s="53"/>
      <c r="O10" s="54"/>
      <c r="P10" s="54"/>
      <c r="Q10" s="55"/>
      <c r="R10" s="44"/>
    </row>
    <row r="11" spans="1:18" s="21" customFormat="1" ht="14.45" hidden="1" customHeight="1" x14ac:dyDescent="0.25">
      <c r="A11" s="46"/>
      <c r="B11" s="46"/>
      <c r="C11" s="46"/>
      <c r="D11" s="46"/>
      <c r="E11" s="46"/>
      <c r="F11" s="46"/>
      <c r="G11" s="46"/>
      <c r="H11" s="46"/>
      <c r="I11" s="46"/>
      <c r="J11" s="46"/>
      <c r="K11" s="46"/>
      <c r="N11" s="53"/>
      <c r="O11" s="54"/>
      <c r="P11" s="54"/>
      <c r="Q11" s="55"/>
      <c r="R11" s="44"/>
    </row>
    <row r="12" spans="1:18" s="21" customFormat="1" ht="14.45" customHeight="1" x14ac:dyDescent="0.25">
      <c r="A12" s="45" t="s">
        <v>49</v>
      </c>
      <c r="B12" s="45" t="s">
        <v>59</v>
      </c>
      <c r="C12" s="45" t="s">
        <v>64</v>
      </c>
      <c r="D12" s="45" t="s">
        <v>69</v>
      </c>
      <c r="E12" s="45" t="s">
        <v>74</v>
      </c>
      <c r="F12" s="46"/>
      <c r="G12" s="46"/>
      <c r="H12" s="46"/>
      <c r="I12" s="46"/>
      <c r="J12" s="46"/>
      <c r="K12" s="46"/>
      <c r="N12" s="53"/>
      <c r="O12" s="54"/>
      <c r="P12" s="54"/>
      <c r="Q12" s="55"/>
      <c r="R12" s="44"/>
    </row>
    <row r="13" spans="1:18" s="24" customFormat="1" ht="14.45" customHeight="1" x14ac:dyDescent="0.25">
      <c r="A13" s="46" t="s">
        <v>22</v>
      </c>
      <c r="B13" s="46" t="s">
        <v>40</v>
      </c>
      <c r="C13" s="47">
        <v>40258.621469907404</v>
      </c>
      <c r="D13" s="46"/>
      <c r="E13" s="46"/>
      <c r="F13" s="48"/>
      <c r="G13" s="48"/>
      <c r="H13" s="48"/>
      <c r="I13" s="48"/>
      <c r="J13" s="48"/>
      <c r="K13" s="48"/>
      <c r="N13" s="53"/>
      <c r="O13" s="54"/>
      <c r="P13" s="54"/>
      <c r="Q13" s="55"/>
      <c r="R13" s="44"/>
    </row>
    <row r="14" spans="1:18" s="24" customFormat="1" ht="19.5" thickBot="1" x14ac:dyDescent="0.35">
      <c r="A14" s="46" t="s">
        <v>25</v>
      </c>
      <c r="B14" s="46" t="s">
        <v>42</v>
      </c>
      <c r="C14" s="46"/>
      <c r="D14" s="46" t="s">
        <v>38</v>
      </c>
      <c r="E14" s="46"/>
      <c r="F14" s="48"/>
      <c r="G14" s="48"/>
      <c r="H14" s="48"/>
      <c r="I14" s="48"/>
      <c r="J14" s="48"/>
      <c r="K14" s="48"/>
      <c r="M14" s="42"/>
      <c r="N14" s="56"/>
      <c r="O14" s="57"/>
      <c r="P14" s="57"/>
      <c r="Q14" s="58"/>
      <c r="R14" s="44"/>
    </row>
    <row r="15" spans="1:18" s="24" customFormat="1" ht="15" x14ac:dyDescent="0.25">
      <c r="A15"/>
      <c r="B15"/>
      <c r="C15"/>
      <c r="D15"/>
      <c r="E15"/>
      <c r="F15"/>
      <c r="G15"/>
      <c r="H15"/>
      <c r="I15"/>
      <c r="J15"/>
      <c r="K15"/>
      <c r="M15" s="59"/>
      <c r="N15" s="59"/>
      <c r="O15" s="59"/>
      <c r="P15" s="41"/>
      <c r="Q15" s="41"/>
    </row>
    <row r="16" spans="1:18" s="24" customFormat="1" ht="14.45" customHeight="1" x14ac:dyDescent="0.25">
      <c r="A16"/>
      <c r="B16"/>
      <c r="C16"/>
      <c r="D16"/>
      <c r="E16"/>
      <c r="F16"/>
      <c r="G16"/>
      <c r="H16" s="27"/>
      <c r="I16" s="27"/>
      <c r="J16" s="27"/>
      <c r="K16" s="27"/>
    </row>
    <row r="17" spans="1:11" s="24" customFormat="1" ht="14.45" customHeight="1" x14ac:dyDescent="0.25">
      <c r="A17"/>
      <c r="B17"/>
      <c r="C17"/>
      <c r="D17"/>
      <c r="E17"/>
      <c r="F17"/>
      <c r="G17"/>
      <c r="H17" s="27"/>
      <c r="I17" s="27"/>
      <c r="J17" s="27"/>
      <c r="K17" s="27"/>
    </row>
    <row r="18" spans="1:11" s="24" customFormat="1" ht="14.45" customHeight="1" x14ac:dyDescent="0.25">
      <c r="A18"/>
      <c r="B18"/>
      <c r="C18"/>
      <c r="D18"/>
      <c r="E18"/>
      <c r="F18"/>
      <c r="G18"/>
      <c r="H18" s="27"/>
      <c r="I18" s="27"/>
      <c r="J18" s="27"/>
      <c r="K18" s="27"/>
    </row>
    <row r="19" spans="1:11" s="24" customFormat="1" ht="14.45" customHeight="1" x14ac:dyDescent="0.25">
      <c r="A19"/>
      <c r="B19"/>
      <c r="C19"/>
      <c r="D19"/>
      <c r="E19"/>
      <c r="F19"/>
      <c r="G19"/>
    </row>
    <row r="20" spans="1:11" s="24" customFormat="1" ht="14.45" customHeight="1" x14ac:dyDescent="0.25">
      <c r="A20"/>
      <c r="B20"/>
      <c r="C20"/>
      <c r="D20"/>
      <c r="E20"/>
      <c r="F20"/>
      <c r="G20"/>
    </row>
    <row r="21" spans="1:11" s="24" customFormat="1" ht="14.45" customHeight="1" x14ac:dyDescent="0.25">
      <c r="A21"/>
      <c r="B21"/>
      <c r="C21"/>
      <c r="D21"/>
      <c r="E21"/>
      <c r="F21"/>
      <c r="G21"/>
    </row>
    <row r="22" spans="1:11" s="24" customFormat="1" ht="14.45" customHeight="1" x14ac:dyDescent="0.25">
      <c r="A22"/>
      <c r="B22"/>
      <c r="C22"/>
      <c r="D22"/>
      <c r="E22"/>
      <c r="F22"/>
      <c r="G22"/>
    </row>
    <row r="23" spans="1:11" s="24" customFormat="1" ht="14.45" customHeight="1" x14ac:dyDescent="0.25">
      <c r="A23"/>
      <c r="B23"/>
      <c r="C23"/>
      <c r="D23"/>
      <c r="E23"/>
      <c r="F23"/>
      <c r="G23"/>
    </row>
    <row r="24" spans="1:11" s="24" customFormat="1" ht="14.45" customHeight="1" x14ac:dyDescent="0.25">
      <c r="A24"/>
      <c r="B24"/>
      <c r="C24"/>
      <c r="D24"/>
      <c r="E24"/>
      <c r="F24"/>
      <c r="G24"/>
    </row>
    <row r="25" spans="1:11" s="24" customFormat="1" ht="14.45" customHeight="1" x14ac:dyDescent="0.25"/>
    <row r="26" spans="1:11" s="24" customFormat="1" ht="14.45" customHeight="1" x14ac:dyDescent="0.25"/>
    <row r="27" spans="1:11" s="24" customFormat="1" ht="14.45" customHeight="1" x14ac:dyDescent="0.25"/>
    <row r="28" spans="1:11" s="24" customFormat="1" ht="14.45" customHeight="1" x14ac:dyDescent="0.25"/>
    <row r="29" spans="1:11" s="24" customFormat="1" ht="14.45" customHeight="1" x14ac:dyDescent="0.25"/>
    <row r="30" spans="1:11" s="24" customFormat="1" ht="14.45" customHeight="1" x14ac:dyDescent="0.25"/>
    <row r="31" spans="1:11" s="24" customFormat="1" ht="14.45" customHeight="1" x14ac:dyDescent="0.25"/>
    <row r="32" spans="1:11" s="24" customFormat="1" ht="14.45" customHeight="1" x14ac:dyDescent="0.25"/>
    <row r="33" s="24" customFormat="1" ht="14.45" customHeight="1" x14ac:dyDescent="0.25"/>
    <row r="34" s="24" customFormat="1" ht="14.45" customHeight="1" x14ac:dyDescent="0.25"/>
    <row r="35" s="24" customFormat="1" ht="14.45" customHeight="1" x14ac:dyDescent="0.25"/>
    <row r="36" s="24" customFormat="1" ht="14.45" customHeight="1" x14ac:dyDescent="0.25"/>
    <row r="37" s="24" customFormat="1" ht="14.45" customHeight="1" x14ac:dyDescent="0.25"/>
    <row r="38" s="24" customFormat="1" ht="14.45" customHeight="1" x14ac:dyDescent="0.25"/>
  </sheetData>
  <mergeCells count="2">
    <mergeCell ref="N4:Q14"/>
    <mergeCell ref="M15:O15"/>
  </mergeCells>
  <pageMargins left="0.7" right="0.7" top="0.75" bottom="0.75" header="0.3" footer="0.3"/>
  <pageSetup orientation="portrait" horizontalDpi="4294967295" verticalDpi="4294967295"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
  <sheetViews>
    <sheetView zoomScale="115" zoomScaleNormal="115" workbookViewId="0"/>
  </sheetViews>
  <sheetFormatPr defaultColWidth="9.140625" defaultRowHeight="12.75" x14ac:dyDescent="0.2"/>
  <cols>
    <col min="1" max="1" width="36.85546875" style="40" bestFit="1" customWidth="1"/>
    <col min="2" max="2" width="36" style="40" bestFit="1" customWidth="1"/>
    <col min="3" max="3" width="46.5703125" style="40" bestFit="1" customWidth="1"/>
    <col min="4" max="4" width="36.42578125" style="40" bestFit="1" customWidth="1"/>
    <col min="5" max="5" width="44.140625" style="40" bestFit="1" customWidth="1"/>
    <col min="6" max="16384" width="9.140625" style="40"/>
  </cols>
  <sheetData>
    <row r="1" spans="1:5" s="39" customFormat="1" x14ac:dyDescent="0.2">
      <c r="A1" s="39" t="s">
        <v>44</v>
      </c>
      <c r="B1" s="39" t="s">
        <v>45</v>
      </c>
      <c r="C1" s="39" t="s">
        <v>46</v>
      </c>
      <c r="D1" s="39" t="s">
        <v>47</v>
      </c>
      <c r="E1" s="39" t="s">
        <v>48</v>
      </c>
    </row>
    <row r="2" spans="1:5" x14ac:dyDescent="0.2">
      <c r="A2" s="40" t="s">
        <v>49</v>
      </c>
      <c r="B2" s="40" t="s">
        <v>50</v>
      </c>
      <c r="C2" s="40" t="s">
        <v>51</v>
      </c>
      <c r="D2" s="40" t="s">
        <v>52</v>
      </c>
      <c r="E2" s="40" t="s">
        <v>53</v>
      </c>
    </row>
    <row r="3" spans="1:5" x14ac:dyDescent="0.2">
      <c r="A3" s="40" t="s">
        <v>54</v>
      </c>
      <c r="B3" s="40" t="s">
        <v>55</v>
      </c>
      <c r="C3" s="40" t="s">
        <v>56</v>
      </c>
      <c r="D3" s="40" t="s">
        <v>57</v>
      </c>
      <c r="E3" s="40" t="s">
        <v>58</v>
      </c>
    </row>
    <row r="4" spans="1:5" x14ac:dyDescent="0.2">
      <c r="A4" s="40" t="s">
        <v>59</v>
      </c>
      <c r="B4" s="40" t="s">
        <v>60</v>
      </c>
      <c r="C4" s="40" t="s">
        <v>61</v>
      </c>
      <c r="D4" s="40" t="s">
        <v>62</v>
      </c>
      <c r="E4" s="40" t="s">
        <v>63</v>
      </c>
    </row>
    <row r="5" spans="1:5" x14ac:dyDescent="0.2">
      <c r="A5" s="40" t="s">
        <v>64</v>
      </c>
      <c r="B5" s="40" t="s">
        <v>65</v>
      </c>
      <c r="C5" s="40" t="s">
        <v>66</v>
      </c>
      <c r="D5" s="40" t="s">
        <v>67</v>
      </c>
      <c r="E5" s="40" t="s">
        <v>68</v>
      </c>
    </row>
    <row r="6" spans="1:5" x14ac:dyDescent="0.2">
      <c r="A6" s="40" t="s">
        <v>69</v>
      </c>
      <c r="B6" s="40" t="s">
        <v>70</v>
      </c>
      <c r="C6" s="40" t="s">
        <v>71</v>
      </c>
      <c r="D6" s="40" t="s">
        <v>72</v>
      </c>
      <c r="E6" s="40" t="s">
        <v>73</v>
      </c>
    </row>
    <row r="7" spans="1:5" x14ac:dyDescent="0.2">
      <c r="A7" s="40" t="s">
        <v>74</v>
      </c>
      <c r="B7" s="40" t="s">
        <v>75</v>
      </c>
      <c r="C7" s="40" t="s">
        <v>76</v>
      </c>
      <c r="D7" s="40" t="s">
        <v>77</v>
      </c>
      <c r="E7" s="40" t="s">
        <v>78</v>
      </c>
    </row>
    <row r="8" spans="1:5" x14ac:dyDescent="0.2">
      <c r="A8" s="40" t="s">
        <v>79</v>
      </c>
      <c r="B8" s="40" t="s">
        <v>80</v>
      </c>
      <c r="C8" s="40" t="s">
        <v>81</v>
      </c>
      <c r="D8" s="40" t="s">
        <v>82</v>
      </c>
      <c r="E8" s="40" t="s">
        <v>83</v>
      </c>
    </row>
    <row r="9" spans="1:5" x14ac:dyDescent="0.2">
      <c r="A9" s="40" t="s">
        <v>84</v>
      </c>
      <c r="B9" s="40" t="s">
        <v>85</v>
      </c>
      <c r="C9" s="40" t="s">
        <v>86</v>
      </c>
      <c r="D9" s="40" t="s">
        <v>87</v>
      </c>
      <c r="E9" s="40" t="s">
        <v>88</v>
      </c>
    </row>
    <row r="10" spans="1:5" x14ac:dyDescent="0.2">
      <c r="A10" s="40" t="s">
        <v>89</v>
      </c>
      <c r="B10" s="40" t="s">
        <v>90</v>
      </c>
      <c r="C10" s="40" t="s">
        <v>90</v>
      </c>
      <c r="D10" s="40" t="s">
        <v>90</v>
      </c>
      <c r="E10" s="40" t="s">
        <v>91</v>
      </c>
    </row>
    <row r="11" spans="1:5" x14ac:dyDescent="0.2">
      <c r="A11" s="40" t="s">
        <v>92</v>
      </c>
      <c r="B11" s="40" t="s">
        <v>93</v>
      </c>
      <c r="C11" s="40" t="s">
        <v>66</v>
      </c>
      <c r="D11" s="40" t="s">
        <v>67</v>
      </c>
      <c r="E11" s="40" t="s">
        <v>94</v>
      </c>
    </row>
    <row r="12" spans="1:5" x14ac:dyDescent="0.2">
      <c r="A12" s="40" t="s">
        <v>95</v>
      </c>
      <c r="B12" s="40" t="s">
        <v>97</v>
      </c>
      <c r="C12" s="40" t="s">
        <v>98</v>
      </c>
      <c r="D12" s="40" t="s">
        <v>96</v>
      </c>
      <c r="E12" s="40" t="s">
        <v>99</v>
      </c>
    </row>
    <row r="13" spans="1:5" x14ac:dyDescent="0.2">
      <c r="A13" s="40" t="s">
        <v>100</v>
      </c>
      <c r="B13" s="40" t="s">
        <v>104</v>
      </c>
      <c r="C13" s="40" t="s">
        <v>103</v>
      </c>
      <c r="D13" s="40" t="s">
        <v>102</v>
      </c>
      <c r="E13" s="40" t="s">
        <v>105</v>
      </c>
    </row>
    <row r="14" spans="1:5" customFormat="1" ht="153" x14ac:dyDescent="0.2">
      <c r="A14" s="43" t="s">
        <v>101</v>
      </c>
      <c r="B14" s="43" t="s">
        <v>108</v>
      </c>
      <c r="C14" s="43" t="s">
        <v>107</v>
      </c>
      <c r="D14" s="43" t="s">
        <v>106</v>
      </c>
      <c r="E14" s="43" t="s">
        <v>109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Data</vt:lpstr>
      <vt:lpstr>Report</vt:lpstr>
      <vt:lpstr>Summary</vt:lpstr>
      <vt:lpstr>Languages</vt:lpstr>
      <vt:lpstr>AllData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Angie Milne</dc:creator>
  <cp:lastModifiedBy>Ben Schwartz</cp:lastModifiedBy>
  <dcterms:created xsi:type="dcterms:W3CDTF">2013-11-01T17:22:43Z</dcterms:created>
  <dcterms:modified xsi:type="dcterms:W3CDTF">2017-07-06T14:27:40Z</dcterms:modified>
</cp:coreProperties>
</file>