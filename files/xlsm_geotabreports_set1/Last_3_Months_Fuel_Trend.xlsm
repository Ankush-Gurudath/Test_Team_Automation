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rishmasawant\Downloads\"/>
    </mc:Choice>
  </mc:AlternateContent>
  <xr:revisionPtr revIDLastSave="0" documentId="10_ncr:180000_{2D6BF633-759F-4AE1-828A-4B81C4675BDF}" xr6:coauthVersionLast="31" xr6:coauthVersionMax="31" xr10:uidLastSave="{00000000-0000-0000-0000-000000000000}"/>
  <bookViews>
    <workbookView xWindow="0" yWindow="0" windowWidth="8904" windowHeight="5244" firstSheet="1" activeTab="1" xr2:uid="{00000000-000D-0000-FFFF-FFFF00000000}"/>
  </bookViews>
  <sheets>
    <sheet name="Data" sheetId="1" state="hidden" r:id="rId1"/>
    <sheet name="Summary" sheetId="3" r:id="rId2"/>
    <sheet name="Report" sheetId="2" r:id="rId3"/>
  </sheets>
  <definedNames>
    <definedName name="AllData">Report!$A$9:$G$75</definedName>
  </definedNames>
  <calcPr calcId="179017"/>
  <pivotCaches>
    <pivotCache cacheId="10" r:id="rId4"/>
  </pivotCaches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A10" i="2"/>
  <c r="B10" i="2"/>
  <c r="C10" i="2"/>
  <c r="D10" i="2"/>
  <c r="E10" i="2"/>
  <c r="F10" i="2" s="1"/>
  <c r="G10" i="2"/>
  <c r="A11" i="2"/>
  <c r="B11" i="2"/>
  <c r="C11" i="2"/>
  <c r="D11" i="2"/>
  <c r="E11" i="2"/>
  <c r="F11" i="2"/>
  <c r="G11" i="2"/>
  <c r="A12" i="2"/>
  <c r="B12" i="2"/>
  <c r="C12" i="2"/>
  <c r="D12" i="2"/>
  <c r="E12" i="2"/>
  <c r="F12" i="2" s="1"/>
  <c r="G12" i="2"/>
  <c r="A13" i="2"/>
  <c r="B13" i="2"/>
  <c r="C13" i="2"/>
  <c r="D13" i="2"/>
  <c r="E13" i="2"/>
  <c r="F13" i="2"/>
  <c r="G13" i="2"/>
  <c r="A14" i="2"/>
  <c r="B14" i="2"/>
  <c r="C14" i="2"/>
  <c r="D14" i="2"/>
  <c r="E14" i="2"/>
  <c r="F14" i="2" s="1"/>
  <c r="G14" i="2"/>
  <c r="A15" i="2"/>
  <c r="B15" i="2"/>
  <c r="C15" i="2"/>
  <c r="D15" i="2"/>
  <c r="E15" i="2"/>
  <c r="F15" i="2"/>
  <c r="G15" i="2"/>
  <c r="A16" i="2"/>
  <c r="B16" i="2"/>
  <c r="C16" i="2"/>
  <c r="D16" i="2"/>
  <c r="E16" i="2"/>
  <c r="F16" i="2" s="1"/>
  <c r="G16" i="2"/>
  <c r="A17" i="2"/>
  <c r="B17" i="2"/>
  <c r="C17" i="2"/>
  <c r="D17" i="2"/>
  <c r="E17" i="2"/>
  <c r="F17" i="2"/>
  <c r="G17" i="2"/>
  <c r="A18" i="2"/>
  <c r="B18" i="2"/>
  <c r="C18" i="2"/>
  <c r="D18" i="2"/>
  <c r="E18" i="2"/>
  <c r="F18" i="2" s="1"/>
  <c r="G18" i="2"/>
  <c r="A19" i="2"/>
  <c r="B19" i="2"/>
  <c r="C19" i="2"/>
  <c r="D19" i="2"/>
  <c r="E19" i="2"/>
  <c r="F19" i="2"/>
  <c r="G19" i="2"/>
  <c r="A20" i="2"/>
  <c r="B20" i="2"/>
  <c r="C20" i="2"/>
  <c r="D20" i="2"/>
  <c r="E20" i="2"/>
  <c r="F20" i="2" s="1"/>
  <c r="G20" i="2"/>
  <c r="A21" i="2"/>
  <c r="B21" i="2"/>
  <c r="C21" i="2"/>
  <c r="D21" i="2"/>
  <c r="E21" i="2"/>
  <c r="F21" i="2"/>
  <c r="G21" i="2"/>
  <c r="A22" i="2"/>
  <c r="B22" i="2"/>
  <c r="C22" i="2"/>
  <c r="D22" i="2"/>
  <c r="E22" i="2"/>
  <c r="F22" i="2" s="1"/>
  <c r="G22" i="2"/>
  <c r="A23" i="2"/>
  <c r="B23" i="2"/>
  <c r="C23" i="2"/>
  <c r="D23" i="2"/>
  <c r="E23" i="2"/>
  <c r="F23" i="2"/>
  <c r="G23" i="2"/>
  <c r="A24" i="2"/>
  <c r="B24" i="2"/>
  <c r="C24" i="2"/>
  <c r="D24" i="2"/>
  <c r="E24" i="2"/>
  <c r="F24" i="2" s="1"/>
  <c r="G24" i="2"/>
  <c r="A25" i="2"/>
  <c r="B25" i="2"/>
  <c r="C25" i="2"/>
  <c r="D25" i="2"/>
  <c r="E25" i="2"/>
  <c r="F25" i="2"/>
  <c r="G25" i="2"/>
  <c r="A26" i="2"/>
  <c r="B26" i="2"/>
  <c r="C26" i="2"/>
  <c r="D26" i="2"/>
  <c r="E26" i="2"/>
  <c r="F26" i="2" s="1"/>
  <c r="G26" i="2"/>
  <c r="A27" i="2"/>
  <c r="B27" i="2"/>
  <c r="C27" i="2"/>
  <c r="D27" i="2"/>
  <c r="E27" i="2"/>
  <c r="F27" i="2"/>
  <c r="G27" i="2"/>
  <c r="A28" i="2"/>
  <c r="B28" i="2"/>
  <c r="C28" i="2"/>
  <c r="D28" i="2"/>
  <c r="E28" i="2"/>
  <c r="F28" i="2" s="1"/>
  <c r="G28" i="2"/>
  <c r="A29" i="2"/>
  <c r="B29" i="2"/>
  <c r="C29" i="2"/>
  <c r="D29" i="2"/>
  <c r="E29" i="2"/>
  <c r="F29" i="2"/>
  <c r="G29" i="2"/>
  <c r="A30" i="2"/>
  <c r="B30" i="2"/>
  <c r="C30" i="2"/>
  <c r="D30" i="2"/>
  <c r="E30" i="2"/>
  <c r="F30" i="2" s="1"/>
  <c r="G30" i="2"/>
  <c r="A31" i="2"/>
  <c r="B31" i="2"/>
  <c r="C31" i="2"/>
  <c r="D31" i="2"/>
  <c r="E31" i="2"/>
  <c r="F31" i="2"/>
  <c r="G31" i="2"/>
  <c r="A32" i="2"/>
  <c r="B32" i="2"/>
  <c r="C32" i="2"/>
  <c r="D32" i="2"/>
  <c r="E32" i="2"/>
  <c r="F32" i="2" s="1"/>
  <c r="G32" i="2"/>
  <c r="A33" i="2"/>
  <c r="B33" i="2"/>
  <c r="C33" i="2"/>
  <c r="D33" i="2"/>
  <c r="E33" i="2"/>
  <c r="F33" i="2"/>
  <c r="G33" i="2"/>
  <c r="A34" i="2"/>
  <c r="B34" i="2"/>
  <c r="C34" i="2"/>
  <c r="D34" i="2"/>
  <c r="E34" i="2"/>
  <c r="F34" i="2" s="1"/>
  <c r="G34" i="2"/>
  <c r="A35" i="2"/>
  <c r="B35" i="2"/>
  <c r="C35" i="2"/>
  <c r="D35" i="2"/>
  <c r="E35" i="2"/>
  <c r="F35" i="2"/>
  <c r="G35" i="2"/>
  <c r="A36" i="2"/>
  <c r="B36" i="2"/>
  <c r="C36" i="2"/>
  <c r="D36" i="2"/>
  <c r="E36" i="2"/>
  <c r="F36" i="2" s="1"/>
  <c r="G36" i="2"/>
  <c r="A37" i="2"/>
  <c r="B37" i="2"/>
  <c r="C37" i="2"/>
  <c r="D37" i="2"/>
  <c r="E37" i="2"/>
  <c r="F37" i="2"/>
  <c r="G37" i="2"/>
  <c r="A38" i="2"/>
  <c r="B38" i="2"/>
  <c r="C38" i="2"/>
  <c r="D38" i="2"/>
  <c r="E38" i="2"/>
  <c r="F38" i="2" s="1"/>
  <c r="G38" i="2"/>
  <c r="A39" i="2"/>
  <c r="B39" i="2"/>
  <c r="C39" i="2"/>
  <c r="D39" i="2"/>
  <c r="E39" i="2"/>
  <c r="F39" i="2"/>
  <c r="G39" i="2"/>
  <c r="A40" i="2"/>
  <c r="B40" i="2"/>
  <c r="C40" i="2"/>
  <c r="D40" i="2"/>
  <c r="E40" i="2"/>
  <c r="F40" i="2" s="1"/>
  <c r="G40" i="2"/>
  <c r="A41" i="2"/>
  <c r="B41" i="2"/>
  <c r="C41" i="2"/>
  <c r="D41" i="2"/>
  <c r="E41" i="2"/>
  <c r="F41" i="2"/>
  <c r="G41" i="2"/>
  <c r="A42" i="2"/>
  <c r="B42" i="2"/>
  <c r="C42" i="2"/>
  <c r="D42" i="2"/>
  <c r="E42" i="2"/>
  <c r="F42" i="2" s="1"/>
  <c r="G42" i="2"/>
  <c r="A43" i="2"/>
  <c r="B43" i="2"/>
  <c r="C43" i="2"/>
  <c r="D43" i="2"/>
  <c r="E43" i="2"/>
  <c r="F43" i="2"/>
  <c r="G43" i="2"/>
  <c r="A44" i="2"/>
  <c r="B44" i="2"/>
  <c r="C44" i="2"/>
  <c r="D44" i="2"/>
  <c r="E44" i="2"/>
  <c r="F44" i="2" s="1"/>
  <c r="G44" i="2"/>
  <c r="A45" i="2"/>
  <c r="B45" i="2"/>
  <c r="C45" i="2"/>
  <c r="D45" i="2"/>
  <c r="E45" i="2"/>
  <c r="F45" i="2"/>
  <c r="G45" i="2"/>
  <c r="A46" i="2"/>
  <c r="B46" i="2"/>
  <c r="C46" i="2"/>
  <c r="D46" i="2"/>
  <c r="E46" i="2"/>
  <c r="F46" i="2" s="1"/>
  <c r="G46" i="2"/>
  <c r="A47" i="2"/>
  <c r="B47" i="2"/>
  <c r="C47" i="2"/>
  <c r="D47" i="2"/>
  <c r="E47" i="2"/>
  <c r="F47" i="2"/>
  <c r="G47" i="2"/>
  <c r="A48" i="2"/>
  <c r="B48" i="2"/>
  <c r="C48" i="2"/>
  <c r="D48" i="2"/>
  <c r="E48" i="2"/>
  <c r="F48" i="2" s="1"/>
  <c r="G48" i="2"/>
  <c r="A49" i="2"/>
  <c r="B49" i="2"/>
  <c r="C49" i="2"/>
  <c r="D49" i="2"/>
  <c r="E49" i="2"/>
  <c r="F49" i="2"/>
  <c r="G49" i="2"/>
  <c r="A50" i="2"/>
  <c r="B50" i="2"/>
  <c r="C50" i="2"/>
  <c r="D50" i="2"/>
  <c r="E50" i="2"/>
  <c r="F50" i="2" s="1"/>
  <c r="G50" i="2"/>
  <c r="A51" i="2"/>
  <c r="B51" i="2"/>
  <c r="C51" i="2"/>
  <c r="D51" i="2"/>
  <c r="E51" i="2"/>
  <c r="F51" i="2"/>
  <c r="G51" i="2"/>
  <c r="A52" i="2"/>
  <c r="B52" i="2"/>
  <c r="C52" i="2"/>
  <c r="D52" i="2"/>
  <c r="E52" i="2"/>
  <c r="F52" i="2" s="1"/>
  <c r="G52" i="2"/>
  <c r="A53" i="2"/>
  <c r="B53" i="2"/>
  <c r="C53" i="2"/>
  <c r="D53" i="2"/>
  <c r="E53" i="2"/>
  <c r="F53" i="2"/>
  <c r="G53" i="2"/>
  <c r="A54" i="2"/>
  <c r="B54" i="2"/>
  <c r="C54" i="2"/>
  <c r="D54" i="2"/>
  <c r="E54" i="2"/>
  <c r="F54" i="2" s="1"/>
  <c r="G54" i="2"/>
  <c r="A55" i="2"/>
  <c r="B55" i="2"/>
  <c r="C55" i="2"/>
  <c r="D55" i="2"/>
  <c r="E55" i="2"/>
  <c r="F55" i="2"/>
  <c r="G55" i="2"/>
  <c r="A56" i="2"/>
  <c r="B56" i="2"/>
  <c r="C56" i="2"/>
  <c r="D56" i="2"/>
  <c r="E56" i="2"/>
  <c r="F56" i="2" s="1"/>
  <c r="G56" i="2"/>
  <c r="A57" i="2"/>
  <c r="B57" i="2"/>
  <c r="C57" i="2"/>
  <c r="D57" i="2"/>
  <c r="E57" i="2"/>
  <c r="F57" i="2"/>
  <c r="G57" i="2"/>
  <c r="A58" i="2"/>
  <c r="B58" i="2"/>
  <c r="C58" i="2"/>
  <c r="D58" i="2"/>
  <c r="E58" i="2"/>
  <c r="F58" i="2" s="1"/>
  <c r="G58" i="2"/>
  <c r="A59" i="2"/>
  <c r="B59" i="2"/>
  <c r="C59" i="2"/>
  <c r="D59" i="2"/>
  <c r="E59" i="2"/>
  <c r="F59" i="2"/>
  <c r="G59" i="2"/>
  <c r="A60" i="2"/>
  <c r="B60" i="2"/>
  <c r="C60" i="2"/>
  <c r="D60" i="2"/>
  <c r="E60" i="2"/>
  <c r="F60" i="2" s="1"/>
  <c r="G60" i="2"/>
  <c r="A61" i="2"/>
  <c r="B61" i="2"/>
  <c r="C61" i="2"/>
  <c r="D61" i="2"/>
  <c r="E61" i="2"/>
  <c r="F61" i="2"/>
  <c r="G61" i="2"/>
  <c r="A62" i="2"/>
  <c r="B62" i="2"/>
  <c r="C62" i="2"/>
  <c r="D62" i="2"/>
  <c r="E62" i="2"/>
  <c r="F62" i="2" s="1"/>
  <c r="G62" i="2"/>
  <c r="A63" i="2"/>
  <c r="B63" i="2"/>
  <c r="C63" i="2"/>
  <c r="D63" i="2"/>
  <c r="E63" i="2"/>
  <c r="F63" i="2"/>
  <c r="G63" i="2"/>
  <c r="A64" i="2"/>
  <c r="B64" i="2"/>
  <c r="C64" i="2"/>
  <c r="D64" i="2"/>
  <c r="E64" i="2"/>
  <c r="F64" i="2" s="1"/>
  <c r="G64" i="2"/>
  <c r="A65" i="2"/>
  <c r="B65" i="2"/>
  <c r="C65" i="2"/>
  <c r="D65" i="2"/>
  <c r="E65" i="2"/>
  <c r="F65" i="2"/>
  <c r="G65" i="2"/>
  <c r="A66" i="2"/>
  <c r="B66" i="2"/>
  <c r="C66" i="2"/>
  <c r="D66" i="2"/>
  <c r="E66" i="2"/>
  <c r="F66" i="2" s="1"/>
  <c r="G66" i="2"/>
  <c r="A67" i="2"/>
  <c r="B67" i="2"/>
  <c r="C67" i="2"/>
  <c r="D67" i="2"/>
  <c r="E67" i="2"/>
  <c r="F67" i="2"/>
  <c r="G67" i="2"/>
  <c r="A68" i="2"/>
  <c r="B68" i="2"/>
  <c r="C68" i="2"/>
  <c r="D68" i="2"/>
  <c r="E68" i="2"/>
  <c r="F68" i="2" s="1"/>
  <c r="G68" i="2"/>
  <c r="A69" i="2"/>
  <c r="B69" i="2"/>
  <c r="C69" i="2"/>
  <c r="D69" i="2"/>
  <c r="E69" i="2"/>
  <c r="F69" i="2"/>
  <c r="G69" i="2"/>
  <c r="A70" i="2"/>
  <c r="B70" i="2"/>
  <c r="C70" i="2"/>
  <c r="D70" i="2"/>
  <c r="E70" i="2"/>
  <c r="F70" i="2" s="1"/>
  <c r="G70" i="2"/>
  <c r="A71" i="2"/>
  <c r="B71" i="2"/>
  <c r="C71" i="2"/>
  <c r="D71" i="2"/>
  <c r="E71" i="2"/>
  <c r="F71" i="2"/>
  <c r="G71" i="2"/>
  <c r="A72" i="2"/>
  <c r="B72" i="2"/>
  <c r="C72" i="2"/>
  <c r="D72" i="2"/>
  <c r="E72" i="2"/>
  <c r="F72" i="2" s="1"/>
  <c r="G72" i="2"/>
  <c r="A73" i="2"/>
  <c r="B73" i="2"/>
  <c r="C73" i="2"/>
  <c r="D73" i="2"/>
  <c r="E73" i="2"/>
  <c r="F73" i="2"/>
  <c r="G73" i="2"/>
  <c r="A74" i="2"/>
  <c r="B74" i="2"/>
  <c r="C74" i="2"/>
  <c r="D74" i="2"/>
  <c r="E74" i="2"/>
  <c r="F74" i="2" s="1"/>
  <c r="G74" i="2"/>
  <c r="A75" i="2"/>
  <c r="B75" i="2"/>
  <c r="C75" i="2"/>
  <c r="D75" i="2"/>
  <c r="E75" i="2"/>
  <c r="F75" i="2"/>
  <c r="G75" i="2"/>
  <c r="F1" i="3"/>
  <c r="B3" i="3"/>
  <c r="B4" i="3"/>
  <c r="B5" i="3"/>
  <c r="B6" i="3"/>
  <c r="B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</author>
  </authors>
  <commentList>
    <comment ref="A1" authorId="0" shapeId="0" xr:uid="{00000000-0006-0000-0000-000001000000}">
      <text>
        <r>
          <rPr>
            <sz val="10"/>
            <rFont val="Arial"/>
            <family val="2"/>
          </rPr>
          <t>EngineStatusStatistics.12</t>
        </r>
      </text>
    </comment>
  </commentList>
</comments>
</file>

<file path=xl/sharedStrings.xml><?xml version="1.0" encoding="utf-8"?>
<sst xmlns="http://schemas.openxmlformats.org/spreadsheetml/2006/main" count="250" uniqueCount="108">
  <si>
    <t>Group</t>
  </si>
  <si>
    <t>RunDate</t>
  </si>
  <si>
    <t>FromDate</t>
  </si>
  <si>
    <t>ToDate</t>
  </si>
  <si>
    <t>From</t>
  </si>
  <si>
    <t>To</t>
  </si>
  <si>
    <t>CompanyName</t>
  </si>
  <si>
    <t>DistanceUnit</t>
  </si>
  <si>
    <t>km</t>
  </si>
  <si>
    <t>SpeedUnit</t>
  </si>
  <si>
    <t>km/h</t>
  </si>
  <si>
    <t>Distance Unit</t>
  </si>
  <si>
    <t>SendReport</t>
  </si>
  <si>
    <t>.Device.DeviceName</t>
  </si>
  <si>
    <t>.Device.DeviceId</t>
  </si>
  <si>
    <t>.Device.DeviceComment</t>
  </si>
  <si>
    <t>.Device.DeviceGroup</t>
  </si>
  <si>
    <t>EngineStatusStatisticsPeriodNumber</t>
  </si>
  <si>
    <t>EngineStatusStatisticsPeriodStartDate</t>
  </si>
  <si>
    <t>EngineStatusStatisticsPeriodEndDate</t>
  </si>
  <si>
    <t>EngineStatusStatisticsDistance</t>
  </si>
  <si>
    <t>Distance</t>
  </si>
  <si>
    <t>LastModifiedUser</t>
  </si>
  <si>
    <t>EngineStatusStatisticsFuelUsed</t>
  </si>
  <si>
    <t>Fuel Used</t>
  </si>
  <si>
    <t>Created</t>
  </si>
  <si>
    <t>Vehicle</t>
  </si>
  <si>
    <t>FuelEconomyUnit</t>
  </si>
  <si>
    <t>L/100 km</t>
  </si>
  <si>
    <t>EngineStatusStatisticsFuelEconomy</t>
  </si>
  <si>
    <t>Fuel Economy Unit</t>
  </si>
  <si>
    <t>Fuel Economy</t>
  </si>
  <si>
    <t/>
  </si>
  <si>
    <t>Grand Total</t>
  </si>
  <si>
    <t>Total Fuel Used</t>
  </si>
  <si>
    <t>Month</t>
  </si>
  <si>
    <t>Fuel Flag</t>
  </si>
  <si>
    <t>(All)</t>
  </si>
  <si>
    <t>TRUE</t>
  </si>
  <si>
    <t>Quarterly Fuel Trend</t>
  </si>
  <si>
    <t>ABC Company</t>
  </si>
  <si>
    <t>jamesmccudden@geotab.com</t>
  </si>
  <si>
    <t>Entire Organization</t>
  </si>
  <si>
    <t>b9</t>
  </si>
  <si>
    <t>b2</t>
  </si>
  <si>
    <t>b1E</t>
  </si>
  <si>
    <t>b8</t>
  </si>
  <si>
    <t>Region 2, On Duty, Light Duty</t>
  </si>
  <si>
    <t>b7</t>
  </si>
  <si>
    <t>Light Duty</t>
  </si>
  <si>
    <t>b18</t>
  </si>
  <si>
    <t>b3</t>
  </si>
  <si>
    <t>JM Test</t>
  </si>
  <si>
    <t>b1D</t>
  </si>
  <si>
    <t>bF</t>
  </si>
  <si>
    <t>b13</t>
  </si>
  <si>
    <t>bE</t>
  </si>
  <si>
    <t>bD</t>
  </si>
  <si>
    <t>Region 1</t>
  </si>
  <si>
    <t>bA</t>
  </si>
  <si>
    <t>b17</t>
  </si>
  <si>
    <t>b10</t>
  </si>
  <si>
    <t>b11</t>
  </si>
  <si>
    <t>b16</t>
  </si>
  <si>
    <t>b1A</t>
  </si>
  <si>
    <t>b14</t>
  </si>
  <si>
    <t>b15</t>
  </si>
  <si>
    <t>b5</t>
  </si>
  <si>
    <t>b4</t>
  </si>
  <si>
    <t>Truck</t>
  </si>
  <si>
    <t>Truck A</t>
  </si>
  <si>
    <t>Truck B</t>
  </si>
  <si>
    <t>Truck C</t>
  </si>
  <si>
    <t>Truck D</t>
  </si>
  <si>
    <t>Truck E</t>
  </si>
  <si>
    <t>Truck F</t>
  </si>
  <si>
    <t>Truck  13213</t>
  </si>
  <si>
    <t>Truck  23</t>
  </si>
  <si>
    <t xml:space="preserve"> </t>
  </si>
  <si>
    <t>Truck 323</t>
  </si>
  <si>
    <t>Truck 4564</t>
  </si>
  <si>
    <t>Truck 464</t>
  </si>
  <si>
    <t>Truck 565</t>
  </si>
  <si>
    <t>Truck 98</t>
  </si>
  <si>
    <t>Truck 798</t>
  </si>
  <si>
    <t>Truck 789</t>
  </si>
  <si>
    <t>Truck 963</t>
  </si>
  <si>
    <t>Truck 996</t>
  </si>
  <si>
    <t>Truck 336</t>
  </si>
  <si>
    <t>Truck 235</t>
  </si>
  <si>
    <t>Truck 1112</t>
  </si>
  <si>
    <t>Truck 368</t>
  </si>
  <si>
    <t>Truck  789</t>
  </si>
  <si>
    <t>Truck  693</t>
  </si>
  <si>
    <t>Truck 369</t>
  </si>
  <si>
    <t>Truck  35</t>
  </si>
  <si>
    <t>Truck  456</t>
  </si>
  <si>
    <t>Truck  3611252</t>
  </si>
  <si>
    <t>Truck  6565</t>
  </si>
  <si>
    <t>Truck 951</t>
  </si>
  <si>
    <t>Truck 159</t>
  </si>
  <si>
    <t>Truck 753</t>
  </si>
  <si>
    <t xml:space="preserve">Truck 357 </t>
  </si>
  <si>
    <t>Truck 167</t>
  </si>
  <si>
    <t>Truck 236</t>
  </si>
  <si>
    <t>Truck 365</t>
  </si>
  <si>
    <t>Truck 333</t>
  </si>
  <si>
    <t>Truck 556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</si>
</sst>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#,##0.0"/>
    <numFmt numFmtId="169" formatCode="dd/mm/yyyy\ h:mm:ss\ AM/PM"/>
    <numFmt numFmtId="170" formatCode="mmm\ dd\,\ yyyy"/>
    <numFmt numFmtId="171" formatCode="0.0"/>
    <numFmt numFmtId="172" formatCode="mmmm\ yyyy"/>
  </numFmts>
  <fonts count="15" x14ac:knownFonts="1">
    <font>
      <sz val="10"/>
      <name val="Arial"/>
      <family val="2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8"/>
      <color theme="1"/>
      <name val="Tahoma"/>
      <family val="2"/>
    </font>
    <font>
      <sz val="11"/>
      <color theme="0" tint="-0.34998626667073579"/>
      <name val="Segoe UI"/>
      <family val="2"/>
    </font>
    <font>
      <sz val="12"/>
      <color theme="0" tint="-0.34998626667073579"/>
      <name val="Segoe UI"/>
      <family val="2"/>
    </font>
    <font>
      <sz val="11"/>
      <color theme="3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8"/>
      </bottom>
      <diagonal/>
    </border>
  </borders>
  <cellStyleXfs count="19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6" fillId="10" borderId="0" applyNumberFormat="0"/>
    <xf numFmtId="0" fontId="7" fillId="0" borderId="0" applyNumberFormat="0" applyAlignment="0"/>
    <xf numFmtId="0" fontId="8" fillId="10" borderId="0" applyNumberFormat="0"/>
    <xf numFmtId="170" fontId="4" fillId="10" borderId="0"/>
    <xf numFmtId="0" fontId="9" fillId="0" borderId="0" applyNumberFormat="0"/>
    <xf numFmtId="0" fontId="10" fillId="0" borderId="0" applyNumberFormat="0"/>
  </cellStyleXfs>
  <cellXfs count="24">
    <xf numFmtId="0" fontId="0" fillId="0" borderId="0" xfId="0"/>
    <xf numFmtId="0" fontId="1" fillId="9" borderId="1" xfId="0" applyFont="1" applyFill="1" applyBorder="1" applyAlignment="1">
      <alignment horizont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168" fontId="2" fillId="0" borderId="0" xfId="0" applyNumberFormat="1" applyFont="1" applyAlignment="1">
      <alignment horizontal="right"/>
    </xf>
    <xf numFmtId="1" fontId="2" fillId="0" borderId="0" xfId="0" applyNumberFormat="1" applyFont="1" applyAlignment="1">
      <alignment horizontal="right"/>
    </xf>
    <xf numFmtId="0" fontId="11" fillId="0" borderId="0" xfId="0" applyFont="1"/>
    <xf numFmtId="169" fontId="2" fillId="0" borderId="0" xfId="0" applyNumberFormat="1" applyFont="1" applyAlignment="1">
      <alignment horizontal="left"/>
    </xf>
    <xf numFmtId="22" fontId="2" fillId="0" borderId="0" xfId="0" applyNumberFormat="1" applyFont="1" applyAlignment="1">
      <alignment horizontal="right"/>
    </xf>
    <xf numFmtId="0" fontId="6" fillId="10" borderId="0" xfId="13"/>
    <xf numFmtId="170" fontId="4" fillId="10" borderId="0" xfId="16"/>
    <xf numFmtId="0" fontId="0" fillId="0" borderId="0" xfId="0" pivotButton="1"/>
    <xf numFmtId="0" fontId="12" fillId="0" borderId="0" xfId="14" applyFont="1" applyAlignment="1">
      <alignment horizontal="right"/>
    </xf>
    <xf numFmtId="0" fontId="13" fillId="0" borderId="0" xfId="14" applyFont="1" applyAlignment="1">
      <alignment horizontal="left"/>
    </xf>
    <xf numFmtId="170" fontId="14" fillId="0" borderId="0" xfId="14" applyNumberFormat="1" applyFont="1" applyAlignment="1">
      <alignment horizontal="left"/>
    </xf>
    <xf numFmtId="172" fontId="0" fillId="0" borderId="0" xfId="0" applyNumberFormat="1"/>
    <xf numFmtId="172" fontId="0" fillId="0" borderId="0" xfId="0" applyNumberFormat="1" applyAlignment="1">
      <alignment horizontal="left"/>
    </xf>
    <xf numFmtId="0" fontId="12" fillId="0" borderId="0" xfId="14" applyFont="1" applyAlignment="1">
      <alignment horizontal="left"/>
    </xf>
    <xf numFmtId="171" fontId="14" fillId="0" borderId="0" xfId="14" applyNumberFormat="1" applyFont="1" applyAlignment="1">
      <alignment horizontal="left"/>
    </xf>
    <xf numFmtId="0" fontId="14" fillId="0" borderId="0" xfId="14" applyFont="1" applyAlignment="1">
      <alignment horizontal="left"/>
    </xf>
    <xf numFmtId="171" fontId="13" fillId="0" borderId="0" xfId="14" applyNumberFormat="1" applyFont="1" applyAlignment="1">
      <alignment horizontal="left"/>
    </xf>
    <xf numFmtId="172" fontId="14" fillId="0" borderId="0" xfId="14" applyNumberFormat="1" applyFont="1" applyAlignment="1">
      <alignment horizontal="left"/>
    </xf>
    <xf numFmtId="1" fontId="0" fillId="0" borderId="0" xfId="0" applyNumberFormat="1"/>
    <xf numFmtId="170" fontId="14" fillId="0" borderId="0" xfId="14" applyNumberFormat="1" applyFont="1" applyAlignment="1">
      <alignment horizontal="left"/>
    </xf>
  </cellXfs>
  <cellStyles count="1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40% - Accent3" xfId="5" builtinId="39" customBuiltin="1"/>
    <cellStyle name="60% - Accent3" xfId="6" builtinId="40" customBuiltin="1"/>
    <cellStyle name="60% - Accent4" xfId="7" builtinId="44" customBuiltin="1"/>
    <cellStyle name="60% - Accent6" xfId="8" builtinId="52" customBuiltin="1"/>
    <cellStyle name="Comma" xfId="9" builtinId="3" customBuiltin="1"/>
    <cellStyle name="Comma [0]" xfId="10" builtinId="6" customBuiltin="1"/>
    <cellStyle name="Currency" xfId="11" builtinId="4" customBuiltin="1"/>
    <cellStyle name="Currency [0]" xfId="12" builtinId="7" customBuiltin="1"/>
    <cellStyle name="Heading" xfId="13" xr:uid="{00000000-0005-0000-0000-00000C000000}"/>
    <cellStyle name="Normal" xfId="0" builtinId="0" customBuiltin="1"/>
    <cellStyle name="Report Body" xfId="14" xr:uid="{00000000-0005-0000-0000-00000E000000}"/>
    <cellStyle name="Report Column Header" xfId="15" xr:uid="{00000000-0005-0000-0000-00000F000000}"/>
    <cellStyle name="Report Creation DateTime" xfId="16" xr:uid="{00000000-0005-0000-0000-000010000000}"/>
    <cellStyle name="Report Field Name" xfId="17" xr:uid="{00000000-0005-0000-0000-000011000000}"/>
    <cellStyle name="Report Name" xfId="18" xr:uid="{00000000-0005-0000-0000-000012000000}"/>
  </cellStyles>
  <dxfs count="21">
    <dxf>
      <alignment horizontal="left" readingOrder="0"/>
    </dxf>
    <dxf>
      <numFmt numFmtId="1" formatCode="0"/>
    </dxf>
    <dxf>
      <alignment horizontal="left" readingOrder="0"/>
    </dxf>
    <dxf>
      <numFmt numFmtId="1" formatCode="0"/>
    </dxf>
    <dxf>
      <numFmt numFmtId="1" formatCode="0"/>
    </dxf>
    <dxf>
      <alignment horizontal="left" readingOrder="0"/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0" tint="-4.9989318521683403E-2"/>
        </patternFill>
      </fill>
      <border>
        <top style="thin">
          <color theme="5"/>
        </top>
        <bottom style="thin">
          <color theme="5"/>
        </bottom>
      </border>
    </dxf>
    <dxf>
      <font>
        <color theme="1"/>
      </font>
      <fill>
        <patternFill patternType="solid">
          <fgColor theme="0" tint="-0.14993743705557422"/>
          <bgColor theme="0" tint="-4.9989318521683403E-2"/>
        </patternFill>
      </fill>
    </dxf>
    <dxf>
      <fill>
        <patternFill patternType="solid">
          <fgColor theme="0" tint="-0.14990691854609822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1"/>
      </font>
      <fill>
        <patternFill patternType="solid">
          <fgColor theme="5" tint="0.79985961485641044"/>
          <bgColor theme="0" tint="-4.9989318521683403E-2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89013336588644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1" defaultTableStyle="TableStyleMedium9" defaultPivotStyle="PivotStyleLight16">
    <tableStyle name="PivotStyleLightCustom" table="0" count="12" xr9:uid="{00000000-0011-0000-FFFF-FFFF00000000}">
      <tableStyleElement type="wholeTable" dxfId="20"/>
      <tableStyleElement type="headerRow" dxfId="19"/>
      <tableStyleElement type="totalRow" dxfId="18"/>
      <tableStyleElement type="secondRowStripe" dxfId="17"/>
      <tableStyleElement type="firstColumnStripe" dxfId="16"/>
      <tableStyleElement type="firstSubtotalColumn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[Last 3 Months Fuel Trend.xlsm]Summary!PivotTable1</c:name>
    <c:fmtId val="0"/>
  </c:pivotSource>
  <c:chart>
    <c:autoTitleDeleted val="1"/>
    <c:pivotFmts>
      <c:pivotFmt>
        <c:idx val="0"/>
        <c:spPr>
          <a:solidFill>
            <a:srgbClr val="9BBB59"/>
          </a:solidFill>
          <a:ln w="25400"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trendline>
            <c:spPr>
              <a:ln w="2540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Summary!$A$13:$A$16</c:f>
              <c:strCache>
                <c:ptCount val="3"/>
                <c:pt idx="0">
                  <c:v>April 2015</c:v>
                </c:pt>
                <c:pt idx="1">
                  <c:v>May 2015</c:v>
                </c:pt>
                <c:pt idx="2">
                  <c:v>June 2015</c:v>
                </c:pt>
              </c:strCache>
            </c:strRef>
          </c:cat>
          <c:val>
            <c:numRef>
              <c:f>Summary!$B$13:$B$16</c:f>
              <c:numCache>
                <c:formatCode>0</c:formatCode>
                <c:ptCount val="3"/>
                <c:pt idx="0">
                  <c:v>480.79000854492188</c:v>
                </c:pt>
                <c:pt idx="1">
                  <c:v>743.72262954711914</c:v>
                </c:pt>
                <c:pt idx="2">
                  <c:v>863.82086277008057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F5-4CED-A9B7-9DA99FADA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376544"/>
        <c:axId val="500372624"/>
      </c:barChart>
      <c:catAx>
        <c:axId val="500376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>
                    <a:solidFill>
                      <a:schemeClr val="tx1">
                        <a:lumMod val="50000"/>
                        <a:lumOff val="50000"/>
                      </a:schemeClr>
                    </a:solidFill>
                  </a:rPr>
                  <a:t>Month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2624"/>
        <c:crosses val="autoZero"/>
        <c:auto val="0"/>
        <c:lblAlgn val="ctr"/>
        <c:lblOffset val="100"/>
        <c:noMultiLvlLbl val="0"/>
      </c:catAx>
      <c:valAx>
        <c:axId val="50037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>
                    <a:solidFill>
                      <a:schemeClr val="tx1">
                        <a:lumMod val="50000"/>
                        <a:lumOff val="50000"/>
                      </a:schemeClr>
                    </a:solidFill>
                  </a:rPr>
                  <a:t>Fuel Burned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65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1085850</xdr:colOff>
      <xdr:row>2</xdr:row>
      <xdr:rowOff>200025</xdr:rowOff>
    </xdr:from>
    <xdr:to>
      <xdr:col>5</xdr:col>
      <xdr:colOff>542925</xdr:colOff>
      <xdr:row>19</xdr:row>
      <xdr:rowOff>19050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327660</xdr:colOff>
      <xdr:row>0</xdr:row>
      <xdr:rowOff>228601</xdr:rowOff>
    </xdr:from>
    <xdr:to>
      <xdr:col>9</xdr:col>
      <xdr:colOff>596265</xdr:colOff>
      <xdr:row>11</xdr:row>
      <xdr:rowOff>7621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31380" y="228601"/>
          <a:ext cx="4444365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600"/>
            </a:lnSpc>
          </a:pPr>
          <a:r>
            <a:rPr lang="en-US" sz="1400" b="1" i="0" u="none" strike="noStrike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Report Description</a:t>
          </a:r>
        </a:p>
        <a:p>
          <a:pPr>
            <a:lnSpc>
              <a:spcPts val="1400"/>
            </a:lnSpc>
          </a:pPr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This report can run as a dashboard or as an emailed report that displays the total fuel used for the entire fleet over the last 3 months.</a:t>
          </a:r>
        </a:p>
        <a:p>
          <a:pPr>
            <a:lnSpc>
              <a:spcPts val="1300"/>
            </a:lnSpc>
          </a:pPr>
          <a:b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It can help you determine whether or not total fuel usage has decreased after implementing new company policies for drivers, especially if also compared with miles driven and idling statistics.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rishma Sawant" refreshedDate="43223.710919907404" missingItemsLimit="0" createdVersion="4" refreshedVersion="6" minRefreshableVersion="3" recordCount="66" xr:uid="{00000000-000A-0000-FFFF-FFFF05000000}">
  <cacheSource type="worksheet">
    <worksheetSource name="AllData"/>
  </cacheSource>
  <cacheFields count="7">
    <cacheField name="Vehicle" numFmtId="0">
      <sharedItems count="38">
        <s v="Truck A"/>
        <s v="Truck B"/>
        <s v="Truck C"/>
        <s v="Truck D"/>
        <s v="Truck E"/>
        <s v="Truck F"/>
        <s v="Truck  13213"/>
        <s v="Truck  23"/>
        <s v="Truck  35"/>
        <s v="Truck  456"/>
        <s v="Truck  3611252"/>
        <s v="Truck"/>
        <s v="Truck 556"/>
        <s v="Truck 333"/>
        <s v="Truck 365"/>
        <s v="Truck 236"/>
        <s v="Truck 167"/>
        <s v="Truck 357 "/>
        <s v="Truck 753"/>
        <s v="Truck 159"/>
        <s v="Truck 951"/>
        <s v="Truck 369"/>
        <s v="Truck  6565"/>
        <s v="Truck  693"/>
        <s v="Truck  789"/>
        <s v="Truck 368"/>
        <s v="Truck 1112"/>
        <s v="Truck 235"/>
        <s v="Truck 336"/>
        <s v="Truck 996"/>
        <s v="Truck 789"/>
        <s v="Truck 963"/>
        <s v="Truck 798"/>
        <s v="Truck 98"/>
        <s v="Truck 565"/>
        <s v="Truck 464"/>
        <s v="Truck 4564"/>
        <s v="Truck 323"/>
      </sharedItems>
    </cacheField>
    <cacheField name="Month" numFmtId="172">
      <sharedItems containsSemiMixedTypes="0" containsNonDate="0" containsDate="1" containsString="0" minDate="2015-04-01T00:00:00" maxDate="2015-06-02T00:00:00" count="3">
        <d v="2015-04-01T00:00:00"/>
        <d v="2015-05-01T00:00:00"/>
        <d v="2015-06-01T00:00:00"/>
      </sharedItems>
    </cacheField>
    <cacheField name="Fuel Economy" numFmtId="171">
      <sharedItems containsSemiMixedTypes="0" containsString="0" containsNumber="1" minValue="-6.9123171269893646E-2" maxValue="28.863632202148438"/>
    </cacheField>
    <cacheField name="Distance" numFmtId="171">
      <sharedItems containsSemiMixedTypes="0" containsString="0" containsNumber="1" minValue="0" maxValue="4219.64208984375"/>
    </cacheField>
    <cacheField name="Fuel Used" numFmtId="171">
      <sharedItems containsSemiMixedTypes="0" containsString="0" containsNumber="1" minValue="-1.4224063158035278" maxValue="488.39984130859375"/>
    </cacheField>
    <cacheField name="Fuel Flag" numFmtId="171">
      <sharedItems count="2">
        <b v="0"/>
        <b v="1"/>
      </sharedItems>
    </cacheField>
    <cacheField name="Group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n v="-6.9123171269893646E-2"/>
    <n v="2057.784912109375"/>
    <n v="-1.4224063158035278"/>
    <x v="0"/>
    <s v="Entire Organization"/>
  </r>
  <r>
    <x v="1"/>
    <x v="0"/>
    <n v="0"/>
    <n v="0"/>
    <n v="0"/>
    <x v="1"/>
    <s v="Entire Organization"/>
  </r>
  <r>
    <x v="2"/>
    <x v="0"/>
    <n v="0"/>
    <n v="0"/>
    <n v="0"/>
    <x v="1"/>
    <s v="Entire Organization"/>
  </r>
  <r>
    <x v="3"/>
    <x v="0"/>
    <n v="0"/>
    <n v="0"/>
    <n v="0"/>
    <x v="1"/>
    <s v="Entire Organization"/>
  </r>
  <r>
    <x v="4"/>
    <x v="0"/>
    <n v="0"/>
    <n v="0"/>
    <n v="0"/>
    <x v="1"/>
    <s v="Region 2, On Duty, Light Duty"/>
  </r>
  <r>
    <x v="5"/>
    <x v="0"/>
    <n v="0"/>
    <n v="0"/>
    <n v="0"/>
    <x v="1"/>
    <s v="Light Duty"/>
  </r>
  <r>
    <x v="6"/>
    <x v="0"/>
    <n v="0"/>
    <n v="0"/>
    <n v="0"/>
    <x v="1"/>
    <s v="Entire Organization"/>
  </r>
  <r>
    <x v="7"/>
    <x v="0"/>
    <n v="0"/>
    <n v="0"/>
    <n v="0"/>
    <x v="1"/>
    <s v="JM Test"/>
  </r>
  <r>
    <x v="8"/>
    <x v="0"/>
    <n v="0"/>
    <n v="0"/>
    <n v="0"/>
    <x v="1"/>
    <s v="Entire Organization"/>
  </r>
  <r>
    <x v="9"/>
    <x v="0"/>
    <n v="0"/>
    <n v="0"/>
    <n v="0"/>
    <x v="1"/>
    <s v="Entire Organization"/>
  </r>
  <r>
    <x v="10"/>
    <x v="0"/>
    <n v="0"/>
    <n v="0"/>
    <n v="0"/>
    <x v="1"/>
    <s v="Entire Organization"/>
  </r>
  <r>
    <x v="11"/>
    <x v="0"/>
    <n v="0"/>
    <n v="0"/>
    <n v="0"/>
    <x v="1"/>
    <s v="Entire Organization"/>
  </r>
  <r>
    <x v="11"/>
    <x v="0"/>
    <n v="0"/>
    <n v="0"/>
    <n v="0"/>
    <x v="1"/>
    <s v="Region 1"/>
  </r>
  <r>
    <x v="11"/>
    <x v="0"/>
    <n v="0"/>
    <n v="0"/>
    <n v="0"/>
    <x v="1"/>
    <s v="Light Duty"/>
  </r>
  <r>
    <x v="11"/>
    <x v="0"/>
    <n v="0"/>
    <n v="0"/>
    <n v="0"/>
    <x v="1"/>
    <s v="Entire Organization"/>
  </r>
  <r>
    <x v="11"/>
    <x v="0"/>
    <n v="0"/>
    <n v="0"/>
    <n v="0"/>
    <x v="1"/>
    <s v="Entire Organization"/>
  </r>
  <r>
    <x v="11"/>
    <x v="0"/>
    <n v="0"/>
    <n v="1165.7432861328125"/>
    <n v="0"/>
    <x v="1"/>
    <s v="Entire Organization"/>
  </r>
  <r>
    <x v="11"/>
    <x v="0"/>
    <n v="0"/>
    <n v="0"/>
    <n v="0"/>
    <x v="1"/>
    <s v="Entire Organization"/>
  </r>
  <r>
    <x v="11"/>
    <x v="0"/>
    <n v="0"/>
    <n v="0"/>
    <n v="0"/>
    <x v="1"/>
    <s v="Entire Organization"/>
  </r>
  <r>
    <x v="11"/>
    <x v="0"/>
    <n v="0"/>
    <n v="0"/>
    <n v="0"/>
    <x v="1"/>
    <s v="Entire Organization"/>
  </r>
  <r>
    <x v="11"/>
    <x v="0"/>
    <n v="18.53443717956543"/>
    <n v="1661.393798828125"/>
    <n v="307.92999267578125"/>
    <x v="1"/>
    <s v="Entire Organization"/>
  </r>
  <r>
    <x v="11"/>
    <x v="0"/>
    <n v="11.019204139709473"/>
    <n v="1568.7159423828125"/>
    <n v="172.86001586914063"/>
    <x v="1"/>
    <s v="Region 1"/>
  </r>
  <r>
    <x v="11"/>
    <x v="1"/>
    <n v="0.4375348687171936"/>
    <n v="4219.64208984375"/>
    <n v="18.462406158447266"/>
    <x v="1"/>
    <s v="Entire Organization"/>
  </r>
  <r>
    <x v="11"/>
    <x v="1"/>
    <n v="0"/>
    <n v="0"/>
    <n v="0"/>
    <x v="1"/>
    <s v="Entire Organization"/>
  </r>
  <r>
    <x v="11"/>
    <x v="1"/>
    <n v="0"/>
    <n v="0"/>
    <n v="0"/>
    <x v="1"/>
    <s v="Entire Organization"/>
  </r>
  <r>
    <x v="11"/>
    <x v="1"/>
    <n v="0"/>
    <n v="0"/>
    <n v="0"/>
    <x v="1"/>
    <s v="Entire Organization"/>
  </r>
  <r>
    <x v="11"/>
    <x v="1"/>
    <n v="0"/>
    <n v="0"/>
    <n v="0"/>
    <x v="1"/>
    <s v="Region 2, On Duty, Light Duty"/>
  </r>
  <r>
    <x v="11"/>
    <x v="1"/>
    <n v="0"/>
    <n v="0"/>
    <n v="0"/>
    <x v="1"/>
    <s v="Light Duty"/>
  </r>
  <r>
    <x v="11"/>
    <x v="1"/>
    <n v="0"/>
    <n v="0"/>
    <n v="0"/>
    <x v="1"/>
    <s v="Entire Organization"/>
  </r>
  <r>
    <x v="11"/>
    <x v="1"/>
    <n v="8.3898696899414063"/>
    <n v="1250.07958984375"/>
    <n v="104.88005065917969"/>
    <x v="1"/>
    <s v="JM Test"/>
  </r>
  <r>
    <x v="11"/>
    <x v="1"/>
    <n v="0"/>
    <n v="0"/>
    <n v="0"/>
    <x v="1"/>
    <s v="Entire Organization"/>
  </r>
  <r>
    <x v="11"/>
    <x v="1"/>
    <n v="0"/>
    <n v="0"/>
    <n v="0"/>
    <x v="1"/>
    <s v="Entire Organization"/>
  </r>
  <r>
    <x v="11"/>
    <x v="1"/>
    <n v="0"/>
    <n v="0"/>
    <n v="0"/>
    <x v="1"/>
    <s v="Entire Organization"/>
  </r>
  <r>
    <x v="11"/>
    <x v="1"/>
    <n v="0"/>
    <n v="0"/>
    <n v="0"/>
    <x v="1"/>
    <s v="Entire Organization"/>
  </r>
  <r>
    <x v="11"/>
    <x v="1"/>
    <n v="0"/>
    <n v="0"/>
    <n v="0"/>
    <x v="1"/>
    <s v="Region 1"/>
  </r>
  <r>
    <x v="11"/>
    <x v="1"/>
    <n v="0"/>
    <n v="0"/>
    <n v="0"/>
    <x v="1"/>
    <s v="Light Duty"/>
  </r>
  <r>
    <x v="11"/>
    <x v="1"/>
    <n v="0"/>
    <n v="0"/>
    <n v="0"/>
    <x v="1"/>
    <s v="Entire Organization"/>
  </r>
  <r>
    <x v="11"/>
    <x v="1"/>
    <n v="0"/>
    <n v="0"/>
    <n v="0"/>
    <x v="1"/>
    <s v="Entire Organization"/>
  </r>
  <r>
    <x v="12"/>
    <x v="1"/>
    <n v="0"/>
    <n v="3873.28662109375"/>
    <n v="0"/>
    <x v="1"/>
    <s v="Entire Organization"/>
  </r>
  <r>
    <x v="13"/>
    <x v="1"/>
    <n v="0"/>
    <n v="0"/>
    <n v="0"/>
    <x v="1"/>
    <s v="Entire Organization"/>
  </r>
  <r>
    <x v="14"/>
    <x v="1"/>
    <n v="0"/>
    <n v="0"/>
    <n v="0"/>
    <x v="1"/>
    <s v="Entire Organization"/>
  </r>
  <r>
    <x v="15"/>
    <x v="1"/>
    <n v="0"/>
    <n v="0"/>
    <n v="0"/>
    <x v="1"/>
    <s v="Entire Organization"/>
  </r>
  <r>
    <x v="16"/>
    <x v="1"/>
    <n v="26.534425735473633"/>
    <n v="1750.406005859375"/>
    <n v="464.46017456054688"/>
    <x v="1"/>
    <s v="Entire Organization"/>
  </r>
  <r>
    <x v="17"/>
    <x v="1"/>
    <n v="10.840303421020508"/>
    <n v="1438.3360595703125"/>
    <n v="155.91999816894531"/>
    <x v="1"/>
    <s v="Region 1"/>
  </r>
  <r>
    <x v="18"/>
    <x v="2"/>
    <n v="0"/>
    <n v="303.19061279296875"/>
    <n v="0"/>
    <x v="1"/>
    <s v="Entire Organization"/>
  </r>
  <r>
    <x v="19"/>
    <x v="2"/>
    <n v="0"/>
    <n v="0"/>
    <n v="0"/>
    <x v="1"/>
    <s v="Entire Organization"/>
  </r>
  <r>
    <x v="20"/>
    <x v="2"/>
    <n v="0.19643758237361908"/>
    <n v="280.43194580078125"/>
    <n v="0.55087375640869141"/>
    <x v="1"/>
    <s v="Entire Organization"/>
  </r>
  <r>
    <x v="21"/>
    <x v="2"/>
    <n v="0"/>
    <n v="0"/>
    <n v="0"/>
    <x v="1"/>
    <s v="Entire Organization"/>
  </r>
  <r>
    <x v="22"/>
    <x v="2"/>
    <n v="0"/>
    <n v="0"/>
    <n v="0"/>
    <x v="1"/>
    <s v="Region 2, On Duty, Light Duty"/>
  </r>
  <r>
    <x v="21"/>
    <x v="2"/>
    <n v="0"/>
    <n v="0"/>
    <n v="0"/>
    <x v="1"/>
    <s v="Light Duty"/>
  </r>
  <r>
    <x v="23"/>
    <x v="2"/>
    <n v="0"/>
    <n v="0"/>
    <n v="0"/>
    <x v="1"/>
    <s v="Entire Organization"/>
  </r>
  <r>
    <x v="24"/>
    <x v="2"/>
    <n v="8.1814908981323242"/>
    <n v="3157.493896484375"/>
    <n v="258.330078125"/>
    <x v="1"/>
    <s v="JM Test"/>
  </r>
  <r>
    <x v="25"/>
    <x v="2"/>
    <n v="0"/>
    <n v="0"/>
    <n v="0"/>
    <x v="1"/>
    <s v="Entire Organization"/>
  </r>
  <r>
    <x v="26"/>
    <x v="2"/>
    <n v="0"/>
    <n v="0"/>
    <n v="0"/>
    <x v="1"/>
    <s v="Entire Organization"/>
  </r>
  <r>
    <x v="27"/>
    <x v="2"/>
    <n v="0"/>
    <n v="0"/>
    <n v="0"/>
    <x v="1"/>
    <s v="Entire Organization"/>
  </r>
  <r>
    <x v="28"/>
    <x v="2"/>
    <n v="0"/>
    <n v="0"/>
    <n v="0"/>
    <x v="1"/>
    <s v="Entire Organization"/>
  </r>
  <r>
    <x v="29"/>
    <x v="2"/>
    <n v="0"/>
    <n v="0"/>
    <n v="0"/>
    <x v="1"/>
    <s v="Region 1"/>
  </r>
  <r>
    <x v="30"/>
    <x v="2"/>
    <n v="0"/>
    <n v="0"/>
    <n v="0"/>
    <x v="1"/>
    <s v="Light Duty"/>
  </r>
  <r>
    <x v="31"/>
    <x v="2"/>
    <n v="0"/>
    <n v="0"/>
    <n v="0"/>
    <x v="1"/>
    <s v="Entire Organization"/>
  </r>
  <r>
    <x v="30"/>
    <x v="2"/>
    <n v="0"/>
    <n v="0"/>
    <n v="0"/>
    <x v="1"/>
    <s v="Entire Organization"/>
  </r>
  <r>
    <x v="32"/>
    <x v="2"/>
    <n v="0"/>
    <n v="3089.135498046875"/>
    <n v="0"/>
    <x v="1"/>
    <s v="Entire Organization"/>
  </r>
  <r>
    <x v="33"/>
    <x v="2"/>
    <n v="0"/>
    <n v="0"/>
    <n v="0"/>
    <x v="1"/>
    <s v="Entire Organization"/>
  </r>
  <r>
    <x v="34"/>
    <x v="2"/>
    <n v="0"/>
    <n v="0"/>
    <n v="0"/>
    <x v="1"/>
    <s v="Entire Organization"/>
  </r>
  <r>
    <x v="35"/>
    <x v="2"/>
    <n v="0"/>
    <n v="0"/>
    <n v="0"/>
    <x v="1"/>
    <s v="Entire Organization"/>
  </r>
  <r>
    <x v="36"/>
    <x v="2"/>
    <n v="28.863632202148438"/>
    <n v="1692.0941162109375"/>
    <n v="488.39984130859375"/>
    <x v="1"/>
    <s v="Entire Organization"/>
  </r>
  <r>
    <x v="37"/>
    <x v="2"/>
    <n v="11.991253852844238"/>
    <n v="971.87554931640625"/>
    <n v="116.54006958007813"/>
    <x v="1"/>
    <s v="Region 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0" applyNumberFormats="0" applyBorderFormats="0" applyFontFormats="0" applyPatternFormats="0" applyAlignmentFormats="0" applyWidthHeightFormats="1" dataCaption="Data" updatedVersion="6" minRefreshableVersion="3" showDrill="0" showMemberPropertyTips="0" itemPrintTitles="1" createdVersion="5" indent="0" compact="0" compactData="0" chartFormat="1">
  <location ref="A12:B16" firstHeaderRow="1" firstDataRow="1" firstDataCol="1" rowPageCount="2" colPageCount="1"/>
  <pivotFields count="7">
    <pivotField axis="axisPage" compact="0" outline="0" subtotalTop="0" showAll="0" includeNewItemsInFilter="1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numFmtId="172" outline="0" showAll="0" defaultSubtotal="0">
      <items count="3">
        <item x="0"/>
        <item x="1"/>
        <item x="2"/>
      </items>
    </pivotField>
    <pivotField compact="0" numFmtId="171" outline="0" subtotalTop="0" showAll="0" includeNewItemsInFilter="1" defaultSubtotal="0"/>
    <pivotField compact="0" numFmtId="1" outline="0" subtotalTop="0" showAll="0" includeNewItemsInFilter="1"/>
    <pivotField dataField="1" compact="0" numFmtId="2" outline="0" subtotalTop="0" showAll="0" includeNewItemsInFilter="1" defaultSubtotal="0"/>
    <pivotField axis="axisPage" compact="0" outline="0" showAll="0" defaultSubtotal="0">
      <items count="2">
        <item x="0"/>
        <item x="1"/>
      </items>
    </pivotField>
    <pivotField compact="0" outline="0" subtotalTop="0" showAll="0" includeNewItemsInFilter="1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pageFields count="2">
    <pageField fld="5" item="1" hier="0"/>
    <pageField fld="0" hier="0"/>
  </pageFields>
  <dataFields count="1">
    <dataField name="Total Fuel Used" fld="4" baseField="1" baseItem="0" numFmtId="1"/>
  </dataFields>
  <formats count="2">
    <format dxfId="5">
      <pivotArea dataOnly="0" labelOnly="1" outline="0" fieldPosition="0">
        <references count="1">
          <reference field="1" count="0"/>
        </references>
      </pivotArea>
    </format>
    <format dxfId="4">
      <pivotArea outline="0" collapsedLevelsAreSubtotals="1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Custom"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82"/>
  <sheetViews>
    <sheetView workbookViewId="0">
      <pane ySplit="10" topLeftCell="A16" activePane="bottomLeft" state="frozen"/>
      <selection pane="bottomLeft" activeCell="F82" sqref="F82"/>
    </sheetView>
  </sheetViews>
  <sheetFormatPr defaultRowHeight="13.2" x14ac:dyDescent="0.25"/>
  <cols>
    <col min="1" max="1" width="16.88671875" customWidth="1"/>
    <col min="2" max="2" width="18.5546875" customWidth="1"/>
    <col min="3" max="4" width="12.109375" customWidth="1"/>
    <col min="5" max="5" width="11" customWidth="1"/>
    <col min="6" max="6" width="13.33203125" customWidth="1"/>
    <col min="7" max="7" width="17.109375" customWidth="1"/>
    <col min="8" max="8" width="14.88671875" customWidth="1"/>
    <col min="9" max="9" width="13.33203125" customWidth="1"/>
    <col min="10" max="10" width="12.5546875" customWidth="1"/>
  </cols>
  <sheetData>
    <row r="1" spans="1:10" x14ac:dyDescent="0.25">
      <c r="A1" s="6" t="s">
        <v>6</v>
      </c>
      <c r="B1" s="7" t="s">
        <v>40</v>
      </c>
    </row>
    <row r="2" spans="1:10" x14ac:dyDescent="0.25">
      <c r="A2" s="6" t="s">
        <v>1</v>
      </c>
      <c r="B2" s="7">
        <v>42195.473073854169</v>
      </c>
    </row>
    <row r="3" spans="1:10" x14ac:dyDescent="0.25">
      <c r="A3" s="6" t="s">
        <v>2</v>
      </c>
      <c r="B3" s="7">
        <v>42095</v>
      </c>
    </row>
    <row r="4" spans="1:10" x14ac:dyDescent="0.25">
      <c r="A4" s="6" t="s">
        <v>3</v>
      </c>
      <c r="B4" s="7">
        <v>42185.999988425923</v>
      </c>
    </row>
    <row r="5" spans="1:10" x14ac:dyDescent="0.25">
      <c r="A5" s="6" t="s">
        <v>7</v>
      </c>
      <c r="B5" s="7" t="s">
        <v>8</v>
      </c>
    </row>
    <row r="6" spans="1:10" x14ac:dyDescent="0.25">
      <c r="A6" s="6" t="s">
        <v>9</v>
      </c>
      <c r="B6" s="7" t="s">
        <v>10</v>
      </c>
    </row>
    <row r="7" spans="1:10" x14ac:dyDescent="0.25">
      <c r="A7" s="6" t="s">
        <v>12</v>
      </c>
      <c r="B7" s="7" t="b">
        <v>1</v>
      </c>
    </row>
    <row r="8" spans="1:10" x14ac:dyDescent="0.25">
      <c r="A8" s="6" t="s">
        <v>22</v>
      </c>
      <c r="B8" s="7" t="s">
        <v>41</v>
      </c>
    </row>
    <row r="9" spans="1:10" x14ac:dyDescent="0.25">
      <c r="A9" s="6" t="s">
        <v>27</v>
      </c>
      <c r="B9" s="7" t="s">
        <v>28</v>
      </c>
    </row>
    <row r="10" spans="1:10" ht="32.25" customHeight="1" thickBot="1" x14ac:dyDescent="0.3">
      <c r="A10" s="1" t="s">
        <v>13</v>
      </c>
      <c r="B10" s="1" t="s">
        <v>14</v>
      </c>
      <c r="C10" s="1" t="s">
        <v>15</v>
      </c>
      <c r="D10" s="1" t="s">
        <v>16</v>
      </c>
      <c r="E10" s="1" t="s">
        <v>17</v>
      </c>
      <c r="F10" s="1" t="s">
        <v>18</v>
      </c>
      <c r="G10" s="1" t="s">
        <v>19</v>
      </c>
      <c r="H10" s="1" t="s">
        <v>20</v>
      </c>
      <c r="I10" s="1" t="s">
        <v>23</v>
      </c>
      <c r="J10" s="1" t="s">
        <v>29</v>
      </c>
    </row>
    <row r="11" spans="1:10" x14ac:dyDescent="0.25">
      <c r="A11" s="2" t="s">
        <v>70</v>
      </c>
      <c r="B11" s="3" t="s">
        <v>43</v>
      </c>
      <c r="C11" s="2" t="s">
        <v>32</v>
      </c>
      <c r="D11" s="2" t="s">
        <v>42</v>
      </c>
      <c r="E11" s="5">
        <v>1</v>
      </c>
      <c r="F11" s="8">
        <v>42095</v>
      </c>
      <c r="G11" s="8">
        <v>42124.999988425923</v>
      </c>
      <c r="H11" s="4">
        <v>2057.784912109375</v>
      </c>
      <c r="I11" s="2">
        <v>-1.4224063158035278</v>
      </c>
      <c r="J11" s="2">
        <v>-6.9123171269893646E-2</v>
      </c>
    </row>
    <row r="12" spans="1:10" x14ac:dyDescent="0.25">
      <c r="A12" s="2" t="s">
        <v>71</v>
      </c>
      <c r="B12" s="3" t="s">
        <v>44</v>
      </c>
      <c r="C12" s="2" t="s">
        <v>32</v>
      </c>
      <c r="D12" s="2" t="s">
        <v>42</v>
      </c>
      <c r="E12" s="5">
        <v>1</v>
      </c>
      <c r="F12" s="8">
        <v>42095</v>
      </c>
      <c r="G12" s="8">
        <v>42124.999988425923</v>
      </c>
      <c r="H12" s="4">
        <v>0</v>
      </c>
      <c r="I12" s="2">
        <v>0</v>
      </c>
    </row>
    <row r="13" spans="1:10" x14ac:dyDescent="0.25">
      <c r="A13" s="2" t="s">
        <v>72</v>
      </c>
      <c r="B13" s="3" t="s">
        <v>45</v>
      </c>
      <c r="D13" s="2" t="s">
        <v>42</v>
      </c>
      <c r="E13" s="5">
        <v>1</v>
      </c>
      <c r="F13" s="8">
        <v>42095</v>
      </c>
      <c r="G13" s="8">
        <v>42124.999988425923</v>
      </c>
      <c r="H13" s="4">
        <v>0</v>
      </c>
      <c r="I13" s="2">
        <v>0</v>
      </c>
    </row>
    <row r="14" spans="1:10" x14ac:dyDescent="0.25">
      <c r="A14" s="2" t="s">
        <v>73</v>
      </c>
      <c r="B14" s="3" t="s">
        <v>46</v>
      </c>
      <c r="D14" s="2" t="s">
        <v>42</v>
      </c>
      <c r="E14" s="5">
        <v>1</v>
      </c>
      <c r="F14" s="8">
        <v>42095</v>
      </c>
      <c r="G14" s="8">
        <v>42124.999988425923</v>
      </c>
      <c r="H14" s="4">
        <v>0</v>
      </c>
      <c r="I14" s="2">
        <v>0</v>
      </c>
    </row>
    <row r="15" spans="1:10" x14ac:dyDescent="0.25">
      <c r="A15" s="2" t="s">
        <v>74</v>
      </c>
      <c r="B15" s="3" t="s">
        <v>48</v>
      </c>
      <c r="D15" s="2" t="s">
        <v>47</v>
      </c>
      <c r="E15" s="5">
        <v>1</v>
      </c>
      <c r="F15" s="8">
        <v>42095</v>
      </c>
      <c r="G15" s="8">
        <v>42124.999988425923</v>
      </c>
      <c r="H15" s="4">
        <v>0</v>
      </c>
      <c r="I15" s="2">
        <v>0</v>
      </c>
    </row>
    <row r="16" spans="1:10" x14ac:dyDescent="0.25">
      <c r="A16" s="2" t="s">
        <v>75</v>
      </c>
      <c r="B16" s="3" t="s">
        <v>50</v>
      </c>
      <c r="D16" s="2" t="s">
        <v>49</v>
      </c>
      <c r="E16" s="5">
        <v>1</v>
      </c>
      <c r="F16" s="8">
        <v>42095</v>
      </c>
      <c r="G16" s="8">
        <v>42124.999988425923</v>
      </c>
      <c r="H16" s="4">
        <v>0</v>
      </c>
      <c r="I16" s="2">
        <v>0</v>
      </c>
    </row>
    <row r="17" spans="1:10" x14ac:dyDescent="0.25">
      <c r="A17" s="2" t="s">
        <v>76</v>
      </c>
      <c r="B17" s="3" t="s">
        <v>51</v>
      </c>
      <c r="D17" s="2" t="s">
        <v>42</v>
      </c>
      <c r="E17" s="5">
        <v>1</v>
      </c>
      <c r="F17" s="8">
        <v>42095</v>
      </c>
      <c r="G17" s="8">
        <v>42124.999988425923</v>
      </c>
      <c r="H17" s="4">
        <v>0</v>
      </c>
      <c r="I17" s="2">
        <v>0</v>
      </c>
    </row>
    <row r="18" spans="1:10" x14ac:dyDescent="0.25">
      <c r="A18" s="2" t="s">
        <v>77</v>
      </c>
      <c r="B18" s="3" t="s">
        <v>53</v>
      </c>
      <c r="D18" s="2" t="s">
        <v>52</v>
      </c>
      <c r="E18" s="5">
        <v>1</v>
      </c>
      <c r="F18" s="8">
        <v>42095</v>
      </c>
      <c r="G18" s="8">
        <v>42124.999988425923</v>
      </c>
      <c r="H18" s="4">
        <v>0</v>
      </c>
      <c r="I18" s="2">
        <v>0</v>
      </c>
    </row>
    <row r="19" spans="1:10" x14ac:dyDescent="0.25">
      <c r="A19" s="2" t="s">
        <v>95</v>
      </c>
      <c r="B19" s="3" t="s">
        <v>78</v>
      </c>
      <c r="D19" s="2" t="s">
        <v>42</v>
      </c>
      <c r="E19" s="5">
        <v>1</v>
      </c>
      <c r="F19" s="8">
        <v>42095</v>
      </c>
      <c r="G19" s="8">
        <v>42124.999988425923</v>
      </c>
      <c r="H19" s="4">
        <v>0</v>
      </c>
      <c r="I19" s="2">
        <v>0</v>
      </c>
    </row>
    <row r="20" spans="1:10" x14ac:dyDescent="0.25">
      <c r="A20" s="2" t="s">
        <v>96</v>
      </c>
      <c r="B20" s="3" t="s">
        <v>55</v>
      </c>
      <c r="D20" s="2" t="s">
        <v>42</v>
      </c>
      <c r="E20" s="5">
        <v>1</v>
      </c>
      <c r="F20" s="8">
        <v>42095</v>
      </c>
      <c r="G20" s="8">
        <v>42124.999988425923</v>
      </c>
      <c r="H20" s="4">
        <v>0</v>
      </c>
      <c r="I20" s="2">
        <v>0</v>
      </c>
    </row>
    <row r="21" spans="1:10" x14ac:dyDescent="0.25">
      <c r="A21" s="2" t="s">
        <v>97</v>
      </c>
      <c r="B21" s="3" t="s">
        <v>56</v>
      </c>
      <c r="D21" s="2" t="s">
        <v>42</v>
      </c>
      <c r="E21" s="5">
        <v>1</v>
      </c>
      <c r="F21" s="8">
        <v>42095</v>
      </c>
      <c r="G21" s="8">
        <v>42124.999988425923</v>
      </c>
      <c r="H21" s="4">
        <v>0</v>
      </c>
      <c r="I21" s="2">
        <v>0</v>
      </c>
    </row>
    <row r="22" spans="1:10" x14ac:dyDescent="0.25">
      <c r="A22" s="2" t="s">
        <v>69</v>
      </c>
      <c r="B22" s="3" t="s">
        <v>57</v>
      </c>
      <c r="D22" s="2" t="s">
        <v>42</v>
      </c>
      <c r="E22" s="5">
        <v>1</v>
      </c>
      <c r="F22" s="8">
        <v>42095</v>
      </c>
      <c r="G22" s="8">
        <v>42124.999988425923</v>
      </c>
      <c r="H22" s="4">
        <v>0</v>
      </c>
      <c r="I22" s="2">
        <v>0</v>
      </c>
    </row>
    <row r="23" spans="1:10" x14ac:dyDescent="0.25">
      <c r="A23" s="2" t="s">
        <v>69</v>
      </c>
      <c r="B23" s="3" t="s">
        <v>59</v>
      </c>
      <c r="D23" s="2" t="s">
        <v>58</v>
      </c>
      <c r="E23" s="5">
        <v>1</v>
      </c>
      <c r="F23" s="8">
        <v>42095</v>
      </c>
      <c r="G23" s="8">
        <v>42124.999988425923</v>
      </c>
      <c r="H23" s="4">
        <v>0</v>
      </c>
      <c r="I23" s="2">
        <v>0</v>
      </c>
    </row>
    <row r="24" spans="1:10" x14ac:dyDescent="0.25">
      <c r="A24" s="2" t="s">
        <v>69</v>
      </c>
      <c r="B24" s="3" t="s">
        <v>60</v>
      </c>
      <c r="D24" s="2" t="s">
        <v>49</v>
      </c>
      <c r="E24" s="5">
        <v>1</v>
      </c>
      <c r="F24" s="8">
        <v>42095</v>
      </c>
      <c r="G24" s="8">
        <v>42124.999988425923</v>
      </c>
      <c r="H24" s="4">
        <v>0</v>
      </c>
      <c r="I24" s="2">
        <v>0</v>
      </c>
    </row>
    <row r="25" spans="1:10" x14ac:dyDescent="0.25">
      <c r="A25" s="2" t="s">
        <v>69</v>
      </c>
      <c r="B25" s="3" t="s">
        <v>61</v>
      </c>
      <c r="D25" s="2" t="s">
        <v>42</v>
      </c>
      <c r="E25" s="5">
        <v>1</v>
      </c>
      <c r="F25" s="8">
        <v>42095</v>
      </c>
      <c r="G25" s="8">
        <v>42124.999988425923</v>
      </c>
      <c r="H25" s="4">
        <v>0</v>
      </c>
      <c r="I25" s="2">
        <v>0</v>
      </c>
    </row>
    <row r="26" spans="1:10" x14ac:dyDescent="0.25">
      <c r="A26" s="2" t="s">
        <v>69</v>
      </c>
      <c r="B26" s="3" t="s">
        <v>62</v>
      </c>
      <c r="D26" s="2" t="s">
        <v>42</v>
      </c>
      <c r="E26" s="5">
        <v>1</v>
      </c>
      <c r="F26" s="8">
        <v>42095</v>
      </c>
      <c r="G26" s="8">
        <v>42124.999988425923</v>
      </c>
      <c r="H26" s="4">
        <v>0</v>
      </c>
      <c r="I26" s="2">
        <v>0</v>
      </c>
    </row>
    <row r="27" spans="1:10" x14ac:dyDescent="0.25">
      <c r="A27" s="2" t="s">
        <v>69</v>
      </c>
      <c r="B27" s="3" t="s">
        <v>63</v>
      </c>
      <c r="D27" s="2" t="s">
        <v>42</v>
      </c>
      <c r="E27" s="5">
        <v>1</v>
      </c>
      <c r="F27" s="8">
        <v>42095</v>
      </c>
      <c r="G27" s="8">
        <v>42124.999988425923</v>
      </c>
      <c r="H27" s="4">
        <v>1165.7432861328125</v>
      </c>
      <c r="I27" s="2">
        <v>0</v>
      </c>
      <c r="J27" s="2">
        <v>0</v>
      </c>
    </row>
    <row r="28" spans="1:10" x14ac:dyDescent="0.25">
      <c r="A28" s="2" t="s">
        <v>69</v>
      </c>
      <c r="B28" s="3" t="s">
        <v>64</v>
      </c>
      <c r="D28" s="2" t="s">
        <v>42</v>
      </c>
      <c r="E28" s="5">
        <v>1</v>
      </c>
      <c r="F28" s="8">
        <v>42095</v>
      </c>
      <c r="G28" s="8">
        <v>42124.999988425923</v>
      </c>
      <c r="H28" s="4">
        <v>0</v>
      </c>
      <c r="I28" s="2">
        <v>0</v>
      </c>
    </row>
    <row r="29" spans="1:10" x14ac:dyDescent="0.25">
      <c r="A29" s="2" t="s">
        <v>69</v>
      </c>
      <c r="B29" s="3" t="s">
        <v>65</v>
      </c>
      <c r="D29" s="2" t="s">
        <v>42</v>
      </c>
      <c r="E29" s="5">
        <v>1</v>
      </c>
      <c r="F29" s="8">
        <v>42095</v>
      </c>
      <c r="G29" s="8">
        <v>42124.999988425923</v>
      </c>
      <c r="H29" s="4">
        <v>0</v>
      </c>
      <c r="I29" s="2">
        <v>0</v>
      </c>
    </row>
    <row r="30" spans="1:10" x14ac:dyDescent="0.25">
      <c r="A30" s="2" t="s">
        <v>69</v>
      </c>
      <c r="B30" s="3" t="s">
        <v>66</v>
      </c>
      <c r="D30" s="2" t="s">
        <v>42</v>
      </c>
      <c r="E30" s="5">
        <v>1</v>
      </c>
      <c r="F30" s="8">
        <v>42095</v>
      </c>
      <c r="G30" s="8">
        <v>42124.999988425923</v>
      </c>
      <c r="H30" s="4">
        <v>0</v>
      </c>
      <c r="I30" s="2">
        <v>0</v>
      </c>
    </row>
    <row r="31" spans="1:10" x14ac:dyDescent="0.25">
      <c r="A31" s="2" t="s">
        <v>69</v>
      </c>
      <c r="B31" s="3" t="s">
        <v>67</v>
      </c>
      <c r="D31" s="2" t="s">
        <v>42</v>
      </c>
      <c r="E31" s="5">
        <v>1</v>
      </c>
      <c r="F31" s="8">
        <v>42095</v>
      </c>
      <c r="G31" s="8">
        <v>42124.999988425923</v>
      </c>
      <c r="H31" s="4">
        <v>1661.393798828125</v>
      </c>
      <c r="I31" s="2">
        <v>307.92999267578125</v>
      </c>
      <c r="J31" s="2">
        <v>18.53443717956543</v>
      </c>
    </row>
    <row r="32" spans="1:10" x14ac:dyDescent="0.25">
      <c r="A32" s="2" t="s">
        <v>69</v>
      </c>
      <c r="B32" s="3" t="s">
        <v>68</v>
      </c>
      <c r="D32" s="2" t="s">
        <v>58</v>
      </c>
      <c r="E32" s="5">
        <v>1</v>
      </c>
      <c r="F32" s="8">
        <v>42095</v>
      </c>
      <c r="G32" s="8">
        <v>42124.999988425923</v>
      </c>
      <c r="H32" s="4">
        <v>1568.7159423828125</v>
      </c>
      <c r="I32" s="2">
        <v>172.86001586914063</v>
      </c>
      <c r="J32" s="2">
        <v>11.019204139709473</v>
      </c>
    </row>
    <row r="33" spans="1:10" x14ac:dyDescent="0.25">
      <c r="A33" s="2" t="s">
        <v>69</v>
      </c>
      <c r="B33" s="3" t="s">
        <v>43</v>
      </c>
      <c r="D33" s="2" t="s">
        <v>42</v>
      </c>
      <c r="E33" s="5">
        <v>2</v>
      </c>
      <c r="F33" s="8">
        <v>42125</v>
      </c>
      <c r="G33" s="8">
        <v>42155.999988425923</v>
      </c>
      <c r="H33" s="4">
        <v>4219.64208984375</v>
      </c>
      <c r="I33" s="2">
        <v>18.462406158447266</v>
      </c>
      <c r="J33" s="2">
        <v>0.4375348687171936</v>
      </c>
    </row>
    <row r="34" spans="1:10" x14ac:dyDescent="0.25">
      <c r="A34" s="2" t="s">
        <v>69</v>
      </c>
      <c r="B34" s="3" t="s">
        <v>44</v>
      </c>
      <c r="D34" s="2" t="s">
        <v>42</v>
      </c>
      <c r="E34" s="5">
        <v>2</v>
      </c>
      <c r="F34" s="8">
        <v>42125</v>
      </c>
      <c r="G34" s="8">
        <v>42155.999988425923</v>
      </c>
      <c r="H34" s="4">
        <v>0</v>
      </c>
      <c r="I34" s="2">
        <v>0</v>
      </c>
    </row>
    <row r="35" spans="1:10" x14ac:dyDescent="0.25">
      <c r="A35" s="2" t="s">
        <v>69</v>
      </c>
      <c r="B35" s="3" t="s">
        <v>45</v>
      </c>
      <c r="D35" s="2" t="s">
        <v>42</v>
      </c>
      <c r="E35" s="5">
        <v>2</v>
      </c>
      <c r="F35" s="8">
        <v>42125</v>
      </c>
      <c r="G35" s="8">
        <v>42155.999988425923</v>
      </c>
      <c r="H35" s="4">
        <v>0</v>
      </c>
      <c r="I35" s="2">
        <v>0</v>
      </c>
    </row>
    <row r="36" spans="1:10" x14ac:dyDescent="0.25">
      <c r="A36" s="2" t="s">
        <v>69</v>
      </c>
      <c r="B36" s="3" t="s">
        <v>46</v>
      </c>
      <c r="D36" s="2" t="s">
        <v>42</v>
      </c>
      <c r="E36" s="5">
        <v>2</v>
      </c>
      <c r="F36" s="8">
        <v>42125</v>
      </c>
      <c r="G36" s="8">
        <v>42155.999988425923</v>
      </c>
      <c r="H36" s="4">
        <v>0</v>
      </c>
      <c r="I36" s="2">
        <v>0</v>
      </c>
    </row>
    <row r="37" spans="1:10" x14ac:dyDescent="0.25">
      <c r="A37" s="2" t="s">
        <v>69</v>
      </c>
      <c r="B37" s="3" t="s">
        <v>48</v>
      </c>
      <c r="D37" s="2" t="s">
        <v>47</v>
      </c>
      <c r="E37" s="5">
        <v>2</v>
      </c>
      <c r="F37" s="8">
        <v>42125</v>
      </c>
      <c r="G37" s="8">
        <v>42155.999988425923</v>
      </c>
      <c r="H37" s="4">
        <v>0</v>
      </c>
      <c r="I37" s="2">
        <v>0</v>
      </c>
    </row>
    <row r="38" spans="1:10" x14ac:dyDescent="0.25">
      <c r="A38" s="2" t="s">
        <v>69</v>
      </c>
      <c r="B38" s="3" t="s">
        <v>50</v>
      </c>
      <c r="D38" s="2" t="s">
        <v>49</v>
      </c>
      <c r="E38" s="5">
        <v>2</v>
      </c>
      <c r="F38" s="8">
        <v>42125</v>
      </c>
      <c r="G38" s="8">
        <v>42155.999988425923</v>
      </c>
      <c r="H38" s="4">
        <v>0</v>
      </c>
      <c r="I38" s="2">
        <v>0</v>
      </c>
    </row>
    <row r="39" spans="1:10" x14ac:dyDescent="0.25">
      <c r="A39" s="2" t="s">
        <v>69</v>
      </c>
      <c r="B39" s="3" t="s">
        <v>51</v>
      </c>
      <c r="D39" s="2" t="s">
        <v>42</v>
      </c>
      <c r="E39" s="5">
        <v>2</v>
      </c>
      <c r="F39" s="8">
        <v>42125</v>
      </c>
      <c r="G39" s="8">
        <v>42155.999988425923</v>
      </c>
      <c r="H39" s="4">
        <v>0</v>
      </c>
      <c r="I39" s="2">
        <v>0</v>
      </c>
    </row>
    <row r="40" spans="1:10" x14ac:dyDescent="0.25">
      <c r="A40" s="2" t="s">
        <v>69</v>
      </c>
      <c r="B40" s="3" t="s">
        <v>53</v>
      </c>
      <c r="D40" s="2" t="s">
        <v>52</v>
      </c>
      <c r="E40" s="5">
        <v>2</v>
      </c>
      <c r="F40" s="8">
        <v>42125</v>
      </c>
      <c r="G40" s="8">
        <v>42155.999988425923</v>
      </c>
      <c r="H40" s="4">
        <v>1250.07958984375</v>
      </c>
      <c r="I40" s="2">
        <v>104.88005065917969</v>
      </c>
      <c r="J40" s="2">
        <v>8.3898696899414063</v>
      </c>
    </row>
    <row r="41" spans="1:10" x14ac:dyDescent="0.25">
      <c r="A41" s="2" t="s">
        <v>69</v>
      </c>
      <c r="B41" s="3" t="s">
        <v>54</v>
      </c>
      <c r="D41" s="2" t="s">
        <v>42</v>
      </c>
      <c r="E41" s="5">
        <v>2</v>
      </c>
      <c r="F41" s="8">
        <v>42125</v>
      </c>
      <c r="G41" s="8">
        <v>42155.999988425923</v>
      </c>
      <c r="H41" s="4">
        <v>0</v>
      </c>
      <c r="I41" s="2">
        <v>0</v>
      </c>
    </row>
    <row r="42" spans="1:10" x14ac:dyDescent="0.25">
      <c r="A42" s="2" t="s">
        <v>69</v>
      </c>
      <c r="B42" s="3" t="s">
        <v>55</v>
      </c>
      <c r="D42" s="2" t="s">
        <v>42</v>
      </c>
      <c r="E42" s="5">
        <v>2</v>
      </c>
      <c r="F42" s="8">
        <v>42125</v>
      </c>
      <c r="G42" s="8">
        <v>42155.999988425923</v>
      </c>
      <c r="H42" s="4">
        <v>0</v>
      </c>
      <c r="I42" s="2">
        <v>0</v>
      </c>
    </row>
    <row r="43" spans="1:10" x14ac:dyDescent="0.25">
      <c r="A43" s="2" t="s">
        <v>69</v>
      </c>
      <c r="B43" s="3" t="s">
        <v>56</v>
      </c>
      <c r="D43" s="2" t="s">
        <v>42</v>
      </c>
      <c r="E43" s="5">
        <v>2</v>
      </c>
      <c r="F43" s="8">
        <v>42125</v>
      </c>
      <c r="G43" s="8">
        <v>42155.999988425923</v>
      </c>
      <c r="H43" s="4">
        <v>0</v>
      </c>
      <c r="I43" s="2">
        <v>0</v>
      </c>
    </row>
    <row r="44" spans="1:10" x14ac:dyDescent="0.25">
      <c r="A44" s="2" t="s">
        <v>69</v>
      </c>
      <c r="B44" s="3" t="s">
        <v>57</v>
      </c>
      <c r="D44" s="2" t="s">
        <v>42</v>
      </c>
      <c r="E44" s="5">
        <v>2</v>
      </c>
      <c r="F44" s="8">
        <v>42125</v>
      </c>
      <c r="G44" s="8">
        <v>42155.999988425923</v>
      </c>
      <c r="H44" s="4">
        <v>0</v>
      </c>
      <c r="I44" s="2">
        <v>0</v>
      </c>
    </row>
    <row r="45" spans="1:10" x14ac:dyDescent="0.25">
      <c r="A45" s="2" t="s">
        <v>69</v>
      </c>
      <c r="B45" s="3" t="s">
        <v>59</v>
      </c>
      <c r="D45" s="2" t="s">
        <v>58</v>
      </c>
      <c r="E45" s="5">
        <v>2</v>
      </c>
      <c r="F45" s="8">
        <v>42125</v>
      </c>
      <c r="G45" s="8">
        <v>42155.999988425923</v>
      </c>
      <c r="H45" s="4">
        <v>0</v>
      </c>
      <c r="I45" s="2">
        <v>0</v>
      </c>
    </row>
    <row r="46" spans="1:10" x14ac:dyDescent="0.25">
      <c r="A46" s="2" t="s">
        <v>69</v>
      </c>
      <c r="B46" s="3" t="s">
        <v>60</v>
      </c>
      <c r="D46" s="2" t="s">
        <v>49</v>
      </c>
      <c r="E46" s="5">
        <v>2</v>
      </c>
      <c r="F46" s="8">
        <v>42125</v>
      </c>
      <c r="G46" s="8">
        <v>42155.999988425923</v>
      </c>
      <c r="H46" s="4">
        <v>0</v>
      </c>
      <c r="I46" s="2">
        <v>0</v>
      </c>
    </row>
    <row r="47" spans="1:10" x14ac:dyDescent="0.25">
      <c r="A47" s="2" t="s">
        <v>69</v>
      </c>
      <c r="B47" s="3" t="s">
        <v>61</v>
      </c>
      <c r="D47" s="2" t="s">
        <v>42</v>
      </c>
      <c r="E47" s="5">
        <v>2</v>
      </c>
      <c r="F47" s="8">
        <v>42125</v>
      </c>
      <c r="G47" s="8">
        <v>42155.999988425923</v>
      </c>
      <c r="H47" s="4">
        <v>0</v>
      </c>
      <c r="I47" s="2">
        <v>0</v>
      </c>
    </row>
    <row r="48" spans="1:10" x14ac:dyDescent="0.25">
      <c r="A48" s="2" t="s">
        <v>69</v>
      </c>
      <c r="B48" s="3" t="s">
        <v>62</v>
      </c>
      <c r="D48" s="2" t="s">
        <v>42</v>
      </c>
      <c r="E48" s="5">
        <v>2</v>
      </c>
      <c r="F48" s="8">
        <v>42125</v>
      </c>
      <c r="G48" s="8">
        <v>42155.999988425923</v>
      </c>
      <c r="H48" s="4">
        <v>0</v>
      </c>
      <c r="I48" s="2">
        <v>0</v>
      </c>
    </row>
    <row r="49" spans="1:10" x14ac:dyDescent="0.25">
      <c r="A49" s="2" t="s">
        <v>107</v>
      </c>
      <c r="B49" s="3" t="s">
        <v>63</v>
      </c>
      <c r="D49" s="2" t="s">
        <v>42</v>
      </c>
      <c r="E49" s="5">
        <v>2</v>
      </c>
      <c r="F49" s="8">
        <v>42125</v>
      </c>
      <c r="G49" s="8">
        <v>42155.999988425923</v>
      </c>
      <c r="H49" s="4">
        <v>3873.28662109375</v>
      </c>
      <c r="I49" s="2">
        <v>0</v>
      </c>
      <c r="J49" s="2">
        <v>0</v>
      </c>
    </row>
    <row r="50" spans="1:10" x14ac:dyDescent="0.25">
      <c r="A50" s="2" t="s">
        <v>106</v>
      </c>
      <c r="B50" s="3" t="s">
        <v>64</v>
      </c>
      <c r="D50" s="2" t="s">
        <v>42</v>
      </c>
      <c r="E50" s="5">
        <v>2</v>
      </c>
      <c r="F50" s="8">
        <v>42125</v>
      </c>
      <c r="G50" s="8">
        <v>42155.999988425923</v>
      </c>
      <c r="H50" s="4">
        <v>0</v>
      </c>
      <c r="I50" s="2">
        <v>0</v>
      </c>
    </row>
    <row r="51" spans="1:10" x14ac:dyDescent="0.25">
      <c r="A51" s="2" t="s">
        <v>105</v>
      </c>
      <c r="B51" s="3" t="s">
        <v>65</v>
      </c>
      <c r="D51" s="2" t="s">
        <v>42</v>
      </c>
      <c r="E51" s="5">
        <v>2</v>
      </c>
      <c r="F51" s="8">
        <v>42125</v>
      </c>
      <c r="G51" s="8">
        <v>42155.999988425923</v>
      </c>
      <c r="H51" s="4">
        <v>0</v>
      </c>
      <c r="I51" s="2">
        <v>0</v>
      </c>
    </row>
    <row r="52" spans="1:10" x14ac:dyDescent="0.25">
      <c r="A52" s="2" t="s">
        <v>104</v>
      </c>
      <c r="B52" s="3" t="s">
        <v>66</v>
      </c>
      <c r="D52" s="2" t="s">
        <v>42</v>
      </c>
      <c r="E52" s="5">
        <v>2</v>
      </c>
      <c r="F52" s="8">
        <v>42125</v>
      </c>
      <c r="G52" s="8">
        <v>42155.999988425923</v>
      </c>
      <c r="H52" s="4">
        <v>0</v>
      </c>
      <c r="I52" s="2">
        <v>0</v>
      </c>
    </row>
    <row r="53" spans="1:10" x14ac:dyDescent="0.25">
      <c r="A53" s="2" t="s">
        <v>103</v>
      </c>
      <c r="B53" s="3" t="s">
        <v>67</v>
      </c>
      <c r="D53" s="2" t="s">
        <v>42</v>
      </c>
      <c r="E53" s="5">
        <v>2</v>
      </c>
      <c r="F53" s="8">
        <v>42125</v>
      </c>
      <c r="G53" s="8">
        <v>42155.999988425923</v>
      </c>
      <c r="H53" s="4">
        <v>1750.406005859375</v>
      </c>
      <c r="I53" s="2">
        <v>464.46017456054688</v>
      </c>
      <c r="J53" s="2">
        <v>26.534425735473633</v>
      </c>
    </row>
    <row r="54" spans="1:10" x14ac:dyDescent="0.25">
      <c r="A54" s="2" t="s">
        <v>102</v>
      </c>
      <c r="B54" s="3" t="s">
        <v>68</v>
      </c>
      <c r="D54" s="2" t="s">
        <v>58</v>
      </c>
      <c r="E54" s="5">
        <v>2</v>
      </c>
      <c r="F54" s="8">
        <v>42125</v>
      </c>
      <c r="G54" s="8">
        <v>42155.999988425923</v>
      </c>
      <c r="H54" s="4">
        <v>1438.3360595703125</v>
      </c>
      <c r="I54" s="2">
        <v>155.91999816894531</v>
      </c>
      <c r="J54" s="2">
        <v>10.840303421020508</v>
      </c>
    </row>
    <row r="55" spans="1:10" x14ac:dyDescent="0.25">
      <c r="A55" s="2" t="s">
        <v>101</v>
      </c>
      <c r="B55" s="3" t="s">
        <v>43</v>
      </c>
      <c r="D55" s="2" t="s">
        <v>42</v>
      </c>
      <c r="E55" s="5">
        <v>3</v>
      </c>
      <c r="F55" s="8">
        <v>42156</v>
      </c>
      <c r="G55" s="8">
        <v>42185.999988425923</v>
      </c>
      <c r="H55" s="4">
        <v>303.19061279296875</v>
      </c>
      <c r="I55" s="2">
        <v>0</v>
      </c>
      <c r="J55" s="2">
        <v>0</v>
      </c>
    </row>
    <row r="56" spans="1:10" x14ac:dyDescent="0.25">
      <c r="A56" s="2" t="s">
        <v>100</v>
      </c>
      <c r="B56" s="3" t="s">
        <v>44</v>
      </c>
      <c r="D56" s="2" t="s">
        <v>42</v>
      </c>
      <c r="E56" s="5">
        <v>3</v>
      </c>
      <c r="F56" s="8">
        <v>42156</v>
      </c>
      <c r="G56" s="8">
        <v>42185.999988425923</v>
      </c>
      <c r="H56" s="4">
        <v>0</v>
      </c>
      <c r="I56" s="2">
        <v>0</v>
      </c>
    </row>
    <row r="57" spans="1:10" x14ac:dyDescent="0.25">
      <c r="A57" s="2" t="s">
        <v>99</v>
      </c>
      <c r="B57" s="3" t="s">
        <v>45</v>
      </c>
      <c r="D57" s="2" t="s">
        <v>42</v>
      </c>
      <c r="E57" s="5">
        <v>3</v>
      </c>
      <c r="F57" s="8">
        <v>42156</v>
      </c>
      <c r="G57" s="8">
        <v>42185.999988425923</v>
      </c>
      <c r="H57" s="4">
        <v>280.43194580078125</v>
      </c>
      <c r="I57" s="2">
        <v>0.55087375640869141</v>
      </c>
      <c r="J57" s="2">
        <v>0.19643758237361908</v>
      </c>
    </row>
    <row r="58" spans="1:10" x14ac:dyDescent="0.25">
      <c r="A58" s="2" t="s">
        <v>94</v>
      </c>
      <c r="B58" s="3" t="s">
        <v>46</v>
      </c>
      <c r="D58" s="2" t="s">
        <v>42</v>
      </c>
      <c r="E58" s="5">
        <v>3</v>
      </c>
      <c r="F58" s="8">
        <v>42156</v>
      </c>
      <c r="G58" s="8">
        <v>42185.999988425923</v>
      </c>
      <c r="H58" s="4">
        <v>0</v>
      </c>
      <c r="I58" s="2">
        <v>0</v>
      </c>
    </row>
    <row r="59" spans="1:10" x14ac:dyDescent="0.25">
      <c r="A59" s="2" t="s">
        <v>98</v>
      </c>
      <c r="B59" s="3" t="s">
        <v>48</v>
      </c>
      <c r="D59" s="2" t="s">
        <v>47</v>
      </c>
      <c r="E59" s="5">
        <v>3</v>
      </c>
      <c r="F59" s="8">
        <v>42156</v>
      </c>
      <c r="G59" s="8">
        <v>42185.999988425923</v>
      </c>
      <c r="H59" s="4">
        <v>0</v>
      </c>
      <c r="I59" s="2">
        <v>0</v>
      </c>
    </row>
    <row r="60" spans="1:10" x14ac:dyDescent="0.25">
      <c r="A60" s="2" t="s">
        <v>94</v>
      </c>
      <c r="B60" s="3" t="s">
        <v>50</v>
      </c>
      <c r="D60" s="2" t="s">
        <v>49</v>
      </c>
      <c r="E60" s="5">
        <v>3</v>
      </c>
      <c r="F60" s="8">
        <v>42156</v>
      </c>
      <c r="G60" s="8">
        <v>42185.999988425923</v>
      </c>
      <c r="H60" s="4">
        <v>0</v>
      </c>
      <c r="I60" s="2">
        <v>0</v>
      </c>
    </row>
    <row r="61" spans="1:10" x14ac:dyDescent="0.25">
      <c r="A61" s="2" t="s">
        <v>93</v>
      </c>
      <c r="B61" s="3" t="s">
        <v>51</v>
      </c>
      <c r="D61" s="2" t="s">
        <v>42</v>
      </c>
      <c r="E61" s="5">
        <v>3</v>
      </c>
      <c r="F61" s="8">
        <v>42156</v>
      </c>
      <c r="G61" s="8">
        <v>42185.999988425923</v>
      </c>
      <c r="H61" s="4">
        <v>0</v>
      </c>
      <c r="I61" s="2">
        <v>0</v>
      </c>
    </row>
    <row r="62" spans="1:10" x14ac:dyDescent="0.25">
      <c r="A62" s="2" t="s">
        <v>92</v>
      </c>
      <c r="B62" s="3" t="s">
        <v>53</v>
      </c>
      <c r="D62" s="2" t="s">
        <v>52</v>
      </c>
      <c r="E62" s="5">
        <v>3</v>
      </c>
      <c r="F62" s="8">
        <v>42156</v>
      </c>
      <c r="G62" s="8">
        <v>42185.999988425923</v>
      </c>
      <c r="H62" s="4">
        <v>3157.493896484375</v>
      </c>
      <c r="I62" s="2">
        <v>258.330078125</v>
      </c>
      <c r="J62" s="2">
        <v>8.1814908981323242</v>
      </c>
    </row>
    <row r="63" spans="1:10" x14ac:dyDescent="0.25">
      <c r="A63" s="2" t="s">
        <v>91</v>
      </c>
      <c r="B63" s="3" t="s">
        <v>54</v>
      </c>
      <c r="D63" s="2" t="s">
        <v>42</v>
      </c>
      <c r="E63" s="5">
        <v>3</v>
      </c>
      <c r="F63" s="8">
        <v>42156</v>
      </c>
      <c r="G63" s="8">
        <v>42185.999988425923</v>
      </c>
      <c r="H63" s="4">
        <v>0</v>
      </c>
      <c r="I63" s="2">
        <v>0</v>
      </c>
    </row>
    <row r="64" spans="1:10" x14ac:dyDescent="0.25">
      <c r="A64" s="2" t="s">
        <v>90</v>
      </c>
      <c r="B64" s="3" t="s">
        <v>55</v>
      </c>
      <c r="D64" s="2" t="s">
        <v>42</v>
      </c>
      <c r="E64" s="5">
        <v>3</v>
      </c>
      <c r="F64" s="8">
        <v>42156</v>
      </c>
      <c r="G64" s="8">
        <v>42185.999988425923</v>
      </c>
      <c r="H64" s="4">
        <v>0</v>
      </c>
      <c r="I64" s="2">
        <v>0</v>
      </c>
    </row>
    <row r="65" spans="1:10" x14ac:dyDescent="0.25">
      <c r="A65" s="2" t="s">
        <v>89</v>
      </c>
      <c r="B65" s="3" t="s">
        <v>56</v>
      </c>
      <c r="D65" s="2" t="s">
        <v>42</v>
      </c>
      <c r="E65" s="5">
        <v>3</v>
      </c>
      <c r="F65" s="8">
        <v>42156</v>
      </c>
      <c r="G65" s="8">
        <v>42185.999988425923</v>
      </c>
      <c r="H65" s="4">
        <v>0</v>
      </c>
      <c r="I65" s="2">
        <v>0</v>
      </c>
    </row>
    <row r="66" spans="1:10" x14ac:dyDescent="0.25">
      <c r="A66" s="2" t="s">
        <v>88</v>
      </c>
      <c r="B66" s="3" t="s">
        <v>57</v>
      </c>
      <c r="D66" s="2" t="s">
        <v>42</v>
      </c>
      <c r="E66" s="5">
        <v>3</v>
      </c>
      <c r="F66" s="8">
        <v>42156</v>
      </c>
      <c r="G66" s="8">
        <v>42185.999988425923</v>
      </c>
      <c r="H66" s="4">
        <v>0</v>
      </c>
      <c r="I66" s="2">
        <v>0</v>
      </c>
    </row>
    <row r="67" spans="1:10" x14ac:dyDescent="0.25">
      <c r="A67" s="2" t="s">
        <v>87</v>
      </c>
      <c r="B67" s="3" t="s">
        <v>59</v>
      </c>
      <c r="D67" s="2" t="s">
        <v>58</v>
      </c>
      <c r="E67" s="5">
        <v>3</v>
      </c>
      <c r="F67" s="8">
        <v>42156</v>
      </c>
      <c r="G67" s="8">
        <v>42185.999988425923</v>
      </c>
      <c r="H67" s="4">
        <v>0</v>
      </c>
      <c r="I67" s="2">
        <v>0</v>
      </c>
    </row>
    <row r="68" spans="1:10" x14ac:dyDescent="0.25">
      <c r="A68" s="2" t="s">
        <v>85</v>
      </c>
      <c r="B68" s="3" t="s">
        <v>60</v>
      </c>
      <c r="D68" s="2" t="s">
        <v>49</v>
      </c>
      <c r="E68" s="5">
        <v>3</v>
      </c>
      <c r="F68" s="8">
        <v>42156</v>
      </c>
      <c r="G68" s="8">
        <v>42185.999988425923</v>
      </c>
      <c r="H68" s="4">
        <v>0</v>
      </c>
      <c r="I68" s="2">
        <v>0</v>
      </c>
    </row>
    <row r="69" spans="1:10" x14ac:dyDescent="0.25">
      <c r="A69" s="2" t="s">
        <v>86</v>
      </c>
      <c r="B69" s="3" t="s">
        <v>61</v>
      </c>
      <c r="D69" s="2" t="s">
        <v>42</v>
      </c>
      <c r="E69" s="5">
        <v>3</v>
      </c>
      <c r="F69" s="8">
        <v>42156</v>
      </c>
      <c r="G69" s="8">
        <v>42185.999988425923</v>
      </c>
      <c r="H69" s="4">
        <v>0</v>
      </c>
      <c r="I69" s="2">
        <v>0</v>
      </c>
    </row>
    <row r="70" spans="1:10" x14ac:dyDescent="0.25">
      <c r="A70" s="2" t="s">
        <v>85</v>
      </c>
      <c r="B70" s="3" t="s">
        <v>62</v>
      </c>
      <c r="D70" s="2" t="s">
        <v>42</v>
      </c>
      <c r="E70" s="5">
        <v>3</v>
      </c>
      <c r="F70" s="8">
        <v>42156</v>
      </c>
      <c r="G70" s="8">
        <v>42185.999988425923</v>
      </c>
      <c r="H70" s="4">
        <v>0</v>
      </c>
      <c r="I70" s="2">
        <v>0</v>
      </c>
    </row>
    <row r="71" spans="1:10" x14ac:dyDescent="0.25">
      <c r="A71" s="2" t="s">
        <v>84</v>
      </c>
      <c r="B71" s="3" t="s">
        <v>63</v>
      </c>
      <c r="D71" s="2" t="s">
        <v>42</v>
      </c>
      <c r="E71" s="5">
        <v>3</v>
      </c>
      <c r="F71" s="8">
        <v>42156</v>
      </c>
      <c r="G71" s="8">
        <v>42185.999988425923</v>
      </c>
      <c r="H71" s="4">
        <v>3089.135498046875</v>
      </c>
      <c r="I71" s="2">
        <v>0</v>
      </c>
      <c r="J71" s="2">
        <v>0</v>
      </c>
    </row>
    <row r="72" spans="1:10" x14ac:dyDescent="0.25">
      <c r="A72" s="2" t="s">
        <v>83</v>
      </c>
      <c r="B72" s="3" t="s">
        <v>64</v>
      </c>
      <c r="D72" s="2" t="s">
        <v>42</v>
      </c>
      <c r="E72" s="5">
        <v>3</v>
      </c>
      <c r="F72" s="8">
        <v>42156</v>
      </c>
      <c r="G72" s="8">
        <v>42185.999988425923</v>
      </c>
      <c r="H72" s="4">
        <v>0</v>
      </c>
      <c r="I72" s="2">
        <v>0</v>
      </c>
    </row>
    <row r="73" spans="1:10" x14ac:dyDescent="0.25">
      <c r="A73" s="2" t="s">
        <v>82</v>
      </c>
      <c r="B73" s="3" t="s">
        <v>65</v>
      </c>
      <c r="D73" s="2" t="s">
        <v>42</v>
      </c>
      <c r="E73" s="5">
        <v>3</v>
      </c>
      <c r="F73" s="8">
        <v>42156</v>
      </c>
      <c r="G73" s="8">
        <v>42185.999988425923</v>
      </c>
      <c r="H73" s="4">
        <v>0</v>
      </c>
      <c r="I73" s="2">
        <v>0</v>
      </c>
    </row>
    <row r="74" spans="1:10" x14ac:dyDescent="0.25">
      <c r="A74" s="2" t="s">
        <v>81</v>
      </c>
      <c r="B74" s="3" t="s">
        <v>66</v>
      </c>
      <c r="D74" s="2" t="s">
        <v>42</v>
      </c>
      <c r="E74" s="5">
        <v>3</v>
      </c>
      <c r="F74" s="8">
        <v>42156</v>
      </c>
      <c r="G74" s="8">
        <v>42185.999988425923</v>
      </c>
      <c r="H74" s="4">
        <v>0</v>
      </c>
      <c r="I74" s="2">
        <v>0</v>
      </c>
    </row>
    <row r="75" spans="1:10" x14ac:dyDescent="0.25">
      <c r="A75" s="2" t="s">
        <v>80</v>
      </c>
      <c r="B75" s="3" t="s">
        <v>67</v>
      </c>
      <c r="D75" s="2" t="s">
        <v>42</v>
      </c>
      <c r="E75" s="5">
        <v>3</v>
      </c>
      <c r="F75" s="8">
        <v>42156</v>
      </c>
      <c r="G75" s="8">
        <v>42185.999988425923</v>
      </c>
      <c r="H75" s="4">
        <v>1692.0941162109375</v>
      </c>
      <c r="I75" s="2">
        <v>488.39984130859375</v>
      </c>
      <c r="J75" s="2">
        <v>28.863632202148438</v>
      </c>
    </row>
    <row r="76" spans="1:10" x14ac:dyDescent="0.25">
      <c r="A76" s="2" t="s">
        <v>79</v>
      </c>
      <c r="B76" s="3" t="s">
        <v>68</v>
      </c>
      <c r="D76" s="2" t="s">
        <v>58</v>
      </c>
      <c r="E76" s="5">
        <v>3</v>
      </c>
      <c r="F76" s="8">
        <v>42156</v>
      </c>
      <c r="G76" s="8">
        <v>42185.999988425923</v>
      </c>
      <c r="H76" s="4">
        <v>971.87554931640625</v>
      </c>
      <c r="I76" s="2">
        <v>116.54006958007813</v>
      </c>
      <c r="J76" s="2">
        <v>11.991253852844238</v>
      </c>
    </row>
    <row r="77" spans="1:10" x14ac:dyDescent="0.25">
      <c r="A77" s="2"/>
    </row>
    <row r="78" spans="1:10" x14ac:dyDescent="0.25">
      <c r="A78" s="2"/>
    </row>
    <row r="79" spans="1:10" x14ac:dyDescent="0.25">
      <c r="A79" s="2"/>
    </row>
    <row r="80" spans="1:10" x14ac:dyDescent="0.25">
      <c r="A80" s="2"/>
    </row>
    <row r="81" spans="1:1" x14ac:dyDescent="0.25">
      <c r="A81" s="2"/>
    </row>
    <row r="82" spans="1:1" x14ac:dyDescent="0.25">
      <c r="A82" s="2"/>
    </row>
  </sheetData>
  <pageMargins left="0.75" right="0.75" top="1" bottom="1" header="0.5" footer="0.5"/>
  <pageSetup fitToHeight="100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showGridLines="0" tabSelected="1" workbookViewId="0">
      <selection activeCell="D41" sqref="D41"/>
    </sheetView>
  </sheetViews>
  <sheetFormatPr defaultRowHeight="13.2" x14ac:dyDescent="0.25"/>
  <cols>
    <col min="1" max="1" width="19" customWidth="1"/>
    <col min="2" max="2" width="17.33203125" bestFit="1" customWidth="1"/>
    <col min="3" max="3" width="17.33203125" customWidth="1"/>
    <col min="4" max="4" width="16.6640625" customWidth="1"/>
    <col min="5" max="5" width="14.6640625" customWidth="1"/>
    <col min="6" max="6" width="15.6640625" customWidth="1"/>
    <col min="7" max="7" width="30.5546875" customWidth="1"/>
    <col min="8" max="8" width="14.6640625" customWidth="1"/>
    <col min="9" max="9" width="15.6640625" customWidth="1"/>
    <col min="10" max="10" width="12.5546875" customWidth="1"/>
  </cols>
  <sheetData>
    <row r="1" spans="1:6" s="9" customFormat="1" ht="23.4" x14ac:dyDescent="0.45">
      <c r="A1" s="9" t="s">
        <v>39</v>
      </c>
      <c r="F1" s="10">
        <f>Data!B2</f>
        <v>42195.473073854169</v>
      </c>
    </row>
    <row r="3" spans="1:6" ht="16.8" x14ac:dyDescent="0.4">
      <c r="A3" s="12" t="s">
        <v>25</v>
      </c>
      <c r="B3" s="23">
        <f>Data!$B$2</f>
        <v>42195.473073854169</v>
      </c>
      <c r="C3" s="23"/>
      <c r="D3" s="23"/>
    </row>
    <row r="4" spans="1:6" ht="16.8" x14ac:dyDescent="0.4">
      <c r="A4" s="12" t="s">
        <v>4</v>
      </c>
      <c r="B4" s="23">
        <f>Data!$B$3</f>
        <v>42095</v>
      </c>
      <c r="C4" s="23"/>
      <c r="D4" s="23"/>
    </row>
    <row r="5" spans="1:6" ht="16.8" x14ac:dyDescent="0.4">
      <c r="A5" s="12" t="s">
        <v>5</v>
      </c>
      <c r="B5" s="23">
        <f>Data!$B$4</f>
        <v>42185.999988425923</v>
      </c>
      <c r="C5" s="23"/>
      <c r="D5" s="23"/>
    </row>
    <row r="6" spans="1:6" ht="16.8" x14ac:dyDescent="0.4">
      <c r="A6" s="12" t="s">
        <v>11</v>
      </c>
      <c r="B6" s="23" t="str">
        <f>Data!$B$5</f>
        <v>km</v>
      </c>
      <c r="C6" s="23"/>
      <c r="D6" s="23"/>
    </row>
    <row r="7" spans="1:6" ht="16.8" x14ac:dyDescent="0.4">
      <c r="A7" s="12" t="s">
        <v>30</v>
      </c>
      <c r="B7" s="23" t="str">
        <f>Data!$B$9</f>
        <v>L/100 km</v>
      </c>
      <c r="C7" s="23"/>
      <c r="D7" s="23"/>
    </row>
    <row r="8" spans="1:6" ht="16.8" x14ac:dyDescent="0.4">
      <c r="A8" s="12"/>
      <c r="B8" s="14"/>
      <c r="C8" s="14"/>
      <c r="D8" s="14"/>
    </row>
    <row r="9" spans="1:6" ht="16.8" hidden="1" x14ac:dyDescent="0.4">
      <c r="A9" s="11" t="s">
        <v>36</v>
      </c>
      <c r="B9" t="s">
        <v>38</v>
      </c>
      <c r="C9" s="14"/>
      <c r="D9" s="14"/>
    </row>
    <row r="10" spans="1:6" ht="16.8" x14ac:dyDescent="0.4">
      <c r="A10" s="11" t="s">
        <v>26</v>
      </c>
      <c r="B10" t="s">
        <v>37</v>
      </c>
      <c r="C10" s="14"/>
      <c r="D10" s="14"/>
    </row>
    <row r="12" spans="1:6" x14ac:dyDescent="0.25">
      <c r="A12" s="11" t="s">
        <v>35</v>
      </c>
      <c r="B12" t="s">
        <v>34</v>
      </c>
    </row>
    <row r="13" spans="1:6" x14ac:dyDescent="0.25">
      <c r="A13" s="16">
        <v>42095</v>
      </c>
      <c r="B13" s="22">
        <v>480.79000854492188</v>
      </c>
    </row>
    <row r="14" spans="1:6" x14ac:dyDescent="0.25">
      <c r="A14" s="16">
        <v>42125</v>
      </c>
      <c r="B14" s="22">
        <v>743.72262954711914</v>
      </c>
    </row>
    <row r="15" spans="1:6" x14ac:dyDescent="0.25">
      <c r="A15" s="16">
        <v>42156</v>
      </c>
      <c r="B15" s="22">
        <v>863.82086277008057</v>
      </c>
    </row>
    <row r="16" spans="1:6" x14ac:dyDescent="0.25">
      <c r="A16" s="15" t="s">
        <v>33</v>
      </c>
      <c r="B16" s="22">
        <v>2088.3335008621216</v>
      </c>
    </row>
  </sheetData>
  <mergeCells count="5">
    <mergeCell ref="B3:D3"/>
    <mergeCell ref="B4:D4"/>
    <mergeCell ref="B5:D5"/>
    <mergeCell ref="B6:D6"/>
    <mergeCell ref="B7:D7"/>
  </mergeCell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5"/>
  <sheetViews>
    <sheetView showGridLines="0" workbookViewId="0">
      <pane ySplit="9" topLeftCell="A13" activePane="bottomLeft" state="frozen"/>
      <selection activeCell="X1" sqref="X1"/>
      <selection pane="bottomLeft" activeCell="O30" sqref="O30"/>
    </sheetView>
  </sheetViews>
  <sheetFormatPr defaultColWidth="9.109375" defaultRowHeight="16.8" x14ac:dyDescent="0.4"/>
  <cols>
    <col min="1" max="2" width="23.44140625" style="19" customWidth="1"/>
    <col min="3" max="3" width="20.88671875" style="18" customWidth="1"/>
    <col min="4" max="4" width="16.109375" style="18" customWidth="1"/>
    <col min="5" max="6" width="17.44140625" style="18" customWidth="1"/>
    <col min="7" max="7" width="38.88671875" style="19" customWidth="1"/>
    <col min="8" max="16384" width="9.109375" style="19"/>
  </cols>
  <sheetData>
    <row r="1" spans="1:7" ht="23.4" x14ac:dyDescent="0.45">
      <c r="A1" s="9" t="s">
        <v>39</v>
      </c>
    </row>
    <row r="3" spans="1:7" x14ac:dyDescent="0.4">
      <c r="A3" s="17" t="s">
        <v>25</v>
      </c>
      <c r="B3" s="14">
        <f>Data!$B$2</f>
        <v>42195.473073854169</v>
      </c>
    </row>
    <row r="4" spans="1:7" x14ac:dyDescent="0.4">
      <c r="A4" s="17" t="s">
        <v>4</v>
      </c>
      <c r="B4" s="14">
        <f>Data!$B$3</f>
        <v>42095</v>
      </c>
    </row>
    <row r="5" spans="1:7" x14ac:dyDescent="0.4">
      <c r="A5" s="17" t="s">
        <v>5</v>
      </c>
      <c r="B5" s="14">
        <f>Data!$B$4</f>
        <v>42185.999988425923</v>
      </c>
    </row>
    <row r="6" spans="1:7" x14ac:dyDescent="0.4">
      <c r="A6" s="17" t="s">
        <v>11</v>
      </c>
      <c r="B6" s="14" t="str">
        <f>Data!$B$5</f>
        <v>km</v>
      </c>
    </row>
    <row r="7" spans="1:7" x14ac:dyDescent="0.4">
      <c r="A7" s="17" t="s">
        <v>30</v>
      </c>
      <c r="B7" s="14" t="str">
        <f>Data!$B$9</f>
        <v>L/100 km</v>
      </c>
    </row>
    <row r="9" spans="1:7" s="13" customFormat="1" ht="19.2" x14ac:dyDescent="0.45">
      <c r="A9" s="13" t="s">
        <v>26</v>
      </c>
      <c r="B9" s="13" t="s">
        <v>35</v>
      </c>
      <c r="C9" s="20" t="s">
        <v>31</v>
      </c>
      <c r="D9" s="20" t="s">
        <v>21</v>
      </c>
      <c r="E9" s="20" t="s">
        <v>24</v>
      </c>
      <c r="F9" s="20" t="s">
        <v>36</v>
      </c>
      <c r="G9" s="13" t="s">
        <v>0</v>
      </c>
    </row>
    <row r="10" spans="1:7" x14ac:dyDescent="0.4">
      <c r="A10" s="19" t="str">
        <f>Data!A11</f>
        <v>Truck A</v>
      </c>
      <c r="B10" s="21">
        <f>Data!F11</f>
        <v>42095</v>
      </c>
      <c r="C10" s="18">
        <f>Data!J11</f>
        <v>-6.9123171269893646E-2</v>
      </c>
      <c r="D10" s="18">
        <f>Data!H11</f>
        <v>2057.784912109375</v>
      </c>
      <c r="E10" s="18">
        <f>Data!I11</f>
        <v>-1.4224063158035278</v>
      </c>
      <c r="F10" s="18" t="b">
        <f t="shared" ref="F10:F41" si="0">IF(E10&lt;0,FALSE,TRUE)</f>
        <v>0</v>
      </c>
      <c r="G10" s="19" t="str">
        <f>Data!D11</f>
        <v>Entire Organization</v>
      </c>
    </row>
    <row r="11" spans="1:7" x14ac:dyDescent="0.4">
      <c r="A11" s="19" t="str">
        <f>Data!A12</f>
        <v>Truck B</v>
      </c>
      <c r="B11" s="21">
        <f>Data!F12</f>
        <v>42095</v>
      </c>
      <c r="C11" s="18">
        <f>Data!J12</f>
        <v>0</v>
      </c>
      <c r="D11" s="18">
        <f>Data!H12</f>
        <v>0</v>
      </c>
      <c r="E11" s="18">
        <f>Data!I12</f>
        <v>0</v>
      </c>
      <c r="F11" s="18" t="b">
        <f t="shared" si="0"/>
        <v>1</v>
      </c>
      <c r="G11" s="19" t="str">
        <f>Data!D12</f>
        <v>Entire Organization</v>
      </c>
    </row>
    <row r="12" spans="1:7" x14ac:dyDescent="0.4">
      <c r="A12" s="19" t="str">
        <f>Data!A13</f>
        <v>Truck C</v>
      </c>
      <c r="B12" s="21">
        <f>Data!F13</f>
        <v>42095</v>
      </c>
      <c r="C12" s="18">
        <f>Data!J13</f>
        <v>0</v>
      </c>
      <c r="D12" s="18">
        <f>Data!H13</f>
        <v>0</v>
      </c>
      <c r="E12" s="18">
        <f>Data!I13</f>
        <v>0</v>
      </c>
      <c r="F12" s="18" t="b">
        <f t="shared" si="0"/>
        <v>1</v>
      </c>
      <c r="G12" s="19" t="str">
        <f>Data!D13</f>
        <v>Entire Organization</v>
      </c>
    </row>
    <row r="13" spans="1:7" x14ac:dyDescent="0.4">
      <c r="A13" s="19" t="str">
        <f>Data!A14</f>
        <v>Truck D</v>
      </c>
      <c r="B13" s="21">
        <f>Data!F14</f>
        <v>42095</v>
      </c>
      <c r="C13" s="18">
        <f>Data!J14</f>
        <v>0</v>
      </c>
      <c r="D13" s="18">
        <f>Data!H14</f>
        <v>0</v>
      </c>
      <c r="E13" s="18">
        <f>Data!I14</f>
        <v>0</v>
      </c>
      <c r="F13" s="18" t="b">
        <f t="shared" si="0"/>
        <v>1</v>
      </c>
      <c r="G13" s="19" t="str">
        <f>Data!D14</f>
        <v>Entire Organization</v>
      </c>
    </row>
    <row r="14" spans="1:7" x14ac:dyDescent="0.4">
      <c r="A14" s="19" t="str">
        <f>Data!A15</f>
        <v>Truck E</v>
      </c>
      <c r="B14" s="21">
        <f>Data!F15</f>
        <v>42095</v>
      </c>
      <c r="C14" s="18">
        <f>Data!J15</f>
        <v>0</v>
      </c>
      <c r="D14" s="18">
        <f>Data!H15</f>
        <v>0</v>
      </c>
      <c r="E14" s="18">
        <f>Data!I15</f>
        <v>0</v>
      </c>
      <c r="F14" s="18" t="b">
        <f t="shared" si="0"/>
        <v>1</v>
      </c>
      <c r="G14" s="19" t="str">
        <f>Data!D15</f>
        <v>Region 2, On Duty, Light Duty</v>
      </c>
    </row>
    <row r="15" spans="1:7" x14ac:dyDescent="0.4">
      <c r="A15" s="19" t="str">
        <f>Data!A16</f>
        <v>Truck F</v>
      </c>
      <c r="B15" s="21">
        <f>Data!F16</f>
        <v>42095</v>
      </c>
      <c r="C15" s="18">
        <f>Data!J16</f>
        <v>0</v>
      </c>
      <c r="D15" s="18">
        <f>Data!H16</f>
        <v>0</v>
      </c>
      <c r="E15" s="18">
        <f>Data!I16</f>
        <v>0</v>
      </c>
      <c r="F15" s="18" t="b">
        <f t="shared" si="0"/>
        <v>1</v>
      </c>
      <c r="G15" s="19" t="str">
        <f>Data!D16</f>
        <v>Light Duty</v>
      </c>
    </row>
    <row r="16" spans="1:7" x14ac:dyDescent="0.4">
      <c r="A16" s="19" t="str">
        <f>Data!A17</f>
        <v>Truck  13213</v>
      </c>
      <c r="B16" s="21">
        <f>Data!F17</f>
        <v>42095</v>
      </c>
      <c r="C16" s="18">
        <f>Data!J17</f>
        <v>0</v>
      </c>
      <c r="D16" s="18">
        <f>Data!H17</f>
        <v>0</v>
      </c>
      <c r="E16" s="18">
        <f>Data!I17</f>
        <v>0</v>
      </c>
      <c r="F16" s="18" t="b">
        <f t="shared" si="0"/>
        <v>1</v>
      </c>
      <c r="G16" s="19" t="str">
        <f>Data!D17</f>
        <v>Entire Organization</v>
      </c>
    </row>
    <row r="17" spans="1:7" x14ac:dyDescent="0.4">
      <c r="A17" s="19" t="str">
        <f>Data!A18</f>
        <v>Truck  23</v>
      </c>
      <c r="B17" s="21">
        <f>Data!F18</f>
        <v>42095</v>
      </c>
      <c r="C17" s="18">
        <f>Data!J18</f>
        <v>0</v>
      </c>
      <c r="D17" s="18">
        <f>Data!H18</f>
        <v>0</v>
      </c>
      <c r="E17" s="18">
        <f>Data!I18</f>
        <v>0</v>
      </c>
      <c r="F17" s="18" t="b">
        <f t="shared" si="0"/>
        <v>1</v>
      </c>
      <c r="G17" s="19" t="str">
        <f>Data!D18</f>
        <v>JM Test</v>
      </c>
    </row>
    <row r="18" spans="1:7" x14ac:dyDescent="0.4">
      <c r="A18" s="19" t="str">
        <f>Data!A19</f>
        <v>Truck  35</v>
      </c>
      <c r="B18" s="21">
        <f>Data!F19</f>
        <v>42095</v>
      </c>
      <c r="C18" s="18">
        <f>Data!J19</f>
        <v>0</v>
      </c>
      <c r="D18" s="18">
        <f>Data!H19</f>
        <v>0</v>
      </c>
      <c r="E18" s="18">
        <f>Data!I19</f>
        <v>0</v>
      </c>
      <c r="F18" s="18" t="b">
        <f t="shared" si="0"/>
        <v>1</v>
      </c>
      <c r="G18" s="19" t="str">
        <f>Data!D19</f>
        <v>Entire Organization</v>
      </c>
    </row>
    <row r="19" spans="1:7" x14ac:dyDescent="0.4">
      <c r="A19" s="19" t="str">
        <f>Data!A20</f>
        <v>Truck  456</v>
      </c>
      <c r="B19" s="21">
        <f>Data!F20</f>
        <v>42095</v>
      </c>
      <c r="C19" s="18">
        <f>Data!J20</f>
        <v>0</v>
      </c>
      <c r="D19" s="18">
        <f>Data!H20</f>
        <v>0</v>
      </c>
      <c r="E19" s="18">
        <f>Data!I20</f>
        <v>0</v>
      </c>
      <c r="F19" s="18" t="b">
        <f t="shared" si="0"/>
        <v>1</v>
      </c>
      <c r="G19" s="19" t="str">
        <f>Data!D20</f>
        <v>Entire Organization</v>
      </c>
    </row>
    <row r="20" spans="1:7" x14ac:dyDescent="0.4">
      <c r="A20" s="19" t="str">
        <f>Data!A21</f>
        <v>Truck  3611252</v>
      </c>
      <c r="B20" s="21">
        <f>Data!F21</f>
        <v>42095</v>
      </c>
      <c r="C20" s="18">
        <f>Data!J21</f>
        <v>0</v>
      </c>
      <c r="D20" s="18">
        <f>Data!H21</f>
        <v>0</v>
      </c>
      <c r="E20" s="18">
        <f>Data!I21</f>
        <v>0</v>
      </c>
      <c r="F20" s="18" t="b">
        <f t="shared" si="0"/>
        <v>1</v>
      </c>
      <c r="G20" s="19" t="str">
        <f>Data!D21</f>
        <v>Entire Organization</v>
      </c>
    </row>
    <row r="21" spans="1:7" x14ac:dyDescent="0.4">
      <c r="A21" s="19" t="str">
        <f>Data!A22</f>
        <v>Truck</v>
      </c>
      <c r="B21" s="21">
        <f>Data!F22</f>
        <v>42095</v>
      </c>
      <c r="C21" s="18">
        <f>Data!J22</f>
        <v>0</v>
      </c>
      <c r="D21" s="18">
        <f>Data!H22</f>
        <v>0</v>
      </c>
      <c r="E21" s="18">
        <f>Data!I22</f>
        <v>0</v>
      </c>
      <c r="F21" s="18" t="b">
        <f t="shared" si="0"/>
        <v>1</v>
      </c>
      <c r="G21" s="19" t="str">
        <f>Data!D22</f>
        <v>Entire Organization</v>
      </c>
    </row>
    <row r="22" spans="1:7" x14ac:dyDescent="0.4">
      <c r="A22" s="19" t="str">
        <f>Data!A23</f>
        <v>Truck</v>
      </c>
      <c r="B22" s="21">
        <f>Data!F23</f>
        <v>42095</v>
      </c>
      <c r="C22" s="18">
        <f>Data!J23</f>
        <v>0</v>
      </c>
      <c r="D22" s="18">
        <f>Data!H23</f>
        <v>0</v>
      </c>
      <c r="E22" s="18">
        <f>Data!I23</f>
        <v>0</v>
      </c>
      <c r="F22" s="18" t="b">
        <f t="shared" si="0"/>
        <v>1</v>
      </c>
      <c r="G22" s="19" t="str">
        <f>Data!D23</f>
        <v>Region 1</v>
      </c>
    </row>
    <row r="23" spans="1:7" x14ac:dyDescent="0.4">
      <c r="A23" s="19" t="str">
        <f>Data!A24</f>
        <v>Truck</v>
      </c>
      <c r="B23" s="21">
        <f>Data!F24</f>
        <v>42095</v>
      </c>
      <c r="C23" s="18">
        <f>Data!J24</f>
        <v>0</v>
      </c>
      <c r="D23" s="18">
        <f>Data!H24</f>
        <v>0</v>
      </c>
      <c r="E23" s="18">
        <f>Data!I24</f>
        <v>0</v>
      </c>
      <c r="F23" s="18" t="b">
        <f t="shared" si="0"/>
        <v>1</v>
      </c>
      <c r="G23" s="19" t="str">
        <f>Data!D24</f>
        <v>Light Duty</v>
      </c>
    </row>
    <row r="24" spans="1:7" x14ac:dyDescent="0.4">
      <c r="A24" s="19" t="str">
        <f>Data!A25</f>
        <v>Truck</v>
      </c>
      <c r="B24" s="21">
        <f>Data!F25</f>
        <v>42095</v>
      </c>
      <c r="C24" s="18">
        <f>Data!J25</f>
        <v>0</v>
      </c>
      <c r="D24" s="18">
        <f>Data!H25</f>
        <v>0</v>
      </c>
      <c r="E24" s="18">
        <f>Data!I25</f>
        <v>0</v>
      </c>
      <c r="F24" s="18" t="b">
        <f t="shared" si="0"/>
        <v>1</v>
      </c>
      <c r="G24" s="19" t="str">
        <f>Data!D25</f>
        <v>Entire Organization</v>
      </c>
    </row>
    <row r="25" spans="1:7" x14ac:dyDescent="0.4">
      <c r="A25" s="19" t="str">
        <f>Data!A26</f>
        <v>Truck</v>
      </c>
      <c r="B25" s="21">
        <f>Data!F26</f>
        <v>42095</v>
      </c>
      <c r="C25" s="18">
        <f>Data!J26</f>
        <v>0</v>
      </c>
      <c r="D25" s="18">
        <f>Data!H26</f>
        <v>0</v>
      </c>
      <c r="E25" s="18">
        <f>Data!I26</f>
        <v>0</v>
      </c>
      <c r="F25" s="18" t="b">
        <f t="shared" si="0"/>
        <v>1</v>
      </c>
      <c r="G25" s="19" t="str">
        <f>Data!D26</f>
        <v>Entire Organization</v>
      </c>
    </row>
    <row r="26" spans="1:7" x14ac:dyDescent="0.4">
      <c r="A26" s="19" t="str">
        <f>Data!A27</f>
        <v>Truck</v>
      </c>
      <c r="B26" s="21">
        <f>Data!F27</f>
        <v>42095</v>
      </c>
      <c r="C26" s="18">
        <f>Data!J27</f>
        <v>0</v>
      </c>
      <c r="D26" s="18">
        <f>Data!H27</f>
        <v>1165.7432861328125</v>
      </c>
      <c r="E26" s="18">
        <f>Data!I27</f>
        <v>0</v>
      </c>
      <c r="F26" s="18" t="b">
        <f t="shared" si="0"/>
        <v>1</v>
      </c>
      <c r="G26" s="19" t="str">
        <f>Data!D27</f>
        <v>Entire Organization</v>
      </c>
    </row>
    <row r="27" spans="1:7" x14ac:dyDescent="0.4">
      <c r="A27" s="19" t="str">
        <f>Data!A28</f>
        <v>Truck</v>
      </c>
      <c r="B27" s="21">
        <f>Data!F28</f>
        <v>42095</v>
      </c>
      <c r="C27" s="18">
        <f>Data!J28</f>
        <v>0</v>
      </c>
      <c r="D27" s="18">
        <f>Data!H28</f>
        <v>0</v>
      </c>
      <c r="E27" s="18">
        <f>Data!I28</f>
        <v>0</v>
      </c>
      <c r="F27" s="18" t="b">
        <f t="shared" si="0"/>
        <v>1</v>
      </c>
      <c r="G27" s="19" t="str">
        <f>Data!D28</f>
        <v>Entire Organization</v>
      </c>
    </row>
    <row r="28" spans="1:7" x14ac:dyDescent="0.4">
      <c r="A28" s="19" t="str">
        <f>Data!A29</f>
        <v>Truck</v>
      </c>
      <c r="B28" s="21">
        <f>Data!F29</f>
        <v>42095</v>
      </c>
      <c r="C28" s="18">
        <f>Data!J29</f>
        <v>0</v>
      </c>
      <c r="D28" s="18">
        <f>Data!H29</f>
        <v>0</v>
      </c>
      <c r="E28" s="18">
        <f>Data!I29</f>
        <v>0</v>
      </c>
      <c r="F28" s="18" t="b">
        <f t="shared" si="0"/>
        <v>1</v>
      </c>
      <c r="G28" s="19" t="str">
        <f>Data!D29</f>
        <v>Entire Organization</v>
      </c>
    </row>
    <row r="29" spans="1:7" x14ac:dyDescent="0.4">
      <c r="A29" s="19" t="str">
        <f>Data!A30</f>
        <v>Truck</v>
      </c>
      <c r="B29" s="21">
        <f>Data!F30</f>
        <v>42095</v>
      </c>
      <c r="C29" s="18">
        <f>Data!J30</f>
        <v>0</v>
      </c>
      <c r="D29" s="18">
        <f>Data!H30</f>
        <v>0</v>
      </c>
      <c r="E29" s="18">
        <f>Data!I30</f>
        <v>0</v>
      </c>
      <c r="F29" s="18" t="b">
        <f t="shared" si="0"/>
        <v>1</v>
      </c>
      <c r="G29" s="19" t="str">
        <f>Data!D30</f>
        <v>Entire Organization</v>
      </c>
    </row>
    <row r="30" spans="1:7" x14ac:dyDescent="0.4">
      <c r="A30" s="19" t="str">
        <f>Data!A31</f>
        <v>Truck</v>
      </c>
      <c r="B30" s="21">
        <f>Data!F31</f>
        <v>42095</v>
      </c>
      <c r="C30" s="18">
        <f>Data!J31</f>
        <v>18.53443717956543</v>
      </c>
      <c r="D30" s="18">
        <f>Data!H31</f>
        <v>1661.393798828125</v>
      </c>
      <c r="E30" s="18">
        <f>Data!I31</f>
        <v>307.92999267578125</v>
      </c>
      <c r="F30" s="18" t="b">
        <f t="shared" si="0"/>
        <v>1</v>
      </c>
      <c r="G30" s="19" t="str">
        <f>Data!D31</f>
        <v>Entire Organization</v>
      </c>
    </row>
    <row r="31" spans="1:7" x14ac:dyDescent="0.4">
      <c r="A31" s="19" t="str">
        <f>Data!A32</f>
        <v>Truck</v>
      </c>
      <c r="B31" s="21">
        <f>Data!F32</f>
        <v>42095</v>
      </c>
      <c r="C31" s="18">
        <f>Data!J32</f>
        <v>11.019204139709473</v>
      </c>
      <c r="D31" s="18">
        <f>Data!H32</f>
        <v>1568.7159423828125</v>
      </c>
      <c r="E31" s="18">
        <f>Data!I32</f>
        <v>172.86001586914063</v>
      </c>
      <c r="F31" s="18" t="b">
        <f t="shared" si="0"/>
        <v>1</v>
      </c>
      <c r="G31" s="19" t="str">
        <f>Data!D32</f>
        <v>Region 1</v>
      </c>
    </row>
    <row r="32" spans="1:7" x14ac:dyDescent="0.4">
      <c r="A32" s="19" t="str">
        <f>Data!A33</f>
        <v>Truck</v>
      </c>
      <c r="B32" s="21">
        <f>Data!F33</f>
        <v>42125</v>
      </c>
      <c r="C32" s="18">
        <f>Data!J33</f>
        <v>0.4375348687171936</v>
      </c>
      <c r="D32" s="18">
        <f>Data!H33</f>
        <v>4219.64208984375</v>
      </c>
      <c r="E32" s="18">
        <f>Data!I33</f>
        <v>18.462406158447266</v>
      </c>
      <c r="F32" s="18" t="b">
        <f t="shared" si="0"/>
        <v>1</v>
      </c>
      <c r="G32" s="19" t="str">
        <f>Data!D33</f>
        <v>Entire Organization</v>
      </c>
    </row>
    <row r="33" spans="1:7" x14ac:dyDescent="0.4">
      <c r="A33" s="19" t="str">
        <f>Data!A34</f>
        <v>Truck</v>
      </c>
      <c r="B33" s="21">
        <f>Data!F34</f>
        <v>42125</v>
      </c>
      <c r="C33" s="18">
        <f>Data!J34</f>
        <v>0</v>
      </c>
      <c r="D33" s="18">
        <f>Data!H34</f>
        <v>0</v>
      </c>
      <c r="E33" s="18">
        <f>Data!I34</f>
        <v>0</v>
      </c>
      <c r="F33" s="18" t="b">
        <f t="shared" si="0"/>
        <v>1</v>
      </c>
      <c r="G33" s="19" t="str">
        <f>Data!D34</f>
        <v>Entire Organization</v>
      </c>
    </row>
    <row r="34" spans="1:7" x14ac:dyDescent="0.4">
      <c r="A34" s="19" t="str">
        <f>Data!A35</f>
        <v>Truck</v>
      </c>
      <c r="B34" s="21">
        <f>Data!F35</f>
        <v>42125</v>
      </c>
      <c r="C34" s="18">
        <f>Data!J35</f>
        <v>0</v>
      </c>
      <c r="D34" s="18">
        <f>Data!H35</f>
        <v>0</v>
      </c>
      <c r="E34" s="18">
        <f>Data!I35</f>
        <v>0</v>
      </c>
      <c r="F34" s="18" t="b">
        <f t="shared" si="0"/>
        <v>1</v>
      </c>
      <c r="G34" s="19" t="str">
        <f>Data!D35</f>
        <v>Entire Organization</v>
      </c>
    </row>
    <row r="35" spans="1:7" x14ac:dyDescent="0.4">
      <c r="A35" s="19" t="str">
        <f>Data!A36</f>
        <v>Truck</v>
      </c>
      <c r="B35" s="21">
        <f>Data!F36</f>
        <v>42125</v>
      </c>
      <c r="C35" s="18">
        <f>Data!J36</f>
        <v>0</v>
      </c>
      <c r="D35" s="18">
        <f>Data!H36</f>
        <v>0</v>
      </c>
      <c r="E35" s="18">
        <f>Data!I36</f>
        <v>0</v>
      </c>
      <c r="F35" s="18" t="b">
        <f t="shared" si="0"/>
        <v>1</v>
      </c>
      <c r="G35" s="19" t="str">
        <f>Data!D36</f>
        <v>Entire Organization</v>
      </c>
    </row>
    <row r="36" spans="1:7" x14ac:dyDescent="0.4">
      <c r="A36" s="19" t="str">
        <f>Data!A37</f>
        <v>Truck</v>
      </c>
      <c r="B36" s="21">
        <f>Data!F37</f>
        <v>42125</v>
      </c>
      <c r="C36" s="18">
        <f>Data!J37</f>
        <v>0</v>
      </c>
      <c r="D36" s="18">
        <f>Data!H37</f>
        <v>0</v>
      </c>
      <c r="E36" s="18">
        <f>Data!I37</f>
        <v>0</v>
      </c>
      <c r="F36" s="18" t="b">
        <f t="shared" si="0"/>
        <v>1</v>
      </c>
      <c r="G36" s="19" t="str">
        <f>Data!D37</f>
        <v>Region 2, On Duty, Light Duty</v>
      </c>
    </row>
    <row r="37" spans="1:7" x14ac:dyDescent="0.4">
      <c r="A37" s="19" t="str">
        <f>Data!A38</f>
        <v>Truck</v>
      </c>
      <c r="B37" s="21">
        <f>Data!F38</f>
        <v>42125</v>
      </c>
      <c r="C37" s="18">
        <f>Data!J38</f>
        <v>0</v>
      </c>
      <c r="D37" s="18">
        <f>Data!H38</f>
        <v>0</v>
      </c>
      <c r="E37" s="18">
        <f>Data!I38</f>
        <v>0</v>
      </c>
      <c r="F37" s="18" t="b">
        <f t="shared" si="0"/>
        <v>1</v>
      </c>
      <c r="G37" s="19" t="str">
        <f>Data!D38</f>
        <v>Light Duty</v>
      </c>
    </row>
    <row r="38" spans="1:7" x14ac:dyDescent="0.4">
      <c r="A38" s="19" t="str">
        <f>Data!A39</f>
        <v>Truck</v>
      </c>
      <c r="B38" s="21">
        <f>Data!F39</f>
        <v>42125</v>
      </c>
      <c r="C38" s="18">
        <f>Data!J39</f>
        <v>0</v>
      </c>
      <c r="D38" s="18">
        <f>Data!H39</f>
        <v>0</v>
      </c>
      <c r="E38" s="18">
        <f>Data!I39</f>
        <v>0</v>
      </c>
      <c r="F38" s="18" t="b">
        <f t="shared" si="0"/>
        <v>1</v>
      </c>
      <c r="G38" s="19" t="str">
        <f>Data!D39</f>
        <v>Entire Organization</v>
      </c>
    </row>
    <row r="39" spans="1:7" x14ac:dyDescent="0.4">
      <c r="A39" s="19" t="str">
        <f>Data!A40</f>
        <v>Truck</v>
      </c>
      <c r="B39" s="21">
        <f>Data!F40</f>
        <v>42125</v>
      </c>
      <c r="C39" s="18">
        <f>Data!J40</f>
        <v>8.3898696899414063</v>
      </c>
      <c r="D39" s="18">
        <f>Data!H40</f>
        <v>1250.07958984375</v>
      </c>
      <c r="E39" s="18">
        <f>Data!I40</f>
        <v>104.88005065917969</v>
      </c>
      <c r="F39" s="18" t="b">
        <f t="shared" si="0"/>
        <v>1</v>
      </c>
      <c r="G39" s="19" t="str">
        <f>Data!D40</f>
        <v>JM Test</v>
      </c>
    </row>
    <row r="40" spans="1:7" x14ac:dyDescent="0.4">
      <c r="A40" s="19" t="str">
        <f>Data!A41</f>
        <v>Truck</v>
      </c>
      <c r="B40" s="21">
        <f>Data!F41</f>
        <v>42125</v>
      </c>
      <c r="C40" s="18">
        <f>Data!J41</f>
        <v>0</v>
      </c>
      <c r="D40" s="18">
        <f>Data!H41</f>
        <v>0</v>
      </c>
      <c r="E40" s="18">
        <f>Data!I41</f>
        <v>0</v>
      </c>
      <c r="F40" s="18" t="b">
        <f t="shared" si="0"/>
        <v>1</v>
      </c>
      <c r="G40" s="19" t="str">
        <f>Data!D41</f>
        <v>Entire Organization</v>
      </c>
    </row>
    <row r="41" spans="1:7" x14ac:dyDescent="0.4">
      <c r="A41" s="19" t="str">
        <f>Data!A42</f>
        <v>Truck</v>
      </c>
      <c r="B41" s="21">
        <f>Data!F42</f>
        <v>42125</v>
      </c>
      <c r="C41" s="18">
        <f>Data!J42</f>
        <v>0</v>
      </c>
      <c r="D41" s="18">
        <f>Data!H42</f>
        <v>0</v>
      </c>
      <c r="E41" s="18">
        <f>Data!I42</f>
        <v>0</v>
      </c>
      <c r="F41" s="18" t="b">
        <f t="shared" si="0"/>
        <v>1</v>
      </c>
      <c r="G41" s="19" t="str">
        <f>Data!D42</f>
        <v>Entire Organization</v>
      </c>
    </row>
    <row r="42" spans="1:7" x14ac:dyDescent="0.4">
      <c r="A42" s="19" t="str">
        <f>Data!A43</f>
        <v>Truck</v>
      </c>
      <c r="B42" s="21">
        <f>Data!F43</f>
        <v>42125</v>
      </c>
      <c r="C42" s="18">
        <f>Data!J43</f>
        <v>0</v>
      </c>
      <c r="D42" s="18">
        <f>Data!H43</f>
        <v>0</v>
      </c>
      <c r="E42" s="18">
        <f>Data!I43</f>
        <v>0</v>
      </c>
      <c r="F42" s="18" t="b">
        <f t="shared" ref="F42:F73" si="1">IF(E42&lt;0,FALSE,TRUE)</f>
        <v>1</v>
      </c>
      <c r="G42" s="19" t="str">
        <f>Data!D43</f>
        <v>Entire Organization</v>
      </c>
    </row>
    <row r="43" spans="1:7" x14ac:dyDescent="0.4">
      <c r="A43" s="19" t="str">
        <f>Data!A44</f>
        <v>Truck</v>
      </c>
      <c r="B43" s="21">
        <f>Data!F44</f>
        <v>42125</v>
      </c>
      <c r="C43" s="18">
        <f>Data!J44</f>
        <v>0</v>
      </c>
      <c r="D43" s="18">
        <f>Data!H44</f>
        <v>0</v>
      </c>
      <c r="E43" s="18">
        <f>Data!I44</f>
        <v>0</v>
      </c>
      <c r="F43" s="18" t="b">
        <f t="shared" si="1"/>
        <v>1</v>
      </c>
      <c r="G43" s="19" t="str">
        <f>Data!D44</f>
        <v>Entire Organization</v>
      </c>
    </row>
    <row r="44" spans="1:7" x14ac:dyDescent="0.4">
      <c r="A44" s="19" t="str">
        <f>Data!A45</f>
        <v>Truck</v>
      </c>
      <c r="B44" s="21">
        <f>Data!F45</f>
        <v>42125</v>
      </c>
      <c r="C44" s="18">
        <f>Data!J45</f>
        <v>0</v>
      </c>
      <c r="D44" s="18">
        <f>Data!H45</f>
        <v>0</v>
      </c>
      <c r="E44" s="18">
        <f>Data!I45</f>
        <v>0</v>
      </c>
      <c r="F44" s="18" t="b">
        <f t="shared" si="1"/>
        <v>1</v>
      </c>
      <c r="G44" s="19" t="str">
        <f>Data!D45</f>
        <v>Region 1</v>
      </c>
    </row>
    <row r="45" spans="1:7" x14ac:dyDescent="0.4">
      <c r="A45" s="19" t="str">
        <f>Data!A46</f>
        <v>Truck</v>
      </c>
      <c r="B45" s="21">
        <f>Data!F46</f>
        <v>42125</v>
      </c>
      <c r="C45" s="18">
        <f>Data!J46</f>
        <v>0</v>
      </c>
      <c r="D45" s="18">
        <f>Data!H46</f>
        <v>0</v>
      </c>
      <c r="E45" s="18">
        <f>Data!I46</f>
        <v>0</v>
      </c>
      <c r="F45" s="18" t="b">
        <f t="shared" si="1"/>
        <v>1</v>
      </c>
      <c r="G45" s="19" t="str">
        <f>Data!D46</f>
        <v>Light Duty</v>
      </c>
    </row>
    <row r="46" spans="1:7" x14ac:dyDescent="0.4">
      <c r="A46" s="19" t="str">
        <f>Data!A47</f>
        <v>Truck</v>
      </c>
      <c r="B46" s="21">
        <f>Data!F47</f>
        <v>42125</v>
      </c>
      <c r="C46" s="18">
        <f>Data!J47</f>
        <v>0</v>
      </c>
      <c r="D46" s="18">
        <f>Data!H47</f>
        <v>0</v>
      </c>
      <c r="E46" s="18">
        <f>Data!I47</f>
        <v>0</v>
      </c>
      <c r="F46" s="18" t="b">
        <f t="shared" si="1"/>
        <v>1</v>
      </c>
      <c r="G46" s="19" t="str">
        <f>Data!D47</f>
        <v>Entire Organization</v>
      </c>
    </row>
    <row r="47" spans="1:7" x14ac:dyDescent="0.4">
      <c r="A47" s="19" t="str">
        <f>Data!A48</f>
        <v>Truck</v>
      </c>
      <c r="B47" s="21">
        <f>Data!F48</f>
        <v>42125</v>
      </c>
      <c r="C47" s="18">
        <f>Data!J48</f>
        <v>0</v>
      </c>
      <c r="D47" s="18">
        <f>Data!H48</f>
        <v>0</v>
      </c>
      <c r="E47" s="18">
        <f>Data!I48</f>
        <v>0</v>
      </c>
      <c r="F47" s="18" t="b">
        <f t="shared" si="1"/>
        <v>1</v>
      </c>
      <c r="G47" s="19" t="str">
        <f>Data!D48</f>
        <v>Entire Organization</v>
      </c>
    </row>
    <row r="48" spans="1:7" x14ac:dyDescent="0.4">
      <c r="A48" s="19" t="str">
        <f>Data!A49</f>
        <v>Truck 556</v>
      </c>
      <c r="B48" s="21">
        <f>Data!F49</f>
        <v>42125</v>
      </c>
      <c r="C48" s="18">
        <f>Data!J49</f>
        <v>0</v>
      </c>
      <c r="D48" s="18">
        <f>Data!H49</f>
        <v>3873.28662109375</v>
      </c>
      <c r="E48" s="18">
        <f>Data!I49</f>
        <v>0</v>
      </c>
      <c r="F48" s="18" t="b">
        <f t="shared" si="1"/>
        <v>1</v>
      </c>
      <c r="G48" s="19" t="str">
        <f>Data!D49</f>
        <v>Entire Organization</v>
      </c>
    </row>
    <row r="49" spans="1:7" x14ac:dyDescent="0.4">
      <c r="A49" s="19" t="str">
        <f>Data!A50</f>
        <v>Truck 333</v>
      </c>
      <c r="B49" s="21">
        <f>Data!F50</f>
        <v>42125</v>
      </c>
      <c r="C49" s="18">
        <f>Data!J50</f>
        <v>0</v>
      </c>
      <c r="D49" s="18">
        <f>Data!H50</f>
        <v>0</v>
      </c>
      <c r="E49" s="18">
        <f>Data!I50</f>
        <v>0</v>
      </c>
      <c r="F49" s="18" t="b">
        <f t="shared" si="1"/>
        <v>1</v>
      </c>
      <c r="G49" s="19" t="str">
        <f>Data!D50</f>
        <v>Entire Organization</v>
      </c>
    </row>
    <row r="50" spans="1:7" x14ac:dyDescent="0.4">
      <c r="A50" s="19" t="str">
        <f>Data!A51</f>
        <v>Truck 365</v>
      </c>
      <c r="B50" s="21">
        <f>Data!F51</f>
        <v>42125</v>
      </c>
      <c r="C50" s="18">
        <f>Data!J51</f>
        <v>0</v>
      </c>
      <c r="D50" s="18">
        <f>Data!H51</f>
        <v>0</v>
      </c>
      <c r="E50" s="18">
        <f>Data!I51</f>
        <v>0</v>
      </c>
      <c r="F50" s="18" t="b">
        <f t="shared" si="1"/>
        <v>1</v>
      </c>
      <c r="G50" s="19" t="str">
        <f>Data!D51</f>
        <v>Entire Organization</v>
      </c>
    </row>
    <row r="51" spans="1:7" x14ac:dyDescent="0.4">
      <c r="A51" s="19" t="str">
        <f>Data!A52</f>
        <v>Truck 236</v>
      </c>
      <c r="B51" s="21">
        <f>Data!F52</f>
        <v>42125</v>
      </c>
      <c r="C51" s="18">
        <f>Data!J52</f>
        <v>0</v>
      </c>
      <c r="D51" s="18">
        <f>Data!H52</f>
        <v>0</v>
      </c>
      <c r="E51" s="18">
        <f>Data!I52</f>
        <v>0</v>
      </c>
      <c r="F51" s="18" t="b">
        <f t="shared" si="1"/>
        <v>1</v>
      </c>
      <c r="G51" s="19" t="str">
        <f>Data!D52</f>
        <v>Entire Organization</v>
      </c>
    </row>
    <row r="52" spans="1:7" x14ac:dyDescent="0.4">
      <c r="A52" s="19" t="str">
        <f>Data!A53</f>
        <v>Truck 167</v>
      </c>
      <c r="B52" s="21">
        <f>Data!F53</f>
        <v>42125</v>
      </c>
      <c r="C52" s="18">
        <f>Data!J53</f>
        <v>26.534425735473633</v>
      </c>
      <c r="D52" s="18">
        <f>Data!H53</f>
        <v>1750.406005859375</v>
      </c>
      <c r="E52" s="18">
        <f>Data!I53</f>
        <v>464.46017456054688</v>
      </c>
      <c r="F52" s="18" t="b">
        <f t="shared" si="1"/>
        <v>1</v>
      </c>
      <c r="G52" s="19" t="str">
        <f>Data!D53</f>
        <v>Entire Organization</v>
      </c>
    </row>
    <row r="53" spans="1:7" x14ac:dyDescent="0.4">
      <c r="A53" s="19" t="str">
        <f>Data!A54</f>
        <v xml:space="preserve">Truck 357 </v>
      </c>
      <c r="B53" s="21">
        <f>Data!F54</f>
        <v>42125</v>
      </c>
      <c r="C53" s="18">
        <f>Data!J54</f>
        <v>10.840303421020508</v>
      </c>
      <c r="D53" s="18">
        <f>Data!H54</f>
        <v>1438.3360595703125</v>
      </c>
      <c r="E53" s="18">
        <f>Data!I54</f>
        <v>155.91999816894531</v>
      </c>
      <c r="F53" s="18" t="b">
        <f t="shared" si="1"/>
        <v>1</v>
      </c>
      <c r="G53" s="19" t="str">
        <f>Data!D54</f>
        <v>Region 1</v>
      </c>
    </row>
    <row r="54" spans="1:7" x14ac:dyDescent="0.4">
      <c r="A54" s="19" t="str">
        <f>Data!A55</f>
        <v>Truck 753</v>
      </c>
      <c r="B54" s="21">
        <f>Data!F55</f>
        <v>42156</v>
      </c>
      <c r="C54" s="18">
        <f>Data!J55</f>
        <v>0</v>
      </c>
      <c r="D54" s="18">
        <f>Data!H55</f>
        <v>303.19061279296875</v>
      </c>
      <c r="E54" s="18">
        <f>Data!I55</f>
        <v>0</v>
      </c>
      <c r="F54" s="18" t="b">
        <f t="shared" si="1"/>
        <v>1</v>
      </c>
      <c r="G54" s="19" t="str">
        <f>Data!D55</f>
        <v>Entire Organization</v>
      </c>
    </row>
    <row r="55" spans="1:7" x14ac:dyDescent="0.4">
      <c r="A55" s="19" t="str">
        <f>Data!A56</f>
        <v>Truck 159</v>
      </c>
      <c r="B55" s="21">
        <f>Data!F56</f>
        <v>42156</v>
      </c>
      <c r="C55" s="18">
        <f>Data!J56</f>
        <v>0</v>
      </c>
      <c r="D55" s="18">
        <f>Data!H56</f>
        <v>0</v>
      </c>
      <c r="E55" s="18">
        <f>Data!I56</f>
        <v>0</v>
      </c>
      <c r="F55" s="18" t="b">
        <f t="shared" si="1"/>
        <v>1</v>
      </c>
      <c r="G55" s="19" t="str">
        <f>Data!D56</f>
        <v>Entire Organization</v>
      </c>
    </row>
    <row r="56" spans="1:7" x14ac:dyDescent="0.4">
      <c r="A56" s="19" t="str">
        <f>Data!A57</f>
        <v>Truck 951</v>
      </c>
      <c r="B56" s="21">
        <f>Data!F57</f>
        <v>42156</v>
      </c>
      <c r="C56" s="18">
        <f>Data!J57</f>
        <v>0.19643758237361908</v>
      </c>
      <c r="D56" s="18">
        <f>Data!H57</f>
        <v>280.43194580078125</v>
      </c>
      <c r="E56" s="18">
        <f>Data!I57</f>
        <v>0.55087375640869141</v>
      </c>
      <c r="F56" s="18" t="b">
        <f t="shared" si="1"/>
        <v>1</v>
      </c>
      <c r="G56" s="19" t="str">
        <f>Data!D57</f>
        <v>Entire Organization</v>
      </c>
    </row>
    <row r="57" spans="1:7" x14ac:dyDescent="0.4">
      <c r="A57" s="19" t="str">
        <f>Data!A58</f>
        <v>Truck 369</v>
      </c>
      <c r="B57" s="21">
        <f>Data!F58</f>
        <v>42156</v>
      </c>
      <c r="C57" s="18">
        <f>Data!J58</f>
        <v>0</v>
      </c>
      <c r="D57" s="18">
        <f>Data!H58</f>
        <v>0</v>
      </c>
      <c r="E57" s="18">
        <f>Data!I58</f>
        <v>0</v>
      </c>
      <c r="F57" s="18" t="b">
        <f t="shared" si="1"/>
        <v>1</v>
      </c>
      <c r="G57" s="19" t="str">
        <f>Data!D58</f>
        <v>Entire Organization</v>
      </c>
    </row>
    <row r="58" spans="1:7" x14ac:dyDescent="0.4">
      <c r="A58" s="19" t="str">
        <f>Data!A59</f>
        <v>Truck  6565</v>
      </c>
      <c r="B58" s="21">
        <f>Data!F59</f>
        <v>42156</v>
      </c>
      <c r="C58" s="18">
        <f>Data!J59</f>
        <v>0</v>
      </c>
      <c r="D58" s="18">
        <f>Data!H59</f>
        <v>0</v>
      </c>
      <c r="E58" s="18">
        <f>Data!I59</f>
        <v>0</v>
      </c>
      <c r="F58" s="18" t="b">
        <f t="shared" si="1"/>
        <v>1</v>
      </c>
      <c r="G58" s="19" t="str">
        <f>Data!D59</f>
        <v>Region 2, On Duty, Light Duty</v>
      </c>
    </row>
    <row r="59" spans="1:7" x14ac:dyDescent="0.4">
      <c r="A59" s="19" t="str">
        <f>Data!A60</f>
        <v>Truck 369</v>
      </c>
      <c r="B59" s="21">
        <f>Data!F60</f>
        <v>42156</v>
      </c>
      <c r="C59" s="18">
        <f>Data!J60</f>
        <v>0</v>
      </c>
      <c r="D59" s="18">
        <f>Data!H60</f>
        <v>0</v>
      </c>
      <c r="E59" s="18">
        <f>Data!I60</f>
        <v>0</v>
      </c>
      <c r="F59" s="18" t="b">
        <f t="shared" si="1"/>
        <v>1</v>
      </c>
      <c r="G59" s="19" t="str">
        <f>Data!D60</f>
        <v>Light Duty</v>
      </c>
    </row>
    <row r="60" spans="1:7" x14ac:dyDescent="0.4">
      <c r="A60" s="19" t="str">
        <f>Data!A61</f>
        <v>Truck  693</v>
      </c>
      <c r="B60" s="21">
        <f>Data!F61</f>
        <v>42156</v>
      </c>
      <c r="C60" s="18">
        <f>Data!J61</f>
        <v>0</v>
      </c>
      <c r="D60" s="18">
        <f>Data!H61</f>
        <v>0</v>
      </c>
      <c r="E60" s="18">
        <f>Data!I61</f>
        <v>0</v>
      </c>
      <c r="F60" s="18" t="b">
        <f t="shared" si="1"/>
        <v>1</v>
      </c>
      <c r="G60" s="19" t="str">
        <f>Data!D61</f>
        <v>Entire Organization</v>
      </c>
    </row>
    <row r="61" spans="1:7" x14ac:dyDescent="0.4">
      <c r="A61" s="19" t="str">
        <f>Data!A62</f>
        <v>Truck  789</v>
      </c>
      <c r="B61" s="21">
        <f>Data!F62</f>
        <v>42156</v>
      </c>
      <c r="C61" s="18">
        <f>Data!J62</f>
        <v>8.1814908981323242</v>
      </c>
      <c r="D61" s="18">
        <f>Data!H62</f>
        <v>3157.493896484375</v>
      </c>
      <c r="E61" s="18">
        <f>Data!I62</f>
        <v>258.330078125</v>
      </c>
      <c r="F61" s="18" t="b">
        <f t="shared" si="1"/>
        <v>1</v>
      </c>
      <c r="G61" s="19" t="str">
        <f>Data!D62</f>
        <v>JM Test</v>
      </c>
    </row>
    <row r="62" spans="1:7" x14ac:dyDescent="0.4">
      <c r="A62" s="19" t="str">
        <f>Data!A63</f>
        <v>Truck 368</v>
      </c>
      <c r="B62" s="21">
        <f>Data!F63</f>
        <v>42156</v>
      </c>
      <c r="C62" s="18">
        <f>Data!J63</f>
        <v>0</v>
      </c>
      <c r="D62" s="18">
        <f>Data!H63</f>
        <v>0</v>
      </c>
      <c r="E62" s="18">
        <f>Data!I63</f>
        <v>0</v>
      </c>
      <c r="F62" s="18" t="b">
        <f t="shared" si="1"/>
        <v>1</v>
      </c>
      <c r="G62" s="19" t="str">
        <f>Data!D63</f>
        <v>Entire Organization</v>
      </c>
    </row>
    <row r="63" spans="1:7" x14ac:dyDescent="0.4">
      <c r="A63" s="19" t="str">
        <f>Data!A64</f>
        <v>Truck 1112</v>
      </c>
      <c r="B63" s="21">
        <f>Data!F64</f>
        <v>42156</v>
      </c>
      <c r="C63" s="18">
        <f>Data!J64</f>
        <v>0</v>
      </c>
      <c r="D63" s="18">
        <f>Data!H64</f>
        <v>0</v>
      </c>
      <c r="E63" s="18">
        <f>Data!I64</f>
        <v>0</v>
      </c>
      <c r="F63" s="18" t="b">
        <f t="shared" si="1"/>
        <v>1</v>
      </c>
      <c r="G63" s="19" t="str">
        <f>Data!D64</f>
        <v>Entire Organization</v>
      </c>
    </row>
    <row r="64" spans="1:7" x14ac:dyDescent="0.4">
      <c r="A64" s="19" t="str">
        <f>Data!A65</f>
        <v>Truck 235</v>
      </c>
      <c r="B64" s="21">
        <f>Data!F65</f>
        <v>42156</v>
      </c>
      <c r="C64" s="18">
        <f>Data!J65</f>
        <v>0</v>
      </c>
      <c r="D64" s="18">
        <f>Data!H65</f>
        <v>0</v>
      </c>
      <c r="E64" s="18">
        <f>Data!I65</f>
        <v>0</v>
      </c>
      <c r="F64" s="18" t="b">
        <f t="shared" si="1"/>
        <v>1</v>
      </c>
      <c r="G64" s="19" t="str">
        <f>Data!D65</f>
        <v>Entire Organization</v>
      </c>
    </row>
    <row r="65" spans="1:7" x14ac:dyDescent="0.4">
      <c r="A65" s="19" t="str">
        <f>Data!A66</f>
        <v>Truck 336</v>
      </c>
      <c r="B65" s="21">
        <f>Data!F66</f>
        <v>42156</v>
      </c>
      <c r="C65" s="18">
        <f>Data!J66</f>
        <v>0</v>
      </c>
      <c r="D65" s="18">
        <f>Data!H66</f>
        <v>0</v>
      </c>
      <c r="E65" s="18">
        <f>Data!I66</f>
        <v>0</v>
      </c>
      <c r="F65" s="18" t="b">
        <f t="shared" si="1"/>
        <v>1</v>
      </c>
      <c r="G65" s="19" t="str">
        <f>Data!D66</f>
        <v>Entire Organization</v>
      </c>
    </row>
    <row r="66" spans="1:7" x14ac:dyDescent="0.4">
      <c r="A66" s="19" t="str">
        <f>Data!A67</f>
        <v>Truck 996</v>
      </c>
      <c r="B66" s="21">
        <f>Data!F67</f>
        <v>42156</v>
      </c>
      <c r="C66" s="18">
        <f>Data!J67</f>
        <v>0</v>
      </c>
      <c r="D66" s="18">
        <f>Data!H67</f>
        <v>0</v>
      </c>
      <c r="E66" s="18">
        <f>Data!I67</f>
        <v>0</v>
      </c>
      <c r="F66" s="18" t="b">
        <f t="shared" si="1"/>
        <v>1</v>
      </c>
      <c r="G66" s="19" t="str">
        <f>Data!D67</f>
        <v>Region 1</v>
      </c>
    </row>
    <row r="67" spans="1:7" x14ac:dyDescent="0.4">
      <c r="A67" s="19" t="str">
        <f>Data!A68</f>
        <v>Truck 789</v>
      </c>
      <c r="B67" s="21">
        <f>Data!F68</f>
        <v>42156</v>
      </c>
      <c r="C67" s="18">
        <f>Data!J68</f>
        <v>0</v>
      </c>
      <c r="D67" s="18">
        <f>Data!H68</f>
        <v>0</v>
      </c>
      <c r="E67" s="18">
        <f>Data!I68</f>
        <v>0</v>
      </c>
      <c r="F67" s="18" t="b">
        <f t="shared" si="1"/>
        <v>1</v>
      </c>
      <c r="G67" s="19" t="str">
        <f>Data!D68</f>
        <v>Light Duty</v>
      </c>
    </row>
    <row r="68" spans="1:7" x14ac:dyDescent="0.4">
      <c r="A68" s="19" t="str">
        <f>Data!A69</f>
        <v>Truck 963</v>
      </c>
      <c r="B68" s="21">
        <f>Data!F69</f>
        <v>42156</v>
      </c>
      <c r="C68" s="18">
        <f>Data!J69</f>
        <v>0</v>
      </c>
      <c r="D68" s="18">
        <f>Data!H69</f>
        <v>0</v>
      </c>
      <c r="E68" s="18">
        <f>Data!I69</f>
        <v>0</v>
      </c>
      <c r="F68" s="18" t="b">
        <f t="shared" si="1"/>
        <v>1</v>
      </c>
      <c r="G68" s="19" t="str">
        <f>Data!D69</f>
        <v>Entire Organization</v>
      </c>
    </row>
    <row r="69" spans="1:7" x14ac:dyDescent="0.4">
      <c r="A69" s="19" t="str">
        <f>Data!A70</f>
        <v>Truck 789</v>
      </c>
      <c r="B69" s="21">
        <f>Data!F70</f>
        <v>42156</v>
      </c>
      <c r="C69" s="18">
        <f>Data!J70</f>
        <v>0</v>
      </c>
      <c r="D69" s="18">
        <f>Data!H70</f>
        <v>0</v>
      </c>
      <c r="E69" s="18">
        <f>Data!I70</f>
        <v>0</v>
      </c>
      <c r="F69" s="18" t="b">
        <f t="shared" si="1"/>
        <v>1</v>
      </c>
      <c r="G69" s="19" t="str">
        <f>Data!D70</f>
        <v>Entire Organization</v>
      </c>
    </row>
    <row r="70" spans="1:7" x14ac:dyDescent="0.4">
      <c r="A70" s="19" t="str">
        <f>Data!A71</f>
        <v>Truck 798</v>
      </c>
      <c r="B70" s="21">
        <f>Data!F71</f>
        <v>42156</v>
      </c>
      <c r="C70" s="18">
        <f>Data!J71</f>
        <v>0</v>
      </c>
      <c r="D70" s="18">
        <f>Data!H71</f>
        <v>3089.135498046875</v>
      </c>
      <c r="E70" s="18">
        <f>Data!I71</f>
        <v>0</v>
      </c>
      <c r="F70" s="18" t="b">
        <f t="shared" si="1"/>
        <v>1</v>
      </c>
      <c r="G70" s="19" t="str">
        <f>Data!D71</f>
        <v>Entire Organization</v>
      </c>
    </row>
    <row r="71" spans="1:7" x14ac:dyDescent="0.4">
      <c r="A71" s="19" t="str">
        <f>Data!A72</f>
        <v>Truck 98</v>
      </c>
      <c r="B71" s="21">
        <f>Data!F72</f>
        <v>42156</v>
      </c>
      <c r="C71" s="18">
        <f>Data!J72</f>
        <v>0</v>
      </c>
      <c r="D71" s="18">
        <f>Data!H72</f>
        <v>0</v>
      </c>
      <c r="E71" s="18">
        <f>Data!I72</f>
        <v>0</v>
      </c>
      <c r="F71" s="18" t="b">
        <f t="shared" si="1"/>
        <v>1</v>
      </c>
      <c r="G71" s="19" t="str">
        <f>Data!D72</f>
        <v>Entire Organization</v>
      </c>
    </row>
    <row r="72" spans="1:7" x14ac:dyDescent="0.4">
      <c r="A72" s="19" t="str">
        <f>Data!A73</f>
        <v>Truck 565</v>
      </c>
      <c r="B72" s="21">
        <f>Data!F73</f>
        <v>42156</v>
      </c>
      <c r="C72" s="18">
        <f>Data!J73</f>
        <v>0</v>
      </c>
      <c r="D72" s="18">
        <f>Data!H73</f>
        <v>0</v>
      </c>
      <c r="E72" s="18">
        <f>Data!I73</f>
        <v>0</v>
      </c>
      <c r="F72" s="18" t="b">
        <f t="shared" si="1"/>
        <v>1</v>
      </c>
      <c r="G72" s="19" t="str">
        <f>Data!D73</f>
        <v>Entire Organization</v>
      </c>
    </row>
    <row r="73" spans="1:7" x14ac:dyDescent="0.4">
      <c r="A73" s="19" t="str">
        <f>Data!A74</f>
        <v>Truck 464</v>
      </c>
      <c r="B73" s="21">
        <f>Data!F74</f>
        <v>42156</v>
      </c>
      <c r="C73" s="18">
        <f>Data!J74</f>
        <v>0</v>
      </c>
      <c r="D73" s="18">
        <f>Data!H74</f>
        <v>0</v>
      </c>
      <c r="E73" s="18">
        <f>Data!I74</f>
        <v>0</v>
      </c>
      <c r="F73" s="18" t="b">
        <f t="shared" si="1"/>
        <v>1</v>
      </c>
      <c r="G73" s="19" t="str">
        <f>Data!D74</f>
        <v>Entire Organization</v>
      </c>
    </row>
    <row r="74" spans="1:7" x14ac:dyDescent="0.4">
      <c r="A74" s="19" t="str">
        <f>Data!A75</f>
        <v>Truck 4564</v>
      </c>
      <c r="B74" s="21">
        <f>Data!F75</f>
        <v>42156</v>
      </c>
      <c r="C74" s="18">
        <f>Data!J75</f>
        <v>28.863632202148438</v>
      </c>
      <c r="D74" s="18">
        <f>Data!H75</f>
        <v>1692.0941162109375</v>
      </c>
      <c r="E74" s="18">
        <f>Data!I75</f>
        <v>488.39984130859375</v>
      </c>
      <c r="F74" s="18" t="b">
        <f>IF(E74&lt;0,FALSE,TRUE)</f>
        <v>1</v>
      </c>
      <c r="G74" s="19" t="str">
        <f>Data!D75</f>
        <v>Entire Organization</v>
      </c>
    </row>
    <row r="75" spans="1:7" x14ac:dyDescent="0.4">
      <c r="A75" s="19" t="str">
        <f>Data!A76</f>
        <v>Truck 323</v>
      </c>
      <c r="B75" s="21">
        <f>Data!F76</f>
        <v>42156</v>
      </c>
      <c r="C75" s="18">
        <f>Data!J76</f>
        <v>11.991253852844238</v>
      </c>
      <c r="D75" s="18">
        <f>Data!H76</f>
        <v>971.87554931640625</v>
      </c>
      <c r="E75" s="18">
        <f>Data!I76</f>
        <v>116.54006958007813</v>
      </c>
      <c r="F75" s="18" t="b">
        <f>IF(E75&lt;0,FALSE,TRUE)</f>
        <v>1</v>
      </c>
      <c r="G75" s="19" t="str">
        <f>Data!D76</f>
        <v>Region 1</v>
      </c>
    </row>
  </sheetData>
  <conditionalFormatting sqref="D8:D65536">
    <cfRule type="colorScale" priority="6">
      <colorScale>
        <cfvo type="min"/>
        <cfvo type="max"/>
        <color rgb="FFFCFCFF"/>
        <color theme="5"/>
      </colorScale>
    </cfRule>
  </conditionalFormatting>
  <conditionalFormatting sqref="E8:F65536">
    <cfRule type="colorScale" priority="5">
      <colorScale>
        <cfvo type="min"/>
        <cfvo type="max"/>
        <color rgb="FFFCFCFF"/>
        <color theme="0" tint="-0.34998626667073579"/>
      </colorScale>
    </cfRule>
  </conditionalFormatting>
  <conditionalFormatting sqref="C1:C1048576">
    <cfRule type="cellIs" dxfId="8" priority="3" stopIfTrue="1" operator="lessThanOrEqual">
      <formula>0</formula>
    </cfRule>
  </conditionalFormatting>
  <conditionalFormatting sqref="D1:D1048576">
    <cfRule type="cellIs" dxfId="7" priority="2" stopIfTrue="1" operator="lessThanOrEqual">
      <formula>0</formula>
    </cfRule>
  </conditionalFormatting>
  <conditionalFormatting sqref="E1:F1048576">
    <cfRule type="cellIs" dxfId="6" priority="1" stopIfTrue="1" operator="lessThanOr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Summary</vt:lpstr>
      <vt:lpstr>Report</vt:lpstr>
      <vt:lpstr>AllData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Grishma Sawant</cp:lastModifiedBy>
  <dcterms:created xsi:type="dcterms:W3CDTF">2009-10-09T14:28:57Z</dcterms:created>
  <dcterms:modified xsi:type="dcterms:W3CDTF">2018-05-03T21:06:28Z</dcterms:modified>
</cp:coreProperties>
</file>