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C:\Users\angiemilne\Google Drive\MARKETPLACE\Custom Reports\Fleet Breakdown by Make\Download File\"/>
    </mc:Choice>
  </mc:AlternateContent>
  <bookViews>
    <workbookView xWindow="0" yWindow="0" windowWidth="28800" windowHeight="12435" firstSheet="1" activeTab="3"/>
  </bookViews>
  <sheets>
    <sheet name="Data" sheetId="1" state="hidden" r:id="rId1"/>
    <sheet name="Report" sheetId="2" r:id="rId2"/>
    <sheet name="Make" sheetId="5" state="hidden" r:id="rId3"/>
    <sheet name="Summary" sheetId="3" r:id="rId4"/>
  </sheets>
  <definedNames>
    <definedName name="_xlnm._FilterDatabase" localSheetId="2" hidden="1">Make!$A$2:$B$282</definedName>
    <definedName name="_xlnm._FilterDatabase" localSheetId="1" hidden="1">Report!$A$7:$R$18</definedName>
    <definedName name="AllData">Report!$A$7:$R$18</definedName>
  </definedNames>
  <calcPr calcId="152511"/>
  <pivotCaches>
    <pivotCache cacheId="3" r:id="rId5"/>
  </pivotCaches>
</workbook>
</file>

<file path=xl/calcChain.xml><?xml version="1.0" encoding="utf-8"?>
<calcChain xmlns="http://schemas.openxmlformats.org/spreadsheetml/2006/main">
  <c r="F8" i="2" l="1"/>
  <c r="F9" i="2"/>
  <c r="F10" i="2"/>
  <c r="F11" i="2"/>
  <c r="F12" i="2"/>
  <c r="F16" i="2"/>
  <c r="F17" i="2"/>
  <c r="F18" i="2"/>
  <c r="B3" i="2"/>
  <c r="B4" i="2"/>
  <c r="B5" i="2"/>
  <c r="C5" i="2"/>
  <c r="A8" i="2"/>
  <c r="B8" i="2"/>
  <c r="C8" i="2"/>
  <c r="D8" i="2"/>
  <c r="E8" i="2"/>
  <c r="G8" i="2"/>
  <c r="H8" i="2"/>
  <c r="I8" i="2"/>
  <c r="J8" i="2"/>
  <c r="K8" i="2"/>
  <c r="L8" i="2"/>
  <c r="M8" i="2"/>
  <c r="N8" i="2"/>
  <c r="O8" i="2"/>
  <c r="P8" i="2"/>
  <c r="Q8" i="2"/>
  <c r="R8" i="2"/>
  <c r="A9" i="2"/>
  <c r="B9" i="2"/>
  <c r="C9" i="2"/>
  <c r="D9" i="2"/>
  <c r="E9" i="2"/>
  <c r="G9" i="2"/>
  <c r="H9" i="2"/>
  <c r="I9" i="2"/>
  <c r="J9" i="2"/>
  <c r="K9" i="2"/>
  <c r="L9" i="2"/>
  <c r="M9" i="2"/>
  <c r="N9" i="2"/>
  <c r="O9" i="2"/>
  <c r="P9" i="2"/>
  <c r="Q9" i="2"/>
  <c r="R9" i="2"/>
  <c r="A10" i="2"/>
  <c r="B10" i="2"/>
  <c r="C10" i="2"/>
  <c r="D10" i="2"/>
  <c r="E10" i="2"/>
  <c r="G10" i="2"/>
  <c r="H10" i="2"/>
  <c r="I10" i="2"/>
  <c r="J10" i="2"/>
  <c r="K10" i="2"/>
  <c r="L10" i="2"/>
  <c r="M10" i="2"/>
  <c r="N10" i="2"/>
  <c r="O10" i="2"/>
  <c r="P10" i="2"/>
  <c r="Q10" i="2"/>
  <c r="R10" i="2"/>
  <c r="A11" i="2"/>
  <c r="B11" i="2"/>
  <c r="C11" i="2"/>
  <c r="D11" i="2"/>
  <c r="E11" i="2"/>
  <c r="G11" i="2"/>
  <c r="H11" i="2"/>
  <c r="I11" i="2"/>
  <c r="J11" i="2"/>
  <c r="K11" i="2"/>
  <c r="L11" i="2"/>
  <c r="M11" i="2"/>
  <c r="N11" i="2"/>
  <c r="O11" i="2"/>
  <c r="P11" i="2"/>
  <c r="Q11" i="2"/>
  <c r="R11" i="2"/>
  <c r="A12" i="2"/>
  <c r="B12" i="2"/>
  <c r="C12" i="2"/>
  <c r="D12" i="2"/>
  <c r="E12" i="2"/>
  <c r="G12" i="2"/>
  <c r="H12" i="2"/>
  <c r="I12" i="2"/>
  <c r="J12" i="2"/>
  <c r="K12" i="2"/>
  <c r="L12" i="2"/>
  <c r="M12" i="2"/>
  <c r="N12" i="2"/>
  <c r="O12" i="2"/>
  <c r="P12" i="2"/>
  <c r="Q12" i="2"/>
  <c r="R12" i="2"/>
  <c r="A13" i="2"/>
  <c r="B13" i="2"/>
  <c r="C13" i="2"/>
  <c r="D13" i="2"/>
  <c r="E13" i="2"/>
  <c r="G13" i="2"/>
  <c r="H13" i="2"/>
  <c r="I13" i="2"/>
  <c r="J13" i="2"/>
  <c r="K13" i="2"/>
  <c r="L13" i="2"/>
  <c r="M13" i="2"/>
  <c r="N13" i="2"/>
  <c r="O13" i="2"/>
  <c r="P13" i="2"/>
  <c r="Q13" i="2"/>
  <c r="R13" i="2"/>
  <c r="A14" i="2"/>
  <c r="B14" i="2"/>
  <c r="C14" i="2"/>
  <c r="D14" i="2"/>
  <c r="E14" i="2"/>
  <c r="G14" i="2"/>
  <c r="H14" i="2"/>
  <c r="I14" i="2"/>
  <c r="J14" i="2"/>
  <c r="K14" i="2"/>
  <c r="L14" i="2"/>
  <c r="M14" i="2"/>
  <c r="N14" i="2"/>
  <c r="O14" i="2"/>
  <c r="P14" i="2"/>
  <c r="Q14" i="2"/>
  <c r="R14" i="2"/>
  <c r="A15" i="2"/>
  <c r="B15" i="2"/>
  <c r="C15" i="2"/>
  <c r="D15" i="2"/>
  <c r="E15" i="2"/>
  <c r="F15" i="2"/>
  <c r="G15" i="2"/>
  <c r="H15" i="2"/>
  <c r="I15" i="2"/>
  <c r="J15" i="2"/>
  <c r="K15" i="2"/>
  <c r="L15" i="2"/>
  <c r="M15" i="2"/>
  <c r="N15" i="2"/>
  <c r="O15" i="2"/>
  <c r="P15" i="2"/>
  <c r="Q15" i="2"/>
  <c r="R15" i="2"/>
  <c r="A16" i="2"/>
  <c r="B16" i="2"/>
  <c r="C16" i="2"/>
  <c r="D16" i="2"/>
  <c r="E16" i="2"/>
  <c r="G16" i="2"/>
  <c r="H16" i="2"/>
  <c r="I16" i="2"/>
  <c r="J16" i="2"/>
  <c r="K16" i="2"/>
  <c r="L16" i="2"/>
  <c r="M16" i="2"/>
  <c r="N16" i="2"/>
  <c r="O16" i="2"/>
  <c r="P16" i="2"/>
  <c r="Q16" i="2"/>
  <c r="R16" i="2"/>
  <c r="A17" i="2"/>
  <c r="B17" i="2"/>
  <c r="C17" i="2"/>
  <c r="D17" i="2"/>
  <c r="E17" i="2"/>
  <c r="G17" i="2"/>
  <c r="H17" i="2"/>
  <c r="I17" i="2"/>
  <c r="J17" i="2"/>
  <c r="K17" i="2"/>
  <c r="L17" i="2"/>
  <c r="M17" i="2"/>
  <c r="N17" i="2"/>
  <c r="O17" i="2"/>
  <c r="P17" i="2"/>
  <c r="Q17" i="2"/>
  <c r="R17" i="2"/>
  <c r="A18" i="2"/>
  <c r="B18" i="2"/>
  <c r="C18" i="2"/>
  <c r="D18" i="2"/>
  <c r="E18" i="2"/>
  <c r="G18" i="2"/>
  <c r="H18" i="2"/>
  <c r="I18" i="2"/>
  <c r="J18" i="2"/>
  <c r="K18" i="2"/>
  <c r="L18" i="2"/>
  <c r="M18" i="2"/>
  <c r="N18" i="2"/>
  <c r="O18" i="2"/>
  <c r="P18" i="2"/>
  <c r="Q18" i="2"/>
  <c r="R18" i="2"/>
  <c r="A1" i="3"/>
  <c r="F14" i="2"/>
  <c r="F13" i="2"/>
</calcChain>
</file>

<file path=xl/comments1.xml><?xml version="1.0" encoding="utf-8"?>
<comments xmlns="http://schemas.openxmlformats.org/spreadsheetml/2006/main">
  <authors>
    <author>Thomas</author>
  </authors>
  <commentList>
    <comment ref="A1" authorId="0" shapeId="0">
      <text>
        <r>
          <rPr>
            <sz val="11"/>
            <color theme="1"/>
            <rFont val="Calibri"/>
            <family val="2"/>
            <scheme val="minor"/>
          </rPr>
          <t>Device.12</t>
        </r>
      </text>
    </comment>
  </commentList>
</comments>
</file>

<file path=xl/sharedStrings.xml><?xml version="1.0" encoding="utf-8"?>
<sst xmlns="http://schemas.openxmlformats.org/spreadsheetml/2006/main" count="800" uniqueCount="560">
  <si>
    <t>Current Activity</t>
  </si>
  <si>
    <t>Last Stop Address</t>
  </si>
  <si>
    <t>Firmware Version</t>
  </si>
  <si>
    <t>Serial No.</t>
  </si>
  <si>
    <t>License Plate</t>
  </si>
  <si>
    <t>License State</t>
  </si>
  <si>
    <t>VIN</t>
  </si>
  <si>
    <t>Time Zone</t>
  </si>
  <si>
    <t/>
  </si>
  <si>
    <t>DeviceName</t>
  </si>
  <si>
    <t>DeviceDetailsLocation</t>
  </si>
  <si>
    <t>DeviceId</t>
  </si>
  <si>
    <t>DeviceComment</t>
  </si>
  <si>
    <t>DeviceGroup</t>
  </si>
  <si>
    <t>DeviceDetailsCurrentOdometer</t>
  </si>
  <si>
    <t>DeviceDeviceType</t>
  </si>
  <si>
    <t>DeviceProductId</t>
  </si>
  <si>
    <t>DeviceMajor</t>
  </si>
  <si>
    <t>DeviceMinor</t>
  </si>
  <si>
    <t>DeviceLicensePlate</t>
  </si>
  <si>
    <t>DeviceLicenseState</t>
  </si>
  <si>
    <t>DeviceVIN</t>
  </si>
  <si>
    <t>DeviceTimeZoneId</t>
  </si>
  <si>
    <t>DeviceStatusLastTrip</t>
  </si>
  <si>
    <t>DeviceStatusLastGpsRecord</t>
  </si>
  <si>
    <t>Device Group</t>
  </si>
  <si>
    <t>DeviceDetailsDrivingState</t>
  </si>
  <si>
    <t>Location.ZoneZoneTypes</t>
  </si>
  <si>
    <t>Last Stop Zone Types</t>
  </si>
  <si>
    <t>DeviceStatusAnalysisTroubleDownloadStatus</t>
  </si>
  <si>
    <t>OK</t>
  </si>
  <si>
    <t>DeviceDetailsCurrentEngineHours</t>
  </si>
  <si>
    <t>Current Engine Hours</t>
  </si>
  <si>
    <t>RunDate</t>
  </si>
  <si>
    <t>Location.ZoneExternalReference</t>
  </si>
  <si>
    <t>Current Driver</t>
  </si>
  <si>
    <t>CompanyName</t>
  </si>
  <si>
    <t>DistanceUnit</t>
  </si>
  <si>
    <t>DeviceProgrammingImmobilizeArming</t>
  </si>
  <si>
    <t>DeviceProgrammingSpeedingOn</t>
  </si>
  <si>
    <t>DeviceProgrammingSpeedingOff</t>
  </si>
  <si>
    <t>DeviceProgrammingIdleMinutes</t>
  </si>
  <si>
    <t>DeviceProgrammingRpmValue</t>
  </si>
  <si>
    <t>DeviceProgrammingHarshBrakeWarning</t>
  </si>
  <si>
    <t>DeviceProgrammingOdometerOffset</t>
  </si>
  <si>
    <t>DeviceProgrammingEngineHourOffset</t>
  </si>
  <si>
    <t>SendReport</t>
  </si>
  <si>
    <t>LastModifiedUser</t>
  </si>
  <si>
    <t>DeviceDetailsModel</t>
  </si>
  <si>
    <t>DeviceDetailsYear</t>
  </si>
  <si>
    <t>DeviceDetailsExtra</t>
  </si>
  <si>
    <t>DeviceDetailsMake</t>
  </si>
  <si>
    <t>Last Office Stop</t>
  </si>
  <si>
    <t>LastKnownOffice.ZoneName</t>
  </si>
  <si>
    <t>LastKnownOffice.ZoneId</t>
  </si>
  <si>
    <t>CurrentDriver.UserName</t>
  </si>
  <si>
    <t>DeviceActiveFrom</t>
  </si>
  <si>
    <t>DeviceActiveTo</t>
  </si>
  <si>
    <t>Created</t>
  </si>
  <si>
    <t>Vehicle</t>
  </si>
  <si>
    <t>Comment</t>
  </si>
  <si>
    <t>Measurements</t>
  </si>
  <si>
    <t>Odometer</t>
  </si>
  <si>
    <t>Total</t>
  </si>
  <si>
    <t>DeviceDetailsDevicePlan</t>
  </si>
  <si>
    <t>DeviceDetailsCurrentExceptions</t>
  </si>
  <si>
    <t>DeviceSerialNumber</t>
  </si>
  <si>
    <t>Count of Vehicle</t>
  </si>
  <si>
    <t>Make</t>
  </si>
  <si>
    <t>WMI</t>
  </si>
  <si>
    <t>AFA</t>
  </si>
  <si>
    <t xml:space="preserve">Ford </t>
  </si>
  <si>
    <t>AAV</t>
  </si>
  <si>
    <t xml:space="preserve">Volkswagen </t>
  </si>
  <si>
    <t>JA3</t>
  </si>
  <si>
    <t>Mitsubishi</t>
  </si>
  <si>
    <t>JA</t>
  </si>
  <si>
    <t>Isuzu</t>
  </si>
  <si>
    <t>JF</t>
  </si>
  <si>
    <t>Subaru</t>
  </si>
  <si>
    <t>JHM</t>
  </si>
  <si>
    <t>Honda</t>
  </si>
  <si>
    <t>JHG</t>
  </si>
  <si>
    <t>JHL</t>
  </si>
  <si>
    <t>JK</t>
  </si>
  <si>
    <t xml:space="preserve">Kawasaki </t>
  </si>
  <si>
    <t>JM</t>
  </si>
  <si>
    <t>Mazda</t>
  </si>
  <si>
    <t>JN</t>
  </si>
  <si>
    <t>Nissan</t>
  </si>
  <si>
    <t>JS</t>
  </si>
  <si>
    <t>Suzuki</t>
  </si>
  <si>
    <t>JT</t>
  </si>
  <si>
    <t>Toyota</t>
  </si>
  <si>
    <t>KL</t>
  </si>
  <si>
    <t xml:space="preserve">Daewoo </t>
  </si>
  <si>
    <t>KM8</t>
  </si>
  <si>
    <t>Hyundai</t>
  </si>
  <si>
    <t>KMH</t>
  </si>
  <si>
    <t>KNA</t>
  </si>
  <si>
    <t>Kia</t>
  </si>
  <si>
    <t>KNB</t>
  </si>
  <si>
    <t>KNC</t>
  </si>
  <si>
    <t>KNM</t>
  </si>
  <si>
    <t xml:space="preserve">Renault </t>
  </si>
  <si>
    <t>KPA</t>
  </si>
  <si>
    <t>Ssangyong</t>
  </si>
  <si>
    <t>KPT</t>
  </si>
  <si>
    <t>L56</t>
  </si>
  <si>
    <t>L5Y</t>
  </si>
  <si>
    <t xml:space="preserve">Merato </t>
  </si>
  <si>
    <t>LDY</t>
  </si>
  <si>
    <t xml:space="preserve">Zhongtong </t>
  </si>
  <si>
    <t>LGH</t>
  </si>
  <si>
    <t xml:space="preserve">Dong </t>
  </si>
  <si>
    <t>LKL</t>
  </si>
  <si>
    <t xml:space="preserve">Suzhou </t>
  </si>
  <si>
    <t>LSY</t>
  </si>
  <si>
    <t xml:space="preserve">Brilliance </t>
  </si>
  <si>
    <t>LTV</t>
  </si>
  <si>
    <t xml:space="preserve">Toyota </t>
  </si>
  <si>
    <t>LVS</t>
  </si>
  <si>
    <t>LVV</t>
  </si>
  <si>
    <t xml:space="preserve">Chery, </t>
  </si>
  <si>
    <t>LZM</t>
  </si>
  <si>
    <t xml:space="preserve">MAN </t>
  </si>
  <si>
    <t>LZE</t>
  </si>
  <si>
    <t xml:space="preserve">Isuzu </t>
  </si>
  <si>
    <t>LZG</t>
  </si>
  <si>
    <t xml:space="preserve">Shaanxi </t>
  </si>
  <si>
    <t>LZY</t>
  </si>
  <si>
    <t xml:space="preserve">Yutong </t>
  </si>
  <si>
    <t>MA1</t>
  </si>
  <si>
    <t>Mahindra</t>
  </si>
  <si>
    <t>MA3</t>
  </si>
  <si>
    <t xml:space="preserve">Suzuki </t>
  </si>
  <si>
    <t>MA7</t>
  </si>
  <si>
    <t xml:space="preserve">Honda </t>
  </si>
  <si>
    <t>MAL</t>
  </si>
  <si>
    <t>MC2</t>
  </si>
  <si>
    <t xml:space="preserve">Volvo </t>
  </si>
  <si>
    <t>MHR</t>
  </si>
  <si>
    <t>MNB</t>
  </si>
  <si>
    <t>MNT</t>
  </si>
  <si>
    <t xml:space="preserve">Nissan </t>
  </si>
  <si>
    <t>MMB</t>
  </si>
  <si>
    <t xml:space="preserve">Mitsubishi </t>
  </si>
  <si>
    <t>MMM</t>
  </si>
  <si>
    <t xml:space="preserve">Chevrolet </t>
  </si>
  <si>
    <t>MMT</t>
  </si>
  <si>
    <t>MM8</t>
  </si>
  <si>
    <t xml:space="preserve">Mazda </t>
  </si>
  <si>
    <t>MPA</t>
  </si>
  <si>
    <t>MP1</t>
  </si>
  <si>
    <t>MRH</t>
  </si>
  <si>
    <t>MR0</t>
  </si>
  <si>
    <t>NLE</t>
  </si>
  <si>
    <t xml:space="preserve">Mercedes </t>
  </si>
  <si>
    <t>NM0</t>
  </si>
  <si>
    <t>NM4</t>
  </si>
  <si>
    <t xml:space="preserve">Tofas </t>
  </si>
  <si>
    <t>NIS</t>
  </si>
  <si>
    <t>HYU</t>
  </si>
  <si>
    <t>NMT</t>
  </si>
  <si>
    <t>PE1</t>
  </si>
  <si>
    <t>PE3</t>
  </si>
  <si>
    <t>PL1</t>
  </si>
  <si>
    <t xml:space="preserve">Proton, </t>
  </si>
  <si>
    <t>SAL</t>
  </si>
  <si>
    <t xml:space="preserve">Land </t>
  </si>
  <si>
    <t>SAJ</t>
  </si>
  <si>
    <t>Jaguar</t>
  </si>
  <si>
    <t>SAR</t>
  </si>
  <si>
    <t>Rover</t>
  </si>
  <si>
    <t>SCA</t>
  </si>
  <si>
    <t xml:space="preserve">Rolls </t>
  </si>
  <si>
    <t>SCC</t>
  </si>
  <si>
    <t xml:space="preserve">Lotus </t>
  </si>
  <si>
    <t>SCE</t>
  </si>
  <si>
    <t xml:space="preserve">DeLorean </t>
  </si>
  <si>
    <t>SCF</t>
  </si>
  <si>
    <t>Aston</t>
  </si>
  <si>
    <t>SDB</t>
  </si>
  <si>
    <t xml:space="preserve">Peugeot </t>
  </si>
  <si>
    <t>SFD</t>
  </si>
  <si>
    <t xml:space="preserve">Alexander </t>
  </si>
  <si>
    <t>SHS</t>
  </si>
  <si>
    <t>SJN</t>
  </si>
  <si>
    <t>SU9</t>
  </si>
  <si>
    <t xml:space="preserve">Solaris </t>
  </si>
  <si>
    <t>TK9</t>
  </si>
  <si>
    <t xml:space="preserve">SOR </t>
  </si>
  <si>
    <t>TDM</t>
  </si>
  <si>
    <t xml:space="preserve">QUANTYA </t>
  </si>
  <si>
    <t>TMB</t>
  </si>
  <si>
    <t xml:space="preserve">Škoda </t>
  </si>
  <si>
    <t>TMK</t>
  </si>
  <si>
    <t xml:space="preserve">Karosa </t>
  </si>
  <si>
    <t>TMP</t>
  </si>
  <si>
    <t>TMT</t>
  </si>
  <si>
    <t xml:space="preserve">Tatra </t>
  </si>
  <si>
    <t>TM9</t>
  </si>
  <si>
    <t>TN9</t>
  </si>
  <si>
    <t>TRA</t>
  </si>
  <si>
    <t xml:space="preserve">Ikarus </t>
  </si>
  <si>
    <t>TRU</t>
  </si>
  <si>
    <t xml:space="preserve">Audi </t>
  </si>
  <si>
    <t>TSE</t>
  </si>
  <si>
    <t>TSM</t>
  </si>
  <si>
    <t xml:space="preserve">Suzuki, </t>
  </si>
  <si>
    <t>UU1</t>
  </si>
  <si>
    <t>VF1</t>
  </si>
  <si>
    <t>Renault</t>
  </si>
  <si>
    <t>VF3</t>
  </si>
  <si>
    <t>Peugeot</t>
  </si>
  <si>
    <t>VF6</t>
  </si>
  <si>
    <t>VF7</t>
  </si>
  <si>
    <t>Citroën</t>
  </si>
  <si>
    <t>VF8</t>
  </si>
  <si>
    <t>Matra</t>
  </si>
  <si>
    <t>VLU</t>
  </si>
  <si>
    <t xml:space="preserve">Scania </t>
  </si>
  <si>
    <t>VNE</t>
  </si>
  <si>
    <t xml:space="preserve">Irisbus </t>
  </si>
  <si>
    <t>VSE</t>
  </si>
  <si>
    <t>VSK</t>
  </si>
  <si>
    <t>VSS</t>
  </si>
  <si>
    <t>SEAT</t>
  </si>
  <si>
    <t>VSX</t>
  </si>
  <si>
    <t xml:space="preserve">Opel </t>
  </si>
  <si>
    <t>VS6</t>
  </si>
  <si>
    <t>VS9</t>
  </si>
  <si>
    <t xml:space="preserve">Carrocerias </t>
  </si>
  <si>
    <t>VV9</t>
  </si>
  <si>
    <t>TAUROSpain</t>
  </si>
  <si>
    <t>WVG</t>
  </si>
  <si>
    <t>Volkswagen</t>
  </si>
  <si>
    <t>WV3</t>
  </si>
  <si>
    <t>VWV</t>
  </si>
  <si>
    <t>VX1</t>
  </si>
  <si>
    <t xml:space="preserve">Zastava </t>
  </si>
  <si>
    <t>WAG</t>
  </si>
  <si>
    <t>Neoplan</t>
  </si>
  <si>
    <t>WAU</t>
  </si>
  <si>
    <t>Audi</t>
  </si>
  <si>
    <t>WBA</t>
  </si>
  <si>
    <t>BMW</t>
  </si>
  <si>
    <t>WBS</t>
  </si>
  <si>
    <t xml:space="preserve">BMW </t>
  </si>
  <si>
    <t>WDF</t>
  </si>
  <si>
    <t>Mercedes</t>
  </si>
  <si>
    <t>WDB</t>
  </si>
  <si>
    <t>WDC</t>
  </si>
  <si>
    <t>WDD</t>
  </si>
  <si>
    <t>WEB</t>
  </si>
  <si>
    <t xml:space="preserve">Evobus </t>
  </si>
  <si>
    <t>WF0</t>
  </si>
  <si>
    <t>WMA</t>
  </si>
  <si>
    <t>WMW</t>
  </si>
  <si>
    <t>MINI</t>
  </si>
  <si>
    <t>WP0</t>
  </si>
  <si>
    <t>Porsche</t>
  </si>
  <si>
    <t>W0L</t>
  </si>
  <si>
    <t>Opel</t>
  </si>
  <si>
    <t>WVW</t>
  </si>
  <si>
    <t>WV1</t>
  </si>
  <si>
    <t>WV2</t>
  </si>
  <si>
    <t>XL9</t>
  </si>
  <si>
    <t>Spyker</t>
  </si>
  <si>
    <t>XMC</t>
  </si>
  <si>
    <t>XTA</t>
  </si>
  <si>
    <t xml:space="preserve">Lada/AutoVaz </t>
  </si>
  <si>
    <t>YK1</t>
  </si>
  <si>
    <t>Saab</t>
  </si>
  <si>
    <t>YS2</t>
  </si>
  <si>
    <t>YS3</t>
  </si>
  <si>
    <t>YS4</t>
  </si>
  <si>
    <t>YV1</t>
  </si>
  <si>
    <t>YV4</t>
  </si>
  <si>
    <t>YV2</t>
  </si>
  <si>
    <t>YV3</t>
  </si>
  <si>
    <t>ZAM</t>
  </si>
  <si>
    <t xml:space="preserve">Maserati </t>
  </si>
  <si>
    <t>ZAP</t>
  </si>
  <si>
    <t>Piaggio/Vespa/Gilera</t>
  </si>
  <si>
    <t>ZAR</t>
  </si>
  <si>
    <t xml:space="preserve">Alfa </t>
  </si>
  <si>
    <t>ZCG</t>
  </si>
  <si>
    <t xml:space="preserve">Cagiva </t>
  </si>
  <si>
    <t>ZDM</t>
  </si>
  <si>
    <t xml:space="preserve">Ducati </t>
  </si>
  <si>
    <t>ZDF</t>
  </si>
  <si>
    <t xml:space="preserve">Ferrari </t>
  </si>
  <si>
    <t>ZD4</t>
  </si>
  <si>
    <t>Aprilia</t>
  </si>
  <si>
    <t>ZFA</t>
  </si>
  <si>
    <t>Fiat</t>
  </si>
  <si>
    <t>ZFC</t>
  </si>
  <si>
    <t xml:space="preserve">Fiat </t>
  </si>
  <si>
    <t>ZFF</t>
  </si>
  <si>
    <t>Ferrari</t>
  </si>
  <si>
    <t>ZHW</t>
  </si>
  <si>
    <t>Lamborghini</t>
  </si>
  <si>
    <t>ZLA</t>
  </si>
  <si>
    <t>Lancia</t>
  </si>
  <si>
    <t>ZOM</t>
  </si>
  <si>
    <t>OM</t>
  </si>
  <si>
    <t>1C3</t>
  </si>
  <si>
    <t>Chrysler</t>
  </si>
  <si>
    <t>1C6</t>
  </si>
  <si>
    <t>1D3</t>
  </si>
  <si>
    <t>Dodge</t>
  </si>
  <si>
    <t>1FA</t>
  </si>
  <si>
    <t>1FB</t>
  </si>
  <si>
    <t>1FC</t>
  </si>
  <si>
    <t>1FD</t>
  </si>
  <si>
    <t>1FM</t>
  </si>
  <si>
    <t>1FT</t>
  </si>
  <si>
    <t>1FU</t>
  </si>
  <si>
    <t>Freightliner</t>
  </si>
  <si>
    <t>1FV</t>
  </si>
  <si>
    <t>1F9</t>
  </si>
  <si>
    <t xml:space="preserve">FWD </t>
  </si>
  <si>
    <t>1G</t>
  </si>
  <si>
    <t xml:space="preserve">General </t>
  </si>
  <si>
    <t>1GC</t>
  </si>
  <si>
    <t>1GT</t>
  </si>
  <si>
    <t xml:space="preserve">GMC </t>
  </si>
  <si>
    <t>1G1</t>
  </si>
  <si>
    <t>1G2</t>
  </si>
  <si>
    <t xml:space="preserve">Pontiac </t>
  </si>
  <si>
    <t>1G3</t>
  </si>
  <si>
    <t xml:space="preserve">Oldsmobile </t>
  </si>
  <si>
    <t>1G4</t>
  </si>
  <si>
    <t xml:space="preserve">Buick </t>
  </si>
  <si>
    <t>1G6</t>
  </si>
  <si>
    <t xml:space="preserve">Cadillac </t>
  </si>
  <si>
    <t>1GM</t>
  </si>
  <si>
    <t>1G8</t>
  </si>
  <si>
    <t xml:space="preserve">Saturn </t>
  </si>
  <si>
    <t>1H</t>
  </si>
  <si>
    <t>1HD</t>
  </si>
  <si>
    <t>Harley-Davidson</t>
  </si>
  <si>
    <t>1J4</t>
  </si>
  <si>
    <t>Jeep</t>
  </si>
  <si>
    <t>1L</t>
  </si>
  <si>
    <t xml:space="preserve">Lincoln </t>
  </si>
  <si>
    <t>1ME</t>
  </si>
  <si>
    <t xml:space="preserve">Mercury </t>
  </si>
  <si>
    <t>1M1</t>
  </si>
  <si>
    <t xml:space="preserve">Mack </t>
  </si>
  <si>
    <t>1M2</t>
  </si>
  <si>
    <t>1M3</t>
  </si>
  <si>
    <t>1M4</t>
  </si>
  <si>
    <t>1M9</t>
  </si>
  <si>
    <t xml:space="preserve">Mynatt </t>
  </si>
  <si>
    <t>1N</t>
  </si>
  <si>
    <t>1NX</t>
  </si>
  <si>
    <t xml:space="preserve">NUMMI </t>
  </si>
  <si>
    <t>1P3</t>
  </si>
  <si>
    <t xml:space="preserve">Plymouth </t>
  </si>
  <si>
    <t>1R9</t>
  </si>
  <si>
    <t xml:space="preserve">Roadrunner </t>
  </si>
  <si>
    <t>1VW</t>
  </si>
  <si>
    <t>1XK</t>
  </si>
  <si>
    <t xml:space="preserve">Kenworth </t>
  </si>
  <si>
    <t>1XP</t>
  </si>
  <si>
    <t xml:space="preserve">Peterbilt </t>
  </si>
  <si>
    <t>1YV</t>
  </si>
  <si>
    <t>2C3</t>
  </si>
  <si>
    <t xml:space="preserve">Chrysler </t>
  </si>
  <si>
    <t>2CN</t>
  </si>
  <si>
    <t>CAMI</t>
  </si>
  <si>
    <t>2D3</t>
  </si>
  <si>
    <t xml:space="preserve">Dodge </t>
  </si>
  <si>
    <t>2FA</t>
  </si>
  <si>
    <t>2FB</t>
  </si>
  <si>
    <t>2FC</t>
  </si>
  <si>
    <t>2FM</t>
  </si>
  <si>
    <t>2FT</t>
  </si>
  <si>
    <t>2FU</t>
  </si>
  <si>
    <t>2FV</t>
  </si>
  <si>
    <t>2FZ</t>
  </si>
  <si>
    <t>Sterling</t>
  </si>
  <si>
    <t>2G</t>
  </si>
  <si>
    <t>2G1</t>
  </si>
  <si>
    <t>2G2</t>
  </si>
  <si>
    <t>2G3</t>
  </si>
  <si>
    <t>2G4</t>
  </si>
  <si>
    <t>2HG</t>
  </si>
  <si>
    <t>2HK</t>
  </si>
  <si>
    <t>2HM</t>
  </si>
  <si>
    <t xml:space="preserve">Hyundai </t>
  </si>
  <si>
    <t>2M</t>
  </si>
  <si>
    <t>Mercury</t>
  </si>
  <si>
    <t>2NV</t>
  </si>
  <si>
    <t xml:space="preserve">Nova </t>
  </si>
  <si>
    <t>2P3</t>
  </si>
  <si>
    <t>2T</t>
  </si>
  <si>
    <t>2V4</t>
  </si>
  <si>
    <t>2WK</t>
  </si>
  <si>
    <t xml:space="preserve">Western </t>
  </si>
  <si>
    <t>2WL</t>
  </si>
  <si>
    <t>2WM</t>
  </si>
  <si>
    <t>3D3</t>
  </si>
  <si>
    <t>3FA</t>
  </si>
  <si>
    <t>3FE</t>
  </si>
  <si>
    <t>3G</t>
  </si>
  <si>
    <t>3H</t>
  </si>
  <si>
    <t>3N</t>
  </si>
  <si>
    <t>3P3</t>
  </si>
  <si>
    <t>3VW</t>
  </si>
  <si>
    <t>4F</t>
  </si>
  <si>
    <t>4M</t>
  </si>
  <si>
    <t>4RK</t>
  </si>
  <si>
    <t>4S</t>
  </si>
  <si>
    <t xml:space="preserve">Subaru-Isuzu </t>
  </si>
  <si>
    <t>4T</t>
  </si>
  <si>
    <t>4US</t>
  </si>
  <si>
    <t>4UZ</t>
  </si>
  <si>
    <t xml:space="preserve">Frt-Thomas </t>
  </si>
  <si>
    <t>4V1</t>
  </si>
  <si>
    <t>Volvo</t>
  </si>
  <si>
    <t>4V2</t>
  </si>
  <si>
    <t>4V3</t>
  </si>
  <si>
    <t>4V4</t>
  </si>
  <si>
    <t>4V5</t>
  </si>
  <si>
    <t>4V6</t>
  </si>
  <si>
    <t>4VL</t>
  </si>
  <si>
    <t>4VM</t>
  </si>
  <si>
    <t>4VZ</t>
  </si>
  <si>
    <t>5F</t>
  </si>
  <si>
    <t>5L</t>
  </si>
  <si>
    <t>Lincoln</t>
  </si>
  <si>
    <t>5N1</t>
  </si>
  <si>
    <t>5NP</t>
  </si>
  <si>
    <t>5T</t>
  </si>
  <si>
    <t>6AB</t>
  </si>
  <si>
    <t>6F4</t>
  </si>
  <si>
    <t>6F5</t>
  </si>
  <si>
    <t>6FP</t>
  </si>
  <si>
    <t>6G1</t>
  </si>
  <si>
    <t>6G2</t>
  </si>
  <si>
    <t>6H8</t>
  </si>
  <si>
    <t>6MM</t>
  </si>
  <si>
    <t>6T1</t>
  </si>
  <si>
    <t>6U9</t>
  </si>
  <si>
    <t xml:space="preserve">Privately </t>
  </si>
  <si>
    <t>8AG</t>
  </si>
  <si>
    <t>8GG</t>
  </si>
  <si>
    <t>8AP</t>
  </si>
  <si>
    <t>8AF</t>
  </si>
  <si>
    <t>8AD</t>
  </si>
  <si>
    <t>8GD</t>
  </si>
  <si>
    <t>8A1</t>
  </si>
  <si>
    <t>8AK</t>
  </si>
  <si>
    <t>8AJ</t>
  </si>
  <si>
    <t>8AW</t>
  </si>
  <si>
    <t>93U</t>
  </si>
  <si>
    <t>9BG</t>
  </si>
  <si>
    <t xml:space="preserve">Citroën </t>
  </si>
  <si>
    <t>9BD</t>
  </si>
  <si>
    <t>9BF</t>
  </si>
  <si>
    <t>93H</t>
  </si>
  <si>
    <t>9BM</t>
  </si>
  <si>
    <t>93Y</t>
  </si>
  <si>
    <t>9BS</t>
  </si>
  <si>
    <t>93R</t>
  </si>
  <si>
    <t>9BW</t>
  </si>
  <si>
    <t>Unknown</t>
  </si>
  <si>
    <t>9FB</t>
  </si>
  <si>
    <t>SHH</t>
  </si>
  <si>
    <t>9BH</t>
  </si>
  <si>
    <t>Version 7</t>
  </si>
  <si>
    <t>Pro Mode,Garmin,HOS,Iridium,UI</t>
  </si>
  <si>
    <t>America/New_York</t>
  </si>
  <si>
    <t>Stopped</t>
  </si>
  <si>
    <t>Device is not downloading data</t>
  </si>
  <si>
    <t>ProPlus Mode,Garmin,HOS,Iridium,UI</t>
  </si>
  <si>
    <t>KND</t>
  </si>
  <si>
    <t>1HG</t>
  </si>
  <si>
    <t>Fleet Breakdown by Make</t>
  </si>
  <si>
    <t>GEOTAB INC</t>
  </si>
  <si>
    <t>km</t>
  </si>
  <si>
    <t>0</t>
  </si>
  <si>
    <t>Entire Organization</t>
  </si>
  <si>
    <t>4</t>
  </si>
  <si>
    <t>5</t>
  </si>
  <si>
    <t>19</t>
  </si>
  <si>
    <t>17</t>
  </si>
  <si>
    <t>JN8AS5MTXAW004141</t>
  </si>
  <si>
    <t>bB30</t>
  </si>
  <si>
    <t>Rogue</t>
  </si>
  <si>
    <t>2010</t>
  </si>
  <si>
    <t>ManufacturerOut: Nissan;CompanyOut: Nissan Motor Company, Ltd.;CountryOut: Japan;VehicleTypeOut: MPV;EngineOut: 2.5L Gasonline;BodyOut: 4 Door Wagon (Crossover);GVWLbsOut: Class C (4001 - 5000 lbs);BrakeOut: 4 Wheel ABS;SeatbeltsOut: Front: 3 Point Manual Belts, 2nd Row: Outboard and Centre 3 Point Manual Belts;AirbagsOut: Front: Airbags, Side Airbags, Curtian Side Airbags, 2nd Row: Curtain Side Airbags;DrivelineOut: 2WD;PlantOut: Kyushu Plant;</t>
  </si>
  <si>
    <t>2</t>
  </si>
  <si>
    <t>54</t>
  </si>
  <si>
    <t>3G2JB12F63S162447</t>
  </si>
  <si>
    <t>test</t>
  </si>
  <si>
    <t>bB2F</t>
  </si>
  <si>
    <t>Pontiac</t>
  </si>
  <si>
    <t>SUNFIRE</t>
  </si>
  <si>
    <t>2003</t>
  </si>
  <si>
    <t>ManufacturerOut: GM;CountryOut: Mexico;VehicleTypeOut: Passenger;SeatbeltsOut: Active Manual;AirbagsOut: Driver &amp; Passenger - Front;EngineOut: 2.2L I-4 Gasoline MFI;PlantOut: Ramos Arizpe;</t>
  </si>
  <si>
    <t>3</t>
  </si>
  <si>
    <t>73</t>
  </si>
  <si>
    <t>JM1CR293X60118562</t>
  </si>
  <si>
    <t>bB0E</t>
  </si>
  <si>
    <t>Version 6</t>
  </si>
  <si>
    <t>Mazda5</t>
  </si>
  <si>
    <t>2006</t>
  </si>
  <si>
    <t>ManufacturerOut: Mazda;CompanyOut: Mazda Motor Corp.;CountryOut: Japan;VehicleTypeOut: Passenger Car;AirbagsOut: Driver and Passenger: Frontal, Curtain and Side Airbags;EngineOut: 2.3L L3V (157 HP) Federal;BodyOut: 4 Door Wagon;PlantOut: Hiroshima, Japan;</t>
  </si>
  <si>
    <t>7</t>
  </si>
  <si>
    <t>4F2CZ96155KM03006</t>
  </si>
  <si>
    <t>bB7C</t>
  </si>
  <si>
    <t>Tribute</t>
  </si>
  <si>
    <t>2005</t>
  </si>
  <si>
    <t>ManufacturerOut: FORD;CompanyOut: Ford Motor Company;CountryOut: USA;VehicleTypeOut: Multi-Purpose Vehicle;EngineOut: 3.0L V6 Gasoline DOHC Duratec;TrimLevelOut: ES;DrivelineOut: 4x4;BodyOut: 5 Door MPV;PlantOut: Kansas City; Claycomo, Missouri;GVWLbsOut: Class C: 4,001-5,000 pounds;BrakeOut: Hydraulic;SeatbeltsOut: Active Belts;AirbagsOut: Sec Gen. Drv &amp; Pass Air Bags &amp; Side Air Bags, Curtains, or Canopies;</t>
  </si>
  <si>
    <t>23</t>
  </si>
  <si>
    <t>bCD1</t>
  </si>
  <si>
    <t>-1 Mode,Garmin,HOS,Iridium,UI</t>
  </si>
  <si>
    <t>4F2CZ96132KM01234</t>
  </si>
  <si>
    <t>bCAE</t>
  </si>
  <si>
    <t>8</t>
  </si>
  <si>
    <t>bCA6</t>
  </si>
  <si>
    <t>10</t>
  </si>
  <si>
    <t>bB35</t>
  </si>
  <si>
    <t>1FAFP37N76W220336</t>
  </si>
  <si>
    <t>bB22</t>
  </si>
  <si>
    <t>Ford</t>
  </si>
  <si>
    <t>Focus</t>
  </si>
  <si>
    <t>ManufacturerOut: FORD;CompanyOut: Ford Motor Company;CountryOut: USA;VehicleTypeOut: Passenger Car;TrimLevelOut: ZX5;BodyOut: 5-Door Sedan;PlantOut: Wayne: Wayne, Michigan;SeatbeltsOut: Active Belts (All designated seating positions);AirbagsOut: Driver and passenger;EngineOut: 4.0L V6 Gasoline SOHC;</t>
  </si>
  <si>
    <t>129</t>
  </si>
  <si>
    <t>1C3CCBAB5CN328929</t>
  </si>
  <si>
    <t>bB23</t>
  </si>
  <si>
    <t>200</t>
  </si>
  <si>
    <t>2012</t>
  </si>
  <si>
    <t>ManufacturerOut: Chrysler;CompanyOut: Chrysler Group LLC;CountryOut: USA;VehicleTypeOut: Passenger;SeatbeltsOut: Active belts, all seating positions;AirbagsOut: Front air bags at outboard seating positions, with inflatable restraints all rows;TrimLevelOut: LX;DrivelineOut: FWD / LHD;BodyOut: 4 Door Sedan;EngineOut: 2.4L I-4 Gasoline;PlantOut: Sterling Heights Assembly;</t>
  </si>
  <si>
    <t>-1 Mode,UI</t>
  </si>
  <si>
    <t>9</t>
  </si>
  <si>
    <t>59</t>
  </si>
  <si>
    <t>1J4PN2GK0AW131991</t>
  </si>
  <si>
    <t>bB24</t>
  </si>
  <si>
    <t>Version 5</t>
  </si>
  <si>
    <t>Liberty / Cherokee</t>
  </si>
  <si>
    <t>ManufacturerOut: Chrysler;CompanyOut: Chrysler Group LLC;CountryOut: USA;VehicleTypeOut: MPV;TrimLevelOut: Sport;DrivelineOut: LHD / 4x4;GVWLbsOut: 5001 - 6000Lbs;BrakeOut: Hydraulic;SeatbeltsOut: Active Belts;AirbagsOut: Front airbags outboard seating, with side inflaitable restraints all rows;BodyOut: Sport Utility 4 Door;EngineOut: 3.7L V6 Gasoline Non - Turbo;PlantOut: Toledo North Assembly;</t>
  </si>
  <si>
    <t>Vehicle 4</t>
  </si>
  <si>
    <t>Vehicle 6</t>
  </si>
  <si>
    <t>Vehicle 8</t>
  </si>
  <si>
    <t>Vehicle 9</t>
  </si>
  <si>
    <t>Vehicle 10</t>
  </si>
  <si>
    <t>Vehicle 13</t>
  </si>
  <si>
    <t>Vehicle 14</t>
  </si>
  <si>
    <t>Vehicle 15</t>
  </si>
  <si>
    <t>Vehicle 16</t>
  </si>
  <si>
    <t>Vehicle 17</t>
  </si>
  <si>
    <t>Vehicle 18</t>
  </si>
  <si>
    <t>angiemilne@geotab.com</t>
  </si>
  <si>
    <t>4F2</t>
  </si>
  <si>
    <t>JM1</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</si>
</sst>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dd/mm/yyyy\ h:mm:ss\ AM/PM"/>
    <numFmt numFmtId="165" formatCode="[h]:mm"/>
    <numFmt numFmtId="166" formatCode="0;\-0;;@"/>
    <numFmt numFmtId="167" formatCode="mmm\ dd\,\ yyyy"/>
    <numFmt numFmtId="168" formatCode="dd/mm/yyyy\ h:mm:ss"/>
  </numFmts>
  <fonts count="19" x14ac:knownFonts="1">
    <font>
      <sz val="11"/>
      <color theme="1"/>
      <name val="Calibri"/>
      <family val="2"/>
      <scheme val="minor"/>
    </font>
    <font>
      <b/>
      <sz val="7"/>
      <color indexed="8"/>
      <name val="Tahoma"/>
      <family val="2"/>
    </font>
    <font>
      <sz val="8"/>
      <color indexed="8"/>
      <name val="Tahoma"/>
      <family val="2"/>
    </font>
    <font>
      <sz val="11"/>
      <color indexed="8"/>
      <name val="Calibri"/>
      <family val="2"/>
    </font>
    <font>
      <sz val="11"/>
      <name val="Segoe UI"/>
      <family val="2"/>
    </font>
    <font>
      <sz val="11"/>
      <color theme="0"/>
      <name val="Calibri"/>
      <family val="2"/>
      <scheme val="minor"/>
    </font>
    <font>
      <b/>
      <sz val="18"/>
      <color theme="0"/>
      <name val="Calibri"/>
      <family val="2"/>
      <scheme val="minor"/>
    </font>
    <font>
      <sz val="11"/>
      <color theme="3"/>
      <name val="Calibri"/>
      <family val="2"/>
      <scheme val="minor"/>
    </font>
    <font>
      <b/>
      <sz val="11"/>
      <color theme="1"/>
      <name val="Calibri"/>
      <family val="2"/>
    </font>
    <font>
      <b/>
      <sz val="11"/>
      <color theme="1"/>
      <name val="Calibri"/>
      <family val="2"/>
      <scheme val="minor"/>
    </font>
    <font>
      <b/>
      <sz val="14"/>
      <color theme="5" tint="-0.249977111117893"/>
      <name val="Calibri"/>
      <family val="2"/>
    </font>
    <font>
      <b/>
      <sz val="8"/>
      <color theme="1"/>
      <name val="Tahoma"/>
      <family val="2"/>
    </font>
    <font>
      <sz val="11"/>
      <color theme="3"/>
      <name val="Segoe UI"/>
      <family val="2"/>
    </font>
    <font>
      <sz val="12"/>
      <color theme="0" tint="-0.34998626667073579"/>
      <name val="Segoe UI"/>
      <family val="2"/>
    </font>
    <font>
      <sz val="11"/>
      <color theme="0" tint="-0.34998626667073579"/>
      <name val="Segoe UI"/>
      <family val="2"/>
    </font>
    <font>
      <sz val="11"/>
      <color theme="0"/>
      <name val="Segoe UI"/>
      <family val="2"/>
    </font>
    <font>
      <sz val="11"/>
      <color theme="1"/>
      <name val="Segoe UI"/>
      <family val="2"/>
    </font>
    <font>
      <b/>
      <sz val="16"/>
      <color theme="1" tint="0.499984740745262"/>
      <name val="Calibri"/>
      <family val="2"/>
      <scheme val="minor"/>
    </font>
    <font>
      <b/>
      <sz val="16"/>
      <color theme="5" tint="-0.249977111117893"/>
      <name val="Calibri"/>
      <family val="2"/>
    </font>
  </fonts>
  <fills count="7">
    <fill>
      <patternFill patternType="none"/>
    </fill>
    <fill>
      <patternFill patternType="gray125"/>
    </fill>
    <fill>
      <patternFill patternType="solid">
        <fgColor indexed="22"/>
        <bgColor indexed="64"/>
      </patternFill>
    </fill>
    <fill>
      <patternFill patternType="solid">
        <fgColor theme="4"/>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s>
  <borders count="3">
    <border>
      <left/>
      <right/>
      <top/>
      <bottom/>
      <diagonal/>
    </border>
    <border>
      <left/>
      <right/>
      <top/>
      <bottom style="medium">
        <color indexed="8"/>
      </bottom>
      <diagonal/>
    </border>
    <border>
      <left style="thin">
        <color indexed="64"/>
      </left>
      <right style="thin">
        <color indexed="64"/>
      </right>
      <top style="thin">
        <color indexed="64"/>
      </top>
      <bottom style="thin">
        <color indexed="64"/>
      </bottom>
      <diagonal/>
    </border>
  </borders>
  <cellStyleXfs count="15">
    <xf numFmtId="0" fontId="0" fillId="0" borderId="0"/>
    <xf numFmtId="43"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42" fontId="3" fillId="0" borderId="0" applyFont="0" applyFill="0" applyBorder="0" applyAlignment="0" applyProtection="0"/>
    <xf numFmtId="42" fontId="3" fillId="0" borderId="0" applyFont="0" applyFill="0" applyBorder="0" applyAlignment="0" applyProtection="0"/>
    <xf numFmtId="44" fontId="3" fillId="0" borderId="0" applyFont="0" applyFill="0" applyBorder="0" applyAlignment="0" applyProtection="0"/>
    <xf numFmtId="0" fontId="6" fillId="3" borderId="0" applyNumberFormat="0"/>
    <xf numFmtId="0" fontId="7" fillId="0" borderId="0" applyNumberFormat="0" applyAlignment="0"/>
    <xf numFmtId="0" fontId="8" fillId="4" borderId="0" applyNumberFormat="0"/>
    <xf numFmtId="167" fontId="5" fillId="3" borderId="0"/>
    <xf numFmtId="0" fontId="9" fillId="0" borderId="0" applyNumberFormat="0"/>
    <xf numFmtId="0" fontId="10" fillId="0" borderId="0" applyNumberFormat="0"/>
  </cellStyleXfs>
  <cellXfs count="29">
    <xf numFmtId="0" fontId="0" fillId="0" borderId="0" xfId="0"/>
    <xf numFmtId="0" fontId="1" fillId="2" borderId="1" xfId="0" applyFont="1" applyFill="1" applyBorder="1" applyAlignment="1">
      <alignment horizontal="center" wrapText="1"/>
    </xf>
    <xf numFmtId="0" fontId="2" fillId="0" borderId="0" xfId="0" applyFont="1" applyAlignment="1">
      <alignment horizontal="left"/>
    </xf>
    <xf numFmtId="164" fontId="2" fillId="0" borderId="0" xfId="0" applyNumberFormat="1" applyFont="1" applyAlignment="1">
      <alignment horizontal="left"/>
    </xf>
    <xf numFmtId="20" fontId="2" fillId="0" borderId="0" xfId="0" applyNumberFormat="1" applyFont="1" applyAlignment="1">
      <alignment horizontal="left"/>
    </xf>
    <xf numFmtId="0" fontId="11" fillId="0" borderId="0" xfId="0" applyFont="1"/>
    <xf numFmtId="0" fontId="6" fillId="3" borderId="0" xfId="9"/>
    <xf numFmtId="168" fontId="2" fillId="0" borderId="0" xfId="0" applyNumberFormat="1" applyFont="1" applyAlignment="1">
      <alignment horizontal="left"/>
    </xf>
    <xf numFmtId="0" fontId="4" fillId="0" borderId="0" xfId="0" applyFont="1" applyAlignment="1">
      <alignment horizontal="left"/>
    </xf>
    <xf numFmtId="165" fontId="12" fillId="0" borderId="0" xfId="10" applyNumberFormat="1" applyFont="1" applyAlignment="1">
      <alignment horizontal="left"/>
    </xf>
    <xf numFmtId="0" fontId="12" fillId="0" borderId="0" xfId="10" applyFont="1" applyAlignment="1">
      <alignment horizontal="left"/>
    </xf>
    <xf numFmtId="0" fontId="13" fillId="0" borderId="0" xfId="11" applyFont="1" applyFill="1" applyBorder="1" applyAlignment="1">
      <alignment horizontal="left"/>
    </xf>
    <xf numFmtId="167" fontId="12" fillId="0" borderId="0" xfId="10" applyNumberFormat="1" applyFont="1" applyAlignment="1">
      <alignment horizontal="left"/>
    </xf>
    <xf numFmtId="0" fontId="12" fillId="0" borderId="0" xfId="10" applyNumberFormat="1" applyFont="1" applyAlignment="1">
      <alignment horizontal="left"/>
    </xf>
    <xf numFmtId="166" fontId="12" fillId="0" borderId="0" xfId="10" applyNumberFormat="1" applyFont="1" applyAlignment="1">
      <alignment horizontal="left"/>
    </xf>
    <xf numFmtId="0" fontId="0" fillId="0" borderId="0" xfId="0"/>
    <xf numFmtId="0" fontId="0" fillId="0" borderId="0" xfId="0" pivotButton="1"/>
    <xf numFmtId="0" fontId="0" fillId="0" borderId="0" xfId="0" applyNumberFormat="1"/>
    <xf numFmtId="0" fontId="5" fillId="3" borderId="2" xfId="0" applyFont="1" applyFill="1" applyBorder="1" applyAlignment="1">
      <alignment horizontal="center"/>
    </xf>
    <xf numFmtId="0" fontId="0" fillId="5" borderId="2" xfId="0" applyFill="1" applyBorder="1"/>
    <xf numFmtId="0" fontId="0" fillId="6" borderId="2" xfId="0" applyFill="1" applyBorder="1"/>
    <xf numFmtId="0" fontId="0" fillId="5" borderId="2" xfId="0" applyFill="1" applyBorder="1" applyAlignment="1">
      <alignment horizontal="left"/>
    </xf>
    <xf numFmtId="0" fontId="14" fillId="0" borderId="0" xfId="10" applyFont="1" applyAlignment="1">
      <alignment horizontal="left"/>
    </xf>
    <xf numFmtId="22" fontId="4" fillId="0" borderId="0" xfId="0" applyNumberFormat="1" applyFont="1" applyAlignment="1">
      <alignment horizontal="left"/>
    </xf>
    <xf numFmtId="0" fontId="15" fillId="0" borderId="0" xfId="0" applyFont="1" applyAlignment="1">
      <alignment horizontal="left"/>
    </xf>
    <xf numFmtId="1" fontId="12" fillId="0" borderId="0" xfId="10" applyNumberFormat="1" applyFont="1" applyAlignment="1">
      <alignment horizontal="left"/>
    </xf>
    <xf numFmtId="0" fontId="16" fillId="0" borderId="0" xfId="0" applyFont="1" applyAlignment="1">
      <alignment horizontal="left"/>
    </xf>
    <xf numFmtId="0" fontId="17" fillId="0" borderId="0" xfId="0" applyFont="1" applyAlignment="1">
      <alignment horizontal="left"/>
    </xf>
    <xf numFmtId="0" fontId="18" fillId="0" borderId="0" xfId="14" applyFont="1"/>
  </cellXfs>
  <cellStyles count="15">
    <cellStyle name="Comma" xfId="1" builtinId="3" customBuiltin="1"/>
    <cellStyle name="Comma [0]" xfId="2" builtinId="6" customBuiltin="1"/>
    <cellStyle name="Comma [0] 2" xfId="3"/>
    <cellStyle name="Comma 2" xfId="4"/>
    <cellStyle name="Currency" xfId="5" builtinId="4" customBuiltin="1"/>
    <cellStyle name="Currency [0]" xfId="6" builtinId="7" customBuiltin="1"/>
    <cellStyle name="Currency [0] 2" xfId="7"/>
    <cellStyle name="Currency 2" xfId="8"/>
    <cellStyle name="Geotab Heading" xfId="9"/>
    <cellStyle name="Geotab Report Body" xfId="10"/>
    <cellStyle name="Geotab Report Column Header" xfId="11"/>
    <cellStyle name="Geotab Report Creation DateTime" xfId="12"/>
    <cellStyle name="Geotab Report Field Name" xfId="13"/>
    <cellStyle name="Geotab Report Name" xfId="14"/>
    <cellStyle name="Normal" xfId="0" builtinId="0" customBuiltin="1"/>
  </cellStyles>
  <dxfs count="15">
    <dxf>
      <fill>
        <patternFill>
          <bgColor rgb="FFFFDEA3"/>
        </patternFill>
      </fill>
    </dxf>
    <dxf>
      <fill>
        <patternFill>
          <bgColor rgb="FFBDFFBD"/>
        </patternFill>
      </fill>
    </dxf>
    <dxf>
      <fill>
        <patternFill>
          <bgColor rgb="FFFFAAAA"/>
        </patternFill>
      </fill>
    </dxf>
    <dxf>
      <fill>
        <patternFill patternType="solid">
          <fgColor theme="5" tint="0.79998168889431442"/>
          <bgColor theme="5" tint="0.79998168889431442"/>
        </patternFill>
      </fill>
      <border>
        <bottom style="thin">
          <color theme="5" tint="0.39997558519241921"/>
        </bottom>
      </border>
    </dxf>
    <dxf>
      <fill>
        <patternFill patternType="solid">
          <fgColor theme="5" tint="0.79998168889431442"/>
          <bgColor theme="5" tint="0.79998168889431442"/>
        </patternFill>
      </fill>
      <border>
        <bottom style="thin">
          <color theme="5" tint="0.39997558519241921"/>
        </bottom>
      </border>
    </dxf>
    <dxf>
      <font>
        <b/>
        <color theme="1"/>
      </font>
    </dxf>
    <dxf>
      <font>
        <b/>
        <color theme="1"/>
      </font>
      <border>
        <bottom style="thin">
          <color theme="5" tint="0.39997558519241921"/>
        </bottom>
      </border>
    </dxf>
    <dxf>
      <font>
        <color theme="1"/>
      </font>
    </dxf>
    <dxf>
      <font>
        <b/>
        <i val="0"/>
        <color theme="1"/>
      </font>
      <fill>
        <patternFill>
          <bgColor theme="6" tint="0.79998168889431442"/>
        </patternFill>
      </fill>
      <border>
        <top style="thin">
          <color theme="5"/>
        </top>
        <bottom style="thin">
          <color theme="5"/>
        </bottom>
      </border>
    </dxf>
    <dxf>
      <font>
        <color auto="1"/>
      </font>
      <fill>
        <patternFill patternType="solid">
          <fgColor theme="0" tint="-0.14999847407452621"/>
          <bgColor theme="0" tint="-0.14999847407452621"/>
        </patternFill>
      </fill>
    </dxf>
    <dxf>
      <fill>
        <patternFill patternType="solid">
          <fgColor theme="0" tint="-0.14993743705557422"/>
          <bgColor theme="0" tint="-0.14996795556505021"/>
        </patternFill>
      </fill>
      <border>
        <left style="thin">
          <color theme="0" tint="-0.249977111117893"/>
        </left>
        <right style="thin">
          <color theme="0" tint="-0.249977111117893"/>
        </right>
      </border>
    </dxf>
    <dxf>
      <fill>
        <patternFill>
          <fgColor theme="8"/>
          <bgColor theme="8"/>
        </patternFill>
      </fill>
    </dxf>
    <dxf>
      <font>
        <b/>
        <i val="0"/>
        <color theme="0"/>
      </font>
      <fill>
        <patternFill patternType="solid">
          <fgColor theme="5" tint="0.79995117038483843"/>
          <bgColor theme="4"/>
        </patternFill>
      </fill>
      <border>
        <top style="thin">
          <color theme="5" tint="0.39997558519241921"/>
        </top>
      </border>
    </dxf>
    <dxf>
      <font>
        <b/>
        <i val="0"/>
        <color theme="1"/>
      </font>
      <fill>
        <patternFill patternType="solid">
          <fgColor theme="5" tint="0.79995117038483843"/>
          <bgColor theme="5" tint="0.59996337778862885"/>
        </patternFill>
      </fill>
      <border>
        <bottom style="thin">
          <color theme="5" tint="0.39997558519241921"/>
        </bottom>
      </border>
    </dxf>
    <dxf>
      <font>
        <color theme="3"/>
      </font>
    </dxf>
  </dxfs>
  <tableStyles count="1" defaultTableStyle="TableStyleMedium9" defaultPivotStyle="PivotStyleLight16">
    <tableStyle name="PivotStyleLightCheckmate" table="0" count="12">
      <tableStyleElement type="wholeTable" dxfId="14"/>
      <tableStyleElement type="headerRow" dxfId="13"/>
      <tableStyleElement type="totalRow" dxfId="12"/>
      <tableStyleElement type="secondRowStripe" dxfId="11"/>
      <tableStyleElement type="firstColumnStripe" dxfId="10"/>
      <tableStyleElement type="firstSubtotalColumn" dxfId="9"/>
      <tableStyleElement type="firstSubtotalRow" dxfId="8"/>
      <tableStyleElement type="secondSubtotalRow" dxfId="7"/>
      <tableStyleElement type="firstRowSubheading" dxfId="6"/>
      <tableStyleElement type="secondRowSubheading" dxfId="5"/>
      <tableStyleElement type="pageFieldLabels" dxfId="4"/>
      <tableStyleElement type="pageFieldValues"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[Fleet Breakdown by Make.xlsm]Summary!PivotTable9</c:name>
    <c:fmtId val="0"/>
  </c:pivotSource>
  <c:chart>
    <c:autoTitleDeleted val="1"/>
    <c:pivotFmts>
      <c:pivotFmt>
        <c:idx val="0"/>
        <c:marker>
          <c:symbol val="none"/>
        </c:marker>
        <c:dLbl>
          <c:idx val="0"/>
          <c:layout/>
          <c:spPr>
            <a:noFill/>
            <a:ln w="25400">
              <a:noFill/>
            </a:ln>
          </c:spPr>
          <c:txPr>
            <a:bodyPr wrap="square" lIns="38100" tIns="19050" rIns="38100" bIns="19050" anchor="ctr">
              <a:spAutoFit/>
            </a:bodyPr>
            <a:lstStyle/>
            <a:p>
              <a:pPr>
                <a:defRPr>
                  <a:solidFill>
                    <a:schemeClr val="tx1">
                      <a:lumMod val="50000"/>
                      <a:lumOff val="50000"/>
                    </a:schemeClr>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
      </c:pivotFmt>
      <c:pivotFmt>
        <c:idx val="2"/>
      </c:pivotFmt>
      <c:pivotFmt>
        <c:idx val="3"/>
      </c:pivotFmt>
      <c:pivotFmt>
        <c:idx val="4"/>
      </c:pivotFmt>
      <c:pivotFmt>
        <c:idx val="5"/>
      </c:pivotFmt>
      <c:pivotFmt>
        <c:idx val="6"/>
      </c:pivotFmt>
      <c:pivotFmt>
        <c:idx val="7"/>
      </c:pivotFmt>
    </c:pivotFmts>
    <c:plotArea>
      <c:layout/>
      <c:pieChart>
        <c:varyColors val="1"/>
        <c:ser>
          <c:idx val="0"/>
          <c:order val="0"/>
          <c:tx>
            <c:strRef>
              <c:f>Summary!$B$5</c:f>
              <c:strCache>
                <c:ptCount val="1"/>
                <c:pt idx="0">
                  <c:v>Total</c:v>
                </c:pt>
              </c:strCache>
            </c:strRef>
          </c:tx>
          <c:dPt>
            <c:idx val="0"/>
            <c:bubble3D val="0"/>
          </c:dPt>
          <c:dPt>
            <c:idx val="1"/>
            <c:bubble3D val="0"/>
          </c:dPt>
          <c:dPt>
            <c:idx val="2"/>
            <c:bubble3D val="0"/>
          </c:dPt>
          <c:dPt>
            <c:idx val="3"/>
            <c:bubble3D val="0"/>
          </c:dPt>
          <c:dPt>
            <c:idx val="4"/>
            <c:bubble3D val="0"/>
          </c:dPt>
          <c:dPt>
            <c:idx val="5"/>
            <c:bubble3D val="0"/>
          </c:dPt>
          <c:dPt>
            <c:idx val="6"/>
            <c:bubble3D val="0"/>
          </c:dPt>
          <c:dLbls>
            <c:spPr>
              <a:noFill/>
              <a:ln w="25400">
                <a:noFill/>
              </a:ln>
            </c:spPr>
            <c:txPr>
              <a:bodyPr wrap="square" lIns="38100" tIns="19050" rIns="38100" bIns="19050" anchor="ctr">
                <a:spAutoFit/>
              </a:bodyPr>
              <a:lstStyle/>
              <a:p>
                <a:pPr>
                  <a:defRPr>
                    <a:solidFill>
                      <a:schemeClr val="tx1">
                        <a:lumMod val="50000"/>
                        <a:lumOff val="50000"/>
                      </a:schemeClr>
                    </a:solidFill>
                  </a:defRPr>
                </a:pPr>
                <a:endParaRPr lang="en-US"/>
              </a:p>
            </c:txPr>
            <c:dLblPos val="outEnd"/>
            <c:showLegendKey val="0"/>
            <c:showVal val="1"/>
            <c:showCatName val="0"/>
            <c:showSerName val="0"/>
            <c:showPercent val="0"/>
            <c:showBubbleSize val="0"/>
            <c:showLeaderLines val="1"/>
            <c:extLst>
              <c:ext xmlns:c15="http://schemas.microsoft.com/office/drawing/2012/chart" uri="{CE6537A1-D6FC-4f65-9D91-7224C49458BB}">
                <c15:layout/>
              </c:ext>
            </c:extLst>
          </c:dLbls>
          <c:cat>
            <c:strRef>
              <c:f>Summary!$A$6:$A$12</c:f>
              <c:strCache>
                <c:ptCount val="7"/>
                <c:pt idx="0">
                  <c:v>Unknown</c:v>
                </c:pt>
                <c:pt idx="1">
                  <c:v>Chrysler</c:v>
                </c:pt>
                <c:pt idx="2">
                  <c:v>Jeep</c:v>
                </c:pt>
                <c:pt idx="3">
                  <c:v>Nissan</c:v>
                </c:pt>
                <c:pt idx="4">
                  <c:v>Pontiac</c:v>
                </c:pt>
                <c:pt idx="5">
                  <c:v>Mazda</c:v>
                </c:pt>
                <c:pt idx="6">
                  <c:v>Ford</c:v>
                </c:pt>
              </c:strCache>
            </c:strRef>
          </c:cat>
          <c:val>
            <c:numRef>
              <c:f>Summary!$B$6:$B$12</c:f>
              <c:numCache>
                <c:formatCode>General</c:formatCode>
                <c:ptCount val="7"/>
                <c:pt idx="0">
                  <c:v>1</c:v>
                </c:pt>
                <c:pt idx="1">
                  <c:v>1</c:v>
                </c:pt>
                <c:pt idx="2">
                  <c:v>1</c:v>
                </c:pt>
                <c:pt idx="3">
                  <c:v>1</c:v>
                </c:pt>
                <c:pt idx="4">
                  <c:v>1</c:v>
                </c:pt>
                <c:pt idx="5">
                  <c:v>5</c:v>
                </c:pt>
                <c:pt idx="6">
                  <c:v>1</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xdr:col>
      <xdr:colOff>447675</xdr:colOff>
      <xdr:row>1</xdr:row>
      <xdr:rowOff>95250</xdr:rowOff>
    </xdr:from>
    <xdr:to>
      <xdr:col>7</xdr:col>
      <xdr:colOff>333375</xdr:colOff>
      <xdr:row>29</xdr:row>
      <xdr:rowOff>171450</xdr:rowOff>
    </xdr:to>
    <xdr:graphicFrame macro="">
      <xdr:nvGraphicFramePr>
        <xdr:cNvPr id="308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384809</xdr:colOff>
      <xdr:row>4</xdr:row>
      <xdr:rowOff>26670</xdr:rowOff>
    </xdr:from>
    <xdr:to>
      <xdr:col>3</xdr:col>
      <xdr:colOff>1354509</xdr:colOff>
      <xdr:row>5</xdr:row>
      <xdr:rowOff>179070</xdr:rowOff>
    </xdr:to>
    <xdr:sp macro="" textlink="Report!C5">
      <xdr:nvSpPr>
        <xdr:cNvPr id="2" name="TextBox 1"/>
        <xdr:cNvSpPr txBox="1"/>
      </xdr:nvSpPr>
      <xdr:spPr>
        <a:xfrm>
          <a:off x="2851784" y="969645"/>
          <a:ext cx="9697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DE32C9-584E-477E-A237-DE010FE07481}" type="TxLink">
            <a:rPr lang="en-US" sz="1400" b="0" i="0" u="none" strike="noStrike">
              <a:solidFill>
                <a:schemeClr val="tx1">
                  <a:lumMod val="50000"/>
                  <a:lumOff val="50000"/>
                </a:schemeClr>
              </a:solidFill>
              <a:latin typeface="+mn-lt"/>
              <a:ea typeface="Segoe UI"/>
              <a:cs typeface="Segoe UI"/>
            </a:rPr>
            <a:t>Total: 11</a:t>
          </a:fld>
          <a:endParaRPr lang="en-US" sz="1400">
            <a:solidFill>
              <a:schemeClr val="tx1">
                <a:lumMod val="50000"/>
                <a:lumOff val="50000"/>
              </a:schemeClr>
            </a:solidFill>
            <a:latin typeface="+mn-lt"/>
          </a:endParaRPr>
        </a:p>
      </xdr:txBody>
    </xdr:sp>
    <xdr:clientData/>
  </xdr:twoCellAnchor>
  <xdr:twoCellAnchor>
    <xdr:from>
      <xdr:col>7</xdr:col>
      <xdr:colOff>447675</xdr:colOff>
      <xdr:row>5</xdr:row>
      <xdr:rowOff>28576</xdr:rowOff>
    </xdr:from>
    <xdr:to>
      <xdr:col>11</xdr:col>
      <xdr:colOff>186708</xdr:colOff>
      <xdr:row>14</xdr:row>
      <xdr:rowOff>142876</xdr:rowOff>
    </xdr:to>
    <xdr:sp macro="" textlink="">
      <xdr:nvSpPr>
        <xdr:cNvPr id="9" name="TextBox 8"/>
        <xdr:cNvSpPr txBox="1"/>
      </xdr:nvSpPr>
      <xdr:spPr>
        <a:xfrm>
          <a:off x="8515350" y="1162051"/>
          <a:ext cx="5339733" cy="18288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chemeClr val="accent2">
                  <a:lumMod val="75000"/>
                </a:schemeClr>
              </a:solidFill>
              <a:effectLst/>
              <a:latin typeface="+mn-lt"/>
              <a:ea typeface="+mn-ea"/>
              <a:cs typeface="+mn-cs"/>
            </a:rPr>
            <a:t>Report Description</a:t>
          </a:r>
        </a:p>
        <a:p>
          <a:r>
            <a:rPr lang="en-US" sz="1200" b="0" i="0" u="none" strike="noStrike">
              <a:solidFill>
                <a:schemeClr val="tx1">
                  <a:lumMod val="50000"/>
                  <a:lumOff val="50000"/>
                </a:schemeClr>
              </a:solidFill>
              <a:effectLst/>
              <a:latin typeface="+mn-lt"/>
              <a:ea typeface="+mn-ea"/>
              <a:cs typeface="+mn-cs"/>
            </a:rPr>
            <a:t/>
          </a:r>
          <a:br>
            <a:rPr lang="en-US" sz="1200" b="0" i="0" u="none" strike="noStrike">
              <a:solidFill>
                <a:schemeClr val="tx1">
                  <a:lumMod val="50000"/>
                  <a:lumOff val="50000"/>
                </a:schemeClr>
              </a:solidFill>
              <a:effectLst/>
              <a:latin typeface="+mn-lt"/>
              <a:ea typeface="+mn-ea"/>
              <a:cs typeface="+mn-cs"/>
            </a:rPr>
          </a:br>
          <a:r>
            <a:rPr lang="en-US" sz="1200" b="0" i="0" u="none" strike="noStrike">
              <a:solidFill>
                <a:schemeClr val="tx1">
                  <a:lumMod val="50000"/>
                  <a:lumOff val="50000"/>
                </a:schemeClr>
              </a:solidFill>
              <a:effectLst/>
              <a:latin typeface="+mn-lt"/>
              <a:ea typeface="+mn-ea"/>
              <a:cs typeface="+mn-cs"/>
            </a:rPr>
            <a:t>This report analyzes the VINs in your fleet and displays them according to manufacturer. It displays them in pie chart format, showing how many car makes your fleet is comprised of, and how many vehicles from each manufacturer are in your fleet.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Angie Milne" refreshedDate="42251.417090393516" missingItemsLimit="0" createdVersion="4" refreshedVersion="5" minRefreshableVersion="3" recordCount="11">
  <cacheSource type="worksheet">
    <worksheetSource name="AllData"/>
  </cacheSource>
  <cacheFields count="18">
    <cacheField name="Vehicle" numFmtId="0">
      <sharedItems/>
    </cacheField>
    <cacheField name="Comment" numFmtId="166">
      <sharedItems containsMixedTypes="1" containsNumber="1" containsInteger="1" minValue="0" maxValue="0"/>
    </cacheField>
    <cacheField name="License Plate" numFmtId="166">
      <sharedItems containsMixedTypes="1" containsNumber="1" containsInteger="1" minValue="0" maxValue="0"/>
    </cacheField>
    <cacheField name="VIN" numFmtId="166">
      <sharedItems containsMixedTypes="1" containsNumber="1" containsInteger="1" minValue="0" maxValue="0"/>
    </cacheField>
    <cacheField name="WMI" numFmtId="166">
      <sharedItems/>
    </cacheField>
    <cacheField name="Make" numFmtId="166">
      <sharedItems count="7">
        <s v="Nissan"/>
        <s v="Pontiac"/>
        <s v="Mazda"/>
        <s v="Unknown"/>
        <s v="Ford"/>
        <s v="Chrysler"/>
        <s v="Jeep"/>
      </sharedItems>
    </cacheField>
    <cacheField name="Odometer" numFmtId="1">
      <sharedItems containsSemiMixedTypes="0" containsString="0" containsNumber="1" minValue="1084.980712890625" maxValue="399039.1875"/>
    </cacheField>
    <cacheField name="Device Group" numFmtId="0">
      <sharedItems/>
    </cacheField>
    <cacheField name="Serial No." numFmtId="0">
      <sharedItems containsSemiMixedTypes="0" containsString="0" containsNumber="1" containsInteger="1" minValue="0" maxValue="0"/>
    </cacheField>
    <cacheField name="Current Driver" numFmtId="0">
      <sharedItems/>
    </cacheField>
    <cacheField name="Current Activity" numFmtId="0">
      <sharedItems/>
    </cacheField>
    <cacheField name="Last Stop Address" numFmtId="0">
      <sharedItems/>
    </cacheField>
    <cacheField name="Last Stop Zone Types" numFmtId="166">
      <sharedItems containsSemiMixedTypes="0" containsString="0" containsNumber="1" containsInteger="1" minValue="0" maxValue="0"/>
    </cacheField>
    <cacheField name="Last Office Stop" numFmtId="0">
      <sharedItems/>
    </cacheField>
    <cacheField name="Current Engine Hours" numFmtId="165">
      <sharedItems containsSemiMixedTypes="0" containsNonDate="0" containsDate="1" containsString="0" minDate="1899-12-30T08:13:22" maxDate="7904-12-20T17:56:23"/>
    </cacheField>
    <cacheField name="Firmware Version" numFmtId="0">
      <sharedItems/>
    </cacheField>
    <cacheField name="Time Zone" numFmtId="0">
      <sharedItems/>
    </cacheField>
    <cacheField name="License State" numFmtId="0">
      <sharedItems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1">
  <r>
    <s v="Vehicle 4"/>
    <n v="0"/>
    <n v="0"/>
    <s v="JN8AS5MTXAW004141"/>
    <s v="JN8"/>
    <x v="0"/>
    <n v="129755"/>
    <s v="Entire Organization"/>
    <n v="0"/>
    <s v=""/>
    <s v="Stopped"/>
    <s v=""/>
    <n v="0"/>
    <s v=""/>
    <d v="1900-01-25T15:22:56"/>
    <s v="107.4.17"/>
    <s v="America/New_York"/>
    <n v="0"/>
  </r>
  <r>
    <s v="Vehicle 6"/>
    <s v="test"/>
    <n v="0"/>
    <s v="3G2JB12F63S162447"/>
    <s v="3G2"/>
    <x v="1"/>
    <n v="293391"/>
    <s v="Entire Organization"/>
    <n v="0"/>
    <s v=""/>
    <s v="Stopped"/>
    <s v=""/>
    <n v="0"/>
    <s v=""/>
    <d v="1900-01-09T08:03:29"/>
    <s v="105.2.54"/>
    <s v="America/New_York"/>
    <n v="0"/>
  </r>
  <r>
    <s v="Vehicle 8"/>
    <s v=""/>
    <s v=""/>
    <s v="JM1CR293X60118562"/>
    <s v="JM1"/>
    <x v="2"/>
    <n v="212085"/>
    <s v="Entire Organization"/>
    <n v="0"/>
    <s v=""/>
    <s v="Stopped"/>
    <s v=""/>
    <n v="0"/>
    <s v=""/>
    <d v="1899-12-30T08:13:22"/>
    <s v="101.3.73"/>
    <s v="America/New_York"/>
    <s v=""/>
  </r>
  <r>
    <s v="Vehicle 9"/>
    <n v="0"/>
    <n v="0"/>
    <s v="4F2CZ96155KM03006"/>
    <s v="4F2"/>
    <x v="2"/>
    <n v="3421.634033203125"/>
    <s v="Entire Organization"/>
    <n v="0"/>
    <s v=""/>
    <s v="Stopped"/>
    <s v=""/>
    <n v="0"/>
    <s v=""/>
    <d v="1916-06-23T14:29:35"/>
    <s v="101.7.17"/>
    <s v="America/New_York"/>
    <n v="0"/>
  </r>
  <r>
    <s v="Vehicle 10"/>
    <n v="0"/>
    <n v="0"/>
    <s v="4F2CZ96155KM03006"/>
    <s v="4F2"/>
    <x v="2"/>
    <n v="399039.1875"/>
    <s v="Entire Organization"/>
    <n v="0"/>
    <s v=""/>
    <s v="Stopped"/>
    <s v=""/>
    <n v="0"/>
    <s v=""/>
    <d v="1899-12-31T21:56:48"/>
    <s v="101.5.23"/>
    <s v="America/New_York"/>
    <n v="0"/>
  </r>
  <r>
    <s v="Vehicle 13"/>
    <n v="0"/>
    <n v="0"/>
    <s v="4F2CZ96132KM01234"/>
    <s v="4F2"/>
    <x v="2"/>
    <n v="3438.546875"/>
    <s v="Entire Organization"/>
    <n v="0"/>
    <s v=""/>
    <s v="Stopped"/>
    <s v=""/>
    <n v="0"/>
    <s v=""/>
    <d v="7904-12-20T17:56:23"/>
    <s v="105.5.19"/>
    <s v="America/New_York"/>
    <n v="0"/>
  </r>
  <r>
    <s v="Vehicle 14"/>
    <n v="0"/>
    <n v="0"/>
    <s v="4F2CZ96132KM01234"/>
    <s v="4F2"/>
    <x v="2"/>
    <n v="3421.636962890625"/>
    <s v="Entire Organization"/>
    <n v="0"/>
    <s v=""/>
    <s v="Stopped"/>
    <s v=""/>
    <n v="0"/>
    <s v=""/>
    <d v="1900-06-28T11:15:14"/>
    <s v="107.8.0"/>
    <s v="America/New_York"/>
    <n v="0"/>
  </r>
  <r>
    <s v="Vehicle 15"/>
    <n v="0"/>
    <n v="0"/>
    <n v="0"/>
    <s v="Uknown"/>
    <x v="3"/>
    <n v="399039.1875"/>
    <s v="Entire Organization"/>
    <n v="0"/>
    <s v=""/>
    <s v="Stopped"/>
    <s v=""/>
    <n v="0"/>
    <s v=""/>
    <d v="1900-02-01T03:40:09"/>
    <s v="105.5.10"/>
    <s v="America/New_York"/>
    <n v="0"/>
  </r>
  <r>
    <s v="Vehicle 16"/>
    <n v="0"/>
    <n v="0"/>
    <s v="1FAFP37N76W220336"/>
    <s v="1FA"/>
    <x v="4"/>
    <n v="1084.980712890625"/>
    <s v="Entire Organization"/>
    <n v="0"/>
    <s v=""/>
    <s v="Stopped"/>
    <s v=""/>
    <n v="0"/>
    <s v=""/>
    <d v="1900-01-31T21:14:45"/>
    <s v="101.4.5"/>
    <s v="America/New_York"/>
    <n v="0"/>
  </r>
  <r>
    <s v="Vehicle 17"/>
    <n v="0"/>
    <n v="0"/>
    <s v="1C3CCBAB5CN328929"/>
    <s v="1C3"/>
    <x v="5"/>
    <n v="17404.138671875"/>
    <s v="Entire Organization"/>
    <n v="0"/>
    <s v=""/>
    <s v="Stopped"/>
    <s v=""/>
    <n v="0"/>
    <s v=""/>
    <d v="1900-02-10T00:03:18"/>
    <s v="101.2.129"/>
    <s v="America/New_York"/>
    <n v="0"/>
  </r>
  <r>
    <s v="Vehicle 18"/>
    <s v=""/>
    <s v=""/>
    <s v="1J4PN2GK0AW131991"/>
    <s v="1J4"/>
    <x v="6"/>
    <n v="127808.734375"/>
    <s v="Entire Organization"/>
    <n v="0"/>
    <s v=""/>
    <s v="Stopped"/>
    <s v=""/>
    <n v="0"/>
    <s v=""/>
    <d v="1900-01-05T08:53:37"/>
    <s v="100.9.59"/>
    <s v="America/New_York"/>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9" cacheId="3" dataOnRows="1" applyNumberFormats="0" applyBorderFormats="0" applyFontFormats="0" applyPatternFormats="0" applyAlignmentFormats="0" applyWidthHeightFormats="1" dataCaption="Data" updatedVersion="5" minRefreshableVersion="3" showDrill="0" showMemberPropertyTips="0" rowGrandTotals="0" itemPrintTitles="1" createdVersion="5" indent="0" compact="0" compactData="0" chartFormat="1">
  <location ref="A5:B12" firstHeaderRow="1" firstDataRow="1" firstDataCol="1"/>
  <pivotFields count="18">
    <pivotField dataField="1"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howAll="0" defaultSubtotal="0"/>
    <pivotField axis="axisRow" compact="0" outline="0" subtotalTop="0" showAll="0" includeNewItemsInFilter="1" defaultSubtotal="0">
      <items count="7">
        <item x="3"/>
        <item x="5"/>
        <item x="6"/>
        <item x="0"/>
        <item x="1"/>
        <item x="2"/>
        <item x="4"/>
      </items>
    </pivotField>
    <pivotField compact="0" numFmtId="1"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numFmtId="165"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s>
  <rowFields count="1">
    <field x="5"/>
  </rowFields>
  <rowItems count="7">
    <i>
      <x/>
    </i>
    <i>
      <x v="1"/>
    </i>
    <i>
      <x v="2"/>
    </i>
    <i>
      <x v="3"/>
    </i>
    <i>
      <x v="4"/>
    </i>
    <i>
      <x v="5"/>
    </i>
    <i>
      <x v="6"/>
    </i>
  </rowItems>
  <colItems count="1">
    <i/>
  </colItems>
  <dataFields count="1">
    <dataField name="Count of Vehicle" fld="0" subtotal="count"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0" format="5">
      <pivotArea type="data" outline="0" fieldPosition="0">
        <references count="2">
          <reference field="4294967294" count="1" selected="0">
            <x v="0"/>
          </reference>
          <reference field="5" count="1" selected="0">
            <x v="4"/>
          </reference>
        </references>
      </pivotArea>
    </chartFormat>
    <chartFormat chart="0" format="6">
      <pivotArea type="data" outline="0" fieldPosition="0">
        <references count="2">
          <reference field="4294967294" count="1" selected="0">
            <x v="0"/>
          </reference>
          <reference field="5" count="1" selected="0">
            <x v="5"/>
          </reference>
        </references>
      </pivotArea>
    </chartFormat>
    <chartFormat chart="0" format="7">
      <pivotArea type="data" outline="0" fieldPosition="0">
        <references count="2">
          <reference field="4294967294" count="1" selected="0">
            <x v="0"/>
          </reference>
          <reference field="5" count="1" selected="0">
            <x v="6"/>
          </reference>
        </references>
      </pivotArea>
    </chartFormat>
  </chartFormats>
  <pivotTableStyleInfo name="PivotStyleLightCheckmate" showRowHeaders="0" showColHeaders="1" showRowStripes="1" showColStripes="0" showLastColumn="1"/>
</pivotTableDefinition>
</file>

<file path=xl/theme/theme1.xml><?xml version="1.0" encoding="utf-8"?>
<a:theme xmlns:a="http://schemas.openxmlformats.org/drawingml/2006/main" name="CheckmateReportTheme">
  <a:themeElements>
    <a:clrScheme name="Custom 1">
      <a:dk1>
        <a:sysClr val="windowText" lastClr="000000"/>
      </a:dk1>
      <a:lt1>
        <a:sysClr val="window" lastClr="FFFFFF"/>
      </a:lt1>
      <a:dk2>
        <a:srgbClr val="3F3F3F"/>
      </a:dk2>
      <a:lt2>
        <a:srgbClr val="EEECE1"/>
      </a:lt2>
      <a:accent1>
        <a:srgbClr val="25477B"/>
      </a:accent1>
      <a:accent2>
        <a:srgbClr val="5C9CCC"/>
      </a:accent2>
      <a:accent3>
        <a:srgbClr val="9BBB59"/>
      </a:accent3>
      <a:accent4>
        <a:srgbClr val="F7941E"/>
      </a:accent4>
      <a:accent5>
        <a:srgbClr val="F3F8FB"/>
      </a:accent5>
      <a:accent6>
        <a:srgbClr val="EEECE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angiemilne@geotab.com"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AO17"/>
  <sheetViews>
    <sheetView workbookViewId="0">
      <pane ySplit="6" topLeftCell="A7" activePane="bottomLeft" state="frozen"/>
      <selection pane="bottomLeft" activeCell="E23" sqref="E23"/>
    </sheetView>
  </sheetViews>
  <sheetFormatPr defaultRowHeight="15" x14ac:dyDescent="0.25"/>
  <cols>
    <col min="1" max="1" width="14.42578125" customWidth="1"/>
    <col min="2" max="2" width="18.5703125" customWidth="1"/>
    <col min="3" max="4" width="21.7109375" customWidth="1"/>
    <col min="5" max="5" width="20" bestFit="1" customWidth="1"/>
    <col min="6" max="7" width="12.28515625" customWidth="1"/>
    <col min="8" max="8" width="46" customWidth="1"/>
    <col min="9" max="10" width="21.85546875" customWidth="1"/>
    <col min="11" max="12" width="14" customWidth="1"/>
    <col min="13" max="14" width="15" customWidth="1"/>
    <col min="15" max="15" width="17.5703125" customWidth="1"/>
    <col min="16" max="16" width="18" bestFit="1" customWidth="1"/>
    <col min="17" max="17" width="11" customWidth="1"/>
    <col min="18" max="20" width="14" customWidth="1"/>
    <col min="21" max="21" width="13" customWidth="1"/>
    <col min="22" max="23" width="11" customWidth="1"/>
    <col min="24" max="24" width="18" customWidth="1"/>
    <col min="25" max="25" width="31" customWidth="1"/>
    <col min="26" max="26" width="44" customWidth="1"/>
    <col min="27" max="27" width="17.140625" bestFit="1" customWidth="1"/>
    <col min="28" max="28" width="22.7109375" bestFit="1" customWidth="1"/>
    <col min="29" max="29" width="20" customWidth="1"/>
    <col min="30" max="41" width="11.42578125" customWidth="1"/>
  </cols>
  <sheetData>
    <row r="1" spans="1:41" x14ac:dyDescent="0.25">
      <c r="A1" s="5" t="s">
        <v>36</v>
      </c>
      <c r="B1" s="3" t="s">
        <v>482</v>
      </c>
    </row>
    <row r="2" spans="1:41" x14ac:dyDescent="0.25">
      <c r="A2" s="5" t="s">
        <v>33</v>
      </c>
      <c r="B2" s="3">
        <v>42195.616860798611</v>
      </c>
      <c r="C2" s="3"/>
      <c r="D2" s="3"/>
      <c r="E2" s="3"/>
    </row>
    <row r="3" spans="1:41" x14ac:dyDescent="0.25">
      <c r="A3" s="5" t="s">
        <v>37</v>
      </c>
      <c r="B3" s="3" t="s">
        <v>483</v>
      </c>
      <c r="C3" s="3"/>
      <c r="D3" s="3"/>
      <c r="E3" s="3"/>
    </row>
    <row r="4" spans="1:41" x14ac:dyDescent="0.25">
      <c r="A4" s="5" t="s">
        <v>46</v>
      </c>
      <c r="B4" s="3" t="b">
        <v>1</v>
      </c>
      <c r="C4" s="3"/>
      <c r="D4" s="3"/>
      <c r="E4" s="3"/>
    </row>
    <row r="5" spans="1:41" x14ac:dyDescent="0.25">
      <c r="A5" s="5" t="s">
        <v>47</v>
      </c>
      <c r="B5" s="3" t="s">
        <v>557</v>
      </c>
    </row>
    <row r="6" spans="1:41" ht="32.25" customHeight="1" thickBot="1" x14ac:dyDescent="0.3">
      <c r="A6" s="1" t="s">
        <v>9</v>
      </c>
      <c r="B6" s="1" t="s">
        <v>11</v>
      </c>
      <c r="C6" s="1" t="s">
        <v>13</v>
      </c>
      <c r="D6" s="1" t="s">
        <v>55</v>
      </c>
      <c r="E6" s="1" t="s">
        <v>64</v>
      </c>
      <c r="F6" s="1" t="s">
        <v>26</v>
      </c>
      <c r="G6" s="1" t="s">
        <v>65</v>
      </c>
      <c r="H6" s="1" t="s">
        <v>10</v>
      </c>
      <c r="I6" s="1" t="s">
        <v>27</v>
      </c>
      <c r="J6" s="1" t="s">
        <v>34</v>
      </c>
      <c r="K6" s="1" t="s">
        <v>53</v>
      </c>
      <c r="L6" s="1" t="s">
        <v>54</v>
      </c>
      <c r="M6" s="1" t="s">
        <v>14</v>
      </c>
      <c r="N6" s="1" t="s">
        <v>31</v>
      </c>
      <c r="O6" s="1" t="s">
        <v>56</v>
      </c>
      <c r="P6" s="1" t="s">
        <v>57</v>
      </c>
      <c r="Q6" s="1" t="s">
        <v>15</v>
      </c>
      <c r="R6" s="1" t="s">
        <v>16</v>
      </c>
      <c r="S6" s="1" t="s">
        <v>17</v>
      </c>
      <c r="T6" s="1" t="s">
        <v>18</v>
      </c>
      <c r="U6" s="1" t="s">
        <v>66</v>
      </c>
      <c r="V6" s="1" t="s">
        <v>19</v>
      </c>
      <c r="W6" s="1" t="s">
        <v>20</v>
      </c>
      <c r="X6" s="1" t="s">
        <v>21</v>
      </c>
      <c r="Y6" s="1" t="s">
        <v>22</v>
      </c>
      <c r="Z6" s="1" t="s">
        <v>12</v>
      </c>
      <c r="AA6" s="1" t="s">
        <v>23</v>
      </c>
      <c r="AB6" s="1" t="s">
        <v>24</v>
      </c>
      <c r="AC6" s="1" t="s">
        <v>29</v>
      </c>
      <c r="AD6" s="1" t="s">
        <v>38</v>
      </c>
      <c r="AE6" s="1" t="s">
        <v>39</v>
      </c>
      <c r="AF6" s="1" t="s">
        <v>40</v>
      </c>
      <c r="AG6" s="1" t="s">
        <v>41</v>
      </c>
      <c r="AH6" s="1" t="s">
        <v>42</v>
      </c>
      <c r="AI6" s="1" t="s">
        <v>43</v>
      </c>
      <c r="AJ6" s="1" t="s">
        <v>44</v>
      </c>
      <c r="AK6" s="1" t="s">
        <v>45</v>
      </c>
      <c r="AL6" s="1" t="s">
        <v>51</v>
      </c>
      <c r="AM6" s="1" t="s">
        <v>48</v>
      </c>
      <c r="AN6" s="1" t="s">
        <v>49</v>
      </c>
      <c r="AO6" s="1" t="s">
        <v>50</v>
      </c>
    </row>
    <row r="7" spans="1:41" x14ac:dyDescent="0.25">
      <c r="A7" s="2" t="s">
        <v>546</v>
      </c>
      <c r="B7" s="2" t="s">
        <v>491</v>
      </c>
      <c r="C7" s="2" t="s">
        <v>485</v>
      </c>
      <c r="E7" s="2" t="s">
        <v>478</v>
      </c>
      <c r="F7" t="s">
        <v>476</v>
      </c>
      <c r="M7" s="2">
        <v>129755</v>
      </c>
      <c r="N7" s="4">
        <v>26.640928854166667</v>
      </c>
      <c r="O7" s="7">
        <v>41743.63135541667</v>
      </c>
      <c r="P7" s="7">
        <v>54788.791666666664</v>
      </c>
      <c r="Q7" s="2" t="s">
        <v>473</v>
      </c>
      <c r="R7" s="2">
        <v>107</v>
      </c>
      <c r="S7" s="2" t="s">
        <v>486</v>
      </c>
      <c r="T7" s="2" t="s">
        <v>489</v>
      </c>
      <c r="U7" s="2"/>
      <c r="X7" s="2" t="s">
        <v>490</v>
      </c>
      <c r="Y7" s="2" t="s">
        <v>475</v>
      </c>
      <c r="AA7">
        <v>42195.567372685182</v>
      </c>
      <c r="AB7">
        <v>42195.610625729169</v>
      </c>
      <c r="AC7" t="s">
        <v>30</v>
      </c>
      <c r="AJ7" s="2">
        <v>0</v>
      </c>
      <c r="AK7" s="2">
        <v>0</v>
      </c>
      <c r="AL7" t="s">
        <v>89</v>
      </c>
      <c r="AM7" t="s">
        <v>492</v>
      </c>
      <c r="AN7" t="s">
        <v>493</v>
      </c>
      <c r="AO7" t="s">
        <v>494</v>
      </c>
    </row>
    <row r="8" spans="1:41" x14ac:dyDescent="0.25">
      <c r="A8" s="2" t="s">
        <v>547</v>
      </c>
      <c r="B8" s="2" t="s">
        <v>499</v>
      </c>
      <c r="C8" s="2" t="s">
        <v>485</v>
      </c>
      <c r="E8" s="2" t="s">
        <v>478</v>
      </c>
      <c r="F8" t="s">
        <v>476</v>
      </c>
      <c r="M8" s="2">
        <v>293391</v>
      </c>
      <c r="N8" s="4">
        <v>10.335757685185186</v>
      </c>
      <c r="O8" s="7">
        <v>41743.631041296299</v>
      </c>
      <c r="P8" s="7">
        <v>54788.791666666664</v>
      </c>
      <c r="Q8" s="2" t="s">
        <v>473</v>
      </c>
      <c r="R8" s="2">
        <v>105</v>
      </c>
      <c r="S8" s="2" t="s">
        <v>495</v>
      </c>
      <c r="T8" s="2" t="s">
        <v>496</v>
      </c>
      <c r="U8" s="2"/>
      <c r="X8" s="2" t="s">
        <v>497</v>
      </c>
      <c r="Y8" s="2" t="s">
        <v>475</v>
      </c>
      <c r="Z8" s="2" t="s">
        <v>498</v>
      </c>
      <c r="AA8">
        <v>42174.58871527778</v>
      </c>
      <c r="AB8">
        <v>42174.58901693287</v>
      </c>
      <c r="AC8" t="s">
        <v>477</v>
      </c>
      <c r="AE8">
        <v>129</v>
      </c>
      <c r="AF8">
        <v>126</v>
      </c>
      <c r="AJ8" s="2">
        <v>0</v>
      </c>
      <c r="AK8" s="2">
        <v>0</v>
      </c>
      <c r="AL8" t="s">
        <v>500</v>
      </c>
      <c r="AM8" t="s">
        <v>501</v>
      </c>
      <c r="AN8" t="s">
        <v>502</v>
      </c>
      <c r="AO8" t="s">
        <v>503</v>
      </c>
    </row>
    <row r="9" spans="1:41" x14ac:dyDescent="0.25">
      <c r="A9" s="2" t="s">
        <v>548</v>
      </c>
      <c r="B9" s="2" t="s">
        <v>507</v>
      </c>
      <c r="C9" s="2" t="s">
        <v>485</v>
      </c>
      <c r="E9" s="2" t="s">
        <v>478</v>
      </c>
      <c r="F9" t="s">
        <v>476</v>
      </c>
      <c r="M9" s="2">
        <v>212085</v>
      </c>
      <c r="N9" s="4">
        <v>0.34261267361111108</v>
      </c>
      <c r="O9" s="7">
        <v>41709.637630787038</v>
      </c>
      <c r="P9" s="7">
        <v>54788.791666666664</v>
      </c>
      <c r="Q9" s="2" t="s">
        <v>508</v>
      </c>
      <c r="R9" s="2">
        <v>101</v>
      </c>
      <c r="S9" s="2" t="s">
        <v>504</v>
      </c>
      <c r="T9" s="2" t="s">
        <v>505</v>
      </c>
      <c r="U9" s="2"/>
      <c r="V9" s="2" t="s">
        <v>8</v>
      </c>
      <c r="W9" s="2" t="s">
        <v>8</v>
      </c>
      <c r="X9" s="2" t="s">
        <v>506</v>
      </c>
      <c r="Y9" s="2" t="s">
        <v>475</v>
      </c>
      <c r="Z9" s="2" t="s">
        <v>8</v>
      </c>
      <c r="AA9">
        <v>41757.468368055554</v>
      </c>
      <c r="AB9">
        <v>41757.468368055554</v>
      </c>
      <c r="AC9" t="s">
        <v>477</v>
      </c>
      <c r="AG9">
        <v>3</v>
      </c>
      <c r="AH9">
        <v>500</v>
      </c>
      <c r="AJ9" s="2">
        <v>0</v>
      </c>
      <c r="AK9" s="2">
        <v>0</v>
      </c>
      <c r="AL9" t="s">
        <v>87</v>
      </c>
      <c r="AM9" t="s">
        <v>509</v>
      </c>
      <c r="AN9" t="s">
        <v>510</v>
      </c>
      <c r="AO9" t="s">
        <v>511</v>
      </c>
    </row>
    <row r="10" spans="1:41" x14ac:dyDescent="0.25">
      <c r="A10" s="2" t="s">
        <v>549</v>
      </c>
      <c r="B10" s="2" t="s">
        <v>514</v>
      </c>
      <c r="C10" s="2" t="s">
        <v>485</v>
      </c>
      <c r="E10" s="2" t="s">
        <v>474</v>
      </c>
      <c r="F10" t="s">
        <v>476</v>
      </c>
      <c r="M10" s="2">
        <v>3421.634033203125</v>
      </c>
      <c r="N10" s="4">
        <v>6019.6038758564819</v>
      </c>
      <c r="O10" s="7">
        <v>41856.505441805559</v>
      </c>
      <c r="P10" s="7">
        <v>54788.791666666664</v>
      </c>
      <c r="Q10" s="2" t="s">
        <v>508</v>
      </c>
      <c r="R10" s="2">
        <v>101</v>
      </c>
      <c r="S10" s="2" t="s">
        <v>512</v>
      </c>
      <c r="T10" s="2" t="s">
        <v>489</v>
      </c>
      <c r="U10" s="2"/>
      <c r="X10" s="2" t="s">
        <v>513</v>
      </c>
      <c r="Y10" s="2" t="s">
        <v>475</v>
      </c>
      <c r="AA10">
        <v>42188.594837962963</v>
      </c>
      <c r="AB10">
        <v>42188.598425925928</v>
      </c>
      <c r="AC10" t="s">
        <v>477</v>
      </c>
      <c r="AJ10" s="2">
        <v>0</v>
      </c>
      <c r="AK10" s="2">
        <v>16</v>
      </c>
      <c r="AL10" t="s">
        <v>87</v>
      </c>
      <c r="AM10" t="s">
        <v>515</v>
      </c>
      <c r="AN10" t="s">
        <v>516</v>
      </c>
      <c r="AO10" t="s">
        <v>517</v>
      </c>
    </row>
    <row r="11" spans="1:41" x14ac:dyDescent="0.25">
      <c r="A11" s="2" t="s">
        <v>550</v>
      </c>
      <c r="B11" s="2" t="s">
        <v>519</v>
      </c>
      <c r="C11" s="2" t="s">
        <v>485</v>
      </c>
      <c r="E11" s="2" t="s">
        <v>520</v>
      </c>
      <c r="F11" t="s">
        <v>476</v>
      </c>
      <c r="M11" s="2">
        <v>399039.1875</v>
      </c>
      <c r="N11" s="4">
        <v>1.9144490046296296</v>
      </c>
      <c r="O11" s="7">
        <v>42159.479389525462</v>
      </c>
      <c r="P11" s="7">
        <v>54788.791666666664</v>
      </c>
      <c r="Q11" s="2" t="s">
        <v>508</v>
      </c>
      <c r="R11" s="2">
        <v>101</v>
      </c>
      <c r="S11" s="2" t="s">
        <v>487</v>
      </c>
      <c r="T11" s="2" t="s">
        <v>518</v>
      </c>
      <c r="U11" s="2"/>
      <c r="X11" s="2" t="s">
        <v>513</v>
      </c>
      <c r="Y11" s="2" t="s">
        <v>475</v>
      </c>
      <c r="AA11">
        <v>42195.38958333333</v>
      </c>
      <c r="AB11">
        <v>42195.59894822917</v>
      </c>
      <c r="AC11" t="s">
        <v>30</v>
      </c>
      <c r="AJ11" s="2">
        <v>0</v>
      </c>
      <c r="AK11" s="2">
        <v>0</v>
      </c>
      <c r="AL11" t="s">
        <v>87</v>
      </c>
      <c r="AM11" t="s">
        <v>515</v>
      </c>
      <c r="AN11" t="s">
        <v>516</v>
      </c>
      <c r="AO11" t="s">
        <v>517</v>
      </c>
    </row>
    <row r="12" spans="1:41" x14ac:dyDescent="0.25">
      <c r="A12" s="2" t="s">
        <v>551</v>
      </c>
      <c r="B12" s="2" t="s">
        <v>522</v>
      </c>
      <c r="C12" s="2" t="s">
        <v>485</v>
      </c>
      <c r="E12" s="2" t="s">
        <v>474</v>
      </c>
      <c r="F12" t="s">
        <v>476</v>
      </c>
      <c r="M12" s="2">
        <v>3438.546875</v>
      </c>
      <c r="N12" s="4">
        <v>2193271.747488426</v>
      </c>
      <c r="O12" s="7">
        <v>42188.585550868054</v>
      </c>
      <c r="P12" s="7">
        <v>54788.791666666664</v>
      </c>
      <c r="Q12" s="2" t="s">
        <v>473</v>
      </c>
      <c r="R12" s="2">
        <v>105</v>
      </c>
      <c r="S12" s="2" t="s">
        <v>487</v>
      </c>
      <c r="T12" s="2" t="s">
        <v>488</v>
      </c>
      <c r="U12" s="2"/>
      <c r="X12" s="2" t="s">
        <v>521</v>
      </c>
      <c r="Y12" s="2" t="s">
        <v>475</v>
      </c>
      <c r="AA12">
        <v>42188.615497685183</v>
      </c>
      <c r="AB12">
        <v>42195.604734525463</v>
      </c>
      <c r="AC12" t="s">
        <v>30</v>
      </c>
      <c r="AJ12" s="2">
        <v>0</v>
      </c>
      <c r="AK12" s="2">
        <v>0</v>
      </c>
    </row>
    <row r="13" spans="1:41" x14ac:dyDescent="0.25">
      <c r="A13" s="2" t="s">
        <v>552</v>
      </c>
      <c r="B13" s="2" t="s">
        <v>524</v>
      </c>
      <c r="C13" s="2" t="s">
        <v>485</v>
      </c>
      <c r="E13" s="2" t="s">
        <v>478</v>
      </c>
      <c r="F13" t="s">
        <v>476</v>
      </c>
      <c r="M13" s="2">
        <v>3421.636962890625</v>
      </c>
      <c r="N13" s="4">
        <v>180.46891203703703</v>
      </c>
      <c r="O13" s="7">
        <v>42096.497140706022</v>
      </c>
      <c r="P13" s="7">
        <v>54788.791666666664</v>
      </c>
      <c r="Q13" s="2" t="s">
        <v>473</v>
      </c>
      <c r="R13" s="2">
        <v>107</v>
      </c>
      <c r="S13" s="2" t="s">
        <v>523</v>
      </c>
      <c r="T13" s="2" t="s">
        <v>484</v>
      </c>
      <c r="U13" s="2"/>
      <c r="X13" s="2" t="s">
        <v>521</v>
      </c>
      <c r="Y13" s="2" t="s">
        <v>475</v>
      </c>
      <c r="AA13">
        <v>42177.807905092595</v>
      </c>
      <c r="AB13">
        <v>42192.574837962966</v>
      </c>
      <c r="AC13" t="s">
        <v>477</v>
      </c>
      <c r="AJ13" s="2">
        <v>0</v>
      </c>
      <c r="AK13" s="2">
        <v>0</v>
      </c>
    </row>
    <row r="14" spans="1:41" x14ac:dyDescent="0.25">
      <c r="A14" s="2" t="s">
        <v>553</v>
      </c>
      <c r="B14" s="2" t="s">
        <v>526</v>
      </c>
      <c r="C14" s="2" t="s">
        <v>485</v>
      </c>
      <c r="E14" s="2" t="s">
        <v>474</v>
      </c>
      <c r="F14" t="s">
        <v>476</v>
      </c>
      <c r="M14" s="2">
        <v>399039.1875</v>
      </c>
      <c r="N14" s="4">
        <v>33.152879131944445</v>
      </c>
      <c r="O14" s="7">
        <v>41753.77769087963</v>
      </c>
      <c r="P14" s="7">
        <v>54788.791666666664</v>
      </c>
      <c r="Q14" s="2" t="s">
        <v>473</v>
      </c>
      <c r="R14" s="2">
        <v>105</v>
      </c>
      <c r="S14" s="2" t="s">
        <v>487</v>
      </c>
      <c r="T14" s="2" t="s">
        <v>525</v>
      </c>
      <c r="U14" s="2"/>
      <c r="V14" s="2"/>
      <c r="Y14" s="2" t="s">
        <v>475</v>
      </c>
      <c r="AA14">
        <v>42195.38958333333</v>
      </c>
      <c r="AB14">
        <v>42195.599445173611</v>
      </c>
      <c r="AC14" t="s">
        <v>30</v>
      </c>
      <c r="AD14">
        <v>30</v>
      </c>
      <c r="AG14">
        <v>3</v>
      </c>
      <c r="AH14">
        <v>3000</v>
      </c>
      <c r="AJ14" s="2">
        <v>0</v>
      </c>
      <c r="AK14" s="2">
        <v>0</v>
      </c>
    </row>
    <row r="15" spans="1:41" x14ac:dyDescent="0.25">
      <c r="A15" s="2" t="s">
        <v>554</v>
      </c>
      <c r="B15" s="2" t="s">
        <v>528</v>
      </c>
      <c r="C15" s="2" t="s">
        <v>485</v>
      </c>
      <c r="E15" s="2" t="s">
        <v>520</v>
      </c>
      <c r="F15" t="s">
        <v>476</v>
      </c>
      <c r="M15" s="2">
        <v>1084.980712890625</v>
      </c>
      <c r="N15" s="4">
        <v>32.885238692129633</v>
      </c>
      <c r="O15" s="7">
        <v>41724.515382650461</v>
      </c>
      <c r="P15" s="7">
        <v>54788.791666666664</v>
      </c>
      <c r="Q15" s="2" t="s">
        <v>508</v>
      </c>
      <c r="R15" s="2">
        <v>101</v>
      </c>
      <c r="S15" s="2" t="s">
        <v>486</v>
      </c>
      <c r="T15" s="2" t="s">
        <v>487</v>
      </c>
      <c r="U15" s="2"/>
      <c r="X15" s="2" t="s">
        <v>527</v>
      </c>
      <c r="Y15" s="2" t="s">
        <v>475</v>
      </c>
      <c r="AA15">
        <v>41781.495381944442</v>
      </c>
      <c r="AB15">
        <v>41781.49832175926</v>
      </c>
      <c r="AC15" t="s">
        <v>477</v>
      </c>
      <c r="AJ15" s="2">
        <v>0</v>
      </c>
      <c r="AK15" s="2">
        <v>0</v>
      </c>
      <c r="AL15" t="s">
        <v>529</v>
      </c>
      <c r="AM15" t="s">
        <v>530</v>
      </c>
      <c r="AN15" t="s">
        <v>510</v>
      </c>
      <c r="AO15" t="s">
        <v>531</v>
      </c>
    </row>
    <row r="16" spans="1:41" x14ac:dyDescent="0.25">
      <c r="A16" s="2" t="s">
        <v>555</v>
      </c>
      <c r="B16" s="2" t="s">
        <v>534</v>
      </c>
      <c r="C16" s="2" t="s">
        <v>485</v>
      </c>
      <c r="E16" s="2" t="s">
        <v>538</v>
      </c>
      <c r="F16" t="s">
        <v>476</v>
      </c>
      <c r="M16" s="2">
        <v>17404.138671875</v>
      </c>
      <c r="N16" s="4">
        <v>42.002295682870368</v>
      </c>
      <c r="O16" s="7">
        <v>41724.519152627312</v>
      </c>
      <c r="P16" s="7">
        <v>54788.791666666664</v>
      </c>
      <c r="Q16" s="2" t="s">
        <v>508</v>
      </c>
      <c r="R16" s="2">
        <v>101</v>
      </c>
      <c r="S16" s="2" t="s">
        <v>495</v>
      </c>
      <c r="T16" s="2" t="s">
        <v>532</v>
      </c>
      <c r="U16" s="2"/>
      <c r="X16" s="2" t="s">
        <v>533</v>
      </c>
      <c r="Y16" s="2" t="s">
        <v>475</v>
      </c>
      <c r="AA16">
        <v>41752.752337962964</v>
      </c>
      <c r="AB16">
        <v>41752.752558599539</v>
      </c>
      <c r="AC16" t="s">
        <v>477</v>
      </c>
      <c r="AJ16" s="2">
        <v>0</v>
      </c>
      <c r="AK16" s="2">
        <v>0</v>
      </c>
      <c r="AL16" t="s">
        <v>308</v>
      </c>
      <c r="AM16" t="s">
        <v>535</v>
      </c>
      <c r="AN16" t="s">
        <v>536</v>
      </c>
      <c r="AO16" t="s">
        <v>537</v>
      </c>
    </row>
    <row r="17" spans="1:41" x14ac:dyDescent="0.25">
      <c r="A17" s="2" t="s">
        <v>556</v>
      </c>
      <c r="B17" s="2" t="s">
        <v>542</v>
      </c>
      <c r="C17" s="2" t="s">
        <v>485</v>
      </c>
      <c r="E17" s="2" t="s">
        <v>520</v>
      </c>
      <c r="F17" t="s">
        <v>476</v>
      </c>
      <c r="M17" s="2">
        <v>127808.734375</v>
      </c>
      <c r="N17" s="4">
        <v>6.3705649421296293</v>
      </c>
      <c r="O17" s="7">
        <v>41724.524655624999</v>
      </c>
      <c r="P17" s="7">
        <v>54788.791666666664</v>
      </c>
      <c r="Q17" s="2" t="s">
        <v>543</v>
      </c>
      <c r="R17" s="2">
        <v>100</v>
      </c>
      <c r="S17" s="2" t="s">
        <v>539</v>
      </c>
      <c r="T17" s="2" t="s">
        <v>540</v>
      </c>
      <c r="U17" s="2"/>
      <c r="V17" s="2" t="s">
        <v>8</v>
      </c>
      <c r="W17" s="2" t="s">
        <v>8</v>
      </c>
      <c r="X17" s="2" t="s">
        <v>541</v>
      </c>
      <c r="Y17" s="2" t="s">
        <v>475</v>
      </c>
      <c r="Z17" s="2" t="s">
        <v>8</v>
      </c>
      <c r="AA17">
        <v>41731.680601851855</v>
      </c>
      <c r="AB17">
        <v>41731.700243055559</v>
      </c>
      <c r="AC17" t="s">
        <v>477</v>
      </c>
      <c r="AJ17" s="2">
        <v>0</v>
      </c>
      <c r="AK17" s="2">
        <v>0</v>
      </c>
      <c r="AL17" t="s">
        <v>344</v>
      </c>
      <c r="AM17" t="s">
        <v>544</v>
      </c>
      <c r="AN17" t="s">
        <v>493</v>
      </c>
      <c r="AO17" t="s">
        <v>545</v>
      </c>
    </row>
  </sheetData>
  <hyperlinks>
    <hyperlink ref="B5" r:id="rId1"/>
  </hyperlinks>
  <pageMargins left="0.75" right="0.75" top="1" bottom="1" header="0.5" footer="0.5"/>
  <pageSetup fitToHeight="100" orientation="landscape" horizontalDpi="300" verticalDpi="300" r:id="rId2"/>
  <headerFooter alignWithMargins="0"/>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18"/>
  <sheetViews>
    <sheetView showGridLines="0" workbookViewId="0">
      <pane ySplit="7" topLeftCell="A8" activePane="bottomLeft" state="frozen"/>
      <selection pane="bottomLeft" activeCell="G29" sqref="G29"/>
    </sheetView>
  </sheetViews>
  <sheetFormatPr defaultColWidth="8.85546875" defaultRowHeight="16.5" x14ac:dyDescent="0.3"/>
  <cols>
    <col min="1" max="1" width="25" style="26" customWidth="1"/>
    <col min="2" max="2" width="44.42578125" style="26" customWidth="1"/>
    <col min="3" max="3" width="14.7109375" style="26" customWidth="1"/>
    <col min="4" max="4" width="25" style="26" customWidth="1"/>
    <col min="5" max="5" width="25" style="26" hidden="1" customWidth="1"/>
    <col min="6" max="6" width="25" style="26" customWidth="1"/>
    <col min="7" max="7" width="17.5703125" style="26" customWidth="1"/>
    <col min="8" max="8" width="22.42578125" style="26" customWidth="1"/>
    <col min="9" max="9" width="17.42578125" style="26" customWidth="1"/>
    <col min="10" max="10" width="16.28515625" style="26" customWidth="1"/>
    <col min="11" max="11" width="14.42578125" style="26" customWidth="1"/>
    <col min="12" max="12" width="57.5703125" style="26" customWidth="1"/>
    <col min="13" max="13" width="26.42578125" style="26" customWidth="1"/>
    <col min="14" max="14" width="17.85546875" style="26" hidden="1" customWidth="1"/>
    <col min="15" max="15" width="22.28515625" style="26" customWidth="1"/>
    <col min="16" max="16" width="17" style="26" customWidth="1"/>
    <col min="17" max="17" width="36.85546875" style="26" customWidth="1"/>
    <col min="18" max="18" width="13.5703125" style="26" customWidth="1"/>
    <col min="19" max="16384" width="8.85546875" style="26"/>
  </cols>
  <sheetData>
    <row r="1" spans="1:18" ht="21" x14ac:dyDescent="0.35">
      <c r="A1" s="27" t="s">
        <v>481</v>
      </c>
    </row>
    <row r="3" spans="1:18" s="8" customFormat="1" ht="14.45" customHeight="1" x14ac:dyDescent="0.3">
      <c r="A3" s="22" t="s">
        <v>58</v>
      </c>
      <c r="B3" s="12">
        <f>Data!B2</f>
        <v>42195.616860798611</v>
      </c>
    </row>
    <row r="4" spans="1:18" s="8" customFormat="1" ht="14.45" customHeight="1" x14ac:dyDescent="0.3">
      <c r="A4" s="22" t="s">
        <v>61</v>
      </c>
      <c r="B4" s="12" t="str">
        <f>Data!B3</f>
        <v>km</v>
      </c>
      <c r="P4" s="23"/>
    </row>
    <row r="5" spans="1:18" s="8" customFormat="1" ht="14.45" customHeight="1" x14ac:dyDescent="0.3">
      <c r="A5" s="22" t="s">
        <v>63</v>
      </c>
      <c r="B5" s="13">
        <f>COUNTA(Data!A7:A65181)</f>
        <v>11</v>
      </c>
      <c r="C5" s="24" t="str">
        <f>A5&amp;": "&amp;B5</f>
        <v>Total: 11</v>
      </c>
      <c r="P5" s="23"/>
    </row>
    <row r="6" spans="1:18" s="8" customFormat="1" ht="14.45" customHeight="1" x14ac:dyDescent="0.3"/>
    <row r="7" spans="1:18" s="11" customFormat="1" ht="17.25" x14ac:dyDescent="0.3">
      <c r="A7" s="11" t="s">
        <v>59</v>
      </c>
      <c r="B7" s="11" t="s">
        <v>60</v>
      </c>
      <c r="C7" s="11" t="s">
        <v>4</v>
      </c>
      <c r="D7" s="11" t="s">
        <v>6</v>
      </c>
      <c r="E7" s="11" t="s">
        <v>69</v>
      </c>
      <c r="F7" s="11" t="s">
        <v>68</v>
      </c>
      <c r="G7" s="11" t="s">
        <v>62</v>
      </c>
      <c r="H7" s="11" t="s">
        <v>25</v>
      </c>
      <c r="I7" s="11" t="s">
        <v>3</v>
      </c>
      <c r="J7" s="11" t="s">
        <v>35</v>
      </c>
      <c r="K7" s="11" t="s">
        <v>0</v>
      </c>
      <c r="L7" s="11" t="s">
        <v>1</v>
      </c>
      <c r="M7" s="11" t="s">
        <v>28</v>
      </c>
      <c r="N7" s="11" t="s">
        <v>52</v>
      </c>
      <c r="O7" s="11" t="s">
        <v>32</v>
      </c>
      <c r="P7" s="11" t="s">
        <v>2</v>
      </c>
      <c r="Q7" s="11" t="s">
        <v>7</v>
      </c>
      <c r="R7" s="11" t="s">
        <v>5</v>
      </c>
    </row>
    <row r="8" spans="1:18" x14ac:dyDescent="0.3">
      <c r="A8" s="10" t="str">
        <f>Data!A7</f>
        <v>Vehicle 4</v>
      </c>
      <c r="B8" s="14">
        <f>Data!Z7</f>
        <v>0</v>
      </c>
      <c r="C8" s="14">
        <f>Data!V7</f>
        <v>0</v>
      </c>
      <c r="D8" s="14" t="str">
        <f>Data!X7</f>
        <v>JN8AS5MTXAW004141</v>
      </c>
      <c r="E8" s="14" t="str">
        <f>IF(Data!X7="","Uknown",LEFT(Data!X7,3))</f>
        <v>JN8</v>
      </c>
      <c r="F8" s="14" t="str">
        <f>IF(Data!AL7="",IFERROR(VLOOKUP(E8,Make!$A$3:$B$282,2,FALSE),"Unknown"),Data!AL7)</f>
        <v>Nissan</v>
      </c>
      <c r="G8" s="25">
        <f>Data!M7</f>
        <v>129755</v>
      </c>
      <c r="H8" s="10" t="str">
        <f>Data!C7</f>
        <v>Entire Organization</v>
      </c>
      <c r="I8" s="10">
        <f>Data!U7</f>
        <v>0</v>
      </c>
      <c r="J8" s="10" t="str">
        <f>IF(Data!D7="","",Data!D7)</f>
        <v/>
      </c>
      <c r="K8" s="10" t="str">
        <f>IF(Data!F7="","",Data!F7)</f>
        <v>Stopped</v>
      </c>
      <c r="L8" s="10" t="str">
        <f>IF(Data!H7="","",Data!H7)</f>
        <v/>
      </c>
      <c r="M8" s="14">
        <f>Data!I7</f>
        <v>0</v>
      </c>
      <c r="N8" s="10" t="str">
        <f>IF(Data!K7="","",Data!K7)</f>
        <v/>
      </c>
      <c r="O8" s="9">
        <f>Data!N7</f>
        <v>26.640928854166667</v>
      </c>
      <c r="P8" s="10" t="str">
        <f>CONCATENATE(Data!R7,".",Data!S7,".",Data!T7)</f>
        <v>107.4.17</v>
      </c>
      <c r="Q8" s="10" t="str">
        <f>Data!Y7</f>
        <v>America/New_York</v>
      </c>
      <c r="R8" s="10">
        <f>Data!W7</f>
        <v>0</v>
      </c>
    </row>
    <row r="9" spans="1:18" x14ac:dyDescent="0.3">
      <c r="A9" s="10" t="str">
        <f>Data!A8</f>
        <v>Vehicle 6</v>
      </c>
      <c r="B9" s="14" t="str">
        <f>Data!Z8</f>
        <v>test</v>
      </c>
      <c r="C9" s="14">
        <f>Data!V8</f>
        <v>0</v>
      </c>
      <c r="D9" s="14" t="str">
        <f>Data!X8</f>
        <v>3G2JB12F63S162447</v>
      </c>
      <c r="E9" s="14" t="str">
        <f>IF(Data!X8="","Uknown",LEFT(Data!X8,3))</f>
        <v>3G2</v>
      </c>
      <c r="F9" s="14" t="str">
        <f>IF(Data!AL8="",IFERROR(VLOOKUP(E9,Make!$A$3:$B$282,2,FALSE),"Unknown"),Data!AL8)</f>
        <v>Pontiac</v>
      </c>
      <c r="G9" s="25">
        <f>Data!M8</f>
        <v>293391</v>
      </c>
      <c r="H9" s="10" t="str">
        <f>Data!C8</f>
        <v>Entire Organization</v>
      </c>
      <c r="I9" s="10">
        <f>Data!U8</f>
        <v>0</v>
      </c>
      <c r="J9" s="10" t="str">
        <f>IF(Data!D8="","",Data!D8)</f>
        <v/>
      </c>
      <c r="K9" s="10" t="str">
        <f>IF(Data!F8="","",Data!F8)</f>
        <v>Stopped</v>
      </c>
      <c r="L9" s="10" t="str">
        <f>IF(Data!H8="","",Data!H8)</f>
        <v/>
      </c>
      <c r="M9" s="14">
        <f>Data!I8</f>
        <v>0</v>
      </c>
      <c r="N9" s="10" t="str">
        <f>IF(Data!K8="","",Data!K8)</f>
        <v/>
      </c>
      <c r="O9" s="9">
        <f>Data!N8</f>
        <v>10.335757685185186</v>
      </c>
      <c r="P9" s="10" t="str">
        <f>CONCATENATE(Data!R8,".",Data!S8,".",Data!T8)</f>
        <v>105.2.54</v>
      </c>
      <c r="Q9" s="10" t="str">
        <f>Data!Y8</f>
        <v>America/New_York</v>
      </c>
      <c r="R9" s="10">
        <f>Data!W8</f>
        <v>0</v>
      </c>
    </row>
    <row r="10" spans="1:18" x14ac:dyDescent="0.3">
      <c r="A10" s="10" t="str">
        <f>Data!A9</f>
        <v>Vehicle 8</v>
      </c>
      <c r="B10" s="14" t="str">
        <f>Data!Z9</f>
        <v/>
      </c>
      <c r="C10" s="14" t="str">
        <f>Data!V9</f>
        <v/>
      </c>
      <c r="D10" s="14" t="str">
        <f>Data!X9</f>
        <v>JM1CR293X60118562</v>
      </c>
      <c r="E10" s="14" t="str">
        <f>IF(Data!X9="","Uknown",LEFT(Data!X9,3))</f>
        <v>JM1</v>
      </c>
      <c r="F10" s="14" t="str">
        <f>IF(Data!AL9="",IFERROR(VLOOKUP(E10,Make!$A$3:$B$282,2,FALSE),"Unknown"),Data!AL9)</f>
        <v>Mazda</v>
      </c>
      <c r="G10" s="25">
        <f>Data!M9</f>
        <v>212085</v>
      </c>
      <c r="H10" s="10" t="str">
        <f>Data!C9</f>
        <v>Entire Organization</v>
      </c>
      <c r="I10" s="10">
        <f>Data!U9</f>
        <v>0</v>
      </c>
      <c r="J10" s="10" t="str">
        <f>IF(Data!D9="","",Data!D9)</f>
        <v/>
      </c>
      <c r="K10" s="10" t="str">
        <f>IF(Data!F9="","",Data!F9)</f>
        <v>Stopped</v>
      </c>
      <c r="L10" s="10" t="str">
        <f>IF(Data!H9="","",Data!H9)</f>
        <v/>
      </c>
      <c r="M10" s="14">
        <f>Data!I9</f>
        <v>0</v>
      </c>
      <c r="N10" s="10" t="str">
        <f>IF(Data!K9="","",Data!K9)</f>
        <v/>
      </c>
      <c r="O10" s="9">
        <f>Data!N9</f>
        <v>0.34261267361111108</v>
      </c>
      <c r="P10" s="10" t="str">
        <f>CONCATENATE(Data!R9,".",Data!S9,".",Data!T9)</f>
        <v>101.3.73</v>
      </c>
      <c r="Q10" s="10" t="str">
        <f>Data!Y9</f>
        <v>America/New_York</v>
      </c>
      <c r="R10" s="10" t="str">
        <f>Data!W9</f>
        <v/>
      </c>
    </row>
    <row r="11" spans="1:18" x14ac:dyDescent="0.3">
      <c r="A11" s="10" t="str">
        <f>Data!A10</f>
        <v>Vehicle 9</v>
      </c>
      <c r="B11" s="14">
        <f>Data!Z10</f>
        <v>0</v>
      </c>
      <c r="C11" s="14">
        <f>Data!V10</f>
        <v>0</v>
      </c>
      <c r="D11" s="14" t="str">
        <f>Data!X10</f>
        <v>4F2CZ96155KM03006</v>
      </c>
      <c r="E11" s="14" t="str">
        <f>IF(Data!X10="","Uknown",LEFT(Data!X10,3))</f>
        <v>4F2</v>
      </c>
      <c r="F11" s="14" t="str">
        <f>IF(Data!AL10="",IFERROR(VLOOKUP(E11,Make!$A$3:$B$282,2,FALSE),"Unknown"),Data!AL10)</f>
        <v>Mazda</v>
      </c>
      <c r="G11" s="25">
        <f>Data!M10</f>
        <v>3421.634033203125</v>
      </c>
      <c r="H11" s="10" t="str">
        <f>Data!C10</f>
        <v>Entire Organization</v>
      </c>
      <c r="I11" s="10">
        <f>Data!U10</f>
        <v>0</v>
      </c>
      <c r="J11" s="10" t="str">
        <f>IF(Data!D10="","",Data!D10)</f>
        <v/>
      </c>
      <c r="K11" s="10" t="str">
        <f>IF(Data!F10="","",Data!F10)</f>
        <v>Stopped</v>
      </c>
      <c r="L11" s="10" t="str">
        <f>IF(Data!H10="","",Data!H10)</f>
        <v/>
      </c>
      <c r="M11" s="14">
        <f>Data!I10</f>
        <v>0</v>
      </c>
      <c r="N11" s="10" t="str">
        <f>IF(Data!K10="","",Data!K10)</f>
        <v/>
      </c>
      <c r="O11" s="9">
        <f>Data!N10</f>
        <v>6019.6038758564819</v>
      </c>
      <c r="P11" s="10" t="str">
        <f>CONCATENATE(Data!R10,".",Data!S10,".",Data!T10)</f>
        <v>101.7.17</v>
      </c>
      <c r="Q11" s="10" t="str">
        <f>Data!Y10</f>
        <v>America/New_York</v>
      </c>
      <c r="R11" s="10">
        <f>Data!W10</f>
        <v>0</v>
      </c>
    </row>
    <row r="12" spans="1:18" x14ac:dyDescent="0.3">
      <c r="A12" s="10" t="str">
        <f>Data!A11</f>
        <v>Vehicle 10</v>
      </c>
      <c r="B12" s="14">
        <f>Data!Z11</f>
        <v>0</v>
      </c>
      <c r="C12" s="14">
        <f>Data!V11</f>
        <v>0</v>
      </c>
      <c r="D12" s="14" t="str">
        <f>Data!X11</f>
        <v>4F2CZ96155KM03006</v>
      </c>
      <c r="E12" s="14" t="str">
        <f>IF(Data!X11="","Uknown",LEFT(Data!X11,3))</f>
        <v>4F2</v>
      </c>
      <c r="F12" s="14" t="str">
        <f>IF(Data!AL11="",IFERROR(VLOOKUP(E12,Make!$A$3:$B$282,2,FALSE),"Unknown"),Data!AL11)</f>
        <v>Mazda</v>
      </c>
      <c r="G12" s="25">
        <f>Data!M11</f>
        <v>399039.1875</v>
      </c>
      <c r="H12" s="10" t="str">
        <f>Data!C11</f>
        <v>Entire Organization</v>
      </c>
      <c r="I12" s="10">
        <f>Data!U11</f>
        <v>0</v>
      </c>
      <c r="J12" s="10" t="str">
        <f>IF(Data!D11="","",Data!D11)</f>
        <v/>
      </c>
      <c r="K12" s="10" t="str">
        <f>IF(Data!F11="","",Data!F11)</f>
        <v>Stopped</v>
      </c>
      <c r="L12" s="10" t="str">
        <f>IF(Data!H11="","",Data!H11)</f>
        <v/>
      </c>
      <c r="M12" s="14">
        <f>Data!I11</f>
        <v>0</v>
      </c>
      <c r="N12" s="10" t="str">
        <f>IF(Data!K11="","",Data!K11)</f>
        <v/>
      </c>
      <c r="O12" s="9">
        <f>Data!N11</f>
        <v>1.9144490046296296</v>
      </c>
      <c r="P12" s="10" t="str">
        <f>CONCATENATE(Data!R11,".",Data!S11,".",Data!T11)</f>
        <v>101.5.23</v>
      </c>
      <c r="Q12" s="10" t="str">
        <f>Data!Y11</f>
        <v>America/New_York</v>
      </c>
      <c r="R12" s="10">
        <f>Data!W11</f>
        <v>0</v>
      </c>
    </row>
    <row r="13" spans="1:18" x14ac:dyDescent="0.3">
      <c r="A13" s="10" t="str">
        <f>Data!A12</f>
        <v>Vehicle 13</v>
      </c>
      <c r="B13" s="14">
        <f>Data!Z12</f>
        <v>0</v>
      </c>
      <c r="C13" s="14">
        <f>Data!V12</f>
        <v>0</v>
      </c>
      <c r="D13" s="14" t="str">
        <f>Data!X12</f>
        <v>4F2CZ96132KM01234</v>
      </c>
      <c r="E13" s="14" t="str">
        <f>IF(Data!X12="","Uknown",LEFT(Data!X12,3))</f>
        <v>4F2</v>
      </c>
      <c r="F13" s="14" t="str">
        <f>IF(Data!AL12="",IFERROR(VLOOKUP(E13,Make!$A$3:$B$282,2,FALSE),"Unknown"),Data!AL12)</f>
        <v>Mazda</v>
      </c>
      <c r="G13" s="25">
        <f>Data!M12</f>
        <v>3438.546875</v>
      </c>
      <c r="H13" s="10" t="str">
        <f>Data!C12</f>
        <v>Entire Organization</v>
      </c>
      <c r="I13" s="10">
        <f>Data!U12</f>
        <v>0</v>
      </c>
      <c r="J13" s="10" t="str">
        <f>IF(Data!D12="","",Data!D12)</f>
        <v/>
      </c>
      <c r="K13" s="10" t="str">
        <f>IF(Data!F12="","",Data!F12)</f>
        <v>Stopped</v>
      </c>
      <c r="L13" s="10" t="str">
        <f>IF(Data!H12="","",Data!H12)</f>
        <v/>
      </c>
      <c r="M13" s="14">
        <f>Data!I12</f>
        <v>0</v>
      </c>
      <c r="N13" s="10" t="str">
        <f>IF(Data!K12="","",Data!K12)</f>
        <v/>
      </c>
      <c r="O13" s="9">
        <f>Data!N12</f>
        <v>2193271.747488426</v>
      </c>
      <c r="P13" s="10" t="str">
        <f>CONCATENATE(Data!R12,".",Data!S12,".",Data!T12)</f>
        <v>105.5.19</v>
      </c>
      <c r="Q13" s="10" t="str">
        <f>Data!Y12</f>
        <v>America/New_York</v>
      </c>
      <c r="R13" s="10">
        <f>Data!W12</f>
        <v>0</v>
      </c>
    </row>
    <row r="14" spans="1:18" x14ac:dyDescent="0.3">
      <c r="A14" s="10" t="str">
        <f>Data!A13</f>
        <v>Vehicle 14</v>
      </c>
      <c r="B14" s="14">
        <f>Data!Z13</f>
        <v>0</v>
      </c>
      <c r="C14" s="14">
        <f>Data!V13</f>
        <v>0</v>
      </c>
      <c r="D14" s="14" t="str">
        <f>Data!X13</f>
        <v>4F2CZ96132KM01234</v>
      </c>
      <c r="E14" s="14" t="str">
        <f>IF(Data!X13="","Uknown",LEFT(Data!X13,3))</f>
        <v>4F2</v>
      </c>
      <c r="F14" s="14" t="str">
        <f>IF(Data!AL13="",IFERROR(VLOOKUP(E14,Make!$A$3:$B$282,2,FALSE),"Unknown"),Data!AL13)</f>
        <v>Mazda</v>
      </c>
      <c r="G14" s="25">
        <f>Data!M13</f>
        <v>3421.636962890625</v>
      </c>
      <c r="H14" s="10" t="str">
        <f>Data!C13</f>
        <v>Entire Organization</v>
      </c>
      <c r="I14" s="10">
        <f>Data!U13</f>
        <v>0</v>
      </c>
      <c r="J14" s="10" t="str">
        <f>IF(Data!D13="","",Data!D13)</f>
        <v/>
      </c>
      <c r="K14" s="10" t="str">
        <f>IF(Data!F13="","",Data!F13)</f>
        <v>Stopped</v>
      </c>
      <c r="L14" s="10" t="str">
        <f>IF(Data!H13="","",Data!H13)</f>
        <v/>
      </c>
      <c r="M14" s="14">
        <f>Data!I13</f>
        <v>0</v>
      </c>
      <c r="N14" s="10" t="str">
        <f>IF(Data!K13="","",Data!K13)</f>
        <v/>
      </c>
      <c r="O14" s="9">
        <f>Data!N13</f>
        <v>180.46891203703703</v>
      </c>
      <c r="P14" s="10" t="str">
        <f>CONCATENATE(Data!R13,".",Data!S13,".",Data!T13)</f>
        <v>107.8.0</v>
      </c>
      <c r="Q14" s="10" t="str">
        <f>Data!Y13</f>
        <v>America/New_York</v>
      </c>
      <c r="R14" s="10">
        <f>Data!W13</f>
        <v>0</v>
      </c>
    </row>
    <row r="15" spans="1:18" x14ac:dyDescent="0.3">
      <c r="A15" s="10" t="str">
        <f>Data!A14</f>
        <v>Vehicle 15</v>
      </c>
      <c r="B15" s="14">
        <f>Data!Z14</f>
        <v>0</v>
      </c>
      <c r="C15" s="14">
        <f>Data!V14</f>
        <v>0</v>
      </c>
      <c r="D15" s="14">
        <f>Data!X14</f>
        <v>0</v>
      </c>
      <c r="E15" s="14" t="str">
        <f>IF(Data!X14="","Uknown",LEFT(Data!X14,3))</f>
        <v>Uknown</v>
      </c>
      <c r="F15" s="14" t="str">
        <f>IF(Data!AL14="",IFERROR(VLOOKUP(E15,Make!$A$3:$B$282,2,FALSE),"Unknown"),Data!AL14)</f>
        <v>Unknown</v>
      </c>
      <c r="G15" s="25">
        <f>Data!M14</f>
        <v>399039.1875</v>
      </c>
      <c r="H15" s="10" t="str">
        <f>Data!C14</f>
        <v>Entire Organization</v>
      </c>
      <c r="I15" s="10">
        <f>Data!U14</f>
        <v>0</v>
      </c>
      <c r="J15" s="10" t="str">
        <f>IF(Data!D14="","",Data!D14)</f>
        <v/>
      </c>
      <c r="K15" s="10" t="str">
        <f>IF(Data!F14="","",Data!F14)</f>
        <v>Stopped</v>
      </c>
      <c r="L15" s="10" t="str">
        <f>IF(Data!H14="","",Data!H14)</f>
        <v/>
      </c>
      <c r="M15" s="14">
        <f>Data!I14</f>
        <v>0</v>
      </c>
      <c r="N15" s="10" t="str">
        <f>IF(Data!K14="","",Data!K14)</f>
        <v/>
      </c>
      <c r="O15" s="9">
        <f>Data!N14</f>
        <v>33.152879131944445</v>
      </c>
      <c r="P15" s="10" t="str">
        <f>CONCATENATE(Data!R14,".",Data!S14,".",Data!T14)</f>
        <v>105.5.10</v>
      </c>
      <c r="Q15" s="10" t="str">
        <f>Data!Y14</f>
        <v>America/New_York</v>
      </c>
      <c r="R15" s="10">
        <f>Data!W14</f>
        <v>0</v>
      </c>
    </row>
    <row r="16" spans="1:18" x14ac:dyDescent="0.3">
      <c r="A16" s="10" t="str">
        <f>Data!A15</f>
        <v>Vehicle 16</v>
      </c>
      <c r="B16" s="14">
        <f>Data!Z15</f>
        <v>0</v>
      </c>
      <c r="C16" s="14">
        <f>Data!V15</f>
        <v>0</v>
      </c>
      <c r="D16" s="14" t="str">
        <f>Data!X15</f>
        <v>1FAFP37N76W220336</v>
      </c>
      <c r="E16" s="14" t="str">
        <f>IF(Data!X15="","Uknown",LEFT(Data!X15,3))</f>
        <v>1FA</v>
      </c>
      <c r="F16" s="14" t="str">
        <f>IF(Data!AL15="",IFERROR(VLOOKUP(E16,Make!$A$3:$B$282,2,FALSE),"Unknown"),Data!AL15)</f>
        <v>Ford</v>
      </c>
      <c r="G16" s="25">
        <f>Data!M15</f>
        <v>1084.980712890625</v>
      </c>
      <c r="H16" s="10" t="str">
        <f>Data!C15</f>
        <v>Entire Organization</v>
      </c>
      <c r="I16" s="10">
        <f>Data!U15</f>
        <v>0</v>
      </c>
      <c r="J16" s="10" t="str">
        <f>IF(Data!D15="","",Data!D15)</f>
        <v/>
      </c>
      <c r="K16" s="10" t="str">
        <f>IF(Data!F15="","",Data!F15)</f>
        <v>Stopped</v>
      </c>
      <c r="L16" s="10" t="str">
        <f>IF(Data!H15="","",Data!H15)</f>
        <v/>
      </c>
      <c r="M16" s="14">
        <f>Data!I15</f>
        <v>0</v>
      </c>
      <c r="N16" s="10" t="str">
        <f>IF(Data!K15="","",Data!K15)</f>
        <v/>
      </c>
      <c r="O16" s="9">
        <f>Data!N15</f>
        <v>32.885238692129633</v>
      </c>
      <c r="P16" s="10" t="str">
        <f>CONCATENATE(Data!R15,".",Data!S15,".",Data!T15)</f>
        <v>101.4.5</v>
      </c>
      <c r="Q16" s="10" t="str">
        <f>Data!Y15</f>
        <v>America/New_York</v>
      </c>
      <c r="R16" s="10">
        <f>Data!W15</f>
        <v>0</v>
      </c>
    </row>
    <row r="17" spans="1:18" x14ac:dyDescent="0.3">
      <c r="A17" s="10" t="str">
        <f>Data!A16</f>
        <v>Vehicle 17</v>
      </c>
      <c r="B17" s="14">
        <f>Data!Z16</f>
        <v>0</v>
      </c>
      <c r="C17" s="14">
        <f>Data!V16</f>
        <v>0</v>
      </c>
      <c r="D17" s="14" t="str">
        <f>Data!X16</f>
        <v>1C3CCBAB5CN328929</v>
      </c>
      <c r="E17" s="14" t="str">
        <f>IF(Data!X16="","Uknown",LEFT(Data!X16,3))</f>
        <v>1C3</v>
      </c>
      <c r="F17" s="14" t="str">
        <f>IF(Data!AL16="",IFERROR(VLOOKUP(E17,Make!$A$3:$B$282,2,FALSE),"Unknown"),Data!AL16)</f>
        <v>Chrysler</v>
      </c>
      <c r="G17" s="25">
        <f>Data!M16</f>
        <v>17404.138671875</v>
      </c>
      <c r="H17" s="10" t="str">
        <f>Data!C16</f>
        <v>Entire Organization</v>
      </c>
      <c r="I17" s="10">
        <f>Data!U16</f>
        <v>0</v>
      </c>
      <c r="J17" s="10" t="str">
        <f>IF(Data!D16="","",Data!D16)</f>
        <v/>
      </c>
      <c r="K17" s="10" t="str">
        <f>IF(Data!F16="","",Data!F16)</f>
        <v>Stopped</v>
      </c>
      <c r="L17" s="10" t="str">
        <f>IF(Data!H16="","",Data!H16)</f>
        <v/>
      </c>
      <c r="M17" s="14">
        <f>Data!I16</f>
        <v>0</v>
      </c>
      <c r="N17" s="10" t="str">
        <f>IF(Data!K16="","",Data!K16)</f>
        <v/>
      </c>
      <c r="O17" s="9">
        <f>Data!N16</f>
        <v>42.002295682870368</v>
      </c>
      <c r="P17" s="10" t="str">
        <f>CONCATENATE(Data!R16,".",Data!S16,".",Data!T16)</f>
        <v>101.2.129</v>
      </c>
      <c r="Q17" s="10" t="str">
        <f>Data!Y16</f>
        <v>America/New_York</v>
      </c>
      <c r="R17" s="10">
        <f>Data!W16</f>
        <v>0</v>
      </c>
    </row>
    <row r="18" spans="1:18" x14ac:dyDescent="0.3">
      <c r="A18" s="10" t="str">
        <f>Data!A17</f>
        <v>Vehicle 18</v>
      </c>
      <c r="B18" s="14" t="str">
        <f>Data!Z17</f>
        <v/>
      </c>
      <c r="C18" s="14" t="str">
        <f>Data!V17</f>
        <v/>
      </c>
      <c r="D18" s="14" t="str">
        <f>Data!X17</f>
        <v>1J4PN2GK0AW131991</v>
      </c>
      <c r="E18" s="14" t="str">
        <f>IF(Data!X17="","Uknown",LEFT(Data!X17,3))</f>
        <v>1J4</v>
      </c>
      <c r="F18" s="14" t="str">
        <f>IF(Data!AL17="",IFERROR(VLOOKUP(E18,Make!$A$3:$B$282,2,FALSE),"Unknown"),Data!AL17)</f>
        <v>Jeep</v>
      </c>
      <c r="G18" s="25">
        <f>Data!M17</f>
        <v>127808.734375</v>
      </c>
      <c r="H18" s="10" t="str">
        <f>Data!C17</f>
        <v>Entire Organization</v>
      </c>
      <c r="I18" s="10">
        <f>Data!U17</f>
        <v>0</v>
      </c>
      <c r="J18" s="10" t="str">
        <f>IF(Data!D17="","",Data!D17)</f>
        <v/>
      </c>
      <c r="K18" s="10" t="str">
        <f>IF(Data!F17="","",Data!F17)</f>
        <v>Stopped</v>
      </c>
      <c r="L18" s="10" t="str">
        <f>IF(Data!H17="","",Data!H17)</f>
        <v/>
      </c>
      <c r="M18" s="14">
        <f>Data!I17</f>
        <v>0</v>
      </c>
      <c r="N18" s="10" t="str">
        <f>IF(Data!K17="","",Data!K17)</f>
        <v/>
      </c>
      <c r="O18" s="9">
        <f>Data!N17</f>
        <v>6.3705649421296293</v>
      </c>
      <c r="P18" s="10" t="str">
        <f>CONCATENATE(Data!R17,".",Data!S17,".",Data!T17)</f>
        <v>100.9.59</v>
      </c>
      <c r="Q18" s="10" t="str">
        <f>Data!Y17</f>
        <v>America/New_York</v>
      </c>
      <c r="R18" s="10" t="str">
        <f>Data!W17</f>
        <v/>
      </c>
    </row>
  </sheetData>
  <autoFilter ref="A7:R18"/>
  <conditionalFormatting sqref="L8:L18">
    <cfRule type="expression" dxfId="2" priority="2" stopIfTrue="1">
      <formula>ISNUMBER(SEARCH("Customer Zone", M8))</formula>
    </cfRule>
    <cfRule type="expression" dxfId="1" priority="3" stopIfTrue="1">
      <formula>ISNUMBER(SEARCH("Home Zone", M8))</formula>
    </cfRule>
    <cfRule type="expression" dxfId="0" priority="4" stopIfTrue="1">
      <formula>ISNUMBER(SEARCH("Depot Zone", M8))</formula>
    </cfRule>
  </conditionalFormatting>
  <conditionalFormatting sqref="G1:G1048576">
    <cfRule type="colorScale" priority="1">
      <colorScale>
        <cfvo type="min"/>
        <cfvo type="max"/>
        <color rgb="FFFCFCFF"/>
        <color theme="0" tint="-0.34998626667073579"/>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282"/>
  <sheetViews>
    <sheetView workbookViewId="0">
      <selection activeCell="B6" sqref="B6"/>
    </sheetView>
  </sheetViews>
  <sheetFormatPr defaultRowHeight="15" x14ac:dyDescent="0.25"/>
  <cols>
    <col min="1" max="1" width="11.28515625" customWidth="1"/>
    <col min="2" max="2" width="18.28515625" bestFit="1" customWidth="1"/>
  </cols>
  <sheetData>
    <row r="2" spans="1:2" x14ac:dyDescent="0.25">
      <c r="A2" s="18" t="s">
        <v>69</v>
      </c>
      <c r="B2" s="18" t="s">
        <v>68</v>
      </c>
    </row>
    <row r="3" spans="1:2" x14ac:dyDescent="0.25">
      <c r="A3" s="19" t="s">
        <v>70</v>
      </c>
      <c r="B3" s="20" t="s">
        <v>71</v>
      </c>
    </row>
    <row r="4" spans="1:2" x14ac:dyDescent="0.25">
      <c r="A4" s="19" t="s">
        <v>72</v>
      </c>
      <c r="B4" s="20" t="s">
        <v>73</v>
      </c>
    </row>
    <row r="5" spans="1:2" s="15" customFormat="1" x14ac:dyDescent="0.25">
      <c r="A5" s="19" t="s">
        <v>558</v>
      </c>
      <c r="B5" s="20" t="s">
        <v>87</v>
      </c>
    </row>
    <row r="6" spans="1:2" s="15" customFormat="1" x14ac:dyDescent="0.25">
      <c r="A6" s="19" t="s">
        <v>559</v>
      </c>
      <c r="B6" s="20" t="s">
        <v>87</v>
      </c>
    </row>
    <row r="7" spans="1:2" x14ac:dyDescent="0.25">
      <c r="A7" s="19" t="s">
        <v>74</v>
      </c>
      <c r="B7" s="20" t="s">
        <v>75</v>
      </c>
    </row>
    <row r="8" spans="1:2" x14ac:dyDescent="0.25">
      <c r="A8" s="19" t="s">
        <v>76</v>
      </c>
      <c r="B8" s="20" t="s">
        <v>77</v>
      </c>
    </row>
    <row r="9" spans="1:2" x14ac:dyDescent="0.25">
      <c r="A9" s="19" t="s">
        <v>78</v>
      </c>
      <c r="B9" s="20" t="s">
        <v>79</v>
      </c>
    </row>
    <row r="10" spans="1:2" x14ac:dyDescent="0.25">
      <c r="A10" s="19" t="s">
        <v>80</v>
      </c>
      <c r="B10" s="20" t="s">
        <v>81</v>
      </c>
    </row>
    <row r="11" spans="1:2" x14ac:dyDescent="0.25">
      <c r="A11" s="19" t="s">
        <v>82</v>
      </c>
      <c r="B11" s="20" t="s">
        <v>81</v>
      </c>
    </row>
    <row r="12" spans="1:2" x14ac:dyDescent="0.25">
      <c r="A12" s="19" t="s">
        <v>83</v>
      </c>
      <c r="B12" s="20" t="s">
        <v>81</v>
      </c>
    </row>
    <row r="13" spans="1:2" x14ac:dyDescent="0.25">
      <c r="A13" s="19" t="s">
        <v>84</v>
      </c>
      <c r="B13" s="20" t="s">
        <v>85</v>
      </c>
    </row>
    <row r="14" spans="1:2" x14ac:dyDescent="0.25">
      <c r="A14" s="19" t="s">
        <v>86</v>
      </c>
      <c r="B14" s="20" t="s">
        <v>87</v>
      </c>
    </row>
    <row r="15" spans="1:2" x14ac:dyDescent="0.25">
      <c r="A15" s="19" t="s">
        <v>88</v>
      </c>
      <c r="B15" s="20" t="s">
        <v>89</v>
      </c>
    </row>
    <row r="16" spans="1:2" x14ac:dyDescent="0.25">
      <c r="A16" s="19" t="s">
        <v>90</v>
      </c>
      <c r="B16" s="20" t="s">
        <v>91</v>
      </c>
    </row>
    <row r="17" spans="1:2" x14ac:dyDescent="0.25">
      <c r="A17" s="19" t="s">
        <v>92</v>
      </c>
      <c r="B17" s="20" t="s">
        <v>93</v>
      </c>
    </row>
    <row r="18" spans="1:2" x14ac:dyDescent="0.25">
      <c r="A18" s="19" t="s">
        <v>94</v>
      </c>
      <c r="B18" s="20" t="s">
        <v>95</v>
      </c>
    </row>
    <row r="19" spans="1:2" x14ac:dyDescent="0.25">
      <c r="A19" s="19" t="s">
        <v>96</v>
      </c>
      <c r="B19" s="20" t="s">
        <v>97</v>
      </c>
    </row>
    <row r="20" spans="1:2" x14ac:dyDescent="0.25">
      <c r="A20" s="19" t="s">
        <v>98</v>
      </c>
      <c r="B20" s="20" t="s">
        <v>97</v>
      </c>
    </row>
    <row r="21" spans="1:2" x14ac:dyDescent="0.25">
      <c r="A21" s="19" t="s">
        <v>99</v>
      </c>
      <c r="B21" s="20" t="s">
        <v>100</v>
      </c>
    </row>
    <row r="22" spans="1:2" x14ac:dyDescent="0.25">
      <c r="A22" s="19" t="s">
        <v>101</v>
      </c>
      <c r="B22" s="20" t="s">
        <v>100</v>
      </c>
    </row>
    <row r="23" spans="1:2" x14ac:dyDescent="0.25">
      <c r="A23" s="19" t="s">
        <v>102</v>
      </c>
      <c r="B23" s="20" t="s">
        <v>100</v>
      </c>
    </row>
    <row r="24" spans="1:2" s="15" customFormat="1" x14ac:dyDescent="0.25">
      <c r="A24" s="19" t="s">
        <v>479</v>
      </c>
      <c r="B24" s="20" t="s">
        <v>100</v>
      </c>
    </row>
    <row r="25" spans="1:2" x14ac:dyDescent="0.25">
      <c r="A25" s="19" t="s">
        <v>103</v>
      </c>
      <c r="B25" s="20" t="s">
        <v>104</v>
      </c>
    </row>
    <row r="26" spans="1:2" x14ac:dyDescent="0.25">
      <c r="A26" s="19" t="s">
        <v>105</v>
      </c>
      <c r="B26" s="20" t="s">
        <v>106</v>
      </c>
    </row>
    <row r="27" spans="1:2" x14ac:dyDescent="0.25">
      <c r="A27" s="19" t="s">
        <v>107</v>
      </c>
      <c r="B27" s="20" t="s">
        <v>106</v>
      </c>
    </row>
    <row r="28" spans="1:2" x14ac:dyDescent="0.25">
      <c r="A28" s="19" t="s">
        <v>108</v>
      </c>
      <c r="B28" s="20" t="s">
        <v>104</v>
      </c>
    </row>
    <row r="29" spans="1:2" x14ac:dyDescent="0.25">
      <c r="A29" s="19" t="s">
        <v>109</v>
      </c>
      <c r="B29" s="20" t="s">
        <v>110</v>
      </c>
    </row>
    <row r="30" spans="1:2" x14ac:dyDescent="0.25">
      <c r="A30" s="19" t="s">
        <v>111</v>
      </c>
      <c r="B30" s="20" t="s">
        <v>112</v>
      </c>
    </row>
    <row r="31" spans="1:2" x14ac:dyDescent="0.25">
      <c r="A31" s="19" t="s">
        <v>113</v>
      </c>
      <c r="B31" s="20" t="s">
        <v>114</v>
      </c>
    </row>
    <row r="32" spans="1:2" x14ac:dyDescent="0.25">
      <c r="A32" s="19" t="s">
        <v>115</v>
      </c>
      <c r="B32" s="20" t="s">
        <v>116</v>
      </c>
    </row>
    <row r="33" spans="1:2" x14ac:dyDescent="0.25">
      <c r="A33" s="19" t="s">
        <v>117</v>
      </c>
      <c r="B33" s="20" t="s">
        <v>118</v>
      </c>
    </row>
    <row r="34" spans="1:2" x14ac:dyDescent="0.25">
      <c r="A34" s="19" t="s">
        <v>119</v>
      </c>
      <c r="B34" s="20" t="s">
        <v>120</v>
      </c>
    </row>
    <row r="35" spans="1:2" x14ac:dyDescent="0.25">
      <c r="A35" s="19" t="s">
        <v>121</v>
      </c>
      <c r="B35" s="20" t="s">
        <v>71</v>
      </c>
    </row>
    <row r="36" spans="1:2" x14ac:dyDescent="0.25">
      <c r="A36" s="19" t="s">
        <v>122</v>
      </c>
      <c r="B36" s="20" t="s">
        <v>123</v>
      </c>
    </row>
    <row r="37" spans="1:2" x14ac:dyDescent="0.25">
      <c r="A37" s="19" t="s">
        <v>124</v>
      </c>
      <c r="B37" s="20" t="s">
        <v>125</v>
      </c>
    </row>
    <row r="38" spans="1:2" x14ac:dyDescent="0.25">
      <c r="A38" s="19" t="s">
        <v>126</v>
      </c>
      <c r="B38" s="20" t="s">
        <v>127</v>
      </c>
    </row>
    <row r="39" spans="1:2" x14ac:dyDescent="0.25">
      <c r="A39" s="19" t="s">
        <v>128</v>
      </c>
      <c r="B39" s="20" t="s">
        <v>129</v>
      </c>
    </row>
    <row r="40" spans="1:2" x14ac:dyDescent="0.25">
      <c r="A40" s="19" t="s">
        <v>130</v>
      </c>
      <c r="B40" s="20" t="s">
        <v>131</v>
      </c>
    </row>
    <row r="41" spans="1:2" x14ac:dyDescent="0.25">
      <c r="A41" s="19" t="s">
        <v>132</v>
      </c>
      <c r="B41" s="20" t="s">
        <v>133</v>
      </c>
    </row>
    <row r="42" spans="1:2" x14ac:dyDescent="0.25">
      <c r="A42" s="19" t="s">
        <v>134</v>
      </c>
      <c r="B42" s="20" t="s">
        <v>135</v>
      </c>
    </row>
    <row r="43" spans="1:2" x14ac:dyDescent="0.25">
      <c r="A43" s="19" t="s">
        <v>136</v>
      </c>
      <c r="B43" s="20" t="s">
        <v>137</v>
      </c>
    </row>
    <row r="44" spans="1:2" x14ac:dyDescent="0.25">
      <c r="A44" s="19" t="s">
        <v>138</v>
      </c>
      <c r="B44" s="20" t="s">
        <v>97</v>
      </c>
    </row>
    <row r="45" spans="1:2" x14ac:dyDescent="0.25">
      <c r="A45" s="19" t="s">
        <v>139</v>
      </c>
      <c r="B45" s="20" t="s">
        <v>140</v>
      </c>
    </row>
    <row r="46" spans="1:2" x14ac:dyDescent="0.25">
      <c r="A46" s="19" t="s">
        <v>141</v>
      </c>
      <c r="B46" s="20" t="s">
        <v>137</v>
      </c>
    </row>
    <row r="47" spans="1:2" x14ac:dyDescent="0.25">
      <c r="A47" s="19" t="s">
        <v>142</v>
      </c>
      <c r="B47" s="20" t="s">
        <v>71</v>
      </c>
    </row>
    <row r="48" spans="1:2" x14ac:dyDescent="0.25">
      <c r="A48" s="19" t="s">
        <v>143</v>
      </c>
      <c r="B48" s="20" t="s">
        <v>144</v>
      </c>
    </row>
    <row r="49" spans="1:2" x14ac:dyDescent="0.25">
      <c r="A49" s="19" t="s">
        <v>145</v>
      </c>
      <c r="B49" s="20" t="s">
        <v>146</v>
      </c>
    </row>
    <row r="50" spans="1:2" x14ac:dyDescent="0.25">
      <c r="A50" s="19" t="s">
        <v>147</v>
      </c>
      <c r="B50" s="20" t="s">
        <v>148</v>
      </c>
    </row>
    <row r="51" spans="1:2" x14ac:dyDescent="0.25">
      <c r="A51" s="19" t="s">
        <v>149</v>
      </c>
      <c r="B51" s="20" t="s">
        <v>146</v>
      </c>
    </row>
    <row r="52" spans="1:2" x14ac:dyDescent="0.25">
      <c r="A52" s="19" t="s">
        <v>150</v>
      </c>
      <c r="B52" s="20" t="s">
        <v>151</v>
      </c>
    </row>
    <row r="53" spans="1:2" x14ac:dyDescent="0.25">
      <c r="A53" s="19" t="s">
        <v>152</v>
      </c>
      <c r="B53" s="20" t="s">
        <v>127</v>
      </c>
    </row>
    <row r="54" spans="1:2" x14ac:dyDescent="0.25">
      <c r="A54" s="19" t="s">
        <v>153</v>
      </c>
      <c r="B54" s="20" t="s">
        <v>127</v>
      </c>
    </row>
    <row r="55" spans="1:2" x14ac:dyDescent="0.25">
      <c r="A55" s="19" t="s">
        <v>154</v>
      </c>
      <c r="B55" s="20" t="s">
        <v>137</v>
      </c>
    </row>
    <row r="56" spans="1:2" x14ac:dyDescent="0.25">
      <c r="A56" s="19" t="s">
        <v>155</v>
      </c>
      <c r="B56" s="20" t="s">
        <v>120</v>
      </c>
    </row>
    <row r="57" spans="1:2" x14ac:dyDescent="0.25">
      <c r="A57" s="19" t="s">
        <v>156</v>
      </c>
      <c r="B57" s="20" t="s">
        <v>157</v>
      </c>
    </row>
    <row r="58" spans="1:2" x14ac:dyDescent="0.25">
      <c r="A58" s="19" t="s">
        <v>158</v>
      </c>
      <c r="B58" s="20" t="s">
        <v>71</v>
      </c>
    </row>
    <row r="59" spans="1:2" x14ac:dyDescent="0.25">
      <c r="A59" s="19" t="s">
        <v>159</v>
      </c>
      <c r="B59" s="20" t="s">
        <v>160</v>
      </c>
    </row>
    <row r="60" spans="1:2" x14ac:dyDescent="0.25">
      <c r="A60" s="19" t="s">
        <v>161</v>
      </c>
      <c r="B60" s="20" t="s">
        <v>89</v>
      </c>
    </row>
    <row r="61" spans="1:2" x14ac:dyDescent="0.25">
      <c r="A61" s="19" t="s">
        <v>162</v>
      </c>
      <c r="B61" s="20" t="s">
        <v>97</v>
      </c>
    </row>
    <row r="62" spans="1:2" x14ac:dyDescent="0.25">
      <c r="A62" s="19" t="s">
        <v>163</v>
      </c>
      <c r="B62" s="20" t="s">
        <v>120</v>
      </c>
    </row>
    <row r="63" spans="1:2" x14ac:dyDescent="0.25">
      <c r="A63" s="19" t="s">
        <v>164</v>
      </c>
      <c r="B63" s="20" t="s">
        <v>71</v>
      </c>
    </row>
    <row r="64" spans="1:2" x14ac:dyDescent="0.25">
      <c r="A64" s="19" t="s">
        <v>165</v>
      </c>
      <c r="B64" s="20" t="s">
        <v>151</v>
      </c>
    </row>
    <row r="65" spans="1:2" x14ac:dyDescent="0.25">
      <c r="A65" s="19" t="s">
        <v>166</v>
      </c>
      <c r="B65" s="20" t="s">
        <v>167</v>
      </c>
    </row>
    <row r="66" spans="1:2" x14ac:dyDescent="0.25">
      <c r="A66" s="19" t="s">
        <v>168</v>
      </c>
      <c r="B66" s="20" t="s">
        <v>169</v>
      </c>
    </row>
    <row r="67" spans="1:2" x14ac:dyDescent="0.25">
      <c r="A67" s="19" t="s">
        <v>170</v>
      </c>
      <c r="B67" s="20" t="s">
        <v>171</v>
      </c>
    </row>
    <row r="68" spans="1:2" x14ac:dyDescent="0.25">
      <c r="A68" s="19" t="s">
        <v>172</v>
      </c>
      <c r="B68" s="20" t="s">
        <v>173</v>
      </c>
    </row>
    <row r="69" spans="1:2" x14ac:dyDescent="0.25">
      <c r="A69" s="19" t="s">
        <v>174</v>
      </c>
      <c r="B69" s="20" t="s">
        <v>175</v>
      </c>
    </row>
    <row r="70" spans="1:2" x14ac:dyDescent="0.25">
      <c r="A70" s="19" t="s">
        <v>176</v>
      </c>
      <c r="B70" s="20" t="s">
        <v>177</v>
      </c>
    </row>
    <row r="71" spans="1:2" x14ac:dyDescent="0.25">
      <c r="A71" s="19" t="s">
        <v>178</v>
      </c>
      <c r="B71" s="20" t="s">
        <v>179</v>
      </c>
    </row>
    <row r="72" spans="1:2" x14ac:dyDescent="0.25">
      <c r="A72" s="19" t="s">
        <v>180</v>
      </c>
      <c r="B72" s="20" t="s">
        <v>181</v>
      </c>
    </row>
    <row r="73" spans="1:2" x14ac:dyDescent="0.25">
      <c r="A73" s="19" t="s">
        <v>182</v>
      </c>
      <c r="B73" s="20" t="s">
        <v>183</v>
      </c>
    </row>
    <row r="74" spans="1:2" x14ac:dyDescent="0.25">
      <c r="A74" s="19" t="s">
        <v>184</v>
      </c>
      <c r="B74" s="20" t="s">
        <v>185</v>
      </c>
    </row>
    <row r="75" spans="1:2" s="15" customFormat="1" x14ac:dyDescent="0.25">
      <c r="A75" s="19" t="s">
        <v>471</v>
      </c>
      <c r="B75" s="20" t="s">
        <v>81</v>
      </c>
    </row>
    <row r="76" spans="1:2" x14ac:dyDescent="0.25">
      <c r="A76" s="19" t="s">
        <v>186</v>
      </c>
      <c r="B76" s="20" t="s">
        <v>137</v>
      </c>
    </row>
    <row r="77" spans="1:2" x14ac:dyDescent="0.25">
      <c r="A77" s="19" t="s">
        <v>187</v>
      </c>
      <c r="B77" s="20" t="s">
        <v>144</v>
      </c>
    </row>
    <row r="78" spans="1:2" x14ac:dyDescent="0.25">
      <c r="A78" s="19" t="s">
        <v>188</v>
      </c>
      <c r="B78" s="20" t="s">
        <v>189</v>
      </c>
    </row>
    <row r="79" spans="1:2" x14ac:dyDescent="0.25">
      <c r="A79" s="19" t="s">
        <v>190</v>
      </c>
      <c r="B79" s="20" t="s">
        <v>191</v>
      </c>
    </row>
    <row r="80" spans="1:2" x14ac:dyDescent="0.25">
      <c r="A80" s="19" t="s">
        <v>192</v>
      </c>
      <c r="B80" s="20" t="s">
        <v>193</v>
      </c>
    </row>
    <row r="81" spans="1:2" x14ac:dyDescent="0.25">
      <c r="A81" s="19" t="s">
        <v>194</v>
      </c>
      <c r="B81" s="20" t="s">
        <v>195</v>
      </c>
    </row>
    <row r="82" spans="1:2" x14ac:dyDescent="0.25">
      <c r="A82" s="19" t="s">
        <v>196</v>
      </c>
      <c r="B82" s="20" t="s">
        <v>197</v>
      </c>
    </row>
    <row r="83" spans="1:2" x14ac:dyDescent="0.25">
      <c r="A83" s="19" t="s">
        <v>198</v>
      </c>
      <c r="B83" s="20" t="s">
        <v>195</v>
      </c>
    </row>
    <row r="84" spans="1:2" x14ac:dyDescent="0.25">
      <c r="A84" s="19" t="s">
        <v>199</v>
      </c>
      <c r="B84" s="20" t="s">
        <v>200</v>
      </c>
    </row>
    <row r="85" spans="1:2" x14ac:dyDescent="0.25">
      <c r="A85" s="19" t="s">
        <v>201</v>
      </c>
      <c r="B85" s="20" t="s">
        <v>195</v>
      </c>
    </row>
    <row r="86" spans="1:2" x14ac:dyDescent="0.25">
      <c r="A86" s="19" t="s">
        <v>202</v>
      </c>
      <c r="B86" s="20" t="s">
        <v>197</v>
      </c>
    </row>
    <row r="87" spans="1:2" x14ac:dyDescent="0.25">
      <c r="A87" s="19" t="s">
        <v>203</v>
      </c>
      <c r="B87" s="20" t="s">
        <v>204</v>
      </c>
    </row>
    <row r="88" spans="1:2" x14ac:dyDescent="0.25">
      <c r="A88" s="19" t="s">
        <v>205</v>
      </c>
      <c r="B88" s="20" t="s">
        <v>206</v>
      </c>
    </row>
    <row r="89" spans="1:2" x14ac:dyDescent="0.25">
      <c r="A89" s="19" t="s">
        <v>207</v>
      </c>
      <c r="B89" s="20" t="s">
        <v>204</v>
      </c>
    </row>
    <row r="90" spans="1:2" x14ac:dyDescent="0.25">
      <c r="A90" s="19" t="s">
        <v>208</v>
      </c>
      <c r="B90" s="20" t="s">
        <v>209</v>
      </c>
    </row>
    <row r="91" spans="1:2" x14ac:dyDescent="0.25">
      <c r="A91" s="19" t="s">
        <v>210</v>
      </c>
      <c r="B91" s="20" t="s">
        <v>104</v>
      </c>
    </row>
    <row r="92" spans="1:2" x14ac:dyDescent="0.25">
      <c r="A92" s="19" t="s">
        <v>211</v>
      </c>
      <c r="B92" s="20" t="s">
        <v>212</v>
      </c>
    </row>
    <row r="93" spans="1:2" x14ac:dyDescent="0.25">
      <c r="A93" s="19" t="s">
        <v>213</v>
      </c>
      <c r="B93" s="20" t="s">
        <v>214</v>
      </c>
    </row>
    <row r="94" spans="1:2" x14ac:dyDescent="0.25">
      <c r="A94" s="19" t="s">
        <v>215</v>
      </c>
      <c r="B94" s="20" t="s">
        <v>104</v>
      </c>
    </row>
    <row r="95" spans="1:2" x14ac:dyDescent="0.25">
      <c r="A95" s="19" t="s">
        <v>216</v>
      </c>
      <c r="B95" s="20" t="s">
        <v>217</v>
      </c>
    </row>
    <row r="96" spans="1:2" x14ac:dyDescent="0.25">
      <c r="A96" s="19" t="s">
        <v>218</v>
      </c>
      <c r="B96" s="20" t="s">
        <v>219</v>
      </c>
    </row>
    <row r="97" spans="1:2" x14ac:dyDescent="0.25">
      <c r="A97" s="19" t="s">
        <v>220</v>
      </c>
      <c r="B97" s="20" t="s">
        <v>221</v>
      </c>
    </row>
    <row r="98" spans="1:2" x14ac:dyDescent="0.25">
      <c r="A98" s="19" t="s">
        <v>222</v>
      </c>
      <c r="B98" s="20" t="s">
        <v>223</v>
      </c>
    </row>
    <row r="99" spans="1:2" x14ac:dyDescent="0.25">
      <c r="A99" s="19" t="s">
        <v>224</v>
      </c>
      <c r="B99" s="20" t="s">
        <v>135</v>
      </c>
    </row>
    <row r="100" spans="1:2" x14ac:dyDescent="0.25">
      <c r="A100" s="19" t="s">
        <v>225</v>
      </c>
      <c r="B100" s="20" t="s">
        <v>144</v>
      </c>
    </row>
    <row r="101" spans="1:2" x14ac:dyDescent="0.25">
      <c r="A101" s="19" t="s">
        <v>226</v>
      </c>
      <c r="B101" s="20" t="s">
        <v>227</v>
      </c>
    </row>
    <row r="102" spans="1:2" x14ac:dyDescent="0.25">
      <c r="A102" s="19" t="s">
        <v>228</v>
      </c>
      <c r="B102" s="20" t="s">
        <v>229</v>
      </c>
    </row>
    <row r="103" spans="1:2" x14ac:dyDescent="0.25">
      <c r="A103" s="19" t="s">
        <v>230</v>
      </c>
      <c r="B103" s="20" t="s">
        <v>71</v>
      </c>
    </row>
    <row r="104" spans="1:2" x14ac:dyDescent="0.25">
      <c r="A104" s="19" t="s">
        <v>231</v>
      </c>
      <c r="B104" s="20" t="s">
        <v>232</v>
      </c>
    </row>
    <row r="105" spans="1:2" x14ac:dyDescent="0.25">
      <c r="A105" s="19" t="s">
        <v>233</v>
      </c>
      <c r="B105" s="20" t="s">
        <v>234</v>
      </c>
    </row>
    <row r="106" spans="1:2" x14ac:dyDescent="0.25">
      <c r="A106" s="19" t="s">
        <v>235</v>
      </c>
      <c r="B106" s="20" t="s">
        <v>236</v>
      </c>
    </row>
    <row r="107" spans="1:2" x14ac:dyDescent="0.25">
      <c r="A107" s="19" t="s">
        <v>237</v>
      </c>
      <c r="B107" s="20" t="s">
        <v>236</v>
      </c>
    </row>
    <row r="108" spans="1:2" x14ac:dyDescent="0.25">
      <c r="A108" s="19" t="s">
        <v>238</v>
      </c>
      <c r="B108" s="20" t="s">
        <v>73</v>
      </c>
    </row>
    <row r="109" spans="1:2" x14ac:dyDescent="0.25">
      <c r="A109" s="19" t="s">
        <v>239</v>
      </c>
      <c r="B109" s="20" t="s">
        <v>240</v>
      </c>
    </row>
    <row r="110" spans="1:2" x14ac:dyDescent="0.25">
      <c r="A110" s="19" t="s">
        <v>241</v>
      </c>
      <c r="B110" s="20" t="s">
        <v>242</v>
      </c>
    </row>
    <row r="111" spans="1:2" x14ac:dyDescent="0.25">
      <c r="A111" s="19" t="s">
        <v>243</v>
      </c>
      <c r="B111" s="20" t="s">
        <v>244</v>
      </c>
    </row>
    <row r="112" spans="1:2" x14ac:dyDescent="0.25">
      <c r="A112" s="19" t="s">
        <v>245</v>
      </c>
      <c r="B112" s="20" t="s">
        <v>246</v>
      </c>
    </row>
    <row r="113" spans="1:2" x14ac:dyDescent="0.25">
      <c r="A113" s="19" t="s">
        <v>247</v>
      </c>
      <c r="B113" s="20" t="s">
        <v>248</v>
      </c>
    </row>
    <row r="114" spans="1:2" x14ac:dyDescent="0.25">
      <c r="A114" s="19" t="s">
        <v>249</v>
      </c>
      <c r="B114" s="20" t="s">
        <v>250</v>
      </c>
    </row>
    <row r="115" spans="1:2" x14ac:dyDescent="0.25">
      <c r="A115" s="19" t="s">
        <v>251</v>
      </c>
      <c r="B115" s="20" t="s">
        <v>250</v>
      </c>
    </row>
    <row r="116" spans="1:2" x14ac:dyDescent="0.25">
      <c r="A116" s="19" t="s">
        <v>252</v>
      </c>
      <c r="B116" s="20" t="s">
        <v>250</v>
      </c>
    </row>
    <row r="117" spans="1:2" x14ac:dyDescent="0.25">
      <c r="A117" s="19" t="s">
        <v>253</v>
      </c>
      <c r="B117" s="20" t="s">
        <v>250</v>
      </c>
    </row>
    <row r="118" spans="1:2" x14ac:dyDescent="0.25">
      <c r="A118" s="19" t="s">
        <v>254</v>
      </c>
      <c r="B118" s="20" t="s">
        <v>255</v>
      </c>
    </row>
    <row r="119" spans="1:2" x14ac:dyDescent="0.25">
      <c r="A119" s="19" t="s">
        <v>256</v>
      </c>
      <c r="B119" s="20" t="s">
        <v>71</v>
      </c>
    </row>
    <row r="120" spans="1:2" x14ac:dyDescent="0.25">
      <c r="A120" s="19" t="s">
        <v>257</v>
      </c>
      <c r="B120" s="20" t="s">
        <v>125</v>
      </c>
    </row>
    <row r="121" spans="1:2" x14ac:dyDescent="0.25">
      <c r="A121" s="19" t="s">
        <v>258</v>
      </c>
      <c r="B121" s="20" t="s">
        <v>259</v>
      </c>
    </row>
    <row r="122" spans="1:2" x14ac:dyDescent="0.25">
      <c r="A122" s="19" t="s">
        <v>260</v>
      </c>
      <c r="B122" s="20" t="s">
        <v>261</v>
      </c>
    </row>
    <row r="123" spans="1:2" x14ac:dyDescent="0.25">
      <c r="A123" s="19" t="s">
        <v>262</v>
      </c>
      <c r="B123" s="20" t="s">
        <v>263</v>
      </c>
    </row>
    <row r="124" spans="1:2" x14ac:dyDescent="0.25">
      <c r="A124" s="19" t="s">
        <v>264</v>
      </c>
      <c r="B124" s="20" t="s">
        <v>236</v>
      </c>
    </row>
    <row r="125" spans="1:2" x14ac:dyDescent="0.25">
      <c r="A125" s="19" t="s">
        <v>265</v>
      </c>
      <c r="B125" s="20" t="s">
        <v>73</v>
      </c>
    </row>
    <row r="126" spans="1:2" x14ac:dyDescent="0.25">
      <c r="A126" s="19" t="s">
        <v>266</v>
      </c>
      <c r="B126" s="20" t="s">
        <v>73</v>
      </c>
    </row>
    <row r="127" spans="1:2" x14ac:dyDescent="0.25">
      <c r="A127" s="19" t="s">
        <v>267</v>
      </c>
      <c r="B127" s="20" t="s">
        <v>268</v>
      </c>
    </row>
    <row r="128" spans="1:2" x14ac:dyDescent="0.25">
      <c r="A128" s="19" t="s">
        <v>269</v>
      </c>
      <c r="B128" s="20" t="s">
        <v>146</v>
      </c>
    </row>
    <row r="129" spans="1:2" x14ac:dyDescent="0.25">
      <c r="A129" s="19" t="s">
        <v>270</v>
      </c>
      <c r="B129" s="20" t="s">
        <v>271</v>
      </c>
    </row>
    <row r="130" spans="1:2" x14ac:dyDescent="0.25">
      <c r="A130" s="19" t="s">
        <v>272</v>
      </c>
      <c r="B130" s="20" t="s">
        <v>273</v>
      </c>
    </row>
    <row r="131" spans="1:2" x14ac:dyDescent="0.25">
      <c r="A131" s="19" t="s">
        <v>274</v>
      </c>
      <c r="B131" s="20" t="s">
        <v>221</v>
      </c>
    </row>
    <row r="132" spans="1:2" x14ac:dyDescent="0.25">
      <c r="A132" s="19" t="s">
        <v>275</v>
      </c>
      <c r="B132" s="20" t="s">
        <v>273</v>
      </c>
    </row>
    <row r="133" spans="1:2" x14ac:dyDescent="0.25">
      <c r="A133" s="19" t="s">
        <v>276</v>
      </c>
      <c r="B133" s="20" t="s">
        <v>221</v>
      </c>
    </row>
    <row r="134" spans="1:2" x14ac:dyDescent="0.25">
      <c r="A134" s="19" t="s">
        <v>277</v>
      </c>
      <c r="B134" s="20" t="s">
        <v>140</v>
      </c>
    </row>
    <row r="135" spans="1:2" x14ac:dyDescent="0.25">
      <c r="A135" s="19" t="s">
        <v>278</v>
      </c>
      <c r="B135" s="20" t="s">
        <v>140</v>
      </c>
    </row>
    <row r="136" spans="1:2" x14ac:dyDescent="0.25">
      <c r="A136" s="19" t="s">
        <v>279</v>
      </c>
      <c r="B136" s="20" t="s">
        <v>140</v>
      </c>
    </row>
    <row r="137" spans="1:2" x14ac:dyDescent="0.25">
      <c r="A137" s="19" t="s">
        <v>280</v>
      </c>
      <c r="B137" s="20" t="s">
        <v>140</v>
      </c>
    </row>
    <row r="138" spans="1:2" x14ac:dyDescent="0.25">
      <c r="A138" s="19" t="s">
        <v>281</v>
      </c>
      <c r="B138" s="20" t="s">
        <v>282</v>
      </c>
    </row>
    <row r="139" spans="1:2" x14ac:dyDescent="0.25">
      <c r="A139" s="19" t="s">
        <v>283</v>
      </c>
      <c r="B139" s="20" t="s">
        <v>284</v>
      </c>
    </row>
    <row r="140" spans="1:2" x14ac:dyDescent="0.25">
      <c r="A140" s="19" t="s">
        <v>285</v>
      </c>
      <c r="B140" s="20" t="s">
        <v>286</v>
      </c>
    </row>
    <row r="141" spans="1:2" x14ac:dyDescent="0.25">
      <c r="A141" s="19" t="s">
        <v>287</v>
      </c>
      <c r="B141" s="20" t="s">
        <v>288</v>
      </c>
    </row>
    <row r="142" spans="1:2" x14ac:dyDescent="0.25">
      <c r="A142" s="19" t="s">
        <v>289</v>
      </c>
      <c r="B142" s="20" t="s">
        <v>290</v>
      </c>
    </row>
    <row r="143" spans="1:2" x14ac:dyDescent="0.25">
      <c r="A143" s="19" t="s">
        <v>291</v>
      </c>
      <c r="B143" s="20" t="s">
        <v>292</v>
      </c>
    </row>
    <row r="144" spans="1:2" x14ac:dyDescent="0.25">
      <c r="A144" s="19" t="s">
        <v>293</v>
      </c>
      <c r="B144" s="20" t="s">
        <v>294</v>
      </c>
    </row>
    <row r="145" spans="1:2" x14ac:dyDescent="0.25">
      <c r="A145" s="19" t="s">
        <v>295</v>
      </c>
      <c r="B145" s="20" t="s">
        <v>296</v>
      </c>
    </row>
    <row r="146" spans="1:2" x14ac:dyDescent="0.25">
      <c r="A146" s="19" t="s">
        <v>297</v>
      </c>
      <c r="B146" s="20" t="s">
        <v>298</v>
      </c>
    </row>
    <row r="147" spans="1:2" x14ac:dyDescent="0.25">
      <c r="A147" s="19" t="s">
        <v>299</v>
      </c>
      <c r="B147" s="20" t="s">
        <v>300</v>
      </c>
    </row>
    <row r="148" spans="1:2" x14ac:dyDescent="0.25">
      <c r="A148" s="19" t="s">
        <v>301</v>
      </c>
      <c r="B148" s="20" t="s">
        <v>302</v>
      </c>
    </row>
    <row r="149" spans="1:2" x14ac:dyDescent="0.25">
      <c r="A149" s="19" t="s">
        <v>303</v>
      </c>
      <c r="B149" s="20" t="s">
        <v>304</v>
      </c>
    </row>
    <row r="150" spans="1:2" x14ac:dyDescent="0.25">
      <c r="A150" s="19" t="s">
        <v>305</v>
      </c>
      <c r="B150" s="20" t="s">
        <v>306</v>
      </c>
    </row>
    <row r="151" spans="1:2" x14ac:dyDescent="0.25">
      <c r="A151" s="19" t="s">
        <v>307</v>
      </c>
      <c r="B151" s="20" t="s">
        <v>308</v>
      </c>
    </row>
    <row r="152" spans="1:2" x14ac:dyDescent="0.25">
      <c r="A152" s="19" t="s">
        <v>309</v>
      </c>
      <c r="B152" s="20" t="s">
        <v>308</v>
      </c>
    </row>
    <row r="153" spans="1:2" x14ac:dyDescent="0.25">
      <c r="A153" s="19" t="s">
        <v>310</v>
      </c>
      <c r="B153" s="20" t="s">
        <v>311</v>
      </c>
    </row>
    <row r="154" spans="1:2" x14ac:dyDescent="0.25">
      <c r="A154" s="19" t="s">
        <v>312</v>
      </c>
      <c r="B154" s="20" t="s">
        <v>71</v>
      </c>
    </row>
    <row r="155" spans="1:2" x14ac:dyDescent="0.25">
      <c r="A155" s="19" t="s">
        <v>313</v>
      </c>
      <c r="B155" s="20" t="s">
        <v>71</v>
      </c>
    </row>
    <row r="156" spans="1:2" x14ac:dyDescent="0.25">
      <c r="A156" s="19" t="s">
        <v>314</v>
      </c>
      <c r="B156" s="20" t="s">
        <v>71</v>
      </c>
    </row>
    <row r="157" spans="1:2" x14ac:dyDescent="0.25">
      <c r="A157" s="19" t="s">
        <v>315</v>
      </c>
      <c r="B157" s="20" t="s">
        <v>71</v>
      </c>
    </row>
    <row r="158" spans="1:2" x14ac:dyDescent="0.25">
      <c r="A158" s="19" t="s">
        <v>316</v>
      </c>
      <c r="B158" s="20" t="s">
        <v>71</v>
      </c>
    </row>
    <row r="159" spans="1:2" x14ac:dyDescent="0.25">
      <c r="A159" s="19" t="s">
        <v>317</v>
      </c>
      <c r="B159" s="20" t="s">
        <v>71</v>
      </c>
    </row>
    <row r="160" spans="1:2" x14ac:dyDescent="0.25">
      <c r="A160" s="19" t="s">
        <v>318</v>
      </c>
      <c r="B160" s="20" t="s">
        <v>319</v>
      </c>
    </row>
    <row r="161" spans="1:2" x14ac:dyDescent="0.25">
      <c r="A161" s="19" t="s">
        <v>320</v>
      </c>
      <c r="B161" s="20" t="s">
        <v>319</v>
      </c>
    </row>
    <row r="162" spans="1:2" x14ac:dyDescent="0.25">
      <c r="A162" s="19" t="s">
        <v>321</v>
      </c>
      <c r="B162" s="20" t="s">
        <v>322</v>
      </c>
    </row>
    <row r="163" spans="1:2" x14ac:dyDescent="0.25">
      <c r="A163" s="19" t="s">
        <v>323</v>
      </c>
      <c r="B163" s="20" t="s">
        <v>324</v>
      </c>
    </row>
    <row r="164" spans="1:2" x14ac:dyDescent="0.25">
      <c r="A164" s="19" t="s">
        <v>325</v>
      </c>
      <c r="B164" s="20" t="s">
        <v>148</v>
      </c>
    </row>
    <row r="165" spans="1:2" x14ac:dyDescent="0.25">
      <c r="A165" s="19" t="s">
        <v>326</v>
      </c>
      <c r="B165" s="20" t="s">
        <v>327</v>
      </c>
    </row>
    <row r="166" spans="1:2" x14ac:dyDescent="0.25">
      <c r="A166" s="19" t="s">
        <v>328</v>
      </c>
      <c r="B166" s="20" t="s">
        <v>148</v>
      </c>
    </row>
    <row r="167" spans="1:2" x14ac:dyDescent="0.25">
      <c r="A167" s="19" t="s">
        <v>329</v>
      </c>
      <c r="B167" s="20" t="s">
        <v>330</v>
      </c>
    </row>
    <row r="168" spans="1:2" x14ac:dyDescent="0.25">
      <c r="A168" s="19" t="s">
        <v>331</v>
      </c>
      <c r="B168" s="20" t="s">
        <v>332</v>
      </c>
    </row>
    <row r="169" spans="1:2" x14ac:dyDescent="0.25">
      <c r="A169" s="19" t="s">
        <v>333</v>
      </c>
      <c r="B169" s="20" t="s">
        <v>334</v>
      </c>
    </row>
    <row r="170" spans="1:2" x14ac:dyDescent="0.25">
      <c r="A170" s="19" t="s">
        <v>335</v>
      </c>
      <c r="B170" s="20" t="s">
        <v>336</v>
      </c>
    </row>
    <row r="171" spans="1:2" x14ac:dyDescent="0.25">
      <c r="A171" s="19" t="s">
        <v>337</v>
      </c>
      <c r="B171" s="20" t="s">
        <v>330</v>
      </c>
    </row>
    <row r="172" spans="1:2" x14ac:dyDescent="0.25">
      <c r="A172" s="19" t="s">
        <v>338</v>
      </c>
      <c r="B172" s="20" t="s">
        <v>339</v>
      </c>
    </row>
    <row r="173" spans="1:2" x14ac:dyDescent="0.25">
      <c r="A173" s="19" t="s">
        <v>340</v>
      </c>
      <c r="B173" s="20" t="s">
        <v>137</v>
      </c>
    </row>
    <row r="174" spans="1:2" x14ac:dyDescent="0.25">
      <c r="A174" s="19" t="s">
        <v>341</v>
      </c>
      <c r="B174" s="20" t="s">
        <v>342</v>
      </c>
    </row>
    <row r="175" spans="1:2" x14ac:dyDescent="0.25">
      <c r="A175" s="19" t="s">
        <v>343</v>
      </c>
      <c r="B175" s="20" t="s">
        <v>344</v>
      </c>
    </row>
    <row r="176" spans="1:2" x14ac:dyDescent="0.25">
      <c r="A176" s="19" t="s">
        <v>345</v>
      </c>
      <c r="B176" s="20" t="s">
        <v>346</v>
      </c>
    </row>
    <row r="177" spans="1:2" x14ac:dyDescent="0.25">
      <c r="A177" s="19" t="s">
        <v>347</v>
      </c>
      <c r="B177" s="20" t="s">
        <v>348</v>
      </c>
    </row>
    <row r="178" spans="1:2" x14ac:dyDescent="0.25">
      <c r="A178" s="19" t="s">
        <v>349</v>
      </c>
      <c r="B178" s="20" t="s">
        <v>350</v>
      </c>
    </row>
    <row r="179" spans="1:2" x14ac:dyDescent="0.25">
      <c r="A179" s="19" t="s">
        <v>351</v>
      </c>
      <c r="B179" s="20" t="s">
        <v>350</v>
      </c>
    </row>
    <row r="180" spans="1:2" x14ac:dyDescent="0.25">
      <c r="A180" s="19" t="s">
        <v>352</v>
      </c>
      <c r="B180" s="20" t="s">
        <v>350</v>
      </c>
    </row>
    <row r="181" spans="1:2" x14ac:dyDescent="0.25">
      <c r="A181" s="19" t="s">
        <v>353</v>
      </c>
      <c r="B181" s="20" t="s">
        <v>350</v>
      </c>
    </row>
    <row r="182" spans="1:2" x14ac:dyDescent="0.25">
      <c r="A182" s="19" t="s">
        <v>354</v>
      </c>
      <c r="B182" s="20" t="s">
        <v>355</v>
      </c>
    </row>
    <row r="183" spans="1:2" x14ac:dyDescent="0.25">
      <c r="A183" s="19" t="s">
        <v>356</v>
      </c>
      <c r="B183" s="20" t="s">
        <v>144</v>
      </c>
    </row>
    <row r="184" spans="1:2" x14ac:dyDescent="0.25">
      <c r="A184" s="19" t="s">
        <v>357</v>
      </c>
      <c r="B184" s="20" t="s">
        <v>358</v>
      </c>
    </row>
    <row r="185" spans="1:2" x14ac:dyDescent="0.25">
      <c r="A185" s="19" t="s">
        <v>359</v>
      </c>
      <c r="B185" s="20" t="s">
        <v>360</v>
      </c>
    </row>
    <row r="186" spans="1:2" x14ac:dyDescent="0.25">
      <c r="A186" s="19" t="s">
        <v>361</v>
      </c>
      <c r="B186" s="20" t="s">
        <v>362</v>
      </c>
    </row>
    <row r="187" spans="1:2" x14ac:dyDescent="0.25">
      <c r="A187" s="19" t="s">
        <v>363</v>
      </c>
      <c r="B187" s="20" t="s">
        <v>73</v>
      </c>
    </row>
    <row r="188" spans="1:2" x14ac:dyDescent="0.25">
      <c r="A188" s="19" t="s">
        <v>364</v>
      </c>
      <c r="B188" s="20" t="s">
        <v>365</v>
      </c>
    </row>
    <row r="189" spans="1:2" x14ac:dyDescent="0.25">
      <c r="A189" s="19" t="s">
        <v>366</v>
      </c>
      <c r="B189" s="20" t="s">
        <v>367</v>
      </c>
    </row>
    <row r="190" spans="1:2" x14ac:dyDescent="0.25">
      <c r="A190" s="19" t="s">
        <v>368</v>
      </c>
      <c r="B190" s="20" t="s">
        <v>151</v>
      </c>
    </row>
    <row r="191" spans="1:2" x14ac:dyDescent="0.25">
      <c r="A191" s="19" t="s">
        <v>369</v>
      </c>
      <c r="B191" s="20" t="s">
        <v>370</v>
      </c>
    </row>
    <row r="192" spans="1:2" x14ac:dyDescent="0.25">
      <c r="A192" s="19" t="s">
        <v>371</v>
      </c>
      <c r="B192" s="20" t="s">
        <v>372</v>
      </c>
    </row>
    <row r="193" spans="1:2" x14ac:dyDescent="0.25">
      <c r="A193" s="19" t="s">
        <v>373</v>
      </c>
      <c r="B193" s="20" t="s">
        <v>374</v>
      </c>
    </row>
    <row r="194" spans="1:2" x14ac:dyDescent="0.25">
      <c r="A194" s="19" t="s">
        <v>375</v>
      </c>
      <c r="B194" s="20" t="s">
        <v>71</v>
      </c>
    </row>
    <row r="195" spans="1:2" x14ac:dyDescent="0.25">
      <c r="A195" s="19" t="s">
        <v>376</v>
      </c>
      <c r="B195" s="20" t="s">
        <v>71</v>
      </c>
    </row>
    <row r="196" spans="1:2" x14ac:dyDescent="0.25">
      <c r="A196" s="19" t="s">
        <v>377</v>
      </c>
      <c r="B196" s="20" t="s">
        <v>71</v>
      </c>
    </row>
    <row r="197" spans="1:2" x14ac:dyDescent="0.25">
      <c r="A197" s="19" t="s">
        <v>378</v>
      </c>
      <c r="B197" s="20" t="s">
        <v>71</v>
      </c>
    </row>
    <row r="198" spans="1:2" x14ac:dyDescent="0.25">
      <c r="A198" s="19" t="s">
        <v>379</v>
      </c>
      <c r="B198" s="20" t="s">
        <v>71</v>
      </c>
    </row>
    <row r="199" spans="1:2" x14ac:dyDescent="0.25">
      <c r="A199" s="19" t="s">
        <v>380</v>
      </c>
      <c r="B199" s="20" t="s">
        <v>319</v>
      </c>
    </row>
    <row r="200" spans="1:2" x14ac:dyDescent="0.25">
      <c r="A200" s="19" t="s">
        <v>381</v>
      </c>
      <c r="B200" s="20" t="s">
        <v>319</v>
      </c>
    </row>
    <row r="201" spans="1:2" x14ac:dyDescent="0.25">
      <c r="A201" s="19" t="s">
        <v>382</v>
      </c>
      <c r="B201" s="20" t="s">
        <v>383</v>
      </c>
    </row>
    <row r="202" spans="1:2" x14ac:dyDescent="0.25">
      <c r="A202" s="19" t="s">
        <v>384</v>
      </c>
      <c r="B202" s="20" t="s">
        <v>324</v>
      </c>
    </row>
    <row r="203" spans="1:2" x14ac:dyDescent="0.25">
      <c r="A203" s="19" t="s">
        <v>385</v>
      </c>
      <c r="B203" s="20" t="s">
        <v>148</v>
      </c>
    </row>
    <row r="204" spans="1:2" x14ac:dyDescent="0.25">
      <c r="A204" s="19" t="s">
        <v>386</v>
      </c>
      <c r="B204" s="20" t="s">
        <v>330</v>
      </c>
    </row>
    <row r="205" spans="1:2" x14ac:dyDescent="0.25">
      <c r="A205" s="19" t="s">
        <v>387</v>
      </c>
      <c r="B205" s="20" t="s">
        <v>332</v>
      </c>
    </row>
    <row r="206" spans="1:2" x14ac:dyDescent="0.25">
      <c r="A206" s="19" t="s">
        <v>388</v>
      </c>
      <c r="B206" s="20" t="s">
        <v>334</v>
      </c>
    </row>
    <row r="207" spans="1:2" s="15" customFormat="1" x14ac:dyDescent="0.25">
      <c r="A207" s="19" t="s">
        <v>480</v>
      </c>
      <c r="B207" s="20" t="s">
        <v>137</v>
      </c>
    </row>
    <row r="208" spans="1:2" x14ac:dyDescent="0.25">
      <c r="A208" s="19" t="s">
        <v>389</v>
      </c>
      <c r="B208" s="20" t="s">
        <v>137</v>
      </c>
    </row>
    <row r="209" spans="1:2" x14ac:dyDescent="0.25">
      <c r="A209" s="19" t="s">
        <v>390</v>
      </c>
      <c r="B209" s="20" t="s">
        <v>137</v>
      </c>
    </row>
    <row r="210" spans="1:2" x14ac:dyDescent="0.25">
      <c r="A210" s="19" t="s">
        <v>391</v>
      </c>
      <c r="B210" s="20" t="s">
        <v>392</v>
      </c>
    </row>
    <row r="211" spans="1:2" x14ac:dyDescent="0.25">
      <c r="A211" s="19" t="s">
        <v>393</v>
      </c>
      <c r="B211" s="20" t="s">
        <v>394</v>
      </c>
    </row>
    <row r="212" spans="1:2" x14ac:dyDescent="0.25">
      <c r="A212" s="19" t="s">
        <v>395</v>
      </c>
      <c r="B212" s="20" t="s">
        <v>396</v>
      </c>
    </row>
    <row r="213" spans="1:2" x14ac:dyDescent="0.25">
      <c r="A213" s="19" t="s">
        <v>397</v>
      </c>
      <c r="B213" s="20" t="s">
        <v>360</v>
      </c>
    </row>
    <row r="214" spans="1:2" x14ac:dyDescent="0.25">
      <c r="A214" s="19" t="s">
        <v>398</v>
      </c>
      <c r="B214" s="20" t="s">
        <v>120</v>
      </c>
    </row>
    <row r="215" spans="1:2" x14ac:dyDescent="0.25">
      <c r="A215" s="19" t="s">
        <v>399</v>
      </c>
      <c r="B215" s="20" t="s">
        <v>73</v>
      </c>
    </row>
    <row r="216" spans="1:2" x14ac:dyDescent="0.25">
      <c r="A216" s="19" t="s">
        <v>400</v>
      </c>
      <c r="B216" s="20" t="s">
        <v>401</v>
      </c>
    </row>
    <row r="217" spans="1:2" x14ac:dyDescent="0.25">
      <c r="A217" s="19" t="s">
        <v>402</v>
      </c>
      <c r="B217" s="20" t="s">
        <v>401</v>
      </c>
    </row>
    <row r="218" spans="1:2" x14ac:dyDescent="0.25">
      <c r="A218" s="19" t="s">
        <v>403</v>
      </c>
      <c r="B218" s="20" t="s">
        <v>401</v>
      </c>
    </row>
    <row r="219" spans="1:2" x14ac:dyDescent="0.25">
      <c r="A219" s="19" t="s">
        <v>404</v>
      </c>
      <c r="B219" s="20" t="s">
        <v>374</v>
      </c>
    </row>
    <row r="220" spans="1:2" x14ac:dyDescent="0.25">
      <c r="A220" s="19" t="s">
        <v>405</v>
      </c>
      <c r="B220" s="20" t="s">
        <v>71</v>
      </c>
    </row>
    <row r="221" spans="1:2" x14ac:dyDescent="0.25">
      <c r="A221" s="19" t="s">
        <v>406</v>
      </c>
      <c r="B221" s="20" t="s">
        <v>71</v>
      </c>
    </row>
    <row r="222" spans="1:2" x14ac:dyDescent="0.25">
      <c r="A222" s="19" t="s">
        <v>407</v>
      </c>
      <c r="B222" s="20" t="s">
        <v>324</v>
      </c>
    </row>
    <row r="223" spans="1:2" x14ac:dyDescent="0.25">
      <c r="A223" s="19" t="s">
        <v>408</v>
      </c>
      <c r="B223" s="20" t="s">
        <v>137</v>
      </c>
    </row>
    <row r="224" spans="1:2" x14ac:dyDescent="0.25">
      <c r="A224" s="19" t="s">
        <v>409</v>
      </c>
      <c r="B224" s="20" t="s">
        <v>144</v>
      </c>
    </row>
    <row r="225" spans="1:2" x14ac:dyDescent="0.25">
      <c r="A225" s="19" t="s">
        <v>410</v>
      </c>
      <c r="B225" s="20" t="s">
        <v>360</v>
      </c>
    </row>
    <row r="226" spans="1:2" x14ac:dyDescent="0.25">
      <c r="A226" s="19" t="s">
        <v>411</v>
      </c>
      <c r="B226" s="20" t="s">
        <v>73</v>
      </c>
    </row>
    <row r="227" spans="1:2" x14ac:dyDescent="0.25">
      <c r="A227" s="19" t="s">
        <v>412</v>
      </c>
      <c r="B227" s="20" t="s">
        <v>151</v>
      </c>
    </row>
    <row r="228" spans="1:2" x14ac:dyDescent="0.25">
      <c r="A228" s="19" t="s">
        <v>413</v>
      </c>
      <c r="B228" s="20" t="s">
        <v>394</v>
      </c>
    </row>
    <row r="229" spans="1:2" x14ac:dyDescent="0.25">
      <c r="A229" s="19" t="s">
        <v>414</v>
      </c>
      <c r="B229" s="20" t="s">
        <v>396</v>
      </c>
    </row>
    <row r="230" spans="1:2" x14ac:dyDescent="0.25">
      <c r="A230" s="19" t="s">
        <v>415</v>
      </c>
      <c r="B230" s="20" t="s">
        <v>416</v>
      </c>
    </row>
    <row r="231" spans="1:2" x14ac:dyDescent="0.25">
      <c r="A231" s="19" t="s">
        <v>417</v>
      </c>
      <c r="B231" s="20" t="s">
        <v>93</v>
      </c>
    </row>
    <row r="232" spans="1:2" x14ac:dyDescent="0.25">
      <c r="A232" s="19" t="s">
        <v>418</v>
      </c>
      <c r="B232" s="20" t="s">
        <v>248</v>
      </c>
    </row>
    <row r="233" spans="1:2" x14ac:dyDescent="0.25">
      <c r="A233" s="19" t="s">
        <v>419</v>
      </c>
      <c r="B233" s="20" t="s">
        <v>420</v>
      </c>
    </row>
    <row r="234" spans="1:2" x14ac:dyDescent="0.25">
      <c r="A234" s="19" t="s">
        <v>421</v>
      </c>
      <c r="B234" s="20" t="s">
        <v>422</v>
      </c>
    </row>
    <row r="235" spans="1:2" x14ac:dyDescent="0.25">
      <c r="A235" s="19" t="s">
        <v>423</v>
      </c>
      <c r="B235" s="20" t="s">
        <v>422</v>
      </c>
    </row>
    <row r="236" spans="1:2" x14ac:dyDescent="0.25">
      <c r="A236" s="19" t="s">
        <v>424</v>
      </c>
      <c r="B236" s="20" t="s">
        <v>422</v>
      </c>
    </row>
    <row r="237" spans="1:2" x14ac:dyDescent="0.25">
      <c r="A237" s="19" t="s">
        <v>425</v>
      </c>
      <c r="B237" s="20" t="s">
        <v>422</v>
      </c>
    </row>
    <row r="238" spans="1:2" x14ac:dyDescent="0.25">
      <c r="A238" s="19" t="s">
        <v>426</v>
      </c>
      <c r="B238" s="20" t="s">
        <v>422</v>
      </c>
    </row>
    <row r="239" spans="1:2" x14ac:dyDescent="0.25">
      <c r="A239" s="19" t="s">
        <v>427</v>
      </c>
      <c r="B239" s="20" t="s">
        <v>422</v>
      </c>
    </row>
    <row r="240" spans="1:2" x14ac:dyDescent="0.25">
      <c r="A240" s="19" t="s">
        <v>428</v>
      </c>
      <c r="B240" s="20" t="s">
        <v>422</v>
      </c>
    </row>
    <row r="241" spans="1:2" x14ac:dyDescent="0.25">
      <c r="A241" s="19" t="s">
        <v>429</v>
      </c>
      <c r="B241" s="20" t="s">
        <v>422</v>
      </c>
    </row>
    <row r="242" spans="1:2" x14ac:dyDescent="0.25">
      <c r="A242" s="19" t="s">
        <v>430</v>
      </c>
      <c r="B242" s="20" t="s">
        <v>422</v>
      </c>
    </row>
    <row r="243" spans="1:2" x14ac:dyDescent="0.25">
      <c r="A243" s="19" t="s">
        <v>431</v>
      </c>
      <c r="B243" s="20" t="s">
        <v>137</v>
      </c>
    </row>
    <row r="244" spans="1:2" x14ac:dyDescent="0.25">
      <c r="A244" s="19" t="s">
        <v>432</v>
      </c>
      <c r="B244" s="20" t="s">
        <v>433</v>
      </c>
    </row>
    <row r="245" spans="1:2" x14ac:dyDescent="0.25">
      <c r="A245" s="19" t="s">
        <v>434</v>
      </c>
      <c r="B245" s="20" t="s">
        <v>144</v>
      </c>
    </row>
    <row r="246" spans="1:2" x14ac:dyDescent="0.25">
      <c r="A246" s="19" t="s">
        <v>435</v>
      </c>
      <c r="B246" s="20" t="s">
        <v>392</v>
      </c>
    </row>
    <row r="247" spans="1:2" x14ac:dyDescent="0.25">
      <c r="A247" s="19" t="s">
        <v>436</v>
      </c>
      <c r="B247" s="20" t="s">
        <v>120</v>
      </c>
    </row>
    <row r="248" spans="1:2" x14ac:dyDescent="0.25">
      <c r="A248" s="19" t="s">
        <v>437</v>
      </c>
      <c r="B248" s="20" t="s">
        <v>125</v>
      </c>
    </row>
    <row r="249" spans="1:2" x14ac:dyDescent="0.25">
      <c r="A249" s="19" t="s">
        <v>438</v>
      </c>
      <c r="B249" s="20" t="s">
        <v>144</v>
      </c>
    </row>
    <row r="250" spans="1:2" x14ac:dyDescent="0.25">
      <c r="A250" s="19" t="s">
        <v>439</v>
      </c>
      <c r="B250" s="20" t="s">
        <v>365</v>
      </c>
    </row>
    <row r="251" spans="1:2" x14ac:dyDescent="0.25">
      <c r="A251" s="19" t="s">
        <v>440</v>
      </c>
      <c r="B251" s="20" t="s">
        <v>71</v>
      </c>
    </row>
    <row r="252" spans="1:2" x14ac:dyDescent="0.25">
      <c r="A252" s="19" t="s">
        <v>441</v>
      </c>
      <c r="B252" s="20" t="s">
        <v>324</v>
      </c>
    </row>
    <row r="253" spans="1:2" x14ac:dyDescent="0.25">
      <c r="A253" s="19" t="s">
        <v>442</v>
      </c>
      <c r="B253" s="20" t="s">
        <v>330</v>
      </c>
    </row>
    <row r="254" spans="1:2" x14ac:dyDescent="0.25">
      <c r="A254" s="19" t="s">
        <v>443</v>
      </c>
      <c r="B254" s="20" t="s">
        <v>324</v>
      </c>
    </row>
    <row r="255" spans="1:2" x14ac:dyDescent="0.25">
      <c r="A255" s="19" t="s">
        <v>444</v>
      </c>
      <c r="B255" s="20" t="s">
        <v>146</v>
      </c>
    </row>
    <row r="256" spans="1:2" x14ac:dyDescent="0.25">
      <c r="A256" s="19" t="s">
        <v>445</v>
      </c>
      <c r="B256" s="20" t="s">
        <v>120</v>
      </c>
    </row>
    <row r="257" spans="1:2" x14ac:dyDescent="0.25">
      <c r="A257" s="19" t="s">
        <v>446</v>
      </c>
      <c r="B257" s="20" t="s">
        <v>447</v>
      </c>
    </row>
    <row r="258" spans="1:2" x14ac:dyDescent="0.25">
      <c r="A258" s="19" t="s">
        <v>448</v>
      </c>
      <c r="B258" s="20" t="s">
        <v>148</v>
      </c>
    </row>
    <row r="259" spans="1:2" x14ac:dyDescent="0.25">
      <c r="A259" s="19" t="s">
        <v>449</v>
      </c>
      <c r="B259" s="20" t="s">
        <v>148</v>
      </c>
    </row>
    <row r="260" spans="1:2" x14ac:dyDescent="0.25">
      <c r="A260" s="19" t="s">
        <v>450</v>
      </c>
      <c r="B260" s="20" t="s">
        <v>298</v>
      </c>
    </row>
    <row r="261" spans="1:2" x14ac:dyDescent="0.25">
      <c r="A261" s="19" t="s">
        <v>451</v>
      </c>
      <c r="B261" s="20" t="s">
        <v>71</v>
      </c>
    </row>
    <row r="262" spans="1:2" x14ac:dyDescent="0.25">
      <c r="A262" s="19" t="s">
        <v>452</v>
      </c>
      <c r="B262" s="20" t="s">
        <v>183</v>
      </c>
    </row>
    <row r="263" spans="1:2" x14ac:dyDescent="0.25">
      <c r="A263" s="19" t="s">
        <v>453</v>
      </c>
      <c r="B263" s="20" t="s">
        <v>183</v>
      </c>
    </row>
    <row r="264" spans="1:2" x14ac:dyDescent="0.25">
      <c r="A264" s="19" t="s">
        <v>454</v>
      </c>
      <c r="B264" s="20" t="s">
        <v>104</v>
      </c>
    </row>
    <row r="265" spans="1:2" x14ac:dyDescent="0.25">
      <c r="A265" s="19" t="s">
        <v>455</v>
      </c>
      <c r="B265" s="20" t="s">
        <v>135</v>
      </c>
    </row>
    <row r="266" spans="1:2" x14ac:dyDescent="0.25">
      <c r="A266" s="19" t="s">
        <v>456</v>
      </c>
      <c r="B266" s="20" t="s">
        <v>120</v>
      </c>
    </row>
    <row r="267" spans="1:2" x14ac:dyDescent="0.25">
      <c r="A267" s="19" t="s">
        <v>457</v>
      </c>
      <c r="B267" s="20" t="s">
        <v>73</v>
      </c>
    </row>
    <row r="268" spans="1:2" x14ac:dyDescent="0.25">
      <c r="A268" s="19" t="s">
        <v>458</v>
      </c>
      <c r="B268" s="20" t="s">
        <v>206</v>
      </c>
    </row>
    <row r="269" spans="1:2" x14ac:dyDescent="0.25">
      <c r="A269" s="19" t="s">
        <v>459</v>
      </c>
      <c r="B269" s="20" t="s">
        <v>148</v>
      </c>
    </row>
    <row r="270" spans="1:2" x14ac:dyDescent="0.25">
      <c r="A270" s="21">
        <v>935</v>
      </c>
      <c r="B270" s="20" t="s">
        <v>460</v>
      </c>
    </row>
    <row r="271" spans="1:2" x14ac:dyDescent="0.25">
      <c r="A271" s="19" t="s">
        <v>461</v>
      </c>
      <c r="B271" s="20" t="s">
        <v>298</v>
      </c>
    </row>
    <row r="272" spans="1:2" x14ac:dyDescent="0.25">
      <c r="A272" s="19" t="s">
        <v>462</v>
      </c>
      <c r="B272" s="20" t="s">
        <v>71</v>
      </c>
    </row>
    <row r="273" spans="1:2" s="15" customFormat="1" x14ac:dyDescent="0.25">
      <c r="A273" s="19" t="s">
        <v>472</v>
      </c>
      <c r="B273" s="20" t="s">
        <v>97</v>
      </c>
    </row>
    <row r="274" spans="1:2" x14ac:dyDescent="0.25">
      <c r="A274" s="19" t="s">
        <v>463</v>
      </c>
      <c r="B274" s="20" t="s">
        <v>137</v>
      </c>
    </row>
    <row r="275" spans="1:2" x14ac:dyDescent="0.25">
      <c r="A275" s="19" t="s">
        <v>464</v>
      </c>
      <c r="B275" s="20" t="s">
        <v>157</v>
      </c>
    </row>
    <row r="276" spans="1:2" x14ac:dyDescent="0.25">
      <c r="A276" s="21">
        <v>936</v>
      </c>
      <c r="B276" s="20" t="s">
        <v>183</v>
      </c>
    </row>
    <row r="277" spans="1:2" x14ac:dyDescent="0.25">
      <c r="A277" s="19" t="s">
        <v>465</v>
      </c>
      <c r="B277" s="20" t="s">
        <v>104</v>
      </c>
    </row>
    <row r="278" spans="1:2" x14ac:dyDescent="0.25">
      <c r="A278" s="19" t="s">
        <v>466</v>
      </c>
      <c r="B278" s="20" t="s">
        <v>221</v>
      </c>
    </row>
    <row r="279" spans="1:2" x14ac:dyDescent="0.25">
      <c r="A279" s="19" t="s">
        <v>467</v>
      </c>
      <c r="B279" s="20" t="s">
        <v>120</v>
      </c>
    </row>
    <row r="280" spans="1:2" x14ac:dyDescent="0.25">
      <c r="A280" s="19" t="s">
        <v>468</v>
      </c>
      <c r="B280" s="20" t="s">
        <v>73</v>
      </c>
    </row>
    <row r="281" spans="1:2" x14ac:dyDescent="0.25">
      <c r="A281" s="19" t="s">
        <v>469</v>
      </c>
      <c r="B281" s="20" t="s">
        <v>469</v>
      </c>
    </row>
    <row r="282" spans="1:2" x14ac:dyDescent="0.25">
      <c r="A282" s="19" t="s">
        <v>470</v>
      </c>
      <c r="B282" s="20" t="s">
        <v>104</v>
      </c>
    </row>
  </sheetData>
  <autoFilter ref="A2:B28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2"/>
  <sheetViews>
    <sheetView showGridLines="0" tabSelected="1" workbookViewId="0">
      <selection activeCell="N18" sqref="N18"/>
    </sheetView>
  </sheetViews>
  <sheetFormatPr defaultRowHeight="15" x14ac:dyDescent="0.25"/>
  <cols>
    <col min="1" max="1" width="15.85546875" customWidth="1"/>
    <col min="2" max="2" width="15.85546875" bestFit="1" customWidth="1"/>
    <col min="3" max="3" width="5.28515625" customWidth="1"/>
    <col min="4" max="4" width="21" customWidth="1"/>
    <col min="5" max="5" width="21" bestFit="1" customWidth="1"/>
    <col min="6" max="6" width="21" customWidth="1"/>
    <col min="7" max="10" width="21" bestFit="1" customWidth="1"/>
    <col min="11" max="11" width="21" customWidth="1"/>
    <col min="12" max="12" width="19.42578125" customWidth="1"/>
    <col min="13" max="13" width="21" bestFit="1" customWidth="1"/>
    <col min="14" max="14" width="19.42578125" customWidth="1"/>
  </cols>
  <sheetData>
    <row r="1" spans="1:2" s="6" customFormat="1" ht="23.25" x14ac:dyDescent="0.35">
      <c r="A1" s="6" t="str">
        <f>Data!B1</f>
        <v>GEOTAB INC</v>
      </c>
    </row>
    <row r="2" spans="1:2" ht="21" x14ac:dyDescent="0.35">
      <c r="A2" s="28" t="s">
        <v>481</v>
      </c>
    </row>
    <row r="5" spans="1:2" x14ac:dyDescent="0.25">
      <c r="A5" s="16" t="s">
        <v>68</v>
      </c>
      <c r="B5" t="s">
        <v>67</v>
      </c>
    </row>
    <row r="6" spans="1:2" x14ac:dyDescent="0.25">
      <c r="A6" s="15" t="s">
        <v>469</v>
      </c>
      <c r="B6" s="17">
        <v>1</v>
      </c>
    </row>
    <row r="7" spans="1:2" x14ac:dyDescent="0.25">
      <c r="A7" s="15" t="s">
        <v>308</v>
      </c>
      <c r="B7" s="17">
        <v>1</v>
      </c>
    </row>
    <row r="8" spans="1:2" x14ac:dyDescent="0.25">
      <c r="A8" s="15" t="s">
        <v>344</v>
      </c>
      <c r="B8" s="17">
        <v>1</v>
      </c>
    </row>
    <row r="9" spans="1:2" x14ac:dyDescent="0.25">
      <c r="A9" s="15" t="s">
        <v>89</v>
      </c>
      <c r="B9" s="17">
        <v>1</v>
      </c>
    </row>
    <row r="10" spans="1:2" x14ac:dyDescent="0.25">
      <c r="A10" s="15" t="s">
        <v>500</v>
      </c>
      <c r="B10" s="17">
        <v>1</v>
      </c>
    </row>
    <row r="11" spans="1:2" x14ac:dyDescent="0.25">
      <c r="A11" s="15" t="s">
        <v>87</v>
      </c>
      <c r="B11" s="17">
        <v>5</v>
      </c>
    </row>
    <row r="12" spans="1:2" x14ac:dyDescent="0.25">
      <c r="A12" s="15" t="s">
        <v>529</v>
      </c>
      <c r="B12" s="17">
        <v>1</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Data</vt:lpstr>
      <vt:lpstr>Report</vt:lpstr>
      <vt:lpstr>Make</vt:lpstr>
      <vt:lpstr>Summary</vt:lpstr>
      <vt:lpstr>AllData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dc:creator>
  <cp:lastModifiedBy>Angie Milne</cp:lastModifiedBy>
  <dcterms:created xsi:type="dcterms:W3CDTF">2009-12-22T20:29:52Z</dcterms:created>
  <dcterms:modified xsi:type="dcterms:W3CDTF">2015-09-04T14:00:44Z</dcterms:modified>
</cp:coreProperties>
</file>