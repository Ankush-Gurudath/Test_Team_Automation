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GrishmaSawant\Desktop\Improved Custom Reports\"/>
    </mc:Choice>
  </mc:AlternateContent>
  <bookViews>
    <workbookView xWindow="0" yWindow="0" windowWidth="28800" windowHeight="13200" firstSheet="1" activeTab="1"/>
  </bookViews>
  <sheets>
    <sheet name="Data" sheetId="1" state="hidden" r:id="rId1"/>
    <sheet name="Summary" sheetId="4" r:id="rId2"/>
    <sheet name="Setup" sheetId="6" r:id="rId3"/>
    <sheet name="Report" sheetId="3" r:id="rId4"/>
    <sheet name="Languages" sheetId="5" state="hidden" r:id="rId5"/>
  </sheets>
  <definedNames>
    <definedName name="AllData">Report!$A$8:$R$44</definedName>
  </definedNames>
  <calcPr calcId="171027"/>
  <pivotCaches>
    <pivotCache cacheId="5" r:id="rId6"/>
  </pivotCaches>
</workbook>
</file>

<file path=xl/calcChain.xml><?xml version="1.0" encoding="utf-8"?>
<calcChain xmlns="http://schemas.openxmlformats.org/spreadsheetml/2006/main">
  <c r="D26" i="3" l="1"/>
  <c r="D27" i="3"/>
  <c r="D28" i="3"/>
  <c r="D29" i="3"/>
  <c r="D30" i="3"/>
  <c r="D31" i="3"/>
  <c r="D32" i="3"/>
  <c r="D33" i="3"/>
  <c r="D34" i="3"/>
  <c r="D35" i="3"/>
  <c r="D36" i="3"/>
  <c r="D37" i="3"/>
  <c r="D38" i="3"/>
  <c r="D39" i="3"/>
  <c r="D40" i="3"/>
  <c r="D41" i="3"/>
  <c r="D42" i="3"/>
  <c r="D43" i="3"/>
  <c r="D44" i="3"/>
  <c r="A1" i="4"/>
  <c r="B7" i="4" l="1"/>
  <c r="B6" i="4"/>
  <c r="B5" i="4"/>
  <c r="R44" i="3"/>
  <c r="Q44" i="3"/>
  <c r="P44" i="3"/>
  <c r="O44" i="3"/>
  <c r="N44" i="3"/>
  <c r="M44" i="3"/>
  <c r="L44" i="3"/>
  <c r="K44" i="3"/>
  <c r="J44" i="3"/>
  <c r="I44" i="3"/>
  <c r="H44" i="3"/>
  <c r="F44" i="3"/>
  <c r="E44" i="3"/>
  <c r="R43" i="3"/>
  <c r="Q43" i="3"/>
  <c r="P43" i="3"/>
  <c r="O43" i="3"/>
  <c r="N43" i="3"/>
  <c r="M43" i="3"/>
  <c r="L43" i="3"/>
  <c r="K43" i="3"/>
  <c r="J43" i="3"/>
  <c r="I43" i="3"/>
  <c r="H43" i="3"/>
  <c r="F43" i="3"/>
  <c r="E43" i="3"/>
  <c r="R42" i="3"/>
  <c r="Q42" i="3"/>
  <c r="P42" i="3"/>
  <c r="O42" i="3"/>
  <c r="N42" i="3"/>
  <c r="M42" i="3"/>
  <c r="L42" i="3"/>
  <c r="K42" i="3"/>
  <c r="J42" i="3"/>
  <c r="I42" i="3"/>
  <c r="H42" i="3"/>
  <c r="F42" i="3"/>
  <c r="E42" i="3"/>
  <c r="R41" i="3"/>
  <c r="Q41" i="3"/>
  <c r="P41" i="3"/>
  <c r="O41" i="3"/>
  <c r="N41" i="3"/>
  <c r="M41" i="3"/>
  <c r="L41" i="3"/>
  <c r="K41" i="3"/>
  <c r="J41" i="3"/>
  <c r="I41" i="3"/>
  <c r="H41" i="3"/>
  <c r="F41" i="3"/>
  <c r="E41" i="3"/>
  <c r="R40" i="3"/>
  <c r="Q40" i="3"/>
  <c r="P40" i="3"/>
  <c r="O40" i="3"/>
  <c r="N40" i="3"/>
  <c r="M40" i="3"/>
  <c r="L40" i="3"/>
  <c r="K40" i="3"/>
  <c r="J40" i="3"/>
  <c r="I40" i="3"/>
  <c r="H40" i="3"/>
  <c r="F40" i="3"/>
  <c r="E40" i="3"/>
  <c r="R39" i="3"/>
  <c r="Q39" i="3"/>
  <c r="P39" i="3"/>
  <c r="O39" i="3"/>
  <c r="N39" i="3"/>
  <c r="M39" i="3"/>
  <c r="L39" i="3"/>
  <c r="K39" i="3"/>
  <c r="J39" i="3"/>
  <c r="I39" i="3"/>
  <c r="H39" i="3"/>
  <c r="F39" i="3"/>
  <c r="E39" i="3"/>
  <c r="R38" i="3"/>
  <c r="Q38" i="3"/>
  <c r="P38" i="3"/>
  <c r="O38" i="3"/>
  <c r="N38" i="3"/>
  <c r="M38" i="3"/>
  <c r="L38" i="3"/>
  <c r="K38" i="3"/>
  <c r="J38" i="3"/>
  <c r="I38" i="3"/>
  <c r="H38" i="3"/>
  <c r="F38" i="3"/>
  <c r="E38" i="3"/>
  <c r="R37" i="3"/>
  <c r="Q37" i="3"/>
  <c r="P37" i="3"/>
  <c r="O37" i="3"/>
  <c r="N37" i="3"/>
  <c r="M37" i="3"/>
  <c r="L37" i="3"/>
  <c r="K37" i="3"/>
  <c r="J37" i="3"/>
  <c r="I37" i="3"/>
  <c r="H37" i="3"/>
  <c r="F37" i="3"/>
  <c r="E37" i="3"/>
  <c r="R36" i="3"/>
  <c r="Q36" i="3"/>
  <c r="P36" i="3"/>
  <c r="O36" i="3"/>
  <c r="N36" i="3"/>
  <c r="M36" i="3"/>
  <c r="L36" i="3"/>
  <c r="K36" i="3"/>
  <c r="J36" i="3"/>
  <c r="I36" i="3"/>
  <c r="H36" i="3"/>
  <c r="F36" i="3"/>
  <c r="E36" i="3"/>
  <c r="R35" i="3"/>
  <c r="Q35" i="3"/>
  <c r="P35" i="3"/>
  <c r="O35" i="3"/>
  <c r="N35" i="3"/>
  <c r="M35" i="3"/>
  <c r="L35" i="3"/>
  <c r="K35" i="3"/>
  <c r="J35" i="3"/>
  <c r="I35" i="3"/>
  <c r="H35" i="3"/>
  <c r="F35" i="3"/>
  <c r="E35" i="3"/>
  <c r="R34" i="3"/>
  <c r="Q34" i="3"/>
  <c r="P34" i="3"/>
  <c r="O34" i="3"/>
  <c r="N34" i="3"/>
  <c r="M34" i="3"/>
  <c r="L34" i="3"/>
  <c r="K34" i="3"/>
  <c r="J34" i="3"/>
  <c r="I34" i="3"/>
  <c r="H34" i="3"/>
  <c r="F34" i="3"/>
  <c r="E34" i="3"/>
  <c r="R33" i="3"/>
  <c r="Q33" i="3"/>
  <c r="P33" i="3"/>
  <c r="O33" i="3"/>
  <c r="N33" i="3"/>
  <c r="M33" i="3"/>
  <c r="L33" i="3"/>
  <c r="K33" i="3"/>
  <c r="J33" i="3"/>
  <c r="I33" i="3"/>
  <c r="H33" i="3"/>
  <c r="F33" i="3"/>
  <c r="E33" i="3"/>
  <c r="R32" i="3"/>
  <c r="Q32" i="3"/>
  <c r="P32" i="3"/>
  <c r="O32" i="3"/>
  <c r="N32" i="3"/>
  <c r="M32" i="3"/>
  <c r="L32" i="3"/>
  <c r="K32" i="3"/>
  <c r="J32" i="3"/>
  <c r="I32" i="3"/>
  <c r="H32" i="3"/>
  <c r="F32" i="3"/>
  <c r="E32" i="3"/>
  <c r="R31" i="3"/>
  <c r="Q31" i="3"/>
  <c r="P31" i="3"/>
  <c r="O31" i="3"/>
  <c r="N31" i="3"/>
  <c r="M31" i="3"/>
  <c r="L31" i="3"/>
  <c r="K31" i="3"/>
  <c r="J31" i="3"/>
  <c r="I31" i="3"/>
  <c r="H31" i="3"/>
  <c r="F31" i="3"/>
  <c r="E31" i="3"/>
  <c r="R30" i="3"/>
  <c r="Q30" i="3"/>
  <c r="P30" i="3"/>
  <c r="O30" i="3"/>
  <c r="N30" i="3"/>
  <c r="M30" i="3"/>
  <c r="L30" i="3"/>
  <c r="K30" i="3"/>
  <c r="J30" i="3"/>
  <c r="I30" i="3"/>
  <c r="H30" i="3"/>
  <c r="F30" i="3"/>
  <c r="E30" i="3"/>
  <c r="R29" i="3"/>
  <c r="Q29" i="3"/>
  <c r="P29" i="3"/>
  <c r="O29" i="3"/>
  <c r="N29" i="3"/>
  <c r="M29" i="3"/>
  <c r="L29" i="3"/>
  <c r="K29" i="3"/>
  <c r="J29" i="3"/>
  <c r="I29" i="3"/>
  <c r="H29" i="3"/>
  <c r="F29" i="3"/>
  <c r="E29" i="3"/>
  <c r="R28" i="3"/>
  <c r="Q28" i="3"/>
  <c r="P28" i="3"/>
  <c r="O28" i="3"/>
  <c r="N28" i="3"/>
  <c r="M28" i="3"/>
  <c r="L28" i="3"/>
  <c r="K28" i="3"/>
  <c r="J28" i="3"/>
  <c r="I28" i="3"/>
  <c r="H28" i="3"/>
  <c r="F28" i="3"/>
  <c r="E28" i="3"/>
  <c r="R27" i="3"/>
  <c r="Q27" i="3"/>
  <c r="P27" i="3"/>
  <c r="O27" i="3"/>
  <c r="N27" i="3"/>
  <c r="M27" i="3"/>
  <c r="L27" i="3"/>
  <c r="K27" i="3"/>
  <c r="J27" i="3"/>
  <c r="I27" i="3"/>
  <c r="H27" i="3"/>
  <c r="F27" i="3"/>
  <c r="E27" i="3"/>
  <c r="R26" i="3"/>
  <c r="Q26" i="3"/>
  <c r="P26" i="3"/>
  <c r="O26" i="3"/>
  <c r="N26" i="3"/>
  <c r="M26" i="3"/>
  <c r="L26" i="3"/>
  <c r="K26" i="3"/>
  <c r="J26" i="3"/>
  <c r="I26" i="3"/>
  <c r="H26" i="3"/>
  <c r="F26" i="3"/>
  <c r="E26" i="3"/>
  <c r="R25" i="3"/>
  <c r="Q25" i="3"/>
  <c r="P25" i="3"/>
  <c r="O25" i="3"/>
  <c r="N25" i="3"/>
  <c r="M25" i="3"/>
  <c r="L25" i="3"/>
  <c r="K25" i="3"/>
  <c r="J25" i="3"/>
  <c r="I25" i="3"/>
  <c r="H25" i="3"/>
  <c r="F25" i="3"/>
  <c r="E25" i="3"/>
  <c r="C25" i="3"/>
  <c r="B25" i="3"/>
  <c r="A25" i="3"/>
  <c r="R24" i="3"/>
  <c r="Q24" i="3"/>
  <c r="P24" i="3"/>
  <c r="O24" i="3"/>
  <c r="N24" i="3"/>
  <c r="M24" i="3"/>
  <c r="L24" i="3"/>
  <c r="K24" i="3"/>
  <c r="J24" i="3"/>
  <c r="I24" i="3"/>
  <c r="H24" i="3"/>
  <c r="F24" i="3"/>
  <c r="E24" i="3"/>
  <c r="C24" i="3"/>
  <c r="B24" i="3"/>
  <c r="A24" i="3"/>
  <c r="R23" i="3"/>
  <c r="Q23" i="3"/>
  <c r="P23" i="3"/>
  <c r="O23" i="3"/>
  <c r="N23" i="3"/>
  <c r="M23" i="3"/>
  <c r="L23" i="3"/>
  <c r="K23" i="3"/>
  <c r="J23" i="3"/>
  <c r="I23" i="3"/>
  <c r="H23" i="3"/>
  <c r="F23" i="3"/>
  <c r="E23" i="3"/>
  <c r="C23" i="3"/>
  <c r="B23" i="3"/>
  <c r="A23" i="3"/>
  <c r="R22" i="3"/>
  <c r="Q22" i="3"/>
  <c r="P22" i="3"/>
  <c r="O22" i="3"/>
  <c r="N22" i="3"/>
  <c r="M22" i="3"/>
  <c r="L22" i="3"/>
  <c r="K22" i="3"/>
  <c r="J22" i="3"/>
  <c r="I22" i="3"/>
  <c r="H22" i="3"/>
  <c r="F22" i="3"/>
  <c r="E22" i="3"/>
  <c r="C22" i="3"/>
  <c r="B22" i="3"/>
  <c r="A22" i="3"/>
  <c r="R21" i="3"/>
  <c r="Q21" i="3"/>
  <c r="P21" i="3"/>
  <c r="O21" i="3"/>
  <c r="N21" i="3"/>
  <c r="M21" i="3"/>
  <c r="L21" i="3"/>
  <c r="K21" i="3"/>
  <c r="J21" i="3"/>
  <c r="I21" i="3"/>
  <c r="H21" i="3"/>
  <c r="F21" i="3"/>
  <c r="E21" i="3"/>
  <c r="C21" i="3"/>
  <c r="B21" i="3"/>
  <c r="A21" i="3"/>
  <c r="R20" i="3"/>
  <c r="Q20" i="3"/>
  <c r="P20" i="3"/>
  <c r="O20" i="3"/>
  <c r="N20" i="3"/>
  <c r="M20" i="3"/>
  <c r="L20" i="3"/>
  <c r="K20" i="3"/>
  <c r="J20" i="3"/>
  <c r="I20" i="3"/>
  <c r="H20" i="3"/>
  <c r="F20" i="3"/>
  <c r="E20" i="3"/>
  <c r="C20" i="3"/>
  <c r="B20" i="3"/>
  <c r="A20" i="3"/>
  <c r="R19" i="3"/>
  <c r="Q19" i="3"/>
  <c r="P19" i="3"/>
  <c r="O19" i="3"/>
  <c r="N19" i="3"/>
  <c r="M19" i="3"/>
  <c r="L19" i="3"/>
  <c r="K19" i="3"/>
  <c r="J19" i="3"/>
  <c r="I19" i="3"/>
  <c r="H19" i="3"/>
  <c r="F19" i="3"/>
  <c r="E19" i="3"/>
  <c r="C19" i="3"/>
  <c r="B19" i="3"/>
  <c r="A19" i="3"/>
  <c r="R18" i="3"/>
  <c r="Q18" i="3"/>
  <c r="P18" i="3"/>
  <c r="O18" i="3"/>
  <c r="N18" i="3"/>
  <c r="M18" i="3"/>
  <c r="L18" i="3"/>
  <c r="K18" i="3"/>
  <c r="J18" i="3"/>
  <c r="I18" i="3"/>
  <c r="H18" i="3"/>
  <c r="F18" i="3"/>
  <c r="E18" i="3"/>
  <c r="C18" i="3"/>
  <c r="B18" i="3"/>
  <c r="A18" i="3"/>
  <c r="R17" i="3"/>
  <c r="Q17" i="3"/>
  <c r="P17" i="3"/>
  <c r="O17" i="3"/>
  <c r="N17" i="3"/>
  <c r="M17" i="3"/>
  <c r="L17" i="3"/>
  <c r="K17" i="3"/>
  <c r="J17" i="3"/>
  <c r="I17" i="3"/>
  <c r="H17" i="3"/>
  <c r="F17" i="3"/>
  <c r="E17" i="3"/>
  <c r="C17" i="3"/>
  <c r="B17" i="3"/>
  <c r="A17" i="3"/>
  <c r="R16" i="3"/>
  <c r="Q16" i="3"/>
  <c r="P16" i="3"/>
  <c r="O16" i="3"/>
  <c r="N16" i="3"/>
  <c r="M16" i="3"/>
  <c r="L16" i="3"/>
  <c r="K16" i="3"/>
  <c r="J16" i="3"/>
  <c r="I16" i="3"/>
  <c r="H16" i="3"/>
  <c r="F16" i="3"/>
  <c r="E16" i="3"/>
  <c r="C16" i="3"/>
  <c r="B16" i="3"/>
  <c r="A16" i="3"/>
  <c r="R15" i="3"/>
  <c r="Q15" i="3"/>
  <c r="P15" i="3"/>
  <c r="O15" i="3"/>
  <c r="N15" i="3"/>
  <c r="M15" i="3"/>
  <c r="L15" i="3"/>
  <c r="K15" i="3"/>
  <c r="J15" i="3"/>
  <c r="I15" i="3"/>
  <c r="H15" i="3"/>
  <c r="F15" i="3"/>
  <c r="E15" i="3"/>
  <c r="C15" i="3"/>
  <c r="B15" i="3"/>
  <c r="A15" i="3"/>
  <c r="R14" i="3"/>
  <c r="Q14" i="3"/>
  <c r="P14" i="3"/>
  <c r="O14" i="3"/>
  <c r="N14" i="3"/>
  <c r="M14" i="3"/>
  <c r="L14" i="3"/>
  <c r="K14" i="3"/>
  <c r="J14" i="3"/>
  <c r="I14" i="3"/>
  <c r="H14" i="3"/>
  <c r="F14" i="3"/>
  <c r="E14" i="3"/>
  <c r="C14" i="3"/>
  <c r="B14" i="3"/>
  <c r="A14" i="3"/>
  <c r="R13" i="3"/>
  <c r="Q13" i="3"/>
  <c r="P13" i="3"/>
  <c r="O13" i="3"/>
  <c r="N13" i="3"/>
  <c r="M13" i="3"/>
  <c r="L13" i="3"/>
  <c r="K13" i="3"/>
  <c r="J13" i="3"/>
  <c r="I13" i="3"/>
  <c r="H13" i="3"/>
  <c r="F13" i="3"/>
  <c r="E13" i="3"/>
  <c r="C13" i="3"/>
  <c r="B13" i="3"/>
  <c r="A13" i="3"/>
  <c r="R12" i="3"/>
  <c r="Q12" i="3"/>
  <c r="P12" i="3"/>
  <c r="O12" i="3"/>
  <c r="N12" i="3"/>
  <c r="M12" i="3"/>
  <c r="L12" i="3"/>
  <c r="K12" i="3"/>
  <c r="J12" i="3"/>
  <c r="I12" i="3"/>
  <c r="H12" i="3"/>
  <c r="F12" i="3"/>
  <c r="E12" i="3"/>
  <c r="C12" i="3"/>
  <c r="B12" i="3"/>
  <c r="A12" i="3"/>
  <c r="R11" i="3"/>
  <c r="Q11" i="3"/>
  <c r="P11" i="3"/>
  <c r="O11" i="3"/>
  <c r="N11" i="3"/>
  <c r="M11" i="3"/>
  <c r="L11" i="3"/>
  <c r="K11" i="3"/>
  <c r="J11" i="3"/>
  <c r="I11" i="3"/>
  <c r="H11" i="3"/>
  <c r="F11" i="3"/>
  <c r="E11" i="3"/>
  <c r="C11" i="3"/>
  <c r="B11" i="3"/>
  <c r="A11" i="3"/>
  <c r="R10" i="3"/>
  <c r="Q10" i="3"/>
  <c r="P10" i="3"/>
  <c r="O10" i="3"/>
  <c r="N10" i="3"/>
  <c r="M10" i="3"/>
  <c r="L10" i="3"/>
  <c r="K10" i="3"/>
  <c r="J10" i="3"/>
  <c r="I10" i="3"/>
  <c r="H10" i="3"/>
  <c r="F10" i="3"/>
  <c r="E10" i="3"/>
  <c r="C10" i="3"/>
  <c r="B10" i="3"/>
  <c r="A10" i="3"/>
  <c r="R9" i="3"/>
  <c r="Q9" i="3"/>
  <c r="P9" i="3"/>
  <c r="O9" i="3"/>
  <c r="N9" i="3"/>
  <c r="M9" i="3"/>
  <c r="L9" i="3"/>
  <c r="K9" i="3"/>
  <c r="J9" i="3"/>
  <c r="I9" i="3"/>
  <c r="H9" i="3"/>
  <c r="F9" i="3"/>
  <c r="E9" i="3"/>
  <c r="C9" i="3"/>
  <c r="B9" i="3"/>
  <c r="A9" i="3"/>
  <c r="B6" i="3"/>
  <c r="B5" i="3"/>
  <c r="B4" i="3"/>
  <c r="B3" i="3"/>
  <c r="D9" i="3" l="1"/>
  <c r="D10" i="3"/>
  <c r="D11" i="3"/>
  <c r="D12" i="3"/>
  <c r="D13" i="3"/>
  <c r="D14" i="3"/>
  <c r="D15" i="3"/>
  <c r="D16" i="3"/>
  <c r="D17" i="3"/>
  <c r="D18" i="3"/>
  <c r="D19" i="3"/>
  <c r="D20" i="3"/>
  <c r="D21" i="3"/>
  <c r="D22" i="3"/>
  <c r="D23" i="3"/>
  <c r="D24" i="3"/>
  <c r="D25"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alcChain>
</file>

<file path=xl/comments1.xml><?xml version="1.0" encoding="utf-8"?>
<comments xmlns="http://schemas.openxmlformats.org/spreadsheetml/2006/main">
  <authors>
    <author>Thomas</author>
  </authors>
  <commentList>
    <comment ref="A1" authorId="0" shapeId="0">
      <text>
        <r>
          <rPr>
            <sz val="10"/>
            <rFont val="Arial"/>
            <family val="2"/>
          </rPr>
          <t>HosLog.20</t>
        </r>
      </text>
    </comment>
  </commentList>
</comments>
</file>

<file path=xl/sharedStrings.xml><?xml version="1.0" encoding="utf-8"?>
<sst xmlns="http://schemas.openxmlformats.org/spreadsheetml/2006/main" count="680" uniqueCount="268">
  <si>
    <t>Grand Total</t>
  </si>
  <si>
    <t>FromDate</t>
  </si>
  <si>
    <t>ToDate</t>
  </si>
  <si>
    <t>RunDate</t>
  </si>
  <si>
    <t>CompanyName</t>
  </si>
  <si>
    <t>DistanceUnit</t>
  </si>
  <si>
    <t>SpeedUnit</t>
  </si>
  <si>
    <t>SendReport</t>
  </si>
  <si>
    <t>LastModifiedUser</t>
  </si>
  <si>
    <t>ON</t>
  </si>
  <si>
    <t>OFF</t>
  </si>
  <si>
    <t>D</t>
  </si>
  <si>
    <t>Status</t>
  </si>
  <si>
    <t>Total</t>
  </si>
  <si>
    <t>Longitude</t>
  </si>
  <si>
    <t>Latitude</t>
  </si>
  <si>
    <t>Distance</t>
  </si>
  <si>
    <t>DutyStatusDateTime</t>
  </si>
  <si>
    <t>DutyStatusStatus</t>
  </si>
  <si>
    <t>.StatusLog.Device.DeviceName</t>
  </si>
  <si>
    <t>.StatusLog.Device.DeviceId</t>
  </si>
  <si>
    <t>.StatusLog.Device.DeviceComment</t>
  </si>
  <si>
    <t>.StatusLog.Device.DeviceGroup</t>
  </si>
  <si>
    <t>.StatusLog.Driver.UserName</t>
  </si>
  <si>
    <t>DutyStatusCoDrivers</t>
  </si>
  <si>
    <t>DutyStatusDetailOdometer</t>
  </si>
  <si>
    <t>DutyStatusDetailDistance</t>
  </si>
  <si>
    <t>DutyStatusDetailLongitude</t>
  </si>
  <si>
    <t>DutyStatusDetailLatitude</t>
  </si>
  <si>
    <t>DutyStatusLocation</t>
  </si>
  <si>
    <t>DutyStatusVerifyDateTime</t>
  </si>
  <si>
    <t>DutyStatusEditDateTime</t>
  </si>
  <si>
    <t>DutyStatusDetailTrailers</t>
  </si>
  <si>
    <t>DutyStatusDetailHosRuleSet</t>
  </si>
  <si>
    <t>DutyStatusId</t>
  </si>
  <si>
    <t>English</t>
  </si>
  <si>
    <t>French</t>
  </si>
  <si>
    <t>Spanish</t>
  </si>
  <si>
    <t>German</t>
  </si>
  <si>
    <t>Japanese</t>
  </si>
  <si>
    <t>**Driver</t>
  </si>
  <si>
    <t>**Status</t>
  </si>
  <si>
    <t>**Device</t>
  </si>
  <si>
    <t>**CoDrivers</t>
  </si>
  <si>
    <t>**Trailers</t>
  </si>
  <si>
    <t>**Longitude</t>
  </si>
  <si>
    <t>**Latitude</t>
  </si>
  <si>
    <t>**Address</t>
  </si>
  <si>
    <t>**Odometer</t>
  </si>
  <si>
    <t>**Distance</t>
  </si>
  <si>
    <t>**Duty Status Logs</t>
  </si>
  <si>
    <t>**Created</t>
  </si>
  <si>
    <t>**From</t>
  </si>
  <si>
    <t>**To</t>
  </si>
  <si>
    <t>**Distance Unit</t>
  </si>
  <si>
    <t>**Summary</t>
  </si>
  <si>
    <t>Date</t>
  </si>
  <si>
    <t>**Date</t>
  </si>
  <si>
    <t>**Verify Date</t>
  </si>
  <si>
    <t>**Edit Date</t>
  </si>
  <si>
    <t>Conducteur</t>
  </si>
  <si>
    <t>Conductor</t>
  </si>
  <si>
    <t>Fahrer</t>
  </si>
  <si>
    <t>ドライバー</t>
  </si>
  <si>
    <t>Fecha</t>
  </si>
  <si>
    <t>Datum</t>
  </si>
  <si>
    <t>データ</t>
  </si>
  <si>
    <t>État</t>
  </si>
  <si>
    <t>Estado</t>
  </si>
  <si>
    <t>ステータス</t>
  </si>
  <si>
    <t>Dispositif</t>
  </si>
  <si>
    <t>Dispositivo</t>
  </si>
  <si>
    <t>Gerät</t>
  </si>
  <si>
    <t>デバイス</t>
  </si>
  <si>
    <t>Co-chauffeurs</t>
  </si>
  <si>
    <t>Copiloto</t>
  </si>
  <si>
    <t>Beifahrer</t>
  </si>
  <si>
    <t>補助ドライバー</t>
  </si>
  <si>
    <t>Gros porteurs</t>
  </si>
  <si>
    <t>Remolques</t>
  </si>
  <si>
    <t>Anhänger</t>
  </si>
  <si>
    <t>トレーラー</t>
  </si>
  <si>
    <t>Longitud</t>
  </si>
  <si>
    <t>Längengrad</t>
  </si>
  <si>
    <t>経度</t>
  </si>
  <si>
    <t>Latitud</t>
  </si>
  <si>
    <t>Breitengrad</t>
  </si>
  <si>
    <t>緯度</t>
  </si>
  <si>
    <t>Adresse</t>
  </si>
  <si>
    <t>Dirección</t>
  </si>
  <si>
    <t>住所</t>
  </si>
  <si>
    <t>Odomètre</t>
  </si>
  <si>
    <t>Odómetro</t>
  </si>
  <si>
    <t>Kilometerstand</t>
  </si>
  <si>
    <t>オドメータ</t>
  </si>
  <si>
    <t>Distancia</t>
  </si>
  <si>
    <t>Entfernung</t>
  </si>
  <si>
    <t>距離</t>
  </si>
  <si>
    <t>Date de vérification</t>
  </si>
  <si>
    <t>Fecha de verificación</t>
  </si>
  <si>
    <t>Verifizierungsdatum</t>
  </si>
  <si>
    <t>確認日</t>
  </si>
  <si>
    <t>Date de modification</t>
  </si>
  <si>
    <t>Fecha de edición</t>
  </si>
  <si>
    <t>Bearbeitungsdatum</t>
  </si>
  <si>
    <t>編集日</t>
  </si>
  <si>
    <t>Registres de l'état des tâches</t>
  </si>
  <si>
    <t>Registros de estado de HOS</t>
  </si>
  <si>
    <t>Lenkzeitprotokoll</t>
  </si>
  <si>
    <t>職務ステータスログ</t>
  </si>
  <si>
    <t>Sommaire</t>
  </si>
  <si>
    <t>Resumen</t>
  </si>
  <si>
    <t>Zusammenfassung</t>
  </si>
  <si>
    <t>走行データ</t>
  </si>
  <si>
    <t>Créé</t>
  </si>
  <si>
    <t>Creado</t>
  </si>
  <si>
    <t>Angelegt</t>
  </si>
  <si>
    <t>作成済</t>
  </si>
  <si>
    <t>À partir de</t>
  </si>
  <si>
    <t>De</t>
  </si>
  <si>
    <t>Von</t>
  </si>
  <si>
    <t>から</t>
  </si>
  <si>
    <t>Pour</t>
  </si>
  <si>
    <t>Para</t>
  </si>
  <si>
    <t>An</t>
  </si>
  <si>
    <t>へ</t>
  </si>
  <si>
    <t>Unité de distance</t>
  </si>
  <si>
    <t>Unidad de distancia</t>
  </si>
  <si>
    <t>Entfernungseinheit</t>
  </si>
  <si>
    <t>距離の単位</t>
  </si>
  <si>
    <t>DutyStatusDetailAnnotations</t>
  </si>
  <si>
    <t>Language</t>
  </si>
  <si>
    <t>en</t>
  </si>
  <si>
    <t>DutyStatusOrigin</t>
  </si>
  <si>
    <t>Manual</t>
  </si>
  <si>
    <t>Automatic</t>
  </si>
  <si>
    <t>**First Name</t>
  </si>
  <si>
    <t>Prénom</t>
  </si>
  <si>
    <t>Nombre</t>
  </si>
  <si>
    <t>Vorname</t>
  </si>
  <si>
    <t>ファーストネー</t>
  </si>
  <si>
    <t>**Last Name</t>
  </si>
  <si>
    <t>Nom de famille</t>
  </si>
  <si>
    <t>Apellido</t>
  </si>
  <si>
    <t>Nachname</t>
  </si>
  <si>
    <t>ラストネーム</t>
  </si>
  <si>
    <t>.StatusLog.Driver.UserFirstName</t>
  </si>
  <si>
    <t>.StatusLog.Driver.UserLastName</t>
  </si>
  <si>
    <t>**Log Origin</t>
  </si>
  <si>
    <t>Origine du Journal</t>
  </si>
  <si>
    <t>Origen del Registro</t>
  </si>
  <si>
    <t>Protokollherkunft</t>
  </si>
  <si>
    <t>ログの起源</t>
  </si>
  <si>
    <t>Polish</t>
  </si>
  <si>
    <t>Kierowca</t>
  </si>
  <si>
    <t>Data</t>
  </si>
  <si>
    <t>Urzadzenie</t>
  </si>
  <si>
    <t>Wspólkierowcy</t>
  </si>
  <si>
    <t>Przyczepy</t>
  </si>
  <si>
    <t>Dlugosc geograficzna</t>
  </si>
  <si>
    <t>Szerokosc geograficzna</t>
  </si>
  <si>
    <t>Adres</t>
  </si>
  <si>
    <t>Licznik kilometrów</t>
  </si>
  <si>
    <t>Odleglosc</t>
  </si>
  <si>
    <t>Data weryfikacji</t>
  </si>
  <si>
    <t>Data edycji</t>
  </si>
  <si>
    <t>Dzienniki statusów dyzurów</t>
  </si>
  <si>
    <t>Podsumowanie</t>
  </si>
  <si>
    <t>Utworzono</t>
  </si>
  <si>
    <t>Od</t>
  </si>
  <si>
    <t>Do</t>
  </si>
  <si>
    <t>Jednostka odleglosci</t>
  </si>
  <si>
    <t>Imie</t>
  </si>
  <si>
    <t>Nazwisko</t>
  </si>
  <si>
    <t>Powstanie dziennika</t>
  </si>
  <si>
    <t>miles</t>
  </si>
  <si>
    <t>mph</t>
  </si>
  <si>
    <t>vikramsridhar@geotab.com</t>
  </si>
  <si>
    <t>Dispatch - 1 CC</t>
  </si>
  <si>
    <t>b16</t>
  </si>
  <si>
    <t>Company Group, Company Wide Reports, Driver 1, AMO</t>
  </si>
  <si>
    <t>John</t>
  </si>
  <si>
    <t>Smith</t>
  </si>
  <si>
    <t>johnsmith</t>
  </si>
  <si>
    <t>abYdVyIZ7ykq4q6a-fcHCuQ</t>
  </si>
  <si>
    <t>America8DayBig</t>
  </si>
  <si>
    <t>ON Oakville</t>
  </si>
  <si>
    <t>aJVmy6RwLl0iD94DOb0yjkw</t>
  </si>
  <si>
    <t>3mi NNE ON Ancaster</t>
  </si>
  <si>
    <t>aBpw1pD5jXkWQEIyp8-dFGw</t>
  </si>
  <si>
    <t>azEXVa33T6UeUiOTxbpkryA</t>
  </si>
  <si>
    <t>a4WWZVo00OkK9uylnUf-npg</t>
  </si>
  <si>
    <t>ON Hamilton</t>
  </si>
  <si>
    <t>PC</t>
  </si>
  <si>
    <t>aRkM0S7jfAEu1rrDYGuU47Q</t>
  </si>
  <si>
    <t>agX3EDx_mO0CG406sOxGPSQ</t>
  </si>
  <si>
    <t>a5PNQkhNlskSl9RuzfHw2WA</t>
  </si>
  <si>
    <t>OtherUser</t>
  </si>
  <si>
    <t>abzUgXogbY06A2090TI8hRg</t>
  </si>
  <si>
    <t>34339</t>
  </si>
  <si>
    <t>ae0KHoK5LqUyu3v-hYzoOBQ</t>
  </si>
  <si>
    <t>aXGzv8nGAlUySdxp8XYV4MQ</t>
  </si>
  <si>
    <t>SB</t>
  </si>
  <si>
    <t>aaopSrFUCuUiQBeySs1oOgA</t>
  </si>
  <si>
    <t>aFmCltcCFUUmtYH-0wnoZCg</t>
  </si>
  <si>
    <t>YM</t>
  </si>
  <si>
    <t>aJYgYspCckEOPqEIJqvvkpg</t>
  </si>
  <si>
    <t>Moving truck (johnsmith)</t>
  </si>
  <si>
    <t>abJmNK0ksfE2A-O6zs0xRfA</t>
  </si>
  <si>
    <t>azu4gA1MQ7UyS36uFBpWBFw</t>
  </si>
  <si>
    <t>Grabbing Dinner (johnsmith)</t>
  </si>
  <si>
    <t>aCniTHYhS50WJMtHlhmA7vQ</t>
  </si>
  <si>
    <t>aRf-yZfz5AUy5SwUgl7j0Uw</t>
  </si>
  <si>
    <t>America7DayBig</t>
  </si>
  <si>
    <t>agsAMRGUfvE225VoNaMGjyA</t>
  </si>
  <si>
    <t>axxaAxQUnpU26BqO6h-dCgA</t>
  </si>
  <si>
    <t>a0ibDrYc8nUK5fO3R7HCMBQ</t>
  </si>
  <si>
    <t>aqUha8IPXz0Kay7IP9psF1w</t>
  </si>
  <si>
    <t>aBWkJPLyzTESMv1i9E5Nd4g</t>
  </si>
  <si>
    <t>ON Burlington</t>
  </si>
  <si>
    <t>Fuel Fill up (LeoLandauer)</t>
  </si>
  <si>
    <t>aWZJOb_rWBkixqL89ECaLLw</t>
  </si>
  <si>
    <t>aG4PjAg0qqU6GxElNDVY0uw</t>
  </si>
  <si>
    <t>a8Vus9-W5OEem1al-i4WGgg</t>
  </si>
  <si>
    <t>Dispatch - 7 LS</t>
  </si>
  <si>
    <t>b58</t>
  </si>
  <si>
    <t>Videos</t>
  </si>
  <si>
    <t>aCBdSqz4FRkqahNVXreRTOQ</t>
  </si>
  <si>
    <t>606657</t>
  </si>
  <si>
    <t>AmericaSalesperson</t>
  </si>
  <si>
    <t>ON Brampton</t>
  </si>
  <si>
    <t>aWfqdKjGb_kuspM0R-JXeRw</t>
  </si>
  <si>
    <t>aQ3w9-0G59ESGskitnfnk2A</t>
  </si>
  <si>
    <t>aVRxT3EE9oEeVkZpdFUhF2g</t>
  </si>
  <si>
    <t>ajxco7i9sy0CNSXWy5ALJGg</t>
  </si>
  <si>
    <t>a3UviPwrrW02XOWGcdcx6yQ</t>
  </si>
  <si>
    <t>a9wMLevhS6U6KspU0NyjjsA</t>
  </si>
  <si>
    <t>aD6qNE96I1UGj0uw2D_TghA</t>
  </si>
  <si>
    <t>awZxH61ufNUKA-QpbVYBJGA</t>
  </si>
  <si>
    <t>alTHT8vSwa0uUrovQsaV3zQ</t>
  </si>
  <si>
    <t>11mi ESE ON Orangeville</t>
  </si>
  <si>
    <t>Duty Status Logs</t>
  </si>
  <si>
    <t>Created</t>
  </si>
  <si>
    <t>From</t>
  </si>
  <si>
    <t>To</t>
  </si>
  <si>
    <t>Distance Unit</t>
  </si>
  <si>
    <t>Driver</t>
  </si>
  <si>
    <t>First Name</t>
  </si>
  <si>
    <t>Last Name</t>
  </si>
  <si>
    <t>Device</t>
  </si>
  <si>
    <t>CoDrivers</t>
  </si>
  <si>
    <t>Trailers</t>
  </si>
  <si>
    <t>Address</t>
  </si>
  <si>
    <t>Odometer</t>
  </si>
  <si>
    <t>Log Origin</t>
  </si>
  <si>
    <t>Verify Date</t>
  </si>
  <si>
    <t>Edit Date</t>
  </si>
  <si>
    <t>Flag</t>
  </si>
  <si>
    <t>Sum of Flag</t>
  </si>
  <si>
    <t>OFF Duty to Drive Instances</t>
  </si>
  <si>
    <t>JakeLee</t>
  </si>
  <si>
    <t xml:space="preserve">Jake </t>
  </si>
  <si>
    <t>Lee</t>
  </si>
  <si>
    <t>SamSmith</t>
  </si>
  <si>
    <t>Sam</t>
  </si>
  <si>
    <t>Fleet Name</t>
  </si>
  <si>
    <t>Full Name</t>
  </si>
  <si>
    <t>John Smith</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</si>
</sst>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dd/mm/yyyy\ h:mm:ss\ AM/PM"/>
    <numFmt numFmtId="169" formatCode="[$-409]0;[$-409]\-0;[$-409];@"/>
    <numFmt numFmtId="170" formatCode="[$-409]mmm\ dd\,\ yyyy"/>
    <numFmt numFmtId="171" formatCode="[$-409]mmm\ dd\,\ yyyy\ h:mm:ss\ AM/PM"/>
    <numFmt numFmtId="172" formatCode="[$-409]0.00000_ ;[$-409]\-0.00000\ "/>
    <numFmt numFmtId="173" formatCode="[$-409]0_ ;[$-409]\-0\ "/>
    <numFmt numFmtId="174" formatCode="[$-409]m/d/yy\ h:mm"/>
  </numFmts>
  <fonts count="19" x14ac:knownFonts="1">
    <font>
      <sz val="10"/>
      <name val="Arial"/>
      <family val="2"/>
    </font>
    <font>
      <b/>
      <sz val="11"/>
      <color indexed="8"/>
      <name val="Calibri"/>
      <family val="2"/>
    </font>
    <font>
      <b/>
      <sz val="7"/>
      <color indexed="8"/>
      <name val="Tahoma"/>
      <family val="2"/>
    </font>
    <font>
      <sz val="8"/>
      <color indexed="8"/>
      <name val="Tahoma"/>
      <family val="2"/>
    </font>
    <font>
      <sz val="10"/>
      <name val="Arial"/>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b/>
      <sz val="10"/>
      <name val="Arial"/>
      <family val="2"/>
    </font>
    <font>
      <b/>
      <sz val="18"/>
      <color theme="0"/>
      <name val="Calibri"/>
      <family val="2"/>
      <scheme val="minor"/>
    </font>
    <font>
      <b/>
      <sz val="14"/>
      <color theme="5" tint="-0.249977111117893"/>
      <name val="Calibri"/>
      <family val="2"/>
    </font>
    <font>
      <i/>
      <sz val="14"/>
      <color theme="4"/>
      <name val="Calibri"/>
      <family val="2"/>
      <scheme val="minor"/>
    </font>
    <font>
      <b/>
      <i/>
      <sz val="18"/>
      <color theme="4"/>
      <name val="Calibri"/>
      <family val="2"/>
      <scheme val="minor"/>
    </font>
  </fonts>
  <fills count="1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s>
  <borders count="2">
    <border>
      <left/>
      <right/>
      <top/>
      <bottom/>
      <diagonal/>
    </border>
    <border>
      <left/>
      <right/>
      <top/>
      <bottom style="medium">
        <color indexed="8"/>
      </bottom>
      <diagonal/>
    </border>
  </borders>
  <cellStyleXfs count="20">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167"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0" fontId="7" fillId="10" borderId="0" applyNumberFormat="0"/>
    <xf numFmtId="0" fontId="8" fillId="0" borderId="0" applyNumberFormat="0" applyAlignment="0"/>
    <xf numFmtId="0" fontId="9" fillId="10" borderId="0" applyNumberFormat="0"/>
    <xf numFmtId="170" fontId="5" fillId="10" borderId="0"/>
    <xf numFmtId="0" fontId="10" fillId="0" borderId="0" applyNumberFormat="0"/>
    <xf numFmtId="0" fontId="11" fillId="0" borderId="0" applyNumberFormat="0"/>
    <xf numFmtId="0" fontId="12" fillId="0" borderId="0" applyNumberFormat="0" applyFill="0" applyBorder="0" applyAlignment="0" applyProtection="0">
      <alignment horizontal="right"/>
    </xf>
  </cellStyleXfs>
  <cellXfs count="34">
    <xf numFmtId="0" fontId="0" fillId="0" borderId="0" xfId="0"/>
    <xf numFmtId="168" fontId="0" fillId="0" borderId="0" xfId="0" applyNumberFormat="1"/>
    <xf numFmtId="0" fontId="0" fillId="0" borderId="0" xfId="0" applyNumberFormat="1"/>
    <xf numFmtId="0" fontId="1" fillId="0" borderId="0" xfId="0" applyFont="1"/>
    <xf numFmtId="0" fontId="2" fillId="9" borderId="1" xfId="0" applyFont="1" applyFill="1" applyBorder="1" applyAlignment="1">
      <alignment horizontal="center" wrapText="1"/>
    </xf>
    <xf numFmtId="0" fontId="3" fillId="0" borderId="0" xfId="0" applyFont="1" applyAlignment="1">
      <alignment horizontal="left"/>
    </xf>
    <xf numFmtId="168" fontId="3" fillId="0" borderId="0" xfId="0" applyNumberFormat="1" applyFont="1" applyAlignment="1">
      <alignment horizontal="left"/>
    </xf>
    <xf numFmtId="0" fontId="0" fillId="0" borderId="0" xfId="0" pivotButton="1"/>
    <xf numFmtId="0" fontId="13" fillId="0" borderId="0" xfId="0" applyFont="1"/>
    <xf numFmtId="0" fontId="8" fillId="0" borderId="0" xfId="14"/>
    <xf numFmtId="0" fontId="7" fillId="10" borderId="0" xfId="13"/>
    <xf numFmtId="0" fontId="9" fillId="10" borderId="0" xfId="15"/>
    <xf numFmtId="170" fontId="8" fillId="0" borderId="0" xfId="14" applyNumberFormat="1" applyAlignment="1">
      <alignment horizontal="left"/>
    </xf>
    <xf numFmtId="169" fontId="8" fillId="0" borderId="0" xfId="14" applyNumberFormat="1" applyAlignment="1">
      <alignment horizontal="left"/>
    </xf>
    <xf numFmtId="171" fontId="8" fillId="0" borderId="0" xfId="14" applyNumberFormat="1" applyAlignment="1">
      <alignment horizontal="left"/>
    </xf>
    <xf numFmtId="174" fontId="0" fillId="0" borderId="0" xfId="0" applyNumberFormat="1"/>
    <xf numFmtId="172" fontId="8" fillId="0" borderId="0" xfId="14" applyNumberFormat="1" applyAlignment="1">
      <alignment horizontal="left"/>
    </xf>
    <xf numFmtId="173" fontId="8" fillId="0" borderId="0" xfId="14" applyNumberFormat="1" applyAlignment="1">
      <alignment horizontal="left"/>
    </xf>
    <xf numFmtId="0" fontId="12" fillId="0" borderId="0" xfId="19" applyAlignment="1"/>
    <xf numFmtId="0" fontId="12" fillId="10" borderId="0" xfId="19" applyFill="1" applyAlignment="1"/>
    <xf numFmtId="0" fontId="14" fillId="0" borderId="0" xfId="0" applyFont="1"/>
    <xf numFmtId="170" fontId="8" fillId="0" borderId="0" xfId="14" applyNumberFormat="1" applyAlignment="1">
      <alignment horizontal="left"/>
    </xf>
    <xf numFmtId="0" fontId="0" fillId="0" borderId="0" xfId="0" applyFont="1"/>
    <xf numFmtId="170" fontId="8" fillId="0" borderId="0" xfId="14" applyNumberFormat="1" applyAlignment="1">
      <alignment horizontal="left"/>
    </xf>
    <xf numFmtId="168" fontId="0" fillId="0" borderId="0" xfId="0" applyNumberFormat="1"/>
    <xf numFmtId="0" fontId="0" fillId="0" borderId="0" xfId="0" applyAlignment="1">
      <alignment horizontal="left"/>
    </xf>
    <xf numFmtId="0" fontId="14" fillId="0" borderId="0" xfId="0" pivotButton="1" applyFont="1"/>
    <xf numFmtId="0" fontId="16" fillId="0" borderId="0" xfId="18" applyFont="1"/>
    <xf numFmtId="168" fontId="0" fillId="0" borderId="0" xfId="0" applyNumberFormat="1"/>
    <xf numFmtId="0" fontId="15" fillId="0" borderId="0" xfId="13" applyFont="1" applyFill="1"/>
    <xf numFmtId="0" fontId="17" fillId="0" borderId="0" xfId="13" applyFont="1" applyFill="1"/>
    <xf numFmtId="0" fontId="18" fillId="0" borderId="0" xfId="13" applyFont="1" applyFill="1"/>
    <xf numFmtId="170" fontId="8" fillId="0" borderId="0" xfId="14" applyNumberFormat="1" applyAlignment="1">
      <alignment horizontal="left"/>
    </xf>
    <xf numFmtId="168" fontId="0" fillId="0" borderId="0" xfId="0" applyNumberFormat="1"/>
  </cellXfs>
  <cellStyles count="20">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Heading" xfId="13"/>
    <cellStyle name="Normal" xfId="0" builtinId="0" customBuiltin="1"/>
    <cellStyle name="Report Body" xfId="14"/>
    <cellStyle name="Report Column Header" xfId="15"/>
    <cellStyle name="Report Creation DateTime" xfId="16"/>
    <cellStyle name="Report Field Name" xfId="17"/>
    <cellStyle name="Report Name" xfId="18"/>
    <cellStyle name="StandardReportHeading" xfId="19"/>
  </cellStyles>
  <dxfs count="16">
    <dxf>
      <font>
        <b/>
      </font>
    </dxf>
    <dxf>
      <font>
        <b/>
      </font>
    </dxf>
    <dxf>
      <font>
        <b/>
      </font>
    </dxf>
    <dxf>
      <font>
        <b/>
      </font>
    </dxf>
    <dxf>
      <fill>
        <patternFill patternType="solid">
          <fgColor theme="5" tint="0.79995117038483843"/>
          <bgColor theme="0" tint="-4.9989318521683403E-2"/>
        </patternFill>
      </fill>
      <border>
        <bottom style="thin">
          <color theme="5" tint="0.39997558519241921"/>
        </bottom>
      </border>
    </dxf>
    <dxf>
      <fill>
        <patternFill patternType="solid">
          <fgColor theme="5" tint="0.79995117038483843"/>
          <bgColor theme="0" tint="-4.9989318521683403E-2"/>
        </patternFill>
      </fill>
      <border>
        <bottom style="thin">
          <color theme="5" tint="0.39997558519241921"/>
        </bottom>
      </border>
    </dxf>
    <dxf>
      <font>
        <b/>
        <color theme="1"/>
      </font>
    </dxf>
    <dxf>
      <font>
        <b/>
        <color theme="1"/>
      </font>
      <border>
        <bottom style="thin">
          <color theme="5" tint="0.39997558519241921"/>
        </bottom>
      </border>
    </dxf>
    <dxf>
      <font>
        <color theme="1"/>
      </font>
    </dxf>
    <dxf>
      <font>
        <b/>
        <i val="0"/>
        <color theme="1"/>
      </font>
      <fill>
        <patternFill>
          <bgColor theme="0" tint="-4.9989318521683403E-2"/>
        </patternFill>
      </fill>
      <border>
        <top style="thin">
          <color theme="5"/>
        </top>
        <bottom style="thin">
          <color theme="5"/>
        </bottom>
      </border>
    </dxf>
    <dxf>
      <font>
        <color theme="1"/>
      </font>
      <fill>
        <patternFill patternType="solid">
          <fgColor theme="0" tint="-0.14993743705557422"/>
          <bgColor theme="0" tint="-4.9989318521683403E-2"/>
        </patternFill>
      </fill>
    </dxf>
    <dxf>
      <fill>
        <patternFill patternType="solid">
          <fgColor theme="0" tint="-0.14990691854609822"/>
          <bgColor theme="0" tint="-4.9989318521683403E-2"/>
        </patternFill>
      </fill>
      <border>
        <left style="thin">
          <color theme="0" tint="-0.249977111117893"/>
        </left>
        <right style="thin">
          <color theme="0" tint="-0.249977111117893"/>
        </right>
      </border>
    </dxf>
    <dxf>
      <fill>
        <patternFill>
          <fgColor theme="8"/>
          <bgColor theme="8"/>
        </patternFill>
      </fill>
    </dxf>
    <dxf>
      <font>
        <b/>
        <i val="0"/>
        <color theme="1"/>
      </font>
      <fill>
        <patternFill patternType="solid">
          <fgColor theme="5" tint="0.79985961485641044"/>
          <bgColor theme="0" tint="-4.9989318521683403E-2"/>
        </patternFill>
      </fill>
      <border>
        <top style="thin">
          <color theme="5" tint="0.39997558519241921"/>
        </top>
      </border>
    </dxf>
    <dxf>
      <font>
        <b/>
        <i val="0"/>
        <color theme="1"/>
      </font>
      <fill>
        <patternFill patternType="solid">
          <fgColor theme="5" tint="0.79989013336588644"/>
          <bgColor theme="0" tint="-4.9989318521683403E-2"/>
        </patternFill>
      </fill>
      <border>
        <bottom style="thin">
          <color theme="5" tint="0.39997558519241921"/>
        </bottom>
      </border>
    </dxf>
    <dxf>
      <font>
        <color theme="3"/>
      </font>
    </dxf>
  </dxfs>
  <tableStyles count="1" defaultTableStyle="TableStyleMedium9" defaultPivotStyle="PivotStyleLight16">
    <tableStyle name="PivotStyleLightCustom" table="0" count="12">
      <tableStyleElement type="wholeTable" dxfId="15"/>
      <tableStyleElement type="headerRow" dxfId="14"/>
      <tableStyleElement type="totalRow" dxfId="13"/>
      <tableStyleElement type="secondRowStripe" dxfId="12"/>
      <tableStyleElement type="firstColumnStripe" dxfId="11"/>
      <tableStyleElement type="firstSubtotalColumn"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colors>
    <mruColors>
      <color rgb="FF2547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[OFF Duty to Drive Instances with Kyle's Edits.xlsx]Summary!HOS Driver Logs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Summary!$C$10:$C$11</c:f>
              <c:strCache>
                <c:ptCount val="1"/>
                <c:pt idx="0">
                  <c:v>Total</c:v>
                </c:pt>
              </c:strCache>
            </c:strRef>
          </c:tx>
          <c:spPr>
            <a:solidFill>
              <a:schemeClr val="accent1"/>
            </a:solidFill>
            <a:ln>
              <a:noFill/>
            </a:ln>
            <a:effectLst/>
          </c:spPr>
          <c:invertIfNegative val="0"/>
          <c:cat>
            <c:multiLvlStrRef>
              <c:f>Summary!$A$12:$B$13</c:f>
              <c:multiLvlStrCache>
                <c:ptCount val="1"/>
                <c:lvl>
                  <c:pt idx="0">
                    <c:v>John Smith</c:v>
                  </c:pt>
                </c:lvl>
                <c:lvl>
                  <c:pt idx="0">
                    <c:v>johnsmith</c:v>
                  </c:pt>
                </c:lvl>
              </c:multiLvlStrCache>
            </c:multiLvlStrRef>
          </c:cat>
          <c:val>
            <c:numRef>
              <c:f>Summary!$C$12:$C$13</c:f>
              <c:numCache>
                <c:formatCode>General</c:formatCode>
                <c:ptCount val="1"/>
                <c:pt idx="0">
                  <c:v>2</c:v>
                </c:pt>
              </c:numCache>
            </c:numRef>
          </c:val>
          <c:extLst xmlns:c16r2="http://schemas.microsoft.com/office/drawing/2015/06/chart">
            <c:ext xmlns:c16="http://schemas.microsoft.com/office/drawing/2014/chart" uri="{C3380CC4-5D6E-409C-BE32-E72D297353CC}">
              <c16:uniqueId val="{00000000-4255-4292-B6CC-189BC0216292}"/>
            </c:ext>
          </c:extLst>
        </c:ser>
        <c:dLbls>
          <c:showLegendKey val="0"/>
          <c:showVal val="0"/>
          <c:showCatName val="0"/>
          <c:showSerName val="0"/>
          <c:showPercent val="0"/>
          <c:showBubbleSize val="0"/>
        </c:dLbls>
        <c:gapWidth val="219"/>
        <c:overlap val="-27"/>
        <c:axId val="-1791043040"/>
        <c:axId val="-1791045760"/>
      </c:barChart>
      <c:catAx>
        <c:axId val="-17910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45760"/>
        <c:crosses val="autoZero"/>
        <c:auto val="1"/>
        <c:lblAlgn val="ctr"/>
        <c:lblOffset val="100"/>
        <c:noMultiLvlLbl val="0"/>
      </c:catAx>
      <c:valAx>
        <c:axId val="-179104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43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6</xdr:col>
      <xdr:colOff>150495</xdr:colOff>
      <xdr:row>12</xdr:row>
      <xdr:rowOff>11429</xdr:rowOff>
    </xdr:from>
    <xdr:to>
      <xdr:col>8</xdr:col>
      <xdr:colOff>379095</xdr:colOff>
      <xdr:row>29</xdr:row>
      <xdr:rowOff>1904</xdr:rowOff>
    </xdr:to>
    <xdr:graphicFrame macro="">
      <xdr:nvGraphicFramePr>
        <xdr:cNvPr id="2" name="Chart 1">
          <a:extLst>
            <a:ext uri="{FF2B5EF4-FFF2-40B4-BE49-F238E27FC236}">
              <a16:creationId xmlns=""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137160</xdr:colOff>
      <xdr:row>2</xdr:row>
      <xdr:rowOff>83820</xdr:rowOff>
    </xdr:from>
    <xdr:to>
      <xdr:col>9</xdr:col>
      <xdr:colOff>45720</xdr:colOff>
      <xdr:row>6</xdr:row>
      <xdr:rowOff>182880</xdr:rowOff>
    </xdr:to>
    <xdr:sp macro="" textlink="">
      <xdr:nvSpPr>
        <xdr:cNvPr id="3" name="TextBox 2">
          <a:extLst>
            <a:ext uri="{FF2B5EF4-FFF2-40B4-BE49-F238E27FC236}">
              <a16:creationId xmlns="" xmlns:a16="http://schemas.microsoft.com/office/drawing/2014/main" id="{00000000-0008-0000-0200-000003000000}"/>
            </a:ext>
          </a:extLst>
        </xdr:cNvPr>
        <xdr:cNvSpPr txBox="1"/>
      </xdr:nvSpPr>
      <xdr:spPr>
        <a:xfrm>
          <a:off x="3337560" y="381000"/>
          <a:ext cx="7673340" cy="99822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2">
                  <a:lumMod val="75000"/>
                </a:schemeClr>
              </a:solidFill>
              <a:effectLst/>
              <a:latin typeface="+mn-lt"/>
              <a:ea typeface="+mn-ea"/>
              <a:cs typeface="+mn-cs"/>
            </a:rPr>
            <a:t>Report Description</a:t>
          </a:r>
        </a:p>
        <a:p>
          <a:r>
            <a:rPr lang="en-US" sz="1200" baseline="0">
              <a:solidFill>
                <a:srgbClr val="7F7F7F"/>
              </a:solidFill>
              <a:effectLst/>
              <a:latin typeface="Calibri" panose="020F0502020204030204" pitchFamily="34" charset="0"/>
            </a:rPr>
            <a:t>This emailed report is for instances when the Driver goes into a Drive status directly from OFF Duty. Drivers must be in an ON Duty status, do a walkaround inspection and then only start driving the vehicle. This report helps flag those instances when the Driver was not ON duty and went straight from an OFF duty status to a D status.</a:t>
          </a:r>
          <a:endParaRPr lang="en-US" sz="1200" b="0" i="0" u="none" strike="noStrike">
            <a:solidFill>
              <a:schemeClr val="tx1">
                <a:lumMod val="50000"/>
                <a:lumOff val="50000"/>
              </a:schemeClr>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363277</xdr:colOff>
      <xdr:row>28</xdr:row>
      <xdr:rowOff>610</xdr:rowOff>
    </xdr:to>
    <xdr:pic>
      <xdr:nvPicPr>
        <xdr:cNvPr id="2" name="Picture 1">
          <a:extLst>
            <a:ext uri="{FF2B5EF4-FFF2-40B4-BE49-F238E27FC236}">
              <a16:creationId xmlns="" xmlns:a16="http://schemas.microsoft.com/office/drawing/2014/main" id="{6EF20F9A-E3B0-452C-ABC7-54587FBE6D67}"/>
            </a:ext>
          </a:extLst>
        </xdr:cNvPr>
        <xdr:cNvPicPr>
          <a:picLocks noChangeAspect="1"/>
        </xdr:cNvPicPr>
      </xdr:nvPicPr>
      <xdr:blipFill>
        <a:blip xmlns:r="http://schemas.openxmlformats.org/officeDocument/2006/relationships" r:embed="rId1"/>
        <a:stretch>
          <a:fillRect/>
        </a:stretch>
      </xdr:blipFill>
      <xdr:spPr>
        <a:xfrm>
          <a:off x="609600" y="161925"/>
          <a:ext cx="9507277" cy="43725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Grishma Sawant" refreshedDate="42745.470087268521" createdVersion="4" refreshedVersion="5" recordCount="36">
  <cacheSource type="worksheet">
    <worksheetSource name="AllData"/>
  </cacheSource>
  <cacheFields count="18">
    <cacheField name="Driver" numFmtId="0">
      <sharedItems count="6">
        <s v="johnsmith"/>
        <s v="JakeLee"/>
        <s v="SamSmith"/>
        <s v="TemplateDriver1@abc.com" u="1"/>
        <s v="lauriesehl@geotab.com" u="1"/>
        <s v="LeoLandauer" u="1"/>
      </sharedItems>
    </cacheField>
    <cacheField name="First Name" numFmtId="0">
      <sharedItems/>
    </cacheField>
    <cacheField name="Last Name" numFmtId="0">
      <sharedItems/>
    </cacheField>
    <cacheField name="Full Name" numFmtId="0">
      <sharedItems count="3">
        <s v="John Smith"/>
        <s v="Jake  Lee"/>
        <s v="Sam Smith"/>
      </sharedItems>
    </cacheField>
    <cacheField name="Date" numFmtId="171">
      <sharedItems containsSemiMixedTypes="0" containsNonDate="0" containsDate="1" containsString="0" minDate="2016-11-15T10:36:22" maxDate="2016-11-17T20:57:30"/>
    </cacheField>
    <cacheField name="Status" numFmtId="169">
      <sharedItems/>
    </cacheField>
    <cacheField name="Flag" numFmtId="169">
      <sharedItems containsSemiMixedTypes="0" containsString="0" containsNumber="1" containsInteger="1" minValue="0" maxValue="1" count="2">
        <n v="1"/>
        <n v="0"/>
      </sharedItems>
    </cacheField>
    <cacheField name="Device" numFmtId="169">
      <sharedItems/>
    </cacheField>
    <cacheField name="CoDrivers" numFmtId="169">
      <sharedItems containsSemiMixedTypes="0" containsString="0" containsNumber="1" containsInteger="1" minValue="0" maxValue="0"/>
    </cacheField>
    <cacheField name="Trailers" numFmtId="169">
      <sharedItems containsMixedTypes="1" containsNumber="1" containsInteger="1" minValue="0" maxValue="0"/>
    </cacheField>
    <cacheField name="Longitude" numFmtId="172">
      <sharedItems containsSemiMixedTypes="0" containsString="0" containsNumber="1" minValue="-79.968002319335895" maxValue="-79.681510925292997"/>
    </cacheField>
    <cacheField name="Latitude" numFmtId="172">
      <sharedItems containsSemiMixedTypes="0" containsString="0" containsNumber="1" minValue="43.197669982910199" maxValue="43.869415283203097"/>
    </cacheField>
    <cacheField name="Address" numFmtId="169">
      <sharedItems/>
    </cacheField>
    <cacheField name="Odometer" numFmtId="173">
      <sharedItems containsSemiMixedTypes="0" containsString="0" containsNumber="1" minValue="845.99774169921898" maxValue="83610.9453125"/>
    </cacheField>
    <cacheField name="Distance" numFmtId="169">
      <sharedItems containsSemiMixedTypes="0" containsString="0" containsNumber="1" minValue="0" maxValue="39.9548530578613"/>
    </cacheField>
    <cacheField name="Log Origin" numFmtId="171">
      <sharedItems/>
    </cacheField>
    <cacheField name="Verify Date" numFmtId="171">
      <sharedItems containsDate="1" containsMixedTypes="1" minDate="2016-11-17T09:20:23" maxDate="2016-11-17T14:38:27"/>
    </cacheField>
    <cacheField name="Edit Date" numFmtId="171">
      <sharedItems containsDate="1" containsMixedTypes="1" minDate="2016-11-17T09:17:22" maxDate="2016-11-21T12:58: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
  <r>
    <x v="0"/>
    <s v="John"/>
    <s v="Smith"/>
    <x v="0"/>
    <d v="2016-11-15T10:36:22"/>
    <s v="OFF"/>
    <x v="0"/>
    <s v="Dispatch - 1 CC"/>
    <n v="0"/>
    <n v="0"/>
    <n v="-79.712051391601605"/>
    <n v="43.4371337890625"/>
    <s v="ON Oakville"/>
    <n v="83531.2421875"/>
    <n v="25.950359344482401"/>
    <s v="Manual"/>
    <d v="2016-11-17T12:21:28"/>
    <s v=""/>
  </r>
  <r>
    <x v="0"/>
    <s v="John"/>
    <s v="Smith"/>
    <x v="0"/>
    <d v="2016-11-16T04:38:19"/>
    <s v="D"/>
    <x v="1"/>
    <s v="Dispatch - 1 CC"/>
    <n v="0"/>
    <n v="0"/>
    <n v="-79.967971801757798"/>
    <n v="43.2691459655762"/>
    <s v="3mi NNE ON Ancaster"/>
    <n v="83557.1953125"/>
    <n v="1.49708297103643E-2"/>
    <s v=""/>
    <d v="2016-11-17T12:21:28"/>
    <s v=""/>
  </r>
  <r>
    <x v="0"/>
    <s v="John"/>
    <s v="Smith"/>
    <x v="0"/>
    <d v="2016-11-16T04:41:37"/>
    <s v="ON"/>
    <x v="1"/>
    <s v="Dispatch - 1 CC"/>
    <n v="0"/>
    <n v="0"/>
    <n v="-79.967971801757798"/>
    <n v="43.269119262695298"/>
    <s v="3mi NNE ON Ancaster"/>
    <n v="83557.2109375"/>
    <n v="0"/>
    <s v=""/>
    <d v="2016-11-17T12:21:28"/>
    <s v=""/>
  </r>
  <r>
    <x v="0"/>
    <s v="John"/>
    <s v="Smith"/>
    <x v="0"/>
    <d v="2016-11-16T04:44:57"/>
    <s v="D"/>
    <x v="1"/>
    <s v="Dispatch - 1 CC"/>
    <n v="0"/>
    <n v="0"/>
    <n v="-79.968002319335895"/>
    <n v="43.2691459655762"/>
    <s v="3mi NNE ON Ancaster"/>
    <n v="83557.2109375"/>
    <n v="13.9606170654297"/>
    <s v=""/>
    <d v="2016-11-17T12:21:28"/>
    <s v=""/>
  </r>
  <r>
    <x v="0"/>
    <s v="John"/>
    <s v="Smith"/>
    <x v="0"/>
    <d v="2016-11-16T05:05:51"/>
    <s v="ON"/>
    <x v="1"/>
    <s v="Dispatch - 1 CC"/>
    <n v="0"/>
    <n v="0"/>
    <n v="-79.877784729003906"/>
    <n v="43.197669982910199"/>
    <s v="ON Hamilton"/>
    <n v="83571.171875"/>
    <n v="0"/>
    <s v=""/>
    <d v="2016-11-17T12:21:28"/>
    <s v=""/>
  </r>
  <r>
    <x v="0"/>
    <s v="John"/>
    <s v="Smith"/>
    <x v="0"/>
    <d v="2016-11-16T13:39:19"/>
    <s v="PC"/>
    <x v="1"/>
    <s v="Dispatch - 1 CC"/>
    <n v="0"/>
    <n v="0"/>
    <n v="-79.877784729003906"/>
    <n v="43.197669982910199"/>
    <s v="ON Hamilton"/>
    <n v="83571.171875"/>
    <n v="13.707965850830099"/>
    <s v=""/>
    <d v="2016-11-17T12:21:28"/>
    <s v=""/>
  </r>
  <r>
    <x v="0"/>
    <s v="John"/>
    <s v="Smith"/>
    <x v="0"/>
    <d v="2016-11-16T14:03:22"/>
    <s v="ON"/>
    <x v="1"/>
    <s v="Dispatch - 1 CC"/>
    <n v="0"/>
    <n v="0"/>
    <n v="-79.967926025390597"/>
    <n v="43.269172668457003"/>
    <s v="3mi NNE ON Ancaster"/>
    <n v="83584.875"/>
    <n v="0"/>
    <s v=""/>
    <d v="2016-11-17T12:21:28"/>
    <s v=""/>
  </r>
  <r>
    <x v="0"/>
    <s v="John"/>
    <s v="Smith"/>
    <x v="0"/>
    <d v="2016-11-16T15:00:00"/>
    <s v="OFF"/>
    <x v="1"/>
    <s v="Dispatch - 1 CC"/>
    <n v="0"/>
    <n v="0"/>
    <n v="-79.967926025390597"/>
    <n v="43.269172668457003"/>
    <s v="3mi NNE ON Ancaster"/>
    <n v="83584.875"/>
    <n v="26.066062927246101"/>
    <s v="OtherUser"/>
    <d v="2016-11-17T12:21:28"/>
    <d v="2016-11-17T12:00:02"/>
  </r>
  <r>
    <x v="0"/>
    <s v="John"/>
    <s v="Smith"/>
    <x v="0"/>
    <d v="2016-11-17T14:38:07"/>
    <s v="ON"/>
    <x v="1"/>
    <s v="Dispatch - 1 CC"/>
    <n v="0"/>
    <s v="34339"/>
    <n v="-79.686141967773395"/>
    <n v="43.452468872070298"/>
    <s v="ON Oakville"/>
    <n v="83610.9453125"/>
    <n v="0"/>
    <s v="Manual"/>
    <d v="2016-11-17T14:38:27"/>
    <s v=""/>
  </r>
  <r>
    <x v="0"/>
    <s v="John"/>
    <s v="Smith"/>
    <x v="0"/>
    <d v="2016-11-17T15:50:03"/>
    <s v="OFF"/>
    <x v="0"/>
    <s v="Dispatch - 1 CC"/>
    <n v="0"/>
    <s v="34339"/>
    <n v="-79.686141967773395"/>
    <n v="43.452468872070298"/>
    <s v="ON Oakville"/>
    <n v="83610.9453125"/>
    <n v="0"/>
    <s v="Manual"/>
    <s v=""/>
    <s v=""/>
  </r>
  <r>
    <x v="0"/>
    <s v="John"/>
    <s v="Smith"/>
    <x v="0"/>
    <d v="2016-11-17T15:50:06"/>
    <s v="D"/>
    <x v="1"/>
    <s v="Dispatch - 1 CC"/>
    <n v="0"/>
    <s v="34339"/>
    <n v="-79.686141967773395"/>
    <n v="43.452468872070298"/>
    <s v="ON Oakville"/>
    <n v="83610.9453125"/>
    <n v="0"/>
    <s v="Manual"/>
    <s v=""/>
    <s v=""/>
  </r>
  <r>
    <x v="0"/>
    <s v="John"/>
    <s v="Smith"/>
    <x v="0"/>
    <d v="2016-11-17T15:50:09"/>
    <s v="SB"/>
    <x v="1"/>
    <s v="Dispatch - 1 CC"/>
    <n v="0"/>
    <s v="34339"/>
    <n v="-79.686141967773395"/>
    <n v="43.452468872070298"/>
    <s v="ON Oakville"/>
    <n v="83610.9453125"/>
    <n v="0"/>
    <s v="Manual"/>
    <s v=""/>
    <s v=""/>
  </r>
  <r>
    <x v="0"/>
    <s v="John"/>
    <s v="Smith"/>
    <x v="0"/>
    <d v="2016-11-17T15:50:12"/>
    <s v="OFF"/>
    <x v="1"/>
    <s v="Dispatch - 1 CC"/>
    <n v="0"/>
    <s v="34339"/>
    <n v="-79.686141967773395"/>
    <n v="43.452468872070298"/>
    <s v="ON Oakville"/>
    <n v="83610.9453125"/>
    <n v="0"/>
    <s v="Manual"/>
    <s v=""/>
    <s v=""/>
  </r>
  <r>
    <x v="0"/>
    <s v="John"/>
    <s v="Smith"/>
    <x v="0"/>
    <d v="2016-11-17T15:54:34"/>
    <s v="YM"/>
    <x v="1"/>
    <s v="Dispatch - 1 CC"/>
    <n v="0"/>
    <s v="34339"/>
    <n v="-79.686141967773395"/>
    <n v="43.452468872070298"/>
    <s v="ON Oakville"/>
    <n v="83610.9453125"/>
    <n v="0"/>
    <s v="Manual"/>
    <s v=""/>
    <s v=""/>
  </r>
  <r>
    <x v="0"/>
    <s v="John"/>
    <s v="Smith"/>
    <x v="0"/>
    <d v="2016-11-17T15:54:59"/>
    <s v="SB"/>
    <x v="1"/>
    <s v="Dispatch - 1 CC"/>
    <n v="0"/>
    <s v="34339"/>
    <n v="-79.686141967773395"/>
    <n v="43.452468872070298"/>
    <s v="ON Oakville"/>
    <n v="83610.9453125"/>
    <n v="0"/>
    <s v="Manual"/>
    <s v=""/>
    <d v="2016-11-21T12:58:45"/>
  </r>
  <r>
    <x v="0"/>
    <s v="John"/>
    <s v="Smith"/>
    <x v="0"/>
    <d v="2016-11-17T15:55:49"/>
    <s v="PC"/>
    <x v="1"/>
    <s v="Dispatch - 1 CC"/>
    <n v="0"/>
    <s v="34339"/>
    <n v="-79.686141967773395"/>
    <n v="43.452468872070298"/>
    <s v="ON Oakville"/>
    <n v="83610.9453125"/>
    <n v="0"/>
    <s v="Manual"/>
    <s v=""/>
    <s v=""/>
  </r>
  <r>
    <x v="0"/>
    <s v="John"/>
    <s v="Smith"/>
    <x v="0"/>
    <d v="2016-11-17T15:56:08"/>
    <s v="OFF"/>
    <x v="1"/>
    <s v="Dispatch - 1 CC"/>
    <n v="0"/>
    <s v="34339"/>
    <n v="-79.686141967773395"/>
    <n v="43.452468872070298"/>
    <s v="ON Oakville"/>
    <n v="83610.9453125"/>
    <n v="0"/>
    <s v="Manual"/>
    <s v=""/>
    <s v=""/>
  </r>
  <r>
    <x v="1"/>
    <s v="Jake "/>
    <s v="Lee"/>
    <x v="1"/>
    <d v="2016-11-15T10:51:50"/>
    <s v="OFF"/>
    <x v="1"/>
    <s v="Dispatch - 1 CC"/>
    <n v="0"/>
    <n v="0"/>
    <n v="-79.712051391601605"/>
    <n v="43.4371337890625"/>
    <s v="ON Oakville"/>
    <n v="83531.2421875"/>
    <n v="0"/>
    <s v="Manual"/>
    <d v="2016-11-17T10:56:13"/>
    <s v=""/>
  </r>
  <r>
    <x v="1"/>
    <s v="Jake "/>
    <s v="Lee"/>
    <x v="1"/>
    <d v="2016-11-15T11:00:00"/>
    <s v="ON"/>
    <x v="1"/>
    <s v="Dispatch - 1 CC"/>
    <n v="0"/>
    <n v="0"/>
    <n v="-79.712051391601605"/>
    <n v="43.4371337890625"/>
    <s v="ON Oakville"/>
    <n v="83531.2421875"/>
    <n v="0"/>
    <s v="OtherUser"/>
    <d v="2016-11-17T10:56:13"/>
    <d v="2016-11-17T09:17:22"/>
  </r>
  <r>
    <x v="1"/>
    <s v="Jake "/>
    <s v="Lee"/>
    <x v="1"/>
    <d v="2016-11-15T12:00:00"/>
    <s v="D"/>
    <x v="1"/>
    <s v="Dispatch - 1 CC"/>
    <n v="0"/>
    <n v="0"/>
    <n v="-79.712051391601605"/>
    <n v="43.4371337890625"/>
    <s v="ON Oakville"/>
    <n v="83531.2421875"/>
    <n v="3.4936652183532702"/>
    <s v="OtherUser"/>
    <d v="2016-11-17T09:20:37"/>
    <d v="2016-11-17T09:17:57"/>
  </r>
  <r>
    <x v="1"/>
    <s v="Jake "/>
    <s v="Lee"/>
    <x v="1"/>
    <d v="2016-11-15T19:00:00"/>
    <s v="ON"/>
    <x v="1"/>
    <s v="Dispatch - 1 CC"/>
    <n v="0"/>
    <n v="0"/>
    <n v="-79.684020996093807"/>
    <n v="43.455051422119098"/>
    <s v="ON Oakville"/>
    <n v="83534.734375"/>
    <n v="22.456693649291999"/>
    <s v="OtherUser"/>
    <d v="2016-11-17T10:56:30"/>
    <d v="2016-11-17T09:18:31"/>
  </r>
  <r>
    <x v="1"/>
    <s v="Jake "/>
    <s v="Lee"/>
    <x v="1"/>
    <d v="2016-11-15T20:14:00"/>
    <s v="OFF"/>
    <x v="1"/>
    <s v="Dispatch - 1 CC"/>
    <n v="0"/>
    <n v="0"/>
    <n v="-79.967971801757798"/>
    <n v="43.2691459655762"/>
    <s v="3mi NNE ON Ancaster"/>
    <n v="83557.1953125"/>
    <n v="39.9548530578613"/>
    <s v="OtherUser"/>
    <d v="2016-11-17T09:20:23"/>
    <d v="2016-11-17T09:19:51"/>
  </r>
  <r>
    <x v="1"/>
    <s v="Jake "/>
    <s v="Lee"/>
    <x v="1"/>
    <d v="2016-11-17T10:39:24"/>
    <s v="ON"/>
    <x v="1"/>
    <s v="Dispatch - 1 CC"/>
    <n v="0"/>
    <n v="0"/>
    <n v="-79.797966003417997"/>
    <n v="43.357208251953097"/>
    <s v="ON Burlington"/>
    <n v="83597.1484375"/>
    <n v="7.56213283538818"/>
    <s v="Manual"/>
    <d v="2016-11-17T10:56:30"/>
    <s v=""/>
  </r>
  <r>
    <x v="1"/>
    <s v="Jake "/>
    <s v="Lee"/>
    <x v="1"/>
    <d v="2016-11-17T10:46:01"/>
    <s v="D"/>
    <x v="1"/>
    <s v="Dispatch - 1 CC"/>
    <n v="0"/>
    <n v="0"/>
    <n v="-79.703857421875"/>
    <n v="43.443019866943402"/>
    <s v="ON Oakville"/>
    <n v="83604.7109375"/>
    <n v="2.9317712783813499"/>
    <s v="Manual"/>
    <d v="2016-11-17T10:56:30"/>
    <s v=""/>
  </r>
  <r>
    <x v="1"/>
    <s v="Jake "/>
    <s v="Lee"/>
    <x v="1"/>
    <d v="2016-11-17T11:02:43"/>
    <s v="ON"/>
    <x v="1"/>
    <s v="Dispatch - 1 CC"/>
    <n v="0"/>
    <s v="34339"/>
    <n v="-79.681510925292997"/>
    <n v="43.457740783691399"/>
    <s v="ON Oakville"/>
    <n v="83607.640625"/>
    <n v="3.3008592128753702"/>
    <s v="Manual"/>
    <s v=""/>
    <s v=""/>
  </r>
  <r>
    <x v="1"/>
    <s v="Jake "/>
    <s v="Lee"/>
    <x v="1"/>
    <d v="2016-11-17T12:29:04"/>
    <s v="OFF"/>
    <x v="1"/>
    <s v="Dispatch - 1 CC"/>
    <n v="0"/>
    <s v="34339"/>
    <n v="-79.686141967773395"/>
    <n v="43.452468872070298"/>
    <s v="ON Oakville"/>
    <n v="83610.9453125"/>
    <n v="0"/>
    <s v="Manual"/>
    <s v=""/>
    <s v=""/>
  </r>
  <r>
    <x v="2"/>
    <s v="Sam"/>
    <s v="Smith"/>
    <x v="2"/>
    <d v="2016-11-17T18:12:37"/>
    <s v="D"/>
    <x v="1"/>
    <s v="Dispatch - 7 LS"/>
    <n v="0"/>
    <s v="606657"/>
    <n v="-79.716300964355497"/>
    <n v="43.717323303222699"/>
    <s v="ON Brampton"/>
    <n v="845.99774169921898"/>
    <n v="0.309875398874283"/>
    <s v="Automatic"/>
    <s v=""/>
    <s v=""/>
  </r>
  <r>
    <x v="2"/>
    <s v="Sam"/>
    <s v="Smith"/>
    <x v="2"/>
    <d v="2016-11-17T18:14:40"/>
    <s v="ON"/>
    <x v="1"/>
    <s v="Dispatch - 7 LS"/>
    <n v="0"/>
    <s v="606657"/>
    <n v="-79.719474792480497"/>
    <n v="43.717838287353501"/>
    <s v="ON Brampton"/>
    <n v="846.3076171875"/>
    <n v="0"/>
    <s v="Automatic"/>
    <s v=""/>
    <s v=""/>
  </r>
  <r>
    <x v="2"/>
    <s v="Sam"/>
    <s v="Smith"/>
    <x v="2"/>
    <d v="2016-11-17T19:06:42"/>
    <s v="D"/>
    <x v="1"/>
    <s v="Dispatch - 7 LS"/>
    <n v="0"/>
    <s v="606657"/>
    <n v="-79.719451904296903"/>
    <n v="43.717811584472699"/>
    <s v="ON Brampton"/>
    <n v="846.3076171875"/>
    <n v="0"/>
    <s v="Automatic"/>
    <s v=""/>
    <s v=""/>
  </r>
  <r>
    <x v="2"/>
    <s v="Sam"/>
    <s v="Smith"/>
    <x v="2"/>
    <d v="2016-11-17T19:08:31"/>
    <s v="ON"/>
    <x v="1"/>
    <s v="Dispatch - 7 LS"/>
    <n v="0"/>
    <s v="606657"/>
    <n v="-79.719451904296903"/>
    <n v="43.717811584472699"/>
    <s v="ON Brampton"/>
    <n v="846.3076171875"/>
    <n v="0"/>
    <s v="Automatic"/>
    <s v=""/>
    <s v=""/>
  </r>
  <r>
    <x v="2"/>
    <s v="Sam"/>
    <s v="Smith"/>
    <x v="2"/>
    <d v="2016-11-17T19:15:14"/>
    <s v="D"/>
    <x v="1"/>
    <s v="Dispatch - 7 LS"/>
    <n v="0"/>
    <s v="606657"/>
    <n v="-79.719451904296903"/>
    <n v="43.717811584472699"/>
    <s v="ON Brampton"/>
    <n v="846.3076171875"/>
    <n v="0"/>
    <s v="Automatic"/>
    <s v=""/>
    <s v=""/>
  </r>
  <r>
    <x v="2"/>
    <s v="Sam"/>
    <s v="Smith"/>
    <x v="2"/>
    <d v="2016-11-17T19:15:26"/>
    <s v="ON"/>
    <x v="1"/>
    <s v="Dispatch - 7 LS"/>
    <n v="0"/>
    <s v="606657"/>
    <n v="-79.719451904296903"/>
    <n v="43.717811584472699"/>
    <s v="ON Brampton"/>
    <n v="846.3076171875"/>
    <n v="0.19134479761123699"/>
    <s v="Automatic"/>
    <s v=""/>
    <s v=""/>
  </r>
  <r>
    <x v="2"/>
    <s v="Sam"/>
    <s v="Smith"/>
    <x v="2"/>
    <d v="2016-11-17T19:29:39"/>
    <s v="D"/>
    <x v="1"/>
    <s v="Dispatch - 7 LS"/>
    <n v="0"/>
    <s v="606657"/>
    <n v="-79.717658996582003"/>
    <n v="43.717376708984403"/>
    <s v="ON Brampton"/>
    <n v="846.49896240234398"/>
    <n v="5.4009962081909197"/>
    <s v="Automatic"/>
    <s v=""/>
    <s v=""/>
  </r>
  <r>
    <x v="2"/>
    <s v="Sam"/>
    <s v="Smith"/>
    <x v="2"/>
    <d v="2016-11-17T19:44:52"/>
    <s v="ON"/>
    <x v="1"/>
    <s v="Dispatch - 7 LS"/>
    <n v="0"/>
    <s v="606657"/>
    <n v="-79.783805847167997"/>
    <n v="43.730766296386697"/>
    <s v="ON Brampton"/>
    <n v="851.89996337890602"/>
    <n v="7.6578408479690593E-2"/>
    <s v="Automatic"/>
    <s v=""/>
    <s v=""/>
  </r>
  <r>
    <x v="2"/>
    <s v="Sam"/>
    <s v="Smith"/>
    <x v="2"/>
    <d v="2016-11-17T20:27:31"/>
    <s v="D"/>
    <x v="1"/>
    <s v="Dispatch - 7 LS"/>
    <n v="0"/>
    <s v="606657"/>
    <n v="-79.784011840820298"/>
    <n v="43.730842590332003"/>
    <s v="ON Brampton"/>
    <n v="851.97650146484398"/>
    <n v="14.836331367492701"/>
    <s v="Automatic"/>
    <s v=""/>
    <s v=""/>
  </r>
  <r>
    <x v="2"/>
    <s v="Sam"/>
    <s v="Smith"/>
    <x v="2"/>
    <d v="2016-11-17T20:57:30"/>
    <s v="ON"/>
    <x v="1"/>
    <s v="Dispatch - 7 LS"/>
    <n v="0"/>
    <s v="606657"/>
    <n v="-79.869873046875"/>
    <n v="43.869415283203097"/>
    <s v="11mi ESE ON Orangeville"/>
    <n v="866.81286621093795"/>
    <n v="0"/>
    <s v="Automatic"/>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OS Driver Logs" cacheId="5" applyNumberFormats="0" applyBorderFormats="0" applyFontFormats="0" applyPatternFormats="0" applyAlignmentFormats="0" applyWidthHeightFormats="1" dataCaption="Data" updatedVersion="5" minRefreshableVersion="3" showDrill="0" showMemberPropertyTips="0" useAutoFormatting="1" itemPrintTitles="1" createdVersion="4" indent="0" compact="0" compactData="0" gridDropZones="1" chartFormat="3">
  <location ref="A10:C13" firstHeaderRow="2" firstDataRow="2" firstDataCol="2" rowPageCount="1" colPageCount="1"/>
  <pivotFields count="18">
    <pivotField axis="axisRow" compact="0" outline="0" subtotalTop="0" showAll="0" includeNewItemsInFilter="1" defaultSubtotal="0">
      <items count="6">
        <item m="1" x="3"/>
        <item x="0"/>
        <item m="1" x="5"/>
        <item m="1" x="4"/>
        <item x="1"/>
        <item x="2"/>
      </items>
    </pivotField>
    <pivotField compact="0" outline="0" showAll="0" defaultSubtotal="0"/>
    <pivotField compact="0" outline="0" showAll="0" defaultSubtotal="0"/>
    <pivotField axis="axisRow" compact="0" outline="0" showAll="0" defaultSubtotal="0">
      <items count="3">
        <item x="1"/>
        <item x="0"/>
        <item x="2"/>
      </items>
    </pivotField>
    <pivotField compact="0" numFmtId="171" outline="0" showAll="0" defaultSubtotal="0"/>
    <pivotField compact="0" outline="0" subtotalTop="0" showAll="0" includeNewItemsInFilter="1" defaultSubtotal="0"/>
    <pivotField axis="axisPage" dataField="1" compact="0" outline="0" multipleItemSelectionAllowed="1" showAll="0" defaultSubtotal="0">
      <items count="2">
        <item x="0"/>
        <item h="1" x="1"/>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numFmtId="172" outline="0" subtotalTop="0" showAll="0" includeNewItemsInFilter="1" defaultSubtotal="0"/>
    <pivotField compact="0" numFmtId="172" outline="0" subtotalTop="0" showAll="0" includeNewItemsInFilter="1" defaultSubtotal="0"/>
    <pivotField compact="0" outline="0" subtotalTop="0" showAll="0" includeNewItemsInFilter="1" defaultSubtotal="0"/>
    <pivotField compact="0" numFmtId="173" outline="0" subtotalTop="0" showAll="0" includeNewItemsInFilter="1" defaultSubtotal="0"/>
    <pivotField compact="0" numFmtId="169" outline="0" subtotalTop="0" showAll="0" includeNewItemsInFilter="1" defaultSubtotal="0"/>
    <pivotField compact="0" outline="0" showAll="0" defaultSubtotal="0"/>
    <pivotField compact="0" numFmtId="171" outline="0" subtotalTop="0" showAll="0" includeNewItemsInFilter="1" defaultSubtotal="0"/>
    <pivotField compact="0" outline="0" subtotalTop="0" showAll="0" includeNewItemsInFilter="1" defaultSubtotal="0"/>
  </pivotFields>
  <rowFields count="2">
    <field x="0"/>
    <field x="3"/>
  </rowFields>
  <rowItems count="2">
    <i>
      <x v="1"/>
      <x v="1"/>
    </i>
    <i t="grand">
      <x/>
    </i>
  </rowItems>
  <colItems count="1">
    <i/>
  </colItems>
  <pageFields count="1">
    <pageField fld="6" hier="-1"/>
  </pageFields>
  <dataFields count="1">
    <dataField name="Sum of Flag" fld="6" baseField="0" baseItem="0"/>
  </dataFields>
  <formats count="2">
    <format dxfId="3">
      <pivotArea type="origin" dataOnly="0" labelOnly="1" outline="0" fieldPosition="0"/>
    </format>
    <format dxfId="2">
      <pivotArea type="topRight" dataOnly="0" labelOnly="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Medium6" showRowHeaders="0" showColHeaders="1" showRowStripes="1" showColStripes="0" showLastColumn="1"/>
</pivotTableDefinition>
</file>

<file path=xl/theme/theme1.xml><?xml version="1.0" encoding="utf-8"?>
<a:theme xmlns:a="http://schemas.openxmlformats.org/drawingml/2006/main" name="Office Theme">
  <a:themeElements>
    <a:clrScheme name="Custom 1">
      <a:dk1>
        <a:sysClr val="windowText" lastClr="000000"/>
      </a:dk1>
      <a:lt1>
        <a:sysClr val="window" lastClr="FFFFFF"/>
      </a:lt1>
      <a:dk2>
        <a:srgbClr val="3F3F3F"/>
      </a:dk2>
      <a:lt2>
        <a:srgbClr val="EEECE1"/>
      </a:lt2>
      <a:accent1>
        <a:srgbClr val="25477B"/>
      </a:accent1>
      <a:accent2>
        <a:srgbClr val="5C9CCC"/>
      </a:accent2>
      <a:accent3>
        <a:srgbClr val="9BBB59"/>
      </a:accent3>
      <a:accent4>
        <a:srgbClr val="F7941E"/>
      </a:accent4>
      <a:accent5>
        <a:srgbClr val="F3F8FB"/>
      </a:accent5>
      <a:accent6>
        <a:srgbClr val="EEECE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Custom 1">
    <a:dk1>
      <a:sysClr val="windowText" lastClr="000000"/>
    </a:dk1>
    <a:lt1>
      <a:sysClr val="window" lastClr="FFFFFF"/>
    </a:lt1>
    <a:dk2>
      <a:srgbClr val="3F3F3F"/>
    </a:dk2>
    <a:lt2>
      <a:srgbClr val="EEECE1"/>
    </a:lt2>
    <a:accent1>
      <a:srgbClr val="25477B"/>
    </a:accent1>
    <a:accent2>
      <a:srgbClr val="5C9CCC"/>
    </a:accent2>
    <a:accent3>
      <a:srgbClr val="9BBB59"/>
    </a:accent3>
    <a:accent4>
      <a:srgbClr val="F7941E"/>
    </a:accent4>
    <a:accent5>
      <a:srgbClr val="F3F8FB"/>
    </a:accent5>
    <a:accent6>
      <a:srgbClr val="EEECE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V46"/>
  <sheetViews>
    <sheetView workbookViewId="0">
      <selection activeCell="B2" sqref="B2"/>
    </sheetView>
  </sheetViews>
  <sheetFormatPr defaultRowHeight="13.2" x14ac:dyDescent="0.25"/>
  <cols>
    <col min="1" max="2" width="22.109375" customWidth="1"/>
    <col min="3" max="3" width="17.88671875" customWidth="1"/>
    <col min="4" max="4" width="15.109375" customWidth="1"/>
    <col min="5" max="5" width="18.109375" customWidth="1"/>
    <col min="6" max="8" width="18.5546875" customWidth="1"/>
    <col min="9" max="9" width="23" customWidth="1"/>
    <col min="10" max="10" width="22.109375" customWidth="1"/>
    <col min="11" max="11" width="41.109375" customWidth="1"/>
    <col min="12" max="12" width="39.5546875" customWidth="1"/>
    <col min="13" max="13" width="16" customWidth="1"/>
    <col min="14" max="14" width="18.109375" customWidth="1"/>
    <col min="15" max="15" width="16.5546875" customWidth="1"/>
    <col min="16" max="16" width="15.5546875" customWidth="1"/>
    <col min="17" max="17" width="22.109375" customWidth="1"/>
    <col min="18" max="18" width="31.5546875" customWidth="1"/>
    <col min="19" max="19" width="43.109375" customWidth="1"/>
    <col min="20" max="20" width="22.109375" customWidth="1"/>
    <col min="21" max="22" width="21.44140625" customWidth="1"/>
  </cols>
  <sheetData>
    <row r="1" spans="1:22" x14ac:dyDescent="0.25">
      <c r="A1" s="8" t="s">
        <v>4</v>
      </c>
      <c r="B1" s="6" t="s">
        <v>265</v>
      </c>
      <c r="F1" s="15"/>
      <c r="G1" s="15"/>
      <c r="H1" s="15"/>
      <c r="J1" s="6"/>
      <c r="Q1" s="6"/>
    </row>
    <row r="2" spans="1:22" x14ac:dyDescent="0.25">
      <c r="A2" s="8" t="s">
        <v>3</v>
      </c>
      <c r="B2" s="6">
        <v>42695.919464108803</v>
      </c>
      <c r="J2" s="6"/>
      <c r="Q2" s="6"/>
    </row>
    <row r="3" spans="1:22" x14ac:dyDescent="0.25">
      <c r="A3" s="8" t="s">
        <v>1</v>
      </c>
      <c r="B3" s="6">
        <v>42688.919429212998</v>
      </c>
      <c r="J3" s="6"/>
      <c r="Q3" s="6"/>
    </row>
    <row r="4" spans="1:22" x14ac:dyDescent="0.25">
      <c r="A4" s="8" t="s">
        <v>2</v>
      </c>
      <c r="B4" s="6">
        <v>42695.919429212998</v>
      </c>
      <c r="J4" s="6"/>
      <c r="Q4" s="6"/>
    </row>
    <row r="5" spans="1:22" x14ac:dyDescent="0.25">
      <c r="A5" s="8" t="s">
        <v>5</v>
      </c>
      <c r="B5" s="6" t="s">
        <v>175</v>
      </c>
      <c r="J5" s="6"/>
      <c r="Q5" s="6"/>
    </row>
    <row r="6" spans="1:22" x14ac:dyDescent="0.25">
      <c r="A6" s="8" t="s">
        <v>6</v>
      </c>
      <c r="B6" s="6" t="s">
        <v>176</v>
      </c>
      <c r="J6" s="6"/>
      <c r="Q6" s="6"/>
    </row>
    <row r="7" spans="1:22" x14ac:dyDescent="0.25">
      <c r="A7" s="8" t="s">
        <v>7</v>
      </c>
      <c r="B7" s="6" t="b">
        <v>1</v>
      </c>
      <c r="J7" s="6"/>
      <c r="Q7" s="6"/>
    </row>
    <row r="8" spans="1:22" x14ac:dyDescent="0.25">
      <c r="A8" s="8" t="s">
        <v>8</v>
      </c>
      <c r="B8" s="6" t="s">
        <v>177</v>
      </c>
      <c r="J8" s="6"/>
      <c r="Q8" s="6"/>
    </row>
    <row r="9" spans="1:22" x14ac:dyDescent="0.25">
      <c r="A9" s="8" t="s">
        <v>131</v>
      </c>
      <c r="B9" s="6" t="s">
        <v>132</v>
      </c>
      <c r="J9" s="6"/>
      <c r="Q9" s="6"/>
    </row>
    <row r="10" spans="1:22" ht="26.25" customHeight="1" thickBot="1" x14ac:dyDescent="0.3">
      <c r="A10" s="4" t="s">
        <v>17</v>
      </c>
      <c r="B10" s="4" t="s">
        <v>18</v>
      </c>
      <c r="C10" s="4" t="s">
        <v>19</v>
      </c>
      <c r="D10" s="4" t="s">
        <v>20</v>
      </c>
      <c r="E10" s="4" t="s">
        <v>21</v>
      </c>
      <c r="F10" s="4" t="s">
        <v>22</v>
      </c>
      <c r="G10" s="4" t="s">
        <v>146</v>
      </c>
      <c r="H10" s="4" t="s">
        <v>147</v>
      </c>
      <c r="I10" s="4" t="s">
        <v>23</v>
      </c>
      <c r="J10" s="4" t="s">
        <v>34</v>
      </c>
      <c r="K10" s="4" t="s">
        <v>24</v>
      </c>
      <c r="L10" s="4" t="s">
        <v>32</v>
      </c>
      <c r="M10" s="4" t="s">
        <v>25</v>
      </c>
      <c r="N10" s="4" t="s">
        <v>26</v>
      </c>
      <c r="O10" s="4" t="s">
        <v>27</v>
      </c>
      <c r="P10" s="4" t="s">
        <v>28</v>
      </c>
      <c r="Q10" s="4" t="s">
        <v>33</v>
      </c>
      <c r="R10" s="4" t="s">
        <v>29</v>
      </c>
      <c r="S10" s="4" t="s">
        <v>130</v>
      </c>
      <c r="T10" s="4" t="s">
        <v>133</v>
      </c>
      <c r="U10" s="4" t="s">
        <v>30</v>
      </c>
      <c r="V10" s="4" t="s">
        <v>31</v>
      </c>
    </row>
    <row r="11" spans="1:22" x14ac:dyDescent="0.25">
      <c r="A11" s="6">
        <v>42689.441916747703</v>
      </c>
      <c r="B11" s="6" t="s">
        <v>10</v>
      </c>
      <c r="C11" s="5" t="s">
        <v>178</v>
      </c>
      <c r="D11" s="5" t="s">
        <v>179</v>
      </c>
      <c r="E11" s="5"/>
      <c r="F11" s="5" t="s">
        <v>180</v>
      </c>
      <c r="G11" s="5" t="s">
        <v>181</v>
      </c>
      <c r="H11" s="5" t="s">
        <v>182</v>
      </c>
      <c r="I11" s="5" t="s">
        <v>183</v>
      </c>
      <c r="J11" s="6" t="s">
        <v>184</v>
      </c>
      <c r="L11" s="5"/>
      <c r="M11" s="5">
        <v>83531.2421875</v>
      </c>
      <c r="N11" s="5">
        <v>25.950359344482401</v>
      </c>
      <c r="O11" s="5">
        <v>-79.712051391601605</v>
      </c>
      <c r="P11" s="5">
        <v>43.4371337890625</v>
      </c>
      <c r="Q11" s="6" t="s">
        <v>185</v>
      </c>
      <c r="R11" s="5" t="s">
        <v>186</v>
      </c>
      <c r="T11" s="5" t="s">
        <v>134</v>
      </c>
      <c r="U11" s="6">
        <v>42691.514903044001</v>
      </c>
    </row>
    <row r="12" spans="1:22" x14ac:dyDescent="0.25">
      <c r="A12" s="6">
        <v>42690.193276192098</v>
      </c>
      <c r="B12" s="6" t="s">
        <v>11</v>
      </c>
      <c r="C12" s="5" t="s">
        <v>178</v>
      </c>
      <c r="D12" s="5" t="s">
        <v>179</v>
      </c>
      <c r="F12" s="5" t="s">
        <v>180</v>
      </c>
      <c r="G12" s="5" t="s">
        <v>181</v>
      </c>
      <c r="H12" s="5" t="s">
        <v>182</v>
      </c>
      <c r="I12" s="5" t="s">
        <v>183</v>
      </c>
      <c r="J12" s="6" t="s">
        <v>187</v>
      </c>
      <c r="L12" s="5"/>
      <c r="M12" s="5">
        <v>83557.1953125</v>
      </c>
      <c r="N12" s="5">
        <v>1.49708297103643E-2</v>
      </c>
      <c r="O12" s="5">
        <v>-79.967971801757798</v>
      </c>
      <c r="P12" s="5">
        <v>43.2691459655762</v>
      </c>
      <c r="Q12" s="6" t="s">
        <v>185</v>
      </c>
      <c r="R12" s="5" t="s">
        <v>188</v>
      </c>
      <c r="U12" s="6">
        <v>42691.514902974501</v>
      </c>
    </row>
    <row r="13" spans="1:22" x14ac:dyDescent="0.25">
      <c r="A13" s="6">
        <v>42690.195567129602</v>
      </c>
      <c r="B13" s="6" t="s">
        <v>9</v>
      </c>
      <c r="C13" s="5" t="s">
        <v>178</v>
      </c>
      <c r="D13" s="5" t="s">
        <v>179</v>
      </c>
      <c r="F13" s="5" t="s">
        <v>180</v>
      </c>
      <c r="G13" s="5" t="s">
        <v>181</v>
      </c>
      <c r="H13" s="5" t="s">
        <v>182</v>
      </c>
      <c r="I13" s="5" t="s">
        <v>183</v>
      </c>
      <c r="J13" s="6" t="s">
        <v>189</v>
      </c>
      <c r="L13" s="5"/>
      <c r="M13" s="5">
        <v>83557.2109375</v>
      </c>
      <c r="N13" s="5">
        <v>0</v>
      </c>
      <c r="O13" s="5">
        <v>-79.967971801757798</v>
      </c>
      <c r="P13" s="5">
        <v>43.269119262695298</v>
      </c>
      <c r="Q13" s="6" t="s">
        <v>185</v>
      </c>
      <c r="R13" s="5" t="s">
        <v>188</v>
      </c>
      <c r="U13" s="6">
        <v>42691.514902928197</v>
      </c>
    </row>
    <row r="14" spans="1:22" x14ac:dyDescent="0.25">
      <c r="A14" s="6">
        <v>42690.197881944398</v>
      </c>
      <c r="B14" s="6" t="s">
        <v>11</v>
      </c>
      <c r="C14" s="5" t="s">
        <v>178</v>
      </c>
      <c r="D14" s="5" t="s">
        <v>179</v>
      </c>
      <c r="F14" s="5" t="s">
        <v>180</v>
      </c>
      <c r="G14" s="5" t="s">
        <v>181</v>
      </c>
      <c r="H14" s="5" t="s">
        <v>182</v>
      </c>
      <c r="I14" s="5" t="s">
        <v>183</v>
      </c>
      <c r="J14" s="6" t="s">
        <v>190</v>
      </c>
      <c r="L14" s="5"/>
      <c r="M14" s="5">
        <v>83557.2109375</v>
      </c>
      <c r="N14" s="5">
        <v>13.9606170654297</v>
      </c>
      <c r="O14" s="5">
        <v>-79.968002319335895</v>
      </c>
      <c r="P14" s="5">
        <v>43.2691459655762</v>
      </c>
      <c r="Q14" s="6" t="s">
        <v>185</v>
      </c>
      <c r="R14" s="5" t="s">
        <v>188</v>
      </c>
      <c r="U14" s="6">
        <v>42691.514902858798</v>
      </c>
    </row>
    <row r="15" spans="1:22" x14ac:dyDescent="0.25">
      <c r="A15" s="6">
        <v>42690.212395833303</v>
      </c>
      <c r="B15" s="6" t="s">
        <v>9</v>
      </c>
      <c r="C15" s="5" t="s">
        <v>178</v>
      </c>
      <c r="D15" s="5" t="s">
        <v>179</v>
      </c>
      <c r="F15" s="5" t="s">
        <v>180</v>
      </c>
      <c r="G15" s="5" t="s">
        <v>181</v>
      </c>
      <c r="H15" s="5" t="s">
        <v>182</v>
      </c>
      <c r="I15" s="5" t="s">
        <v>183</v>
      </c>
      <c r="J15" s="6" t="s">
        <v>191</v>
      </c>
      <c r="L15" s="5"/>
      <c r="M15" s="5">
        <v>83571.171875</v>
      </c>
      <c r="N15" s="5">
        <v>0</v>
      </c>
      <c r="O15" s="5">
        <v>-79.877784729003906</v>
      </c>
      <c r="P15" s="5">
        <v>43.197669982910199</v>
      </c>
      <c r="Q15" s="6" t="s">
        <v>185</v>
      </c>
      <c r="R15" s="5" t="s">
        <v>192</v>
      </c>
      <c r="U15" s="6">
        <v>42691.514902777802</v>
      </c>
    </row>
    <row r="16" spans="1:22" x14ac:dyDescent="0.25">
      <c r="A16" s="6">
        <v>42690.568970636603</v>
      </c>
      <c r="B16" s="6" t="s">
        <v>193</v>
      </c>
      <c r="C16" s="5" t="s">
        <v>178</v>
      </c>
      <c r="D16" s="5" t="s">
        <v>179</v>
      </c>
      <c r="F16" s="5" t="s">
        <v>180</v>
      </c>
      <c r="G16" s="5" t="s">
        <v>181</v>
      </c>
      <c r="H16" s="5" t="s">
        <v>182</v>
      </c>
      <c r="I16" s="5" t="s">
        <v>183</v>
      </c>
      <c r="J16" s="6" t="s">
        <v>194</v>
      </c>
      <c r="L16" s="5"/>
      <c r="M16" s="5">
        <v>83571.171875</v>
      </c>
      <c r="N16" s="5">
        <v>13.707965850830099</v>
      </c>
      <c r="O16" s="5">
        <v>-79.877784729003906</v>
      </c>
      <c r="P16" s="5">
        <v>43.197669982910199</v>
      </c>
      <c r="Q16" s="6" t="s">
        <v>185</v>
      </c>
      <c r="R16" s="5" t="s">
        <v>192</v>
      </c>
      <c r="U16" s="6">
        <v>42691.514902743103</v>
      </c>
    </row>
    <row r="17" spans="1:22" x14ac:dyDescent="0.25">
      <c r="A17" s="6">
        <v>42690.5856712963</v>
      </c>
      <c r="B17" s="6" t="s">
        <v>9</v>
      </c>
      <c r="C17" s="5" t="s">
        <v>178</v>
      </c>
      <c r="D17" s="5" t="s">
        <v>179</v>
      </c>
      <c r="F17" s="5" t="s">
        <v>180</v>
      </c>
      <c r="G17" s="5" t="s">
        <v>181</v>
      </c>
      <c r="H17" s="5" t="s">
        <v>182</v>
      </c>
      <c r="I17" s="5" t="s">
        <v>183</v>
      </c>
      <c r="J17" s="6" t="s">
        <v>195</v>
      </c>
      <c r="L17" s="5"/>
      <c r="M17" s="5">
        <v>83584.875</v>
      </c>
      <c r="N17" s="5">
        <v>0</v>
      </c>
      <c r="O17" s="5">
        <v>-79.967926025390597</v>
      </c>
      <c r="P17" s="5">
        <v>43.269172668457003</v>
      </c>
      <c r="Q17" s="6" t="s">
        <v>185</v>
      </c>
      <c r="R17" s="5" t="s">
        <v>188</v>
      </c>
      <c r="U17" s="6">
        <v>42691.514902696799</v>
      </c>
    </row>
    <row r="18" spans="1:22" x14ac:dyDescent="0.25">
      <c r="A18" s="6">
        <v>42690.625</v>
      </c>
      <c r="B18" s="6" t="s">
        <v>10</v>
      </c>
      <c r="C18" s="5" t="s">
        <v>178</v>
      </c>
      <c r="D18" s="5" t="s">
        <v>179</v>
      </c>
      <c r="F18" s="5" t="s">
        <v>180</v>
      </c>
      <c r="G18" s="5" t="s">
        <v>181</v>
      </c>
      <c r="H18" s="5" t="s">
        <v>182</v>
      </c>
      <c r="I18" s="5" t="s">
        <v>183</v>
      </c>
      <c r="J18" s="6" t="s">
        <v>196</v>
      </c>
      <c r="L18" s="5"/>
      <c r="M18" s="5">
        <v>83584.875</v>
      </c>
      <c r="N18" s="5">
        <v>26.066062927246101</v>
      </c>
      <c r="O18" s="5">
        <v>-79.967926025390597</v>
      </c>
      <c r="P18" s="5">
        <v>43.269172668457003</v>
      </c>
      <c r="Q18" s="6" t="s">
        <v>185</v>
      </c>
      <c r="R18" s="5" t="s">
        <v>188</v>
      </c>
      <c r="T18" s="5" t="s">
        <v>197</v>
      </c>
      <c r="U18" s="6">
        <v>42691.514902661998</v>
      </c>
      <c r="V18" s="6">
        <v>42691.5000183218</v>
      </c>
    </row>
    <row r="19" spans="1:22" x14ac:dyDescent="0.25">
      <c r="A19" s="6">
        <v>42691.6098025463</v>
      </c>
      <c r="B19" s="6" t="s">
        <v>9</v>
      </c>
      <c r="C19" s="5" t="s">
        <v>178</v>
      </c>
      <c r="D19" s="5" t="s">
        <v>179</v>
      </c>
      <c r="F19" s="5" t="s">
        <v>180</v>
      </c>
      <c r="G19" s="5" t="s">
        <v>181</v>
      </c>
      <c r="H19" s="5" t="s">
        <v>182</v>
      </c>
      <c r="I19" s="5" t="s">
        <v>183</v>
      </c>
      <c r="J19" s="6" t="s">
        <v>198</v>
      </c>
      <c r="L19" s="5" t="s">
        <v>199</v>
      </c>
      <c r="M19" s="5">
        <v>83610.9453125</v>
      </c>
      <c r="N19" s="5">
        <v>0</v>
      </c>
      <c r="O19" s="5">
        <v>-79.686141967773395</v>
      </c>
      <c r="P19" s="5">
        <v>43.452468872070298</v>
      </c>
      <c r="Q19" s="6" t="s">
        <v>185</v>
      </c>
      <c r="R19" s="5" t="s">
        <v>186</v>
      </c>
      <c r="T19" s="5" t="s">
        <v>134</v>
      </c>
      <c r="U19" s="6">
        <v>42691.610036608799</v>
      </c>
    </row>
    <row r="20" spans="1:22" x14ac:dyDescent="0.25">
      <c r="A20" s="6">
        <v>42691.659761192102</v>
      </c>
      <c r="B20" s="6" t="s">
        <v>10</v>
      </c>
      <c r="C20" s="5" t="s">
        <v>178</v>
      </c>
      <c r="D20" s="5" t="s">
        <v>179</v>
      </c>
      <c r="F20" s="5" t="s">
        <v>180</v>
      </c>
      <c r="G20" s="5" t="s">
        <v>181</v>
      </c>
      <c r="H20" s="5" t="s">
        <v>182</v>
      </c>
      <c r="I20" s="5" t="s">
        <v>183</v>
      </c>
      <c r="J20" s="6" t="s">
        <v>200</v>
      </c>
      <c r="L20" s="5" t="s">
        <v>199</v>
      </c>
      <c r="M20" s="5">
        <v>83610.9453125</v>
      </c>
      <c r="N20" s="5">
        <v>0</v>
      </c>
      <c r="O20" s="5">
        <v>-79.686141967773395</v>
      </c>
      <c r="P20" s="5">
        <v>43.452468872070298</v>
      </c>
      <c r="Q20" s="6" t="s">
        <v>185</v>
      </c>
      <c r="R20" s="5" t="s">
        <v>186</v>
      </c>
      <c r="T20" s="5" t="s">
        <v>134</v>
      </c>
    </row>
    <row r="21" spans="1:22" x14ac:dyDescent="0.25">
      <c r="A21" s="6">
        <v>42691.659796562497</v>
      </c>
      <c r="B21" s="6" t="s">
        <v>11</v>
      </c>
      <c r="C21" s="5" t="s">
        <v>178</v>
      </c>
      <c r="D21" s="5" t="s">
        <v>179</v>
      </c>
      <c r="F21" s="5" t="s">
        <v>180</v>
      </c>
      <c r="G21" s="5" t="s">
        <v>181</v>
      </c>
      <c r="H21" s="5" t="s">
        <v>182</v>
      </c>
      <c r="I21" s="5" t="s">
        <v>183</v>
      </c>
      <c r="J21" s="6" t="s">
        <v>201</v>
      </c>
      <c r="L21" s="5" t="s">
        <v>199</v>
      </c>
      <c r="M21" s="5">
        <v>83610.9453125</v>
      </c>
      <c r="N21" s="5">
        <v>0</v>
      </c>
      <c r="O21" s="5">
        <v>-79.686141967773395</v>
      </c>
      <c r="P21" s="5">
        <v>43.452468872070298</v>
      </c>
      <c r="Q21" s="6" t="s">
        <v>185</v>
      </c>
      <c r="R21" s="5" t="s">
        <v>186</v>
      </c>
      <c r="T21" s="5" t="s">
        <v>134</v>
      </c>
    </row>
    <row r="22" spans="1:22" x14ac:dyDescent="0.25">
      <c r="A22" s="6">
        <v>42691.659831979203</v>
      </c>
      <c r="B22" s="6" t="s">
        <v>202</v>
      </c>
      <c r="C22" s="5" t="s">
        <v>178</v>
      </c>
      <c r="D22" s="5" t="s">
        <v>179</v>
      </c>
      <c r="F22" s="5" t="s">
        <v>180</v>
      </c>
      <c r="G22" s="5" t="s">
        <v>181</v>
      </c>
      <c r="H22" s="5" t="s">
        <v>182</v>
      </c>
      <c r="I22" s="5" t="s">
        <v>183</v>
      </c>
      <c r="J22" s="6" t="s">
        <v>203</v>
      </c>
      <c r="L22" s="5" t="s">
        <v>199</v>
      </c>
      <c r="M22" s="5">
        <v>83610.9453125</v>
      </c>
      <c r="N22" s="5">
        <v>0</v>
      </c>
      <c r="O22" s="5">
        <v>-79.686141967773395</v>
      </c>
      <c r="P22" s="5">
        <v>43.452468872070298</v>
      </c>
      <c r="Q22" s="6" t="s">
        <v>185</v>
      </c>
      <c r="R22" s="5" t="s">
        <v>186</v>
      </c>
      <c r="T22" s="5" t="s">
        <v>134</v>
      </c>
    </row>
    <row r="23" spans="1:22" x14ac:dyDescent="0.25">
      <c r="A23" s="6">
        <v>42691.659861226901</v>
      </c>
      <c r="B23" s="6" t="s">
        <v>10</v>
      </c>
      <c r="C23" s="5" t="s">
        <v>178</v>
      </c>
      <c r="D23" s="5" t="s">
        <v>179</v>
      </c>
      <c r="F23" s="5" t="s">
        <v>180</v>
      </c>
      <c r="G23" s="5" t="s">
        <v>181</v>
      </c>
      <c r="H23" s="5" t="s">
        <v>182</v>
      </c>
      <c r="I23" s="5" t="s">
        <v>183</v>
      </c>
      <c r="J23" s="6" t="s">
        <v>204</v>
      </c>
      <c r="L23" s="5" t="s">
        <v>199</v>
      </c>
      <c r="M23" s="5">
        <v>83610.9453125</v>
      </c>
      <c r="N23" s="5">
        <v>0</v>
      </c>
      <c r="O23" s="5">
        <v>-79.686141967773395</v>
      </c>
      <c r="P23" s="5">
        <v>43.452468872070298</v>
      </c>
      <c r="Q23" s="6" t="s">
        <v>185</v>
      </c>
      <c r="R23" s="5" t="s">
        <v>186</v>
      </c>
      <c r="T23" s="5" t="s">
        <v>134</v>
      </c>
    </row>
    <row r="24" spans="1:22" x14ac:dyDescent="0.25">
      <c r="A24" s="6">
        <v>42691.662889120402</v>
      </c>
      <c r="B24" s="6" t="s">
        <v>205</v>
      </c>
      <c r="C24" s="5" t="s">
        <v>178</v>
      </c>
      <c r="D24" s="5" t="s">
        <v>179</v>
      </c>
      <c r="F24" s="5" t="s">
        <v>180</v>
      </c>
      <c r="G24" s="5" t="s">
        <v>181</v>
      </c>
      <c r="H24" s="5" t="s">
        <v>182</v>
      </c>
      <c r="I24" s="5" t="s">
        <v>183</v>
      </c>
      <c r="J24" s="6" t="s">
        <v>206</v>
      </c>
      <c r="L24" s="5" t="s">
        <v>199</v>
      </c>
      <c r="M24" s="5">
        <v>83610.9453125</v>
      </c>
      <c r="N24" s="5">
        <v>0</v>
      </c>
      <c r="O24" s="5">
        <v>-79.686141967773395</v>
      </c>
      <c r="P24" s="5">
        <v>43.452468872070298</v>
      </c>
      <c r="Q24" s="6" t="s">
        <v>185</v>
      </c>
      <c r="R24" s="5" t="s">
        <v>186</v>
      </c>
      <c r="S24" s="5" t="s">
        <v>207</v>
      </c>
      <c r="T24" s="5" t="s">
        <v>134</v>
      </c>
    </row>
    <row r="25" spans="1:22" x14ac:dyDescent="0.25">
      <c r="A25" s="6">
        <v>42691.663179479197</v>
      </c>
      <c r="B25" s="6" t="s">
        <v>202</v>
      </c>
      <c r="C25" s="5" t="s">
        <v>178</v>
      </c>
      <c r="D25" s="5" t="s">
        <v>179</v>
      </c>
      <c r="F25" s="5" t="s">
        <v>180</v>
      </c>
      <c r="G25" s="5" t="s">
        <v>181</v>
      </c>
      <c r="H25" s="5" t="s">
        <v>182</v>
      </c>
      <c r="I25" s="5" t="s">
        <v>183</v>
      </c>
      <c r="J25" s="6" t="s">
        <v>208</v>
      </c>
      <c r="L25" s="5" t="s">
        <v>199</v>
      </c>
      <c r="M25" s="5">
        <v>83610.9453125</v>
      </c>
      <c r="N25" s="5">
        <v>0</v>
      </c>
      <c r="O25" s="5">
        <v>-79.686141967773395</v>
      </c>
      <c r="P25" s="5">
        <v>43.452468872070298</v>
      </c>
      <c r="Q25" s="6" t="s">
        <v>185</v>
      </c>
      <c r="R25" s="5" t="s">
        <v>186</v>
      </c>
      <c r="T25" s="5" t="s">
        <v>134</v>
      </c>
      <c r="V25" s="6">
        <v>42695.540793981498</v>
      </c>
    </row>
    <row r="26" spans="1:22" x14ac:dyDescent="0.25">
      <c r="A26" s="6">
        <v>42691.663765937497</v>
      </c>
      <c r="B26" s="6" t="s">
        <v>193</v>
      </c>
      <c r="C26" s="5" t="s">
        <v>178</v>
      </c>
      <c r="D26" s="5" t="s">
        <v>179</v>
      </c>
      <c r="F26" s="5" t="s">
        <v>180</v>
      </c>
      <c r="G26" s="5" t="s">
        <v>181</v>
      </c>
      <c r="H26" s="5" t="s">
        <v>182</v>
      </c>
      <c r="I26" s="5" t="s">
        <v>183</v>
      </c>
      <c r="J26" s="6" t="s">
        <v>209</v>
      </c>
      <c r="L26" s="5" t="s">
        <v>199</v>
      </c>
      <c r="M26" s="5">
        <v>83610.9453125</v>
      </c>
      <c r="N26" s="5">
        <v>0</v>
      </c>
      <c r="O26" s="5">
        <v>-79.686141967773395</v>
      </c>
      <c r="P26" s="5">
        <v>43.452468872070298</v>
      </c>
      <c r="Q26" s="6" t="s">
        <v>185</v>
      </c>
      <c r="R26" s="5" t="s">
        <v>186</v>
      </c>
      <c r="S26" s="5" t="s">
        <v>210</v>
      </c>
      <c r="T26" s="5" t="s">
        <v>134</v>
      </c>
    </row>
    <row r="27" spans="1:22" x14ac:dyDescent="0.25">
      <c r="A27" s="6">
        <v>42691.663983796301</v>
      </c>
      <c r="B27" s="6" t="s">
        <v>10</v>
      </c>
      <c r="C27" s="5" t="s">
        <v>178</v>
      </c>
      <c r="D27" s="5" t="s">
        <v>179</v>
      </c>
      <c r="F27" s="5" t="s">
        <v>180</v>
      </c>
      <c r="G27" s="5" t="s">
        <v>181</v>
      </c>
      <c r="H27" s="5" t="s">
        <v>182</v>
      </c>
      <c r="I27" s="5" t="s">
        <v>183</v>
      </c>
      <c r="J27" s="6" t="s">
        <v>211</v>
      </c>
      <c r="L27" s="5" t="s">
        <v>199</v>
      </c>
      <c r="M27" s="5">
        <v>83610.9453125</v>
      </c>
      <c r="O27" s="5">
        <v>-79.686141967773395</v>
      </c>
      <c r="P27" s="5">
        <v>43.452468872070298</v>
      </c>
      <c r="Q27" s="6" t="s">
        <v>185</v>
      </c>
      <c r="R27" s="5" t="s">
        <v>186</v>
      </c>
      <c r="T27" s="5" t="s">
        <v>134</v>
      </c>
    </row>
    <row r="28" spans="1:22" ht="14.4" x14ac:dyDescent="0.3">
      <c r="A28" s="6">
        <v>42689.452660381903</v>
      </c>
      <c r="B28" s="6" t="s">
        <v>10</v>
      </c>
      <c r="C28" s="5" t="s">
        <v>178</v>
      </c>
      <c r="D28" s="5" t="s">
        <v>179</v>
      </c>
      <c r="F28" s="5" t="s">
        <v>180</v>
      </c>
      <c r="G28" s="9" t="s">
        <v>261</v>
      </c>
      <c r="H28" s="9" t="s">
        <v>262</v>
      </c>
      <c r="I28" s="5" t="s">
        <v>260</v>
      </c>
      <c r="J28" s="6" t="s">
        <v>212</v>
      </c>
      <c r="L28" s="5"/>
      <c r="M28" s="5">
        <v>83531.2421875</v>
      </c>
      <c r="N28" s="5">
        <v>0</v>
      </c>
      <c r="O28" s="5">
        <v>-79.712051391601605</v>
      </c>
      <c r="P28" s="5">
        <v>43.4371337890625</v>
      </c>
      <c r="Q28" s="6" t="s">
        <v>213</v>
      </c>
      <c r="R28" s="5" t="s">
        <v>186</v>
      </c>
      <c r="T28" s="5" t="s">
        <v>134</v>
      </c>
      <c r="U28" s="6">
        <v>42691.455704664397</v>
      </c>
    </row>
    <row r="29" spans="1:22" ht="14.4" x14ac:dyDescent="0.3">
      <c r="A29" s="6">
        <v>42689.458333333299</v>
      </c>
      <c r="B29" s="6" t="s">
        <v>9</v>
      </c>
      <c r="C29" s="5" t="s">
        <v>178</v>
      </c>
      <c r="D29" s="5" t="s">
        <v>179</v>
      </c>
      <c r="F29" s="5" t="s">
        <v>180</v>
      </c>
      <c r="G29" s="9" t="s">
        <v>261</v>
      </c>
      <c r="H29" s="9" t="s">
        <v>262</v>
      </c>
      <c r="I29" s="5" t="s">
        <v>260</v>
      </c>
      <c r="J29" s="6" t="s">
        <v>214</v>
      </c>
      <c r="L29" s="5"/>
      <c r="M29" s="5">
        <v>83531.2421875</v>
      </c>
      <c r="N29" s="5">
        <v>0</v>
      </c>
      <c r="O29" s="5">
        <v>-79.712051391601605</v>
      </c>
      <c r="P29" s="5">
        <v>43.4371337890625</v>
      </c>
      <c r="Q29" s="6" t="s">
        <v>213</v>
      </c>
      <c r="R29" s="5" t="s">
        <v>186</v>
      </c>
      <c r="T29" s="5" t="s">
        <v>197</v>
      </c>
      <c r="U29" s="6">
        <v>42691.455704629603</v>
      </c>
      <c r="V29" s="6">
        <v>42691.387055937499</v>
      </c>
    </row>
    <row r="30" spans="1:22" ht="14.4" x14ac:dyDescent="0.3">
      <c r="A30" s="6">
        <v>42689.5</v>
      </c>
      <c r="B30" s="6" t="s">
        <v>11</v>
      </c>
      <c r="C30" s="5" t="s">
        <v>178</v>
      </c>
      <c r="D30" s="5" t="s">
        <v>179</v>
      </c>
      <c r="F30" s="5" t="s">
        <v>180</v>
      </c>
      <c r="G30" s="9" t="s">
        <v>261</v>
      </c>
      <c r="H30" s="9" t="s">
        <v>262</v>
      </c>
      <c r="I30" s="5" t="s">
        <v>260</v>
      </c>
      <c r="J30" s="6" t="s">
        <v>215</v>
      </c>
      <c r="L30" s="5"/>
      <c r="M30" s="5">
        <v>83531.2421875</v>
      </c>
      <c r="N30" s="5">
        <v>3.4936652183532702</v>
      </c>
      <c r="O30" s="5">
        <v>-79.712051391601605</v>
      </c>
      <c r="P30" s="5">
        <v>43.4371337890625</v>
      </c>
      <c r="Q30" s="6" t="s">
        <v>213</v>
      </c>
      <c r="R30" s="5" t="s">
        <v>186</v>
      </c>
      <c r="T30" s="5" t="s">
        <v>197</v>
      </c>
      <c r="U30" s="6">
        <v>42691.389321064802</v>
      </c>
      <c r="V30" s="6">
        <v>42691.387462847197</v>
      </c>
    </row>
    <row r="31" spans="1:22" ht="14.4" x14ac:dyDescent="0.3">
      <c r="A31" s="6">
        <v>42689.791666666701</v>
      </c>
      <c r="B31" s="6" t="s">
        <v>9</v>
      </c>
      <c r="C31" s="5" t="s">
        <v>178</v>
      </c>
      <c r="D31" s="5" t="s">
        <v>179</v>
      </c>
      <c r="F31" s="5" t="s">
        <v>180</v>
      </c>
      <c r="G31" s="9" t="s">
        <v>261</v>
      </c>
      <c r="H31" s="9" t="s">
        <v>262</v>
      </c>
      <c r="I31" s="5" t="s">
        <v>260</v>
      </c>
      <c r="J31" s="6" t="s">
        <v>216</v>
      </c>
      <c r="L31" s="5"/>
      <c r="M31" s="5">
        <v>83534.734375</v>
      </c>
      <c r="N31" s="5">
        <v>22.456693649291999</v>
      </c>
      <c r="O31" s="5">
        <v>-79.684020996093807</v>
      </c>
      <c r="P31" s="5">
        <v>43.455051422119098</v>
      </c>
      <c r="Q31" s="6" t="s">
        <v>213</v>
      </c>
      <c r="R31" s="5" t="s">
        <v>186</v>
      </c>
      <c r="T31" s="5" t="s">
        <v>197</v>
      </c>
      <c r="U31" s="6">
        <v>42691.455900196801</v>
      </c>
      <c r="V31" s="6">
        <v>42691.3878618866</v>
      </c>
    </row>
    <row r="32" spans="1:22" ht="14.4" x14ac:dyDescent="0.3">
      <c r="A32" s="6">
        <v>42689.843055555597</v>
      </c>
      <c r="B32" s="6" t="s">
        <v>10</v>
      </c>
      <c r="C32" s="5" t="s">
        <v>178</v>
      </c>
      <c r="D32" s="5" t="s">
        <v>179</v>
      </c>
      <c r="F32" s="5" t="s">
        <v>180</v>
      </c>
      <c r="G32" s="9" t="s">
        <v>261</v>
      </c>
      <c r="H32" s="9" t="s">
        <v>262</v>
      </c>
      <c r="I32" s="5" t="s">
        <v>260</v>
      </c>
      <c r="J32" s="6" t="s">
        <v>217</v>
      </c>
      <c r="L32" s="5"/>
      <c r="M32" s="5">
        <v>83557.1953125</v>
      </c>
      <c r="N32" s="5">
        <v>39.9548530578613</v>
      </c>
      <c r="O32" s="5">
        <v>-79.967971801757798</v>
      </c>
      <c r="P32" s="5">
        <v>43.2691459655762</v>
      </c>
      <c r="Q32" s="6" t="s">
        <v>213</v>
      </c>
      <c r="R32" s="5" t="s">
        <v>188</v>
      </c>
      <c r="T32" s="5" t="s">
        <v>197</v>
      </c>
      <c r="U32" s="6">
        <v>42691.3891596065</v>
      </c>
      <c r="V32" s="6">
        <v>42691.388787847201</v>
      </c>
    </row>
    <row r="33" spans="1:21" ht="14.4" x14ac:dyDescent="0.3">
      <c r="A33" s="6">
        <v>42691.444031678198</v>
      </c>
      <c r="B33" s="6" t="s">
        <v>9</v>
      </c>
      <c r="C33" s="5" t="s">
        <v>178</v>
      </c>
      <c r="D33" s="5" t="s">
        <v>179</v>
      </c>
      <c r="F33" s="5" t="s">
        <v>180</v>
      </c>
      <c r="G33" s="9" t="s">
        <v>261</v>
      </c>
      <c r="H33" s="9" t="s">
        <v>262</v>
      </c>
      <c r="I33" s="5" t="s">
        <v>260</v>
      </c>
      <c r="J33" s="6" t="s">
        <v>218</v>
      </c>
      <c r="L33" s="5"/>
      <c r="M33" s="5">
        <v>83597.1484375</v>
      </c>
      <c r="N33" s="5">
        <v>7.56213283538818</v>
      </c>
      <c r="O33" s="5">
        <v>-79.797966003417997</v>
      </c>
      <c r="P33" s="5">
        <v>43.357208251953097</v>
      </c>
      <c r="Q33" s="6" t="s">
        <v>213</v>
      </c>
      <c r="R33" s="5" t="s">
        <v>219</v>
      </c>
      <c r="S33" s="5" t="s">
        <v>220</v>
      </c>
      <c r="T33" s="5" t="s">
        <v>134</v>
      </c>
      <c r="U33" s="6">
        <v>42691.455900196801</v>
      </c>
    </row>
    <row r="34" spans="1:21" ht="14.4" x14ac:dyDescent="0.3">
      <c r="A34" s="6">
        <v>42691.448628356498</v>
      </c>
      <c r="B34" s="6" t="s">
        <v>11</v>
      </c>
      <c r="C34" s="5" t="s">
        <v>178</v>
      </c>
      <c r="D34" s="5" t="s">
        <v>179</v>
      </c>
      <c r="F34" s="5" t="s">
        <v>180</v>
      </c>
      <c r="G34" s="9" t="s">
        <v>261</v>
      </c>
      <c r="H34" s="9" t="s">
        <v>262</v>
      </c>
      <c r="I34" s="5" t="s">
        <v>260</v>
      </c>
      <c r="J34" s="6" t="s">
        <v>221</v>
      </c>
      <c r="L34" s="5"/>
      <c r="M34" s="5">
        <v>83604.7109375</v>
      </c>
      <c r="N34" s="5">
        <v>2.9317712783813499</v>
      </c>
      <c r="O34" s="5">
        <v>-79.703857421875</v>
      </c>
      <c r="P34" s="5">
        <v>43.443019866943402</v>
      </c>
      <c r="Q34" s="6" t="s">
        <v>213</v>
      </c>
      <c r="R34" s="5" t="s">
        <v>186</v>
      </c>
      <c r="T34" s="5" t="s">
        <v>134</v>
      </c>
      <c r="U34" s="6">
        <v>42691.455900150497</v>
      </c>
    </row>
    <row r="35" spans="1:21" ht="14.4" x14ac:dyDescent="0.3">
      <c r="A35" s="6">
        <v>42691.460222650501</v>
      </c>
      <c r="B35" s="6" t="s">
        <v>9</v>
      </c>
      <c r="C35" s="5" t="s">
        <v>178</v>
      </c>
      <c r="D35" s="5" t="s">
        <v>179</v>
      </c>
      <c r="F35" s="5" t="s">
        <v>180</v>
      </c>
      <c r="G35" s="9" t="s">
        <v>261</v>
      </c>
      <c r="H35" s="9" t="s">
        <v>262</v>
      </c>
      <c r="I35" s="5" t="s">
        <v>260</v>
      </c>
      <c r="J35" s="6" t="s">
        <v>222</v>
      </c>
      <c r="L35" s="5" t="s">
        <v>199</v>
      </c>
      <c r="M35" s="5">
        <v>83607.640625</v>
      </c>
      <c r="N35" s="5">
        <v>3.3008592128753702</v>
      </c>
      <c r="O35" s="5">
        <v>-79.681510925292997</v>
      </c>
      <c r="P35" s="5">
        <v>43.457740783691399</v>
      </c>
      <c r="Q35" s="6" t="s">
        <v>213</v>
      </c>
      <c r="R35" s="5" t="s">
        <v>186</v>
      </c>
      <c r="T35" s="5" t="s">
        <v>134</v>
      </c>
    </row>
    <row r="36" spans="1:21" ht="14.4" x14ac:dyDescent="0.3">
      <c r="A36" s="6">
        <v>42691.520189664298</v>
      </c>
      <c r="B36" s="6" t="s">
        <v>10</v>
      </c>
      <c r="C36" s="5" t="s">
        <v>178</v>
      </c>
      <c r="D36" s="5" t="s">
        <v>179</v>
      </c>
      <c r="F36" s="5" t="s">
        <v>180</v>
      </c>
      <c r="G36" s="9" t="s">
        <v>261</v>
      </c>
      <c r="H36" s="9" t="s">
        <v>262</v>
      </c>
      <c r="I36" s="5" t="s">
        <v>260</v>
      </c>
      <c r="J36" s="6" t="s">
        <v>223</v>
      </c>
      <c r="L36" s="5" t="s">
        <v>199</v>
      </c>
      <c r="M36" s="5">
        <v>83610.9453125</v>
      </c>
      <c r="O36" s="5">
        <v>-79.686141967773395</v>
      </c>
      <c r="P36" s="5">
        <v>43.452468872070298</v>
      </c>
      <c r="Q36" s="6" t="s">
        <v>213</v>
      </c>
      <c r="R36" s="5" t="s">
        <v>186</v>
      </c>
      <c r="T36" s="5" t="s">
        <v>134</v>
      </c>
    </row>
    <row r="37" spans="1:21" ht="14.4" x14ac:dyDescent="0.3">
      <c r="A37" s="6">
        <v>42691.758766203697</v>
      </c>
      <c r="B37" s="6" t="s">
        <v>11</v>
      </c>
      <c r="C37" s="5" t="s">
        <v>224</v>
      </c>
      <c r="D37" s="5" t="s">
        <v>225</v>
      </c>
      <c r="F37" s="5" t="s">
        <v>226</v>
      </c>
      <c r="G37" s="9" t="s">
        <v>264</v>
      </c>
      <c r="H37" s="9" t="s">
        <v>182</v>
      </c>
      <c r="I37" s="5" t="s">
        <v>263</v>
      </c>
      <c r="J37" s="6" t="s">
        <v>227</v>
      </c>
      <c r="L37" s="5" t="s">
        <v>228</v>
      </c>
      <c r="M37" s="5">
        <v>845.99774169921898</v>
      </c>
      <c r="N37" s="5">
        <v>0.309875398874283</v>
      </c>
      <c r="O37" s="5">
        <v>-79.716300964355497</v>
      </c>
      <c r="P37" s="5">
        <v>43.717323303222699</v>
      </c>
      <c r="Q37" s="6" t="s">
        <v>229</v>
      </c>
      <c r="R37" s="5" t="s">
        <v>230</v>
      </c>
      <c r="T37" s="5" t="s">
        <v>135</v>
      </c>
    </row>
    <row r="38" spans="1:21" ht="14.4" x14ac:dyDescent="0.3">
      <c r="A38" s="6">
        <v>42691.760185266197</v>
      </c>
      <c r="B38" s="6" t="s">
        <v>9</v>
      </c>
      <c r="C38" s="5" t="s">
        <v>224</v>
      </c>
      <c r="D38" s="5" t="s">
        <v>225</v>
      </c>
      <c r="F38" s="5" t="s">
        <v>226</v>
      </c>
      <c r="G38" s="9" t="s">
        <v>264</v>
      </c>
      <c r="H38" s="9" t="s">
        <v>182</v>
      </c>
      <c r="I38" s="5" t="s">
        <v>263</v>
      </c>
      <c r="J38" s="6" t="s">
        <v>231</v>
      </c>
      <c r="L38" s="5" t="s">
        <v>228</v>
      </c>
      <c r="M38" s="5">
        <v>846.3076171875</v>
      </c>
      <c r="N38" s="5">
        <v>0</v>
      </c>
      <c r="O38" s="5">
        <v>-79.719474792480497</v>
      </c>
      <c r="P38" s="5">
        <v>43.717838287353501</v>
      </c>
      <c r="Q38" s="6" t="s">
        <v>229</v>
      </c>
      <c r="R38" s="5" t="s">
        <v>230</v>
      </c>
      <c r="T38" s="5" t="s">
        <v>135</v>
      </c>
    </row>
    <row r="39" spans="1:21" ht="14.4" x14ac:dyDescent="0.3">
      <c r="A39" s="6">
        <v>42691.796316354201</v>
      </c>
      <c r="B39" s="6" t="s">
        <v>11</v>
      </c>
      <c r="C39" s="5" t="s">
        <v>224</v>
      </c>
      <c r="D39" s="5" t="s">
        <v>225</v>
      </c>
      <c r="F39" s="5" t="s">
        <v>226</v>
      </c>
      <c r="G39" s="9" t="s">
        <v>264</v>
      </c>
      <c r="H39" s="9" t="s">
        <v>182</v>
      </c>
      <c r="I39" s="5" t="s">
        <v>263</v>
      </c>
      <c r="J39" s="6" t="s">
        <v>232</v>
      </c>
      <c r="L39" s="5" t="s">
        <v>228</v>
      </c>
      <c r="M39" s="5">
        <v>846.3076171875</v>
      </c>
      <c r="N39" s="5">
        <v>0</v>
      </c>
      <c r="O39" s="5">
        <v>-79.719451904296903</v>
      </c>
      <c r="P39" s="5">
        <v>43.717811584472699</v>
      </c>
      <c r="Q39" s="6" t="s">
        <v>229</v>
      </c>
      <c r="R39" s="5" t="s">
        <v>230</v>
      </c>
      <c r="T39" s="5" t="s">
        <v>135</v>
      </c>
    </row>
    <row r="40" spans="1:21" ht="14.4" x14ac:dyDescent="0.3">
      <c r="A40" s="6">
        <v>42691.797581168998</v>
      </c>
      <c r="B40" s="6" t="s">
        <v>9</v>
      </c>
      <c r="C40" s="5" t="s">
        <v>224</v>
      </c>
      <c r="D40" s="5" t="s">
        <v>225</v>
      </c>
      <c r="F40" s="5" t="s">
        <v>226</v>
      </c>
      <c r="G40" s="9" t="s">
        <v>264</v>
      </c>
      <c r="H40" s="9" t="s">
        <v>182</v>
      </c>
      <c r="I40" s="5" t="s">
        <v>263</v>
      </c>
      <c r="J40" s="6" t="s">
        <v>233</v>
      </c>
      <c r="L40" s="5" t="s">
        <v>228</v>
      </c>
      <c r="M40" s="5">
        <v>846.3076171875</v>
      </c>
      <c r="N40" s="5">
        <v>0</v>
      </c>
      <c r="O40" s="5">
        <v>-79.719451904296903</v>
      </c>
      <c r="P40" s="5">
        <v>43.717811584472699</v>
      </c>
      <c r="Q40" s="6" t="s">
        <v>229</v>
      </c>
      <c r="R40" s="5" t="s">
        <v>230</v>
      </c>
      <c r="T40" s="5" t="s">
        <v>135</v>
      </c>
    </row>
    <row r="41" spans="1:21" ht="14.4" x14ac:dyDescent="0.3">
      <c r="A41" s="6">
        <v>42691.802242361096</v>
      </c>
      <c r="B41" s="6" t="s">
        <v>11</v>
      </c>
      <c r="C41" s="5" t="s">
        <v>224</v>
      </c>
      <c r="D41" s="5" t="s">
        <v>225</v>
      </c>
      <c r="F41" s="5" t="s">
        <v>226</v>
      </c>
      <c r="G41" s="9" t="s">
        <v>264</v>
      </c>
      <c r="H41" s="9" t="s">
        <v>182</v>
      </c>
      <c r="I41" s="5" t="s">
        <v>263</v>
      </c>
      <c r="J41" s="6" t="s">
        <v>234</v>
      </c>
      <c r="L41" s="5" t="s">
        <v>228</v>
      </c>
      <c r="M41" s="5">
        <v>846.3076171875</v>
      </c>
      <c r="N41" s="5">
        <v>0</v>
      </c>
      <c r="O41" s="5">
        <v>-79.719451904296903</v>
      </c>
      <c r="P41" s="5">
        <v>43.717811584472699</v>
      </c>
      <c r="Q41" s="6" t="s">
        <v>229</v>
      </c>
      <c r="R41" s="5" t="s">
        <v>230</v>
      </c>
      <c r="T41" s="5" t="s">
        <v>135</v>
      </c>
    </row>
    <row r="42" spans="1:21" ht="14.4" x14ac:dyDescent="0.3">
      <c r="A42" s="6">
        <v>42691.802384340299</v>
      </c>
      <c r="B42" s="6" t="s">
        <v>9</v>
      </c>
      <c r="C42" s="5" t="s">
        <v>224</v>
      </c>
      <c r="D42" s="5" t="s">
        <v>225</v>
      </c>
      <c r="F42" s="5" t="s">
        <v>226</v>
      </c>
      <c r="G42" s="9" t="s">
        <v>264</v>
      </c>
      <c r="H42" s="9" t="s">
        <v>182</v>
      </c>
      <c r="I42" s="5" t="s">
        <v>263</v>
      </c>
      <c r="J42" s="6" t="s">
        <v>235</v>
      </c>
      <c r="L42" s="5" t="s">
        <v>228</v>
      </c>
      <c r="M42" s="5">
        <v>846.3076171875</v>
      </c>
      <c r="N42" s="5">
        <v>0.19134479761123699</v>
      </c>
      <c r="O42" s="5">
        <v>-79.719451904296903</v>
      </c>
      <c r="P42" s="5">
        <v>43.717811584472699</v>
      </c>
      <c r="Q42" s="6" t="s">
        <v>229</v>
      </c>
      <c r="R42" s="5" t="s">
        <v>230</v>
      </c>
      <c r="T42" s="5" t="s">
        <v>135</v>
      </c>
    </row>
    <row r="43" spans="1:21" ht="14.4" x14ac:dyDescent="0.3">
      <c r="A43" s="6">
        <v>42691.812253738397</v>
      </c>
      <c r="B43" s="6" t="s">
        <v>11</v>
      </c>
      <c r="C43" s="5" t="s">
        <v>224</v>
      </c>
      <c r="D43" s="5" t="s">
        <v>225</v>
      </c>
      <c r="F43" s="5" t="s">
        <v>226</v>
      </c>
      <c r="G43" s="9" t="s">
        <v>264</v>
      </c>
      <c r="H43" s="9" t="s">
        <v>182</v>
      </c>
      <c r="I43" s="5" t="s">
        <v>263</v>
      </c>
      <c r="J43" s="6" t="s">
        <v>236</v>
      </c>
      <c r="L43" s="5" t="s">
        <v>228</v>
      </c>
      <c r="M43" s="5">
        <v>846.49896240234398</v>
      </c>
      <c r="N43" s="5">
        <v>5.4009962081909197</v>
      </c>
      <c r="O43" s="5">
        <v>-79.717658996582003</v>
      </c>
      <c r="P43" s="5">
        <v>43.717376708984403</v>
      </c>
      <c r="Q43" s="6" t="s">
        <v>229</v>
      </c>
      <c r="R43" s="5" t="s">
        <v>230</v>
      </c>
      <c r="T43" s="5" t="s">
        <v>135</v>
      </c>
    </row>
    <row r="44" spans="1:21" ht="14.4" x14ac:dyDescent="0.3">
      <c r="A44" s="6">
        <v>42691.8228243056</v>
      </c>
      <c r="B44" s="6" t="s">
        <v>9</v>
      </c>
      <c r="C44" s="5" t="s">
        <v>224</v>
      </c>
      <c r="D44" s="5" t="s">
        <v>225</v>
      </c>
      <c r="F44" s="5" t="s">
        <v>226</v>
      </c>
      <c r="G44" s="9" t="s">
        <v>264</v>
      </c>
      <c r="H44" s="9" t="s">
        <v>182</v>
      </c>
      <c r="I44" s="5" t="s">
        <v>263</v>
      </c>
      <c r="J44" s="6" t="s">
        <v>237</v>
      </c>
      <c r="L44" s="5" t="s">
        <v>228</v>
      </c>
      <c r="M44" s="5">
        <v>851.89996337890602</v>
      </c>
      <c r="N44" s="5">
        <v>7.6578408479690593E-2</v>
      </c>
      <c r="O44" s="5">
        <v>-79.783805847167997</v>
      </c>
      <c r="P44" s="5">
        <v>43.730766296386697</v>
      </c>
      <c r="Q44" s="6" t="s">
        <v>229</v>
      </c>
      <c r="R44" s="5" t="s">
        <v>230</v>
      </c>
      <c r="T44" s="5" t="s">
        <v>135</v>
      </c>
    </row>
    <row r="45" spans="1:21" ht="14.4" x14ac:dyDescent="0.3">
      <c r="A45" s="6">
        <v>42691.8524372338</v>
      </c>
      <c r="B45" s="6" t="s">
        <v>11</v>
      </c>
      <c r="C45" s="5" t="s">
        <v>224</v>
      </c>
      <c r="D45" s="5" t="s">
        <v>225</v>
      </c>
      <c r="F45" s="5" t="s">
        <v>226</v>
      </c>
      <c r="G45" s="9" t="s">
        <v>264</v>
      </c>
      <c r="H45" s="9" t="s">
        <v>182</v>
      </c>
      <c r="I45" s="5" t="s">
        <v>263</v>
      </c>
      <c r="J45" s="6" t="s">
        <v>238</v>
      </c>
      <c r="L45" s="5" t="s">
        <v>228</v>
      </c>
      <c r="M45" s="5">
        <v>851.97650146484398</v>
      </c>
      <c r="N45" s="5">
        <v>14.836331367492701</v>
      </c>
      <c r="O45" s="5">
        <v>-79.784011840820298</v>
      </c>
      <c r="P45" s="5">
        <v>43.730842590332003</v>
      </c>
      <c r="Q45" s="6" t="s">
        <v>229</v>
      </c>
      <c r="R45" s="5" t="s">
        <v>230</v>
      </c>
      <c r="T45" s="5" t="s">
        <v>135</v>
      </c>
    </row>
    <row r="46" spans="1:21" ht="14.4" x14ac:dyDescent="0.3">
      <c r="A46" s="6">
        <v>42691.8732640046</v>
      </c>
      <c r="B46" s="6" t="s">
        <v>9</v>
      </c>
      <c r="C46" s="5" t="s">
        <v>224</v>
      </c>
      <c r="D46" s="5" t="s">
        <v>225</v>
      </c>
      <c r="F46" s="5" t="s">
        <v>226</v>
      </c>
      <c r="G46" s="9" t="s">
        <v>264</v>
      </c>
      <c r="H46" s="9" t="s">
        <v>182</v>
      </c>
      <c r="I46" s="5" t="s">
        <v>263</v>
      </c>
      <c r="J46" s="6" t="s">
        <v>239</v>
      </c>
      <c r="L46" s="5" t="s">
        <v>228</v>
      </c>
      <c r="M46" s="5">
        <v>866.81286621093795</v>
      </c>
      <c r="O46" s="5">
        <v>-79.869873046875</v>
      </c>
      <c r="P46" s="5">
        <v>43.869415283203097</v>
      </c>
      <c r="Q46" s="6" t="s">
        <v>229</v>
      </c>
      <c r="R46" s="5" t="s">
        <v>240</v>
      </c>
      <c r="T46" s="5" t="s">
        <v>135</v>
      </c>
    </row>
  </sheetData>
  <pageMargins left="0.7" right="0.7" top="0.75" bottom="0.75" header="0.3" footer="0.3"/>
  <pageSetup fitToHeight="10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3"/>
  <sheetViews>
    <sheetView showGridLines="0" tabSelected="1" workbookViewId="0">
      <pane ySplit="11" topLeftCell="A12" activePane="bottomLeft" state="frozen"/>
      <selection pane="bottomLeft" activeCell="J20" sqref="J20"/>
    </sheetView>
  </sheetViews>
  <sheetFormatPr defaultRowHeight="13.2" x14ac:dyDescent="0.25"/>
  <cols>
    <col min="1" max="1" width="25.5546875" customWidth="1"/>
    <col min="2" max="2" width="11.21875" customWidth="1"/>
    <col min="3" max="3" width="4.77734375" customWidth="1"/>
    <col min="4" max="5" width="5" customWidth="1"/>
    <col min="6" max="6" width="5.33203125" customWidth="1"/>
    <col min="7" max="7" width="22.109375" customWidth="1"/>
    <col min="8" max="8" width="15.5546875" customWidth="1"/>
    <col min="9" max="9" width="49.44140625" customWidth="1"/>
    <col min="10" max="10" width="15.44140625" customWidth="1"/>
    <col min="11" max="11" width="23" customWidth="1"/>
    <col min="12" max="12" width="21" customWidth="1"/>
    <col min="13" max="13" width="20.5546875" customWidth="1"/>
  </cols>
  <sheetData>
    <row r="1" spans="1:5" s="29" customFormat="1" ht="23.4" x14ac:dyDescent="0.45">
      <c r="A1" s="31" t="str">
        <f>Data!B1</f>
        <v>Fleet Name</v>
      </c>
    </row>
    <row r="2" spans="1:5" s="29" customFormat="1" ht="23.4" x14ac:dyDescent="0.45">
      <c r="A2" s="30" t="s">
        <v>259</v>
      </c>
    </row>
    <row r="3" spans="1:5" ht="18" x14ac:dyDescent="0.35">
      <c r="A3" s="27"/>
    </row>
    <row r="4" spans="1:5" ht="14.4" x14ac:dyDescent="0.3">
      <c r="A4" s="3"/>
    </row>
    <row r="5" spans="1:5" ht="19.2" x14ac:dyDescent="0.45">
      <c r="A5" s="18" t="s">
        <v>242</v>
      </c>
      <c r="B5" s="32">
        <f>Data!B2</f>
        <v>42695.919464108803</v>
      </c>
      <c r="C5" s="32"/>
      <c r="D5" s="32"/>
    </row>
    <row r="6" spans="1:5" ht="19.2" x14ac:dyDescent="0.45">
      <c r="A6" s="18" t="s">
        <v>243</v>
      </c>
      <c r="B6" s="32">
        <f>Data!B3</f>
        <v>42688.919429212998</v>
      </c>
      <c r="C6" s="32"/>
      <c r="D6" s="32"/>
    </row>
    <row r="7" spans="1:5" ht="19.2" x14ac:dyDescent="0.45">
      <c r="A7" s="18" t="s">
        <v>244</v>
      </c>
      <c r="B7" s="32">
        <f>Data!B4</f>
        <v>42695.919429212998</v>
      </c>
      <c r="C7" s="32"/>
      <c r="D7" s="32"/>
    </row>
    <row r="8" spans="1:5" ht="14.4" hidden="1" x14ac:dyDescent="0.3">
      <c r="A8" s="7" t="s">
        <v>257</v>
      </c>
      <c r="B8" s="25">
        <v>1</v>
      </c>
      <c r="C8" s="23"/>
      <c r="D8" s="23"/>
    </row>
    <row r="10" spans="1:5" s="20" customFormat="1" x14ac:dyDescent="0.25">
      <c r="A10" s="26" t="s">
        <v>258</v>
      </c>
      <c r="D10"/>
      <c r="E10"/>
    </row>
    <row r="11" spans="1:5" s="20" customFormat="1" x14ac:dyDescent="0.25">
      <c r="A11" s="7" t="s">
        <v>246</v>
      </c>
      <c r="B11" s="7" t="s">
        <v>266</v>
      </c>
      <c r="C11" t="s">
        <v>13</v>
      </c>
      <c r="D11"/>
      <c r="E11"/>
    </row>
    <row r="12" spans="1:5" x14ac:dyDescent="0.25">
      <c r="A12" t="s">
        <v>183</v>
      </c>
      <c r="B12" t="s">
        <v>267</v>
      </c>
      <c r="C12" s="2">
        <v>2</v>
      </c>
    </row>
    <row r="13" spans="1:5" x14ac:dyDescent="0.25">
      <c r="A13" t="s">
        <v>0</v>
      </c>
      <c r="C13" s="2">
        <v>2</v>
      </c>
    </row>
  </sheetData>
  <mergeCells count="3">
    <mergeCell ref="B5:D5"/>
    <mergeCell ref="B6:D6"/>
    <mergeCell ref="B7:D7"/>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44"/>
  <sheetViews>
    <sheetView showGridLines="0" workbookViewId="0">
      <pane ySplit="8" topLeftCell="A31" activePane="bottomLeft" state="frozen"/>
      <selection pane="bottomLeft" activeCell="D9" sqref="D9:D44"/>
    </sheetView>
  </sheetViews>
  <sheetFormatPr defaultRowHeight="13.2" x14ac:dyDescent="0.25"/>
  <cols>
    <col min="1" max="1" width="29.88671875" customWidth="1"/>
    <col min="2" max="3" width="25.5546875" style="1" customWidth="1"/>
    <col min="4" max="4" width="25.5546875" style="28" customWidth="1"/>
    <col min="5" max="5" width="25.5546875" style="1" customWidth="1"/>
    <col min="6" max="6" width="18.44140625" style="1" customWidth="1"/>
    <col min="7" max="7" width="18.44140625" style="24" customWidth="1"/>
    <col min="8" max="8" width="24.88671875" style="1" customWidth="1"/>
    <col min="9" max="9" width="51.109375" style="1" hidden="1" customWidth="1"/>
    <col min="10" max="10" width="43.44140625" style="1" customWidth="1"/>
    <col min="11" max="11" width="18.44140625" style="1" customWidth="1"/>
    <col min="12" max="12" width="19.5546875" style="1" customWidth="1"/>
    <col min="13" max="13" width="46.44140625" style="1" customWidth="1"/>
    <col min="14" max="14" width="19" style="1" customWidth="1"/>
    <col min="15" max="16" width="18.5546875" style="1" customWidth="1"/>
    <col min="17" max="17" width="31.109375" style="1" customWidth="1"/>
    <col min="18" max="18" width="27.5546875" customWidth="1"/>
    <col min="19" max="19" width="13.44140625" customWidth="1"/>
    <col min="20" max="20" width="13.109375" bestFit="1" customWidth="1"/>
    <col min="21" max="21" width="13.44140625" bestFit="1" customWidth="1"/>
    <col min="22" max="22" width="13.109375" bestFit="1" customWidth="1"/>
    <col min="23" max="23" width="13.44140625" bestFit="1" customWidth="1"/>
    <col min="24" max="24" width="13.109375" bestFit="1" customWidth="1"/>
    <col min="25" max="25" width="13.44140625" bestFit="1" customWidth="1"/>
    <col min="26" max="26" width="13.109375" bestFit="1" customWidth="1"/>
    <col min="27" max="27" width="13.44140625" bestFit="1" customWidth="1"/>
    <col min="28" max="28" width="13.109375" bestFit="1" customWidth="1"/>
  </cols>
  <sheetData>
    <row r="1" spans="1:18" s="10" customFormat="1" ht="23.4" x14ac:dyDescent="0.45">
      <c r="A1" s="10" t="s">
        <v>241</v>
      </c>
    </row>
    <row r="2" spans="1:18" x14ac:dyDescent="0.25">
      <c r="B2"/>
      <c r="C2"/>
      <c r="D2"/>
      <c r="E2"/>
      <c r="F2"/>
      <c r="G2"/>
      <c r="H2"/>
      <c r="I2"/>
      <c r="J2"/>
      <c r="K2"/>
      <c r="L2"/>
      <c r="M2"/>
      <c r="N2"/>
      <c r="O2"/>
      <c r="P2"/>
      <c r="Q2"/>
    </row>
    <row r="3" spans="1:18" ht="19.2" x14ac:dyDescent="0.45">
      <c r="A3" s="18" t="s">
        <v>242</v>
      </c>
      <c r="B3" s="32">
        <f>Data!B2</f>
        <v>42695.919464108803</v>
      </c>
      <c r="C3" s="32"/>
      <c r="D3" s="32"/>
      <c r="E3" s="32"/>
      <c r="F3"/>
      <c r="G3"/>
      <c r="H3"/>
      <c r="I3"/>
      <c r="J3"/>
      <c r="K3"/>
      <c r="L3"/>
      <c r="M3"/>
      <c r="N3"/>
      <c r="O3"/>
      <c r="P3"/>
      <c r="Q3"/>
    </row>
    <row r="4" spans="1:18" ht="19.2" x14ac:dyDescent="0.45">
      <c r="A4" s="18" t="s">
        <v>243</v>
      </c>
      <c r="B4" s="32">
        <f>Data!B3</f>
        <v>42688.919429212998</v>
      </c>
      <c r="C4" s="32"/>
      <c r="D4" s="32"/>
      <c r="E4" s="32"/>
      <c r="I4" s="12"/>
      <c r="J4" s="12"/>
      <c r="K4" s="12"/>
      <c r="L4" s="12"/>
      <c r="M4" s="12"/>
      <c r="N4" s="12"/>
      <c r="O4" s="12"/>
      <c r="P4" s="21"/>
      <c r="Q4" s="12"/>
    </row>
    <row r="5" spans="1:18" ht="19.2" x14ac:dyDescent="0.45">
      <c r="A5" s="18" t="s">
        <v>244</v>
      </c>
      <c r="B5" s="32">
        <f>Data!B4</f>
        <v>42695.919429212998</v>
      </c>
      <c r="C5" s="32"/>
      <c r="D5" s="32"/>
      <c r="E5" s="32"/>
      <c r="F5" s="9"/>
      <c r="G5" s="9"/>
      <c r="H5" s="9"/>
      <c r="I5" s="9"/>
      <c r="J5" s="9"/>
      <c r="K5" s="9"/>
      <c r="L5" s="9"/>
      <c r="M5" s="9"/>
      <c r="N5" s="9"/>
      <c r="O5" s="9"/>
      <c r="P5" s="9"/>
      <c r="Q5" s="9"/>
    </row>
    <row r="6" spans="1:18" ht="19.2" x14ac:dyDescent="0.45">
      <c r="A6" s="18" t="s">
        <v>245</v>
      </c>
      <c r="B6" s="32" t="str">
        <f>Data!B5</f>
        <v>miles</v>
      </c>
      <c r="C6" s="32"/>
      <c r="D6" s="32"/>
      <c r="E6" s="32"/>
      <c r="F6" s="9"/>
      <c r="G6" s="9"/>
      <c r="H6" s="9"/>
      <c r="I6" s="9"/>
      <c r="J6" s="9"/>
      <c r="K6" s="9"/>
      <c r="L6" s="9"/>
      <c r="M6" s="9"/>
      <c r="N6" s="9"/>
      <c r="O6" s="9"/>
      <c r="P6" s="9"/>
      <c r="Q6" s="9"/>
    </row>
    <row r="7" spans="1:18" x14ac:dyDescent="0.25">
      <c r="B7" s="33"/>
      <c r="C7" s="33"/>
      <c r="D7" s="33"/>
      <c r="E7" s="33"/>
    </row>
    <row r="8" spans="1:18" s="11" customFormat="1" ht="19.2" x14ac:dyDescent="0.45">
      <c r="A8" s="19" t="s">
        <v>246</v>
      </c>
      <c r="B8" s="19" t="s">
        <v>247</v>
      </c>
      <c r="C8" s="19" t="s">
        <v>248</v>
      </c>
      <c r="D8" s="19" t="s">
        <v>266</v>
      </c>
      <c r="E8" s="19" t="s">
        <v>56</v>
      </c>
      <c r="F8" s="19" t="s">
        <v>12</v>
      </c>
      <c r="G8" s="19" t="s">
        <v>257</v>
      </c>
      <c r="H8" s="19" t="s">
        <v>249</v>
      </c>
      <c r="I8" s="19" t="s">
        <v>250</v>
      </c>
      <c r="J8" s="19" t="s">
        <v>251</v>
      </c>
      <c r="K8" s="19" t="s">
        <v>14</v>
      </c>
      <c r="L8" s="19" t="s">
        <v>15</v>
      </c>
      <c r="M8" s="19" t="s">
        <v>252</v>
      </c>
      <c r="N8" s="19" t="s">
        <v>253</v>
      </c>
      <c r="O8" s="19" t="s">
        <v>16</v>
      </c>
      <c r="P8" s="19" t="s">
        <v>254</v>
      </c>
      <c r="Q8" s="19" t="s">
        <v>255</v>
      </c>
      <c r="R8" s="19" t="s">
        <v>256</v>
      </c>
    </row>
    <row r="9" spans="1:18" ht="14.4" x14ac:dyDescent="0.3">
      <c r="A9" s="9" t="str">
        <f>Data!I11</f>
        <v>johnsmith</v>
      </c>
      <c r="B9" s="9" t="str">
        <f>Data!G11</f>
        <v>John</v>
      </c>
      <c r="C9" s="9" t="str">
        <f>Data!H11</f>
        <v>Smith</v>
      </c>
      <c r="D9" s="9" t="str">
        <f>B9 &amp; " " &amp; C9</f>
        <v>John Smith</v>
      </c>
      <c r="E9" s="14">
        <f>Data!A11</f>
        <v>42689.441916747703</v>
      </c>
      <c r="F9" s="13" t="str">
        <f>Data!B11</f>
        <v>OFF</v>
      </c>
      <c r="G9" s="13">
        <f>IF(AND(F9="OFF",F10="D",A9=A10),1,0)</f>
        <v>1</v>
      </c>
      <c r="H9" s="13" t="str">
        <f>Data!C11</f>
        <v>Dispatch - 1 CC</v>
      </c>
      <c r="I9" s="13">
        <f>Data!K11</f>
        <v>0</v>
      </c>
      <c r="J9" s="13">
        <f>Data!L11</f>
        <v>0</v>
      </c>
      <c r="K9" s="16">
        <f>Data!O11</f>
        <v>-79.712051391601605</v>
      </c>
      <c r="L9" s="16">
        <f>Data!P11</f>
        <v>43.4371337890625</v>
      </c>
      <c r="M9" s="13" t="str">
        <f>Data!R11</f>
        <v>ON Oakville</v>
      </c>
      <c r="N9" s="17">
        <f>Data!M11</f>
        <v>83531.2421875</v>
      </c>
      <c r="O9" s="13">
        <f>Data!N11</f>
        <v>25.950359344482401</v>
      </c>
      <c r="P9" s="14" t="str">
        <f>IF(Data!T11=0,"",Data!T11)</f>
        <v>Manual</v>
      </c>
      <c r="Q9" s="14">
        <f>IF(Data!U11=0,"",Data!U11)</f>
        <v>42691.514903044001</v>
      </c>
      <c r="R9" s="14" t="str">
        <f>IF(Data!V11=0,"",Data!V11)</f>
        <v/>
      </c>
    </row>
    <row r="10" spans="1:18" ht="14.4" x14ac:dyDescent="0.3">
      <c r="A10" s="9" t="str">
        <f>Data!I12</f>
        <v>johnsmith</v>
      </c>
      <c r="B10" s="9" t="str">
        <f>Data!G12</f>
        <v>John</v>
      </c>
      <c r="C10" s="9" t="str">
        <f>Data!H12</f>
        <v>Smith</v>
      </c>
      <c r="D10" s="9" t="str">
        <f t="shared" ref="D10:D44" si="0">B10 &amp; " " &amp; C10</f>
        <v>John Smith</v>
      </c>
      <c r="E10" s="14">
        <f>Data!A12</f>
        <v>42690.193276192098</v>
      </c>
      <c r="F10" s="13" t="str">
        <f>Data!B12</f>
        <v>D</v>
      </c>
      <c r="G10" s="13">
        <f t="shared" ref="G10:G44" si="1">IF(AND(F10="OFF",F11="D",A10=A11),1,0)</f>
        <v>0</v>
      </c>
      <c r="H10" s="13" t="str">
        <f>Data!C12</f>
        <v>Dispatch - 1 CC</v>
      </c>
      <c r="I10" s="13">
        <f>Data!K12</f>
        <v>0</v>
      </c>
      <c r="J10" s="13">
        <f>Data!L12</f>
        <v>0</v>
      </c>
      <c r="K10" s="16">
        <f>Data!O12</f>
        <v>-79.967971801757798</v>
      </c>
      <c r="L10" s="16">
        <f>Data!P12</f>
        <v>43.2691459655762</v>
      </c>
      <c r="M10" s="13" t="str">
        <f>Data!R12</f>
        <v>3mi NNE ON Ancaster</v>
      </c>
      <c r="N10" s="17">
        <f>Data!M12</f>
        <v>83557.1953125</v>
      </c>
      <c r="O10" s="13">
        <f>Data!N12</f>
        <v>1.49708297103643E-2</v>
      </c>
      <c r="P10" s="14" t="str">
        <f>IF(Data!T12=0,"",Data!T12)</f>
        <v/>
      </c>
      <c r="Q10" s="14">
        <f>IF(Data!U12=0,"",Data!U12)</f>
        <v>42691.514902974501</v>
      </c>
      <c r="R10" s="14" t="str">
        <f>IF(Data!V12=0,"",Data!V12)</f>
        <v/>
      </c>
    </row>
    <row r="11" spans="1:18" ht="14.4" x14ac:dyDescent="0.3">
      <c r="A11" s="9" t="str">
        <f>Data!I13</f>
        <v>johnsmith</v>
      </c>
      <c r="B11" s="9" t="str">
        <f>Data!G13</f>
        <v>John</v>
      </c>
      <c r="C11" s="9" t="str">
        <f>Data!H13</f>
        <v>Smith</v>
      </c>
      <c r="D11" s="9" t="str">
        <f t="shared" si="0"/>
        <v>John Smith</v>
      </c>
      <c r="E11" s="14">
        <f>Data!A13</f>
        <v>42690.195567129602</v>
      </c>
      <c r="F11" s="13" t="str">
        <f>Data!B13</f>
        <v>ON</v>
      </c>
      <c r="G11" s="13">
        <f t="shared" si="1"/>
        <v>0</v>
      </c>
      <c r="H11" s="13" t="str">
        <f>Data!C13</f>
        <v>Dispatch - 1 CC</v>
      </c>
      <c r="I11" s="13">
        <f>Data!K13</f>
        <v>0</v>
      </c>
      <c r="J11" s="13">
        <f>Data!L13</f>
        <v>0</v>
      </c>
      <c r="K11" s="16">
        <f>Data!O13</f>
        <v>-79.967971801757798</v>
      </c>
      <c r="L11" s="16">
        <f>Data!P13</f>
        <v>43.269119262695298</v>
      </c>
      <c r="M11" s="13" t="str">
        <f>Data!R13</f>
        <v>3mi NNE ON Ancaster</v>
      </c>
      <c r="N11" s="17">
        <f>Data!M13</f>
        <v>83557.2109375</v>
      </c>
      <c r="O11" s="13">
        <f>Data!N13</f>
        <v>0</v>
      </c>
      <c r="P11" s="14" t="str">
        <f>IF(Data!T13=0,"",Data!T13)</f>
        <v/>
      </c>
      <c r="Q11" s="14">
        <f>IF(Data!U13=0,"",Data!U13)</f>
        <v>42691.514902928197</v>
      </c>
      <c r="R11" s="14" t="str">
        <f>IF(Data!V13=0,"",Data!V13)</f>
        <v/>
      </c>
    </row>
    <row r="12" spans="1:18" ht="14.4" x14ac:dyDescent="0.3">
      <c r="A12" s="9" t="str">
        <f>Data!I14</f>
        <v>johnsmith</v>
      </c>
      <c r="B12" s="9" t="str">
        <f>Data!G14</f>
        <v>John</v>
      </c>
      <c r="C12" s="9" t="str">
        <f>Data!H14</f>
        <v>Smith</v>
      </c>
      <c r="D12" s="9" t="str">
        <f t="shared" si="0"/>
        <v>John Smith</v>
      </c>
      <c r="E12" s="14">
        <f>Data!A14</f>
        <v>42690.197881944398</v>
      </c>
      <c r="F12" s="13" t="str">
        <f>Data!B14</f>
        <v>D</v>
      </c>
      <c r="G12" s="13">
        <f t="shared" si="1"/>
        <v>0</v>
      </c>
      <c r="H12" s="13" t="str">
        <f>Data!C14</f>
        <v>Dispatch - 1 CC</v>
      </c>
      <c r="I12" s="13">
        <f>Data!K14</f>
        <v>0</v>
      </c>
      <c r="J12" s="13">
        <f>Data!L14</f>
        <v>0</v>
      </c>
      <c r="K12" s="16">
        <f>Data!O14</f>
        <v>-79.968002319335895</v>
      </c>
      <c r="L12" s="16">
        <f>Data!P14</f>
        <v>43.2691459655762</v>
      </c>
      <c r="M12" s="13" t="str">
        <f>Data!R14</f>
        <v>3mi NNE ON Ancaster</v>
      </c>
      <c r="N12" s="17">
        <f>Data!M14</f>
        <v>83557.2109375</v>
      </c>
      <c r="O12" s="13">
        <f>Data!N14</f>
        <v>13.9606170654297</v>
      </c>
      <c r="P12" s="14" t="str">
        <f>IF(Data!T14=0,"",Data!T14)</f>
        <v/>
      </c>
      <c r="Q12" s="14">
        <f>IF(Data!U14=0,"",Data!U14)</f>
        <v>42691.514902858798</v>
      </c>
      <c r="R12" s="14" t="str">
        <f>IF(Data!V14=0,"",Data!V14)</f>
        <v/>
      </c>
    </row>
    <row r="13" spans="1:18" ht="14.4" x14ac:dyDescent="0.3">
      <c r="A13" s="9" t="str">
        <f>Data!I15</f>
        <v>johnsmith</v>
      </c>
      <c r="B13" s="9" t="str">
        <f>Data!G15</f>
        <v>John</v>
      </c>
      <c r="C13" s="9" t="str">
        <f>Data!H15</f>
        <v>Smith</v>
      </c>
      <c r="D13" s="9" t="str">
        <f t="shared" si="0"/>
        <v>John Smith</v>
      </c>
      <c r="E13" s="14">
        <f>Data!A15</f>
        <v>42690.212395833303</v>
      </c>
      <c r="F13" s="13" t="str">
        <f>Data!B15</f>
        <v>ON</v>
      </c>
      <c r="G13" s="13">
        <f t="shared" si="1"/>
        <v>0</v>
      </c>
      <c r="H13" s="13" t="str">
        <f>Data!C15</f>
        <v>Dispatch - 1 CC</v>
      </c>
      <c r="I13" s="13">
        <f>Data!K15</f>
        <v>0</v>
      </c>
      <c r="J13" s="13">
        <f>Data!L15</f>
        <v>0</v>
      </c>
      <c r="K13" s="16">
        <f>Data!O15</f>
        <v>-79.877784729003906</v>
      </c>
      <c r="L13" s="16">
        <f>Data!P15</f>
        <v>43.197669982910199</v>
      </c>
      <c r="M13" s="13" t="str">
        <f>Data!R15</f>
        <v>ON Hamilton</v>
      </c>
      <c r="N13" s="17">
        <f>Data!M15</f>
        <v>83571.171875</v>
      </c>
      <c r="O13" s="13">
        <f>Data!N15</f>
        <v>0</v>
      </c>
      <c r="P13" s="14" t="str">
        <f>IF(Data!T15=0,"",Data!T15)</f>
        <v/>
      </c>
      <c r="Q13" s="14">
        <f>IF(Data!U15=0,"",Data!U15)</f>
        <v>42691.514902777802</v>
      </c>
      <c r="R13" s="14" t="str">
        <f>IF(Data!V15=0,"",Data!V15)</f>
        <v/>
      </c>
    </row>
    <row r="14" spans="1:18" ht="14.4" x14ac:dyDescent="0.3">
      <c r="A14" s="9" t="str">
        <f>Data!I16</f>
        <v>johnsmith</v>
      </c>
      <c r="B14" s="9" t="str">
        <f>Data!G16</f>
        <v>John</v>
      </c>
      <c r="C14" s="9" t="str">
        <f>Data!H16</f>
        <v>Smith</v>
      </c>
      <c r="D14" s="9" t="str">
        <f t="shared" si="0"/>
        <v>John Smith</v>
      </c>
      <c r="E14" s="14">
        <f>Data!A16</f>
        <v>42690.568970636603</v>
      </c>
      <c r="F14" s="13" t="str">
        <f>Data!B16</f>
        <v>PC</v>
      </c>
      <c r="G14" s="13">
        <f t="shared" si="1"/>
        <v>0</v>
      </c>
      <c r="H14" s="13" t="str">
        <f>Data!C16</f>
        <v>Dispatch - 1 CC</v>
      </c>
      <c r="I14" s="13">
        <f>Data!K16</f>
        <v>0</v>
      </c>
      <c r="J14" s="13">
        <f>Data!L16</f>
        <v>0</v>
      </c>
      <c r="K14" s="16">
        <f>Data!O16</f>
        <v>-79.877784729003906</v>
      </c>
      <c r="L14" s="16">
        <f>Data!P16</f>
        <v>43.197669982910199</v>
      </c>
      <c r="M14" s="13" t="str">
        <f>Data!R16</f>
        <v>ON Hamilton</v>
      </c>
      <c r="N14" s="17">
        <f>Data!M16</f>
        <v>83571.171875</v>
      </c>
      <c r="O14" s="13">
        <f>Data!N16</f>
        <v>13.707965850830099</v>
      </c>
      <c r="P14" s="14" t="str">
        <f>IF(Data!T16=0,"",Data!T16)</f>
        <v/>
      </c>
      <c r="Q14" s="14">
        <f>IF(Data!U16=0,"",Data!U16)</f>
        <v>42691.514902743103</v>
      </c>
      <c r="R14" s="14" t="str">
        <f>IF(Data!V16=0,"",Data!V16)</f>
        <v/>
      </c>
    </row>
    <row r="15" spans="1:18" ht="14.4" x14ac:dyDescent="0.3">
      <c r="A15" s="9" t="str">
        <f>Data!I17</f>
        <v>johnsmith</v>
      </c>
      <c r="B15" s="9" t="str">
        <f>Data!G17</f>
        <v>John</v>
      </c>
      <c r="C15" s="9" t="str">
        <f>Data!H17</f>
        <v>Smith</v>
      </c>
      <c r="D15" s="9" t="str">
        <f t="shared" si="0"/>
        <v>John Smith</v>
      </c>
      <c r="E15" s="14">
        <f>Data!A17</f>
        <v>42690.5856712963</v>
      </c>
      <c r="F15" s="13" t="str">
        <f>Data!B17</f>
        <v>ON</v>
      </c>
      <c r="G15" s="13">
        <f t="shared" si="1"/>
        <v>0</v>
      </c>
      <c r="H15" s="13" t="str">
        <f>Data!C17</f>
        <v>Dispatch - 1 CC</v>
      </c>
      <c r="I15" s="13">
        <f>Data!K17</f>
        <v>0</v>
      </c>
      <c r="J15" s="13">
        <f>Data!L17</f>
        <v>0</v>
      </c>
      <c r="K15" s="16">
        <f>Data!O17</f>
        <v>-79.967926025390597</v>
      </c>
      <c r="L15" s="16">
        <f>Data!P17</f>
        <v>43.269172668457003</v>
      </c>
      <c r="M15" s="13" t="str">
        <f>Data!R17</f>
        <v>3mi NNE ON Ancaster</v>
      </c>
      <c r="N15" s="17">
        <f>Data!M17</f>
        <v>83584.875</v>
      </c>
      <c r="O15" s="13">
        <f>Data!N17</f>
        <v>0</v>
      </c>
      <c r="P15" s="14" t="str">
        <f>IF(Data!T17=0,"",Data!T17)</f>
        <v/>
      </c>
      <c r="Q15" s="14">
        <f>IF(Data!U17=0,"",Data!U17)</f>
        <v>42691.514902696799</v>
      </c>
      <c r="R15" s="14" t="str">
        <f>IF(Data!V17=0,"",Data!V17)</f>
        <v/>
      </c>
    </row>
    <row r="16" spans="1:18" ht="14.4" x14ac:dyDescent="0.3">
      <c r="A16" s="9" t="str">
        <f>Data!I18</f>
        <v>johnsmith</v>
      </c>
      <c r="B16" s="9" t="str">
        <f>Data!G18</f>
        <v>John</v>
      </c>
      <c r="C16" s="9" t="str">
        <f>Data!H18</f>
        <v>Smith</v>
      </c>
      <c r="D16" s="9" t="str">
        <f t="shared" si="0"/>
        <v>John Smith</v>
      </c>
      <c r="E16" s="14">
        <f>Data!A18</f>
        <v>42690.625</v>
      </c>
      <c r="F16" s="13" t="str">
        <f>Data!B18</f>
        <v>OFF</v>
      </c>
      <c r="G16" s="13">
        <f t="shared" si="1"/>
        <v>0</v>
      </c>
      <c r="H16" s="13" t="str">
        <f>Data!C18</f>
        <v>Dispatch - 1 CC</v>
      </c>
      <c r="I16" s="13">
        <f>Data!K18</f>
        <v>0</v>
      </c>
      <c r="J16" s="13">
        <f>Data!L18</f>
        <v>0</v>
      </c>
      <c r="K16" s="16">
        <f>Data!O18</f>
        <v>-79.967926025390597</v>
      </c>
      <c r="L16" s="16">
        <f>Data!P18</f>
        <v>43.269172668457003</v>
      </c>
      <c r="M16" s="13" t="str">
        <f>Data!R18</f>
        <v>3mi NNE ON Ancaster</v>
      </c>
      <c r="N16" s="17">
        <f>Data!M18</f>
        <v>83584.875</v>
      </c>
      <c r="O16" s="13">
        <f>Data!N18</f>
        <v>26.066062927246101</v>
      </c>
      <c r="P16" s="14" t="str">
        <f>IF(Data!T18=0,"",Data!T18)</f>
        <v>OtherUser</v>
      </c>
      <c r="Q16" s="14">
        <f>IF(Data!U18=0,"",Data!U18)</f>
        <v>42691.514902661998</v>
      </c>
      <c r="R16" s="14">
        <f>IF(Data!V18=0,"",Data!V18)</f>
        <v>42691.5000183218</v>
      </c>
    </row>
    <row r="17" spans="1:18" ht="14.4" x14ac:dyDescent="0.3">
      <c r="A17" s="9" t="str">
        <f>Data!I19</f>
        <v>johnsmith</v>
      </c>
      <c r="B17" s="9" t="str">
        <f>Data!G19</f>
        <v>John</v>
      </c>
      <c r="C17" s="9" t="str">
        <f>Data!H19</f>
        <v>Smith</v>
      </c>
      <c r="D17" s="9" t="str">
        <f t="shared" si="0"/>
        <v>John Smith</v>
      </c>
      <c r="E17" s="14">
        <f>Data!A19</f>
        <v>42691.6098025463</v>
      </c>
      <c r="F17" s="13" t="str">
        <f>Data!B19</f>
        <v>ON</v>
      </c>
      <c r="G17" s="13">
        <f t="shared" si="1"/>
        <v>0</v>
      </c>
      <c r="H17" s="13" t="str">
        <f>Data!C19</f>
        <v>Dispatch - 1 CC</v>
      </c>
      <c r="I17" s="13">
        <f>Data!K19</f>
        <v>0</v>
      </c>
      <c r="J17" s="13" t="str">
        <f>Data!L19</f>
        <v>34339</v>
      </c>
      <c r="K17" s="16">
        <f>Data!O19</f>
        <v>-79.686141967773395</v>
      </c>
      <c r="L17" s="16">
        <f>Data!P19</f>
        <v>43.452468872070298</v>
      </c>
      <c r="M17" s="13" t="str">
        <f>Data!R19</f>
        <v>ON Oakville</v>
      </c>
      <c r="N17" s="17">
        <f>Data!M19</f>
        <v>83610.9453125</v>
      </c>
      <c r="O17" s="13">
        <f>Data!N19</f>
        <v>0</v>
      </c>
      <c r="P17" s="14" t="str">
        <f>IF(Data!T19=0,"",Data!T19)</f>
        <v>Manual</v>
      </c>
      <c r="Q17" s="14">
        <f>IF(Data!U19=0,"",Data!U19)</f>
        <v>42691.610036608799</v>
      </c>
      <c r="R17" s="14" t="str">
        <f>IF(Data!V19=0,"",Data!V19)</f>
        <v/>
      </c>
    </row>
    <row r="18" spans="1:18" ht="14.4" x14ac:dyDescent="0.3">
      <c r="A18" s="9" t="str">
        <f>Data!I20</f>
        <v>johnsmith</v>
      </c>
      <c r="B18" s="9" t="str">
        <f>Data!G20</f>
        <v>John</v>
      </c>
      <c r="C18" s="9" t="str">
        <f>Data!H20</f>
        <v>Smith</v>
      </c>
      <c r="D18" s="9" t="str">
        <f t="shared" si="0"/>
        <v>John Smith</v>
      </c>
      <c r="E18" s="14">
        <f>Data!A20</f>
        <v>42691.659761192102</v>
      </c>
      <c r="F18" s="13" t="str">
        <f>Data!B20</f>
        <v>OFF</v>
      </c>
      <c r="G18" s="13">
        <f t="shared" si="1"/>
        <v>1</v>
      </c>
      <c r="H18" s="13" t="str">
        <f>Data!C20</f>
        <v>Dispatch - 1 CC</v>
      </c>
      <c r="I18" s="13">
        <f>Data!K20</f>
        <v>0</v>
      </c>
      <c r="J18" s="13" t="str">
        <f>Data!L20</f>
        <v>34339</v>
      </c>
      <c r="K18" s="16">
        <f>Data!O20</f>
        <v>-79.686141967773395</v>
      </c>
      <c r="L18" s="16">
        <f>Data!P20</f>
        <v>43.452468872070298</v>
      </c>
      <c r="M18" s="13" t="str">
        <f>Data!R20</f>
        <v>ON Oakville</v>
      </c>
      <c r="N18" s="17">
        <f>Data!M20</f>
        <v>83610.9453125</v>
      </c>
      <c r="O18" s="13">
        <f>Data!N20</f>
        <v>0</v>
      </c>
      <c r="P18" s="14" t="str">
        <f>IF(Data!T20=0,"",Data!T20)</f>
        <v>Manual</v>
      </c>
      <c r="Q18" s="14" t="str">
        <f>IF(Data!U20=0,"",Data!U20)</f>
        <v/>
      </c>
      <c r="R18" s="14" t="str">
        <f>IF(Data!V20=0,"",Data!V20)</f>
        <v/>
      </c>
    </row>
    <row r="19" spans="1:18" ht="14.4" x14ac:dyDescent="0.3">
      <c r="A19" s="9" t="str">
        <f>Data!I21</f>
        <v>johnsmith</v>
      </c>
      <c r="B19" s="9" t="str">
        <f>Data!G21</f>
        <v>John</v>
      </c>
      <c r="C19" s="9" t="str">
        <f>Data!H21</f>
        <v>Smith</v>
      </c>
      <c r="D19" s="9" t="str">
        <f t="shared" si="0"/>
        <v>John Smith</v>
      </c>
      <c r="E19" s="14">
        <f>Data!A21</f>
        <v>42691.659796562497</v>
      </c>
      <c r="F19" s="13" t="str">
        <f>Data!B21</f>
        <v>D</v>
      </c>
      <c r="G19" s="13">
        <f t="shared" si="1"/>
        <v>0</v>
      </c>
      <c r="H19" s="13" t="str">
        <f>Data!C21</f>
        <v>Dispatch - 1 CC</v>
      </c>
      <c r="I19" s="13">
        <f>Data!K21</f>
        <v>0</v>
      </c>
      <c r="J19" s="13" t="str">
        <f>Data!L21</f>
        <v>34339</v>
      </c>
      <c r="K19" s="16">
        <f>Data!O21</f>
        <v>-79.686141967773395</v>
      </c>
      <c r="L19" s="16">
        <f>Data!P21</f>
        <v>43.452468872070298</v>
      </c>
      <c r="M19" s="13" t="str">
        <f>Data!R21</f>
        <v>ON Oakville</v>
      </c>
      <c r="N19" s="17">
        <f>Data!M21</f>
        <v>83610.9453125</v>
      </c>
      <c r="O19" s="13">
        <f>Data!N21</f>
        <v>0</v>
      </c>
      <c r="P19" s="14" t="str">
        <f>IF(Data!T21=0,"",Data!T21)</f>
        <v>Manual</v>
      </c>
      <c r="Q19" s="14" t="str">
        <f>IF(Data!U21=0,"",Data!U21)</f>
        <v/>
      </c>
      <c r="R19" s="14" t="str">
        <f>IF(Data!V21=0,"",Data!V21)</f>
        <v/>
      </c>
    </row>
    <row r="20" spans="1:18" ht="14.4" x14ac:dyDescent="0.3">
      <c r="A20" s="9" t="str">
        <f>Data!I22</f>
        <v>johnsmith</v>
      </c>
      <c r="B20" s="9" t="str">
        <f>Data!G22</f>
        <v>John</v>
      </c>
      <c r="C20" s="9" t="str">
        <f>Data!H22</f>
        <v>Smith</v>
      </c>
      <c r="D20" s="9" t="str">
        <f t="shared" si="0"/>
        <v>John Smith</v>
      </c>
      <c r="E20" s="14">
        <f>Data!A22</f>
        <v>42691.659831979203</v>
      </c>
      <c r="F20" s="13" t="str">
        <f>Data!B22</f>
        <v>SB</v>
      </c>
      <c r="G20" s="13">
        <f t="shared" si="1"/>
        <v>0</v>
      </c>
      <c r="H20" s="13" t="str">
        <f>Data!C22</f>
        <v>Dispatch - 1 CC</v>
      </c>
      <c r="I20" s="13">
        <f>Data!K22</f>
        <v>0</v>
      </c>
      <c r="J20" s="13" t="str">
        <f>Data!L22</f>
        <v>34339</v>
      </c>
      <c r="K20" s="16">
        <f>Data!O22</f>
        <v>-79.686141967773395</v>
      </c>
      <c r="L20" s="16">
        <f>Data!P22</f>
        <v>43.452468872070298</v>
      </c>
      <c r="M20" s="13" t="str">
        <f>Data!R22</f>
        <v>ON Oakville</v>
      </c>
      <c r="N20" s="17">
        <f>Data!M22</f>
        <v>83610.9453125</v>
      </c>
      <c r="O20" s="13">
        <f>Data!N22</f>
        <v>0</v>
      </c>
      <c r="P20" s="14" t="str">
        <f>IF(Data!T22=0,"",Data!T22)</f>
        <v>Manual</v>
      </c>
      <c r="Q20" s="14" t="str">
        <f>IF(Data!U22=0,"",Data!U22)</f>
        <v/>
      </c>
      <c r="R20" s="14" t="str">
        <f>IF(Data!V22=0,"",Data!V22)</f>
        <v/>
      </c>
    </row>
    <row r="21" spans="1:18" ht="14.4" x14ac:dyDescent="0.3">
      <c r="A21" s="9" t="str">
        <f>Data!I23</f>
        <v>johnsmith</v>
      </c>
      <c r="B21" s="9" t="str">
        <f>Data!G23</f>
        <v>John</v>
      </c>
      <c r="C21" s="9" t="str">
        <f>Data!H23</f>
        <v>Smith</v>
      </c>
      <c r="D21" s="9" t="str">
        <f t="shared" si="0"/>
        <v>John Smith</v>
      </c>
      <c r="E21" s="14">
        <f>Data!A23</f>
        <v>42691.659861226901</v>
      </c>
      <c r="F21" s="13" t="str">
        <f>Data!B23</f>
        <v>OFF</v>
      </c>
      <c r="G21" s="13">
        <f t="shared" si="1"/>
        <v>0</v>
      </c>
      <c r="H21" s="13" t="str">
        <f>Data!C23</f>
        <v>Dispatch - 1 CC</v>
      </c>
      <c r="I21" s="13">
        <f>Data!K23</f>
        <v>0</v>
      </c>
      <c r="J21" s="13" t="str">
        <f>Data!L23</f>
        <v>34339</v>
      </c>
      <c r="K21" s="16">
        <f>Data!O23</f>
        <v>-79.686141967773395</v>
      </c>
      <c r="L21" s="16">
        <f>Data!P23</f>
        <v>43.452468872070298</v>
      </c>
      <c r="M21" s="13" t="str">
        <f>Data!R23</f>
        <v>ON Oakville</v>
      </c>
      <c r="N21" s="17">
        <f>Data!M23</f>
        <v>83610.9453125</v>
      </c>
      <c r="O21" s="13">
        <f>Data!N23</f>
        <v>0</v>
      </c>
      <c r="P21" s="14" t="str">
        <f>IF(Data!T23=0,"",Data!T23)</f>
        <v>Manual</v>
      </c>
      <c r="Q21" s="14" t="str">
        <f>IF(Data!U23=0,"",Data!U23)</f>
        <v/>
      </c>
      <c r="R21" s="14" t="str">
        <f>IF(Data!V23=0,"",Data!V23)</f>
        <v/>
      </c>
    </row>
    <row r="22" spans="1:18" ht="14.4" x14ac:dyDescent="0.3">
      <c r="A22" s="9" t="str">
        <f>Data!I24</f>
        <v>johnsmith</v>
      </c>
      <c r="B22" s="9" t="str">
        <f>Data!G24</f>
        <v>John</v>
      </c>
      <c r="C22" s="9" t="str">
        <f>Data!H24</f>
        <v>Smith</v>
      </c>
      <c r="D22" s="9" t="str">
        <f t="shared" si="0"/>
        <v>John Smith</v>
      </c>
      <c r="E22" s="14">
        <f>Data!A24</f>
        <v>42691.662889120402</v>
      </c>
      <c r="F22" s="13" t="str">
        <f>Data!B24</f>
        <v>YM</v>
      </c>
      <c r="G22" s="13">
        <f t="shared" si="1"/>
        <v>0</v>
      </c>
      <c r="H22" s="13" t="str">
        <f>Data!C24</f>
        <v>Dispatch - 1 CC</v>
      </c>
      <c r="I22" s="13">
        <f>Data!K24</f>
        <v>0</v>
      </c>
      <c r="J22" s="13" t="str">
        <f>Data!L24</f>
        <v>34339</v>
      </c>
      <c r="K22" s="16">
        <f>Data!O24</f>
        <v>-79.686141967773395</v>
      </c>
      <c r="L22" s="16">
        <f>Data!P24</f>
        <v>43.452468872070298</v>
      </c>
      <c r="M22" s="13" t="str">
        <f>Data!R24</f>
        <v>ON Oakville</v>
      </c>
      <c r="N22" s="17">
        <f>Data!M24</f>
        <v>83610.9453125</v>
      </c>
      <c r="O22" s="13">
        <f>Data!N24</f>
        <v>0</v>
      </c>
      <c r="P22" s="14" t="str">
        <f>IF(Data!T24=0,"",Data!T24)</f>
        <v>Manual</v>
      </c>
      <c r="Q22" s="14" t="str">
        <f>IF(Data!U24=0,"",Data!U24)</f>
        <v/>
      </c>
      <c r="R22" s="14" t="str">
        <f>IF(Data!V24=0,"",Data!V24)</f>
        <v/>
      </c>
    </row>
    <row r="23" spans="1:18" ht="14.4" x14ac:dyDescent="0.3">
      <c r="A23" s="9" t="str">
        <f>Data!I25</f>
        <v>johnsmith</v>
      </c>
      <c r="B23" s="9" t="str">
        <f>Data!G25</f>
        <v>John</v>
      </c>
      <c r="C23" s="9" t="str">
        <f>Data!H25</f>
        <v>Smith</v>
      </c>
      <c r="D23" s="9" t="str">
        <f t="shared" si="0"/>
        <v>John Smith</v>
      </c>
      <c r="E23" s="14">
        <f>Data!A25</f>
        <v>42691.663179479197</v>
      </c>
      <c r="F23" s="13" t="str">
        <f>Data!B25</f>
        <v>SB</v>
      </c>
      <c r="G23" s="13">
        <f t="shared" si="1"/>
        <v>0</v>
      </c>
      <c r="H23" s="13" t="str">
        <f>Data!C25</f>
        <v>Dispatch - 1 CC</v>
      </c>
      <c r="I23" s="13">
        <f>Data!K25</f>
        <v>0</v>
      </c>
      <c r="J23" s="13" t="str">
        <f>Data!L25</f>
        <v>34339</v>
      </c>
      <c r="K23" s="16">
        <f>Data!O25</f>
        <v>-79.686141967773395</v>
      </c>
      <c r="L23" s="16">
        <f>Data!P25</f>
        <v>43.452468872070298</v>
      </c>
      <c r="M23" s="13" t="str">
        <f>Data!R25</f>
        <v>ON Oakville</v>
      </c>
      <c r="N23" s="17">
        <f>Data!M25</f>
        <v>83610.9453125</v>
      </c>
      <c r="O23" s="13">
        <f>Data!N25</f>
        <v>0</v>
      </c>
      <c r="P23" s="14" t="str">
        <f>IF(Data!T25=0,"",Data!T25)</f>
        <v>Manual</v>
      </c>
      <c r="Q23" s="14" t="str">
        <f>IF(Data!U25=0,"",Data!U25)</f>
        <v/>
      </c>
      <c r="R23" s="14">
        <f>IF(Data!V25=0,"",Data!V25)</f>
        <v>42695.540793981498</v>
      </c>
    </row>
    <row r="24" spans="1:18" ht="14.4" x14ac:dyDescent="0.3">
      <c r="A24" s="9" t="str">
        <f>Data!I26</f>
        <v>johnsmith</v>
      </c>
      <c r="B24" s="9" t="str">
        <f>Data!G26</f>
        <v>John</v>
      </c>
      <c r="C24" s="9" t="str">
        <f>Data!H26</f>
        <v>Smith</v>
      </c>
      <c r="D24" s="9" t="str">
        <f t="shared" si="0"/>
        <v>John Smith</v>
      </c>
      <c r="E24" s="14">
        <f>Data!A26</f>
        <v>42691.663765937497</v>
      </c>
      <c r="F24" s="13" t="str">
        <f>Data!B26</f>
        <v>PC</v>
      </c>
      <c r="G24" s="13">
        <f t="shared" si="1"/>
        <v>0</v>
      </c>
      <c r="H24" s="13" t="str">
        <f>Data!C26</f>
        <v>Dispatch - 1 CC</v>
      </c>
      <c r="I24" s="13">
        <f>Data!K26</f>
        <v>0</v>
      </c>
      <c r="J24" s="13" t="str">
        <f>Data!L26</f>
        <v>34339</v>
      </c>
      <c r="K24" s="16">
        <f>Data!O26</f>
        <v>-79.686141967773395</v>
      </c>
      <c r="L24" s="16">
        <f>Data!P26</f>
        <v>43.452468872070298</v>
      </c>
      <c r="M24" s="13" t="str">
        <f>Data!R26</f>
        <v>ON Oakville</v>
      </c>
      <c r="N24" s="17">
        <f>Data!M26</f>
        <v>83610.9453125</v>
      </c>
      <c r="O24" s="13">
        <f>Data!N26</f>
        <v>0</v>
      </c>
      <c r="P24" s="14" t="str">
        <f>IF(Data!T26=0,"",Data!T26)</f>
        <v>Manual</v>
      </c>
      <c r="Q24" s="14" t="str">
        <f>IF(Data!U26=0,"",Data!U26)</f>
        <v/>
      </c>
      <c r="R24" s="14" t="str">
        <f>IF(Data!V26=0,"",Data!V26)</f>
        <v/>
      </c>
    </row>
    <row r="25" spans="1:18" ht="14.4" x14ac:dyDescent="0.3">
      <c r="A25" s="9" t="str">
        <f>Data!I27</f>
        <v>johnsmith</v>
      </c>
      <c r="B25" s="9" t="str">
        <f>Data!G27</f>
        <v>John</v>
      </c>
      <c r="C25" s="9" t="str">
        <f>Data!H27</f>
        <v>Smith</v>
      </c>
      <c r="D25" s="9" t="str">
        <f t="shared" si="0"/>
        <v>John Smith</v>
      </c>
      <c r="E25" s="14">
        <f>Data!A27</f>
        <v>42691.663983796301</v>
      </c>
      <c r="F25" s="13" t="str">
        <f>Data!B27</f>
        <v>OFF</v>
      </c>
      <c r="G25" s="13">
        <f t="shared" si="1"/>
        <v>0</v>
      </c>
      <c r="H25" s="13" t="str">
        <f>Data!C27</f>
        <v>Dispatch - 1 CC</v>
      </c>
      <c r="I25" s="13">
        <f>Data!K27</f>
        <v>0</v>
      </c>
      <c r="J25" s="13" t="str">
        <f>Data!L27</f>
        <v>34339</v>
      </c>
      <c r="K25" s="16">
        <f>Data!O27</f>
        <v>-79.686141967773395</v>
      </c>
      <c r="L25" s="16">
        <f>Data!P27</f>
        <v>43.452468872070298</v>
      </c>
      <c r="M25" s="13" t="str">
        <f>Data!R27</f>
        <v>ON Oakville</v>
      </c>
      <c r="N25" s="17">
        <f>Data!M27</f>
        <v>83610.9453125</v>
      </c>
      <c r="O25" s="13">
        <f>Data!N27</f>
        <v>0</v>
      </c>
      <c r="P25" s="14" t="str">
        <f>IF(Data!T27=0,"",Data!T27)</f>
        <v>Manual</v>
      </c>
      <c r="Q25" s="14" t="str">
        <f>IF(Data!U27=0,"",Data!U27)</f>
        <v/>
      </c>
      <c r="R25" s="14" t="str">
        <f>IF(Data!V27=0,"",Data!V27)</f>
        <v/>
      </c>
    </row>
    <row r="26" spans="1:18" ht="14.4" x14ac:dyDescent="0.3">
      <c r="A26" s="9" t="s">
        <v>260</v>
      </c>
      <c r="B26" s="9" t="s">
        <v>261</v>
      </c>
      <c r="C26" s="9" t="s">
        <v>262</v>
      </c>
      <c r="D26" s="9" t="str">
        <f t="shared" si="0"/>
        <v>Jake  Lee</v>
      </c>
      <c r="E26" s="14">
        <f>Data!A28</f>
        <v>42689.452660381903</v>
      </c>
      <c r="F26" s="13" t="str">
        <f>Data!B28</f>
        <v>OFF</v>
      </c>
      <c r="G26" s="13">
        <f t="shared" si="1"/>
        <v>0</v>
      </c>
      <c r="H26" s="13" t="str">
        <f>Data!C28</f>
        <v>Dispatch - 1 CC</v>
      </c>
      <c r="I26" s="13">
        <f>Data!K28</f>
        <v>0</v>
      </c>
      <c r="J26" s="13">
        <f>Data!L28</f>
        <v>0</v>
      </c>
      <c r="K26" s="16">
        <f>Data!O28</f>
        <v>-79.712051391601605</v>
      </c>
      <c r="L26" s="16">
        <f>Data!P28</f>
        <v>43.4371337890625</v>
      </c>
      <c r="M26" s="13" t="str">
        <f>Data!R28</f>
        <v>ON Oakville</v>
      </c>
      <c r="N26" s="17">
        <f>Data!M28</f>
        <v>83531.2421875</v>
      </c>
      <c r="O26" s="13">
        <f>Data!N28</f>
        <v>0</v>
      </c>
      <c r="P26" s="14" t="str">
        <f>IF(Data!T28=0,"",Data!T28)</f>
        <v>Manual</v>
      </c>
      <c r="Q26" s="14">
        <f>IF(Data!U28=0,"",Data!U28)</f>
        <v>42691.455704664397</v>
      </c>
      <c r="R26" s="14" t="str">
        <f>IF(Data!V28=0,"",Data!V28)</f>
        <v/>
      </c>
    </row>
    <row r="27" spans="1:18" ht="14.4" x14ac:dyDescent="0.3">
      <c r="A27" s="9" t="s">
        <v>260</v>
      </c>
      <c r="B27" s="9" t="s">
        <v>261</v>
      </c>
      <c r="C27" s="9" t="s">
        <v>262</v>
      </c>
      <c r="D27" s="9" t="str">
        <f t="shared" si="0"/>
        <v>Jake  Lee</v>
      </c>
      <c r="E27" s="14">
        <f>Data!A29</f>
        <v>42689.458333333299</v>
      </c>
      <c r="F27" s="13" t="str">
        <f>Data!B29</f>
        <v>ON</v>
      </c>
      <c r="G27" s="13">
        <f t="shared" si="1"/>
        <v>0</v>
      </c>
      <c r="H27" s="13" t="str">
        <f>Data!C29</f>
        <v>Dispatch - 1 CC</v>
      </c>
      <c r="I27" s="13">
        <f>Data!K29</f>
        <v>0</v>
      </c>
      <c r="J27" s="13">
        <f>Data!L29</f>
        <v>0</v>
      </c>
      <c r="K27" s="16">
        <f>Data!O29</f>
        <v>-79.712051391601605</v>
      </c>
      <c r="L27" s="16">
        <f>Data!P29</f>
        <v>43.4371337890625</v>
      </c>
      <c r="M27" s="13" t="str">
        <f>Data!R29</f>
        <v>ON Oakville</v>
      </c>
      <c r="N27" s="17">
        <f>Data!M29</f>
        <v>83531.2421875</v>
      </c>
      <c r="O27" s="13">
        <f>Data!N29</f>
        <v>0</v>
      </c>
      <c r="P27" s="14" t="str">
        <f>IF(Data!T29=0,"",Data!T29)</f>
        <v>OtherUser</v>
      </c>
      <c r="Q27" s="14">
        <f>IF(Data!U29=0,"",Data!U29)</f>
        <v>42691.455704629603</v>
      </c>
      <c r="R27" s="14">
        <f>IF(Data!V29=0,"",Data!V29)</f>
        <v>42691.387055937499</v>
      </c>
    </row>
    <row r="28" spans="1:18" ht="14.4" x14ac:dyDescent="0.3">
      <c r="A28" s="9" t="s">
        <v>260</v>
      </c>
      <c r="B28" s="9" t="s">
        <v>261</v>
      </c>
      <c r="C28" s="9" t="s">
        <v>262</v>
      </c>
      <c r="D28" s="9" t="str">
        <f t="shared" si="0"/>
        <v>Jake  Lee</v>
      </c>
      <c r="E28" s="14">
        <f>Data!A30</f>
        <v>42689.5</v>
      </c>
      <c r="F28" s="13" t="str">
        <f>Data!B30</f>
        <v>D</v>
      </c>
      <c r="G28" s="13">
        <f t="shared" si="1"/>
        <v>0</v>
      </c>
      <c r="H28" s="13" t="str">
        <f>Data!C30</f>
        <v>Dispatch - 1 CC</v>
      </c>
      <c r="I28" s="13">
        <f>Data!K30</f>
        <v>0</v>
      </c>
      <c r="J28" s="13">
        <f>Data!L30</f>
        <v>0</v>
      </c>
      <c r="K28" s="16">
        <f>Data!O30</f>
        <v>-79.712051391601605</v>
      </c>
      <c r="L28" s="16">
        <f>Data!P30</f>
        <v>43.4371337890625</v>
      </c>
      <c r="M28" s="13" t="str">
        <f>Data!R30</f>
        <v>ON Oakville</v>
      </c>
      <c r="N28" s="17">
        <f>Data!M30</f>
        <v>83531.2421875</v>
      </c>
      <c r="O28" s="13">
        <f>Data!N30</f>
        <v>3.4936652183532702</v>
      </c>
      <c r="P28" s="14" t="str">
        <f>IF(Data!T30=0,"",Data!T30)</f>
        <v>OtherUser</v>
      </c>
      <c r="Q28" s="14">
        <f>IF(Data!U30=0,"",Data!U30)</f>
        <v>42691.389321064802</v>
      </c>
      <c r="R28" s="14">
        <f>IF(Data!V30=0,"",Data!V30)</f>
        <v>42691.387462847197</v>
      </c>
    </row>
    <row r="29" spans="1:18" ht="14.4" x14ac:dyDescent="0.3">
      <c r="A29" s="9" t="s">
        <v>260</v>
      </c>
      <c r="B29" s="9" t="s">
        <v>261</v>
      </c>
      <c r="C29" s="9" t="s">
        <v>262</v>
      </c>
      <c r="D29" s="9" t="str">
        <f t="shared" si="0"/>
        <v>Jake  Lee</v>
      </c>
      <c r="E29" s="14">
        <f>Data!A31</f>
        <v>42689.791666666701</v>
      </c>
      <c r="F29" s="13" t="str">
        <f>Data!B31</f>
        <v>ON</v>
      </c>
      <c r="G29" s="13">
        <f t="shared" si="1"/>
        <v>0</v>
      </c>
      <c r="H29" s="13" t="str">
        <f>Data!C31</f>
        <v>Dispatch - 1 CC</v>
      </c>
      <c r="I29" s="13">
        <f>Data!K31</f>
        <v>0</v>
      </c>
      <c r="J29" s="13">
        <f>Data!L31</f>
        <v>0</v>
      </c>
      <c r="K29" s="16">
        <f>Data!O31</f>
        <v>-79.684020996093807</v>
      </c>
      <c r="L29" s="16">
        <f>Data!P31</f>
        <v>43.455051422119098</v>
      </c>
      <c r="M29" s="13" t="str">
        <f>Data!R31</f>
        <v>ON Oakville</v>
      </c>
      <c r="N29" s="17">
        <f>Data!M31</f>
        <v>83534.734375</v>
      </c>
      <c r="O29" s="13">
        <f>Data!N31</f>
        <v>22.456693649291999</v>
      </c>
      <c r="P29" s="14" t="str">
        <f>IF(Data!T31=0,"",Data!T31)</f>
        <v>OtherUser</v>
      </c>
      <c r="Q29" s="14">
        <f>IF(Data!U31=0,"",Data!U31)</f>
        <v>42691.455900196801</v>
      </c>
      <c r="R29" s="14">
        <f>IF(Data!V31=0,"",Data!V31)</f>
        <v>42691.3878618866</v>
      </c>
    </row>
    <row r="30" spans="1:18" ht="14.4" x14ac:dyDescent="0.3">
      <c r="A30" s="9" t="s">
        <v>260</v>
      </c>
      <c r="B30" s="9" t="s">
        <v>261</v>
      </c>
      <c r="C30" s="9" t="s">
        <v>262</v>
      </c>
      <c r="D30" s="9" t="str">
        <f t="shared" si="0"/>
        <v>Jake  Lee</v>
      </c>
      <c r="E30" s="14">
        <f>Data!A32</f>
        <v>42689.843055555597</v>
      </c>
      <c r="F30" s="13" t="str">
        <f>Data!B32</f>
        <v>OFF</v>
      </c>
      <c r="G30" s="13">
        <f t="shared" si="1"/>
        <v>0</v>
      </c>
      <c r="H30" s="13" t="str">
        <f>Data!C32</f>
        <v>Dispatch - 1 CC</v>
      </c>
      <c r="I30" s="13">
        <f>Data!K32</f>
        <v>0</v>
      </c>
      <c r="J30" s="13">
        <f>Data!L32</f>
        <v>0</v>
      </c>
      <c r="K30" s="16">
        <f>Data!O32</f>
        <v>-79.967971801757798</v>
      </c>
      <c r="L30" s="16">
        <f>Data!P32</f>
        <v>43.2691459655762</v>
      </c>
      <c r="M30" s="13" t="str">
        <f>Data!R32</f>
        <v>3mi NNE ON Ancaster</v>
      </c>
      <c r="N30" s="17">
        <f>Data!M32</f>
        <v>83557.1953125</v>
      </c>
      <c r="O30" s="13">
        <f>Data!N32</f>
        <v>39.9548530578613</v>
      </c>
      <c r="P30" s="14" t="str">
        <f>IF(Data!T32=0,"",Data!T32)</f>
        <v>OtherUser</v>
      </c>
      <c r="Q30" s="14">
        <f>IF(Data!U32=0,"",Data!U32)</f>
        <v>42691.3891596065</v>
      </c>
      <c r="R30" s="14">
        <f>IF(Data!V32=0,"",Data!V32)</f>
        <v>42691.388787847201</v>
      </c>
    </row>
    <row r="31" spans="1:18" ht="14.4" x14ac:dyDescent="0.3">
      <c r="A31" s="9" t="s">
        <v>260</v>
      </c>
      <c r="B31" s="9" t="s">
        <v>261</v>
      </c>
      <c r="C31" s="9" t="s">
        <v>262</v>
      </c>
      <c r="D31" s="9" t="str">
        <f t="shared" si="0"/>
        <v>Jake  Lee</v>
      </c>
      <c r="E31" s="14">
        <f>Data!A33</f>
        <v>42691.444031678198</v>
      </c>
      <c r="F31" s="13" t="str">
        <f>Data!B33</f>
        <v>ON</v>
      </c>
      <c r="G31" s="13">
        <f t="shared" si="1"/>
        <v>0</v>
      </c>
      <c r="H31" s="13" t="str">
        <f>Data!C33</f>
        <v>Dispatch - 1 CC</v>
      </c>
      <c r="I31" s="13">
        <f>Data!K33</f>
        <v>0</v>
      </c>
      <c r="J31" s="13">
        <f>Data!L33</f>
        <v>0</v>
      </c>
      <c r="K31" s="16">
        <f>Data!O33</f>
        <v>-79.797966003417997</v>
      </c>
      <c r="L31" s="16">
        <f>Data!P33</f>
        <v>43.357208251953097</v>
      </c>
      <c r="M31" s="13" t="str">
        <f>Data!R33</f>
        <v>ON Burlington</v>
      </c>
      <c r="N31" s="17">
        <f>Data!M33</f>
        <v>83597.1484375</v>
      </c>
      <c r="O31" s="13">
        <f>Data!N33</f>
        <v>7.56213283538818</v>
      </c>
      <c r="P31" s="14" t="str">
        <f>IF(Data!T33=0,"",Data!T33)</f>
        <v>Manual</v>
      </c>
      <c r="Q31" s="14">
        <f>IF(Data!U33=0,"",Data!U33)</f>
        <v>42691.455900196801</v>
      </c>
      <c r="R31" s="14" t="str">
        <f>IF(Data!V33=0,"",Data!V33)</f>
        <v/>
      </c>
    </row>
    <row r="32" spans="1:18" ht="14.4" x14ac:dyDescent="0.3">
      <c r="A32" s="9" t="s">
        <v>260</v>
      </c>
      <c r="B32" s="9" t="s">
        <v>261</v>
      </c>
      <c r="C32" s="9" t="s">
        <v>262</v>
      </c>
      <c r="D32" s="9" t="str">
        <f t="shared" si="0"/>
        <v>Jake  Lee</v>
      </c>
      <c r="E32" s="14">
        <f>Data!A34</f>
        <v>42691.448628356498</v>
      </c>
      <c r="F32" s="13" t="str">
        <f>Data!B34</f>
        <v>D</v>
      </c>
      <c r="G32" s="13">
        <f t="shared" si="1"/>
        <v>0</v>
      </c>
      <c r="H32" s="13" t="str">
        <f>Data!C34</f>
        <v>Dispatch - 1 CC</v>
      </c>
      <c r="I32" s="13">
        <f>Data!K34</f>
        <v>0</v>
      </c>
      <c r="J32" s="13">
        <f>Data!L34</f>
        <v>0</v>
      </c>
      <c r="K32" s="16">
        <f>Data!O34</f>
        <v>-79.703857421875</v>
      </c>
      <c r="L32" s="16">
        <f>Data!P34</f>
        <v>43.443019866943402</v>
      </c>
      <c r="M32" s="13" t="str">
        <f>Data!R34</f>
        <v>ON Oakville</v>
      </c>
      <c r="N32" s="17">
        <f>Data!M34</f>
        <v>83604.7109375</v>
      </c>
      <c r="O32" s="13">
        <f>Data!N34</f>
        <v>2.9317712783813499</v>
      </c>
      <c r="P32" s="14" t="str">
        <f>IF(Data!T34=0,"",Data!T34)</f>
        <v>Manual</v>
      </c>
      <c r="Q32" s="14">
        <f>IF(Data!U34=0,"",Data!U34)</f>
        <v>42691.455900150497</v>
      </c>
      <c r="R32" s="14" t="str">
        <f>IF(Data!V34=0,"",Data!V34)</f>
        <v/>
      </c>
    </row>
    <row r="33" spans="1:18" ht="14.4" x14ac:dyDescent="0.3">
      <c r="A33" s="9" t="s">
        <v>260</v>
      </c>
      <c r="B33" s="9" t="s">
        <v>261</v>
      </c>
      <c r="C33" s="9" t="s">
        <v>262</v>
      </c>
      <c r="D33" s="9" t="str">
        <f t="shared" si="0"/>
        <v>Jake  Lee</v>
      </c>
      <c r="E33" s="14">
        <f>Data!A35</f>
        <v>42691.460222650501</v>
      </c>
      <c r="F33" s="13" t="str">
        <f>Data!B35</f>
        <v>ON</v>
      </c>
      <c r="G33" s="13">
        <f t="shared" si="1"/>
        <v>0</v>
      </c>
      <c r="H33" s="13" t="str">
        <f>Data!C35</f>
        <v>Dispatch - 1 CC</v>
      </c>
      <c r="I33" s="13">
        <f>Data!K35</f>
        <v>0</v>
      </c>
      <c r="J33" s="13" t="str">
        <f>Data!L35</f>
        <v>34339</v>
      </c>
      <c r="K33" s="16">
        <f>Data!O35</f>
        <v>-79.681510925292997</v>
      </c>
      <c r="L33" s="16">
        <f>Data!P35</f>
        <v>43.457740783691399</v>
      </c>
      <c r="M33" s="13" t="str">
        <f>Data!R35</f>
        <v>ON Oakville</v>
      </c>
      <c r="N33" s="17">
        <f>Data!M35</f>
        <v>83607.640625</v>
      </c>
      <c r="O33" s="13">
        <f>Data!N35</f>
        <v>3.3008592128753702</v>
      </c>
      <c r="P33" s="14" t="str">
        <f>IF(Data!T35=0,"",Data!T35)</f>
        <v>Manual</v>
      </c>
      <c r="Q33" s="14" t="str">
        <f>IF(Data!U35=0,"",Data!U35)</f>
        <v/>
      </c>
      <c r="R33" s="14" t="str">
        <f>IF(Data!V35=0,"",Data!V35)</f>
        <v/>
      </c>
    </row>
    <row r="34" spans="1:18" ht="14.4" x14ac:dyDescent="0.3">
      <c r="A34" s="9" t="s">
        <v>260</v>
      </c>
      <c r="B34" s="9" t="s">
        <v>261</v>
      </c>
      <c r="C34" s="9" t="s">
        <v>262</v>
      </c>
      <c r="D34" s="9" t="str">
        <f t="shared" si="0"/>
        <v>Jake  Lee</v>
      </c>
      <c r="E34" s="14">
        <f>Data!A36</f>
        <v>42691.520189664298</v>
      </c>
      <c r="F34" s="13" t="str">
        <f>Data!B36</f>
        <v>OFF</v>
      </c>
      <c r="G34" s="13">
        <f t="shared" si="1"/>
        <v>0</v>
      </c>
      <c r="H34" s="13" t="str">
        <f>Data!C36</f>
        <v>Dispatch - 1 CC</v>
      </c>
      <c r="I34" s="13">
        <f>Data!K36</f>
        <v>0</v>
      </c>
      <c r="J34" s="13" t="str">
        <f>Data!L36</f>
        <v>34339</v>
      </c>
      <c r="K34" s="16">
        <f>Data!O36</f>
        <v>-79.686141967773395</v>
      </c>
      <c r="L34" s="16">
        <f>Data!P36</f>
        <v>43.452468872070298</v>
      </c>
      <c r="M34" s="13" t="str">
        <f>Data!R36</f>
        <v>ON Oakville</v>
      </c>
      <c r="N34" s="17">
        <f>Data!M36</f>
        <v>83610.9453125</v>
      </c>
      <c r="O34" s="13">
        <f>Data!N36</f>
        <v>0</v>
      </c>
      <c r="P34" s="14" t="str">
        <f>IF(Data!T36=0,"",Data!T36)</f>
        <v>Manual</v>
      </c>
      <c r="Q34" s="14" t="str">
        <f>IF(Data!U36=0,"",Data!U36)</f>
        <v/>
      </c>
      <c r="R34" s="14" t="str">
        <f>IF(Data!V36=0,"",Data!V36)</f>
        <v/>
      </c>
    </row>
    <row r="35" spans="1:18" ht="14.4" x14ac:dyDescent="0.3">
      <c r="A35" s="9" t="s">
        <v>263</v>
      </c>
      <c r="B35" s="9" t="s">
        <v>264</v>
      </c>
      <c r="C35" s="9" t="s">
        <v>182</v>
      </c>
      <c r="D35" s="9" t="str">
        <f t="shared" si="0"/>
        <v>Sam Smith</v>
      </c>
      <c r="E35" s="14">
        <f>Data!A37</f>
        <v>42691.758766203697</v>
      </c>
      <c r="F35" s="13" t="str">
        <f>Data!B37</f>
        <v>D</v>
      </c>
      <c r="G35" s="13">
        <f t="shared" si="1"/>
        <v>0</v>
      </c>
      <c r="H35" s="13" t="str">
        <f>Data!C37</f>
        <v>Dispatch - 7 LS</v>
      </c>
      <c r="I35" s="13">
        <f>Data!K37</f>
        <v>0</v>
      </c>
      <c r="J35" s="13" t="str">
        <f>Data!L37</f>
        <v>606657</v>
      </c>
      <c r="K35" s="16">
        <f>Data!O37</f>
        <v>-79.716300964355497</v>
      </c>
      <c r="L35" s="16">
        <f>Data!P37</f>
        <v>43.717323303222699</v>
      </c>
      <c r="M35" s="13" t="str">
        <f>Data!R37</f>
        <v>ON Brampton</v>
      </c>
      <c r="N35" s="17">
        <f>Data!M37</f>
        <v>845.99774169921898</v>
      </c>
      <c r="O35" s="13">
        <f>Data!N37</f>
        <v>0.309875398874283</v>
      </c>
      <c r="P35" s="14" t="str">
        <f>IF(Data!T37=0,"",Data!T37)</f>
        <v>Automatic</v>
      </c>
      <c r="Q35" s="14" t="str">
        <f>IF(Data!U37=0,"",Data!U37)</f>
        <v/>
      </c>
      <c r="R35" s="14" t="str">
        <f>IF(Data!V37=0,"",Data!V37)</f>
        <v/>
      </c>
    </row>
    <row r="36" spans="1:18" ht="14.4" x14ac:dyDescent="0.3">
      <c r="A36" s="9" t="s">
        <v>263</v>
      </c>
      <c r="B36" s="9" t="s">
        <v>264</v>
      </c>
      <c r="C36" s="9" t="s">
        <v>182</v>
      </c>
      <c r="D36" s="9" t="str">
        <f t="shared" si="0"/>
        <v>Sam Smith</v>
      </c>
      <c r="E36" s="14">
        <f>Data!A38</f>
        <v>42691.760185266197</v>
      </c>
      <c r="F36" s="13" t="str">
        <f>Data!B38</f>
        <v>ON</v>
      </c>
      <c r="G36" s="13">
        <f t="shared" si="1"/>
        <v>0</v>
      </c>
      <c r="H36" s="13" t="str">
        <f>Data!C38</f>
        <v>Dispatch - 7 LS</v>
      </c>
      <c r="I36" s="13">
        <f>Data!K38</f>
        <v>0</v>
      </c>
      <c r="J36" s="13" t="str">
        <f>Data!L38</f>
        <v>606657</v>
      </c>
      <c r="K36" s="16">
        <f>Data!O38</f>
        <v>-79.719474792480497</v>
      </c>
      <c r="L36" s="16">
        <f>Data!P38</f>
        <v>43.717838287353501</v>
      </c>
      <c r="M36" s="13" t="str">
        <f>Data!R38</f>
        <v>ON Brampton</v>
      </c>
      <c r="N36" s="17">
        <f>Data!M38</f>
        <v>846.3076171875</v>
      </c>
      <c r="O36" s="13">
        <f>Data!N38</f>
        <v>0</v>
      </c>
      <c r="P36" s="14" t="str">
        <f>IF(Data!T38=0,"",Data!T38)</f>
        <v>Automatic</v>
      </c>
      <c r="Q36" s="14" t="str">
        <f>IF(Data!U38=0,"",Data!U38)</f>
        <v/>
      </c>
      <c r="R36" s="14" t="str">
        <f>IF(Data!V38=0,"",Data!V38)</f>
        <v/>
      </c>
    </row>
    <row r="37" spans="1:18" ht="14.4" x14ac:dyDescent="0.3">
      <c r="A37" s="9" t="s">
        <v>263</v>
      </c>
      <c r="B37" s="9" t="s">
        <v>264</v>
      </c>
      <c r="C37" s="9" t="s">
        <v>182</v>
      </c>
      <c r="D37" s="9" t="str">
        <f t="shared" si="0"/>
        <v>Sam Smith</v>
      </c>
      <c r="E37" s="14">
        <f>Data!A39</f>
        <v>42691.796316354201</v>
      </c>
      <c r="F37" s="13" t="str">
        <f>Data!B39</f>
        <v>D</v>
      </c>
      <c r="G37" s="13">
        <f t="shared" si="1"/>
        <v>0</v>
      </c>
      <c r="H37" s="13" t="str">
        <f>Data!C39</f>
        <v>Dispatch - 7 LS</v>
      </c>
      <c r="I37" s="13">
        <f>Data!K39</f>
        <v>0</v>
      </c>
      <c r="J37" s="13" t="str">
        <f>Data!L39</f>
        <v>606657</v>
      </c>
      <c r="K37" s="16">
        <f>Data!O39</f>
        <v>-79.719451904296903</v>
      </c>
      <c r="L37" s="16">
        <f>Data!P39</f>
        <v>43.717811584472699</v>
      </c>
      <c r="M37" s="13" t="str">
        <f>Data!R39</f>
        <v>ON Brampton</v>
      </c>
      <c r="N37" s="17">
        <f>Data!M39</f>
        <v>846.3076171875</v>
      </c>
      <c r="O37" s="13">
        <f>Data!N39</f>
        <v>0</v>
      </c>
      <c r="P37" s="14" t="str">
        <f>IF(Data!T39=0,"",Data!T39)</f>
        <v>Automatic</v>
      </c>
      <c r="Q37" s="14" t="str">
        <f>IF(Data!U39=0,"",Data!U39)</f>
        <v/>
      </c>
      <c r="R37" s="14" t="str">
        <f>IF(Data!V39=0,"",Data!V39)</f>
        <v/>
      </c>
    </row>
    <row r="38" spans="1:18" ht="14.4" x14ac:dyDescent="0.3">
      <c r="A38" s="9" t="s">
        <v>263</v>
      </c>
      <c r="B38" s="9" t="s">
        <v>264</v>
      </c>
      <c r="C38" s="9" t="s">
        <v>182</v>
      </c>
      <c r="D38" s="9" t="str">
        <f t="shared" si="0"/>
        <v>Sam Smith</v>
      </c>
      <c r="E38" s="14">
        <f>Data!A40</f>
        <v>42691.797581168998</v>
      </c>
      <c r="F38" s="13" t="str">
        <f>Data!B40</f>
        <v>ON</v>
      </c>
      <c r="G38" s="13">
        <f t="shared" si="1"/>
        <v>0</v>
      </c>
      <c r="H38" s="13" t="str">
        <f>Data!C40</f>
        <v>Dispatch - 7 LS</v>
      </c>
      <c r="I38" s="13">
        <f>Data!K40</f>
        <v>0</v>
      </c>
      <c r="J38" s="13" t="str">
        <f>Data!L40</f>
        <v>606657</v>
      </c>
      <c r="K38" s="16">
        <f>Data!O40</f>
        <v>-79.719451904296903</v>
      </c>
      <c r="L38" s="16">
        <f>Data!P40</f>
        <v>43.717811584472699</v>
      </c>
      <c r="M38" s="13" t="str">
        <f>Data!R40</f>
        <v>ON Brampton</v>
      </c>
      <c r="N38" s="17">
        <f>Data!M40</f>
        <v>846.3076171875</v>
      </c>
      <c r="O38" s="13">
        <f>Data!N40</f>
        <v>0</v>
      </c>
      <c r="P38" s="14" t="str">
        <f>IF(Data!T40=0,"",Data!T40)</f>
        <v>Automatic</v>
      </c>
      <c r="Q38" s="14" t="str">
        <f>IF(Data!U40=0,"",Data!U40)</f>
        <v/>
      </c>
      <c r="R38" s="14" t="str">
        <f>IF(Data!V40=0,"",Data!V40)</f>
        <v/>
      </c>
    </row>
    <row r="39" spans="1:18" ht="14.4" x14ac:dyDescent="0.3">
      <c r="A39" s="9" t="s">
        <v>263</v>
      </c>
      <c r="B39" s="9" t="s">
        <v>264</v>
      </c>
      <c r="C39" s="9" t="s">
        <v>182</v>
      </c>
      <c r="D39" s="9" t="str">
        <f t="shared" si="0"/>
        <v>Sam Smith</v>
      </c>
      <c r="E39" s="14">
        <f>Data!A41</f>
        <v>42691.802242361096</v>
      </c>
      <c r="F39" s="13" t="str">
        <f>Data!B41</f>
        <v>D</v>
      </c>
      <c r="G39" s="13">
        <f t="shared" si="1"/>
        <v>0</v>
      </c>
      <c r="H39" s="13" t="str">
        <f>Data!C41</f>
        <v>Dispatch - 7 LS</v>
      </c>
      <c r="I39" s="13">
        <f>Data!K41</f>
        <v>0</v>
      </c>
      <c r="J39" s="13" t="str">
        <f>Data!L41</f>
        <v>606657</v>
      </c>
      <c r="K39" s="16">
        <f>Data!O41</f>
        <v>-79.719451904296903</v>
      </c>
      <c r="L39" s="16">
        <f>Data!P41</f>
        <v>43.717811584472699</v>
      </c>
      <c r="M39" s="13" t="str">
        <f>Data!R41</f>
        <v>ON Brampton</v>
      </c>
      <c r="N39" s="17">
        <f>Data!M41</f>
        <v>846.3076171875</v>
      </c>
      <c r="O39" s="13">
        <f>Data!N41</f>
        <v>0</v>
      </c>
      <c r="P39" s="14" t="str">
        <f>IF(Data!T41=0,"",Data!T41)</f>
        <v>Automatic</v>
      </c>
      <c r="Q39" s="14" t="str">
        <f>IF(Data!U41=0,"",Data!U41)</f>
        <v/>
      </c>
      <c r="R39" s="14" t="str">
        <f>IF(Data!V41=0,"",Data!V41)</f>
        <v/>
      </c>
    </row>
    <row r="40" spans="1:18" ht="14.4" x14ac:dyDescent="0.3">
      <c r="A40" s="9" t="s">
        <v>263</v>
      </c>
      <c r="B40" s="9" t="s">
        <v>264</v>
      </c>
      <c r="C40" s="9" t="s">
        <v>182</v>
      </c>
      <c r="D40" s="9" t="str">
        <f t="shared" si="0"/>
        <v>Sam Smith</v>
      </c>
      <c r="E40" s="14">
        <f>Data!A42</f>
        <v>42691.802384340299</v>
      </c>
      <c r="F40" s="13" t="str">
        <f>Data!B42</f>
        <v>ON</v>
      </c>
      <c r="G40" s="13">
        <f t="shared" si="1"/>
        <v>0</v>
      </c>
      <c r="H40" s="13" t="str">
        <f>Data!C42</f>
        <v>Dispatch - 7 LS</v>
      </c>
      <c r="I40" s="13">
        <f>Data!K42</f>
        <v>0</v>
      </c>
      <c r="J40" s="13" t="str">
        <f>Data!L42</f>
        <v>606657</v>
      </c>
      <c r="K40" s="16">
        <f>Data!O42</f>
        <v>-79.719451904296903</v>
      </c>
      <c r="L40" s="16">
        <f>Data!P42</f>
        <v>43.717811584472699</v>
      </c>
      <c r="M40" s="13" t="str">
        <f>Data!R42</f>
        <v>ON Brampton</v>
      </c>
      <c r="N40" s="17">
        <f>Data!M42</f>
        <v>846.3076171875</v>
      </c>
      <c r="O40" s="13">
        <f>Data!N42</f>
        <v>0.19134479761123699</v>
      </c>
      <c r="P40" s="14" t="str">
        <f>IF(Data!T42=0,"",Data!T42)</f>
        <v>Automatic</v>
      </c>
      <c r="Q40" s="14" t="str">
        <f>IF(Data!U42=0,"",Data!U42)</f>
        <v/>
      </c>
      <c r="R40" s="14" t="str">
        <f>IF(Data!V42=0,"",Data!V42)</f>
        <v/>
      </c>
    </row>
    <row r="41" spans="1:18" ht="14.4" x14ac:dyDescent="0.3">
      <c r="A41" s="9" t="s">
        <v>263</v>
      </c>
      <c r="B41" s="9" t="s">
        <v>264</v>
      </c>
      <c r="C41" s="9" t="s">
        <v>182</v>
      </c>
      <c r="D41" s="9" t="str">
        <f t="shared" si="0"/>
        <v>Sam Smith</v>
      </c>
      <c r="E41" s="14">
        <f>Data!A43</f>
        <v>42691.812253738397</v>
      </c>
      <c r="F41" s="13" t="str">
        <f>Data!B43</f>
        <v>D</v>
      </c>
      <c r="G41" s="13">
        <f t="shared" si="1"/>
        <v>0</v>
      </c>
      <c r="H41" s="13" t="str">
        <f>Data!C43</f>
        <v>Dispatch - 7 LS</v>
      </c>
      <c r="I41" s="13">
        <f>Data!K43</f>
        <v>0</v>
      </c>
      <c r="J41" s="13" t="str">
        <f>Data!L43</f>
        <v>606657</v>
      </c>
      <c r="K41" s="16">
        <f>Data!O43</f>
        <v>-79.717658996582003</v>
      </c>
      <c r="L41" s="16">
        <f>Data!P43</f>
        <v>43.717376708984403</v>
      </c>
      <c r="M41" s="13" t="str">
        <f>Data!R43</f>
        <v>ON Brampton</v>
      </c>
      <c r="N41" s="17">
        <f>Data!M43</f>
        <v>846.49896240234398</v>
      </c>
      <c r="O41" s="13">
        <f>Data!N43</f>
        <v>5.4009962081909197</v>
      </c>
      <c r="P41" s="14" t="str">
        <f>IF(Data!T43=0,"",Data!T43)</f>
        <v>Automatic</v>
      </c>
      <c r="Q41" s="14" t="str">
        <f>IF(Data!U43=0,"",Data!U43)</f>
        <v/>
      </c>
      <c r="R41" s="14" t="str">
        <f>IF(Data!V43=0,"",Data!V43)</f>
        <v/>
      </c>
    </row>
    <row r="42" spans="1:18" ht="14.4" x14ac:dyDescent="0.3">
      <c r="A42" s="9" t="s">
        <v>263</v>
      </c>
      <c r="B42" s="9" t="s">
        <v>264</v>
      </c>
      <c r="C42" s="9" t="s">
        <v>182</v>
      </c>
      <c r="D42" s="9" t="str">
        <f t="shared" si="0"/>
        <v>Sam Smith</v>
      </c>
      <c r="E42" s="14">
        <f>Data!A44</f>
        <v>42691.8228243056</v>
      </c>
      <c r="F42" s="13" t="str">
        <f>Data!B44</f>
        <v>ON</v>
      </c>
      <c r="G42" s="13">
        <f t="shared" si="1"/>
        <v>0</v>
      </c>
      <c r="H42" s="13" t="str">
        <f>Data!C44</f>
        <v>Dispatch - 7 LS</v>
      </c>
      <c r="I42" s="13">
        <f>Data!K44</f>
        <v>0</v>
      </c>
      <c r="J42" s="13" t="str">
        <f>Data!L44</f>
        <v>606657</v>
      </c>
      <c r="K42" s="16">
        <f>Data!O44</f>
        <v>-79.783805847167997</v>
      </c>
      <c r="L42" s="16">
        <f>Data!P44</f>
        <v>43.730766296386697</v>
      </c>
      <c r="M42" s="13" t="str">
        <f>Data!R44</f>
        <v>ON Brampton</v>
      </c>
      <c r="N42" s="17">
        <f>Data!M44</f>
        <v>851.89996337890602</v>
      </c>
      <c r="O42" s="13">
        <f>Data!N44</f>
        <v>7.6578408479690593E-2</v>
      </c>
      <c r="P42" s="14" t="str">
        <f>IF(Data!T44=0,"",Data!T44)</f>
        <v>Automatic</v>
      </c>
      <c r="Q42" s="14" t="str">
        <f>IF(Data!U44=0,"",Data!U44)</f>
        <v/>
      </c>
      <c r="R42" s="14" t="str">
        <f>IF(Data!V44=0,"",Data!V44)</f>
        <v/>
      </c>
    </row>
    <row r="43" spans="1:18" ht="14.4" x14ac:dyDescent="0.3">
      <c r="A43" s="9" t="s">
        <v>263</v>
      </c>
      <c r="B43" s="9" t="s">
        <v>264</v>
      </c>
      <c r="C43" s="9" t="s">
        <v>182</v>
      </c>
      <c r="D43" s="9" t="str">
        <f t="shared" si="0"/>
        <v>Sam Smith</v>
      </c>
      <c r="E43" s="14">
        <f>Data!A45</f>
        <v>42691.8524372338</v>
      </c>
      <c r="F43" s="13" t="str">
        <f>Data!B45</f>
        <v>D</v>
      </c>
      <c r="G43" s="13">
        <f t="shared" si="1"/>
        <v>0</v>
      </c>
      <c r="H43" s="13" t="str">
        <f>Data!C45</f>
        <v>Dispatch - 7 LS</v>
      </c>
      <c r="I43" s="13">
        <f>Data!K45</f>
        <v>0</v>
      </c>
      <c r="J43" s="13" t="str">
        <f>Data!L45</f>
        <v>606657</v>
      </c>
      <c r="K43" s="16">
        <f>Data!O45</f>
        <v>-79.784011840820298</v>
      </c>
      <c r="L43" s="16">
        <f>Data!P45</f>
        <v>43.730842590332003</v>
      </c>
      <c r="M43" s="13" t="str">
        <f>Data!R45</f>
        <v>ON Brampton</v>
      </c>
      <c r="N43" s="17">
        <f>Data!M45</f>
        <v>851.97650146484398</v>
      </c>
      <c r="O43" s="13">
        <f>Data!N45</f>
        <v>14.836331367492701</v>
      </c>
      <c r="P43" s="14" t="str">
        <f>IF(Data!T45=0,"",Data!T45)</f>
        <v>Automatic</v>
      </c>
      <c r="Q43" s="14" t="str">
        <f>IF(Data!U45=0,"",Data!U45)</f>
        <v/>
      </c>
      <c r="R43" s="14" t="str">
        <f>IF(Data!V45=0,"",Data!V45)</f>
        <v/>
      </c>
    </row>
    <row r="44" spans="1:18" ht="14.4" x14ac:dyDescent="0.3">
      <c r="A44" s="9" t="s">
        <v>263</v>
      </c>
      <c r="B44" s="9" t="s">
        <v>264</v>
      </c>
      <c r="C44" s="9" t="s">
        <v>182</v>
      </c>
      <c r="D44" s="9" t="str">
        <f t="shared" si="0"/>
        <v>Sam Smith</v>
      </c>
      <c r="E44" s="14">
        <f>Data!A46</f>
        <v>42691.8732640046</v>
      </c>
      <c r="F44" s="13" t="str">
        <f>Data!B46</f>
        <v>ON</v>
      </c>
      <c r="G44" s="13">
        <f t="shared" si="1"/>
        <v>0</v>
      </c>
      <c r="H44" s="13" t="str">
        <f>Data!C46</f>
        <v>Dispatch - 7 LS</v>
      </c>
      <c r="I44" s="13">
        <f>Data!K46</f>
        <v>0</v>
      </c>
      <c r="J44" s="13" t="str">
        <f>Data!L46</f>
        <v>606657</v>
      </c>
      <c r="K44" s="16">
        <f>Data!O46</f>
        <v>-79.869873046875</v>
      </c>
      <c r="L44" s="16">
        <f>Data!P46</f>
        <v>43.869415283203097</v>
      </c>
      <c r="M44" s="13" t="str">
        <f>Data!R46</f>
        <v>11mi ESE ON Orangeville</v>
      </c>
      <c r="N44" s="17">
        <f>Data!M46</f>
        <v>866.81286621093795</v>
      </c>
      <c r="O44" s="13">
        <f>Data!N46</f>
        <v>0</v>
      </c>
      <c r="P44" s="14" t="str">
        <f>IF(Data!T46=0,"",Data!T46)</f>
        <v>Automatic</v>
      </c>
      <c r="Q44" s="14" t="str">
        <f>IF(Data!U46=0,"",Data!U46)</f>
        <v/>
      </c>
      <c r="R44" s="14" t="str">
        <f>IF(Data!V46=0,"",Data!V46)</f>
        <v/>
      </c>
    </row>
  </sheetData>
  <mergeCells count="5">
    <mergeCell ref="B3:E3"/>
    <mergeCell ref="B4:E4"/>
    <mergeCell ref="B5:E5"/>
    <mergeCell ref="B6:E6"/>
    <mergeCell ref="B7:E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23"/>
  <sheetViews>
    <sheetView workbookViewId="0"/>
  </sheetViews>
  <sheetFormatPr defaultRowHeight="13.2" x14ac:dyDescent="0.25"/>
  <cols>
    <col min="1" max="6" width="30" customWidth="1"/>
  </cols>
  <sheetData>
    <row r="1" spans="1:6" s="20" customFormat="1" x14ac:dyDescent="0.25">
      <c r="A1" s="20" t="s">
        <v>35</v>
      </c>
      <c r="B1" s="20" t="s">
        <v>36</v>
      </c>
      <c r="C1" s="20" t="s">
        <v>37</v>
      </c>
      <c r="D1" s="20" t="s">
        <v>38</v>
      </c>
      <c r="E1" s="20" t="s">
        <v>39</v>
      </c>
      <c r="F1" s="20" t="s">
        <v>153</v>
      </c>
    </row>
    <row r="2" spans="1:6" x14ac:dyDescent="0.25">
      <c r="A2" t="s">
        <v>40</v>
      </c>
      <c r="B2" t="s">
        <v>60</v>
      </c>
      <c r="C2" t="s">
        <v>61</v>
      </c>
      <c r="D2" t="s">
        <v>62</v>
      </c>
      <c r="E2" t="s">
        <v>63</v>
      </c>
      <c r="F2" t="s">
        <v>154</v>
      </c>
    </row>
    <row r="3" spans="1:6" x14ac:dyDescent="0.25">
      <c r="A3" t="s">
        <v>57</v>
      </c>
      <c r="B3" t="s">
        <v>56</v>
      </c>
      <c r="C3" t="s">
        <v>64</v>
      </c>
      <c r="D3" t="s">
        <v>65</v>
      </c>
      <c r="E3" t="s">
        <v>66</v>
      </c>
      <c r="F3" t="s">
        <v>155</v>
      </c>
    </row>
    <row r="4" spans="1:6" x14ac:dyDescent="0.25">
      <c r="A4" t="s">
        <v>41</v>
      </c>
      <c r="B4" t="s">
        <v>67</v>
      </c>
      <c r="C4" t="s">
        <v>68</v>
      </c>
      <c r="D4" t="s">
        <v>12</v>
      </c>
      <c r="E4" t="s">
        <v>69</v>
      </c>
      <c r="F4" t="s">
        <v>12</v>
      </c>
    </row>
    <row r="5" spans="1:6" x14ac:dyDescent="0.25">
      <c r="A5" t="s">
        <v>42</v>
      </c>
      <c r="B5" t="s">
        <v>70</v>
      </c>
      <c r="C5" t="s">
        <v>71</v>
      </c>
      <c r="D5" t="s">
        <v>72</v>
      </c>
      <c r="E5" t="s">
        <v>73</v>
      </c>
      <c r="F5" t="s">
        <v>156</v>
      </c>
    </row>
    <row r="6" spans="1:6" x14ac:dyDescent="0.25">
      <c r="A6" t="s">
        <v>43</v>
      </c>
      <c r="B6" t="s">
        <v>74</v>
      </c>
      <c r="C6" t="s">
        <v>75</v>
      </c>
      <c r="D6" t="s">
        <v>76</v>
      </c>
      <c r="E6" t="s">
        <v>77</v>
      </c>
      <c r="F6" t="s">
        <v>157</v>
      </c>
    </row>
    <row r="7" spans="1:6" x14ac:dyDescent="0.25">
      <c r="A7" t="s">
        <v>44</v>
      </c>
      <c r="B7" t="s">
        <v>78</v>
      </c>
      <c r="C7" t="s">
        <v>79</v>
      </c>
      <c r="D7" t="s">
        <v>80</v>
      </c>
      <c r="E7" t="s">
        <v>81</v>
      </c>
      <c r="F7" t="s">
        <v>158</v>
      </c>
    </row>
    <row r="8" spans="1:6" x14ac:dyDescent="0.25">
      <c r="A8" t="s">
        <v>45</v>
      </c>
      <c r="B8" t="s">
        <v>14</v>
      </c>
      <c r="C8" t="s">
        <v>82</v>
      </c>
      <c r="D8" t="s">
        <v>83</v>
      </c>
      <c r="E8" t="s">
        <v>84</v>
      </c>
      <c r="F8" t="s">
        <v>159</v>
      </c>
    </row>
    <row r="9" spans="1:6" x14ac:dyDescent="0.25">
      <c r="A9" t="s">
        <v>46</v>
      </c>
      <c r="B9" t="s">
        <v>15</v>
      </c>
      <c r="C9" t="s">
        <v>85</v>
      </c>
      <c r="D9" t="s">
        <v>86</v>
      </c>
      <c r="E9" t="s">
        <v>87</v>
      </c>
      <c r="F9" t="s">
        <v>160</v>
      </c>
    </row>
    <row r="10" spans="1:6" x14ac:dyDescent="0.25">
      <c r="A10" t="s">
        <v>47</v>
      </c>
      <c r="B10" t="s">
        <v>88</v>
      </c>
      <c r="C10" t="s">
        <v>89</v>
      </c>
      <c r="D10" t="s">
        <v>88</v>
      </c>
      <c r="E10" t="s">
        <v>90</v>
      </c>
      <c r="F10" t="s">
        <v>161</v>
      </c>
    </row>
    <row r="11" spans="1:6" x14ac:dyDescent="0.25">
      <c r="A11" t="s">
        <v>48</v>
      </c>
      <c r="B11" t="s">
        <v>91</v>
      </c>
      <c r="C11" t="s">
        <v>92</v>
      </c>
      <c r="D11" t="s">
        <v>93</v>
      </c>
      <c r="E11" t="s">
        <v>94</v>
      </c>
      <c r="F11" t="s">
        <v>162</v>
      </c>
    </row>
    <row r="12" spans="1:6" x14ac:dyDescent="0.25">
      <c r="A12" t="s">
        <v>49</v>
      </c>
      <c r="B12" t="s">
        <v>16</v>
      </c>
      <c r="C12" t="s">
        <v>95</v>
      </c>
      <c r="D12" t="s">
        <v>96</v>
      </c>
      <c r="E12" t="s">
        <v>97</v>
      </c>
      <c r="F12" t="s">
        <v>163</v>
      </c>
    </row>
    <row r="13" spans="1:6" x14ac:dyDescent="0.25">
      <c r="A13" t="s">
        <v>58</v>
      </c>
      <c r="B13" t="s">
        <v>98</v>
      </c>
      <c r="C13" t="s">
        <v>99</v>
      </c>
      <c r="D13" t="s">
        <v>100</v>
      </c>
      <c r="E13" t="s">
        <v>101</v>
      </c>
      <c r="F13" t="s">
        <v>164</v>
      </c>
    </row>
    <row r="14" spans="1:6" x14ac:dyDescent="0.25">
      <c r="A14" t="s">
        <v>59</v>
      </c>
      <c r="B14" t="s">
        <v>102</v>
      </c>
      <c r="C14" t="s">
        <v>103</v>
      </c>
      <c r="D14" t="s">
        <v>104</v>
      </c>
      <c r="E14" t="s">
        <v>105</v>
      </c>
      <c r="F14" t="s">
        <v>165</v>
      </c>
    </row>
    <row r="15" spans="1:6" x14ac:dyDescent="0.25">
      <c r="A15" t="s">
        <v>50</v>
      </c>
      <c r="B15" t="s">
        <v>106</v>
      </c>
      <c r="C15" t="s">
        <v>107</v>
      </c>
      <c r="D15" t="s">
        <v>108</v>
      </c>
      <c r="E15" t="s">
        <v>109</v>
      </c>
      <c r="F15" t="s">
        <v>166</v>
      </c>
    </row>
    <row r="16" spans="1:6" x14ac:dyDescent="0.25">
      <c r="A16" t="s">
        <v>55</v>
      </c>
      <c r="B16" t="s">
        <v>110</v>
      </c>
      <c r="C16" t="s">
        <v>111</v>
      </c>
      <c r="D16" t="s">
        <v>112</v>
      </c>
      <c r="E16" t="s">
        <v>113</v>
      </c>
      <c r="F16" t="s">
        <v>167</v>
      </c>
    </row>
    <row r="17" spans="1:6" x14ac:dyDescent="0.25">
      <c r="A17" t="s">
        <v>51</v>
      </c>
      <c r="B17" t="s">
        <v>114</v>
      </c>
      <c r="C17" t="s">
        <v>115</v>
      </c>
      <c r="D17" t="s">
        <v>116</v>
      </c>
      <c r="E17" t="s">
        <v>117</v>
      </c>
      <c r="F17" t="s">
        <v>168</v>
      </c>
    </row>
    <row r="18" spans="1:6" x14ac:dyDescent="0.25">
      <c r="A18" t="s">
        <v>52</v>
      </c>
      <c r="B18" t="s">
        <v>118</v>
      </c>
      <c r="C18" t="s">
        <v>119</v>
      </c>
      <c r="D18" t="s">
        <v>120</v>
      </c>
      <c r="E18" t="s">
        <v>121</v>
      </c>
      <c r="F18" t="s">
        <v>169</v>
      </c>
    </row>
    <row r="19" spans="1:6" x14ac:dyDescent="0.25">
      <c r="A19" t="s">
        <v>53</v>
      </c>
      <c r="B19" t="s">
        <v>122</v>
      </c>
      <c r="C19" t="s">
        <v>123</v>
      </c>
      <c r="D19" t="s">
        <v>124</v>
      </c>
      <c r="E19" t="s">
        <v>125</v>
      </c>
      <c r="F19" t="s">
        <v>170</v>
      </c>
    </row>
    <row r="20" spans="1:6" x14ac:dyDescent="0.25">
      <c r="A20" t="s">
        <v>54</v>
      </c>
      <c r="B20" t="s">
        <v>126</v>
      </c>
      <c r="C20" t="s">
        <v>127</v>
      </c>
      <c r="D20" t="s">
        <v>128</v>
      </c>
      <c r="E20" t="s">
        <v>129</v>
      </c>
      <c r="F20" t="s">
        <v>171</v>
      </c>
    </row>
    <row r="21" spans="1:6" x14ac:dyDescent="0.25">
      <c r="A21" s="22" t="s">
        <v>136</v>
      </c>
      <c r="B21" s="22" t="s">
        <v>137</v>
      </c>
      <c r="C21" s="22" t="s">
        <v>138</v>
      </c>
      <c r="D21" s="22" t="s">
        <v>139</v>
      </c>
      <c r="E21" s="22" t="s">
        <v>140</v>
      </c>
      <c r="F21" t="s">
        <v>172</v>
      </c>
    </row>
    <row r="22" spans="1:6" x14ac:dyDescent="0.25">
      <c r="A22" s="22" t="s">
        <v>141</v>
      </c>
      <c r="B22" s="22" t="s">
        <v>142</v>
      </c>
      <c r="C22" s="22" t="s">
        <v>143</v>
      </c>
      <c r="D22" s="22" t="s">
        <v>144</v>
      </c>
      <c r="E22" s="22" t="s">
        <v>145</v>
      </c>
      <c r="F22" t="s">
        <v>173</v>
      </c>
    </row>
    <row r="23" spans="1:6" x14ac:dyDescent="0.25">
      <c r="A23" t="s">
        <v>148</v>
      </c>
      <c r="B23" t="s">
        <v>149</v>
      </c>
      <c r="C23" t="s">
        <v>150</v>
      </c>
      <c r="D23" t="s">
        <v>151</v>
      </c>
      <c r="E23" t="s">
        <v>152</v>
      </c>
      <c r="F23" t="s">
        <v>174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Summary</vt:lpstr>
      <vt:lpstr>Setup</vt:lpstr>
      <vt:lpstr>Report</vt:lpstr>
      <vt:lpstr>Languages</vt:lpstr>
      <vt:lpstr>AllData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Grishma Sawant</cp:lastModifiedBy>
  <dcterms:created xsi:type="dcterms:W3CDTF">2009-05-21T13:20:04Z</dcterms:created>
  <dcterms:modified xsi:type="dcterms:W3CDTF">2017-01-10T16:17:20Z</dcterms:modified>
</cp:coreProperties>
</file>