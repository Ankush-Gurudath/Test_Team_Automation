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ricardorivera\Documents\Reports\DU - NEWER Reports + Instructions\"/>
    </mc:Choice>
  </mc:AlternateContent>
  <xr:revisionPtr revIDLastSave="0" documentId="13_ncr:1_{2A52F513-CF20-4BAB-8436-094398925F72}" xr6:coauthVersionLast="45" xr6:coauthVersionMax="45" xr10:uidLastSave="{00000000-0000-0000-0000-000000000000}"/>
  <bookViews>
    <workbookView xWindow="-120" yWindow="-120" windowWidth="20730" windowHeight="11160" firstSheet="1" activeTab="1" xr2:uid="{00000000-000D-0000-FFFF-FFFF00000000}"/>
  </bookViews>
  <sheets>
    <sheet name="Data" sheetId="1" state="hidden" r:id="rId1"/>
    <sheet name="Fault Summary" sheetId="13" r:id="rId2"/>
    <sheet name="Vehicle Fault Breakdown" sheetId="11" r:id="rId3"/>
    <sheet name="Report" sheetId="2" r:id="rId4"/>
    <sheet name="Diagnostics String" sheetId="15" state="hidden" r:id="rId5"/>
    <sheet name="Normalized Fault List" sheetId="14" state="hidden" r:id="rId6"/>
    <sheet name="Languages" sheetId="4" state="hidden" r:id="rId7"/>
  </sheets>
  <definedNames>
    <definedName name="_xlnm._FilterDatabase" localSheetId="0" hidden="1">Data!$A$7:$AI$13</definedName>
    <definedName name="_xlnm._FilterDatabase" localSheetId="3" hidden="1">Report!$A$9:$G$46</definedName>
    <definedName name="AllData">Report!$A$9:$G$28</definedName>
    <definedName name="Class">#REF!</definedName>
    <definedName name="Locations">#REF!</definedName>
    <definedName name="Type">#REF!</definedName>
  </definedNames>
  <calcPr calcId="191029" forceFullCalc="1"/>
  <pivotCaches>
    <pivotCache cacheId="5"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1" i="13" l="1"/>
  <c r="A2" i="11" l="1"/>
  <c r="C1" i="11"/>
  <c r="A2" i="13"/>
  <c r="C1" i="13"/>
  <c r="A2" i="2"/>
  <c r="C1" i="2" l="1"/>
  <c r="B6" i="2" l="1"/>
  <c r="B5" i="2"/>
  <c r="B6" i="11"/>
  <c r="B5" i="11"/>
  <c r="B7" i="2" l="1"/>
  <c r="B7" i="11"/>
  <c r="B6" i="13" l="1"/>
  <c r="B5" i="13"/>
  <c r="B7" i="13" l="1"/>
  <c r="A1" i="15"/>
  <c r="B3" i="14" l="1"/>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2" i="14"/>
  <c r="G11" i="2" l="1"/>
  <c r="F11" i="2" s="1"/>
  <c r="G12" i="2"/>
  <c r="F12" i="2" s="1"/>
  <c r="G13" i="2"/>
  <c r="F13" i="2" s="1"/>
  <c r="G14" i="2"/>
  <c r="F14" i="2" s="1"/>
  <c r="G15" i="2"/>
  <c r="F15" i="2" s="1"/>
  <c r="G16" i="2"/>
  <c r="F16" i="2" s="1"/>
  <c r="G17" i="2"/>
  <c r="F17" i="2" s="1"/>
  <c r="G18" i="2"/>
  <c r="F18" i="2" s="1"/>
  <c r="G19" i="2"/>
  <c r="F19" i="2" s="1"/>
  <c r="G20" i="2"/>
  <c r="F20" i="2" s="1"/>
  <c r="G21" i="2"/>
  <c r="F21" i="2" s="1"/>
  <c r="G22" i="2"/>
  <c r="F22" i="2" s="1"/>
  <c r="G23" i="2"/>
  <c r="F23" i="2" s="1"/>
  <c r="G24" i="2"/>
  <c r="F24" i="2" s="1"/>
  <c r="G25" i="2"/>
  <c r="F25" i="2" s="1"/>
  <c r="G26" i="2"/>
  <c r="F26" i="2" s="1"/>
  <c r="G27" i="2"/>
  <c r="F27" i="2" s="1"/>
  <c r="G28" i="2"/>
  <c r="F28" i="2" s="1"/>
  <c r="G29" i="2"/>
  <c r="F29" i="2" s="1"/>
  <c r="G30" i="2"/>
  <c r="F30" i="2" s="1"/>
  <c r="G31" i="2"/>
  <c r="F31" i="2" s="1"/>
  <c r="G32" i="2"/>
  <c r="F32" i="2" s="1"/>
  <c r="G33" i="2"/>
  <c r="F33" i="2" s="1"/>
  <c r="G34" i="2"/>
  <c r="F34" i="2" s="1"/>
  <c r="G35" i="2"/>
  <c r="F35" i="2" s="1"/>
  <c r="G36" i="2"/>
  <c r="F36" i="2" s="1"/>
  <c r="G37" i="2"/>
  <c r="F37" i="2" s="1"/>
  <c r="G38" i="2"/>
  <c r="F38" i="2" s="1"/>
  <c r="G39" i="2"/>
  <c r="F39" i="2" s="1"/>
  <c r="G40" i="2"/>
  <c r="F40" i="2" s="1"/>
  <c r="G41" i="2"/>
  <c r="F41" i="2" s="1"/>
  <c r="G42" i="2"/>
  <c r="F42" i="2" s="1"/>
  <c r="G43" i="2"/>
  <c r="F43" i="2" s="1"/>
  <c r="G44" i="2"/>
  <c r="F44" i="2" s="1"/>
  <c r="G45" i="2"/>
  <c r="F45" i="2" s="1"/>
  <c r="G46" i="2"/>
  <c r="F46" i="2" s="1"/>
  <c r="G10" i="2"/>
  <c r="F10" i="2" s="1"/>
  <c r="E29" i="2" l="1"/>
  <c r="E30" i="2"/>
  <c r="E31" i="2"/>
  <c r="E32" i="2"/>
  <c r="E33" i="2"/>
  <c r="E34" i="2"/>
  <c r="E35" i="2"/>
  <c r="E36" i="2"/>
  <c r="E37" i="2"/>
  <c r="E38" i="2"/>
  <c r="E39" i="2"/>
  <c r="E40" i="2"/>
  <c r="E41" i="2"/>
  <c r="E42" i="2"/>
  <c r="E43" i="2"/>
  <c r="E44" i="2"/>
  <c r="E45" i="2"/>
  <c r="E46" i="2"/>
  <c r="D29" i="2"/>
  <c r="D30" i="2"/>
  <c r="D31" i="2"/>
  <c r="D32" i="2"/>
  <c r="D33" i="2"/>
  <c r="D34" i="2"/>
  <c r="D35" i="2"/>
  <c r="D36" i="2"/>
  <c r="D37" i="2"/>
  <c r="D38" i="2"/>
  <c r="D39" i="2"/>
  <c r="D40" i="2"/>
  <c r="D41" i="2"/>
  <c r="D42" i="2"/>
  <c r="D43" i="2"/>
  <c r="D44" i="2"/>
  <c r="D45" i="2"/>
  <c r="D46" i="2"/>
  <c r="C29" i="2"/>
  <c r="C30" i="2"/>
  <c r="C31" i="2"/>
  <c r="C32" i="2"/>
  <c r="C33" i="2"/>
  <c r="C34" i="2"/>
  <c r="C35" i="2"/>
  <c r="C36" i="2"/>
  <c r="C37" i="2"/>
  <c r="C38" i="2"/>
  <c r="C39" i="2"/>
  <c r="C40" i="2"/>
  <c r="C41" i="2"/>
  <c r="C42" i="2"/>
  <c r="C43" i="2"/>
  <c r="C44" i="2"/>
  <c r="C45" i="2"/>
  <c r="C46" i="2"/>
  <c r="A39" i="2"/>
  <c r="A40" i="2"/>
  <c r="A41" i="2"/>
  <c r="A42" i="2"/>
  <c r="A43" i="2"/>
  <c r="A44" i="2"/>
  <c r="A45" i="2"/>
  <c r="A46" i="2"/>
  <c r="A29" i="2"/>
  <c r="A30" i="2"/>
  <c r="A31" i="2"/>
  <c r="A32" i="2"/>
  <c r="A33" i="2"/>
  <c r="A34" i="2"/>
  <c r="A35" i="2"/>
  <c r="A36" i="2"/>
  <c r="A37" i="2"/>
  <c r="A38" i="2"/>
  <c r="C11" i="2"/>
  <c r="C12" i="2"/>
  <c r="C13" i="2"/>
  <c r="C14" i="2"/>
  <c r="C15" i="2"/>
  <c r="C16" i="2"/>
  <c r="C17" i="2"/>
  <c r="C18" i="2"/>
  <c r="C19" i="2"/>
  <c r="C20" i="2"/>
  <c r="C21" i="2"/>
  <c r="C22" i="2"/>
  <c r="C23" i="2"/>
  <c r="C24" i="2"/>
  <c r="C25" i="2"/>
  <c r="C26" i="2"/>
  <c r="C27" i="2"/>
  <c r="C28" i="2"/>
  <c r="C10" i="2"/>
  <c r="E28" i="2" l="1"/>
  <c r="D28" i="2"/>
  <c r="A28" i="2"/>
  <c r="E27" i="2"/>
  <c r="D27" i="2"/>
  <c r="A27" i="2"/>
  <c r="E26" i="2"/>
  <c r="D26" i="2"/>
  <c r="A26" i="2"/>
  <c r="E25" i="2"/>
  <c r="D25" i="2"/>
  <c r="A25" i="2"/>
  <c r="E24" i="2"/>
  <c r="D24" i="2"/>
  <c r="A24" i="2"/>
  <c r="E23" i="2"/>
  <c r="D23" i="2"/>
  <c r="A23" i="2"/>
  <c r="E22" i="2"/>
  <c r="D22" i="2"/>
  <c r="A22" i="2"/>
  <c r="E21" i="2"/>
  <c r="D21" i="2"/>
  <c r="A21" i="2"/>
  <c r="E20" i="2"/>
  <c r="D20" i="2"/>
  <c r="A20" i="2"/>
  <c r="E19" i="2"/>
  <c r="D19" i="2"/>
  <c r="A19" i="2"/>
  <c r="E18" i="2"/>
  <c r="D18" i="2"/>
  <c r="A18" i="2"/>
  <c r="E17" i="2"/>
  <c r="D17" i="2"/>
  <c r="A17" i="2"/>
  <c r="E16" i="2"/>
  <c r="D16" i="2"/>
  <c r="A16" i="2"/>
  <c r="E15" i="2"/>
  <c r="D15" i="2"/>
  <c r="A15" i="2"/>
  <c r="E14" i="2"/>
  <c r="D14" i="2"/>
  <c r="A14" i="2"/>
  <c r="E13" i="2"/>
  <c r="D13" i="2"/>
  <c r="A13" i="2"/>
  <c r="E12" i="2"/>
  <c r="D12" i="2"/>
  <c r="A12" i="2"/>
  <c r="E11" i="2"/>
  <c r="D11" i="2"/>
  <c r="A11" i="2"/>
  <c r="E10" i="2"/>
  <c r="D10" i="2"/>
  <c r="A10" i="2"/>
  <c r="B35" i="2"/>
  <c r="B14" i="2"/>
  <c r="B13" i="2"/>
  <c r="B27" i="2"/>
  <c r="B36" i="2"/>
  <c r="B43" i="2"/>
  <c r="B31" i="2"/>
  <c r="B25" i="2"/>
  <c r="B29" i="2"/>
  <c r="B42" i="2"/>
  <c r="B46" i="2"/>
  <c r="B16" i="2"/>
  <c r="B34" i="2"/>
  <c r="B38" i="2"/>
  <c r="B10" i="2"/>
  <c r="B20" i="2"/>
  <c r="B15" i="2"/>
  <c r="B22" i="2"/>
  <c r="B18" i="2"/>
  <c r="B40" i="2"/>
  <c r="B19" i="2"/>
  <c r="B11" i="2"/>
  <c r="B32" i="2"/>
  <c r="B21" i="2"/>
  <c r="B28" i="2"/>
  <c r="B39" i="2"/>
  <c r="B26" i="2"/>
  <c r="B23" i="2"/>
  <c r="B30" i="2"/>
  <c r="B45" i="2"/>
  <c r="B33" i="2"/>
  <c r="B24" i="2"/>
  <c r="B37" i="2"/>
  <c r="B17" i="2"/>
  <c r="B44" i="2"/>
  <c r="B12" i="2"/>
  <c r="B4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A1" authorId="0" shapeId="0" xr:uid="{00000000-0006-0000-0000-000001000000}">
      <text>
        <r>
          <rPr>
            <sz val="10"/>
            <rFont val="Arial"/>
            <family val="2"/>
          </rPr>
          <t>EngineFault.19</t>
        </r>
      </text>
    </comment>
  </commentList>
</comments>
</file>

<file path=xl/sharedStrings.xml><?xml version="1.0" encoding="utf-8"?>
<sst xmlns="http://schemas.openxmlformats.org/spreadsheetml/2006/main" count="576" uniqueCount="237">
  <si>
    <t>Description</t>
  </si>
  <si>
    <t>Source</t>
  </si>
  <si>
    <t/>
  </si>
  <si>
    <t>FaultDataDateTime</t>
  </si>
  <si>
    <t>FaultDataFaultState</t>
  </si>
  <si>
    <t>FaultDataCount</t>
  </si>
  <si>
    <t>FaultDataDismissDateTime</t>
  </si>
  <si>
    <t>Pending</t>
  </si>
  <si>
    <t>Active</t>
  </si>
  <si>
    <t>.Diagnostic.DiagnosticName</t>
  </si>
  <si>
    <t>.Diagnostic.DiagnosticCode</t>
  </si>
  <si>
    <t>.FailureMode.FailureModeName</t>
  </si>
  <si>
    <t>.FailureMode.FailureModeId</t>
  </si>
  <si>
    <t>.FailureMode.FailureModeCode</t>
  </si>
  <si>
    <t>.Diagnostic.Source.SourceName</t>
  </si>
  <si>
    <t>.Diagnostic.Source.SourceId</t>
  </si>
  <si>
    <t>.Controller.ControllerName</t>
  </si>
  <si>
    <t>.Controller.ControllerId</t>
  </si>
  <si>
    <t>.Controller.ControllerCode</t>
  </si>
  <si>
    <t>.DismissUser.UserName</t>
  </si>
  <si>
    <t>.DismissUser.UserId</t>
  </si>
  <si>
    <t>.DismissUser.UserComment</t>
  </si>
  <si>
    <t>.FlashCode.FlashCodeName</t>
  </si>
  <si>
    <t>.FlashCode.FlashCodeId</t>
  </si>
  <si>
    <t>.FlashCode.FlashCodeCircuitIndex</t>
  </si>
  <si>
    <t>.FlashCode.FlashCodeFlashCodeIndex</t>
  </si>
  <si>
    <t>.FloashCode.FlashCodePriorityLevel</t>
  </si>
  <si>
    <t>.FlashCode.FlashCodeHelpUrl</t>
  </si>
  <si>
    <t>.FlashCode.FlashCodePageReference</t>
  </si>
  <si>
    <t>.FlashCode.FaultDataAmberWarningLamp</t>
  </si>
  <si>
    <t>.FlashCode.FaultDataRedStopLamp</t>
  </si>
  <si>
    <t>.FlashCode.FaultDataMalfunctionLamp</t>
  </si>
  <si>
    <t>.FlashCode.FaultDataProtectWarningLamp</t>
  </si>
  <si>
    <t>.Diagnostic.DiagnosticId</t>
  </si>
  <si>
    <t>RunDate</t>
  </si>
  <si>
    <t>FromDate</t>
  </si>
  <si>
    <t>ToDate</t>
  </si>
  <si>
    <t>CompanyName</t>
  </si>
  <si>
    <t>SendReport</t>
  </si>
  <si>
    <t>LastModifiedUser</t>
  </si>
  <si>
    <t>.FaultDataFaultLampStatus</t>
  </si>
  <si>
    <t>.Device.DeviceName</t>
  </si>
  <si>
    <t>.Device.DeviceId</t>
  </si>
  <si>
    <t>.Device.DeviceComment</t>
  </si>
  <si>
    <t>.Device.DeviceGroup</t>
  </si>
  <si>
    <t>Code</t>
  </si>
  <si>
    <t>English</t>
  </si>
  <si>
    <t>French</t>
  </si>
  <si>
    <t>Spanish</t>
  </si>
  <si>
    <t>German</t>
  </si>
  <si>
    <t>Japanese</t>
  </si>
  <si>
    <t>**Device</t>
  </si>
  <si>
    <t>**Device Group</t>
  </si>
  <si>
    <t>**Dismiss User</t>
  </si>
  <si>
    <t>**Description</t>
  </si>
  <si>
    <t>**Failure Mode</t>
  </si>
  <si>
    <t>**Source</t>
  </si>
  <si>
    <t>**Controller</t>
  </si>
  <si>
    <t>**Code</t>
  </si>
  <si>
    <t>**Created</t>
  </si>
  <si>
    <t>**From</t>
  </si>
  <si>
    <t>**To</t>
  </si>
  <si>
    <t>**Engine Fault Report</t>
  </si>
  <si>
    <t>Date</t>
  </si>
  <si>
    <t>**Date</t>
  </si>
  <si>
    <t>**Dismiss Date</t>
  </si>
  <si>
    <t>Dispositif</t>
  </si>
  <si>
    <t>Dispositivo</t>
  </si>
  <si>
    <t>Gerät</t>
  </si>
  <si>
    <t>デバイス</t>
  </si>
  <si>
    <t>Groupe de dispositifs</t>
  </si>
  <si>
    <t>Grupo de dispositivos</t>
  </si>
  <si>
    <t>Gerätegruppe</t>
  </si>
  <si>
    <t>デバイスグループ</t>
  </si>
  <si>
    <t>Fecha</t>
  </si>
  <si>
    <t>Datum</t>
  </si>
  <si>
    <t>データ</t>
  </si>
  <si>
    <t>Date de rejet</t>
  </si>
  <si>
    <t>Fecha de descarte</t>
  </si>
  <si>
    <t>Aufhebungsdatum</t>
  </si>
  <si>
    <t>日付を却下</t>
  </si>
  <si>
    <t>Rejeter l'utilisateur</t>
  </si>
  <si>
    <t>Usuario que lo descarta</t>
  </si>
  <si>
    <t>Aufhebender Benutzer</t>
  </si>
  <si>
    <t>ユーザーを却下</t>
  </si>
  <si>
    <t>Descripción</t>
  </si>
  <si>
    <t>Beschreibung</t>
  </si>
  <si>
    <t>説明を入力してください</t>
  </si>
  <si>
    <t>Modes de défaillance</t>
  </si>
  <si>
    <t>Modo de Falla</t>
  </si>
  <si>
    <t>Ausfallart</t>
  </si>
  <si>
    <t>故障モード</t>
  </si>
  <si>
    <t>Fuente</t>
  </si>
  <si>
    <t>Quelle</t>
  </si>
  <si>
    <t>ソース</t>
  </si>
  <si>
    <t>Contrôleur du moteur</t>
  </si>
  <si>
    <t>Controlador de motor</t>
  </si>
  <si>
    <t>Motorsteuerung</t>
  </si>
  <si>
    <t>コントローラー</t>
  </si>
  <si>
    <t>Código</t>
  </si>
  <si>
    <t>コード</t>
  </si>
  <si>
    <t>Rapport d'anomalie du moteur</t>
  </si>
  <si>
    <t>Reporte de errores del motor</t>
  </si>
  <si>
    <t>Bericht Motorfehler</t>
  </si>
  <si>
    <t>エンジン異常レポート</t>
  </si>
  <si>
    <t>Créé</t>
  </si>
  <si>
    <t>Creado</t>
  </si>
  <si>
    <t>Angelegt</t>
  </si>
  <si>
    <t>作成済</t>
  </si>
  <si>
    <t>À partir de</t>
  </si>
  <si>
    <t>De</t>
  </si>
  <si>
    <t>Von</t>
  </si>
  <si>
    <t>から</t>
  </si>
  <si>
    <t>Pour</t>
  </si>
  <si>
    <t>Para</t>
  </si>
  <si>
    <t>An</t>
  </si>
  <si>
    <t>へ</t>
  </si>
  <si>
    <t>**&lt;No User&gt;</t>
  </si>
  <si>
    <t>Telematics device fault: telematics device has been unplugged</t>
  </si>
  <si>
    <t>Telematics Device</t>
  </si>
  <si>
    <t>SourceGeotabGoId</t>
  </si>
  <si>
    <t>NoUserId</t>
  </si>
  <si>
    <t>Telematics device fault: all power removed - device restarted</t>
  </si>
  <si>
    <t>Telematics device fault: GPS quality poor (bad device install or vehicle undercover)</t>
  </si>
  <si>
    <t>Telematics device fault: low voltage in power supply (bad battery or reinstall required) - device restarted</t>
  </si>
  <si>
    <t>Accelerometer disabled due to excessive data (device needs re-installation)</t>
  </si>
  <si>
    <t>Telematics device fault: report to reseller - device restarted (internal reset condition)</t>
  </si>
  <si>
    <t>Telematics device fault: report to reseller - GPS module not responding</t>
  </si>
  <si>
    <t>From</t>
  </si>
  <si>
    <t>To</t>
  </si>
  <si>
    <t>Device</t>
  </si>
  <si>
    <t>Grand Total</t>
  </si>
  <si>
    <t>Time</t>
  </si>
  <si>
    <t>ALERT: Accident limit for acceleration exceeded</t>
  </si>
  <si>
    <t>CAN BUS disabled due to excessive errors detected (device install needs validation)</t>
  </si>
  <si>
    <t>CAN transmit error count exceeded</t>
  </si>
  <si>
    <t>Device is disabled in MyAdmin (contact reseller)</t>
  </si>
  <si>
    <t>Device logging disabled</t>
  </si>
  <si>
    <t>Excessive accelerometer events</t>
  </si>
  <si>
    <t>Excessive accelerometer events over accident threshold</t>
  </si>
  <si>
    <t>Excessive accelerometer logs in a single event</t>
  </si>
  <si>
    <t>Excessive engine records are being created</t>
  </si>
  <si>
    <t>Excessive errors detected on legacy communication bus</t>
  </si>
  <si>
    <t>Excessive logging detected</t>
  </si>
  <si>
    <t>Telematics device fault: report to reseller - Aux module failure</t>
  </si>
  <si>
    <t>Telematics device fault: report to reseller - RF module MAC address error</t>
  </si>
  <si>
    <t>Telematics device fault: report to reseller - RF module failure</t>
  </si>
  <si>
    <t>Telematics device fault: report to reseller - bootloader update has failed</t>
  </si>
  <si>
    <t>Telematics device fault: report to reseller - flash memory failure</t>
  </si>
  <si>
    <t>Telematics device fault: report to reseller - internal clock stopped</t>
  </si>
  <si>
    <t>Telematics device fault: report to reseller - invalid device type detected</t>
  </si>
  <si>
    <t>Telematics device fault: report to reseller - invalid opcode reset</t>
  </si>
  <si>
    <t>Telematics device fault: report to reseller - telematics device restarted (internal watchdog condition)</t>
  </si>
  <si>
    <t>Telematics device fault: CAN bus was not initialized</t>
  </si>
  <si>
    <t>Telematics device fault: CAN mode failed during initialization</t>
  </si>
  <si>
    <t>Telematics device fault: GPS antenna short-circuited</t>
  </si>
  <si>
    <t>Telematics device fault: GPS antenna unplugged</t>
  </si>
  <si>
    <t>Telematics device fault: restarted the modem manager state machine</t>
  </si>
  <si>
    <t>Telematics device fault: restarted the modem state machine</t>
  </si>
  <si>
    <t>Telematics device fault: restarted the radio manager state machine</t>
  </si>
  <si>
    <t>Telematics device fault: restarted the radio state machine</t>
  </si>
  <si>
    <t>Fault</t>
  </si>
  <si>
    <t>Can Transmit Error Count Exceeded</t>
  </si>
  <si>
    <t>Device Logging Disabled</t>
  </si>
  <si>
    <t>Excessive Accelerometer Events</t>
  </si>
  <si>
    <t>Excessive Accelerometer Events Over Accident Threshold</t>
  </si>
  <si>
    <t>Excessive Accelerometer Logs In A Single Event</t>
  </si>
  <si>
    <t>Excessive Engine Records Are Being Created</t>
  </si>
  <si>
    <t>Excessive Errors Detected On Legacy Communication Bus</t>
  </si>
  <si>
    <t>Excessive Logging Detected</t>
  </si>
  <si>
    <t>All Power Removed - Device Restarted</t>
  </si>
  <si>
    <t>Can Bus Was Not Initialized</t>
  </si>
  <si>
    <t>Can Mode Failed During Initialization</t>
  </si>
  <si>
    <t>Gps Antenna Short-Circuited</t>
  </si>
  <si>
    <t>Gps Antenna Unplugged</t>
  </si>
  <si>
    <t>Warning: vehicle battery has low voltage</t>
  </si>
  <si>
    <t>Gps Quality Poor</t>
  </si>
  <si>
    <t>Device Is Disabled In Myadmin</t>
  </si>
  <si>
    <t>Can Bus Disabled Due To Excessive Errors Detected</t>
  </si>
  <si>
    <t>Accelerometer Disabled Due To Excessive Data</t>
  </si>
  <si>
    <t>Accident Limit For Acceleration Exceeded</t>
  </si>
  <si>
    <t>Fleet Name</t>
  </si>
  <si>
    <t>Vehicle 1</t>
  </si>
  <si>
    <t>Vehicle 2</t>
  </si>
  <si>
    <t>Vehicle 3</t>
  </si>
  <si>
    <t>Vehicle 4</t>
  </si>
  <si>
    <t>Vehicle 5</t>
  </si>
  <si>
    <t>Vehicle 6</t>
  </si>
  <si>
    <t>Vehicle 7</t>
  </si>
  <si>
    <t>Vehicle 8</t>
  </si>
  <si>
    <t>Vehicle 9</t>
  </si>
  <si>
    <t>Vehicle 10</t>
  </si>
  <si>
    <t>Vehicle 11</t>
  </si>
  <si>
    <t>Vehicle 12</t>
  </si>
  <si>
    <t>Group A</t>
  </si>
  <si>
    <t>Group B</t>
  </si>
  <si>
    <t>Vehicle 13</t>
  </si>
  <si>
    <t>Vehicle 14</t>
  </si>
  <si>
    <t>Vehicle 15</t>
  </si>
  <si>
    <t>Vehicle 16</t>
  </si>
  <si>
    <t>Vehicle 17</t>
  </si>
  <si>
    <t>Vehicle 18</t>
  </si>
  <si>
    <t>Vehicle 19</t>
  </si>
  <si>
    <t>Vehicle 20</t>
  </si>
  <si>
    <t>Vehicle 21</t>
  </si>
  <si>
    <t>Vehicle 22</t>
  </si>
  <si>
    <t>Vehicle 23</t>
  </si>
  <si>
    <t>Vehicle 24</t>
  </si>
  <si>
    <t>Vehicle 25</t>
  </si>
  <si>
    <t>Vehicle 26</t>
  </si>
  <si>
    <t>Vehicle 27</t>
  </si>
  <si>
    <t>Vehicle 28</t>
  </si>
  <si>
    <t>Device Group</t>
  </si>
  <si>
    <t>Unique Device Per Fault</t>
  </si>
  <si>
    <t>Device Count</t>
  </si>
  <si>
    <t>Raw Fault</t>
  </si>
  <si>
    <t>Normalized Fault</t>
  </si>
  <si>
    <t>Telematics device fault: check device install - accelerometer disabled due to excessive data</t>
  </si>
  <si>
    <t>Telematics device fault: problem communicating with engine - potential bad install - harness issue or device failure - CAN BUS disabled due to excessive errors detected</t>
  </si>
  <si>
    <t>Device logging is disabled in MyAdmin (contact reseller)</t>
  </si>
  <si>
    <t>Telematics device fault: problem communicating with engine - potential bad install - harness issue or device failure - CAN mode failed during normal operation</t>
  </si>
  <si>
    <t>Telematics device fault: problem communicating with engine - potential bad install - harness issue or device failure - CAN mode failed during initialization</t>
  </si>
  <si>
    <t>Telematics device fault: remove device and report to reseller - GPS antenna short-circuited</t>
  </si>
  <si>
    <t>Telematics device fault: remove device and report to reseller - GPS antenna unplugged</t>
  </si>
  <si>
    <t>Telematics device fault: remove device and report to reseller - bootloader update has failed</t>
  </si>
  <si>
    <t>Telematics device fault: remove device and report to reseller - flash memory failure</t>
  </si>
  <si>
    <t>Telematics device fault: remove device and report to reseller - GPS module not responding</t>
  </si>
  <si>
    <t>Telematics device fault: remove device and report to reseller - internal clock stopped</t>
  </si>
  <si>
    <t>Telematics device fault: remove device and report to reseller - invalid device type detected</t>
  </si>
  <si>
    <t>Telematics device fault: remove device and report to reseller - RF module failure</t>
  </si>
  <si>
    <t>Telematics device fault: remove device and report to reseller - RF module MAC address error</t>
  </si>
  <si>
    <t>Telematics device fault: remove device and report to reseller - Aux module failure</t>
  </si>
  <si>
    <t xml:space="preserve">Date </t>
  </si>
  <si>
    <t xml:space="preserve">Time </t>
  </si>
  <si>
    <t>Days</t>
  </si>
  <si>
    <t>Telematics Device Fault Summary</t>
  </si>
  <si>
    <t>Telematics Device Fault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</si>
</sst>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d/mm/yyyy\ h:mm:ss\ AM/PM"/>
    <numFmt numFmtId="165" formatCode="mmm\ dd\,\ yyyy"/>
    <numFmt numFmtId="166" formatCode="[$-409]h:mm:ss\ AM/PM;@"/>
    <numFmt numFmtId="167" formatCode="[$-409]mmm\ dd\,\ yyyy"/>
  </numFmts>
  <fonts count="29">
    <font>
      <sz val="10"/>
      <name val="Arial"/>
      <family val="2"/>
    </font>
    <font>
      <sz val="11"/>
      <color theme="1"/>
      <name val="Calibri"/>
      <family val="2"/>
      <scheme val="minor"/>
    </font>
    <font>
      <b/>
      <sz val="7"/>
      <color indexed="8"/>
      <name val="Tahoma"/>
      <family val="2"/>
    </font>
    <font>
      <sz val="10"/>
      <name val="Arial"/>
      <family val="2"/>
    </font>
    <font>
      <sz val="8"/>
      <color indexed="8"/>
      <name val="Tahoma"/>
      <family val="2"/>
    </font>
    <font>
      <sz val="11"/>
      <color theme="1"/>
      <name val="Calibri"/>
      <family val="2"/>
      <scheme val="minor"/>
    </font>
    <font>
      <sz val="11"/>
      <color theme="0"/>
      <name val="Calibri"/>
      <family val="2"/>
      <scheme val="minor"/>
    </font>
    <font>
      <b/>
      <sz val="18"/>
      <color theme="1"/>
      <name val="Calibri"/>
      <family val="2"/>
      <scheme val="minor"/>
    </font>
    <font>
      <sz val="11"/>
      <color theme="3"/>
      <name val="Calibri"/>
      <family val="2"/>
      <scheme val="minor"/>
    </font>
    <font>
      <b/>
      <sz val="11"/>
      <color theme="1"/>
      <name val="Calibri"/>
      <family val="2"/>
    </font>
    <font>
      <b/>
      <sz val="11"/>
      <color theme="1"/>
      <name val="Calibri"/>
      <family val="2"/>
      <scheme val="minor"/>
    </font>
    <font>
      <b/>
      <sz val="14"/>
      <color theme="1"/>
      <name val="Calibri"/>
      <family val="2"/>
    </font>
    <font>
      <sz val="12"/>
      <color theme="0" tint="-0.34998626667073579"/>
      <name val="Segoe UI"/>
      <family val="2"/>
    </font>
    <font>
      <b/>
      <sz val="8"/>
      <color theme="1"/>
      <name val="Tahoma"/>
      <family val="2"/>
    </font>
    <font>
      <b/>
      <sz val="10"/>
      <name val="Arial"/>
      <family val="2"/>
    </font>
    <font>
      <b/>
      <sz val="18"/>
      <color theme="0"/>
      <name val="Calibri"/>
      <family val="2"/>
      <scheme val="minor"/>
    </font>
    <font>
      <b/>
      <sz val="18"/>
      <color theme="0"/>
      <name val="Segoe UI"/>
      <family val="2"/>
    </font>
    <font>
      <sz val="11"/>
      <color theme="0"/>
      <name val="Segoe UI"/>
      <family val="2"/>
    </font>
    <font>
      <sz val="11"/>
      <name val="Segoe UI"/>
      <family val="2"/>
    </font>
    <font>
      <b/>
      <sz val="14"/>
      <color theme="5" tint="-0.249977111117893"/>
      <name val="Calibri"/>
      <family val="2"/>
    </font>
    <font>
      <sz val="10"/>
      <name val="Segoe UI"/>
      <family val="2"/>
    </font>
    <font>
      <sz val="11"/>
      <color theme="3"/>
      <name val="Segoe UI"/>
      <family val="2"/>
    </font>
    <font>
      <sz val="18"/>
      <color theme="0"/>
      <name val="Segoe UI"/>
      <family val="2"/>
    </font>
    <font>
      <sz val="12"/>
      <color theme="0"/>
      <name val="Segoe UI"/>
      <family val="2"/>
    </font>
    <font>
      <sz val="16"/>
      <color theme="3"/>
      <name val="Segoe UI"/>
      <family val="2"/>
    </font>
    <font>
      <b/>
      <sz val="12"/>
      <name val="Segoe UI"/>
      <family val="2"/>
    </font>
    <font>
      <sz val="10"/>
      <name val="Segoe UI"/>
    </font>
    <font>
      <sz val="11"/>
      <name val="Segoe UI"/>
    </font>
    <font>
      <b/>
      <sz val="11"/>
      <name val="Segoe UI"/>
    </font>
  </fonts>
  <fills count="1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indexed="22"/>
        <bgColor indexed="64"/>
      </patternFill>
    </fill>
    <fill>
      <patternFill patternType="solid">
        <fgColor theme="0"/>
        <bgColor indexed="64"/>
      </patternFill>
    </fill>
    <fill>
      <patternFill patternType="solid">
        <fgColor theme="4"/>
        <bgColor indexed="64"/>
      </patternFill>
    </fill>
    <fill>
      <patternFill patternType="solid">
        <fgColor rgb="FF56A1D5"/>
        <bgColor indexed="64"/>
      </patternFill>
    </fill>
    <fill>
      <patternFill patternType="solid">
        <fgColor theme="0" tint="-4.9989318521683403E-2"/>
        <bgColor indexed="64"/>
      </patternFill>
    </fill>
    <fill>
      <patternFill patternType="solid">
        <fgColor theme="2"/>
        <bgColor indexed="64"/>
      </patternFill>
    </fill>
    <fill>
      <patternFill patternType="solid">
        <fgColor theme="9" tint="0.79998168889431442"/>
        <bgColor indexed="64"/>
      </patternFill>
    </fill>
  </fills>
  <borders count="3">
    <border>
      <left/>
      <right/>
      <top/>
      <bottom/>
      <diagonal/>
    </border>
    <border>
      <left/>
      <right/>
      <top/>
      <bottom style="medium">
        <color indexed="8"/>
      </bottom>
      <diagonal/>
    </border>
    <border>
      <left style="thin">
        <color theme="4"/>
      </left>
      <right style="thin">
        <color theme="4"/>
      </right>
      <top style="thin">
        <color theme="4"/>
      </top>
      <bottom style="thin">
        <color theme="4"/>
      </bottom>
      <diagonal/>
    </border>
  </borders>
  <cellStyleXfs count="26">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43" fontId="3" fillId="0" borderId="0" applyFont="0" applyFill="0" applyBorder="0" applyAlignment="0" applyProtection="0"/>
    <xf numFmtId="41"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0" fontId="7" fillId="10" borderId="0" applyNumberFormat="0"/>
    <xf numFmtId="0" fontId="5" fillId="0" borderId="0"/>
    <xf numFmtId="0" fontId="8" fillId="0" borderId="0" applyNumberFormat="0" applyAlignment="0"/>
    <xf numFmtId="0" fontId="9" fillId="10" borderId="0" applyNumberFormat="0"/>
    <xf numFmtId="165" fontId="5" fillId="10" borderId="0"/>
    <xf numFmtId="0" fontId="10" fillId="0" borderId="0" applyNumberFormat="0"/>
    <xf numFmtId="0" fontId="11" fillId="0" borderId="0" applyNumberFormat="0"/>
    <xf numFmtId="0" fontId="12" fillId="0" borderId="0" applyNumberFormat="0" applyFill="0" applyBorder="0" applyAlignment="0" applyProtection="0">
      <alignment horizontal="right"/>
    </xf>
    <xf numFmtId="0" fontId="1" fillId="0" borderId="0"/>
    <xf numFmtId="0" fontId="15" fillId="11" borderId="0" applyNumberFormat="0"/>
    <xf numFmtId="165" fontId="6" fillId="11" borderId="0"/>
    <xf numFmtId="0" fontId="10" fillId="0" borderId="0" applyNumberFormat="0"/>
    <xf numFmtId="0" fontId="19" fillId="0" borderId="0" applyNumberFormat="0"/>
  </cellStyleXfs>
  <cellXfs count="51">
    <xf numFmtId="0" fontId="0" fillId="0" borderId="0" xfId="0"/>
    <xf numFmtId="0" fontId="2" fillId="9" borderId="1" xfId="0" applyFont="1" applyFill="1" applyBorder="1" applyAlignment="1">
      <alignment horizontal="center" wrapText="1"/>
    </xf>
    <xf numFmtId="0" fontId="2" fillId="9" borderId="0" xfId="0" applyFont="1" applyFill="1" applyBorder="1" applyAlignment="1">
      <alignment horizontal="center" wrapText="1"/>
    </xf>
    <xf numFmtId="0" fontId="4" fillId="0" borderId="0" xfId="0" applyFont="1" applyAlignment="1">
      <alignment horizontal="left"/>
    </xf>
    <xf numFmtId="164" fontId="4" fillId="0" borderId="0" xfId="0" applyNumberFormat="1" applyFont="1" applyAlignment="1">
      <alignment horizontal="left"/>
    </xf>
    <xf numFmtId="0" fontId="13" fillId="0" borderId="0" xfId="0" applyFont="1"/>
    <xf numFmtId="0" fontId="14" fillId="0" borderId="0" xfId="0" applyFont="1"/>
    <xf numFmtId="0" fontId="0" fillId="0" borderId="0" xfId="0" applyAlignment="1">
      <alignment horizontal="center" vertical="center"/>
    </xf>
    <xf numFmtId="0" fontId="14" fillId="0" borderId="0" xfId="0" applyFont="1" applyAlignment="1">
      <alignment horizontal="center" vertical="center"/>
    </xf>
    <xf numFmtId="0" fontId="0" fillId="0" borderId="0" xfId="0" applyAlignment="1">
      <alignment wrapText="1"/>
    </xf>
    <xf numFmtId="167" fontId="18" fillId="13" borderId="2" xfId="24" applyNumberFormat="1" applyFont="1" applyFill="1" applyBorder="1" applyAlignment="1">
      <alignment horizontal="center" vertical="center"/>
    </xf>
    <xf numFmtId="1" fontId="18" fillId="13" borderId="2" xfId="24" applyNumberFormat="1" applyFont="1" applyFill="1" applyBorder="1" applyAlignment="1">
      <alignment horizontal="center" vertical="center"/>
    </xf>
    <xf numFmtId="0" fontId="20" fillId="0" borderId="0" xfId="0" applyFont="1"/>
    <xf numFmtId="0" fontId="18" fillId="0" borderId="0" xfId="0" applyFont="1"/>
    <xf numFmtId="0" fontId="12" fillId="0" borderId="0" xfId="20" applyFont="1" applyAlignment="1"/>
    <xf numFmtId="165" fontId="21" fillId="0" borderId="0" xfId="15" applyNumberFormat="1" applyFont="1" applyAlignment="1">
      <alignment horizontal="left"/>
    </xf>
    <xf numFmtId="0" fontId="18" fillId="0" borderId="0" xfId="15" applyFont="1"/>
    <xf numFmtId="165" fontId="18" fillId="0" borderId="0" xfId="15" applyNumberFormat="1" applyFont="1" applyAlignment="1">
      <alignment horizontal="left"/>
    </xf>
    <xf numFmtId="19" fontId="18" fillId="0" borderId="0" xfId="15" applyNumberFormat="1" applyFont="1" applyAlignment="1">
      <alignment horizontal="left"/>
    </xf>
    <xf numFmtId="0" fontId="18" fillId="13" borderId="2" xfId="24" applyFont="1" applyFill="1" applyBorder="1" applyAlignment="1">
      <alignment horizontal="center" vertical="center"/>
    </xf>
    <xf numFmtId="0" fontId="22" fillId="14" borderId="0" xfId="22" applyFont="1" applyFill="1"/>
    <xf numFmtId="0" fontId="22" fillId="14" borderId="0" xfId="22" applyFont="1" applyFill="1" applyAlignment="1">
      <alignment horizontal="center"/>
    </xf>
    <xf numFmtId="0" fontId="16" fillId="14" borderId="0" xfId="22" applyFont="1" applyFill="1"/>
    <xf numFmtId="0" fontId="21" fillId="0" borderId="0" xfId="0" applyFont="1"/>
    <xf numFmtId="0" fontId="23" fillId="14" borderId="0" xfId="20" applyFont="1" applyFill="1" applyAlignment="1"/>
    <xf numFmtId="0" fontId="17" fillId="14" borderId="0" xfId="16" applyFont="1" applyFill="1"/>
    <xf numFmtId="0" fontId="20" fillId="0" borderId="0" xfId="0" applyFont="1" applyBorder="1"/>
    <xf numFmtId="0" fontId="16" fillId="14" borderId="0" xfId="22" applyFont="1" applyFill="1" applyAlignment="1">
      <alignment horizontal="center"/>
    </xf>
    <xf numFmtId="0" fontId="20" fillId="0" borderId="0" xfId="0" applyFont="1" applyAlignment="1">
      <alignment horizontal="center"/>
    </xf>
    <xf numFmtId="0" fontId="20" fillId="0" borderId="0" xfId="0" applyFont="1" applyBorder="1" applyAlignment="1">
      <alignment horizontal="center"/>
    </xf>
    <xf numFmtId="0" fontId="24" fillId="0" borderId="0" xfId="0" applyFont="1" applyAlignment="1">
      <alignment horizontal="left" vertical="center"/>
    </xf>
    <xf numFmtId="0" fontId="24" fillId="0" borderId="0" xfId="0" applyFont="1" applyAlignment="1">
      <alignment vertical="center"/>
    </xf>
    <xf numFmtId="165" fontId="17" fillId="14" borderId="0" xfId="23" applyFont="1" applyFill="1" applyAlignment="1">
      <alignment horizontal="center" vertical="center"/>
    </xf>
    <xf numFmtId="19" fontId="18" fillId="15" borderId="0" xfId="15" applyNumberFormat="1" applyFont="1" applyFill="1" applyBorder="1" applyAlignment="1">
      <alignment horizontal="left"/>
    </xf>
    <xf numFmtId="0" fontId="25" fillId="0" borderId="0" xfId="0" applyFont="1"/>
    <xf numFmtId="0" fontId="18" fillId="0" borderId="0" xfId="0" applyFont="1" applyAlignment="1">
      <alignment horizontal="center"/>
    </xf>
    <xf numFmtId="0" fontId="12" fillId="0" borderId="0" xfId="20" applyFont="1" applyAlignment="1">
      <alignment horizontal="center"/>
    </xf>
    <xf numFmtId="0" fontId="23" fillId="14" borderId="0" xfId="20" applyFont="1" applyFill="1" applyAlignment="1">
      <alignment horizontal="center"/>
    </xf>
    <xf numFmtId="0" fontId="18" fillId="0" borderId="0" xfId="15" applyFont="1" applyAlignment="1">
      <alignment horizontal="center"/>
    </xf>
    <xf numFmtId="0" fontId="17" fillId="12" borderId="2" xfId="24" applyFont="1" applyFill="1" applyBorder="1" applyAlignment="1">
      <alignment horizontal="center" vertical="center"/>
    </xf>
    <xf numFmtId="0" fontId="27" fillId="0" borderId="0" xfId="0" applyNumberFormat="1" applyFont="1" applyAlignment="1">
      <alignment horizontal="center"/>
    </xf>
    <xf numFmtId="0" fontId="28" fillId="0" borderId="0" xfId="0" applyNumberFormat="1" applyFont="1" applyAlignment="1">
      <alignment horizontal="center"/>
    </xf>
    <xf numFmtId="0" fontId="27" fillId="0" borderId="0" xfId="0" applyFont="1" applyAlignment="1">
      <alignment horizontal="center"/>
    </xf>
    <xf numFmtId="0" fontId="27" fillId="0" borderId="0" xfId="0" pivotButton="1" applyFont="1" applyAlignment="1">
      <alignment horizontal="left"/>
    </xf>
    <xf numFmtId="0" fontId="27" fillId="0" borderId="0" xfId="0" applyFont="1" applyAlignment="1">
      <alignment horizontal="left"/>
    </xf>
    <xf numFmtId="0" fontId="28" fillId="0" borderId="0" xfId="0" applyFont="1" applyAlignment="1">
      <alignment horizontal="left"/>
    </xf>
    <xf numFmtId="0" fontId="26" fillId="0" borderId="0" xfId="0" pivotButton="1" applyFont="1" applyBorder="1"/>
    <xf numFmtId="0" fontId="27" fillId="0" borderId="0" xfId="0" applyFont="1" applyBorder="1"/>
    <xf numFmtId="14" fontId="27" fillId="0" borderId="0" xfId="0" applyNumberFormat="1" applyFont="1" applyBorder="1" applyAlignment="1">
      <alignment horizontal="center"/>
    </xf>
    <xf numFmtId="166" fontId="27" fillId="0" borderId="0" xfId="0" applyNumberFormat="1" applyFont="1" applyBorder="1" applyAlignment="1">
      <alignment horizontal="center"/>
    </xf>
    <xf numFmtId="0" fontId="26" fillId="0" borderId="0" xfId="0" applyFont="1" applyBorder="1" applyAlignment="1">
      <alignment horizontal="center"/>
    </xf>
  </cellXfs>
  <cellStyles count="26">
    <cellStyle name="20% - Accent1" xfId="1" builtinId="30" customBuiltin="1"/>
    <cellStyle name="20% - Accent2" xfId="2" builtinId="34" customBuiltin="1"/>
    <cellStyle name="20% - Accent3" xfId="3" builtinId="38" customBuiltin="1"/>
    <cellStyle name="20% - Accent4" xfId="4" builtinId="42" customBuiltin="1"/>
    <cellStyle name="40% - Accent3" xfId="5" builtinId="39" customBuiltin="1"/>
    <cellStyle name="60% - Accent3" xfId="6" builtinId="40" customBuiltin="1"/>
    <cellStyle name="60% - Accent4" xfId="7" builtinId="44" customBuiltin="1"/>
    <cellStyle name="60% - Accent6" xfId="8" builtinId="52" customBuiltin="1"/>
    <cellStyle name="Comma" xfId="9" builtinId="3" customBuiltin="1"/>
    <cellStyle name="Comma [0]" xfId="10" builtinId="6" customBuiltin="1"/>
    <cellStyle name="Currency" xfId="11" builtinId="4" customBuiltin="1"/>
    <cellStyle name="Currency [0]" xfId="12" builtinId="7" customBuiltin="1"/>
    <cellStyle name="Geotab Heading" xfId="22" xr:uid="{00000000-0005-0000-0000-00000C000000}"/>
    <cellStyle name="Geotab Report Creation DateTime" xfId="23" xr:uid="{00000000-0005-0000-0000-00000D000000}"/>
    <cellStyle name="Geotab Report Field Name" xfId="24" xr:uid="{00000000-0005-0000-0000-00000E000000}"/>
    <cellStyle name="Geotab Report Name" xfId="25" xr:uid="{00000000-0005-0000-0000-00000F000000}"/>
    <cellStyle name="Heading" xfId="13" xr:uid="{00000000-0005-0000-0000-000010000000}"/>
    <cellStyle name="Normal" xfId="0" builtinId="0" customBuiltin="1"/>
    <cellStyle name="Normal 2" xfId="21" xr:uid="{00000000-0005-0000-0000-000012000000}"/>
    <cellStyle name="Normal 2 2" xfId="14" xr:uid="{00000000-0005-0000-0000-000013000000}"/>
    <cellStyle name="Report Body" xfId="15" xr:uid="{00000000-0005-0000-0000-000014000000}"/>
    <cellStyle name="Report Column Header" xfId="16" xr:uid="{00000000-0005-0000-0000-000015000000}"/>
    <cellStyle name="Report Creation DateTime" xfId="17" xr:uid="{00000000-0005-0000-0000-000016000000}"/>
    <cellStyle name="Report Field Name" xfId="18" xr:uid="{00000000-0005-0000-0000-000017000000}"/>
    <cellStyle name="Report Name" xfId="19" xr:uid="{00000000-0005-0000-0000-000018000000}"/>
    <cellStyle name="StandardReportHeading" xfId="20" xr:uid="{00000000-0005-0000-0000-000019000000}"/>
  </cellStyles>
  <dxfs count="218">
    <dxf>
      <fill>
        <patternFill patternType="solid">
          <bgColor theme="6" tint="0.79998168889431442"/>
        </patternFill>
      </fill>
    </dxf>
    <dxf>
      <border>
        <bottom style="thin">
          <color indexed="64"/>
        </bottom>
      </border>
    </dxf>
    <dxf>
      <border>
        <bottom style="thin">
          <color indexed="64"/>
        </bottom>
      </border>
    </dxf>
    <dxf>
      <border>
        <bottom style="thin">
          <color indexed="64"/>
        </bottom>
      </border>
    </dxf>
    <dxf>
      <numFmt numFmtId="166" formatCode="[$-409]h:mm:ss\ AM/PM;@"/>
    </dxf>
    <dxf>
      <numFmt numFmtId="19" formatCode="m/d/yyyy"/>
    </dxf>
    <dxf>
      <font>
        <b/>
      </font>
    </dxf>
    <dxf>
      <font>
        <b val="0"/>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b/>
      </font>
    </dxf>
    <dxf>
      <font>
        <b val="0"/>
      </font>
    </dxf>
    <dxf>
      <alignment horizontal="center"/>
    </dxf>
    <dxf>
      <alignment horizontal="center"/>
    </dxf>
    <dxf>
      <alignment horizontal="center"/>
    </dxf>
    <dxf>
      <alignment horizontal="center"/>
    </dxf>
    <dxf>
      <font>
        <b/>
      </font>
    </dxf>
    <dxf>
      <font>
        <b val="0"/>
      </font>
    </dxf>
    <dxf>
      <font>
        <b/>
      </font>
    </dxf>
    <dxf>
      <font>
        <b val="0"/>
      </font>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font>
        <b/>
      </font>
    </dxf>
    <dxf>
      <font>
        <b/>
      </font>
    </dxf>
    <dxf>
      <font>
        <b val="0"/>
      </font>
    </dxf>
    <dxf>
      <font>
        <b val="0"/>
      </font>
    </dxf>
    <dxf>
      <font>
        <b/>
      </font>
    </dxf>
    <dxf>
      <font>
        <b/>
      </font>
    </dxf>
    <dxf>
      <font>
        <b val="0"/>
      </font>
    </dxf>
    <dxf>
      <font>
        <b val="0"/>
      </font>
    </dxf>
    <dxf>
      <font>
        <b/>
      </font>
    </dxf>
    <dxf>
      <font>
        <b/>
      </font>
    </dxf>
    <dxf>
      <font>
        <name val="Segoe UI"/>
      </font>
    </dxf>
    <dxf>
      <font>
        <name val="Segoe UI"/>
      </font>
    </dxf>
    <dxf>
      <font>
        <name val="Segoe UI"/>
      </font>
    </dxf>
    <dxf>
      <font>
        <name val="Segoe UI"/>
      </font>
    </dxf>
    <dxf>
      <font>
        <name val="Segoe UI"/>
      </font>
    </dxf>
    <dxf>
      <font>
        <name val="Segoe UI"/>
      </font>
    </dxf>
    <dxf>
      <font>
        <name val="Segoe UI"/>
      </font>
    </dxf>
    <dxf>
      <font>
        <sz val="11"/>
      </font>
    </dxf>
    <dxf>
      <font>
        <sz val="11"/>
      </font>
    </dxf>
    <dxf>
      <font>
        <sz val="11"/>
      </font>
    </dxf>
    <dxf>
      <font>
        <sz val="11"/>
      </font>
    </dxf>
    <dxf>
      <font>
        <sz val="11"/>
      </font>
    </dxf>
    <dxf>
      <font>
        <sz val="11"/>
      </font>
    </dxf>
    <dxf>
      <font>
        <sz val="11"/>
      </font>
    </dxf>
    <dxf>
      <font>
        <name val="Segoe UI"/>
      </font>
    </dxf>
    <dxf>
      <font>
        <name val="Segoe UI"/>
      </font>
    </dxf>
    <dxf>
      <font>
        <name val="Segoe UI"/>
      </font>
    </dxf>
    <dxf>
      <font>
        <name val="Segoe UI"/>
      </font>
    </dxf>
    <dxf>
      <font>
        <name val="Segoe UI"/>
      </font>
    </dxf>
    <dxf>
      <font>
        <name val="Segoe UI"/>
      </font>
    </dxf>
    <dxf>
      <font>
        <name val="Segoe UI"/>
      </font>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font>
        <b val="0"/>
      </font>
    </dxf>
    <dxf>
      <font>
        <b/>
      </font>
    </dxf>
    <dxf>
      <font>
        <b val="0"/>
      </font>
    </dxf>
    <dxf>
      <font>
        <b/>
      </font>
    </dxf>
    <dxf>
      <alignment horizontal="center"/>
    </dxf>
    <dxf>
      <alignment horizontal="center"/>
    </dxf>
    <dxf>
      <alignment horizontal="center"/>
    </dxf>
    <dxf>
      <alignment horizontal="center"/>
    </dxf>
    <dxf>
      <font>
        <b val="0"/>
      </font>
    </dxf>
    <dxf>
      <font>
        <b/>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b val="0"/>
      </font>
    </dxf>
    <dxf>
      <font>
        <b/>
      </font>
    </dxf>
    <dxf>
      <numFmt numFmtId="19" formatCode="m/d/yyyy"/>
    </dxf>
    <dxf>
      <numFmt numFmtId="166" formatCode="[$-409]h:mm:ss\ AM/PM;@"/>
    </dxf>
    <dxf>
      <border>
        <bottom style="thin">
          <color indexed="64"/>
        </bottom>
      </border>
    </dxf>
    <dxf>
      <border>
        <bottom style="thin">
          <color indexed="64"/>
        </bottom>
      </border>
    </dxf>
    <dxf>
      <border>
        <bottom style="thin">
          <color indexed="64"/>
        </bottom>
      </border>
    </dxf>
    <dxf>
      <fill>
        <patternFill patternType="solid">
          <bgColor theme="6" tint="0.79998168889431442"/>
        </patternFill>
      </fill>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general"/>
    </dxf>
    <dxf>
      <alignment horizontal="general"/>
    </dxf>
    <dxf>
      <alignment horizontal="general"/>
    </dxf>
    <dxf>
      <font>
        <name val="Segoe UI"/>
      </font>
    </dxf>
    <dxf>
      <font>
        <name val="Segoe UI"/>
      </font>
    </dxf>
    <dxf>
      <font>
        <name val="Segoe UI"/>
      </font>
    </dxf>
    <dxf>
      <font>
        <name val="Segoe UI"/>
      </font>
    </dxf>
    <dxf>
      <font>
        <name val="Segoe UI"/>
      </font>
    </dxf>
    <dxf>
      <font>
        <name val="Segoe UI"/>
      </font>
    </dxf>
    <dxf>
      <font>
        <name val="Segoe UI"/>
      </font>
    </dxf>
    <dxf>
      <font>
        <sz val="11"/>
      </font>
    </dxf>
    <dxf>
      <font>
        <sz val="11"/>
      </font>
    </dxf>
    <dxf>
      <font>
        <sz val="11"/>
      </font>
    </dxf>
    <dxf>
      <font>
        <sz val="11"/>
      </font>
    </dxf>
    <dxf>
      <font>
        <sz val="11"/>
      </font>
    </dxf>
    <dxf>
      <font>
        <sz val="11"/>
      </font>
    </dxf>
    <dxf>
      <font>
        <sz val="11"/>
      </font>
    </dxf>
    <dxf>
      <font>
        <name val="Segoe UI"/>
      </font>
    </dxf>
    <dxf>
      <font>
        <name val="Segoe UI"/>
      </font>
    </dxf>
    <dxf>
      <font>
        <name val="Segoe UI"/>
      </font>
    </dxf>
    <dxf>
      <font>
        <name val="Segoe UI"/>
      </font>
    </dxf>
    <dxf>
      <font>
        <name val="Segoe UI"/>
      </font>
    </dxf>
    <dxf>
      <font>
        <name val="Segoe UI"/>
      </font>
    </dxf>
    <dxf>
      <font>
        <name val="Segoe UI"/>
      </font>
    </dxf>
    <dxf>
      <font>
        <b/>
      </font>
    </dxf>
    <dxf>
      <font>
        <b/>
      </font>
    </dxf>
    <dxf>
      <font>
        <b val="0"/>
      </font>
    </dxf>
    <dxf>
      <font>
        <b val="0"/>
      </font>
    </dxf>
    <dxf>
      <font>
        <b/>
      </font>
    </dxf>
    <dxf>
      <font>
        <b/>
      </font>
    </dxf>
    <dxf>
      <font>
        <b val="0"/>
      </font>
    </dxf>
    <dxf>
      <font>
        <b val="0"/>
      </font>
    </dxf>
    <dxf>
      <font>
        <b/>
      </font>
    </dxf>
    <dxf>
      <font>
        <b/>
      </font>
    </dxf>
    <dxf>
      <fill>
        <patternFill patternType="solid">
          <fgColor theme="2" tint="0.79998168889431442"/>
          <bgColor theme="2" tint="0.79998168889431442"/>
        </patternFill>
      </fill>
      <border>
        <vertical/>
        <horizontal/>
      </border>
    </dxf>
    <dxf>
      <font>
        <color auto="1"/>
      </font>
      <fill>
        <patternFill>
          <bgColor theme="0" tint="-4.9989318521683403E-2"/>
        </patternFill>
      </fill>
    </dxf>
    <dxf>
      <font>
        <b/>
        <i val="0"/>
        <color auto="1"/>
      </font>
      <fill>
        <patternFill patternType="solid">
          <fgColor theme="2" tint="0.79992065187536243"/>
          <bgColor theme="0" tint="-4.9989318521683403E-2"/>
        </patternFill>
      </fill>
      <border>
        <top style="thin">
          <color theme="2"/>
        </top>
        <bottom style="thin">
          <color theme="2"/>
        </bottom>
      </border>
    </dxf>
    <dxf>
      <font>
        <b/>
        <i val="0"/>
        <color theme="0"/>
      </font>
      <fill>
        <patternFill patternType="solid">
          <fgColor theme="2"/>
          <bgColor theme="2"/>
        </patternFill>
      </fill>
      <border diagonalUp="0" diagonalDown="0">
        <left/>
        <right/>
        <top/>
        <bottom/>
        <vertical/>
        <horizontal/>
      </border>
    </dxf>
  </dxfs>
  <tableStyles count="1" defaultTableStyle="TableStyleMedium9" defaultPivotStyle="PivotStyleLight16">
    <tableStyle name="PivotStyleLightCustom" table="0" count="4" xr9:uid="{00000000-0011-0000-FFFF-FFFF00000000}">
      <tableStyleElement type="headerRow" dxfId="217"/>
      <tableStyleElement type="totalRow" dxfId="216"/>
      <tableStyleElement type="firstRowStripe" dxfId="215"/>
      <tableStyleElement type="secondRowStripe" dxfId="214"/>
    </tableStyle>
  </tableStyles>
  <colors>
    <mruColors>
      <color rgb="FFFF8601"/>
      <color rgb="FFEA9F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[Telematics Fault Detection (Previous 7 days).xlsx]Fault Summary!PivotTable1</c:name>
    <c:fmtId val="1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0">
                <a:solidFill>
                  <a:sysClr val="windowText" lastClr="000000"/>
                </a:solidFill>
                <a:latin typeface="Segoe UI" panose="020B0502040204020203" pitchFamily="34" charset="0"/>
                <a:cs typeface="Segoe UI" panose="020B0502040204020203" pitchFamily="34" charset="0"/>
              </a:rPr>
              <a:t>Top Telematics Faults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solidFill>
              <a:schemeClr val="accent6"/>
            </a:solidFill>
          </a:ln>
          <a:effectLst/>
        </c:spPr>
      </c:pivotFmt>
      <c:pivotFmt>
        <c:idx val="2"/>
        <c:spPr>
          <a:solidFill>
            <a:schemeClr val="accent6">
              <a:lumMod val="40000"/>
              <a:lumOff val="60000"/>
            </a:schemeClr>
          </a:solidFill>
          <a:ln>
            <a:solidFill>
              <a:schemeClr val="accent6"/>
            </a:solidFill>
          </a:ln>
          <a:effectLst/>
        </c:spPr>
      </c:pivotFmt>
      <c:pivotFmt>
        <c:idx val="3"/>
        <c:spPr>
          <a:solidFill>
            <a:schemeClr val="accent6">
              <a:lumMod val="40000"/>
              <a:lumOff val="60000"/>
            </a:schemeClr>
          </a:solidFill>
          <a:ln>
            <a:solidFill>
              <a:schemeClr val="accent6"/>
            </a:solidFill>
          </a:ln>
          <a:effectLst/>
        </c:spPr>
      </c:pivotFmt>
      <c:pivotFmt>
        <c:idx val="4"/>
        <c:spPr>
          <a:solidFill>
            <a:schemeClr val="accent6">
              <a:lumMod val="40000"/>
              <a:lumOff val="60000"/>
            </a:schemeClr>
          </a:solidFill>
          <a:ln>
            <a:solidFill>
              <a:schemeClr val="accent6"/>
            </a:solidFill>
          </a:ln>
          <a:effectLst/>
        </c:spPr>
      </c:pivotFmt>
      <c:pivotFmt>
        <c:idx val="5"/>
        <c:spPr>
          <a:solidFill>
            <a:schemeClr val="accent6">
              <a:lumMod val="40000"/>
              <a:lumOff val="60000"/>
            </a:schemeClr>
          </a:solidFill>
          <a:ln>
            <a:solidFill>
              <a:schemeClr val="accent6"/>
            </a:solidFill>
          </a:ln>
          <a:effectLst/>
        </c:spPr>
      </c:pivotFmt>
      <c:pivotFmt>
        <c:idx val="6"/>
        <c:spPr>
          <a:solidFill>
            <a:schemeClr val="accent6">
              <a:lumMod val="40000"/>
              <a:lumOff val="60000"/>
            </a:schemeClr>
          </a:solidFill>
          <a:ln>
            <a:solidFill>
              <a:schemeClr val="accent6"/>
            </a:solidFill>
          </a:ln>
          <a:effectLst/>
        </c:spPr>
      </c:pivotFmt>
      <c:pivotFmt>
        <c:idx val="7"/>
        <c:spPr>
          <a:solidFill>
            <a:schemeClr val="accent6">
              <a:lumMod val="40000"/>
              <a:lumOff val="60000"/>
            </a:schemeClr>
          </a:solidFill>
          <a:ln>
            <a:solidFill>
              <a:schemeClr val="accent6"/>
            </a:solidFill>
          </a:ln>
          <a:effectLst/>
        </c:spPr>
      </c:pivotFmt>
      <c:pivotFmt>
        <c:idx val="8"/>
        <c:spPr>
          <a:solidFill>
            <a:schemeClr val="accent6">
              <a:lumMod val="40000"/>
              <a:lumOff val="60000"/>
            </a:schemeClr>
          </a:solidFill>
          <a:ln>
            <a:solidFill>
              <a:schemeClr val="accent6"/>
            </a:solidFill>
          </a:ln>
          <a:effectLst/>
        </c:spPr>
      </c:pivotFmt>
      <c:pivotFmt>
        <c:idx val="9"/>
        <c:spPr>
          <a:solidFill>
            <a:schemeClr val="accent6">
              <a:lumMod val="40000"/>
              <a:lumOff val="60000"/>
            </a:schemeClr>
          </a:solidFill>
          <a:ln>
            <a:solidFill>
              <a:schemeClr val="accent6"/>
            </a:solidFill>
          </a:ln>
          <a:effectLst/>
        </c:spPr>
      </c:pivotFmt>
      <c:pivotFmt>
        <c:idx val="10"/>
        <c:spPr>
          <a:solidFill>
            <a:schemeClr val="accent6">
              <a:lumMod val="40000"/>
              <a:lumOff val="60000"/>
            </a:schemeClr>
          </a:solidFill>
          <a:ln>
            <a:solidFill>
              <a:schemeClr val="accent6"/>
            </a:solidFill>
          </a:ln>
          <a:effectLst/>
        </c:spPr>
      </c:pivotFmt>
      <c:pivotFmt>
        <c:idx val="11"/>
        <c:spPr>
          <a:solidFill>
            <a:schemeClr val="accent6">
              <a:lumMod val="40000"/>
              <a:lumOff val="60000"/>
            </a:schemeClr>
          </a:solidFill>
          <a:ln>
            <a:solidFill>
              <a:schemeClr val="accent6"/>
            </a:solidFill>
          </a:ln>
          <a:effectLst/>
        </c:spPr>
      </c:pivotFmt>
      <c:pivotFmt>
        <c:idx val="12"/>
        <c:spPr>
          <a:solidFill>
            <a:schemeClr val="accent6">
              <a:lumMod val="40000"/>
              <a:lumOff val="60000"/>
            </a:schemeClr>
          </a:solidFill>
          <a:ln>
            <a:solidFill>
              <a:schemeClr val="accent6"/>
            </a:solidFill>
          </a:ln>
          <a:effectLst/>
        </c:spPr>
      </c:pivotFmt>
      <c:pivotFmt>
        <c:idx val="13"/>
        <c:spPr>
          <a:solidFill>
            <a:schemeClr val="accent6">
              <a:lumMod val="40000"/>
              <a:lumOff val="60000"/>
            </a:schemeClr>
          </a:solidFill>
          <a:ln>
            <a:solidFill>
              <a:schemeClr val="accent6"/>
            </a:solidFill>
          </a:ln>
          <a:effectLst/>
        </c:spPr>
      </c:pivotFmt>
      <c:pivotFmt>
        <c:idx val="14"/>
        <c:spPr>
          <a:solidFill>
            <a:schemeClr val="accent6">
              <a:lumMod val="40000"/>
              <a:lumOff val="60000"/>
            </a:schemeClr>
          </a:solidFill>
          <a:ln>
            <a:solidFill>
              <a:schemeClr val="accent6"/>
            </a:solidFill>
          </a:ln>
          <a:effectLst/>
        </c:spPr>
      </c:pivotFmt>
      <c:pivotFmt>
        <c:idx val="15"/>
        <c:spPr>
          <a:solidFill>
            <a:schemeClr val="accent6">
              <a:lumMod val="40000"/>
              <a:lumOff val="60000"/>
            </a:schemeClr>
          </a:solidFill>
          <a:ln>
            <a:solidFill>
              <a:schemeClr val="accent6"/>
            </a:solidFill>
          </a:ln>
          <a:effectLst/>
        </c:spPr>
      </c:pivotFmt>
      <c:pivotFmt>
        <c:idx val="16"/>
        <c:spPr>
          <a:solidFill>
            <a:schemeClr val="accent6">
              <a:lumMod val="40000"/>
              <a:lumOff val="60000"/>
            </a:schemeClr>
          </a:solidFill>
          <a:ln>
            <a:solidFill>
              <a:schemeClr val="accent6"/>
            </a:solidFill>
          </a:ln>
          <a:effectLst/>
        </c:spPr>
      </c:pivotFmt>
      <c:pivotFmt>
        <c:idx val="17"/>
        <c:spPr>
          <a:solidFill>
            <a:schemeClr val="accent6">
              <a:lumMod val="40000"/>
              <a:lumOff val="60000"/>
            </a:schemeClr>
          </a:solidFill>
          <a:ln>
            <a:solidFill>
              <a:schemeClr val="accent6"/>
            </a:solidFill>
          </a:ln>
          <a:effectLst/>
        </c:spPr>
      </c:pivotFmt>
      <c:pivotFmt>
        <c:idx val="18"/>
        <c:spPr>
          <a:solidFill>
            <a:schemeClr val="accent6">
              <a:lumMod val="40000"/>
              <a:lumOff val="60000"/>
            </a:schemeClr>
          </a:solidFill>
          <a:ln>
            <a:solidFill>
              <a:schemeClr val="accent6"/>
            </a:solidFill>
          </a:ln>
          <a:effectLst/>
        </c:spPr>
      </c:pivotFmt>
    </c:pivotFmts>
    <c:plotArea>
      <c:layout>
        <c:manualLayout>
          <c:layoutTarget val="inner"/>
          <c:xMode val="edge"/>
          <c:yMode val="edge"/>
          <c:x val="0.10825750947798192"/>
          <c:y val="0.10476851851851852"/>
          <c:w val="0.86627952755905513"/>
          <c:h val="0.41198308544765239"/>
        </c:manualLayout>
      </c:layout>
      <c:barChart>
        <c:barDir val="col"/>
        <c:grouping val="clustered"/>
        <c:varyColors val="0"/>
        <c:ser>
          <c:idx val="0"/>
          <c:order val="0"/>
          <c:tx>
            <c:strRef>
              <c:f>'Fault Summary'!$B$9</c:f>
              <c:strCache>
                <c:ptCount val="1"/>
                <c:pt idx="0">
                  <c:v>Total</c:v>
                </c:pt>
              </c:strCache>
            </c:strRef>
          </c:tx>
          <c:spPr>
            <a:solidFill>
              <a:schemeClr val="accent6">
                <a:lumMod val="40000"/>
                <a:lumOff val="60000"/>
              </a:schemeClr>
            </a:solidFill>
            <a:ln>
              <a:solidFill>
                <a:schemeClr val="accent6"/>
              </a:solidFill>
            </a:ln>
            <a:effectLst/>
          </c:spPr>
          <c:invertIfNegative val="0"/>
          <c:dPt>
            <c:idx val="0"/>
            <c:invertIfNegative val="0"/>
            <c:bubble3D val="0"/>
            <c:extLst>
              <c:ext xmlns:c16="http://schemas.microsoft.com/office/drawing/2014/chart" uri="{C3380CC4-5D6E-409C-BE32-E72D297353CC}">
                <c16:uniqueId val="{00000001-2203-463F-B551-C5727310B207}"/>
              </c:ext>
            </c:extLst>
          </c:dPt>
          <c:dPt>
            <c:idx val="1"/>
            <c:invertIfNegative val="0"/>
            <c:bubble3D val="0"/>
            <c:extLst>
              <c:ext xmlns:c16="http://schemas.microsoft.com/office/drawing/2014/chart" uri="{C3380CC4-5D6E-409C-BE32-E72D297353CC}">
                <c16:uniqueId val="{00000003-2203-463F-B551-C5727310B207}"/>
              </c:ext>
            </c:extLst>
          </c:dPt>
          <c:dPt>
            <c:idx val="2"/>
            <c:invertIfNegative val="0"/>
            <c:bubble3D val="0"/>
            <c:extLst>
              <c:ext xmlns:c16="http://schemas.microsoft.com/office/drawing/2014/chart" uri="{C3380CC4-5D6E-409C-BE32-E72D297353CC}">
                <c16:uniqueId val="{00000005-2203-463F-B551-C5727310B207}"/>
              </c:ext>
            </c:extLst>
          </c:dPt>
          <c:dPt>
            <c:idx val="3"/>
            <c:invertIfNegative val="0"/>
            <c:bubble3D val="0"/>
            <c:extLst>
              <c:ext xmlns:c16="http://schemas.microsoft.com/office/drawing/2014/chart" uri="{C3380CC4-5D6E-409C-BE32-E72D297353CC}">
                <c16:uniqueId val="{00000007-2203-463F-B551-C5727310B207}"/>
              </c:ext>
            </c:extLst>
          </c:dPt>
          <c:dPt>
            <c:idx val="4"/>
            <c:invertIfNegative val="0"/>
            <c:bubble3D val="0"/>
            <c:extLst>
              <c:ext xmlns:c16="http://schemas.microsoft.com/office/drawing/2014/chart" uri="{C3380CC4-5D6E-409C-BE32-E72D297353CC}">
                <c16:uniqueId val="{00000009-2203-463F-B551-C5727310B207}"/>
              </c:ext>
            </c:extLst>
          </c:dPt>
          <c:dPt>
            <c:idx val="5"/>
            <c:invertIfNegative val="0"/>
            <c:bubble3D val="0"/>
            <c:extLst>
              <c:ext xmlns:c16="http://schemas.microsoft.com/office/drawing/2014/chart" uri="{C3380CC4-5D6E-409C-BE32-E72D297353CC}">
                <c16:uniqueId val="{0000000B-2203-463F-B551-C5727310B207}"/>
              </c:ext>
            </c:extLst>
          </c:dPt>
          <c:dPt>
            <c:idx val="6"/>
            <c:invertIfNegative val="0"/>
            <c:bubble3D val="0"/>
            <c:extLst>
              <c:ext xmlns:c16="http://schemas.microsoft.com/office/drawing/2014/chart" uri="{C3380CC4-5D6E-409C-BE32-E72D297353CC}">
                <c16:uniqueId val="{0000000D-2203-463F-B551-C5727310B207}"/>
              </c:ext>
            </c:extLst>
          </c:dPt>
          <c:dPt>
            <c:idx val="7"/>
            <c:invertIfNegative val="0"/>
            <c:bubble3D val="0"/>
            <c:extLst>
              <c:ext xmlns:c16="http://schemas.microsoft.com/office/drawing/2014/chart" uri="{C3380CC4-5D6E-409C-BE32-E72D297353CC}">
                <c16:uniqueId val="{0000000F-2203-463F-B551-C5727310B207}"/>
              </c:ext>
            </c:extLst>
          </c:dPt>
          <c:dPt>
            <c:idx val="8"/>
            <c:invertIfNegative val="0"/>
            <c:bubble3D val="0"/>
            <c:extLst>
              <c:ext xmlns:c16="http://schemas.microsoft.com/office/drawing/2014/chart" uri="{C3380CC4-5D6E-409C-BE32-E72D297353CC}">
                <c16:uniqueId val="{00000011-2203-463F-B551-C5727310B207}"/>
              </c:ext>
            </c:extLst>
          </c:dPt>
          <c:dPt>
            <c:idx val="9"/>
            <c:invertIfNegative val="0"/>
            <c:bubble3D val="0"/>
            <c:extLst>
              <c:ext xmlns:c16="http://schemas.microsoft.com/office/drawing/2014/chart" uri="{C3380CC4-5D6E-409C-BE32-E72D297353CC}">
                <c16:uniqueId val="{00000013-2203-463F-B551-C5727310B207}"/>
              </c:ext>
            </c:extLst>
          </c:dPt>
          <c:dPt>
            <c:idx val="10"/>
            <c:invertIfNegative val="0"/>
            <c:bubble3D val="0"/>
            <c:extLst>
              <c:ext xmlns:c16="http://schemas.microsoft.com/office/drawing/2014/chart" uri="{C3380CC4-5D6E-409C-BE32-E72D297353CC}">
                <c16:uniqueId val="{00000015-2203-463F-B551-C5727310B207}"/>
              </c:ext>
            </c:extLst>
          </c:dPt>
          <c:dPt>
            <c:idx val="11"/>
            <c:invertIfNegative val="0"/>
            <c:bubble3D val="0"/>
            <c:extLst>
              <c:ext xmlns:c16="http://schemas.microsoft.com/office/drawing/2014/chart" uri="{C3380CC4-5D6E-409C-BE32-E72D297353CC}">
                <c16:uniqueId val="{0000001E-097E-45DB-B672-4F2640360B49}"/>
              </c:ext>
            </c:extLst>
          </c:dPt>
          <c:dPt>
            <c:idx val="12"/>
            <c:invertIfNegative val="0"/>
            <c:bubble3D val="0"/>
            <c:extLst>
              <c:ext xmlns:c16="http://schemas.microsoft.com/office/drawing/2014/chart" uri="{C3380CC4-5D6E-409C-BE32-E72D297353CC}">
                <c16:uniqueId val="{0000001F-097E-45DB-B672-4F2640360B49}"/>
              </c:ext>
            </c:extLst>
          </c:dPt>
          <c:dPt>
            <c:idx val="13"/>
            <c:invertIfNegative val="0"/>
            <c:bubble3D val="0"/>
            <c:extLst>
              <c:ext xmlns:c16="http://schemas.microsoft.com/office/drawing/2014/chart" uri="{C3380CC4-5D6E-409C-BE32-E72D297353CC}">
                <c16:uniqueId val="{0000001A-097E-45DB-B672-4F2640360B49}"/>
              </c:ext>
            </c:extLst>
          </c:dPt>
          <c:dPt>
            <c:idx val="14"/>
            <c:invertIfNegative val="0"/>
            <c:bubble3D val="0"/>
            <c:extLst>
              <c:ext xmlns:c16="http://schemas.microsoft.com/office/drawing/2014/chart" uri="{C3380CC4-5D6E-409C-BE32-E72D297353CC}">
                <c16:uniqueId val="{0000001B-097E-45DB-B672-4F2640360B49}"/>
              </c:ext>
            </c:extLst>
          </c:dPt>
          <c:dPt>
            <c:idx val="15"/>
            <c:invertIfNegative val="0"/>
            <c:bubble3D val="0"/>
            <c:extLst>
              <c:ext xmlns:c16="http://schemas.microsoft.com/office/drawing/2014/chart" uri="{C3380CC4-5D6E-409C-BE32-E72D297353CC}">
                <c16:uniqueId val="{0000001C-097E-45DB-B672-4F2640360B49}"/>
              </c:ext>
            </c:extLst>
          </c:dPt>
          <c:dPt>
            <c:idx val="16"/>
            <c:invertIfNegative val="0"/>
            <c:bubble3D val="0"/>
            <c:extLst>
              <c:ext xmlns:c16="http://schemas.microsoft.com/office/drawing/2014/chart" uri="{C3380CC4-5D6E-409C-BE32-E72D297353CC}">
                <c16:uniqueId val="{0000001D-097E-45DB-B672-4F2640360B49}"/>
              </c:ext>
            </c:extLst>
          </c:dPt>
          <c:dPt>
            <c:idx val="17"/>
            <c:invertIfNegative val="0"/>
            <c:bubble3D val="0"/>
            <c:extLst>
              <c:ext xmlns:c16="http://schemas.microsoft.com/office/drawing/2014/chart" uri="{C3380CC4-5D6E-409C-BE32-E72D297353CC}">
                <c16:uniqueId val="{00000020-097E-45DB-B672-4F2640360B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'Fault Summary'!$A$10:$A$28</c:f>
              <c:strCache>
                <c:ptCount val="18"/>
                <c:pt idx="0">
                  <c:v>Gps Quality Poor</c:v>
                </c:pt>
                <c:pt idx="1">
                  <c:v>Accident Limit For Acceleration Exceeded</c:v>
                </c:pt>
                <c:pt idx="2">
                  <c:v>Can Mode Failed During Initialization</c:v>
                </c:pt>
                <c:pt idx="3">
                  <c:v>Device Is Disabled In Myadmin</c:v>
                </c:pt>
                <c:pt idx="4">
                  <c:v>Gps Antenna Short-Circuited</c:v>
                </c:pt>
                <c:pt idx="5">
                  <c:v>Can Bus Disabled Due To Excessive Errors Detected</c:v>
                </c:pt>
                <c:pt idx="6">
                  <c:v>Excessive Logging Detected</c:v>
                </c:pt>
                <c:pt idx="7">
                  <c:v>Device Logging Disabled</c:v>
                </c:pt>
                <c:pt idx="8">
                  <c:v>Excessive Errors Detected On Legacy Communication Bus</c:v>
                </c:pt>
                <c:pt idx="9">
                  <c:v>Can Transmit Error Count Exceeded</c:v>
                </c:pt>
                <c:pt idx="10">
                  <c:v>Excessive Engine Records Are Being Created</c:v>
                </c:pt>
                <c:pt idx="11">
                  <c:v>Can Bus Was Not Initialized</c:v>
                </c:pt>
                <c:pt idx="12">
                  <c:v>Excessive Accelerometer Logs In A Single Event</c:v>
                </c:pt>
                <c:pt idx="13">
                  <c:v>All Power Removed - Device Restarted</c:v>
                </c:pt>
                <c:pt idx="14">
                  <c:v>Excessive Accelerometer Events Over Accident Threshold</c:v>
                </c:pt>
                <c:pt idx="15">
                  <c:v>Gps Antenna Unplugged</c:v>
                </c:pt>
                <c:pt idx="16">
                  <c:v>Accelerometer Disabled Due To Excessive Data</c:v>
                </c:pt>
                <c:pt idx="17">
                  <c:v>Excessive Accelerometer Events</c:v>
                </c:pt>
              </c:strCache>
            </c:strRef>
          </c:cat>
          <c:val>
            <c:numRef>
              <c:f>'Fault Summary'!$B$10:$B$28</c:f>
              <c:numCache>
                <c:formatCode>General</c:formatCode>
                <c:ptCount val="18"/>
                <c:pt idx="0">
                  <c:v>2</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extLst>
            <c:ext xmlns:c16="http://schemas.microsoft.com/office/drawing/2014/chart" uri="{C3380CC4-5D6E-409C-BE32-E72D297353CC}">
              <c16:uniqueId val="{00000016-2203-463F-B551-C5727310B207}"/>
            </c:ext>
          </c:extLst>
        </c:ser>
        <c:dLbls>
          <c:dLblPos val="outEnd"/>
          <c:showLegendKey val="0"/>
          <c:showVal val="1"/>
          <c:showCatName val="0"/>
          <c:showSerName val="0"/>
          <c:showPercent val="0"/>
          <c:showBubbleSize val="0"/>
        </c:dLbls>
        <c:gapWidth val="10"/>
        <c:axId val="405286320"/>
        <c:axId val="405284360"/>
      </c:barChart>
      <c:catAx>
        <c:axId val="405286320"/>
        <c:scaling>
          <c:orientation val="minMax"/>
        </c:scaling>
        <c:delete val="0"/>
        <c:axPos val="b"/>
        <c:numFmt formatCode="General" sourceLinked="1"/>
        <c:majorTickMark val="none"/>
        <c:minorTickMark val="none"/>
        <c:tickLblPos val="nextTo"/>
        <c:spPr>
          <a:noFill/>
          <a:ln>
            <a:noFill/>
          </a:ln>
          <a:effectLst/>
        </c:spPr>
        <c:txPr>
          <a:bodyPr rot="-1500000" spcFirstLastPara="1" vertOverflow="ellipsis"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405284360"/>
        <c:crosses val="autoZero"/>
        <c:auto val="1"/>
        <c:lblAlgn val="ctr"/>
        <c:lblOffset val="100"/>
        <c:noMultiLvlLbl val="0"/>
      </c:catAx>
      <c:valAx>
        <c:axId val="40528436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0">
                    <a:solidFill>
                      <a:sysClr val="windowText" lastClr="000000"/>
                    </a:solidFill>
                    <a:latin typeface="Segoe UI" panose="020B0502040204020203" pitchFamily="34" charset="0"/>
                    <a:cs typeface="Segoe UI" panose="020B0502040204020203" pitchFamily="34" charset="0"/>
                  </a:rPr>
                  <a:t>Device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05286320"/>
        <c:crosses val="autoZero"/>
        <c:crossBetween val="between"/>
        <c:majorUnit val="1"/>
        <c:minorUnit val="0.5"/>
      </c:valAx>
      <c:spPr>
        <a:noFill/>
        <a:ln>
          <a:noFill/>
        </a:ln>
        <a:effectLst/>
      </c:spPr>
    </c:plotArea>
    <c:plotVisOnly val="1"/>
    <c:dispBlanksAs val="gap"/>
    <c:showDLblsOverMax val="0"/>
  </c:chart>
  <c:spPr>
    <a:noFill/>
    <a:ln w="9525" cap="flat" cmpd="sng" algn="ctr">
      <a:no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11</xdr:col>
      <xdr:colOff>9525</xdr:colOff>
      <xdr:row>1</xdr:row>
      <xdr:rowOff>95250</xdr:rowOff>
    </xdr:from>
    <xdr:to>
      <xdr:col>20</xdr:col>
      <xdr:colOff>542925</xdr:colOff>
      <xdr:row>33</xdr:row>
      <xdr:rowOff>85725</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12639675" y="419100"/>
          <a:ext cx="6019800" cy="6648450"/>
        </a:xfrm>
        <a:prstGeom prst="rect">
          <a:avLst/>
        </a:prstGeom>
        <a:solidFill>
          <a:schemeClr val="tx2">
            <a:lumMod val="20000"/>
            <a:lumOff val="80000"/>
          </a:schemeClr>
        </a:solidFill>
        <a:ln w="9525" cmpd="sng">
          <a:solidFill>
            <a:schemeClr val="tx2"/>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nSpc>
              <a:spcPts val="1200"/>
            </a:lnSpc>
          </a:pPr>
          <a:endParaRPr lang="en-US" sz="1100">
            <a:solidFill>
              <a:schemeClr val="tx1"/>
            </a:solidFill>
            <a:latin typeface="Segoe UI" panose="020B0502040204020203" pitchFamily="34" charset="0"/>
            <a:ea typeface="+mn-ea"/>
            <a:cs typeface="Segoe UI" panose="020B0502040204020203" pitchFamily="34" charset="0"/>
          </a:endParaRPr>
        </a:p>
        <a:p>
          <a:pPr marL="457200" lvl="1" indent="0">
            <a:lnSpc>
              <a:spcPts val="1200"/>
            </a:lnSpc>
          </a:pPr>
          <a:r>
            <a:rPr lang="en-US" sz="1100" b="1">
              <a:solidFill>
                <a:schemeClr val="tx1"/>
              </a:solidFill>
              <a:latin typeface="Segoe UI" panose="020B0502040204020203" pitchFamily="34" charset="0"/>
              <a:ea typeface="+mn-ea"/>
              <a:cs typeface="Segoe UI" panose="020B0502040204020203" pitchFamily="34" charset="0"/>
            </a:rPr>
            <a:t>Gps Quality Poor: </a:t>
          </a:r>
          <a:r>
            <a:rPr lang="en-US" sz="1100">
              <a:solidFill>
                <a:schemeClr val="tx1"/>
              </a:solidFill>
              <a:latin typeface="Segoe UI" panose="020B0502040204020203" pitchFamily="34" charset="0"/>
              <a:ea typeface="+mn-ea"/>
              <a:cs typeface="Segoe UI" panose="020B0502040204020203" pitchFamily="34" charset="0"/>
            </a:rPr>
            <a:t>Check the location of the device installation to see whether there are any heavy metal components or third party electronics in the immediate vicinity. Reposition the device to a better location with clearer view of the sky, using an extension harness.</a:t>
          </a:r>
        </a:p>
        <a:p>
          <a:pPr marL="457200" lvl="1" indent="0">
            <a:lnSpc>
              <a:spcPts val="1200"/>
            </a:lnSpc>
          </a:pPr>
          <a:endParaRPr lang="en-US" sz="1100">
            <a:solidFill>
              <a:schemeClr val="tx1"/>
            </a:solidFill>
            <a:latin typeface="Segoe UI" panose="020B0502040204020203" pitchFamily="34" charset="0"/>
            <a:ea typeface="+mn-ea"/>
            <a:cs typeface="Segoe UI" panose="020B0502040204020203" pitchFamily="34" charset="0"/>
          </a:endParaRPr>
        </a:p>
        <a:p>
          <a:pPr marL="457200" marR="0" lvl="1" indent="0" defTabSz="914400" eaLnBrk="1" fontAlgn="auto" latinLnBrk="0" hangingPunct="1">
            <a:lnSpc>
              <a:spcPts val="1200"/>
            </a:lnSpc>
            <a:spcBef>
              <a:spcPts val="0"/>
            </a:spcBef>
            <a:spcAft>
              <a:spcPts val="0"/>
            </a:spcAft>
            <a:buClrTx/>
            <a:buSzTx/>
            <a:buFontTx/>
            <a:buNone/>
            <a:tabLst/>
            <a:defRPr/>
          </a:pPr>
          <a:r>
            <a:rPr lang="en-US" sz="1100" b="1">
              <a:solidFill>
                <a:schemeClr val="tx1"/>
              </a:solidFill>
              <a:latin typeface="Segoe UI" panose="020B0502040204020203" pitchFamily="34" charset="0"/>
              <a:ea typeface="+mn-ea"/>
              <a:cs typeface="Segoe UI" panose="020B0502040204020203" pitchFamily="34" charset="0"/>
            </a:rPr>
            <a:t>Gps Module Not Responding: </a:t>
          </a:r>
          <a:r>
            <a:rPr lang="en-US" sz="1100">
              <a:solidFill>
                <a:schemeClr val="tx1"/>
              </a:solidFill>
              <a:latin typeface="Segoe UI" panose="020B0502040204020203" pitchFamily="34" charset="0"/>
              <a:ea typeface="+mn-ea"/>
              <a:cs typeface="Segoe UI" panose="020B0502040204020203" pitchFamily="34" charset="0"/>
            </a:rPr>
            <a:t>If a hard power reset of the device does not clear this fault and restore reliable GPS latching information, then there is likely a hardware level failure and the device will need to be replaced.</a:t>
          </a:r>
        </a:p>
        <a:p>
          <a:pPr marL="457200" lvl="1" indent="0">
            <a:lnSpc>
              <a:spcPts val="1200"/>
            </a:lnSpc>
          </a:pPr>
          <a:endParaRPr lang="en-US" sz="1100">
            <a:solidFill>
              <a:schemeClr val="tx1"/>
            </a:solidFill>
            <a:latin typeface="Segoe UI" panose="020B0502040204020203" pitchFamily="34" charset="0"/>
            <a:ea typeface="+mn-ea"/>
            <a:cs typeface="Segoe UI" panose="020B0502040204020203" pitchFamily="34" charset="0"/>
          </a:endParaRPr>
        </a:p>
        <a:p>
          <a:pPr marL="457200" lvl="1" indent="0">
            <a:lnSpc>
              <a:spcPts val="1200"/>
            </a:lnSpc>
          </a:pPr>
          <a:r>
            <a:rPr lang="en-US" sz="1100" b="1">
              <a:solidFill>
                <a:schemeClr val="tx1"/>
              </a:solidFill>
              <a:latin typeface="Segoe UI" panose="020B0502040204020203" pitchFamily="34" charset="0"/>
              <a:ea typeface="+mn-ea"/>
              <a:cs typeface="Segoe UI" panose="020B0502040204020203" pitchFamily="34" charset="0"/>
            </a:rPr>
            <a:t>Vehicle Battery Has Low Voltage: </a:t>
          </a:r>
          <a:r>
            <a:rPr lang="en-US" sz="1100">
              <a:solidFill>
                <a:schemeClr val="tx1"/>
              </a:solidFill>
              <a:latin typeface="Segoe UI" panose="020B0502040204020203" pitchFamily="34" charset="0"/>
              <a:ea typeface="+mn-ea"/>
              <a:cs typeface="Segoe UI" panose="020B0502040204020203" pitchFamily="34" charset="0"/>
            </a:rPr>
            <a:t>Review the voltage output from the battery and consider servicing the battery if this fault is prevalent for any given vehicle. Could result in eventual power loss to the device.</a:t>
          </a:r>
        </a:p>
        <a:p>
          <a:pPr marL="457200" lvl="1" indent="0">
            <a:lnSpc>
              <a:spcPts val="1200"/>
            </a:lnSpc>
          </a:pPr>
          <a:endParaRPr lang="en-US" sz="1100">
            <a:solidFill>
              <a:schemeClr val="tx1"/>
            </a:solidFill>
            <a:latin typeface="Segoe UI" panose="020B0502040204020203" pitchFamily="34" charset="0"/>
            <a:ea typeface="+mn-ea"/>
            <a:cs typeface="Segoe UI" panose="020B0502040204020203" pitchFamily="34" charset="0"/>
          </a:endParaRPr>
        </a:p>
        <a:p>
          <a:pPr marL="457200" marR="0" lvl="1" indent="0" defTabSz="914400" eaLnBrk="1" fontAlgn="auto" latinLnBrk="0" hangingPunct="1">
            <a:lnSpc>
              <a:spcPts val="1200"/>
            </a:lnSpc>
            <a:spcBef>
              <a:spcPts val="0"/>
            </a:spcBef>
            <a:spcAft>
              <a:spcPts val="0"/>
            </a:spcAft>
            <a:buClrTx/>
            <a:buSzTx/>
            <a:buFontTx/>
            <a:buNone/>
            <a:tabLst/>
            <a:defRPr/>
          </a:pPr>
          <a:r>
            <a:rPr lang="en-US" sz="1100" b="1">
              <a:solidFill>
                <a:schemeClr val="tx1"/>
              </a:solidFill>
              <a:latin typeface="Segoe UI" panose="020B0502040204020203" pitchFamily="34" charset="0"/>
              <a:ea typeface="+mn-ea"/>
              <a:cs typeface="Segoe UI" panose="020B0502040204020203" pitchFamily="34" charset="0"/>
            </a:rPr>
            <a:t>All Power Removed - Device Restarted: </a:t>
          </a:r>
          <a:r>
            <a:rPr lang="en-US" sz="1100">
              <a:solidFill>
                <a:schemeClr val="tx1"/>
              </a:solidFill>
              <a:latin typeface="Segoe UI" panose="020B0502040204020203" pitchFamily="34" charset="0"/>
              <a:ea typeface="+mn-ea"/>
              <a:cs typeface="Segoe UI" panose="020B0502040204020203" pitchFamily="34" charset="0"/>
            </a:rPr>
            <a:t>Can be a result of low battery voltage causing the device to undergoe a brown out or potentially the install is insecure install and the device does not have a consistent connection to the vehicle's battery source.</a:t>
          </a:r>
        </a:p>
        <a:p>
          <a:pPr marL="457200" marR="0" lvl="1" indent="0" defTabSz="914400" eaLnBrk="1" fontAlgn="auto" latinLnBrk="0" hangingPunct="1">
            <a:lnSpc>
              <a:spcPts val="1200"/>
            </a:lnSpc>
            <a:spcBef>
              <a:spcPts val="0"/>
            </a:spcBef>
            <a:spcAft>
              <a:spcPts val="0"/>
            </a:spcAft>
            <a:buClrTx/>
            <a:buSzTx/>
            <a:buFontTx/>
            <a:buNone/>
            <a:tabLst/>
            <a:defRPr/>
          </a:pPr>
          <a:endParaRPr lang="en-US" sz="1100">
            <a:solidFill>
              <a:schemeClr val="tx1"/>
            </a:solidFill>
            <a:latin typeface="Segoe UI" panose="020B0502040204020203" pitchFamily="34" charset="0"/>
            <a:ea typeface="+mn-ea"/>
            <a:cs typeface="Segoe UI" panose="020B0502040204020203" pitchFamily="34" charset="0"/>
          </a:endParaRPr>
        </a:p>
        <a:p>
          <a:pPr marL="457200" marR="0" lvl="1" indent="0" defTabSz="914400" eaLnBrk="1" fontAlgn="auto" latinLnBrk="0" hangingPunct="1">
            <a:lnSpc>
              <a:spcPts val="1200"/>
            </a:lnSpc>
            <a:spcBef>
              <a:spcPts val="0"/>
            </a:spcBef>
            <a:spcAft>
              <a:spcPts val="0"/>
            </a:spcAft>
            <a:buClrTx/>
            <a:buSzTx/>
            <a:buFontTx/>
            <a:buNone/>
            <a:tabLst/>
            <a:defRPr/>
          </a:pPr>
          <a:r>
            <a:rPr lang="en-US" sz="1100" b="1">
              <a:solidFill>
                <a:schemeClr val="tx1"/>
              </a:solidFill>
              <a:latin typeface="Segoe UI" panose="020B0502040204020203" pitchFamily="34" charset="0"/>
              <a:ea typeface="+mn-ea"/>
              <a:cs typeface="Segoe UI" panose="020B0502040204020203" pitchFamily="34" charset="0"/>
            </a:rPr>
            <a:t>Telematics Device Has Been Unplugged: </a:t>
          </a:r>
          <a:r>
            <a:rPr lang="en-US" sz="1100">
              <a:solidFill>
                <a:schemeClr val="tx1"/>
              </a:solidFill>
              <a:latin typeface="Segoe UI" panose="020B0502040204020203" pitchFamily="34" charset="0"/>
              <a:ea typeface="+mn-ea"/>
              <a:cs typeface="Segoe UI" panose="020B0502040204020203" pitchFamily="34" charset="0"/>
            </a:rPr>
            <a:t>The device was either manually unplugged (tampered with) or the installation has come undone. Check the install integrity to make sure nothing has been changed.</a:t>
          </a:r>
        </a:p>
        <a:p>
          <a:pPr marL="457200" lvl="1" indent="0">
            <a:lnSpc>
              <a:spcPts val="1200"/>
            </a:lnSpc>
          </a:pPr>
          <a:endParaRPr lang="en-US" sz="1100">
            <a:solidFill>
              <a:schemeClr val="tx1"/>
            </a:solidFill>
            <a:latin typeface="Segoe UI" panose="020B0502040204020203" pitchFamily="34" charset="0"/>
            <a:ea typeface="+mn-ea"/>
            <a:cs typeface="Segoe UI" panose="020B0502040204020203" pitchFamily="34" charset="0"/>
          </a:endParaRPr>
        </a:p>
        <a:p>
          <a:pPr marL="457200" lvl="1" indent="0">
            <a:lnSpc>
              <a:spcPts val="1200"/>
            </a:lnSpc>
          </a:pPr>
          <a:r>
            <a:rPr lang="en-US" sz="1100" b="1">
              <a:solidFill>
                <a:schemeClr val="tx1"/>
              </a:solidFill>
              <a:latin typeface="Segoe UI" panose="020B0502040204020203" pitchFamily="34" charset="0"/>
              <a:ea typeface="+mn-ea"/>
              <a:cs typeface="Segoe UI" panose="020B0502040204020203" pitchFamily="34" charset="0"/>
            </a:rPr>
            <a:t>Accelerometer Disabled Due To Excessive Data:</a:t>
          </a:r>
          <a:r>
            <a:rPr lang="en-US" sz="1100">
              <a:solidFill>
                <a:schemeClr val="tx1"/>
              </a:solidFill>
              <a:latin typeface="Segoe UI" panose="020B0502040204020203" pitchFamily="34" charset="0"/>
              <a:ea typeface="+mn-ea"/>
              <a:cs typeface="Segoe UI" panose="020B0502040204020203" pitchFamily="34" charset="0"/>
            </a:rPr>
            <a:t> Check to make sure that the device is securely installed and fastened to a solid vehicle component which will not vibrate or otherwise result in device movement.</a:t>
          </a:r>
        </a:p>
        <a:p>
          <a:pPr marL="457200" lvl="1" indent="0">
            <a:lnSpc>
              <a:spcPts val="1200"/>
            </a:lnSpc>
          </a:pPr>
          <a:endParaRPr lang="en-US" sz="1100">
            <a:solidFill>
              <a:schemeClr val="tx1"/>
            </a:solidFill>
            <a:latin typeface="Segoe UI" panose="020B0502040204020203" pitchFamily="34" charset="0"/>
            <a:ea typeface="+mn-ea"/>
            <a:cs typeface="Segoe UI" panose="020B0502040204020203" pitchFamily="34" charset="0"/>
          </a:endParaRPr>
        </a:p>
        <a:p>
          <a:pPr marL="457200" lvl="1" indent="0">
            <a:lnSpc>
              <a:spcPts val="1200"/>
            </a:lnSpc>
          </a:pPr>
          <a:r>
            <a:rPr lang="en-US" sz="1100" b="1">
              <a:solidFill>
                <a:schemeClr val="tx1"/>
              </a:solidFill>
              <a:latin typeface="Segoe UI" panose="020B0502040204020203" pitchFamily="34" charset="0"/>
              <a:ea typeface="+mn-ea"/>
              <a:cs typeface="Segoe UI" panose="020B0502040204020203" pitchFamily="34" charset="0"/>
            </a:rPr>
            <a:t>Accident Limit For Acceleration Exceeded:</a:t>
          </a:r>
          <a:r>
            <a:rPr lang="en-US" sz="1100">
              <a:solidFill>
                <a:schemeClr val="tx1"/>
              </a:solidFill>
              <a:latin typeface="Segoe UI" panose="020B0502040204020203" pitchFamily="34" charset="0"/>
              <a:ea typeface="+mn-ea"/>
              <a:cs typeface="Segoe UI" panose="020B0502040204020203" pitchFamily="34" charset="0"/>
            </a:rPr>
            <a:t> The device has recorded too many consecutive accident level events. The action from the previous point above should be taken.</a:t>
          </a:r>
        </a:p>
        <a:p>
          <a:pPr marL="457200" lvl="1" indent="0">
            <a:lnSpc>
              <a:spcPts val="1200"/>
            </a:lnSpc>
          </a:pPr>
          <a:endParaRPr lang="en-US" sz="1100">
            <a:solidFill>
              <a:schemeClr val="tx1"/>
            </a:solidFill>
            <a:latin typeface="Segoe UI" panose="020B0502040204020203" pitchFamily="34" charset="0"/>
            <a:ea typeface="+mn-ea"/>
            <a:cs typeface="Segoe UI" panose="020B0502040204020203" pitchFamily="34" charset="0"/>
          </a:endParaRPr>
        </a:p>
        <a:p>
          <a:pPr marL="457200" lvl="1" indent="0">
            <a:lnSpc>
              <a:spcPts val="1200"/>
            </a:lnSpc>
          </a:pPr>
          <a:r>
            <a:rPr lang="en-US" sz="1100" b="1">
              <a:solidFill>
                <a:schemeClr val="tx1"/>
              </a:solidFill>
              <a:latin typeface="Segoe UI" panose="020B0502040204020203" pitchFamily="34" charset="0"/>
              <a:ea typeface="+mn-ea"/>
              <a:cs typeface="Segoe UI" panose="020B0502040204020203" pitchFamily="34" charset="0"/>
            </a:rPr>
            <a:t>Excessive Engine Records Are Being Created: </a:t>
          </a:r>
          <a:r>
            <a:rPr lang="en-US" sz="1100">
              <a:solidFill>
                <a:schemeClr val="tx1"/>
              </a:solidFill>
              <a:latin typeface="Segoe UI" panose="020B0502040204020203" pitchFamily="34" charset="0"/>
              <a:ea typeface="+mn-ea"/>
              <a:cs typeface="Segoe UI" panose="020B0502040204020203" pitchFamily="34" charset="0"/>
            </a:rPr>
            <a:t>The device is logging too much engine data and the engine data logging feature is now disabled. Perform a hard power reset on the device to renable engine data logging but also follow up internally, or with your authorized Geotab reseller, in order to find out which engine diagnostics were being logged excessively.</a:t>
          </a:r>
        </a:p>
        <a:p>
          <a:pPr marL="457200" lvl="1" indent="0">
            <a:lnSpc>
              <a:spcPts val="1200"/>
            </a:lnSpc>
          </a:pPr>
          <a:endParaRPr lang="en-US" sz="1100">
            <a:solidFill>
              <a:schemeClr val="tx1"/>
            </a:solidFill>
            <a:latin typeface="Segoe UI" panose="020B0502040204020203" pitchFamily="34" charset="0"/>
            <a:ea typeface="+mn-ea"/>
            <a:cs typeface="Segoe UI" panose="020B0502040204020203" pitchFamily="34" charset="0"/>
          </a:endParaRPr>
        </a:p>
        <a:p>
          <a:pPr marL="457200" lvl="1" indent="0">
            <a:lnSpc>
              <a:spcPts val="1200"/>
            </a:lnSpc>
          </a:pPr>
          <a:r>
            <a:rPr lang="en-US" sz="1100" b="1">
              <a:solidFill>
                <a:schemeClr val="tx1"/>
              </a:solidFill>
              <a:latin typeface="Segoe UI" panose="020B0502040204020203" pitchFamily="34" charset="0"/>
              <a:ea typeface="+mn-ea"/>
              <a:cs typeface="Segoe UI" panose="020B0502040204020203" pitchFamily="34" charset="0"/>
            </a:rPr>
            <a:t>Flash Memory Failure: </a:t>
          </a:r>
          <a:r>
            <a:rPr lang="en-US" sz="1100">
              <a:solidFill>
                <a:schemeClr val="tx1"/>
              </a:solidFill>
              <a:latin typeface="Segoe UI" panose="020B0502040204020203" pitchFamily="34" charset="0"/>
              <a:ea typeface="+mn-ea"/>
              <a:cs typeface="Segoe UI" panose="020B0502040204020203" pitchFamily="34" charset="0"/>
            </a:rPr>
            <a:t>The internal device flash memory has succumb to a hardware failure. The device needs to be replaced.</a:t>
          </a:r>
        </a:p>
        <a:p>
          <a:pPr marL="457200" lvl="1" indent="0">
            <a:lnSpc>
              <a:spcPts val="1200"/>
            </a:lnSpc>
          </a:pPr>
          <a:endParaRPr lang="en-US" sz="1100">
            <a:solidFill>
              <a:schemeClr val="tx1"/>
            </a:solidFill>
            <a:latin typeface="Segoe UI" panose="020B0502040204020203" pitchFamily="34" charset="0"/>
            <a:ea typeface="+mn-ea"/>
            <a:cs typeface="Segoe UI" panose="020B0502040204020203" pitchFamily="34" charset="0"/>
          </a:endParaRPr>
        </a:p>
        <a:p>
          <a:pPr marL="457200" lvl="1" indent="0">
            <a:lnSpc>
              <a:spcPts val="1200"/>
            </a:lnSpc>
          </a:pPr>
          <a:r>
            <a:rPr lang="en-US" sz="1100">
              <a:solidFill>
                <a:schemeClr val="accent1"/>
              </a:solidFill>
              <a:latin typeface="Segoe UI" panose="020B0502040204020203" pitchFamily="34" charset="0"/>
              <a:ea typeface="+mn-ea"/>
              <a:cs typeface="Segoe UI" panose="020B0502040204020203" pitchFamily="34" charset="0"/>
            </a:rPr>
            <a:t>* For any other faults which may appear within your fleet, please follow up with your management team and/or your authorized Geotab reseller in order to determine if they can have a negative impact.</a:t>
          </a:r>
        </a:p>
      </xdr:txBody>
    </xdr:sp>
    <xdr:clientData/>
  </xdr:twoCellAnchor>
  <xdr:twoCellAnchor editAs="absolute">
    <xdr:from>
      <xdr:col>2</xdr:col>
      <xdr:colOff>314324</xdr:colOff>
      <xdr:row>7</xdr:row>
      <xdr:rowOff>38098</xdr:rowOff>
    </xdr:from>
    <xdr:to>
      <xdr:col>9</xdr:col>
      <xdr:colOff>152399</xdr:colOff>
      <xdr:row>20</xdr:row>
      <xdr:rowOff>76198</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104775</xdr:colOff>
      <xdr:row>2</xdr:row>
      <xdr:rowOff>123824</xdr:rowOff>
    </xdr:from>
    <xdr:to>
      <xdr:col>11</xdr:col>
      <xdr:colOff>437967</xdr:colOff>
      <xdr:row>4</xdr:row>
      <xdr:rowOff>45719</xdr:rowOff>
    </xdr:to>
    <xdr:pic>
      <xdr:nvPicPr>
        <xdr:cNvPr id="4" name="Picture 3">
          <a:extLst>
            <a:ext uri="{FF2B5EF4-FFF2-40B4-BE49-F238E27FC236}">
              <a16:creationId xmlns:a16="http://schemas.microsoft.com/office/drawing/2014/main" id="{F237CC47-3C79-4074-8FB4-8CB0D92FA2D3}"/>
            </a:ext>
          </a:extLst>
        </xdr:cNvPr>
        <xdr:cNvPicPr>
          <a:picLocks noChangeAspect="1"/>
        </xdr:cNvPicPr>
      </xdr:nvPicPr>
      <xdr:blipFill>
        <a:blip xmlns:r="http://schemas.openxmlformats.org/officeDocument/2006/relationships" r:embed="rId2"/>
        <a:stretch>
          <a:fillRect/>
        </a:stretch>
      </xdr:blipFill>
      <xdr:spPr>
        <a:xfrm>
          <a:off x="12734925" y="771524"/>
          <a:ext cx="333192" cy="3409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228600</xdr:colOff>
      <xdr:row>10</xdr:row>
      <xdr:rowOff>0</xdr:rowOff>
    </xdr:from>
    <xdr:to>
      <xdr:col>7</xdr:col>
      <xdr:colOff>542924</xdr:colOff>
      <xdr:row>19</xdr:row>
      <xdr:rowOff>38100</xdr:rowOff>
    </xdr:to>
    <xdr:sp macro="" textlink="">
      <xdr:nvSpPr>
        <xdr:cNvPr id="3" name="TextBox 2">
          <a:extLst>
            <a:ext uri="{FF2B5EF4-FFF2-40B4-BE49-F238E27FC236}">
              <a16:creationId xmlns:a16="http://schemas.microsoft.com/office/drawing/2014/main" id="{6E2D34CD-3ABA-4E45-AAF5-4D7CE2452214}"/>
            </a:ext>
          </a:extLst>
        </xdr:cNvPr>
        <xdr:cNvSpPr txBox="1"/>
      </xdr:nvSpPr>
      <xdr:spPr>
        <a:xfrm>
          <a:off x="8639175" y="2266950"/>
          <a:ext cx="3371849" cy="1924050"/>
        </a:xfrm>
        <a:prstGeom prst="rect">
          <a:avLst/>
        </a:prstGeom>
        <a:solidFill>
          <a:schemeClr val="tx2">
            <a:lumMod val="20000"/>
            <a:lumOff val="80000"/>
          </a:schemeClr>
        </a:solidFill>
        <a:ln w="9525" cmpd="sng">
          <a:solidFill>
            <a:schemeClr val="tx2"/>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nSpc>
              <a:spcPts val="1200"/>
            </a:lnSpc>
          </a:pPr>
          <a:endParaRPr lang="en-US" sz="1100">
            <a:solidFill>
              <a:schemeClr val="tx1"/>
            </a:solidFill>
            <a:latin typeface="Segoe UI" panose="020B0502040204020203" pitchFamily="34" charset="0"/>
            <a:ea typeface="+mn-ea"/>
            <a:cs typeface="Segoe UI" panose="020B0502040204020203" pitchFamily="34" charset="0"/>
          </a:endParaRPr>
        </a:p>
        <a:p>
          <a:pPr marL="457200" lvl="1" indent="0">
            <a:lnSpc>
              <a:spcPts val="1200"/>
            </a:lnSpc>
          </a:pPr>
          <a:r>
            <a:rPr lang="en-US" sz="1100">
              <a:solidFill>
                <a:schemeClr val="tx1"/>
              </a:solidFill>
              <a:latin typeface="Segoe UI" panose="020B0502040204020203" pitchFamily="34" charset="0"/>
              <a:ea typeface="+mn-ea"/>
              <a:cs typeface="Segoe UI" panose="020B0502040204020203" pitchFamily="34" charset="0"/>
            </a:rPr>
            <a:t>This report provides insight into what types of device related issues are present in your vehicle fleet. It includes a breakdown of exactly which devices are experiencing performance issues, what those issues are, and how they can be addressed in order to restore normal device functionality. An extremely useful tool which can be used to ensure a strong telematics device uptime in your fleet.</a:t>
          </a:r>
        </a:p>
      </xdr:txBody>
    </xdr:sp>
    <xdr:clientData/>
  </xdr:twoCellAnchor>
  <xdr:twoCellAnchor editAs="absolute">
    <xdr:from>
      <xdr:col>5</xdr:col>
      <xdr:colOff>361950</xdr:colOff>
      <xdr:row>11</xdr:row>
      <xdr:rowOff>0</xdr:rowOff>
    </xdr:from>
    <xdr:to>
      <xdr:col>5</xdr:col>
      <xdr:colOff>695142</xdr:colOff>
      <xdr:row>12</xdr:row>
      <xdr:rowOff>131445</xdr:rowOff>
    </xdr:to>
    <xdr:pic>
      <xdr:nvPicPr>
        <xdr:cNvPr id="4" name="Picture 3">
          <a:extLst>
            <a:ext uri="{FF2B5EF4-FFF2-40B4-BE49-F238E27FC236}">
              <a16:creationId xmlns:a16="http://schemas.microsoft.com/office/drawing/2014/main" id="{4C354AC3-BBF9-4FC2-88FB-A8170D61C47F}"/>
            </a:ext>
          </a:extLst>
        </xdr:cNvPr>
        <xdr:cNvPicPr>
          <a:picLocks noChangeAspect="1"/>
        </xdr:cNvPicPr>
      </xdr:nvPicPr>
      <xdr:blipFill>
        <a:blip xmlns:r="http://schemas.openxmlformats.org/officeDocument/2006/relationships" r:embed="rId1"/>
        <a:stretch>
          <a:fillRect/>
        </a:stretch>
      </xdr:blipFill>
      <xdr:spPr>
        <a:xfrm>
          <a:off x="8772525" y="2476500"/>
          <a:ext cx="333192"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609599</xdr:colOff>
      <xdr:row>0</xdr:row>
      <xdr:rowOff>476250</xdr:rowOff>
    </xdr:from>
    <xdr:to>
      <xdr:col>7</xdr:col>
      <xdr:colOff>600074</xdr:colOff>
      <xdr:row>0</xdr:row>
      <xdr:rowOff>1695450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6781799" y="476250"/>
          <a:ext cx="2428875"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Report</a:t>
          </a:r>
          <a:r>
            <a:rPr lang="en-US" sz="1100" b="1" baseline="0"/>
            <a:t> Setup</a:t>
          </a:r>
          <a:endParaRPr lang="en-US" sz="1100" b="1"/>
        </a:p>
        <a:p>
          <a:r>
            <a:rPr lang="en-US" sz="1100"/>
            <a:t>When</a:t>
          </a:r>
          <a:r>
            <a:rPr lang="en-US" sz="1100" baseline="0"/>
            <a:t> setting up this report, copy and paste the  string from cell A1 here into the Diagnostics field for the report configuration.</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icardo Rivera" refreshedDate="43962.469584259263" createdVersion="5" refreshedVersion="6" minRefreshableVersion="3" recordCount="19" xr:uid="{00000000-000A-0000-FFFF-FFFF05000000}">
  <cacheSource type="worksheet">
    <worksheetSource name="AllData"/>
  </cacheSource>
  <cacheFields count="9">
    <cacheField name="Device" numFmtId="0">
      <sharedItems count="10">
        <s v="Vehicle 1"/>
        <s v="Vehicle 2"/>
        <s v="Vehicle 3"/>
        <s v="Vehicle 4"/>
        <s v="Vehicle 5"/>
        <s v="Vehicle 6"/>
        <s v="Vehicle 7"/>
        <s v="Vehicle 8"/>
        <s v="Vehicle 9"/>
        <s v="Vehicle 10"/>
      </sharedItems>
    </cacheField>
    <cacheField name="Unique Device Per Fault" numFmtId="0">
      <sharedItems containsSemiMixedTypes="0" containsString="0" containsNumber="1" containsInteger="1" minValue="1" maxValue="1"/>
    </cacheField>
    <cacheField name="Device Group" numFmtId="0">
      <sharedItems/>
    </cacheField>
    <cacheField name="Date" numFmtId="165">
      <sharedItems containsSemiMixedTypes="0" containsNonDate="0" containsDate="1" containsString="0" minDate="2016-01-22T00:00:00" maxDate="2016-01-24T00:00:00"/>
    </cacheField>
    <cacheField name="Time" numFmtId="19">
      <sharedItems containsSemiMixedTypes="0" containsNonDate="0" containsDate="1" containsString="0" minDate="1899-12-30T00:24:34" maxDate="1899-12-30T13:50:54" count="18">
        <d v="1899-12-30T05:50:30"/>
        <d v="1899-12-30T10:19:50"/>
        <d v="1899-12-30T10:35:21"/>
        <d v="1899-12-30T05:16:46"/>
        <d v="1899-12-30T07:37:22"/>
        <d v="1899-12-30T07:58:50"/>
        <d v="1899-12-30T07:50:43"/>
        <d v="1899-12-30T12:39:23"/>
        <d v="1899-12-30T13:50:54"/>
        <d v="1899-12-30T08:00:17"/>
        <d v="1899-12-30T00:24:34"/>
        <d v="1899-12-30T08:08:03"/>
        <d v="1899-12-30T08:00:27"/>
        <d v="1899-12-30T11:05:13"/>
        <d v="1899-12-30T07:57:15"/>
        <d v="1899-12-30T10:19:14"/>
        <d v="1899-12-30T10:27:01"/>
        <d v="1899-12-30T08:02:39"/>
      </sharedItems>
      <fieldGroup par="8" base="4">
        <rangePr groupBy="seconds" startDate="1899-12-30T00:24:34" endDate="1899-12-30T13:50:54"/>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Fault" numFmtId="19">
      <sharedItems count="18">
        <s v="Gps Quality Poor"/>
        <s v="Accelerometer Disabled Due To Excessive Data"/>
        <s v="Accident Limit For Acceleration Exceeded"/>
        <s v="Can Bus Disabled Due To Excessive Errors Detected"/>
        <s v="Can Transmit Error Count Exceeded"/>
        <s v="Device Is Disabled In Myadmin"/>
        <s v="Device Logging Disabled"/>
        <s v="Excessive Accelerometer Events"/>
        <s v="Excessive Accelerometer Events Over Accident Threshold"/>
        <s v="Excessive Accelerometer Logs In A Single Event"/>
        <s v="Excessive Engine Records Are Being Created"/>
        <s v="Excessive Errors Detected On Legacy Communication Bus"/>
        <s v="Excessive Logging Detected"/>
        <s v="All Power Removed - Device Restarted"/>
        <s v="Can Bus Was Not Initialized"/>
        <s v="Can Mode Failed During Initialization"/>
        <s v="Gps Antenna Short-Circuited"/>
        <s v="Gps Antenna Unplugged"/>
      </sharedItems>
    </cacheField>
    <cacheField name="Description" numFmtId="0">
      <sharedItems/>
    </cacheField>
    <cacheField name="Minutes" numFmtId="0" databaseField="0">
      <fieldGroup base="4">
        <rangePr groupBy="minutes" startDate="1899-12-30T00:24:34" endDate="1899-12-30T13:50:54"/>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numFmtId="0" databaseField="0">
      <fieldGroup base="4">
        <rangePr groupBy="hours" startDate="1899-12-30T00:24:34" endDate="1899-12-30T13:50:54"/>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n v="1"/>
    <s v="Group A"/>
    <d v="2016-01-22T00:00:00"/>
    <x v="0"/>
    <x v="0"/>
    <s v="Gps Quality Poor (Bad Device Install Or Vehicle Undercover)"/>
  </r>
  <r>
    <x v="0"/>
    <n v="1"/>
    <s v="Group A"/>
    <d v="2016-01-22T00:00:00"/>
    <x v="1"/>
    <x v="1"/>
    <s v="Accelerometer Disabled Due To Excessive Data (Device Needs Re-Installation)"/>
  </r>
  <r>
    <x v="0"/>
    <n v="1"/>
    <s v="Group A"/>
    <d v="2016-01-22T00:00:00"/>
    <x v="2"/>
    <x v="2"/>
    <s v="Accident Limit For Acceleration Exceeded"/>
  </r>
  <r>
    <x v="0"/>
    <n v="1"/>
    <s v="Group A"/>
    <d v="2016-01-22T00:00:00"/>
    <x v="3"/>
    <x v="3"/>
    <s v="Can Bus Disabled Due To Excessive Errors Detected (Device Install Needs Validation)"/>
  </r>
  <r>
    <x v="0"/>
    <n v="1"/>
    <s v="Group A"/>
    <d v="2016-01-22T00:00:00"/>
    <x v="4"/>
    <x v="4"/>
    <s v="Can Transmit Error Count Exceeded"/>
  </r>
  <r>
    <x v="0"/>
    <n v="1"/>
    <s v="Group A"/>
    <d v="2016-01-22T00:00:00"/>
    <x v="5"/>
    <x v="5"/>
    <s v="Device Is Disabled In Myadmin (Contact Reseller)"/>
  </r>
  <r>
    <x v="1"/>
    <n v="1"/>
    <s v="Group B"/>
    <d v="2016-01-22T00:00:00"/>
    <x v="6"/>
    <x v="6"/>
    <s v="Device Logging Disabled"/>
  </r>
  <r>
    <x v="1"/>
    <n v="1"/>
    <s v="Group B"/>
    <d v="2016-01-22T00:00:00"/>
    <x v="7"/>
    <x v="7"/>
    <s v="Excessive Accelerometer Events"/>
  </r>
  <r>
    <x v="1"/>
    <n v="1"/>
    <s v="Group B"/>
    <d v="2016-01-22T00:00:00"/>
    <x v="8"/>
    <x v="8"/>
    <s v="Excessive Accelerometer Events Over Accident Threshold"/>
  </r>
  <r>
    <x v="2"/>
    <n v="1"/>
    <s v="Group B"/>
    <d v="2016-01-22T00:00:00"/>
    <x v="9"/>
    <x v="9"/>
    <s v="Excessive Accelerometer Logs In A Single Event"/>
  </r>
  <r>
    <x v="3"/>
    <n v="1"/>
    <s v="Group A"/>
    <d v="2016-01-22T00:00:00"/>
    <x v="10"/>
    <x v="10"/>
    <s v="Excessive Engine Records Are Being Created"/>
  </r>
  <r>
    <x v="3"/>
    <n v="1"/>
    <s v="Group A"/>
    <d v="2016-01-23T00:00:00"/>
    <x v="10"/>
    <x v="11"/>
    <s v="Excessive Errors Detected On Legacy Communication Bus"/>
  </r>
  <r>
    <x v="3"/>
    <n v="1"/>
    <s v="Group A"/>
    <d v="2016-01-22T00:00:00"/>
    <x v="11"/>
    <x v="12"/>
    <s v="Excessive Logging Detected"/>
  </r>
  <r>
    <x v="4"/>
    <n v="1"/>
    <s v="Group B"/>
    <d v="2016-01-22T00:00:00"/>
    <x v="12"/>
    <x v="13"/>
    <s v="All Power Removed - Device Restarted"/>
  </r>
  <r>
    <x v="5"/>
    <n v="1"/>
    <s v="Group B"/>
    <d v="2016-01-22T00:00:00"/>
    <x v="13"/>
    <x v="14"/>
    <s v="Can Bus Was Not Initialized"/>
  </r>
  <r>
    <x v="6"/>
    <n v="1"/>
    <s v="Group B"/>
    <d v="2016-01-22T00:00:00"/>
    <x v="14"/>
    <x v="15"/>
    <s v="Can Mode Failed During Initialization"/>
  </r>
  <r>
    <x v="7"/>
    <n v="1"/>
    <s v="Group B"/>
    <d v="2016-01-22T00:00:00"/>
    <x v="15"/>
    <x v="16"/>
    <s v="Gps Antenna Short-Circuited"/>
  </r>
  <r>
    <x v="8"/>
    <n v="1"/>
    <s v="Group B"/>
    <d v="2016-01-22T00:00:00"/>
    <x v="16"/>
    <x v="17"/>
    <s v="Gps Antenna Unplugged"/>
  </r>
  <r>
    <x v="9"/>
    <n v="1"/>
    <s v="Group B"/>
    <d v="2016-01-22T00:00:00"/>
    <x v="17"/>
    <x v="0"/>
    <s v="Gps Quality Poor (Bad Device Install Or Vehicle Undercov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5" applyNumberFormats="0" applyBorderFormats="0" applyFontFormats="0" applyPatternFormats="0" applyAlignmentFormats="0" applyWidthHeightFormats="1" dataCaption="Values" updatedVersion="6" minRefreshableVersion="3" showDrill="0" itemPrintTitles="1" createdVersion="5" indent="0" compact="0" compactData="0" multipleFieldFilters="0" chartFormat="22">
  <location ref="A9:B28" firstHeaderRow="1" firstDataRow="1" firstDataCol="1"/>
  <pivotFields count="9">
    <pivotField compact="0" outline="0" showAll="0"/>
    <pivotField dataField="1" compact="0" outline="0" showAll="0" defaultSubtotal="0"/>
    <pivotField compact="0" outline="0" showAll="0" defaultSubtotal="0"/>
    <pivotField compact="0" numFmtId="165" outline="0" showAll="0"/>
    <pivotField compact="0" numFmtId="19"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compact="0" outline="0" showAll="0" measureFilter="1" sortType="descending" defaultSubtotal="0">
      <items count="18">
        <item x="0"/>
        <item x="17"/>
        <item x="16"/>
        <item x="12"/>
        <item x="11"/>
        <item x="10"/>
        <item x="9"/>
        <item x="8"/>
        <item x="7"/>
        <item x="6"/>
        <item x="5"/>
        <item x="4"/>
        <item x="15"/>
        <item x="14"/>
        <item x="3"/>
        <item x="13"/>
        <item x="2"/>
        <item x="1"/>
      </items>
      <autoSortScope>
        <pivotArea dataOnly="0" outline="0" fieldPosition="0">
          <references count="1">
            <reference field="4294967294" count="1" selected="0">
              <x v="0"/>
            </reference>
          </references>
        </pivotArea>
      </autoSortScope>
    </pivotField>
    <pivotField compact="0" outline="0" showAll="0"/>
    <pivotField compact="0"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19">
    <i>
      <x/>
    </i>
    <i>
      <x v="16"/>
    </i>
    <i>
      <x v="12"/>
    </i>
    <i>
      <x v="10"/>
    </i>
    <i>
      <x v="2"/>
    </i>
    <i>
      <x v="14"/>
    </i>
    <i>
      <x v="3"/>
    </i>
    <i>
      <x v="9"/>
    </i>
    <i>
      <x v="4"/>
    </i>
    <i>
      <x v="11"/>
    </i>
    <i>
      <x v="5"/>
    </i>
    <i>
      <x v="13"/>
    </i>
    <i>
      <x v="6"/>
    </i>
    <i>
      <x v="15"/>
    </i>
    <i>
      <x v="7"/>
    </i>
    <i>
      <x v="1"/>
    </i>
    <i>
      <x v="17"/>
    </i>
    <i>
      <x v="8"/>
    </i>
    <i t="grand">
      <x/>
    </i>
  </rowItems>
  <colItems count="1">
    <i/>
  </colItems>
  <dataFields count="1">
    <dataField name="Device Count" fld="1" baseField="0" baseItem="0"/>
  </dataFields>
  <formats count="42">
    <format dxfId="213">
      <pivotArea grandRow="1" outline="0" collapsedLevelsAreSubtotals="1" fieldPosition="0"/>
    </format>
    <format dxfId="212">
      <pivotArea dataOnly="0" labelOnly="1" grandRow="1" outline="0" fieldPosition="0"/>
    </format>
    <format dxfId="211">
      <pivotArea grandRow="1" outline="0" collapsedLevelsAreSubtotals="1" fieldPosition="0"/>
    </format>
    <format dxfId="210">
      <pivotArea dataOnly="0" labelOnly="1" grandRow="1" outline="0" fieldPosition="0"/>
    </format>
    <format dxfId="209">
      <pivotArea grandRow="1" outline="0" collapsedLevelsAreSubtotals="1" fieldPosition="0"/>
    </format>
    <format dxfId="208">
      <pivotArea dataOnly="0" labelOnly="1" grandRow="1" outline="0" fieldPosition="0"/>
    </format>
    <format dxfId="207">
      <pivotArea grandRow="1" outline="0" collapsedLevelsAreSubtotals="1" fieldPosition="0"/>
    </format>
    <format dxfId="206">
      <pivotArea dataOnly="0" labelOnly="1" grandRow="1" outline="0" fieldPosition="0"/>
    </format>
    <format dxfId="205">
      <pivotArea grandRow="1" outline="0" collapsedLevelsAreSubtotals="1" fieldPosition="0"/>
    </format>
    <format dxfId="204">
      <pivotArea dataOnly="0" labelOnly="1" grandRow="1" outline="0" fieldPosition="0"/>
    </format>
    <format dxfId="203">
      <pivotArea type="all" dataOnly="0" outline="0" fieldPosition="0"/>
    </format>
    <format dxfId="202">
      <pivotArea outline="0" collapsedLevelsAreSubtotals="1" fieldPosition="0"/>
    </format>
    <format dxfId="201">
      <pivotArea field="5" type="button" dataOnly="0" labelOnly="1" outline="0" axis="axisRow" fieldPosition="0"/>
    </format>
    <format dxfId="200">
      <pivotArea dataOnly="0" labelOnly="1" outline="0" axis="axisValues" fieldPosition="0"/>
    </format>
    <format dxfId="199">
      <pivotArea dataOnly="0" labelOnly="1" outline="0" fieldPosition="0">
        <references count="1">
          <reference field="5" count="0"/>
        </references>
      </pivotArea>
    </format>
    <format dxfId="198">
      <pivotArea dataOnly="0" labelOnly="1" grandRow="1" outline="0"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field="5" type="button" dataOnly="0" labelOnly="1" outline="0" axis="axisRow" fieldPosition="0"/>
    </format>
    <format dxfId="193">
      <pivotArea dataOnly="0" labelOnly="1" outline="0" axis="axisValues" fieldPosition="0"/>
    </format>
    <format dxfId="192">
      <pivotArea dataOnly="0" labelOnly="1" outline="0" fieldPosition="0">
        <references count="1">
          <reference field="5" count="0"/>
        </references>
      </pivotArea>
    </format>
    <format dxfId="191">
      <pivotArea dataOnly="0" labelOnly="1" grandRow="1" outline="0" fieldPosition="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field="5" type="button" dataOnly="0" labelOnly="1" outline="0" axis="axisRow" fieldPosition="0"/>
    </format>
    <format dxfId="186">
      <pivotArea dataOnly="0" labelOnly="1" outline="0" axis="axisValues" fieldPosition="0"/>
    </format>
    <format dxfId="185">
      <pivotArea dataOnly="0" labelOnly="1" outline="0" fieldPosition="0">
        <references count="1">
          <reference field="5" count="0"/>
        </references>
      </pivotArea>
    </format>
    <format dxfId="184">
      <pivotArea dataOnly="0" labelOnly="1" grandRow="1" outline="0" fieldPosition="0"/>
    </format>
    <format dxfId="183">
      <pivotArea dataOnly="0" labelOnly="1" outline="0" axis="axisValues" fieldPosition="0"/>
    </format>
    <format dxfId="182">
      <pivotArea outline="0" collapsedLevelsAreSubtotals="1" fieldPosition="0"/>
    </format>
    <format dxfId="181">
      <pivotArea dataOnly="0" labelOnly="1" outline="0" axis="axisValues" fieldPosition="0"/>
    </format>
    <format dxfId="180">
      <pivotArea dataOnly="0" labelOnly="1" outline="0" axis="axisValues" fieldPosition="0"/>
    </format>
    <format dxfId="179">
      <pivotArea outline="0" collapsedLevelsAreSubtotals="1" fieldPosition="0"/>
    </format>
    <format dxfId="178">
      <pivotArea dataOnly="0" labelOnly="1" outline="0" axis="axisValues" fieldPosition="0"/>
    </format>
    <format dxfId="177">
      <pivotArea dataOnly="0" labelOnly="1" outline="0" axis="axisValues" fieldPosition="0"/>
    </format>
    <format dxfId="176">
      <pivotArea dataOnly="0" labelOnly="1" outline="0" fieldPosition="0">
        <references count="1">
          <reference field="5" count="0"/>
        </references>
      </pivotArea>
    </format>
    <format dxfId="175">
      <pivotArea field="5" type="button" dataOnly="0" labelOnly="1" outline="0" axis="axisRow" fieldPosition="0"/>
    </format>
    <format dxfId="174">
      <pivotArea field="5" type="button" dataOnly="0" labelOnly="1" outline="0" axis="axisRow" fieldPosition="0"/>
    </format>
    <format dxfId="173">
      <pivotArea dataOnly="0" labelOnly="1" outline="0" fieldPosition="0">
        <references count="1">
          <reference field="5" count="0"/>
        </references>
      </pivotArea>
    </format>
    <format dxfId="172">
      <pivotArea dataOnly="0" labelOnly="1" grandRow="1" outline="0" fieldPosition="0"/>
    </format>
  </formats>
  <chartFormats count="20">
    <chartFormat chart="0" format="9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5" count="1" selected="0">
            <x v="0"/>
          </reference>
        </references>
      </pivotArea>
    </chartFormat>
    <chartFormat chart="15" format="2">
      <pivotArea type="data" outline="0" fieldPosition="0">
        <references count="2">
          <reference field="4294967294" count="1" selected="0">
            <x v="0"/>
          </reference>
          <reference field="5" count="1" selected="0">
            <x v="8"/>
          </reference>
        </references>
      </pivotArea>
    </chartFormat>
    <chartFormat chart="15" format="3">
      <pivotArea type="data" outline="0" fieldPosition="0">
        <references count="2">
          <reference field="4294967294" count="1" selected="0">
            <x v="0"/>
          </reference>
          <reference field="5" count="1" selected="0">
            <x v="4"/>
          </reference>
        </references>
      </pivotArea>
    </chartFormat>
    <chartFormat chart="15" format="4">
      <pivotArea type="data" outline="0" fieldPosition="0">
        <references count="2">
          <reference field="4294967294" count="1" selected="0">
            <x v="0"/>
          </reference>
          <reference field="5" count="1" selected="0">
            <x v="6"/>
          </reference>
        </references>
      </pivotArea>
    </chartFormat>
    <chartFormat chart="15" format="5">
      <pivotArea type="data" outline="0" fieldPosition="0">
        <references count="2">
          <reference field="4294967294" count="1" selected="0">
            <x v="0"/>
          </reference>
          <reference field="5" count="1" selected="0">
            <x v="15"/>
          </reference>
        </references>
      </pivotArea>
    </chartFormat>
    <chartFormat chart="15" format="6">
      <pivotArea type="data" outline="0" fieldPosition="0">
        <references count="2">
          <reference field="4294967294" count="1" selected="0">
            <x v="0"/>
          </reference>
          <reference field="5" count="1" selected="0">
            <x v="16"/>
          </reference>
        </references>
      </pivotArea>
    </chartFormat>
    <chartFormat chart="15" format="7">
      <pivotArea type="data" outline="0" fieldPosition="0">
        <references count="2">
          <reference field="4294967294" count="1" selected="0">
            <x v="0"/>
          </reference>
          <reference field="5" count="1" selected="0">
            <x v="2"/>
          </reference>
        </references>
      </pivotArea>
    </chartFormat>
    <chartFormat chart="15" format="8">
      <pivotArea type="data" outline="0" fieldPosition="0">
        <references count="2">
          <reference field="4294967294" count="1" selected="0">
            <x v="0"/>
          </reference>
          <reference field="5" count="1" selected="0">
            <x v="14"/>
          </reference>
        </references>
      </pivotArea>
    </chartFormat>
    <chartFormat chart="15" format="9">
      <pivotArea type="data" outline="0" fieldPosition="0">
        <references count="2">
          <reference field="4294967294" count="1" selected="0">
            <x v="0"/>
          </reference>
          <reference field="5" count="1" selected="0">
            <x v="7"/>
          </reference>
        </references>
      </pivotArea>
    </chartFormat>
    <chartFormat chart="15" format="10">
      <pivotArea type="data" outline="0" fieldPosition="0">
        <references count="2">
          <reference field="4294967294" count="1" selected="0">
            <x v="0"/>
          </reference>
          <reference field="5" count="1" selected="0">
            <x v="13"/>
          </reference>
        </references>
      </pivotArea>
    </chartFormat>
    <chartFormat chart="15" format="11">
      <pivotArea type="data" outline="0" fieldPosition="0">
        <references count="2">
          <reference field="4294967294" count="1" selected="0">
            <x v="0"/>
          </reference>
          <reference field="5" count="1" selected="0">
            <x v="5"/>
          </reference>
        </references>
      </pivotArea>
    </chartFormat>
    <chartFormat chart="15" format="12">
      <pivotArea type="data" outline="0" fieldPosition="0">
        <references count="2">
          <reference field="4294967294" count="1" selected="0">
            <x v="0"/>
          </reference>
          <reference field="5" count="1" selected="0">
            <x v="1"/>
          </reference>
        </references>
      </pivotArea>
    </chartFormat>
    <chartFormat chart="15" format="13">
      <pivotArea type="data" outline="0" fieldPosition="0">
        <references count="2">
          <reference field="4294967294" count="1" selected="0">
            <x v="0"/>
          </reference>
          <reference field="5" count="1" selected="0">
            <x v="3"/>
          </reference>
        </references>
      </pivotArea>
    </chartFormat>
    <chartFormat chart="15" format="14">
      <pivotArea type="data" outline="0" fieldPosition="0">
        <references count="2">
          <reference field="4294967294" count="1" selected="0">
            <x v="0"/>
          </reference>
          <reference field="5" count="1" selected="0">
            <x v="9"/>
          </reference>
        </references>
      </pivotArea>
    </chartFormat>
    <chartFormat chart="15" format="15">
      <pivotArea type="data" outline="0" fieldPosition="0">
        <references count="2">
          <reference field="4294967294" count="1" selected="0">
            <x v="0"/>
          </reference>
          <reference field="5" count="1" selected="0">
            <x v="10"/>
          </reference>
        </references>
      </pivotArea>
    </chartFormat>
    <chartFormat chart="15" format="16">
      <pivotArea type="data" outline="0" fieldPosition="0">
        <references count="2">
          <reference field="4294967294" count="1" selected="0">
            <x v="0"/>
          </reference>
          <reference field="5" count="1" selected="0">
            <x v="11"/>
          </reference>
        </references>
      </pivotArea>
    </chartFormat>
    <chartFormat chart="15" format="17">
      <pivotArea type="data" outline="0" fieldPosition="0">
        <references count="2">
          <reference field="4294967294" count="1" selected="0">
            <x v="0"/>
          </reference>
          <reference field="5" count="1" selected="0">
            <x v="12"/>
          </reference>
        </references>
      </pivotArea>
    </chartFormat>
    <chartFormat chart="15" format="18">
      <pivotArea type="data" outline="0" fieldPosition="0">
        <references count="2">
          <reference field="4294967294" count="1" selected="0">
            <x v="0"/>
          </reference>
          <reference field="5" count="1" selected="0">
            <x v="17"/>
          </reference>
        </references>
      </pivotArea>
    </chartFormat>
  </chartFormats>
  <pivotTableStyleInfo name="PivotStyleLightCustom" showRowHeaders="1" showColHeaders="1" showRowStripes="1" showColStripes="0" showLastColumn="1"/>
  <filters count="1">
    <filter fld="5" type="count" evalOrder="-1" id="2"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5" applyNumberFormats="0" applyBorderFormats="0" applyFontFormats="0" applyPatternFormats="0" applyAlignmentFormats="0" applyWidthHeightFormats="1" dataCaption="Values" updatedVersion="6" minRefreshableVersion="3" showDrill="0" rowGrandTotals="0" colGrandTotals="0" itemPrintTitles="1" createdVersion="5" indent="0" compact="0" compactData="0" multipleFieldFilters="0" chartFormat="2">
  <location ref="A9:D28" firstHeaderRow="0" firstDataRow="1" firstDataCol="2"/>
  <pivotFields count="9">
    <pivotField axis="axisRow"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dataField="1" compact="0" numFmtId="165" outline="0" showAll="0" defaultSubtotal="0"/>
    <pivotField dataField="1" compact="0" numFmtId="19" outline="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compact="0" outline="0" showAll="0" defaultSubtotal="0">
      <items count="18">
        <item x="1"/>
        <item x="2"/>
        <item x="13"/>
        <item x="3"/>
        <item x="14"/>
        <item x="15"/>
        <item x="4"/>
        <item x="5"/>
        <item x="6"/>
        <item x="7"/>
        <item x="8"/>
        <item x="9"/>
        <item x="10"/>
        <item x="11"/>
        <item x="12"/>
        <item x="16"/>
        <item x="17"/>
        <item x="0"/>
      </items>
    </pivotField>
    <pivotField compact="0" outline="0" showAll="0" sortType="ascending" defaultSubtotal="0"/>
    <pivotField compact="0" outline="0"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compact="0" outline="0"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2">
    <field x="0"/>
    <field x="5"/>
  </rowFields>
  <rowItems count="19">
    <i>
      <x/>
      <x/>
    </i>
    <i r="1">
      <x v="1"/>
    </i>
    <i r="1">
      <x v="3"/>
    </i>
    <i r="1">
      <x v="6"/>
    </i>
    <i r="1">
      <x v="7"/>
    </i>
    <i r="1">
      <x v="17"/>
    </i>
    <i>
      <x v="1"/>
      <x v="8"/>
    </i>
    <i r="1">
      <x v="9"/>
    </i>
    <i r="1">
      <x v="10"/>
    </i>
    <i>
      <x v="2"/>
      <x v="11"/>
    </i>
    <i>
      <x v="3"/>
      <x v="12"/>
    </i>
    <i r="1">
      <x v="13"/>
    </i>
    <i r="1">
      <x v="14"/>
    </i>
    <i>
      <x v="4"/>
      <x v="2"/>
    </i>
    <i>
      <x v="5"/>
      <x v="4"/>
    </i>
    <i>
      <x v="6"/>
      <x v="5"/>
    </i>
    <i>
      <x v="7"/>
      <x v="15"/>
    </i>
    <i>
      <x v="8"/>
      <x v="16"/>
    </i>
    <i>
      <x v="9"/>
      <x v="17"/>
    </i>
  </rowItems>
  <colFields count="1">
    <field x="-2"/>
  </colFields>
  <colItems count="2">
    <i>
      <x/>
    </i>
    <i i="1">
      <x v="1"/>
    </i>
  </colItems>
  <dataFields count="2">
    <dataField name="Date " fld="3" subtotal="max" baseField="5" baseItem="3" numFmtId="14"/>
    <dataField name="Time " fld="4" subtotal="min" baseField="5" baseItem="3" numFmtId="166"/>
  </dataFields>
  <formats count="65">
    <format dxfId="171">
      <pivotArea dataOnly="0" outline="0" fieldPosition="0">
        <references count="1">
          <reference field="0" count="0" defaultSubtotal="1"/>
        </references>
      </pivotArea>
    </format>
    <format dxfId="170">
      <pivotArea type="all" dataOnly="0" outline="0" fieldPosition="0"/>
    </format>
    <format dxfId="169">
      <pivotArea outline="0" collapsedLevelsAreSubtotals="1" fieldPosition="0"/>
    </format>
    <format dxfId="168">
      <pivotArea type="topRight" dataOnly="0" labelOnly="1" outline="0" fieldPosition="0"/>
    </format>
    <format dxfId="167">
      <pivotArea outline="0" fieldPosition="0">
        <references count="1">
          <reference field="4294967294" count="1">
            <x v="1"/>
          </reference>
        </references>
      </pivotArea>
    </format>
    <format dxfId="166">
      <pivotArea outline="0" fieldPosition="0">
        <references count="1">
          <reference field="4294967294" count="1">
            <x v="0"/>
          </reference>
        </references>
      </pivotArea>
    </format>
    <format dxfId="165">
      <pivotArea dataOnly="0" labelOnly="1" outline="0" fieldPosition="0">
        <references count="1">
          <reference field="0" count="0"/>
        </references>
      </pivotArea>
    </format>
    <format dxfId="164">
      <pivotArea dataOnly="0" labelOnly="1" outline="0" fieldPosition="0">
        <references count="1">
          <reference field="0" count="0"/>
        </references>
      </pivotArea>
    </format>
    <format dxfId="163">
      <pivotArea type="all" dataOnly="0" outline="0" fieldPosition="0"/>
    </format>
    <format dxfId="162">
      <pivotArea outline="0" collapsedLevelsAreSubtotals="1" fieldPosition="0"/>
    </format>
    <format dxfId="161">
      <pivotArea type="origin" dataOnly="0" labelOnly="1" outline="0" fieldPosition="0"/>
    </format>
    <format dxfId="160">
      <pivotArea field="-2" type="button" dataOnly="0" labelOnly="1" outline="0" axis="axisCol" fieldPosition="0"/>
    </format>
    <format dxfId="159">
      <pivotArea type="topRight" dataOnly="0" labelOnly="1" outline="0" fieldPosition="0"/>
    </format>
    <format dxfId="158">
      <pivotArea field="0" type="button" dataOnly="0" labelOnly="1" outline="0" axis="axisRow" fieldPosition="0"/>
    </format>
    <format dxfId="157">
      <pivotArea field="5" type="button" dataOnly="0" labelOnly="1" outline="0" axis="axisRow" fieldPosition="1"/>
    </format>
    <format dxfId="156">
      <pivotArea dataOnly="0" labelOnly="1" outline="0" fieldPosition="0">
        <references count="1">
          <reference field="0" count="0"/>
        </references>
      </pivotArea>
    </format>
    <format dxfId="155">
      <pivotArea dataOnly="0" labelOnly="1" outline="0" fieldPosition="0">
        <references count="2">
          <reference field="0" count="1" selected="0">
            <x v="0"/>
          </reference>
          <reference field="5" count="6">
            <x v="0"/>
            <x v="1"/>
            <x v="3"/>
            <x v="6"/>
            <x v="7"/>
            <x v="17"/>
          </reference>
        </references>
      </pivotArea>
    </format>
    <format dxfId="154">
      <pivotArea dataOnly="0" labelOnly="1" outline="0" fieldPosition="0">
        <references count="2">
          <reference field="0" count="1" selected="0">
            <x v="1"/>
          </reference>
          <reference field="5" count="3">
            <x v="8"/>
            <x v="9"/>
            <x v="10"/>
          </reference>
        </references>
      </pivotArea>
    </format>
    <format dxfId="153">
      <pivotArea dataOnly="0" labelOnly="1" outline="0" fieldPosition="0">
        <references count="2">
          <reference field="0" count="1" selected="0">
            <x v="2"/>
          </reference>
          <reference field="5" count="1">
            <x v="11"/>
          </reference>
        </references>
      </pivotArea>
    </format>
    <format dxfId="152">
      <pivotArea dataOnly="0" labelOnly="1" outline="0" fieldPosition="0">
        <references count="2">
          <reference field="0" count="1" selected="0">
            <x v="3"/>
          </reference>
          <reference field="5" count="3">
            <x v="12"/>
            <x v="13"/>
            <x v="14"/>
          </reference>
        </references>
      </pivotArea>
    </format>
    <format dxfId="151">
      <pivotArea dataOnly="0" labelOnly="1" outline="0" fieldPosition="0">
        <references count="2">
          <reference field="0" count="1" selected="0">
            <x v="4"/>
          </reference>
          <reference field="5" count="1">
            <x v="2"/>
          </reference>
        </references>
      </pivotArea>
    </format>
    <format dxfId="150">
      <pivotArea dataOnly="0" labelOnly="1" outline="0" fieldPosition="0">
        <references count="2">
          <reference field="0" count="1" selected="0">
            <x v="5"/>
          </reference>
          <reference field="5" count="1">
            <x v="4"/>
          </reference>
        </references>
      </pivotArea>
    </format>
    <format dxfId="149">
      <pivotArea dataOnly="0" labelOnly="1" outline="0" fieldPosition="0">
        <references count="2">
          <reference field="0" count="1" selected="0">
            <x v="6"/>
          </reference>
          <reference field="5" count="1">
            <x v="5"/>
          </reference>
        </references>
      </pivotArea>
    </format>
    <format dxfId="148">
      <pivotArea dataOnly="0" labelOnly="1" outline="0" fieldPosition="0">
        <references count="2">
          <reference field="0" count="1" selected="0">
            <x v="7"/>
          </reference>
          <reference field="5" count="1">
            <x v="15"/>
          </reference>
        </references>
      </pivotArea>
    </format>
    <format dxfId="147">
      <pivotArea dataOnly="0" labelOnly="1" outline="0" fieldPosition="0">
        <references count="2">
          <reference field="0" count="1" selected="0">
            <x v="8"/>
          </reference>
          <reference field="5" count="1">
            <x v="16"/>
          </reference>
        </references>
      </pivotArea>
    </format>
    <format dxfId="146">
      <pivotArea dataOnly="0" labelOnly="1" outline="0" fieldPosition="0">
        <references count="2">
          <reference field="0" count="1" selected="0">
            <x v="9"/>
          </reference>
          <reference field="5" count="1">
            <x v="17"/>
          </reference>
        </references>
      </pivotArea>
    </format>
    <format dxfId="145">
      <pivotArea dataOnly="0" labelOnly="1" outline="0" fieldPosition="0">
        <references count="1">
          <reference field="4294967294" count="2">
            <x v="0"/>
            <x v="1"/>
          </reference>
        </references>
      </pivotArea>
    </format>
    <format dxfId="144">
      <pivotArea outline="0" collapsedLevelsAreSubtotals="1" fieldPosition="0"/>
    </format>
    <format dxfId="143">
      <pivotArea dataOnly="0" labelOnly="1" outline="0" fieldPosition="0">
        <references count="1">
          <reference field="0" count="0"/>
        </references>
      </pivotArea>
    </format>
    <format dxfId="142">
      <pivotArea dataOnly="0" labelOnly="1" outline="0" fieldPosition="0">
        <references count="2">
          <reference field="0" count="1" selected="0">
            <x v="0"/>
          </reference>
          <reference field="5" count="6">
            <x v="0"/>
            <x v="1"/>
            <x v="3"/>
            <x v="6"/>
            <x v="7"/>
            <x v="17"/>
          </reference>
        </references>
      </pivotArea>
    </format>
    <format dxfId="141">
      <pivotArea dataOnly="0" labelOnly="1" outline="0" fieldPosition="0">
        <references count="2">
          <reference field="0" count="1" selected="0">
            <x v="1"/>
          </reference>
          <reference field="5" count="3">
            <x v="8"/>
            <x v="9"/>
            <x v="10"/>
          </reference>
        </references>
      </pivotArea>
    </format>
    <format dxfId="140">
      <pivotArea dataOnly="0" labelOnly="1" outline="0" fieldPosition="0">
        <references count="2">
          <reference field="0" count="1" selected="0">
            <x v="2"/>
          </reference>
          <reference field="5" count="1">
            <x v="11"/>
          </reference>
        </references>
      </pivotArea>
    </format>
    <format dxfId="139">
      <pivotArea dataOnly="0" labelOnly="1" outline="0" fieldPosition="0">
        <references count="2">
          <reference field="0" count="1" selected="0">
            <x v="3"/>
          </reference>
          <reference field="5" count="3">
            <x v="12"/>
            <x v="13"/>
            <x v="14"/>
          </reference>
        </references>
      </pivotArea>
    </format>
    <format dxfId="138">
      <pivotArea dataOnly="0" labelOnly="1" outline="0" fieldPosition="0">
        <references count="2">
          <reference field="0" count="1" selected="0">
            <x v="4"/>
          </reference>
          <reference field="5" count="1">
            <x v="2"/>
          </reference>
        </references>
      </pivotArea>
    </format>
    <format dxfId="137">
      <pivotArea dataOnly="0" labelOnly="1" outline="0" fieldPosition="0">
        <references count="2">
          <reference field="0" count="1" selected="0">
            <x v="5"/>
          </reference>
          <reference field="5" count="1">
            <x v="4"/>
          </reference>
        </references>
      </pivotArea>
    </format>
    <format dxfId="136">
      <pivotArea dataOnly="0" labelOnly="1" outline="0" fieldPosition="0">
        <references count="2">
          <reference field="0" count="1" selected="0">
            <x v="6"/>
          </reference>
          <reference field="5" count="1">
            <x v="5"/>
          </reference>
        </references>
      </pivotArea>
    </format>
    <format dxfId="135">
      <pivotArea dataOnly="0" labelOnly="1" outline="0" fieldPosition="0">
        <references count="2">
          <reference field="0" count="1" selected="0">
            <x v="7"/>
          </reference>
          <reference field="5" count="1">
            <x v="15"/>
          </reference>
        </references>
      </pivotArea>
    </format>
    <format dxfId="134">
      <pivotArea dataOnly="0" labelOnly="1" outline="0" fieldPosition="0">
        <references count="2">
          <reference field="0" count="1" selected="0">
            <x v="8"/>
          </reference>
          <reference field="5" count="1">
            <x v="16"/>
          </reference>
        </references>
      </pivotArea>
    </format>
    <format dxfId="133">
      <pivotArea dataOnly="0" labelOnly="1" outline="0" fieldPosition="0">
        <references count="2">
          <reference field="0" count="1" selected="0">
            <x v="9"/>
          </reference>
          <reference field="5" count="1">
            <x v="17"/>
          </reference>
        </references>
      </pivotArea>
    </format>
    <format dxfId="132">
      <pivotArea dataOnly="0" labelOnly="1" outline="0" fieldPosition="0">
        <references count="1">
          <reference field="0" count="0"/>
        </references>
      </pivotArea>
    </format>
    <format dxfId="131">
      <pivotArea dataOnly="0" labelOnly="1" outline="0" fieldPosition="0">
        <references count="1">
          <reference field="0" count="0"/>
        </references>
      </pivotArea>
    </format>
    <format dxfId="130">
      <pivotArea outline="0" collapsedLevelsAreSubtotals="1" fieldPosition="0"/>
    </format>
    <format dxfId="129">
      <pivotArea field="-2" type="button" dataOnly="0" labelOnly="1" outline="0" axis="axisCol" fieldPosition="0"/>
    </format>
    <format dxfId="128">
      <pivotArea type="topRight" dataOnly="0" labelOnly="1" outline="0" fieldPosition="0"/>
    </format>
    <format dxfId="127">
      <pivotArea dataOnly="0" labelOnly="1" outline="0" fieldPosition="0">
        <references count="1">
          <reference field="4294967294" count="2">
            <x v="0"/>
            <x v="1"/>
          </reference>
        </references>
      </pivotArea>
    </format>
    <format dxfId="126">
      <pivotArea dataOnly="0" labelOnly="1" outline="0" fieldPosition="0">
        <references count="1">
          <reference field="0" count="0"/>
        </references>
      </pivotArea>
    </format>
    <format dxfId="125">
      <pivotArea dataOnly="0" labelOnly="1" outline="0" fieldPosition="0">
        <references count="1">
          <reference field="0" count="0"/>
        </references>
      </pivotArea>
    </format>
    <format dxfId="124">
      <pivotArea dataOnly="0" labelOnly="1" outline="0" fieldPosition="0">
        <references count="1">
          <reference field="0" count="0"/>
        </references>
      </pivotArea>
    </format>
    <format dxfId="123">
      <pivotArea dataOnly="0" labelOnly="1" outline="0" fieldPosition="0">
        <references count="1">
          <reference field="0" count="0"/>
        </references>
      </pivotArea>
    </format>
    <format dxfId="122">
      <pivotArea type="all" dataOnly="0" outline="0" fieldPosition="0"/>
    </format>
    <format dxfId="121">
      <pivotArea outline="0" collapsedLevelsAreSubtotals="1" fieldPosition="0"/>
    </format>
    <format dxfId="120">
      <pivotArea field="0" type="button" dataOnly="0" labelOnly="1" outline="0" axis="axisRow" fieldPosition="0"/>
    </format>
    <format dxfId="119">
      <pivotArea field="5" type="button" dataOnly="0" labelOnly="1" outline="0" axis="axisRow" fieldPosition="1"/>
    </format>
    <format dxfId="118">
      <pivotArea dataOnly="0" labelOnly="1" outline="0" fieldPosition="0">
        <references count="1">
          <reference field="0" count="0"/>
        </references>
      </pivotArea>
    </format>
    <format dxfId="117">
      <pivotArea dataOnly="0" labelOnly="1" outline="0" fieldPosition="0">
        <references count="2">
          <reference field="0" count="1" selected="0">
            <x v="0"/>
          </reference>
          <reference field="5" count="6">
            <x v="0"/>
            <x v="1"/>
            <x v="3"/>
            <x v="6"/>
            <x v="7"/>
            <x v="17"/>
          </reference>
        </references>
      </pivotArea>
    </format>
    <format dxfId="116">
      <pivotArea dataOnly="0" labelOnly="1" outline="0" fieldPosition="0">
        <references count="2">
          <reference field="0" count="1" selected="0">
            <x v="1"/>
          </reference>
          <reference field="5" count="3">
            <x v="8"/>
            <x v="9"/>
            <x v="10"/>
          </reference>
        </references>
      </pivotArea>
    </format>
    <format dxfId="115">
      <pivotArea dataOnly="0" labelOnly="1" outline="0" fieldPosition="0">
        <references count="2">
          <reference field="0" count="1" selected="0">
            <x v="2"/>
          </reference>
          <reference field="5" count="1">
            <x v="11"/>
          </reference>
        </references>
      </pivotArea>
    </format>
    <format dxfId="114">
      <pivotArea dataOnly="0" labelOnly="1" outline="0" fieldPosition="0">
        <references count="2">
          <reference field="0" count="1" selected="0">
            <x v="3"/>
          </reference>
          <reference field="5" count="3">
            <x v="12"/>
            <x v="13"/>
            <x v="14"/>
          </reference>
        </references>
      </pivotArea>
    </format>
    <format dxfId="113">
      <pivotArea dataOnly="0" labelOnly="1" outline="0" fieldPosition="0">
        <references count="2">
          <reference field="0" count="1" selected="0">
            <x v="4"/>
          </reference>
          <reference field="5" count="1">
            <x v="2"/>
          </reference>
        </references>
      </pivotArea>
    </format>
    <format dxfId="112">
      <pivotArea dataOnly="0" labelOnly="1" outline="0" fieldPosition="0">
        <references count="2">
          <reference field="0" count="1" selected="0">
            <x v="5"/>
          </reference>
          <reference field="5" count="1">
            <x v="4"/>
          </reference>
        </references>
      </pivotArea>
    </format>
    <format dxfId="111">
      <pivotArea dataOnly="0" labelOnly="1" outline="0" fieldPosition="0">
        <references count="2">
          <reference field="0" count="1" selected="0">
            <x v="6"/>
          </reference>
          <reference field="5" count="1">
            <x v="5"/>
          </reference>
        </references>
      </pivotArea>
    </format>
    <format dxfId="110">
      <pivotArea dataOnly="0" labelOnly="1" outline="0" fieldPosition="0">
        <references count="2">
          <reference field="0" count="1" selected="0">
            <x v="7"/>
          </reference>
          <reference field="5" count="1">
            <x v="15"/>
          </reference>
        </references>
      </pivotArea>
    </format>
    <format dxfId="109">
      <pivotArea dataOnly="0" labelOnly="1" outline="0" fieldPosition="0">
        <references count="2">
          <reference field="0" count="1" selected="0">
            <x v="8"/>
          </reference>
          <reference field="5" count="1">
            <x v="16"/>
          </reference>
        </references>
      </pivotArea>
    </format>
    <format dxfId="108">
      <pivotArea dataOnly="0" labelOnly="1" outline="0" fieldPosition="0">
        <references count="2">
          <reference field="0" count="1" selected="0">
            <x v="9"/>
          </reference>
          <reference field="5" count="1">
            <x v="17"/>
          </reference>
        </references>
      </pivotArea>
    </format>
    <format dxfId="107">
      <pivotArea dataOnly="0" labelOnly="1" outline="0" fieldPosition="0">
        <references count="1">
          <reference field="4294967294" count="2">
            <x v="0"/>
            <x v="1"/>
          </reference>
        </references>
      </pivotArea>
    </format>
  </formats>
  <pivotTableStyleInfo name="PivotStyleLightCustom"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ext>
  </extLst>
</pivotTableDefinition>
</file>

<file path=xl/theme/theme1.xml><?xml version="1.0" encoding="utf-8"?>
<a:theme xmlns:a="http://schemas.openxmlformats.org/drawingml/2006/main" name="ThemeA">
  <a:themeElements>
    <a:clrScheme name="Geotab Brand Colors">
      <a:dk1>
        <a:srgbClr val="000000"/>
      </a:dk1>
      <a:lt1>
        <a:srgbClr val="FFFFFF"/>
      </a:lt1>
      <a:dk2>
        <a:srgbClr val="00AEEF"/>
      </a:dk2>
      <a:lt2>
        <a:srgbClr val="25477B"/>
      </a:lt2>
      <a:accent1>
        <a:srgbClr val="696A6C"/>
      </a:accent1>
      <a:accent2>
        <a:srgbClr val="93C83D"/>
      </a:accent2>
      <a:accent3>
        <a:srgbClr val="FAD201"/>
      </a:accent3>
      <a:accent4>
        <a:srgbClr val="FF9600"/>
      </a:accent4>
      <a:accent5>
        <a:srgbClr val="EA184D"/>
      </a:accent5>
      <a:accent6>
        <a:srgbClr val="B95FFF"/>
      </a:accent6>
      <a:hlink>
        <a:srgbClr val="00AEEF"/>
      </a:hlink>
      <a:folHlink>
        <a:srgbClr val="0082E3"/>
      </a:folHlink>
    </a:clrScheme>
    <a:fontScheme name="Office">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44"/>
  <sheetViews>
    <sheetView workbookViewId="0">
      <pane ySplit="7" topLeftCell="A8" activePane="bottomLeft" state="frozen"/>
      <selection pane="bottomLeft" activeCell="F13" sqref="F13"/>
    </sheetView>
  </sheetViews>
  <sheetFormatPr defaultRowHeight="12.75"/>
  <cols>
    <col min="1" max="1" width="18.85546875" bestFit="1" customWidth="1"/>
    <col min="2" max="2" width="18.5703125" customWidth="1"/>
    <col min="3" max="3" width="15.7109375" customWidth="1"/>
    <col min="4" max="4" width="27.140625" customWidth="1"/>
    <col min="5" max="5" width="19" customWidth="1"/>
    <col min="6" max="6" width="74.85546875" bestFit="1" customWidth="1"/>
    <col min="7" max="7" width="30.28515625" bestFit="1" customWidth="1"/>
    <col min="8" max="8" width="13" customWidth="1"/>
    <col min="9" max="9" width="40" customWidth="1"/>
    <col min="10" max="10" width="14.5703125" customWidth="1"/>
    <col min="11" max="11" width="15" customWidth="1"/>
    <col min="12" max="12" width="18.140625" bestFit="1" customWidth="1"/>
    <col min="13" max="13" width="16" bestFit="1" customWidth="1"/>
    <col min="14" max="16" width="13" customWidth="1"/>
    <col min="17" max="17" width="16.42578125" customWidth="1"/>
    <col min="18" max="18" width="12.7109375" customWidth="1"/>
    <col min="19" max="19" width="15.85546875" bestFit="1" customWidth="1"/>
    <col min="20" max="20" width="16.85546875" bestFit="1" customWidth="1"/>
    <col min="21" max="21" width="12.7109375" customWidth="1"/>
    <col min="22" max="22" width="23.42578125" customWidth="1"/>
    <col min="23" max="25" width="14.42578125" customWidth="1"/>
    <col min="26" max="26" width="15.5703125" customWidth="1"/>
    <col min="27" max="27" width="11" customWidth="1"/>
    <col min="28" max="28" width="12.42578125" customWidth="1"/>
    <col min="29" max="30" width="11" customWidth="1"/>
    <col min="31" max="32" width="12.85546875" customWidth="1"/>
    <col min="33" max="33" width="13.140625" customWidth="1"/>
    <col min="34" max="34" width="14.140625" customWidth="1"/>
  </cols>
  <sheetData>
    <row r="1" spans="1:35">
      <c r="A1" s="5" t="s">
        <v>37</v>
      </c>
      <c r="B1" s="4" t="s">
        <v>181</v>
      </c>
    </row>
    <row r="2" spans="1:35">
      <c r="A2" s="5" t="s">
        <v>34</v>
      </c>
      <c r="B2" s="4">
        <v>42391.652507222199</v>
      </c>
    </row>
    <row r="3" spans="1:35">
      <c r="A3" s="5" t="s">
        <v>35</v>
      </c>
      <c r="B3" s="4">
        <v>42391</v>
      </c>
    </row>
    <row r="4" spans="1:35">
      <c r="A4" s="5" t="s">
        <v>36</v>
      </c>
      <c r="B4" s="4">
        <v>42391.999988425901</v>
      </c>
    </row>
    <row r="5" spans="1:35">
      <c r="A5" s="5" t="s">
        <v>38</v>
      </c>
      <c r="B5" s="4" t="b">
        <v>1</v>
      </c>
    </row>
    <row r="6" spans="1:35">
      <c r="A6" s="5" t="s">
        <v>39</v>
      </c>
      <c r="B6" s="4"/>
    </row>
    <row r="7" spans="1:35" ht="28.5" thickBot="1">
      <c r="A7" s="1" t="s">
        <v>41</v>
      </c>
      <c r="B7" s="1" t="s">
        <v>42</v>
      </c>
      <c r="C7" s="1" t="s">
        <v>43</v>
      </c>
      <c r="D7" s="1" t="s">
        <v>44</v>
      </c>
      <c r="E7" s="1" t="s">
        <v>3</v>
      </c>
      <c r="F7" s="1" t="s">
        <v>9</v>
      </c>
      <c r="G7" s="1" t="s">
        <v>33</v>
      </c>
      <c r="H7" s="1" t="s">
        <v>10</v>
      </c>
      <c r="I7" s="1" t="s">
        <v>11</v>
      </c>
      <c r="J7" s="1" t="s">
        <v>12</v>
      </c>
      <c r="K7" s="1" t="s">
        <v>13</v>
      </c>
      <c r="L7" s="1" t="s">
        <v>14</v>
      </c>
      <c r="M7" s="1" t="s">
        <v>15</v>
      </c>
      <c r="N7" s="1" t="s">
        <v>16</v>
      </c>
      <c r="O7" s="1" t="s">
        <v>17</v>
      </c>
      <c r="P7" s="1" t="s">
        <v>18</v>
      </c>
      <c r="Q7" s="1" t="s">
        <v>4</v>
      </c>
      <c r="R7" s="1" t="s">
        <v>5</v>
      </c>
      <c r="S7" s="1" t="s">
        <v>19</v>
      </c>
      <c r="T7" s="1" t="s">
        <v>20</v>
      </c>
      <c r="U7" s="1" t="s">
        <v>21</v>
      </c>
      <c r="V7" s="1" t="s">
        <v>6</v>
      </c>
      <c r="W7" s="1" t="s">
        <v>22</v>
      </c>
      <c r="X7" s="1" t="s">
        <v>23</v>
      </c>
      <c r="Y7" s="1" t="s">
        <v>24</v>
      </c>
      <c r="Z7" s="1" t="s">
        <v>25</v>
      </c>
      <c r="AA7" s="1" t="s">
        <v>26</v>
      </c>
      <c r="AB7" s="1" t="s">
        <v>27</v>
      </c>
      <c r="AC7" s="1" t="s">
        <v>28</v>
      </c>
      <c r="AD7" s="1" t="s">
        <v>28</v>
      </c>
      <c r="AE7" s="2" t="s">
        <v>29</v>
      </c>
      <c r="AF7" s="2" t="s">
        <v>30</v>
      </c>
      <c r="AG7" s="2" t="s">
        <v>31</v>
      </c>
      <c r="AH7" s="2" t="s">
        <v>32</v>
      </c>
      <c r="AI7" s="2" t="s">
        <v>40</v>
      </c>
    </row>
    <row r="8" spans="1:35">
      <c r="A8" s="3" t="s">
        <v>182</v>
      </c>
      <c r="B8" s="3"/>
      <c r="C8" s="3" t="s">
        <v>2</v>
      </c>
      <c r="D8" s="3" t="s">
        <v>194</v>
      </c>
      <c r="E8" s="4">
        <v>42391.243399537001</v>
      </c>
      <c r="F8" s="3" t="s">
        <v>123</v>
      </c>
      <c r="G8" s="3"/>
      <c r="H8" s="3"/>
      <c r="I8" s="3" t="s">
        <v>2</v>
      </c>
      <c r="J8" s="3"/>
      <c r="L8" s="3" t="s">
        <v>119</v>
      </c>
      <c r="M8" s="3" t="s">
        <v>120</v>
      </c>
      <c r="N8" s="3" t="s">
        <v>2</v>
      </c>
      <c r="O8" s="3"/>
      <c r="Q8" s="3" t="s">
        <v>7</v>
      </c>
      <c r="R8" s="3">
        <v>1</v>
      </c>
      <c r="S8" s="3" t="s">
        <v>117</v>
      </c>
      <c r="T8" s="3" t="s">
        <v>121</v>
      </c>
      <c r="U8" s="3" t="s">
        <v>2</v>
      </c>
    </row>
    <row r="9" spans="1:35">
      <c r="A9" s="3" t="s">
        <v>182</v>
      </c>
      <c r="B9" s="3"/>
      <c r="D9" s="3" t="s">
        <v>194</v>
      </c>
      <c r="E9" s="4">
        <v>42391.430440937504</v>
      </c>
      <c r="F9" s="3" t="s">
        <v>125</v>
      </c>
      <c r="G9" s="3"/>
      <c r="H9" s="3"/>
      <c r="I9" s="3" t="s">
        <v>2</v>
      </c>
      <c r="J9" s="3"/>
      <c r="L9" s="3" t="s">
        <v>119</v>
      </c>
      <c r="M9" s="3" t="s">
        <v>120</v>
      </c>
      <c r="N9" s="3" t="s">
        <v>2</v>
      </c>
      <c r="O9" s="3"/>
      <c r="Q9" s="3" t="s">
        <v>8</v>
      </c>
      <c r="R9" s="3">
        <v>1</v>
      </c>
      <c r="S9" s="3" t="s">
        <v>117</v>
      </c>
      <c r="T9" s="3" t="s">
        <v>121</v>
      </c>
    </row>
    <row r="10" spans="1:35">
      <c r="A10" s="3" t="s">
        <v>182</v>
      </c>
      <c r="B10" s="3"/>
      <c r="C10" s="3" t="s">
        <v>2</v>
      </c>
      <c r="D10" s="3" t="s">
        <v>194</v>
      </c>
      <c r="E10" s="4">
        <v>42391.441212037003</v>
      </c>
      <c r="F10" s="3" t="s">
        <v>133</v>
      </c>
      <c r="G10" s="3"/>
      <c r="H10" s="3"/>
      <c r="I10" s="3" t="s">
        <v>2</v>
      </c>
      <c r="J10" s="3"/>
      <c r="L10" s="3" t="s">
        <v>119</v>
      </c>
      <c r="M10" s="3" t="s">
        <v>120</v>
      </c>
      <c r="N10" s="3" t="s">
        <v>2</v>
      </c>
      <c r="O10" s="3"/>
      <c r="Q10" s="3" t="s">
        <v>7</v>
      </c>
      <c r="R10" s="3">
        <v>1</v>
      </c>
      <c r="S10" s="3" t="s">
        <v>117</v>
      </c>
      <c r="T10" s="3" t="s">
        <v>121</v>
      </c>
    </row>
    <row r="11" spans="1:35">
      <c r="A11" s="3" t="s">
        <v>182</v>
      </c>
      <c r="B11" s="3"/>
      <c r="D11" s="3" t="s">
        <v>194</v>
      </c>
      <c r="E11" s="4">
        <v>42391.219974455998</v>
      </c>
      <c r="F11" s="3" t="s">
        <v>134</v>
      </c>
      <c r="G11" s="3"/>
      <c r="H11" s="3"/>
      <c r="I11" s="3" t="s">
        <v>2</v>
      </c>
      <c r="J11" s="3"/>
      <c r="L11" s="3" t="s">
        <v>119</v>
      </c>
      <c r="M11" s="3" t="s">
        <v>120</v>
      </c>
      <c r="N11" s="3" t="s">
        <v>2</v>
      </c>
      <c r="O11" s="3"/>
      <c r="Q11" s="3" t="s">
        <v>7</v>
      </c>
      <c r="R11" s="3">
        <v>1</v>
      </c>
      <c r="S11" s="3" t="s">
        <v>117</v>
      </c>
      <c r="T11" s="3" t="s">
        <v>121</v>
      </c>
    </row>
    <row r="12" spans="1:35">
      <c r="A12" s="3" t="s">
        <v>182</v>
      </c>
      <c r="B12" s="3"/>
      <c r="D12" s="3" t="s">
        <v>194</v>
      </c>
      <c r="E12" s="4">
        <v>42391.317612615698</v>
      </c>
      <c r="F12" s="3" t="s">
        <v>135</v>
      </c>
      <c r="G12" s="3"/>
      <c r="H12" s="3"/>
      <c r="I12" s="3" t="s">
        <v>2</v>
      </c>
      <c r="J12" s="3"/>
      <c r="L12" s="3" t="s">
        <v>119</v>
      </c>
      <c r="M12" s="3" t="s">
        <v>120</v>
      </c>
      <c r="N12" s="3" t="s">
        <v>2</v>
      </c>
      <c r="O12" s="3"/>
      <c r="Q12" s="3" t="s">
        <v>7</v>
      </c>
      <c r="R12" s="3">
        <v>1</v>
      </c>
      <c r="S12" s="3" t="s">
        <v>117</v>
      </c>
      <c r="T12" s="3" t="s">
        <v>121</v>
      </c>
    </row>
    <row r="13" spans="1:35">
      <c r="A13" s="3" t="s">
        <v>182</v>
      </c>
      <c r="B13" s="3"/>
      <c r="D13" s="3" t="s">
        <v>194</v>
      </c>
      <c r="E13" s="4">
        <v>42391.332519710602</v>
      </c>
      <c r="F13" s="3" t="s">
        <v>136</v>
      </c>
      <c r="G13" s="3"/>
      <c r="H13" s="3"/>
      <c r="I13" s="3" t="s">
        <v>2</v>
      </c>
      <c r="J13" s="3"/>
      <c r="L13" s="3" t="s">
        <v>119</v>
      </c>
      <c r="M13" s="3" t="s">
        <v>120</v>
      </c>
      <c r="N13" s="3" t="s">
        <v>2</v>
      </c>
      <c r="O13" s="3"/>
      <c r="Q13" s="3" t="s">
        <v>7</v>
      </c>
      <c r="R13" s="3">
        <v>1</v>
      </c>
      <c r="S13" s="3" t="s">
        <v>117</v>
      </c>
      <c r="T13" s="3" t="s">
        <v>121</v>
      </c>
    </row>
    <row r="14" spans="1:35">
      <c r="A14" s="3" t="s">
        <v>183</v>
      </c>
      <c r="B14" s="3"/>
      <c r="D14" s="3" t="s">
        <v>195</v>
      </c>
      <c r="E14" s="4">
        <v>42391.326883217604</v>
      </c>
      <c r="F14" s="3" t="s">
        <v>137</v>
      </c>
      <c r="G14" s="3"/>
      <c r="H14" s="3"/>
      <c r="I14" s="3" t="s">
        <v>2</v>
      </c>
      <c r="J14" s="3"/>
      <c r="L14" s="3" t="s">
        <v>119</v>
      </c>
      <c r="M14" s="3" t="s">
        <v>120</v>
      </c>
      <c r="N14" s="3" t="s">
        <v>2</v>
      </c>
      <c r="O14" s="3"/>
      <c r="Q14" s="3" t="s">
        <v>7</v>
      </c>
      <c r="R14" s="3">
        <v>1</v>
      </c>
      <c r="S14" s="3" t="s">
        <v>117</v>
      </c>
      <c r="T14" s="3" t="s">
        <v>121</v>
      </c>
    </row>
    <row r="15" spans="1:35">
      <c r="A15" s="3" t="s">
        <v>183</v>
      </c>
      <c r="B15" s="3"/>
      <c r="D15" s="3" t="s">
        <v>195</v>
      </c>
      <c r="E15" s="4">
        <v>42391.527346331</v>
      </c>
      <c r="F15" s="3" t="s">
        <v>138</v>
      </c>
      <c r="G15" s="3"/>
      <c r="H15" s="3"/>
      <c r="I15" s="3" t="s">
        <v>2</v>
      </c>
      <c r="J15" s="3"/>
      <c r="L15" s="3" t="s">
        <v>119</v>
      </c>
      <c r="M15" s="3" t="s">
        <v>120</v>
      </c>
      <c r="N15" s="3" t="s">
        <v>2</v>
      </c>
      <c r="O15" s="3"/>
      <c r="Q15" s="3" t="s">
        <v>7</v>
      </c>
      <c r="R15" s="3">
        <v>1</v>
      </c>
      <c r="S15" s="3" t="s">
        <v>117</v>
      </c>
      <c r="T15" s="3" t="s">
        <v>121</v>
      </c>
    </row>
    <row r="16" spans="1:35">
      <c r="A16" s="3" t="s">
        <v>183</v>
      </c>
      <c r="B16" s="3"/>
      <c r="D16" s="3" t="s">
        <v>195</v>
      </c>
      <c r="E16" s="4">
        <v>42391.577012997703</v>
      </c>
      <c r="F16" s="3" t="s">
        <v>139</v>
      </c>
      <c r="G16" s="3"/>
      <c r="H16" s="3"/>
      <c r="I16" s="3" t="s">
        <v>2</v>
      </c>
      <c r="J16" s="3"/>
      <c r="L16" s="3" t="s">
        <v>119</v>
      </c>
      <c r="M16" s="3" t="s">
        <v>120</v>
      </c>
      <c r="N16" s="3" t="s">
        <v>2</v>
      </c>
      <c r="O16" s="3"/>
      <c r="Q16" s="3" t="s">
        <v>7</v>
      </c>
      <c r="R16" s="3">
        <v>1</v>
      </c>
      <c r="S16" s="3" t="s">
        <v>117</v>
      </c>
      <c r="T16" s="3" t="s">
        <v>121</v>
      </c>
    </row>
    <row r="17" spans="1:20">
      <c r="A17" s="3" t="s">
        <v>184</v>
      </c>
      <c r="B17" s="3"/>
      <c r="D17" s="3" t="s">
        <v>195</v>
      </c>
      <c r="E17" s="4">
        <v>42391.3335274653</v>
      </c>
      <c r="F17" s="3" t="s">
        <v>140</v>
      </c>
      <c r="G17" s="3"/>
      <c r="H17" s="3"/>
      <c r="I17" s="3" t="s">
        <v>2</v>
      </c>
      <c r="J17" s="3"/>
      <c r="L17" s="3" t="s">
        <v>119</v>
      </c>
      <c r="M17" s="3" t="s">
        <v>120</v>
      </c>
      <c r="N17" s="3" t="s">
        <v>2</v>
      </c>
      <c r="O17" s="3"/>
      <c r="Q17" s="3" t="s">
        <v>7</v>
      </c>
      <c r="R17" s="3">
        <v>1</v>
      </c>
      <c r="S17" s="3" t="s">
        <v>117</v>
      </c>
      <c r="T17" s="3" t="s">
        <v>121</v>
      </c>
    </row>
    <row r="18" spans="1:20">
      <c r="A18" s="3" t="s">
        <v>185</v>
      </c>
      <c r="B18" s="3"/>
      <c r="D18" s="3" t="s">
        <v>194</v>
      </c>
      <c r="E18" s="4">
        <v>42391.017056794</v>
      </c>
      <c r="F18" s="3" t="s">
        <v>141</v>
      </c>
      <c r="G18" s="3"/>
      <c r="H18" s="3"/>
      <c r="I18" s="3" t="s">
        <v>2</v>
      </c>
      <c r="J18" s="3"/>
      <c r="L18" s="3" t="s">
        <v>119</v>
      </c>
      <c r="M18" s="3" t="s">
        <v>120</v>
      </c>
      <c r="N18" s="3" t="s">
        <v>2</v>
      </c>
      <c r="O18" s="3"/>
      <c r="Q18" s="3" t="s">
        <v>7</v>
      </c>
      <c r="R18" s="3">
        <v>1</v>
      </c>
      <c r="S18" s="3" t="s">
        <v>117</v>
      </c>
      <c r="T18" s="3" t="s">
        <v>121</v>
      </c>
    </row>
    <row r="19" spans="1:20">
      <c r="A19" s="3" t="s">
        <v>185</v>
      </c>
      <c r="B19" s="3"/>
      <c r="D19" s="3" t="s">
        <v>194</v>
      </c>
      <c r="E19" s="4">
        <v>42392.017056770834</v>
      </c>
      <c r="F19" s="3" t="s">
        <v>142</v>
      </c>
      <c r="G19" s="3"/>
      <c r="H19" s="3"/>
      <c r="I19" s="3" t="s">
        <v>2</v>
      </c>
      <c r="J19" s="3"/>
      <c r="L19" s="3" t="s">
        <v>119</v>
      </c>
      <c r="M19" s="3" t="s">
        <v>120</v>
      </c>
      <c r="N19" s="3" t="s">
        <v>2</v>
      </c>
      <c r="O19" s="3"/>
      <c r="Q19" s="3" t="s">
        <v>7</v>
      </c>
      <c r="R19" s="3">
        <v>1</v>
      </c>
      <c r="S19" s="3" t="s">
        <v>117</v>
      </c>
      <c r="T19" s="3" t="s">
        <v>121</v>
      </c>
    </row>
    <row r="20" spans="1:20">
      <c r="A20" s="3" t="s">
        <v>185</v>
      </c>
      <c r="B20" s="3"/>
      <c r="D20" s="3" t="s">
        <v>194</v>
      </c>
      <c r="E20" s="4">
        <v>42391.3389209491</v>
      </c>
      <c r="F20" s="3" t="s">
        <v>143</v>
      </c>
      <c r="G20" s="3"/>
      <c r="H20" s="3"/>
      <c r="I20" s="3" t="s">
        <v>2</v>
      </c>
      <c r="J20" s="3"/>
      <c r="L20" s="3" t="s">
        <v>119</v>
      </c>
      <c r="M20" s="3" t="s">
        <v>120</v>
      </c>
      <c r="N20" s="3" t="s">
        <v>2</v>
      </c>
      <c r="O20" s="3"/>
      <c r="Q20" s="3" t="s">
        <v>7</v>
      </c>
      <c r="R20" s="3">
        <v>1</v>
      </c>
      <c r="S20" s="3" t="s">
        <v>117</v>
      </c>
      <c r="T20" s="3" t="s">
        <v>121</v>
      </c>
    </row>
    <row r="21" spans="1:20">
      <c r="A21" s="3" t="s">
        <v>186</v>
      </c>
      <c r="B21" s="3"/>
      <c r="D21" s="3" t="s">
        <v>195</v>
      </c>
      <c r="E21" s="4">
        <v>42391.3336430208</v>
      </c>
      <c r="F21" s="3" t="s">
        <v>122</v>
      </c>
      <c r="G21" s="3"/>
      <c r="H21" s="3"/>
      <c r="I21" s="3" t="s">
        <v>2</v>
      </c>
      <c r="J21" s="3"/>
      <c r="L21" s="3" t="s">
        <v>119</v>
      </c>
      <c r="M21" s="3" t="s">
        <v>120</v>
      </c>
      <c r="N21" s="3" t="s">
        <v>2</v>
      </c>
      <c r="O21" s="3"/>
      <c r="Q21" s="3" t="s">
        <v>7</v>
      </c>
      <c r="R21" s="3">
        <v>1</v>
      </c>
      <c r="S21" s="3" t="s">
        <v>117</v>
      </c>
      <c r="T21" s="3" t="s">
        <v>121</v>
      </c>
    </row>
    <row r="22" spans="1:20">
      <c r="A22" s="3" t="s">
        <v>187</v>
      </c>
      <c r="B22" s="3"/>
      <c r="D22" s="3" t="s">
        <v>195</v>
      </c>
      <c r="E22" s="4">
        <v>42391.461954398103</v>
      </c>
      <c r="F22" s="3" t="s">
        <v>153</v>
      </c>
      <c r="G22" s="3"/>
      <c r="H22" s="3"/>
      <c r="I22" s="3" t="s">
        <v>2</v>
      </c>
      <c r="J22" s="3"/>
      <c r="L22" s="3" t="s">
        <v>119</v>
      </c>
      <c r="M22" s="3" t="s">
        <v>120</v>
      </c>
      <c r="N22" s="3" t="s">
        <v>2</v>
      </c>
      <c r="O22" s="3"/>
      <c r="Q22" s="3" t="s">
        <v>7</v>
      </c>
      <c r="R22" s="3">
        <v>1</v>
      </c>
      <c r="S22" s="3" t="s">
        <v>117</v>
      </c>
      <c r="T22" s="3" t="s">
        <v>121</v>
      </c>
    </row>
    <row r="23" spans="1:20">
      <c r="A23" s="3" t="s">
        <v>188</v>
      </c>
      <c r="B23" s="3"/>
      <c r="D23" s="3" t="s">
        <v>195</v>
      </c>
      <c r="E23" s="4">
        <v>42391.331420335599</v>
      </c>
      <c r="F23" s="3" t="s">
        <v>154</v>
      </c>
      <c r="G23" s="3"/>
      <c r="H23" s="3"/>
      <c r="I23" s="3" t="s">
        <v>2</v>
      </c>
      <c r="J23" s="3"/>
      <c r="L23" s="3" t="s">
        <v>119</v>
      </c>
      <c r="M23" s="3" t="s">
        <v>120</v>
      </c>
      <c r="N23" s="3" t="s">
        <v>2</v>
      </c>
      <c r="O23" s="3"/>
      <c r="Q23" s="3" t="s">
        <v>7</v>
      </c>
      <c r="R23" s="3">
        <v>1</v>
      </c>
      <c r="S23" s="3" t="s">
        <v>117</v>
      </c>
      <c r="T23" s="3" t="s">
        <v>121</v>
      </c>
    </row>
    <row r="24" spans="1:20">
      <c r="A24" s="3" t="s">
        <v>189</v>
      </c>
      <c r="B24" s="3"/>
      <c r="D24" s="3" t="s">
        <v>195</v>
      </c>
      <c r="E24" s="4">
        <v>42391.430018634303</v>
      </c>
      <c r="F24" s="3" t="s">
        <v>155</v>
      </c>
      <c r="G24" s="3"/>
      <c r="H24" s="3"/>
      <c r="I24" s="3" t="s">
        <v>2</v>
      </c>
      <c r="J24" s="3"/>
      <c r="L24" s="3" t="s">
        <v>119</v>
      </c>
      <c r="M24" s="3" t="s">
        <v>120</v>
      </c>
      <c r="N24" s="3" t="s">
        <v>2</v>
      </c>
      <c r="O24" s="3"/>
      <c r="Q24" s="3" t="s">
        <v>7</v>
      </c>
      <c r="R24" s="3">
        <v>1</v>
      </c>
      <c r="S24" s="3" t="s">
        <v>117</v>
      </c>
      <c r="T24" s="3" t="s">
        <v>121</v>
      </c>
    </row>
    <row r="25" spans="1:20">
      <c r="A25" s="3" t="s">
        <v>190</v>
      </c>
      <c r="B25" s="3"/>
      <c r="D25" s="3" t="s">
        <v>195</v>
      </c>
      <c r="E25" s="4">
        <v>42391.435427511598</v>
      </c>
      <c r="F25" s="3" t="s">
        <v>156</v>
      </c>
      <c r="G25" s="3"/>
      <c r="H25" s="3"/>
      <c r="I25" s="3" t="s">
        <v>2</v>
      </c>
      <c r="J25" s="3"/>
      <c r="L25" s="3" t="s">
        <v>119</v>
      </c>
      <c r="M25" s="3" t="s">
        <v>120</v>
      </c>
      <c r="N25" s="3" t="s">
        <v>2</v>
      </c>
      <c r="O25" s="3"/>
      <c r="Q25" s="3" t="s">
        <v>7</v>
      </c>
      <c r="R25" s="3">
        <v>1</v>
      </c>
      <c r="S25" s="3" t="s">
        <v>117</v>
      </c>
      <c r="T25" s="3" t="s">
        <v>121</v>
      </c>
    </row>
    <row r="26" spans="1:20">
      <c r="A26" s="3" t="s">
        <v>191</v>
      </c>
      <c r="B26" s="3"/>
      <c r="D26" s="3" t="s">
        <v>195</v>
      </c>
      <c r="E26" s="4">
        <v>42391.335170370403</v>
      </c>
      <c r="F26" s="3" t="s">
        <v>123</v>
      </c>
      <c r="G26" s="3"/>
      <c r="H26" s="3"/>
      <c r="I26" s="3" t="s">
        <v>2</v>
      </c>
      <c r="J26" s="3"/>
      <c r="L26" s="3" t="s">
        <v>119</v>
      </c>
      <c r="M26" s="3" t="s">
        <v>120</v>
      </c>
      <c r="N26" s="3" t="s">
        <v>2</v>
      </c>
      <c r="O26" s="3"/>
      <c r="Q26" s="3" t="s">
        <v>7</v>
      </c>
      <c r="R26" s="3">
        <v>1</v>
      </c>
      <c r="S26" s="3" t="s">
        <v>117</v>
      </c>
      <c r="T26" s="3" t="s">
        <v>121</v>
      </c>
    </row>
    <row r="27" spans="1:20">
      <c r="A27" s="3" t="s">
        <v>192</v>
      </c>
      <c r="D27" s="3" t="s">
        <v>195</v>
      </c>
      <c r="E27" s="4">
        <v>42392.335170370374</v>
      </c>
      <c r="F27" t="s">
        <v>124</v>
      </c>
      <c r="L27" s="3" t="s">
        <v>119</v>
      </c>
      <c r="M27" s="3" t="s">
        <v>120</v>
      </c>
      <c r="Q27" s="3" t="s">
        <v>7</v>
      </c>
      <c r="R27" s="3">
        <v>1</v>
      </c>
      <c r="S27" s="3" t="s">
        <v>117</v>
      </c>
      <c r="T27" s="3" t="s">
        <v>121</v>
      </c>
    </row>
    <row r="28" spans="1:20">
      <c r="A28" s="3" t="s">
        <v>193</v>
      </c>
      <c r="D28" s="3" t="s">
        <v>195</v>
      </c>
      <c r="E28" s="4">
        <v>42393.335170370374</v>
      </c>
      <c r="F28" t="s">
        <v>144</v>
      </c>
      <c r="L28" s="3" t="s">
        <v>119</v>
      </c>
      <c r="M28" s="3" t="s">
        <v>120</v>
      </c>
      <c r="Q28" s="3" t="s">
        <v>7</v>
      </c>
      <c r="R28" s="3">
        <v>1</v>
      </c>
      <c r="S28" s="3" t="s">
        <v>117</v>
      </c>
      <c r="T28" s="3" t="s">
        <v>121</v>
      </c>
    </row>
    <row r="29" spans="1:20">
      <c r="A29" s="3" t="s">
        <v>196</v>
      </c>
      <c r="D29" s="3" t="s">
        <v>195</v>
      </c>
      <c r="E29" s="4">
        <v>42394.335170370374</v>
      </c>
      <c r="F29" t="s">
        <v>147</v>
      </c>
      <c r="L29" s="3" t="s">
        <v>119</v>
      </c>
      <c r="M29" s="3" t="s">
        <v>120</v>
      </c>
      <c r="Q29" s="3" t="s">
        <v>7</v>
      </c>
      <c r="R29" s="3">
        <v>1</v>
      </c>
      <c r="S29" s="3" t="s">
        <v>117</v>
      </c>
      <c r="T29" s="3" t="s">
        <v>121</v>
      </c>
    </row>
    <row r="30" spans="1:20">
      <c r="A30" s="3" t="s">
        <v>197</v>
      </c>
      <c r="D30" s="3" t="s">
        <v>195</v>
      </c>
      <c r="E30" s="4">
        <v>42395.335170370374</v>
      </c>
      <c r="F30" t="s">
        <v>126</v>
      </c>
      <c r="L30" s="3" t="s">
        <v>119</v>
      </c>
      <c r="M30" s="3" t="s">
        <v>120</v>
      </c>
      <c r="Q30" s="3" t="s">
        <v>7</v>
      </c>
      <c r="R30" s="3">
        <v>1</v>
      </c>
      <c r="S30" s="3" t="s">
        <v>117</v>
      </c>
      <c r="T30" s="3" t="s">
        <v>121</v>
      </c>
    </row>
    <row r="31" spans="1:20">
      <c r="A31" s="3" t="s">
        <v>198</v>
      </c>
      <c r="D31" s="3" t="s">
        <v>195</v>
      </c>
      <c r="E31" s="4">
        <v>42396.335170370374</v>
      </c>
      <c r="F31" t="s">
        <v>148</v>
      </c>
      <c r="L31" s="3" t="s">
        <v>119</v>
      </c>
      <c r="M31" s="3" t="s">
        <v>120</v>
      </c>
      <c r="Q31" s="3" t="s">
        <v>7</v>
      </c>
      <c r="R31" s="3">
        <v>1</v>
      </c>
      <c r="S31" s="3" t="s">
        <v>117</v>
      </c>
      <c r="T31" s="3" t="s">
        <v>121</v>
      </c>
    </row>
    <row r="32" spans="1:20">
      <c r="A32" s="3" t="s">
        <v>199</v>
      </c>
      <c r="D32" s="3" t="s">
        <v>195</v>
      </c>
      <c r="E32" s="4">
        <v>42397.335170370374</v>
      </c>
      <c r="F32" t="s">
        <v>127</v>
      </c>
      <c r="L32" s="3" t="s">
        <v>119</v>
      </c>
      <c r="M32" s="3" t="s">
        <v>120</v>
      </c>
      <c r="Q32" s="3" t="s">
        <v>7</v>
      </c>
      <c r="R32" s="3">
        <v>1</v>
      </c>
      <c r="S32" s="3" t="s">
        <v>117</v>
      </c>
      <c r="T32" s="3" t="s">
        <v>121</v>
      </c>
    </row>
    <row r="33" spans="1:20">
      <c r="A33" s="3" t="s">
        <v>200</v>
      </c>
      <c r="D33" s="3" t="s">
        <v>195</v>
      </c>
      <c r="E33" s="4">
        <v>42398.335170370374</v>
      </c>
      <c r="F33" t="s">
        <v>149</v>
      </c>
      <c r="L33" s="3" t="s">
        <v>119</v>
      </c>
      <c r="M33" s="3" t="s">
        <v>120</v>
      </c>
      <c r="Q33" s="3" t="s">
        <v>7</v>
      </c>
      <c r="R33" s="3">
        <v>1</v>
      </c>
      <c r="S33" s="3" t="s">
        <v>117</v>
      </c>
      <c r="T33" s="3" t="s">
        <v>121</v>
      </c>
    </row>
    <row r="34" spans="1:20">
      <c r="A34" s="3" t="s">
        <v>201</v>
      </c>
      <c r="D34" s="3" t="s">
        <v>195</v>
      </c>
      <c r="E34" s="4">
        <v>42399.335170370374</v>
      </c>
      <c r="F34" t="s">
        <v>150</v>
      </c>
      <c r="L34" s="3" t="s">
        <v>119</v>
      </c>
      <c r="M34" s="3" t="s">
        <v>120</v>
      </c>
      <c r="Q34" s="3" t="s">
        <v>7</v>
      </c>
      <c r="R34" s="3">
        <v>1</v>
      </c>
      <c r="S34" s="3" t="s">
        <v>117</v>
      </c>
      <c r="T34" s="3" t="s">
        <v>121</v>
      </c>
    </row>
    <row r="35" spans="1:20">
      <c r="A35" s="3" t="s">
        <v>202</v>
      </c>
      <c r="D35" s="3" t="s">
        <v>195</v>
      </c>
      <c r="E35" s="4">
        <v>42400.335170370374</v>
      </c>
      <c r="F35" t="s">
        <v>151</v>
      </c>
      <c r="L35" s="3" t="s">
        <v>119</v>
      </c>
      <c r="M35" s="3" t="s">
        <v>120</v>
      </c>
      <c r="Q35" s="3" t="s">
        <v>7</v>
      </c>
      <c r="R35" s="3">
        <v>1</v>
      </c>
      <c r="S35" s="3" t="s">
        <v>117</v>
      </c>
      <c r="T35" s="3" t="s">
        <v>121</v>
      </c>
    </row>
    <row r="36" spans="1:20">
      <c r="A36" s="3" t="s">
        <v>203</v>
      </c>
      <c r="D36" s="3" t="s">
        <v>195</v>
      </c>
      <c r="E36" s="4">
        <v>42401.335170370374</v>
      </c>
      <c r="F36" t="s">
        <v>146</v>
      </c>
      <c r="L36" s="3" t="s">
        <v>119</v>
      </c>
      <c r="M36" s="3" t="s">
        <v>120</v>
      </c>
      <c r="Q36" s="3" t="s">
        <v>7</v>
      </c>
      <c r="R36" s="3">
        <v>1</v>
      </c>
      <c r="S36" s="3" t="s">
        <v>117</v>
      </c>
      <c r="T36" s="3" t="s">
        <v>121</v>
      </c>
    </row>
    <row r="37" spans="1:20">
      <c r="A37" s="3" t="s">
        <v>204</v>
      </c>
      <c r="D37" s="3" t="s">
        <v>195</v>
      </c>
      <c r="E37" s="4">
        <v>42402.335170370374</v>
      </c>
      <c r="F37" t="s">
        <v>145</v>
      </c>
      <c r="L37" s="3" t="s">
        <v>119</v>
      </c>
      <c r="M37" s="3" t="s">
        <v>120</v>
      </c>
      <c r="Q37" s="3" t="s">
        <v>7</v>
      </c>
      <c r="R37" s="3">
        <v>1</v>
      </c>
      <c r="S37" s="3" t="s">
        <v>117</v>
      </c>
      <c r="T37" s="3" t="s">
        <v>121</v>
      </c>
    </row>
    <row r="38" spans="1:20">
      <c r="A38" s="3" t="s">
        <v>205</v>
      </c>
      <c r="D38" s="3" t="s">
        <v>195</v>
      </c>
      <c r="E38" s="4">
        <v>42403.335170370374</v>
      </c>
      <c r="F38" t="s">
        <v>152</v>
      </c>
      <c r="L38" s="3" t="s">
        <v>119</v>
      </c>
      <c r="M38" s="3" t="s">
        <v>120</v>
      </c>
      <c r="Q38" s="3" t="s">
        <v>7</v>
      </c>
      <c r="R38" s="3">
        <v>1</v>
      </c>
      <c r="S38" s="3" t="s">
        <v>117</v>
      </c>
      <c r="T38" s="3" t="s">
        <v>121</v>
      </c>
    </row>
    <row r="39" spans="1:20">
      <c r="A39" s="3" t="s">
        <v>206</v>
      </c>
      <c r="D39" s="3" t="s">
        <v>195</v>
      </c>
      <c r="E39" s="4">
        <v>42404.335170370374</v>
      </c>
      <c r="F39" t="s">
        <v>157</v>
      </c>
      <c r="L39" s="3" t="s">
        <v>119</v>
      </c>
      <c r="M39" s="3" t="s">
        <v>120</v>
      </c>
      <c r="Q39" s="3" t="s">
        <v>7</v>
      </c>
      <c r="R39" s="3">
        <v>1</v>
      </c>
      <c r="S39" s="3" t="s">
        <v>117</v>
      </c>
      <c r="T39" s="3" t="s">
        <v>121</v>
      </c>
    </row>
    <row r="40" spans="1:20">
      <c r="A40" s="3" t="s">
        <v>207</v>
      </c>
      <c r="D40" s="3" t="s">
        <v>195</v>
      </c>
      <c r="E40" s="4">
        <v>42405.335170370374</v>
      </c>
      <c r="F40" t="s">
        <v>158</v>
      </c>
      <c r="L40" s="3" t="s">
        <v>119</v>
      </c>
      <c r="M40" s="3" t="s">
        <v>120</v>
      </c>
      <c r="Q40" s="3" t="s">
        <v>7</v>
      </c>
      <c r="R40" s="3">
        <v>1</v>
      </c>
      <c r="S40" s="3" t="s">
        <v>117</v>
      </c>
      <c r="T40" s="3" t="s">
        <v>121</v>
      </c>
    </row>
    <row r="41" spans="1:20">
      <c r="A41" s="3" t="s">
        <v>208</v>
      </c>
      <c r="D41" s="3" t="s">
        <v>195</v>
      </c>
      <c r="E41" s="4">
        <v>42406.335170370374</v>
      </c>
      <c r="F41" t="s">
        <v>159</v>
      </c>
      <c r="L41" s="3" t="s">
        <v>119</v>
      </c>
      <c r="M41" s="3" t="s">
        <v>120</v>
      </c>
      <c r="Q41" s="3" t="s">
        <v>7</v>
      </c>
      <c r="R41" s="3">
        <v>1</v>
      </c>
      <c r="S41" s="3" t="s">
        <v>117</v>
      </c>
      <c r="T41" s="3" t="s">
        <v>121</v>
      </c>
    </row>
    <row r="42" spans="1:20">
      <c r="A42" s="3" t="s">
        <v>209</v>
      </c>
      <c r="D42" s="3" t="s">
        <v>195</v>
      </c>
      <c r="E42" s="4">
        <v>42407.335170370374</v>
      </c>
      <c r="F42" t="s">
        <v>160</v>
      </c>
      <c r="L42" s="3" t="s">
        <v>119</v>
      </c>
      <c r="M42" s="3" t="s">
        <v>120</v>
      </c>
      <c r="Q42" s="3" t="s">
        <v>7</v>
      </c>
      <c r="R42" s="3">
        <v>1</v>
      </c>
      <c r="S42" s="3" t="s">
        <v>117</v>
      </c>
      <c r="T42" s="3" t="s">
        <v>121</v>
      </c>
    </row>
    <row r="43" spans="1:20">
      <c r="A43" s="3" t="s">
        <v>210</v>
      </c>
      <c r="D43" s="3" t="s">
        <v>195</v>
      </c>
      <c r="E43" s="4">
        <v>42408.335170370374</v>
      </c>
      <c r="F43" t="s">
        <v>118</v>
      </c>
      <c r="L43" s="3" t="s">
        <v>119</v>
      </c>
      <c r="M43" s="3" t="s">
        <v>120</v>
      </c>
      <c r="Q43" s="3" t="s">
        <v>7</v>
      </c>
      <c r="R43" s="3">
        <v>1</v>
      </c>
      <c r="S43" s="3" t="s">
        <v>117</v>
      </c>
      <c r="T43" s="3" t="s">
        <v>121</v>
      </c>
    </row>
    <row r="44" spans="1:20">
      <c r="A44" s="3" t="s">
        <v>211</v>
      </c>
      <c r="D44" s="3" t="s">
        <v>195</v>
      </c>
      <c r="E44" s="4">
        <v>42409.335170370374</v>
      </c>
      <c r="F44" t="s">
        <v>175</v>
      </c>
      <c r="L44" s="3" t="s">
        <v>119</v>
      </c>
      <c r="M44" s="3" t="s">
        <v>120</v>
      </c>
      <c r="Q44" s="3" t="s">
        <v>7</v>
      </c>
      <c r="R44" s="3">
        <v>1</v>
      </c>
      <c r="S44" s="3" t="s">
        <v>117</v>
      </c>
      <c r="T44" s="3" t="s">
        <v>121</v>
      </c>
    </row>
  </sheetData>
  <autoFilter ref="A7:AI13" xr:uid="{00000000-0009-0000-0000-000000000000}"/>
  <pageMargins left="0.75" right="0.75" top="1" bottom="1" header="0.5" footer="0.5"/>
  <pageSetup scale="19" fitToHeight="100" orientation="landscape"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8"/>
  <sheetViews>
    <sheetView showGridLines="0" tabSelected="1" workbookViewId="0"/>
  </sheetViews>
  <sheetFormatPr defaultColWidth="9.140625" defaultRowHeight="14.25"/>
  <cols>
    <col min="1" max="1" width="60.7109375" style="12" customWidth="1"/>
    <col min="2" max="2" width="25.7109375" style="28" customWidth="1"/>
    <col min="3" max="3" width="25.7109375" style="12" customWidth="1"/>
    <col min="4" max="5" width="9.140625" style="12"/>
    <col min="6" max="6" width="13.28515625" style="12" bestFit="1" customWidth="1"/>
    <col min="7" max="16384" width="9.140625" style="12"/>
  </cols>
  <sheetData>
    <row r="1" spans="1:5" s="22" customFormat="1" ht="25.5" customHeight="1">
      <c r="A1" s="20" t="s">
        <v>235</v>
      </c>
      <c r="B1" s="21"/>
      <c r="C1" s="32">
        <f>Data!B2</f>
        <v>42391.652507222199</v>
      </c>
    </row>
    <row r="2" spans="1:5" ht="25.5" customHeight="1">
      <c r="A2" s="30" t="str">
        <f>Data!B1</f>
        <v>Fleet Name</v>
      </c>
    </row>
    <row r="3" spans="1:5" ht="16.5">
      <c r="A3" s="23"/>
    </row>
    <row r="4" spans="1:5" ht="16.5">
      <c r="A4" s="39" t="s">
        <v>63</v>
      </c>
      <c r="B4" s="39"/>
    </row>
    <row r="5" spans="1:5" ht="16.5">
      <c r="A5" s="19" t="s">
        <v>128</v>
      </c>
      <c r="B5" s="10">
        <f>Data!B3</f>
        <v>42391</v>
      </c>
    </row>
    <row r="6" spans="1:5" ht="16.5">
      <c r="A6" s="19" t="s">
        <v>129</v>
      </c>
      <c r="B6" s="10">
        <f>Data!B4</f>
        <v>42391.999988425901</v>
      </c>
    </row>
    <row r="7" spans="1:5" ht="16.5">
      <c r="A7" s="19" t="s">
        <v>234</v>
      </c>
      <c r="B7" s="11">
        <f>B6-B5</f>
        <v>0.99998842590139247</v>
      </c>
    </row>
    <row r="9" spans="1:5" ht="16.5">
      <c r="A9" s="43" t="s">
        <v>161</v>
      </c>
      <c r="B9" s="42" t="s">
        <v>214</v>
      </c>
    </row>
    <row r="10" spans="1:5" ht="16.5">
      <c r="A10" s="44" t="s">
        <v>176</v>
      </c>
      <c r="B10" s="40">
        <v>2</v>
      </c>
    </row>
    <row r="11" spans="1:5" ht="17.25">
      <c r="A11" s="44" t="s">
        <v>180</v>
      </c>
      <c r="B11" s="40">
        <v>1</v>
      </c>
      <c r="E11" s="34" t="str">
        <f>IF(OR(A10="",A10="(blank)"),"No Telematic Faults","")</f>
        <v/>
      </c>
    </row>
    <row r="12" spans="1:5" ht="16.5">
      <c r="A12" s="44" t="s">
        <v>172</v>
      </c>
      <c r="B12" s="40">
        <v>1</v>
      </c>
    </row>
    <row r="13" spans="1:5" ht="16.5">
      <c r="A13" s="44" t="s">
        <v>177</v>
      </c>
      <c r="B13" s="40">
        <v>1</v>
      </c>
    </row>
    <row r="14" spans="1:5" ht="16.5">
      <c r="A14" s="44" t="s">
        <v>173</v>
      </c>
      <c r="B14" s="40">
        <v>1</v>
      </c>
    </row>
    <row r="15" spans="1:5" ht="16.5">
      <c r="A15" s="44" t="s">
        <v>178</v>
      </c>
      <c r="B15" s="40">
        <v>1</v>
      </c>
    </row>
    <row r="16" spans="1:5" ht="16.5">
      <c r="A16" s="44" t="s">
        <v>169</v>
      </c>
      <c r="B16" s="40">
        <v>1</v>
      </c>
    </row>
    <row r="17" spans="1:2" ht="16.5">
      <c r="A17" s="44" t="s">
        <v>163</v>
      </c>
      <c r="B17" s="40">
        <v>1</v>
      </c>
    </row>
    <row r="18" spans="1:2" ht="16.5">
      <c r="A18" s="44" t="s">
        <v>168</v>
      </c>
      <c r="B18" s="40">
        <v>1</v>
      </c>
    </row>
    <row r="19" spans="1:2" ht="16.5">
      <c r="A19" s="44" t="s">
        <v>162</v>
      </c>
      <c r="B19" s="40">
        <v>1</v>
      </c>
    </row>
    <row r="20" spans="1:2" ht="16.5">
      <c r="A20" s="44" t="s">
        <v>167</v>
      </c>
      <c r="B20" s="40">
        <v>1</v>
      </c>
    </row>
    <row r="21" spans="1:2" ht="16.5">
      <c r="A21" s="44" t="s">
        <v>171</v>
      </c>
      <c r="B21" s="40">
        <v>1</v>
      </c>
    </row>
    <row r="22" spans="1:2" ht="16.5">
      <c r="A22" s="44" t="s">
        <v>166</v>
      </c>
      <c r="B22" s="40">
        <v>1</v>
      </c>
    </row>
    <row r="23" spans="1:2" ht="16.5">
      <c r="A23" s="44" t="s">
        <v>170</v>
      </c>
      <c r="B23" s="40">
        <v>1</v>
      </c>
    </row>
    <row r="24" spans="1:2" ht="16.5">
      <c r="A24" s="44" t="s">
        <v>165</v>
      </c>
      <c r="B24" s="40">
        <v>1</v>
      </c>
    </row>
    <row r="25" spans="1:2" ht="16.5">
      <c r="A25" s="44" t="s">
        <v>174</v>
      </c>
      <c r="B25" s="40">
        <v>1</v>
      </c>
    </row>
    <row r="26" spans="1:2" ht="16.5">
      <c r="A26" s="44" t="s">
        <v>179</v>
      </c>
      <c r="B26" s="40">
        <v>1</v>
      </c>
    </row>
    <row r="27" spans="1:2" ht="16.5">
      <c r="A27" s="44" t="s">
        <v>164</v>
      </c>
      <c r="B27" s="40">
        <v>1</v>
      </c>
    </row>
    <row r="28" spans="1:2" ht="16.5">
      <c r="A28" s="45" t="s">
        <v>131</v>
      </c>
      <c r="B28" s="41">
        <v>19</v>
      </c>
    </row>
  </sheetData>
  <mergeCells count="1">
    <mergeCell ref="A4:B4"/>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7"/>
  <sheetViews>
    <sheetView showGridLines="0" workbookViewId="0"/>
  </sheetViews>
  <sheetFormatPr defaultColWidth="9.140625" defaultRowHeight="14.25"/>
  <cols>
    <col min="1" max="1" width="25.7109375" style="26" customWidth="1"/>
    <col min="2" max="2" width="50.7109375" style="26" customWidth="1"/>
    <col min="3" max="3" width="25.7109375" style="29" customWidth="1"/>
    <col min="4" max="4" width="12.42578125" style="28" bestFit="1" customWidth="1"/>
    <col min="5" max="5" width="11.5703125" style="12" bestFit="1" customWidth="1"/>
    <col min="6" max="6" width="16.42578125" style="12" customWidth="1"/>
    <col min="7" max="7" width="29.42578125" style="12" customWidth="1"/>
    <col min="8" max="8" width="45" style="12" customWidth="1"/>
    <col min="9" max="9" width="40.140625" style="12" customWidth="1"/>
    <col min="10" max="10" width="11.7109375" style="12" bestFit="1" customWidth="1"/>
    <col min="11" max="16384" width="9.140625" style="12"/>
  </cols>
  <sheetData>
    <row r="1" spans="1:4" s="22" customFormat="1" ht="25.5" customHeight="1">
      <c r="A1" s="20" t="s">
        <v>236</v>
      </c>
      <c r="B1" s="21"/>
      <c r="C1" s="32">
        <f>Data!B2</f>
        <v>42391.652507222199</v>
      </c>
      <c r="D1" s="27"/>
    </row>
    <row r="2" spans="1:4" ht="25.5" customHeight="1">
      <c r="A2" s="31" t="str">
        <f>Data!B1</f>
        <v>Fleet Name</v>
      </c>
      <c r="B2" s="12"/>
      <c r="C2" s="28"/>
    </row>
    <row r="3" spans="1:4" ht="16.5">
      <c r="A3" s="23"/>
      <c r="B3" s="12"/>
      <c r="C3" s="28"/>
    </row>
    <row r="4" spans="1:4" ht="16.5">
      <c r="A4" s="39" t="s">
        <v>63</v>
      </c>
      <c r="B4" s="39"/>
    </row>
    <row r="5" spans="1:4" ht="16.5">
      <c r="A5" s="19" t="s">
        <v>128</v>
      </c>
      <c r="B5" s="10">
        <f>Data!B3</f>
        <v>42391</v>
      </c>
    </row>
    <row r="6" spans="1:4" ht="16.5">
      <c r="A6" s="19" t="s">
        <v>129</v>
      </c>
      <c r="B6" s="10">
        <f>Data!B4</f>
        <v>42391.999988425901</v>
      </c>
    </row>
    <row r="7" spans="1:4" ht="16.5">
      <c r="A7" s="19" t="s">
        <v>234</v>
      </c>
      <c r="B7" s="11">
        <f>B6-B5</f>
        <v>0.99998842590139247</v>
      </c>
    </row>
    <row r="9" spans="1:4">
      <c r="A9" s="46" t="s">
        <v>130</v>
      </c>
      <c r="B9" s="46" t="s">
        <v>161</v>
      </c>
      <c r="C9" s="50" t="s">
        <v>232</v>
      </c>
      <c r="D9" s="50" t="s">
        <v>233</v>
      </c>
    </row>
    <row r="10" spans="1:4" ht="16.5">
      <c r="A10" s="47" t="s">
        <v>182</v>
      </c>
      <c r="B10" s="47" t="s">
        <v>179</v>
      </c>
      <c r="C10" s="48">
        <v>42391</v>
      </c>
      <c r="D10" s="49">
        <v>0.4304398148148148</v>
      </c>
    </row>
    <row r="11" spans="1:4" ht="16.5">
      <c r="A11" s="47" t="s">
        <v>182</v>
      </c>
      <c r="B11" s="47" t="s">
        <v>180</v>
      </c>
      <c r="C11" s="48">
        <v>42391</v>
      </c>
      <c r="D11" s="49">
        <v>0.4412152777777778</v>
      </c>
    </row>
    <row r="12" spans="1:4" ht="16.5">
      <c r="A12" s="47" t="s">
        <v>182</v>
      </c>
      <c r="B12" s="47" t="s">
        <v>178</v>
      </c>
      <c r="C12" s="48">
        <v>42391</v>
      </c>
      <c r="D12" s="49">
        <v>0.21997685185185187</v>
      </c>
    </row>
    <row r="13" spans="1:4" ht="16.5">
      <c r="A13" s="47" t="s">
        <v>182</v>
      </c>
      <c r="B13" s="47" t="s">
        <v>162</v>
      </c>
      <c r="C13" s="48">
        <v>42391</v>
      </c>
      <c r="D13" s="49">
        <v>0.31761574074074073</v>
      </c>
    </row>
    <row r="14" spans="1:4" ht="16.5">
      <c r="A14" s="47" t="s">
        <v>182</v>
      </c>
      <c r="B14" s="47" t="s">
        <v>177</v>
      </c>
      <c r="C14" s="48">
        <v>42391</v>
      </c>
      <c r="D14" s="49">
        <v>0.33252314814814815</v>
      </c>
    </row>
    <row r="15" spans="1:4" ht="16.5">
      <c r="A15" s="47" t="s">
        <v>182</v>
      </c>
      <c r="B15" s="47" t="s">
        <v>176</v>
      </c>
      <c r="C15" s="48">
        <v>42391</v>
      </c>
      <c r="D15" s="49">
        <v>0.24340277777777777</v>
      </c>
    </row>
    <row r="16" spans="1:4" ht="16.5">
      <c r="A16" s="47" t="s">
        <v>183</v>
      </c>
      <c r="B16" s="47" t="s">
        <v>163</v>
      </c>
      <c r="C16" s="48">
        <v>42391</v>
      </c>
      <c r="D16" s="49">
        <v>0.32688657407407407</v>
      </c>
    </row>
    <row r="17" spans="1:4" ht="16.5">
      <c r="A17" s="47" t="s">
        <v>183</v>
      </c>
      <c r="B17" s="47" t="s">
        <v>164</v>
      </c>
      <c r="C17" s="48">
        <v>42391</v>
      </c>
      <c r="D17" s="49">
        <v>0.52734953703703702</v>
      </c>
    </row>
    <row r="18" spans="1:4" ht="16.5">
      <c r="A18" s="47" t="s">
        <v>183</v>
      </c>
      <c r="B18" s="47" t="s">
        <v>165</v>
      </c>
      <c r="C18" s="48">
        <v>42391</v>
      </c>
      <c r="D18" s="49">
        <v>0.57701388888888883</v>
      </c>
    </row>
    <row r="19" spans="1:4" ht="16.5">
      <c r="A19" s="47" t="s">
        <v>184</v>
      </c>
      <c r="B19" s="47" t="s">
        <v>166</v>
      </c>
      <c r="C19" s="48">
        <v>42391</v>
      </c>
      <c r="D19" s="49">
        <v>0.33353009259259259</v>
      </c>
    </row>
    <row r="20" spans="1:4" ht="16.5">
      <c r="A20" s="47" t="s">
        <v>185</v>
      </c>
      <c r="B20" s="47" t="s">
        <v>167</v>
      </c>
      <c r="C20" s="48">
        <v>42391</v>
      </c>
      <c r="D20" s="49">
        <v>1.7060185185185185E-2</v>
      </c>
    </row>
    <row r="21" spans="1:4" ht="16.5">
      <c r="A21" s="47" t="s">
        <v>185</v>
      </c>
      <c r="B21" s="47" t="s">
        <v>168</v>
      </c>
      <c r="C21" s="48">
        <v>42392</v>
      </c>
      <c r="D21" s="49">
        <v>1.7060185185185185E-2</v>
      </c>
    </row>
    <row r="22" spans="1:4" ht="16.5">
      <c r="A22" s="47" t="s">
        <v>185</v>
      </c>
      <c r="B22" s="47" t="s">
        <v>169</v>
      </c>
      <c r="C22" s="48">
        <v>42391</v>
      </c>
      <c r="D22" s="49">
        <v>0.33892361111111113</v>
      </c>
    </row>
    <row r="23" spans="1:4" ht="16.5">
      <c r="A23" s="47" t="s">
        <v>186</v>
      </c>
      <c r="B23" s="47" t="s">
        <v>170</v>
      </c>
      <c r="C23" s="48">
        <v>42391</v>
      </c>
      <c r="D23" s="49">
        <v>0.33364583333333336</v>
      </c>
    </row>
    <row r="24" spans="1:4" ht="16.5">
      <c r="A24" s="47" t="s">
        <v>187</v>
      </c>
      <c r="B24" s="47" t="s">
        <v>171</v>
      </c>
      <c r="C24" s="48">
        <v>42391</v>
      </c>
      <c r="D24" s="49">
        <v>0.46195601851851853</v>
      </c>
    </row>
    <row r="25" spans="1:4" ht="16.5">
      <c r="A25" s="47" t="s">
        <v>188</v>
      </c>
      <c r="B25" s="47" t="s">
        <v>172</v>
      </c>
      <c r="C25" s="48">
        <v>42391</v>
      </c>
      <c r="D25" s="49">
        <v>0.33142361111111113</v>
      </c>
    </row>
    <row r="26" spans="1:4" ht="16.5">
      <c r="A26" s="47" t="s">
        <v>189</v>
      </c>
      <c r="B26" s="47" t="s">
        <v>173</v>
      </c>
      <c r="C26" s="48">
        <v>42391</v>
      </c>
      <c r="D26" s="49">
        <v>0.43002314814814818</v>
      </c>
    </row>
    <row r="27" spans="1:4" ht="16.5">
      <c r="A27" s="47" t="s">
        <v>190</v>
      </c>
      <c r="B27" s="47" t="s">
        <v>174</v>
      </c>
      <c r="C27" s="48">
        <v>42391</v>
      </c>
      <c r="D27" s="49">
        <v>0.43542824074074077</v>
      </c>
    </row>
    <row r="28" spans="1:4" ht="16.5">
      <c r="A28" s="47" t="s">
        <v>191</v>
      </c>
      <c r="B28" s="47" t="s">
        <v>176</v>
      </c>
      <c r="C28" s="48">
        <v>42391</v>
      </c>
      <c r="D28" s="49">
        <v>0.33517361111111116</v>
      </c>
    </row>
    <row r="29" spans="1:4">
      <c r="A29"/>
      <c r="B29"/>
      <c r="C29"/>
      <c r="D29"/>
    </row>
    <row r="30" spans="1:4">
      <c r="A30" s="12"/>
      <c r="B30" s="12"/>
      <c r="C30" s="28"/>
    </row>
    <row r="31" spans="1:4">
      <c r="A31" s="12"/>
      <c r="B31" s="12"/>
      <c r="C31" s="28"/>
    </row>
    <row r="32" spans="1:4">
      <c r="A32" s="12"/>
      <c r="B32" s="12"/>
      <c r="C32" s="28"/>
    </row>
    <row r="33" spans="1:3">
      <c r="A33" s="12"/>
      <c r="B33" s="12"/>
      <c r="C33" s="28"/>
    </row>
    <row r="34" spans="1:3">
      <c r="A34" s="12"/>
      <c r="B34" s="12"/>
      <c r="C34" s="28"/>
    </row>
    <row r="35" spans="1:3">
      <c r="A35" s="12"/>
      <c r="B35" s="12"/>
      <c r="C35" s="28"/>
    </row>
    <row r="36" spans="1:3">
      <c r="A36" s="12"/>
      <c r="B36" s="12"/>
      <c r="C36" s="28"/>
    </row>
    <row r="37" spans="1:3">
      <c r="A37" s="12"/>
      <c r="B37" s="12"/>
      <c r="C37" s="28"/>
    </row>
    <row r="38" spans="1:3">
      <c r="A38" s="12"/>
      <c r="B38" s="12"/>
      <c r="C38" s="28"/>
    </row>
    <row r="39" spans="1:3">
      <c r="A39" s="12"/>
      <c r="B39" s="12"/>
      <c r="C39" s="28"/>
    </row>
    <row r="40" spans="1:3">
      <c r="A40" s="12"/>
      <c r="B40" s="12"/>
      <c r="C40" s="28"/>
    </row>
    <row r="41" spans="1:3">
      <c r="A41" s="12"/>
      <c r="B41" s="12"/>
      <c r="C41" s="28"/>
    </row>
    <row r="42" spans="1:3">
      <c r="A42" s="12"/>
      <c r="B42" s="12"/>
      <c r="C42" s="28"/>
    </row>
    <row r="43" spans="1:3">
      <c r="A43" s="12"/>
      <c r="B43" s="12"/>
      <c r="C43" s="28"/>
    </row>
    <row r="44" spans="1:3">
      <c r="A44" s="12"/>
      <c r="B44" s="12"/>
      <c r="C44" s="28"/>
    </row>
    <row r="45" spans="1:3">
      <c r="A45" s="12"/>
      <c r="B45" s="12"/>
      <c r="C45" s="28"/>
    </row>
    <row r="46" spans="1:3">
      <c r="A46" s="12"/>
      <c r="B46" s="12"/>
      <c r="C46" s="28"/>
    </row>
    <row r="47" spans="1:3">
      <c r="A47" s="12"/>
      <c r="B47" s="12"/>
      <c r="C47" s="28"/>
    </row>
    <row r="48" spans="1:3">
      <c r="A48" s="12"/>
      <c r="B48" s="12"/>
      <c r="C48" s="28"/>
    </row>
    <row r="49" spans="1:3">
      <c r="A49" s="12"/>
      <c r="B49" s="12"/>
      <c r="C49" s="28"/>
    </row>
    <row r="50" spans="1:3">
      <c r="A50" s="12"/>
      <c r="B50" s="12"/>
      <c r="C50" s="28"/>
    </row>
    <row r="51" spans="1:3">
      <c r="A51" s="12"/>
      <c r="B51" s="12"/>
      <c r="C51" s="28"/>
    </row>
    <row r="52" spans="1:3">
      <c r="A52" s="12"/>
      <c r="B52" s="12"/>
      <c r="C52" s="28"/>
    </row>
    <row r="53" spans="1:3">
      <c r="A53" s="12"/>
      <c r="B53" s="12"/>
      <c r="C53" s="28"/>
    </row>
    <row r="54" spans="1:3">
      <c r="A54" s="12"/>
      <c r="B54" s="12"/>
      <c r="C54" s="28"/>
    </row>
    <row r="55" spans="1:3">
      <c r="A55" s="12"/>
      <c r="B55" s="12"/>
      <c r="C55" s="28"/>
    </row>
    <row r="56" spans="1:3">
      <c r="A56" s="12"/>
      <c r="B56" s="12"/>
      <c r="C56" s="28"/>
    </row>
    <row r="57" spans="1:3">
      <c r="A57" s="12"/>
      <c r="B57" s="12"/>
      <c r="C57" s="28"/>
    </row>
    <row r="58" spans="1:3">
      <c r="A58" s="12"/>
      <c r="B58" s="12"/>
      <c r="C58" s="28"/>
    </row>
    <row r="59" spans="1:3">
      <c r="A59" s="12"/>
      <c r="B59" s="12"/>
      <c r="C59" s="28"/>
    </row>
    <row r="60" spans="1:3">
      <c r="A60" s="12"/>
      <c r="B60" s="12"/>
      <c r="C60" s="28"/>
    </row>
    <row r="61" spans="1:3">
      <c r="A61" s="12"/>
      <c r="B61" s="12"/>
      <c r="C61" s="28"/>
    </row>
    <row r="62" spans="1:3">
      <c r="A62" s="12"/>
      <c r="B62" s="12"/>
      <c r="C62" s="28"/>
    </row>
    <row r="63" spans="1:3">
      <c r="A63" s="12"/>
      <c r="B63" s="12"/>
      <c r="C63" s="28"/>
    </row>
    <row r="64" spans="1:3">
      <c r="A64" s="12"/>
      <c r="B64" s="12"/>
      <c r="C64" s="28"/>
    </row>
    <row r="65" spans="1:3">
      <c r="A65" s="12"/>
      <c r="B65" s="12"/>
      <c r="C65" s="28"/>
    </row>
    <row r="66" spans="1:3">
      <c r="A66" s="12"/>
      <c r="B66" s="12"/>
      <c r="C66" s="28"/>
    </row>
    <row r="67" spans="1:3">
      <c r="A67" s="12"/>
      <c r="B67" s="12"/>
      <c r="C67" s="28"/>
    </row>
    <row r="68" spans="1:3">
      <c r="A68" s="12"/>
      <c r="B68" s="12"/>
      <c r="C68" s="28"/>
    </row>
    <row r="69" spans="1:3">
      <c r="A69" s="12"/>
      <c r="B69" s="12"/>
      <c r="C69" s="28"/>
    </row>
    <row r="70" spans="1:3">
      <c r="A70" s="12"/>
      <c r="B70" s="12"/>
      <c r="C70" s="28"/>
    </row>
    <row r="71" spans="1:3">
      <c r="A71" s="12"/>
      <c r="B71" s="12"/>
      <c r="C71" s="28"/>
    </row>
    <row r="72" spans="1:3">
      <c r="A72" s="12"/>
      <c r="B72" s="12"/>
      <c r="C72" s="28"/>
    </row>
    <row r="73" spans="1:3">
      <c r="A73" s="12"/>
      <c r="B73" s="12"/>
      <c r="C73" s="28"/>
    </row>
    <row r="74" spans="1:3">
      <c r="A74" s="12"/>
      <c r="B74" s="12"/>
      <c r="C74" s="28"/>
    </row>
    <row r="75" spans="1:3">
      <c r="A75" s="12"/>
      <c r="B75" s="12"/>
      <c r="C75" s="28"/>
    </row>
    <row r="76" spans="1:3">
      <c r="A76" s="12"/>
      <c r="B76" s="12"/>
      <c r="C76" s="28"/>
    </row>
    <row r="77" spans="1:3">
      <c r="A77" s="12"/>
      <c r="B77" s="12"/>
      <c r="C77" s="28"/>
    </row>
    <row r="78" spans="1:3">
      <c r="A78" s="12"/>
      <c r="B78" s="12"/>
      <c r="C78" s="28"/>
    </row>
    <row r="79" spans="1:3">
      <c r="A79" s="12"/>
      <c r="B79" s="12"/>
      <c r="C79" s="28"/>
    </row>
    <row r="80" spans="1:3">
      <c r="A80" s="12"/>
      <c r="B80" s="12"/>
      <c r="C80" s="28"/>
    </row>
    <row r="81" spans="1:3">
      <c r="A81" s="12"/>
      <c r="B81" s="12"/>
      <c r="C81" s="28"/>
    </row>
    <row r="82" spans="1:3">
      <c r="A82" s="12"/>
      <c r="B82" s="12"/>
      <c r="C82" s="28"/>
    </row>
    <row r="83" spans="1:3">
      <c r="A83" s="12"/>
      <c r="B83" s="12"/>
      <c r="C83" s="28"/>
    </row>
    <row r="84" spans="1:3">
      <c r="A84" s="12"/>
      <c r="B84" s="12"/>
      <c r="C84" s="28"/>
    </row>
    <row r="85" spans="1:3">
      <c r="A85" s="12"/>
      <c r="B85" s="12"/>
      <c r="C85" s="28"/>
    </row>
    <row r="86" spans="1:3">
      <c r="A86" s="12"/>
      <c r="B86" s="12"/>
      <c r="C86" s="28"/>
    </row>
    <row r="87" spans="1:3">
      <c r="A87" s="12"/>
      <c r="B87" s="12"/>
      <c r="C87" s="28"/>
    </row>
    <row r="88" spans="1:3">
      <c r="A88" s="12"/>
      <c r="B88" s="12"/>
      <c r="C88" s="28"/>
    </row>
    <row r="89" spans="1:3">
      <c r="A89" s="12"/>
      <c r="B89" s="12"/>
      <c r="C89" s="28"/>
    </row>
    <row r="90" spans="1:3">
      <c r="A90" s="12"/>
      <c r="B90" s="12"/>
      <c r="C90" s="28"/>
    </row>
    <row r="91" spans="1:3">
      <c r="A91" s="12"/>
      <c r="B91" s="12"/>
      <c r="C91" s="28"/>
    </row>
    <row r="92" spans="1:3">
      <c r="A92" s="12"/>
      <c r="B92" s="12"/>
      <c r="C92" s="28"/>
    </row>
    <row r="93" spans="1:3">
      <c r="A93" s="12"/>
      <c r="B93" s="12"/>
      <c r="C93" s="28"/>
    </row>
    <row r="94" spans="1:3">
      <c r="A94" s="12"/>
      <c r="B94" s="12"/>
      <c r="C94" s="28"/>
    </row>
    <row r="95" spans="1:3">
      <c r="A95" s="12"/>
      <c r="B95" s="12"/>
      <c r="C95" s="28"/>
    </row>
    <row r="96" spans="1:3">
      <c r="A96" s="12"/>
      <c r="B96" s="12"/>
      <c r="C96" s="28"/>
    </row>
    <row r="97" spans="1:3">
      <c r="A97" s="12"/>
      <c r="B97" s="12"/>
      <c r="C97" s="28"/>
    </row>
    <row r="98" spans="1:3">
      <c r="A98" s="12"/>
      <c r="B98" s="12"/>
      <c r="C98" s="28"/>
    </row>
    <row r="99" spans="1:3">
      <c r="A99" s="12"/>
      <c r="B99" s="12"/>
      <c r="C99" s="28"/>
    </row>
    <row r="100" spans="1:3">
      <c r="A100" s="12"/>
      <c r="B100" s="12"/>
      <c r="C100" s="28"/>
    </row>
    <row r="101" spans="1:3">
      <c r="A101" s="12"/>
      <c r="B101" s="12"/>
      <c r="C101" s="28"/>
    </row>
    <row r="102" spans="1:3">
      <c r="A102" s="12"/>
      <c r="B102" s="12"/>
      <c r="C102" s="28"/>
    </row>
    <row r="103" spans="1:3">
      <c r="A103" s="12"/>
      <c r="B103" s="12"/>
      <c r="C103" s="28"/>
    </row>
    <row r="104" spans="1:3">
      <c r="A104" s="12"/>
      <c r="B104" s="12"/>
      <c r="C104" s="28"/>
    </row>
    <row r="105" spans="1:3">
      <c r="A105" s="12"/>
      <c r="B105" s="12"/>
      <c r="C105" s="28"/>
    </row>
    <row r="106" spans="1:3">
      <c r="A106" s="12"/>
      <c r="B106" s="12"/>
      <c r="C106" s="28"/>
    </row>
    <row r="107" spans="1:3">
      <c r="A107" s="12"/>
      <c r="B107" s="12"/>
      <c r="C107" s="28"/>
    </row>
    <row r="108" spans="1:3">
      <c r="A108" s="12"/>
      <c r="B108" s="12"/>
      <c r="C108" s="28"/>
    </row>
    <row r="109" spans="1:3">
      <c r="A109" s="12"/>
      <c r="B109" s="12"/>
      <c r="C109" s="28"/>
    </row>
    <row r="110" spans="1:3">
      <c r="A110" s="12"/>
      <c r="B110" s="12"/>
      <c r="C110" s="28"/>
    </row>
    <row r="111" spans="1:3">
      <c r="A111" s="12"/>
      <c r="B111" s="12"/>
      <c r="C111" s="28"/>
    </row>
    <row r="112" spans="1:3">
      <c r="A112" s="12"/>
      <c r="B112" s="12"/>
      <c r="C112" s="28"/>
    </row>
    <row r="113" spans="1:3">
      <c r="A113" s="12"/>
      <c r="B113" s="12"/>
      <c r="C113" s="28"/>
    </row>
    <row r="114" spans="1:3">
      <c r="A114" s="12"/>
      <c r="B114" s="12"/>
      <c r="C114" s="28"/>
    </row>
    <row r="115" spans="1:3">
      <c r="A115" s="12"/>
      <c r="B115" s="12"/>
      <c r="C115" s="28"/>
    </row>
    <row r="116" spans="1:3">
      <c r="A116" s="12"/>
      <c r="B116" s="12"/>
      <c r="C116" s="28"/>
    </row>
    <row r="117" spans="1:3">
      <c r="A117" s="12"/>
      <c r="B117" s="12"/>
      <c r="C117" s="28"/>
    </row>
    <row r="118" spans="1:3">
      <c r="A118" s="12"/>
      <c r="B118" s="12"/>
      <c r="C118" s="28"/>
    </row>
    <row r="119" spans="1:3">
      <c r="A119" s="12"/>
      <c r="B119" s="12"/>
      <c r="C119" s="28"/>
    </row>
    <row r="120" spans="1:3">
      <c r="A120" s="12"/>
      <c r="B120" s="12"/>
      <c r="C120" s="28"/>
    </row>
    <row r="121" spans="1:3">
      <c r="A121" s="12"/>
      <c r="B121" s="12"/>
      <c r="C121" s="28"/>
    </row>
    <row r="122" spans="1:3">
      <c r="A122" s="12"/>
      <c r="B122" s="12"/>
      <c r="C122" s="28"/>
    </row>
    <row r="123" spans="1:3">
      <c r="A123" s="12"/>
      <c r="B123" s="12"/>
      <c r="C123" s="28"/>
    </row>
    <row r="124" spans="1:3">
      <c r="A124" s="12"/>
      <c r="B124" s="12"/>
      <c r="C124" s="28"/>
    </row>
    <row r="125" spans="1:3">
      <c r="A125" s="12"/>
      <c r="B125" s="12"/>
      <c r="C125" s="28"/>
    </row>
    <row r="126" spans="1:3">
      <c r="A126" s="12"/>
      <c r="B126" s="12"/>
      <c r="C126" s="28"/>
    </row>
    <row r="127" spans="1:3">
      <c r="A127" s="12"/>
      <c r="B127" s="12"/>
      <c r="C127" s="28"/>
    </row>
    <row r="128" spans="1:3">
      <c r="A128" s="12"/>
      <c r="B128" s="12"/>
      <c r="C128" s="28"/>
    </row>
    <row r="129" spans="1:3">
      <c r="A129" s="12"/>
      <c r="B129" s="12"/>
      <c r="C129" s="28"/>
    </row>
    <row r="130" spans="1:3">
      <c r="A130" s="12"/>
      <c r="B130" s="12"/>
      <c r="C130" s="28"/>
    </row>
    <row r="131" spans="1:3">
      <c r="A131" s="12"/>
      <c r="B131" s="12"/>
      <c r="C131" s="28"/>
    </row>
    <row r="132" spans="1:3">
      <c r="A132" s="12"/>
      <c r="B132" s="12"/>
      <c r="C132" s="28"/>
    </row>
    <row r="133" spans="1:3">
      <c r="A133" s="12"/>
      <c r="B133" s="12"/>
      <c r="C133" s="28"/>
    </row>
    <row r="134" spans="1:3">
      <c r="A134" s="12"/>
      <c r="B134" s="12"/>
      <c r="C134" s="28"/>
    </row>
    <row r="135" spans="1:3">
      <c r="A135" s="12"/>
      <c r="B135" s="12"/>
      <c r="C135" s="28"/>
    </row>
    <row r="136" spans="1:3">
      <c r="A136" s="12"/>
      <c r="B136" s="12"/>
      <c r="C136" s="28"/>
    </row>
    <row r="137" spans="1:3">
      <c r="A137" s="12"/>
      <c r="B137" s="12"/>
      <c r="C137" s="28"/>
    </row>
    <row r="138" spans="1:3">
      <c r="A138" s="12"/>
      <c r="B138" s="12"/>
      <c r="C138" s="28"/>
    </row>
    <row r="139" spans="1:3">
      <c r="A139" s="12"/>
      <c r="B139" s="12"/>
      <c r="C139" s="28"/>
    </row>
    <row r="140" spans="1:3">
      <c r="A140" s="12"/>
      <c r="B140" s="12"/>
      <c r="C140" s="28"/>
    </row>
    <row r="141" spans="1:3">
      <c r="A141" s="12"/>
      <c r="B141" s="12"/>
      <c r="C141" s="28"/>
    </row>
    <row r="142" spans="1:3">
      <c r="A142" s="12"/>
      <c r="B142" s="12"/>
      <c r="C142" s="28"/>
    </row>
    <row r="143" spans="1:3">
      <c r="A143" s="12"/>
      <c r="B143" s="12"/>
      <c r="C143" s="28"/>
    </row>
    <row r="144" spans="1:3">
      <c r="A144" s="12"/>
      <c r="B144" s="12"/>
      <c r="C144" s="28"/>
    </row>
    <row r="145" spans="1:3">
      <c r="A145" s="12"/>
      <c r="B145" s="12"/>
      <c r="C145" s="28"/>
    </row>
    <row r="146" spans="1:3">
      <c r="A146" s="12"/>
      <c r="B146" s="12"/>
      <c r="C146" s="28"/>
    </row>
    <row r="147" spans="1:3">
      <c r="A147" s="12"/>
      <c r="B147" s="12"/>
      <c r="C147" s="28"/>
    </row>
    <row r="148" spans="1:3">
      <c r="A148" s="12"/>
      <c r="B148" s="12"/>
      <c r="C148" s="28"/>
    </row>
    <row r="149" spans="1:3">
      <c r="A149" s="12"/>
      <c r="B149" s="12"/>
      <c r="C149" s="28"/>
    </row>
    <row r="150" spans="1:3">
      <c r="A150" s="12"/>
      <c r="B150" s="12"/>
      <c r="C150" s="28"/>
    </row>
    <row r="151" spans="1:3">
      <c r="A151" s="12"/>
      <c r="B151" s="12"/>
      <c r="C151" s="28"/>
    </row>
    <row r="152" spans="1:3">
      <c r="A152" s="12"/>
      <c r="B152" s="12"/>
      <c r="C152" s="28"/>
    </row>
    <row r="153" spans="1:3">
      <c r="A153" s="12"/>
      <c r="B153" s="12"/>
      <c r="C153" s="28"/>
    </row>
    <row r="154" spans="1:3">
      <c r="A154" s="12"/>
      <c r="B154" s="12"/>
      <c r="C154" s="28"/>
    </row>
    <row r="155" spans="1:3">
      <c r="A155" s="12"/>
      <c r="B155" s="12"/>
      <c r="C155" s="28"/>
    </row>
    <row r="156" spans="1:3">
      <c r="A156" s="12"/>
      <c r="B156" s="12"/>
      <c r="C156" s="28"/>
    </row>
    <row r="157" spans="1:3">
      <c r="A157" s="12"/>
      <c r="B157" s="12"/>
      <c r="C157" s="28"/>
    </row>
    <row r="158" spans="1:3">
      <c r="A158" s="12"/>
      <c r="B158" s="12"/>
      <c r="C158" s="28"/>
    </row>
    <row r="159" spans="1:3">
      <c r="A159" s="12"/>
      <c r="B159" s="12"/>
      <c r="C159" s="28"/>
    </row>
    <row r="160" spans="1:3">
      <c r="A160" s="12"/>
      <c r="B160" s="12"/>
      <c r="C160" s="28"/>
    </row>
    <row r="161" spans="1:3">
      <c r="A161" s="12"/>
      <c r="B161" s="12"/>
      <c r="C161" s="28"/>
    </row>
    <row r="162" spans="1:3">
      <c r="A162" s="12"/>
      <c r="B162" s="12"/>
      <c r="C162" s="28"/>
    </row>
    <row r="163" spans="1:3">
      <c r="A163" s="12"/>
      <c r="B163" s="12"/>
      <c r="C163" s="28"/>
    </row>
    <row r="164" spans="1:3">
      <c r="A164" s="12"/>
      <c r="B164" s="12"/>
      <c r="C164" s="28"/>
    </row>
    <row r="165" spans="1:3">
      <c r="A165" s="12"/>
      <c r="B165" s="12"/>
      <c r="C165" s="28"/>
    </row>
    <row r="166" spans="1:3">
      <c r="A166" s="12"/>
      <c r="B166" s="12"/>
      <c r="C166" s="28"/>
    </row>
    <row r="167" spans="1:3">
      <c r="A167" s="12"/>
      <c r="B167" s="12"/>
      <c r="C167" s="28"/>
    </row>
    <row r="168" spans="1:3">
      <c r="A168" s="12"/>
      <c r="B168" s="12"/>
      <c r="C168" s="28"/>
    </row>
    <row r="169" spans="1:3">
      <c r="A169" s="12"/>
      <c r="B169" s="12"/>
      <c r="C169" s="28"/>
    </row>
    <row r="170" spans="1:3">
      <c r="A170" s="12"/>
      <c r="B170" s="12"/>
      <c r="C170" s="28"/>
    </row>
    <row r="171" spans="1:3">
      <c r="A171" s="12"/>
      <c r="B171" s="12"/>
      <c r="C171" s="28"/>
    </row>
    <row r="172" spans="1:3">
      <c r="A172" s="12"/>
      <c r="B172" s="12"/>
      <c r="C172" s="28"/>
    </row>
    <row r="173" spans="1:3">
      <c r="A173" s="12"/>
      <c r="B173" s="12"/>
      <c r="C173" s="28"/>
    </row>
    <row r="174" spans="1:3">
      <c r="A174" s="12"/>
      <c r="B174" s="12"/>
      <c r="C174" s="28"/>
    </row>
    <row r="175" spans="1:3">
      <c r="A175" s="12"/>
      <c r="B175" s="12"/>
      <c r="C175" s="28"/>
    </row>
    <row r="176" spans="1:3">
      <c r="A176" s="12"/>
      <c r="B176" s="12"/>
      <c r="C176" s="28"/>
    </row>
    <row r="177" spans="1:3">
      <c r="A177" s="12"/>
      <c r="B177" s="12"/>
      <c r="C177" s="28"/>
    </row>
    <row r="178" spans="1:3">
      <c r="A178" s="12"/>
      <c r="B178" s="12"/>
      <c r="C178" s="28"/>
    </row>
    <row r="179" spans="1:3">
      <c r="A179" s="12"/>
      <c r="B179" s="12"/>
      <c r="C179" s="28"/>
    </row>
    <row r="180" spans="1:3">
      <c r="A180" s="12"/>
      <c r="B180" s="12"/>
      <c r="C180" s="28"/>
    </row>
    <row r="181" spans="1:3">
      <c r="A181" s="12"/>
      <c r="B181" s="12"/>
      <c r="C181" s="28"/>
    </row>
    <row r="182" spans="1:3">
      <c r="A182" s="12"/>
      <c r="B182" s="12"/>
      <c r="C182" s="28"/>
    </row>
    <row r="183" spans="1:3">
      <c r="A183" s="12"/>
      <c r="B183" s="12"/>
      <c r="C183" s="28"/>
    </row>
    <row r="184" spans="1:3">
      <c r="A184" s="12"/>
      <c r="B184" s="12"/>
      <c r="C184" s="28"/>
    </row>
    <row r="185" spans="1:3">
      <c r="A185" s="12"/>
      <c r="B185" s="12"/>
      <c r="C185" s="28"/>
    </row>
    <row r="186" spans="1:3">
      <c r="A186" s="12"/>
      <c r="B186" s="12"/>
      <c r="C186" s="28"/>
    </row>
    <row r="187" spans="1:3">
      <c r="A187" s="12"/>
      <c r="B187" s="12"/>
      <c r="C187" s="28"/>
    </row>
    <row r="188" spans="1:3">
      <c r="A188" s="12"/>
      <c r="B188" s="12"/>
      <c r="C188" s="28"/>
    </row>
    <row r="189" spans="1:3">
      <c r="A189" s="12"/>
      <c r="B189" s="12"/>
      <c r="C189" s="28"/>
    </row>
    <row r="190" spans="1:3">
      <c r="A190" s="12"/>
      <c r="B190" s="12"/>
      <c r="C190" s="28"/>
    </row>
    <row r="191" spans="1:3">
      <c r="A191" s="12"/>
      <c r="B191" s="12"/>
      <c r="C191" s="28"/>
    </row>
    <row r="192" spans="1:3">
      <c r="A192" s="12"/>
      <c r="B192" s="12"/>
      <c r="C192" s="28"/>
    </row>
    <row r="193" spans="1:3">
      <c r="A193" s="12"/>
      <c r="B193" s="12"/>
      <c r="C193" s="28"/>
    </row>
    <row r="194" spans="1:3">
      <c r="A194" s="12"/>
      <c r="B194" s="12"/>
      <c r="C194" s="28"/>
    </row>
    <row r="195" spans="1:3">
      <c r="A195" s="12"/>
      <c r="B195" s="12"/>
      <c r="C195" s="28"/>
    </row>
    <row r="196" spans="1:3">
      <c r="A196" s="12"/>
      <c r="B196" s="12"/>
      <c r="C196" s="28"/>
    </row>
    <row r="197" spans="1:3">
      <c r="A197" s="12"/>
      <c r="B197" s="12"/>
      <c r="C197" s="28"/>
    </row>
    <row r="198" spans="1:3">
      <c r="A198" s="12"/>
      <c r="B198" s="12"/>
      <c r="C198" s="28"/>
    </row>
    <row r="199" spans="1:3">
      <c r="A199" s="12"/>
      <c r="B199" s="12"/>
      <c r="C199" s="28"/>
    </row>
    <row r="200" spans="1:3">
      <c r="A200" s="12"/>
      <c r="B200" s="12"/>
      <c r="C200" s="28"/>
    </row>
    <row r="201" spans="1:3">
      <c r="A201" s="12"/>
      <c r="B201" s="12"/>
      <c r="C201" s="28"/>
    </row>
    <row r="202" spans="1:3">
      <c r="A202" s="12"/>
      <c r="B202" s="12"/>
      <c r="C202" s="28"/>
    </row>
    <row r="203" spans="1:3">
      <c r="A203" s="12"/>
      <c r="B203" s="12"/>
      <c r="C203" s="28"/>
    </row>
    <row r="204" spans="1:3">
      <c r="A204" s="12"/>
      <c r="B204" s="12"/>
      <c r="C204" s="28"/>
    </row>
    <row r="205" spans="1:3">
      <c r="A205" s="12"/>
      <c r="B205" s="12"/>
      <c r="C205" s="28"/>
    </row>
    <row r="206" spans="1:3">
      <c r="A206" s="12"/>
      <c r="B206" s="12"/>
      <c r="C206" s="28"/>
    </row>
    <row r="207" spans="1:3">
      <c r="A207" s="12"/>
      <c r="B207" s="12"/>
      <c r="C207" s="28"/>
    </row>
    <row r="208" spans="1:3">
      <c r="A208" s="12"/>
      <c r="B208" s="12"/>
      <c r="C208" s="28"/>
    </row>
    <row r="209" spans="1:3">
      <c r="A209" s="12"/>
      <c r="B209" s="12"/>
      <c r="C209" s="28"/>
    </row>
    <row r="210" spans="1:3">
      <c r="A210" s="12"/>
      <c r="B210" s="12"/>
      <c r="C210" s="28"/>
    </row>
    <row r="211" spans="1:3">
      <c r="A211" s="12"/>
      <c r="B211" s="12"/>
      <c r="C211" s="28"/>
    </row>
    <row r="212" spans="1:3">
      <c r="A212" s="12"/>
      <c r="B212" s="12"/>
      <c r="C212" s="28"/>
    </row>
    <row r="213" spans="1:3">
      <c r="A213" s="12"/>
      <c r="B213" s="12"/>
      <c r="C213" s="28"/>
    </row>
    <row r="214" spans="1:3">
      <c r="A214" s="12"/>
      <c r="B214" s="12"/>
      <c r="C214" s="28"/>
    </row>
    <row r="215" spans="1:3">
      <c r="A215" s="12"/>
      <c r="B215" s="12"/>
      <c r="C215" s="28"/>
    </row>
    <row r="216" spans="1:3">
      <c r="A216" s="12"/>
      <c r="B216" s="12"/>
      <c r="C216" s="28"/>
    </row>
    <row r="217" spans="1:3">
      <c r="A217" s="12"/>
      <c r="B217" s="12"/>
      <c r="C217" s="28"/>
    </row>
    <row r="218" spans="1:3">
      <c r="A218" s="12"/>
      <c r="B218" s="12"/>
      <c r="C218" s="28"/>
    </row>
    <row r="219" spans="1:3">
      <c r="A219" s="12"/>
      <c r="B219" s="12"/>
      <c r="C219" s="28"/>
    </row>
    <row r="220" spans="1:3">
      <c r="A220" s="12"/>
      <c r="B220" s="12"/>
      <c r="C220" s="28"/>
    </row>
    <row r="221" spans="1:3">
      <c r="A221" s="12"/>
      <c r="B221" s="12"/>
      <c r="C221" s="28"/>
    </row>
    <row r="222" spans="1:3">
      <c r="A222" s="12"/>
      <c r="B222" s="12"/>
      <c r="C222" s="28"/>
    </row>
    <row r="223" spans="1:3">
      <c r="A223" s="12"/>
      <c r="B223" s="12"/>
      <c r="C223" s="28"/>
    </row>
    <row r="224" spans="1:3">
      <c r="A224" s="12"/>
      <c r="B224" s="12"/>
      <c r="C224" s="28"/>
    </row>
    <row r="225" spans="1:3">
      <c r="A225" s="12"/>
      <c r="B225" s="12"/>
      <c r="C225" s="28"/>
    </row>
    <row r="226" spans="1:3">
      <c r="A226" s="12"/>
      <c r="B226" s="12"/>
      <c r="C226" s="28"/>
    </row>
    <row r="227" spans="1:3">
      <c r="A227" s="12"/>
      <c r="B227" s="12"/>
      <c r="C227" s="28"/>
    </row>
    <row r="228" spans="1:3">
      <c r="A228" s="12"/>
      <c r="B228" s="12"/>
      <c r="C228" s="28"/>
    </row>
    <row r="229" spans="1:3">
      <c r="A229" s="12"/>
      <c r="B229" s="12"/>
      <c r="C229" s="28"/>
    </row>
    <row r="230" spans="1:3">
      <c r="A230" s="12"/>
      <c r="B230" s="12"/>
      <c r="C230" s="28"/>
    </row>
    <row r="231" spans="1:3">
      <c r="A231" s="12"/>
      <c r="B231" s="12"/>
      <c r="C231" s="28"/>
    </row>
    <row r="232" spans="1:3">
      <c r="A232" s="12"/>
      <c r="B232" s="12"/>
      <c r="C232" s="28"/>
    </row>
    <row r="233" spans="1:3">
      <c r="A233" s="12"/>
      <c r="B233" s="12"/>
      <c r="C233" s="28"/>
    </row>
    <row r="234" spans="1:3">
      <c r="A234" s="12"/>
      <c r="B234" s="12"/>
      <c r="C234" s="28"/>
    </row>
    <row r="235" spans="1:3">
      <c r="A235" s="12"/>
      <c r="B235" s="12"/>
      <c r="C235" s="28"/>
    </row>
    <row r="236" spans="1:3">
      <c r="A236" s="12"/>
      <c r="B236" s="12"/>
      <c r="C236" s="28"/>
    </row>
    <row r="237" spans="1:3">
      <c r="A237" s="12"/>
      <c r="B237" s="12"/>
      <c r="C237" s="28"/>
    </row>
    <row r="238" spans="1:3">
      <c r="A238" s="12"/>
      <c r="B238" s="12"/>
      <c r="C238" s="28"/>
    </row>
    <row r="239" spans="1:3">
      <c r="A239" s="12"/>
      <c r="B239" s="12"/>
      <c r="C239" s="28"/>
    </row>
    <row r="240" spans="1:3">
      <c r="A240" s="12"/>
      <c r="B240" s="12"/>
      <c r="C240" s="28"/>
    </row>
    <row r="241" spans="1:3">
      <c r="A241" s="12"/>
      <c r="B241" s="12"/>
      <c r="C241" s="28"/>
    </row>
    <row r="242" spans="1:3">
      <c r="A242" s="12"/>
      <c r="B242" s="12"/>
      <c r="C242" s="28"/>
    </row>
    <row r="243" spans="1:3">
      <c r="A243" s="12"/>
      <c r="B243" s="12"/>
      <c r="C243" s="28"/>
    </row>
    <row r="244" spans="1:3">
      <c r="A244" s="12"/>
      <c r="B244" s="12"/>
      <c r="C244" s="28"/>
    </row>
    <row r="245" spans="1:3">
      <c r="A245" s="12"/>
      <c r="B245" s="12"/>
      <c r="C245" s="28"/>
    </row>
    <row r="246" spans="1:3">
      <c r="A246" s="12"/>
      <c r="B246" s="12"/>
      <c r="C246" s="28"/>
    </row>
    <row r="247" spans="1:3">
      <c r="A247" s="12"/>
      <c r="B247" s="12"/>
      <c r="C247" s="28"/>
    </row>
    <row r="248" spans="1:3">
      <c r="A248" s="12"/>
      <c r="B248" s="12"/>
      <c r="C248" s="28"/>
    </row>
    <row r="249" spans="1:3">
      <c r="A249" s="12"/>
      <c r="B249" s="12"/>
      <c r="C249" s="28"/>
    </row>
    <row r="250" spans="1:3">
      <c r="A250" s="12"/>
      <c r="B250" s="12"/>
      <c r="C250" s="28"/>
    </row>
    <row r="251" spans="1:3">
      <c r="A251" s="12"/>
      <c r="B251" s="12"/>
      <c r="C251" s="28"/>
    </row>
    <row r="252" spans="1:3">
      <c r="A252" s="12"/>
      <c r="B252" s="12"/>
      <c r="C252" s="28"/>
    </row>
    <row r="253" spans="1:3">
      <c r="A253" s="12"/>
      <c r="B253" s="12"/>
      <c r="C253" s="28"/>
    </row>
    <row r="254" spans="1:3">
      <c r="A254" s="12"/>
      <c r="B254" s="12"/>
      <c r="C254" s="28"/>
    </row>
    <row r="255" spans="1:3">
      <c r="A255" s="12"/>
      <c r="B255" s="12"/>
      <c r="C255" s="28"/>
    </row>
    <row r="256" spans="1:3">
      <c r="A256" s="12"/>
      <c r="B256" s="12"/>
      <c r="C256" s="28"/>
    </row>
    <row r="257" spans="1:3">
      <c r="A257" s="12"/>
      <c r="B257" s="12"/>
      <c r="C257" s="28"/>
    </row>
    <row r="258" spans="1:3">
      <c r="A258" s="12"/>
      <c r="B258" s="12"/>
      <c r="C258" s="28"/>
    </row>
    <row r="259" spans="1:3">
      <c r="A259" s="12"/>
      <c r="B259" s="12"/>
      <c r="C259" s="28"/>
    </row>
    <row r="260" spans="1:3">
      <c r="A260" s="12"/>
      <c r="B260" s="12"/>
      <c r="C260" s="28"/>
    </row>
    <row r="261" spans="1:3">
      <c r="A261" s="12"/>
      <c r="B261" s="12"/>
      <c r="C261" s="28"/>
    </row>
    <row r="262" spans="1:3">
      <c r="A262" s="12"/>
      <c r="B262" s="12"/>
      <c r="C262" s="28"/>
    </row>
    <row r="263" spans="1:3">
      <c r="A263" s="12"/>
      <c r="B263" s="12"/>
      <c r="C263" s="28"/>
    </row>
    <row r="264" spans="1:3">
      <c r="A264" s="12"/>
      <c r="B264" s="12"/>
      <c r="C264" s="28"/>
    </row>
    <row r="265" spans="1:3">
      <c r="A265" s="12"/>
      <c r="B265" s="12"/>
      <c r="C265" s="28"/>
    </row>
    <row r="266" spans="1:3">
      <c r="A266" s="12"/>
      <c r="B266" s="12"/>
      <c r="C266" s="28"/>
    </row>
    <row r="267" spans="1:3">
      <c r="A267" s="12"/>
      <c r="B267" s="12"/>
      <c r="C267" s="28"/>
    </row>
    <row r="268" spans="1:3">
      <c r="A268" s="12"/>
      <c r="B268" s="12"/>
      <c r="C268" s="28"/>
    </row>
    <row r="269" spans="1:3">
      <c r="A269" s="12"/>
      <c r="B269" s="12"/>
      <c r="C269" s="28"/>
    </row>
    <row r="270" spans="1:3">
      <c r="A270" s="12"/>
      <c r="B270" s="12"/>
      <c r="C270" s="28"/>
    </row>
    <row r="271" spans="1:3">
      <c r="A271" s="12"/>
      <c r="B271" s="12"/>
      <c r="C271" s="28"/>
    </row>
    <row r="272" spans="1:3">
      <c r="A272" s="12"/>
      <c r="B272" s="12"/>
      <c r="C272" s="28"/>
    </row>
    <row r="273" spans="1:3">
      <c r="A273" s="12"/>
      <c r="B273" s="12"/>
      <c r="C273" s="28"/>
    </row>
    <row r="274" spans="1:3">
      <c r="A274" s="12"/>
      <c r="B274" s="12"/>
      <c r="C274" s="28"/>
    </row>
    <row r="275" spans="1:3">
      <c r="A275" s="12"/>
      <c r="B275" s="12"/>
      <c r="C275" s="28"/>
    </row>
    <row r="276" spans="1:3">
      <c r="A276" s="12"/>
      <c r="B276" s="12"/>
      <c r="C276" s="28"/>
    </row>
    <row r="277" spans="1:3">
      <c r="A277" s="12"/>
      <c r="B277" s="12"/>
      <c r="C277" s="28"/>
    </row>
    <row r="278" spans="1:3">
      <c r="A278" s="12"/>
      <c r="B278" s="12"/>
      <c r="C278" s="28"/>
    </row>
    <row r="279" spans="1:3">
      <c r="A279" s="12"/>
      <c r="B279" s="12"/>
      <c r="C279" s="28"/>
    </row>
    <row r="280" spans="1:3">
      <c r="A280" s="12"/>
      <c r="B280" s="12"/>
      <c r="C280" s="28"/>
    </row>
    <row r="281" spans="1:3">
      <c r="A281" s="12"/>
      <c r="B281" s="12"/>
      <c r="C281" s="28"/>
    </row>
    <row r="282" spans="1:3">
      <c r="A282" s="12"/>
      <c r="B282" s="12"/>
      <c r="C282" s="28"/>
    </row>
    <row r="283" spans="1:3">
      <c r="A283" s="12"/>
      <c r="B283" s="12"/>
      <c r="C283" s="28"/>
    </row>
    <row r="284" spans="1:3">
      <c r="A284" s="12"/>
      <c r="B284" s="12"/>
      <c r="C284" s="28"/>
    </row>
    <row r="285" spans="1:3">
      <c r="A285" s="12"/>
      <c r="B285" s="12"/>
      <c r="C285" s="28"/>
    </row>
    <row r="286" spans="1:3">
      <c r="A286" s="12"/>
      <c r="B286" s="12"/>
      <c r="C286" s="28"/>
    </row>
    <row r="287" spans="1:3">
      <c r="A287" s="12"/>
      <c r="B287" s="12"/>
      <c r="C287" s="28"/>
    </row>
    <row r="288" spans="1:3">
      <c r="A288" s="12"/>
      <c r="B288" s="12"/>
      <c r="C288" s="28"/>
    </row>
    <row r="289" spans="1:3">
      <c r="A289" s="12"/>
      <c r="B289" s="12"/>
      <c r="C289" s="28"/>
    </row>
    <row r="290" spans="1:3">
      <c r="A290" s="12"/>
      <c r="B290" s="12"/>
      <c r="C290" s="28"/>
    </row>
    <row r="291" spans="1:3">
      <c r="A291" s="12"/>
      <c r="B291" s="12"/>
      <c r="C291" s="28"/>
    </row>
    <row r="292" spans="1:3">
      <c r="A292" s="12"/>
      <c r="B292" s="12"/>
      <c r="C292" s="28"/>
    </row>
    <row r="293" spans="1:3">
      <c r="A293" s="12"/>
      <c r="B293" s="12"/>
      <c r="C293" s="28"/>
    </row>
    <row r="294" spans="1:3">
      <c r="A294" s="12"/>
      <c r="B294" s="12"/>
      <c r="C294" s="28"/>
    </row>
    <row r="295" spans="1:3">
      <c r="A295" s="12"/>
      <c r="B295" s="12"/>
      <c r="C295" s="28"/>
    </row>
    <row r="296" spans="1:3">
      <c r="A296" s="12"/>
      <c r="B296" s="12"/>
      <c r="C296" s="28"/>
    </row>
    <row r="297" spans="1:3">
      <c r="A297" s="12"/>
      <c r="B297" s="12"/>
      <c r="C297" s="28"/>
    </row>
    <row r="298" spans="1:3">
      <c r="A298" s="12"/>
      <c r="B298" s="12"/>
      <c r="C298" s="28"/>
    </row>
    <row r="299" spans="1:3">
      <c r="A299" s="12"/>
      <c r="B299" s="12"/>
      <c r="C299" s="28"/>
    </row>
    <row r="300" spans="1:3">
      <c r="A300" s="12"/>
      <c r="B300" s="12"/>
      <c r="C300" s="28"/>
    </row>
    <row r="301" spans="1:3">
      <c r="A301" s="12"/>
      <c r="B301" s="12"/>
      <c r="C301" s="28"/>
    </row>
    <row r="302" spans="1:3">
      <c r="A302" s="12"/>
      <c r="B302" s="12"/>
      <c r="C302" s="28"/>
    </row>
    <row r="303" spans="1:3">
      <c r="A303" s="12"/>
      <c r="B303" s="12"/>
      <c r="C303" s="28"/>
    </row>
    <row r="304" spans="1:3">
      <c r="A304" s="12"/>
      <c r="B304" s="12"/>
      <c r="C304" s="28"/>
    </row>
    <row r="305" spans="1:3">
      <c r="A305" s="12"/>
      <c r="B305" s="12"/>
      <c r="C305" s="28"/>
    </row>
    <row r="306" spans="1:3">
      <c r="A306" s="12"/>
      <c r="B306" s="12"/>
      <c r="C306" s="28"/>
    </row>
    <row r="307" spans="1:3">
      <c r="A307" s="12"/>
      <c r="B307" s="12"/>
      <c r="C307" s="28"/>
    </row>
    <row r="308" spans="1:3">
      <c r="A308" s="12"/>
      <c r="B308" s="12"/>
      <c r="C308" s="28"/>
    </row>
    <row r="309" spans="1:3">
      <c r="A309" s="12"/>
      <c r="B309" s="12"/>
      <c r="C309" s="28"/>
    </row>
    <row r="310" spans="1:3">
      <c r="A310" s="12"/>
      <c r="B310" s="12"/>
      <c r="C310" s="28"/>
    </row>
    <row r="311" spans="1:3">
      <c r="A311" s="12"/>
      <c r="B311" s="12"/>
      <c r="C311" s="28"/>
    </row>
    <row r="312" spans="1:3">
      <c r="A312" s="12"/>
      <c r="B312" s="12"/>
      <c r="C312" s="28"/>
    </row>
    <row r="313" spans="1:3">
      <c r="A313" s="12"/>
      <c r="B313" s="12"/>
      <c r="C313" s="28"/>
    </row>
    <row r="314" spans="1:3">
      <c r="A314" s="12"/>
      <c r="B314" s="12"/>
      <c r="C314" s="28"/>
    </row>
    <row r="315" spans="1:3">
      <c r="A315" s="12"/>
      <c r="B315" s="12"/>
      <c r="C315" s="28"/>
    </row>
    <row r="316" spans="1:3">
      <c r="A316" s="12"/>
      <c r="B316" s="12"/>
      <c r="C316" s="28"/>
    </row>
    <row r="317" spans="1:3">
      <c r="A317" s="12"/>
      <c r="B317" s="12"/>
      <c r="C317" s="28"/>
    </row>
    <row r="318" spans="1:3">
      <c r="A318" s="12"/>
      <c r="B318" s="12"/>
      <c r="C318" s="28"/>
    </row>
    <row r="319" spans="1:3">
      <c r="A319" s="12"/>
      <c r="B319" s="12"/>
      <c r="C319" s="28"/>
    </row>
    <row r="320" spans="1:3">
      <c r="A320" s="12"/>
      <c r="B320" s="12"/>
      <c r="C320" s="28"/>
    </row>
    <row r="321" spans="1:3">
      <c r="A321" s="12"/>
      <c r="B321" s="12"/>
      <c r="C321" s="28"/>
    </row>
    <row r="322" spans="1:3">
      <c r="A322" s="12"/>
      <c r="B322" s="12"/>
      <c r="C322" s="28"/>
    </row>
    <row r="323" spans="1:3">
      <c r="A323" s="12"/>
      <c r="B323" s="12"/>
      <c r="C323" s="28"/>
    </row>
    <row r="324" spans="1:3">
      <c r="A324" s="12"/>
      <c r="B324" s="12"/>
      <c r="C324" s="28"/>
    </row>
    <row r="325" spans="1:3">
      <c r="A325" s="12"/>
      <c r="B325" s="12"/>
      <c r="C325" s="28"/>
    </row>
    <row r="326" spans="1:3">
      <c r="A326" s="12"/>
      <c r="B326" s="12"/>
      <c r="C326" s="28"/>
    </row>
    <row r="327" spans="1:3">
      <c r="A327" s="12"/>
      <c r="B327" s="12"/>
      <c r="C327" s="28"/>
    </row>
    <row r="328" spans="1:3">
      <c r="A328" s="12"/>
      <c r="B328" s="12"/>
      <c r="C328" s="28"/>
    </row>
    <row r="329" spans="1:3">
      <c r="A329" s="12"/>
      <c r="B329" s="12"/>
      <c r="C329" s="28"/>
    </row>
    <row r="330" spans="1:3">
      <c r="A330" s="12"/>
      <c r="B330" s="12"/>
      <c r="C330" s="28"/>
    </row>
    <row r="331" spans="1:3">
      <c r="A331" s="12"/>
      <c r="B331" s="12"/>
      <c r="C331" s="28"/>
    </row>
    <row r="332" spans="1:3">
      <c r="A332" s="12"/>
      <c r="B332" s="12"/>
      <c r="C332" s="28"/>
    </row>
    <row r="333" spans="1:3">
      <c r="A333" s="12"/>
      <c r="B333" s="12"/>
      <c r="C333" s="28"/>
    </row>
    <row r="334" spans="1:3">
      <c r="A334" s="12"/>
      <c r="B334" s="12"/>
      <c r="C334" s="28"/>
    </row>
    <row r="335" spans="1:3">
      <c r="A335" s="12"/>
      <c r="B335" s="12"/>
      <c r="C335" s="28"/>
    </row>
    <row r="336" spans="1:3">
      <c r="A336" s="12"/>
      <c r="B336" s="12"/>
      <c r="C336" s="28"/>
    </row>
    <row r="337" spans="1:3">
      <c r="A337" s="12"/>
      <c r="B337" s="12"/>
      <c r="C337" s="28"/>
    </row>
    <row r="338" spans="1:3">
      <c r="A338" s="12"/>
      <c r="B338" s="12"/>
      <c r="C338" s="28"/>
    </row>
    <row r="339" spans="1:3">
      <c r="A339" s="12"/>
      <c r="B339" s="12"/>
      <c r="C339" s="28"/>
    </row>
    <row r="340" spans="1:3">
      <c r="A340" s="12"/>
      <c r="B340" s="12"/>
      <c r="C340" s="28"/>
    </row>
    <row r="341" spans="1:3">
      <c r="A341" s="12"/>
      <c r="B341" s="12"/>
      <c r="C341" s="28"/>
    </row>
    <row r="342" spans="1:3">
      <c r="A342" s="12"/>
      <c r="B342" s="12"/>
      <c r="C342" s="28"/>
    </row>
    <row r="343" spans="1:3">
      <c r="A343" s="12"/>
      <c r="B343" s="12"/>
      <c r="C343" s="28"/>
    </row>
    <row r="344" spans="1:3">
      <c r="A344" s="12"/>
      <c r="B344" s="12"/>
      <c r="C344" s="28"/>
    </row>
    <row r="345" spans="1:3">
      <c r="A345" s="12"/>
      <c r="B345" s="12"/>
      <c r="C345" s="28"/>
    </row>
    <row r="346" spans="1:3">
      <c r="A346" s="12"/>
      <c r="B346" s="12"/>
      <c r="C346" s="28"/>
    </row>
    <row r="347" spans="1:3">
      <c r="A347" s="12"/>
      <c r="B347" s="12"/>
      <c r="C347" s="28"/>
    </row>
    <row r="348" spans="1:3">
      <c r="A348" s="12"/>
      <c r="B348" s="12"/>
      <c r="C348" s="28"/>
    </row>
    <row r="349" spans="1:3">
      <c r="A349" s="12"/>
      <c r="B349" s="12"/>
      <c r="C349" s="28"/>
    </row>
    <row r="350" spans="1:3">
      <c r="A350" s="12"/>
      <c r="B350" s="12"/>
      <c r="C350" s="28"/>
    </row>
    <row r="351" spans="1:3">
      <c r="A351" s="12"/>
      <c r="B351" s="12"/>
      <c r="C351" s="28"/>
    </row>
    <row r="352" spans="1:3">
      <c r="A352" s="12"/>
      <c r="B352" s="12"/>
      <c r="C352" s="28"/>
    </row>
    <row r="353" spans="1:3">
      <c r="A353" s="12"/>
      <c r="B353" s="12"/>
      <c r="C353" s="28"/>
    </row>
    <row r="354" spans="1:3">
      <c r="A354" s="12"/>
      <c r="B354" s="12"/>
      <c r="C354" s="28"/>
    </row>
    <row r="355" spans="1:3">
      <c r="A355" s="12"/>
      <c r="B355" s="12"/>
      <c r="C355" s="28"/>
    </row>
    <row r="356" spans="1:3">
      <c r="A356" s="12"/>
      <c r="B356" s="12"/>
      <c r="C356" s="28"/>
    </row>
    <row r="357" spans="1:3">
      <c r="A357" s="12"/>
      <c r="B357" s="12"/>
      <c r="C357" s="28"/>
    </row>
    <row r="358" spans="1:3">
      <c r="A358" s="12"/>
      <c r="B358" s="12"/>
      <c r="C358" s="28"/>
    </row>
    <row r="359" spans="1:3">
      <c r="A359" s="12"/>
      <c r="B359" s="12"/>
      <c r="C359" s="28"/>
    </row>
    <row r="360" spans="1:3">
      <c r="A360" s="12"/>
      <c r="B360" s="12"/>
      <c r="C360" s="28"/>
    </row>
    <row r="361" spans="1:3">
      <c r="A361" s="12"/>
      <c r="B361" s="12"/>
      <c r="C361" s="28"/>
    </row>
    <row r="362" spans="1:3">
      <c r="A362" s="12"/>
      <c r="B362" s="12"/>
      <c r="C362" s="28"/>
    </row>
    <row r="363" spans="1:3">
      <c r="A363" s="12"/>
      <c r="B363" s="12"/>
      <c r="C363" s="28"/>
    </row>
    <row r="364" spans="1:3">
      <c r="A364" s="12"/>
      <c r="B364" s="12"/>
      <c r="C364" s="28"/>
    </row>
    <row r="365" spans="1:3">
      <c r="A365" s="12"/>
      <c r="B365" s="12"/>
      <c r="C365" s="28"/>
    </row>
    <row r="366" spans="1:3">
      <c r="A366" s="12"/>
      <c r="B366" s="12"/>
      <c r="C366" s="28"/>
    </row>
    <row r="367" spans="1:3">
      <c r="A367" s="12"/>
      <c r="B367" s="12"/>
      <c r="C367" s="28"/>
    </row>
    <row r="368" spans="1:3">
      <c r="A368" s="12"/>
      <c r="B368" s="12"/>
      <c r="C368" s="28"/>
    </row>
    <row r="369" spans="1:3">
      <c r="A369" s="12"/>
      <c r="B369" s="12"/>
      <c r="C369" s="28"/>
    </row>
    <row r="370" spans="1:3">
      <c r="A370" s="12"/>
      <c r="B370" s="12"/>
      <c r="C370" s="28"/>
    </row>
    <row r="371" spans="1:3">
      <c r="A371" s="12"/>
      <c r="B371" s="12"/>
      <c r="C371" s="28"/>
    </row>
    <row r="372" spans="1:3">
      <c r="A372" s="12"/>
      <c r="B372" s="12"/>
      <c r="C372" s="28"/>
    </row>
    <row r="373" spans="1:3">
      <c r="A373" s="12"/>
      <c r="B373" s="12"/>
      <c r="C373" s="28"/>
    </row>
    <row r="374" spans="1:3">
      <c r="A374" s="12"/>
      <c r="B374" s="12"/>
      <c r="C374" s="28"/>
    </row>
    <row r="375" spans="1:3">
      <c r="A375" s="12"/>
      <c r="B375" s="12"/>
      <c r="C375" s="28"/>
    </row>
    <row r="376" spans="1:3">
      <c r="A376" s="12"/>
      <c r="B376" s="12"/>
      <c r="C376" s="28"/>
    </row>
    <row r="377" spans="1:3">
      <c r="A377" s="12"/>
      <c r="B377" s="12"/>
      <c r="C377" s="28"/>
    </row>
    <row r="378" spans="1:3">
      <c r="A378" s="12"/>
      <c r="B378" s="12"/>
      <c r="C378" s="28"/>
    </row>
    <row r="379" spans="1:3">
      <c r="A379" s="12"/>
      <c r="B379" s="12"/>
      <c r="C379" s="28"/>
    </row>
    <row r="380" spans="1:3">
      <c r="A380" s="12"/>
      <c r="B380" s="12"/>
      <c r="C380" s="28"/>
    </row>
    <row r="381" spans="1:3">
      <c r="A381" s="12"/>
      <c r="B381" s="12"/>
      <c r="C381" s="28"/>
    </row>
    <row r="382" spans="1:3">
      <c r="A382" s="12"/>
      <c r="B382" s="12"/>
      <c r="C382" s="28"/>
    </row>
    <row r="383" spans="1:3">
      <c r="A383" s="12"/>
      <c r="B383" s="12"/>
      <c r="C383" s="28"/>
    </row>
    <row r="384" spans="1:3">
      <c r="A384" s="12"/>
      <c r="B384" s="12"/>
      <c r="C384" s="28"/>
    </row>
    <row r="385" spans="1:3">
      <c r="A385" s="12"/>
      <c r="B385" s="12"/>
      <c r="C385" s="28"/>
    </row>
    <row r="386" spans="1:3">
      <c r="A386" s="12"/>
      <c r="B386" s="12"/>
      <c r="C386" s="28"/>
    </row>
    <row r="387" spans="1:3">
      <c r="A387" s="12"/>
      <c r="B387" s="12"/>
      <c r="C387" s="28"/>
    </row>
    <row r="388" spans="1:3">
      <c r="A388" s="12"/>
      <c r="B388" s="12"/>
      <c r="C388" s="28"/>
    </row>
    <row r="389" spans="1:3">
      <c r="A389" s="12"/>
      <c r="B389" s="12"/>
      <c r="C389" s="28"/>
    </row>
    <row r="390" spans="1:3">
      <c r="A390" s="12"/>
      <c r="B390" s="12"/>
      <c r="C390" s="28"/>
    </row>
    <row r="391" spans="1:3">
      <c r="A391" s="12"/>
      <c r="B391" s="12"/>
      <c r="C391" s="28"/>
    </row>
    <row r="392" spans="1:3">
      <c r="A392" s="12"/>
      <c r="B392" s="12"/>
      <c r="C392" s="28"/>
    </row>
    <row r="393" spans="1:3">
      <c r="A393" s="12"/>
      <c r="B393" s="12"/>
      <c r="C393" s="28"/>
    </row>
    <row r="394" spans="1:3">
      <c r="A394" s="12"/>
      <c r="B394" s="12"/>
      <c r="C394" s="28"/>
    </row>
    <row r="395" spans="1:3">
      <c r="A395" s="12"/>
      <c r="B395" s="12"/>
      <c r="C395" s="28"/>
    </row>
    <row r="396" spans="1:3">
      <c r="A396" s="12"/>
      <c r="B396" s="12"/>
      <c r="C396" s="28"/>
    </row>
    <row r="397" spans="1:3">
      <c r="A397" s="12"/>
      <c r="B397" s="12"/>
      <c r="C397" s="28"/>
    </row>
    <row r="398" spans="1:3">
      <c r="A398" s="12"/>
      <c r="B398" s="12"/>
      <c r="C398" s="28"/>
    </row>
    <row r="399" spans="1:3">
      <c r="A399" s="12"/>
      <c r="B399" s="12"/>
      <c r="C399" s="28"/>
    </row>
    <row r="400" spans="1:3">
      <c r="A400" s="12"/>
      <c r="B400" s="12"/>
      <c r="C400" s="28"/>
    </row>
    <row r="401" spans="1:3">
      <c r="A401" s="12"/>
      <c r="B401" s="12"/>
      <c r="C401" s="28"/>
    </row>
    <row r="402" spans="1:3">
      <c r="A402" s="12"/>
      <c r="B402" s="12"/>
      <c r="C402" s="28"/>
    </row>
    <row r="403" spans="1:3">
      <c r="A403" s="12"/>
      <c r="B403" s="12"/>
      <c r="C403" s="28"/>
    </row>
    <row r="404" spans="1:3">
      <c r="A404" s="12"/>
      <c r="B404" s="12"/>
      <c r="C404" s="28"/>
    </row>
    <row r="405" spans="1:3">
      <c r="A405" s="12"/>
      <c r="B405" s="12"/>
      <c r="C405" s="28"/>
    </row>
    <row r="406" spans="1:3">
      <c r="A406" s="12"/>
      <c r="B406" s="12"/>
      <c r="C406" s="28"/>
    </row>
    <row r="407" spans="1:3">
      <c r="A407" s="12"/>
      <c r="B407" s="12"/>
      <c r="C407" s="28"/>
    </row>
    <row r="408" spans="1:3">
      <c r="A408" s="12"/>
      <c r="B408" s="12"/>
      <c r="C408" s="28"/>
    </row>
    <row r="409" spans="1:3">
      <c r="A409" s="12"/>
      <c r="B409" s="12"/>
      <c r="C409" s="28"/>
    </row>
    <row r="410" spans="1:3">
      <c r="A410" s="12"/>
      <c r="B410" s="12"/>
      <c r="C410" s="28"/>
    </row>
    <row r="411" spans="1:3">
      <c r="A411" s="12"/>
      <c r="B411" s="12"/>
      <c r="C411" s="28"/>
    </row>
    <row r="412" spans="1:3">
      <c r="A412" s="12"/>
      <c r="B412" s="12"/>
      <c r="C412" s="28"/>
    </row>
    <row r="413" spans="1:3">
      <c r="A413" s="12"/>
      <c r="B413" s="12"/>
      <c r="C413" s="28"/>
    </row>
    <row r="414" spans="1:3">
      <c r="A414" s="12"/>
      <c r="B414" s="12"/>
      <c r="C414" s="28"/>
    </row>
    <row r="415" spans="1:3">
      <c r="A415" s="12"/>
      <c r="B415" s="12"/>
      <c r="C415" s="28"/>
    </row>
    <row r="416" spans="1:3">
      <c r="A416" s="12"/>
      <c r="B416" s="12"/>
      <c r="C416" s="28"/>
    </row>
    <row r="417" spans="1:3">
      <c r="A417" s="12"/>
      <c r="B417" s="12"/>
      <c r="C417" s="28"/>
    </row>
    <row r="418" spans="1:3">
      <c r="A418" s="12"/>
      <c r="B418" s="12"/>
      <c r="C418" s="28"/>
    </row>
    <row r="419" spans="1:3">
      <c r="A419" s="12"/>
      <c r="B419" s="12"/>
      <c r="C419" s="28"/>
    </row>
    <row r="420" spans="1:3">
      <c r="A420" s="12"/>
      <c r="B420" s="12"/>
      <c r="C420" s="28"/>
    </row>
    <row r="421" spans="1:3">
      <c r="A421" s="12"/>
      <c r="B421" s="12"/>
      <c r="C421" s="28"/>
    </row>
    <row r="422" spans="1:3">
      <c r="A422" s="12"/>
      <c r="B422" s="12"/>
      <c r="C422" s="28"/>
    </row>
    <row r="423" spans="1:3">
      <c r="A423" s="12"/>
      <c r="B423" s="12"/>
      <c r="C423" s="28"/>
    </row>
    <row r="424" spans="1:3">
      <c r="A424" s="12"/>
      <c r="B424" s="12"/>
      <c r="C424" s="28"/>
    </row>
    <row r="425" spans="1:3">
      <c r="A425" s="12"/>
      <c r="B425" s="12"/>
      <c r="C425" s="28"/>
    </row>
    <row r="426" spans="1:3">
      <c r="A426" s="12"/>
      <c r="B426" s="12"/>
      <c r="C426" s="28"/>
    </row>
    <row r="427" spans="1:3">
      <c r="A427" s="12"/>
      <c r="B427" s="12"/>
      <c r="C427" s="28"/>
    </row>
    <row r="428" spans="1:3">
      <c r="A428" s="12"/>
      <c r="B428" s="12"/>
      <c r="C428" s="28"/>
    </row>
    <row r="429" spans="1:3">
      <c r="A429" s="12"/>
      <c r="B429" s="12"/>
      <c r="C429" s="28"/>
    </row>
    <row r="430" spans="1:3">
      <c r="A430" s="12"/>
      <c r="B430" s="12"/>
      <c r="C430" s="28"/>
    </row>
    <row r="431" spans="1:3">
      <c r="A431" s="12"/>
      <c r="B431" s="12"/>
      <c r="C431" s="28"/>
    </row>
    <row r="432" spans="1:3">
      <c r="A432" s="12"/>
      <c r="B432" s="12"/>
      <c r="C432" s="28"/>
    </row>
    <row r="433" spans="1:3">
      <c r="A433" s="12"/>
      <c r="B433" s="12"/>
      <c r="C433" s="28"/>
    </row>
    <row r="434" spans="1:3">
      <c r="A434" s="12"/>
      <c r="B434" s="12"/>
      <c r="C434" s="28"/>
    </row>
    <row r="435" spans="1:3">
      <c r="A435" s="12"/>
      <c r="B435" s="12"/>
      <c r="C435" s="28"/>
    </row>
    <row r="436" spans="1:3">
      <c r="A436" s="12"/>
      <c r="B436" s="12"/>
      <c r="C436" s="28"/>
    </row>
    <row r="437" spans="1:3">
      <c r="A437" s="12"/>
      <c r="B437" s="12"/>
      <c r="C437" s="28"/>
    </row>
    <row r="438" spans="1:3">
      <c r="A438" s="12"/>
      <c r="B438" s="12"/>
      <c r="C438" s="28"/>
    </row>
    <row r="439" spans="1:3">
      <c r="A439" s="12"/>
      <c r="B439" s="12"/>
      <c r="C439" s="28"/>
    </row>
    <row r="440" spans="1:3">
      <c r="A440" s="12"/>
      <c r="B440" s="12"/>
      <c r="C440" s="28"/>
    </row>
    <row r="441" spans="1:3">
      <c r="A441" s="12"/>
      <c r="B441" s="12"/>
      <c r="C441" s="28"/>
    </row>
    <row r="442" spans="1:3">
      <c r="A442" s="12"/>
      <c r="B442" s="12"/>
      <c r="C442" s="28"/>
    </row>
    <row r="443" spans="1:3">
      <c r="A443" s="12"/>
      <c r="B443" s="12"/>
      <c r="C443" s="28"/>
    </row>
    <row r="444" spans="1:3">
      <c r="A444" s="12"/>
      <c r="B444" s="12"/>
      <c r="C444" s="28"/>
    </row>
    <row r="445" spans="1:3">
      <c r="A445" s="12"/>
      <c r="B445" s="12"/>
      <c r="C445" s="28"/>
    </row>
    <row r="446" spans="1:3">
      <c r="A446" s="12"/>
      <c r="B446" s="12"/>
      <c r="C446" s="28"/>
    </row>
    <row r="447" spans="1:3">
      <c r="A447" s="12"/>
      <c r="B447" s="12"/>
      <c r="C447" s="28"/>
    </row>
    <row r="448" spans="1:3">
      <c r="A448" s="12"/>
      <c r="B448" s="12"/>
      <c r="C448" s="28"/>
    </row>
    <row r="449" spans="1:3">
      <c r="A449" s="12"/>
      <c r="B449" s="12"/>
      <c r="C449" s="28"/>
    </row>
    <row r="450" spans="1:3">
      <c r="A450" s="12"/>
      <c r="B450" s="12"/>
      <c r="C450" s="28"/>
    </row>
    <row r="451" spans="1:3">
      <c r="A451" s="12"/>
      <c r="B451" s="12"/>
      <c r="C451" s="28"/>
    </row>
    <row r="452" spans="1:3">
      <c r="A452" s="12"/>
      <c r="B452" s="12"/>
      <c r="C452" s="28"/>
    </row>
    <row r="453" spans="1:3">
      <c r="A453" s="12"/>
      <c r="B453" s="12"/>
      <c r="C453" s="28"/>
    </row>
    <row r="454" spans="1:3">
      <c r="A454" s="12"/>
      <c r="B454" s="12"/>
      <c r="C454" s="28"/>
    </row>
    <row r="455" spans="1:3">
      <c r="A455" s="12"/>
      <c r="B455" s="12"/>
      <c r="C455" s="28"/>
    </row>
    <row r="456" spans="1:3">
      <c r="A456" s="12"/>
      <c r="B456" s="12"/>
      <c r="C456" s="28"/>
    </row>
    <row r="457" spans="1:3">
      <c r="A457" s="12"/>
      <c r="B457" s="12"/>
      <c r="C457" s="28"/>
    </row>
    <row r="458" spans="1:3">
      <c r="A458" s="12"/>
      <c r="B458" s="12"/>
      <c r="C458" s="28"/>
    </row>
    <row r="459" spans="1:3">
      <c r="A459" s="12"/>
      <c r="B459" s="12"/>
      <c r="C459" s="28"/>
    </row>
    <row r="460" spans="1:3">
      <c r="A460" s="12"/>
      <c r="B460" s="12"/>
      <c r="C460" s="28"/>
    </row>
    <row r="461" spans="1:3">
      <c r="A461" s="12"/>
      <c r="B461" s="12"/>
      <c r="C461" s="28"/>
    </row>
    <row r="462" spans="1:3">
      <c r="A462" s="12"/>
      <c r="B462" s="12"/>
      <c r="C462" s="28"/>
    </row>
    <row r="463" spans="1:3">
      <c r="A463" s="12"/>
      <c r="B463" s="12"/>
      <c r="C463" s="28"/>
    </row>
    <row r="464" spans="1:3">
      <c r="A464" s="12"/>
      <c r="B464" s="12"/>
      <c r="C464" s="28"/>
    </row>
    <row r="465" spans="1:3">
      <c r="A465" s="12"/>
      <c r="B465" s="12"/>
      <c r="C465" s="28"/>
    </row>
    <row r="466" spans="1:3">
      <c r="A466" s="12"/>
      <c r="B466" s="12"/>
      <c r="C466" s="28"/>
    </row>
    <row r="467" spans="1:3">
      <c r="A467" s="12"/>
      <c r="B467" s="12"/>
      <c r="C467" s="28"/>
    </row>
    <row r="468" spans="1:3">
      <c r="A468" s="12"/>
      <c r="B468" s="12"/>
      <c r="C468" s="28"/>
    </row>
    <row r="469" spans="1:3">
      <c r="A469" s="12"/>
      <c r="B469" s="12"/>
      <c r="C469" s="28"/>
    </row>
    <row r="470" spans="1:3">
      <c r="A470" s="12"/>
      <c r="B470" s="12"/>
      <c r="C470" s="28"/>
    </row>
    <row r="471" spans="1:3">
      <c r="A471" s="12"/>
      <c r="B471" s="12"/>
      <c r="C471" s="28"/>
    </row>
    <row r="472" spans="1:3">
      <c r="A472" s="12"/>
      <c r="B472" s="12"/>
      <c r="C472" s="28"/>
    </row>
    <row r="473" spans="1:3">
      <c r="A473" s="12"/>
      <c r="B473" s="12"/>
      <c r="C473" s="28"/>
    </row>
    <row r="474" spans="1:3">
      <c r="A474" s="12"/>
      <c r="B474" s="12"/>
      <c r="C474" s="28"/>
    </row>
    <row r="475" spans="1:3">
      <c r="A475" s="12"/>
      <c r="B475" s="12"/>
      <c r="C475" s="28"/>
    </row>
    <row r="476" spans="1:3">
      <c r="A476" s="12"/>
      <c r="B476" s="12"/>
      <c r="C476" s="28"/>
    </row>
    <row r="477" spans="1:3">
      <c r="A477" s="12"/>
      <c r="B477" s="12"/>
      <c r="C477" s="28"/>
    </row>
    <row r="478" spans="1:3">
      <c r="A478" s="12"/>
      <c r="B478" s="12"/>
      <c r="C478" s="28"/>
    </row>
    <row r="479" spans="1:3">
      <c r="A479" s="12"/>
      <c r="B479" s="12"/>
      <c r="C479" s="28"/>
    </row>
    <row r="480" spans="1:3">
      <c r="A480" s="12"/>
      <c r="B480" s="12"/>
      <c r="C480" s="28"/>
    </row>
    <row r="481" spans="1:3">
      <c r="A481" s="12"/>
      <c r="B481" s="12"/>
      <c r="C481" s="28"/>
    </row>
    <row r="482" spans="1:3">
      <c r="A482" s="12"/>
      <c r="B482" s="12"/>
      <c r="C482" s="28"/>
    </row>
    <row r="483" spans="1:3">
      <c r="A483" s="12"/>
      <c r="B483" s="12"/>
      <c r="C483" s="28"/>
    </row>
    <row r="484" spans="1:3">
      <c r="A484" s="12"/>
      <c r="B484" s="12"/>
      <c r="C484" s="28"/>
    </row>
    <row r="485" spans="1:3">
      <c r="A485" s="12"/>
      <c r="B485" s="12"/>
      <c r="C485" s="28"/>
    </row>
    <row r="486" spans="1:3">
      <c r="A486" s="12"/>
      <c r="B486" s="12"/>
      <c r="C486" s="28"/>
    </row>
    <row r="487" spans="1:3">
      <c r="A487" s="12"/>
      <c r="B487" s="12"/>
      <c r="C487" s="28"/>
    </row>
    <row r="488" spans="1:3">
      <c r="A488" s="12"/>
      <c r="B488" s="12"/>
      <c r="C488" s="28"/>
    </row>
    <row r="489" spans="1:3">
      <c r="A489" s="12"/>
      <c r="B489" s="12"/>
      <c r="C489" s="28"/>
    </row>
    <row r="490" spans="1:3">
      <c r="A490" s="12"/>
      <c r="B490" s="12"/>
      <c r="C490" s="28"/>
    </row>
    <row r="491" spans="1:3">
      <c r="A491" s="12"/>
      <c r="B491" s="12"/>
      <c r="C491" s="28"/>
    </row>
    <row r="492" spans="1:3">
      <c r="A492" s="12"/>
      <c r="B492" s="12"/>
      <c r="C492" s="28"/>
    </row>
    <row r="493" spans="1:3">
      <c r="A493" s="12"/>
      <c r="B493" s="12"/>
      <c r="C493" s="28"/>
    </row>
    <row r="494" spans="1:3">
      <c r="A494" s="12"/>
      <c r="B494" s="12"/>
      <c r="C494" s="28"/>
    </row>
    <row r="495" spans="1:3">
      <c r="A495" s="12"/>
      <c r="B495" s="12"/>
      <c r="C495" s="28"/>
    </row>
    <row r="496" spans="1:3">
      <c r="A496" s="12"/>
      <c r="B496" s="12"/>
      <c r="C496" s="28"/>
    </row>
    <row r="497" spans="1:3">
      <c r="A497" s="12"/>
      <c r="B497" s="12"/>
      <c r="C497" s="28"/>
    </row>
    <row r="498" spans="1:3">
      <c r="A498" s="12"/>
      <c r="B498" s="12"/>
      <c r="C498" s="28"/>
    </row>
    <row r="499" spans="1:3">
      <c r="A499" s="12"/>
      <c r="B499" s="12"/>
      <c r="C499" s="28"/>
    </row>
    <row r="500" spans="1:3">
      <c r="A500" s="12"/>
      <c r="B500" s="12"/>
      <c r="C500" s="28"/>
    </row>
    <row r="501" spans="1:3">
      <c r="A501" s="12"/>
      <c r="B501" s="12"/>
      <c r="C501" s="28"/>
    </row>
    <row r="502" spans="1:3">
      <c r="A502" s="12"/>
      <c r="B502" s="12"/>
      <c r="C502" s="28"/>
    </row>
    <row r="503" spans="1:3">
      <c r="A503" s="12"/>
      <c r="B503" s="12"/>
      <c r="C503" s="28"/>
    </row>
    <row r="504" spans="1:3">
      <c r="A504" s="12"/>
      <c r="B504" s="12"/>
      <c r="C504" s="28"/>
    </row>
    <row r="505" spans="1:3">
      <c r="A505" s="12"/>
      <c r="B505" s="12"/>
      <c r="C505" s="28"/>
    </row>
    <row r="506" spans="1:3">
      <c r="A506" s="12"/>
      <c r="B506" s="12"/>
      <c r="C506" s="28"/>
    </row>
    <row r="507" spans="1:3">
      <c r="A507" s="12"/>
      <c r="B507" s="12"/>
      <c r="C507" s="28"/>
    </row>
  </sheetData>
  <mergeCells count="1">
    <mergeCell ref="A4:B4"/>
  </mergeCell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6"/>
  <sheetViews>
    <sheetView showGridLines="0" workbookViewId="0">
      <pane ySplit="9" topLeftCell="A10" activePane="bottomLeft" state="frozen"/>
      <selection pane="bottomLeft"/>
    </sheetView>
  </sheetViews>
  <sheetFormatPr defaultColWidth="9.140625" defaultRowHeight="14.25"/>
  <cols>
    <col min="1" max="1" width="25.7109375" style="12" customWidth="1"/>
    <col min="2" max="2" width="25.7109375" style="28" customWidth="1"/>
    <col min="3" max="3" width="25.7109375" style="12" customWidth="1"/>
    <col min="4" max="4" width="12.85546875" style="12" bestFit="1" customWidth="1"/>
    <col min="5" max="5" width="12.5703125" style="12" bestFit="1" customWidth="1"/>
    <col min="6" max="6" width="52.85546875" style="12" bestFit="1" customWidth="1"/>
    <col min="7" max="7" width="96.42578125" style="12" customWidth="1"/>
    <col min="8" max="16384" width="9.140625" style="12"/>
  </cols>
  <sheetData>
    <row r="1" spans="1:7" s="22" customFormat="1" ht="25.5" customHeight="1">
      <c r="A1" s="20" t="s">
        <v>236</v>
      </c>
      <c r="B1" s="21"/>
      <c r="C1" s="32">
        <f>Data!B2</f>
        <v>42391.652507222199</v>
      </c>
    </row>
    <row r="2" spans="1:7" ht="25.5" customHeight="1">
      <c r="A2" s="31" t="str">
        <f>Data!B1</f>
        <v>Fleet Name</v>
      </c>
    </row>
    <row r="3" spans="1:7" s="13" customFormat="1" ht="16.5">
      <c r="B3" s="35"/>
    </row>
    <row r="4" spans="1:7" s="13" customFormat="1" ht="16.5">
      <c r="A4" s="39" t="s">
        <v>63</v>
      </c>
      <c r="B4" s="39"/>
    </row>
    <row r="5" spans="1:7" s="13" customFormat="1" ht="16.5">
      <c r="A5" s="19" t="s">
        <v>128</v>
      </c>
      <c r="B5" s="10">
        <f>Data!B3</f>
        <v>42391</v>
      </c>
      <c r="E5" s="15"/>
      <c r="F5" s="15"/>
    </row>
    <row r="6" spans="1:7" s="13" customFormat="1" ht="16.5">
      <c r="A6" s="19" t="s">
        <v>129</v>
      </c>
      <c r="B6" s="10">
        <f>Data!B4</f>
        <v>42391.999988425901</v>
      </c>
      <c r="E6" s="15"/>
      <c r="F6" s="15"/>
    </row>
    <row r="7" spans="1:7" s="13" customFormat="1" ht="16.5">
      <c r="A7" s="19" t="s">
        <v>234</v>
      </c>
      <c r="B7" s="11">
        <f>B6-B5</f>
        <v>0.99998842590139247</v>
      </c>
      <c r="E7" s="15"/>
      <c r="F7" s="15"/>
    </row>
    <row r="8" spans="1:7" s="13" customFormat="1" ht="17.25">
      <c r="A8" s="14"/>
      <c r="B8" s="36"/>
      <c r="C8" s="14"/>
      <c r="D8" s="15"/>
      <c r="E8" s="15"/>
      <c r="F8" s="15"/>
    </row>
    <row r="9" spans="1:7" s="25" customFormat="1" ht="17.25">
      <c r="A9" s="24" t="s">
        <v>130</v>
      </c>
      <c r="B9" s="37" t="s">
        <v>213</v>
      </c>
      <c r="C9" s="24" t="s">
        <v>212</v>
      </c>
      <c r="D9" s="24" t="s">
        <v>63</v>
      </c>
      <c r="E9" s="24" t="s">
        <v>132</v>
      </c>
      <c r="F9" s="24" t="s">
        <v>161</v>
      </c>
      <c r="G9" s="24" t="s">
        <v>0</v>
      </c>
    </row>
    <row r="10" spans="1:7" ht="16.5">
      <c r="A10" s="16" t="str">
        <f>Data!A8</f>
        <v>Vehicle 1</v>
      </c>
      <c r="B10" s="38">
        <f t="shared" ref="B10:B46" ca="1" si="0">IF((MATCH(F10,OFFSET(INDIRECT("F"&amp;MATCH(A10,A:A,0)),0,0,COUNTIF(A:A,A10),1),0)+MATCH(A10,A:A,0)-1)=ROW(F10),1,0)</f>
        <v>1</v>
      </c>
      <c r="C10" s="16" t="str">
        <f>Data!D8</f>
        <v>Group A</v>
      </c>
      <c r="D10" s="17">
        <f>INT(Data!E8)</f>
        <v>42391</v>
      </c>
      <c r="E10" s="18">
        <f>MOD(Data!E8,1)</f>
        <v>0.24339953700109618</v>
      </c>
      <c r="F10" s="33" t="str">
        <f>TRIM(IF(ISERROR(FIND("(",G10)),G10,LEFT(G10,FIND("(",G10)-1)))</f>
        <v>Gps Quality Poor</v>
      </c>
      <c r="G10" s="16" t="str">
        <f>PROPER(SUBSTITUTE(SUBSTITUTE(SUBSTITUTE(SUBSTITUTE(Data!F8,"Telematics device fault: ",""),"report to reseller - ",""),"ALERT: ",""),"Warning: ",""))</f>
        <v>Gps Quality Poor (Bad Device Install Or Vehicle Undercover)</v>
      </c>
    </row>
    <row r="11" spans="1:7" ht="16.5">
      <c r="A11" s="16" t="str">
        <f>Data!A9</f>
        <v>Vehicle 1</v>
      </c>
      <c r="B11" s="38">
        <f t="shared" ca="1" si="0"/>
        <v>1</v>
      </c>
      <c r="C11" s="16" t="str">
        <f>Data!D9</f>
        <v>Group A</v>
      </c>
      <c r="D11" s="17">
        <f>INT(Data!E9)</f>
        <v>42391</v>
      </c>
      <c r="E11" s="18">
        <f>MOD(Data!E9,1)</f>
        <v>0.43044093750359025</v>
      </c>
      <c r="F11" s="33" t="str">
        <f t="shared" ref="F11:F46" si="1">TRIM(IF(ISERROR(FIND("(",G11)),G11,LEFT(G11,FIND("(",G11)-1)))</f>
        <v>Accelerometer Disabled Due To Excessive Data</v>
      </c>
      <c r="G11" s="16" t="str">
        <f>PROPER(SUBSTITUTE(SUBSTITUTE(SUBSTITUTE(SUBSTITUTE(Data!F9,"Telematics device fault: ",""),"report to reseller - ",""),"ALERT: ",""),"Warning: ",""))</f>
        <v>Accelerometer Disabled Due To Excessive Data (Device Needs Re-Installation)</v>
      </c>
    </row>
    <row r="12" spans="1:7" ht="16.5">
      <c r="A12" s="16" t="str">
        <f>Data!A10</f>
        <v>Vehicle 1</v>
      </c>
      <c r="B12" s="38">
        <f t="shared" ca="1" si="0"/>
        <v>1</v>
      </c>
      <c r="C12" s="16" t="str">
        <f>Data!D10</f>
        <v>Group A</v>
      </c>
      <c r="D12" s="17">
        <f>INT(Data!E10)</f>
        <v>42391</v>
      </c>
      <c r="E12" s="18">
        <f>MOD(Data!E10,1)</f>
        <v>0.44121203700342448</v>
      </c>
      <c r="F12" s="33" t="str">
        <f t="shared" si="1"/>
        <v>Accident Limit For Acceleration Exceeded</v>
      </c>
      <c r="G12" s="16" t="str">
        <f>PROPER(SUBSTITUTE(SUBSTITUTE(SUBSTITUTE(SUBSTITUTE(Data!F10,"Telematics device fault: ",""),"report to reseller - ",""),"ALERT: ",""),"Warning: ",""))</f>
        <v>Accident Limit For Acceleration Exceeded</v>
      </c>
    </row>
    <row r="13" spans="1:7" ht="16.5">
      <c r="A13" s="16" t="str">
        <f>Data!A11</f>
        <v>Vehicle 1</v>
      </c>
      <c r="B13" s="38">
        <f t="shared" ca="1" si="0"/>
        <v>1</v>
      </c>
      <c r="C13" s="16" t="str">
        <f>Data!D11</f>
        <v>Group A</v>
      </c>
      <c r="D13" s="17">
        <f>INT(Data!E11)</f>
        <v>42391</v>
      </c>
      <c r="E13" s="18">
        <f>MOD(Data!E11,1)</f>
        <v>0.21997445599845378</v>
      </c>
      <c r="F13" s="33" t="str">
        <f t="shared" si="1"/>
        <v>Can Bus Disabled Due To Excessive Errors Detected</v>
      </c>
      <c r="G13" s="16" t="str">
        <f>PROPER(SUBSTITUTE(SUBSTITUTE(SUBSTITUTE(SUBSTITUTE(Data!F11,"Telematics device fault: ",""),"report to reseller - ",""),"ALERT: ",""),"Warning: ",""))</f>
        <v>Can Bus Disabled Due To Excessive Errors Detected (Device Install Needs Validation)</v>
      </c>
    </row>
    <row r="14" spans="1:7" ht="16.5">
      <c r="A14" s="16" t="str">
        <f>Data!A12</f>
        <v>Vehicle 1</v>
      </c>
      <c r="B14" s="38">
        <f t="shared" ca="1" si="0"/>
        <v>1</v>
      </c>
      <c r="C14" s="16" t="str">
        <f>Data!D12</f>
        <v>Group A</v>
      </c>
      <c r="D14" s="17">
        <f>INT(Data!E12)</f>
        <v>42391</v>
      </c>
      <c r="E14" s="18">
        <f>MOD(Data!E12,1)</f>
        <v>0.31761261569772614</v>
      </c>
      <c r="F14" s="33" t="str">
        <f t="shared" si="1"/>
        <v>Can Transmit Error Count Exceeded</v>
      </c>
      <c r="G14" s="16" t="str">
        <f>PROPER(SUBSTITUTE(SUBSTITUTE(SUBSTITUTE(SUBSTITUTE(Data!F12,"Telematics device fault: ",""),"report to reseller - ",""),"ALERT: ",""),"Warning: ",""))</f>
        <v>Can Transmit Error Count Exceeded</v>
      </c>
    </row>
    <row r="15" spans="1:7" ht="16.5">
      <c r="A15" s="16" t="str">
        <f>Data!A13</f>
        <v>Vehicle 1</v>
      </c>
      <c r="B15" s="38">
        <f t="shared" ca="1" si="0"/>
        <v>1</v>
      </c>
      <c r="C15" s="16" t="str">
        <f>Data!D13</f>
        <v>Group A</v>
      </c>
      <c r="D15" s="17">
        <f>INT(Data!E13)</f>
        <v>42391</v>
      </c>
      <c r="E15" s="18">
        <f>MOD(Data!E13,1)</f>
        <v>0.33251971060235519</v>
      </c>
      <c r="F15" s="33" t="str">
        <f t="shared" si="1"/>
        <v>Device Is Disabled In Myadmin</v>
      </c>
      <c r="G15" s="16" t="str">
        <f>PROPER(SUBSTITUTE(SUBSTITUTE(SUBSTITUTE(SUBSTITUTE(Data!F13,"Telematics device fault: ",""),"report to reseller - ",""),"ALERT: ",""),"Warning: ",""))</f>
        <v>Device Is Disabled In Myadmin (Contact Reseller)</v>
      </c>
    </row>
    <row r="16" spans="1:7" ht="16.5">
      <c r="A16" s="16" t="str">
        <f>Data!A14</f>
        <v>Vehicle 2</v>
      </c>
      <c r="B16" s="38">
        <f t="shared" ca="1" si="0"/>
        <v>1</v>
      </c>
      <c r="C16" s="16" t="str">
        <f>Data!D14</f>
        <v>Group B</v>
      </c>
      <c r="D16" s="17">
        <f>INT(Data!E14)</f>
        <v>42391</v>
      </c>
      <c r="E16" s="18">
        <f>MOD(Data!E14,1)</f>
        <v>0.3268832176036085</v>
      </c>
      <c r="F16" s="33" t="str">
        <f t="shared" si="1"/>
        <v>Device Logging Disabled</v>
      </c>
      <c r="G16" s="16" t="str">
        <f>PROPER(SUBSTITUTE(SUBSTITUTE(SUBSTITUTE(SUBSTITUTE(Data!F14,"Telematics device fault: ",""),"report to reseller - ",""),"ALERT: ",""),"Warning: ",""))</f>
        <v>Device Logging Disabled</v>
      </c>
    </row>
    <row r="17" spans="1:7" ht="16.5">
      <c r="A17" s="16" t="str">
        <f>Data!A15</f>
        <v>Vehicle 2</v>
      </c>
      <c r="B17" s="38">
        <f t="shared" ca="1" si="0"/>
        <v>1</v>
      </c>
      <c r="C17" s="16" t="str">
        <f>Data!D15</f>
        <v>Group B</v>
      </c>
      <c r="D17" s="17">
        <f>INT(Data!E15)</f>
        <v>42391</v>
      </c>
      <c r="E17" s="18">
        <f>MOD(Data!E15,1)</f>
        <v>0.52734633100044448</v>
      </c>
      <c r="F17" s="33" t="str">
        <f t="shared" si="1"/>
        <v>Excessive Accelerometer Events</v>
      </c>
      <c r="G17" s="16" t="str">
        <f>PROPER(SUBSTITUTE(SUBSTITUTE(SUBSTITUTE(SUBSTITUTE(Data!F15,"Telematics device fault: ",""),"report to reseller - ",""),"ALERT: ",""),"Warning: ",""))</f>
        <v>Excessive Accelerometer Events</v>
      </c>
    </row>
    <row r="18" spans="1:7" ht="16.5">
      <c r="A18" s="16" t="str">
        <f>Data!A16</f>
        <v>Vehicle 2</v>
      </c>
      <c r="B18" s="38">
        <f t="shared" ca="1" si="0"/>
        <v>1</v>
      </c>
      <c r="C18" s="16" t="str">
        <f>Data!D16</f>
        <v>Group B</v>
      </c>
      <c r="D18" s="17">
        <f>INT(Data!E16)</f>
        <v>42391</v>
      </c>
      <c r="E18" s="18">
        <f>MOD(Data!E16,1)</f>
        <v>0.57701299770269543</v>
      </c>
      <c r="F18" s="33" t="str">
        <f t="shared" si="1"/>
        <v>Excessive Accelerometer Events Over Accident Threshold</v>
      </c>
      <c r="G18" s="16" t="str">
        <f>PROPER(SUBSTITUTE(SUBSTITUTE(SUBSTITUTE(SUBSTITUTE(Data!F16,"Telematics device fault: ",""),"report to reseller - ",""),"ALERT: ",""),"Warning: ",""))</f>
        <v>Excessive Accelerometer Events Over Accident Threshold</v>
      </c>
    </row>
    <row r="19" spans="1:7" ht="16.5">
      <c r="A19" s="16" t="str">
        <f>Data!A17</f>
        <v>Vehicle 3</v>
      </c>
      <c r="B19" s="38">
        <f t="shared" ca="1" si="0"/>
        <v>1</v>
      </c>
      <c r="C19" s="16" t="str">
        <f>Data!D17</f>
        <v>Group B</v>
      </c>
      <c r="D19" s="17">
        <f>INT(Data!E17)</f>
        <v>42391</v>
      </c>
      <c r="E19" s="18">
        <f>MOD(Data!E17,1)</f>
        <v>0.33352746529999422</v>
      </c>
      <c r="F19" s="33" t="str">
        <f t="shared" si="1"/>
        <v>Excessive Accelerometer Logs In A Single Event</v>
      </c>
      <c r="G19" s="16" t="str">
        <f>PROPER(SUBSTITUTE(SUBSTITUTE(SUBSTITUTE(SUBSTITUTE(Data!F17,"Telematics device fault: ",""),"report to reseller - ",""),"ALERT: ",""),"Warning: ",""))</f>
        <v>Excessive Accelerometer Logs In A Single Event</v>
      </c>
    </row>
    <row r="20" spans="1:7" ht="16.5">
      <c r="A20" s="16" t="str">
        <f>Data!A18</f>
        <v>Vehicle 4</v>
      </c>
      <c r="B20" s="38">
        <f t="shared" ca="1" si="0"/>
        <v>1</v>
      </c>
      <c r="C20" s="16" t="str">
        <f>Data!D18</f>
        <v>Group A</v>
      </c>
      <c r="D20" s="17">
        <f>INT(Data!E18)</f>
        <v>42391</v>
      </c>
      <c r="E20" s="18">
        <f>MOD(Data!E18,1)</f>
        <v>1.7056794000382069E-2</v>
      </c>
      <c r="F20" s="33" t="str">
        <f t="shared" si="1"/>
        <v>Excessive Engine Records Are Being Created</v>
      </c>
      <c r="G20" s="16" t="str">
        <f>PROPER(SUBSTITUTE(SUBSTITUTE(SUBSTITUTE(SUBSTITUTE(Data!F18,"Telematics device fault: ",""),"report to reseller - ",""),"ALERT: ",""),"Warning: ",""))</f>
        <v>Excessive Engine Records Are Being Created</v>
      </c>
    </row>
    <row r="21" spans="1:7" ht="16.5">
      <c r="A21" s="16" t="str">
        <f>Data!A19</f>
        <v>Vehicle 4</v>
      </c>
      <c r="B21" s="38">
        <f t="shared" ca="1" si="0"/>
        <v>1</v>
      </c>
      <c r="C21" s="16" t="str">
        <f>Data!D19</f>
        <v>Group A</v>
      </c>
      <c r="D21" s="17">
        <f>INT(Data!E19)</f>
        <v>42392</v>
      </c>
      <c r="E21" s="18">
        <f>MOD(Data!E19,1)</f>
        <v>1.7056770833733026E-2</v>
      </c>
      <c r="F21" s="33" t="str">
        <f t="shared" si="1"/>
        <v>Excessive Errors Detected On Legacy Communication Bus</v>
      </c>
      <c r="G21" s="16" t="str">
        <f>PROPER(SUBSTITUTE(SUBSTITUTE(SUBSTITUTE(SUBSTITUTE(Data!F19,"Telematics device fault: ",""),"report to reseller - ",""),"ALERT: ",""),"Warning: ",""))</f>
        <v>Excessive Errors Detected On Legacy Communication Bus</v>
      </c>
    </row>
    <row r="22" spans="1:7" ht="16.5">
      <c r="A22" s="16" t="str">
        <f>Data!A20</f>
        <v>Vehicle 4</v>
      </c>
      <c r="B22" s="38">
        <f t="shared" ca="1" si="0"/>
        <v>1</v>
      </c>
      <c r="C22" s="16" t="str">
        <f>Data!D20</f>
        <v>Group A</v>
      </c>
      <c r="D22" s="17">
        <f>INT(Data!E20)</f>
        <v>42391</v>
      </c>
      <c r="E22" s="18">
        <f>MOD(Data!E20,1)</f>
        <v>0.33892094909970183</v>
      </c>
      <c r="F22" s="33" t="str">
        <f t="shared" si="1"/>
        <v>Excessive Logging Detected</v>
      </c>
      <c r="G22" s="16" t="str">
        <f>PROPER(SUBSTITUTE(SUBSTITUTE(SUBSTITUTE(SUBSTITUTE(Data!F20,"Telematics device fault: ",""),"report to reseller - ",""),"ALERT: ",""),"Warning: ",""))</f>
        <v>Excessive Logging Detected</v>
      </c>
    </row>
    <row r="23" spans="1:7" ht="16.5">
      <c r="A23" s="16" t="str">
        <f>Data!A21</f>
        <v>Vehicle 5</v>
      </c>
      <c r="B23" s="38">
        <f t="shared" ca="1" si="0"/>
        <v>1</v>
      </c>
      <c r="C23" s="16" t="str">
        <f>Data!D21</f>
        <v>Group B</v>
      </c>
      <c r="D23" s="17">
        <f>INT(Data!E21)</f>
        <v>42391</v>
      </c>
      <c r="E23" s="18">
        <f>MOD(Data!E21,1)</f>
        <v>0.33364302080008201</v>
      </c>
      <c r="F23" s="33" t="str">
        <f t="shared" si="1"/>
        <v>All Power Removed - Device Restarted</v>
      </c>
      <c r="G23" s="16" t="str">
        <f>PROPER(SUBSTITUTE(SUBSTITUTE(SUBSTITUTE(SUBSTITUTE(Data!F21,"Telematics device fault: ",""),"report to reseller - ",""),"ALERT: ",""),"Warning: ",""))</f>
        <v>All Power Removed - Device Restarted</v>
      </c>
    </row>
    <row r="24" spans="1:7" ht="16.5">
      <c r="A24" s="16" t="str">
        <f>Data!A22</f>
        <v>Vehicle 6</v>
      </c>
      <c r="B24" s="38">
        <f t="shared" ca="1" si="0"/>
        <v>1</v>
      </c>
      <c r="C24" s="16" t="str">
        <f>Data!D22</f>
        <v>Group B</v>
      </c>
      <c r="D24" s="17">
        <f>INT(Data!E22)</f>
        <v>42391</v>
      </c>
      <c r="E24" s="18">
        <f>MOD(Data!E22,1)</f>
        <v>0.46195439810253447</v>
      </c>
      <c r="F24" s="33" t="str">
        <f t="shared" si="1"/>
        <v>Can Bus Was Not Initialized</v>
      </c>
      <c r="G24" s="16" t="str">
        <f>PROPER(SUBSTITUTE(SUBSTITUTE(SUBSTITUTE(SUBSTITUTE(Data!F22,"Telematics device fault: ",""),"report to reseller - ",""),"ALERT: ",""),"Warning: ",""))</f>
        <v>Can Bus Was Not Initialized</v>
      </c>
    </row>
    <row r="25" spans="1:7" ht="16.5">
      <c r="A25" s="16" t="str">
        <f>Data!A23</f>
        <v>Vehicle 7</v>
      </c>
      <c r="B25" s="38">
        <f t="shared" ca="1" si="0"/>
        <v>1</v>
      </c>
      <c r="C25" s="16" t="str">
        <f>Data!D23</f>
        <v>Group B</v>
      </c>
      <c r="D25" s="17">
        <f>INT(Data!E23)</f>
        <v>42391</v>
      </c>
      <c r="E25" s="18">
        <f>MOD(Data!E23,1)</f>
        <v>0.3314203355985228</v>
      </c>
      <c r="F25" s="33" t="str">
        <f t="shared" si="1"/>
        <v>Can Mode Failed During Initialization</v>
      </c>
      <c r="G25" s="16" t="str">
        <f>PROPER(SUBSTITUTE(SUBSTITUTE(SUBSTITUTE(SUBSTITUTE(Data!F23,"Telematics device fault: ",""),"report to reseller - ",""),"ALERT: ",""),"Warning: ",""))</f>
        <v>Can Mode Failed During Initialization</v>
      </c>
    </row>
    <row r="26" spans="1:7" ht="16.5">
      <c r="A26" s="16" t="str">
        <f>Data!A24</f>
        <v>Vehicle 8</v>
      </c>
      <c r="B26" s="38">
        <f t="shared" ca="1" si="0"/>
        <v>1</v>
      </c>
      <c r="C26" s="16" t="str">
        <f>Data!D24</f>
        <v>Group B</v>
      </c>
      <c r="D26" s="17">
        <f>INT(Data!E24)</f>
        <v>42391</v>
      </c>
      <c r="E26" s="18">
        <f>MOD(Data!E24,1)</f>
        <v>0.43001863430254161</v>
      </c>
      <c r="F26" s="33" t="str">
        <f t="shared" si="1"/>
        <v>Gps Antenna Short-Circuited</v>
      </c>
      <c r="G26" s="16" t="str">
        <f>PROPER(SUBSTITUTE(SUBSTITUTE(SUBSTITUTE(SUBSTITUTE(Data!F24,"Telematics device fault: ",""),"report to reseller - ",""),"ALERT: ",""),"Warning: ",""))</f>
        <v>Gps Antenna Short-Circuited</v>
      </c>
    </row>
    <row r="27" spans="1:7" ht="16.5">
      <c r="A27" s="16" t="str">
        <f>Data!A25</f>
        <v>Vehicle 9</v>
      </c>
      <c r="B27" s="38">
        <f t="shared" ca="1" si="0"/>
        <v>1</v>
      </c>
      <c r="C27" s="16" t="str">
        <f>Data!D25</f>
        <v>Group B</v>
      </c>
      <c r="D27" s="17">
        <f>INT(Data!E25)</f>
        <v>42391</v>
      </c>
      <c r="E27" s="18">
        <f>MOD(Data!E25,1)</f>
        <v>0.43542751159839099</v>
      </c>
      <c r="F27" s="33" t="str">
        <f t="shared" si="1"/>
        <v>Gps Antenna Unplugged</v>
      </c>
      <c r="G27" s="16" t="str">
        <f>PROPER(SUBSTITUTE(SUBSTITUTE(SUBSTITUTE(SUBSTITUTE(Data!F25,"Telematics device fault: ",""),"report to reseller - ",""),"ALERT: ",""),"Warning: ",""))</f>
        <v>Gps Antenna Unplugged</v>
      </c>
    </row>
    <row r="28" spans="1:7" ht="16.5">
      <c r="A28" s="16" t="str">
        <f>Data!A26</f>
        <v>Vehicle 10</v>
      </c>
      <c r="B28" s="38">
        <f t="shared" ca="1" si="0"/>
        <v>1</v>
      </c>
      <c r="C28" s="16" t="str">
        <f>Data!D26</f>
        <v>Group B</v>
      </c>
      <c r="D28" s="17">
        <f>INT(Data!E26)</f>
        <v>42391</v>
      </c>
      <c r="E28" s="18">
        <f>MOD(Data!E26,1)</f>
        <v>0.33517037040292053</v>
      </c>
      <c r="F28" s="33" t="str">
        <f t="shared" si="1"/>
        <v>Gps Quality Poor</v>
      </c>
      <c r="G28" s="16" t="str">
        <f>PROPER(SUBSTITUTE(SUBSTITUTE(SUBSTITUTE(SUBSTITUTE(Data!F26,"Telematics device fault: ",""),"report to reseller - ",""),"ALERT: ",""),"Warning: ",""))</f>
        <v>Gps Quality Poor (Bad Device Install Or Vehicle Undercover)</v>
      </c>
    </row>
    <row r="29" spans="1:7" ht="16.5">
      <c r="A29" s="16" t="str">
        <f>Data!A27</f>
        <v>Vehicle 11</v>
      </c>
      <c r="B29" s="38">
        <f t="shared" ca="1" si="0"/>
        <v>1</v>
      </c>
      <c r="C29" s="16" t="str">
        <f>Data!D27</f>
        <v>Group B</v>
      </c>
      <c r="D29" s="17">
        <f>INT(Data!E27)</f>
        <v>42392</v>
      </c>
      <c r="E29" s="18">
        <f>MOD(Data!E27,1)</f>
        <v>0.3351703703738167</v>
      </c>
      <c r="F29" s="33" t="str">
        <f t="shared" si="1"/>
        <v>Low Voltage In Power Supply</v>
      </c>
      <c r="G29" s="16" t="str">
        <f>PROPER(SUBSTITUTE(SUBSTITUTE(SUBSTITUTE(SUBSTITUTE(Data!F27,"Telematics device fault: ",""),"report to reseller - ",""),"ALERT: ",""),"Warning: ",""))</f>
        <v>Low Voltage In Power Supply (Bad Battery Or Reinstall Required) - Device Restarted</v>
      </c>
    </row>
    <row r="30" spans="1:7" ht="16.5">
      <c r="A30" s="16" t="str">
        <f>Data!A28</f>
        <v>Vehicle 12</v>
      </c>
      <c r="B30" s="38">
        <f t="shared" ca="1" si="0"/>
        <v>1</v>
      </c>
      <c r="C30" s="16" t="str">
        <f>Data!D28</f>
        <v>Group B</v>
      </c>
      <c r="D30" s="17">
        <f>INT(Data!E28)</f>
        <v>42393</v>
      </c>
      <c r="E30" s="18">
        <f>MOD(Data!E28,1)</f>
        <v>0.3351703703738167</v>
      </c>
      <c r="F30" s="33" t="str">
        <f t="shared" si="1"/>
        <v>Aux Module Failure</v>
      </c>
      <c r="G30" s="16" t="str">
        <f>PROPER(SUBSTITUTE(SUBSTITUTE(SUBSTITUTE(SUBSTITUTE(Data!F28,"Telematics device fault: ",""),"report to reseller - ",""),"ALERT: ",""),"Warning: ",""))</f>
        <v>Aux Module Failure</v>
      </c>
    </row>
    <row r="31" spans="1:7" ht="16.5">
      <c r="A31" s="16" t="str">
        <f>Data!A29</f>
        <v>Vehicle 13</v>
      </c>
      <c r="B31" s="38">
        <f t="shared" ca="1" si="0"/>
        <v>1</v>
      </c>
      <c r="C31" s="16" t="str">
        <f>Data!D29</f>
        <v>Group B</v>
      </c>
      <c r="D31" s="17">
        <f>INT(Data!E29)</f>
        <v>42394</v>
      </c>
      <c r="E31" s="18">
        <f>MOD(Data!E29,1)</f>
        <v>0.3351703703738167</v>
      </c>
      <c r="F31" s="33" t="str">
        <f t="shared" si="1"/>
        <v>Bootloader Update Has Failed</v>
      </c>
      <c r="G31" s="16" t="str">
        <f>PROPER(SUBSTITUTE(SUBSTITUTE(SUBSTITUTE(SUBSTITUTE(Data!F29,"Telematics device fault: ",""),"report to reseller - ",""),"ALERT: ",""),"Warning: ",""))</f>
        <v>Bootloader Update Has Failed</v>
      </c>
    </row>
    <row r="32" spans="1:7" ht="16.5">
      <c r="A32" s="16" t="str">
        <f>Data!A30</f>
        <v>Vehicle 14</v>
      </c>
      <c r="B32" s="38">
        <f t="shared" ca="1" si="0"/>
        <v>1</v>
      </c>
      <c r="C32" s="16" t="str">
        <f>Data!D30</f>
        <v>Group B</v>
      </c>
      <c r="D32" s="17">
        <f>INT(Data!E30)</f>
        <v>42395</v>
      </c>
      <c r="E32" s="18">
        <f>MOD(Data!E30,1)</f>
        <v>0.3351703703738167</v>
      </c>
      <c r="F32" s="33" t="str">
        <f t="shared" si="1"/>
        <v>Device Restarted</v>
      </c>
      <c r="G32" s="16" t="str">
        <f>PROPER(SUBSTITUTE(SUBSTITUTE(SUBSTITUTE(SUBSTITUTE(Data!F30,"Telematics device fault: ",""),"report to reseller - ",""),"ALERT: ",""),"Warning: ",""))</f>
        <v>Device Restarted (Internal Reset Condition)</v>
      </c>
    </row>
    <row r="33" spans="1:7" ht="16.5">
      <c r="A33" s="16" t="str">
        <f>Data!A31</f>
        <v>Vehicle 15</v>
      </c>
      <c r="B33" s="38">
        <f t="shared" ca="1" si="0"/>
        <v>1</v>
      </c>
      <c r="C33" s="16" t="str">
        <f>Data!D31</f>
        <v>Group B</v>
      </c>
      <c r="D33" s="17">
        <f>INT(Data!E31)</f>
        <v>42396</v>
      </c>
      <c r="E33" s="18">
        <f>MOD(Data!E31,1)</f>
        <v>0.3351703703738167</v>
      </c>
      <c r="F33" s="33" t="str">
        <f t="shared" si="1"/>
        <v>Flash Memory Failure</v>
      </c>
      <c r="G33" s="16" t="str">
        <f>PROPER(SUBSTITUTE(SUBSTITUTE(SUBSTITUTE(SUBSTITUTE(Data!F31,"Telematics device fault: ",""),"report to reseller - ",""),"ALERT: ",""),"Warning: ",""))</f>
        <v>Flash Memory Failure</v>
      </c>
    </row>
    <row r="34" spans="1:7" ht="16.5">
      <c r="A34" s="16" t="str">
        <f>Data!A32</f>
        <v>Vehicle 16</v>
      </c>
      <c r="B34" s="38">
        <f t="shared" ca="1" si="0"/>
        <v>1</v>
      </c>
      <c r="C34" s="16" t="str">
        <f>Data!D32</f>
        <v>Group B</v>
      </c>
      <c r="D34" s="17">
        <f>INT(Data!E32)</f>
        <v>42397</v>
      </c>
      <c r="E34" s="18">
        <f>MOD(Data!E32,1)</f>
        <v>0.3351703703738167</v>
      </c>
      <c r="F34" s="33" t="str">
        <f t="shared" si="1"/>
        <v>Gps Module Not Responding</v>
      </c>
      <c r="G34" s="16" t="str">
        <f>PROPER(SUBSTITUTE(SUBSTITUTE(SUBSTITUTE(SUBSTITUTE(Data!F32,"Telematics device fault: ",""),"report to reseller - ",""),"ALERT: ",""),"Warning: ",""))</f>
        <v>Gps Module Not Responding</v>
      </c>
    </row>
    <row r="35" spans="1:7" ht="16.5">
      <c r="A35" s="16" t="str">
        <f>Data!A33</f>
        <v>Vehicle 17</v>
      </c>
      <c r="B35" s="38">
        <f t="shared" ca="1" si="0"/>
        <v>1</v>
      </c>
      <c r="C35" s="16" t="str">
        <f>Data!D33</f>
        <v>Group B</v>
      </c>
      <c r="D35" s="17">
        <f>INT(Data!E33)</f>
        <v>42398</v>
      </c>
      <c r="E35" s="18">
        <f>MOD(Data!E33,1)</f>
        <v>0.3351703703738167</v>
      </c>
      <c r="F35" s="33" t="str">
        <f t="shared" si="1"/>
        <v>Internal Clock Stopped</v>
      </c>
      <c r="G35" s="16" t="str">
        <f>PROPER(SUBSTITUTE(SUBSTITUTE(SUBSTITUTE(SUBSTITUTE(Data!F33,"Telematics device fault: ",""),"report to reseller - ",""),"ALERT: ",""),"Warning: ",""))</f>
        <v>Internal Clock Stopped</v>
      </c>
    </row>
    <row r="36" spans="1:7" ht="16.5">
      <c r="A36" s="16" t="str">
        <f>Data!A34</f>
        <v>Vehicle 18</v>
      </c>
      <c r="B36" s="38">
        <f t="shared" ca="1" si="0"/>
        <v>1</v>
      </c>
      <c r="C36" s="16" t="str">
        <f>Data!D34</f>
        <v>Group B</v>
      </c>
      <c r="D36" s="17">
        <f>INT(Data!E34)</f>
        <v>42399</v>
      </c>
      <c r="E36" s="18">
        <f>MOD(Data!E34,1)</f>
        <v>0.3351703703738167</v>
      </c>
      <c r="F36" s="33" t="str">
        <f t="shared" si="1"/>
        <v>Invalid Device Type Detected</v>
      </c>
      <c r="G36" s="16" t="str">
        <f>PROPER(SUBSTITUTE(SUBSTITUTE(SUBSTITUTE(SUBSTITUTE(Data!F34,"Telematics device fault: ",""),"report to reseller - ",""),"ALERT: ",""),"Warning: ",""))</f>
        <v>Invalid Device Type Detected</v>
      </c>
    </row>
    <row r="37" spans="1:7" ht="16.5">
      <c r="A37" s="16" t="str">
        <f>Data!A35</f>
        <v>Vehicle 19</v>
      </c>
      <c r="B37" s="38">
        <f t="shared" ca="1" si="0"/>
        <v>1</v>
      </c>
      <c r="C37" s="16" t="str">
        <f>Data!D35</f>
        <v>Group B</v>
      </c>
      <c r="D37" s="17">
        <f>INT(Data!E35)</f>
        <v>42400</v>
      </c>
      <c r="E37" s="18">
        <f>MOD(Data!E35,1)</f>
        <v>0.3351703703738167</v>
      </c>
      <c r="F37" s="33" t="str">
        <f t="shared" si="1"/>
        <v>Invalid Opcode Reset</v>
      </c>
      <c r="G37" s="16" t="str">
        <f>PROPER(SUBSTITUTE(SUBSTITUTE(SUBSTITUTE(SUBSTITUTE(Data!F35,"Telematics device fault: ",""),"report to reseller - ",""),"ALERT: ",""),"Warning: ",""))</f>
        <v>Invalid Opcode Reset</v>
      </c>
    </row>
    <row r="38" spans="1:7" ht="16.5">
      <c r="A38" s="16" t="str">
        <f>Data!A36</f>
        <v>Vehicle 20</v>
      </c>
      <c r="B38" s="38">
        <f t="shared" ca="1" si="0"/>
        <v>1</v>
      </c>
      <c r="C38" s="16" t="str">
        <f>Data!D36</f>
        <v>Group B</v>
      </c>
      <c r="D38" s="17">
        <f>INT(Data!E36)</f>
        <v>42401</v>
      </c>
      <c r="E38" s="18">
        <f>MOD(Data!E36,1)</f>
        <v>0.3351703703738167</v>
      </c>
      <c r="F38" s="33" t="str">
        <f t="shared" si="1"/>
        <v>Rf Module Failure</v>
      </c>
      <c r="G38" s="16" t="str">
        <f>PROPER(SUBSTITUTE(SUBSTITUTE(SUBSTITUTE(SUBSTITUTE(Data!F36,"Telematics device fault: ",""),"report to reseller - ",""),"ALERT: ",""),"Warning: ",""))</f>
        <v>Rf Module Failure</v>
      </c>
    </row>
    <row r="39" spans="1:7" ht="16.5">
      <c r="A39" s="16" t="str">
        <f>Data!A37</f>
        <v>Vehicle 21</v>
      </c>
      <c r="B39" s="38">
        <f t="shared" ca="1" si="0"/>
        <v>1</v>
      </c>
      <c r="C39" s="16" t="str">
        <f>Data!D37</f>
        <v>Group B</v>
      </c>
      <c r="D39" s="17">
        <f>INT(Data!E37)</f>
        <v>42402</v>
      </c>
      <c r="E39" s="18">
        <f>MOD(Data!E37,1)</f>
        <v>0.3351703703738167</v>
      </c>
      <c r="F39" s="33" t="str">
        <f t="shared" si="1"/>
        <v>Rf Module Mac Address Error</v>
      </c>
      <c r="G39" s="16" t="str">
        <f>PROPER(SUBSTITUTE(SUBSTITUTE(SUBSTITUTE(SUBSTITUTE(Data!F37,"Telematics device fault: ",""),"report to reseller - ",""),"ALERT: ",""),"Warning: ",""))</f>
        <v>Rf Module Mac Address Error</v>
      </c>
    </row>
    <row r="40" spans="1:7" ht="16.5">
      <c r="A40" s="16" t="str">
        <f>Data!A38</f>
        <v>Vehicle 22</v>
      </c>
      <c r="B40" s="38">
        <f t="shared" ca="1" si="0"/>
        <v>1</v>
      </c>
      <c r="C40" s="16" t="str">
        <f>Data!D38</f>
        <v>Group B</v>
      </c>
      <c r="D40" s="17">
        <f>INT(Data!E38)</f>
        <v>42403</v>
      </c>
      <c r="E40" s="18">
        <f>MOD(Data!E38,1)</f>
        <v>0.3351703703738167</v>
      </c>
      <c r="F40" s="33" t="str">
        <f t="shared" si="1"/>
        <v>Telematics Device Restarted</v>
      </c>
      <c r="G40" s="16" t="str">
        <f>PROPER(SUBSTITUTE(SUBSTITUTE(SUBSTITUTE(SUBSTITUTE(Data!F38,"Telematics device fault: ",""),"report to reseller - ",""),"ALERT: ",""),"Warning: ",""))</f>
        <v>Telematics Device Restarted (Internal Watchdog Condition)</v>
      </c>
    </row>
    <row r="41" spans="1:7" ht="16.5">
      <c r="A41" s="16" t="str">
        <f>Data!A39</f>
        <v>Vehicle 23</v>
      </c>
      <c r="B41" s="38">
        <f t="shared" ca="1" si="0"/>
        <v>1</v>
      </c>
      <c r="C41" s="16" t="str">
        <f>Data!D39</f>
        <v>Group B</v>
      </c>
      <c r="D41" s="17">
        <f>INT(Data!E39)</f>
        <v>42404</v>
      </c>
      <c r="E41" s="18">
        <f>MOD(Data!E39,1)</f>
        <v>0.3351703703738167</v>
      </c>
      <c r="F41" s="33" t="str">
        <f t="shared" si="1"/>
        <v>Restarted The Modem Manager State Machine</v>
      </c>
      <c r="G41" s="16" t="str">
        <f>PROPER(SUBSTITUTE(SUBSTITUTE(SUBSTITUTE(SUBSTITUTE(Data!F39,"Telematics device fault: ",""),"report to reseller - ",""),"ALERT: ",""),"Warning: ",""))</f>
        <v>Restarted The Modem Manager State Machine</v>
      </c>
    </row>
    <row r="42" spans="1:7" ht="16.5">
      <c r="A42" s="16" t="str">
        <f>Data!A40</f>
        <v>Vehicle 24</v>
      </c>
      <c r="B42" s="38">
        <f t="shared" ca="1" si="0"/>
        <v>1</v>
      </c>
      <c r="C42" s="16" t="str">
        <f>Data!D40</f>
        <v>Group B</v>
      </c>
      <c r="D42" s="17">
        <f>INT(Data!E40)</f>
        <v>42405</v>
      </c>
      <c r="E42" s="18">
        <f>MOD(Data!E40,1)</f>
        <v>0.3351703703738167</v>
      </c>
      <c r="F42" s="33" t="str">
        <f t="shared" si="1"/>
        <v>Restarted The Modem State Machine</v>
      </c>
      <c r="G42" s="16" t="str">
        <f>PROPER(SUBSTITUTE(SUBSTITUTE(SUBSTITUTE(SUBSTITUTE(Data!F40,"Telematics device fault: ",""),"report to reseller - ",""),"ALERT: ",""),"Warning: ",""))</f>
        <v>Restarted The Modem State Machine</v>
      </c>
    </row>
    <row r="43" spans="1:7" ht="16.5">
      <c r="A43" s="16" t="str">
        <f>Data!A41</f>
        <v>Vehicle 25</v>
      </c>
      <c r="B43" s="38">
        <f t="shared" ca="1" si="0"/>
        <v>1</v>
      </c>
      <c r="C43" s="16" t="str">
        <f>Data!D41</f>
        <v>Group B</v>
      </c>
      <c r="D43" s="17">
        <f>INT(Data!E41)</f>
        <v>42406</v>
      </c>
      <c r="E43" s="18">
        <f>MOD(Data!E41,1)</f>
        <v>0.3351703703738167</v>
      </c>
      <c r="F43" s="33" t="str">
        <f t="shared" si="1"/>
        <v>Restarted The Radio Manager State Machine</v>
      </c>
      <c r="G43" s="16" t="str">
        <f>PROPER(SUBSTITUTE(SUBSTITUTE(SUBSTITUTE(SUBSTITUTE(Data!F41,"Telematics device fault: ",""),"report to reseller - ",""),"ALERT: ",""),"Warning: ",""))</f>
        <v>Restarted The Radio Manager State Machine</v>
      </c>
    </row>
    <row r="44" spans="1:7" ht="16.5">
      <c r="A44" s="16" t="str">
        <f>Data!A42</f>
        <v>Vehicle 26</v>
      </c>
      <c r="B44" s="38">
        <f t="shared" ca="1" si="0"/>
        <v>1</v>
      </c>
      <c r="C44" s="16" t="str">
        <f>Data!D42</f>
        <v>Group B</v>
      </c>
      <c r="D44" s="17">
        <f>INT(Data!E42)</f>
        <v>42407</v>
      </c>
      <c r="E44" s="18">
        <f>MOD(Data!E42,1)</f>
        <v>0.3351703703738167</v>
      </c>
      <c r="F44" s="33" t="str">
        <f t="shared" si="1"/>
        <v>Restarted The Radio State Machine</v>
      </c>
      <c r="G44" s="16" t="str">
        <f>PROPER(SUBSTITUTE(SUBSTITUTE(SUBSTITUTE(SUBSTITUTE(Data!F42,"Telematics device fault: ",""),"report to reseller - ",""),"ALERT: ",""),"Warning: ",""))</f>
        <v>Restarted The Radio State Machine</v>
      </c>
    </row>
    <row r="45" spans="1:7" ht="16.5">
      <c r="A45" s="16" t="str">
        <f>Data!A43</f>
        <v>Vehicle 27</v>
      </c>
      <c r="B45" s="38">
        <f t="shared" ca="1" si="0"/>
        <v>1</v>
      </c>
      <c r="C45" s="16" t="str">
        <f>Data!D43</f>
        <v>Group B</v>
      </c>
      <c r="D45" s="17">
        <f>INT(Data!E43)</f>
        <v>42408</v>
      </c>
      <c r="E45" s="18">
        <f>MOD(Data!E43,1)</f>
        <v>0.3351703703738167</v>
      </c>
      <c r="F45" s="33" t="str">
        <f t="shared" si="1"/>
        <v>Telematics Device Has Been Unplugged</v>
      </c>
      <c r="G45" s="16" t="str">
        <f>PROPER(SUBSTITUTE(SUBSTITUTE(SUBSTITUTE(SUBSTITUTE(Data!F43,"Telematics device fault: ",""),"report to reseller - ",""),"ALERT: ",""),"Warning: ",""))</f>
        <v>Telematics Device Has Been Unplugged</v>
      </c>
    </row>
    <row r="46" spans="1:7" ht="16.5">
      <c r="A46" s="16" t="str">
        <f>Data!A44</f>
        <v>Vehicle 28</v>
      </c>
      <c r="B46" s="38">
        <f t="shared" ca="1" si="0"/>
        <v>1</v>
      </c>
      <c r="C46" s="16" t="str">
        <f>Data!D44</f>
        <v>Group B</v>
      </c>
      <c r="D46" s="17">
        <f>INT(Data!E44)</f>
        <v>42409</v>
      </c>
      <c r="E46" s="18">
        <f>MOD(Data!E44,1)</f>
        <v>0.3351703703738167</v>
      </c>
      <c r="F46" s="33" t="str">
        <f t="shared" si="1"/>
        <v>Vehicle Battery Has Low Voltage</v>
      </c>
      <c r="G46" s="16" t="str">
        <f>PROPER(SUBSTITUTE(SUBSTITUTE(SUBSTITUTE(SUBSTITUTE(Data!F44,"Telematics device fault: ",""),"report to reseller - ",""),"ALERT: ",""),"Warning: ",""))</f>
        <v>Vehicle Battery Has Low Voltage</v>
      </c>
    </row>
  </sheetData>
  <autoFilter ref="A9:G46" xr:uid="{00000000-0009-0000-0000-000003000000}"/>
  <mergeCells count="1">
    <mergeCell ref="A4:B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75"/>
  <cols>
    <col min="1" max="1" width="74.28515625" bestFit="1" customWidth="1"/>
  </cols>
  <sheetData>
    <row r="1" spans="1:1" ht="408">
      <c r="A1" s="9" t="str">
        <f>CONCATENATE('Normalized Fault List'!A2,", ",'Normalized Fault List'!A3,", ",'Normalized Fault List'!A4,", ",'Normalized Fault List'!A5,", ",'Normalized Fault List'!A6,", ",'Normalized Fault List'!A7,", ",'Normalized Fault List'!A8,", ",'Normalized Fault List'!A9,", ",'Normalized Fault List'!A10,", ",'Normalized Fault List'!A11,", ",'Normalized Fault List'!A12,", ",'Normalized Fault List'!A13,", ",'Normalized Fault List'!A14,", ",'Normalized Fault List'!A15,", ",'Normalized Fault List'!A16,", ",'Normalized Fault List'!A17,", ",'Normalized Fault List'!A18,", ",'Normalized Fault List'!A19,", ",'Normalized Fault List'!A20,", ",'Normalized Fault List'!A21,", ",'Normalized Fault List'!A22,", ",'Normalized Fault List'!A23,", ",'Normalized Fault List'!A24,", ",'Normalized Fault List'!A25,", ",'Normalized Fault List'!A26,", ",'Normalized Fault List'!A27,", ",'Normalized Fault List'!A28,", ",'Normalized Fault List'!A29,", ",'Normalized Fault List'!A30,", ",'Normalized Fault List'!A31,", ",'Normalized Fault List'!A32,", ",'Normalized Fault List'!A33,", ",'Normalized Fault List'!A34,", ",'Normalized Fault List'!A35,", ",'Normalized Fault List'!A36)</f>
        <v>Telematics device fault: GPS quality poor (bad device install or vehicle undercover), Telematics device fault: check device install - accelerometer disabled due to excessive data, ALERT: Accident limit for acceleration exceeded, Telematics device fault: problem communicating with engine - potential bad install - harness issue or device failure - CAN BUS disabled due to excessive errors detected, CAN transmit error count exceeded, Device is disabled in MyAdmin (contact reseller), Device logging is disabled in MyAdmin (contact reseller), Excessive accelerometer events, Excessive accelerometer events over accident threshold, Excessive accelerometer logs in a single event, Excessive engine records are being created, Excessive errors detected on legacy communication bus, Excessive logging detected, Telematics device fault: all power removed - device restarted, Telematics device fault: problem communicating with engine - potential bad install - harness issue or device failure - CAN mode failed during normal operation, Telematics device fault: problem communicating with engine - potential bad install - harness issue or device failure - CAN mode failed during initialization, Telematics device fault: remove device and report to reseller - GPS antenna short-circuited, Telematics device fault: remove device and report to reseller - GPS antenna unplugged, Telematics device fault: remove device and report to reseller - Aux module failure, Telematics device fault: remove device and report to reseller - bootloader update has failed, Telematics device fault: report to reseller - device restarted (internal reset condition), Telematics device fault: remove device and report to reseller - flash memory failure, Telematics device fault: remove device and report to reseller - GPS module not responding, Telematics device fault: remove device and report to reseller - internal clock stopped, Telematics device fault: remove device and report to reseller - invalid device type detected, Telematics device fault: report to reseller - invalid opcode reset, Telematics device fault: remove device and report to reseller - RF module failure, Telematics device fault: remove device and report to reseller - RF module MAC address error, Telematics device fault: report to reseller - telematics device restarted (internal watchdog condition), Telematics device fault: restarted the modem manager state machine, Telematics device fault: restarted the modem state machine, Telematics device fault: restarted the radio manager state machine, Telematics device fault: restarted the radio state machine, Telematics device fault: telematics device has been unplugged, Warning: vehicle battery has low voltage</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6"/>
  <sheetViews>
    <sheetView workbookViewId="0">
      <selection sqref="A1:XFD1048576"/>
    </sheetView>
  </sheetViews>
  <sheetFormatPr defaultColWidth="9.140625" defaultRowHeight="12.75"/>
  <cols>
    <col min="1" max="2" width="144.140625" style="7" bestFit="1" customWidth="1"/>
    <col min="3" max="16384" width="9.140625" style="7"/>
  </cols>
  <sheetData>
    <row r="1" spans="1:2">
      <c r="A1" s="8" t="s">
        <v>215</v>
      </c>
      <c r="B1" s="8" t="s">
        <v>216</v>
      </c>
    </row>
    <row r="2" spans="1:2">
      <c r="A2" s="7" t="s">
        <v>123</v>
      </c>
      <c r="B2" s="7" t="str">
        <f>TRIM(IF(ISERROR(FIND("(",A2)),A2,LEFT(A2,FIND("(",A2)-1)))</f>
        <v>Telematics device fault: GPS quality poor</v>
      </c>
    </row>
    <row r="3" spans="1:2">
      <c r="A3" s="7" t="s">
        <v>217</v>
      </c>
      <c r="B3" s="7" t="str">
        <f t="shared" ref="B3:B36" si="0">TRIM(IF(ISERROR(FIND("(",A3)),A3,LEFT(A3,FIND("(",A3)-1)))</f>
        <v>Telematics device fault: check device install - accelerometer disabled due to excessive data</v>
      </c>
    </row>
    <row r="4" spans="1:2">
      <c r="A4" s="7" t="s">
        <v>133</v>
      </c>
      <c r="B4" s="7" t="str">
        <f t="shared" si="0"/>
        <v>ALERT: Accident limit for acceleration exceeded</v>
      </c>
    </row>
    <row r="5" spans="1:2">
      <c r="A5" s="7" t="s">
        <v>218</v>
      </c>
      <c r="B5" s="7" t="str">
        <f t="shared" si="0"/>
        <v>Telematics device fault: problem communicating with engine - potential bad install - harness issue or device failure - CAN BUS disabled due to excessive errors detected</v>
      </c>
    </row>
    <row r="6" spans="1:2">
      <c r="A6" s="7" t="s">
        <v>135</v>
      </c>
      <c r="B6" s="7" t="str">
        <f t="shared" si="0"/>
        <v>CAN transmit error count exceeded</v>
      </c>
    </row>
    <row r="7" spans="1:2">
      <c r="A7" s="7" t="s">
        <v>136</v>
      </c>
      <c r="B7" s="7" t="str">
        <f t="shared" si="0"/>
        <v>Device is disabled in MyAdmin</v>
      </c>
    </row>
    <row r="8" spans="1:2">
      <c r="A8" s="7" t="s">
        <v>219</v>
      </c>
      <c r="B8" s="7" t="str">
        <f t="shared" si="0"/>
        <v>Device logging is disabled in MyAdmin</v>
      </c>
    </row>
    <row r="9" spans="1:2">
      <c r="A9" s="7" t="s">
        <v>138</v>
      </c>
      <c r="B9" s="7" t="str">
        <f t="shared" si="0"/>
        <v>Excessive accelerometer events</v>
      </c>
    </row>
    <row r="10" spans="1:2">
      <c r="A10" s="7" t="s">
        <v>139</v>
      </c>
      <c r="B10" s="7" t="str">
        <f t="shared" si="0"/>
        <v>Excessive accelerometer events over accident threshold</v>
      </c>
    </row>
    <row r="11" spans="1:2">
      <c r="A11" s="7" t="s">
        <v>140</v>
      </c>
      <c r="B11" s="7" t="str">
        <f t="shared" si="0"/>
        <v>Excessive accelerometer logs in a single event</v>
      </c>
    </row>
    <row r="12" spans="1:2">
      <c r="A12" s="7" t="s">
        <v>141</v>
      </c>
      <c r="B12" s="7" t="str">
        <f t="shared" si="0"/>
        <v>Excessive engine records are being created</v>
      </c>
    </row>
    <row r="13" spans="1:2">
      <c r="A13" s="7" t="s">
        <v>142</v>
      </c>
      <c r="B13" s="7" t="str">
        <f t="shared" si="0"/>
        <v>Excessive errors detected on legacy communication bus</v>
      </c>
    </row>
    <row r="14" spans="1:2">
      <c r="A14" s="7" t="s">
        <v>143</v>
      </c>
      <c r="B14" s="7" t="str">
        <f t="shared" si="0"/>
        <v>Excessive logging detected</v>
      </c>
    </row>
    <row r="15" spans="1:2">
      <c r="A15" s="7" t="s">
        <v>122</v>
      </c>
      <c r="B15" s="7" t="str">
        <f t="shared" si="0"/>
        <v>Telematics device fault: all power removed - device restarted</v>
      </c>
    </row>
    <row r="16" spans="1:2">
      <c r="A16" s="7" t="s">
        <v>220</v>
      </c>
      <c r="B16" s="7" t="str">
        <f t="shared" si="0"/>
        <v>Telematics device fault: problem communicating with engine - potential bad install - harness issue or device failure - CAN mode failed during normal operation</v>
      </c>
    </row>
    <row r="17" spans="1:2">
      <c r="A17" s="7" t="s">
        <v>221</v>
      </c>
      <c r="B17" s="7" t="str">
        <f t="shared" si="0"/>
        <v>Telematics device fault: problem communicating with engine - potential bad install - harness issue or device failure - CAN mode failed during initialization</v>
      </c>
    </row>
    <row r="18" spans="1:2">
      <c r="A18" s="7" t="s">
        <v>222</v>
      </c>
      <c r="B18" s="7" t="str">
        <f t="shared" si="0"/>
        <v>Telematics device fault: remove device and report to reseller - GPS antenna short-circuited</v>
      </c>
    </row>
    <row r="19" spans="1:2">
      <c r="A19" s="7" t="s">
        <v>223</v>
      </c>
      <c r="B19" s="7" t="str">
        <f t="shared" si="0"/>
        <v>Telematics device fault: remove device and report to reseller - GPS antenna unplugged</v>
      </c>
    </row>
    <row r="20" spans="1:2">
      <c r="A20" s="7" t="s">
        <v>231</v>
      </c>
      <c r="B20" s="7" t="str">
        <f t="shared" si="0"/>
        <v>Telematics device fault: remove device and report to reseller - Aux module failure</v>
      </c>
    </row>
    <row r="21" spans="1:2">
      <c r="A21" s="7" t="s">
        <v>224</v>
      </c>
      <c r="B21" s="7" t="str">
        <f t="shared" si="0"/>
        <v>Telematics device fault: remove device and report to reseller - bootloader update has failed</v>
      </c>
    </row>
    <row r="22" spans="1:2">
      <c r="A22" s="7" t="s">
        <v>126</v>
      </c>
      <c r="B22" s="7" t="str">
        <f t="shared" si="0"/>
        <v>Telematics device fault: report to reseller - device restarted</v>
      </c>
    </row>
    <row r="23" spans="1:2">
      <c r="A23" s="7" t="s">
        <v>225</v>
      </c>
      <c r="B23" s="7" t="str">
        <f t="shared" si="0"/>
        <v>Telematics device fault: remove device and report to reseller - flash memory failure</v>
      </c>
    </row>
    <row r="24" spans="1:2">
      <c r="A24" s="7" t="s">
        <v>226</v>
      </c>
      <c r="B24" s="7" t="str">
        <f t="shared" si="0"/>
        <v>Telematics device fault: remove device and report to reseller - GPS module not responding</v>
      </c>
    </row>
    <row r="25" spans="1:2">
      <c r="A25" s="7" t="s">
        <v>227</v>
      </c>
      <c r="B25" s="7" t="str">
        <f t="shared" si="0"/>
        <v>Telematics device fault: remove device and report to reseller - internal clock stopped</v>
      </c>
    </row>
    <row r="26" spans="1:2">
      <c r="A26" s="7" t="s">
        <v>228</v>
      </c>
      <c r="B26" s="7" t="str">
        <f t="shared" si="0"/>
        <v>Telematics device fault: remove device and report to reseller - invalid device type detected</v>
      </c>
    </row>
    <row r="27" spans="1:2">
      <c r="A27" s="7" t="s">
        <v>151</v>
      </c>
      <c r="B27" s="7" t="str">
        <f t="shared" si="0"/>
        <v>Telematics device fault: report to reseller - invalid opcode reset</v>
      </c>
    </row>
    <row r="28" spans="1:2">
      <c r="A28" s="7" t="s">
        <v>229</v>
      </c>
      <c r="B28" s="7" t="str">
        <f t="shared" si="0"/>
        <v>Telematics device fault: remove device and report to reseller - RF module failure</v>
      </c>
    </row>
    <row r="29" spans="1:2">
      <c r="A29" s="7" t="s">
        <v>230</v>
      </c>
      <c r="B29" s="7" t="str">
        <f t="shared" si="0"/>
        <v>Telematics device fault: remove device and report to reseller - RF module MAC address error</v>
      </c>
    </row>
    <row r="30" spans="1:2">
      <c r="A30" s="7" t="s">
        <v>152</v>
      </c>
      <c r="B30" s="7" t="str">
        <f t="shared" si="0"/>
        <v>Telematics device fault: report to reseller - telematics device restarted</v>
      </c>
    </row>
    <row r="31" spans="1:2">
      <c r="A31" s="7" t="s">
        <v>157</v>
      </c>
      <c r="B31" s="7" t="str">
        <f t="shared" si="0"/>
        <v>Telematics device fault: restarted the modem manager state machine</v>
      </c>
    </row>
    <row r="32" spans="1:2">
      <c r="A32" s="7" t="s">
        <v>158</v>
      </c>
      <c r="B32" s="7" t="str">
        <f t="shared" si="0"/>
        <v>Telematics device fault: restarted the modem state machine</v>
      </c>
    </row>
    <row r="33" spans="1:2">
      <c r="A33" s="7" t="s">
        <v>159</v>
      </c>
      <c r="B33" s="7" t="str">
        <f t="shared" si="0"/>
        <v>Telematics device fault: restarted the radio manager state machine</v>
      </c>
    </row>
    <row r="34" spans="1:2">
      <c r="A34" s="7" t="s">
        <v>160</v>
      </c>
      <c r="B34" s="7" t="str">
        <f t="shared" si="0"/>
        <v>Telematics device fault: restarted the radio state machine</v>
      </c>
    </row>
    <row r="35" spans="1:2">
      <c r="A35" s="7" t="s">
        <v>118</v>
      </c>
      <c r="B35" s="7" t="str">
        <f t="shared" si="0"/>
        <v>Telematics device fault: telematics device has been unplugged</v>
      </c>
    </row>
    <row r="36" spans="1:2">
      <c r="A36" s="7" t="s">
        <v>175</v>
      </c>
      <c r="B36" s="7" t="str">
        <f t="shared" si="0"/>
        <v>Warning: vehicle battery has low voltage</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2.75"/>
  <cols>
    <col min="1" max="5" width="30" customWidth="1"/>
  </cols>
  <sheetData>
    <row r="1" spans="1:5" s="6" customFormat="1">
      <c r="A1" s="6" t="s">
        <v>46</v>
      </c>
      <c r="B1" s="6" t="s">
        <v>47</v>
      </c>
      <c r="C1" s="6" t="s">
        <v>48</v>
      </c>
      <c r="D1" s="6" t="s">
        <v>49</v>
      </c>
      <c r="E1" s="6" t="s">
        <v>50</v>
      </c>
    </row>
    <row r="2" spans="1:5">
      <c r="A2" t="s">
        <v>51</v>
      </c>
      <c r="B2" t="s">
        <v>66</v>
      </c>
      <c r="C2" t="s">
        <v>67</v>
      </c>
      <c r="D2" t="s">
        <v>68</v>
      </c>
      <c r="E2" t="s">
        <v>69</v>
      </c>
    </row>
    <row r="3" spans="1:5">
      <c r="A3" t="s">
        <v>52</v>
      </c>
      <c r="B3" t="s">
        <v>70</v>
      </c>
      <c r="C3" t="s">
        <v>71</v>
      </c>
      <c r="D3" t="s">
        <v>72</v>
      </c>
      <c r="E3" t="s">
        <v>73</v>
      </c>
    </row>
    <row r="4" spans="1:5">
      <c r="A4" t="s">
        <v>64</v>
      </c>
      <c r="B4" t="s">
        <v>63</v>
      </c>
      <c r="C4" t="s">
        <v>74</v>
      </c>
      <c r="D4" t="s">
        <v>75</v>
      </c>
      <c r="E4" t="s">
        <v>76</v>
      </c>
    </row>
    <row r="5" spans="1:5">
      <c r="A5" t="s">
        <v>65</v>
      </c>
      <c r="B5" t="s">
        <v>77</v>
      </c>
      <c r="C5" t="s">
        <v>78</v>
      </c>
      <c r="D5" t="s">
        <v>79</v>
      </c>
      <c r="E5" t="s">
        <v>80</v>
      </c>
    </row>
    <row r="6" spans="1:5">
      <c r="A6" t="s">
        <v>53</v>
      </c>
      <c r="B6" t="s">
        <v>81</v>
      </c>
      <c r="C6" t="s">
        <v>82</v>
      </c>
      <c r="D6" t="s">
        <v>83</v>
      </c>
      <c r="E6" t="s">
        <v>84</v>
      </c>
    </row>
    <row r="7" spans="1:5">
      <c r="A7" t="s">
        <v>54</v>
      </c>
      <c r="B7" t="s">
        <v>0</v>
      </c>
      <c r="C7" t="s">
        <v>85</v>
      </c>
      <c r="D7" t="s">
        <v>86</v>
      </c>
      <c r="E7" t="s">
        <v>87</v>
      </c>
    </row>
    <row r="8" spans="1:5">
      <c r="A8" t="s">
        <v>55</v>
      </c>
      <c r="B8" t="s">
        <v>88</v>
      </c>
      <c r="C8" t="s">
        <v>89</v>
      </c>
      <c r="D8" t="s">
        <v>90</v>
      </c>
      <c r="E8" t="s">
        <v>91</v>
      </c>
    </row>
    <row r="9" spans="1:5">
      <c r="A9" t="s">
        <v>56</v>
      </c>
      <c r="B9" t="s">
        <v>1</v>
      </c>
      <c r="C9" t="s">
        <v>92</v>
      </c>
      <c r="D9" t="s">
        <v>93</v>
      </c>
      <c r="E9" t="s">
        <v>94</v>
      </c>
    </row>
    <row r="10" spans="1:5">
      <c r="A10" t="s">
        <v>57</v>
      </c>
      <c r="B10" t="s">
        <v>95</v>
      </c>
      <c r="C10" t="s">
        <v>96</v>
      </c>
      <c r="D10" t="s">
        <v>97</v>
      </c>
      <c r="E10" t="s">
        <v>98</v>
      </c>
    </row>
    <row r="11" spans="1:5">
      <c r="A11" t="s">
        <v>58</v>
      </c>
      <c r="B11" t="s">
        <v>45</v>
      </c>
      <c r="C11" t="s">
        <v>99</v>
      </c>
      <c r="D11" t="s">
        <v>45</v>
      </c>
      <c r="E11" t="s">
        <v>100</v>
      </c>
    </row>
    <row r="12" spans="1:5">
      <c r="A12" t="s">
        <v>62</v>
      </c>
      <c r="B12" t="s">
        <v>101</v>
      </c>
      <c r="C12" t="s">
        <v>102</v>
      </c>
      <c r="D12" t="s">
        <v>103</v>
      </c>
      <c r="E12" t="s">
        <v>104</v>
      </c>
    </row>
    <row r="13" spans="1:5">
      <c r="A13" t="s">
        <v>59</v>
      </c>
      <c r="B13" t="s">
        <v>105</v>
      </c>
      <c r="C13" t="s">
        <v>106</v>
      </c>
      <c r="D13" t="s">
        <v>107</v>
      </c>
      <c r="E13" t="s">
        <v>108</v>
      </c>
    </row>
    <row r="14" spans="1:5">
      <c r="A14" t="s">
        <v>60</v>
      </c>
      <c r="B14" t="s">
        <v>109</v>
      </c>
      <c r="C14" t="s">
        <v>110</v>
      </c>
      <c r="D14" t="s">
        <v>111</v>
      </c>
      <c r="E14" t="s">
        <v>112</v>
      </c>
    </row>
    <row r="15" spans="1:5">
      <c r="A15" t="s">
        <v>61</v>
      </c>
      <c r="B15" t="s">
        <v>113</v>
      </c>
      <c r="C15" t="s">
        <v>114</v>
      </c>
      <c r="D15" t="s">
        <v>115</v>
      </c>
      <c r="E15" t="s">
        <v>116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vt:lpstr>
      <vt:lpstr>Fault Summary</vt:lpstr>
      <vt:lpstr>Vehicle Fault Breakdown</vt:lpstr>
      <vt:lpstr>Report</vt:lpstr>
      <vt:lpstr>Diagnostics String</vt:lpstr>
      <vt:lpstr>Normalized Fault List</vt:lpstr>
      <vt:lpstr>Languages</vt:lpstr>
      <vt:lpstr>AllData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dc:creator>
  <cp:lastModifiedBy>Ricardo Rivera</cp:lastModifiedBy>
  <dcterms:created xsi:type="dcterms:W3CDTF">2009-12-18T16:46:35Z</dcterms:created>
  <dcterms:modified xsi:type="dcterms:W3CDTF">2020-05-11T18:16:18Z</dcterms:modified>
</cp:coreProperties>
</file>