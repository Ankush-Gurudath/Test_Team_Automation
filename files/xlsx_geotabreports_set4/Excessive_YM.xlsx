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nschwartz\Desktop\"/>
    </mc:Choice>
  </mc:AlternateContent>
  <xr:revisionPtr revIDLastSave="0" documentId="13_ncr:1_{AEE40185-0CD0-4A9A-AAA2-928B23A2462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4" r:id="rId1"/>
    <sheet name="Excessive YM Events" sheetId="9" r:id="rId2"/>
    <sheet name="Report" sheetId="3" state="hidden" r:id="rId3"/>
    <sheet name="Data" sheetId="1" state="hidden" r:id="rId4"/>
    <sheet name="Languages" sheetId="5" state="hidden" r:id="rId5"/>
  </sheets>
  <definedNames>
    <definedName name="_xlnm._FilterDatabase" localSheetId="2" hidden="1">Report!$A$11:$S$140</definedName>
    <definedName name="AllData">Report!$A$11:$S$140</definedName>
  </definedNames>
  <calcPr calcId="191029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3" l="1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2" i="3"/>
  <c r="O13" i="3" l="1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2" i="3"/>
  <c r="S140" i="3"/>
  <c r="J140" i="3"/>
  <c r="I140" i="3"/>
  <c r="G140" i="3"/>
  <c r="F140" i="3"/>
  <c r="D140" i="3"/>
  <c r="C140" i="3"/>
  <c r="B140" i="3"/>
  <c r="A140" i="3"/>
  <c r="S139" i="3"/>
  <c r="J139" i="3"/>
  <c r="I139" i="3"/>
  <c r="G139" i="3"/>
  <c r="H139" i="3" s="1"/>
  <c r="F139" i="3"/>
  <c r="D139" i="3"/>
  <c r="C139" i="3"/>
  <c r="B139" i="3"/>
  <c r="A139" i="3"/>
  <c r="S138" i="3"/>
  <c r="J138" i="3"/>
  <c r="I138" i="3"/>
  <c r="H138" i="3"/>
  <c r="G138" i="3"/>
  <c r="F138" i="3"/>
  <c r="D138" i="3"/>
  <c r="C138" i="3"/>
  <c r="B138" i="3"/>
  <c r="A138" i="3"/>
  <c r="S137" i="3"/>
  <c r="J137" i="3"/>
  <c r="I137" i="3"/>
  <c r="G137" i="3"/>
  <c r="H137" i="3" s="1"/>
  <c r="F137" i="3"/>
  <c r="D137" i="3"/>
  <c r="C137" i="3"/>
  <c r="B137" i="3"/>
  <c r="A137" i="3"/>
  <c r="S136" i="3"/>
  <c r="J136" i="3"/>
  <c r="I136" i="3"/>
  <c r="G136" i="3"/>
  <c r="F136" i="3"/>
  <c r="D136" i="3"/>
  <c r="C136" i="3"/>
  <c r="B136" i="3"/>
  <c r="A136" i="3"/>
  <c r="S135" i="3"/>
  <c r="J135" i="3"/>
  <c r="I135" i="3"/>
  <c r="G135" i="3"/>
  <c r="F135" i="3"/>
  <c r="D135" i="3"/>
  <c r="C135" i="3"/>
  <c r="B135" i="3"/>
  <c r="A135" i="3"/>
  <c r="S134" i="3"/>
  <c r="J134" i="3"/>
  <c r="I134" i="3"/>
  <c r="G134" i="3"/>
  <c r="F134" i="3"/>
  <c r="D134" i="3"/>
  <c r="C134" i="3"/>
  <c r="B134" i="3"/>
  <c r="A134" i="3"/>
  <c r="S133" i="3"/>
  <c r="J133" i="3"/>
  <c r="I133" i="3"/>
  <c r="G133" i="3"/>
  <c r="H133" i="3" s="1"/>
  <c r="F133" i="3"/>
  <c r="D133" i="3"/>
  <c r="C133" i="3"/>
  <c r="B133" i="3"/>
  <c r="A133" i="3"/>
  <c r="S132" i="3"/>
  <c r="J132" i="3"/>
  <c r="I132" i="3"/>
  <c r="G132" i="3"/>
  <c r="F132" i="3"/>
  <c r="D132" i="3"/>
  <c r="C132" i="3"/>
  <c r="B132" i="3"/>
  <c r="A132" i="3"/>
  <c r="S131" i="3"/>
  <c r="J131" i="3"/>
  <c r="I131" i="3"/>
  <c r="G131" i="3"/>
  <c r="H131" i="3" s="1"/>
  <c r="F131" i="3"/>
  <c r="D131" i="3"/>
  <c r="C131" i="3"/>
  <c r="B131" i="3"/>
  <c r="A131" i="3"/>
  <c r="S130" i="3"/>
  <c r="J130" i="3"/>
  <c r="I130" i="3"/>
  <c r="H130" i="3"/>
  <c r="G130" i="3"/>
  <c r="F130" i="3"/>
  <c r="D130" i="3"/>
  <c r="C130" i="3"/>
  <c r="B130" i="3"/>
  <c r="A130" i="3"/>
  <c r="S129" i="3"/>
  <c r="J129" i="3"/>
  <c r="I129" i="3"/>
  <c r="G129" i="3"/>
  <c r="H129" i="3" s="1"/>
  <c r="F129" i="3"/>
  <c r="D129" i="3"/>
  <c r="C129" i="3"/>
  <c r="B129" i="3"/>
  <c r="A129" i="3"/>
  <c r="S128" i="3"/>
  <c r="J128" i="3"/>
  <c r="I128" i="3"/>
  <c r="G128" i="3"/>
  <c r="F128" i="3"/>
  <c r="D128" i="3"/>
  <c r="C128" i="3"/>
  <c r="B128" i="3"/>
  <c r="A128" i="3"/>
  <c r="S127" i="3"/>
  <c r="J127" i="3"/>
  <c r="I127" i="3"/>
  <c r="G127" i="3"/>
  <c r="F127" i="3"/>
  <c r="D127" i="3"/>
  <c r="C127" i="3"/>
  <c r="B127" i="3"/>
  <c r="A127" i="3"/>
  <c r="S126" i="3"/>
  <c r="J126" i="3"/>
  <c r="I126" i="3"/>
  <c r="G126" i="3"/>
  <c r="F126" i="3"/>
  <c r="D126" i="3"/>
  <c r="C126" i="3"/>
  <c r="B126" i="3"/>
  <c r="A126" i="3"/>
  <c r="S125" i="3"/>
  <c r="J125" i="3"/>
  <c r="I125" i="3"/>
  <c r="G125" i="3"/>
  <c r="H125" i="3" s="1"/>
  <c r="F125" i="3"/>
  <c r="D125" i="3"/>
  <c r="C125" i="3"/>
  <c r="B125" i="3"/>
  <c r="A125" i="3"/>
  <c r="S124" i="3"/>
  <c r="J124" i="3"/>
  <c r="I124" i="3"/>
  <c r="H124" i="3"/>
  <c r="G124" i="3"/>
  <c r="F124" i="3"/>
  <c r="D124" i="3"/>
  <c r="C124" i="3"/>
  <c r="B124" i="3"/>
  <c r="A124" i="3"/>
  <c r="S123" i="3"/>
  <c r="J123" i="3"/>
  <c r="I123" i="3"/>
  <c r="H123" i="3"/>
  <c r="G123" i="3"/>
  <c r="F123" i="3"/>
  <c r="D123" i="3"/>
  <c r="C123" i="3"/>
  <c r="B123" i="3"/>
  <c r="A123" i="3"/>
  <c r="S122" i="3"/>
  <c r="J122" i="3"/>
  <c r="I122" i="3"/>
  <c r="G122" i="3"/>
  <c r="F122" i="3"/>
  <c r="D122" i="3"/>
  <c r="C122" i="3"/>
  <c r="B122" i="3"/>
  <c r="A122" i="3"/>
  <c r="S121" i="3"/>
  <c r="J121" i="3"/>
  <c r="I121" i="3"/>
  <c r="G121" i="3"/>
  <c r="F121" i="3"/>
  <c r="D121" i="3"/>
  <c r="C121" i="3"/>
  <c r="B121" i="3"/>
  <c r="A121" i="3"/>
  <c r="S120" i="3"/>
  <c r="J120" i="3"/>
  <c r="I120" i="3"/>
  <c r="G120" i="3"/>
  <c r="H120" i="3" s="1"/>
  <c r="F120" i="3"/>
  <c r="D120" i="3"/>
  <c r="C120" i="3"/>
  <c r="B120" i="3"/>
  <c r="A120" i="3"/>
  <c r="S119" i="3"/>
  <c r="J119" i="3"/>
  <c r="I119" i="3"/>
  <c r="G119" i="3"/>
  <c r="H119" i="3" s="1"/>
  <c r="F119" i="3"/>
  <c r="D119" i="3"/>
  <c r="C119" i="3"/>
  <c r="B119" i="3"/>
  <c r="A119" i="3"/>
  <c r="S118" i="3"/>
  <c r="J118" i="3"/>
  <c r="I118" i="3"/>
  <c r="G118" i="3"/>
  <c r="F118" i="3"/>
  <c r="D118" i="3"/>
  <c r="C118" i="3"/>
  <c r="B118" i="3"/>
  <c r="A118" i="3"/>
  <c r="S117" i="3"/>
  <c r="J117" i="3"/>
  <c r="I117" i="3"/>
  <c r="H117" i="3"/>
  <c r="G117" i="3"/>
  <c r="F117" i="3"/>
  <c r="D117" i="3"/>
  <c r="C117" i="3"/>
  <c r="B117" i="3"/>
  <c r="A117" i="3"/>
  <c r="S116" i="3"/>
  <c r="J116" i="3"/>
  <c r="I116" i="3"/>
  <c r="H116" i="3"/>
  <c r="G116" i="3"/>
  <c r="F116" i="3"/>
  <c r="D116" i="3"/>
  <c r="C116" i="3"/>
  <c r="B116" i="3"/>
  <c r="A116" i="3"/>
  <c r="S115" i="3"/>
  <c r="J115" i="3"/>
  <c r="I115" i="3"/>
  <c r="G115" i="3"/>
  <c r="H115" i="3" s="1"/>
  <c r="F115" i="3"/>
  <c r="D115" i="3"/>
  <c r="C115" i="3"/>
  <c r="B115" i="3"/>
  <c r="A115" i="3"/>
  <c r="S114" i="3"/>
  <c r="J114" i="3"/>
  <c r="I114" i="3"/>
  <c r="G114" i="3"/>
  <c r="H114" i="3" s="1"/>
  <c r="F114" i="3"/>
  <c r="D114" i="3"/>
  <c r="C114" i="3"/>
  <c r="B114" i="3"/>
  <c r="A114" i="3"/>
  <c r="S113" i="3"/>
  <c r="J113" i="3"/>
  <c r="I113" i="3"/>
  <c r="G113" i="3"/>
  <c r="F113" i="3"/>
  <c r="D113" i="3"/>
  <c r="C113" i="3"/>
  <c r="B113" i="3"/>
  <c r="A113" i="3"/>
  <c r="S112" i="3"/>
  <c r="J112" i="3"/>
  <c r="I112" i="3"/>
  <c r="G112" i="3"/>
  <c r="H112" i="3" s="1"/>
  <c r="F112" i="3"/>
  <c r="D112" i="3"/>
  <c r="C112" i="3"/>
  <c r="B112" i="3"/>
  <c r="A112" i="3"/>
  <c r="S111" i="3"/>
  <c r="J111" i="3"/>
  <c r="I111" i="3"/>
  <c r="G111" i="3"/>
  <c r="H111" i="3" s="1"/>
  <c r="F111" i="3"/>
  <c r="D111" i="3"/>
  <c r="C111" i="3"/>
  <c r="B111" i="3"/>
  <c r="A111" i="3"/>
  <c r="S110" i="3"/>
  <c r="J110" i="3"/>
  <c r="I110" i="3"/>
  <c r="G110" i="3"/>
  <c r="F110" i="3"/>
  <c r="D110" i="3"/>
  <c r="C110" i="3"/>
  <c r="B110" i="3"/>
  <c r="A110" i="3"/>
  <c r="S109" i="3"/>
  <c r="J109" i="3"/>
  <c r="I109" i="3"/>
  <c r="H109" i="3"/>
  <c r="G109" i="3"/>
  <c r="F109" i="3"/>
  <c r="D109" i="3"/>
  <c r="C109" i="3"/>
  <c r="B109" i="3"/>
  <c r="A109" i="3"/>
  <c r="S108" i="3"/>
  <c r="J108" i="3"/>
  <c r="I108" i="3"/>
  <c r="H108" i="3"/>
  <c r="G108" i="3"/>
  <c r="F108" i="3"/>
  <c r="D108" i="3"/>
  <c r="C108" i="3"/>
  <c r="B108" i="3"/>
  <c r="A108" i="3"/>
  <c r="S107" i="3"/>
  <c r="J107" i="3"/>
  <c r="I107" i="3"/>
  <c r="G107" i="3"/>
  <c r="H107" i="3" s="1"/>
  <c r="F107" i="3"/>
  <c r="D107" i="3"/>
  <c r="C107" i="3"/>
  <c r="B107" i="3"/>
  <c r="A107" i="3"/>
  <c r="S106" i="3"/>
  <c r="J106" i="3"/>
  <c r="I106" i="3"/>
  <c r="G106" i="3"/>
  <c r="H106" i="3" s="1"/>
  <c r="F106" i="3"/>
  <c r="D106" i="3"/>
  <c r="C106" i="3"/>
  <c r="B106" i="3"/>
  <c r="A106" i="3"/>
  <c r="S105" i="3"/>
  <c r="J105" i="3"/>
  <c r="I105" i="3"/>
  <c r="G105" i="3"/>
  <c r="F105" i="3"/>
  <c r="D105" i="3"/>
  <c r="C105" i="3"/>
  <c r="B105" i="3"/>
  <c r="A105" i="3"/>
  <c r="S104" i="3"/>
  <c r="J104" i="3"/>
  <c r="I104" i="3"/>
  <c r="G104" i="3"/>
  <c r="H104" i="3" s="1"/>
  <c r="F104" i="3"/>
  <c r="D104" i="3"/>
  <c r="C104" i="3"/>
  <c r="B104" i="3"/>
  <c r="A104" i="3"/>
  <c r="S103" i="3"/>
  <c r="J103" i="3"/>
  <c r="I103" i="3"/>
  <c r="G103" i="3"/>
  <c r="H103" i="3" s="1"/>
  <c r="F103" i="3"/>
  <c r="D103" i="3"/>
  <c r="C103" i="3"/>
  <c r="B103" i="3"/>
  <c r="A103" i="3"/>
  <c r="S102" i="3"/>
  <c r="J102" i="3"/>
  <c r="I102" i="3"/>
  <c r="G102" i="3"/>
  <c r="F102" i="3"/>
  <c r="D102" i="3"/>
  <c r="C102" i="3"/>
  <c r="B102" i="3"/>
  <c r="A102" i="3"/>
  <c r="S101" i="3"/>
  <c r="J101" i="3"/>
  <c r="I101" i="3"/>
  <c r="H101" i="3"/>
  <c r="G101" i="3"/>
  <c r="F101" i="3"/>
  <c r="D101" i="3"/>
  <c r="C101" i="3"/>
  <c r="B101" i="3"/>
  <c r="A101" i="3"/>
  <c r="S100" i="3"/>
  <c r="J100" i="3"/>
  <c r="I100" i="3"/>
  <c r="H100" i="3"/>
  <c r="G100" i="3"/>
  <c r="F100" i="3"/>
  <c r="D100" i="3"/>
  <c r="C100" i="3"/>
  <c r="B100" i="3"/>
  <c r="A100" i="3"/>
  <c r="S99" i="3"/>
  <c r="J99" i="3"/>
  <c r="I99" i="3"/>
  <c r="G99" i="3"/>
  <c r="F99" i="3"/>
  <c r="D99" i="3"/>
  <c r="C99" i="3"/>
  <c r="B99" i="3"/>
  <c r="A99" i="3"/>
  <c r="S98" i="3"/>
  <c r="J98" i="3"/>
  <c r="I98" i="3"/>
  <c r="G98" i="3"/>
  <c r="H98" i="3" s="1"/>
  <c r="F98" i="3"/>
  <c r="D98" i="3"/>
  <c r="C98" i="3"/>
  <c r="B98" i="3"/>
  <c r="A98" i="3"/>
  <c r="S97" i="3"/>
  <c r="J97" i="3"/>
  <c r="I97" i="3"/>
  <c r="G97" i="3"/>
  <c r="F97" i="3"/>
  <c r="D97" i="3"/>
  <c r="C97" i="3"/>
  <c r="B97" i="3"/>
  <c r="A97" i="3"/>
  <c r="S96" i="3"/>
  <c r="J96" i="3"/>
  <c r="I96" i="3"/>
  <c r="G96" i="3"/>
  <c r="H96" i="3" s="1"/>
  <c r="F96" i="3"/>
  <c r="D96" i="3"/>
  <c r="C96" i="3"/>
  <c r="B96" i="3"/>
  <c r="A96" i="3"/>
  <c r="S95" i="3"/>
  <c r="J95" i="3"/>
  <c r="I95" i="3"/>
  <c r="H95" i="3"/>
  <c r="G95" i="3"/>
  <c r="F95" i="3"/>
  <c r="D95" i="3"/>
  <c r="C95" i="3"/>
  <c r="B95" i="3"/>
  <c r="A95" i="3"/>
  <c r="S94" i="3"/>
  <c r="J94" i="3"/>
  <c r="I94" i="3"/>
  <c r="G94" i="3"/>
  <c r="F94" i="3"/>
  <c r="D94" i="3"/>
  <c r="C94" i="3"/>
  <c r="B94" i="3"/>
  <c r="A94" i="3"/>
  <c r="S93" i="3"/>
  <c r="J93" i="3"/>
  <c r="I93" i="3"/>
  <c r="H93" i="3"/>
  <c r="G93" i="3"/>
  <c r="F93" i="3"/>
  <c r="D93" i="3"/>
  <c r="C93" i="3"/>
  <c r="B93" i="3"/>
  <c r="A93" i="3"/>
  <c r="S92" i="3"/>
  <c r="J92" i="3"/>
  <c r="I92" i="3"/>
  <c r="H92" i="3"/>
  <c r="G92" i="3"/>
  <c r="F92" i="3"/>
  <c r="D92" i="3"/>
  <c r="C92" i="3"/>
  <c r="B92" i="3"/>
  <c r="A92" i="3"/>
  <c r="S91" i="3"/>
  <c r="J91" i="3"/>
  <c r="I91" i="3"/>
  <c r="H91" i="3"/>
  <c r="G91" i="3"/>
  <c r="F91" i="3"/>
  <c r="D91" i="3"/>
  <c r="C91" i="3"/>
  <c r="B91" i="3"/>
  <c r="A91" i="3"/>
  <c r="S90" i="3"/>
  <c r="J90" i="3"/>
  <c r="I90" i="3"/>
  <c r="G90" i="3"/>
  <c r="H90" i="3" s="1"/>
  <c r="F90" i="3"/>
  <c r="D90" i="3"/>
  <c r="C90" i="3"/>
  <c r="B90" i="3"/>
  <c r="A90" i="3"/>
  <c r="S89" i="3"/>
  <c r="J89" i="3"/>
  <c r="I89" i="3"/>
  <c r="G89" i="3"/>
  <c r="F89" i="3"/>
  <c r="D89" i="3"/>
  <c r="C89" i="3"/>
  <c r="B89" i="3"/>
  <c r="A89" i="3"/>
  <c r="S88" i="3"/>
  <c r="J88" i="3"/>
  <c r="I88" i="3"/>
  <c r="G88" i="3"/>
  <c r="H88" i="3" s="1"/>
  <c r="F88" i="3"/>
  <c r="D88" i="3"/>
  <c r="C88" i="3"/>
  <c r="B88" i="3"/>
  <c r="A88" i="3"/>
  <c r="S87" i="3"/>
  <c r="J87" i="3"/>
  <c r="I87" i="3"/>
  <c r="G87" i="3"/>
  <c r="F87" i="3"/>
  <c r="D87" i="3"/>
  <c r="C87" i="3"/>
  <c r="B87" i="3"/>
  <c r="A87" i="3"/>
  <c r="S86" i="3"/>
  <c r="J86" i="3"/>
  <c r="I86" i="3"/>
  <c r="H86" i="3"/>
  <c r="G86" i="3"/>
  <c r="F86" i="3"/>
  <c r="D86" i="3"/>
  <c r="C86" i="3"/>
  <c r="B86" i="3"/>
  <c r="A86" i="3"/>
  <c r="S85" i="3"/>
  <c r="J85" i="3"/>
  <c r="I85" i="3"/>
  <c r="G85" i="3"/>
  <c r="F85" i="3"/>
  <c r="D85" i="3"/>
  <c r="C85" i="3"/>
  <c r="B85" i="3"/>
  <c r="A85" i="3"/>
  <c r="S84" i="3"/>
  <c r="J84" i="3"/>
  <c r="I84" i="3"/>
  <c r="H84" i="3"/>
  <c r="G84" i="3"/>
  <c r="F84" i="3"/>
  <c r="D84" i="3"/>
  <c r="C84" i="3"/>
  <c r="B84" i="3"/>
  <c r="A84" i="3"/>
  <c r="S83" i="3"/>
  <c r="J83" i="3"/>
  <c r="I83" i="3"/>
  <c r="H83" i="3"/>
  <c r="G83" i="3"/>
  <c r="F83" i="3"/>
  <c r="D83" i="3"/>
  <c r="C83" i="3"/>
  <c r="B83" i="3"/>
  <c r="A83" i="3"/>
  <c r="S82" i="3"/>
  <c r="J82" i="3"/>
  <c r="I82" i="3"/>
  <c r="G82" i="3"/>
  <c r="F82" i="3"/>
  <c r="D82" i="3"/>
  <c r="C82" i="3"/>
  <c r="B82" i="3"/>
  <c r="A82" i="3"/>
  <c r="S81" i="3"/>
  <c r="J81" i="3"/>
  <c r="I81" i="3"/>
  <c r="G81" i="3"/>
  <c r="F81" i="3"/>
  <c r="D81" i="3"/>
  <c r="C81" i="3"/>
  <c r="B81" i="3"/>
  <c r="A81" i="3"/>
  <c r="S80" i="3"/>
  <c r="J80" i="3"/>
  <c r="I80" i="3"/>
  <c r="G80" i="3"/>
  <c r="H80" i="3" s="1"/>
  <c r="F80" i="3"/>
  <c r="D80" i="3"/>
  <c r="C80" i="3"/>
  <c r="B80" i="3"/>
  <c r="A80" i="3"/>
  <c r="S79" i="3"/>
  <c r="J79" i="3"/>
  <c r="I79" i="3"/>
  <c r="G79" i="3"/>
  <c r="F79" i="3"/>
  <c r="D79" i="3"/>
  <c r="C79" i="3"/>
  <c r="B79" i="3"/>
  <c r="A79" i="3"/>
  <c r="S78" i="3"/>
  <c r="J78" i="3"/>
  <c r="I78" i="3"/>
  <c r="H78" i="3"/>
  <c r="G78" i="3"/>
  <c r="F78" i="3"/>
  <c r="D78" i="3"/>
  <c r="C78" i="3"/>
  <c r="B78" i="3"/>
  <c r="A78" i="3"/>
  <c r="S77" i="3"/>
  <c r="J77" i="3"/>
  <c r="I77" i="3"/>
  <c r="H77" i="3"/>
  <c r="G77" i="3"/>
  <c r="F77" i="3"/>
  <c r="D77" i="3"/>
  <c r="C77" i="3"/>
  <c r="B77" i="3"/>
  <c r="A77" i="3"/>
  <c r="S76" i="3"/>
  <c r="J76" i="3"/>
  <c r="I76" i="3"/>
  <c r="G76" i="3"/>
  <c r="F76" i="3"/>
  <c r="D76" i="3"/>
  <c r="C76" i="3"/>
  <c r="B76" i="3"/>
  <c r="A76" i="3"/>
  <c r="S75" i="3"/>
  <c r="J75" i="3"/>
  <c r="I75" i="3"/>
  <c r="H75" i="3"/>
  <c r="G75" i="3"/>
  <c r="F75" i="3"/>
  <c r="D75" i="3"/>
  <c r="C75" i="3"/>
  <c r="B75" i="3"/>
  <c r="A75" i="3"/>
  <c r="S74" i="3"/>
  <c r="J74" i="3"/>
  <c r="I74" i="3"/>
  <c r="G74" i="3"/>
  <c r="H74" i="3" s="1"/>
  <c r="F74" i="3"/>
  <c r="D74" i="3"/>
  <c r="C74" i="3"/>
  <c r="B74" i="3"/>
  <c r="A74" i="3"/>
  <c r="S73" i="3"/>
  <c r="J73" i="3"/>
  <c r="I73" i="3"/>
  <c r="G73" i="3"/>
  <c r="F73" i="3"/>
  <c r="D73" i="3"/>
  <c r="C73" i="3"/>
  <c r="B73" i="3"/>
  <c r="A73" i="3"/>
  <c r="S72" i="3"/>
  <c r="J72" i="3"/>
  <c r="I72" i="3"/>
  <c r="G72" i="3"/>
  <c r="F72" i="3"/>
  <c r="D72" i="3"/>
  <c r="C72" i="3"/>
  <c r="B72" i="3"/>
  <c r="A72" i="3"/>
  <c r="S71" i="3"/>
  <c r="J71" i="3"/>
  <c r="I71" i="3"/>
  <c r="G71" i="3"/>
  <c r="H71" i="3" s="1"/>
  <c r="F71" i="3"/>
  <c r="D71" i="3"/>
  <c r="C71" i="3"/>
  <c r="B71" i="3"/>
  <c r="A71" i="3"/>
  <c r="S70" i="3"/>
  <c r="J70" i="3"/>
  <c r="I70" i="3"/>
  <c r="G70" i="3"/>
  <c r="H70" i="3" s="1"/>
  <c r="F70" i="3"/>
  <c r="D70" i="3"/>
  <c r="C70" i="3"/>
  <c r="B70" i="3"/>
  <c r="A70" i="3"/>
  <c r="S69" i="3"/>
  <c r="J69" i="3"/>
  <c r="I69" i="3"/>
  <c r="H69" i="3"/>
  <c r="G69" i="3"/>
  <c r="F69" i="3"/>
  <c r="D69" i="3"/>
  <c r="C69" i="3"/>
  <c r="B69" i="3"/>
  <c r="A69" i="3"/>
  <c r="S68" i="3"/>
  <c r="J68" i="3"/>
  <c r="I68" i="3"/>
  <c r="G68" i="3"/>
  <c r="H68" i="3" s="1"/>
  <c r="F68" i="3"/>
  <c r="D68" i="3"/>
  <c r="C68" i="3"/>
  <c r="B68" i="3"/>
  <c r="A68" i="3"/>
  <c r="S67" i="3"/>
  <c r="J67" i="3"/>
  <c r="I67" i="3"/>
  <c r="G67" i="3"/>
  <c r="F67" i="3"/>
  <c r="D67" i="3"/>
  <c r="C67" i="3"/>
  <c r="B67" i="3"/>
  <c r="A67" i="3"/>
  <c r="S66" i="3"/>
  <c r="J66" i="3"/>
  <c r="I66" i="3"/>
  <c r="G66" i="3"/>
  <c r="H66" i="3" s="1"/>
  <c r="F66" i="3"/>
  <c r="D66" i="3"/>
  <c r="C66" i="3"/>
  <c r="B66" i="3"/>
  <c r="A66" i="3"/>
  <c r="S65" i="3"/>
  <c r="J65" i="3"/>
  <c r="I65" i="3"/>
  <c r="G65" i="3"/>
  <c r="F65" i="3"/>
  <c r="D65" i="3"/>
  <c r="C65" i="3"/>
  <c r="B65" i="3"/>
  <c r="A65" i="3"/>
  <c r="S64" i="3"/>
  <c r="J64" i="3"/>
  <c r="I64" i="3"/>
  <c r="G64" i="3"/>
  <c r="F64" i="3"/>
  <c r="D64" i="3"/>
  <c r="C64" i="3"/>
  <c r="B64" i="3"/>
  <c r="A64" i="3"/>
  <c r="S63" i="3"/>
  <c r="J63" i="3"/>
  <c r="I63" i="3"/>
  <c r="G63" i="3"/>
  <c r="H63" i="3" s="1"/>
  <c r="F63" i="3"/>
  <c r="D63" i="3"/>
  <c r="C63" i="3"/>
  <c r="B63" i="3"/>
  <c r="A63" i="3"/>
  <c r="S62" i="3"/>
  <c r="J62" i="3"/>
  <c r="I62" i="3"/>
  <c r="G62" i="3"/>
  <c r="H62" i="3" s="1"/>
  <c r="F62" i="3"/>
  <c r="D62" i="3"/>
  <c r="C62" i="3"/>
  <c r="B62" i="3"/>
  <c r="A62" i="3"/>
  <c r="S61" i="3"/>
  <c r="J61" i="3"/>
  <c r="I61" i="3"/>
  <c r="H61" i="3"/>
  <c r="G61" i="3"/>
  <c r="F61" i="3"/>
  <c r="D61" i="3"/>
  <c r="C61" i="3"/>
  <c r="B61" i="3"/>
  <c r="A61" i="3"/>
  <c r="S60" i="3"/>
  <c r="J60" i="3"/>
  <c r="I60" i="3"/>
  <c r="G60" i="3"/>
  <c r="H60" i="3" s="1"/>
  <c r="F60" i="3"/>
  <c r="D60" i="3"/>
  <c r="C60" i="3"/>
  <c r="B60" i="3"/>
  <c r="A60" i="3"/>
  <c r="S59" i="3"/>
  <c r="J59" i="3"/>
  <c r="I59" i="3"/>
  <c r="G59" i="3"/>
  <c r="F59" i="3"/>
  <c r="D59" i="3"/>
  <c r="C59" i="3"/>
  <c r="B59" i="3"/>
  <c r="A59" i="3"/>
  <c r="S58" i="3"/>
  <c r="J58" i="3"/>
  <c r="I58" i="3"/>
  <c r="G58" i="3"/>
  <c r="H58" i="3" s="1"/>
  <c r="F58" i="3"/>
  <c r="D58" i="3"/>
  <c r="C58" i="3"/>
  <c r="B58" i="3"/>
  <c r="A58" i="3"/>
  <c r="S57" i="3"/>
  <c r="J57" i="3"/>
  <c r="I57" i="3"/>
  <c r="G57" i="3"/>
  <c r="F57" i="3"/>
  <c r="D57" i="3"/>
  <c r="C57" i="3"/>
  <c r="B57" i="3"/>
  <c r="A57" i="3"/>
  <c r="S56" i="3"/>
  <c r="J56" i="3"/>
  <c r="I56" i="3"/>
  <c r="G56" i="3"/>
  <c r="F56" i="3"/>
  <c r="D56" i="3"/>
  <c r="C56" i="3"/>
  <c r="B56" i="3"/>
  <c r="A56" i="3"/>
  <c r="S55" i="3"/>
  <c r="J55" i="3"/>
  <c r="I55" i="3"/>
  <c r="G55" i="3"/>
  <c r="H55" i="3" s="1"/>
  <c r="F55" i="3"/>
  <c r="D55" i="3"/>
  <c r="C55" i="3"/>
  <c r="B55" i="3"/>
  <c r="A55" i="3"/>
  <c r="S54" i="3"/>
  <c r="J54" i="3"/>
  <c r="I54" i="3"/>
  <c r="G54" i="3"/>
  <c r="H54" i="3" s="1"/>
  <c r="F54" i="3"/>
  <c r="D54" i="3"/>
  <c r="C54" i="3"/>
  <c r="B54" i="3"/>
  <c r="A54" i="3"/>
  <c r="S53" i="3"/>
  <c r="J53" i="3"/>
  <c r="I53" i="3"/>
  <c r="H53" i="3"/>
  <c r="G53" i="3"/>
  <c r="F53" i="3"/>
  <c r="D53" i="3"/>
  <c r="C53" i="3"/>
  <c r="B53" i="3"/>
  <c r="A53" i="3"/>
  <c r="S52" i="3"/>
  <c r="J52" i="3"/>
  <c r="I52" i="3"/>
  <c r="G52" i="3"/>
  <c r="H52" i="3" s="1"/>
  <c r="F52" i="3"/>
  <c r="D52" i="3"/>
  <c r="C52" i="3"/>
  <c r="B52" i="3"/>
  <c r="A52" i="3"/>
  <c r="S51" i="3"/>
  <c r="J51" i="3"/>
  <c r="I51" i="3"/>
  <c r="G51" i="3"/>
  <c r="F51" i="3"/>
  <c r="D51" i="3"/>
  <c r="C51" i="3"/>
  <c r="B51" i="3"/>
  <c r="A51" i="3"/>
  <c r="S50" i="3"/>
  <c r="J50" i="3"/>
  <c r="I50" i="3"/>
  <c r="G50" i="3"/>
  <c r="H50" i="3" s="1"/>
  <c r="F50" i="3"/>
  <c r="D50" i="3"/>
  <c r="C50" i="3"/>
  <c r="B50" i="3"/>
  <c r="A50" i="3"/>
  <c r="S49" i="3"/>
  <c r="J49" i="3"/>
  <c r="I49" i="3"/>
  <c r="H49" i="3"/>
  <c r="G49" i="3"/>
  <c r="F49" i="3"/>
  <c r="D49" i="3"/>
  <c r="C49" i="3"/>
  <c r="B49" i="3"/>
  <c r="A49" i="3"/>
  <c r="S48" i="3"/>
  <c r="J48" i="3"/>
  <c r="I48" i="3"/>
  <c r="G48" i="3"/>
  <c r="F48" i="3"/>
  <c r="D48" i="3"/>
  <c r="C48" i="3"/>
  <c r="B48" i="3"/>
  <c r="A48" i="3"/>
  <c r="S47" i="3"/>
  <c r="J47" i="3"/>
  <c r="I47" i="3"/>
  <c r="G47" i="3"/>
  <c r="H47" i="3" s="1"/>
  <c r="F47" i="3"/>
  <c r="D47" i="3"/>
  <c r="C47" i="3"/>
  <c r="B47" i="3"/>
  <c r="A47" i="3"/>
  <c r="S46" i="3"/>
  <c r="J46" i="3"/>
  <c r="I46" i="3"/>
  <c r="G46" i="3"/>
  <c r="H46" i="3" s="1"/>
  <c r="F46" i="3"/>
  <c r="D46" i="3"/>
  <c r="C46" i="3"/>
  <c r="B46" i="3"/>
  <c r="A46" i="3"/>
  <c r="S45" i="3"/>
  <c r="J45" i="3"/>
  <c r="I45" i="3"/>
  <c r="H45" i="3"/>
  <c r="G45" i="3"/>
  <c r="F45" i="3"/>
  <c r="D45" i="3"/>
  <c r="C45" i="3"/>
  <c r="B45" i="3"/>
  <c r="A45" i="3"/>
  <c r="S44" i="3"/>
  <c r="J44" i="3"/>
  <c r="I44" i="3"/>
  <c r="G44" i="3"/>
  <c r="H44" i="3" s="1"/>
  <c r="F44" i="3"/>
  <c r="D44" i="3"/>
  <c r="C44" i="3"/>
  <c r="B44" i="3"/>
  <c r="A44" i="3"/>
  <c r="S43" i="3"/>
  <c r="J43" i="3"/>
  <c r="I43" i="3"/>
  <c r="G43" i="3"/>
  <c r="F43" i="3"/>
  <c r="D43" i="3"/>
  <c r="C43" i="3"/>
  <c r="B43" i="3"/>
  <c r="A43" i="3"/>
  <c r="S42" i="3"/>
  <c r="J42" i="3"/>
  <c r="I42" i="3"/>
  <c r="G42" i="3"/>
  <c r="H42" i="3" s="1"/>
  <c r="F42" i="3"/>
  <c r="D42" i="3"/>
  <c r="C42" i="3"/>
  <c r="B42" i="3"/>
  <c r="A42" i="3"/>
  <c r="S41" i="3"/>
  <c r="J41" i="3"/>
  <c r="I41" i="3"/>
  <c r="H41" i="3"/>
  <c r="G41" i="3"/>
  <c r="F41" i="3"/>
  <c r="D41" i="3"/>
  <c r="C41" i="3"/>
  <c r="B41" i="3"/>
  <c r="A41" i="3"/>
  <c r="S40" i="3"/>
  <c r="J40" i="3"/>
  <c r="I40" i="3"/>
  <c r="G40" i="3"/>
  <c r="F40" i="3"/>
  <c r="D40" i="3"/>
  <c r="C40" i="3"/>
  <c r="B40" i="3"/>
  <c r="A40" i="3"/>
  <c r="S39" i="3"/>
  <c r="J39" i="3"/>
  <c r="I39" i="3"/>
  <c r="G39" i="3"/>
  <c r="H39" i="3" s="1"/>
  <c r="F39" i="3"/>
  <c r="D39" i="3"/>
  <c r="C39" i="3"/>
  <c r="B39" i="3"/>
  <c r="A39" i="3"/>
  <c r="S38" i="3"/>
  <c r="J38" i="3"/>
  <c r="I38" i="3"/>
  <c r="G38" i="3"/>
  <c r="H38" i="3" s="1"/>
  <c r="F38" i="3"/>
  <c r="D38" i="3"/>
  <c r="C38" i="3"/>
  <c r="B38" i="3"/>
  <c r="A38" i="3"/>
  <c r="S37" i="3"/>
  <c r="J37" i="3"/>
  <c r="I37" i="3"/>
  <c r="H37" i="3"/>
  <c r="G37" i="3"/>
  <c r="F37" i="3"/>
  <c r="D37" i="3"/>
  <c r="C37" i="3"/>
  <c r="B37" i="3"/>
  <c r="A37" i="3"/>
  <c r="S36" i="3"/>
  <c r="J36" i="3"/>
  <c r="I36" i="3"/>
  <c r="G36" i="3"/>
  <c r="H36" i="3" s="1"/>
  <c r="F36" i="3"/>
  <c r="D36" i="3"/>
  <c r="C36" i="3"/>
  <c r="B36" i="3"/>
  <c r="A36" i="3"/>
  <c r="S35" i="3"/>
  <c r="J35" i="3"/>
  <c r="I35" i="3"/>
  <c r="G35" i="3"/>
  <c r="F35" i="3"/>
  <c r="D35" i="3"/>
  <c r="C35" i="3"/>
  <c r="B35" i="3"/>
  <c r="A35" i="3"/>
  <c r="S34" i="3"/>
  <c r="J34" i="3"/>
  <c r="I34" i="3"/>
  <c r="G34" i="3"/>
  <c r="H34" i="3" s="1"/>
  <c r="F34" i="3"/>
  <c r="D34" i="3"/>
  <c r="C34" i="3"/>
  <c r="B34" i="3"/>
  <c r="A34" i="3"/>
  <c r="S33" i="3"/>
  <c r="J33" i="3"/>
  <c r="I33" i="3"/>
  <c r="H33" i="3"/>
  <c r="G33" i="3"/>
  <c r="F33" i="3"/>
  <c r="D33" i="3"/>
  <c r="C33" i="3"/>
  <c r="B33" i="3"/>
  <c r="A33" i="3"/>
  <c r="S32" i="3"/>
  <c r="J32" i="3"/>
  <c r="I32" i="3"/>
  <c r="G32" i="3"/>
  <c r="F32" i="3"/>
  <c r="D32" i="3"/>
  <c r="C32" i="3"/>
  <c r="B32" i="3"/>
  <c r="A32" i="3"/>
  <c r="S31" i="3"/>
  <c r="J31" i="3"/>
  <c r="I31" i="3"/>
  <c r="G31" i="3"/>
  <c r="H31" i="3" s="1"/>
  <c r="F31" i="3"/>
  <c r="D31" i="3"/>
  <c r="C31" i="3"/>
  <c r="B31" i="3"/>
  <c r="A31" i="3"/>
  <c r="S30" i="3"/>
  <c r="J30" i="3"/>
  <c r="I30" i="3"/>
  <c r="G30" i="3"/>
  <c r="H30" i="3" s="1"/>
  <c r="F30" i="3"/>
  <c r="D30" i="3"/>
  <c r="C30" i="3"/>
  <c r="B30" i="3"/>
  <c r="A30" i="3"/>
  <c r="S29" i="3"/>
  <c r="J29" i="3"/>
  <c r="I29" i="3"/>
  <c r="H29" i="3"/>
  <c r="G29" i="3"/>
  <c r="F29" i="3"/>
  <c r="D29" i="3"/>
  <c r="C29" i="3"/>
  <c r="B29" i="3"/>
  <c r="A29" i="3"/>
  <c r="S28" i="3"/>
  <c r="J28" i="3"/>
  <c r="I28" i="3"/>
  <c r="G28" i="3"/>
  <c r="H28" i="3" s="1"/>
  <c r="F28" i="3"/>
  <c r="D28" i="3"/>
  <c r="C28" i="3"/>
  <c r="B28" i="3"/>
  <c r="A28" i="3"/>
  <c r="S27" i="3"/>
  <c r="J27" i="3"/>
  <c r="I27" i="3"/>
  <c r="G27" i="3"/>
  <c r="F27" i="3"/>
  <c r="D27" i="3"/>
  <c r="C27" i="3"/>
  <c r="B27" i="3"/>
  <c r="A27" i="3"/>
  <c r="S26" i="3"/>
  <c r="J26" i="3"/>
  <c r="I26" i="3"/>
  <c r="G26" i="3"/>
  <c r="H26" i="3" s="1"/>
  <c r="F26" i="3"/>
  <c r="D26" i="3"/>
  <c r="C26" i="3"/>
  <c r="B26" i="3"/>
  <c r="A26" i="3"/>
  <c r="S25" i="3"/>
  <c r="J25" i="3"/>
  <c r="I25" i="3"/>
  <c r="G25" i="3"/>
  <c r="F25" i="3"/>
  <c r="D25" i="3"/>
  <c r="C25" i="3"/>
  <c r="B25" i="3"/>
  <c r="A25" i="3"/>
  <c r="S24" i="3"/>
  <c r="J24" i="3"/>
  <c r="I24" i="3"/>
  <c r="G24" i="3"/>
  <c r="F24" i="3"/>
  <c r="D24" i="3"/>
  <c r="C24" i="3"/>
  <c r="B24" i="3"/>
  <c r="A24" i="3"/>
  <c r="S23" i="3"/>
  <c r="J23" i="3"/>
  <c r="I23" i="3"/>
  <c r="G23" i="3"/>
  <c r="F23" i="3"/>
  <c r="D23" i="3"/>
  <c r="C23" i="3"/>
  <c r="B23" i="3"/>
  <c r="A23" i="3"/>
  <c r="S22" i="3"/>
  <c r="J22" i="3"/>
  <c r="I22" i="3"/>
  <c r="G22" i="3"/>
  <c r="H22" i="3" s="1"/>
  <c r="F22" i="3"/>
  <c r="D22" i="3"/>
  <c r="C22" i="3"/>
  <c r="B22" i="3"/>
  <c r="A22" i="3"/>
  <c r="S21" i="3"/>
  <c r="J21" i="3"/>
  <c r="I21" i="3"/>
  <c r="H21" i="3"/>
  <c r="G21" i="3"/>
  <c r="F21" i="3"/>
  <c r="D21" i="3"/>
  <c r="C21" i="3"/>
  <c r="B21" i="3"/>
  <c r="A21" i="3"/>
  <c r="S20" i="3"/>
  <c r="J20" i="3"/>
  <c r="I20" i="3"/>
  <c r="G20" i="3"/>
  <c r="H20" i="3" s="1"/>
  <c r="F20" i="3"/>
  <c r="D20" i="3"/>
  <c r="C20" i="3"/>
  <c r="B20" i="3"/>
  <c r="A20" i="3"/>
  <c r="S19" i="3"/>
  <c r="J19" i="3"/>
  <c r="I19" i="3"/>
  <c r="G19" i="3"/>
  <c r="F19" i="3"/>
  <c r="D19" i="3"/>
  <c r="C19" i="3"/>
  <c r="B19" i="3"/>
  <c r="A19" i="3"/>
  <c r="S18" i="3"/>
  <c r="J18" i="3"/>
  <c r="I18" i="3"/>
  <c r="G18" i="3"/>
  <c r="H18" i="3" s="1"/>
  <c r="F18" i="3"/>
  <c r="D18" i="3"/>
  <c r="C18" i="3"/>
  <c r="B18" i="3"/>
  <c r="A18" i="3"/>
  <c r="S17" i="3"/>
  <c r="J17" i="3"/>
  <c r="I17" i="3"/>
  <c r="H17" i="3"/>
  <c r="G17" i="3"/>
  <c r="F17" i="3"/>
  <c r="D17" i="3"/>
  <c r="C17" i="3"/>
  <c r="B17" i="3"/>
  <c r="A17" i="3"/>
  <c r="S16" i="3"/>
  <c r="J16" i="3"/>
  <c r="I16" i="3"/>
  <c r="G16" i="3"/>
  <c r="F16" i="3"/>
  <c r="D16" i="3"/>
  <c r="C16" i="3"/>
  <c r="B16" i="3"/>
  <c r="A16" i="3"/>
  <c r="S15" i="3"/>
  <c r="J15" i="3"/>
  <c r="I15" i="3"/>
  <c r="G15" i="3"/>
  <c r="F15" i="3"/>
  <c r="D15" i="3"/>
  <c r="C15" i="3"/>
  <c r="B15" i="3"/>
  <c r="A15" i="3"/>
  <c r="S14" i="3"/>
  <c r="J14" i="3"/>
  <c r="I14" i="3"/>
  <c r="G14" i="3"/>
  <c r="H14" i="3" s="1"/>
  <c r="F14" i="3"/>
  <c r="D14" i="3"/>
  <c r="C14" i="3"/>
  <c r="B14" i="3"/>
  <c r="A14" i="3"/>
  <c r="S13" i="3"/>
  <c r="J13" i="3"/>
  <c r="I13" i="3"/>
  <c r="H13" i="3"/>
  <c r="G13" i="3"/>
  <c r="F13" i="3"/>
  <c r="D13" i="3"/>
  <c r="C13" i="3"/>
  <c r="B13" i="3"/>
  <c r="A13" i="3"/>
  <c r="H25" i="3" l="1"/>
  <c r="H65" i="3"/>
  <c r="H94" i="3"/>
  <c r="H99" i="3"/>
  <c r="H127" i="3"/>
  <c r="H134" i="3"/>
  <c r="H57" i="3"/>
  <c r="H85" i="3"/>
  <c r="H87" i="3"/>
  <c r="H102" i="3"/>
  <c r="H110" i="3"/>
  <c r="H118" i="3"/>
  <c r="H132" i="3"/>
  <c r="H140" i="3"/>
  <c r="H128" i="3"/>
  <c r="H136" i="3"/>
  <c r="H16" i="3"/>
  <c r="H56" i="3"/>
  <c r="H64" i="3"/>
  <c r="H32" i="3"/>
  <c r="H40" i="3"/>
  <c r="H48" i="3"/>
  <c r="H24" i="3"/>
  <c r="H72" i="3"/>
  <c r="H76" i="3"/>
  <c r="H121" i="3"/>
  <c r="H19" i="3"/>
  <c r="H27" i="3"/>
  <c r="H35" i="3"/>
  <c r="H43" i="3"/>
  <c r="H51" i="3"/>
  <c r="H59" i="3"/>
  <c r="H67" i="3"/>
  <c r="H79" i="3"/>
  <c r="H73" i="3"/>
  <c r="H113" i="3"/>
  <c r="H82" i="3"/>
  <c r="H89" i="3"/>
  <c r="H105" i="3"/>
  <c r="H15" i="3"/>
  <c r="H23" i="3"/>
  <c r="H97" i="3"/>
  <c r="H81" i="3"/>
  <c r="H135" i="3"/>
  <c r="H122" i="3"/>
  <c r="H126" i="3"/>
  <c r="F5" i="4" l="1"/>
  <c r="E1" i="4" l="1"/>
  <c r="D1" i="3"/>
  <c r="E17" i="9" l="1"/>
  <c r="C17" i="9"/>
  <c r="B9" i="3" l="1"/>
  <c r="B10" i="4"/>
  <c r="J24" i="9" s="1"/>
  <c r="B6" i="4" l="1"/>
  <c r="B5" i="4"/>
  <c r="B7" i="4" l="1"/>
  <c r="B4" i="9"/>
  <c r="A2" i="4" l="1"/>
  <c r="B6" i="3" l="1"/>
  <c r="B5" i="3"/>
  <c r="A2" i="3"/>
  <c r="B7" i="3" l="1"/>
  <c r="L12" i="3" l="1"/>
  <c r="K12" i="3"/>
  <c r="N12" i="3" s="1"/>
  <c r="S12" i="3" l="1"/>
  <c r="J12" i="3"/>
  <c r="D12" i="3"/>
  <c r="G12" i="3"/>
  <c r="H12" i="3" s="1"/>
  <c r="I12" i="3"/>
  <c r="F12" i="3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C12" i="3"/>
  <c r="B12" i="3"/>
  <c r="A12" i="3"/>
  <c r="K13" i="3" s="1"/>
  <c r="N13" i="3" l="1"/>
  <c r="P13" i="3" s="1"/>
  <c r="Q13" i="3" s="1"/>
  <c r="R13" i="3" s="1"/>
  <c r="K14" i="3"/>
  <c r="P12" i="3"/>
  <c r="N14" i="3" l="1"/>
  <c r="N15" i="3" s="1"/>
  <c r="K15" i="3"/>
  <c r="Q12" i="3"/>
  <c r="R12" i="3" s="1"/>
  <c r="P14" i="3" l="1"/>
  <c r="Q14" i="3" s="1"/>
  <c r="R14" i="3" s="1"/>
  <c r="K16" i="3"/>
  <c r="N16" i="3" s="1"/>
  <c r="P15" i="3"/>
  <c r="Q15" i="3" s="1"/>
  <c r="R15" i="3" s="1"/>
  <c r="K17" i="3" l="1"/>
  <c r="N17" i="3" s="1"/>
  <c r="P16" i="3"/>
  <c r="Q16" i="3" s="1"/>
  <c r="R16" i="3" s="1"/>
  <c r="P17" i="3" l="1"/>
  <c r="Q17" i="3" s="1"/>
  <c r="R17" i="3" s="1"/>
  <c r="K18" i="3"/>
  <c r="N18" i="3" s="1"/>
  <c r="P18" i="3" l="1"/>
  <c r="Q18" i="3" s="1"/>
  <c r="R18" i="3" s="1"/>
  <c r="K19" i="3"/>
  <c r="N19" i="3" s="1"/>
  <c r="P19" i="3" l="1"/>
  <c r="Q19" i="3" s="1"/>
  <c r="R19" i="3" s="1"/>
  <c r="K20" i="3"/>
  <c r="N20" i="3" s="1"/>
  <c r="K21" i="3" l="1"/>
  <c r="N21" i="3" s="1"/>
  <c r="P20" i="3"/>
  <c r="Q20" i="3" s="1"/>
  <c r="R20" i="3" s="1"/>
  <c r="K22" i="3" l="1"/>
  <c r="N22" i="3" s="1"/>
  <c r="P21" i="3"/>
  <c r="Q21" i="3" s="1"/>
  <c r="R21" i="3" s="1"/>
  <c r="K23" i="3" l="1"/>
  <c r="N23" i="3" s="1"/>
  <c r="P22" i="3"/>
  <c r="Q22" i="3" s="1"/>
  <c r="R22" i="3" s="1"/>
  <c r="K24" i="3" l="1"/>
  <c r="N24" i="3" s="1"/>
  <c r="P23" i="3"/>
  <c r="Q23" i="3" s="1"/>
  <c r="R23" i="3" s="1"/>
  <c r="K25" i="3" l="1"/>
  <c r="N25" i="3" s="1"/>
  <c r="P24" i="3"/>
  <c r="Q24" i="3" s="1"/>
  <c r="R24" i="3" s="1"/>
  <c r="K26" i="3" l="1"/>
  <c r="N26" i="3" s="1"/>
  <c r="P25" i="3"/>
  <c r="Q25" i="3" s="1"/>
  <c r="R25" i="3" s="1"/>
  <c r="K27" i="3" l="1"/>
  <c r="N27" i="3" s="1"/>
  <c r="P26" i="3"/>
  <c r="Q26" i="3" s="1"/>
  <c r="R26" i="3" s="1"/>
  <c r="K28" i="3" l="1"/>
  <c r="N28" i="3" s="1"/>
  <c r="P27" i="3"/>
  <c r="Q27" i="3" s="1"/>
  <c r="R27" i="3" s="1"/>
  <c r="K29" i="3" l="1"/>
  <c r="N29" i="3" s="1"/>
  <c r="P28" i="3"/>
  <c r="Q28" i="3" s="1"/>
  <c r="R28" i="3" s="1"/>
  <c r="P29" i="3" l="1"/>
  <c r="Q29" i="3" s="1"/>
  <c r="R29" i="3" s="1"/>
  <c r="K30" i="3"/>
  <c r="N30" i="3" s="1"/>
  <c r="P30" i="3" l="1"/>
  <c r="Q30" i="3" s="1"/>
  <c r="R30" i="3" s="1"/>
  <c r="K31" i="3"/>
  <c r="N31" i="3" s="1"/>
  <c r="K32" i="3" l="1"/>
  <c r="N32" i="3" s="1"/>
  <c r="P31" i="3"/>
  <c r="Q31" i="3" s="1"/>
  <c r="R31" i="3" s="1"/>
  <c r="K33" i="3" l="1"/>
  <c r="N33" i="3" s="1"/>
  <c r="P32" i="3"/>
  <c r="Q32" i="3" s="1"/>
  <c r="R32" i="3" s="1"/>
  <c r="P33" i="3" l="1"/>
  <c r="Q33" i="3" s="1"/>
  <c r="R33" i="3" s="1"/>
  <c r="K34" i="3"/>
  <c r="N34" i="3" s="1"/>
  <c r="K35" i="3" l="1"/>
  <c r="N35" i="3" s="1"/>
  <c r="P34" i="3"/>
  <c r="Q34" i="3" s="1"/>
  <c r="R34" i="3" s="1"/>
  <c r="P35" i="3" l="1"/>
  <c r="Q35" i="3" s="1"/>
  <c r="R35" i="3" s="1"/>
  <c r="K36" i="3"/>
  <c r="N36" i="3" s="1"/>
  <c r="K37" i="3" l="1"/>
  <c r="N37" i="3" s="1"/>
  <c r="P36" i="3"/>
  <c r="Q36" i="3" s="1"/>
  <c r="R36" i="3" s="1"/>
  <c r="K38" i="3" l="1"/>
  <c r="N38" i="3" s="1"/>
  <c r="P37" i="3"/>
  <c r="Q37" i="3" s="1"/>
  <c r="R37" i="3" s="1"/>
  <c r="K39" i="3" l="1"/>
  <c r="N39" i="3" s="1"/>
  <c r="P38" i="3"/>
  <c r="Q38" i="3" s="1"/>
  <c r="R38" i="3" s="1"/>
  <c r="K40" i="3" l="1"/>
  <c r="N40" i="3" s="1"/>
  <c r="P39" i="3"/>
  <c r="Q39" i="3" s="1"/>
  <c r="R39" i="3" s="1"/>
  <c r="K41" i="3" l="1"/>
  <c r="N41" i="3" s="1"/>
  <c r="P40" i="3"/>
  <c r="Q40" i="3" s="1"/>
  <c r="R40" i="3" s="1"/>
  <c r="K42" i="3" l="1"/>
  <c r="N42" i="3" s="1"/>
  <c r="P41" i="3"/>
  <c r="Q41" i="3" s="1"/>
  <c r="R41" i="3" s="1"/>
  <c r="K43" i="3" l="1"/>
  <c r="N43" i="3" s="1"/>
  <c r="P42" i="3"/>
  <c r="Q42" i="3" s="1"/>
  <c r="R42" i="3" s="1"/>
  <c r="P43" i="3" l="1"/>
  <c r="Q43" i="3" s="1"/>
  <c r="R43" i="3" s="1"/>
  <c r="K44" i="3"/>
  <c r="N44" i="3" s="1"/>
  <c r="K45" i="3" l="1"/>
  <c r="N45" i="3" s="1"/>
  <c r="P44" i="3"/>
  <c r="Q44" i="3" s="1"/>
  <c r="R44" i="3" s="1"/>
  <c r="K46" i="3" l="1"/>
  <c r="N46" i="3" s="1"/>
  <c r="P45" i="3"/>
  <c r="Q45" i="3" s="1"/>
  <c r="R45" i="3" s="1"/>
  <c r="K47" i="3" l="1"/>
  <c r="N47" i="3" s="1"/>
  <c r="P46" i="3"/>
  <c r="Q46" i="3" s="1"/>
  <c r="R46" i="3" s="1"/>
  <c r="K48" i="3" l="1"/>
  <c r="N48" i="3" s="1"/>
  <c r="P47" i="3"/>
  <c r="Q47" i="3" s="1"/>
  <c r="R47" i="3" s="1"/>
  <c r="K49" i="3" l="1"/>
  <c r="N49" i="3" s="1"/>
  <c r="P48" i="3"/>
  <c r="Q48" i="3" s="1"/>
  <c r="R48" i="3" s="1"/>
  <c r="K50" i="3" l="1"/>
  <c r="N50" i="3" s="1"/>
  <c r="P49" i="3"/>
  <c r="Q49" i="3" s="1"/>
  <c r="R49" i="3" s="1"/>
  <c r="K51" i="3" l="1"/>
  <c r="N51" i="3" s="1"/>
  <c r="P50" i="3"/>
  <c r="Q50" i="3" s="1"/>
  <c r="R50" i="3" s="1"/>
  <c r="P51" i="3" l="1"/>
  <c r="Q51" i="3" s="1"/>
  <c r="R51" i="3" s="1"/>
  <c r="K52" i="3"/>
  <c r="N52" i="3" s="1"/>
  <c r="P52" i="3" l="1"/>
  <c r="Q52" i="3" s="1"/>
  <c r="R52" i="3" s="1"/>
  <c r="K53" i="3"/>
  <c r="N53" i="3" s="1"/>
  <c r="K54" i="3" l="1"/>
  <c r="N54" i="3" s="1"/>
  <c r="P53" i="3"/>
  <c r="Q53" i="3" s="1"/>
  <c r="R53" i="3" s="1"/>
  <c r="P54" i="3" l="1"/>
  <c r="Q54" i="3" s="1"/>
  <c r="R54" i="3" s="1"/>
  <c r="K55" i="3"/>
  <c r="N55" i="3" s="1"/>
  <c r="P55" i="3" l="1"/>
  <c r="Q55" i="3" s="1"/>
  <c r="R55" i="3" s="1"/>
  <c r="K56" i="3"/>
  <c r="N56" i="3" s="1"/>
  <c r="P56" i="3" l="1"/>
  <c r="Q56" i="3" s="1"/>
  <c r="R56" i="3" s="1"/>
  <c r="K57" i="3"/>
  <c r="N57" i="3" s="1"/>
  <c r="P57" i="3" l="1"/>
  <c r="Q57" i="3" s="1"/>
  <c r="R57" i="3" s="1"/>
  <c r="K58" i="3"/>
  <c r="N58" i="3" s="1"/>
  <c r="P58" i="3" l="1"/>
  <c r="Q58" i="3" s="1"/>
  <c r="R58" i="3" s="1"/>
  <c r="K59" i="3"/>
  <c r="N59" i="3" s="1"/>
  <c r="P59" i="3" l="1"/>
  <c r="Q59" i="3" s="1"/>
  <c r="R59" i="3" s="1"/>
  <c r="K60" i="3"/>
  <c r="N60" i="3" s="1"/>
  <c r="K61" i="3" l="1"/>
  <c r="N61" i="3" s="1"/>
  <c r="P60" i="3"/>
  <c r="Q60" i="3" s="1"/>
  <c r="R60" i="3" s="1"/>
  <c r="K62" i="3" l="1"/>
  <c r="N62" i="3" s="1"/>
  <c r="P61" i="3"/>
  <c r="Q61" i="3" s="1"/>
  <c r="R61" i="3" s="1"/>
  <c r="K63" i="3" l="1"/>
  <c r="N63" i="3" s="1"/>
  <c r="P62" i="3"/>
  <c r="Q62" i="3" s="1"/>
  <c r="R62" i="3" s="1"/>
  <c r="K64" i="3" l="1"/>
  <c r="N64" i="3" s="1"/>
  <c r="P63" i="3"/>
  <c r="Q63" i="3" s="1"/>
  <c r="R63" i="3" s="1"/>
  <c r="K65" i="3" l="1"/>
  <c r="N65" i="3" s="1"/>
  <c r="P64" i="3"/>
  <c r="Q64" i="3" s="1"/>
  <c r="R64" i="3" s="1"/>
  <c r="K66" i="3" l="1"/>
  <c r="N66" i="3" s="1"/>
  <c r="P65" i="3"/>
  <c r="Q65" i="3" s="1"/>
  <c r="R65" i="3" s="1"/>
  <c r="K67" i="3" l="1"/>
  <c r="N67" i="3" s="1"/>
  <c r="P66" i="3"/>
  <c r="Q66" i="3" s="1"/>
  <c r="R66" i="3" s="1"/>
  <c r="P67" i="3" l="1"/>
  <c r="Q67" i="3" s="1"/>
  <c r="R67" i="3" s="1"/>
  <c r="K68" i="3"/>
  <c r="N68" i="3" s="1"/>
  <c r="K69" i="3" l="1"/>
  <c r="N69" i="3" s="1"/>
  <c r="P68" i="3"/>
  <c r="Q68" i="3" s="1"/>
  <c r="R68" i="3" s="1"/>
  <c r="K70" i="3" l="1"/>
  <c r="N70" i="3" s="1"/>
  <c r="P69" i="3"/>
  <c r="Q69" i="3" s="1"/>
  <c r="R69" i="3" s="1"/>
  <c r="K71" i="3" l="1"/>
  <c r="N71" i="3" s="1"/>
  <c r="P70" i="3"/>
  <c r="Q70" i="3" s="1"/>
  <c r="R70" i="3" s="1"/>
  <c r="K72" i="3" l="1"/>
  <c r="N72" i="3" s="1"/>
  <c r="P71" i="3"/>
  <c r="Q71" i="3" s="1"/>
  <c r="R71" i="3" s="1"/>
  <c r="P72" i="3" l="1"/>
  <c r="Q72" i="3" s="1"/>
  <c r="R72" i="3" s="1"/>
  <c r="K73" i="3"/>
  <c r="N73" i="3" s="1"/>
  <c r="P73" i="3" l="1"/>
  <c r="Q73" i="3" s="1"/>
  <c r="R73" i="3" s="1"/>
  <c r="K74" i="3"/>
  <c r="N74" i="3" s="1"/>
  <c r="P74" i="3" l="1"/>
  <c r="Q74" i="3" s="1"/>
  <c r="R74" i="3" s="1"/>
  <c r="K75" i="3"/>
  <c r="N75" i="3" s="1"/>
  <c r="P75" i="3" l="1"/>
  <c r="Q75" i="3" s="1"/>
  <c r="R75" i="3" s="1"/>
  <c r="K76" i="3"/>
  <c r="N76" i="3" s="1"/>
  <c r="P76" i="3" l="1"/>
  <c r="Q76" i="3" s="1"/>
  <c r="R76" i="3" s="1"/>
  <c r="K77" i="3"/>
  <c r="N77" i="3" s="1"/>
  <c r="P77" i="3" l="1"/>
  <c r="Q77" i="3" s="1"/>
  <c r="R77" i="3" s="1"/>
  <c r="K78" i="3"/>
  <c r="N78" i="3" s="1"/>
  <c r="K79" i="3" l="1"/>
  <c r="N79" i="3" s="1"/>
  <c r="P78" i="3"/>
  <c r="Q78" i="3" s="1"/>
  <c r="R78" i="3" s="1"/>
  <c r="K80" i="3" l="1"/>
  <c r="N80" i="3" s="1"/>
  <c r="P79" i="3"/>
  <c r="Q79" i="3" s="1"/>
  <c r="R79" i="3" s="1"/>
  <c r="K81" i="3" l="1"/>
  <c r="N81" i="3" s="1"/>
  <c r="P80" i="3"/>
  <c r="Q80" i="3" s="1"/>
  <c r="R80" i="3" s="1"/>
  <c r="K82" i="3" l="1"/>
  <c r="N82" i="3" s="1"/>
  <c r="P81" i="3"/>
  <c r="Q81" i="3" s="1"/>
  <c r="R81" i="3" s="1"/>
  <c r="K83" i="3" l="1"/>
  <c r="N83" i="3" s="1"/>
  <c r="P82" i="3"/>
  <c r="Q82" i="3" s="1"/>
  <c r="R82" i="3" s="1"/>
  <c r="K84" i="3" l="1"/>
  <c r="N84" i="3" s="1"/>
  <c r="P83" i="3"/>
  <c r="Q83" i="3" s="1"/>
  <c r="R83" i="3" s="1"/>
  <c r="K85" i="3" l="1"/>
  <c r="N85" i="3" s="1"/>
  <c r="P84" i="3"/>
  <c r="Q84" i="3" s="1"/>
  <c r="R84" i="3" s="1"/>
  <c r="P85" i="3" l="1"/>
  <c r="Q85" i="3" s="1"/>
  <c r="R85" i="3" s="1"/>
  <c r="K86" i="3"/>
  <c r="N86" i="3" s="1"/>
  <c r="K87" i="3" l="1"/>
  <c r="N87" i="3" s="1"/>
  <c r="P86" i="3"/>
  <c r="Q86" i="3" s="1"/>
  <c r="R86" i="3" s="1"/>
  <c r="K88" i="3" l="1"/>
  <c r="N88" i="3" s="1"/>
  <c r="P87" i="3"/>
  <c r="Q87" i="3" s="1"/>
  <c r="R87" i="3" s="1"/>
  <c r="K89" i="3" l="1"/>
  <c r="N89" i="3" s="1"/>
  <c r="P88" i="3"/>
  <c r="Q88" i="3" s="1"/>
  <c r="R88" i="3" s="1"/>
  <c r="K90" i="3" l="1"/>
  <c r="N90" i="3" s="1"/>
  <c r="P89" i="3"/>
  <c r="Q89" i="3" s="1"/>
  <c r="R89" i="3" s="1"/>
  <c r="K91" i="3" l="1"/>
  <c r="N91" i="3" s="1"/>
  <c r="P90" i="3"/>
  <c r="Q90" i="3" s="1"/>
  <c r="R90" i="3" s="1"/>
  <c r="K92" i="3" l="1"/>
  <c r="N92" i="3" s="1"/>
  <c r="P91" i="3"/>
  <c r="Q91" i="3" s="1"/>
  <c r="R91" i="3" s="1"/>
  <c r="K93" i="3" l="1"/>
  <c r="N93" i="3" s="1"/>
  <c r="P92" i="3"/>
  <c r="Q92" i="3" s="1"/>
  <c r="R92" i="3" s="1"/>
  <c r="K94" i="3" l="1"/>
  <c r="N94" i="3" s="1"/>
  <c r="P93" i="3"/>
  <c r="Q93" i="3" s="1"/>
  <c r="R93" i="3" s="1"/>
  <c r="K95" i="3" l="1"/>
  <c r="N95" i="3" s="1"/>
  <c r="P94" i="3"/>
  <c r="Q94" i="3" s="1"/>
  <c r="R94" i="3" s="1"/>
  <c r="K96" i="3" l="1"/>
  <c r="N96" i="3" s="1"/>
  <c r="P95" i="3"/>
  <c r="Q95" i="3" s="1"/>
  <c r="R95" i="3" s="1"/>
  <c r="K97" i="3" l="1"/>
  <c r="N97" i="3" s="1"/>
  <c r="P96" i="3"/>
  <c r="Q96" i="3" s="1"/>
  <c r="R96" i="3" s="1"/>
  <c r="K98" i="3" l="1"/>
  <c r="N98" i="3" s="1"/>
  <c r="P97" i="3"/>
  <c r="Q97" i="3" s="1"/>
  <c r="R97" i="3" s="1"/>
  <c r="K99" i="3" l="1"/>
  <c r="N99" i="3" s="1"/>
  <c r="P98" i="3"/>
  <c r="Q98" i="3" s="1"/>
  <c r="R98" i="3" s="1"/>
  <c r="K100" i="3" l="1"/>
  <c r="N100" i="3" s="1"/>
  <c r="P99" i="3"/>
  <c r="Q99" i="3" s="1"/>
  <c r="R99" i="3" s="1"/>
  <c r="K101" i="3" l="1"/>
  <c r="N101" i="3" s="1"/>
  <c r="P100" i="3"/>
  <c r="Q100" i="3" s="1"/>
  <c r="R100" i="3" s="1"/>
  <c r="K102" i="3" l="1"/>
  <c r="N102" i="3" s="1"/>
  <c r="P101" i="3"/>
  <c r="Q101" i="3" s="1"/>
  <c r="R101" i="3" s="1"/>
  <c r="K103" i="3" l="1"/>
  <c r="N103" i="3" s="1"/>
  <c r="P102" i="3"/>
  <c r="Q102" i="3" s="1"/>
  <c r="R102" i="3" s="1"/>
  <c r="K104" i="3" l="1"/>
  <c r="N104" i="3" s="1"/>
  <c r="P103" i="3"/>
  <c r="Q103" i="3" s="1"/>
  <c r="R103" i="3" s="1"/>
  <c r="K105" i="3" l="1"/>
  <c r="N105" i="3" s="1"/>
  <c r="P104" i="3"/>
  <c r="Q104" i="3" s="1"/>
  <c r="R104" i="3" s="1"/>
  <c r="K106" i="3" l="1"/>
  <c r="N106" i="3" s="1"/>
  <c r="P105" i="3"/>
  <c r="Q105" i="3" s="1"/>
  <c r="R105" i="3" s="1"/>
  <c r="K107" i="3" l="1"/>
  <c r="N107" i="3" s="1"/>
  <c r="P106" i="3"/>
  <c r="Q106" i="3" s="1"/>
  <c r="R106" i="3" s="1"/>
  <c r="K108" i="3" l="1"/>
  <c r="N108" i="3" s="1"/>
  <c r="P107" i="3"/>
  <c r="Q107" i="3" s="1"/>
  <c r="R107" i="3" s="1"/>
  <c r="K109" i="3" l="1"/>
  <c r="N109" i="3" s="1"/>
  <c r="P108" i="3"/>
  <c r="Q108" i="3" s="1"/>
  <c r="R108" i="3" s="1"/>
  <c r="K110" i="3" l="1"/>
  <c r="N110" i="3" s="1"/>
  <c r="P109" i="3"/>
  <c r="Q109" i="3" s="1"/>
  <c r="R109" i="3" s="1"/>
  <c r="K111" i="3" l="1"/>
  <c r="N111" i="3" s="1"/>
  <c r="P110" i="3"/>
  <c r="Q110" i="3" s="1"/>
  <c r="R110" i="3" s="1"/>
  <c r="K112" i="3" l="1"/>
  <c r="N112" i="3" s="1"/>
  <c r="P111" i="3"/>
  <c r="Q111" i="3" s="1"/>
  <c r="R111" i="3" s="1"/>
  <c r="K113" i="3" l="1"/>
  <c r="N113" i="3" s="1"/>
  <c r="P112" i="3"/>
  <c r="Q112" i="3" s="1"/>
  <c r="R112" i="3" s="1"/>
  <c r="K114" i="3" l="1"/>
  <c r="N114" i="3" s="1"/>
  <c r="P113" i="3"/>
  <c r="Q113" i="3" s="1"/>
  <c r="R113" i="3" s="1"/>
  <c r="K115" i="3" l="1"/>
  <c r="N115" i="3" s="1"/>
  <c r="P114" i="3"/>
  <c r="Q114" i="3" s="1"/>
  <c r="R114" i="3" s="1"/>
  <c r="K116" i="3" l="1"/>
  <c r="N116" i="3" s="1"/>
  <c r="P115" i="3"/>
  <c r="Q115" i="3" s="1"/>
  <c r="R115" i="3" s="1"/>
  <c r="K117" i="3" l="1"/>
  <c r="N117" i="3" s="1"/>
  <c r="P116" i="3"/>
  <c r="Q116" i="3" s="1"/>
  <c r="R116" i="3" s="1"/>
  <c r="K118" i="3" l="1"/>
  <c r="N118" i="3" s="1"/>
  <c r="P117" i="3"/>
  <c r="Q117" i="3" s="1"/>
  <c r="R117" i="3" s="1"/>
  <c r="K119" i="3" l="1"/>
  <c r="N119" i="3" s="1"/>
  <c r="P118" i="3"/>
  <c r="Q118" i="3" s="1"/>
  <c r="R118" i="3" s="1"/>
  <c r="K120" i="3" l="1"/>
  <c r="N120" i="3" s="1"/>
  <c r="P119" i="3"/>
  <c r="Q119" i="3" s="1"/>
  <c r="R119" i="3" s="1"/>
  <c r="K121" i="3" l="1"/>
  <c r="N121" i="3" s="1"/>
  <c r="P120" i="3"/>
  <c r="Q120" i="3" s="1"/>
  <c r="R120" i="3" s="1"/>
  <c r="K122" i="3" l="1"/>
  <c r="N122" i="3" s="1"/>
  <c r="P121" i="3"/>
  <c r="Q121" i="3" s="1"/>
  <c r="R121" i="3" s="1"/>
  <c r="P122" i="3" l="1"/>
  <c r="Q122" i="3" s="1"/>
  <c r="R122" i="3" s="1"/>
  <c r="K123" i="3"/>
  <c r="N123" i="3" s="1"/>
  <c r="K124" i="3" l="1"/>
  <c r="N124" i="3" s="1"/>
  <c r="P123" i="3"/>
  <c r="Q123" i="3" s="1"/>
  <c r="R123" i="3" s="1"/>
  <c r="P124" i="3" l="1"/>
  <c r="Q124" i="3" s="1"/>
  <c r="R124" i="3" s="1"/>
  <c r="K125" i="3"/>
  <c r="N125" i="3" s="1"/>
  <c r="P125" i="3" l="1"/>
  <c r="Q125" i="3" s="1"/>
  <c r="R125" i="3" s="1"/>
  <c r="K126" i="3"/>
  <c r="N126" i="3" s="1"/>
  <c r="P126" i="3" l="1"/>
  <c r="Q126" i="3" s="1"/>
  <c r="R126" i="3" s="1"/>
  <c r="K127" i="3"/>
  <c r="N127" i="3" s="1"/>
  <c r="K128" i="3" l="1"/>
  <c r="N128" i="3" s="1"/>
  <c r="P127" i="3"/>
  <c r="Q127" i="3" s="1"/>
  <c r="R127" i="3" s="1"/>
  <c r="P128" i="3" l="1"/>
  <c r="Q128" i="3" s="1"/>
  <c r="R128" i="3" s="1"/>
  <c r="K129" i="3"/>
  <c r="N129" i="3" s="1"/>
  <c r="P129" i="3" l="1"/>
  <c r="Q129" i="3" s="1"/>
  <c r="R129" i="3" s="1"/>
  <c r="K130" i="3"/>
  <c r="N130" i="3" s="1"/>
  <c r="P130" i="3" l="1"/>
  <c r="Q130" i="3" s="1"/>
  <c r="R130" i="3" s="1"/>
  <c r="K131" i="3"/>
  <c r="N131" i="3" s="1"/>
  <c r="K132" i="3" l="1"/>
  <c r="N132" i="3" s="1"/>
  <c r="P131" i="3"/>
  <c r="Q131" i="3" s="1"/>
  <c r="R131" i="3" s="1"/>
  <c r="K133" i="3" l="1"/>
  <c r="N133" i="3" s="1"/>
  <c r="P132" i="3"/>
  <c r="Q132" i="3" s="1"/>
  <c r="R132" i="3" s="1"/>
  <c r="K134" i="3" l="1"/>
  <c r="N134" i="3" s="1"/>
  <c r="P133" i="3"/>
  <c r="Q133" i="3" s="1"/>
  <c r="R133" i="3" s="1"/>
  <c r="K135" i="3" l="1"/>
  <c r="N135" i="3" s="1"/>
  <c r="P134" i="3"/>
  <c r="Q134" i="3" s="1"/>
  <c r="R134" i="3" s="1"/>
  <c r="K136" i="3" l="1"/>
  <c r="N136" i="3" s="1"/>
  <c r="P135" i="3"/>
  <c r="Q135" i="3" s="1"/>
  <c r="R135" i="3" s="1"/>
  <c r="P136" i="3" l="1"/>
  <c r="Q136" i="3" s="1"/>
  <c r="R136" i="3" s="1"/>
  <c r="K137" i="3"/>
  <c r="N137" i="3" s="1"/>
  <c r="K138" i="3" l="1"/>
  <c r="N138" i="3" s="1"/>
  <c r="P137" i="3"/>
  <c r="Q137" i="3" s="1"/>
  <c r="R137" i="3" s="1"/>
  <c r="P138" i="3" l="1"/>
  <c r="Q138" i="3" s="1"/>
  <c r="R138" i="3" s="1"/>
  <c r="K139" i="3"/>
  <c r="N139" i="3" s="1"/>
  <c r="K140" i="3" l="1"/>
  <c r="N140" i="3" s="1"/>
  <c r="P139" i="3"/>
  <c r="Q139" i="3" s="1"/>
  <c r="R139" i="3" s="1"/>
  <c r="P140" i="3" l="1"/>
  <c r="Q140" i="3" s="1"/>
  <c r="R14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HosLog.22</t>
        </r>
      </text>
    </comment>
  </commentList>
</comments>
</file>

<file path=xl/sharedStrings.xml><?xml version="1.0" encoding="utf-8"?>
<sst xmlns="http://schemas.openxmlformats.org/spreadsheetml/2006/main" count="1136" uniqueCount="309">
  <si>
    <t>FromDate</t>
  </si>
  <si>
    <t>ToDate</t>
  </si>
  <si>
    <t>RunDate</t>
  </si>
  <si>
    <t>CompanyName</t>
  </si>
  <si>
    <t>DistanceUnit</t>
  </si>
  <si>
    <t>SpeedUnit</t>
  </si>
  <si>
    <t>SendReport</t>
  </si>
  <si>
    <t>LastModifiedUser</t>
  </si>
  <si>
    <t>ON</t>
  </si>
  <si>
    <t>OFF</t>
  </si>
  <si>
    <t>D</t>
  </si>
  <si>
    <t>Status</t>
  </si>
  <si>
    <t>Longitude</t>
  </si>
  <si>
    <t>Latitude</t>
  </si>
  <si>
    <t>Distance</t>
  </si>
  <si>
    <t>DutyStatusDateTime</t>
  </si>
  <si>
    <t>DutyStatusStatus</t>
  </si>
  <si>
    <t>.StatusLog.Device.DeviceName</t>
  </si>
  <si>
    <t>.StatusLog.Device.DeviceGroup</t>
  </si>
  <si>
    <t>.StatusLog.Driver.UserName</t>
  </si>
  <si>
    <t>DutyStatusDetailDistance</t>
  </si>
  <si>
    <t>DutyStatusVerifyDateTime</t>
  </si>
  <si>
    <t>English</t>
  </si>
  <si>
    <t>French</t>
  </si>
  <si>
    <t>Spanish</t>
  </si>
  <si>
    <t>German</t>
  </si>
  <si>
    <t>Japanese</t>
  </si>
  <si>
    <t>**Driver</t>
  </si>
  <si>
    <t>**Status</t>
  </si>
  <si>
    <t>**Device</t>
  </si>
  <si>
    <t>**Trailers</t>
  </si>
  <si>
    <t>**Longitude</t>
  </si>
  <si>
    <t>**Latitude</t>
  </si>
  <si>
    <t>**Address</t>
  </si>
  <si>
    <t>**Odometer</t>
  </si>
  <si>
    <t>**Distance</t>
  </si>
  <si>
    <t>**Duty Status Logs</t>
  </si>
  <si>
    <t>**Created</t>
  </si>
  <si>
    <t>**From</t>
  </si>
  <si>
    <t>**To</t>
  </si>
  <si>
    <t>**Distance Unit</t>
  </si>
  <si>
    <t>**Summary</t>
  </si>
  <si>
    <t>Date</t>
  </si>
  <si>
    <t>**Date</t>
  </si>
  <si>
    <t>**Verify Date</t>
  </si>
  <si>
    <t>**Edit Date</t>
  </si>
  <si>
    <t>Conducteur</t>
  </si>
  <si>
    <t>Conductor</t>
  </si>
  <si>
    <t>Fahrer</t>
  </si>
  <si>
    <t>ドライバー</t>
  </si>
  <si>
    <t>Fecha</t>
  </si>
  <si>
    <t>Datum</t>
  </si>
  <si>
    <t>データ</t>
  </si>
  <si>
    <t>État</t>
  </si>
  <si>
    <t>Estado</t>
  </si>
  <si>
    <t>ステータス</t>
  </si>
  <si>
    <t>Dispositif</t>
  </si>
  <si>
    <t>Dispositivo</t>
  </si>
  <si>
    <t>Gerät</t>
  </si>
  <si>
    <t>デバイス</t>
  </si>
  <si>
    <t>Co-chauffeurs</t>
  </si>
  <si>
    <t>Copiloto</t>
  </si>
  <si>
    <t>Beifahrer</t>
  </si>
  <si>
    <t>補助ドライバー</t>
  </si>
  <si>
    <t>Gros porteurs</t>
  </si>
  <si>
    <t>Remolques</t>
  </si>
  <si>
    <t>Anhänger</t>
  </si>
  <si>
    <t>トレーラー</t>
  </si>
  <si>
    <t>Longitud</t>
  </si>
  <si>
    <t>Längengrad</t>
  </si>
  <si>
    <t>経度</t>
  </si>
  <si>
    <t>Latitud</t>
  </si>
  <si>
    <t>Breitengrad</t>
  </si>
  <si>
    <t>緯度</t>
  </si>
  <si>
    <t>Adresse</t>
  </si>
  <si>
    <t>Dirección</t>
  </si>
  <si>
    <t>住所</t>
  </si>
  <si>
    <t>Odomètre</t>
  </si>
  <si>
    <t>Odómetro</t>
  </si>
  <si>
    <t>Kilometerstand</t>
  </si>
  <si>
    <t>オドメータ</t>
  </si>
  <si>
    <t>Distancia</t>
  </si>
  <si>
    <t>Entfernung</t>
  </si>
  <si>
    <t>距離</t>
  </si>
  <si>
    <t>Date de vérification</t>
  </si>
  <si>
    <t>Fecha de verificación</t>
  </si>
  <si>
    <t>Verifizierungsdatum</t>
  </si>
  <si>
    <t>確認日</t>
  </si>
  <si>
    <t>Date de modification</t>
  </si>
  <si>
    <t>Fecha de edición</t>
  </si>
  <si>
    <t>Bearbeitungsdatum</t>
  </si>
  <si>
    <t>編集日</t>
  </si>
  <si>
    <t>Registres de l'état des tâches</t>
  </si>
  <si>
    <t>Registros de estado de HOS</t>
  </si>
  <si>
    <t>Lenkzeitprotokoll</t>
  </si>
  <si>
    <t>職務ステータスログ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</si>
  <si>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</si>
  <si>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</si>
  <si>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</si>
  <si>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</si>
  <si>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</si>
  <si>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</si>
  <si>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</si>
  <si>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</si>
  <si>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</si>
  <si>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</si>
  <si>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</si>
  <si>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</si>
  <si>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</si>
  <si>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</si>
  <si>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</si>
  <si>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</si>
  <si>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Unité de distance</t>
  </si>
  <si>
    <t>Unidad de distancia</t>
  </si>
  <si>
    <t>Entfernungseinheit</t>
  </si>
  <si>
    <t>距離の単位</t>
  </si>
  <si>
    <t>DutyStatusDetailAnnotations</t>
  </si>
  <si>
    <t>Language</t>
  </si>
  <si>
    <t>en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</si>
  <si>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</si>
  <si>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</si>
  <si>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</si>
  <si>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</si>
  <si>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</si>
  <si>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</si>
  <si>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</si>
  <si>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</si>
  <si>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</si>
  <si>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</si>
  <si>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.StatusLog.Driver.UserFirstName</t>
  </si>
  <si>
    <t>.StatusLog.Driver.UserLastName</t>
  </si>
  <si>
    <t>**Log Origin</t>
  </si>
  <si>
    <t>Origine du Journal</t>
  </si>
  <si>
    <t>Origen del Registro</t>
  </si>
  <si>
    <t>Protokollherkunft</t>
  </si>
  <si>
    <t>ログの起源</t>
  </si>
  <si>
    <t>Polish</t>
  </si>
  <si>
    <t>Kierowca</t>
  </si>
  <si>
    <t>Data</t>
  </si>
  <si>
    <t>Urzadzenie</t>
  </si>
  <si>
    <t>Wspólkierowcy</t>
  </si>
  <si>
    <t>Przyczepy</t>
  </si>
  <si>
    <t>Dlugosc geograficzna</t>
  </si>
  <si>
    <t>Szerokosc geograficzna</t>
  </si>
  <si>
    <t>Adres</t>
  </si>
  <si>
    <t>Licznik kilometrów</t>
  </si>
  <si>
    <t>Odleglosc</t>
  </si>
  <si>
    <t>Data weryfikacji</t>
  </si>
  <si>
    <t>Data edycji</t>
  </si>
  <si>
    <t>Dzienniki statusów dyzurów</t>
  </si>
  <si>
    <t>Podsumowanie</t>
  </si>
  <si>
    <t>Utworzono</t>
  </si>
  <si>
    <t>Od</t>
  </si>
  <si>
    <t>Do</t>
  </si>
  <si>
    <t>Jednostka odleglosci</t>
  </si>
  <si>
    <t>Imie</t>
  </si>
  <si>
    <t>Nazwisko</t>
  </si>
  <si>
    <t>Powstanie dziennika</t>
  </si>
  <si>
    <t>Portuguese-Brazil</t>
  </si>
  <si>
    <t>Motorista</t>
  </si>
  <si>
    <t>Reboques</t>
  </si>
  <si>
    <t>Endereço</t>
  </si>
  <si>
    <t>Distância</t>
  </si>
  <si>
    <t>Registros de status de serviço</t>
  </si>
  <si>
    <t>Resumo</t>
  </si>
  <si>
    <t>Nome</t>
  </si>
  <si>
    <t>Sobrenome</t>
  </si>
  <si>
    <t>Origem do registro</t>
  </si>
  <si>
    <t>Comotoristas</t>
  </si>
  <si>
    <t>Verificar data</t>
  </si>
  <si>
    <t>Editar data</t>
  </si>
  <si>
    <t>Criado em</t>
  </si>
  <si>
    <t>Unidade de distância</t>
  </si>
  <si>
    <t>Dutch</t>
  </si>
  <si>
    <t>Chauffeur</t>
  </si>
  <si>
    <t>Apparaat</t>
  </si>
  <si>
    <t>Tweede chauffeurs</t>
  </si>
  <si>
    <t>Aanhangers</t>
  </si>
  <si>
    <t>Lengtegraad</t>
  </si>
  <si>
    <t>Breedtegraad</t>
  </si>
  <si>
    <t>Kilometerteller</t>
  </si>
  <si>
    <t>Afstand</t>
  </si>
  <si>
    <t>Datum verifiëren</t>
  </si>
  <si>
    <t>Datum bewerken</t>
  </si>
  <si>
    <t>Logboeken dienststatus</t>
  </si>
  <si>
    <t>Overzicht</t>
  </si>
  <si>
    <t>Aangemaakt</t>
  </si>
  <si>
    <t>Van</t>
  </si>
  <si>
    <t>Aan</t>
  </si>
  <si>
    <t>Afstandseenheid</t>
  </si>
  <si>
    <t>Voornaam</t>
  </si>
  <si>
    <t>Achternaam</t>
  </si>
  <si>
    <t>Oorsprong logboek</t>
  </si>
  <si>
    <t>Italian</t>
  </si>
  <si>
    <t>Conducente</t>
  </si>
  <si>
    <t>Stato</t>
  </si>
  <si>
    <t>Rimorchi</t>
  </si>
  <si>
    <t>Longitudine</t>
  </si>
  <si>
    <t>Latitudine</t>
  </si>
  <si>
    <t>Indirizzo</t>
  </si>
  <si>
    <t>Contachilometri</t>
  </si>
  <si>
    <t>Distanza</t>
  </si>
  <si>
    <t>Registri di stato in servizio</t>
  </si>
  <si>
    <t>Riassunto</t>
  </si>
  <si>
    <t>Da</t>
  </si>
  <si>
    <t>A</t>
  </si>
  <si>
    <t>**Co-drivers</t>
  </si>
  <si>
    <t>Secondi conducenti</t>
  </si>
  <si>
    <t>Verificare data</t>
  </si>
  <si>
    <t>Modificare data</t>
  </si>
  <si>
    <t>Creato</t>
  </si>
  <si>
    <t>Unità di distanza</t>
  </si>
  <si>
    <t>Cognome</t>
  </si>
  <si>
    <t>Origine del registro</t>
  </si>
  <si>
    <t>驾驶员</t>
  </si>
  <si>
    <t>设备</t>
  </si>
  <si>
    <t>验证日期</t>
  </si>
  <si>
    <t>编辑日期</t>
  </si>
  <si>
    <t>创建日期</t>
  </si>
  <si>
    <t>自</t>
  </si>
  <si>
    <t>至</t>
  </si>
  <si>
    <t>距离单位</t>
  </si>
  <si>
    <t>名字</t>
  </si>
  <si>
    <t>姓氏</t>
  </si>
  <si>
    <t>日志来源</t>
  </si>
  <si>
    <t>Simplified Chinese</t>
  </si>
  <si>
    <t>日期</t>
  </si>
  <si>
    <t>状态</t>
  </si>
  <si>
    <t>副驾驶</t>
  </si>
  <si>
    <t>拖车</t>
  </si>
  <si>
    <t>经度</t>
  </si>
  <si>
    <t>纬度</t>
  </si>
  <si>
    <t>地址</t>
  </si>
  <si>
    <t>里程表</t>
  </si>
  <si>
    <t>距离</t>
  </si>
  <si>
    <t>任务状态日志</t>
  </si>
  <si>
    <t>汇总</t>
  </si>
  <si>
    <t>Hodômetro</t>
  </si>
  <si>
    <t>DutyStatusDetailDuration</t>
  </si>
  <si>
    <t>**Duration</t>
  </si>
  <si>
    <t>durée</t>
  </si>
  <si>
    <t>duración</t>
  </si>
  <si>
    <t>Dauer</t>
  </si>
  <si>
    <t>期間</t>
  </si>
  <si>
    <t>Czas trwania</t>
  </si>
  <si>
    <t>duração</t>
  </si>
  <si>
    <t>duur</t>
  </si>
  <si>
    <t>durata</t>
  </si>
  <si>
    <t>时长</t>
  </si>
  <si>
    <t>**Shipments</t>
  </si>
  <si>
    <t>Expéditions</t>
  </si>
  <si>
    <t>Envíos</t>
  </si>
  <si>
    <t>Lieferungen</t>
  </si>
  <si>
    <t>出荷物</t>
  </si>
  <si>
    <t>Wysyłki</t>
  </si>
  <si>
    <t>Remessas</t>
  </si>
  <si>
    <t>Zendingen</t>
  </si>
  <si>
    <t>Spedizioni</t>
  </si>
  <si>
    <t>发运</t>
  </si>
  <si>
    <t>**&lt;No User&gt;</t>
  </si>
  <si>
    <t>INT_D</t>
  </si>
  <si>
    <t>.Driver.DriverGroup</t>
  </si>
  <si>
    <t>Driver Change?</t>
  </si>
  <si>
    <t>Date Change?</t>
  </si>
  <si>
    <t>Vehicle1</t>
  </si>
  <si>
    <t>Vehicle Group1</t>
  </si>
  <si>
    <t>FirstName1</t>
  </si>
  <si>
    <t>LastName1</t>
  </si>
  <si>
    <t>Driver1</t>
  </si>
  <si>
    <t>Vehicle2</t>
  </si>
  <si>
    <t>Vehicle Group2</t>
  </si>
  <si>
    <t>FirstName2</t>
  </si>
  <si>
    <t>LastName2</t>
  </si>
  <si>
    <t>Language Translations</t>
  </si>
  <si>
    <t>**Days</t>
  </si>
  <si>
    <t>**Vehicle</t>
  </si>
  <si>
    <t>**Occurances</t>
  </si>
  <si>
    <t xml:space="preserve"> </t>
  </si>
  <si>
    <t>**From:</t>
  </si>
  <si>
    <t>**To:</t>
  </si>
  <si>
    <t>ABC Company</t>
  </si>
  <si>
    <t>miles</t>
  </si>
  <si>
    <t>miles/h</t>
  </si>
  <si>
    <t>**Date and Time</t>
  </si>
  <si>
    <t>**Duty Status</t>
  </si>
  <si>
    <t>YM</t>
  </si>
  <si>
    <t>YM Distance</t>
  </si>
  <si>
    <t>Accumulating YM Distance for the date</t>
  </si>
  <si>
    <t>Flag for a YM log</t>
  </si>
  <si>
    <t>Excessive YM Distance for the date</t>
  </si>
  <si>
    <t>Excessive YM</t>
  </si>
  <si>
    <t>Excessive YM Log</t>
  </si>
  <si>
    <t>**This report allows the carrier to flag drivers who exceed a customizable excessive YM threshold.
The excessive YM threshold can be modified in cell B9.</t>
  </si>
  <si>
    <t>**YM Distance Threshold</t>
  </si>
  <si>
    <t>**Excessive YM</t>
  </si>
  <si>
    <t>Max of Accumulating YM Distance for the date</t>
  </si>
  <si>
    <t>Driver2</t>
  </si>
  <si>
    <t>**Excessive YM Distance for the date</t>
  </si>
  <si>
    <t>**Driver in Excessive YM</t>
  </si>
  <si>
    <t>**Max YM Distance over</t>
  </si>
  <si>
    <t>**Drivers In Excessive YM</t>
  </si>
  <si>
    <t>**YM Distance for the date</t>
  </si>
  <si>
    <t>**Excessive YM Log</t>
  </si>
  <si>
    <t>**Change the Maximum alowed YM value based on your company Policy.</t>
  </si>
  <si>
    <t>**YM Distance</t>
  </si>
  <si>
    <t>May 04, 2020</t>
  </si>
  <si>
    <t>May 08, 2020</t>
  </si>
  <si>
    <t>**Excessive YM Events</t>
  </si>
  <si>
    <t>**Excessive Yard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</si>
</sst>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0;[$-409]\-0;[$-409];@"/>
    <numFmt numFmtId="170" formatCode="[$-409]mmm\ dd\,\ yyyy"/>
    <numFmt numFmtId="171" formatCode="[$-409]mmm\ dd\,\ yyyy\ h:mm:ss\ AM/PM"/>
    <numFmt numFmtId="172" formatCode="[$-409][h]:mm;[$-409];[$-409]"/>
    <numFmt numFmtId="173" formatCode="[$-409]m/d/yy\ h:mm"/>
    <numFmt numFmtId="174" formatCode="[$-F800]dddd\,\ mmmm\ dd\,\ yyyy"/>
    <numFmt numFmtId="175" formatCode="[$-409]h:mm:ss\ AM/PM"/>
  </numFmts>
  <fonts count="32" x14ac:knownFonts="1">
    <font>
      <sz val="10"/>
      <name val="Arial"/>
      <family val="2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8"/>
      <name val="Arial"/>
      <family val="2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sz val="12"/>
      <color theme="0"/>
      <name val="Segoe UI"/>
      <family val="2"/>
    </font>
    <font>
      <sz val="10"/>
      <name val="Segoe UI"/>
      <family val="2"/>
    </font>
    <font>
      <sz val="14"/>
      <name val="Segoe UI"/>
      <family val="2"/>
    </font>
    <font>
      <sz val="11"/>
      <color indexed="8"/>
      <name val="Segoe UI"/>
      <family val="2"/>
    </font>
    <font>
      <b/>
      <sz val="11"/>
      <name val="Segoe UI"/>
      <family val="2"/>
    </font>
    <font>
      <b/>
      <sz val="12.5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sz val="10"/>
      <color theme="2" tint="-0.499984740745262"/>
      <name val="Segoe UI"/>
      <family val="2"/>
    </font>
    <font>
      <sz val="72"/>
      <color theme="2" tint="-0.499984740745262"/>
      <name val="Segoe UI"/>
      <family val="2"/>
    </font>
    <font>
      <sz val="16"/>
      <color theme="3"/>
      <name val="Segoe UI"/>
      <family val="2"/>
    </font>
    <font>
      <sz val="12"/>
      <name val="Arial"/>
      <family val="2"/>
    </font>
    <font>
      <sz val="11"/>
      <name val="Segoe UI"/>
    </font>
    <font>
      <sz val="12"/>
      <name val="Segoe UI"/>
    </font>
  </fonts>
  <fills count="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medium">
        <color theme="6" tint="0.39997558519241921"/>
      </left>
      <right/>
      <top style="medium">
        <color theme="6" tint="0.39997558519241921"/>
      </top>
      <bottom/>
      <diagonal/>
    </border>
    <border>
      <left/>
      <right/>
      <top style="medium">
        <color theme="6" tint="0.39997558519241921"/>
      </top>
      <bottom/>
      <diagonal/>
    </border>
    <border>
      <left/>
      <right style="medium">
        <color theme="6" tint="0.39997558519241921"/>
      </right>
      <top style="medium">
        <color theme="6" tint="0.39997558519241921"/>
      </top>
      <bottom/>
      <diagonal/>
    </border>
    <border>
      <left style="medium">
        <color theme="6" tint="0.39997558519241921"/>
      </left>
      <right/>
      <top/>
      <bottom/>
      <diagonal/>
    </border>
    <border>
      <left/>
      <right style="medium">
        <color theme="6" tint="0.39997558519241921"/>
      </right>
      <top/>
      <bottom/>
      <diagonal/>
    </border>
    <border>
      <left style="medium">
        <color theme="6" tint="0.39997558519241921"/>
      </left>
      <right/>
      <top/>
      <bottom style="medium">
        <color theme="6" tint="0.39997558519241921"/>
      </bottom>
      <diagonal/>
    </border>
    <border>
      <left/>
      <right/>
      <top/>
      <bottom style="medium">
        <color theme="6" tint="0.39997558519241921"/>
      </bottom>
      <diagonal/>
    </border>
    <border>
      <left/>
      <right style="medium">
        <color theme="6" tint="0.39997558519241921"/>
      </right>
      <top/>
      <bottom style="medium">
        <color theme="6" tint="0.39997558519241921"/>
      </bottom>
      <diagonal/>
    </border>
  </borders>
  <cellStyleXfs count="2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10" borderId="0" applyNumberFormat="0"/>
    <xf numFmtId="0" fontId="7" fillId="0" borderId="0" applyNumberFormat="0" applyAlignment="0"/>
    <xf numFmtId="0" fontId="8" fillId="10" borderId="0" applyNumberFormat="0"/>
    <xf numFmtId="170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</cellStyleXfs>
  <cellXfs count="111">
    <xf numFmtId="0" fontId="0" fillId="0" borderId="0" xfId="0"/>
    <xf numFmtId="168" fontId="0" fillId="0" borderId="0" xfId="0" applyNumberFormat="1"/>
    <xf numFmtId="0" fontId="1" fillId="9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left"/>
    </xf>
    <xf numFmtId="0" fontId="0" fillId="0" borderId="0" xfId="0" pivotButton="1"/>
    <xf numFmtId="0" fontId="12" fillId="0" borderId="0" xfId="0" applyFont="1"/>
    <xf numFmtId="0" fontId="8" fillId="10" borderId="0" xfId="15"/>
    <xf numFmtId="173" fontId="0" fillId="0" borderId="0" xfId="0" applyNumberFormat="1"/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172" fontId="2" fillId="0" borderId="0" xfId="0" applyNumberFormat="1" applyFont="1" applyAlignment="1">
      <alignment horizontal="left"/>
    </xf>
    <xf numFmtId="168" fontId="0" fillId="0" borderId="0" xfId="0" applyNumberFormat="1"/>
    <xf numFmtId="2" fontId="0" fillId="0" borderId="0" xfId="0" applyNumberFormat="1"/>
    <xf numFmtId="2" fontId="14" fillId="11" borderId="0" xfId="19" applyNumberFormat="1" applyFont="1" applyFill="1" applyAlignment="1">
      <alignment horizontal="center" vertical="center"/>
    </xf>
    <xf numFmtId="2" fontId="15" fillId="0" borderId="0" xfId="14" applyNumberFormat="1" applyFont="1" applyAlignment="1">
      <alignment horizontal="center"/>
    </xf>
    <xf numFmtId="0" fontId="18" fillId="0" borderId="0" xfId="13" applyFont="1" applyFill="1"/>
    <xf numFmtId="0" fontId="18" fillId="0" borderId="0" xfId="13" applyFont="1" applyFill="1" applyAlignment="1">
      <alignment horizontal="center"/>
    </xf>
    <xf numFmtId="2" fontId="18" fillId="0" borderId="0" xfId="13" applyNumberFormat="1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170" fontId="15" fillId="0" borderId="0" xfId="14" applyNumberFormat="1" applyFont="1" applyAlignment="1"/>
    <xf numFmtId="168" fontId="20" fillId="0" borderId="0" xfId="0" applyNumberFormat="1" applyFont="1"/>
    <xf numFmtId="170" fontId="15" fillId="0" borderId="0" xfId="14" applyNumberFormat="1" applyFont="1" applyAlignment="1">
      <alignment horizontal="left"/>
    </xf>
    <xf numFmtId="0" fontId="15" fillId="0" borderId="0" xfId="14" applyFont="1"/>
    <xf numFmtId="0" fontId="15" fillId="0" borderId="0" xfId="14" applyFont="1" applyAlignment="1">
      <alignment horizontal="center"/>
    </xf>
    <xf numFmtId="0" fontId="15" fillId="0" borderId="0" xfId="20" applyFont="1" applyAlignment="1">
      <alignment horizontal="center" vertical="center"/>
    </xf>
    <xf numFmtId="1" fontId="15" fillId="0" borderId="0" xfId="20" applyNumberFormat="1" applyFont="1" applyAlignment="1">
      <alignment horizontal="center" vertical="center"/>
    </xf>
    <xf numFmtId="169" fontId="15" fillId="0" borderId="0" xfId="14" applyNumberFormat="1" applyFont="1" applyAlignment="1">
      <alignment horizontal="left"/>
    </xf>
    <xf numFmtId="171" fontId="15" fillId="0" borderId="0" xfId="14" applyNumberFormat="1" applyFont="1" applyAlignment="1">
      <alignment horizontal="left"/>
    </xf>
    <xf numFmtId="0" fontId="14" fillId="11" borderId="0" xfId="19" applyFont="1" applyFill="1" applyAlignment="1">
      <alignment vertical="center"/>
    </xf>
    <xf numFmtId="170" fontId="15" fillId="0" borderId="0" xfId="14" applyNumberFormat="1" applyFont="1" applyAlignment="1">
      <alignment horizontal="center"/>
    </xf>
    <xf numFmtId="0" fontId="0" fillId="0" borderId="0" xfId="0" applyAlignment="1">
      <alignment horizontal="center"/>
    </xf>
    <xf numFmtId="1" fontId="15" fillId="0" borderId="0" xfId="14" applyNumberFormat="1" applyFont="1" applyAlignment="1">
      <alignment horizontal="center"/>
    </xf>
    <xf numFmtId="1" fontId="0" fillId="0" borderId="0" xfId="0" applyNumberFormat="1"/>
    <xf numFmtId="170" fontId="0" fillId="0" borderId="0" xfId="0" applyNumberFormat="1"/>
    <xf numFmtId="0" fontId="18" fillId="0" borderId="0" xfId="13" applyFont="1" applyFill="1" applyAlignment="1">
      <alignment horizontal="left"/>
    </xf>
    <xf numFmtId="0" fontId="20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14" fillId="11" borderId="0" xfId="19" applyNumberFormat="1" applyFont="1" applyFill="1" applyAlignment="1">
      <alignment horizontal="left" vertical="center"/>
    </xf>
    <xf numFmtId="2" fontId="15" fillId="0" borderId="0" xfId="14" applyNumberFormat="1" applyFont="1" applyAlignment="1">
      <alignment horizontal="left"/>
    </xf>
    <xf numFmtId="2" fontId="14" fillId="11" borderId="0" xfId="19" applyNumberFormat="1" applyFont="1" applyFill="1" applyAlignment="1">
      <alignment vertical="center"/>
    </xf>
    <xf numFmtId="0" fontId="18" fillId="0" borderId="0" xfId="13" applyFont="1" applyFill="1" applyAlignment="1"/>
    <xf numFmtId="0" fontId="20" fillId="0" borderId="0" xfId="0" applyFont="1" applyAlignment="1"/>
    <xf numFmtId="2" fontId="0" fillId="0" borderId="0" xfId="0" applyNumberFormat="1" applyAlignment="1"/>
    <xf numFmtId="2" fontId="15" fillId="0" borderId="0" xfId="14" applyNumberFormat="1" applyFont="1" applyAlignment="1"/>
    <xf numFmtId="2" fontId="18" fillId="0" borderId="0" xfId="13" applyNumberFormat="1" applyFont="1" applyFill="1" applyAlignment="1">
      <alignment horizontal="left"/>
    </xf>
    <xf numFmtId="2" fontId="20" fillId="0" borderId="0" xfId="0" applyNumberFormat="1" applyFont="1" applyAlignment="1">
      <alignment horizontal="left"/>
    </xf>
    <xf numFmtId="0" fontId="15" fillId="0" borderId="0" xfId="14" applyFont="1" applyAlignment="1">
      <alignment horizontal="left"/>
    </xf>
    <xf numFmtId="168" fontId="20" fillId="0" borderId="0" xfId="0" applyNumberFormat="1" applyFont="1" applyAlignment="1">
      <alignment horizontal="left"/>
    </xf>
    <xf numFmtId="168" fontId="0" fillId="0" borderId="0" xfId="0" applyNumberFormat="1" applyAlignment="1">
      <alignment horizontal="left"/>
    </xf>
    <xf numFmtId="172" fontId="22" fillId="0" borderId="0" xfId="0" applyNumberFormat="1" applyFont="1" applyAlignment="1">
      <alignment horizontal="left"/>
    </xf>
    <xf numFmtId="0" fontId="15" fillId="12" borderId="2" xfId="20" applyFont="1" applyFill="1" applyBorder="1" applyAlignment="1">
      <alignment horizontal="center" vertical="center"/>
    </xf>
    <xf numFmtId="170" fontId="15" fillId="12" borderId="2" xfId="20" applyNumberFormat="1" applyFont="1" applyFill="1" applyBorder="1" applyAlignment="1">
      <alignment horizontal="center" vertical="center"/>
    </xf>
    <xf numFmtId="1" fontId="15" fillId="12" borderId="2" xfId="20" applyNumberFormat="1" applyFont="1" applyFill="1" applyBorder="1" applyAlignment="1">
      <alignment horizontal="center" vertical="center"/>
    </xf>
    <xf numFmtId="0" fontId="14" fillId="15" borderId="2" xfId="20" applyFont="1" applyFill="1" applyBorder="1" applyAlignment="1">
      <alignment horizontal="center" vertical="center"/>
    </xf>
    <xf numFmtId="0" fontId="23" fillId="13" borderId="2" xfId="20" applyFont="1" applyFill="1" applyBorder="1" applyAlignment="1">
      <alignment horizontal="center" vertical="center"/>
    </xf>
    <xf numFmtId="170" fontId="14" fillId="11" borderId="0" xfId="14" applyNumberFormat="1" applyFont="1" applyFill="1" applyAlignment="1">
      <alignment horizontal="center"/>
    </xf>
    <xf numFmtId="0" fontId="28" fillId="0" borderId="0" xfId="13" applyFont="1" applyFill="1" applyAlignment="1">
      <alignment vertical="center"/>
    </xf>
    <xf numFmtId="0" fontId="17" fillId="11" borderId="0" xfId="13" applyFont="1" applyFill="1"/>
    <xf numFmtId="174" fontId="17" fillId="11" borderId="0" xfId="13" applyNumberFormat="1" applyFont="1" applyFill="1"/>
    <xf numFmtId="175" fontId="17" fillId="11" borderId="0" xfId="13" applyNumberFormat="1" applyFont="1" applyFill="1"/>
    <xf numFmtId="2" fontId="17" fillId="11" borderId="0" xfId="13" applyNumberFormat="1" applyFont="1" applyFill="1" applyAlignment="1">
      <alignment horizontal="left"/>
    </xf>
    <xf numFmtId="2" fontId="17" fillId="11" borderId="0" xfId="13" applyNumberFormat="1" applyFont="1" applyFill="1"/>
    <xf numFmtId="0" fontId="29" fillId="0" borderId="0" xfId="0" applyFont="1"/>
    <xf numFmtId="0" fontId="17" fillId="11" borderId="0" xfId="13" applyFont="1" applyFill="1" applyAlignment="1">
      <alignment horizontal="center"/>
    </xf>
    <xf numFmtId="0" fontId="15" fillId="14" borderId="5" xfId="0" applyFont="1" applyFill="1" applyBorder="1" applyAlignment="1">
      <alignment vertical="top"/>
    </xf>
    <xf numFmtId="0" fontId="15" fillId="14" borderId="7" xfId="0" applyFont="1" applyFill="1" applyBorder="1" applyAlignment="1">
      <alignment vertical="top"/>
    </xf>
    <xf numFmtId="0" fontId="15" fillId="14" borderId="10" xfId="0" applyFont="1" applyFill="1" applyBorder="1" applyAlignment="1">
      <alignment vertical="top"/>
    </xf>
    <xf numFmtId="169" fontId="15" fillId="0" borderId="0" xfId="14" applyNumberFormat="1" applyFont="1" applyAlignment="1">
      <alignment horizontal="center"/>
    </xf>
    <xf numFmtId="0" fontId="30" fillId="0" borderId="0" xfId="0" pivotButton="1" applyFont="1"/>
    <xf numFmtId="0" fontId="30" fillId="0" borderId="0" xfId="0" applyFont="1"/>
    <xf numFmtId="171" fontId="30" fillId="0" borderId="0" xfId="0" applyNumberFormat="1" applyFont="1"/>
    <xf numFmtId="0" fontId="31" fillId="0" borderId="0" xfId="0" pivotButton="1" applyFont="1"/>
    <xf numFmtId="2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" fontId="30" fillId="0" borderId="0" xfId="0" applyNumberFormat="1" applyFont="1" applyAlignment="1">
      <alignment horizontal="left"/>
    </xf>
    <xf numFmtId="0" fontId="21" fillId="12" borderId="2" xfId="14" applyFont="1" applyFill="1" applyBorder="1" applyAlignment="1">
      <alignment horizontal="center" vertical="center"/>
    </xf>
    <xf numFmtId="0" fontId="14" fillId="15" borderId="2" xfId="20" applyFont="1" applyFill="1" applyBorder="1" applyAlignment="1">
      <alignment horizontal="center" vertical="center"/>
    </xf>
    <xf numFmtId="0" fontId="19" fillId="15" borderId="2" xfId="2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left" vertical="top" wrapText="1"/>
    </xf>
    <xf numFmtId="0" fontId="15" fillId="14" borderId="0" xfId="0" applyFont="1" applyFill="1" applyBorder="1" applyAlignment="1">
      <alignment horizontal="left" vertical="top" wrapText="1"/>
    </xf>
    <xf numFmtId="0" fontId="15" fillId="14" borderId="9" xfId="0" applyFont="1" applyFill="1" applyBorder="1" applyAlignment="1">
      <alignment horizontal="left" vertical="top" wrapText="1"/>
    </xf>
    <xf numFmtId="0" fontId="20" fillId="14" borderId="3" xfId="0" applyFont="1" applyFill="1" applyBorder="1" applyAlignment="1">
      <alignment horizontal="center"/>
    </xf>
    <xf numFmtId="0" fontId="20" fillId="14" borderId="6" xfId="0" applyFont="1" applyFill="1" applyBorder="1" applyAlignment="1">
      <alignment horizontal="center"/>
    </xf>
    <xf numFmtId="0" fontId="20" fillId="14" borderId="8" xfId="0" applyFont="1" applyFill="1" applyBorder="1" applyAlignment="1">
      <alignment horizontal="center"/>
    </xf>
    <xf numFmtId="0" fontId="24" fillId="16" borderId="11" xfId="0" applyFont="1" applyFill="1" applyBorder="1" applyAlignment="1">
      <alignment horizontal="center" vertical="center"/>
    </xf>
    <xf numFmtId="0" fontId="24" fillId="16" borderId="12" xfId="0" applyFont="1" applyFill="1" applyBorder="1" applyAlignment="1">
      <alignment horizontal="center" vertical="center"/>
    </xf>
    <xf numFmtId="0" fontId="24" fillId="16" borderId="13" xfId="0" applyFont="1" applyFill="1" applyBorder="1" applyAlignment="1">
      <alignment horizontal="center" vertical="center"/>
    </xf>
    <xf numFmtId="0" fontId="24" fillId="16" borderId="14" xfId="0" applyFont="1" applyFill="1" applyBorder="1" applyAlignment="1">
      <alignment horizontal="center" vertical="center"/>
    </xf>
    <xf numFmtId="0" fontId="24" fillId="16" borderId="0" xfId="0" applyFont="1" applyFill="1" applyBorder="1" applyAlignment="1">
      <alignment horizontal="center" vertical="center"/>
    </xf>
    <xf numFmtId="0" fontId="24" fillId="16" borderId="15" xfId="0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horizontal="center" vertical="center"/>
    </xf>
    <xf numFmtId="0" fontId="27" fillId="17" borderId="12" xfId="0" applyFont="1" applyFill="1" applyBorder="1" applyAlignment="1">
      <alignment horizontal="center" vertical="center"/>
    </xf>
    <xf numFmtId="0" fontId="27" fillId="17" borderId="13" xfId="0" applyFont="1" applyFill="1" applyBorder="1" applyAlignment="1">
      <alignment horizontal="center" vertical="center"/>
    </xf>
    <xf numFmtId="0" fontId="27" fillId="17" borderId="14" xfId="0" applyFont="1" applyFill="1" applyBorder="1" applyAlignment="1">
      <alignment horizontal="center" vertical="center"/>
    </xf>
    <xf numFmtId="0" fontId="27" fillId="17" borderId="0" xfId="0" applyFont="1" applyFill="1" applyBorder="1" applyAlignment="1">
      <alignment horizontal="center" vertical="center"/>
    </xf>
    <xf numFmtId="0" fontId="27" fillId="17" borderId="15" xfId="0" applyFont="1" applyFill="1" applyBorder="1" applyAlignment="1">
      <alignment horizontal="center" vertical="center"/>
    </xf>
    <xf numFmtId="0" fontId="27" fillId="17" borderId="16" xfId="0" applyFont="1" applyFill="1" applyBorder="1" applyAlignment="1">
      <alignment horizontal="center" vertical="center"/>
    </xf>
    <xf numFmtId="0" fontId="27" fillId="17" borderId="17" xfId="0" applyFont="1" applyFill="1" applyBorder="1" applyAlignment="1">
      <alignment horizontal="center" vertical="center"/>
    </xf>
    <xf numFmtId="0" fontId="27" fillId="17" borderId="18" xfId="0" applyFont="1" applyFill="1" applyBorder="1" applyAlignment="1">
      <alignment horizontal="center" vertical="center"/>
    </xf>
    <xf numFmtId="0" fontId="25" fillId="16" borderId="11" xfId="0" applyFont="1" applyFill="1" applyBorder="1" applyAlignment="1">
      <alignment horizontal="center" vertical="center"/>
    </xf>
    <xf numFmtId="0" fontId="25" fillId="16" borderId="16" xfId="0" applyFont="1" applyFill="1" applyBorder="1" applyAlignment="1">
      <alignment horizontal="center" vertical="center"/>
    </xf>
    <xf numFmtId="170" fontId="26" fillId="16" borderId="12" xfId="20" applyNumberFormat="1" applyFont="1" applyFill="1" applyBorder="1" applyAlignment="1">
      <alignment horizontal="center" vertical="center"/>
    </xf>
    <xf numFmtId="170" fontId="26" fillId="16" borderId="17" xfId="20" applyNumberFormat="1" applyFont="1" applyFill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/>
    </xf>
    <xf numFmtId="0" fontId="25" fillId="16" borderId="17" xfId="0" applyFont="1" applyFill="1" applyBorder="1" applyAlignment="1">
      <alignment horizontal="center" vertical="center"/>
    </xf>
    <xf numFmtId="170" fontId="26" fillId="16" borderId="13" xfId="20" applyNumberFormat="1" applyFont="1" applyFill="1" applyBorder="1" applyAlignment="1">
      <alignment horizontal="center" vertical="center"/>
    </xf>
    <xf numFmtId="170" fontId="26" fillId="16" borderId="18" xfId="20" applyNumberFormat="1" applyFont="1" applyFill="1" applyBorder="1" applyAlignment="1">
      <alignment horizontal="center" vertical="center"/>
    </xf>
  </cellXfs>
  <cellStyles count="2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Field Name" xfId="20" xr:uid="{43CFCB73-6835-41A3-9CB8-7F783B22C52B}"/>
    <cellStyle name="Heading" xfId="13" xr:uid="{00000000-0005-0000-0000-00000C000000}"/>
    <cellStyle name="Normal" xfId="0" builtinId="0" customBuiltin="1"/>
    <cellStyle name="Report Body" xfId="14" xr:uid="{00000000-0005-0000-0000-00000E000000}"/>
    <cellStyle name="Report Column Header" xfId="15" xr:uid="{00000000-0005-0000-0000-00000F000000}"/>
    <cellStyle name="Report Creation DateTime" xfId="16" xr:uid="{00000000-0005-0000-0000-000010000000}"/>
    <cellStyle name="Report Field Name" xfId="17" xr:uid="{00000000-0005-0000-0000-000011000000}"/>
    <cellStyle name="Report Name" xfId="18" xr:uid="{00000000-0005-0000-0000-000012000000}"/>
    <cellStyle name="StandardReportHeading" xfId="19" xr:uid="{00000000-0005-0000-0000-000013000000}"/>
  </cellStyles>
  <dxfs count="188"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2" formatCode="0.00"/>
    </dxf>
    <dxf>
      <alignment horizontal="left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2" formatCode="0.00"/>
    </dxf>
    <dxf>
      <alignment horizontal="left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2" formatCode="0.00"/>
    </dxf>
    <dxf>
      <alignment horizontal="left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2" formatCode="0.00"/>
    </dxf>
    <dxf>
      <alignment horizontal="left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2" formatCode="0.00"/>
    </dxf>
    <dxf>
      <alignment horizontal="left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numFmt numFmtId="2" formatCode="0.00"/>
    </dxf>
    <dxf>
      <alignment horizontal="left"/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alignment horizontal="left"/>
    </dxf>
    <dxf>
      <numFmt numFmtId="2" formatCode="0.00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b/>
        <i val="0"/>
      </font>
      <fill>
        <patternFill>
          <bgColor theme="5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bgColor theme="2" tint="0.79998168889431442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i val="0"/>
        <color theme="0"/>
      </font>
      <fill>
        <patternFill patternType="solid">
          <fgColor theme="4" tint="0.79995117038483843"/>
          <bgColor theme="2"/>
        </patternFill>
      </fill>
      <border>
        <bottom style="thin">
          <color theme="4"/>
        </bottom>
      </border>
    </dxf>
    <dxf>
      <font>
        <b val="0"/>
        <i val="0"/>
      </font>
    </dxf>
  </dxfs>
  <tableStyles count="1" defaultTableStyle="TableStyleMedium9" defaultPivotStyle="PivotStyleLight16">
    <tableStyle name="Geotab Pivot" table="0" count="13" xr9:uid="{C7CBEDCF-1302-4A61-BCE6-D487EDC076A3}">
      <tableStyleElement type="wholeTable" dxfId="187"/>
      <tableStyleElement type="headerRow" dxfId="186"/>
      <tableStyleElement type="totalRow" dxfId="185"/>
      <tableStyleElement type="firstRowStripe" dxfId="184"/>
      <tableStyleElement type="secondRowStripe" dxfId="183"/>
      <tableStyleElement type="firstColumnStripe" dxfId="182"/>
      <tableStyleElement type="firstSubtotalColumn" dxfId="181"/>
      <tableStyleElement type="firstSubtotalRow" dxfId="180"/>
      <tableStyleElement type="secondSubtotalRow" dxfId="179"/>
      <tableStyleElement type="firstRowSubheading" dxfId="178"/>
      <tableStyleElement type="secondRowSubheading" dxfId="177"/>
      <tableStyleElement type="pageFieldLabels" dxfId="176"/>
      <tableStyleElement type="pageFieldValues" dxfId="17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2</xdr:row>
      <xdr:rowOff>104775</xdr:rowOff>
    </xdr:from>
    <xdr:to>
      <xdr:col>7</xdr:col>
      <xdr:colOff>436494</xdr:colOff>
      <xdr:row>4</xdr:row>
      <xdr:rowOff>9524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7D7261A-EA21-4583-81BB-8C9F68FD0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325" y="752475"/>
          <a:ext cx="331719" cy="3428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en Schwartz" refreshedDate="44152.37980023148" missingItemsLimit="0" createdVersion="4" refreshedVersion="6" recordCount="129" xr:uid="{00000000-000A-0000-FFFF-FFFF570B0000}">
  <cacheSource type="worksheet">
    <worksheetSource name="AllData"/>
  </cacheSource>
  <cacheFields count="19">
    <cacheField name="**Driver" numFmtId="0">
      <sharedItems count="2">
        <s v="Driver1"/>
        <s v="Driver2"/>
      </sharedItems>
    </cacheField>
    <cacheField name="**First Name" numFmtId="0">
      <sharedItems/>
    </cacheField>
    <cacheField name="**Last Name" numFmtId="0">
      <sharedItems/>
    </cacheField>
    <cacheField name="**Vehicle" numFmtId="169">
      <sharedItems count="2">
        <s v="Vehicle1"/>
        <s v="Vehicle2"/>
      </sharedItems>
    </cacheField>
    <cacheField name="**Date" numFmtId="170">
      <sharedItems count="6">
        <s v="May 03, 2020"/>
        <s v="May 04, 2020"/>
        <s v="May 05, 2020"/>
        <s v="May 06, 2020"/>
        <s v="May 07, 2020"/>
        <s v="May 08, 2020"/>
      </sharedItems>
    </cacheField>
    <cacheField name="**Date and Time" numFmtId="171">
      <sharedItems containsSemiMixedTypes="0" containsNonDate="0" containsDate="1" containsString="0" minDate="2020-05-03T00:00:00" maxDate="2020-05-08T20:41:09"/>
    </cacheField>
    <cacheField name="**Duty Status" numFmtId="169">
      <sharedItems/>
    </cacheField>
    <cacheField name="**Status" numFmtId="169">
      <sharedItems count="2">
        <s v="NOT"/>
        <s v="YM"/>
      </sharedItems>
    </cacheField>
    <cacheField name="**Duration" numFmtId="172">
      <sharedItems containsSemiMixedTypes="0" containsNonDate="0" containsDate="1" containsString="0" minDate="1899-12-30T00:00:00" maxDate="1899-12-31T07:05:00"/>
    </cacheField>
    <cacheField name="**Distance" numFmtId="2">
      <sharedItems containsSemiMixedTypes="0" containsString="0" containsNumber="1" minValue="-1.01037994027138E-2" maxValue="46.344535827636697"/>
    </cacheField>
    <cacheField name="Driver Change?" numFmtId="2">
      <sharedItems/>
    </cacheField>
    <cacheField name="Date Change?" numFmtId="2">
      <sharedItems/>
    </cacheField>
    <cacheField name="YM Distance" numFmtId="2">
      <sharedItems containsSemiMixedTypes="0" containsString="0" containsNumber="1" minValue="0" maxValue="20.6869106292725"/>
    </cacheField>
    <cacheField name="Accumulating YM Distance for the date" numFmtId="2">
      <sharedItems containsSemiMixedTypes="0" containsString="0" containsNumber="1" minValue="0" maxValue="20.6869106292725"/>
    </cacheField>
    <cacheField name="Flag for a YM log" numFmtId="2">
      <sharedItems/>
    </cacheField>
    <cacheField name="Excessive YM Distance for the date" numFmtId="2">
      <sharedItems/>
    </cacheField>
    <cacheField name="Excessive YM" numFmtId="1">
      <sharedItems containsSemiMixedTypes="0" containsString="0" containsNumber="1" containsInteger="1" minValue="0" maxValue="1" count="2">
        <n v="0"/>
        <n v="1"/>
      </sharedItems>
    </cacheField>
    <cacheField name="Excessive YM Log" numFmtId="2">
      <sharedItems/>
    </cacheField>
    <cacheField name="**Verify Date" numFmtId="171">
      <sharedItems containsDate="1" containsMixedTypes="1" minDate="2020-05-05T06:51:19" maxDate="2020-05-10T16:27: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s v="FirstName1"/>
    <s v="LastName1"/>
    <x v="0"/>
    <x v="0"/>
    <d v="2020-05-03T00:00:00"/>
    <s v="D"/>
    <x v="0"/>
    <d v="1899-12-31T07:05:00"/>
    <n v="2.48548483848572"/>
    <b v="0"/>
    <b v="0"/>
    <n v="0"/>
    <n v="0"/>
    <b v="0"/>
    <b v="0"/>
    <x v="0"/>
    <s v=""/>
    <d v="2020-05-05T20:41:10"/>
  </r>
  <r>
    <x v="0"/>
    <s v="FirstName1"/>
    <s v="LastName1"/>
    <x v="0"/>
    <x v="1"/>
    <d v="2020-05-04T07:05:00"/>
    <s v="ON"/>
    <x v="0"/>
    <d v="1899-12-30T00:16:02"/>
    <n v="0"/>
    <b v="0"/>
    <b v="1"/>
    <n v="0"/>
    <n v="0"/>
    <b v="0"/>
    <b v="0"/>
    <x v="0"/>
    <s v=""/>
    <d v="2020-05-05T06:51:19"/>
  </r>
  <r>
    <x v="0"/>
    <s v="FirstName1"/>
    <s v="LastName1"/>
    <x v="0"/>
    <x v="1"/>
    <d v="2020-05-04T07:18:17"/>
    <s v="OFF"/>
    <x v="0"/>
    <d v="1899-12-30T00:00:00"/>
    <n v="0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7:21:02"/>
    <s v="D"/>
    <x v="0"/>
    <d v="1899-12-30T00:00:40"/>
    <n v="0.88891088962554898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7:21:42"/>
    <s v="ON"/>
    <x v="0"/>
    <d v="1899-12-30T00:46:36"/>
    <n v="8.0417729914188402E-3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8:08:18"/>
    <s v="D"/>
    <x v="0"/>
    <d v="1899-12-30T00:00:03"/>
    <n v="0.93382579088211104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8:08:21"/>
    <s v="ON"/>
    <x v="0"/>
    <d v="1899-12-30T00:31:05"/>
    <n v="0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8:39:26"/>
    <s v="D"/>
    <x v="0"/>
    <d v="1899-12-30T00:16:31"/>
    <n v="0.76383650302886996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8:55:57"/>
    <s v="ON"/>
    <x v="0"/>
    <d v="1899-12-30T00:44:32"/>
    <n v="8.1987697631120699E-3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09:40:29"/>
    <s v="D"/>
    <x v="0"/>
    <d v="1899-12-30T01:23:22"/>
    <n v="6.1095294952392596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11:03:51"/>
    <s v="ON"/>
    <x v="0"/>
    <d v="1899-12-30T04:50:36"/>
    <n v="1.5320825390517699E-2"/>
    <b v="0"/>
    <b v="0"/>
    <n v="0"/>
    <n v="0"/>
    <b v="0"/>
    <b v="0"/>
    <x v="0"/>
    <s v=""/>
    <d v="2020-05-05T06:51:19"/>
  </r>
  <r>
    <x v="0"/>
    <s v="FirstName1"/>
    <s v="LastName1"/>
    <x v="0"/>
    <x v="1"/>
    <d v="2020-05-04T12:03:51"/>
    <s v="YM"/>
    <x v="1"/>
    <d v="1899-12-30T00:00:00"/>
    <n v="20.6869106292725"/>
    <b v="0"/>
    <b v="0"/>
    <n v="20.6869106292725"/>
    <n v="20.6869106292725"/>
    <b v="1"/>
    <b v="1"/>
    <x v="1"/>
    <s v="**Excessive YM"/>
    <s v=""/>
  </r>
  <r>
    <x v="0"/>
    <s v="FirstName1"/>
    <s v="LastName1"/>
    <x v="0"/>
    <x v="1"/>
    <d v="2020-05-04T13:03:51"/>
    <s v="ON"/>
    <x v="0"/>
    <d v="1899-12-30T00:00:00"/>
    <n v="0"/>
    <b v="0"/>
    <b v="0"/>
    <n v="0"/>
    <n v="20.6869106292725"/>
    <b v="0"/>
    <b v="1"/>
    <x v="0"/>
    <s v=""/>
    <s v=""/>
  </r>
  <r>
    <x v="0"/>
    <s v="FirstName1"/>
    <s v="LastName1"/>
    <x v="0"/>
    <x v="1"/>
    <d v="2020-05-04T14:03:51"/>
    <s v="D"/>
    <x v="0"/>
    <d v="1899-12-30T00:00:00"/>
    <n v="18.564384460449201"/>
    <b v="0"/>
    <b v="0"/>
    <n v="0"/>
    <n v="20.6869106292725"/>
    <b v="0"/>
    <b v="1"/>
    <x v="0"/>
    <s v=""/>
    <s v=""/>
  </r>
  <r>
    <x v="0"/>
    <s v="FirstName1"/>
    <s v="LastName1"/>
    <x v="0"/>
    <x v="1"/>
    <d v="2020-05-04T15:03:51"/>
    <s v="ON"/>
    <x v="0"/>
    <d v="1899-12-30T00:00:00"/>
    <n v="0"/>
    <b v="0"/>
    <b v="0"/>
    <n v="0"/>
    <n v="20.6869106292725"/>
    <b v="0"/>
    <b v="1"/>
    <x v="0"/>
    <s v=""/>
    <s v=""/>
  </r>
  <r>
    <x v="0"/>
    <s v="FirstName1"/>
    <s v="LastName1"/>
    <x v="0"/>
    <x v="1"/>
    <d v="2020-05-04T15:54:27"/>
    <s v="D"/>
    <x v="0"/>
    <d v="1899-12-30T00:12:48"/>
    <n v="9.7211904823780101E-2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16:07:15"/>
    <s v="ON"/>
    <x v="0"/>
    <d v="1899-12-30T00:09:45"/>
    <n v="0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16:17:00"/>
    <s v="D"/>
    <x v="0"/>
    <d v="1899-12-30T01:53:07"/>
    <n v="30.634231567382798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17:17:00"/>
    <s v="ON"/>
    <x v="0"/>
    <d v="1899-12-30T00:00:00"/>
    <n v="1.09222494065762E-2"/>
    <b v="0"/>
    <b v="0"/>
    <n v="0"/>
    <n v="20.6869106292725"/>
    <b v="0"/>
    <b v="1"/>
    <x v="0"/>
    <s v=""/>
    <s v=""/>
  </r>
  <r>
    <x v="0"/>
    <s v="FirstName1"/>
    <s v="LastName1"/>
    <x v="0"/>
    <x v="1"/>
    <d v="2020-05-04T18:10:07"/>
    <s v="D"/>
    <x v="0"/>
    <d v="1899-12-30T00:33:21"/>
    <n v="46.344535827636697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18:43:28"/>
    <s v="ON"/>
    <x v="0"/>
    <d v="1899-12-30T01:57:27"/>
    <n v="0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19:43:28"/>
    <s v="D"/>
    <x v="0"/>
    <d v="1899-12-30T00:00:00"/>
    <n v="18.876789093017599"/>
    <b v="0"/>
    <b v="0"/>
    <n v="0"/>
    <n v="20.6869106292725"/>
    <b v="0"/>
    <b v="1"/>
    <x v="0"/>
    <s v=""/>
    <s v=""/>
  </r>
  <r>
    <x v="0"/>
    <s v="FirstName1"/>
    <s v="LastName1"/>
    <x v="0"/>
    <x v="1"/>
    <d v="2020-05-04T20:40:55"/>
    <s v="ON"/>
    <x v="0"/>
    <d v="1899-12-30T00:00:40"/>
    <n v="0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20:41:35"/>
    <s v="D"/>
    <x v="0"/>
    <d v="1899-12-30T10:05:25"/>
    <n v="1.0338554382324201"/>
    <b v="0"/>
    <b v="0"/>
    <n v="0"/>
    <n v="20.6869106292725"/>
    <b v="0"/>
    <b v="1"/>
    <x v="0"/>
    <s v=""/>
    <d v="2020-05-05T06:51:19"/>
  </r>
  <r>
    <x v="0"/>
    <s v="FirstName1"/>
    <s v="LastName1"/>
    <x v="0"/>
    <x v="1"/>
    <d v="2020-05-04T20:41:35"/>
    <s v="ON"/>
    <x v="0"/>
    <d v="1899-12-30T00:00:00"/>
    <n v="0"/>
    <b v="0"/>
    <b v="0"/>
    <n v="0"/>
    <n v="20.6869106292725"/>
    <b v="0"/>
    <b v="1"/>
    <x v="0"/>
    <s v=""/>
    <d v="2020-05-05T06:51:19"/>
  </r>
  <r>
    <x v="0"/>
    <s v="FirstName1"/>
    <s v="LastName1"/>
    <x v="0"/>
    <x v="2"/>
    <d v="2020-05-05T06:47:00"/>
    <s v="D"/>
    <x v="0"/>
    <d v="1899-12-30T00:14:29"/>
    <n v="2.2360694408416699"/>
    <b v="0"/>
    <b v="1"/>
    <n v="0"/>
    <n v="0"/>
    <b v="0"/>
    <b v="0"/>
    <x v="0"/>
    <s v=""/>
    <d v="2020-05-05T20:40:24"/>
  </r>
  <r>
    <x v="0"/>
    <s v="FirstName1"/>
    <s v="LastName1"/>
    <x v="0"/>
    <x v="2"/>
    <d v="2020-05-05T07:01:29"/>
    <s v="ON"/>
    <x v="0"/>
    <d v="1899-12-30T00:01:02"/>
    <n v="2.2216470912098898E-2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07:02:31"/>
    <s v="D"/>
    <x v="0"/>
    <d v="1899-12-30T03:55:45"/>
    <n v="5.8045482635498002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08:02:31"/>
    <s v="ON"/>
    <x v="0"/>
    <d v="1899-12-30T00:00:00"/>
    <n v="9.4726877287030203E-3"/>
    <b v="0"/>
    <b v="0"/>
    <n v="0"/>
    <n v="0"/>
    <b v="0"/>
    <b v="0"/>
    <x v="0"/>
    <s v=""/>
    <s v=""/>
  </r>
  <r>
    <x v="0"/>
    <s v="FirstName1"/>
    <s v="LastName1"/>
    <x v="0"/>
    <x v="2"/>
    <d v="2020-05-05T09:02:31"/>
    <s v="D"/>
    <x v="0"/>
    <d v="1899-12-30T00:00:00"/>
    <n v="1.60622262954712"/>
    <b v="0"/>
    <b v="0"/>
    <n v="0"/>
    <n v="0"/>
    <b v="0"/>
    <b v="0"/>
    <x v="0"/>
    <s v=""/>
    <s v=""/>
  </r>
  <r>
    <x v="0"/>
    <s v="FirstName1"/>
    <s v="LastName1"/>
    <x v="0"/>
    <x v="2"/>
    <d v="2020-05-05T10:02:31"/>
    <s v="ON"/>
    <x v="0"/>
    <d v="1899-12-30T00:00:00"/>
    <n v="2.5866132229566598E-2"/>
    <b v="0"/>
    <b v="0"/>
    <n v="0"/>
    <n v="0"/>
    <b v="0"/>
    <b v="0"/>
    <x v="0"/>
    <s v=""/>
    <s v=""/>
  </r>
  <r>
    <x v="0"/>
    <s v="FirstName1"/>
    <s v="LastName1"/>
    <x v="0"/>
    <x v="2"/>
    <d v="2020-05-05T10:58:16"/>
    <s v="D"/>
    <x v="0"/>
    <d v="1899-12-30T00:04:53"/>
    <n v="16.2477321624756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1:03:09"/>
    <s v="ON"/>
    <x v="0"/>
    <d v="1899-12-30T00:02:44"/>
    <n v="0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1:05:53"/>
    <s v="D"/>
    <x v="0"/>
    <d v="1899-12-30T00:15:23"/>
    <n v="4.2844147682189897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1:21:17"/>
    <s v="ON"/>
    <x v="0"/>
    <d v="1899-12-30T00:35:11"/>
    <n v="1.9712347537279101E-2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1:56:28"/>
    <s v="D"/>
    <x v="0"/>
    <d v="1899-12-30T02:21:54"/>
    <n v="4.6833195686340297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2:56:28"/>
    <s v="ON"/>
    <x v="0"/>
    <d v="1899-12-30T00:00:00"/>
    <n v="3.5755563527345699E-2"/>
    <b v="0"/>
    <b v="0"/>
    <n v="0"/>
    <n v="0"/>
    <b v="0"/>
    <b v="0"/>
    <x v="0"/>
    <s v=""/>
    <s v=""/>
  </r>
  <r>
    <x v="0"/>
    <s v="FirstName1"/>
    <s v="LastName1"/>
    <x v="0"/>
    <x v="2"/>
    <d v="2020-05-05T13:56:28"/>
    <s v="D"/>
    <x v="0"/>
    <d v="1899-12-30T00:00:00"/>
    <n v="18.540431976318398"/>
    <b v="0"/>
    <b v="0"/>
    <n v="0"/>
    <n v="0"/>
    <b v="0"/>
    <b v="0"/>
    <x v="0"/>
    <s v=""/>
    <s v=""/>
  </r>
  <r>
    <x v="0"/>
    <s v="FirstName1"/>
    <s v="LastName1"/>
    <x v="0"/>
    <x v="2"/>
    <d v="2020-05-05T14:18:22"/>
    <s v="ON"/>
    <x v="0"/>
    <d v="1899-12-30T00:06:38"/>
    <n v="1.2475060299038899E-2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4:25:00"/>
    <s v="D"/>
    <x v="0"/>
    <d v="1899-12-30T01:02:28"/>
    <n v="21.794864654541001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5:25:00"/>
    <s v="INT_D"/>
    <x v="0"/>
    <d v="1899-12-30T00:00:00"/>
    <n v="5.0907964706420898"/>
    <b v="0"/>
    <b v="0"/>
    <n v="0"/>
    <n v="0"/>
    <b v="0"/>
    <b v="0"/>
    <x v="0"/>
    <s v=""/>
    <s v=""/>
  </r>
  <r>
    <x v="0"/>
    <s v="FirstName1"/>
    <s v="LastName1"/>
    <x v="0"/>
    <x v="2"/>
    <d v="2020-05-05T15:27:28"/>
    <s v="ON"/>
    <x v="0"/>
    <d v="1899-12-30T00:19:09"/>
    <n v="0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5:46:36"/>
    <s v="D"/>
    <x v="0"/>
    <d v="1899-12-30T01:26:50"/>
    <n v="19.617561340331999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7:13:26"/>
    <s v="ON"/>
    <x v="0"/>
    <d v="1899-12-30T03:25:57"/>
    <n v="1.0010090656578499E-2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18:13:26"/>
    <s v="D"/>
    <x v="0"/>
    <d v="1899-12-30T00:00:00"/>
    <n v="1.25084888935089"/>
    <b v="0"/>
    <b v="0"/>
    <n v="0"/>
    <n v="0"/>
    <b v="0"/>
    <b v="0"/>
    <x v="0"/>
    <s v=""/>
    <s v=""/>
  </r>
  <r>
    <x v="0"/>
    <s v="FirstName1"/>
    <s v="LastName1"/>
    <x v="0"/>
    <x v="2"/>
    <d v="2020-05-05T19:13:26"/>
    <s v="ON"/>
    <x v="0"/>
    <d v="1899-12-30T00:00:00"/>
    <n v="2.2205328568816199E-2"/>
    <b v="0"/>
    <b v="0"/>
    <n v="0"/>
    <n v="0"/>
    <b v="0"/>
    <b v="0"/>
    <x v="0"/>
    <s v=""/>
    <s v=""/>
  </r>
  <r>
    <x v="0"/>
    <s v="FirstName1"/>
    <s v="LastName1"/>
    <x v="0"/>
    <x v="2"/>
    <d v="2020-05-05T20:13:26"/>
    <s v="D"/>
    <x v="0"/>
    <d v="1899-12-30T00:00:00"/>
    <n v="1.2100067138671899"/>
    <b v="0"/>
    <b v="0"/>
    <n v="0"/>
    <n v="0"/>
    <b v="0"/>
    <b v="0"/>
    <x v="0"/>
    <s v=""/>
    <s v=""/>
  </r>
  <r>
    <x v="0"/>
    <s v="FirstName1"/>
    <s v="LastName1"/>
    <x v="0"/>
    <x v="2"/>
    <d v="2020-05-05T20:39:23"/>
    <s v="ON"/>
    <x v="0"/>
    <d v="1899-12-30T00:00:12"/>
    <n v="0"/>
    <b v="0"/>
    <b v="0"/>
    <n v="0"/>
    <n v="0"/>
    <b v="0"/>
    <b v="0"/>
    <x v="0"/>
    <s v=""/>
    <s v=""/>
  </r>
  <r>
    <x v="0"/>
    <s v="FirstName1"/>
    <s v="LastName1"/>
    <x v="0"/>
    <x v="2"/>
    <d v="2020-05-05T20:39:35"/>
    <s v="D"/>
    <x v="0"/>
    <d v="1899-12-30T10:18:25"/>
    <n v="20.078250885009801"/>
    <b v="0"/>
    <b v="0"/>
    <n v="0"/>
    <n v="0"/>
    <b v="0"/>
    <b v="0"/>
    <x v="0"/>
    <s v=""/>
    <d v="2020-05-05T20:40:24"/>
  </r>
  <r>
    <x v="0"/>
    <s v="FirstName1"/>
    <s v="LastName1"/>
    <x v="0"/>
    <x v="2"/>
    <d v="2020-05-05T20:39:35"/>
    <s v="ON"/>
    <x v="0"/>
    <d v="1899-12-30T00:00:00"/>
    <n v="0"/>
    <b v="0"/>
    <b v="0"/>
    <n v="0"/>
    <n v="0"/>
    <b v="0"/>
    <b v="0"/>
    <x v="0"/>
    <s v=""/>
    <d v="2020-05-05T20:40:24"/>
  </r>
  <r>
    <x v="1"/>
    <s v="FirstName2"/>
    <s v="LastName2"/>
    <x v="1"/>
    <x v="3"/>
    <d v="2020-05-06T06:58:00"/>
    <s v="D"/>
    <x v="0"/>
    <d v="1899-12-30T00:15:21"/>
    <n v="18.0325031280518"/>
    <b v="1"/>
    <b v="1"/>
    <n v="0"/>
    <n v="0"/>
    <b v="0"/>
    <b v="0"/>
    <x v="0"/>
    <s v=""/>
    <d v="2020-05-07T10:18:15"/>
  </r>
  <r>
    <x v="1"/>
    <s v="FirstName2"/>
    <s v="LastName2"/>
    <x v="1"/>
    <x v="3"/>
    <d v="2020-05-06T07:13:21"/>
    <s v="ON"/>
    <x v="0"/>
    <d v="1899-12-30T00:06:40"/>
    <n v="0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07:20:01"/>
    <s v="ON"/>
    <x v="0"/>
    <d v="1899-12-30T00:58:43"/>
    <n v="1.1334412731230301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08:18:44"/>
    <s v="D"/>
    <x v="0"/>
    <d v="1899-12-30T00:00:10"/>
    <n v="1.10713374614716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08:18:54"/>
    <s v="ON"/>
    <x v="0"/>
    <d v="1899-12-30T00:19:32"/>
    <n v="2.1486012265086198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08:38:26"/>
    <s v="D"/>
    <x v="0"/>
    <d v="1899-12-30T02:34:59"/>
    <n v="1.65621626377106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09:38:26"/>
    <s v="ON"/>
    <x v="0"/>
    <d v="1899-12-30T00:00:00"/>
    <n v="9.0646361932158505E-3"/>
    <b v="0"/>
    <b v="0"/>
    <n v="0"/>
    <n v="0"/>
    <b v="0"/>
    <b v="0"/>
    <x v="0"/>
    <s v=""/>
    <s v=""/>
  </r>
  <r>
    <x v="1"/>
    <s v="FirstName2"/>
    <s v="LastName2"/>
    <x v="1"/>
    <x v="3"/>
    <d v="2020-05-06T10:38:26"/>
    <s v="D"/>
    <x v="0"/>
    <d v="1899-12-30T00:00:00"/>
    <n v="17.202919006347699"/>
    <b v="0"/>
    <b v="0"/>
    <n v="0"/>
    <n v="0"/>
    <b v="0"/>
    <b v="0"/>
    <x v="0"/>
    <s v=""/>
    <s v=""/>
  </r>
  <r>
    <x v="1"/>
    <s v="FirstName2"/>
    <s v="LastName2"/>
    <x v="1"/>
    <x v="3"/>
    <d v="2020-05-06T11:13:25"/>
    <s v="ON"/>
    <x v="0"/>
    <d v="1899-12-30T00:15:47"/>
    <n v="2.8303649276495001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1:29:12"/>
    <s v="D"/>
    <x v="0"/>
    <d v="1899-12-30T00:05:16"/>
    <n v="19.7934379577637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1:34:28"/>
    <s v="ON"/>
    <x v="0"/>
    <d v="1899-12-30T02:35:38"/>
    <n v="1.19367297738791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2:34:28"/>
    <s v="D"/>
    <x v="0"/>
    <d v="1899-12-30T00:00:00"/>
    <n v="4.1512503623962402"/>
    <b v="0"/>
    <b v="0"/>
    <n v="0"/>
    <n v="0"/>
    <b v="0"/>
    <b v="0"/>
    <x v="0"/>
    <s v=""/>
    <s v=""/>
  </r>
  <r>
    <x v="1"/>
    <s v="FirstName2"/>
    <s v="LastName2"/>
    <x v="1"/>
    <x v="3"/>
    <d v="2020-05-06T13:34:28"/>
    <s v="ON"/>
    <x v="0"/>
    <d v="1899-12-30T00:00:00"/>
    <n v="1.52523778378963E-2"/>
    <b v="0"/>
    <b v="0"/>
    <n v="0"/>
    <n v="0"/>
    <b v="0"/>
    <b v="0"/>
    <x v="0"/>
    <s v=""/>
    <s v=""/>
  </r>
  <r>
    <x v="1"/>
    <s v="FirstName2"/>
    <s v="LastName2"/>
    <x v="1"/>
    <x v="3"/>
    <d v="2020-05-06T14:10:06"/>
    <s v="D"/>
    <x v="0"/>
    <d v="1899-12-30T00:00:05"/>
    <n v="1.60031282901764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4:10:11"/>
    <s v="ON"/>
    <x v="0"/>
    <d v="1899-12-30T00:32:11"/>
    <n v="2.0225260406732601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4:42:22"/>
    <s v="D"/>
    <x v="0"/>
    <d v="1899-12-30T02:46:23"/>
    <n v="2.0924367904663099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5:42:22"/>
    <s v="ON"/>
    <x v="0"/>
    <d v="1899-12-30T00:00:00"/>
    <n v="2.5180393829941701E-2"/>
    <b v="0"/>
    <b v="0"/>
    <n v="0"/>
    <n v="0"/>
    <b v="0"/>
    <b v="0"/>
    <x v="0"/>
    <s v=""/>
    <s v=""/>
  </r>
  <r>
    <x v="1"/>
    <s v="FirstName2"/>
    <s v="LastName2"/>
    <x v="1"/>
    <x v="3"/>
    <d v="2020-05-06T16:42:22"/>
    <s v="D"/>
    <x v="0"/>
    <d v="1899-12-30T00:00:00"/>
    <n v="17.1246662139893"/>
    <b v="0"/>
    <b v="0"/>
    <n v="0"/>
    <n v="0"/>
    <b v="0"/>
    <b v="0"/>
    <x v="0"/>
    <s v=""/>
    <s v=""/>
  </r>
  <r>
    <x v="1"/>
    <s v="FirstName2"/>
    <s v="LastName2"/>
    <x v="1"/>
    <x v="3"/>
    <d v="2020-05-06T17:28:45"/>
    <s v="ON"/>
    <x v="0"/>
    <d v="1899-12-30T00:05:43"/>
    <n v="5.3547741845250104E-3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7:34:28"/>
    <s v="D"/>
    <x v="0"/>
    <d v="1899-12-30T00:05:46"/>
    <n v="3.4743239879608199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7:40:14"/>
    <s v="ON"/>
    <x v="0"/>
    <d v="1899-12-30T00:20:55"/>
    <n v="2.7955034747719799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8:01:09"/>
    <s v="D"/>
    <x v="0"/>
    <d v="1899-12-30T00:25:24"/>
    <n v="17.308301925659201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8:26:33"/>
    <s v="ON"/>
    <x v="0"/>
    <d v="1899-12-30T00:12:33"/>
    <n v="7.2240918874740601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8:39:06"/>
    <s v="D"/>
    <x v="0"/>
    <d v="1899-12-30T00:01:36"/>
    <n v="-1.01037994027138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8:40:42"/>
    <s v="ON"/>
    <x v="0"/>
    <d v="1899-12-30T00:20:06"/>
    <n v="8.4668017923831898E-2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9:00:48"/>
    <s v="D"/>
    <x v="0"/>
    <d v="1899-12-30T00:54:56"/>
    <n v="1.5308971405029299"/>
    <b v="0"/>
    <b v="0"/>
    <n v="0"/>
    <n v="0"/>
    <b v="0"/>
    <b v="0"/>
    <x v="0"/>
    <s v=""/>
    <d v="2020-05-07T10:18:15"/>
  </r>
  <r>
    <x v="1"/>
    <s v="FirstName2"/>
    <s v="LastName2"/>
    <x v="1"/>
    <x v="3"/>
    <d v="2020-05-06T19:55:44"/>
    <s v="ON"/>
    <x v="0"/>
    <d v="1899-12-30T00:00:10"/>
    <n v="6.6138263791799502E-3"/>
    <b v="0"/>
    <b v="0"/>
    <n v="0"/>
    <n v="0"/>
    <b v="0"/>
    <b v="0"/>
    <x v="0"/>
    <s v=""/>
    <d v="2020-05-10T16:27:06"/>
  </r>
  <r>
    <x v="1"/>
    <s v="FirstName2"/>
    <s v="LastName2"/>
    <x v="1"/>
    <x v="3"/>
    <d v="2020-05-06T19:55:54"/>
    <s v="D"/>
    <x v="0"/>
    <d v="1899-12-30T14:14:06"/>
    <n v="2.6031453609466602"/>
    <b v="0"/>
    <b v="0"/>
    <n v="0"/>
    <n v="0"/>
    <b v="0"/>
    <b v="0"/>
    <x v="0"/>
    <s v=""/>
    <d v="2020-05-07T10:18:15"/>
  </r>
  <r>
    <x v="1"/>
    <s v="FirstName2"/>
    <s v="LastName2"/>
    <x v="1"/>
    <x v="4"/>
    <d v="2020-05-07T10:10:00"/>
    <s v="ON"/>
    <x v="0"/>
    <d v="1899-12-30T00:09:52"/>
    <n v="3.9516523480415303E-2"/>
    <b v="0"/>
    <b v="1"/>
    <n v="0"/>
    <n v="0"/>
    <b v="0"/>
    <b v="0"/>
    <x v="0"/>
    <s v=""/>
    <d v="2020-05-07T22:06:19"/>
  </r>
  <r>
    <x v="1"/>
    <s v="FirstName2"/>
    <s v="LastName2"/>
    <x v="1"/>
    <x v="4"/>
    <d v="2020-05-07T10:19:52"/>
    <s v="D"/>
    <x v="0"/>
    <d v="1899-12-30T00:52:44"/>
    <n v="16.426820755004901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1:12:36"/>
    <s v="ON"/>
    <x v="0"/>
    <d v="1899-12-30T00:00:07"/>
    <n v="7.9993709921836895E-2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1:12:43"/>
    <s v="D"/>
    <x v="0"/>
    <d v="1899-12-30T00:14:54"/>
    <n v="18.625551223754901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1:27:37"/>
    <s v="INT_D"/>
    <x v="0"/>
    <d v="1899-12-30T00:10:54"/>
    <n v="19.404661178588899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1:38:31"/>
    <s v="ON"/>
    <x v="0"/>
    <d v="1899-12-30T00:00:04"/>
    <n v="3.7263702601194403E-2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1:38:35"/>
    <s v="D"/>
    <x v="0"/>
    <d v="1899-12-30T00:12:12"/>
    <n v="8.1446847915649396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1:50:47"/>
    <s v="ON"/>
    <x v="0"/>
    <d v="1899-12-30T00:17:49"/>
    <n v="5.0151329487562197E-3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2:08:36"/>
    <s v="D"/>
    <x v="0"/>
    <d v="1899-12-30T00:03:19"/>
    <n v="21.183744430541999"/>
    <b v="0"/>
    <b v="0"/>
    <n v="0"/>
    <n v="0"/>
    <b v="0"/>
    <b v="0"/>
    <x v="0"/>
    <s v=""/>
    <d v="2020-05-07T22:06:19"/>
  </r>
  <r>
    <x v="1"/>
    <s v="FirstName2"/>
    <s v="LastName2"/>
    <x v="1"/>
    <x v="4"/>
    <d v="2020-05-07T12:11:55"/>
    <s v="ON"/>
    <x v="0"/>
    <d v="1899-12-30T01:44:17"/>
    <n v="4.0630176663398701E-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3:56:12"/>
    <s v="D"/>
    <x v="0"/>
    <d v="1899-12-30T00:03:45"/>
    <n v="37.42910385131840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3:59:57"/>
    <s v="INT_D"/>
    <x v="0"/>
    <d v="1899-12-30T00:04:56"/>
    <n v="26.531501770019499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4:04:53"/>
    <s v="ON"/>
    <x v="0"/>
    <d v="1899-12-30T05:14:07"/>
    <n v="1.56171210110188E-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5:04:53"/>
    <s v="D"/>
    <x v="0"/>
    <d v="1899-12-30T00:00:00"/>
    <n v="12.4739446640015"/>
    <b v="0"/>
    <b v="0"/>
    <n v="0"/>
    <n v="0"/>
    <b v="0"/>
    <b v="0"/>
    <x v="0"/>
    <s v=""/>
    <s v=""/>
  </r>
  <r>
    <x v="1"/>
    <s v="FirstName2"/>
    <s v="LastName2"/>
    <x v="1"/>
    <x v="4"/>
    <d v="2020-05-07T16:04:53"/>
    <s v="ON"/>
    <x v="0"/>
    <d v="1899-12-30T00:00:00"/>
    <n v="3.0410172417759899E-2"/>
    <b v="0"/>
    <b v="0"/>
    <n v="0"/>
    <n v="0"/>
    <b v="0"/>
    <b v="0"/>
    <x v="0"/>
    <s v=""/>
    <s v=""/>
  </r>
  <r>
    <x v="1"/>
    <s v="FirstName2"/>
    <s v="LastName2"/>
    <x v="1"/>
    <x v="4"/>
    <d v="2020-05-07T17:04:53"/>
    <s v="D"/>
    <x v="0"/>
    <d v="1899-12-30T00:00:00"/>
    <n v="12.8766479492188"/>
    <b v="0"/>
    <b v="0"/>
    <n v="0"/>
    <n v="0"/>
    <b v="0"/>
    <b v="0"/>
    <x v="0"/>
    <s v=""/>
    <s v=""/>
  </r>
  <r>
    <x v="1"/>
    <s v="FirstName2"/>
    <s v="LastName2"/>
    <x v="1"/>
    <x v="4"/>
    <d v="2020-05-07T18:04:53"/>
    <s v="INT_D"/>
    <x v="0"/>
    <d v="1899-12-30T00:00:00"/>
    <n v="3.4350047111511199"/>
    <b v="0"/>
    <b v="0"/>
    <n v="0"/>
    <n v="0"/>
    <b v="0"/>
    <b v="0"/>
    <x v="0"/>
    <s v=""/>
    <s v=""/>
  </r>
  <r>
    <x v="1"/>
    <s v="FirstName2"/>
    <s v="LastName2"/>
    <x v="1"/>
    <x v="4"/>
    <d v="2020-05-07T19:04:53"/>
    <s v="ON"/>
    <x v="0"/>
    <d v="1899-12-30T00:00:00"/>
    <n v="4.8188012093305602E-2"/>
    <b v="0"/>
    <b v="0"/>
    <n v="0"/>
    <n v="0"/>
    <b v="0"/>
    <b v="0"/>
    <x v="0"/>
    <s v=""/>
    <s v=""/>
  </r>
  <r>
    <x v="1"/>
    <s v="FirstName2"/>
    <s v="LastName2"/>
    <x v="1"/>
    <x v="4"/>
    <d v="2020-05-07T19:19:00"/>
    <s v="D"/>
    <x v="0"/>
    <d v="1899-12-30T00:00:08"/>
    <n v="2.313022613525390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9:19:08"/>
    <s v="ON"/>
    <x v="0"/>
    <d v="1899-12-30T00:01:11"/>
    <n v="2.2921569645404798E-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9:20:19"/>
    <s v="D"/>
    <x v="0"/>
    <d v="1899-12-30T00:08:34"/>
    <n v="8.8626871109008807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9:28:53"/>
    <s v="ON"/>
    <x v="0"/>
    <d v="1899-12-30T00:03:34"/>
    <n v="1.73124317079782E-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19:32:27"/>
    <s v="D"/>
    <x v="0"/>
    <d v="1899-12-30T01:53:31"/>
    <n v="9.4275302886962908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20:32:27"/>
    <s v="ON"/>
    <x v="0"/>
    <d v="1899-12-30T00:00:00"/>
    <n v="4.11268472671509E-2"/>
    <b v="0"/>
    <b v="0"/>
    <n v="0"/>
    <n v="0"/>
    <b v="0"/>
    <b v="0"/>
    <x v="0"/>
    <s v=""/>
    <s v=""/>
  </r>
  <r>
    <x v="1"/>
    <s v="FirstName2"/>
    <s v="LastName2"/>
    <x v="1"/>
    <x v="4"/>
    <d v="2020-05-07T21:25:58"/>
    <s v="D"/>
    <x v="0"/>
    <d v="1899-12-30T00:02:48"/>
    <n v="9.4658527374267596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21:28:46"/>
    <s v="ON"/>
    <x v="0"/>
    <d v="1899-12-30T00:36:36"/>
    <n v="1.0984463617205601E-2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22:05:22"/>
    <s v="D"/>
    <x v="0"/>
    <d v="1899-12-30T09:54:38"/>
    <n v="1.6667178869247401"/>
    <b v="0"/>
    <b v="0"/>
    <n v="0"/>
    <n v="0"/>
    <b v="0"/>
    <b v="0"/>
    <x v="0"/>
    <s v=""/>
    <d v="2020-05-07T22:06:20"/>
  </r>
  <r>
    <x v="1"/>
    <s v="FirstName2"/>
    <s v="LastName2"/>
    <x v="1"/>
    <x v="4"/>
    <d v="2020-05-07T22:05:22"/>
    <s v="ON"/>
    <x v="0"/>
    <d v="1899-12-30T00:00:00"/>
    <n v="1.80746372789145E-2"/>
    <b v="0"/>
    <b v="0"/>
    <n v="0"/>
    <n v="0"/>
    <b v="0"/>
    <b v="0"/>
    <x v="0"/>
    <s v=""/>
    <d v="2020-05-07T22:06:20"/>
  </r>
  <r>
    <x v="1"/>
    <s v="FirstName2"/>
    <s v="LastName2"/>
    <x v="1"/>
    <x v="5"/>
    <d v="2020-05-08T08:00:00"/>
    <s v="D"/>
    <x v="0"/>
    <d v="1899-12-30T00:16:01"/>
    <n v="11.1666069030762"/>
    <b v="0"/>
    <b v="1"/>
    <n v="0"/>
    <n v="0"/>
    <b v="0"/>
    <b v="0"/>
    <x v="0"/>
    <s v=""/>
    <d v="2020-05-10T16:26:54"/>
  </r>
  <r>
    <x v="1"/>
    <s v="FirstName2"/>
    <s v="LastName2"/>
    <x v="1"/>
    <x v="5"/>
    <d v="2020-05-08T08:16:01"/>
    <s v="ON"/>
    <x v="0"/>
    <d v="1899-12-30T00:02:29"/>
    <n v="2.0977072417736099E-2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08:18:30"/>
    <s v="D"/>
    <x v="0"/>
    <d v="1899-12-30T00:03:23"/>
    <n v="5.0742669105529803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08:21:53"/>
    <s v="ON"/>
    <x v="0"/>
    <d v="1899-12-30T00:38:12"/>
    <n v="8.2718394696712494E-3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09:00:05"/>
    <s v="D"/>
    <x v="0"/>
    <d v="1899-12-30T03:26:04"/>
    <n v="1.42088198661804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10:00:05"/>
    <s v="ON"/>
    <x v="0"/>
    <d v="1899-12-30T00:00:00"/>
    <n v="3.7075344473123599E-2"/>
    <b v="0"/>
    <b v="0"/>
    <n v="0"/>
    <n v="0"/>
    <b v="0"/>
    <b v="0"/>
    <x v="0"/>
    <s v=""/>
    <s v=""/>
  </r>
  <r>
    <x v="1"/>
    <s v="FirstName2"/>
    <s v="LastName2"/>
    <x v="1"/>
    <x v="5"/>
    <d v="2020-05-08T11:00:05"/>
    <s v="D"/>
    <x v="0"/>
    <d v="1899-12-30T00:00:00"/>
    <n v="6.0523624420165998"/>
    <b v="0"/>
    <b v="0"/>
    <n v="0"/>
    <n v="0"/>
    <b v="0"/>
    <b v="0"/>
    <x v="0"/>
    <s v=""/>
    <s v=""/>
  </r>
  <r>
    <x v="1"/>
    <s v="FirstName2"/>
    <s v="LastName2"/>
    <x v="1"/>
    <x v="5"/>
    <d v="2020-05-08T12:00:05"/>
    <s v="ON"/>
    <x v="0"/>
    <d v="1899-12-30T00:00:00"/>
    <n v="0.15932556986808799"/>
    <b v="0"/>
    <b v="0"/>
    <n v="0"/>
    <n v="0"/>
    <b v="0"/>
    <b v="0"/>
    <x v="0"/>
    <s v=""/>
    <s v=""/>
  </r>
  <r>
    <x v="1"/>
    <s v="FirstName2"/>
    <s v="LastName2"/>
    <x v="1"/>
    <x v="5"/>
    <d v="2020-05-08T12:26:09"/>
    <s v="D"/>
    <x v="0"/>
    <d v="1899-12-30T00:31:37"/>
    <n v="19.289592742919901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12:57:46"/>
    <s v="ON"/>
    <x v="0"/>
    <d v="1899-12-30T00:39:26"/>
    <n v="1.9876301288604702E-2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13:37:12"/>
    <s v="D"/>
    <x v="0"/>
    <d v="1899-12-30T01:53:15"/>
    <n v="2.0927858352661102"/>
    <b v="0"/>
    <b v="0"/>
    <n v="0"/>
    <n v="0"/>
    <b v="0"/>
    <b v="0"/>
    <x v="0"/>
    <s v=""/>
    <d v="2020-05-10T16:26:54"/>
  </r>
  <r>
    <x v="1"/>
    <s v="FirstName2"/>
    <s v="LastName2"/>
    <x v="1"/>
    <x v="5"/>
    <d v="2020-05-08T14:37:12"/>
    <s v="ON"/>
    <x v="0"/>
    <d v="1899-12-30T00:00:00"/>
    <n v="5.6357658468186899E-3"/>
    <b v="0"/>
    <b v="0"/>
    <n v="0"/>
    <n v="0"/>
    <b v="0"/>
    <b v="0"/>
    <x v="0"/>
    <s v=""/>
    <s v=""/>
  </r>
  <r>
    <x v="1"/>
    <s v="FirstName2"/>
    <s v="LastName2"/>
    <x v="1"/>
    <x v="5"/>
    <d v="2020-05-08T15:30:27"/>
    <s v="YM"/>
    <x v="1"/>
    <d v="1899-12-30T00:08:00"/>
    <n v="0.98855817317962602"/>
    <b v="0"/>
    <b v="0"/>
    <n v="0.98855817317962602"/>
    <n v="0.98855817317962602"/>
    <b v="1"/>
    <b v="0"/>
    <x v="0"/>
    <s v=""/>
    <d v="2020-05-10T16:26:54"/>
  </r>
  <r>
    <x v="1"/>
    <s v="FirstName2"/>
    <s v="LastName2"/>
    <x v="1"/>
    <x v="5"/>
    <d v="2020-05-08T15:38:27"/>
    <s v="ON"/>
    <x v="0"/>
    <d v="1899-12-30T00:05:18"/>
    <n v="9.3488022685050999E-3"/>
    <b v="0"/>
    <b v="0"/>
    <n v="0"/>
    <n v="0.98855817317962602"/>
    <b v="0"/>
    <b v="0"/>
    <x v="0"/>
    <s v=""/>
    <d v="2020-05-10T16:26:54"/>
  </r>
  <r>
    <x v="1"/>
    <s v="FirstName2"/>
    <s v="LastName2"/>
    <x v="1"/>
    <x v="5"/>
    <d v="2020-05-08T15:43:45"/>
    <s v="D"/>
    <x v="0"/>
    <d v="1899-12-30T04:01:48"/>
    <n v="14.841423034668001"/>
    <b v="0"/>
    <b v="0"/>
    <n v="0"/>
    <n v="0.98855817317962602"/>
    <b v="0"/>
    <b v="0"/>
    <x v="0"/>
    <s v=""/>
    <d v="2020-05-10T16:26:54"/>
  </r>
  <r>
    <x v="1"/>
    <s v="FirstName2"/>
    <s v="LastName2"/>
    <x v="1"/>
    <x v="5"/>
    <d v="2020-05-08T16:43:45"/>
    <s v="ON"/>
    <x v="0"/>
    <d v="1899-12-30T00:00:00"/>
    <n v="0"/>
    <b v="0"/>
    <b v="0"/>
    <n v="0"/>
    <n v="0.98855817317962602"/>
    <b v="0"/>
    <b v="0"/>
    <x v="0"/>
    <s v=""/>
    <s v=""/>
  </r>
  <r>
    <x v="1"/>
    <s v="FirstName2"/>
    <s v="LastName2"/>
    <x v="1"/>
    <x v="5"/>
    <d v="2020-05-08T17:43:45"/>
    <s v="YM"/>
    <x v="1"/>
    <d v="1899-12-30T00:00:00"/>
    <n v="2.1"/>
    <b v="0"/>
    <b v="0"/>
    <n v="2.1"/>
    <n v="3.0885581731796261"/>
    <b v="1"/>
    <b v="0"/>
    <x v="0"/>
    <s v=""/>
    <s v=""/>
  </r>
  <r>
    <x v="1"/>
    <s v="FirstName2"/>
    <s v="LastName2"/>
    <x v="1"/>
    <x v="5"/>
    <d v="2020-05-08T18:43:45"/>
    <s v="ON"/>
    <x v="0"/>
    <d v="1899-12-30T00:00:00"/>
    <n v="0"/>
    <b v="0"/>
    <b v="0"/>
    <n v="0"/>
    <n v="3.0885581731796261"/>
    <b v="0"/>
    <b v="0"/>
    <x v="0"/>
    <s v=""/>
    <s v=""/>
  </r>
  <r>
    <x v="1"/>
    <s v="FirstName2"/>
    <s v="LastName2"/>
    <x v="1"/>
    <x v="5"/>
    <d v="2020-05-08T19:45:33"/>
    <s v="OFF"/>
    <x v="0"/>
    <d v="1899-12-30T00:02:15"/>
    <n v="0"/>
    <b v="0"/>
    <b v="0"/>
    <n v="0"/>
    <n v="3.0885581731796261"/>
    <b v="0"/>
    <b v="0"/>
    <x v="0"/>
    <s v=""/>
    <d v="2020-05-10T16:26:54"/>
  </r>
  <r>
    <x v="1"/>
    <s v="FirstName2"/>
    <s v="LastName2"/>
    <x v="1"/>
    <x v="5"/>
    <d v="2020-05-08T19:47:48"/>
    <s v="ON"/>
    <x v="0"/>
    <d v="1899-12-30T00:53:04"/>
    <n v="0"/>
    <b v="0"/>
    <b v="0"/>
    <n v="0"/>
    <n v="3.0885581731796261"/>
    <b v="0"/>
    <b v="0"/>
    <x v="0"/>
    <s v=""/>
    <d v="2020-05-10T16:26:54"/>
  </r>
  <r>
    <x v="1"/>
    <s v="FirstName2"/>
    <s v="LastName2"/>
    <x v="1"/>
    <x v="5"/>
    <d v="2020-05-08T20:40:52"/>
    <s v="YM"/>
    <x v="1"/>
    <d v="1899-12-30T00:00:17"/>
    <n v="11.186718000000001"/>
    <b v="0"/>
    <b v="0"/>
    <n v="11.186718000000001"/>
    <n v="14.275276173179627"/>
    <b v="1"/>
    <b v="1"/>
    <x v="1"/>
    <s v="**Excessive YM"/>
    <d v="2020-05-10T16:26:54"/>
  </r>
  <r>
    <x v="1"/>
    <s v="FirstName2"/>
    <s v="LastName2"/>
    <x v="1"/>
    <x v="5"/>
    <d v="2020-05-08T20:41:09"/>
    <s v="OFF"/>
    <x v="0"/>
    <d v="1899-12-31T03:18:50"/>
    <n v="0"/>
    <b v="0"/>
    <b v="0"/>
    <n v="0"/>
    <n v="14.275276173179627"/>
    <b v="0"/>
    <b v="1"/>
    <x v="0"/>
    <s v=""/>
    <d v="2020-05-10T16:26:54"/>
  </r>
  <r>
    <x v="1"/>
    <s v="FirstName2"/>
    <s v="LastName2"/>
    <x v="1"/>
    <x v="5"/>
    <d v="2020-05-08T20:41:09"/>
    <s v="ON"/>
    <x v="0"/>
    <d v="1899-12-30T00:00:00"/>
    <n v="0"/>
    <b v="0"/>
    <b v="0"/>
    <n v="0"/>
    <n v="14.275276173179627"/>
    <b v="0"/>
    <b v="1"/>
    <x v="0"/>
    <s v=""/>
    <d v="2020-05-10T16:26: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14" applyNumberFormats="0" applyBorderFormats="0" applyFontFormats="0" applyPatternFormats="0" applyAlignmentFormats="0" applyWidthHeightFormats="1" dataCaption="Data" updatedVersion="6" minRefreshableVersion="3" showDrill="0" showMemberPropertyTips="0" rowGrandTotals="0" colGrandTotals="0" itemPrintTitles="1" createdVersion="4" indent="0" compact="0" compactData="0" chartFormat="1">
  <location ref="A12:F14" firstHeaderRow="1" firstDataRow="1" firstDataCol="5"/>
  <pivotFields count="19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1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ubtotalTop="0" showAll="0" defaultSubtotal="0"/>
    <pivotField compact="0" outline="0" subtotalTop="0" showAll="0" defaultSubtota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 defaultSubtotal="0"/>
    <pivotField compact="0" numFmtId="2" outline="0" showAll="0" defaultSubtotal="0"/>
    <pivotField compact="0" outline="0" showAll="0" defaultSubtotal="0"/>
    <pivotField compact="0" outline="0" showAll="0" defaultSubtotal="0"/>
    <pivotField compact="0" numFmtId="2" outline="0" subtotalTop="0" showAll="0" defaultSubtotal="0"/>
    <pivotField dataField="1" compact="0" numFmtId="2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numFmtId="1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howAll="0" defaultSubtotal="0"/>
  </pivotFields>
  <rowFields count="5">
    <field x="0"/>
    <field x="3"/>
    <field x="16"/>
    <field x="7"/>
    <field x="4"/>
  </rowFields>
  <rowItems count="2">
    <i>
      <x/>
      <x/>
      <x v="1"/>
      <x v="1"/>
      <x v="1"/>
    </i>
    <i>
      <x v="1"/>
      <x v="1"/>
      <x v="1"/>
      <x v="1"/>
      <x v="5"/>
    </i>
  </rowItems>
  <colItems count="1">
    <i/>
  </colItems>
  <dataFields count="1">
    <dataField name="**YM Distance" fld="13" subtotal="max" baseField="4" baseItem="124" numFmtId="2"/>
  </dataFields>
  <formats count="24"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0" type="button" dataOnly="0" labelOnly="1" outline="0" axis="axisRow" fieldPosition="0"/>
    </format>
    <format dxfId="170">
      <pivotArea field="3" type="button" dataOnly="0" labelOnly="1" outline="0" axis="axisRow" fieldPosition="1"/>
    </format>
    <format dxfId="169">
      <pivotArea field="7" type="button" dataOnly="0" labelOnly="1" outline="0" axis="axisRow" fieldPosition="3"/>
    </format>
    <format dxfId="168">
      <pivotArea field="4" type="button" dataOnly="0" labelOnly="1" outline="0" axis="axisRow" fieldPosition="4"/>
    </format>
    <format dxfId="167">
      <pivotArea dataOnly="0" labelOnly="1" outline="0" fieldPosition="0">
        <references count="1">
          <reference field="0" count="0"/>
        </references>
      </pivotArea>
    </format>
    <format dxfId="166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dataOnly="0" labelOnly="1" outline="0" fieldPosition="0">
        <references count="1">
          <reference field="0" count="0"/>
        </references>
      </pivotArea>
    </format>
    <format dxfId="160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158">
      <pivotArea field="0" type="button" dataOnly="0" labelOnly="1" outline="0" axis="axisRow" fieldPosition="0"/>
    </format>
    <format dxfId="157">
      <pivotArea field="3" type="button" dataOnly="0" labelOnly="1" outline="0" axis="axisRow" fieldPosition="1"/>
    </format>
    <format dxfId="156">
      <pivotArea field="7" type="button" dataOnly="0" labelOnly="1" outline="0" axis="axisRow" fieldPosition="3"/>
    </format>
    <format dxfId="155">
      <pivotArea field="4" type="button" dataOnly="0" labelOnly="1" outline="0" axis="axisRow" fieldPosition="4"/>
    </format>
    <format dxfId="154">
      <pivotArea dataOnly="0" labelOnly="1" outline="0" axis="axisValues" fieldPosition="0"/>
    </format>
    <format dxfId="153">
      <pivotArea outline="0" collapsedLevelsAreSubtotals="1" fieldPosition="0"/>
    </format>
    <format dxfId="152">
      <pivotArea dataOnly="0" labelOnly="1" outline="0" axis="axisValues" fieldPosition="0"/>
    </format>
    <format dxfId="151">
      <pivotArea outline="0" fieldPosition="0">
        <references count="1">
          <reference field="4294967294" count="1">
            <x v="0"/>
          </reference>
        </references>
      </pivotArea>
    </format>
    <format dxfId="150">
      <pivotArea dataOnly="0" labelOnly="1" outline="0" fieldPosition="0">
        <references count="1">
          <reference field="16" count="0"/>
        </references>
      </pivotArea>
    </format>
  </formats>
  <pivotTableStyleInfo name="Geotab Pivot" showRowHeaders="0" showColHeaders="1" showRowStripes="1" showColStripes="0" showLastColumn="1"/>
  <filters count="1">
    <filter fld="16" type="captionEqual" evalOrder="-1" id="4" stringValue1="1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ACB1F-3E03-49F8-826F-AF73B0257B9E}" name="PivotTable2" cacheId="14" applyNumberFormats="0" applyBorderFormats="0" applyFontFormats="0" applyPatternFormats="0" applyAlignmentFormats="0" applyWidthHeightFormats="1" dataCaption="Values" updatedVersion="6" minRefreshableVersion="3" showDrill="0" rowGrandTotals="0" colGrandTotals="0" itemPrintTitles="1" createdVersion="4" indent="0" compact="0" compactData="0" multipleFieldFilters="0" chartFormat="3">
  <location ref="J31:N33" firstHeaderRow="1" firstDataRow="1" firstDataCol="4"/>
  <pivotFields count="19"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numFmtId="170" outline="0" showAll="0" defaultSubtotal="0">
      <items count="6">
        <item x="0"/>
        <item x="1"/>
        <item x="2"/>
        <item x="3"/>
        <item x="4"/>
        <item x="5"/>
      </items>
    </pivotField>
    <pivotField compact="0" numFmtId="171" outline="0" subtotalTop="0" showAll="0" defaultSubtotal="0"/>
    <pivotField compact="0" outline="0" subtotalTop="0" showAll="0" defaultSubtotal="0"/>
    <pivotField compact="0" outline="0" showAll="0" defaultSubtotal="0"/>
    <pivotField compact="0" numFmtId="172" outline="0" showAll="0" defaultSubtotal="0"/>
    <pivotField compact="0" numFmtId="2" outline="0" showAll="0" defaultSubtotal="0"/>
    <pivotField compact="0" outline="0" showAll="0" defaultSubtotal="0"/>
    <pivotField compact="0" outline="0" showAll="0" defaultSubtotal="0"/>
    <pivotField compact="0" numFmtId="2" outline="0" subtotalTop="0" showAll="0" defaultSubtotal="0"/>
    <pivotField dataField="1" compact="0" numFmtId="2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numFmtId="1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howAll="0" defaultSubtotal="0"/>
  </pivotFields>
  <rowFields count="4">
    <field x="16"/>
    <field x="0"/>
    <field x="3"/>
    <field x="4"/>
  </rowFields>
  <rowItems count="2">
    <i>
      <x v="1"/>
      <x/>
      <x/>
      <x v="1"/>
    </i>
    <i r="1">
      <x v="1"/>
      <x v="1"/>
      <x v="5"/>
    </i>
  </rowItems>
  <colItems count="1">
    <i/>
  </colItems>
  <dataFields count="1">
    <dataField name="Max of Accumulating YM Distance for the date" fld="13" subtotal="max" baseField="4" baseItem="124" numFmtId="2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aptionEqual" evalOrder="-1" id="2" stringValue1="1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Geotab Report Theme">
  <a:themeElements>
    <a:clrScheme name="Geotab Brand Colors">
      <a:dk1>
        <a:sysClr val="windowText" lastClr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"/>
  <sheetViews>
    <sheetView showGridLines="0" workbookViewId="0">
      <pane ySplit="12" topLeftCell="A13" activePane="bottomLeft" state="frozen"/>
      <selection pane="bottomLeft"/>
    </sheetView>
  </sheetViews>
  <sheetFormatPr defaultRowHeight="12.75" x14ac:dyDescent="0.2"/>
  <cols>
    <col min="1" max="2" width="25.7109375" customWidth="1"/>
    <col min="3" max="3" width="25.7109375" hidden="1" customWidth="1"/>
    <col min="4" max="5" width="25.7109375" customWidth="1"/>
    <col min="6" max="6" width="25.7109375" style="34" customWidth="1"/>
    <col min="7" max="7" width="9.140625" customWidth="1"/>
    <col min="8" max="16" width="8.7109375" customWidth="1"/>
    <col min="17" max="17" width="1.7109375" customWidth="1"/>
  </cols>
  <sheetData>
    <row r="1" spans="1:17" s="61" customFormat="1" ht="25.5" customHeight="1" x14ac:dyDescent="0.45">
      <c r="A1" s="61" t="s">
        <v>308</v>
      </c>
      <c r="E1" s="59">
        <f>Data!B2</f>
        <v>43961.708399895833</v>
      </c>
      <c r="F1" s="67"/>
      <c r="H1" s="62"/>
      <c r="I1" s="63"/>
      <c r="L1" s="64"/>
      <c r="O1" s="65"/>
    </row>
    <row r="2" spans="1:17" s="17" customFormat="1" ht="25.5" customHeight="1" x14ac:dyDescent="0.45">
      <c r="A2" s="60" t="str">
        <f>Data!B1</f>
        <v>ABC Company</v>
      </c>
      <c r="E2" s="18"/>
      <c r="F2" s="18"/>
    </row>
    <row r="3" spans="1:17" s="20" customFormat="1" ht="17.25" customHeight="1" x14ac:dyDescent="0.25">
      <c r="E3" s="21"/>
      <c r="F3" s="21"/>
      <c r="H3" s="85"/>
      <c r="I3" s="82" t="s">
        <v>292</v>
      </c>
      <c r="J3" s="82"/>
      <c r="K3" s="82"/>
      <c r="L3" s="82"/>
      <c r="M3" s="82"/>
      <c r="N3" s="82"/>
      <c r="O3" s="82"/>
      <c r="P3" s="82"/>
      <c r="Q3" s="68"/>
    </row>
    <row r="4" spans="1:17" s="20" customFormat="1" ht="17.25" customHeight="1" x14ac:dyDescent="0.3">
      <c r="A4" s="80" t="s">
        <v>43</v>
      </c>
      <c r="B4" s="80"/>
      <c r="D4" s="23"/>
      <c r="E4" s="33"/>
      <c r="F4" s="21"/>
      <c r="H4" s="86"/>
      <c r="I4" s="83"/>
      <c r="J4" s="83"/>
      <c r="K4" s="83"/>
      <c r="L4" s="83"/>
      <c r="M4" s="83"/>
      <c r="N4" s="83"/>
      <c r="O4" s="83"/>
      <c r="P4" s="83"/>
      <c r="Q4" s="69"/>
    </row>
    <row r="5" spans="1:17" s="20" customFormat="1" ht="17.25" customHeight="1" x14ac:dyDescent="0.3">
      <c r="A5" s="54" t="s">
        <v>38</v>
      </c>
      <c r="B5" s="55">
        <f>Data!B3</f>
        <v>43954</v>
      </c>
      <c r="D5" s="23"/>
      <c r="E5" s="81" t="s">
        <v>307</v>
      </c>
      <c r="F5" s="79">
        <f>COUNTA(A13:A1048)</f>
        <v>2</v>
      </c>
      <c r="G5" s="24"/>
      <c r="H5" s="86"/>
      <c r="I5" s="83"/>
      <c r="J5" s="83"/>
      <c r="K5" s="83"/>
      <c r="L5" s="83"/>
      <c r="M5" s="83"/>
      <c r="N5" s="83"/>
      <c r="O5" s="83"/>
      <c r="P5" s="83"/>
      <c r="Q5" s="69"/>
    </row>
    <row r="6" spans="1:17" s="20" customFormat="1" ht="17.25" customHeight="1" x14ac:dyDescent="0.3">
      <c r="A6" s="54" t="s">
        <v>39</v>
      </c>
      <c r="B6" s="55">
        <f>Data!B4</f>
        <v>43960.999988425923</v>
      </c>
      <c r="D6" s="23"/>
      <c r="E6" s="81"/>
      <c r="F6" s="79"/>
      <c r="G6" s="26"/>
      <c r="H6" s="86"/>
      <c r="I6" s="83"/>
      <c r="J6" s="83"/>
      <c r="K6" s="83"/>
      <c r="L6" s="83"/>
      <c r="M6" s="83"/>
      <c r="N6" s="83"/>
      <c r="O6" s="83"/>
      <c r="P6" s="83"/>
      <c r="Q6" s="69"/>
    </row>
    <row r="7" spans="1:17" s="20" customFormat="1" ht="17.25" customHeight="1" x14ac:dyDescent="0.3">
      <c r="A7" s="54" t="s">
        <v>274</v>
      </c>
      <c r="B7" s="56">
        <f>B6-B5</f>
        <v>6.9999884259232203</v>
      </c>
      <c r="D7" s="23"/>
      <c r="E7" s="33"/>
      <c r="F7" s="27"/>
      <c r="G7" s="26"/>
      <c r="H7" s="86"/>
      <c r="I7" s="83"/>
      <c r="J7" s="83"/>
      <c r="K7" s="83"/>
      <c r="L7" s="83"/>
      <c r="M7" s="83"/>
      <c r="N7" s="83"/>
      <c r="O7" s="83"/>
      <c r="P7" s="83"/>
      <c r="Q7" s="69"/>
    </row>
    <row r="8" spans="1:17" s="20" customFormat="1" ht="17.25" customHeight="1" x14ac:dyDescent="0.3">
      <c r="A8" s="28"/>
      <c r="B8" s="29"/>
      <c r="D8" s="23"/>
      <c r="E8" s="33"/>
      <c r="F8" s="27"/>
      <c r="G8" s="26"/>
      <c r="H8" s="87"/>
      <c r="I8" s="84"/>
      <c r="J8" s="84"/>
      <c r="K8" s="84"/>
      <c r="L8" s="84"/>
      <c r="M8" s="84"/>
      <c r="N8" s="84"/>
      <c r="O8" s="84"/>
      <c r="P8" s="84"/>
      <c r="Q8" s="70"/>
    </row>
    <row r="9" spans="1:17" s="20" customFormat="1" ht="17.25" customHeight="1" x14ac:dyDescent="0.3">
      <c r="A9" s="57" t="s">
        <v>293</v>
      </c>
      <c r="B9" s="58">
        <v>5</v>
      </c>
      <c r="D9" s="23"/>
      <c r="E9" s="33"/>
      <c r="F9" s="27"/>
      <c r="G9" s="26"/>
      <c r="H9"/>
    </row>
    <row r="10" spans="1:17" s="20" customFormat="1" ht="17.25" customHeight="1" x14ac:dyDescent="0.3">
      <c r="A10" s="57" t="s">
        <v>40</v>
      </c>
      <c r="B10" s="54" t="str">
        <f>Data!B5</f>
        <v>miles</v>
      </c>
      <c r="D10" s="23"/>
      <c r="E10" s="33"/>
      <c r="F10" s="27"/>
      <c r="G10" s="26"/>
      <c r="H10"/>
    </row>
    <row r="11" spans="1:17" ht="17.25" customHeight="1" x14ac:dyDescent="0.2">
      <c r="E11" s="34"/>
    </row>
    <row r="12" spans="1:17" s="66" customFormat="1" ht="17.25" x14ac:dyDescent="0.3">
      <c r="A12" s="75" t="s">
        <v>27</v>
      </c>
      <c r="B12" s="75" t="s">
        <v>275</v>
      </c>
      <c r="C12" s="72" t="s">
        <v>290</v>
      </c>
      <c r="D12" s="75" t="s">
        <v>28</v>
      </c>
      <c r="E12" s="75" t="s">
        <v>43</v>
      </c>
      <c r="F12" s="77" t="s">
        <v>304</v>
      </c>
    </row>
    <row r="13" spans="1:17" ht="16.5" x14ac:dyDescent="0.3">
      <c r="A13" s="73" t="s">
        <v>268</v>
      </c>
      <c r="B13" s="73" t="s">
        <v>264</v>
      </c>
      <c r="C13" s="78">
        <v>1</v>
      </c>
      <c r="D13" s="73" t="s">
        <v>285</v>
      </c>
      <c r="E13" s="74" t="s">
        <v>305</v>
      </c>
      <c r="F13" s="76">
        <v>20.6869106292725</v>
      </c>
    </row>
    <row r="14" spans="1:17" ht="16.5" x14ac:dyDescent="0.3">
      <c r="A14" s="73" t="s">
        <v>296</v>
      </c>
      <c r="B14" s="73" t="s">
        <v>269</v>
      </c>
      <c r="C14" s="78">
        <v>1</v>
      </c>
      <c r="D14" s="73" t="s">
        <v>285</v>
      </c>
      <c r="E14" s="74" t="s">
        <v>306</v>
      </c>
      <c r="F14" s="76">
        <v>14.275276173179627</v>
      </c>
    </row>
    <row r="15" spans="1:17" x14ac:dyDescent="0.2">
      <c r="F15"/>
    </row>
    <row r="16" spans="1:17" x14ac:dyDescent="0.2">
      <c r="F16"/>
    </row>
    <row r="17" spans="6:6" x14ac:dyDescent="0.2">
      <c r="F17"/>
    </row>
    <row r="18" spans="6:6" ht="12.75" customHeight="1" x14ac:dyDescent="0.2">
      <c r="F18"/>
    </row>
    <row r="19" spans="6:6" ht="12.75" customHeight="1" x14ac:dyDescent="0.2">
      <c r="F19"/>
    </row>
    <row r="21" spans="6:6" ht="12.75" customHeight="1" x14ac:dyDescent="0.2"/>
    <row r="22" spans="6:6" ht="12.75" customHeight="1" x14ac:dyDescent="0.2"/>
    <row r="23" spans="6:6" ht="12.75" customHeight="1" x14ac:dyDescent="0.2"/>
    <row r="24" spans="6:6" ht="12.75" customHeight="1" x14ac:dyDescent="0.2"/>
    <row r="25" spans="6:6" ht="12.75" customHeight="1" x14ac:dyDescent="0.2"/>
    <row r="26" spans="6:6" ht="12.75" customHeight="1" x14ac:dyDescent="0.2"/>
    <row r="27" spans="6:6" ht="12.75" customHeight="1" x14ac:dyDescent="0.2"/>
    <row r="28" spans="6:6" ht="12.75" customHeight="1" x14ac:dyDescent="0.2"/>
    <row r="29" spans="6:6" ht="12.75" customHeight="1" x14ac:dyDescent="0.2"/>
  </sheetData>
  <mergeCells count="5">
    <mergeCell ref="F5:F6"/>
    <mergeCell ref="A4:B4"/>
    <mergeCell ref="E5:E6"/>
    <mergeCell ref="I3:P8"/>
    <mergeCell ref="H3:H8"/>
  </mergeCells>
  <conditionalFormatting sqref="F5:F6">
    <cfRule type="expression" dxfId="174" priority="1">
      <formula>$F$5=0</formula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67ED-CB0E-4CC7-9E8F-932D2E4D2CE6}">
  <dimension ref="B1:P33"/>
  <sheetViews>
    <sheetView showGridLines="0" tabSelected="1" workbookViewId="0"/>
  </sheetViews>
  <sheetFormatPr defaultRowHeight="12.75" x14ac:dyDescent="0.2"/>
  <cols>
    <col min="1" max="1" width="2.7109375" customWidth="1"/>
    <col min="2" max="2" width="5.7109375" customWidth="1"/>
    <col min="3" max="3" width="12.7109375" customWidth="1"/>
    <col min="4" max="4" width="5.7109375" customWidth="1"/>
    <col min="5" max="5" width="12.7109375" customWidth="1"/>
    <col min="9" max="16" width="9.140625" hidden="1" customWidth="1"/>
    <col min="17" max="18" width="9.140625" customWidth="1"/>
  </cols>
  <sheetData>
    <row r="1" spans="2:5" ht="2.1" customHeight="1" thickBot="1" x14ac:dyDescent="0.25"/>
    <row r="2" spans="2:5" ht="12.75" customHeight="1" x14ac:dyDescent="0.2">
      <c r="B2" s="88" t="s">
        <v>307</v>
      </c>
      <c r="C2" s="89"/>
      <c r="D2" s="89"/>
      <c r="E2" s="90"/>
    </row>
    <row r="3" spans="2:5" ht="13.5" customHeight="1" thickBot="1" x14ac:dyDescent="0.25">
      <c r="B3" s="91"/>
      <c r="C3" s="92"/>
      <c r="D3" s="92"/>
      <c r="E3" s="93"/>
    </row>
    <row r="4" spans="2:5" ht="12.75" customHeight="1" x14ac:dyDescent="0.2">
      <c r="B4" s="94">
        <f>Summary!F5</f>
        <v>2</v>
      </c>
      <c r="C4" s="95"/>
      <c r="D4" s="95"/>
      <c r="E4" s="96"/>
    </row>
    <row r="5" spans="2:5" ht="12.75" customHeight="1" x14ac:dyDescent="0.2">
      <c r="B5" s="97"/>
      <c r="C5" s="98"/>
      <c r="D5" s="98"/>
      <c r="E5" s="99"/>
    </row>
    <row r="6" spans="2:5" ht="12.75" customHeight="1" x14ac:dyDescent="0.2">
      <c r="B6" s="97"/>
      <c r="C6" s="98"/>
      <c r="D6" s="98"/>
      <c r="E6" s="99"/>
    </row>
    <row r="7" spans="2:5" ht="12.75" customHeight="1" x14ac:dyDescent="0.2">
      <c r="B7" s="97"/>
      <c r="C7" s="98"/>
      <c r="D7" s="98"/>
      <c r="E7" s="99"/>
    </row>
    <row r="8" spans="2:5" ht="12.75" customHeight="1" x14ac:dyDescent="0.2">
      <c r="B8" s="97"/>
      <c r="C8" s="98"/>
      <c r="D8" s="98"/>
      <c r="E8" s="99"/>
    </row>
    <row r="9" spans="2:5" ht="12.75" customHeight="1" x14ac:dyDescent="0.2">
      <c r="B9" s="97"/>
      <c r="C9" s="98"/>
      <c r="D9" s="98"/>
      <c r="E9" s="99"/>
    </row>
    <row r="10" spans="2:5" ht="12.75" customHeight="1" x14ac:dyDescent="0.2">
      <c r="B10" s="97"/>
      <c r="C10" s="98"/>
      <c r="D10" s="98"/>
      <c r="E10" s="99"/>
    </row>
    <row r="11" spans="2:5" ht="12.75" customHeight="1" x14ac:dyDescent="0.2">
      <c r="B11" s="97"/>
      <c r="C11" s="98"/>
      <c r="D11" s="98"/>
      <c r="E11" s="99"/>
    </row>
    <row r="12" spans="2:5" ht="12.75" customHeight="1" x14ac:dyDescent="0.2">
      <c r="B12" s="97"/>
      <c r="C12" s="98"/>
      <c r="D12" s="98"/>
      <c r="E12" s="99"/>
    </row>
    <row r="13" spans="2:5" ht="12.75" customHeight="1" x14ac:dyDescent="0.2">
      <c r="B13" s="97"/>
      <c r="C13" s="98"/>
      <c r="D13" s="98"/>
      <c r="E13" s="99"/>
    </row>
    <row r="14" spans="2:5" ht="12.75" customHeight="1" x14ac:dyDescent="0.2">
      <c r="B14" s="97"/>
      <c r="C14" s="98"/>
      <c r="D14" s="98"/>
      <c r="E14" s="99"/>
    </row>
    <row r="15" spans="2:5" ht="13.5" customHeight="1" x14ac:dyDescent="0.2">
      <c r="B15" s="97"/>
      <c r="C15" s="98"/>
      <c r="D15" s="98"/>
      <c r="E15" s="99"/>
    </row>
    <row r="16" spans="2:5" ht="12.75" customHeight="1" thickBot="1" x14ac:dyDescent="0.25">
      <c r="B16" s="100"/>
      <c r="C16" s="101"/>
      <c r="D16" s="101"/>
      <c r="E16" s="102"/>
    </row>
    <row r="17" spans="2:14" ht="13.5" customHeight="1" x14ac:dyDescent="0.2">
      <c r="B17" s="103" t="s">
        <v>278</v>
      </c>
      <c r="C17" s="105">
        <f>Data!B3</f>
        <v>43954</v>
      </c>
      <c r="D17" s="107" t="s">
        <v>279</v>
      </c>
      <c r="E17" s="109">
        <f>Data!B4</f>
        <v>43960.999988425923</v>
      </c>
    </row>
    <row r="18" spans="2:14" ht="13.5" thickBot="1" x14ac:dyDescent="0.25">
      <c r="B18" s="104"/>
      <c r="C18" s="106"/>
      <c r="D18" s="108"/>
      <c r="E18" s="110"/>
    </row>
    <row r="21" spans="2:14" ht="14.25" x14ac:dyDescent="0.25">
      <c r="J21" s="20" t="s">
        <v>273</v>
      </c>
    </row>
    <row r="22" spans="2:14" ht="14.25" x14ac:dyDescent="0.25">
      <c r="J22" s="20" t="s">
        <v>294</v>
      </c>
    </row>
    <row r="23" spans="2:14" ht="14.25" x14ac:dyDescent="0.25">
      <c r="J23" s="20" t="s">
        <v>276</v>
      </c>
    </row>
    <row r="24" spans="2:14" ht="14.25" x14ac:dyDescent="0.25">
      <c r="J24" s="20" t="str">
        <f>Summary!A10&amp;" ("&amp;Summary!B10&amp;")"</f>
        <v>**Distance Unit (miles)</v>
      </c>
    </row>
    <row r="25" spans="2:14" ht="14.25" x14ac:dyDescent="0.25">
      <c r="J25" s="20"/>
    </row>
    <row r="31" spans="2:14" x14ac:dyDescent="0.2">
      <c r="J31" s="5" t="s">
        <v>290</v>
      </c>
      <c r="K31" s="5" t="s">
        <v>27</v>
      </c>
      <c r="L31" s="5" t="s">
        <v>275</v>
      </c>
      <c r="M31" s="5" t="s">
        <v>43</v>
      </c>
      <c r="N31" t="s">
        <v>295</v>
      </c>
    </row>
    <row r="32" spans="2:14" x14ac:dyDescent="0.2">
      <c r="J32" s="36">
        <v>1</v>
      </c>
      <c r="K32" t="s">
        <v>268</v>
      </c>
      <c r="L32" t="s">
        <v>264</v>
      </c>
      <c r="M32" s="37" t="s">
        <v>305</v>
      </c>
      <c r="N32" s="14">
        <v>20.6869106292725</v>
      </c>
    </row>
    <row r="33" spans="11:14" x14ac:dyDescent="0.2">
      <c r="K33" t="s">
        <v>296</v>
      </c>
      <c r="L33" t="s">
        <v>269</v>
      </c>
      <c r="M33" s="37" t="s">
        <v>306</v>
      </c>
      <c r="N33" s="14">
        <v>14.275276173179627</v>
      </c>
    </row>
  </sheetData>
  <mergeCells count="6">
    <mergeCell ref="B2:E3"/>
    <mergeCell ref="B4:E16"/>
    <mergeCell ref="B17:B18"/>
    <mergeCell ref="C17:C18"/>
    <mergeCell ref="D17:D18"/>
    <mergeCell ref="E17:E18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40"/>
  <sheetViews>
    <sheetView showGridLines="0" workbookViewId="0">
      <pane ySplit="11" topLeftCell="A12" activePane="bottomLeft" state="frozen"/>
      <selection pane="bottomLeft" activeCell="A2" sqref="A2"/>
    </sheetView>
  </sheetViews>
  <sheetFormatPr defaultRowHeight="12.75" x14ac:dyDescent="0.2"/>
  <cols>
    <col min="1" max="1" width="25.7109375" customWidth="1"/>
    <col min="2" max="3" width="25.7109375" style="13" customWidth="1"/>
    <col min="4" max="4" width="25.7109375" style="1" customWidth="1"/>
    <col min="5" max="5" width="13.140625" style="13" customWidth="1"/>
    <col min="6" max="6" width="25.5703125" style="13" customWidth="1"/>
    <col min="7" max="7" width="13" style="52" bestFit="1" customWidth="1"/>
    <col min="8" max="8" width="13" style="52" hidden="1" customWidth="1"/>
    <col min="9" max="9" width="15.5703125" style="52" customWidth="1"/>
    <col min="10" max="10" width="15.42578125" style="40" customWidth="1"/>
    <col min="11" max="11" width="15.5703125" style="14" hidden="1" customWidth="1"/>
    <col min="12" max="12" width="14.42578125" style="14" hidden="1" customWidth="1"/>
    <col min="13" max="13" width="12.140625" style="14" hidden="1" customWidth="1"/>
    <col min="14" max="14" width="38.42578125" style="14" hidden="1" customWidth="1"/>
    <col min="15" max="15" width="16.85546875" style="14" hidden="1" customWidth="1"/>
    <col min="16" max="16" width="34" style="14" hidden="1" customWidth="1"/>
    <col min="17" max="17" width="15.7109375" style="14" hidden="1" customWidth="1"/>
    <col min="18" max="18" width="21.5703125" style="46" bestFit="1" customWidth="1"/>
    <col min="19" max="19" width="31.28515625" style="1" customWidth="1"/>
    <col min="30" max="30" width="9.140625" customWidth="1"/>
  </cols>
  <sheetData>
    <row r="1" spans="1:30" s="61" customFormat="1" ht="25.5" customHeight="1" x14ac:dyDescent="0.45">
      <c r="A1" s="61" t="s">
        <v>308</v>
      </c>
      <c r="D1" s="59">
        <f>Data!B2</f>
        <v>43961.708399895833</v>
      </c>
      <c r="E1" s="59"/>
      <c r="J1" s="62"/>
      <c r="K1" s="63"/>
      <c r="N1" s="64"/>
      <c r="Q1" s="65"/>
    </row>
    <row r="2" spans="1:30" s="17" customFormat="1" ht="25.5" customHeight="1" x14ac:dyDescent="0.45">
      <c r="A2" s="60" t="str">
        <f>Data!B1</f>
        <v>ABC Company</v>
      </c>
      <c r="D2" s="19"/>
      <c r="E2" s="19"/>
      <c r="G2" s="38"/>
      <c r="H2" s="38"/>
      <c r="I2" s="38"/>
      <c r="J2" s="48"/>
      <c r="K2" s="19"/>
      <c r="L2" s="19"/>
      <c r="M2" s="19"/>
      <c r="N2" s="19"/>
      <c r="O2" s="19"/>
      <c r="R2" s="44"/>
    </row>
    <row r="3" spans="1:30" s="20" customFormat="1" ht="17.25" customHeight="1" x14ac:dyDescent="0.25">
      <c r="D3" s="22"/>
      <c r="E3" s="22"/>
      <c r="G3" s="39"/>
      <c r="H3" s="39"/>
      <c r="I3" s="39"/>
      <c r="J3" s="49"/>
      <c r="K3" s="22"/>
      <c r="L3" s="22"/>
      <c r="M3" s="22"/>
      <c r="N3" s="22"/>
      <c r="O3" s="22"/>
      <c r="R3" s="45"/>
    </row>
    <row r="4" spans="1:30" s="20" customFormat="1" ht="17.25" customHeight="1" x14ac:dyDescent="0.3">
      <c r="A4" s="80" t="s">
        <v>43</v>
      </c>
      <c r="B4" s="80"/>
      <c r="C4" s="23"/>
      <c r="D4" s="22"/>
      <c r="E4" s="22"/>
      <c r="I4" s="39"/>
      <c r="J4" s="49"/>
      <c r="K4" s="22"/>
      <c r="L4" s="22"/>
      <c r="M4" s="22"/>
      <c r="N4" s="22"/>
      <c r="O4" s="22"/>
      <c r="R4" s="45"/>
    </row>
    <row r="5" spans="1:30" s="20" customFormat="1" ht="17.25" customHeight="1" x14ac:dyDescent="0.3">
      <c r="A5" s="54" t="s">
        <v>38</v>
      </c>
      <c r="B5" s="55">
        <f>Data!B3</f>
        <v>43954</v>
      </c>
      <c r="C5" s="23"/>
      <c r="D5" s="16"/>
      <c r="E5" s="16"/>
      <c r="I5" s="39"/>
      <c r="J5" s="42"/>
      <c r="K5" s="16"/>
      <c r="L5" s="16"/>
      <c r="M5" s="16"/>
      <c r="N5" s="16"/>
      <c r="O5" s="16"/>
      <c r="P5" s="25"/>
      <c r="R5" s="45"/>
    </row>
    <row r="6" spans="1:30" s="20" customFormat="1" ht="17.25" customHeight="1" x14ac:dyDescent="0.3">
      <c r="A6" s="54" t="s">
        <v>39</v>
      </c>
      <c r="B6" s="55">
        <f>Data!B4</f>
        <v>43960.999988425923</v>
      </c>
      <c r="C6" s="23"/>
      <c r="D6" s="16"/>
      <c r="E6" s="16"/>
      <c r="I6" s="39"/>
      <c r="J6" s="42"/>
      <c r="K6" s="16"/>
      <c r="L6" s="16"/>
      <c r="M6" s="16"/>
      <c r="N6" s="16"/>
      <c r="O6" s="16"/>
      <c r="P6" s="26"/>
      <c r="R6" s="45"/>
    </row>
    <row r="7" spans="1:30" s="20" customFormat="1" ht="17.25" customHeight="1" x14ac:dyDescent="0.3">
      <c r="A7" s="54" t="s">
        <v>274</v>
      </c>
      <c r="B7" s="56">
        <f>B6-B5</f>
        <v>6.9999884259232203</v>
      </c>
      <c r="C7" s="23"/>
      <c r="D7" s="16"/>
      <c r="E7" s="16"/>
      <c r="I7" s="50"/>
      <c r="J7" s="42"/>
      <c r="K7" s="16"/>
      <c r="L7" s="16"/>
      <c r="M7" s="16"/>
      <c r="N7" s="16"/>
      <c r="O7" s="16"/>
      <c r="P7" s="26"/>
      <c r="R7" s="45"/>
    </row>
    <row r="8" spans="1:30" s="20" customFormat="1" ht="17.25" customHeight="1" x14ac:dyDescent="0.3">
      <c r="A8" s="28"/>
      <c r="B8" s="29"/>
      <c r="C8" s="23"/>
      <c r="D8" s="16"/>
      <c r="E8" s="16"/>
      <c r="F8" s="23"/>
      <c r="G8" s="50"/>
      <c r="H8" s="50"/>
      <c r="I8" s="50"/>
      <c r="J8" s="42"/>
      <c r="K8" s="16"/>
      <c r="L8" s="16"/>
      <c r="M8" s="16"/>
      <c r="N8" s="16"/>
      <c r="O8" s="16"/>
      <c r="P8" s="26"/>
      <c r="R8" s="45"/>
    </row>
    <row r="9" spans="1:30" s="20" customFormat="1" ht="17.25" customHeight="1" x14ac:dyDescent="0.3">
      <c r="A9" s="57" t="s">
        <v>40</v>
      </c>
      <c r="B9" s="54" t="str">
        <f>Data!B5</f>
        <v>miles</v>
      </c>
      <c r="C9" s="23"/>
      <c r="D9" s="16"/>
      <c r="E9" s="16"/>
      <c r="F9" s="24"/>
      <c r="G9" s="50"/>
      <c r="H9" s="50"/>
      <c r="I9" s="51"/>
      <c r="J9" s="42"/>
      <c r="K9" s="16"/>
      <c r="L9" s="16"/>
      <c r="M9" s="16"/>
      <c r="N9" s="16"/>
      <c r="O9" s="16"/>
      <c r="P9" s="26"/>
      <c r="R9" s="45"/>
    </row>
    <row r="10" spans="1:30" ht="17.25" customHeight="1" x14ac:dyDescent="0.2"/>
    <row r="11" spans="1:30" s="7" customFormat="1" ht="16.5" x14ac:dyDescent="0.25">
      <c r="A11" s="32" t="s">
        <v>27</v>
      </c>
      <c r="B11" s="32" t="s">
        <v>119</v>
      </c>
      <c r="C11" s="32" t="s">
        <v>124</v>
      </c>
      <c r="D11" s="32" t="s">
        <v>275</v>
      </c>
      <c r="E11" s="32" t="s">
        <v>43</v>
      </c>
      <c r="F11" s="32" t="s">
        <v>283</v>
      </c>
      <c r="G11" s="41" t="s">
        <v>284</v>
      </c>
      <c r="H11" s="41" t="s">
        <v>28</v>
      </c>
      <c r="I11" s="41" t="s">
        <v>239</v>
      </c>
      <c r="J11" s="41" t="s">
        <v>35</v>
      </c>
      <c r="K11" s="15" t="s">
        <v>262</v>
      </c>
      <c r="L11" s="15" t="s">
        <v>263</v>
      </c>
      <c r="M11" s="15" t="s">
        <v>286</v>
      </c>
      <c r="N11" s="15" t="s">
        <v>287</v>
      </c>
      <c r="O11" s="15" t="s">
        <v>288</v>
      </c>
      <c r="P11" s="15" t="s">
        <v>289</v>
      </c>
      <c r="Q11" s="15" t="s">
        <v>290</v>
      </c>
      <c r="R11" s="43" t="s">
        <v>291</v>
      </c>
      <c r="S11" s="32" t="s">
        <v>44</v>
      </c>
      <c r="AD11" s="7" t="s">
        <v>277</v>
      </c>
    </row>
    <row r="12" spans="1:30" ht="16.5" x14ac:dyDescent="0.3">
      <c r="A12" s="26" t="str">
        <f>Data!H11</f>
        <v>Driver1</v>
      </c>
      <c r="B12" s="26" t="str">
        <f>Data!F11</f>
        <v>FirstName1</v>
      </c>
      <c r="C12" s="26" t="str">
        <f>Data!G11</f>
        <v>LastName1</v>
      </c>
      <c r="D12" s="30" t="str">
        <f>Data!D11</f>
        <v>Vehicle1</v>
      </c>
      <c r="E12" s="25" t="str">
        <f>TEXT(INT(Data!A11),"mmm dd, yyyy")</f>
        <v>May 03, 2020</v>
      </c>
      <c r="F12" s="31">
        <f>Data!A11</f>
        <v>43954</v>
      </c>
      <c r="G12" s="30" t="str">
        <f>Data!B11</f>
        <v>D</v>
      </c>
      <c r="H12" s="71" t="str">
        <f>IF(ISNUMBER(SEARCH("YM",G12)),"YM","NOT")</f>
        <v>NOT</v>
      </c>
      <c r="I12" s="53">
        <f>Data!C11</f>
        <v>1.2951388888888888</v>
      </c>
      <c r="J12" s="42">
        <f>Data!J11</f>
        <v>2.48548483848572</v>
      </c>
      <c r="K12" s="16" t="b">
        <f t="shared" ref="K12" si="0">IF(K11="Driver Change?",FALSE,IF((A11&lt;&gt;A12),TRUE,FALSE))</f>
        <v>0</v>
      </c>
      <c r="L12" s="16" t="b">
        <f>IF(L11="Date Change?",FALSE,IF(AND(INT(F11)&lt;&gt;INT(F12),F12&lt;&gt;""),TRUE,FALSE))</f>
        <v>0</v>
      </c>
      <c r="M12" s="16">
        <f>IF(ISNUMBER(SEARCH("YM",G12)),J12,0)</f>
        <v>0</v>
      </c>
      <c r="N12" s="16">
        <f>IF(OR(K12, L12),0,IF(AND(M12&gt;0,ISNUMBER(SEARCH("YM",N11))=FALSE),J12+N11,IF(ISNUMBER(SEARCH("YM",N11))=TRUE,M12,N11)))</f>
        <v>0</v>
      </c>
      <c r="O12" s="16" t="b">
        <f>ISNUMBER(SEARCH("YM",G12))</f>
        <v>0</v>
      </c>
      <c r="P12" s="16" t="b">
        <f>IF(N12&gt;Summary!$B$9,TRUE,FALSE)</f>
        <v>0</v>
      </c>
      <c r="Q12" s="35">
        <f>IF(AND(O12, P12), 1, 0)</f>
        <v>0</v>
      </c>
      <c r="R12" s="47" t="str">
        <f>IF(Q12=1, 'Excessive YM Events'!$J$22, "")</f>
        <v/>
      </c>
      <c r="S12" s="31">
        <f>IF(Data!L11=0,"",Data!L11)</f>
        <v>43956.861915891204</v>
      </c>
    </row>
    <row r="13" spans="1:30" ht="16.5" x14ac:dyDescent="0.3">
      <c r="A13" s="26" t="str">
        <f>Data!H12</f>
        <v>Driver1</v>
      </c>
      <c r="B13" s="26" t="str">
        <f>Data!F12</f>
        <v>FirstName1</v>
      </c>
      <c r="C13" s="26" t="str">
        <f>Data!G12</f>
        <v>LastName1</v>
      </c>
      <c r="D13" s="30" t="str">
        <f>Data!D12</f>
        <v>Vehicle1</v>
      </c>
      <c r="E13" s="25" t="str">
        <f>TEXT(INT(Data!A12),"mmm dd, yyyy")</f>
        <v>May 04, 2020</v>
      </c>
      <c r="F13" s="31">
        <f>Data!A12</f>
        <v>43955.295138888891</v>
      </c>
      <c r="G13" s="30" t="str">
        <f>Data!B12</f>
        <v>ON</v>
      </c>
      <c r="H13" s="71" t="str">
        <f t="shared" ref="H13:H76" si="1">IF(ISNUMBER(SEARCH("YM",G13)),"YM","NOT")</f>
        <v>NOT</v>
      </c>
      <c r="I13" s="53">
        <f>Data!C12</f>
        <v>1.1138194444444444E-2</v>
      </c>
      <c r="J13" s="42">
        <f>Data!J12</f>
        <v>0</v>
      </c>
      <c r="K13" s="16" t="b">
        <f t="shared" ref="K13:K76" si="2">IF(K12="Driver Change?",FALSE,IF((A12&lt;&gt;A13),TRUE,FALSE))</f>
        <v>0</v>
      </c>
      <c r="L13" s="16" t="b">
        <f t="shared" ref="L13:L76" si="3">IF(L12="Date Change?",FALSE,IF(AND(INT(F12)&lt;&gt;INT(F13),F13&lt;&gt;""),TRUE,FALSE))</f>
        <v>1</v>
      </c>
      <c r="M13" s="16">
        <f t="shared" ref="M13:M76" si="4">IF(ISNUMBER(SEARCH("YM",G13)),J13,0)</f>
        <v>0</v>
      </c>
      <c r="N13" s="16">
        <f t="shared" ref="N13:N76" si="5">IF(OR(K13, L13),0,IF(AND(M13&gt;0,ISNUMBER(SEARCH("YM",N12))=FALSE),J13+N12,IF(ISNUMBER(SEARCH("YM",N12))=TRUE,M13,N12)))</f>
        <v>0</v>
      </c>
      <c r="O13" s="16" t="b">
        <f t="shared" ref="O13:O76" si="6">ISNUMBER(SEARCH("YM",G13))</f>
        <v>0</v>
      </c>
      <c r="P13" s="16" t="b">
        <f>IF(N13&gt;Summary!$B$9,TRUE,FALSE)</f>
        <v>0</v>
      </c>
      <c r="Q13" s="35">
        <f t="shared" ref="Q13:Q76" si="7">IF(AND(O13, P13), 1, 0)</f>
        <v>0</v>
      </c>
      <c r="R13" s="47" t="str">
        <f>IF(Q13=1, 'Excessive YM Events'!$J$22, "")</f>
        <v/>
      </c>
      <c r="S13" s="31">
        <f>IF(Data!L12=0,"",Data!L12)</f>
        <v>43956.285633564818</v>
      </c>
    </row>
    <row r="14" spans="1:30" ht="16.5" x14ac:dyDescent="0.3">
      <c r="A14" s="26" t="str">
        <f>Data!H13</f>
        <v>Driver1</v>
      </c>
      <c r="B14" s="26" t="str">
        <f>Data!F13</f>
        <v>FirstName1</v>
      </c>
      <c r="C14" s="26" t="str">
        <f>Data!G13</f>
        <v>LastName1</v>
      </c>
      <c r="D14" s="30" t="str">
        <f>Data!D13</f>
        <v>Vehicle1</v>
      </c>
      <c r="E14" s="25" t="str">
        <f>TEXT(INT(Data!A13),"mmm dd, yyyy")</f>
        <v>May 04, 2020</v>
      </c>
      <c r="F14" s="31">
        <f>Data!A13</f>
        <v>43955.304363460651</v>
      </c>
      <c r="G14" s="30" t="str">
        <f>Data!B13</f>
        <v>OFF</v>
      </c>
      <c r="H14" s="71" t="str">
        <f t="shared" si="1"/>
        <v>NOT</v>
      </c>
      <c r="I14" s="53">
        <f>Data!C13</f>
        <v>0</v>
      </c>
      <c r="J14" s="42">
        <f>Data!J13</f>
        <v>0</v>
      </c>
      <c r="K14" s="16" t="b">
        <f t="shared" si="2"/>
        <v>0</v>
      </c>
      <c r="L14" s="16" t="b">
        <f t="shared" si="3"/>
        <v>0</v>
      </c>
      <c r="M14" s="16">
        <f t="shared" si="4"/>
        <v>0</v>
      </c>
      <c r="N14" s="16">
        <f t="shared" si="5"/>
        <v>0</v>
      </c>
      <c r="O14" s="16" t="b">
        <f t="shared" si="6"/>
        <v>0</v>
      </c>
      <c r="P14" s="16" t="b">
        <f>IF(N14&gt;Summary!$B$9,TRUE,FALSE)</f>
        <v>0</v>
      </c>
      <c r="Q14" s="35">
        <f t="shared" si="7"/>
        <v>0</v>
      </c>
      <c r="R14" s="47" t="str">
        <f>IF(Q14=1, 'Excessive YM Events'!$J$22, "")</f>
        <v/>
      </c>
      <c r="S14" s="31">
        <f>IF(Data!L13=0,"",Data!L13)</f>
        <v>43956.285633564818</v>
      </c>
    </row>
    <row r="15" spans="1:30" ht="16.5" x14ac:dyDescent="0.3">
      <c r="A15" s="26" t="str">
        <f>Data!H14</f>
        <v>Driver1</v>
      </c>
      <c r="B15" s="26" t="str">
        <f>Data!F14</f>
        <v>FirstName1</v>
      </c>
      <c r="C15" s="26" t="str">
        <f>Data!G14</f>
        <v>LastName1</v>
      </c>
      <c r="D15" s="30" t="str">
        <f>Data!D14</f>
        <v>Vehicle1</v>
      </c>
      <c r="E15" s="25" t="str">
        <f>TEXT(INT(Data!A14),"mmm dd, yyyy")</f>
        <v>May 04, 2020</v>
      </c>
      <c r="F15" s="31">
        <f>Data!A14</f>
        <v>43955.306277083335</v>
      </c>
      <c r="G15" s="30" t="str">
        <f>Data!B14</f>
        <v>D</v>
      </c>
      <c r="H15" s="71" t="str">
        <f t="shared" si="1"/>
        <v>NOT</v>
      </c>
      <c r="I15" s="53">
        <f>Data!C14</f>
        <v>4.5902777777777777E-4</v>
      </c>
      <c r="J15" s="42">
        <f>Data!J14</f>
        <v>0.88891088962554898</v>
      </c>
      <c r="K15" s="16" t="b">
        <f t="shared" si="2"/>
        <v>0</v>
      </c>
      <c r="L15" s="16" t="b">
        <f t="shared" si="3"/>
        <v>0</v>
      </c>
      <c r="M15" s="16">
        <f t="shared" si="4"/>
        <v>0</v>
      </c>
      <c r="N15" s="16">
        <f t="shared" si="5"/>
        <v>0</v>
      </c>
      <c r="O15" s="16" t="b">
        <f t="shared" si="6"/>
        <v>0</v>
      </c>
      <c r="P15" s="16" t="b">
        <f>IF(N15&gt;Summary!$B$9,TRUE,FALSE)</f>
        <v>0</v>
      </c>
      <c r="Q15" s="35">
        <f t="shared" si="7"/>
        <v>0</v>
      </c>
      <c r="R15" s="47" t="str">
        <f>IF(Q15=1, 'Excessive YM Events'!$J$22, "")</f>
        <v/>
      </c>
      <c r="S15" s="31">
        <f>IF(Data!L14=0,"",Data!L14)</f>
        <v>43956.285633645835</v>
      </c>
    </row>
    <row r="16" spans="1:30" ht="16.5" x14ac:dyDescent="0.3">
      <c r="A16" s="26" t="str">
        <f>Data!H15</f>
        <v>Driver1</v>
      </c>
      <c r="B16" s="26" t="str">
        <f>Data!F15</f>
        <v>FirstName1</v>
      </c>
      <c r="C16" s="26" t="str">
        <f>Data!G15</f>
        <v>LastName1</v>
      </c>
      <c r="D16" s="30" t="str">
        <f>Data!D15</f>
        <v>Vehicle1</v>
      </c>
      <c r="E16" s="25" t="str">
        <f>TEXT(INT(Data!A15),"mmm dd, yyyy")</f>
        <v>May 04, 2020</v>
      </c>
      <c r="F16" s="31">
        <f>Data!A15</f>
        <v>43955.30673611111</v>
      </c>
      <c r="G16" s="30" t="str">
        <f>Data!B15</f>
        <v>ON</v>
      </c>
      <c r="H16" s="71" t="str">
        <f t="shared" si="1"/>
        <v>NOT</v>
      </c>
      <c r="I16" s="53">
        <f>Data!C15</f>
        <v>3.2361111111111111E-2</v>
      </c>
      <c r="J16" s="42">
        <f>Data!J15</f>
        <v>8.0417729914188402E-3</v>
      </c>
      <c r="K16" s="16" t="b">
        <f t="shared" si="2"/>
        <v>0</v>
      </c>
      <c r="L16" s="16" t="b">
        <f t="shared" si="3"/>
        <v>0</v>
      </c>
      <c r="M16" s="16">
        <f t="shared" si="4"/>
        <v>0</v>
      </c>
      <c r="N16" s="16">
        <f t="shared" si="5"/>
        <v>0</v>
      </c>
      <c r="O16" s="16" t="b">
        <f t="shared" si="6"/>
        <v>0</v>
      </c>
      <c r="P16" s="16" t="b">
        <f>IF(N16&gt;Summary!$B$9,TRUE,FALSE)</f>
        <v>0</v>
      </c>
      <c r="Q16" s="35">
        <f t="shared" si="7"/>
        <v>0</v>
      </c>
      <c r="R16" s="47" t="str">
        <f>IF(Q16=1, 'Excessive YM Events'!$J$22, "")</f>
        <v/>
      </c>
      <c r="S16" s="31">
        <f>IF(Data!L15=0,"",Data!L15)</f>
        <v>43956.285633645835</v>
      </c>
    </row>
    <row r="17" spans="1:19" ht="16.5" x14ac:dyDescent="0.3">
      <c r="A17" s="26" t="str">
        <f>Data!H16</f>
        <v>Driver1</v>
      </c>
      <c r="B17" s="26" t="str">
        <f>Data!F16</f>
        <v>FirstName1</v>
      </c>
      <c r="C17" s="26" t="str">
        <f>Data!G16</f>
        <v>LastName1</v>
      </c>
      <c r="D17" s="30" t="str">
        <f>Data!D16</f>
        <v>Vehicle1</v>
      </c>
      <c r="E17" s="25" t="str">
        <f>TEXT(INT(Data!A16),"mmm dd, yyyy")</f>
        <v>May 04, 2020</v>
      </c>
      <c r="F17" s="31">
        <f>Data!A16</f>
        <v>43955.339097222219</v>
      </c>
      <c r="G17" s="30" t="str">
        <f>Data!B16</f>
        <v>D</v>
      </c>
      <c r="H17" s="71" t="str">
        <f t="shared" si="1"/>
        <v>NOT</v>
      </c>
      <c r="I17" s="53">
        <f>Data!C16</f>
        <v>2.9050925925925926E-5</v>
      </c>
      <c r="J17" s="42">
        <f>Data!J16</f>
        <v>0.93382579088211104</v>
      </c>
      <c r="K17" s="16" t="b">
        <f t="shared" si="2"/>
        <v>0</v>
      </c>
      <c r="L17" s="16" t="b">
        <f t="shared" si="3"/>
        <v>0</v>
      </c>
      <c r="M17" s="16">
        <f t="shared" si="4"/>
        <v>0</v>
      </c>
      <c r="N17" s="16">
        <f t="shared" si="5"/>
        <v>0</v>
      </c>
      <c r="O17" s="16" t="b">
        <f t="shared" si="6"/>
        <v>0</v>
      </c>
      <c r="P17" s="16" t="b">
        <f>IF(N17&gt;Summary!$B$9,TRUE,FALSE)</f>
        <v>0</v>
      </c>
      <c r="Q17" s="35">
        <f t="shared" si="7"/>
        <v>0</v>
      </c>
      <c r="R17" s="47" t="str">
        <f>IF(Q17=1, 'Excessive YM Events'!$J$22, "")</f>
        <v/>
      </c>
      <c r="S17" s="31">
        <f>IF(Data!L16=0,"",Data!L16)</f>
        <v>43956.285633645835</v>
      </c>
    </row>
    <row r="18" spans="1:19" ht="16.5" x14ac:dyDescent="0.3">
      <c r="A18" s="26" t="str">
        <f>Data!H17</f>
        <v>Driver1</v>
      </c>
      <c r="B18" s="26" t="str">
        <f>Data!F17</f>
        <v>FirstName1</v>
      </c>
      <c r="C18" s="26" t="str">
        <f>Data!G17</f>
        <v>LastName1</v>
      </c>
      <c r="D18" s="30" t="str">
        <f>Data!D17</f>
        <v>Vehicle1</v>
      </c>
      <c r="E18" s="25" t="str">
        <f>TEXT(INT(Data!A17),"mmm dd, yyyy")</f>
        <v>May 04, 2020</v>
      </c>
      <c r="F18" s="31">
        <f>Data!A17</f>
        <v>43955.339126273146</v>
      </c>
      <c r="G18" s="30" t="str">
        <f>Data!B17</f>
        <v>ON</v>
      </c>
      <c r="H18" s="71" t="str">
        <f t="shared" si="1"/>
        <v>NOT</v>
      </c>
      <c r="I18" s="53">
        <f>Data!C17</f>
        <v>2.1591319444444444E-2</v>
      </c>
      <c r="J18" s="42">
        <f>Data!J17</f>
        <v>0</v>
      </c>
      <c r="K18" s="16" t="b">
        <f t="shared" si="2"/>
        <v>0</v>
      </c>
      <c r="L18" s="16" t="b">
        <f t="shared" si="3"/>
        <v>0</v>
      </c>
      <c r="M18" s="16">
        <f t="shared" si="4"/>
        <v>0</v>
      </c>
      <c r="N18" s="16">
        <f t="shared" si="5"/>
        <v>0</v>
      </c>
      <c r="O18" s="16" t="b">
        <f t="shared" si="6"/>
        <v>0</v>
      </c>
      <c r="P18" s="16" t="b">
        <f>IF(N18&gt;Summary!$B$9,TRUE,FALSE)</f>
        <v>0</v>
      </c>
      <c r="Q18" s="35">
        <f t="shared" si="7"/>
        <v>0</v>
      </c>
      <c r="R18" s="47" t="str">
        <f>IF(Q18=1, 'Excessive YM Events'!$J$22, "")</f>
        <v/>
      </c>
      <c r="S18" s="31">
        <f>IF(Data!L17=0,"",Data!L17)</f>
        <v>43956.285633680556</v>
      </c>
    </row>
    <row r="19" spans="1:19" ht="16.5" x14ac:dyDescent="0.3">
      <c r="A19" s="26" t="str">
        <f>Data!H18</f>
        <v>Driver1</v>
      </c>
      <c r="B19" s="26" t="str">
        <f>Data!F18</f>
        <v>FirstName1</v>
      </c>
      <c r="C19" s="26" t="str">
        <f>Data!G18</f>
        <v>LastName1</v>
      </c>
      <c r="D19" s="30" t="str">
        <f>Data!D18</f>
        <v>Vehicle1</v>
      </c>
      <c r="E19" s="25" t="str">
        <f>TEXT(INT(Data!A18),"mmm dd, yyyy")</f>
        <v>May 04, 2020</v>
      </c>
      <c r="F19" s="31">
        <f>Data!A18</f>
        <v>43955.360717592594</v>
      </c>
      <c r="G19" s="30" t="str">
        <f>Data!B18</f>
        <v>D</v>
      </c>
      <c r="H19" s="71" t="str">
        <f t="shared" si="1"/>
        <v>NOT</v>
      </c>
      <c r="I19" s="53">
        <f>Data!C18</f>
        <v>1.1467789351851852E-2</v>
      </c>
      <c r="J19" s="42">
        <f>Data!J18</f>
        <v>0.76383650302886996</v>
      </c>
      <c r="K19" s="16" t="b">
        <f t="shared" si="2"/>
        <v>0</v>
      </c>
      <c r="L19" s="16" t="b">
        <f t="shared" si="3"/>
        <v>0</v>
      </c>
      <c r="M19" s="16">
        <f t="shared" si="4"/>
        <v>0</v>
      </c>
      <c r="N19" s="16">
        <f t="shared" si="5"/>
        <v>0</v>
      </c>
      <c r="O19" s="16" t="b">
        <f t="shared" si="6"/>
        <v>0</v>
      </c>
      <c r="P19" s="16" t="b">
        <f>IF(N19&gt;Summary!$B$9,TRUE,FALSE)</f>
        <v>0</v>
      </c>
      <c r="Q19" s="35">
        <f t="shared" si="7"/>
        <v>0</v>
      </c>
      <c r="R19" s="47" t="str">
        <f>IF(Q19=1, 'Excessive YM Events'!$J$22, "")</f>
        <v/>
      </c>
      <c r="S19" s="31">
        <f>IF(Data!L18=0,"",Data!L18)</f>
        <v>43956.285633680556</v>
      </c>
    </row>
    <row r="20" spans="1:19" ht="16.5" x14ac:dyDescent="0.3">
      <c r="A20" s="26" t="str">
        <f>Data!H19</f>
        <v>Driver1</v>
      </c>
      <c r="B20" s="26" t="str">
        <f>Data!F19</f>
        <v>FirstName1</v>
      </c>
      <c r="C20" s="26" t="str">
        <f>Data!G19</f>
        <v>LastName1</v>
      </c>
      <c r="D20" s="30" t="str">
        <f>Data!D19</f>
        <v>Vehicle1</v>
      </c>
      <c r="E20" s="25" t="str">
        <f>TEXT(INT(Data!A19),"mmm dd, yyyy")</f>
        <v>May 04, 2020</v>
      </c>
      <c r="F20" s="31">
        <f>Data!A19</f>
        <v>43955.372185381944</v>
      </c>
      <c r="G20" s="30" t="str">
        <f>Data!B19</f>
        <v>ON</v>
      </c>
      <c r="H20" s="71" t="str">
        <f t="shared" si="1"/>
        <v>NOT</v>
      </c>
      <c r="I20" s="53">
        <f>Data!C19</f>
        <v>3.0931400462962964E-2</v>
      </c>
      <c r="J20" s="42">
        <f>Data!J19</f>
        <v>8.1987697631120699E-3</v>
      </c>
      <c r="K20" s="16" t="b">
        <f t="shared" si="2"/>
        <v>0</v>
      </c>
      <c r="L20" s="16" t="b">
        <f t="shared" si="3"/>
        <v>0</v>
      </c>
      <c r="M20" s="16">
        <f t="shared" si="4"/>
        <v>0</v>
      </c>
      <c r="N20" s="16">
        <f t="shared" si="5"/>
        <v>0</v>
      </c>
      <c r="O20" s="16" t="b">
        <f t="shared" si="6"/>
        <v>0</v>
      </c>
      <c r="P20" s="16" t="b">
        <f>IF(N20&gt;Summary!$B$9,TRUE,FALSE)</f>
        <v>0</v>
      </c>
      <c r="Q20" s="35">
        <f t="shared" si="7"/>
        <v>0</v>
      </c>
      <c r="R20" s="47" t="str">
        <f>IF(Q20=1, 'Excessive YM Events'!$J$22, "")</f>
        <v/>
      </c>
      <c r="S20" s="31">
        <f>IF(Data!L19=0,"",Data!L19)</f>
        <v>43956.285633715277</v>
      </c>
    </row>
    <row r="21" spans="1:19" ht="16.5" x14ac:dyDescent="0.3">
      <c r="A21" s="26" t="str">
        <f>Data!H20</f>
        <v>Driver1</v>
      </c>
      <c r="B21" s="26" t="str">
        <f>Data!F20</f>
        <v>FirstName1</v>
      </c>
      <c r="C21" s="26" t="str">
        <f>Data!G20</f>
        <v>LastName1</v>
      </c>
      <c r="D21" s="30" t="str">
        <f>Data!D20</f>
        <v>Vehicle1</v>
      </c>
      <c r="E21" s="25" t="str">
        <f>TEXT(INT(Data!A20),"mmm dd, yyyy")</f>
        <v>May 04, 2020</v>
      </c>
      <c r="F21" s="31">
        <f>Data!A20</f>
        <v>43955.403116782407</v>
      </c>
      <c r="G21" s="30" t="str">
        <f>Data!B20</f>
        <v>D</v>
      </c>
      <c r="H21" s="71" t="str">
        <f t="shared" si="1"/>
        <v>NOT</v>
      </c>
      <c r="I21" s="53">
        <f>Data!C20</f>
        <v>5.7890162037037035E-2</v>
      </c>
      <c r="J21" s="42">
        <f>Data!J20</f>
        <v>6.1095294952392596</v>
      </c>
      <c r="K21" s="16" t="b">
        <f t="shared" si="2"/>
        <v>0</v>
      </c>
      <c r="L21" s="16" t="b">
        <f t="shared" si="3"/>
        <v>0</v>
      </c>
      <c r="M21" s="16">
        <f t="shared" si="4"/>
        <v>0</v>
      </c>
      <c r="N21" s="16">
        <f t="shared" si="5"/>
        <v>0</v>
      </c>
      <c r="O21" s="16" t="b">
        <f t="shared" si="6"/>
        <v>0</v>
      </c>
      <c r="P21" s="16" t="b">
        <f>IF(N21&gt;Summary!$B$9,TRUE,FALSE)</f>
        <v>0</v>
      </c>
      <c r="Q21" s="35">
        <f t="shared" si="7"/>
        <v>0</v>
      </c>
      <c r="R21" s="47" t="str">
        <f>IF(Q21=1, 'Excessive YM Events'!$J$22, "")</f>
        <v/>
      </c>
      <c r="S21" s="31">
        <f>IF(Data!L20=0,"",Data!L20)</f>
        <v>43956.285633715277</v>
      </c>
    </row>
    <row r="22" spans="1:19" ht="16.5" x14ac:dyDescent="0.3">
      <c r="A22" s="26" t="str">
        <f>Data!H21</f>
        <v>Driver1</v>
      </c>
      <c r="B22" s="26" t="str">
        <f>Data!F21</f>
        <v>FirstName1</v>
      </c>
      <c r="C22" s="26" t="str">
        <f>Data!G21</f>
        <v>LastName1</v>
      </c>
      <c r="D22" s="30" t="str">
        <f>Data!D21</f>
        <v>Vehicle1</v>
      </c>
      <c r="E22" s="25" t="str">
        <f>TEXT(INT(Data!A21),"mmm dd, yyyy")</f>
        <v>May 04, 2020</v>
      </c>
      <c r="F22" s="31">
        <f>Data!A21</f>
        <v>43955.461006944446</v>
      </c>
      <c r="G22" s="30" t="str">
        <f>Data!B21</f>
        <v>ON</v>
      </c>
      <c r="H22" s="71" t="str">
        <f t="shared" si="1"/>
        <v>NOT</v>
      </c>
      <c r="I22" s="53">
        <f>Data!C21</f>
        <v>0.20180706018518518</v>
      </c>
      <c r="J22" s="42">
        <f>Data!J21</f>
        <v>1.5320825390517699E-2</v>
      </c>
      <c r="K22" s="16" t="b">
        <f t="shared" si="2"/>
        <v>0</v>
      </c>
      <c r="L22" s="16" t="b">
        <f t="shared" si="3"/>
        <v>0</v>
      </c>
      <c r="M22" s="16">
        <f t="shared" si="4"/>
        <v>0</v>
      </c>
      <c r="N22" s="16">
        <f t="shared" si="5"/>
        <v>0</v>
      </c>
      <c r="O22" s="16" t="b">
        <f t="shared" si="6"/>
        <v>0</v>
      </c>
      <c r="P22" s="16" t="b">
        <f>IF(N22&gt;Summary!$B$9,TRUE,FALSE)</f>
        <v>0</v>
      </c>
      <c r="Q22" s="35">
        <f t="shared" si="7"/>
        <v>0</v>
      </c>
      <c r="R22" s="47" t="str">
        <f>IF(Q22=1, 'Excessive YM Events'!$J$22, "")</f>
        <v/>
      </c>
      <c r="S22" s="31">
        <f>IF(Data!L21=0,"",Data!L21)</f>
        <v>43956.285633715277</v>
      </c>
    </row>
    <row r="23" spans="1:19" ht="16.5" x14ac:dyDescent="0.3">
      <c r="A23" s="26" t="str">
        <f>Data!H22</f>
        <v>Driver1</v>
      </c>
      <c r="B23" s="26" t="str">
        <f>Data!F22</f>
        <v>FirstName1</v>
      </c>
      <c r="C23" s="26" t="str">
        <f>Data!G22</f>
        <v>LastName1</v>
      </c>
      <c r="D23" s="30" t="str">
        <f>Data!D22</f>
        <v>Vehicle1</v>
      </c>
      <c r="E23" s="25" t="str">
        <f>TEXT(INT(Data!A22),"mmm dd, yyyy")</f>
        <v>May 04, 2020</v>
      </c>
      <c r="F23" s="31">
        <f>Data!A22</f>
        <v>43955.50267361111</v>
      </c>
      <c r="G23" s="30" t="str">
        <f>Data!B22</f>
        <v>YM</v>
      </c>
      <c r="H23" s="71" t="str">
        <f t="shared" si="1"/>
        <v>YM</v>
      </c>
      <c r="I23" s="53">
        <f>Data!C22</f>
        <v>0</v>
      </c>
      <c r="J23" s="42">
        <f>Data!J22</f>
        <v>20.6869106292725</v>
      </c>
      <c r="K23" s="16" t="b">
        <f t="shared" si="2"/>
        <v>0</v>
      </c>
      <c r="L23" s="16" t="b">
        <f t="shared" si="3"/>
        <v>0</v>
      </c>
      <c r="M23" s="16">
        <f t="shared" si="4"/>
        <v>20.6869106292725</v>
      </c>
      <c r="N23" s="16">
        <f t="shared" si="5"/>
        <v>20.6869106292725</v>
      </c>
      <c r="O23" s="16" t="b">
        <f t="shared" si="6"/>
        <v>1</v>
      </c>
      <c r="P23" s="16" t="b">
        <f>IF(N23&gt;Summary!$B$9,TRUE,FALSE)</f>
        <v>1</v>
      </c>
      <c r="Q23" s="35">
        <f t="shared" si="7"/>
        <v>1</v>
      </c>
      <c r="R23" s="47" t="str">
        <f>IF(Q23=1, 'Excessive YM Events'!$J$22, "")</f>
        <v>**Excessive YM</v>
      </c>
      <c r="S23" s="31" t="str">
        <f>IF(Data!L22=0,"",Data!L22)</f>
        <v/>
      </c>
    </row>
    <row r="24" spans="1:19" ht="16.5" x14ac:dyDescent="0.3">
      <c r="A24" s="26" t="str">
        <f>Data!H23</f>
        <v>Driver1</v>
      </c>
      <c r="B24" s="26" t="str">
        <f>Data!F23</f>
        <v>FirstName1</v>
      </c>
      <c r="C24" s="26" t="str">
        <f>Data!G23</f>
        <v>LastName1</v>
      </c>
      <c r="D24" s="30" t="str">
        <f>Data!D23</f>
        <v>Vehicle1</v>
      </c>
      <c r="E24" s="25" t="str">
        <f>TEXT(INT(Data!A23),"mmm dd, yyyy")</f>
        <v>May 04, 2020</v>
      </c>
      <c r="F24" s="31">
        <f>Data!A23</f>
        <v>43955.544340277775</v>
      </c>
      <c r="G24" s="30" t="str">
        <f>Data!B23</f>
        <v>ON</v>
      </c>
      <c r="H24" s="71" t="str">
        <f t="shared" si="1"/>
        <v>NOT</v>
      </c>
      <c r="I24" s="53">
        <f>Data!C23</f>
        <v>0</v>
      </c>
      <c r="J24" s="42">
        <f>Data!J23</f>
        <v>0</v>
      </c>
      <c r="K24" s="16" t="b">
        <f t="shared" si="2"/>
        <v>0</v>
      </c>
      <c r="L24" s="16" t="b">
        <f t="shared" si="3"/>
        <v>0</v>
      </c>
      <c r="M24" s="16">
        <f t="shared" si="4"/>
        <v>0</v>
      </c>
      <c r="N24" s="16">
        <f t="shared" si="5"/>
        <v>20.6869106292725</v>
      </c>
      <c r="O24" s="16" t="b">
        <f t="shared" si="6"/>
        <v>0</v>
      </c>
      <c r="P24" s="16" t="b">
        <f>IF(N24&gt;Summary!$B$9,TRUE,FALSE)</f>
        <v>1</v>
      </c>
      <c r="Q24" s="35">
        <f t="shared" si="7"/>
        <v>0</v>
      </c>
      <c r="R24" s="47" t="str">
        <f>IF(Q24=1, 'Excessive YM Events'!$J$22, "")</f>
        <v/>
      </c>
      <c r="S24" s="31" t="str">
        <f>IF(Data!L23=0,"",Data!L23)</f>
        <v/>
      </c>
    </row>
    <row r="25" spans="1:19" ht="16.5" x14ac:dyDescent="0.3">
      <c r="A25" s="26" t="str">
        <f>Data!H24</f>
        <v>Driver1</v>
      </c>
      <c r="B25" s="26" t="str">
        <f>Data!F24</f>
        <v>FirstName1</v>
      </c>
      <c r="C25" s="26" t="str">
        <f>Data!G24</f>
        <v>LastName1</v>
      </c>
      <c r="D25" s="30" t="str">
        <f>Data!D24</f>
        <v>Vehicle1</v>
      </c>
      <c r="E25" s="25" t="str">
        <f>TEXT(INT(Data!A24),"mmm dd, yyyy")</f>
        <v>May 04, 2020</v>
      </c>
      <c r="F25" s="31">
        <f>Data!A24</f>
        <v>43955.586006944446</v>
      </c>
      <c r="G25" s="30" t="str">
        <f>Data!B24</f>
        <v>D</v>
      </c>
      <c r="H25" s="71" t="str">
        <f t="shared" si="1"/>
        <v>NOT</v>
      </c>
      <c r="I25" s="53">
        <f>Data!C24</f>
        <v>0</v>
      </c>
      <c r="J25" s="42">
        <f>Data!J24</f>
        <v>18.564384460449201</v>
      </c>
      <c r="K25" s="16" t="b">
        <f t="shared" si="2"/>
        <v>0</v>
      </c>
      <c r="L25" s="16" t="b">
        <f t="shared" si="3"/>
        <v>0</v>
      </c>
      <c r="M25" s="16">
        <f t="shared" si="4"/>
        <v>0</v>
      </c>
      <c r="N25" s="16">
        <f t="shared" si="5"/>
        <v>20.6869106292725</v>
      </c>
      <c r="O25" s="16" t="b">
        <f t="shared" si="6"/>
        <v>0</v>
      </c>
      <c r="P25" s="16" t="b">
        <f>IF(N25&gt;Summary!$B$9,TRUE,FALSE)</f>
        <v>1</v>
      </c>
      <c r="Q25" s="35">
        <f t="shared" si="7"/>
        <v>0</v>
      </c>
      <c r="R25" s="47" t="str">
        <f>IF(Q25=1, 'Excessive YM Events'!$J$22, "")</f>
        <v/>
      </c>
      <c r="S25" s="31" t="str">
        <f>IF(Data!L24=0,"",Data!L24)</f>
        <v/>
      </c>
    </row>
    <row r="26" spans="1:19" ht="16.5" x14ac:dyDescent="0.3">
      <c r="A26" s="26" t="str">
        <f>Data!H25</f>
        <v>Driver1</v>
      </c>
      <c r="B26" s="26" t="str">
        <f>Data!F25</f>
        <v>FirstName1</v>
      </c>
      <c r="C26" s="26" t="str">
        <f>Data!G25</f>
        <v>LastName1</v>
      </c>
      <c r="D26" s="30" t="str">
        <f>Data!D25</f>
        <v>Vehicle1</v>
      </c>
      <c r="E26" s="25" t="str">
        <f>TEXT(INT(Data!A25),"mmm dd, yyyy")</f>
        <v>May 04, 2020</v>
      </c>
      <c r="F26" s="31">
        <f>Data!A25</f>
        <v>43955.62767361111</v>
      </c>
      <c r="G26" s="30" t="str">
        <f>Data!B25</f>
        <v>ON</v>
      </c>
      <c r="H26" s="71" t="str">
        <f t="shared" si="1"/>
        <v>NOT</v>
      </c>
      <c r="I26" s="53">
        <f>Data!C25</f>
        <v>0</v>
      </c>
      <c r="J26" s="42">
        <f>Data!J25</f>
        <v>0</v>
      </c>
      <c r="K26" s="16" t="b">
        <f t="shared" si="2"/>
        <v>0</v>
      </c>
      <c r="L26" s="16" t="b">
        <f t="shared" si="3"/>
        <v>0</v>
      </c>
      <c r="M26" s="16">
        <f t="shared" si="4"/>
        <v>0</v>
      </c>
      <c r="N26" s="16">
        <f t="shared" si="5"/>
        <v>20.6869106292725</v>
      </c>
      <c r="O26" s="16" t="b">
        <f t="shared" si="6"/>
        <v>0</v>
      </c>
      <c r="P26" s="16" t="b">
        <f>IF(N26&gt;Summary!$B$9,TRUE,FALSE)</f>
        <v>1</v>
      </c>
      <c r="Q26" s="35">
        <f t="shared" si="7"/>
        <v>0</v>
      </c>
      <c r="R26" s="47" t="str">
        <f>IF(Q26=1, 'Excessive YM Events'!$J$22, "")</f>
        <v/>
      </c>
      <c r="S26" s="31" t="str">
        <f>IF(Data!L25=0,"",Data!L25)</f>
        <v/>
      </c>
    </row>
    <row r="27" spans="1:19" ht="16.5" x14ac:dyDescent="0.3">
      <c r="A27" s="26" t="str">
        <f>Data!H26</f>
        <v>Driver1</v>
      </c>
      <c r="B27" s="26" t="str">
        <f>Data!F26</f>
        <v>FirstName1</v>
      </c>
      <c r="C27" s="26" t="str">
        <f>Data!G26</f>
        <v>LastName1</v>
      </c>
      <c r="D27" s="30" t="str">
        <f>Data!D26</f>
        <v>Vehicle1</v>
      </c>
      <c r="E27" s="25" t="str">
        <f>TEXT(INT(Data!A26),"mmm dd, yyyy")</f>
        <v>May 04, 2020</v>
      </c>
      <c r="F27" s="31">
        <f>Data!A26</f>
        <v>43955.66281400463</v>
      </c>
      <c r="G27" s="30" t="str">
        <f>Data!B26</f>
        <v>D</v>
      </c>
      <c r="H27" s="71" t="str">
        <f t="shared" si="1"/>
        <v>NOT</v>
      </c>
      <c r="I27" s="53">
        <f>Data!C26</f>
        <v>8.8922106481481474E-3</v>
      </c>
      <c r="J27" s="42">
        <f>Data!J26</f>
        <v>9.7211904823780101E-2</v>
      </c>
      <c r="K27" s="16" t="b">
        <f t="shared" si="2"/>
        <v>0</v>
      </c>
      <c r="L27" s="16" t="b">
        <f t="shared" si="3"/>
        <v>0</v>
      </c>
      <c r="M27" s="16">
        <f t="shared" si="4"/>
        <v>0</v>
      </c>
      <c r="N27" s="16">
        <f t="shared" si="5"/>
        <v>20.6869106292725</v>
      </c>
      <c r="O27" s="16" t="b">
        <f t="shared" si="6"/>
        <v>0</v>
      </c>
      <c r="P27" s="16" t="b">
        <f>IF(N27&gt;Summary!$B$9,TRUE,FALSE)</f>
        <v>1</v>
      </c>
      <c r="Q27" s="35">
        <f t="shared" si="7"/>
        <v>0</v>
      </c>
      <c r="R27" s="47" t="str">
        <f>IF(Q27=1, 'Excessive YM Events'!$J$22, "")</f>
        <v/>
      </c>
      <c r="S27" s="31">
        <f>IF(Data!L26=0,"",Data!L26)</f>
        <v>43956.285633761574</v>
      </c>
    </row>
    <row r="28" spans="1:19" ht="16.5" x14ac:dyDescent="0.3">
      <c r="A28" s="26" t="str">
        <f>Data!H27</f>
        <v>Driver1</v>
      </c>
      <c r="B28" s="26" t="str">
        <f>Data!F27</f>
        <v>FirstName1</v>
      </c>
      <c r="C28" s="26" t="str">
        <f>Data!G27</f>
        <v>LastName1</v>
      </c>
      <c r="D28" s="30" t="str">
        <f>Data!D27</f>
        <v>Vehicle1</v>
      </c>
      <c r="E28" s="25" t="str">
        <f>TEXT(INT(Data!A27),"mmm dd, yyyy")</f>
        <v>May 04, 2020</v>
      </c>
      <c r="F28" s="31">
        <f>Data!A27</f>
        <v>43955.671706215275</v>
      </c>
      <c r="G28" s="30" t="str">
        <f>Data!B27</f>
        <v>ON</v>
      </c>
      <c r="H28" s="71" t="str">
        <f t="shared" si="1"/>
        <v>NOT</v>
      </c>
      <c r="I28" s="53">
        <f>Data!C27</f>
        <v>6.7660069444444443E-3</v>
      </c>
      <c r="J28" s="42">
        <f>Data!J27</f>
        <v>0</v>
      </c>
      <c r="K28" s="16" t="b">
        <f t="shared" si="2"/>
        <v>0</v>
      </c>
      <c r="L28" s="16" t="b">
        <f t="shared" si="3"/>
        <v>0</v>
      </c>
      <c r="M28" s="16">
        <f t="shared" si="4"/>
        <v>0</v>
      </c>
      <c r="N28" s="16">
        <f t="shared" si="5"/>
        <v>20.6869106292725</v>
      </c>
      <c r="O28" s="16" t="b">
        <f t="shared" si="6"/>
        <v>0</v>
      </c>
      <c r="P28" s="16" t="b">
        <f>IF(N28&gt;Summary!$B$9,TRUE,FALSE)</f>
        <v>1</v>
      </c>
      <c r="Q28" s="35">
        <f t="shared" si="7"/>
        <v>0</v>
      </c>
      <c r="R28" s="47" t="str">
        <f>IF(Q28=1, 'Excessive YM Events'!$J$22, "")</f>
        <v/>
      </c>
      <c r="S28" s="31">
        <f>IF(Data!L27=0,"",Data!L27)</f>
        <v>43956.285633761574</v>
      </c>
    </row>
    <row r="29" spans="1:19" ht="16.5" x14ac:dyDescent="0.3">
      <c r="A29" s="26" t="str">
        <f>Data!H28</f>
        <v>Driver1</v>
      </c>
      <c r="B29" s="26" t="str">
        <f>Data!F28</f>
        <v>FirstName1</v>
      </c>
      <c r="C29" s="26" t="str">
        <f>Data!G28</f>
        <v>LastName1</v>
      </c>
      <c r="D29" s="30" t="str">
        <f>Data!D28</f>
        <v>Vehicle1</v>
      </c>
      <c r="E29" s="25" t="str">
        <f>TEXT(INT(Data!A28),"mmm dd, yyyy")</f>
        <v>May 04, 2020</v>
      </c>
      <c r="F29" s="31">
        <f>Data!A28</f>
        <v>43955.678472222222</v>
      </c>
      <c r="G29" s="30" t="str">
        <f>Data!B28</f>
        <v>D</v>
      </c>
      <c r="H29" s="71" t="str">
        <f t="shared" si="1"/>
        <v>NOT</v>
      </c>
      <c r="I29" s="53">
        <f>Data!C28</f>
        <v>7.8551620370370376E-2</v>
      </c>
      <c r="J29" s="42">
        <f>Data!J28</f>
        <v>30.634231567382798</v>
      </c>
      <c r="K29" s="16" t="b">
        <f t="shared" si="2"/>
        <v>0</v>
      </c>
      <c r="L29" s="16" t="b">
        <f t="shared" si="3"/>
        <v>0</v>
      </c>
      <c r="M29" s="16">
        <f t="shared" si="4"/>
        <v>0</v>
      </c>
      <c r="N29" s="16">
        <f t="shared" si="5"/>
        <v>20.6869106292725</v>
      </c>
      <c r="O29" s="16" t="b">
        <f t="shared" si="6"/>
        <v>0</v>
      </c>
      <c r="P29" s="16" t="b">
        <f>IF(N29&gt;Summary!$B$9,TRUE,FALSE)</f>
        <v>1</v>
      </c>
      <c r="Q29" s="35">
        <f t="shared" si="7"/>
        <v>0</v>
      </c>
      <c r="R29" s="47" t="str">
        <f>IF(Q29=1, 'Excessive YM Events'!$J$22, "")</f>
        <v/>
      </c>
      <c r="S29" s="31">
        <f>IF(Data!L28=0,"",Data!L28)</f>
        <v>43956.285633761574</v>
      </c>
    </row>
    <row r="30" spans="1:19" ht="16.5" x14ac:dyDescent="0.3">
      <c r="A30" s="26" t="str">
        <f>Data!H29</f>
        <v>Driver1</v>
      </c>
      <c r="B30" s="26" t="str">
        <f>Data!F29</f>
        <v>FirstName1</v>
      </c>
      <c r="C30" s="26" t="str">
        <f>Data!G29</f>
        <v>LastName1</v>
      </c>
      <c r="D30" s="30" t="str">
        <f>Data!D29</f>
        <v>Vehicle1</v>
      </c>
      <c r="E30" s="25" t="str">
        <f>TEXT(INT(Data!A29),"mmm dd, yyyy")</f>
        <v>May 04, 2020</v>
      </c>
      <c r="F30" s="31">
        <f>Data!A29</f>
        <v>43955.720138888886</v>
      </c>
      <c r="G30" s="30" t="str">
        <f>Data!B29</f>
        <v>ON</v>
      </c>
      <c r="H30" s="71" t="str">
        <f t="shared" si="1"/>
        <v>NOT</v>
      </c>
      <c r="I30" s="53">
        <f>Data!C29</f>
        <v>0</v>
      </c>
      <c r="J30" s="42">
        <f>Data!J29</f>
        <v>1.09222494065762E-2</v>
      </c>
      <c r="K30" s="16" t="b">
        <f t="shared" si="2"/>
        <v>0</v>
      </c>
      <c r="L30" s="16" t="b">
        <f t="shared" si="3"/>
        <v>0</v>
      </c>
      <c r="M30" s="16">
        <f t="shared" si="4"/>
        <v>0</v>
      </c>
      <c r="N30" s="16">
        <f t="shared" si="5"/>
        <v>20.6869106292725</v>
      </c>
      <c r="O30" s="16" t="b">
        <f t="shared" si="6"/>
        <v>0</v>
      </c>
      <c r="P30" s="16" t="b">
        <f>IF(N30&gt;Summary!$B$9,TRUE,FALSE)</f>
        <v>1</v>
      </c>
      <c r="Q30" s="35">
        <f t="shared" si="7"/>
        <v>0</v>
      </c>
      <c r="R30" s="47" t="str">
        <f>IF(Q30=1, 'Excessive YM Events'!$J$22, "")</f>
        <v/>
      </c>
      <c r="S30" s="31" t="str">
        <f>IF(Data!L29=0,"",Data!L29)</f>
        <v/>
      </c>
    </row>
    <row r="31" spans="1:19" ht="16.5" x14ac:dyDescent="0.3">
      <c r="A31" s="26" t="str">
        <f>Data!H30</f>
        <v>Driver1</v>
      </c>
      <c r="B31" s="26" t="str">
        <f>Data!F30</f>
        <v>FirstName1</v>
      </c>
      <c r="C31" s="26" t="str">
        <f>Data!G30</f>
        <v>LastName1</v>
      </c>
      <c r="D31" s="30" t="str">
        <f>Data!D30</f>
        <v>Vehicle1</v>
      </c>
      <c r="E31" s="25" t="str">
        <f>TEXT(INT(Data!A30),"mmm dd, yyyy")</f>
        <v>May 04, 2020</v>
      </c>
      <c r="F31" s="31">
        <f>Data!A30</f>
        <v>43955.757023842591</v>
      </c>
      <c r="G31" s="30" t="str">
        <f>Data!B30</f>
        <v>D</v>
      </c>
      <c r="H31" s="71" t="str">
        <f t="shared" si="1"/>
        <v>NOT</v>
      </c>
      <c r="I31" s="53">
        <f>Data!C30</f>
        <v>2.3161342592592591E-2</v>
      </c>
      <c r="J31" s="42">
        <f>Data!J30</f>
        <v>46.344535827636697</v>
      </c>
      <c r="K31" s="16" t="b">
        <f t="shared" si="2"/>
        <v>0</v>
      </c>
      <c r="L31" s="16" t="b">
        <f t="shared" si="3"/>
        <v>0</v>
      </c>
      <c r="M31" s="16">
        <f t="shared" si="4"/>
        <v>0</v>
      </c>
      <c r="N31" s="16">
        <f t="shared" si="5"/>
        <v>20.6869106292725</v>
      </c>
      <c r="O31" s="16" t="b">
        <f t="shared" si="6"/>
        <v>0</v>
      </c>
      <c r="P31" s="16" t="b">
        <f>IF(N31&gt;Summary!$B$9,TRUE,FALSE)</f>
        <v>1</v>
      </c>
      <c r="Q31" s="35">
        <f t="shared" si="7"/>
        <v>0</v>
      </c>
      <c r="R31" s="47" t="str">
        <f>IF(Q31=1, 'Excessive YM Events'!$J$22, "")</f>
        <v/>
      </c>
      <c r="S31" s="31">
        <f>IF(Data!L30=0,"",Data!L30)</f>
        <v>43956.285633796295</v>
      </c>
    </row>
    <row r="32" spans="1:19" ht="16.5" x14ac:dyDescent="0.3">
      <c r="A32" s="26" t="str">
        <f>Data!H31</f>
        <v>Driver1</v>
      </c>
      <c r="B32" s="26" t="str">
        <f>Data!F31</f>
        <v>FirstName1</v>
      </c>
      <c r="C32" s="26" t="str">
        <f>Data!G31</f>
        <v>LastName1</v>
      </c>
      <c r="D32" s="30" t="str">
        <f>Data!D31</f>
        <v>Vehicle1</v>
      </c>
      <c r="E32" s="25" t="str">
        <f>TEXT(INT(Data!A31),"mmm dd, yyyy")</f>
        <v>May 04, 2020</v>
      </c>
      <c r="F32" s="31">
        <f>Data!A31</f>
        <v>43955.780185185184</v>
      </c>
      <c r="G32" s="30" t="str">
        <f>Data!B31</f>
        <v>ON</v>
      </c>
      <c r="H32" s="71" t="str">
        <f t="shared" si="1"/>
        <v>NOT</v>
      </c>
      <c r="I32" s="53">
        <f>Data!C31</f>
        <v>8.1562499999999996E-2</v>
      </c>
      <c r="J32" s="42">
        <f>Data!J31</f>
        <v>0</v>
      </c>
      <c r="K32" s="16" t="b">
        <f t="shared" si="2"/>
        <v>0</v>
      </c>
      <c r="L32" s="16" t="b">
        <f t="shared" si="3"/>
        <v>0</v>
      </c>
      <c r="M32" s="16">
        <f t="shared" si="4"/>
        <v>0</v>
      </c>
      <c r="N32" s="16">
        <f t="shared" si="5"/>
        <v>20.6869106292725</v>
      </c>
      <c r="O32" s="16" t="b">
        <f t="shared" si="6"/>
        <v>0</v>
      </c>
      <c r="P32" s="16" t="b">
        <f>IF(N32&gt;Summary!$B$9,TRUE,FALSE)</f>
        <v>1</v>
      </c>
      <c r="Q32" s="35">
        <f t="shared" si="7"/>
        <v>0</v>
      </c>
      <c r="R32" s="47" t="str">
        <f>IF(Q32=1, 'Excessive YM Events'!$J$22, "")</f>
        <v/>
      </c>
      <c r="S32" s="31">
        <f>IF(Data!L31=0,"",Data!L31)</f>
        <v>43956.285633796295</v>
      </c>
    </row>
    <row r="33" spans="1:19" ht="16.5" x14ac:dyDescent="0.3">
      <c r="A33" s="26" t="str">
        <f>Data!H32</f>
        <v>Driver1</v>
      </c>
      <c r="B33" s="26" t="str">
        <f>Data!F32</f>
        <v>FirstName1</v>
      </c>
      <c r="C33" s="26" t="str">
        <f>Data!G32</f>
        <v>LastName1</v>
      </c>
      <c r="D33" s="30" t="str">
        <f>Data!D32</f>
        <v>Vehicle1</v>
      </c>
      <c r="E33" s="25" t="str">
        <f>TEXT(INT(Data!A32),"mmm dd, yyyy")</f>
        <v>May 04, 2020</v>
      </c>
      <c r="F33" s="31">
        <f>Data!A32</f>
        <v>43955.821851851855</v>
      </c>
      <c r="G33" s="30" t="str">
        <f>Data!B32</f>
        <v>D</v>
      </c>
      <c r="H33" s="71" t="str">
        <f t="shared" si="1"/>
        <v>NOT</v>
      </c>
      <c r="I33" s="53">
        <f>Data!C32</f>
        <v>0</v>
      </c>
      <c r="J33" s="42">
        <f>Data!J32</f>
        <v>18.876789093017599</v>
      </c>
      <c r="K33" s="16" t="b">
        <f t="shared" si="2"/>
        <v>0</v>
      </c>
      <c r="L33" s="16" t="b">
        <f t="shared" si="3"/>
        <v>0</v>
      </c>
      <c r="M33" s="16">
        <f t="shared" si="4"/>
        <v>0</v>
      </c>
      <c r="N33" s="16">
        <f t="shared" si="5"/>
        <v>20.6869106292725</v>
      </c>
      <c r="O33" s="16" t="b">
        <f t="shared" si="6"/>
        <v>0</v>
      </c>
      <c r="P33" s="16" t="b">
        <f>IF(N33&gt;Summary!$B$9,TRUE,FALSE)</f>
        <v>1</v>
      </c>
      <c r="Q33" s="35">
        <f t="shared" si="7"/>
        <v>0</v>
      </c>
      <c r="R33" s="47" t="str">
        <f>IF(Q33=1, 'Excessive YM Events'!$J$22, "")</f>
        <v/>
      </c>
      <c r="S33" s="31" t="str">
        <f>IF(Data!L32=0,"",Data!L32)</f>
        <v/>
      </c>
    </row>
    <row r="34" spans="1:19" ht="16.5" x14ac:dyDescent="0.3">
      <c r="A34" s="26" t="str">
        <f>Data!H33</f>
        <v>Driver1</v>
      </c>
      <c r="B34" s="26" t="str">
        <f>Data!F33</f>
        <v>FirstName1</v>
      </c>
      <c r="C34" s="26" t="str">
        <f>Data!G33</f>
        <v>LastName1</v>
      </c>
      <c r="D34" s="30" t="str">
        <f>Data!D33</f>
        <v>Vehicle1</v>
      </c>
      <c r="E34" s="25" t="str">
        <f>TEXT(INT(Data!A33),"mmm dd, yyyy")</f>
        <v>May 04, 2020</v>
      </c>
      <c r="F34" s="31">
        <f>Data!A33</f>
        <v>43955.861747685187</v>
      </c>
      <c r="G34" s="30" t="str">
        <f>Data!B33</f>
        <v>ON</v>
      </c>
      <c r="H34" s="71" t="str">
        <f t="shared" si="1"/>
        <v>NOT</v>
      </c>
      <c r="I34" s="53">
        <f>Data!C33</f>
        <v>4.6631944444444444E-4</v>
      </c>
      <c r="J34" s="42">
        <f>Data!J33</f>
        <v>0</v>
      </c>
      <c r="K34" s="16" t="b">
        <f t="shared" si="2"/>
        <v>0</v>
      </c>
      <c r="L34" s="16" t="b">
        <f t="shared" si="3"/>
        <v>0</v>
      </c>
      <c r="M34" s="16">
        <f t="shared" si="4"/>
        <v>0</v>
      </c>
      <c r="N34" s="16">
        <f t="shared" si="5"/>
        <v>20.6869106292725</v>
      </c>
      <c r="O34" s="16" t="b">
        <f t="shared" si="6"/>
        <v>0</v>
      </c>
      <c r="P34" s="16" t="b">
        <f>IF(N34&gt;Summary!$B$9,TRUE,FALSE)</f>
        <v>1</v>
      </c>
      <c r="Q34" s="35">
        <f t="shared" si="7"/>
        <v>0</v>
      </c>
      <c r="R34" s="47" t="str">
        <f>IF(Q34=1, 'Excessive YM Events'!$J$22, "")</f>
        <v/>
      </c>
      <c r="S34" s="31">
        <f>IF(Data!L33=0,"",Data!L33)</f>
        <v>43956.285633796295</v>
      </c>
    </row>
    <row r="35" spans="1:19" ht="16.5" x14ac:dyDescent="0.3">
      <c r="A35" s="26" t="str">
        <f>Data!H34</f>
        <v>Driver1</v>
      </c>
      <c r="B35" s="26" t="str">
        <f>Data!F34</f>
        <v>FirstName1</v>
      </c>
      <c r="C35" s="26" t="str">
        <f>Data!G34</f>
        <v>LastName1</v>
      </c>
      <c r="D35" s="30" t="str">
        <f>Data!D34</f>
        <v>Vehicle1</v>
      </c>
      <c r="E35" s="25" t="str">
        <f>TEXT(INT(Data!A34),"mmm dd, yyyy")</f>
        <v>May 04, 2020</v>
      </c>
      <c r="F35" s="31">
        <f>Data!A34</f>
        <v>43955.862214004628</v>
      </c>
      <c r="G35" s="30" t="str">
        <f>Data!B34</f>
        <v>D</v>
      </c>
      <c r="H35" s="71" t="str">
        <f t="shared" si="1"/>
        <v>NOT</v>
      </c>
      <c r="I35" s="53">
        <f>Data!C34</f>
        <v>0.42042488425925928</v>
      </c>
      <c r="J35" s="42">
        <f>Data!J34</f>
        <v>1.0338554382324201</v>
      </c>
      <c r="K35" s="16" t="b">
        <f t="shared" si="2"/>
        <v>0</v>
      </c>
      <c r="L35" s="16" t="b">
        <f t="shared" si="3"/>
        <v>0</v>
      </c>
      <c r="M35" s="16">
        <f t="shared" si="4"/>
        <v>0</v>
      </c>
      <c r="N35" s="16">
        <f t="shared" si="5"/>
        <v>20.6869106292725</v>
      </c>
      <c r="O35" s="16" t="b">
        <f t="shared" si="6"/>
        <v>0</v>
      </c>
      <c r="P35" s="16" t="b">
        <f>IF(N35&gt;Summary!$B$9,TRUE,FALSE)</f>
        <v>1</v>
      </c>
      <c r="Q35" s="35">
        <f t="shared" si="7"/>
        <v>0</v>
      </c>
      <c r="R35" s="47" t="str">
        <f>IF(Q35=1, 'Excessive YM Events'!$J$22, "")</f>
        <v/>
      </c>
      <c r="S35" s="31">
        <f>IF(Data!L34=0,"",Data!L34)</f>
        <v>43956.285633831016</v>
      </c>
    </row>
    <row r="36" spans="1:19" ht="16.5" x14ac:dyDescent="0.3">
      <c r="A36" s="26" t="str">
        <f>Data!H35</f>
        <v>Driver1</v>
      </c>
      <c r="B36" s="26" t="str">
        <f>Data!F35</f>
        <v>FirstName1</v>
      </c>
      <c r="C36" s="26" t="str">
        <f>Data!G35</f>
        <v>LastName1</v>
      </c>
      <c r="D36" s="30" t="str">
        <f>Data!D35</f>
        <v>Vehicle1</v>
      </c>
      <c r="E36" s="25" t="str">
        <f>TEXT(INT(Data!A35),"mmm dd, yyyy")</f>
        <v>May 04, 2020</v>
      </c>
      <c r="F36" s="31">
        <f>Data!A35</f>
        <v>43955.862214004628</v>
      </c>
      <c r="G36" s="30" t="str">
        <f>Data!B35</f>
        <v>ON</v>
      </c>
      <c r="H36" s="71" t="str">
        <f t="shared" si="1"/>
        <v>NOT</v>
      </c>
      <c r="I36" s="53">
        <f>Data!C35</f>
        <v>0</v>
      </c>
      <c r="J36" s="42">
        <f>Data!J35</f>
        <v>0</v>
      </c>
      <c r="K36" s="16" t="b">
        <f t="shared" si="2"/>
        <v>0</v>
      </c>
      <c r="L36" s="16" t="b">
        <f t="shared" si="3"/>
        <v>0</v>
      </c>
      <c r="M36" s="16">
        <f t="shared" si="4"/>
        <v>0</v>
      </c>
      <c r="N36" s="16">
        <f t="shared" si="5"/>
        <v>20.6869106292725</v>
      </c>
      <c r="O36" s="16" t="b">
        <f t="shared" si="6"/>
        <v>0</v>
      </c>
      <c r="P36" s="16" t="b">
        <f>IF(N36&gt;Summary!$B$9,TRUE,FALSE)</f>
        <v>1</v>
      </c>
      <c r="Q36" s="35">
        <f t="shared" si="7"/>
        <v>0</v>
      </c>
      <c r="R36" s="47" t="str">
        <f>IF(Q36=1, 'Excessive YM Events'!$J$22, "")</f>
        <v/>
      </c>
      <c r="S36" s="31">
        <f>IF(Data!L35=0,"",Data!L35)</f>
        <v>43956.285633831016</v>
      </c>
    </row>
    <row r="37" spans="1:19" ht="16.5" x14ac:dyDescent="0.3">
      <c r="A37" s="26" t="str">
        <f>Data!H36</f>
        <v>Driver1</v>
      </c>
      <c r="B37" s="26" t="str">
        <f>Data!F36</f>
        <v>FirstName1</v>
      </c>
      <c r="C37" s="26" t="str">
        <f>Data!G36</f>
        <v>LastName1</v>
      </c>
      <c r="D37" s="30" t="str">
        <f>Data!D36</f>
        <v>Vehicle1</v>
      </c>
      <c r="E37" s="25" t="str">
        <f>TEXT(INT(Data!A36),"mmm dd, yyyy")</f>
        <v>May 05, 2020</v>
      </c>
      <c r="F37" s="31">
        <f>Data!A36</f>
        <v>43956.282638888886</v>
      </c>
      <c r="G37" s="30" t="str">
        <f>Data!B36</f>
        <v>D</v>
      </c>
      <c r="H37" s="71" t="str">
        <f t="shared" si="1"/>
        <v>NOT</v>
      </c>
      <c r="I37" s="53">
        <f>Data!C36</f>
        <v>1.0052511574074075E-2</v>
      </c>
      <c r="J37" s="42">
        <f>Data!J36</f>
        <v>2.2360694408416699</v>
      </c>
      <c r="K37" s="16" t="b">
        <f t="shared" si="2"/>
        <v>0</v>
      </c>
      <c r="L37" s="16" t="b">
        <f t="shared" si="3"/>
        <v>1</v>
      </c>
      <c r="M37" s="16">
        <f t="shared" si="4"/>
        <v>0</v>
      </c>
      <c r="N37" s="16">
        <f t="shared" si="5"/>
        <v>0</v>
      </c>
      <c r="O37" s="16" t="b">
        <f t="shared" si="6"/>
        <v>0</v>
      </c>
      <c r="P37" s="16" t="b">
        <f>IF(N37&gt;Summary!$B$9,TRUE,FALSE)</f>
        <v>0</v>
      </c>
      <c r="Q37" s="35">
        <f t="shared" si="7"/>
        <v>0</v>
      </c>
      <c r="R37" s="47" t="str">
        <f>IF(Q37=1, 'Excessive YM Events'!$J$22, "")</f>
        <v/>
      </c>
      <c r="S37" s="31">
        <f>IF(Data!L36=0,"",Data!L36)</f>
        <v>43956.861388773148</v>
      </c>
    </row>
    <row r="38" spans="1:19" ht="16.5" x14ac:dyDescent="0.3">
      <c r="A38" s="26" t="str">
        <f>Data!H37</f>
        <v>Driver1</v>
      </c>
      <c r="B38" s="26" t="str">
        <f>Data!F37</f>
        <v>FirstName1</v>
      </c>
      <c r="C38" s="26" t="str">
        <f>Data!G37</f>
        <v>LastName1</v>
      </c>
      <c r="D38" s="30" t="str">
        <f>Data!D37</f>
        <v>Vehicle1</v>
      </c>
      <c r="E38" s="25" t="str">
        <f>TEXT(INT(Data!A37),"mmm dd, yyyy")</f>
        <v>May 05, 2020</v>
      </c>
      <c r="F38" s="31">
        <f>Data!A37</f>
        <v>43956.292691400464</v>
      </c>
      <c r="G38" s="30" t="str">
        <f>Data!B37</f>
        <v>ON</v>
      </c>
      <c r="H38" s="71" t="str">
        <f t="shared" si="1"/>
        <v>NOT</v>
      </c>
      <c r="I38" s="53">
        <f>Data!C37</f>
        <v>7.2295138888888886E-4</v>
      </c>
      <c r="J38" s="42">
        <f>Data!J37</f>
        <v>2.2216470912098898E-2</v>
      </c>
      <c r="K38" s="16" t="b">
        <f t="shared" si="2"/>
        <v>0</v>
      </c>
      <c r="L38" s="16" t="b">
        <f t="shared" si="3"/>
        <v>0</v>
      </c>
      <c r="M38" s="16">
        <f t="shared" si="4"/>
        <v>0</v>
      </c>
      <c r="N38" s="16">
        <f t="shared" si="5"/>
        <v>0</v>
      </c>
      <c r="O38" s="16" t="b">
        <f t="shared" si="6"/>
        <v>0</v>
      </c>
      <c r="P38" s="16" t="b">
        <f>IF(N38&gt;Summary!$B$9,TRUE,FALSE)</f>
        <v>0</v>
      </c>
      <c r="Q38" s="35">
        <f t="shared" si="7"/>
        <v>0</v>
      </c>
      <c r="R38" s="47" t="str">
        <f>IF(Q38=1, 'Excessive YM Events'!$J$22, "")</f>
        <v/>
      </c>
      <c r="S38" s="31">
        <f>IF(Data!L37=0,"",Data!L37)</f>
        <v>43956.861388807869</v>
      </c>
    </row>
    <row r="39" spans="1:19" ht="16.5" x14ac:dyDescent="0.3">
      <c r="A39" s="26" t="str">
        <f>Data!H38</f>
        <v>Driver1</v>
      </c>
      <c r="B39" s="26" t="str">
        <f>Data!F38</f>
        <v>FirstName1</v>
      </c>
      <c r="C39" s="26" t="str">
        <f>Data!G38</f>
        <v>LastName1</v>
      </c>
      <c r="D39" s="30" t="str">
        <f>Data!D38</f>
        <v>Vehicle1</v>
      </c>
      <c r="E39" s="25" t="str">
        <f>TEXT(INT(Data!A38),"mmm dd, yyyy")</f>
        <v>May 05, 2020</v>
      </c>
      <c r="F39" s="31">
        <f>Data!A38</f>
        <v>43956.293414351851</v>
      </c>
      <c r="G39" s="30" t="str">
        <f>Data!B38</f>
        <v>D</v>
      </c>
      <c r="H39" s="71" t="str">
        <f t="shared" si="1"/>
        <v>NOT</v>
      </c>
      <c r="I39" s="53">
        <f>Data!C38</f>
        <v>0.16371315972222222</v>
      </c>
      <c r="J39" s="42">
        <f>Data!J38</f>
        <v>5.8045482635498002</v>
      </c>
      <c r="K39" s="16" t="b">
        <f t="shared" si="2"/>
        <v>0</v>
      </c>
      <c r="L39" s="16" t="b">
        <f t="shared" si="3"/>
        <v>0</v>
      </c>
      <c r="M39" s="16">
        <f t="shared" si="4"/>
        <v>0</v>
      </c>
      <c r="N39" s="16">
        <f t="shared" si="5"/>
        <v>0</v>
      </c>
      <c r="O39" s="16" t="b">
        <f t="shared" si="6"/>
        <v>0</v>
      </c>
      <c r="P39" s="16" t="b">
        <f>IF(N39&gt;Summary!$B$9,TRUE,FALSE)</f>
        <v>0</v>
      </c>
      <c r="Q39" s="35">
        <f t="shared" si="7"/>
        <v>0</v>
      </c>
      <c r="R39" s="47" t="str">
        <f>IF(Q39=1, 'Excessive YM Events'!$J$22, "")</f>
        <v/>
      </c>
      <c r="S39" s="31">
        <f>IF(Data!L38=0,"",Data!L38)</f>
        <v>43956.861388854166</v>
      </c>
    </row>
    <row r="40" spans="1:19" ht="16.5" x14ac:dyDescent="0.3">
      <c r="A40" s="26" t="str">
        <f>Data!H39</f>
        <v>Driver1</v>
      </c>
      <c r="B40" s="26" t="str">
        <f>Data!F39</f>
        <v>FirstName1</v>
      </c>
      <c r="C40" s="26" t="str">
        <f>Data!G39</f>
        <v>LastName1</v>
      </c>
      <c r="D40" s="30" t="str">
        <f>Data!D39</f>
        <v>Vehicle1</v>
      </c>
      <c r="E40" s="25" t="str">
        <f>TEXT(INT(Data!A39),"mmm dd, yyyy")</f>
        <v>May 05, 2020</v>
      </c>
      <c r="F40" s="31">
        <f>Data!A39</f>
        <v>43956.335081018522</v>
      </c>
      <c r="G40" s="30" t="str">
        <f>Data!B39</f>
        <v>ON</v>
      </c>
      <c r="H40" s="71" t="str">
        <f t="shared" si="1"/>
        <v>NOT</v>
      </c>
      <c r="I40" s="53">
        <f>Data!C39</f>
        <v>0</v>
      </c>
      <c r="J40" s="42">
        <f>Data!J39</f>
        <v>9.4726877287030203E-3</v>
      </c>
      <c r="K40" s="16" t="b">
        <f t="shared" si="2"/>
        <v>0</v>
      </c>
      <c r="L40" s="16" t="b">
        <f t="shared" si="3"/>
        <v>0</v>
      </c>
      <c r="M40" s="16">
        <f t="shared" si="4"/>
        <v>0</v>
      </c>
      <c r="N40" s="16">
        <f t="shared" si="5"/>
        <v>0</v>
      </c>
      <c r="O40" s="16" t="b">
        <f t="shared" si="6"/>
        <v>0</v>
      </c>
      <c r="P40" s="16" t="b">
        <f>IF(N40&gt;Summary!$B$9,TRUE,FALSE)</f>
        <v>0</v>
      </c>
      <c r="Q40" s="35">
        <f t="shared" si="7"/>
        <v>0</v>
      </c>
      <c r="R40" s="47" t="str">
        <f>IF(Q40=1, 'Excessive YM Events'!$J$22, "")</f>
        <v/>
      </c>
      <c r="S40" s="31" t="str">
        <f>IF(Data!L39=0,"",Data!L39)</f>
        <v/>
      </c>
    </row>
    <row r="41" spans="1:19" ht="16.5" x14ac:dyDescent="0.3">
      <c r="A41" s="26" t="str">
        <f>Data!H40</f>
        <v>Driver1</v>
      </c>
      <c r="B41" s="26" t="str">
        <f>Data!F40</f>
        <v>FirstName1</v>
      </c>
      <c r="C41" s="26" t="str">
        <f>Data!G40</f>
        <v>LastName1</v>
      </c>
      <c r="D41" s="30" t="str">
        <f>Data!D40</f>
        <v>Vehicle1</v>
      </c>
      <c r="E41" s="25" t="str">
        <f>TEXT(INT(Data!A40),"mmm dd, yyyy")</f>
        <v>May 05, 2020</v>
      </c>
      <c r="F41" s="31">
        <f>Data!A40</f>
        <v>43956.376747685186</v>
      </c>
      <c r="G41" s="30" t="str">
        <f>Data!B40</f>
        <v>D</v>
      </c>
      <c r="H41" s="71" t="str">
        <f t="shared" si="1"/>
        <v>NOT</v>
      </c>
      <c r="I41" s="53">
        <f>Data!C40</f>
        <v>0</v>
      </c>
      <c r="J41" s="42">
        <f>Data!J40</f>
        <v>1.60622262954712</v>
      </c>
      <c r="K41" s="16" t="b">
        <f t="shared" si="2"/>
        <v>0</v>
      </c>
      <c r="L41" s="16" t="b">
        <f t="shared" si="3"/>
        <v>0</v>
      </c>
      <c r="M41" s="16">
        <f t="shared" si="4"/>
        <v>0</v>
      </c>
      <c r="N41" s="16">
        <f t="shared" si="5"/>
        <v>0</v>
      </c>
      <c r="O41" s="16" t="b">
        <f t="shared" si="6"/>
        <v>0</v>
      </c>
      <c r="P41" s="16" t="b">
        <f>IF(N41&gt;Summary!$B$9,TRUE,FALSE)</f>
        <v>0</v>
      </c>
      <c r="Q41" s="35">
        <f t="shared" si="7"/>
        <v>0</v>
      </c>
      <c r="R41" s="47" t="str">
        <f>IF(Q41=1, 'Excessive YM Events'!$J$22, "")</f>
        <v/>
      </c>
      <c r="S41" s="31" t="str">
        <f>IF(Data!L40=0,"",Data!L40)</f>
        <v/>
      </c>
    </row>
    <row r="42" spans="1:19" ht="16.5" x14ac:dyDescent="0.3">
      <c r="A42" s="26" t="str">
        <f>Data!H41</f>
        <v>Driver1</v>
      </c>
      <c r="B42" s="26" t="str">
        <f>Data!F41</f>
        <v>FirstName1</v>
      </c>
      <c r="C42" s="26" t="str">
        <f>Data!G41</f>
        <v>LastName1</v>
      </c>
      <c r="D42" s="30" t="str">
        <f>Data!D41</f>
        <v>Vehicle1</v>
      </c>
      <c r="E42" s="25" t="str">
        <f>TEXT(INT(Data!A41),"mmm dd, yyyy")</f>
        <v>May 05, 2020</v>
      </c>
      <c r="F42" s="31">
        <f>Data!A41</f>
        <v>43956.418414351851</v>
      </c>
      <c r="G42" s="30" t="str">
        <f>Data!B41</f>
        <v>ON</v>
      </c>
      <c r="H42" s="71" t="str">
        <f t="shared" si="1"/>
        <v>NOT</v>
      </c>
      <c r="I42" s="53">
        <f>Data!C41</f>
        <v>0</v>
      </c>
      <c r="J42" s="42">
        <f>Data!J41</f>
        <v>2.5866132229566598E-2</v>
      </c>
      <c r="K42" s="16" t="b">
        <f t="shared" si="2"/>
        <v>0</v>
      </c>
      <c r="L42" s="16" t="b">
        <f t="shared" si="3"/>
        <v>0</v>
      </c>
      <c r="M42" s="16">
        <f t="shared" si="4"/>
        <v>0</v>
      </c>
      <c r="N42" s="16">
        <f t="shared" si="5"/>
        <v>0</v>
      </c>
      <c r="O42" s="16" t="b">
        <f t="shared" si="6"/>
        <v>0</v>
      </c>
      <c r="P42" s="16" t="b">
        <f>IF(N42&gt;Summary!$B$9,TRUE,FALSE)</f>
        <v>0</v>
      </c>
      <c r="Q42" s="35">
        <f t="shared" si="7"/>
        <v>0</v>
      </c>
      <c r="R42" s="47" t="str">
        <f>IF(Q42=1, 'Excessive YM Events'!$J$22, "")</f>
        <v/>
      </c>
      <c r="S42" s="31" t="str">
        <f>IF(Data!L41=0,"",Data!L41)</f>
        <v/>
      </c>
    </row>
    <row r="43" spans="1:19" ht="16.5" x14ac:dyDescent="0.3">
      <c r="A43" s="26" t="str">
        <f>Data!H42</f>
        <v>Driver1</v>
      </c>
      <c r="B43" s="26" t="str">
        <f>Data!F42</f>
        <v>FirstName1</v>
      </c>
      <c r="C43" s="26" t="str">
        <f>Data!G42</f>
        <v>LastName1</v>
      </c>
      <c r="D43" s="30" t="str">
        <f>Data!D42</f>
        <v>Vehicle1</v>
      </c>
      <c r="E43" s="25" t="str">
        <f>TEXT(INT(Data!A42),"mmm dd, yyyy")</f>
        <v>May 05, 2020</v>
      </c>
      <c r="F43" s="31">
        <f>Data!A42</f>
        <v>43956.457127511574</v>
      </c>
      <c r="G43" s="30" t="str">
        <f>Data!B42</f>
        <v>D</v>
      </c>
      <c r="H43" s="71" t="str">
        <f t="shared" si="1"/>
        <v>NOT</v>
      </c>
      <c r="I43" s="53">
        <f>Data!C42</f>
        <v>3.3933217592592591E-3</v>
      </c>
      <c r="J43" s="42">
        <f>Data!J42</f>
        <v>16.2477321624756</v>
      </c>
      <c r="K43" s="16" t="b">
        <f t="shared" si="2"/>
        <v>0</v>
      </c>
      <c r="L43" s="16" t="b">
        <f t="shared" si="3"/>
        <v>0</v>
      </c>
      <c r="M43" s="16">
        <f t="shared" si="4"/>
        <v>0</v>
      </c>
      <c r="N43" s="16">
        <f t="shared" si="5"/>
        <v>0</v>
      </c>
      <c r="O43" s="16" t="b">
        <f t="shared" si="6"/>
        <v>0</v>
      </c>
      <c r="P43" s="16" t="b">
        <f>IF(N43&gt;Summary!$B$9,TRUE,FALSE)</f>
        <v>0</v>
      </c>
      <c r="Q43" s="35">
        <f t="shared" si="7"/>
        <v>0</v>
      </c>
      <c r="R43" s="47" t="str">
        <f>IF(Q43=1, 'Excessive YM Events'!$J$22, "")</f>
        <v/>
      </c>
      <c r="S43" s="31">
        <f>IF(Data!L42=0,"",Data!L42)</f>
        <v>43956.861388854166</v>
      </c>
    </row>
    <row r="44" spans="1:19" ht="16.5" x14ac:dyDescent="0.3">
      <c r="A44" s="26" t="str">
        <f>Data!H43</f>
        <v>Driver1</v>
      </c>
      <c r="B44" s="26" t="str">
        <f>Data!F43</f>
        <v>FirstName1</v>
      </c>
      <c r="C44" s="26" t="str">
        <f>Data!G43</f>
        <v>LastName1</v>
      </c>
      <c r="D44" s="30" t="str">
        <f>Data!D43</f>
        <v>Vehicle1</v>
      </c>
      <c r="E44" s="25" t="str">
        <f>TEXT(INT(Data!A43),"mmm dd, yyyy")</f>
        <v>May 05, 2020</v>
      </c>
      <c r="F44" s="31">
        <f>Data!A43</f>
        <v>43956.460520833331</v>
      </c>
      <c r="G44" s="30" t="str">
        <f>Data!B43</f>
        <v>ON</v>
      </c>
      <c r="H44" s="71" t="str">
        <f t="shared" si="1"/>
        <v>NOT</v>
      </c>
      <c r="I44" s="53">
        <f>Data!C43</f>
        <v>1.9037847222222223E-3</v>
      </c>
      <c r="J44" s="42">
        <f>Data!J43</f>
        <v>0</v>
      </c>
      <c r="K44" s="16" t="b">
        <f t="shared" si="2"/>
        <v>0</v>
      </c>
      <c r="L44" s="16" t="b">
        <f t="shared" si="3"/>
        <v>0</v>
      </c>
      <c r="M44" s="16">
        <f t="shared" si="4"/>
        <v>0</v>
      </c>
      <c r="N44" s="16">
        <f t="shared" si="5"/>
        <v>0</v>
      </c>
      <c r="O44" s="16" t="b">
        <f t="shared" si="6"/>
        <v>0</v>
      </c>
      <c r="P44" s="16" t="b">
        <f>IF(N44&gt;Summary!$B$9,TRUE,FALSE)</f>
        <v>0</v>
      </c>
      <c r="Q44" s="35">
        <f t="shared" si="7"/>
        <v>0</v>
      </c>
      <c r="R44" s="47" t="str">
        <f>IF(Q44=1, 'Excessive YM Events'!$J$22, "")</f>
        <v/>
      </c>
      <c r="S44" s="31">
        <f>IF(Data!L43=0,"",Data!L43)</f>
        <v>43956.861388888887</v>
      </c>
    </row>
    <row r="45" spans="1:19" ht="16.5" x14ac:dyDescent="0.3">
      <c r="A45" s="26" t="str">
        <f>Data!H44</f>
        <v>Driver1</v>
      </c>
      <c r="B45" s="26" t="str">
        <f>Data!F44</f>
        <v>FirstName1</v>
      </c>
      <c r="C45" s="26" t="str">
        <f>Data!G44</f>
        <v>LastName1</v>
      </c>
      <c r="D45" s="30" t="str">
        <f>Data!D44</f>
        <v>Vehicle1</v>
      </c>
      <c r="E45" s="25" t="str">
        <f>TEXT(INT(Data!A44),"mmm dd, yyyy")</f>
        <v>May 05, 2020</v>
      </c>
      <c r="F45" s="31">
        <f>Data!A44</f>
        <v>43956.462424618054</v>
      </c>
      <c r="G45" s="30" t="str">
        <f>Data!B44</f>
        <v>D</v>
      </c>
      <c r="H45" s="71" t="str">
        <f t="shared" si="1"/>
        <v>NOT</v>
      </c>
      <c r="I45" s="53">
        <f>Data!C44</f>
        <v>1.0687187500000001E-2</v>
      </c>
      <c r="J45" s="42">
        <f>Data!J44</f>
        <v>4.2844147682189897</v>
      </c>
      <c r="K45" s="16" t="b">
        <f t="shared" si="2"/>
        <v>0</v>
      </c>
      <c r="L45" s="16" t="b">
        <f t="shared" si="3"/>
        <v>0</v>
      </c>
      <c r="M45" s="16">
        <f t="shared" si="4"/>
        <v>0</v>
      </c>
      <c r="N45" s="16">
        <f t="shared" si="5"/>
        <v>0</v>
      </c>
      <c r="O45" s="16" t="b">
        <f t="shared" si="6"/>
        <v>0</v>
      </c>
      <c r="P45" s="16" t="b">
        <f>IF(N45&gt;Summary!$B$9,TRUE,FALSE)</f>
        <v>0</v>
      </c>
      <c r="Q45" s="35">
        <f t="shared" si="7"/>
        <v>0</v>
      </c>
      <c r="R45" s="47" t="str">
        <f>IF(Q45=1, 'Excessive YM Events'!$J$22, "")</f>
        <v/>
      </c>
      <c r="S45" s="31">
        <f>IF(Data!L44=0,"",Data!L44)</f>
        <v>43956.861388923608</v>
      </c>
    </row>
    <row r="46" spans="1:19" ht="16.5" x14ac:dyDescent="0.3">
      <c r="A46" s="26" t="str">
        <f>Data!H45</f>
        <v>Driver1</v>
      </c>
      <c r="B46" s="26" t="str">
        <f>Data!F45</f>
        <v>FirstName1</v>
      </c>
      <c r="C46" s="26" t="str">
        <f>Data!G45</f>
        <v>LastName1</v>
      </c>
      <c r="D46" s="30" t="str">
        <f>Data!D45</f>
        <v>Vehicle1</v>
      </c>
      <c r="E46" s="25" t="str">
        <f>TEXT(INT(Data!A45),"mmm dd, yyyy")</f>
        <v>May 05, 2020</v>
      </c>
      <c r="F46" s="31">
        <f>Data!A45</f>
        <v>43956.473111805557</v>
      </c>
      <c r="G46" s="30" t="str">
        <f>Data!B45</f>
        <v>ON</v>
      </c>
      <c r="H46" s="71" t="str">
        <f t="shared" si="1"/>
        <v>NOT</v>
      </c>
      <c r="I46" s="53">
        <f>Data!C45</f>
        <v>2.4434490740740739E-2</v>
      </c>
      <c r="J46" s="42">
        <f>Data!J45</f>
        <v>1.9712347537279101E-2</v>
      </c>
      <c r="K46" s="16" t="b">
        <f t="shared" si="2"/>
        <v>0</v>
      </c>
      <c r="L46" s="16" t="b">
        <f t="shared" si="3"/>
        <v>0</v>
      </c>
      <c r="M46" s="16">
        <f t="shared" si="4"/>
        <v>0</v>
      </c>
      <c r="N46" s="16">
        <f t="shared" si="5"/>
        <v>0</v>
      </c>
      <c r="O46" s="16" t="b">
        <f t="shared" si="6"/>
        <v>0</v>
      </c>
      <c r="P46" s="16" t="b">
        <f>IF(N46&gt;Summary!$B$9,TRUE,FALSE)</f>
        <v>0</v>
      </c>
      <c r="Q46" s="35">
        <f t="shared" si="7"/>
        <v>0</v>
      </c>
      <c r="R46" s="47" t="str">
        <f>IF(Q46=1, 'Excessive YM Events'!$J$22, "")</f>
        <v/>
      </c>
      <c r="S46" s="31">
        <f>IF(Data!L45=0,"",Data!L45)</f>
        <v>43956.861388969905</v>
      </c>
    </row>
    <row r="47" spans="1:19" ht="16.5" x14ac:dyDescent="0.3">
      <c r="A47" s="26" t="str">
        <f>Data!H46</f>
        <v>Driver1</v>
      </c>
      <c r="B47" s="26" t="str">
        <f>Data!F46</f>
        <v>FirstName1</v>
      </c>
      <c r="C47" s="26" t="str">
        <f>Data!G46</f>
        <v>LastName1</v>
      </c>
      <c r="D47" s="30" t="str">
        <f>Data!D46</f>
        <v>Vehicle1</v>
      </c>
      <c r="E47" s="25" t="str">
        <f>TEXT(INT(Data!A46),"mmm dd, yyyy")</f>
        <v>May 05, 2020</v>
      </c>
      <c r="F47" s="31">
        <f>Data!A46</f>
        <v>43956.497546296298</v>
      </c>
      <c r="G47" s="30" t="str">
        <f>Data!B46</f>
        <v>D</v>
      </c>
      <c r="H47" s="71" t="str">
        <f t="shared" si="1"/>
        <v>NOT</v>
      </c>
      <c r="I47" s="53">
        <f>Data!C46</f>
        <v>9.8541666666666666E-2</v>
      </c>
      <c r="J47" s="42">
        <f>Data!J46</f>
        <v>4.6833195686340297</v>
      </c>
      <c r="K47" s="16" t="b">
        <f t="shared" si="2"/>
        <v>0</v>
      </c>
      <c r="L47" s="16" t="b">
        <f t="shared" si="3"/>
        <v>0</v>
      </c>
      <c r="M47" s="16">
        <f t="shared" si="4"/>
        <v>0</v>
      </c>
      <c r="N47" s="16">
        <f t="shared" si="5"/>
        <v>0</v>
      </c>
      <c r="O47" s="16" t="b">
        <f t="shared" si="6"/>
        <v>0</v>
      </c>
      <c r="P47" s="16" t="b">
        <f>IF(N47&gt;Summary!$B$9,TRUE,FALSE)</f>
        <v>0</v>
      </c>
      <c r="Q47" s="35">
        <f t="shared" si="7"/>
        <v>0</v>
      </c>
      <c r="R47" s="47" t="str">
        <f>IF(Q47=1, 'Excessive YM Events'!$J$22, "")</f>
        <v/>
      </c>
      <c r="S47" s="31">
        <f>IF(Data!L46=0,"",Data!L46)</f>
        <v>43956.861388969905</v>
      </c>
    </row>
    <row r="48" spans="1:19" ht="16.5" x14ac:dyDescent="0.3">
      <c r="A48" s="26" t="str">
        <f>Data!H47</f>
        <v>Driver1</v>
      </c>
      <c r="B48" s="26" t="str">
        <f>Data!F47</f>
        <v>FirstName1</v>
      </c>
      <c r="C48" s="26" t="str">
        <f>Data!G47</f>
        <v>LastName1</v>
      </c>
      <c r="D48" s="30" t="str">
        <f>Data!D47</f>
        <v>Vehicle1</v>
      </c>
      <c r="E48" s="25" t="str">
        <f>TEXT(INT(Data!A47),"mmm dd, yyyy")</f>
        <v>May 05, 2020</v>
      </c>
      <c r="F48" s="31">
        <f>Data!A47</f>
        <v>43956.539212962962</v>
      </c>
      <c r="G48" s="30" t="str">
        <f>Data!B47</f>
        <v>ON</v>
      </c>
      <c r="H48" s="71" t="str">
        <f t="shared" si="1"/>
        <v>NOT</v>
      </c>
      <c r="I48" s="53">
        <f>Data!C47</f>
        <v>0</v>
      </c>
      <c r="J48" s="42">
        <f>Data!J47</f>
        <v>3.5755563527345699E-2</v>
      </c>
      <c r="K48" s="16" t="b">
        <f t="shared" si="2"/>
        <v>0</v>
      </c>
      <c r="L48" s="16" t="b">
        <f t="shared" si="3"/>
        <v>0</v>
      </c>
      <c r="M48" s="16">
        <f t="shared" si="4"/>
        <v>0</v>
      </c>
      <c r="N48" s="16">
        <f t="shared" si="5"/>
        <v>0</v>
      </c>
      <c r="O48" s="16" t="b">
        <f t="shared" si="6"/>
        <v>0</v>
      </c>
      <c r="P48" s="16" t="b">
        <f>IF(N48&gt;Summary!$B$9,TRUE,FALSE)</f>
        <v>0</v>
      </c>
      <c r="Q48" s="35">
        <f t="shared" si="7"/>
        <v>0</v>
      </c>
      <c r="R48" s="47" t="str">
        <f>IF(Q48=1, 'Excessive YM Events'!$J$22, "")</f>
        <v/>
      </c>
      <c r="S48" s="31" t="str">
        <f>IF(Data!L47=0,"",Data!L47)</f>
        <v/>
      </c>
    </row>
    <row r="49" spans="1:19" ht="16.5" x14ac:dyDescent="0.3">
      <c r="A49" s="26" t="str">
        <f>Data!H48</f>
        <v>Driver1</v>
      </c>
      <c r="B49" s="26" t="str">
        <f>Data!F48</f>
        <v>FirstName1</v>
      </c>
      <c r="C49" s="26" t="str">
        <f>Data!G48</f>
        <v>LastName1</v>
      </c>
      <c r="D49" s="30" t="str">
        <f>Data!D48</f>
        <v>Vehicle1</v>
      </c>
      <c r="E49" s="25" t="str">
        <f>TEXT(INT(Data!A48),"mmm dd, yyyy")</f>
        <v>May 05, 2020</v>
      </c>
      <c r="F49" s="31">
        <f>Data!A48</f>
        <v>43956.580879629626</v>
      </c>
      <c r="G49" s="30" t="str">
        <f>Data!B48</f>
        <v>D</v>
      </c>
      <c r="H49" s="71" t="str">
        <f t="shared" si="1"/>
        <v>NOT</v>
      </c>
      <c r="I49" s="53">
        <f>Data!C48</f>
        <v>0</v>
      </c>
      <c r="J49" s="42">
        <f>Data!J48</f>
        <v>18.540431976318398</v>
      </c>
      <c r="K49" s="16" t="b">
        <f t="shared" si="2"/>
        <v>0</v>
      </c>
      <c r="L49" s="16" t="b">
        <f t="shared" si="3"/>
        <v>0</v>
      </c>
      <c r="M49" s="16">
        <f t="shared" si="4"/>
        <v>0</v>
      </c>
      <c r="N49" s="16">
        <f t="shared" si="5"/>
        <v>0</v>
      </c>
      <c r="O49" s="16" t="b">
        <f t="shared" si="6"/>
        <v>0</v>
      </c>
      <c r="P49" s="16" t="b">
        <f>IF(N49&gt;Summary!$B$9,TRUE,FALSE)</f>
        <v>0</v>
      </c>
      <c r="Q49" s="35">
        <f t="shared" si="7"/>
        <v>0</v>
      </c>
      <c r="R49" s="47" t="str">
        <f>IF(Q49=1, 'Excessive YM Events'!$J$22, "")</f>
        <v/>
      </c>
      <c r="S49" s="31" t="str">
        <f>IF(Data!L48=0,"",Data!L48)</f>
        <v/>
      </c>
    </row>
    <row r="50" spans="1:19" ht="16.5" x14ac:dyDescent="0.3">
      <c r="A50" s="26" t="str">
        <f>Data!H49</f>
        <v>Driver1</v>
      </c>
      <c r="B50" s="26" t="str">
        <f>Data!F49</f>
        <v>FirstName1</v>
      </c>
      <c r="C50" s="26" t="str">
        <f>Data!G49</f>
        <v>LastName1</v>
      </c>
      <c r="D50" s="30" t="str">
        <f>Data!D49</f>
        <v>Vehicle1</v>
      </c>
      <c r="E50" s="25" t="str">
        <f>TEXT(INT(Data!A49),"mmm dd, yyyy")</f>
        <v>May 05, 2020</v>
      </c>
      <c r="F50" s="31">
        <f>Data!A49</f>
        <v>43956.596087962964</v>
      </c>
      <c r="G50" s="30" t="str">
        <f>Data!B49</f>
        <v>ON</v>
      </c>
      <c r="H50" s="71" t="str">
        <f t="shared" si="1"/>
        <v>NOT</v>
      </c>
      <c r="I50" s="53">
        <f>Data!C49</f>
        <v>4.6064814814814814E-3</v>
      </c>
      <c r="J50" s="42">
        <f>Data!J49</f>
        <v>1.2475060299038899E-2</v>
      </c>
      <c r="K50" s="16" t="b">
        <f t="shared" si="2"/>
        <v>0</v>
      </c>
      <c r="L50" s="16" t="b">
        <f t="shared" si="3"/>
        <v>0</v>
      </c>
      <c r="M50" s="16">
        <f t="shared" si="4"/>
        <v>0</v>
      </c>
      <c r="N50" s="16">
        <f t="shared" si="5"/>
        <v>0</v>
      </c>
      <c r="O50" s="16" t="b">
        <f t="shared" si="6"/>
        <v>0</v>
      </c>
      <c r="P50" s="16" t="b">
        <f>IF(N50&gt;Summary!$B$9,TRUE,FALSE)</f>
        <v>0</v>
      </c>
      <c r="Q50" s="35">
        <f t="shared" si="7"/>
        <v>0</v>
      </c>
      <c r="R50" s="47" t="str">
        <f>IF(Q50=1, 'Excessive YM Events'!$J$22, "")</f>
        <v/>
      </c>
      <c r="S50" s="31">
        <f>IF(Data!L49=0,"",Data!L49)</f>
        <v>43956.861388969905</v>
      </c>
    </row>
    <row r="51" spans="1:19" ht="16.5" x14ac:dyDescent="0.3">
      <c r="A51" s="26" t="str">
        <f>Data!H50</f>
        <v>Driver1</v>
      </c>
      <c r="B51" s="26" t="str">
        <f>Data!F50</f>
        <v>FirstName1</v>
      </c>
      <c r="C51" s="26" t="str">
        <f>Data!G50</f>
        <v>LastName1</v>
      </c>
      <c r="D51" s="30" t="str">
        <f>Data!D50</f>
        <v>Vehicle1</v>
      </c>
      <c r="E51" s="25" t="str">
        <f>TEXT(INT(Data!A50),"mmm dd, yyyy")</f>
        <v>May 05, 2020</v>
      </c>
      <c r="F51" s="31">
        <f>Data!A50</f>
        <v>43956.600694444445</v>
      </c>
      <c r="G51" s="30" t="str">
        <f>Data!B50</f>
        <v>D</v>
      </c>
      <c r="H51" s="71" t="str">
        <f t="shared" si="1"/>
        <v>NOT</v>
      </c>
      <c r="I51" s="53">
        <f>Data!C50</f>
        <v>4.3375150462962961E-2</v>
      </c>
      <c r="J51" s="42">
        <f>Data!J50</f>
        <v>21.794864654541001</v>
      </c>
      <c r="K51" s="16" t="b">
        <f t="shared" si="2"/>
        <v>0</v>
      </c>
      <c r="L51" s="16" t="b">
        <f t="shared" si="3"/>
        <v>0</v>
      </c>
      <c r="M51" s="16">
        <f t="shared" si="4"/>
        <v>0</v>
      </c>
      <c r="N51" s="16">
        <f t="shared" si="5"/>
        <v>0</v>
      </c>
      <c r="O51" s="16" t="b">
        <f t="shared" si="6"/>
        <v>0</v>
      </c>
      <c r="P51" s="16" t="b">
        <f>IF(N51&gt;Summary!$B$9,TRUE,FALSE)</f>
        <v>0</v>
      </c>
      <c r="Q51" s="35">
        <f t="shared" si="7"/>
        <v>0</v>
      </c>
      <c r="R51" s="47" t="str">
        <f>IF(Q51=1, 'Excessive YM Events'!$J$22, "")</f>
        <v/>
      </c>
      <c r="S51" s="31">
        <f>IF(Data!L50=0,"",Data!L50)</f>
        <v>43956.861389004633</v>
      </c>
    </row>
    <row r="52" spans="1:19" ht="16.5" x14ac:dyDescent="0.3">
      <c r="A52" s="26" t="str">
        <f>Data!H51</f>
        <v>Driver1</v>
      </c>
      <c r="B52" s="26" t="str">
        <f>Data!F51</f>
        <v>FirstName1</v>
      </c>
      <c r="C52" s="26" t="str">
        <f>Data!G51</f>
        <v>LastName1</v>
      </c>
      <c r="D52" s="30" t="str">
        <f>Data!D51</f>
        <v>Vehicle1</v>
      </c>
      <c r="E52" s="25" t="str">
        <f>TEXT(INT(Data!A51),"mmm dd, yyyy")</f>
        <v>May 05, 2020</v>
      </c>
      <c r="F52" s="31">
        <f>Data!A51</f>
        <v>43956.642361111109</v>
      </c>
      <c r="G52" s="30" t="str">
        <f>Data!B51</f>
        <v>INT_D</v>
      </c>
      <c r="H52" s="71" t="str">
        <f t="shared" si="1"/>
        <v>NOT</v>
      </c>
      <c r="I52" s="53">
        <f>Data!C51</f>
        <v>0</v>
      </c>
      <c r="J52" s="42">
        <f>Data!J51</f>
        <v>5.0907964706420898</v>
      </c>
      <c r="K52" s="16" t="b">
        <f t="shared" si="2"/>
        <v>0</v>
      </c>
      <c r="L52" s="16" t="b">
        <f t="shared" si="3"/>
        <v>0</v>
      </c>
      <c r="M52" s="16">
        <f t="shared" si="4"/>
        <v>0</v>
      </c>
      <c r="N52" s="16">
        <f t="shared" si="5"/>
        <v>0</v>
      </c>
      <c r="O52" s="16" t="b">
        <f t="shared" si="6"/>
        <v>0</v>
      </c>
      <c r="P52" s="16" t="b">
        <f>IF(N52&gt;Summary!$B$9,TRUE,FALSE)</f>
        <v>0</v>
      </c>
      <c r="Q52" s="35">
        <f t="shared" si="7"/>
        <v>0</v>
      </c>
      <c r="R52" s="47" t="str">
        <f>IF(Q52=1, 'Excessive YM Events'!$J$22, "")</f>
        <v/>
      </c>
      <c r="S52" s="31" t="str">
        <f>IF(Data!L51=0,"",Data!L51)</f>
        <v/>
      </c>
    </row>
    <row r="53" spans="1:19" ht="16.5" x14ac:dyDescent="0.3">
      <c r="A53" s="26" t="str">
        <f>Data!H52</f>
        <v>Driver1</v>
      </c>
      <c r="B53" s="26" t="str">
        <f>Data!F52</f>
        <v>FirstName1</v>
      </c>
      <c r="C53" s="26" t="str">
        <f>Data!G52</f>
        <v>LastName1</v>
      </c>
      <c r="D53" s="30" t="str">
        <f>Data!D52</f>
        <v>Vehicle1</v>
      </c>
      <c r="E53" s="25" t="str">
        <f>TEXT(INT(Data!A52),"mmm dd, yyyy")</f>
        <v>May 05, 2020</v>
      </c>
      <c r="F53" s="31">
        <f>Data!A52</f>
        <v>43956.644069594906</v>
      </c>
      <c r="G53" s="30" t="str">
        <f>Data!B52</f>
        <v>ON</v>
      </c>
      <c r="H53" s="71" t="str">
        <f t="shared" si="1"/>
        <v>NOT</v>
      </c>
      <c r="I53" s="53">
        <f>Data!C52</f>
        <v>1.3294988425925925E-2</v>
      </c>
      <c r="J53" s="42">
        <f>Data!J52</f>
        <v>0</v>
      </c>
      <c r="K53" s="16" t="b">
        <f t="shared" si="2"/>
        <v>0</v>
      </c>
      <c r="L53" s="16" t="b">
        <f t="shared" si="3"/>
        <v>0</v>
      </c>
      <c r="M53" s="16">
        <f t="shared" si="4"/>
        <v>0</v>
      </c>
      <c r="N53" s="16">
        <f t="shared" si="5"/>
        <v>0</v>
      </c>
      <c r="O53" s="16" t="b">
        <f t="shared" si="6"/>
        <v>0</v>
      </c>
      <c r="P53" s="16" t="b">
        <f>IF(N53&gt;Summary!$B$9,TRUE,FALSE)</f>
        <v>0</v>
      </c>
      <c r="Q53" s="35">
        <f t="shared" si="7"/>
        <v>0</v>
      </c>
      <c r="R53" s="47" t="str">
        <f>IF(Q53=1, 'Excessive YM Events'!$J$22, "")</f>
        <v/>
      </c>
      <c r="S53" s="31">
        <f>IF(Data!L52=0,"",Data!L52)</f>
        <v>43956.861389039354</v>
      </c>
    </row>
    <row r="54" spans="1:19" ht="16.5" x14ac:dyDescent="0.3">
      <c r="A54" s="26" t="str">
        <f>Data!H53</f>
        <v>Driver1</v>
      </c>
      <c r="B54" s="26" t="str">
        <f>Data!F53</f>
        <v>FirstName1</v>
      </c>
      <c r="C54" s="26" t="str">
        <f>Data!G53</f>
        <v>LastName1</v>
      </c>
      <c r="D54" s="30" t="str">
        <f>Data!D53</f>
        <v>Vehicle1</v>
      </c>
      <c r="E54" s="25" t="str">
        <f>TEXT(INT(Data!A53),"mmm dd, yyyy")</f>
        <v>May 05, 2020</v>
      </c>
      <c r="F54" s="31">
        <f>Data!A53</f>
        <v>43956.657364583334</v>
      </c>
      <c r="G54" s="30" t="str">
        <f>Data!B53</f>
        <v>D</v>
      </c>
      <c r="H54" s="71" t="str">
        <f t="shared" si="1"/>
        <v>NOT</v>
      </c>
      <c r="I54" s="53">
        <f>Data!C53</f>
        <v>6.02974537037037E-2</v>
      </c>
      <c r="J54" s="42">
        <f>Data!J53</f>
        <v>19.617561340331999</v>
      </c>
      <c r="K54" s="16" t="b">
        <f t="shared" si="2"/>
        <v>0</v>
      </c>
      <c r="L54" s="16" t="b">
        <f t="shared" si="3"/>
        <v>0</v>
      </c>
      <c r="M54" s="16">
        <f t="shared" si="4"/>
        <v>0</v>
      </c>
      <c r="N54" s="16">
        <f t="shared" si="5"/>
        <v>0</v>
      </c>
      <c r="O54" s="16" t="b">
        <f t="shared" si="6"/>
        <v>0</v>
      </c>
      <c r="P54" s="16" t="b">
        <f>IF(N54&gt;Summary!$B$9,TRUE,FALSE)</f>
        <v>0</v>
      </c>
      <c r="Q54" s="35">
        <f t="shared" si="7"/>
        <v>0</v>
      </c>
      <c r="R54" s="47" t="str">
        <f>IF(Q54=1, 'Excessive YM Events'!$J$22, "")</f>
        <v/>
      </c>
      <c r="S54" s="31">
        <f>IF(Data!L53=0,"",Data!L53)</f>
        <v>43956.861389039354</v>
      </c>
    </row>
    <row r="55" spans="1:19" ht="16.5" x14ac:dyDescent="0.3">
      <c r="A55" s="26" t="str">
        <f>Data!H54</f>
        <v>Driver1</v>
      </c>
      <c r="B55" s="26" t="str">
        <f>Data!F54</f>
        <v>FirstName1</v>
      </c>
      <c r="C55" s="26" t="str">
        <f>Data!G54</f>
        <v>LastName1</v>
      </c>
      <c r="D55" s="30" t="str">
        <f>Data!D54</f>
        <v>Vehicle1</v>
      </c>
      <c r="E55" s="25" t="str">
        <f>TEXT(INT(Data!A54),"mmm dd, yyyy")</f>
        <v>May 05, 2020</v>
      </c>
      <c r="F55" s="31">
        <f>Data!A54</f>
        <v>43956.717662037037</v>
      </c>
      <c r="G55" s="30" t="str">
        <f>Data!B54</f>
        <v>ON</v>
      </c>
      <c r="H55" s="71" t="str">
        <f t="shared" si="1"/>
        <v>NOT</v>
      </c>
      <c r="I55" s="53">
        <f>Data!C54</f>
        <v>0.14302083333333335</v>
      </c>
      <c r="J55" s="42">
        <f>Data!J54</f>
        <v>1.0010090656578499E-2</v>
      </c>
      <c r="K55" s="16" t="b">
        <f t="shared" si="2"/>
        <v>0</v>
      </c>
      <c r="L55" s="16" t="b">
        <f t="shared" si="3"/>
        <v>0</v>
      </c>
      <c r="M55" s="16">
        <f t="shared" si="4"/>
        <v>0</v>
      </c>
      <c r="N55" s="16">
        <f t="shared" si="5"/>
        <v>0</v>
      </c>
      <c r="O55" s="16" t="b">
        <f t="shared" si="6"/>
        <v>0</v>
      </c>
      <c r="P55" s="16" t="b">
        <f>IF(N55&gt;Summary!$B$9,TRUE,FALSE)</f>
        <v>0</v>
      </c>
      <c r="Q55" s="35">
        <f t="shared" si="7"/>
        <v>0</v>
      </c>
      <c r="R55" s="47" t="str">
        <f>IF(Q55=1, 'Excessive YM Events'!$J$22, "")</f>
        <v/>
      </c>
      <c r="S55" s="31">
        <f>IF(Data!L54=0,"",Data!L54)</f>
        <v>43956.86138908565</v>
      </c>
    </row>
    <row r="56" spans="1:19" ht="16.5" x14ac:dyDescent="0.3">
      <c r="A56" s="26" t="str">
        <f>Data!H55</f>
        <v>Driver1</v>
      </c>
      <c r="B56" s="26" t="str">
        <f>Data!F55</f>
        <v>FirstName1</v>
      </c>
      <c r="C56" s="26" t="str">
        <f>Data!G55</f>
        <v>LastName1</v>
      </c>
      <c r="D56" s="30" t="str">
        <f>Data!D55</f>
        <v>Vehicle1</v>
      </c>
      <c r="E56" s="25" t="str">
        <f>TEXT(INT(Data!A55),"mmm dd, yyyy")</f>
        <v>May 05, 2020</v>
      </c>
      <c r="F56" s="31">
        <f>Data!A55</f>
        <v>43956.759328703702</v>
      </c>
      <c r="G56" s="30" t="str">
        <f>Data!B55</f>
        <v>D</v>
      </c>
      <c r="H56" s="71" t="str">
        <f t="shared" si="1"/>
        <v>NOT</v>
      </c>
      <c r="I56" s="53">
        <f>Data!C55</f>
        <v>0</v>
      </c>
      <c r="J56" s="42">
        <f>Data!J55</f>
        <v>1.25084888935089</v>
      </c>
      <c r="K56" s="16" t="b">
        <f t="shared" si="2"/>
        <v>0</v>
      </c>
      <c r="L56" s="16" t="b">
        <f t="shared" si="3"/>
        <v>0</v>
      </c>
      <c r="M56" s="16">
        <f t="shared" si="4"/>
        <v>0</v>
      </c>
      <c r="N56" s="16">
        <f t="shared" si="5"/>
        <v>0</v>
      </c>
      <c r="O56" s="16" t="b">
        <f t="shared" si="6"/>
        <v>0</v>
      </c>
      <c r="P56" s="16" t="b">
        <f>IF(N56&gt;Summary!$B$9,TRUE,FALSE)</f>
        <v>0</v>
      </c>
      <c r="Q56" s="35">
        <f t="shared" si="7"/>
        <v>0</v>
      </c>
      <c r="R56" s="47" t="str">
        <f>IF(Q56=1, 'Excessive YM Events'!$J$22, "")</f>
        <v/>
      </c>
      <c r="S56" s="31" t="str">
        <f>IF(Data!L55=0,"",Data!L55)</f>
        <v/>
      </c>
    </row>
    <row r="57" spans="1:19" ht="16.5" x14ac:dyDescent="0.3">
      <c r="A57" s="26" t="str">
        <f>Data!H56</f>
        <v>Driver1</v>
      </c>
      <c r="B57" s="26" t="str">
        <f>Data!F56</f>
        <v>FirstName1</v>
      </c>
      <c r="C57" s="26" t="str">
        <f>Data!G56</f>
        <v>LastName1</v>
      </c>
      <c r="D57" s="30" t="str">
        <f>Data!D56</f>
        <v>Vehicle1</v>
      </c>
      <c r="E57" s="25" t="str">
        <f>TEXT(INT(Data!A56),"mmm dd, yyyy")</f>
        <v>May 05, 2020</v>
      </c>
      <c r="F57" s="31">
        <f>Data!A56</f>
        <v>43956.800995370373</v>
      </c>
      <c r="G57" s="30" t="str">
        <f>Data!B56</f>
        <v>ON</v>
      </c>
      <c r="H57" s="71" t="str">
        <f t="shared" si="1"/>
        <v>NOT</v>
      </c>
      <c r="I57" s="53">
        <f>Data!C56</f>
        <v>0</v>
      </c>
      <c r="J57" s="42">
        <f>Data!J56</f>
        <v>2.2205328568816199E-2</v>
      </c>
      <c r="K57" s="16" t="b">
        <f t="shared" si="2"/>
        <v>0</v>
      </c>
      <c r="L57" s="16" t="b">
        <f t="shared" si="3"/>
        <v>0</v>
      </c>
      <c r="M57" s="16">
        <f t="shared" si="4"/>
        <v>0</v>
      </c>
      <c r="N57" s="16">
        <f t="shared" si="5"/>
        <v>0</v>
      </c>
      <c r="O57" s="16" t="b">
        <f t="shared" si="6"/>
        <v>0</v>
      </c>
      <c r="P57" s="16" t="b">
        <f>IF(N57&gt;Summary!$B$9,TRUE,FALSE)</f>
        <v>0</v>
      </c>
      <c r="Q57" s="35">
        <f t="shared" si="7"/>
        <v>0</v>
      </c>
      <c r="R57" s="47" t="str">
        <f>IF(Q57=1, 'Excessive YM Events'!$J$22, "")</f>
        <v/>
      </c>
      <c r="S57" s="31" t="str">
        <f>IF(Data!L56=0,"",Data!L56)</f>
        <v/>
      </c>
    </row>
    <row r="58" spans="1:19" ht="16.5" x14ac:dyDescent="0.3">
      <c r="A58" s="26" t="str">
        <f>Data!H57</f>
        <v>Driver1</v>
      </c>
      <c r="B58" s="26" t="str">
        <f>Data!F57</f>
        <v>FirstName1</v>
      </c>
      <c r="C58" s="26" t="str">
        <f>Data!G57</f>
        <v>LastName1</v>
      </c>
      <c r="D58" s="30" t="str">
        <f>Data!D57</f>
        <v>Vehicle1</v>
      </c>
      <c r="E58" s="25" t="str">
        <f>TEXT(INT(Data!A57),"mmm dd, yyyy")</f>
        <v>May 05, 2020</v>
      </c>
      <c r="F58" s="31">
        <f>Data!A57</f>
        <v>43956.842662037037</v>
      </c>
      <c r="G58" s="30" t="str">
        <f>Data!B57</f>
        <v>D</v>
      </c>
      <c r="H58" s="71" t="str">
        <f t="shared" si="1"/>
        <v>NOT</v>
      </c>
      <c r="I58" s="53">
        <f>Data!C57</f>
        <v>0</v>
      </c>
      <c r="J58" s="42">
        <f>Data!J57</f>
        <v>1.2100067138671899</v>
      </c>
      <c r="K58" s="16" t="b">
        <f t="shared" si="2"/>
        <v>0</v>
      </c>
      <c r="L58" s="16" t="b">
        <f t="shared" si="3"/>
        <v>0</v>
      </c>
      <c r="M58" s="16">
        <f t="shared" si="4"/>
        <v>0</v>
      </c>
      <c r="N58" s="16">
        <f t="shared" si="5"/>
        <v>0</v>
      </c>
      <c r="O58" s="16" t="b">
        <f t="shared" si="6"/>
        <v>0</v>
      </c>
      <c r="P58" s="16" t="b">
        <f>IF(N58&gt;Summary!$B$9,TRUE,FALSE)</f>
        <v>0</v>
      </c>
      <c r="Q58" s="35">
        <f t="shared" si="7"/>
        <v>0</v>
      </c>
      <c r="R58" s="47" t="str">
        <f>IF(Q58=1, 'Excessive YM Events'!$J$22, "")</f>
        <v/>
      </c>
      <c r="S58" s="31" t="str">
        <f>IF(Data!L57=0,"",Data!L57)</f>
        <v/>
      </c>
    </row>
    <row r="59" spans="1:19" ht="16.5" x14ac:dyDescent="0.3">
      <c r="A59" s="26" t="str">
        <f>Data!H58</f>
        <v>Driver1</v>
      </c>
      <c r="B59" s="26" t="str">
        <f>Data!F58</f>
        <v>FirstName1</v>
      </c>
      <c r="C59" s="26" t="str">
        <f>Data!G58</f>
        <v>LastName1</v>
      </c>
      <c r="D59" s="30" t="str">
        <f>Data!D58</f>
        <v>Vehicle1</v>
      </c>
      <c r="E59" s="25" t="str">
        <f>TEXT(INT(Data!A58),"mmm dd, yyyy")</f>
        <v>May 05, 2020</v>
      </c>
      <c r="F59" s="31">
        <f>Data!A58</f>
        <v>43956.860682870371</v>
      </c>
      <c r="G59" s="30" t="str">
        <f>Data!B58</f>
        <v>ON</v>
      </c>
      <c r="H59" s="71" t="str">
        <f t="shared" si="1"/>
        <v>NOT</v>
      </c>
      <c r="I59" s="53">
        <f>Data!C58</f>
        <v>1.3475694444444445E-4</v>
      </c>
      <c r="J59" s="42">
        <f>Data!J58</f>
        <v>0</v>
      </c>
      <c r="K59" s="16" t="b">
        <f t="shared" si="2"/>
        <v>0</v>
      </c>
      <c r="L59" s="16" t="b">
        <f t="shared" si="3"/>
        <v>0</v>
      </c>
      <c r="M59" s="16">
        <f t="shared" si="4"/>
        <v>0</v>
      </c>
      <c r="N59" s="16">
        <f t="shared" si="5"/>
        <v>0</v>
      </c>
      <c r="O59" s="16" t="b">
        <f t="shared" si="6"/>
        <v>0</v>
      </c>
      <c r="P59" s="16" t="b">
        <f>IF(N59&gt;Summary!$B$9,TRUE,FALSE)</f>
        <v>0</v>
      </c>
      <c r="Q59" s="35">
        <f t="shared" si="7"/>
        <v>0</v>
      </c>
      <c r="R59" s="47" t="str">
        <f>IF(Q59=1, 'Excessive YM Events'!$J$22, "")</f>
        <v/>
      </c>
      <c r="S59" s="31" t="str">
        <f>IF(Data!L58=0,"",Data!L58)</f>
        <v/>
      </c>
    </row>
    <row r="60" spans="1:19" ht="16.5" x14ac:dyDescent="0.3">
      <c r="A60" s="26" t="str">
        <f>Data!H59</f>
        <v>Driver1</v>
      </c>
      <c r="B60" s="26" t="str">
        <f>Data!F59</f>
        <v>FirstName1</v>
      </c>
      <c r="C60" s="26" t="str">
        <f>Data!G59</f>
        <v>LastName1</v>
      </c>
      <c r="D60" s="30" t="str">
        <f>Data!D59</f>
        <v>Vehicle1</v>
      </c>
      <c r="E60" s="25" t="str">
        <f>TEXT(INT(Data!A59),"mmm dd, yyyy")</f>
        <v>May 05, 2020</v>
      </c>
      <c r="F60" s="31">
        <f>Data!A59</f>
        <v>43956.860817627312</v>
      </c>
      <c r="G60" s="30" t="str">
        <f>Data!B59</f>
        <v>D</v>
      </c>
      <c r="H60" s="71" t="str">
        <f t="shared" si="1"/>
        <v>NOT</v>
      </c>
      <c r="I60" s="53">
        <f>Data!C59</f>
        <v>0.42946015046296299</v>
      </c>
      <c r="J60" s="42">
        <f>Data!J59</f>
        <v>20.078250885009801</v>
      </c>
      <c r="K60" s="16" t="b">
        <f t="shared" si="2"/>
        <v>0</v>
      </c>
      <c r="L60" s="16" t="b">
        <f t="shared" si="3"/>
        <v>0</v>
      </c>
      <c r="M60" s="16">
        <f t="shared" si="4"/>
        <v>0</v>
      </c>
      <c r="N60" s="16">
        <f t="shared" si="5"/>
        <v>0</v>
      </c>
      <c r="O60" s="16" t="b">
        <f t="shared" si="6"/>
        <v>0</v>
      </c>
      <c r="P60" s="16" t="b">
        <f>IF(N60&gt;Summary!$B$9,TRUE,FALSE)</f>
        <v>0</v>
      </c>
      <c r="Q60" s="35">
        <f t="shared" si="7"/>
        <v>0</v>
      </c>
      <c r="R60" s="47" t="str">
        <f>IF(Q60=1, 'Excessive YM Events'!$J$22, "")</f>
        <v/>
      </c>
      <c r="S60" s="31">
        <f>IF(Data!L59=0,"",Data!L59)</f>
        <v>43956.86138908565</v>
      </c>
    </row>
    <row r="61" spans="1:19" ht="16.5" x14ac:dyDescent="0.3">
      <c r="A61" s="26" t="str">
        <f>Data!H60</f>
        <v>Driver1</v>
      </c>
      <c r="B61" s="26" t="str">
        <f>Data!F60</f>
        <v>FirstName1</v>
      </c>
      <c r="C61" s="26" t="str">
        <f>Data!G60</f>
        <v>LastName1</v>
      </c>
      <c r="D61" s="30" t="str">
        <f>Data!D60</f>
        <v>Vehicle1</v>
      </c>
      <c r="E61" s="25" t="str">
        <f>TEXT(INT(Data!A60),"mmm dd, yyyy")</f>
        <v>May 05, 2020</v>
      </c>
      <c r="F61" s="31">
        <f>Data!A60</f>
        <v>43956.860817627312</v>
      </c>
      <c r="G61" s="30" t="str">
        <f>Data!B60</f>
        <v>ON</v>
      </c>
      <c r="H61" s="71" t="str">
        <f t="shared" si="1"/>
        <v>NOT</v>
      </c>
      <c r="I61" s="53">
        <f>Data!C60</f>
        <v>0</v>
      </c>
      <c r="J61" s="42">
        <f>Data!J60</f>
        <v>0</v>
      </c>
      <c r="K61" s="16" t="b">
        <f t="shared" si="2"/>
        <v>0</v>
      </c>
      <c r="L61" s="16" t="b">
        <f t="shared" si="3"/>
        <v>0</v>
      </c>
      <c r="M61" s="16">
        <f t="shared" si="4"/>
        <v>0</v>
      </c>
      <c r="N61" s="16">
        <f t="shared" si="5"/>
        <v>0</v>
      </c>
      <c r="O61" s="16" t="b">
        <f t="shared" si="6"/>
        <v>0</v>
      </c>
      <c r="P61" s="16" t="b">
        <f>IF(N61&gt;Summary!$B$9,TRUE,FALSE)</f>
        <v>0</v>
      </c>
      <c r="Q61" s="35">
        <f t="shared" si="7"/>
        <v>0</v>
      </c>
      <c r="R61" s="47" t="str">
        <f>IF(Q61=1, 'Excessive YM Events'!$J$22, "")</f>
        <v/>
      </c>
      <c r="S61" s="31">
        <f>IF(Data!L60=0,"",Data!L60)</f>
        <v>43956.86138908565</v>
      </c>
    </row>
    <row r="62" spans="1:19" ht="16.5" x14ac:dyDescent="0.3">
      <c r="A62" s="26" t="str">
        <f>Data!H61</f>
        <v>Driver2</v>
      </c>
      <c r="B62" s="26" t="str">
        <f>Data!F61</f>
        <v>FirstName2</v>
      </c>
      <c r="C62" s="26" t="str">
        <f>Data!G61</f>
        <v>LastName2</v>
      </c>
      <c r="D62" s="30" t="str">
        <f>Data!D61</f>
        <v>Vehicle2</v>
      </c>
      <c r="E62" s="25" t="str">
        <f>TEXT(INT(Data!A61),"mmm dd, yyyy")</f>
        <v>May 06, 2020</v>
      </c>
      <c r="F62" s="31">
        <f>Data!A61</f>
        <v>43957.290277777778</v>
      </c>
      <c r="G62" s="30" t="str">
        <f>Data!B61</f>
        <v>D</v>
      </c>
      <c r="H62" s="71" t="str">
        <f t="shared" si="1"/>
        <v>NOT</v>
      </c>
      <c r="I62" s="53">
        <f>Data!C61</f>
        <v>1.0658946759259259E-2</v>
      </c>
      <c r="J62" s="42">
        <f>Data!J61</f>
        <v>18.0325031280518</v>
      </c>
      <c r="K62" s="16" t="b">
        <f t="shared" si="2"/>
        <v>1</v>
      </c>
      <c r="L62" s="16" t="b">
        <f t="shared" si="3"/>
        <v>1</v>
      </c>
      <c r="M62" s="16">
        <f t="shared" si="4"/>
        <v>0</v>
      </c>
      <c r="N62" s="16">
        <f t="shared" si="5"/>
        <v>0</v>
      </c>
      <c r="O62" s="16" t="b">
        <f t="shared" si="6"/>
        <v>0</v>
      </c>
      <c r="P62" s="16" t="b">
        <f>IF(N62&gt;Summary!$B$9,TRUE,FALSE)</f>
        <v>0</v>
      </c>
      <c r="Q62" s="35">
        <f t="shared" si="7"/>
        <v>0</v>
      </c>
      <c r="R62" s="47" t="str">
        <f>IF(Q62=1, 'Excessive YM Events'!$J$22, "")</f>
        <v/>
      </c>
      <c r="S62" s="31">
        <f>IF(Data!L61=0,"",Data!L61)</f>
        <v>43958.42933900463</v>
      </c>
    </row>
    <row r="63" spans="1:19" ht="16.5" x14ac:dyDescent="0.3">
      <c r="A63" s="26" t="str">
        <f>Data!H62</f>
        <v>Driver2</v>
      </c>
      <c r="B63" s="26" t="str">
        <f>Data!F62</f>
        <v>FirstName2</v>
      </c>
      <c r="C63" s="26" t="str">
        <f>Data!G62</f>
        <v>LastName2</v>
      </c>
      <c r="D63" s="30" t="str">
        <f>Data!D62</f>
        <v>Vehicle2</v>
      </c>
      <c r="E63" s="25" t="str">
        <f>TEXT(INT(Data!A62),"mmm dd, yyyy")</f>
        <v>May 06, 2020</v>
      </c>
      <c r="F63" s="31">
        <f>Data!A62</f>
        <v>43957.300936724539</v>
      </c>
      <c r="G63" s="30" t="str">
        <f>Data!B62</f>
        <v>ON</v>
      </c>
      <c r="H63" s="71" t="str">
        <f t="shared" si="1"/>
        <v>NOT</v>
      </c>
      <c r="I63" s="53">
        <f>Data!C62</f>
        <v>4.6304050925925922E-3</v>
      </c>
      <c r="J63" s="42">
        <f>Data!J62</f>
        <v>0</v>
      </c>
      <c r="K63" s="16" t="b">
        <f t="shared" si="2"/>
        <v>0</v>
      </c>
      <c r="L63" s="16" t="b">
        <f t="shared" si="3"/>
        <v>0</v>
      </c>
      <c r="M63" s="16">
        <f t="shared" si="4"/>
        <v>0</v>
      </c>
      <c r="N63" s="16">
        <f t="shared" si="5"/>
        <v>0</v>
      </c>
      <c r="O63" s="16" t="b">
        <f t="shared" si="6"/>
        <v>0</v>
      </c>
      <c r="P63" s="16" t="b">
        <f>IF(N63&gt;Summary!$B$9,TRUE,FALSE)</f>
        <v>0</v>
      </c>
      <c r="Q63" s="35">
        <f t="shared" si="7"/>
        <v>0</v>
      </c>
      <c r="R63" s="47" t="str">
        <f>IF(Q63=1, 'Excessive YM Events'!$J$22, "")</f>
        <v/>
      </c>
      <c r="S63" s="31">
        <f>IF(Data!L62=0,"",Data!L62)</f>
        <v>43958.42933903935</v>
      </c>
    </row>
    <row r="64" spans="1:19" ht="16.5" x14ac:dyDescent="0.3">
      <c r="A64" s="26" t="str">
        <f>Data!H63</f>
        <v>Driver2</v>
      </c>
      <c r="B64" s="26" t="str">
        <f>Data!F63</f>
        <v>FirstName2</v>
      </c>
      <c r="C64" s="26" t="str">
        <f>Data!G63</f>
        <v>LastName2</v>
      </c>
      <c r="D64" s="30" t="str">
        <f>Data!D63</f>
        <v>Vehicle2</v>
      </c>
      <c r="E64" s="25" t="str">
        <f>TEXT(INT(Data!A63),"mmm dd, yyyy")</f>
        <v>May 06, 2020</v>
      </c>
      <c r="F64" s="31">
        <f>Data!A63</f>
        <v>43957.305567129632</v>
      </c>
      <c r="G64" s="30" t="str">
        <f>Data!B63</f>
        <v>ON</v>
      </c>
      <c r="H64" s="71" t="str">
        <f t="shared" si="1"/>
        <v>NOT</v>
      </c>
      <c r="I64" s="53">
        <f>Data!C63</f>
        <v>4.0775462962962965E-2</v>
      </c>
      <c r="J64" s="42">
        <f>Data!J63</f>
        <v>1.1334412731230301E-2</v>
      </c>
      <c r="K64" s="16" t="b">
        <f t="shared" si="2"/>
        <v>0</v>
      </c>
      <c r="L64" s="16" t="b">
        <f t="shared" si="3"/>
        <v>0</v>
      </c>
      <c r="M64" s="16">
        <f t="shared" si="4"/>
        <v>0</v>
      </c>
      <c r="N64" s="16">
        <f t="shared" si="5"/>
        <v>0</v>
      </c>
      <c r="O64" s="16" t="b">
        <f t="shared" si="6"/>
        <v>0</v>
      </c>
      <c r="P64" s="16" t="b">
        <f>IF(N64&gt;Summary!$B$9,TRUE,FALSE)</f>
        <v>0</v>
      </c>
      <c r="Q64" s="35">
        <f t="shared" si="7"/>
        <v>0</v>
      </c>
      <c r="R64" s="47" t="str">
        <f>IF(Q64=1, 'Excessive YM Events'!$J$22, "")</f>
        <v/>
      </c>
      <c r="S64" s="31">
        <f>IF(Data!L63=0,"",Data!L63)</f>
        <v>43958.429339085647</v>
      </c>
    </row>
    <row r="65" spans="1:19" ht="16.5" x14ac:dyDescent="0.3">
      <c r="A65" s="26" t="str">
        <f>Data!H64</f>
        <v>Driver2</v>
      </c>
      <c r="B65" s="26" t="str">
        <f>Data!F64</f>
        <v>FirstName2</v>
      </c>
      <c r="C65" s="26" t="str">
        <f>Data!G64</f>
        <v>LastName2</v>
      </c>
      <c r="D65" s="30" t="str">
        <f>Data!D64</f>
        <v>Vehicle2</v>
      </c>
      <c r="E65" s="25" t="str">
        <f>TEXT(INT(Data!A64),"mmm dd, yyyy")</f>
        <v>May 06, 2020</v>
      </c>
      <c r="F65" s="31">
        <f>Data!A64</f>
        <v>43957.346342592595</v>
      </c>
      <c r="G65" s="30" t="str">
        <f>Data!B64</f>
        <v>D</v>
      </c>
      <c r="H65" s="71" t="str">
        <f t="shared" si="1"/>
        <v>NOT</v>
      </c>
      <c r="I65" s="53">
        <f>Data!C64</f>
        <v>1.1712962962962963E-4</v>
      </c>
      <c r="J65" s="42">
        <f>Data!J64</f>
        <v>1.10713374614716</v>
      </c>
      <c r="K65" s="16" t="b">
        <f t="shared" si="2"/>
        <v>0</v>
      </c>
      <c r="L65" s="16" t="b">
        <f t="shared" si="3"/>
        <v>0</v>
      </c>
      <c r="M65" s="16">
        <f t="shared" si="4"/>
        <v>0</v>
      </c>
      <c r="N65" s="16">
        <f t="shared" si="5"/>
        <v>0</v>
      </c>
      <c r="O65" s="16" t="b">
        <f t="shared" si="6"/>
        <v>0</v>
      </c>
      <c r="P65" s="16" t="b">
        <f>IF(N65&gt;Summary!$B$9,TRUE,FALSE)</f>
        <v>0</v>
      </c>
      <c r="Q65" s="35">
        <f t="shared" si="7"/>
        <v>0</v>
      </c>
      <c r="R65" s="47" t="str">
        <f>IF(Q65=1, 'Excessive YM Events'!$J$22, "")</f>
        <v/>
      </c>
      <c r="S65" s="31">
        <f>IF(Data!L64=0,"",Data!L64)</f>
        <v>43958.429339085647</v>
      </c>
    </row>
    <row r="66" spans="1:19" ht="16.5" x14ac:dyDescent="0.3">
      <c r="A66" s="26" t="str">
        <f>Data!H65</f>
        <v>Driver2</v>
      </c>
      <c r="B66" s="26" t="str">
        <f>Data!F65</f>
        <v>FirstName2</v>
      </c>
      <c r="C66" s="26" t="str">
        <f>Data!G65</f>
        <v>LastName2</v>
      </c>
      <c r="D66" s="30" t="str">
        <f>Data!D65</f>
        <v>Vehicle2</v>
      </c>
      <c r="E66" s="25" t="str">
        <f>TEXT(INT(Data!A65),"mmm dd, yyyy")</f>
        <v>May 06, 2020</v>
      </c>
      <c r="F66" s="31">
        <f>Data!A65</f>
        <v>43957.346459722219</v>
      </c>
      <c r="G66" s="30" t="str">
        <f>Data!B65</f>
        <v>ON</v>
      </c>
      <c r="H66" s="71" t="str">
        <f t="shared" si="1"/>
        <v>NOT</v>
      </c>
      <c r="I66" s="53">
        <f>Data!C65</f>
        <v>1.3563425925925927E-2</v>
      </c>
      <c r="J66" s="42">
        <f>Data!J65</f>
        <v>2.1486012265086198E-2</v>
      </c>
      <c r="K66" s="16" t="b">
        <f t="shared" si="2"/>
        <v>0</v>
      </c>
      <c r="L66" s="16" t="b">
        <f t="shared" si="3"/>
        <v>0</v>
      </c>
      <c r="M66" s="16">
        <f t="shared" si="4"/>
        <v>0</v>
      </c>
      <c r="N66" s="16">
        <f t="shared" si="5"/>
        <v>0</v>
      </c>
      <c r="O66" s="16" t="b">
        <f t="shared" si="6"/>
        <v>0</v>
      </c>
      <c r="P66" s="16" t="b">
        <f>IF(N66&gt;Summary!$B$9,TRUE,FALSE)</f>
        <v>0</v>
      </c>
      <c r="Q66" s="35">
        <f t="shared" si="7"/>
        <v>0</v>
      </c>
      <c r="R66" s="47" t="str">
        <f>IF(Q66=1, 'Excessive YM Events'!$J$22, "")</f>
        <v/>
      </c>
      <c r="S66" s="31">
        <f>IF(Data!L65=0,"",Data!L65)</f>
        <v>43958.429339120368</v>
      </c>
    </row>
    <row r="67" spans="1:19" ht="16.5" x14ac:dyDescent="0.3">
      <c r="A67" s="26" t="str">
        <f>Data!H66</f>
        <v>Driver2</v>
      </c>
      <c r="B67" s="26" t="str">
        <f>Data!F66</f>
        <v>FirstName2</v>
      </c>
      <c r="C67" s="26" t="str">
        <f>Data!G66</f>
        <v>LastName2</v>
      </c>
      <c r="D67" s="30" t="str">
        <f>Data!D66</f>
        <v>Vehicle2</v>
      </c>
      <c r="E67" s="25" t="str">
        <f>TEXT(INT(Data!A66),"mmm dd, yyyy")</f>
        <v>May 06, 2020</v>
      </c>
      <c r="F67" s="31">
        <f>Data!A66</f>
        <v>43957.360023148147</v>
      </c>
      <c r="G67" s="30" t="str">
        <f>Data!B66</f>
        <v>D</v>
      </c>
      <c r="H67" s="71" t="str">
        <f t="shared" si="1"/>
        <v>NOT</v>
      </c>
      <c r="I67" s="53">
        <f>Data!C66</f>
        <v>0.10762380787037037</v>
      </c>
      <c r="J67" s="42">
        <f>Data!J66</f>
        <v>1.65621626377106</v>
      </c>
      <c r="K67" s="16" t="b">
        <f t="shared" si="2"/>
        <v>0</v>
      </c>
      <c r="L67" s="16" t="b">
        <f t="shared" si="3"/>
        <v>0</v>
      </c>
      <c r="M67" s="16">
        <f t="shared" si="4"/>
        <v>0</v>
      </c>
      <c r="N67" s="16">
        <f t="shared" si="5"/>
        <v>0</v>
      </c>
      <c r="O67" s="16" t="b">
        <f t="shared" si="6"/>
        <v>0</v>
      </c>
      <c r="P67" s="16" t="b">
        <f>IF(N67&gt;Summary!$B$9,TRUE,FALSE)</f>
        <v>0</v>
      </c>
      <c r="Q67" s="35">
        <f t="shared" si="7"/>
        <v>0</v>
      </c>
      <c r="R67" s="47" t="str">
        <f>IF(Q67=1, 'Excessive YM Events'!$J$22, "")</f>
        <v/>
      </c>
      <c r="S67" s="31">
        <f>IF(Data!L66=0,"",Data!L66)</f>
        <v>43958.429339120368</v>
      </c>
    </row>
    <row r="68" spans="1:19" ht="16.5" x14ac:dyDescent="0.3">
      <c r="A68" s="26" t="str">
        <f>Data!H67</f>
        <v>Driver2</v>
      </c>
      <c r="B68" s="26" t="str">
        <f>Data!F67</f>
        <v>FirstName2</v>
      </c>
      <c r="C68" s="26" t="str">
        <f>Data!G67</f>
        <v>LastName2</v>
      </c>
      <c r="D68" s="30" t="str">
        <f>Data!D67</f>
        <v>Vehicle2</v>
      </c>
      <c r="E68" s="25" t="str">
        <f>TEXT(INT(Data!A67),"mmm dd, yyyy")</f>
        <v>May 06, 2020</v>
      </c>
      <c r="F68" s="31">
        <f>Data!A67</f>
        <v>43957.401689814818</v>
      </c>
      <c r="G68" s="30" t="str">
        <f>Data!B67</f>
        <v>ON</v>
      </c>
      <c r="H68" s="71" t="str">
        <f t="shared" si="1"/>
        <v>NOT</v>
      </c>
      <c r="I68" s="53">
        <f>Data!C67</f>
        <v>0</v>
      </c>
      <c r="J68" s="42">
        <f>Data!J67</f>
        <v>9.0646361932158505E-3</v>
      </c>
      <c r="K68" s="16" t="b">
        <f t="shared" si="2"/>
        <v>0</v>
      </c>
      <c r="L68" s="16" t="b">
        <f t="shared" si="3"/>
        <v>0</v>
      </c>
      <c r="M68" s="16">
        <f t="shared" si="4"/>
        <v>0</v>
      </c>
      <c r="N68" s="16">
        <f t="shared" si="5"/>
        <v>0</v>
      </c>
      <c r="O68" s="16" t="b">
        <f t="shared" si="6"/>
        <v>0</v>
      </c>
      <c r="P68" s="16" t="b">
        <f>IF(N68&gt;Summary!$B$9,TRUE,FALSE)</f>
        <v>0</v>
      </c>
      <c r="Q68" s="35">
        <f t="shared" si="7"/>
        <v>0</v>
      </c>
      <c r="R68" s="47" t="str">
        <f>IF(Q68=1, 'Excessive YM Events'!$J$22, "")</f>
        <v/>
      </c>
      <c r="S68" s="31" t="str">
        <f>IF(Data!L67=0,"",Data!L67)</f>
        <v/>
      </c>
    </row>
    <row r="69" spans="1:19" ht="16.5" x14ac:dyDescent="0.3">
      <c r="A69" s="26" t="str">
        <f>Data!H68</f>
        <v>Driver2</v>
      </c>
      <c r="B69" s="26" t="str">
        <f>Data!F68</f>
        <v>FirstName2</v>
      </c>
      <c r="C69" s="26" t="str">
        <f>Data!G68</f>
        <v>LastName2</v>
      </c>
      <c r="D69" s="30" t="str">
        <f>Data!D68</f>
        <v>Vehicle2</v>
      </c>
      <c r="E69" s="25" t="str">
        <f>TEXT(INT(Data!A68),"mmm dd, yyyy")</f>
        <v>May 06, 2020</v>
      </c>
      <c r="F69" s="31">
        <f>Data!A68</f>
        <v>43957.443356481483</v>
      </c>
      <c r="G69" s="30" t="str">
        <f>Data!B68</f>
        <v>D</v>
      </c>
      <c r="H69" s="71" t="str">
        <f t="shared" si="1"/>
        <v>NOT</v>
      </c>
      <c r="I69" s="53">
        <f>Data!C68</f>
        <v>0</v>
      </c>
      <c r="J69" s="42">
        <f>Data!J68</f>
        <v>17.202919006347699</v>
      </c>
      <c r="K69" s="16" t="b">
        <f t="shared" si="2"/>
        <v>0</v>
      </c>
      <c r="L69" s="16" t="b">
        <f t="shared" si="3"/>
        <v>0</v>
      </c>
      <c r="M69" s="16">
        <f t="shared" si="4"/>
        <v>0</v>
      </c>
      <c r="N69" s="16">
        <f t="shared" si="5"/>
        <v>0</v>
      </c>
      <c r="O69" s="16" t="b">
        <f t="shared" si="6"/>
        <v>0</v>
      </c>
      <c r="P69" s="16" t="b">
        <f>IF(N69&gt;Summary!$B$9,TRUE,FALSE)</f>
        <v>0</v>
      </c>
      <c r="Q69" s="35">
        <f t="shared" si="7"/>
        <v>0</v>
      </c>
      <c r="R69" s="47" t="str">
        <f>IF(Q69=1, 'Excessive YM Events'!$J$22, "")</f>
        <v/>
      </c>
      <c r="S69" s="31" t="str">
        <f>IF(Data!L68=0,"",Data!L68)</f>
        <v/>
      </c>
    </row>
    <row r="70" spans="1:19" ht="16.5" x14ac:dyDescent="0.3">
      <c r="A70" s="26" t="str">
        <f>Data!H69</f>
        <v>Driver2</v>
      </c>
      <c r="B70" s="26" t="str">
        <f>Data!F69</f>
        <v>FirstName2</v>
      </c>
      <c r="C70" s="26" t="str">
        <f>Data!G69</f>
        <v>LastName2</v>
      </c>
      <c r="D70" s="30" t="str">
        <f>Data!D69</f>
        <v>Vehicle2</v>
      </c>
      <c r="E70" s="25" t="str">
        <f>TEXT(INT(Data!A69),"mmm dd, yyyy")</f>
        <v>May 06, 2020</v>
      </c>
      <c r="F70" s="31">
        <f>Data!A69</f>
        <v>43957.467646956022</v>
      </c>
      <c r="G70" s="30" t="str">
        <f>Data!B69</f>
        <v>ON</v>
      </c>
      <c r="H70" s="71" t="str">
        <f t="shared" si="1"/>
        <v>NOT</v>
      </c>
      <c r="I70" s="53">
        <f>Data!C69</f>
        <v>1.0959097222222223E-2</v>
      </c>
      <c r="J70" s="42">
        <f>Data!J69</f>
        <v>2.8303649276495001E-2</v>
      </c>
      <c r="K70" s="16" t="b">
        <f t="shared" si="2"/>
        <v>0</v>
      </c>
      <c r="L70" s="16" t="b">
        <f t="shared" si="3"/>
        <v>0</v>
      </c>
      <c r="M70" s="16">
        <f t="shared" si="4"/>
        <v>0</v>
      </c>
      <c r="N70" s="16">
        <f t="shared" si="5"/>
        <v>0</v>
      </c>
      <c r="O70" s="16" t="b">
        <f t="shared" si="6"/>
        <v>0</v>
      </c>
      <c r="P70" s="16" t="b">
        <f>IF(N70&gt;Summary!$B$9,TRUE,FALSE)</f>
        <v>0</v>
      </c>
      <c r="Q70" s="35">
        <f t="shared" si="7"/>
        <v>0</v>
      </c>
      <c r="R70" s="47" t="str">
        <f>IF(Q70=1, 'Excessive YM Events'!$J$22, "")</f>
        <v/>
      </c>
      <c r="S70" s="31">
        <f>IF(Data!L69=0,"",Data!L69)</f>
        <v>43958.429339155089</v>
      </c>
    </row>
    <row r="71" spans="1:19" ht="16.5" x14ac:dyDescent="0.3">
      <c r="A71" s="26" t="str">
        <f>Data!H70</f>
        <v>Driver2</v>
      </c>
      <c r="B71" s="26" t="str">
        <f>Data!F70</f>
        <v>FirstName2</v>
      </c>
      <c r="C71" s="26" t="str">
        <f>Data!G70</f>
        <v>LastName2</v>
      </c>
      <c r="D71" s="30" t="str">
        <f>Data!D70</f>
        <v>Vehicle2</v>
      </c>
      <c r="E71" s="25" t="str">
        <f>TEXT(INT(Data!A70),"mmm dd, yyyy")</f>
        <v>May 06, 2020</v>
      </c>
      <c r="F71" s="31">
        <f>Data!A70</f>
        <v>43957.478606053242</v>
      </c>
      <c r="G71" s="30" t="str">
        <f>Data!B70</f>
        <v>D</v>
      </c>
      <c r="H71" s="71" t="str">
        <f t="shared" si="1"/>
        <v>NOT</v>
      </c>
      <c r="I71" s="53">
        <f>Data!C70</f>
        <v>3.6624652777777779E-3</v>
      </c>
      <c r="J71" s="42">
        <f>Data!J70</f>
        <v>19.7934379577637</v>
      </c>
      <c r="K71" s="16" t="b">
        <f t="shared" si="2"/>
        <v>0</v>
      </c>
      <c r="L71" s="16" t="b">
        <f t="shared" si="3"/>
        <v>0</v>
      </c>
      <c r="M71" s="16">
        <f t="shared" si="4"/>
        <v>0</v>
      </c>
      <c r="N71" s="16">
        <f t="shared" si="5"/>
        <v>0</v>
      </c>
      <c r="O71" s="16" t="b">
        <f t="shared" si="6"/>
        <v>0</v>
      </c>
      <c r="P71" s="16" t="b">
        <f>IF(N71&gt;Summary!$B$9,TRUE,FALSE)</f>
        <v>0</v>
      </c>
      <c r="Q71" s="35">
        <f t="shared" si="7"/>
        <v>0</v>
      </c>
      <c r="R71" s="47" t="str">
        <f>IF(Q71=1, 'Excessive YM Events'!$J$22, "")</f>
        <v/>
      </c>
      <c r="S71" s="31">
        <f>IF(Data!L70=0,"",Data!L70)</f>
        <v>43958.429339155089</v>
      </c>
    </row>
    <row r="72" spans="1:19" ht="16.5" x14ac:dyDescent="0.3">
      <c r="A72" s="26" t="str">
        <f>Data!H71</f>
        <v>Driver2</v>
      </c>
      <c r="B72" s="26" t="str">
        <f>Data!F71</f>
        <v>FirstName2</v>
      </c>
      <c r="C72" s="26" t="str">
        <f>Data!G71</f>
        <v>LastName2</v>
      </c>
      <c r="D72" s="30" t="str">
        <f>Data!D71</f>
        <v>Vehicle2</v>
      </c>
      <c r="E72" s="25" t="str">
        <f>TEXT(INT(Data!A71),"mmm dd, yyyy")</f>
        <v>May 06, 2020</v>
      </c>
      <c r="F72" s="31">
        <f>Data!A71</f>
        <v>43957.482268518521</v>
      </c>
      <c r="G72" s="30" t="str">
        <f>Data!B71</f>
        <v>ON</v>
      </c>
      <c r="H72" s="71" t="str">
        <f t="shared" si="1"/>
        <v>NOT</v>
      </c>
      <c r="I72" s="53">
        <f>Data!C71</f>
        <v>0.1080787037037037</v>
      </c>
      <c r="J72" s="42">
        <f>Data!J71</f>
        <v>1.19367297738791E-2</v>
      </c>
      <c r="K72" s="16" t="b">
        <f t="shared" si="2"/>
        <v>0</v>
      </c>
      <c r="L72" s="16" t="b">
        <f t="shared" si="3"/>
        <v>0</v>
      </c>
      <c r="M72" s="16">
        <f t="shared" si="4"/>
        <v>0</v>
      </c>
      <c r="N72" s="16">
        <f t="shared" si="5"/>
        <v>0</v>
      </c>
      <c r="O72" s="16" t="b">
        <f t="shared" si="6"/>
        <v>0</v>
      </c>
      <c r="P72" s="16" t="b">
        <f>IF(N72&gt;Summary!$B$9,TRUE,FALSE)</f>
        <v>0</v>
      </c>
      <c r="Q72" s="35">
        <f t="shared" si="7"/>
        <v>0</v>
      </c>
      <c r="R72" s="47" t="str">
        <f>IF(Q72=1, 'Excessive YM Events'!$J$22, "")</f>
        <v/>
      </c>
      <c r="S72" s="31">
        <f>IF(Data!L71=0,"",Data!L71)</f>
        <v>43958.429339155089</v>
      </c>
    </row>
    <row r="73" spans="1:19" ht="16.5" x14ac:dyDescent="0.3">
      <c r="A73" s="26" t="str">
        <f>Data!H72</f>
        <v>Driver2</v>
      </c>
      <c r="B73" s="26" t="str">
        <f>Data!F72</f>
        <v>FirstName2</v>
      </c>
      <c r="C73" s="26" t="str">
        <f>Data!G72</f>
        <v>LastName2</v>
      </c>
      <c r="D73" s="30" t="str">
        <f>Data!D72</f>
        <v>Vehicle2</v>
      </c>
      <c r="E73" s="25" t="str">
        <f>TEXT(INT(Data!A72),"mmm dd, yyyy")</f>
        <v>May 06, 2020</v>
      </c>
      <c r="F73" s="31">
        <f>Data!A72</f>
        <v>43957.523935185185</v>
      </c>
      <c r="G73" s="30" t="str">
        <f>Data!B72</f>
        <v>D</v>
      </c>
      <c r="H73" s="71" t="str">
        <f t="shared" si="1"/>
        <v>NOT</v>
      </c>
      <c r="I73" s="53">
        <f>Data!C72</f>
        <v>0</v>
      </c>
      <c r="J73" s="42">
        <f>Data!J72</f>
        <v>4.1512503623962402</v>
      </c>
      <c r="K73" s="16" t="b">
        <f t="shared" si="2"/>
        <v>0</v>
      </c>
      <c r="L73" s="16" t="b">
        <f t="shared" si="3"/>
        <v>0</v>
      </c>
      <c r="M73" s="16">
        <f t="shared" si="4"/>
        <v>0</v>
      </c>
      <c r="N73" s="16">
        <f t="shared" si="5"/>
        <v>0</v>
      </c>
      <c r="O73" s="16" t="b">
        <f t="shared" si="6"/>
        <v>0</v>
      </c>
      <c r="P73" s="16" t="b">
        <f>IF(N73&gt;Summary!$B$9,TRUE,FALSE)</f>
        <v>0</v>
      </c>
      <c r="Q73" s="35">
        <f t="shared" si="7"/>
        <v>0</v>
      </c>
      <c r="R73" s="47" t="str">
        <f>IF(Q73=1, 'Excessive YM Events'!$J$22, "")</f>
        <v/>
      </c>
      <c r="S73" s="31" t="str">
        <f>IF(Data!L72=0,"",Data!L72)</f>
        <v/>
      </c>
    </row>
    <row r="74" spans="1:19" ht="16.5" x14ac:dyDescent="0.3">
      <c r="A74" s="26" t="str">
        <f>Data!H73</f>
        <v>Driver2</v>
      </c>
      <c r="B74" s="26" t="str">
        <f>Data!F73</f>
        <v>FirstName2</v>
      </c>
      <c r="C74" s="26" t="str">
        <f>Data!G73</f>
        <v>LastName2</v>
      </c>
      <c r="D74" s="30" t="str">
        <f>Data!D73</f>
        <v>Vehicle2</v>
      </c>
      <c r="E74" s="25" t="str">
        <f>TEXT(INT(Data!A73),"mmm dd, yyyy")</f>
        <v>May 06, 2020</v>
      </c>
      <c r="F74" s="31">
        <f>Data!A73</f>
        <v>43957.565601851849</v>
      </c>
      <c r="G74" s="30" t="str">
        <f>Data!B73</f>
        <v>ON</v>
      </c>
      <c r="H74" s="71" t="str">
        <f t="shared" si="1"/>
        <v>NOT</v>
      </c>
      <c r="I74" s="53">
        <f>Data!C73</f>
        <v>0</v>
      </c>
      <c r="J74" s="42">
        <f>Data!J73</f>
        <v>1.52523778378963E-2</v>
      </c>
      <c r="K74" s="16" t="b">
        <f t="shared" si="2"/>
        <v>0</v>
      </c>
      <c r="L74" s="16" t="b">
        <f t="shared" si="3"/>
        <v>0</v>
      </c>
      <c r="M74" s="16">
        <f t="shared" si="4"/>
        <v>0</v>
      </c>
      <c r="N74" s="16">
        <f t="shared" si="5"/>
        <v>0</v>
      </c>
      <c r="O74" s="16" t="b">
        <f t="shared" si="6"/>
        <v>0</v>
      </c>
      <c r="P74" s="16" t="b">
        <f>IF(N74&gt;Summary!$B$9,TRUE,FALSE)</f>
        <v>0</v>
      </c>
      <c r="Q74" s="35">
        <f t="shared" si="7"/>
        <v>0</v>
      </c>
      <c r="R74" s="47" t="str">
        <f>IF(Q74=1, 'Excessive YM Events'!$J$22, "")</f>
        <v/>
      </c>
      <c r="S74" s="31" t="str">
        <f>IF(Data!L73=0,"",Data!L73)</f>
        <v/>
      </c>
    </row>
    <row r="75" spans="1:19" ht="16.5" x14ac:dyDescent="0.3">
      <c r="A75" s="26" t="str">
        <f>Data!H74</f>
        <v>Driver2</v>
      </c>
      <c r="B75" s="26" t="str">
        <f>Data!F74</f>
        <v>FirstName2</v>
      </c>
      <c r="C75" s="26" t="str">
        <f>Data!G74</f>
        <v>LastName2</v>
      </c>
      <c r="D75" s="30" t="str">
        <f>Data!D74</f>
        <v>Vehicle2</v>
      </c>
      <c r="E75" s="25" t="str">
        <f>TEXT(INT(Data!A74),"mmm dd, yyyy")</f>
        <v>May 06, 2020</v>
      </c>
      <c r="F75" s="31">
        <f>Data!A74</f>
        <v>43957.59034722222</v>
      </c>
      <c r="G75" s="30" t="str">
        <f>Data!B74</f>
        <v>D</v>
      </c>
      <c r="H75" s="71" t="str">
        <f t="shared" si="1"/>
        <v>NOT</v>
      </c>
      <c r="I75" s="53">
        <f>Data!C74</f>
        <v>5.3819444444444444E-5</v>
      </c>
      <c r="J75" s="42">
        <f>Data!J74</f>
        <v>1.60031282901764</v>
      </c>
      <c r="K75" s="16" t="b">
        <f t="shared" si="2"/>
        <v>0</v>
      </c>
      <c r="L75" s="16" t="b">
        <f t="shared" si="3"/>
        <v>0</v>
      </c>
      <c r="M75" s="16">
        <f t="shared" si="4"/>
        <v>0</v>
      </c>
      <c r="N75" s="16">
        <f t="shared" si="5"/>
        <v>0</v>
      </c>
      <c r="O75" s="16" t="b">
        <f t="shared" si="6"/>
        <v>0</v>
      </c>
      <c r="P75" s="16" t="b">
        <f>IF(N75&gt;Summary!$B$9,TRUE,FALSE)</f>
        <v>0</v>
      </c>
      <c r="Q75" s="35">
        <f t="shared" si="7"/>
        <v>0</v>
      </c>
      <c r="R75" s="47" t="str">
        <f>IF(Q75=1, 'Excessive YM Events'!$J$22, "")</f>
        <v/>
      </c>
      <c r="S75" s="31">
        <f>IF(Data!L74=0,"",Data!L74)</f>
        <v>43958.429339201386</v>
      </c>
    </row>
    <row r="76" spans="1:19" ht="16.5" x14ac:dyDescent="0.3">
      <c r="A76" s="26" t="str">
        <f>Data!H75</f>
        <v>Driver2</v>
      </c>
      <c r="B76" s="26" t="str">
        <f>Data!F75</f>
        <v>FirstName2</v>
      </c>
      <c r="C76" s="26" t="str">
        <f>Data!G75</f>
        <v>LastName2</v>
      </c>
      <c r="D76" s="30" t="str">
        <f>Data!D75</f>
        <v>Vehicle2</v>
      </c>
      <c r="E76" s="25" t="str">
        <f>TEXT(INT(Data!A75),"mmm dd, yyyy")</f>
        <v>May 06, 2020</v>
      </c>
      <c r="F76" s="31">
        <f>Data!A75</f>
        <v>43957.590401041663</v>
      </c>
      <c r="G76" s="30" t="str">
        <f>Data!B75</f>
        <v>ON</v>
      </c>
      <c r="H76" s="71" t="str">
        <f t="shared" si="1"/>
        <v>NOT</v>
      </c>
      <c r="I76" s="53">
        <f>Data!C75</f>
        <v>2.2353587962962964E-2</v>
      </c>
      <c r="J76" s="42">
        <f>Data!J75</f>
        <v>2.0225260406732601E-2</v>
      </c>
      <c r="K76" s="16" t="b">
        <f t="shared" si="2"/>
        <v>0</v>
      </c>
      <c r="L76" s="16" t="b">
        <f t="shared" si="3"/>
        <v>0</v>
      </c>
      <c r="M76" s="16">
        <f t="shared" si="4"/>
        <v>0</v>
      </c>
      <c r="N76" s="16">
        <f t="shared" si="5"/>
        <v>0</v>
      </c>
      <c r="O76" s="16" t="b">
        <f t="shared" si="6"/>
        <v>0</v>
      </c>
      <c r="P76" s="16" t="b">
        <f>IF(N76&gt;Summary!$B$9,TRUE,FALSE)</f>
        <v>0</v>
      </c>
      <c r="Q76" s="35">
        <f t="shared" si="7"/>
        <v>0</v>
      </c>
      <c r="R76" s="47" t="str">
        <f>IF(Q76=1, 'Excessive YM Events'!$J$22, "")</f>
        <v/>
      </c>
      <c r="S76" s="31">
        <f>IF(Data!L75=0,"",Data!L75)</f>
        <v>43958.429339201386</v>
      </c>
    </row>
    <row r="77" spans="1:19" ht="16.5" x14ac:dyDescent="0.3">
      <c r="A77" s="26" t="str">
        <f>Data!H76</f>
        <v>Driver2</v>
      </c>
      <c r="B77" s="26" t="str">
        <f>Data!F76</f>
        <v>FirstName2</v>
      </c>
      <c r="C77" s="26" t="str">
        <f>Data!G76</f>
        <v>LastName2</v>
      </c>
      <c r="D77" s="30" t="str">
        <f>Data!D76</f>
        <v>Vehicle2</v>
      </c>
      <c r="E77" s="25" t="str">
        <f>TEXT(INT(Data!A76),"mmm dd, yyyy")</f>
        <v>May 06, 2020</v>
      </c>
      <c r="F77" s="31">
        <f>Data!A76</f>
        <v>43957.612754629627</v>
      </c>
      <c r="G77" s="30" t="str">
        <f>Data!B76</f>
        <v>D</v>
      </c>
      <c r="H77" s="71" t="str">
        <f t="shared" ref="H77:H140" si="8">IF(ISNUMBER(SEARCH("YM",G77)),"YM","NOT")</f>
        <v>NOT</v>
      </c>
      <c r="I77" s="53">
        <f>Data!C76</f>
        <v>0.11554753472222222</v>
      </c>
      <c r="J77" s="42">
        <f>Data!J76</f>
        <v>2.0924367904663099</v>
      </c>
      <c r="K77" s="16" t="b">
        <f t="shared" ref="K77:K140" si="9">IF(K76="Driver Change?",FALSE,IF((A76&lt;&gt;A77),TRUE,FALSE))</f>
        <v>0</v>
      </c>
      <c r="L77" s="16" t="b">
        <f t="shared" ref="L77:L140" si="10">IF(L76="Date Change?",FALSE,IF(AND(INT(F76)&lt;&gt;INT(F77),F77&lt;&gt;""),TRUE,FALSE))</f>
        <v>0</v>
      </c>
      <c r="M77" s="16">
        <f t="shared" ref="M77:M140" si="11">IF(ISNUMBER(SEARCH("YM",G77)),J77,0)</f>
        <v>0</v>
      </c>
      <c r="N77" s="16">
        <f t="shared" ref="N77:N140" si="12">IF(OR(K77, L77),0,IF(AND(M77&gt;0,ISNUMBER(SEARCH("YM",N76))=FALSE),J77+N76,IF(ISNUMBER(SEARCH("YM",N76))=TRUE,M77,N76)))</f>
        <v>0</v>
      </c>
      <c r="O77" s="16" t="b">
        <f t="shared" ref="O77:O140" si="13">ISNUMBER(SEARCH("YM",G77))</f>
        <v>0</v>
      </c>
      <c r="P77" s="16" t="b">
        <f>IF(N77&gt;Summary!$B$9,TRUE,FALSE)</f>
        <v>0</v>
      </c>
      <c r="Q77" s="35">
        <f t="shared" ref="Q77:Q140" si="14">IF(AND(O77, P77), 1, 0)</f>
        <v>0</v>
      </c>
      <c r="R77" s="47" t="str">
        <f>IF(Q77=1, 'Excessive YM Events'!$J$22, "")</f>
        <v/>
      </c>
      <c r="S77" s="31">
        <f>IF(Data!L76=0,"",Data!L76)</f>
        <v>43958.429339201386</v>
      </c>
    </row>
    <row r="78" spans="1:19" ht="16.5" x14ac:dyDescent="0.3">
      <c r="A78" s="26" t="str">
        <f>Data!H77</f>
        <v>Driver2</v>
      </c>
      <c r="B78" s="26" t="str">
        <f>Data!F77</f>
        <v>FirstName2</v>
      </c>
      <c r="C78" s="26" t="str">
        <f>Data!G77</f>
        <v>LastName2</v>
      </c>
      <c r="D78" s="30" t="str">
        <f>Data!D77</f>
        <v>Vehicle2</v>
      </c>
      <c r="E78" s="25" t="str">
        <f>TEXT(INT(Data!A77),"mmm dd, yyyy")</f>
        <v>May 06, 2020</v>
      </c>
      <c r="F78" s="31">
        <f>Data!A77</f>
        <v>43957.654421296298</v>
      </c>
      <c r="G78" s="30" t="str">
        <f>Data!B77</f>
        <v>ON</v>
      </c>
      <c r="H78" s="71" t="str">
        <f t="shared" si="8"/>
        <v>NOT</v>
      </c>
      <c r="I78" s="53">
        <f>Data!C77</f>
        <v>0</v>
      </c>
      <c r="J78" s="42">
        <f>Data!J77</f>
        <v>2.5180393829941701E-2</v>
      </c>
      <c r="K78" s="16" t="b">
        <f t="shared" si="9"/>
        <v>0</v>
      </c>
      <c r="L78" s="16" t="b">
        <f t="shared" si="10"/>
        <v>0</v>
      </c>
      <c r="M78" s="16">
        <f t="shared" si="11"/>
        <v>0</v>
      </c>
      <c r="N78" s="16">
        <f t="shared" si="12"/>
        <v>0</v>
      </c>
      <c r="O78" s="16" t="b">
        <f t="shared" si="13"/>
        <v>0</v>
      </c>
      <c r="P78" s="16" t="b">
        <f>IF(N78&gt;Summary!$B$9,TRUE,FALSE)</f>
        <v>0</v>
      </c>
      <c r="Q78" s="35">
        <f t="shared" si="14"/>
        <v>0</v>
      </c>
      <c r="R78" s="47" t="str">
        <f>IF(Q78=1, 'Excessive YM Events'!$J$22, "")</f>
        <v/>
      </c>
      <c r="S78" s="31" t="str">
        <f>IF(Data!L77=0,"",Data!L77)</f>
        <v/>
      </c>
    </row>
    <row r="79" spans="1:19" ht="16.5" x14ac:dyDescent="0.3">
      <c r="A79" s="26" t="str">
        <f>Data!H78</f>
        <v>Driver2</v>
      </c>
      <c r="B79" s="26" t="str">
        <f>Data!F78</f>
        <v>FirstName2</v>
      </c>
      <c r="C79" s="26" t="str">
        <f>Data!G78</f>
        <v>LastName2</v>
      </c>
      <c r="D79" s="30" t="str">
        <f>Data!D78</f>
        <v>Vehicle2</v>
      </c>
      <c r="E79" s="25" t="str">
        <f>TEXT(INT(Data!A78),"mmm dd, yyyy")</f>
        <v>May 06, 2020</v>
      </c>
      <c r="F79" s="31">
        <f>Data!A78</f>
        <v>43957.696087962962</v>
      </c>
      <c r="G79" s="30" t="str">
        <f>Data!B78</f>
        <v>D</v>
      </c>
      <c r="H79" s="71" t="str">
        <f t="shared" si="8"/>
        <v>NOT</v>
      </c>
      <c r="I79" s="53">
        <f>Data!C78</f>
        <v>0</v>
      </c>
      <c r="J79" s="42">
        <f>Data!J78</f>
        <v>17.1246662139893</v>
      </c>
      <c r="K79" s="16" t="b">
        <f t="shared" si="9"/>
        <v>0</v>
      </c>
      <c r="L79" s="16" t="b">
        <f t="shared" si="10"/>
        <v>0</v>
      </c>
      <c r="M79" s="16">
        <f t="shared" si="11"/>
        <v>0</v>
      </c>
      <c r="N79" s="16">
        <f t="shared" si="12"/>
        <v>0</v>
      </c>
      <c r="O79" s="16" t="b">
        <f t="shared" si="13"/>
        <v>0</v>
      </c>
      <c r="P79" s="16" t="b">
        <f>IF(N79&gt;Summary!$B$9,TRUE,FALSE)</f>
        <v>0</v>
      </c>
      <c r="Q79" s="35">
        <f t="shared" si="14"/>
        <v>0</v>
      </c>
      <c r="R79" s="47" t="str">
        <f>IF(Q79=1, 'Excessive YM Events'!$J$22, "")</f>
        <v/>
      </c>
      <c r="S79" s="31" t="str">
        <f>IF(Data!L78=0,"",Data!L78)</f>
        <v/>
      </c>
    </row>
    <row r="80" spans="1:19" ht="16.5" x14ac:dyDescent="0.3">
      <c r="A80" s="26" t="str">
        <f>Data!H79</f>
        <v>Driver2</v>
      </c>
      <c r="B80" s="26" t="str">
        <f>Data!F79</f>
        <v>FirstName2</v>
      </c>
      <c r="C80" s="26" t="str">
        <f>Data!G79</f>
        <v>LastName2</v>
      </c>
      <c r="D80" s="30" t="str">
        <f>Data!D79</f>
        <v>Vehicle2</v>
      </c>
      <c r="E80" s="25" t="str">
        <f>TEXT(INT(Data!A79),"mmm dd, yyyy")</f>
        <v>May 06, 2020</v>
      </c>
      <c r="F80" s="31">
        <f>Data!A79</f>
        <v>43957.728302164352</v>
      </c>
      <c r="G80" s="30" t="str">
        <f>Data!B79</f>
        <v>ON</v>
      </c>
      <c r="H80" s="71" t="str">
        <f t="shared" si="8"/>
        <v>NOT</v>
      </c>
      <c r="I80" s="53">
        <f>Data!C79</f>
        <v>3.9663541666666666E-3</v>
      </c>
      <c r="J80" s="42">
        <f>Data!J79</f>
        <v>5.3547741845250104E-3</v>
      </c>
      <c r="K80" s="16" t="b">
        <f t="shared" si="9"/>
        <v>0</v>
      </c>
      <c r="L80" s="16" t="b">
        <f t="shared" si="10"/>
        <v>0</v>
      </c>
      <c r="M80" s="16">
        <f t="shared" si="11"/>
        <v>0</v>
      </c>
      <c r="N80" s="16">
        <f t="shared" si="12"/>
        <v>0</v>
      </c>
      <c r="O80" s="16" t="b">
        <f t="shared" si="13"/>
        <v>0</v>
      </c>
      <c r="P80" s="16" t="b">
        <f>IF(N80&gt;Summary!$B$9,TRUE,FALSE)</f>
        <v>0</v>
      </c>
      <c r="Q80" s="35">
        <f t="shared" si="14"/>
        <v>0</v>
      </c>
      <c r="R80" s="47" t="str">
        <f>IF(Q80=1, 'Excessive YM Events'!$J$22, "")</f>
        <v/>
      </c>
      <c r="S80" s="31">
        <f>IF(Data!L79=0,"",Data!L79)</f>
        <v>43958.429339201386</v>
      </c>
    </row>
    <row r="81" spans="1:19" ht="16.5" x14ac:dyDescent="0.3">
      <c r="A81" s="26" t="str">
        <f>Data!H80</f>
        <v>Driver2</v>
      </c>
      <c r="B81" s="26" t="str">
        <f>Data!F80</f>
        <v>FirstName2</v>
      </c>
      <c r="C81" s="26" t="str">
        <f>Data!G80</f>
        <v>LastName2</v>
      </c>
      <c r="D81" s="30" t="str">
        <f>Data!D80</f>
        <v>Vehicle2</v>
      </c>
      <c r="E81" s="25" t="str">
        <f>TEXT(INT(Data!A80),"mmm dd, yyyy")</f>
        <v>May 06, 2020</v>
      </c>
      <c r="F81" s="31">
        <f>Data!A80</f>
        <v>43957.732268518521</v>
      </c>
      <c r="G81" s="30" t="str">
        <f>Data!B80</f>
        <v>D</v>
      </c>
      <c r="H81" s="71" t="str">
        <f t="shared" si="8"/>
        <v>NOT</v>
      </c>
      <c r="I81" s="53">
        <f>Data!C80</f>
        <v>3.9988426925925925E-3</v>
      </c>
      <c r="J81" s="42">
        <f>Data!J80</f>
        <v>3.4743239879608199</v>
      </c>
      <c r="K81" s="16" t="b">
        <f t="shared" si="9"/>
        <v>0</v>
      </c>
      <c r="L81" s="16" t="b">
        <f t="shared" si="10"/>
        <v>0</v>
      </c>
      <c r="M81" s="16">
        <f t="shared" si="11"/>
        <v>0</v>
      </c>
      <c r="N81" s="16">
        <f t="shared" si="12"/>
        <v>0</v>
      </c>
      <c r="O81" s="16" t="b">
        <f t="shared" si="13"/>
        <v>0</v>
      </c>
      <c r="P81" s="16" t="b">
        <f>IF(N81&gt;Summary!$B$9,TRUE,FALSE)</f>
        <v>0</v>
      </c>
      <c r="Q81" s="35">
        <f t="shared" si="14"/>
        <v>0</v>
      </c>
      <c r="R81" s="47" t="str">
        <f>IF(Q81=1, 'Excessive YM Events'!$J$22, "")</f>
        <v/>
      </c>
      <c r="S81" s="31">
        <f>IF(Data!L80=0,"",Data!L80)</f>
        <v>43958.429339236114</v>
      </c>
    </row>
    <row r="82" spans="1:19" ht="16.5" x14ac:dyDescent="0.3">
      <c r="A82" s="26" t="str">
        <f>Data!H81</f>
        <v>Driver2</v>
      </c>
      <c r="B82" s="26" t="str">
        <f>Data!F81</f>
        <v>FirstName2</v>
      </c>
      <c r="C82" s="26" t="str">
        <f>Data!G81</f>
        <v>LastName2</v>
      </c>
      <c r="D82" s="30" t="str">
        <f>Data!D81</f>
        <v>Vehicle2</v>
      </c>
      <c r="E82" s="25" t="str">
        <f>TEXT(INT(Data!A81),"mmm dd, yyyy")</f>
        <v>May 06, 2020</v>
      </c>
      <c r="F82" s="31">
        <f>Data!A81</f>
        <v>43957.736267361215</v>
      </c>
      <c r="G82" s="30" t="str">
        <f>Data!B81</f>
        <v>ON</v>
      </c>
      <c r="H82" s="71" t="str">
        <f t="shared" si="8"/>
        <v>NOT</v>
      </c>
      <c r="I82" s="53">
        <f>Data!C81</f>
        <v>1.4529594907407408E-2</v>
      </c>
      <c r="J82" s="42">
        <f>Data!J81</f>
        <v>2.7955034747719799E-2</v>
      </c>
      <c r="K82" s="16" t="b">
        <f t="shared" si="9"/>
        <v>0</v>
      </c>
      <c r="L82" s="16" t="b">
        <f t="shared" si="10"/>
        <v>0</v>
      </c>
      <c r="M82" s="16">
        <f t="shared" si="11"/>
        <v>0</v>
      </c>
      <c r="N82" s="16">
        <f t="shared" si="12"/>
        <v>0</v>
      </c>
      <c r="O82" s="16" t="b">
        <f t="shared" si="13"/>
        <v>0</v>
      </c>
      <c r="P82" s="16" t="b">
        <f>IF(N82&gt;Summary!$B$9,TRUE,FALSE)</f>
        <v>0</v>
      </c>
      <c r="Q82" s="35">
        <f t="shared" si="14"/>
        <v>0</v>
      </c>
      <c r="R82" s="47" t="str">
        <f>IF(Q82=1, 'Excessive YM Events'!$J$22, "")</f>
        <v/>
      </c>
      <c r="S82" s="31">
        <f>IF(Data!L81=0,"",Data!L81)</f>
        <v>43958.429339236114</v>
      </c>
    </row>
    <row r="83" spans="1:19" ht="16.5" x14ac:dyDescent="0.3">
      <c r="A83" s="26" t="str">
        <f>Data!H82</f>
        <v>Driver2</v>
      </c>
      <c r="B83" s="26" t="str">
        <f>Data!F82</f>
        <v>FirstName2</v>
      </c>
      <c r="C83" s="26" t="str">
        <f>Data!G82</f>
        <v>LastName2</v>
      </c>
      <c r="D83" s="30" t="str">
        <f>Data!D82</f>
        <v>Vehicle2</v>
      </c>
      <c r="E83" s="25" t="str">
        <f>TEXT(INT(Data!A82),"mmm dd, yyyy")</f>
        <v>May 06, 2020</v>
      </c>
      <c r="F83" s="31">
        <f>Data!A82</f>
        <v>43957.750796956017</v>
      </c>
      <c r="G83" s="30" t="str">
        <f>Data!B82</f>
        <v>D</v>
      </c>
      <c r="H83" s="71" t="str">
        <f t="shared" si="8"/>
        <v>NOT</v>
      </c>
      <c r="I83" s="53">
        <f>Data!C82</f>
        <v>1.7640543981481481E-2</v>
      </c>
      <c r="J83" s="42">
        <f>Data!J82</f>
        <v>17.308301925659201</v>
      </c>
      <c r="K83" s="16" t="b">
        <f t="shared" si="9"/>
        <v>0</v>
      </c>
      <c r="L83" s="16" t="b">
        <f t="shared" si="10"/>
        <v>0</v>
      </c>
      <c r="M83" s="16">
        <f t="shared" si="11"/>
        <v>0</v>
      </c>
      <c r="N83" s="16">
        <f t="shared" si="12"/>
        <v>0</v>
      </c>
      <c r="O83" s="16" t="b">
        <f t="shared" si="13"/>
        <v>0</v>
      </c>
      <c r="P83" s="16" t="b">
        <f>IF(N83&gt;Summary!$B$9,TRUE,FALSE)</f>
        <v>0</v>
      </c>
      <c r="Q83" s="35">
        <f t="shared" si="14"/>
        <v>0</v>
      </c>
      <c r="R83" s="47" t="str">
        <f>IF(Q83=1, 'Excessive YM Events'!$J$22, "")</f>
        <v/>
      </c>
      <c r="S83" s="31">
        <f>IF(Data!L82=0,"",Data!L82)</f>
        <v>43958.429339270835</v>
      </c>
    </row>
    <row r="84" spans="1:19" ht="16.5" x14ac:dyDescent="0.3">
      <c r="A84" s="26" t="str">
        <f>Data!H83</f>
        <v>Driver2</v>
      </c>
      <c r="B84" s="26" t="str">
        <f>Data!F83</f>
        <v>FirstName2</v>
      </c>
      <c r="C84" s="26" t="str">
        <f>Data!G83</f>
        <v>LastName2</v>
      </c>
      <c r="D84" s="30" t="str">
        <f>Data!D83</f>
        <v>Vehicle2</v>
      </c>
      <c r="E84" s="25" t="str">
        <f>TEXT(INT(Data!A83),"mmm dd, yyyy")</f>
        <v>May 06, 2020</v>
      </c>
      <c r="F84" s="31">
        <f>Data!A83</f>
        <v>43957.768437500003</v>
      </c>
      <c r="G84" s="30" t="str">
        <f>Data!B83</f>
        <v>ON</v>
      </c>
      <c r="H84" s="71" t="str">
        <f t="shared" si="8"/>
        <v>NOT</v>
      </c>
      <c r="I84" s="53">
        <f>Data!C83</f>
        <v>8.7152777777777784E-3</v>
      </c>
      <c r="J84" s="42">
        <f>Data!J83</f>
        <v>7.2240918874740601E-2</v>
      </c>
      <c r="K84" s="16" t="b">
        <f t="shared" si="9"/>
        <v>0</v>
      </c>
      <c r="L84" s="16" t="b">
        <f t="shared" si="10"/>
        <v>0</v>
      </c>
      <c r="M84" s="16">
        <f t="shared" si="11"/>
        <v>0</v>
      </c>
      <c r="N84" s="16">
        <f t="shared" si="12"/>
        <v>0</v>
      </c>
      <c r="O84" s="16" t="b">
        <f t="shared" si="13"/>
        <v>0</v>
      </c>
      <c r="P84" s="16" t="b">
        <f>IF(N84&gt;Summary!$B$9,TRUE,FALSE)</f>
        <v>0</v>
      </c>
      <c r="Q84" s="35">
        <f t="shared" si="14"/>
        <v>0</v>
      </c>
      <c r="R84" s="47" t="str">
        <f>IF(Q84=1, 'Excessive YM Events'!$J$22, "")</f>
        <v/>
      </c>
      <c r="S84" s="31">
        <f>IF(Data!L83=0,"",Data!L83)</f>
        <v>43958.429339270835</v>
      </c>
    </row>
    <row r="85" spans="1:19" ht="16.5" x14ac:dyDescent="0.3">
      <c r="A85" s="26" t="str">
        <f>Data!H84</f>
        <v>Driver2</v>
      </c>
      <c r="B85" s="26" t="str">
        <f>Data!F84</f>
        <v>FirstName2</v>
      </c>
      <c r="C85" s="26" t="str">
        <f>Data!G84</f>
        <v>LastName2</v>
      </c>
      <c r="D85" s="30" t="str">
        <f>Data!D84</f>
        <v>Vehicle2</v>
      </c>
      <c r="E85" s="25" t="str">
        <f>TEXT(INT(Data!A84),"mmm dd, yyyy")</f>
        <v>May 06, 2020</v>
      </c>
      <c r="F85" s="31">
        <f>Data!A84</f>
        <v>43957.77715277778</v>
      </c>
      <c r="G85" s="30" t="str">
        <f>Data!B84</f>
        <v>D</v>
      </c>
      <c r="H85" s="71" t="str">
        <f t="shared" si="8"/>
        <v>NOT</v>
      </c>
      <c r="I85" s="53">
        <f>Data!C84</f>
        <v>1.1086458333333332E-3</v>
      </c>
      <c r="J85" s="42">
        <f>Data!J84</f>
        <v>-1.01037994027138E-2</v>
      </c>
      <c r="K85" s="16" t="b">
        <f t="shared" si="9"/>
        <v>0</v>
      </c>
      <c r="L85" s="16" t="b">
        <f t="shared" si="10"/>
        <v>0</v>
      </c>
      <c r="M85" s="16">
        <f t="shared" si="11"/>
        <v>0</v>
      </c>
      <c r="N85" s="16">
        <f t="shared" si="12"/>
        <v>0</v>
      </c>
      <c r="O85" s="16" t="b">
        <f t="shared" si="13"/>
        <v>0</v>
      </c>
      <c r="P85" s="16" t="b">
        <f>IF(N85&gt;Summary!$B$9,TRUE,FALSE)</f>
        <v>0</v>
      </c>
      <c r="Q85" s="35">
        <f t="shared" si="14"/>
        <v>0</v>
      </c>
      <c r="R85" s="47" t="str">
        <f>IF(Q85=1, 'Excessive YM Events'!$J$22, "")</f>
        <v/>
      </c>
      <c r="S85" s="31">
        <f>IF(Data!L84=0,"",Data!L84)</f>
        <v>43958.429339270835</v>
      </c>
    </row>
    <row r="86" spans="1:19" ht="16.5" x14ac:dyDescent="0.3">
      <c r="A86" s="26" t="str">
        <f>Data!H85</f>
        <v>Driver2</v>
      </c>
      <c r="B86" s="26" t="str">
        <f>Data!F85</f>
        <v>FirstName2</v>
      </c>
      <c r="C86" s="26" t="str">
        <f>Data!G85</f>
        <v>LastName2</v>
      </c>
      <c r="D86" s="30" t="str">
        <f>Data!D85</f>
        <v>Vehicle2</v>
      </c>
      <c r="E86" s="25" t="str">
        <f>TEXT(INT(Data!A85),"mmm dd, yyyy")</f>
        <v>May 06, 2020</v>
      </c>
      <c r="F86" s="31">
        <f>Data!A85</f>
        <v>43957.778261423613</v>
      </c>
      <c r="G86" s="30" t="str">
        <f>Data!B85</f>
        <v>ON</v>
      </c>
      <c r="H86" s="71" t="str">
        <f t="shared" si="8"/>
        <v>NOT</v>
      </c>
      <c r="I86" s="53">
        <f>Data!C85</f>
        <v>1.3960798611111111E-2</v>
      </c>
      <c r="J86" s="42">
        <f>Data!J85</f>
        <v>8.4668017923831898E-2</v>
      </c>
      <c r="K86" s="16" t="b">
        <f t="shared" si="9"/>
        <v>0</v>
      </c>
      <c r="L86" s="16" t="b">
        <f t="shared" si="10"/>
        <v>0</v>
      </c>
      <c r="M86" s="16">
        <f t="shared" si="11"/>
        <v>0</v>
      </c>
      <c r="N86" s="16">
        <f t="shared" si="12"/>
        <v>0</v>
      </c>
      <c r="O86" s="16" t="b">
        <f t="shared" si="13"/>
        <v>0</v>
      </c>
      <c r="P86" s="16" t="b">
        <f>IF(N86&gt;Summary!$B$9,TRUE,FALSE)</f>
        <v>0</v>
      </c>
      <c r="Q86" s="35">
        <f t="shared" si="14"/>
        <v>0</v>
      </c>
      <c r="R86" s="47" t="str">
        <f>IF(Q86=1, 'Excessive YM Events'!$J$22, "")</f>
        <v/>
      </c>
      <c r="S86" s="31">
        <f>IF(Data!L85=0,"",Data!L85)</f>
        <v>43958.429339317132</v>
      </c>
    </row>
    <row r="87" spans="1:19" ht="16.5" x14ac:dyDescent="0.3">
      <c r="A87" s="26" t="str">
        <f>Data!H86</f>
        <v>Driver2</v>
      </c>
      <c r="B87" s="26" t="str">
        <f>Data!F86</f>
        <v>FirstName2</v>
      </c>
      <c r="C87" s="26" t="str">
        <f>Data!G86</f>
        <v>LastName2</v>
      </c>
      <c r="D87" s="30" t="str">
        <f>Data!D86</f>
        <v>Vehicle2</v>
      </c>
      <c r="E87" s="25" t="str">
        <f>TEXT(INT(Data!A86),"mmm dd, yyyy")</f>
        <v>May 06, 2020</v>
      </c>
      <c r="F87" s="31">
        <f>Data!A86</f>
        <v>43957.792222222219</v>
      </c>
      <c r="G87" s="30" t="str">
        <f>Data!B86</f>
        <v>D</v>
      </c>
      <c r="H87" s="71" t="str">
        <f t="shared" si="8"/>
        <v>NOT</v>
      </c>
      <c r="I87" s="53">
        <f>Data!C86</f>
        <v>3.8148148148148146E-2</v>
      </c>
      <c r="J87" s="42">
        <f>Data!J86</f>
        <v>1.5308971405029299</v>
      </c>
      <c r="K87" s="16" t="b">
        <f t="shared" si="9"/>
        <v>0</v>
      </c>
      <c r="L87" s="16" t="b">
        <f t="shared" si="10"/>
        <v>0</v>
      </c>
      <c r="M87" s="16">
        <f t="shared" si="11"/>
        <v>0</v>
      </c>
      <c r="N87" s="16">
        <f t="shared" si="12"/>
        <v>0</v>
      </c>
      <c r="O87" s="16" t="b">
        <f t="shared" si="13"/>
        <v>0</v>
      </c>
      <c r="P87" s="16" t="b">
        <f>IF(N87&gt;Summary!$B$9,TRUE,FALSE)</f>
        <v>0</v>
      </c>
      <c r="Q87" s="35">
        <f t="shared" si="14"/>
        <v>0</v>
      </c>
      <c r="R87" s="47" t="str">
        <f>IF(Q87=1, 'Excessive YM Events'!$J$22, "")</f>
        <v/>
      </c>
      <c r="S87" s="31">
        <f>IF(Data!L86=0,"",Data!L86)</f>
        <v>43958.429339317132</v>
      </c>
    </row>
    <row r="88" spans="1:19" ht="16.5" x14ac:dyDescent="0.3">
      <c r="A88" s="26" t="str">
        <f>Data!H87</f>
        <v>Driver2</v>
      </c>
      <c r="B88" s="26" t="str">
        <f>Data!F87</f>
        <v>FirstName2</v>
      </c>
      <c r="C88" s="26" t="str">
        <f>Data!G87</f>
        <v>LastName2</v>
      </c>
      <c r="D88" s="30" t="str">
        <f>Data!D87</f>
        <v>Vehicle2</v>
      </c>
      <c r="E88" s="25" t="str">
        <f>TEXT(INT(Data!A87),"mmm dd, yyyy")</f>
        <v>May 06, 2020</v>
      </c>
      <c r="F88" s="31">
        <f>Data!A87</f>
        <v>43957.830370370371</v>
      </c>
      <c r="G88" s="30" t="str">
        <f>Data!B87</f>
        <v>ON</v>
      </c>
      <c r="H88" s="71" t="str">
        <f t="shared" si="8"/>
        <v>NOT</v>
      </c>
      <c r="I88" s="53">
        <f>Data!C87</f>
        <v>1.1778935185185185E-4</v>
      </c>
      <c r="J88" s="42">
        <f>Data!J87</f>
        <v>6.6138263791799502E-3</v>
      </c>
      <c r="K88" s="16" t="b">
        <f t="shared" si="9"/>
        <v>0</v>
      </c>
      <c r="L88" s="16" t="b">
        <f t="shared" si="10"/>
        <v>0</v>
      </c>
      <c r="M88" s="16">
        <f t="shared" si="11"/>
        <v>0</v>
      </c>
      <c r="N88" s="16">
        <f t="shared" si="12"/>
        <v>0</v>
      </c>
      <c r="O88" s="16" t="b">
        <f t="shared" si="13"/>
        <v>0</v>
      </c>
      <c r="P88" s="16" t="b">
        <f>IF(N88&gt;Summary!$B$9,TRUE,FALSE)</f>
        <v>0</v>
      </c>
      <c r="Q88" s="35">
        <f t="shared" si="14"/>
        <v>0</v>
      </c>
      <c r="R88" s="47" t="str">
        <f>IF(Q88=1, 'Excessive YM Events'!$J$22, "")</f>
        <v/>
      </c>
      <c r="S88" s="31">
        <f>IF(Data!L87=0,"",Data!L87)</f>
        <v>43961.685484259258</v>
      </c>
    </row>
    <row r="89" spans="1:19" ht="16.5" x14ac:dyDescent="0.3">
      <c r="A89" s="26" t="str">
        <f>Data!H88</f>
        <v>Driver2</v>
      </c>
      <c r="B89" s="26" t="str">
        <f>Data!F88</f>
        <v>FirstName2</v>
      </c>
      <c r="C89" s="26" t="str">
        <f>Data!G88</f>
        <v>LastName2</v>
      </c>
      <c r="D89" s="30" t="str">
        <f>Data!D88</f>
        <v>Vehicle2</v>
      </c>
      <c r="E89" s="25" t="str">
        <f>TEXT(INT(Data!A88),"mmm dd, yyyy")</f>
        <v>May 06, 2020</v>
      </c>
      <c r="F89" s="31">
        <f>Data!A88</f>
        <v>43957.830488159721</v>
      </c>
      <c r="G89" s="30" t="str">
        <f>Data!B88</f>
        <v>D</v>
      </c>
      <c r="H89" s="71" t="str">
        <f t="shared" si="8"/>
        <v>NOT</v>
      </c>
      <c r="I89" s="53">
        <f>Data!C88</f>
        <v>0.59312295138888893</v>
      </c>
      <c r="J89" s="42">
        <f>Data!J88</f>
        <v>2.6031453609466602</v>
      </c>
      <c r="K89" s="16" t="b">
        <f t="shared" si="9"/>
        <v>0</v>
      </c>
      <c r="L89" s="16" t="b">
        <f t="shared" si="10"/>
        <v>0</v>
      </c>
      <c r="M89" s="16">
        <f t="shared" si="11"/>
        <v>0</v>
      </c>
      <c r="N89" s="16">
        <f t="shared" si="12"/>
        <v>0</v>
      </c>
      <c r="O89" s="16" t="b">
        <f t="shared" si="13"/>
        <v>0</v>
      </c>
      <c r="P89" s="16" t="b">
        <f>IF(N89&gt;Summary!$B$9,TRUE,FALSE)</f>
        <v>0</v>
      </c>
      <c r="Q89" s="35">
        <f t="shared" si="14"/>
        <v>0</v>
      </c>
      <c r="R89" s="47" t="str">
        <f>IF(Q89=1, 'Excessive YM Events'!$J$22, "")</f>
        <v/>
      </c>
      <c r="S89" s="31">
        <f>IF(Data!L88=0,"",Data!L88)</f>
        <v>43958.429339317132</v>
      </c>
    </row>
    <row r="90" spans="1:19" ht="16.5" x14ac:dyDescent="0.3">
      <c r="A90" s="26" t="str">
        <f>Data!H89</f>
        <v>Driver2</v>
      </c>
      <c r="B90" s="26" t="str">
        <f>Data!F89</f>
        <v>FirstName2</v>
      </c>
      <c r="C90" s="26" t="str">
        <f>Data!G89</f>
        <v>LastName2</v>
      </c>
      <c r="D90" s="30" t="str">
        <f>Data!D89</f>
        <v>Vehicle2</v>
      </c>
      <c r="E90" s="25" t="str">
        <f>TEXT(INT(Data!A89),"mmm dd, yyyy")</f>
        <v>May 07, 2020</v>
      </c>
      <c r="F90" s="31">
        <f>Data!A89</f>
        <v>43958.423611111109</v>
      </c>
      <c r="G90" s="30" t="str">
        <f>Data!B89</f>
        <v>ON</v>
      </c>
      <c r="H90" s="71" t="str">
        <f t="shared" si="8"/>
        <v>NOT</v>
      </c>
      <c r="I90" s="53">
        <f>Data!C89</f>
        <v>6.851851851851852E-3</v>
      </c>
      <c r="J90" s="42">
        <f>Data!J89</f>
        <v>3.9516523480415303E-2</v>
      </c>
      <c r="K90" s="16" t="b">
        <f t="shared" si="9"/>
        <v>0</v>
      </c>
      <c r="L90" s="16" t="b">
        <f t="shared" si="10"/>
        <v>1</v>
      </c>
      <c r="M90" s="16">
        <f t="shared" si="11"/>
        <v>0</v>
      </c>
      <c r="N90" s="16">
        <f t="shared" si="12"/>
        <v>0</v>
      </c>
      <c r="O90" s="16" t="b">
        <f t="shared" si="13"/>
        <v>0</v>
      </c>
      <c r="P90" s="16" t="b">
        <f>IF(N90&gt;Summary!$B$9,TRUE,FALSE)</f>
        <v>0</v>
      </c>
      <c r="Q90" s="35">
        <f t="shared" si="14"/>
        <v>0</v>
      </c>
      <c r="R90" s="47" t="str">
        <f>IF(Q90=1, 'Excessive YM Events'!$J$22, "")</f>
        <v/>
      </c>
      <c r="S90" s="31">
        <f>IF(Data!L89=0,"",Data!L89)</f>
        <v>43958.921058877313</v>
      </c>
    </row>
    <row r="91" spans="1:19" ht="16.5" x14ac:dyDescent="0.3">
      <c r="A91" s="26" t="str">
        <f>Data!H90</f>
        <v>Driver2</v>
      </c>
      <c r="B91" s="26" t="str">
        <f>Data!F90</f>
        <v>FirstName2</v>
      </c>
      <c r="C91" s="26" t="str">
        <f>Data!G90</f>
        <v>LastName2</v>
      </c>
      <c r="D91" s="30" t="str">
        <f>Data!D90</f>
        <v>Vehicle2</v>
      </c>
      <c r="E91" s="25" t="str">
        <f>TEXT(INT(Data!A90),"mmm dd, yyyy")</f>
        <v>May 07, 2020</v>
      </c>
      <c r="F91" s="31">
        <f>Data!A90</f>
        <v>43958.430462962962</v>
      </c>
      <c r="G91" s="30" t="str">
        <f>Data!B90</f>
        <v>D</v>
      </c>
      <c r="H91" s="71" t="str">
        <f t="shared" si="8"/>
        <v>NOT</v>
      </c>
      <c r="I91" s="53">
        <f>Data!C90</f>
        <v>3.6620370370370373E-2</v>
      </c>
      <c r="J91" s="42">
        <f>Data!J90</f>
        <v>16.426820755004901</v>
      </c>
      <c r="K91" s="16" t="b">
        <f t="shared" si="9"/>
        <v>0</v>
      </c>
      <c r="L91" s="16" t="b">
        <f t="shared" si="10"/>
        <v>0</v>
      </c>
      <c r="M91" s="16">
        <f t="shared" si="11"/>
        <v>0</v>
      </c>
      <c r="N91" s="16">
        <f t="shared" si="12"/>
        <v>0</v>
      </c>
      <c r="O91" s="16" t="b">
        <f t="shared" si="13"/>
        <v>0</v>
      </c>
      <c r="P91" s="16" t="b">
        <f>IF(N91&gt;Summary!$B$9,TRUE,FALSE)</f>
        <v>0</v>
      </c>
      <c r="Q91" s="35">
        <f t="shared" si="14"/>
        <v>0</v>
      </c>
      <c r="R91" s="47" t="str">
        <f>IF(Q91=1, 'Excessive YM Events'!$J$22, "")</f>
        <v/>
      </c>
      <c r="S91" s="31">
        <f>IF(Data!L90=0,"",Data!L90)</f>
        <v>43958.921058912034</v>
      </c>
    </row>
    <row r="92" spans="1:19" ht="16.5" x14ac:dyDescent="0.3">
      <c r="A92" s="26" t="str">
        <f>Data!H91</f>
        <v>Driver2</v>
      </c>
      <c r="B92" s="26" t="str">
        <f>Data!F91</f>
        <v>FirstName2</v>
      </c>
      <c r="C92" s="26" t="str">
        <f>Data!G91</f>
        <v>LastName2</v>
      </c>
      <c r="D92" s="30" t="str">
        <f>Data!D91</f>
        <v>Vehicle2</v>
      </c>
      <c r="E92" s="25" t="str">
        <f>TEXT(INT(Data!A91),"mmm dd, yyyy")</f>
        <v>May 07, 2020</v>
      </c>
      <c r="F92" s="31">
        <f>Data!A91</f>
        <v>43958.467083333337</v>
      </c>
      <c r="G92" s="30" t="str">
        <f>Data!B91</f>
        <v>ON</v>
      </c>
      <c r="H92" s="71" t="str">
        <f t="shared" si="8"/>
        <v>NOT</v>
      </c>
      <c r="I92" s="53">
        <f>Data!C91</f>
        <v>8.3333333333333331E-5</v>
      </c>
      <c r="J92" s="42">
        <f>Data!J91</f>
        <v>7.9993709921836895E-2</v>
      </c>
      <c r="K92" s="16" t="b">
        <f t="shared" si="9"/>
        <v>0</v>
      </c>
      <c r="L92" s="16" t="b">
        <f t="shared" si="10"/>
        <v>0</v>
      </c>
      <c r="M92" s="16">
        <f t="shared" si="11"/>
        <v>0</v>
      </c>
      <c r="N92" s="16">
        <f t="shared" si="12"/>
        <v>0</v>
      </c>
      <c r="O92" s="16" t="b">
        <f t="shared" si="13"/>
        <v>0</v>
      </c>
      <c r="P92" s="16" t="b">
        <f>IF(N92&gt;Summary!$B$9,TRUE,FALSE)</f>
        <v>0</v>
      </c>
      <c r="Q92" s="35">
        <f t="shared" si="14"/>
        <v>0</v>
      </c>
      <c r="R92" s="47" t="str">
        <f>IF(Q92=1, 'Excessive YM Events'!$J$22, "")</f>
        <v/>
      </c>
      <c r="S92" s="31">
        <f>IF(Data!L91=0,"",Data!L91)</f>
        <v>43958.921058912034</v>
      </c>
    </row>
    <row r="93" spans="1:19" ht="16.5" x14ac:dyDescent="0.3">
      <c r="A93" s="26" t="str">
        <f>Data!H92</f>
        <v>Driver2</v>
      </c>
      <c r="B93" s="26" t="str">
        <f>Data!F92</f>
        <v>FirstName2</v>
      </c>
      <c r="C93" s="26" t="str">
        <f>Data!G92</f>
        <v>LastName2</v>
      </c>
      <c r="D93" s="30" t="str">
        <f>Data!D92</f>
        <v>Vehicle2</v>
      </c>
      <c r="E93" s="25" t="str">
        <f>TEXT(INT(Data!A92),"mmm dd, yyyy")</f>
        <v>May 07, 2020</v>
      </c>
      <c r="F93" s="31">
        <f>Data!A92</f>
        <v>43958.467166666669</v>
      </c>
      <c r="G93" s="30" t="str">
        <f>Data!B92</f>
        <v>D</v>
      </c>
      <c r="H93" s="71" t="str">
        <f t="shared" si="8"/>
        <v>NOT</v>
      </c>
      <c r="I93" s="53">
        <f>Data!C92</f>
        <v>1.0344907407407407E-2</v>
      </c>
      <c r="J93" s="42">
        <f>Data!J92</f>
        <v>18.625551223754901</v>
      </c>
      <c r="K93" s="16" t="b">
        <f t="shared" si="9"/>
        <v>0</v>
      </c>
      <c r="L93" s="16" t="b">
        <f t="shared" si="10"/>
        <v>0</v>
      </c>
      <c r="M93" s="16">
        <f t="shared" si="11"/>
        <v>0</v>
      </c>
      <c r="N93" s="16">
        <f t="shared" si="12"/>
        <v>0</v>
      </c>
      <c r="O93" s="16" t="b">
        <f t="shared" si="13"/>
        <v>0</v>
      </c>
      <c r="P93" s="16" t="b">
        <f>IF(N93&gt;Summary!$B$9,TRUE,FALSE)</f>
        <v>0</v>
      </c>
      <c r="Q93" s="35">
        <f t="shared" si="14"/>
        <v>0</v>
      </c>
      <c r="R93" s="47" t="str">
        <f>IF(Q93=1, 'Excessive YM Events'!$J$22, "")</f>
        <v/>
      </c>
      <c r="S93" s="31">
        <f>IF(Data!L92=0,"",Data!L92)</f>
        <v>43958.921058946762</v>
      </c>
    </row>
    <row r="94" spans="1:19" ht="16.5" x14ac:dyDescent="0.3">
      <c r="A94" s="26" t="str">
        <f>Data!H93</f>
        <v>Driver2</v>
      </c>
      <c r="B94" s="26" t="str">
        <f>Data!F93</f>
        <v>FirstName2</v>
      </c>
      <c r="C94" s="26" t="str">
        <f>Data!G93</f>
        <v>LastName2</v>
      </c>
      <c r="D94" s="30" t="str">
        <f>Data!D93</f>
        <v>Vehicle2</v>
      </c>
      <c r="E94" s="25" t="str">
        <f>TEXT(INT(Data!A93),"mmm dd, yyyy")</f>
        <v>May 07, 2020</v>
      </c>
      <c r="F94" s="31">
        <f>Data!A93</f>
        <v>43958.477511574078</v>
      </c>
      <c r="G94" s="30" t="str">
        <f>Data!B93</f>
        <v>INT_D</v>
      </c>
      <c r="H94" s="71" t="str">
        <f t="shared" si="8"/>
        <v>NOT</v>
      </c>
      <c r="I94" s="53">
        <f>Data!C93</f>
        <v>7.5694444444444446E-3</v>
      </c>
      <c r="J94" s="42">
        <f>Data!J93</f>
        <v>19.404661178588899</v>
      </c>
      <c r="K94" s="16" t="b">
        <f t="shared" si="9"/>
        <v>0</v>
      </c>
      <c r="L94" s="16" t="b">
        <f t="shared" si="10"/>
        <v>0</v>
      </c>
      <c r="M94" s="16">
        <f t="shared" si="11"/>
        <v>0</v>
      </c>
      <c r="N94" s="16">
        <f t="shared" si="12"/>
        <v>0</v>
      </c>
      <c r="O94" s="16" t="b">
        <f t="shared" si="13"/>
        <v>0</v>
      </c>
      <c r="P94" s="16" t="b">
        <f>IF(N94&gt;Summary!$B$9,TRUE,FALSE)</f>
        <v>0</v>
      </c>
      <c r="Q94" s="35">
        <f t="shared" si="14"/>
        <v>0</v>
      </c>
      <c r="R94" s="47" t="str">
        <f>IF(Q94=1, 'Excessive YM Events'!$J$22, "")</f>
        <v/>
      </c>
      <c r="S94" s="31">
        <f>IF(Data!L93=0,"",Data!L93)</f>
        <v>43958.921058946762</v>
      </c>
    </row>
    <row r="95" spans="1:19" ht="16.5" x14ac:dyDescent="0.3">
      <c r="A95" s="26" t="str">
        <f>Data!H94</f>
        <v>Driver2</v>
      </c>
      <c r="B95" s="26" t="str">
        <f>Data!F94</f>
        <v>FirstName2</v>
      </c>
      <c r="C95" s="26" t="str">
        <f>Data!G94</f>
        <v>LastName2</v>
      </c>
      <c r="D95" s="30" t="str">
        <f>Data!D94</f>
        <v>Vehicle2</v>
      </c>
      <c r="E95" s="25" t="str">
        <f>TEXT(INT(Data!A94),"mmm dd, yyyy")</f>
        <v>May 07, 2020</v>
      </c>
      <c r="F95" s="31">
        <f>Data!A94</f>
        <v>43958.485081018516</v>
      </c>
      <c r="G95" s="30" t="str">
        <f>Data!B94</f>
        <v>ON</v>
      </c>
      <c r="H95" s="71" t="str">
        <f t="shared" si="8"/>
        <v>NOT</v>
      </c>
      <c r="I95" s="53">
        <f>Data!C94</f>
        <v>4.8113425925925929E-5</v>
      </c>
      <c r="J95" s="42">
        <f>Data!J94</f>
        <v>3.7263702601194403E-2</v>
      </c>
      <c r="K95" s="16" t="b">
        <f t="shared" si="9"/>
        <v>0</v>
      </c>
      <c r="L95" s="16" t="b">
        <f t="shared" si="10"/>
        <v>0</v>
      </c>
      <c r="M95" s="16">
        <f t="shared" si="11"/>
        <v>0</v>
      </c>
      <c r="N95" s="16">
        <f t="shared" si="12"/>
        <v>0</v>
      </c>
      <c r="O95" s="16" t="b">
        <f t="shared" si="13"/>
        <v>0</v>
      </c>
      <c r="P95" s="16" t="b">
        <f>IF(N95&gt;Summary!$B$9,TRUE,FALSE)</f>
        <v>0</v>
      </c>
      <c r="Q95" s="35">
        <f t="shared" si="14"/>
        <v>0</v>
      </c>
      <c r="R95" s="47" t="str">
        <f>IF(Q95=1, 'Excessive YM Events'!$J$22, "")</f>
        <v/>
      </c>
      <c r="S95" s="31">
        <f>IF(Data!L94=0,"",Data!L94)</f>
        <v>43958.921058946762</v>
      </c>
    </row>
    <row r="96" spans="1:19" ht="16.5" x14ac:dyDescent="0.3">
      <c r="A96" s="26" t="str">
        <f>Data!H95</f>
        <v>Driver2</v>
      </c>
      <c r="B96" s="26" t="str">
        <f>Data!F95</f>
        <v>FirstName2</v>
      </c>
      <c r="C96" s="26" t="str">
        <f>Data!G95</f>
        <v>LastName2</v>
      </c>
      <c r="D96" s="30" t="str">
        <f>Data!D95</f>
        <v>Vehicle2</v>
      </c>
      <c r="E96" s="25" t="str">
        <f>TEXT(INT(Data!A95),"mmm dd, yyyy")</f>
        <v>May 07, 2020</v>
      </c>
      <c r="F96" s="31">
        <f>Data!A95</f>
        <v>43958.485129131943</v>
      </c>
      <c r="G96" s="30" t="str">
        <f>Data!B95</f>
        <v>D</v>
      </c>
      <c r="H96" s="71" t="str">
        <f t="shared" si="8"/>
        <v>NOT</v>
      </c>
      <c r="I96" s="53">
        <f>Data!C95</f>
        <v>8.4698611111111103E-3</v>
      </c>
      <c r="J96" s="42">
        <f>Data!J95</f>
        <v>8.1446847915649396</v>
      </c>
      <c r="K96" s="16" t="b">
        <f t="shared" si="9"/>
        <v>0</v>
      </c>
      <c r="L96" s="16" t="b">
        <f t="shared" si="10"/>
        <v>0</v>
      </c>
      <c r="M96" s="16">
        <f t="shared" si="11"/>
        <v>0</v>
      </c>
      <c r="N96" s="16">
        <f t="shared" si="12"/>
        <v>0</v>
      </c>
      <c r="O96" s="16" t="b">
        <f t="shared" si="13"/>
        <v>0</v>
      </c>
      <c r="P96" s="16" t="b">
        <f>IF(N96&gt;Summary!$B$9,TRUE,FALSE)</f>
        <v>0</v>
      </c>
      <c r="Q96" s="35">
        <f t="shared" si="14"/>
        <v>0</v>
      </c>
      <c r="R96" s="47" t="str">
        <f>IF(Q96=1, 'Excessive YM Events'!$J$22, "")</f>
        <v/>
      </c>
      <c r="S96" s="31">
        <f>IF(Data!L95=0,"",Data!L95)</f>
        <v>43958.921058993059</v>
      </c>
    </row>
    <row r="97" spans="1:19" ht="16.5" x14ac:dyDescent="0.3">
      <c r="A97" s="26" t="str">
        <f>Data!H96</f>
        <v>Driver2</v>
      </c>
      <c r="B97" s="26" t="str">
        <f>Data!F96</f>
        <v>FirstName2</v>
      </c>
      <c r="C97" s="26" t="str">
        <f>Data!G96</f>
        <v>LastName2</v>
      </c>
      <c r="D97" s="30" t="str">
        <f>Data!D96</f>
        <v>Vehicle2</v>
      </c>
      <c r="E97" s="25" t="str">
        <f>TEXT(INT(Data!A96),"mmm dd, yyyy")</f>
        <v>May 07, 2020</v>
      </c>
      <c r="F97" s="31">
        <f>Data!A96</f>
        <v>43958.493598993053</v>
      </c>
      <c r="G97" s="30" t="str">
        <f>Data!B96</f>
        <v>ON</v>
      </c>
      <c r="H97" s="71" t="str">
        <f t="shared" si="8"/>
        <v>NOT</v>
      </c>
      <c r="I97" s="53">
        <f>Data!C96</f>
        <v>1.2373541666666666E-2</v>
      </c>
      <c r="J97" s="42">
        <f>Data!J96</f>
        <v>5.0151329487562197E-3</v>
      </c>
      <c r="K97" s="16" t="b">
        <f t="shared" si="9"/>
        <v>0</v>
      </c>
      <c r="L97" s="16" t="b">
        <f t="shared" si="10"/>
        <v>0</v>
      </c>
      <c r="M97" s="16">
        <f t="shared" si="11"/>
        <v>0</v>
      </c>
      <c r="N97" s="16">
        <f t="shared" si="12"/>
        <v>0</v>
      </c>
      <c r="O97" s="16" t="b">
        <f t="shared" si="13"/>
        <v>0</v>
      </c>
      <c r="P97" s="16" t="b">
        <f>IF(N97&gt;Summary!$B$9,TRUE,FALSE)</f>
        <v>0</v>
      </c>
      <c r="Q97" s="35">
        <f t="shared" si="14"/>
        <v>0</v>
      </c>
      <c r="R97" s="47" t="str">
        <f>IF(Q97=1, 'Excessive YM Events'!$J$22, "")</f>
        <v/>
      </c>
      <c r="S97" s="31">
        <f>IF(Data!L96=0,"",Data!L96)</f>
        <v>43958.921058993059</v>
      </c>
    </row>
    <row r="98" spans="1:19" ht="16.5" x14ac:dyDescent="0.3">
      <c r="A98" s="26" t="str">
        <f>Data!H97</f>
        <v>Driver2</v>
      </c>
      <c r="B98" s="26" t="str">
        <f>Data!F97</f>
        <v>FirstName2</v>
      </c>
      <c r="C98" s="26" t="str">
        <f>Data!G97</f>
        <v>LastName2</v>
      </c>
      <c r="D98" s="30" t="str">
        <f>Data!D97</f>
        <v>Vehicle2</v>
      </c>
      <c r="E98" s="25" t="str">
        <f>TEXT(INT(Data!A97),"mmm dd, yyyy")</f>
        <v>May 07, 2020</v>
      </c>
      <c r="F98" s="31">
        <f>Data!A97</f>
        <v>43958.505972534724</v>
      </c>
      <c r="G98" s="30" t="str">
        <f>Data!B97</f>
        <v>D</v>
      </c>
      <c r="H98" s="71" t="str">
        <f t="shared" si="8"/>
        <v>NOT</v>
      </c>
      <c r="I98" s="53">
        <f>Data!C97</f>
        <v>2.3080555555555554E-3</v>
      </c>
      <c r="J98" s="42">
        <f>Data!J97</f>
        <v>21.183744430541999</v>
      </c>
      <c r="K98" s="16" t="b">
        <f t="shared" si="9"/>
        <v>0</v>
      </c>
      <c r="L98" s="16" t="b">
        <f t="shared" si="10"/>
        <v>0</v>
      </c>
      <c r="M98" s="16">
        <f t="shared" si="11"/>
        <v>0</v>
      </c>
      <c r="N98" s="16">
        <f t="shared" si="12"/>
        <v>0</v>
      </c>
      <c r="O98" s="16" t="b">
        <f t="shared" si="13"/>
        <v>0</v>
      </c>
      <c r="P98" s="16" t="b">
        <f>IF(N98&gt;Summary!$B$9,TRUE,FALSE)</f>
        <v>0</v>
      </c>
      <c r="Q98" s="35">
        <f t="shared" si="14"/>
        <v>0</v>
      </c>
      <c r="R98" s="47" t="str">
        <f>IF(Q98=1, 'Excessive YM Events'!$J$22, "")</f>
        <v/>
      </c>
      <c r="S98" s="31">
        <f>IF(Data!L97=0,"",Data!L97)</f>
        <v>43958.921058993059</v>
      </c>
    </row>
    <row r="99" spans="1:19" ht="16.5" x14ac:dyDescent="0.3">
      <c r="A99" s="26" t="str">
        <f>Data!H98</f>
        <v>Driver2</v>
      </c>
      <c r="B99" s="26" t="str">
        <f>Data!F98</f>
        <v>FirstName2</v>
      </c>
      <c r="C99" s="26" t="str">
        <f>Data!G98</f>
        <v>LastName2</v>
      </c>
      <c r="D99" s="30" t="str">
        <f>Data!D98</f>
        <v>Vehicle2</v>
      </c>
      <c r="E99" s="25" t="str">
        <f>TEXT(INT(Data!A98),"mmm dd, yyyy")</f>
        <v>May 07, 2020</v>
      </c>
      <c r="F99" s="31">
        <f>Data!A98</f>
        <v>43958.508280590278</v>
      </c>
      <c r="G99" s="30" t="str">
        <f>Data!B98</f>
        <v>ON</v>
      </c>
      <c r="H99" s="71" t="str">
        <f t="shared" si="8"/>
        <v>NOT</v>
      </c>
      <c r="I99" s="53">
        <f>Data!C98</f>
        <v>7.2413854166666666E-2</v>
      </c>
      <c r="J99" s="42">
        <f>Data!J98</f>
        <v>4.0630176663398701E-2</v>
      </c>
      <c r="K99" s="16" t="b">
        <f t="shared" si="9"/>
        <v>0</v>
      </c>
      <c r="L99" s="16" t="b">
        <f t="shared" si="10"/>
        <v>0</v>
      </c>
      <c r="M99" s="16">
        <f t="shared" si="11"/>
        <v>0</v>
      </c>
      <c r="N99" s="16">
        <f t="shared" si="12"/>
        <v>0</v>
      </c>
      <c r="O99" s="16" t="b">
        <f t="shared" si="13"/>
        <v>0</v>
      </c>
      <c r="P99" s="16" t="b">
        <f>IF(N99&gt;Summary!$B$9,TRUE,FALSE)</f>
        <v>0</v>
      </c>
      <c r="Q99" s="35">
        <f t="shared" si="14"/>
        <v>0</v>
      </c>
      <c r="R99" s="47" t="str">
        <f>IF(Q99=1, 'Excessive YM Events'!$J$22, "")</f>
        <v/>
      </c>
      <c r="S99" s="31">
        <f>IF(Data!L98=0,"",Data!L98)</f>
        <v>43958.921059027882</v>
      </c>
    </row>
    <row r="100" spans="1:19" ht="16.5" x14ac:dyDescent="0.3">
      <c r="A100" s="26" t="str">
        <f>Data!H99</f>
        <v>Driver2</v>
      </c>
      <c r="B100" s="26" t="str">
        <f>Data!F99</f>
        <v>FirstName2</v>
      </c>
      <c r="C100" s="26" t="str">
        <f>Data!G99</f>
        <v>LastName2</v>
      </c>
      <c r="D100" s="30" t="str">
        <f>Data!D99</f>
        <v>Vehicle2</v>
      </c>
      <c r="E100" s="25" t="str">
        <f>TEXT(INT(Data!A99),"mmm dd, yyyy")</f>
        <v>May 07, 2020</v>
      </c>
      <c r="F100" s="31">
        <f>Data!A99</f>
        <v>43958.580694444441</v>
      </c>
      <c r="G100" s="30" t="str">
        <f>Data!B99</f>
        <v>D</v>
      </c>
      <c r="H100" s="71" t="str">
        <f t="shared" si="8"/>
        <v>NOT</v>
      </c>
      <c r="I100" s="53">
        <f>Data!C99</f>
        <v>2.6057523148148146E-3</v>
      </c>
      <c r="J100" s="42">
        <f>Data!J99</f>
        <v>37.429103851318402</v>
      </c>
      <c r="K100" s="16" t="b">
        <f t="shared" si="9"/>
        <v>0</v>
      </c>
      <c r="L100" s="16" t="b">
        <f t="shared" si="10"/>
        <v>0</v>
      </c>
      <c r="M100" s="16">
        <f t="shared" si="11"/>
        <v>0</v>
      </c>
      <c r="N100" s="16">
        <f t="shared" si="12"/>
        <v>0</v>
      </c>
      <c r="O100" s="16" t="b">
        <f t="shared" si="13"/>
        <v>0</v>
      </c>
      <c r="P100" s="16" t="b">
        <f>IF(N100&gt;Summary!$B$9,TRUE,FALSE)</f>
        <v>0</v>
      </c>
      <c r="Q100" s="35">
        <f t="shared" si="14"/>
        <v>0</v>
      </c>
      <c r="R100" s="47" t="str">
        <f>IF(Q100=1, 'Excessive YM Events'!$J$22, "")</f>
        <v/>
      </c>
      <c r="S100" s="31">
        <f>IF(Data!L99=0,"",Data!L99)</f>
        <v>43958.921059027882</v>
      </c>
    </row>
    <row r="101" spans="1:19" ht="16.5" x14ac:dyDescent="0.3">
      <c r="A101" s="26" t="str">
        <f>Data!H100</f>
        <v>Driver2</v>
      </c>
      <c r="B101" s="26" t="str">
        <f>Data!F100</f>
        <v>FirstName2</v>
      </c>
      <c r="C101" s="26" t="str">
        <f>Data!G100</f>
        <v>LastName2</v>
      </c>
      <c r="D101" s="30" t="str">
        <f>Data!D100</f>
        <v>Vehicle2</v>
      </c>
      <c r="E101" s="25" t="str">
        <f>TEXT(INT(Data!A100),"mmm dd, yyyy")</f>
        <v>May 07, 2020</v>
      </c>
      <c r="F101" s="31">
        <f>Data!A100</f>
        <v>43958.583300196762</v>
      </c>
      <c r="G101" s="30" t="str">
        <f>Data!B100</f>
        <v>INT_D</v>
      </c>
      <c r="H101" s="71" t="str">
        <f t="shared" si="8"/>
        <v>NOT</v>
      </c>
      <c r="I101" s="53">
        <f>Data!C100</f>
        <v>3.4243402777777779E-3</v>
      </c>
      <c r="J101" s="42">
        <f>Data!J100</f>
        <v>26.531501770019499</v>
      </c>
      <c r="K101" s="16" t="b">
        <f t="shared" si="9"/>
        <v>0</v>
      </c>
      <c r="L101" s="16" t="b">
        <f t="shared" si="10"/>
        <v>0</v>
      </c>
      <c r="M101" s="16">
        <f t="shared" si="11"/>
        <v>0</v>
      </c>
      <c r="N101" s="16">
        <f t="shared" si="12"/>
        <v>0</v>
      </c>
      <c r="O101" s="16" t="b">
        <f t="shared" si="13"/>
        <v>0</v>
      </c>
      <c r="P101" s="16" t="b">
        <f>IF(N101&gt;Summary!$B$9,TRUE,FALSE)</f>
        <v>0</v>
      </c>
      <c r="Q101" s="35">
        <f t="shared" si="14"/>
        <v>0</v>
      </c>
      <c r="R101" s="47" t="str">
        <f>IF(Q101=1, 'Excessive YM Events'!$J$22, "")</f>
        <v/>
      </c>
      <c r="S101" s="31">
        <f>IF(Data!L100=0,"",Data!L100)</f>
        <v>43958.921059027882</v>
      </c>
    </row>
    <row r="102" spans="1:19" ht="16.5" x14ac:dyDescent="0.3">
      <c r="A102" s="26" t="str">
        <f>Data!H101</f>
        <v>Driver2</v>
      </c>
      <c r="B102" s="26" t="str">
        <f>Data!F101</f>
        <v>FirstName2</v>
      </c>
      <c r="C102" s="26" t="str">
        <f>Data!G101</f>
        <v>LastName2</v>
      </c>
      <c r="D102" s="30" t="str">
        <f>Data!D101</f>
        <v>Vehicle2</v>
      </c>
      <c r="E102" s="25" t="str">
        <f>TEXT(INT(Data!A101),"mmm dd, yyyy")</f>
        <v>May 07, 2020</v>
      </c>
      <c r="F102" s="31">
        <f>Data!A101</f>
        <v>43958.586724537039</v>
      </c>
      <c r="G102" s="30" t="str">
        <f>Data!B101</f>
        <v>ON</v>
      </c>
      <c r="H102" s="71" t="str">
        <f t="shared" si="8"/>
        <v>NOT</v>
      </c>
      <c r="I102" s="53">
        <f>Data!C101</f>
        <v>0.21813657407407408</v>
      </c>
      <c r="J102" s="42">
        <f>Data!J101</f>
        <v>1.56171210110188E-2</v>
      </c>
      <c r="K102" s="16" t="b">
        <f t="shared" si="9"/>
        <v>0</v>
      </c>
      <c r="L102" s="16" t="b">
        <f t="shared" si="10"/>
        <v>0</v>
      </c>
      <c r="M102" s="16">
        <f t="shared" si="11"/>
        <v>0</v>
      </c>
      <c r="N102" s="16">
        <f t="shared" si="12"/>
        <v>0</v>
      </c>
      <c r="O102" s="16" t="b">
        <f t="shared" si="13"/>
        <v>0</v>
      </c>
      <c r="P102" s="16" t="b">
        <f>IF(N102&gt;Summary!$B$9,TRUE,FALSE)</f>
        <v>0</v>
      </c>
      <c r="Q102" s="35">
        <f t="shared" si="14"/>
        <v>0</v>
      </c>
      <c r="R102" s="47" t="str">
        <f>IF(Q102=1, 'Excessive YM Events'!$J$22, "")</f>
        <v/>
      </c>
      <c r="S102" s="31">
        <f>IF(Data!L101=0,"",Data!L101)</f>
        <v>43958.921059062501</v>
      </c>
    </row>
    <row r="103" spans="1:19" ht="16.5" x14ac:dyDescent="0.3">
      <c r="A103" s="26" t="str">
        <f>Data!H102</f>
        <v>Driver2</v>
      </c>
      <c r="B103" s="26" t="str">
        <f>Data!F102</f>
        <v>FirstName2</v>
      </c>
      <c r="C103" s="26" t="str">
        <f>Data!G102</f>
        <v>LastName2</v>
      </c>
      <c r="D103" s="30" t="str">
        <f>Data!D102</f>
        <v>Vehicle2</v>
      </c>
      <c r="E103" s="25" t="str">
        <f>TEXT(INT(Data!A102),"mmm dd, yyyy")</f>
        <v>May 07, 2020</v>
      </c>
      <c r="F103" s="31">
        <f>Data!A102</f>
        <v>43958.628391203703</v>
      </c>
      <c r="G103" s="30" t="str">
        <f>Data!B102</f>
        <v>D</v>
      </c>
      <c r="H103" s="71" t="str">
        <f t="shared" si="8"/>
        <v>NOT</v>
      </c>
      <c r="I103" s="53">
        <f>Data!C102</f>
        <v>0</v>
      </c>
      <c r="J103" s="42">
        <f>Data!J102</f>
        <v>12.4739446640015</v>
      </c>
      <c r="K103" s="16" t="b">
        <f t="shared" si="9"/>
        <v>0</v>
      </c>
      <c r="L103" s="16" t="b">
        <f t="shared" si="10"/>
        <v>0</v>
      </c>
      <c r="M103" s="16">
        <f t="shared" si="11"/>
        <v>0</v>
      </c>
      <c r="N103" s="16">
        <f t="shared" si="12"/>
        <v>0</v>
      </c>
      <c r="O103" s="16" t="b">
        <f t="shared" si="13"/>
        <v>0</v>
      </c>
      <c r="P103" s="16" t="b">
        <f>IF(N103&gt;Summary!$B$9,TRUE,FALSE)</f>
        <v>0</v>
      </c>
      <c r="Q103" s="35">
        <f t="shared" si="14"/>
        <v>0</v>
      </c>
      <c r="R103" s="47" t="str">
        <f>IF(Q103=1, 'Excessive YM Events'!$J$22, "")</f>
        <v/>
      </c>
      <c r="S103" s="31" t="str">
        <f>IF(Data!L102=0,"",Data!L102)</f>
        <v/>
      </c>
    </row>
    <row r="104" spans="1:19" ht="16.5" x14ac:dyDescent="0.3">
      <c r="A104" s="26" t="str">
        <f>Data!H103</f>
        <v>Driver2</v>
      </c>
      <c r="B104" s="26" t="str">
        <f>Data!F103</f>
        <v>FirstName2</v>
      </c>
      <c r="C104" s="26" t="str">
        <f>Data!G103</f>
        <v>LastName2</v>
      </c>
      <c r="D104" s="30" t="str">
        <f>Data!D103</f>
        <v>Vehicle2</v>
      </c>
      <c r="E104" s="25" t="str">
        <f>TEXT(INT(Data!A103),"mmm dd, yyyy")</f>
        <v>May 07, 2020</v>
      </c>
      <c r="F104" s="31">
        <f>Data!A103</f>
        <v>43958.670057870368</v>
      </c>
      <c r="G104" s="30" t="str">
        <f>Data!B103</f>
        <v>ON</v>
      </c>
      <c r="H104" s="71" t="str">
        <f t="shared" si="8"/>
        <v>NOT</v>
      </c>
      <c r="I104" s="53">
        <f>Data!C103</f>
        <v>0</v>
      </c>
      <c r="J104" s="42">
        <f>Data!J103</f>
        <v>3.0410172417759899E-2</v>
      </c>
      <c r="K104" s="16" t="b">
        <f t="shared" si="9"/>
        <v>0</v>
      </c>
      <c r="L104" s="16" t="b">
        <f t="shared" si="10"/>
        <v>0</v>
      </c>
      <c r="M104" s="16">
        <f t="shared" si="11"/>
        <v>0</v>
      </c>
      <c r="N104" s="16">
        <f t="shared" si="12"/>
        <v>0</v>
      </c>
      <c r="O104" s="16" t="b">
        <f t="shared" si="13"/>
        <v>0</v>
      </c>
      <c r="P104" s="16" t="b">
        <f>IF(N104&gt;Summary!$B$9,TRUE,FALSE)</f>
        <v>0</v>
      </c>
      <c r="Q104" s="35">
        <f t="shared" si="14"/>
        <v>0</v>
      </c>
      <c r="R104" s="47" t="str">
        <f>IF(Q104=1, 'Excessive YM Events'!$J$22, "")</f>
        <v/>
      </c>
      <c r="S104" s="31" t="str">
        <f>IF(Data!L103=0,"",Data!L103)</f>
        <v/>
      </c>
    </row>
    <row r="105" spans="1:19" ht="16.5" x14ac:dyDescent="0.3">
      <c r="A105" s="26" t="str">
        <f>Data!H104</f>
        <v>Driver2</v>
      </c>
      <c r="B105" s="26" t="str">
        <f>Data!F104</f>
        <v>FirstName2</v>
      </c>
      <c r="C105" s="26" t="str">
        <f>Data!G104</f>
        <v>LastName2</v>
      </c>
      <c r="D105" s="30" t="str">
        <f>Data!D104</f>
        <v>Vehicle2</v>
      </c>
      <c r="E105" s="25" t="str">
        <f>TEXT(INT(Data!A104),"mmm dd, yyyy")</f>
        <v>May 07, 2020</v>
      </c>
      <c r="F105" s="31">
        <f>Data!A104</f>
        <v>43958.711724537039</v>
      </c>
      <c r="G105" s="30" t="str">
        <f>Data!B104</f>
        <v>D</v>
      </c>
      <c r="H105" s="71" t="str">
        <f t="shared" si="8"/>
        <v>NOT</v>
      </c>
      <c r="I105" s="53">
        <f>Data!C104</f>
        <v>0</v>
      </c>
      <c r="J105" s="42">
        <f>Data!J104</f>
        <v>12.8766479492188</v>
      </c>
      <c r="K105" s="16" t="b">
        <f t="shared" si="9"/>
        <v>0</v>
      </c>
      <c r="L105" s="16" t="b">
        <f t="shared" si="10"/>
        <v>0</v>
      </c>
      <c r="M105" s="16">
        <f t="shared" si="11"/>
        <v>0</v>
      </c>
      <c r="N105" s="16">
        <f t="shared" si="12"/>
        <v>0</v>
      </c>
      <c r="O105" s="16" t="b">
        <f t="shared" si="13"/>
        <v>0</v>
      </c>
      <c r="P105" s="16" t="b">
        <f>IF(N105&gt;Summary!$B$9,TRUE,FALSE)</f>
        <v>0</v>
      </c>
      <c r="Q105" s="35">
        <f t="shared" si="14"/>
        <v>0</v>
      </c>
      <c r="R105" s="47" t="str">
        <f>IF(Q105=1, 'Excessive YM Events'!$J$22, "")</f>
        <v/>
      </c>
      <c r="S105" s="31" t="str">
        <f>IF(Data!L104=0,"",Data!L104)</f>
        <v/>
      </c>
    </row>
    <row r="106" spans="1:19" ht="16.5" x14ac:dyDescent="0.3">
      <c r="A106" s="26" t="str">
        <f>Data!H105</f>
        <v>Driver2</v>
      </c>
      <c r="B106" s="26" t="str">
        <f>Data!F105</f>
        <v>FirstName2</v>
      </c>
      <c r="C106" s="26" t="str">
        <f>Data!G105</f>
        <v>LastName2</v>
      </c>
      <c r="D106" s="30" t="str">
        <f>Data!D105</f>
        <v>Vehicle2</v>
      </c>
      <c r="E106" s="25" t="str">
        <f>TEXT(INT(Data!A105),"mmm dd, yyyy")</f>
        <v>May 07, 2020</v>
      </c>
      <c r="F106" s="31">
        <f>Data!A105</f>
        <v>43958.753391203703</v>
      </c>
      <c r="G106" s="30" t="str">
        <f>Data!B105</f>
        <v>INT_D</v>
      </c>
      <c r="H106" s="71" t="str">
        <f t="shared" si="8"/>
        <v>NOT</v>
      </c>
      <c r="I106" s="53">
        <f>Data!C105</f>
        <v>0</v>
      </c>
      <c r="J106" s="42">
        <f>Data!J105</f>
        <v>3.4350047111511199</v>
      </c>
      <c r="K106" s="16" t="b">
        <f t="shared" si="9"/>
        <v>0</v>
      </c>
      <c r="L106" s="16" t="b">
        <f t="shared" si="10"/>
        <v>0</v>
      </c>
      <c r="M106" s="16">
        <f t="shared" si="11"/>
        <v>0</v>
      </c>
      <c r="N106" s="16">
        <f t="shared" si="12"/>
        <v>0</v>
      </c>
      <c r="O106" s="16" t="b">
        <f t="shared" si="13"/>
        <v>0</v>
      </c>
      <c r="P106" s="16" t="b">
        <f>IF(N106&gt;Summary!$B$9,TRUE,FALSE)</f>
        <v>0</v>
      </c>
      <c r="Q106" s="35">
        <f t="shared" si="14"/>
        <v>0</v>
      </c>
      <c r="R106" s="47" t="str">
        <f>IF(Q106=1, 'Excessive YM Events'!$J$22, "")</f>
        <v/>
      </c>
      <c r="S106" s="31" t="str">
        <f>IF(Data!L105=0,"",Data!L105)</f>
        <v/>
      </c>
    </row>
    <row r="107" spans="1:19" ht="16.5" x14ac:dyDescent="0.3">
      <c r="A107" s="26" t="str">
        <f>Data!H106</f>
        <v>Driver2</v>
      </c>
      <c r="B107" s="26" t="str">
        <f>Data!F106</f>
        <v>FirstName2</v>
      </c>
      <c r="C107" s="26" t="str">
        <f>Data!G106</f>
        <v>LastName2</v>
      </c>
      <c r="D107" s="30" t="str">
        <f>Data!D106</f>
        <v>Vehicle2</v>
      </c>
      <c r="E107" s="25" t="str">
        <f>TEXT(INT(Data!A106),"mmm dd, yyyy")</f>
        <v>May 07, 2020</v>
      </c>
      <c r="F107" s="31">
        <f>Data!A106</f>
        <v>43958.795057870368</v>
      </c>
      <c r="G107" s="30" t="str">
        <f>Data!B106</f>
        <v>ON</v>
      </c>
      <c r="H107" s="71" t="str">
        <f t="shared" si="8"/>
        <v>NOT</v>
      </c>
      <c r="I107" s="53">
        <f>Data!C106</f>
        <v>0</v>
      </c>
      <c r="J107" s="42">
        <f>Data!J106</f>
        <v>4.8188012093305602E-2</v>
      </c>
      <c r="K107" s="16" t="b">
        <f t="shared" si="9"/>
        <v>0</v>
      </c>
      <c r="L107" s="16" t="b">
        <f t="shared" si="10"/>
        <v>0</v>
      </c>
      <c r="M107" s="16">
        <f t="shared" si="11"/>
        <v>0</v>
      </c>
      <c r="N107" s="16">
        <f t="shared" si="12"/>
        <v>0</v>
      </c>
      <c r="O107" s="16" t="b">
        <f t="shared" si="13"/>
        <v>0</v>
      </c>
      <c r="P107" s="16" t="b">
        <f>IF(N107&gt;Summary!$B$9,TRUE,FALSE)</f>
        <v>0</v>
      </c>
      <c r="Q107" s="35">
        <f t="shared" si="14"/>
        <v>0</v>
      </c>
      <c r="R107" s="47" t="str">
        <f>IF(Q107=1, 'Excessive YM Events'!$J$22, "")</f>
        <v/>
      </c>
      <c r="S107" s="31" t="str">
        <f>IF(Data!L106=0,"",Data!L106)</f>
        <v/>
      </c>
    </row>
    <row r="108" spans="1:19" ht="16.5" x14ac:dyDescent="0.3">
      <c r="A108" s="26" t="str">
        <f>Data!H107</f>
        <v>Driver2</v>
      </c>
      <c r="B108" s="26" t="str">
        <f>Data!F107</f>
        <v>FirstName2</v>
      </c>
      <c r="C108" s="26" t="str">
        <f>Data!G107</f>
        <v>LastName2</v>
      </c>
      <c r="D108" s="30" t="str">
        <f>Data!D107</f>
        <v>Vehicle2</v>
      </c>
      <c r="E108" s="25" t="str">
        <f>TEXT(INT(Data!A107),"mmm dd, yyyy")</f>
        <v>May 07, 2020</v>
      </c>
      <c r="F108" s="31">
        <f>Data!A107</f>
        <v>43958.804861111108</v>
      </c>
      <c r="G108" s="30" t="str">
        <f>Data!B107</f>
        <v>D</v>
      </c>
      <c r="H108" s="71" t="str">
        <f t="shared" si="8"/>
        <v>NOT</v>
      </c>
      <c r="I108" s="53">
        <f>Data!C107</f>
        <v>8.9085648148148154E-5</v>
      </c>
      <c r="J108" s="42">
        <f>Data!J107</f>
        <v>2.3130226135253902</v>
      </c>
      <c r="K108" s="16" t="b">
        <f t="shared" si="9"/>
        <v>0</v>
      </c>
      <c r="L108" s="16" t="b">
        <f t="shared" si="10"/>
        <v>0</v>
      </c>
      <c r="M108" s="16">
        <f t="shared" si="11"/>
        <v>0</v>
      </c>
      <c r="N108" s="16">
        <f t="shared" si="12"/>
        <v>0</v>
      </c>
      <c r="O108" s="16" t="b">
        <f t="shared" si="13"/>
        <v>0</v>
      </c>
      <c r="P108" s="16" t="b">
        <f>IF(N108&gt;Summary!$B$9,TRUE,FALSE)</f>
        <v>0</v>
      </c>
      <c r="Q108" s="35">
        <f t="shared" si="14"/>
        <v>0</v>
      </c>
      <c r="R108" s="47" t="str">
        <f>IF(Q108=1, 'Excessive YM Events'!$J$22, "")</f>
        <v/>
      </c>
      <c r="S108" s="31">
        <f>IF(Data!L107=0,"",Data!L107)</f>
        <v>43958.921059062501</v>
      </c>
    </row>
    <row r="109" spans="1:19" ht="16.5" x14ac:dyDescent="0.3">
      <c r="A109" s="26" t="str">
        <f>Data!H108</f>
        <v>Driver2</v>
      </c>
      <c r="B109" s="26" t="str">
        <f>Data!F108</f>
        <v>FirstName2</v>
      </c>
      <c r="C109" s="26" t="str">
        <f>Data!G108</f>
        <v>LastName2</v>
      </c>
      <c r="D109" s="30" t="str">
        <f>Data!D108</f>
        <v>Vehicle2</v>
      </c>
      <c r="E109" s="25" t="str">
        <f>TEXT(INT(Data!A108),"mmm dd, yyyy")</f>
        <v>May 07, 2020</v>
      </c>
      <c r="F109" s="31">
        <f>Data!A108</f>
        <v>43958.804950196762</v>
      </c>
      <c r="G109" s="30" t="str">
        <f>Data!B108</f>
        <v>ON</v>
      </c>
      <c r="H109" s="71" t="str">
        <f t="shared" si="8"/>
        <v>NOT</v>
      </c>
      <c r="I109" s="53">
        <f>Data!C108</f>
        <v>8.257638888888889E-4</v>
      </c>
      <c r="J109" s="42">
        <f>Data!J108</f>
        <v>2.2921569645404798E-2</v>
      </c>
      <c r="K109" s="16" t="b">
        <f t="shared" si="9"/>
        <v>0</v>
      </c>
      <c r="L109" s="16" t="b">
        <f t="shared" si="10"/>
        <v>0</v>
      </c>
      <c r="M109" s="16">
        <f t="shared" si="11"/>
        <v>0</v>
      </c>
      <c r="N109" s="16">
        <f t="shared" si="12"/>
        <v>0</v>
      </c>
      <c r="O109" s="16" t="b">
        <f t="shared" si="13"/>
        <v>0</v>
      </c>
      <c r="P109" s="16" t="b">
        <f>IF(N109&gt;Summary!$B$9,TRUE,FALSE)</f>
        <v>0</v>
      </c>
      <c r="Q109" s="35">
        <f t="shared" si="14"/>
        <v>0</v>
      </c>
      <c r="R109" s="47" t="str">
        <f>IF(Q109=1, 'Excessive YM Events'!$J$22, "")</f>
        <v/>
      </c>
      <c r="S109" s="31">
        <f>IF(Data!L108=0,"",Data!L108)</f>
        <v>43958.921059062501</v>
      </c>
    </row>
    <row r="110" spans="1:19" ht="16.5" x14ac:dyDescent="0.3">
      <c r="A110" s="26" t="str">
        <f>Data!H109</f>
        <v>Driver2</v>
      </c>
      <c r="B110" s="26" t="str">
        <f>Data!F109</f>
        <v>FirstName2</v>
      </c>
      <c r="C110" s="26" t="str">
        <f>Data!G109</f>
        <v>LastName2</v>
      </c>
      <c r="D110" s="30" t="str">
        <f>Data!D109</f>
        <v>Vehicle2</v>
      </c>
      <c r="E110" s="25" t="str">
        <f>TEXT(INT(Data!A109),"mmm dd, yyyy")</f>
        <v>May 07, 2020</v>
      </c>
      <c r="F110" s="31">
        <f>Data!A109</f>
        <v>43958.805775960645</v>
      </c>
      <c r="G110" s="30" t="str">
        <f>Data!B109</f>
        <v>D</v>
      </c>
      <c r="H110" s="71" t="str">
        <f t="shared" si="8"/>
        <v>NOT</v>
      </c>
      <c r="I110" s="53">
        <f>Data!C109</f>
        <v>5.9532870370370373E-3</v>
      </c>
      <c r="J110" s="42">
        <f>Data!J109</f>
        <v>8.8626871109008807</v>
      </c>
      <c r="K110" s="16" t="b">
        <f t="shared" si="9"/>
        <v>0</v>
      </c>
      <c r="L110" s="16" t="b">
        <f t="shared" si="10"/>
        <v>0</v>
      </c>
      <c r="M110" s="16">
        <f t="shared" si="11"/>
        <v>0</v>
      </c>
      <c r="N110" s="16">
        <f t="shared" si="12"/>
        <v>0</v>
      </c>
      <c r="O110" s="16" t="b">
        <f t="shared" si="13"/>
        <v>0</v>
      </c>
      <c r="P110" s="16" t="b">
        <f>IF(N110&gt;Summary!$B$9,TRUE,FALSE)</f>
        <v>0</v>
      </c>
      <c r="Q110" s="35">
        <f t="shared" si="14"/>
        <v>0</v>
      </c>
      <c r="R110" s="47" t="str">
        <f>IF(Q110=1, 'Excessive YM Events'!$J$22, "")</f>
        <v/>
      </c>
      <c r="S110" s="31">
        <f>IF(Data!L109=0,"",Data!L109)</f>
        <v>43958.921059108798</v>
      </c>
    </row>
    <row r="111" spans="1:19" ht="16.5" x14ac:dyDescent="0.3">
      <c r="A111" s="26" t="str">
        <f>Data!H110</f>
        <v>Driver2</v>
      </c>
      <c r="B111" s="26" t="str">
        <f>Data!F110</f>
        <v>FirstName2</v>
      </c>
      <c r="C111" s="26" t="str">
        <f>Data!G110</f>
        <v>LastName2</v>
      </c>
      <c r="D111" s="30" t="str">
        <f>Data!D110</f>
        <v>Vehicle2</v>
      </c>
      <c r="E111" s="25" t="str">
        <f>TEXT(INT(Data!A110),"mmm dd, yyyy")</f>
        <v>May 07, 2020</v>
      </c>
      <c r="F111" s="31">
        <f>Data!A110</f>
        <v>43958.811729247682</v>
      </c>
      <c r="G111" s="30" t="str">
        <f>Data!B110</f>
        <v>ON</v>
      </c>
      <c r="H111" s="71" t="str">
        <f t="shared" si="8"/>
        <v>NOT</v>
      </c>
      <c r="I111" s="53">
        <f>Data!C110</f>
        <v>2.4721412037037038E-3</v>
      </c>
      <c r="J111" s="42">
        <f>Data!J110</f>
        <v>1.73124317079782E-2</v>
      </c>
      <c r="K111" s="16" t="b">
        <f t="shared" si="9"/>
        <v>0</v>
      </c>
      <c r="L111" s="16" t="b">
        <f t="shared" si="10"/>
        <v>0</v>
      </c>
      <c r="M111" s="16">
        <f t="shared" si="11"/>
        <v>0</v>
      </c>
      <c r="N111" s="16">
        <f t="shared" si="12"/>
        <v>0</v>
      </c>
      <c r="O111" s="16" t="b">
        <f t="shared" si="13"/>
        <v>0</v>
      </c>
      <c r="P111" s="16" t="b">
        <f>IF(N111&gt;Summary!$B$9,TRUE,FALSE)</f>
        <v>0</v>
      </c>
      <c r="Q111" s="35">
        <f t="shared" si="14"/>
        <v>0</v>
      </c>
      <c r="R111" s="47" t="str">
        <f>IF(Q111=1, 'Excessive YM Events'!$J$22, "")</f>
        <v/>
      </c>
      <c r="S111" s="31">
        <f>IF(Data!L110=0,"",Data!L110)</f>
        <v>43958.921059108798</v>
      </c>
    </row>
    <row r="112" spans="1:19" ht="16.5" x14ac:dyDescent="0.3">
      <c r="A112" s="26" t="str">
        <f>Data!H111</f>
        <v>Driver2</v>
      </c>
      <c r="B112" s="26" t="str">
        <f>Data!F111</f>
        <v>FirstName2</v>
      </c>
      <c r="C112" s="26" t="str">
        <f>Data!G111</f>
        <v>LastName2</v>
      </c>
      <c r="D112" s="30" t="str">
        <f>Data!D111</f>
        <v>Vehicle2</v>
      </c>
      <c r="E112" s="25" t="str">
        <f>TEXT(INT(Data!A111),"mmm dd, yyyy")</f>
        <v>May 07, 2020</v>
      </c>
      <c r="F112" s="31">
        <f>Data!A111</f>
        <v>43958.814201388886</v>
      </c>
      <c r="G112" s="30" t="str">
        <f>Data!B111</f>
        <v>D</v>
      </c>
      <c r="H112" s="71" t="str">
        <f t="shared" si="8"/>
        <v>NOT</v>
      </c>
      <c r="I112" s="53">
        <f>Data!C111</f>
        <v>7.8831018518518522E-2</v>
      </c>
      <c r="J112" s="42">
        <f>Data!J111</f>
        <v>9.4275302886962908</v>
      </c>
      <c r="K112" s="16" t="b">
        <f t="shared" si="9"/>
        <v>0</v>
      </c>
      <c r="L112" s="16" t="b">
        <f t="shared" si="10"/>
        <v>0</v>
      </c>
      <c r="M112" s="16">
        <f t="shared" si="11"/>
        <v>0</v>
      </c>
      <c r="N112" s="16">
        <f t="shared" si="12"/>
        <v>0</v>
      </c>
      <c r="O112" s="16" t="b">
        <f t="shared" si="13"/>
        <v>0</v>
      </c>
      <c r="P112" s="16" t="b">
        <f>IF(N112&gt;Summary!$B$9,TRUE,FALSE)</f>
        <v>0</v>
      </c>
      <c r="Q112" s="35">
        <f t="shared" si="14"/>
        <v>0</v>
      </c>
      <c r="R112" s="47" t="str">
        <f>IF(Q112=1, 'Excessive YM Events'!$J$22, "")</f>
        <v/>
      </c>
      <c r="S112" s="31">
        <f>IF(Data!L111=0,"",Data!L111)</f>
        <v>43958.921059108798</v>
      </c>
    </row>
    <row r="113" spans="1:19" ht="16.5" x14ac:dyDescent="0.3">
      <c r="A113" s="26" t="str">
        <f>Data!H112</f>
        <v>Driver2</v>
      </c>
      <c r="B113" s="26" t="str">
        <f>Data!F112</f>
        <v>FirstName2</v>
      </c>
      <c r="C113" s="26" t="str">
        <f>Data!G112</f>
        <v>LastName2</v>
      </c>
      <c r="D113" s="30" t="str">
        <f>Data!D112</f>
        <v>Vehicle2</v>
      </c>
      <c r="E113" s="25" t="str">
        <f>TEXT(INT(Data!A112),"mmm dd, yyyy")</f>
        <v>May 07, 2020</v>
      </c>
      <c r="F113" s="31">
        <f>Data!A112</f>
        <v>43958.855868055558</v>
      </c>
      <c r="G113" s="30" t="str">
        <f>Data!B112</f>
        <v>ON</v>
      </c>
      <c r="H113" s="71" t="str">
        <f t="shared" si="8"/>
        <v>NOT</v>
      </c>
      <c r="I113" s="53">
        <f>Data!C112</f>
        <v>0</v>
      </c>
      <c r="J113" s="42">
        <f>Data!J112</f>
        <v>4.11268472671509E-2</v>
      </c>
      <c r="K113" s="16" t="b">
        <f t="shared" si="9"/>
        <v>0</v>
      </c>
      <c r="L113" s="16" t="b">
        <f t="shared" si="10"/>
        <v>0</v>
      </c>
      <c r="M113" s="16">
        <f t="shared" si="11"/>
        <v>0</v>
      </c>
      <c r="N113" s="16">
        <f t="shared" si="12"/>
        <v>0</v>
      </c>
      <c r="O113" s="16" t="b">
        <f t="shared" si="13"/>
        <v>0</v>
      </c>
      <c r="P113" s="16" t="b">
        <f>IF(N113&gt;Summary!$B$9,TRUE,FALSE)</f>
        <v>0</v>
      </c>
      <c r="Q113" s="35">
        <f t="shared" si="14"/>
        <v>0</v>
      </c>
      <c r="R113" s="47" t="str">
        <f>IF(Q113=1, 'Excessive YM Events'!$J$22, "")</f>
        <v/>
      </c>
      <c r="S113" s="31" t="str">
        <f>IF(Data!L112=0,"",Data!L112)</f>
        <v/>
      </c>
    </row>
    <row r="114" spans="1:19" ht="16.5" x14ac:dyDescent="0.3">
      <c r="A114" s="26" t="str">
        <f>Data!H113</f>
        <v>Driver2</v>
      </c>
      <c r="B114" s="26" t="str">
        <f>Data!F113</f>
        <v>FirstName2</v>
      </c>
      <c r="C114" s="26" t="str">
        <f>Data!G113</f>
        <v>LastName2</v>
      </c>
      <c r="D114" s="30" t="str">
        <f>Data!D113</f>
        <v>Vehicle2</v>
      </c>
      <c r="E114" s="25" t="str">
        <f>TEXT(INT(Data!A113),"mmm dd, yyyy")</f>
        <v>May 07, 2020</v>
      </c>
      <c r="F114" s="31">
        <f>Data!A113</f>
        <v>43958.89303240741</v>
      </c>
      <c r="G114" s="30" t="str">
        <f>Data!B113</f>
        <v>D</v>
      </c>
      <c r="H114" s="71" t="str">
        <f t="shared" si="8"/>
        <v>NOT</v>
      </c>
      <c r="I114" s="53">
        <f>Data!C113</f>
        <v>1.9467939814814814E-3</v>
      </c>
      <c r="J114" s="42">
        <f>Data!J113</f>
        <v>9.4658527374267596</v>
      </c>
      <c r="K114" s="16" t="b">
        <f t="shared" si="9"/>
        <v>0</v>
      </c>
      <c r="L114" s="16" t="b">
        <f t="shared" si="10"/>
        <v>0</v>
      </c>
      <c r="M114" s="16">
        <f t="shared" si="11"/>
        <v>0</v>
      </c>
      <c r="N114" s="16">
        <f t="shared" si="12"/>
        <v>0</v>
      </c>
      <c r="O114" s="16" t="b">
        <f t="shared" si="13"/>
        <v>0</v>
      </c>
      <c r="P114" s="16" t="b">
        <f>IF(N114&gt;Summary!$B$9,TRUE,FALSE)</f>
        <v>0</v>
      </c>
      <c r="Q114" s="35">
        <f t="shared" si="14"/>
        <v>0</v>
      </c>
      <c r="R114" s="47" t="str">
        <f>IF(Q114=1, 'Excessive YM Events'!$J$22, "")</f>
        <v/>
      </c>
      <c r="S114" s="31">
        <f>IF(Data!L113=0,"",Data!L113)</f>
        <v>43958.921059108798</v>
      </c>
    </row>
    <row r="115" spans="1:19" ht="16.5" x14ac:dyDescent="0.3">
      <c r="A115" s="26" t="str">
        <f>Data!H114</f>
        <v>Driver2</v>
      </c>
      <c r="B115" s="26" t="str">
        <f>Data!F114</f>
        <v>FirstName2</v>
      </c>
      <c r="C115" s="26" t="str">
        <f>Data!G114</f>
        <v>LastName2</v>
      </c>
      <c r="D115" s="30" t="str">
        <f>Data!D114</f>
        <v>Vehicle2</v>
      </c>
      <c r="E115" s="25" t="str">
        <f>TEXT(INT(Data!A114),"mmm dd, yyyy")</f>
        <v>May 07, 2020</v>
      </c>
      <c r="F115" s="31">
        <f>Data!A114</f>
        <v>43958.894979201388</v>
      </c>
      <c r="G115" s="30" t="str">
        <f>Data!B114</f>
        <v>ON</v>
      </c>
      <c r="H115" s="71" t="str">
        <f t="shared" si="8"/>
        <v>NOT</v>
      </c>
      <c r="I115" s="53">
        <f>Data!C114</f>
        <v>2.5415092592592593E-2</v>
      </c>
      <c r="J115" s="42">
        <f>Data!J114</f>
        <v>1.0984463617205601E-2</v>
      </c>
      <c r="K115" s="16" t="b">
        <f t="shared" si="9"/>
        <v>0</v>
      </c>
      <c r="L115" s="16" t="b">
        <f t="shared" si="10"/>
        <v>0</v>
      </c>
      <c r="M115" s="16">
        <f t="shared" si="11"/>
        <v>0</v>
      </c>
      <c r="N115" s="16">
        <f t="shared" si="12"/>
        <v>0</v>
      </c>
      <c r="O115" s="16" t="b">
        <f t="shared" si="13"/>
        <v>0</v>
      </c>
      <c r="P115" s="16" t="b">
        <f>IF(N115&gt;Summary!$B$9,TRUE,FALSE)</f>
        <v>0</v>
      </c>
      <c r="Q115" s="35">
        <f t="shared" si="14"/>
        <v>0</v>
      </c>
      <c r="R115" s="47" t="str">
        <f>IF(Q115=1, 'Excessive YM Events'!$J$22, "")</f>
        <v/>
      </c>
      <c r="S115" s="31">
        <f>IF(Data!L114=0,"",Data!L114)</f>
        <v>43958.921059108798</v>
      </c>
    </row>
    <row r="116" spans="1:19" ht="16.5" x14ac:dyDescent="0.3">
      <c r="A116" s="26" t="str">
        <f>Data!H115</f>
        <v>Driver2</v>
      </c>
      <c r="B116" s="26" t="str">
        <f>Data!F115</f>
        <v>FirstName2</v>
      </c>
      <c r="C116" s="26" t="str">
        <f>Data!G115</f>
        <v>LastName2</v>
      </c>
      <c r="D116" s="30" t="str">
        <f>Data!D115</f>
        <v>Vehicle2</v>
      </c>
      <c r="E116" s="25" t="str">
        <f>TEXT(INT(Data!A115),"mmm dd, yyyy")</f>
        <v>May 07, 2020</v>
      </c>
      <c r="F116" s="31">
        <f>Data!A115</f>
        <v>43958.920394293978</v>
      </c>
      <c r="G116" s="30" t="str">
        <f>Data!B115</f>
        <v>D</v>
      </c>
      <c r="H116" s="71" t="str">
        <f t="shared" si="8"/>
        <v>NOT</v>
      </c>
      <c r="I116" s="53">
        <f>Data!C115</f>
        <v>0.41293903935185183</v>
      </c>
      <c r="J116" s="42">
        <f>Data!J115</f>
        <v>1.6667178869247401</v>
      </c>
      <c r="K116" s="16" t="b">
        <f t="shared" si="9"/>
        <v>0</v>
      </c>
      <c r="L116" s="16" t="b">
        <f t="shared" si="10"/>
        <v>0</v>
      </c>
      <c r="M116" s="16">
        <f t="shared" si="11"/>
        <v>0</v>
      </c>
      <c r="N116" s="16">
        <f t="shared" si="12"/>
        <v>0</v>
      </c>
      <c r="O116" s="16" t="b">
        <f t="shared" si="13"/>
        <v>0</v>
      </c>
      <c r="P116" s="16" t="b">
        <f>IF(N116&gt;Summary!$B$9,TRUE,FALSE)</f>
        <v>0</v>
      </c>
      <c r="Q116" s="35">
        <f t="shared" si="14"/>
        <v>0</v>
      </c>
      <c r="R116" s="47" t="str">
        <f>IF(Q116=1, 'Excessive YM Events'!$J$22, "")</f>
        <v/>
      </c>
      <c r="S116" s="31">
        <f>IF(Data!L115=0,"",Data!L115)</f>
        <v>43958.921059143519</v>
      </c>
    </row>
    <row r="117" spans="1:19" ht="16.5" x14ac:dyDescent="0.3">
      <c r="A117" s="26" t="str">
        <f>Data!H116</f>
        <v>Driver2</v>
      </c>
      <c r="B117" s="26" t="str">
        <f>Data!F116</f>
        <v>FirstName2</v>
      </c>
      <c r="C117" s="26" t="str">
        <f>Data!G116</f>
        <v>LastName2</v>
      </c>
      <c r="D117" s="30" t="str">
        <f>Data!D116</f>
        <v>Vehicle2</v>
      </c>
      <c r="E117" s="25" t="str">
        <f>TEXT(INT(Data!A116),"mmm dd, yyyy")</f>
        <v>May 07, 2020</v>
      </c>
      <c r="F117" s="31">
        <f>Data!A116</f>
        <v>43958.920394293978</v>
      </c>
      <c r="G117" s="30" t="str">
        <f>Data!B116</f>
        <v>ON</v>
      </c>
      <c r="H117" s="71" t="str">
        <f t="shared" si="8"/>
        <v>NOT</v>
      </c>
      <c r="I117" s="53">
        <f>Data!C116</f>
        <v>0</v>
      </c>
      <c r="J117" s="42">
        <f>Data!J116</f>
        <v>1.80746372789145E-2</v>
      </c>
      <c r="K117" s="16" t="b">
        <f t="shared" si="9"/>
        <v>0</v>
      </c>
      <c r="L117" s="16" t="b">
        <f t="shared" si="10"/>
        <v>0</v>
      </c>
      <c r="M117" s="16">
        <f t="shared" si="11"/>
        <v>0</v>
      </c>
      <c r="N117" s="16">
        <f t="shared" si="12"/>
        <v>0</v>
      </c>
      <c r="O117" s="16" t="b">
        <f t="shared" si="13"/>
        <v>0</v>
      </c>
      <c r="P117" s="16" t="b">
        <f>IF(N117&gt;Summary!$B$9,TRUE,FALSE)</f>
        <v>0</v>
      </c>
      <c r="Q117" s="35">
        <f t="shared" si="14"/>
        <v>0</v>
      </c>
      <c r="R117" s="47" t="str">
        <f>IF(Q117=1, 'Excessive YM Events'!$J$22, "")</f>
        <v/>
      </c>
      <c r="S117" s="31">
        <f>IF(Data!L116=0,"",Data!L116)</f>
        <v>43958.921059143519</v>
      </c>
    </row>
    <row r="118" spans="1:19" ht="16.5" x14ac:dyDescent="0.3">
      <c r="A118" s="26" t="str">
        <f>Data!H117</f>
        <v>Driver2</v>
      </c>
      <c r="B118" s="26" t="str">
        <f>Data!F117</f>
        <v>FirstName2</v>
      </c>
      <c r="C118" s="26" t="str">
        <f>Data!G117</f>
        <v>LastName2</v>
      </c>
      <c r="D118" s="30" t="str">
        <f>Data!D117</f>
        <v>Vehicle2</v>
      </c>
      <c r="E118" s="25" t="str">
        <f>TEXT(INT(Data!A117),"mmm dd, yyyy")</f>
        <v>May 08, 2020</v>
      </c>
      <c r="F118" s="31">
        <f>Data!A117</f>
        <v>43959.333333333336</v>
      </c>
      <c r="G118" s="30" t="str">
        <f>Data!B117</f>
        <v>D</v>
      </c>
      <c r="H118" s="71" t="str">
        <f t="shared" si="8"/>
        <v>NOT</v>
      </c>
      <c r="I118" s="53">
        <f>Data!C117</f>
        <v>1.1124039351851852E-2</v>
      </c>
      <c r="J118" s="42">
        <f>Data!J117</f>
        <v>11.1666069030762</v>
      </c>
      <c r="K118" s="16" t="b">
        <f t="shared" si="9"/>
        <v>0</v>
      </c>
      <c r="L118" s="16" t="b">
        <f t="shared" si="10"/>
        <v>1</v>
      </c>
      <c r="M118" s="16">
        <f t="shared" si="11"/>
        <v>0</v>
      </c>
      <c r="N118" s="16">
        <f t="shared" si="12"/>
        <v>0</v>
      </c>
      <c r="O118" s="16" t="b">
        <f t="shared" si="13"/>
        <v>0</v>
      </c>
      <c r="P118" s="16" t="b">
        <f>IF(N118&gt;Summary!$B$9,TRUE,FALSE)</f>
        <v>0</v>
      </c>
      <c r="Q118" s="35">
        <f t="shared" si="14"/>
        <v>0</v>
      </c>
      <c r="R118" s="47" t="str">
        <f>IF(Q118=1, 'Excessive YM Events'!$J$22, "")</f>
        <v/>
      </c>
      <c r="S118" s="31">
        <f>IF(Data!L117=0,"",Data!L117)</f>
        <v>43961.685346712962</v>
      </c>
    </row>
    <row r="119" spans="1:19" ht="16.5" x14ac:dyDescent="0.3">
      <c r="A119" s="26" t="str">
        <f>Data!H118</f>
        <v>Driver2</v>
      </c>
      <c r="B119" s="26" t="str">
        <f>Data!F118</f>
        <v>FirstName2</v>
      </c>
      <c r="C119" s="26" t="str">
        <f>Data!G118</f>
        <v>LastName2</v>
      </c>
      <c r="D119" s="30" t="str">
        <f>Data!D118</f>
        <v>Vehicle2</v>
      </c>
      <c r="E119" s="25" t="str">
        <f>TEXT(INT(Data!A118),"mmm dd, yyyy")</f>
        <v>May 08, 2020</v>
      </c>
      <c r="F119" s="31">
        <f>Data!A118</f>
        <v>43959.344457372688</v>
      </c>
      <c r="G119" s="30" t="str">
        <f>Data!B118</f>
        <v>ON</v>
      </c>
      <c r="H119" s="71" t="str">
        <f t="shared" si="8"/>
        <v>NOT</v>
      </c>
      <c r="I119" s="53">
        <f>Data!C118</f>
        <v>1.7231828703703704E-3</v>
      </c>
      <c r="J119" s="42">
        <f>Data!J118</f>
        <v>2.0977072417736099E-2</v>
      </c>
      <c r="K119" s="16" t="b">
        <f t="shared" si="9"/>
        <v>0</v>
      </c>
      <c r="L119" s="16" t="b">
        <f t="shared" si="10"/>
        <v>0</v>
      </c>
      <c r="M119" s="16">
        <f t="shared" si="11"/>
        <v>0</v>
      </c>
      <c r="N119" s="16">
        <f t="shared" si="12"/>
        <v>0</v>
      </c>
      <c r="O119" s="16" t="b">
        <f t="shared" si="13"/>
        <v>0</v>
      </c>
      <c r="P119" s="16" t="b">
        <f>IF(N119&gt;Summary!$B$9,TRUE,FALSE)</f>
        <v>0</v>
      </c>
      <c r="Q119" s="35">
        <f t="shared" si="14"/>
        <v>0</v>
      </c>
      <c r="R119" s="47" t="str">
        <f>IF(Q119=1, 'Excessive YM Events'!$J$22, "")</f>
        <v/>
      </c>
      <c r="S119" s="31">
        <f>IF(Data!L118=0,"",Data!L118)</f>
        <v>43961.685346782404</v>
      </c>
    </row>
    <row r="120" spans="1:19" ht="16.5" x14ac:dyDescent="0.3">
      <c r="A120" s="26" t="str">
        <f>Data!H119</f>
        <v>Driver2</v>
      </c>
      <c r="B120" s="26" t="str">
        <f>Data!F119</f>
        <v>FirstName2</v>
      </c>
      <c r="C120" s="26" t="str">
        <f>Data!G119</f>
        <v>LastName2</v>
      </c>
      <c r="D120" s="30" t="str">
        <f>Data!D119</f>
        <v>Vehicle2</v>
      </c>
      <c r="E120" s="25" t="str">
        <f>TEXT(INT(Data!A119),"mmm dd, yyyy")</f>
        <v>May 08, 2020</v>
      </c>
      <c r="F120" s="31">
        <f>Data!A119</f>
        <v>43959.346180555556</v>
      </c>
      <c r="G120" s="30" t="str">
        <f>Data!B119</f>
        <v>D</v>
      </c>
      <c r="H120" s="71" t="str">
        <f t="shared" si="8"/>
        <v>NOT</v>
      </c>
      <c r="I120" s="53">
        <f>Data!C119</f>
        <v>2.3440046296296295E-3</v>
      </c>
      <c r="J120" s="42">
        <f>Data!J119</f>
        <v>5.0742669105529803</v>
      </c>
      <c r="K120" s="16" t="b">
        <f t="shared" si="9"/>
        <v>0</v>
      </c>
      <c r="L120" s="16" t="b">
        <f t="shared" si="10"/>
        <v>0</v>
      </c>
      <c r="M120" s="16">
        <f t="shared" si="11"/>
        <v>0</v>
      </c>
      <c r="N120" s="16">
        <f t="shared" si="12"/>
        <v>0</v>
      </c>
      <c r="O120" s="16" t="b">
        <f t="shared" si="13"/>
        <v>0</v>
      </c>
      <c r="P120" s="16" t="b">
        <f>IF(N120&gt;Summary!$B$9,TRUE,FALSE)</f>
        <v>0</v>
      </c>
      <c r="Q120" s="35">
        <f t="shared" si="14"/>
        <v>0</v>
      </c>
      <c r="R120" s="47" t="str">
        <f>IF(Q120=1, 'Excessive YM Events'!$J$22, "")</f>
        <v/>
      </c>
      <c r="S120" s="31">
        <f>IF(Data!L119=0,"",Data!L119)</f>
        <v>43961.685346817132</v>
      </c>
    </row>
    <row r="121" spans="1:19" ht="16.5" x14ac:dyDescent="0.3">
      <c r="A121" s="26" t="str">
        <f>Data!H120</f>
        <v>Driver2</v>
      </c>
      <c r="B121" s="26" t="str">
        <f>Data!F120</f>
        <v>FirstName2</v>
      </c>
      <c r="C121" s="26" t="str">
        <f>Data!G120</f>
        <v>LastName2</v>
      </c>
      <c r="D121" s="30" t="str">
        <f>Data!D120</f>
        <v>Vehicle2</v>
      </c>
      <c r="E121" s="25" t="str">
        <f>TEXT(INT(Data!A120),"mmm dd, yyyy")</f>
        <v>May 08, 2020</v>
      </c>
      <c r="F121" s="31">
        <f>Data!A120</f>
        <v>43959.348524560184</v>
      </c>
      <c r="G121" s="30" t="str">
        <f>Data!B120</f>
        <v>ON</v>
      </c>
      <c r="H121" s="71" t="str">
        <f t="shared" si="8"/>
        <v>NOT</v>
      </c>
      <c r="I121" s="53">
        <f>Data!C120</f>
        <v>2.6533310185185184E-2</v>
      </c>
      <c r="J121" s="42">
        <f>Data!J120</f>
        <v>8.2718394696712494E-3</v>
      </c>
      <c r="K121" s="16" t="b">
        <f t="shared" si="9"/>
        <v>0</v>
      </c>
      <c r="L121" s="16" t="b">
        <f t="shared" si="10"/>
        <v>0</v>
      </c>
      <c r="M121" s="16">
        <f t="shared" si="11"/>
        <v>0</v>
      </c>
      <c r="N121" s="16">
        <f t="shared" si="12"/>
        <v>0</v>
      </c>
      <c r="O121" s="16" t="b">
        <f t="shared" si="13"/>
        <v>0</v>
      </c>
      <c r="P121" s="16" t="b">
        <f>IF(N121&gt;Summary!$B$9,TRUE,FALSE)</f>
        <v>0</v>
      </c>
      <c r="Q121" s="35">
        <f t="shared" si="14"/>
        <v>0</v>
      </c>
      <c r="R121" s="47" t="str">
        <f>IF(Q121=1, 'Excessive YM Events'!$J$22, "")</f>
        <v/>
      </c>
      <c r="S121" s="31">
        <f>IF(Data!L120=0,"",Data!L120)</f>
        <v>43961.685346828701</v>
      </c>
    </row>
    <row r="122" spans="1:19" ht="16.5" x14ac:dyDescent="0.3">
      <c r="A122" s="26" t="str">
        <f>Data!H121</f>
        <v>Driver2</v>
      </c>
      <c r="B122" s="26" t="str">
        <f>Data!F121</f>
        <v>FirstName2</v>
      </c>
      <c r="C122" s="26" t="str">
        <f>Data!G121</f>
        <v>LastName2</v>
      </c>
      <c r="D122" s="30" t="str">
        <f>Data!D121</f>
        <v>Vehicle2</v>
      </c>
      <c r="E122" s="25" t="str">
        <f>TEXT(INT(Data!A121),"mmm dd, yyyy")</f>
        <v>May 08, 2020</v>
      </c>
      <c r="F122" s="31">
        <f>Data!A121</f>
        <v>43959.375057870369</v>
      </c>
      <c r="G122" s="30" t="str">
        <f>Data!B121</f>
        <v>D</v>
      </c>
      <c r="H122" s="71" t="str">
        <f t="shared" si="8"/>
        <v>NOT</v>
      </c>
      <c r="I122" s="53">
        <f>Data!C121</f>
        <v>0.14310725694444446</v>
      </c>
      <c r="J122" s="42">
        <f>Data!J121</f>
        <v>1.42088198661804</v>
      </c>
      <c r="K122" s="16" t="b">
        <f t="shared" si="9"/>
        <v>0</v>
      </c>
      <c r="L122" s="16" t="b">
        <f t="shared" si="10"/>
        <v>0</v>
      </c>
      <c r="M122" s="16">
        <f t="shared" si="11"/>
        <v>0</v>
      </c>
      <c r="N122" s="16">
        <f t="shared" si="12"/>
        <v>0</v>
      </c>
      <c r="O122" s="16" t="b">
        <f t="shared" si="13"/>
        <v>0</v>
      </c>
      <c r="P122" s="16" t="b">
        <f>IF(N122&gt;Summary!$B$9,TRUE,FALSE)</f>
        <v>0</v>
      </c>
      <c r="Q122" s="35">
        <f t="shared" si="14"/>
        <v>0</v>
      </c>
      <c r="R122" s="47" t="str">
        <f>IF(Q122=1, 'Excessive YM Events'!$J$22, "")</f>
        <v/>
      </c>
      <c r="S122" s="31">
        <f>IF(Data!L121=0,"",Data!L121)</f>
        <v>43961.685346840277</v>
      </c>
    </row>
    <row r="123" spans="1:19" ht="16.5" x14ac:dyDescent="0.3">
      <c r="A123" s="26" t="str">
        <f>Data!H122</f>
        <v>Driver2</v>
      </c>
      <c r="B123" s="26" t="str">
        <f>Data!F122</f>
        <v>FirstName2</v>
      </c>
      <c r="C123" s="26" t="str">
        <f>Data!G122</f>
        <v>LastName2</v>
      </c>
      <c r="D123" s="30" t="str">
        <f>Data!D122</f>
        <v>Vehicle2</v>
      </c>
      <c r="E123" s="25" t="str">
        <f>TEXT(INT(Data!A122),"mmm dd, yyyy")</f>
        <v>May 08, 2020</v>
      </c>
      <c r="F123" s="31">
        <f>Data!A122</f>
        <v>43959.416724537034</v>
      </c>
      <c r="G123" s="30" t="str">
        <f>Data!B122</f>
        <v>ON</v>
      </c>
      <c r="H123" s="71" t="str">
        <f t="shared" si="8"/>
        <v>NOT</v>
      </c>
      <c r="I123" s="53">
        <f>Data!C122</f>
        <v>0</v>
      </c>
      <c r="J123" s="42">
        <f>Data!J122</f>
        <v>3.7075344473123599E-2</v>
      </c>
      <c r="K123" s="16" t="b">
        <f t="shared" si="9"/>
        <v>0</v>
      </c>
      <c r="L123" s="16" t="b">
        <f t="shared" si="10"/>
        <v>0</v>
      </c>
      <c r="M123" s="16">
        <f t="shared" si="11"/>
        <v>0</v>
      </c>
      <c r="N123" s="16">
        <f t="shared" si="12"/>
        <v>0</v>
      </c>
      <c r="O123" s="16" t="b">
        <f t="shared" si="13"/>
        <v>0</v>
      </c>
      <c r="P123" s="16" t="b">
        <f>IF(N123&gt;Summary!$B$9,TRUE,FALSE)</f>
        <v>0</v>
      </c>
      <c r="Q123" s="35">
        <f t="shared" si="14"/>
        <v>0</v>
      </c>
      <c r="R123" s="47" t="str">
        <f>IF(Q123=1, 'Excessive YM Events'!$J$22, "")</f>
        <v/>
      </c>
      <c r="S123" s="31" t="str">
        <f>IF(Data!L122=0,"",Data!L122)</f>
        <v/>
      </c>
    </row>
    <row r="124" spans="1:19" ht="16.5" x14ac:dyDescent="0.3">
      <c r="A124" s="26" t="str">
        <f>Data!H123</f>
        <v>Driver2</v>
      </c>
      <c r="B124" s="26" t="str">
        <f>Data!F123</f>
        <v>FirstName2</v>
      </c>
      <c r="C124" s="26" t="str">
        <f>Data!G123</f>
        <v>LastName2</v>
      </c>
      <c r="D124" s="30" t="str">
        <f>Data!D123</f>
        <v>Vehicle2</v>
      </c>
      <c r="E124" s="25" t="str">
        <f>TEXT(INT(Data!A123),"mmm dd, yyyy")</f>
        <v>May 08, 2020</v>
      </c>
      <c r="F124" s="31">
        <f>Data!A123</f>
        <v>43959.458391203705</v>
      </c>
      <c r="G124" s="30" t="str">
        <f>Data!B123</f>
        <v>D</v>
      </c>
      <c r="H124" s="71" t="str">
        <f t="shared" si="8"/>
        <v>NOT</v>
      </c>
      <c r="I124" s="53">
        <f>Data!C123</f>
        <v>0</v>
      </c>
      <c r="J124" s="42">
        <f>Data!J123</f>
        <v>6.0523624420165998</v>
      </c>
      <c r="K124" s="16" t="b">
        <f t="shared" si="9"/>
        <v>0</v>
      </c>
      <c r="L124" s="16" t="b">
        <f t="shared" si="10"/>
        <v>0</v>
      </c>
      <c r="M124" s="16">
        <f t="shared" si="11"/>
        <v>0</v>
      </c>
      <c r="N124" s="16">
        <f t="shared" si="12"/>
        <v>0</v>
      </c>
      <c r="O124" s="16" t="b">
        <f t="shared" si="13"/>
        <v>0</v>
      </c>
      <c r="P124" s="16" t="b">
        <f>IF(N124&gt;Summary!$B$9,TRUE,FALSE)</f>
        <v>0</v>
      </c>
      <c r="Q124" s="35">
        <f t="shared" si="14"/>
        <v>0</v>
      </c>
      <c r="R124" s="47" t="str">
        <f>IF(Q124=1, 'Excessive YM Events'!$J$22, "")</f>
        <v/>
      </c>
      <c r="S124" s="31" t="str">
        <f>IF(Data!L123=0,"",Data!L123)</f>
        <v/>
      </c>
    </row>
    <row r="125" spans="1:19" ht="16.5" x14ac:dyDescent="0.3">
      <c r="A125" s="26" t="str">
        <f>Data!H124</f>
        <v>Driver2</v>
      </c>
      <c r="B125" s="26" t="str">
        <f>Data!F124</f>
        <v>FirstName2</v>
      </c>
      <c r="C125" s="26" t="str">
        <f>Data!G124</f>
        <v>LastName2</v>
      </c>
      <c r="D125" s="30" t="str">
        <f>Data!D124</f>
        <v>Vehicle2</v>
      </c>
      <c r="E125" s="25" t="str">
        <f>TEXT(INT(Data!A124),"mmm dd, yyyy")</f>
        <v>May 08, 2020</v>
      </c>
      <c r="F125" s="31">
        <f>Data!A124</f>
        <v>43959.500057870369</v>
      </c>
      <c r="G125" s="30" t="str">
        <f>Data!B124</f>
        <v>ON</v>
      </c>
      <c r="H125" s="71" t="str">
        <f t="shared" si="8"/>
        <v>NOT</v>
      </c>
      <c r="I125" s="53">
        <f>Data!C124</f>
        <v>0</v>
      </c>
      <c r="J125" s="42">
        <f>Data!J124</f>
        <v>0.15932556986808799</v>
      </c>
      <c r="K125" s="16" t="b">
        <f t="shared" si="9"/>
        <v>0</v>
      </c>
      <c r="L125" s="16" t="b">
        <f t="shared" si="10"/>
        <v>0</v>
      </c>
      <c r="M125" s="16">
        <f t="shared" si="11"/>
        <v>0</v>
      </c>
      <c r="N125" s="16">
        <f t="shared" si="12"/>
        <v>0</v>
      </c>
      <c r="O125" s="16" t="b">
        <f t="shared" si="13"/>
        <v>0</v>
      </c>
      <c r="P125" s="16" t="b">
        <f>IF(N125&gt;Summary!$B$9,TRUE,FALSE)</f>
        <v>0</v>
      </c>
      <c r="Q125" s="35">
        <f t="shared" si="14"/>
        <v>0</v>
      </c>
      <c r="R125" s="47" t="str">
        <f>IF(Q125=1, 'Excessive YM Events'!$J$22, "")</f>
        <v/>
      </c>
      <c r="S125" s="31" t="str">
        <f>IF(Data!L124=0,"",Data!L124)</f>
        <v/>
      </c>
    </row>
    <row r="126" spans="1:19" ht="16.5" x14ac:dyDescent="0.3">
      <c r="A126" s="26" t="str">
        <f>Data!H125</f>
        <v>Driver2</v>
      </c>
      <c r="B126" s="26" t="str">
        <f>Data!F125</f>
        <v>FirstName2</v>
      </c>
      <c r="C126" s="26" t="str">
        <f>Data!G125</f>
        <v>LastName2</v>
      </c>
      <c r="D126" s="30" t="str">
        <f>Data!D125</f>
        <v>Vehicle2</v>
      </c>
      <c r="E126" s="25" t="str">
        <f>TEXT(INT(Data!A125),"mmm dd, yyyy")</f>
        <v>May 08, 2020</v>
      </c>
      <c r="F126" s="31">
        <f>Data!A125</f>
        <v>43959.518165127316</v>
      </c>
      <c r="G126" s="30" t="str">
        <f>Data!B125</f>
        <v>D</v>
      </c>
      <c r="H126" s="71" t="str">
        <f t="shared" si="8"/>
        <v>NOT</v>
      </c>
      <c r="I126" s="53">
        <f>Data!C125</f>
        <v>2.1951111111111112E-2</v>
      </c>
      <c r="J126" s="42">
        <f>Data!J125</f>
        <v>19.289592742919901</v>
      </c>
      <c r="K126" s="16" t="b">
        <f t="shared" si="9"/>
        <v>0</v>
      </c>
      <c r="L126" s="16" t="b">
        <f t="shared" si="10"/>
        <v>0</v>
      </c>
      <c r="M126" s="16">
        <f t="shared" si="11"/>
        <v>0</v>
      </c>
      <c r="N126" s="16">
        <f t="shared" si="12"/>
        <v>0</v>
      </c>
      <c r="O126" s="16" t="b">
        <f t="shared" si="13"/>
        <v>0</v>
      </c>
      <c r="P126" s="16" t="b">
        <f>IF(N126&gt;Summary!$B$9,TRUE,FALSE)</f>
        <v>0</v>
      </c>
      <c r="Q126" s="35">
        <f t="shared" si="14"/>
        <v>0</v>
      </c>
      <c r="R126" s="47" t="str">
        <f>IF(Q126=1, 'Excessive YM Events'!$J$22, "")</f>
        <v/>
      </c>
      <c r="S126" s="31">
        <f>IF(Data!L125=0,"",Data!L125)</f>
        <v>43961.685346863429</v>
      </c>
    </row>
    <row r="127" spans="1:19" ht="16.5" x14ac:dyDescent="0.3">
      <c r="A127" s="26" t="str">
        <f>Data!H126</f>
        <v>Driver2</v>
      </c>
      <c r="B127" s="26" t="str">
        <f>Data!F126</f>
        <v>FirstName2</v>
      </c>
      <c r="C127" s="26" t="str">
        <f>Data!G126</f>
        <v>LastName2</v>
      </c>
      <c r="D127" s="30" t="str">
        <f>Data!D126</f>
        <v>Vehicle2</v>
      </c>
      <c r="E127" s="25" t="str">
        <f>TEXT(INT(Data!A126),"mmm dd, yyyy")</f>
        <v>May 08, 2020</v>
      </c>
      <c r="F127" s="31">
        <f>Data!A126</f>
        <v>43959.540116238422</v>
      </c>
      <c r="G127" s="30" t="str">
        <f>Data!B126</f>
        <v>ON</v>
      </c>
      <c r="H127" s="71" t="str">
        <f t="shared" si="8"/>
        <v>NOT</v>
      </c>
      <c r="I127" s="53">
        <f>Data!C126</f>
        <v>2.7383761574074073E-2</v>
      </c>
      <c r="J127" s="42">
        <f>Data!J126</f>
        <v>1.9876301288604702E-2</v>
      </c>
      <c r="K127" s="16" t="b">
        <f t="shared" si="9"/>
        <v>0</v>
      </c>
      <c r="L127" s="16" t="b">
        <f t="shared" si="10"/>
        <v>0</v>
      </c>
      <c r="M127" s="16">
        <f t="shared" si="11"/>
        <v>0</v>
      </c>
      <c r="N127" s="16">
        <f t="shared" si="12"/>
        <v>0</v>
      </c>
      <c r="O127" s="16" t="b">
        <f t="shared" si="13"/>
        <v>0</v>
      </c>
      <c r="P127" s="16" t="b">
        <f>IF(N127&gt;Summary!$B$9,TRUE,FALSE)</f>
        <v>0</v>
      </c>
      <c r="Q127" s="35">
        <f t="shared" si="14"/>
        <v>0</v>
      </c>
      <c r="R127" s="47" t="str">
        <f>IF(Q127=1, 'Excessive YM Events'!$J$22, "")</f>
        <v/>
      </c>
      <c r="S127" s="31">
        <f>IF(Data!L126=0,"",Data!L126)</f>
        <v>43961.685346886574</v>
      </c>
    </row>
    <row r="128" spans="1:19" ht="16.5" x14ac:dyDescent="0.3">
      <c r="A128" s="26" t="str">
        <f>Data!H127</f>
        <v>Driver2</v>
      </c>
      <c r="B128" s="26" t="str">
        <f>Data!F127</f>
        <v>FirstName2</v>
      </c>
      <c r="C128" s="26" t="str">
        <f>Data!G127</f>
        <v>LastName2</v>
      </c>
      <c r="D128" s="30" t="str">
        <f>Data!D127</f>
        <v>Vehicle2</v>
      </c>
      <c r="E128" s="25" t="str">
        <f>TEXT(INT(Data!A127),"mmm dd, yyyy")</f>
        <v>May 08, 2020</v>
      </c>
      <c r="F128" s="31">
        <f>Data!A127</f>
        <v>43959.567499999997</v>
      </c>
      <c r="G128" s="30" t="str">
        <f>Data!B127</f>
        <v>D</v>
      </c>
      <c r="H128" s="71" t="str">
        <f t="shared" si="8"/>
        <v>NOT</v>
      </c>
      <c r="I128" s="53">
        <f>Data!C127</f>
        <v>7.8643310185185181E-2</v>
      </c>
      <c r="J128" s="42">
        <f>Data!J127</f>
        <v>2.0927858352661102</v>
      </c>
      <c r="K128" s="16" t="b">
        <f t="shared" si="9"/>
        <v>0</v>
      </c>
      <c r="L128" s="16" t="b">
        <f t="shared" si="10"/>
        <v>0</v>
      </c>
      <c r="M128" s="16">
        <f t="shared" si="11"/>
        <v>0</v>
      </c>
      <c r="N128" s="16">
        <f t="shared" si="12"/>
        <v>0</v>
      </c>
      <c r="O128" s="16" t="b">
        <f t="shared" si="13"/>
        <v>0</v>
      </c>
      <c r="P128" s="16" t="b">
        <f>IF(N128&gt;Summary!$B$9,TRUE,FALSE)</f>
        <v>0</v>
      </c>
      <c r="Q128" s="35">
        <f t="shared" si="14"/>
        <v>0</v>
      </c>
      <c r="R128" s="47" t="str">
        <f>IF(Q128=1, 'Excessive YM Events'!$J$22, "")</f>
        <v/>
      </c>
      <c r="S128" s="31">
        <f>IF(Data!L127=0,"",Data!L127)</f>
        <v>43961.68534689815</v>
      </c>
    </row>
    <row r="129" spans="1:19" ht="16.5" x14ac:dyDescent="0.3">
      <c r="A129" s="26" t="str">
        <f>Data!H128</f>
        <v>Driver2</v>
      </c>
      <c r="B129" s="26" t="str">
        <f>Data!F128</f>
        <v>FirstName2</v>
      </c>
      <c r="C129" s="26" t="str">
        <f>Data!G128</f>
        <v>LastName2</v>
      </c>
      <c r="D129" s="30" t="str">
        <f>Data!D128</f>
        <v>Vehicle2</v>
      </c>
      <c r="E129" s="25" t="str">
        <f>TEXT(INT(Data!A128),"mmm dd, yyyy")</f>
        <v>May 08, 2020</v>
      </c>
      <c r="F129" s="31">
        <f>Data!A128</f>
        <v>43959.609166666669</v>
      </c>
      <c r="G129" s="30" t="str">
        <f>Data!B128</f>
        <v>ON</v>
      </c>
      <c r="H129" s="71" t="str">
        <f t="shared" si="8"/>
        <v>NOT</v>
      </c>
      <c r="I129" s="53">
        <f>Data!C128</f>
        <v>0</v>
      </c>
      <c r="J129" s="42">
        <f>Data!J128</f>
        <v>5.6357658468186899E-3</v>
      </c>
      <c r="K129" s="16" t="b">
        <f t="shared" si="9"/>
        <v>0</v>
      </c>
      <c r="L129" s="16" t="b">
        <f t="shared" si="10"/>
        <v>0</v>
      </c>
      <c r="M129" s="16">
        <f t="shared" si="11"/>
        <v>0</v>
      </c>
      <c r="N129" s="16">
        <f t="shared" si="12"/>
        <v>0</v>
      </c>
      <c r="O129" s="16" t="b">
        <f t="shared" si="13"/>
        <v>0</v>
      </c>
      <c r="P129" s="16" t="b">
        <f>IF(N129&gt;Summary!$B$9,TRUE,FALSE)</f>
        <v>0</v>
      </c>
      <c r="Q129" s="35">
        <f t="shared" si="14"/>
        <v>0</v>
      </c>
      <c r="R129" s="47" t="str">
        <f>IF(Q129=1, 'Excessive YM Events'!$J$22, "")</f>
        <v/>
      </c>
      <c r="S129" s="31" t="str">
        <f>IF(Data!L128=0,"",Data!L128)</f>
        <v/>
      </c>
    </row>
    <row r="130" spans="1:19" ht="16.5" x14ac:dyDescent="0.3">
      <c r="A130" s="26" t="str">
        <f>Data!H129</f>
        <v>Driver2</v>
      </c>
      <c r="B130" s="26" t="str">
        <f>Data!F129</f>
        <v>FirstName2</v>
      </c>
      <c r="C130" s="26" t="str">
        <f>Data!G129</f>
        <v>LastName2</v>
      </c>
      <c r="D130" s="30" t="str">
        <f>Data!D129</f>
        <v>Vehicle2</v>
      </c>
      <c r="E130" s="25" t="str">
        <f>TEXT(INT(Data!A129),"mmm dd, yyyy")</f>
        <v>May 08, 2020</v>
      </c>
      <c r="F130" s="31">
        <f>Data!A129</f>
        <v>43959.646143310187</v>
      </c>
      <c r="G130" s="30" t="str">
        <f>Data!B129</f>
        <v>YM</v>
      </c>
      <c r="H130" s="71" t="str">
        <f t="shared" si="8"/>
        <v>YM</v>
      </c>
      <c r="I130" s="53">
        <f>Data!C129</f>
        <v>5.5583912037037034E-3</v>
      </c>
      <c r="J130" s="42">
        <f>Data!J129</f>
        <v>0.98855817317962602</v>
      </c>
      <c r="K130" s="16" t="b">
        <f t="shared" si="9"/>
        <v>0</v>
      </c>
      <c r="L130" s="16" t="b">
        <f t="shared" si="10"/>
        <v>0</v>
      </c>
      <c r="M130" s="16">
        <f t="shared" si="11"/>
        <v>0.98855817317962602</v>
      </c>
      <c r="N130" s="16">
        <f t="shared" si="12"/>
        <v>0.98855817317962602</v>
      </c>
      <c r="O130" s="16" t="b">
        <f t="shared" si="13"/>
        <v>1</v>
      </c>
      <c r="P130" s="16" t="b">
        <f>IF(N130&gt;Summary!$B$9,TRUE,FALSE)</f>
        <v>0</v>
      </c>
      <c r="Q130" s="35">
        <f t="shared" si="14"/>
        <v>0</v>
      </c>
      <c r="R130" s="47" t="str">
        <f>IF(Q130=1, 'Excessive YM Events'!$J$22, "")</f>
        <v/>
      </c>
      <c r="S130" s="31">
        <f>IF(Data!L129=0,"",Data!L129)</f>
        <v>43961.685346921295</v>
      </c>
    </row>
    <row r="131" spans="1:19" ht="16.5" x14ac:dyDescent="0.3">
      <c r="A131" s="26" t="str">
        <f>Data!H130</f>
        <v>Driver2</v>
      </c>
      <c r="B131" s="26" t="str">
        <f>Data!F130</f>
        <v>FirstName2</v>
      </c>
      <c r="C131" s="26" t="str">
        <f>Data!G130</f>
        <v>LastName2</v>
      </c>
      <c r="D131" s="30" t="str">
        <f>Data!D130</f>
        <v>Vehicle2</v>
      </c>
      <c r="E131" s="25" t="str">
        <f>TEXT(INT(Data!A130),"mmm dd, yyyy")</f>
        <v>May 08, 2020</v>
      </c>
      <c r="F131" s="31">
        <f>Data!A130</f>
        <v>43959.65170170139</v>
      </c>
      <c r="G131" s="30" t="str">
        <f>Data!B130</f>
        <v>ON</v>
      </c>
      <c r="H131" s="71" t="str">
        <f t="shared" si="8"/>
        <v>NOT</v>
      </c>
      <c r="I131" s="53">
        <f>Data!C130</f>
        <v>3.6802430555555555E-3</v>
      </c>
      <c r="J131" s="42">
        <f>Data!J130</f>
        <v>9.3488022685050999E-3</v>
      </c>
      <c r="K131" s="16" t="b">
        <f t="shared" si="9"/>
        <v>0</v>
      </c>
      <c r="L131" s="16" t="b">
        <f t="shared" si="10"/>
        <v>0</v>
      </c>
      <c r="M131" s="16">
        <f t="shared" si="11"/>
        <v>0</v>
      </c>
      <c r="N131" s="16">
        <f t="shared" si="12"/>
        <v>0.98855817317962602</v>
      </c>
      <c r="O131" s="16" t="b">
        <f t="shared" si="13"/>
        <v>0</v>
      </c>
      <c r="P131" s="16" t="b">
        <f>IF(N131&gt;Summary!$B$9,TRUE,FALSE)</f>
        <v>0</v>
      </c>
      <c r="Q131" s="35">
        <f t="shared" si="14"/>
        <v>0</v>
      </c>
      <c r="R131" s="47" t="str">
        <f>IF(Q131=1, 'Excessive YM Events'!$J$22, "")</f>
        <v/>
      </c>
      <c r="S131" s="31">
        <f>IF(Data!L130=0,"",Data!L130)</f>
        <v>43961.685346932871</v>
      </c>
    </row>
    <row r="132" spans="1:19" ht="16.5" x14ac:dyDescent="0.3">
      <c r="A132" s="26" t="str">
        <f>Data!H131</f>
        <v>Driver2</v>
      </c>
      <c r="B132" s="26" t="str">
        <f>Data!F131</f>
        <v>FirstName2</v>
      </c>
      <c r="C132" s="26" t="str">
        <f>Data!G131</f>
        <v>LastName2</v>
      </c>
      <c r="D132" s="30" t="str">
        <f>Data!D131</f>
        <v>Vehicle2</v>
      </c>
      <c r="E132" s="25" t="str">
        <f>TEXT(INT(Data!A131),"mmm dd, yyyy")</f>
        <v>May 08, 2020</v>
      </c>
      <c r="F132" s="31">
        <f>Data!A131</f>
        <v>43959.655381944445</v>
      </c>
      <c r="G132" s="30" t="str">
        <f>Data!B131</f>
        <v>D</v>
      </c>
      <c r="H132" s="71" t="str">
        <f t="shared" si="8"/>
        <v>NOT</v>
      </c>
      <c r="I132" s="53">
        <f>Data!C131</f>
        <v>0.16791993055555557</v>
      </c>
      <c r="J132" s="42">
        <f>Data!J131</f>
        <v>14.841423034668001</v>
      </c>
      <c r="K132" s="16" t="b">
        <f t="shared" si="9"/>
        <v>0</v>
      </c>
      <c r="L132" s="16" t="b">
        <f t="shared" si="10"/>
        <v>0</v>
      </c>
      <c r="M132" s="16">
        <f t="shared" si="11"/>
        <v>0</v>
      </c>
      <c r="N132" s="16">
        <f t="shared" si="12"/>
        <v>0.98855817317962602</v>
      </c>
      <c r="O132" s="16" t="b">
        <f t="shared" si="13"/>
        <v>0</v>
      </c>
      <c r="P132" s="16" t="b">
        <f>IF(N132&gt;Summary!$B$9,TRUE,FALSE)</f>
        <v>0</v>
      </c>
      <c r="Q132" s="35">
        <f t="shared" si="14"/>
        <v>0</v>
      </c>
      <c r="R132" s="47" t="str">
        <f>IF(Q132=1, 'Excessive YM Events'!$J$22, "")</f>
        <v/>
      </c>
      <c r="S132" s="31">
        <f>IF(Data!L131=0,"",Data!L131)</f>
        <v>43961.685346944447</v>
      </c>
    </row>
    <row r="133" spans="1:19" ht="16.5" x14ac:dyDescent="0.3">
      <c r="A133" s="26" t="str">
        <f>Data!H132</f>
        <v>Driver2</v>
      </c>
      <c r="B133" s="26" t="str">
        <f>Data!F132</f>
        <v>FirstName2</v>
      </c>
      <c r="C133" s="26" t="str">
        <f>Data!G132</f>
        <v>LastName2</v>
      </c>
      <c r="D133" s="30" t="str">
        <f>Data!D132</f>
        <v>Vehicle2</v>
      </c>
      <c r="E133" s="25" t="str">
        <f>TEXT(INT(Data!A132),"mmm dd, yyyy")</f>
        <v>May 08, 2020</v>
      </c>
      <c r="F133" s="31">
        <f>Data!A132</f>
        <v>43959.697048611109</v>
      </c>
      <c r="G133" s="30" t="str">
        <f>Data!B132</f>
        <v>ON</v>
      </c>
      <c r="H133" s="71" t="str">
        <f t="shared" si="8"/>
        <v>NOT</v>
      </c>
      <c r="I133" s="53">
        <f>Data!C132</f>
        <v>0</v>
      </c>
      <c r="J133" s="42">
        <f>Data!J132</f>
        <v>0</v>
      </c>
      <c r="K133" s="16" t="b">
        <f t="shared" si="9"/>
        <v>0</v>
      </c>
      <c r="L133" s="16" t="b">
        <f t="shared" si="10"/>
        <v>0</v>
      </c>
      <c r="M133" s="16">
        <f t="shared" si="11"/>
        <v>0</v>
      </c>
      <c r="N133" s="16">
        <f t="shared" si="12"/>
        <v>0.98855817317962602</v>
      </c>
      <c r="O133" s="16" t="b">
        <f t="shared" si="13"/>
        <v>0</v>
      </c>
      <c r="P133" s="16" t="b">
        <f>IF(N133&gt;Summary!$B$9,TRUE,FALSE)</f>
        <v>0</v>
      </c>
      <c r="Q133" s="35">
        <f t="shared" si="14"/>
        <v>0</v>
      </c>
      <c r="R133" s="47" t="str">
        <f>IF(Q133=1, 'Excessive YM Events'!$J$22, "")</f>
        <v/>
      </c>
      <c r="S133" s="31" t="str">
        <f>IF(Data!L132=0,"",Data!L132)</f>
        <v/>
      </c>
    </row>
    <row r="134" spans="1:19" ht="16.5" x14ac:dyDescent="0.3">
      <c r="A134" s="26" t="str">
        <f>Data!H133</f>
        <v>Driver2</v>
      </c>
      <c r="B134" s="26" t="str">
        <f>Data!F133</f>
        <v>FirstName2</v>
      </c>
      <c r="C134" s="26" t="str">
        <f>Data!G133</f>
        <v>LastName2</v>
      </c>
      <c r="D134" s="30" t="str">
        <f>Data!D133</f>
        <v>Vehicle2</v>
      </c>
      <c r="E134" s="25" t="str">
        <f>TEXT(INT(Data!A133),"mmm dd, yyyy")</f>
        <v>May 08, 2020</v>
      </c>
      <c r="F134" s="31">
        <f>Data!A133</f>
        <v>43959.738715277781</v>
      </c>
      <c r="G134" s="30" t="str">
        <f>Data!B133</f>
        <v>YM</v>
      </c>
      <c r="H134" s="71" t="str">
        <f t="shared" si="8"/>
        <v>YM</v>
      </c>
      <c r="I134" s="53">
        <f>Data!C133</f>
        <v>0</v>
      </c>
      <c r="J134" s="42">
        <f>Data!J133</f>
        <v>2.1</v>
      </c>
      <c r="K134" s="16" t="b">
        <f t="shared" si="9"/>
        <v>0</v>
      </c>
      <c r="L134" s="16" t="b">
        <f t="shared" si="10"/>
        <v>0</v>
      </c>
      <c r="M134" s="16">
        <f t="shared" si="11"/>
        <v>2.1</v>
      </c>
      <c r="N134" s="16">
        <f t="shared" si="12"/>
        <v>3.0885581731796261</v>
      </c>
      <c r="O134" s="16" t="b">
        <f t="shared" si="13"/>
        <v>1</v>
      </c>
      <c r="P134" s="16" t="b">
        <f>IF(N134&gt;Summary!$B$9,TRUE,FALSE)</f>
        <v>0</v>
      </c>
      <c r="Q134" s="35">
        <f t="shared" si="14"/>
        <v>0</v>
      </c>
      <c r="R134" s="47" t="str">
        <f>IF(Q134=1, 'Excessive YM Events'!$J$22, "")</f>
        <v/>
      </c>
      <c r="S134" s="31" t="str">
        <f>IF(Data!L133=0,"",Data!L133)</f>
        <v/>
      </c>
    </row>
    <row r="135" spans="1:19" ht="16.5" x14ac:dyDescent="0.3">
      <c r="A135" s="26" t="str">
        <f>Data!H134</f>
        <v>Driver2</v>
      </c>
      <c r="B135" s="26" t="str">
        <f>Data!F134</f>
        <v>FirstName2</v>
      </c>
      <c r="C135" s="26" t="str">
        <f>Data!G134</f>
        <v>LastName2</v>
      </c>
      <c r="D135" s="30" t="str">
        <f>Data!D134</f>
        <v>Vehicle2</v>
      </c>
      <c r="E135" s="25" t="str">
        <f>TEXT(INT(Data!A134),"mmm dd, yyyy")</f>
        <v>May 08, 2020</v>
      </c>
      <c r="F135" s="31">
        <f>Data!A134</f>
        <v>43959.780381944445</v>
      </c>
      <c r="G135" s="30" t="str">
        <f>Data!B134</f>
        <v>ON</v>
      </c>
      <c r="H135" s="71" t="str">
        <f t="shared" si="8"/>
        <v>NOT</v>
      </c>
      <c r="I135" s="53">
        <f>Data!C134</f>
        <v>0</v>
      </c>
      <c r="J135" s="42">
        <f>Data!J134</f>
        <v>0</v>
      </c>
      <c r="K135" s="16" t="b">
        <f t="shared" si="9"/>
        <v>0</v>
      </c>
      <c r="L135" s="16" t="b">
        <f t="shared" si="10"/>
        <v>0</v>
      </c>
      <c r="M135" s="16">
        <f t="shared" si="11"/>
        <v>0</v>
      </c>
      <c r="N135" s="16">
        <f t="shared" si="12"/>
        <v>3.0885581731796261</v>
      </c>
      <c r="O135" s="16" t="b">
        <f t="shared" si="13"/>
        <v>0</v>
      </c>
      <c r="P135" s="16" t="b">
        <f>IF(N135&gt;Summary!$B$9,TRUE,FALSE)</f>
        <v>0</v>
      </c>
      <c r="Q135" s="35">
        <f t="shared" si="14"/>
        <v>0</v>
      </c>
      <c r="R135" s="47" t="str">
        <f>IF(Q135=1, 'Excessive YM Events'!$J$22, "")</f>
        <v/>
      </c>
      <c r="S135" s="31" t="str">
        <f>IF(Data!L134=0,"",Data!L134)</f>
        <v/>
      </c>
    </row>
    <row r="136" spans="1:19" ht="16.5" x14ac:dyDescent="0.3">
      <c r="A136" s="26" t="str">
        <f>Data!H135</f>
        <v>Driver2</v>
      </c>
      <c r="B136" s="26" t="str">
        <f>Data!F135</f>
        <v>FirstName2</v>
      </c>
      <c r="C136" s="26" t="str">
        <f>Data!G135</f>
        <v>LastName2</v>
      </c>
      <c r="D136" s="30" t="str">
        <f>Data!D135</f>
        <v>Vehicle2</v>
      </c>
      <c r="E136" s="25" t="str">
        <f>TEXT(INT(Data!A135),"mmm dd, yyyy")</f>
        <v>May 08, 2020</v>
      </c>
      <c r="F136" s="31">
        <f>Data!A135</f>
        <v>43959.823301875003</v>
      </c>
      <c r="G136" s="30" t="str">
        <f>Data!B135</f>
        <v>OFF</v>
      </c>
      <c r="H136" s="71" t="str">
        <f t="shared" si="8"/>
        <v>NOT</v>
      </c>
      <c r="I136" s="53">
        <f>Data!C135</f>
        <v>1.5592361111111111E-3</v>
      </c>
      <c r="J136" s="42">
        <f>Data!J135</f>
        <v>0</v>
      </c>
      <c r="K136" s="16" t="b">
        <f t="shared" si="9"/>
        <v>0</v>
      </c>
      <c r="L136" s="16" t="b">
        <f t="shared" si="10"/>
        <v>0</v>
      </c>
      <c r="M136" s="16">
        <f t="shared" si="11"/>
        <v>0</v>
      </c>
      <c r="N136" s="16">
        <f t="shared" si="12"/>
        <v>3.0885581731796261</v>
      </c>
      <c r="O136" s="16" t="b">
        <f t="shared" si="13"/>
        <v>0</v>
      </c>
      <c r="P136" s="16" t="b">
        <f>IF(N136&gt;Summary!$B$9,TRUE,FALSE)</f>
        <v>0</v>
      </c>
      <c r="Q136" s="35">
        <f t="shared" si="14"/>
        <v>0</v>
      </c>
      <c r="R136" s="47" t="str">
        <f>IF(Q136=1, 'Excessive YM Events'!$J$22, "")</f>
        <v/>
      </c>
      <c r="S136" s="31">
        <f>IF(Data!L135=0,"",Data!L135)</f>
        <v>43961.685346956016</v>
      </c>
    </row>
    <row r="137" spans="1:19" ht="16.5" x14ac:dyDescent="0.3">
      <c r="A137" s="26" t="str">
        <f>Data!H136</f>
        <v>Driver2</v>
      </c>
      <c r="B137" s="26" t="str">
        <f>Data!F136</f>
        <v>FirstName2</v>
      </c>
      <c r="C137" s="26" t="str">
        <f>Data!G136</f>
        <v>LastName2</v>
      </c>
      <c r="D137" s="30" t="str">
        <f>Data!D136</f>
        <v>Vehicle2</v>
      </c>
      <c r="E137" s="25" t="str">
        <f>TEXT(INT(Data!A136),"mmm dd, yyyy")</f>
        <v>May 08, 2020</v>
      </c>
      <c r="F137" s="31">
        <f>Data!A136</f>
        <v>43959.824861111112</v>
      </c>
      <c r="G137" s="30" t="str">
        <f>Data!B136</f>
        <v>ON</v>
      </c>
      <c r="H137" s="71" t="str">
        <f t="shared" si="8"/>
        <v>NOT</v>
      </c>
      <c r="I137" s="53">
        <f>Data!C136</f>
        <v>3.6851851851851851E-2</v>
      </c>
      <c r="J137" s="42">
        <f>Data!J136</f>
        <v>0</v>
      </c>
      <c r="K137" s="16" t="b">
        <f t="shared" si="9"/>
        <v>0</v>
      </c>
      <c r="L137" s="16" t="b">
        <f t="shared" si="10"/>
        <v>0</v>
      </c>
      <c r="M137" s="16">
        <f t="shared" si="11"/>
        <v>0</v>
      </c>
      <c r="N137" s="16">
        <f t="shared" si="12"/>
        <v>3.0885581731796261</v>
      </c>
      <c r="O137" s="16" t="b">
        <f t="shared" si="13"/>
        <v>0</v>
      </c>
      <c r="P137" s="16" t="b">
        <f>IF(N137&gt;Summary!$B$9,TRUE,FALSE)</f>
        <v>0</v>
      </c>
      <c r="Q137" s="35">
        <f t="shared" si="14"/>
        <v>0</v>
      </c>
      <c r="R137" s="47" t="str">
        <f>IF(Q137=1, 'Excessive YM Events'!$J$22, "")</f>
        <v/>
      </c>
      <c r="S137" s="31">
        <f>IF(Data!L136=0,"",Data!L136)</f>
        <v>43961.685346967592</v>
      </c>
    </row>
    <row r="138" spans="1:19" ht="16.5" x14ac:dyDescent="0.3">
      <c r="A138" s="26" t="str">
        <f>Data!H137</f>
        <v>Driver2</v>
      </c>
      <c r="B138" s="26" t="str">
        <f>Data!F137</f>
        <v>FirstName2</v>
      </c>
      <c r="C138" s="26" t="str">
        <f>Data!G137</f>
        <v>LastName2</v>
      </c>
      <c r="D138" s="30" t="str">
        <f>Data!D137</f>
        <v>Vehicle2</v>
      </c>
      <c r="E138" s="25" t="str">
        <f>TEXT(INT(Data!A137),"mmm dd, yyyy")</f>
        <v>May 08, 2020</v>
      </c>
      <c r="F138" s="31">
        <f>Data!A137</f>
        <v>43959.861712962964</v>
      </c>
      <c r="G138" s="30" t="str">
        <f>Data!B137</f>
        <v>YM</v>
      </c>
      <c r="H138" s="71" t="str">
        <f t="shared" si="8"/>
        <v>YM</v>
      </c>
      <c r="I138" s="53">
        <f>Data!C137</f>
        <v>2.0071759259259259E-4</v>
      </c>
      <c r="J138" s="42">
        <f>Data!J137</f>
        <v>11.186718000000001</v>
      </c>
      <c r="K138" s="16" t="b">
        <f t="shared" si="9"/>
        <v>0</v>
      </c>
      <c r="L138" s="16" t="b">
        <f t="shared" si="10"/>
        <v>0</v>
      </c>
      <c r="M138" s="16">
        <f t="shared" si="11"/>
        <v>11.186718000000001</v>
      </c>
      <c r="N138" s="16">
        <f t="shared" si="12"/>
        <v>14.275276173179627</v>
      </c>
      <c r="O138" s="16" t="b">
        <f t="shared" si="13"/>
        <v>1</v>
      </c>
      <c r="P138" s="16" t="b">
        <f>IF(N138&gt;Summary!$B$9,TRUE,FALSE)</f>
        <v>1</v>
      </c>
      <c r="Q138" s="35">
        <f t="shared" si="14"/>
        <v>1</v>
      </c>
      <c r="R138" s="47" t="str">
        <f>IF(Q138=1, 'Excessive YM Events'!$J$22, "")</f>
        <v>**Excessive YM</v>
      </c>
      <c r="S138" s="31">
        <f>IF(Data!L137=0,"",Data!L137)</f>
        <v>43961.685346990744</v>
      </c>
    </row>
    <row r="139" spans="1:19" ht="16.5" x14ac:dyDescent="0.3">
      <c r="A139" s="26" t="str">
        <f>Data!H138</f>
        <v>Driver2</v>
      </c>
      <c r="B139" s="26" t="str">
        <f>Data!F138</f>
        <v>FirstName2</v>
      </c>
      <c r="C139" s="26" t="str">
        <f>Data!G138</f>
        <v>LastName2</v>
      </c>
      <c r="D139" s="30" t="str">
        <f>Data!D138</f>
        <v>Vehicle2</v>
      </c>
      <c r="E139" s="25" t="str">
        <f>TEXT(INT(Data!A138),"mmm dd, yyyy")</f>
        <v>May 08, 2020</v>
      </c>
      <c r="F139" s="31">
        <f>Data!A138</f>
        <v>43959.861913680557</v>
      </c>
      <c r="G139" s="30" t="str">
        <f>Data!B138</f>
        <v>OFF</v>
      </c>
      <c r="H139" s="71" t="str">
        <f t="shared" si="8"/>
        <v>NOT</v>
      </c>
      <c r="I139" s="53">
        <f>Data!C138</f>
        <v>1.1380747453703703</v>
      </c>
      <c r="J139" s="42">
        <f>Data!J138</f>
        <v>0</v>
      </c>
      <c r="K139" s="16" t="b">
        <f t="shared" si="9"/>
        <v>0</v>
      </c>
      <c r="L139" s="16" t="b">
        <f t="shared" si="10"/>
        <v>0</v>
      </c>
      <c r="M139" s="16">
        <f t="shared" si="11"/>
        <v>0</v>
      </c>
      <c r="N139" s="16">
        <f t="shared" si="12"/>
        <v>14.275276173179627</v>
      </c>
      <c r="O139" s="16" t="b">
        <f t="shared" si="13"/>
        <v>0</v>
      </c>
      <c r="P139" s="16" t="b">
        <f>IF(N139&gt;Summary!$B$9,TRUE,FALSE)</f>
        <v>1</v>
      </c>
      <c r="Q139" s="35">
        <f t="shared" si="14"/>
        <v>0</v>
      </c>
      <c r="R139" s="47" t="str">
        <f>IF(Q139=1, 'Excessive YM Events'!$J$22, "")</f>
        <v/>
      </c>
      <c r="S139" s="31">
        <f>IF(Data!L138=0,"",Data!L138)</f>
        <v>43961.685347002312</v>
      </c>
    </row>
    <row r="140" spans="1:19" ht="16.5" x14ac:dyDescent="0.3">
      <c r="A140" s="26" t="str">
        <f>Data!H139</f>
        <v>Driver2</v>
      </c>
      <c r="B140" s="26" t="str">
        <f>Data!F139</f>
        <v>FirstName2</v>
      </c>
      <c r="C140" s="26" t="str">
        <f>Data!G139</f>
        <v>LastName2</v>
      </c>
      <c r="D140" s="30" t="str">
        <f>Data!D139</f>
        <v>Vehicle2</v>
      </c>
      <c r="E140" s="25" t="str">
        <f>TEXT(INT(Data!A139),"mmm dd, yyyy")</f>
        <v>May 08, 2020</v>
      </c>
      <c r="F140" s="31">
        <f>Data!A139</f>
        <v>43959.861913680557</v>
      </c>
      <c r="G140" s="30" t="str">
        <f>Data!B139</f>
        <v>ON</v>
      </c>
      <c r="H140" s="71" t="str">
        <f t="shared" si="8"/>
        <v>NOT</v>
      </c>
      <c r="I140" s="53">
        <f>Data!C139</f>
        <v>0</v>
      </c>
      <c r="J140" s="42">
        <f>Data!J139</f>
        <v>0</v>
      </c>
      <c r="K140" s="16" t="b">
        <f t="shared" si="9"/>
        <v>0</v>
      </c>
      <c r="L140" s="16" t="b">
        <f t="shared" si="10"/>
        <v>0</v>
      </c>
      <c r="M140" s="16">
        <f t="shared" si="11"/>
        <v>0</v>
      </c>
      <c r="N140" s="16">
        <f t="shared" si="12"/>
        <v>14.275276173179627</v>
      </c>
      <c r="O140" s="16" t="b">
        <f t="shared" si="13"/>
        <v>0</v>
      </c>
      <c r="P140" s="16" t="b">
        <f>IF(N140&gt;Summary!$B$9,TRUE,FALSE)</f>
        <v>1</v>
      </c>
      <c r="Q140" s="35">
        <f t="shared" si="14"/>
        <v>0</v>
      </c>
      <c r="R140" s="47" t="str">
        <f>IF(Q140=1, 'Excessive YM Events'!$J$22, "")</f>
        <v/>
      </c>
      <c r="S140" s="31">
        <f>IF(Data!L139=0,"",Data!L139)</f>
        <v>43961.685347002312</v>
      </c>
    </row>
  </sheetData>
  <autoFilter ref="A11:S140" xr:uid="{37782D17-E644-42FA-B039-5AF437EB252D}"/>
  <mergeCells count="1">
    <mergeCell ref="A4:B4"/>
  </mergeCells>
  <conditionalFormatting sqref="S10:S12 A10:Q11 A141:Q200003 A12:G12 I12:Q12 S141:S200003 M13:O140 E13:E140">
    <cfRule type="expression" dxfId="149" priority="7">
      <formula>#REF!=TRUE</formula>
    </cfRule>
  </conditionalFormatting>
  <conditionalFormatting sqref="R10:R12 R141:R200003">
    <cfRule type="expression" dxfId="148" priority="5">
      <formula>#REF!=TRUE</formula>
    </cfRule>
  </conditionalFormatting>
  <conditionalFormatting sqref="H12">
    <cfRule type="expression" dxfId="147" priority="4">
      <formula>#REF!=TRUE</formula>
    </cfRule>
  </conditionalFormatting>
  <conditionalFormatting sqref="S13:S140 A13:D140 I13:L140 P13:Q140 F13:G140">
    <cfRule type="expression" dxfId="146" priority="3">
      <formula>#REF!=TRUE</formula>
    </cfRule>
  </conditionalFormatting>
  <conditionalFormatting sqref="R13:R140">
    <cfRule type="expression" dxfId="145" priority="2">
      <formula>#REF!=TRUE</formula>
    </cfRule>
  </conditionalFormatting>
  <conditionalFormatting sqref="H13:H140">
    <cfRule type="expression" dxfId="144" priority="1">
      <formula>#REF!=TRUE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9"/>
  <sheetViews>
    <sheetView workbookViewId="0">
      <pane ySplit="10" topLeftCell="A40" activePane="bottomLeft" state="frozen"/>
      <selection pane="bottomLeft"/>
    </sheetView>
  </sheetViews>
  <sheetFormatPr defaultRowHeight="12.75" x14ac:dyDescent="0.2"/>
  <cols>
    <col min="1" max="2" width="22.28515625" customWidth="1"/>
    <col min="3" max="3" width="14" customWidth="1"/>
    <col min="4" max="4" width="17.7109375" customWidth="1"/>
    <col min="5" max="7" width="18.5703125" customWidth="1"/>
    <col min="8" max="8" width="23" customWidth="1"/>
    <col min="9" max="9" width="16.7109375" customWidth="1"/>
    <col min="10" max="10" width="13.7109375" customWidth="1"/>
    <col min="11" max="11" width="22.42578125" customWidth="1"/>
    <col min="12" max="12" width="21.42578125" customWidth="1"/>
  </cols>
  <sheetData>
    <row r="1" spans="1:12" x14ac:dyDescent="0.2">
      <c r="A1" s="6" t="s">
        <v>3</v>
      </c>
      <c r="B1" s="4" t="s">
        <v>280</v>
      </c>
      <c r="C1" s="4"/>
      <c r="E1" s="8"/>
      <c r="F1" s="8"/>
      <c r="G1" s="8"/>
    </row>
    <row r="2" spans="1:12" x14ac:dyDescent="0.2">
      <c r="A2" s="6" t="s">
        <v>2</v>
      </c>
      <c r="B2" s="4">
        <v>43961.708399895833</v>
      </c>
      <c r="C2" s="4"/>
    </row>
    <row r="3" spans="1:12" x14ac:dyDescent="0.2">
      <c r="A3" s="6" t="s">
        <v>0</v>
      </c>
      <c r="B3" s="4">
        <v>43954</v>
      </c>
      <c r="C3" s="4"/>
    </row>
    <row r="4" spans="1:12" x14ac:dyDescent="0.2">
      <c r="A4" s="6" t="s">
        <v>1</v>
      </c>
      <c r="B4" s="4">
        <v>43960.999988425923</v>
      </c>
      <c r="C4" s="4"/>
    </row>
    <row r="5" spans="1:12" x14ac:dyDescent="0.2">
      <c r="A5" s="6" t="s">
        <v>4</v>
      </c>
      <c r="B5" s="4" t="s">
        <v>281</v>
      </c>
      <c r="C5" s="4"/>
    </row>
    <row r="6" spans="1:12" x14ac:dyDescent="0.2">
      <c r="A6" s="6" t="s">
        <v>5</v>
      </c>
      <c r="B6" s="4" t="s">
        <v>282</v>
      </c>
      <c r="C6" s="4"/>
    </row>
    <row r="7" spans="1:12" x14ac:dyDescent="0.2">
      <c r="A7" s="6" t="s">
        <v>6</v>
      </c>
      <c r="B7" s="4" t="b">
        <v>1</v>
      </c>
      <c r="C7" s="4"/>
    </row>
    <row r="8" spans="1:12" x14ac:dyDescent="0.2">
      <c r="A8" s="6" t="s">
        <v>7</v>
      </c>
      <c r="B8" s="4" t="s">
        <v>259</v>
      </c>
      <c r="C8" s="4"/>
    </row>
    <row r="9" spans="1:12" x14ac:dyDescent="0.2">
      <c r="A9" s="6" t="s">
        <v>117</v>
      </c>
      <c r="B9" s="4" t="s">
        <v>118</v>
      </c>
      <c r="C9" s="4"/>
    </row>
    <row r="10" spans="1:12" ht="26.25" customHeight="1" thickBot="1" x14ac:dyDescent="0.25">
      <c r="A10" s="2" t="s">
        <v>15</v>
      </c>
      <c r="B10" s="2" t="s">
        <v>16</v>
      </c>
      <c r="C10" s="2" t="s">
        <v>238</v>
      </c>
      <c r="D10" s="2" t="s">
        <v>17</v>
      </c>
      <c r="E10" s="2" t="s">
        <v>18</v>
      </c>
      <c r="F10" s="2" t="s">
        <v>129</v>
      </c>
      <c r="G10" s="2" t="s">
        <v>130</v>
      </c>
      <c r="H10" s="2" t="s">
        <v>19</v>
      </c>
      <c r="I10" s="2" t="s">
        <v>261</v>
      </c>
      <c r="J10" s="2" t="s">
        <v>20</v>
      </c>
      <c r="K10" s="2" t="s">
        <v>116</v>
      </c>
      <c r="L10" s="2" t="s">
        <v>21</v>
      </c>
    </row>
    <row r="11" spans="1:12" x14ac:dyDescent="0.2">
      <c r="A11" s="4">
        <v>43954</v>
      </c>
      <c r="B11" s="4" t="s">
        <v>10</v>
      </c>
      <c r="C11" s="12">
        <v>1.2951388888888888</v>
      </c>
      <c r="D11" s="3" t="s">
        <v>264</v>
      </c>
      <c r="E11" s="3" t="s">
        <v>265</v>
      </c>
      <c r="F11" s="3" t="s">
        <v>266</v>
      </c>
      <c r="G11" s="3" t="s">
        <v>267</v>
      </c>
      <c r="H11" s="3" t="s">
        <v>268</v>
      </c>
      <c r="I11" s="3"/>
      <c r="J11" s="3">
        <v>2.48548483848572</v>
      </c>
      <c r="L11" s="4">
        <v>43956.861915891204</v>
      </c>
    </row>
    <row r="12" spans="1:12" x14ac:dyDescent="0.2">
      <c r="A12" s="4">
        <v>43955.295138888891</v>
      </c>
      <c r="B12" s="4" t="s">
        <v>8</v>
      </c>
      <c r="C12" s="12">
        <v>1.1138194444444444E-2</v>
      </c>
      <c r="D12" s="3" t="s">
        <v>264</v>
      </c>
      <c r="E12" s="3" t="s">
        <v>265</v>
      </c>
      <c r="F12" s="3" t="s">
        <v>266</v>
      </c>
      <c r="G12" s="3" t="s">
        <v>267</v>
      </c>
      <c r="H12" s="3" t="s">
        <v>268</v>
      </c>
      <c r="I12" s="3"/>
      <c r="K12" s="3"/>
      <c r="L12" s="4">
        <v>43956.285633564818</v>
      </c>
    </row>
    <row r="13" spans="1:12" x14ac:dyDescent="0.2">
      <c r="A13" s="4">
        <v>43955.304363460651</v>
      </c>
      <c r="B13" s="4" t="s">
        <v>9</v>
      </c>
      <c r="D13" s="3" t="s">
        <v>264</v>
      </c>
      <c r="E13" s="3" t="s">
        <v>265</v>
      </c>
      <c r="F13" s="3" t="s">
        <v>266</v>
      </c>
      <c r="G13" s="3" t="s">
        <v>267</v>
      </c>
      <c r="H13" s="3" t="s">
        <v>268</v>
      </c>
      <c r="I13" s="3"/>
      <c r="L13" s="4">
        <v>43956.285633564818</v>
      </c>
    </row>
    <row r="14" spans="1:12" x14ac:dyDescent="0.2">
      <c r="A14" s="4">
        <v>43955.306277083335</v>
      </c>
      <c r="B14" s="4" t="s">
        <v>10</v>
      </c>
      <c r="C14" s="12">
        <v>4.5902777777777777E-4</v>
      </c>
      <c r="D14" s="3" t="s">
        <v>264</v>
      </c>
      <c r="E14" s="3" t="s">
        <v>265</v>
      </c>
      <c r="F14" s="3" t="s">
        <v>266</v>
      </c>
      <c r="G14" s="3" t="s">
        <v>267</v>
      </c>
      <c r="H14" s="3" t="s">
        <v>268</v>
      </c>
      <c r="I14" s="3"/>
      <c r="J14" s="3">
        <v>0.88891088962554898</v>
      </c>
      <c r="L14" s="4">
        <v>43956.285633645835</v>
      </c>
    </row>
    <row r="15" spans="1:12" x14ac:dyDescent="0.2">
      <c r="A15" s="4">
        <v>43955.30673611111</v>
      </c>
      <c r="B15" s="4" t="s">
        <v>8</v>
      </c>
      <c r="C15" s="12">
        <v>3.2361111111111111E-2</v>
      </c>
      <c r="D15" s="3" t="s">
        <v>264</v>
      </c>
      <c r="E15" s="3" t="s">
        <v>265</v>
      </c>
      <c r="F15" s="3" t="s">
        <v>266</v>
      </c>
      <c r="G15" s="3" t="s">
        <v>267</v>
      </c>
      <c r="H15" s="3" t="s">
        <v>268</v>
      </c>
      <c r="I15" s="3"/>
      <c r="J15" s="3">
        <v>8.0417729914188402E-3</v>
      </c>
      <c r="L15" s="4">
        <v>43956.285633645835</v>
      </c>
    </row>
    <row r="16" spans="1:12" x14ac:dyDescent="0.2">
      <c r="A16" s="4">
        <v>43955.339097222219</v>
      </c>
      <c r="B16" s="4" t="s">
        <v>10</v>
      </c>
      <c r="C16" s="12">
        <v>2.9050925925925926E-5</v>
      </c>
      <c r="D16" s="3" t="s">
        <v>264</v>
      </c>
      <c r="E16" s="3" t="s">
        <v>265</v>
      </c>
      <c r="F16" s="3" t="s">
        <v>266</v>
      </c>
      <c r="G16" s="3" t="s">
        <v>267</v>
      </c>
      <c r="H16" s="3" t="s">
        <v>268</v>
      </c>
      <c r="I16" s="3"/>
      <c r="J16" s="3">
        <v>0.93382579088211104</v>
      </c>
      <c r="L16" s="4">
        <v>43956.285633645835</v>
      </c>
    </row>
    <row r="17" spans="1:12" x14ac:dyDescent="0.2">
      <c r="A17" s="4">
        <v>43955.339126273146</v>
      </c>
      <c r="B17" s="4" t="s">
        <v>8</v>
      </c>
      <c r="C17" s="12">
        <v>2.1591319444444444E-2</v>
      </c>
      <c r="D17" s="3" t="s">
        <v>264</v>
      </c>
      <c r="E17" s="3" t="s">
        <v>265</v>
      </c>
      <c r="F17" s="3" t="s">
        <v>266</v>
      </c>
      <c r="G17" s="3" t="s">
        <v>267</v>
      </c>
      <c r="H17" s="3" t="s">
        <v>268</v>
      </c>
      <c r="I17" s="3"/>
      <c r="J17" s="3">
        <v>0</v>
      </c>
      <c r="L17" s="4">
        <v>43956.285633680556</v>
      </c>
    </row>
    <row r="18" spans="1:12" x14ac:dyDescent="0.2">
      <c r="A18" s="4">
        <v>43955.360717592594</v>
      </c>
      <c r="B18" s="4" t="s">
        <v>10</v>
      </c>
      <c r="C18" s="12">
        <v>1.1467789351851852E-2</v>
      </c>
      <c r="D18" s="3" t="s">
        <v>264</v>
      </c>
      <c r="E18" s="3" t="s">
        <v>265</v>
      </c>
      <c r="F18" s="3" t="s">
        <v>266</v>
      </c>
      <c r="G18" s="3" t="s">
        <v>267</v>
      </c>
      <c r="H18" s="3" t="s">
        <v>268</v>
      </c>
      <c r="I18" s="3"/>
      <c r="J18" s="3">
        <v>0.76383650302886996</v>
      </c>
      <c r="L18" s="4">
        <v>43956.285633680556</v>
      </c>
    </row>
    <row r="19" spans="1:12" x14ac:dyDescent="0.2">
      <c r="A19" s="4">
        <v>43955.372185381944</v>
      </c>
      <c r="B19" s="4" t="s">
        <v>8</v>
      </c>
      <c r="C19" s="12">
        <v>3.0931400462962964E-2</v>
      </c>
      <c r="D19" s="3" t="s">
        <v>264</v>
      </c>
      <c r="E19" s="3" t="s">
        <v>265</v>
      </c>
      <c r="F19" s="3" t="s">
        <v>266</v>
      </c>
      <c r="G19" s="3" t="s">
        <v>267</v>
      </c>
      <c r="H19" s="3" t="s">
        <v>268</v>
      </c>
      <c r="I19" s="3"/>
      <c r="J19" s="3">
        <v>8.1987697631120699E-3</v>
      </c>
      <c r="L19" s="4">
        <v>43956.285633715277</v>
      </c>
    </row>
    <row r="20" spans="1:12" x14ac:dyDescent="0.2">
      <c r="A20" s="4">
        <v>43955.403116782407</v>
      </c>
      <c r="B20" s="4" t="s">
        <v>10</v>
      </c>
      <c r="C20" s="12">
        <v>5.7890162037037035E-2</v>
      </c>
      <c r="D20" s="3" t="s">
        <v>264</v>
      </c>
      <c r="E20" s="3" t="s">
        <v>265</v>
      </c>
      <c r="F20" s="3" t="s">
        <v>266</v>
      </c>
      <c r="G20" s="3" t="s">
        <v>267</v>
      </c>
      <c r="H20" s="3" t="s">
        <v>268</v>
      </c>
      <c r="I20" s="3"/>
      <c r="J20" s="3">
        <v>6.1095294952392596</v>
      </c>
      <c r="L20" s="4">
        <v>43956.285633715277</v>
      </c>
    </row>
    <row r="21" spans="1:12" x14ac:dyDescent="0.2">
      <c r="A21" s="4">
        <v>43955.461006944446</v>
      </c>
      <c r="B21" s="4" t="s">
        <v>8</v>
      </c>
      <c r="C21" s="12">
        <v>0.20180706018518518</v>
      </c>
      <c r="D21" s="3" t="s">
        <v>264</v>
      </c>
      <c r="E21" s="3" t="s">
        <v>265</v>
      </c>
      <c r="F21" s="3" t="s">
        <v>266</v>
      </c>
      <c r="G21" s="3" t="s">
        <v>267</v>
      </c>
      <c r="H21" s="3" t="s">
        <v>268</v>
      </c>
      <c r="I21" s="3"/>
      <c r="J21" s="3">
        <v>1.5320825390517699E-2</v>
      </c>
      <c r="L21" s="4">
        <v>43956.285633715277</v>
      </c>
    </row>
    <row r="22" spans="1:12" x14ac:dyDescent="0.2">
      <c r="A22" s="4">
        <v>43955.50267361111</v>
      </c>
      <c r="B22" s="4" t="s">
        <v>285</v>
      </c>
      <c r="D22" s="3" t="s">
        <v>264</v>
      </c>
      <c r="E22" s="3" t="s">
        <v>265</v>
      </c>
      <c r="F22" s="3" t="s">
        <v>266</v>
      </c>
      <c r="G22" s="3" t="s">
        <v>267</v>
      </c>
      <c r="H22" s="3" t="s">
        <v>268</v>
      </c>
      <c r="I22" s="3"/>
      <c r="J22" s="3">
        <v>20.6869106292725</v>
      </c>
    </row>
    <row r="23" spans="1:12" x14ac:dyDescent="0.2">
      <c r="A23" s="4">
        <v>43955.544340277775</v>
      </c>
      <c r="B23" s="4" t="s">
        <v>8</v>
      </c>
      <c r="D23" s="3" t="s">
        <v>264</v>
      </c>
      <c r="E23" s="3" t="s">
        <v>265</v>
      </c>
      <c r="F23" s="3" t="s">
        <v>266</v>
      </c>
      <c r="G23" s="3" t="s">
        <v>267</v>
      </c>
      <c r="H23" s="3" t="s">
        <v>268</v>
      </c>
      <c r="I23" s="3"/>
      <c r="J23" s="3">
        <v>0</v>
      </c>
    </row>
    <row r="24" spans="1:12" x14ac:dyDescent="0.2">
      <c r="A24" s="4">
        <v>43955.586006944446</v>
      </c>
      <c r="B24" s="4" t="s">
        <v>10</v>
      </c>
      <c r="D24" s="3" t="s">
        <v>264</v>
      </c>
      <c r="E24" s="3" t="s">
        <v>265</v>
      </c>
      <c r="F24" s="3" t="s">
        <v>266</v>
      </c>
      <c r="G24" s="3" t="s">
        <v>267</v>
      </c>
      <c r="H24" s="3" t="s">
        <v>268</v>
      </c>
      <c r="I24" s="3"/>
      <c r="J24" s="3">
        <v>18.564384460449201</v>
      </c>
    </row>
    <row r="25" spans="1:12" x14ac:dyDescent="0.2">
      <c r="A25" s="4">
        <v>43955.62767361111</v>
      </c>
      <c r="B25" s="4" t="s">
        <v>8</v>
      </c>
      <c r="D25" s="3" t="s">
        <v>264</v>
      </c>
      <c r="E25" s="3" t="s">
        <v>265</v>
      </c>
      <c r="F25" s="3" t="s">
        <v>266</v>
      </c>
      <c r="G25" s="3" t="s">
        <v>267</v>
      </c>
      <c r="H25" s="3" t="s">
        <v>268</v>
      </c>
      <c r="I25" s="3"/>
      <c r="J25" s="3">
        <v>0</v>
      </c>
    </row>
    <row r="26" spans="1:12" x14ac:dyDescent="0.2">
      <c r="A26" s="4">
        <v>43955.66281400463</v>
      </c>
      <c r="B26" s="4" t="s">
        <v>10</v>
      </c>
      <c r="C26" s="12">
        <v>8.8922106481481474E-3</v>
      </c>
      <c r="D26" s="3" t="s">
        <v>264</v>
      </c>
      <c r="E26" s="3" t="s">
        <v>265</v>
      </c>
      <c r="F26" s="3" t="s">
        <v>266</v>
      </c>
      <c r="G26" s="3" t="s">
        <v>267</v>
      </c>
      <c r="H26" s="3" t="s">
        <v>268</v>
      </c>
      <c r="I26" s="3"/>
      <c r="J26" s="3">
        <v>9.7211904823780101E-2</v>
      </c>
      <c r="L26" s="4">
        <v>43956.285633761574</v>
      </c>
    </row>
    <row r="27" spans="1:12" x14ac:dyDescent="0.2">
      <c r="A27" s="4">
        <v>43955.671706215275</v>
      </c>
      <c r="B27" s="4" t="s">
        <v>8</v>
      </c>
      <c r="C27" s="12">
        <v>6.7660069444444443E-3</v>
      </c>
      <c r="D27" s="3" t="s">
        <v>264</v>
      </c>
      <c r="E27" s="3" t="s">
        <v>265</v>
      </c>
      <c r="F27" s="3" t="s">
        <v>266</v>
      </c>
      <c r="G27" s="3" t="s">
        <v>267</v>
      </c>
      <c r="H27" s="3" t="s">
        <v>268</v>
      </c>
      <c r="I27" s="3"/>
      <c r="J27" s="3">
        <v>0</v>
      </c>
      <c r="L27" s="4">
        <v>43956.285633761574</v>
      </c>
    </row>
    <row r="28" spans="1:12" x14ac:dyDescent="0.2">
      <c r="A28" s="4">
        <v>43955.678472222222</v>
      </c>
      <c r="B28" s="4" t="s">
        <v>10</v>
      </c>
      <c r="C28" s="12">
        <v>7.8551620370370376E-2</v>
      </c>
      <c r="D28" s="3" t="s">
        <v>264</v>
      </c>
      <c r="E28" s="3" t="s">
        <v>265</v>
      </c>
      <c r="F28" s="3" t="s">
        <v>266</v>
      </c>
      <c r="G28" s="3" t="s">
        <v>267</v>
      </c>
      <c r="H28" s="3" t="s">
        <v>268</v>
      </c>
      <c r="I28" s="3"/>
      <c r="J28" s="3">
        <v>30.634231567382798</v>
      </c>
      <c r="L28" s="4">
        <v>43956.285633761574</v>
      </c>
    </row>
    <row r="29" spans="1:12" x14ac:dyDescent="0.2">
      <c r="A29" s="4">
        <v>43955.720138888886</v>
      </c>
      <c r="B29" s="4" t="s">
        <v>8</v>
      </c>
      <c r="D29" s="3" t="s">
        <v>264</v>
      </c>
      <c r="E29" s="3" t="s">
        <v>265</v>
      </c>
      <c r="F29" s="3" t="s">
        <v>266</v>
      </c>
      <c r="G29" s="3" t="s">
        <v>267</v>
      </c>
      <c r="H29" s="3" t="s">
        <v>268</v>
      </c>
      <c r="I29" s="3"/>
      <c r="J29" s="3">
        <v>1.09222494065762E-2</v>
      </c>
    </row>
    <row r="30" spans="1:12" x14ac:dyDescent="0.2">
      <c r="A30" s="4">
        <v>43955.757023842591</v>
      </c>
      <c r="B30" s="4" t="s">
        <v>10</v>
      </c>
      <c r="C30" s="12">
        <v>2.3161342592592591E-2</v>
      </c>
      <c r="D30" s="3" t="s">
        <v>264</v>
      </c>
      <c r="E30" s="3" t="s">
        <v>265</v>
      </c>
      <c r="F30" s="3" t="s">
        <v>266</v>
      </c>
      <c r="G30" s="3" t="s">
        <v>267</v>
      </c>
      <c r="H30" s="3" t="s">
        <v>268</v>
      </c>
      <c r="I30" s="3"/>
      <c r="J30" s="3">
        <v>46.344535827636697</v>
      </c>
      <c r="L30" s="4">
        <v>43956.285633796295</v>
      </c>
    </row>
    <row r="31" spans="1:12" x14ac:dyDescent="0.2">
      <c r="A31" s="4">
        <v>43955.780185185184</v>
      </c>
      <c r="B31" s="4" t="s">
        <v>8</v>
      </c>
      <c r="C31" s="12">
        <v>8.1562499999999996E-2</v>
      </c>
      <c r="D31" s="3" t="s">
        <v>264</v>
      </c>
      <c r="E31" s="3" t="s">
        <v>265</v>
      </c>
      <c r="F31" s="3" t="s">
        <v>266</v>
      </c>
      <c r="G31" s="3" t="s">
        <v>267</v>
      </c>
      <c r="H31" s="3" t="s">
        <v>268</v>
      </c>
      <c r="I31" s="3"/>
      <c r="J31" s="3">
        <v>0</v>
      </c>
      <c r="L31" s="4">
        <v>43956.285633796295</v>
      </c>
    </row>
    <row r="32" spans="1:12" x14ac:dyDescent="0.2">
      <c r="A32" s="4">
        <v>43955.821851851855</v>
      </c>
      <c r="B32" s="4" t="s">
        <v>10</v>
      </c>
      <c r="D32" s="3" t="s">
        <v>264</v>
      </c>
      <c r="E32" s="3" t="s">
        <v>265</v>
      </c>
      <c r="F32" s="3" t="s">
        <v>266</v>
      </c>
      <c r="G32" s="3" t="s">
        <v>267</v>
      </c>
      <c r="H32" s="3" t="s">
        <v>268</v>
      </c>
      <c r="I32" s="3"/>
      <c r="J32" s="3">
        <v>18.876789093017599</v>
      </c>
    </row>
    <row r="33" spans="1:12" x14ac:dyDescent="0.2">
      <c r="A33" s="4">
        <v>43955.861747685187</v>
      </c>
      <c r="B33" s="4" t="s">
        <v>8</v>
      </c>
      <c r="C33" s="12">
        <v>4.6631944444444444E-4</v>
      </c>
      <c r="D33" s="3" t="s">
        <v>264</v>
      </c>
      <c r="E33" s="3" t="s">
        <v>265</v>
      </c>
      <c r="F33" s="3" t="s">
        <v>266</v>
      </c>
      <c r="G33" s="3" t="s">
        <v>267</v>
      </c>
      <c r="H33" s="3" t="s">
        <v>268</v>
      </c>
      <c r="I33" s="3"/>
      <c r="J33" s="3">
        <v>0</v>
      </c>
      <c r="L33" s="4">
        <v>43956.285633796295</v>
      </c>
    </row>
    <row r="34" spans="1:12" x14ac:dyDescent="0.2">
      <c r="A34" s="4">
        <v>43955.862214004628</v>
      </c>
      <c r="B34" s="4" t="s">
        <v>10</v>
      </c>
      <c r="C34" s="12">
        <v>0.42042488425925928</v>
      </c>
      <c r="D34" s="3" t="s">
        <v>264</v>
      </c>
      <c r="E34" s="3" t="s">
        <v>265</v>
      </c>
      <c r="F34" s="3" t="s">
        <v>266</v>
      </c>
      <c r="G34" s="3" t="s">
        <v>267</v>
      </c>
      <c r="H34" s="3" t="s">
        <v>268</v>
      </c>
      <c r="I34" s="3"/>
      <c r="J34" s="3">
        <v>1.0338554382324201</v>
      </c>
      <c r="K34" s="3"/>
      <c r="L34" s="4">
        <v>43956.285633831016</v>
      </c>
    </row>
    <row r="35" spans="1:12" x14ac:dyDescent="0.2">
      <c r="A35" s="4">
        <v>43955.862214004628</v>
      </c>
      <c r="B35" s="4" t="s">
        <v>8</v>
      </c>
      <c r="D35" s="3" t="s">
        <v>264</v>
      </c>
      <c r="E35" s="3" t="s">
        <v>265</v>
      </c>
      <c r="F35" s="3" t="s">
        <v>266</v>
      </c>
      <c r="G35" s="3" t="s">
        <v>267</v>
      </c>
      <c r="H35" s="3" t="s">
        <v>268</v>
      </c>
      <c r="I35" s="3"/>
      <c r="J35" s="3">
        <v>0</v>
      </c>
      <c r="L35" s="4">
        <v>43956.285633831016</v>
      </c>
    </row>
    <row r="36" spans="1:12" x14ac:dyDescent="0.2">
      <c r="A36" s="4">
        <v>43956.282638888886</v>
      </c>
      <c r="B36" s="4" t="s">
        <v>10</v>
      </c>
      <c r="C36" s="12">
        <v>1.0052511574074075E-2</v>
      </c>
      <c r="D36" s="3" t="s">
        <v>264</v>
      </c>
      <c r="E36" s="3" t="s">
        <v>265</v>
      </c>
      <c r="F36" s="3" t="s">
        <v>266</v>
      </c>
      <c r="G36" s="3" t="s">
        <v>267</v>
      </c>
      <c r="H36" s="3" t="s">
        <v>268</v>
      </c>
      <c r="I36" s="3"/>
      <c r="J36" s="3">
        <v>2.2360694408416699</v>
      </c>
      <c r="K36" s="3"/>
      <c r="L36" s="4">
        <v>43956.861388773148</v>
      </c>
    </row>
    <row r="37" spans="1:12" x14ac:dyDescent="0.2">
      <c r="A37" s="4">
        <v>43956.292691400464</v>
      </c>
      <c r="B37" s="4" t="s">
        <v>8</v>
      </c>
      <c r="C37" s="12">
        <v>7.2295138888888886E-4</v>
      </c>
      <c r="D37" s="3" t="s">
        <v>264</v>
      </c>
      <c r="E37" s="3" t="s">
        <v>265</v>
      </c>
      <c r="F37" s="3" t="s">
        <v>266</v>
      </c>
      <c r="G37" s="3" t="s">
        <v>267</v>
      </c>
      <c r="H37" s="3" t="s">
        <v>268</v>
      </c>
      <c r="I37" s="3"/>
      <c r="J37" s="3">
        <v>2.2216470912098898E-2</v>
      </c>
      <c r="L37" s="4">
        <v>43956.861388807869</v>
      </c>
    </row>
    <row r="38" spans="1:12" x14ac:dyDescent="0.2">
      <c r="A38" s="4">
        <v>43956.293414351851</v>
      </c>
      <c r="B38" s="4" t="s">
        <v>10</v>
      </c>
      <c r="C38" s="12">
        <v>0.16371315972222222</v>
      </c>
      <c r="D38" s="3" t="s">
        <v>264</v>
      </c>
      <c r="E38" s="3" t="s">
        <v>265</v>
      </c>
      <c r="F38" s="3" t="s">
        <v>266</v>
      </c>
      <c r="G38" s="3" t="s">
        <v>267</v>
      </c>
      <c r="H38" s="3" t="s">
        <v>268</v>
      </c>
      <c r="I38" s="3"/>
      <c r="J38" s="3">
        <v>5.8045482635498002</v>
      </c>
      <c r="L38" s="4">
        <v>43956.861388854166</v>
      </c>
    </row>
    <row r="39" spans="1:12" x14ac:dyDescent="0.2">
      <c r="A39" s="4">
        <v>43956.335081018522</v>
      </c>
      <c r="B39" s="4" t="s">
        <v>8</v>
      </c>
      <c r="D39" s="3" t="s">
        <v>264</v>
      </c>
      <c r="E39" s="3" t="s">
        <v>265</v>
      </c>
      <c r="F39" s="3" t="s">
        <v>266</v>
      </c>
      <c r="G39" s="3" t="s">
        <v>267</v>
      </c>
      <c r="H39" s="3" t="s">
        <v>268</v>
      </c>
      <c r="I39" s="3"/>
      <c r="J39" s="3">
        <v>9.4726877287030203E-3</v>
      </c>
    </row>
    <row r="40" spans="1:12" x14ac:dyDescent="0.2">
      <c r="A40" s="4">
        <v>43956.376747685186</v>
      </c>
      <c r="B40" s="4" t="s">
        <v>10</v>
      </c>
      <c r="D40" s="3" t="s">
        <v>264</v>
      </c>
      <c r="E40" s="3" t="s">
        <v>265</v>
      </c>
      <c r="F40" s="3" t="s">
        <v>266</v>
      </c>
      <c r="G40" s="3" t="s">
        <v>267</v>
      </c>
      <c r="H40" s="3" t="s">
        <v>268</v>
      </c>
      <c r="I40" s="3"/>
      <c r="J40" s="3">
        <v>1.60622262954712</v>
      </c>
    </row>
    <row r="41" spans="1:12" x14ac:dyDescent="0.2">
      <c r="A41" s="4">
        <v>43956.418414351851</v>
      </c>
      <c r="B41" s="4" t="s">
        <v>8</v>
      </c>
      <c r="D41" s="3" t="s">
        <v>264</v>
      </c>
      <c r="E41" s="3" t="s">
        <v>265</v>
      </c>
      <c r="F41" s="3" t="s">
        <v>266</v>
      </c>
      <c r="G41" s="3" t="s">
        <v>267</v>
      </c>
      <c r="H41" s="3" t="s">
        <v>268</v>
      </c>
      <c r="I41" s="3"/>
      <c r="J41" s="3">
        <v>2.5866132229566598E-2</v>
      </c>
    </row>
    <row r="42" spans="1:12" x14ac:dyDescent="0.2">
      <c r="A42" s="4">
        <v>43956.457127511574</v>
      </c>
      <c r="B42" s="4" t="s">
        <v>10</v>
      </c>
      <c r="C42" s="12">
        <v>3.3933217592592591E-3</v>
      </c>
      <c r="D42" s="3" t="s">
        <v>264</v>
      </c>
      <c r="E42" s="3" t="s">
        <v>265</v>
      </c>
      <c r="F42" s="3" t="s">
        <v>266</v>
      </c>
      <c r="G42" s="3" t="s">
        <v>267</v>
      </c>
      <c r="H42" s="3" t="s">
        <v>268</v>
      </c>
      <c r="I42" s="3"/>
      <c r="J42" s="3">
        <v>16.2477321624756</v>
      </c>
      <c r="L42" s="4">
        <v>43956.861388854166</v>
      </c>
    </row>
    <row r="43" spans="1:12" x14ac:dyDescent="0.2">
      <c r="A43" s="4">
        <v>43956.460520833331</v>
      </c>
      <c r="B43" s="4" t="s">
        <v>8</v>
      </c>
      <c r="C43" s="12">
        <v>1.9037847222222223E-3</v>
      </c>
      <c r="D43" s="3" t="s">
        <v>264</v>
      </c>
      <c r="E43" s="3" t="s">
        <v>265</v>
      </c>
      <c r="F43" s="3" t="s">
        <v>266</v>
      </c>
      <c r="G43" s="3" t="s">
        <v>267</v>
      </c>
      <c r="H43" s="3" t="s">
        <v>268</v>
      </c>
      <c r="I43" s="3"/>
      <c r="J43" s="3">
        <v>0</v>
      </c>
      <c r="L43" s="4">
        <v>43956.861388888887</v>
      </c>
    </row>
    <row r="44" spans="1:12" x14ac:dyDescent="0.2">
      <c r="A44" s="4">
        <v>43956.462424618054</v>
      </c>
      <c r="B44" s="4" t="s">
        <v>10</v>
      </c>
      <c r="C44" s="12">
        <v>1.0687187500000001E-2</v>
      </c>
      <c r="D44" s="3" t="s">
        <v>264</v>
      </c>
      <c r="E44" s="3" t="s">
        <v>265</v>
      </c>
      <c r="F44" s="3" t="s">
        <v>266</v>
      </c>
      <c r="G44" s="3" t="s">
        <v>267</v>
      </c>
      <c r="H44" s="3" t="s">
        <v>268</v>
      </c>
      <c r="I44" s="3"/>
      <c r="J44" s="3">
        <v>4.2844147682189897</v>
      </c>
      <c r="L44" s="4">
        <v>43956.861388923608</v>
      </c>
    </row>
    <row r="45" spans="1:12" x14ac:dyDescent="0.2">
      <c r="A45" s="4">
        <v>43956.473111805557</v>
      </c>
      <c r="B45" s="4" t="s">
        <v>8</v>
      </c>
      <c r="C45" s="12">
        <v>2.4434490740740739E-2</v>
      </c>
      <c r="D45" s="3" t="s">
        <v>264</v>
      </c>
      <c r="E45" s="3" t="s">
        <v>265</v>
      </c>
      <c r="F45" s="3" t="s">
        <v>266</v>
      </c>
      <c r="G45" s="3" t="s">
        <v>267</v>
      </c>
      <c r="H45" s="3" t="s">
        <v>268</v>
      </c>
      <c r="I45" s="3"/>
      <c r="J45" s="3">
        <v>1.9712347537279101E-2</v>
      </c>
      <c r="L45" s="4">
        <v>43956.861388969905</v>
      </c>
    </row>
    <row r="46" spans="1:12" x14ac:dyDescent="0.2">
      <c r="A46" s="4">
        <v>43956.497546296298</v>
      </c>
      <c r="B46" s="4" t="s">
        <v>10</v>
      </c>
      <c r="C46" s="12">
        <v>9.8541666666666666E-2</v>
      </c>
      <c r="D46" s="3" t="s">
        <v>264</v>
      </c>
      <c r="E46" s="3" t="s">
        <v>265</v>
      </c>
      <c r="F46" s="3" t="s">
        <v>266</v>
      </c>
      <c r="G46" s="3" t="s">
        <v>267</v>
      </c>
      <c r="H46" s="3" t="s">
        <v>268</v>
      </c>
      <c r="I46" s="3"/>
      <c r="J46" s="3">
        <v>4.6833195686340297</v>
      </c>
      <c r="L46" s="4">
        <v>43956.861388969905</v>
      </c>
    </row>
    <row r="47" spans="1:12" x14ac:dyDescent="0.2">
      <c r="A47" s="4">
        <v>43956.539212962962</v>
      </c>
      <c r="B47" s="4" t="s">
        <v>8</v>
      </c>
      <c r="D47" s="3" t="s">
        <v>264</v>
      </c>
      <c r="E47" s="3" t="s">
        <v>265</v>
      </c>
      <c r="F47" s="3" t="s">
        <v>266</v>
      </c>
      <c r="G47" s="3" t="s">
        <v>267</v>
      </c>
      <c r="H47" s="3" t="s">
        <v>268</v>
      </c>
      <c r="I47" s="3"/>
      <c r="J47" s="3">
        <v>3.5755563527345699E-2</v>
      </c>
    </row>
    <row r="48" spans="1:12" x14ac:dyDescent="0.2">
      <c r="A48" s="4">
        <v>43956.580879629626</v>
      </c>
      <c r="B48" s="4" t="s">
        <v>10</v>
      </c>
      <c r="D48" s="3" t="s">
        <v>264</v>
      </c>
      <c r="E48" s="3" t="s">
        <v>265</v>
      </c>
      <c r="F48" s="3" t="s">
        <v>266</v>
      </c>
      <c r="G48" s="3" t="s">
        <v>267</v>
      </c>
      <c r="H48" s="3" t="s">
        <v>268</v>
      </c>
      <c r="I48" s="3"/>
      <c r="J48" s="3">
        <v>18.540431976318398</v>
      </c>
    </row>
    <row r="49" spans="1:12" x14ac:dyDescent="0.2">
      <c r="A49" s="4">
        <v>43956.596087962964</v>
      </c>
      <c r="B49" s="4" t="s">
        <v>8</v>
      </c>
      <c r="C49" s="12">
        <v>4.6064814814814814E-3</v>
      </c>
      <c r="D49" s="3" t="s">
        <v>264</v>
      </c>
      <c r="E49" s="3" t="s">
        <v>265</v>
      </c>
      <c r="F49" s="3" t="s">
        <v>266</v>
      </c>
      <c r="G49" s="3" t="s">
        <v>267</v>
      </c>
      <c r="H49" s="3" t="s">
        <v>268</v>
      </c>
      <c r="I49" s="3"/>
      <c r="J49" s="3">
        <v>1.2475060299038899E-2</v>
      </c>
      <c r="L49" s="4">
        <v>43956.861388969905</v>
      </c>
    </row>
    <row r="50" spans="1:12" x14ac:dyDescent="0.2">
      <c r="A50" s="4">
        <v>43956.600694444445</v>
      </c>
      <c r="B50" s="4" t="s">
        <v>10</v>
      </c>
      <c r="C50" s="12">
        <v>4.3375150462962961E-2</v>
      </c>
      <c r="D50" s="3" t="s">
        <v>264</v>
      </c>
      <c r="E50" s="3" t="s">
        <v>265</v>
      </c>
      <c r="F50" s="3" t="s">
        <v>266</v>
      </c>
      <c r="G50" s="3" t="s">
        <v>267</v>
      </c>
      <c r="H50" s="3" t="s">
        <v>268</v>
      </c>
      <c r="I50" s="3"/>
      <c r="J50" s="3">
        <v>21.794864654541001</v>
      </c>
      <c r="L50" s="4">
        <v>43956.861389004633</v>
      </c>
    </row>
    <row r="51" spans="1:12" x14ac:dyDescent="0.2">
      <c r="A51" s="4">
        <v>43956.642361111109</v>
      </c>
      <c r="B51" s="4" t="s">
        <v>260</v>
      </c>
      <c r="D51" s="3" t="s">
        <v>264</v>
      </c>
      <c r="E51" s="3" t="s">
        <v>265</v>
      </c>
      <c r="F51" s="3" t="s">
        <v>266</v>
      </c>
      <c r="G51" s="3" t="s">
        <v>267</v>
      </c>
      <c r="H51" s="3" t="s">
        <v>268</v>
      </c>
      <c r="I51" s="3"/>
      <c r="J51" s="3">
        <v>5.0907964706420898</v>
      </c>
    </row>
    <row r="52" spans="1:12" x14ac:dyDescent="0.2">
      <c r="A52" s="4">
        <v>43956.644069594906</v>
      </c>
      <c r="B52" s="4" t="s">
        <v>8</v>
      </c>
      <c r="C52" s="12">
        <v>1.3294988425925925E-2</v>
      </c>
      <c r="D52" s="3" t="s">
        <v>264</v>
      </c>
      <c r="E52" s="3" t="s">
        <v>265</v>
      </c>
      <c r="F52" s="3" t="s">
        <v>266</v>
      </c>
      <c r="G52" s="3" t="s">
        <v>267</v>
      </c>
      <c r="H52" s="3" t="s">
        <v>268</v>
      </c>
      <c r="I52" s="3"/>
      <c r="J52" s="3">
        <v>0</v>
      </c>
      <c r="L52" s="4">
        <v>43956.861389039354</v>
      </c>
    </row>
    <row r="53" spans="1:12" x14ac:dyDescent="0.2">
      <c r="A53" s="4">
        <v>43956.657364583334</v>
      </c>
      <c r="B53" s="4" t="s">
        <v>10</v>
      </c>
      <c r="C53" s="12">
        <v>6.02974537037037E-2</v>
      </c>
      <c r="D53" s="3" t="s">
        <v>264</v>
      </c>
      <c r="E53" s="3" t="s">
        <v>265</v>
      </c>
      <c r="F53" s="3" t="s">
        <v>266</v>
      </c>
      <c r="G53" s="3" t="s">
        <v>267</v>
      </c>
      <c r="H53" s="3" t="s">
        <v>268</v>
      </c>
      <c r="I53" s="3"/>
      <c r="J53" s="3">
        <v>19.617561340331999</v>
      </c>
      <c r="L53" s="4">
        <v>43956.861389039354</v>
      </c>
    </row>
    <row r="54" spans="1:12" x14ac:dyDescent="0.2">
      <c r="A54" s="4">
        <v>43956.717662037037</v>
      </c>
      <c r="B54" s="4" t="s">
        <v>8</v>
      </c>
      <c r="C54" s="12">
        <v>0.14302083333333335</v>
      </c>
      <c r="D54" s="3" t="s">
        <v>264</v>
      </c>
      <c r="E54" s="3" t="s">
        <v>265</v>
      </c>
      <c r="F54" s="3" t="s">
        <v>266</v>
      </c>
      <c r="G54" s="3" t="s">
        <v>267</v>
      </c>
      <c r="H54" s="3" t="s">
        <v>268</v>
      </c>
      <c r="I54" s="3"/>
      <c r="J54" s="3">
        <v>1.0010090656578499E-2</v>
      </c>
      <c r="L54" s="4">
        <v>43956.86138908565</v>
      </c>
    </row>
    <row r="55" spans="1:12" x14ac:dyDescent="0.2">
      <c r="A55" s="4">
        <v>43956.759328703702</v>
      </c>
      <c r="B55" s="4" t="s">
        <v>10</v>
      </c>
      <c r="D55" s="3" t="s">
        <v>264</v>
      </c>
      <c r="E55" s="3" t="s">
        <v>265</v>
      </c>
      <c r="F55" s="3" t="s">
        <v>266</v>
      </c>
      <c r="G55" s="3" t="s">
        <v>267</v>
      </c>
      <c r="H55" s="3" t="s">
        <v>268</v>
      </c>
      <c r="I55" s="3"/>
      <c r="J55" s="3">
        <v>1.25084888935089</v>
      </c>
    </row>
    <row r="56" spans="1:12" x14ac:dyDescent="0.2">
      <c r="A56" s="4">
        <v>43956.800995370373</v>
      </c>
      <c r="B56" s="4" t="s">
        <v>8</v>
      </c>
      <c r="D56" s="3" t="s">
        <v>264</v>
      </c>
      <c r="E56" s="3" t="s">
        <v>265</v>
      </c>
      <c r="F56" s="3" t="s">
        <v>266</v>
      </c>
      <c r="G56" s="3" t="s">
        <v>267</v>
      </c>
      <c r="H56" s="3" t="s">
        <v>268</v>
      </c>
      <c r="I56" s="3"/>
      <c r="J56" s="3">
        <v>2.2205328568816199E-2</v>
      </c>
    </row>
    <row r="57" spans="1:12" x14ac:dyDescent="0.2">
      <c r="A57" s="4">
        <v>43956.842662037037</v>
      </c>
      <c r="B57" s="4" t="s">
        <v>10</v>
      </c>
      <c r="D57" s="3" t="s">
        <v>264</v>
      </c>
      <c r="E57" s="3" t="s">
        <v>265</v>
      </c>
      <c r="F57" s="3" t="s">
        <v>266</v>
      </c>
      <c r="G57" s="3" t="s">
        <v>267</v>
      </c>
      <c r="H57" s="3" t="s">
        <v>268</v>
      </c>
      <c r="I57" s="3"/>
      <c r="J57" s="3">
        <v>1.2100067138671899</v>
      </c>
    </row>
    <row r="58" spans="1:12" x14ac:dyDescent="0.2">
      <c r="A58" s="4">
        <v>43956.860682870371</v>
      </c>
      <c r="B58" s="4" t="s">
        <v>8</v>
      </c>
      <c r="C58" s="12">
        <v>1.3475694444444445E-4</v>
      </c>
      <c r="D58" s="3" t="s">
        <v>264</v>
      </c>
      <c r="E58" s="3" t="s">
        <v>265</v>
      </c>
      <c r="F58" s="3" t="s">
        <v>266</v>
      </c>
      <c r="G58" s="3" t="s">
        <v>267</v>
      </c>
      <c r="H58" s="3" t="s">
        <v>268</v>
      </c>
      <c r="I58" s="3"/>
      <c r="J58" s="3">
        <v>0</v>
      </c>
    </row>
    <row r="59" spans="1:12" x14ac:dyDescent="0.2">
      <c r="A59" s="4">
        <v>43956.860817627312</v>
      </c>
      <c r="B59" s="4" t="s">
        <v>10</v>
      </c>
      <c r="C59" s="12">
        <v>0.42946015046296299</v>
      </c>
      <c r="D59" s="3" t="s">
        <v>264</v>
      </c>
      <c r="E59" s="3" t="s">
        <v>265</v>
      </c>
      <c r="F59" s="3" t="s">
        <v>266</v>
      </c>
      <c r="G59" s="3" t="s">
        <v>267</v>
      </c>
      <c r="H59" s="3" t="s">
        <v>268</v>
      </c>
      <c r="I59" s="3"/>
      <c r="J59" s="3">
        <v>20.078250885009801</v>
      </c>
      <c r="K59" s="3"/>
      <c r="L59" s="4">
        <v>43956.86138908565</v>
      </c>
    </row>
    <row r="60" spans="1:12" x14ac:dyDescent="0.2">
      <c r="A60" s="4">
        <v>43956.860817627312</v>
      </c>
      <c r="B60" s="4" t="s">
        <v>8</v>
      </c>
      <c r="D60" s="3" t="s">
        <v>264</v>
      </c>
      <c r="E60" s="3" t="s">
        <v>265</v>
      </c>
      <c r="F60" s="3" t="s">
        <v>266</v>
      </c>
      <c r="G60" s="3" t="s">
        <v>267</v>
      </c>
      <c r="H60" s="3" t="s">
        <v>268</v>
      </c>
      <c r="I60" s="3"/>
      <c r="J60" s="3">
        <v>0</v>
      </c>
      <c r="L60" s="4">
        <v>43956.86138908565</v>
      </c>
    </row>
    <row r="61" spans="1:12" x14ac:dyDescent="0.2">
      <c r="A61" s="4">
        <v>43957.290277777778</v>
      </c>
      <c r="B61" s="4" t="s">
        <v>10</v>
      </c>
      <c r="C61" s="12">
        <v>1.0658946759259259E-2</v>
      </c>
      <c r="D61" s="3" t="s">
        <v>269</v>
      </c>
      <c r="E61" s="3" t="s">
        <v>270</v>
      </c>
      <c r="F61" s="3" t="s">
        <v>271</v>
      </c>
      <c r="G61" s="3" t="s">
        <v>272</v>
      </c>
      <c r="H61" s="3" t="s">
        <v>296</v>
      </c>
      <c r="I61" s="3"/>
      <c r="J61" s="3">
        <v>18.0325031280518</v>
      </c>
      <c r="K61" s="3"/>
      <c r="L61" s="4">
        <v>43958.42933900463</v>
      </c>
    </row>
    <row r="62" spans="1:12" x14ac:dyDescent="0.2">
      <c r="A62" s="4">
        <v>43957.300936724539</v>
      </c>
      <c r="B62" s="4" t="s">
        <v>8</v>
      </c>
      <c r="C62" s="12">
        <v>4.6304050925925922E-3</v>
      </c>
      <c r="D62" s="3" t="s">
        <v>269</v>
      </c>
      <c r="E62" s="3" t="s">
        <v>270</v>
      </c>
      <c r="F62" s="3" t="s">
        <v>271</v>
      </c>
      <c r="G62" s="3" t="s">
        <v>272</v>
      </c>
      <c r="H62" s="3" t="s">
        <v>296</v>
      </c>
      <c r="I62" s="3"/>
      <c r="L62" s="4">
        <v>43958.42933903935</v>
      </c>
    </row>
    <row r="63" spans="1:12" x14ac:dyDescent="0.2">
      <c r="A63" s="4">
        <v>43957.305567129632</v>
      </c>
      <c r="B63" s="4" t="s">
        <v>8</v>
      </c>
      <c r="C63" s="12">
        <v>4.0775462962962965E-2</v>
      </c>
      <c r="D63" s="3" t="s">
        <v>269</v>
      </c>
      <c r="E63" s="3" t="s">
        <v>270</v>
      </c>
      <c r="F63" s="3" t="s">
        <v>271</v>
      </c>
      <c r="G63" s="3" t="s">
        <v>272</v>
      </c>
      <c r="H63" s="3" t="s">
        <v>296</v>
      </c>
      <c r="I63" s="3"/>
      <c r="J63" s="3">
        <v>1.1334412731230301E-2</v>
      </c>
      <c r="L63" s="4">
        <v>43958.429339085647</v>
      </c>
    </row>
    <row r="64" spans="1:12" x14ac:dyDescent="0.2">
      <c r="A64" s="4">
        <v>43957.346342592595</v>
      </c>
      <c r="B64" s="4" t="s">
        <v>10</v>
      </c>
      <c r="C64" s="12">
        <v>1.1712962962962963E-4</v>
      </c>
      <c r="D64" s="3" t="s">
        <v>269</v>
      </c>
      <c r="E64" s="3" t="s">
        <v>270</v>
      </c>
      <c r="F64" s="3" t="s">
        <v>271</v>
      </c>
      <c r="G64" s="3" t="s">
        <v>272</v>
      </c>
      <c r="H64" s="3" t="s">
        <v>296</v>
      </c>
      <c r="I64" s="3"/>
      <c r="J64" s="3">
        <v>1.10713374614716</v>
      </c>
      <c r="L64" s="4">
        <v>43958.429339085647</v>
      </c>
    </row>
    <row r="65" spans="1:12" x14ac:dyDescent="0.2">
      <c r="A65" s="4">
        <v>43957.346459722219</v>
      </c>
      <c r="B65" s="4" t="s">
        <v>8</v>
      </c>
      <c r="C65" s="12">
        <v>1.3563425925925927E-2</v>
      </c>
      <c r="D65" s="3" t="s">
        <v>269</v>
      </c>
      <c r="E65" s="3" t="s">
        <v>270</v>
      </c>
      <c r="F65" s="3" t="s">
        <v>271</v>
      </c>
      <c r="G65" s="3" t="s">
        <v>272</v>
      </c>
      <c r="H65" s="3" t="s">
        <v>296</v>
      </c>
      <c r="I65" s="3"/>
      <c r="J65" s="3">
        <v>2.1486012265086198E-2</v>
      </c>
      <c r="L65" s="4">
        <v>43958.429339120368</v>
      </c>
    </row>
    <row r="66" spans="1:12" x14ac:dyDescent="0.2">
      <c r="A66" s="4">
        <v>43957.360023148147</v>
      </c>
      <c r="B66" s="4" t="s">
        <v>10</v>
      </c>
      <c r="C66" s="12">
        <v>0.10762380787037037</v>
      </c>
      <c r="D66" s="3" t="s">
        <v>269</v>
      </c>
      <c r="E66" s="3" t="s">
        <v>270</v>
      </c>
      <c r="F66" s="3" t="s">
        <v>271</v>
      </c>
      <c r="G66" s="3" t="s">
        <v>272</v>
      </c>
      <c r="H66" s="3" t="s">
        <v>296</v>
      </c>
      <c r="I66" s="3"/>
      <c r="J66" s="3">
        <v>1.65621626377106</v>
      </c>
      <c r="L66" s="4">
        <v>43958.429339120368</v>
      </c>
    </row>
    <row r="67" spans="1:12" x14ac:dyDescent="0.2">
      <c r="A67" s="4">
        <v>43957.401689814818</v>
      </c>
      <c r="B67" s="4" t="s">
        <v>8</v>
      </c>
      <c r="D67" s="3" t="s">
        <v>269</v>
      </c>
      <c r="E67" s="3" t="s">
        <v>270</v>
      </c>
      <c r="F67" s="3" t="s">
        <v>271</v>
      </c>
      <c r="G67" s="3" t="s">
        <v>272</v>
      </c>
      <c r="H67" s="3" t="s">
        <v>296</v>
      </c>
      <c r="I67" s="3"/>
      <c r="J67" s="3">
        <v>9.0646361932158505E-3</v>
      </c>
    </row>
    <row r="68" spans="1:12" x14ac:dyDescent="0.2">
      <c r="A68" s="4">
        <v>43957.443356481483</v>
      </c>
      <c r="B68" s="4" t="s">
        <v>10</v>
      </c>
      <c r="D68" s="3" t="s">
        <v>269</v>
      </c>
      <c r="E68" s="3" t="s">
        <v>270</v>
      </c>
      <c r="F68" s="3" t="s">
        <v>271</v>
      </c>
      <c r="G68" s="3" t="s">
        <v>272</v>
      </c>
      <c r="H68" s="3" t="s">
        <v>296</v>
      </c>
      <c r="I68" s="3"/>
      <c r="J68" s="3">
        <v>17.202919006347699</v>
      </c>
    </row>
    <row r="69" spans="1:12" x14ac:dyDescent="0.2">
      <c r="A69" s="4">
        <v>43957.467646956022</v>
      </c>
      <c r="B69" s="4" t="s">
        <v>8</v>
      </c>
      <c r="C69" s="12">
        <v>1.0959097222222223E-2</v>
      </c>
      <c r="D69" s="3" t="s">
        <v>269</v>
      </c>
      <c r="E69" s="3" t="s">
        <v>270</v>
      </c>
      <c r="F69" s="3" t="s">
        <v>271</v>
      </c>
      <c r="G69" s="3" t="s">
        <v>272</v>
      </c>
      <c r="H69" s="3" t="s">
        <v>296</v>
      </c>
      <c r="I69" s="3"/>
      <c r="J69" s="3">
        <v>2.8303649276495001E-2</v>
      </c>
      <c r="L69" s="4">
        <v>43958.429339155089</v>
      </c>
    </row>
    <row r="70" spans="1:12" x14ac:dyDescent="0.2">
      <c r="A70" s="4">
        <v>43957.478606053242</v>
      </c>
      <c r="B70" s="4" t="s">
        <v>10</v>
      </c>
      <c r="C70" s="12">
        <v>3.6624652777777779E-3</v>
      </c>
      <c r="D70" s="3" t="s">
        <v>269</v>
      </c>
      <c r="E70" s="3" t="s">
        <v>270</v>
      </c>
      <c r="F70" s="3" t="s">
        <v>271</v>
      </c>
      <c r="G70" s="3" t="s">
        <v>272</v>
      </c>
      <c r="H70" s="3" t="s">
        <v>296</v>
      </c>
      <c r="I70" s="3"/>
      <c r="J70" s="3">
        <v>19.7934379577637</v>
      </c>
      <c r="L70" s="4">
        <v>43958.429339155089</v>
      </c>
    </row>
    <row r="71" spans="1:12" x14ac:dyDescent="0.2">
      <c r="A71" s="4">
        <v>43957.482268518521</v>
      </c>
      <c r="B71" s="4" t="s">
        <v>8</v>
      </c>
      <c r="C71" s="12">
        <v>0.1080787037037037</v>
      </c>
      <c r="D71" s="3" t="s">
        <v>269</v>
      </c>
      <c r="E71" s="3" t="s">
        <v>270</v>
      </c>
      <c r="F71" s="3" t="s">
        <v>271</v>
      </c>
      <c r="G71" s="3" t="s">
        <v>272</v>
      </c>
      <c r="H71" s="3" t="s">
        <v>296</v>
      </c>
      <c r="I71" s="3"/>
      <c r="J71" s="3">
        <v>1.19367297738791E-2</v>
      </c>
      <c r="L71" s="4">
        <v>43958.429339155089</v>
      </c>
    </row>
    <row r="72" spans="1:12" x14ac:dyDescent="0.2">
      <c r="A72" s="4">
        <v>43957.523935185185</v>
      </c>
      <c r="B72" s="4" t="s">
        <v>10</v>
      </c>
      <c r="D72" s="3" t="s">
        <v>269</v>
      </c>
      <c r="E72" s="3" t="s">
        <v>270</v>
      </c>
      <c r="F72" s="3" t="s">
        <v>271</v>
      </c>
      <c r="G72" s="3" t="s">
        <v>272</v>
      </c>
      <c r="H72" s="3" t="s">
        <v>296</v>
      </c>
      <c r="I72" s="3"/>
      <c r="J72" s="3">
        <v>4.1512503623962402</v>
      </c>
    </row>
    <row r="73" spans="1:12" x14ac:dyDescent="0.2">
      <c r="A73" s="4">
        <v>43957.565601851849</v>
      </c>
      <c r="B73" s="4" t="s">
        <v>8</v>
      </c>
      <c r="D73" s="3" t="s">
        <v>269</v>
      </c>
      <c r="E73" s="3" t="s">
        <v>270</v>
      </c>
      <c r="F73" s="3" t="s">
        <v>271</v>
      </c>
      <c r="G73" s="3" t="s">
        <v>272</v>
      </c>
      <c r="H73" s="3" t="s">
        <v>296</v>
      </c>
      <c r="I73" s="3"/>
      <c r="J73" s="3">
        <v>1.52523778378963E-2</v>
      </c>
    </row>
    <row r="74" spans="1:12" x14ac:dyDescent="0.2">
      <c r="A74" s="4">
        <v>43957.59034722222</v>
      </c>
      <c r="B74" s="4" t="s">
        <v>10</v>
      </c>
      <c r="C74" s="12">
        <v>5.3819444444444444E-5</v>
      </c>
      <c r="D74" s="3" t="s">
        <v>269</v>
      </c>
      <c r="E74" s="3" t="s">
        <v>270</v>
      </c>
      <c r="F74" s="3" t="s">
        <v>271</v>
      </c>
      <c r="G74" s="3" t="s">
        <v>272</v>
      </c>
      <c r="H74" s="3" t="s">
        <v>296</v>
      </c>
      <c r="I74" s="3"/>
      <c r="J74" s="3">
        <v>1.60031282901764</v>
      </c>
      <c r="L74" s="4">
        <v>43958.429339201386</v>
      </c>
    </row>
    <row r="75" spans="1:12" x14ac:dyDescent="0.2">
      <c r="A75" s="4">
        <v>43957.590401041663</v>
      </c>
      <c r="B75" s="4" t="s">
        <v>8</v>
      </c>
      <c r="C75" s="12">
        <v>2.2353587962962964E-2</v>
      </c>
      <c r="D75" s="3" t="s">
        <v>269</v>
      </c>
      <c r="E75" s="3" t="s">
        <v>270</v>
      </c>
      <c r="F75" s="3" t="s">
        <v>271</v>
      </c>
      <c r="G75" s="3" t="s">
        <v>272</v>
      </c>
      <c r="H75" s="3" t="s">
        <v>296</v>
      </c>
      <c r="I75" s="3"/>
      <c r="J75" s="3">
        <v>2.0225260406732601E-2</v>
      </c>
      <c r="L75" s="4">
        <v>43958.429339201386</v>
      </c>
    </row>
    <row r="76" spans="1:12" x14ac:dyDescent="0.2">
      <c r="A76" s="4">
        <v>43957.612754629627</v>
      </c>
      <c r="B76" s="4" t="s">
        <v>10</v>
      </c>
      <c r="C76" s="12">
        <v>0.11554753472222222</v>
      </c>
      <c r="D76" s="3" t="s">
        <v>269</v>
      </c>
      <c r="E76" s="3" t="s">
        <v>270</v>
      </c>
      <c r="F76" s="3" t="s">
        <v>271</v>
      </c>
      <c r="G76" s="3" t="s">
        <v>272</v>
      </c>
      <c r="H76" s="3" t="s">
        <v>296</v>
      </c>
      <c r="I76" s="3"/>
      <c r="J76" s="3">
        <v>2.0924367904663099</v>
      </c>
      <c r="L76" s="4">
        <v>43958.429339201386</v>
      </c>
    </row>
    <row r="77" spans="1:12" x14ac:dyDescent="0.2">
      <c r="A77" s="4">
        <v>43957.654421296298</v>
      </c>
      <c r="B77" s="4" t="s">
        <v>8</v>
      </c>
      <c r="D77" s="3" t="s">
        <v>269</v>
      </c>
      <c r="E77" s="3" t="s">
        <v>270</v>
      </c>
      <c r="F77" s="3" t="s">
        <v>271</v>
      </c>
      <c r="G77" s="3" t="s">
        <v>272</v>
      </c>
      <c r="H77" s="3" t="s">
        <v>296</v>
      </c>
      <c r="I77" s="3"/>
      <c r="J77" s="3">
        <v>2.5180393829941701E-2</v>
      </c>
    </row>
    <row r="78" spans="1:12" x14ac:dyDescent="0.2">
      <c r="A78" s="4">
        <v>43957.696087962962</v>
      </c>
      <c r="B78" s="4" t="s">
        <v>10</v>
      </c>
      <c r="D78" s="3" t="s">
        <v>269</v>
      </c>
      <c r="E78" s="3" t="s">
        <v>270</v>
      </c>
      <c r="F78" s="3" t="s">
        <v>271</v>
      </c>
      <c r="G78" s="3" t="s">
        <v>272</v>
      </c>
      <c r="H78" s="3" t="s">
        <v>296</v>
      </c>
      <c r="I78" s="3"/>
      <c r="J78" s="3">
        <v>17.1246662139893</v>
      </c>
    </row>
    <row r="79" spans="1:12" x14ac:dyDescent="0.2">
      <c r="A79" s="4">
        <v>43957.728302164352</v>
      </c>
      <c r="B79" s="4" t="s">
        <v>8</v>
      </c>
      <c r="C79" s="12">
        <v>3.9663541666666666E-3</v>
      </c>
      <c r="D79" s="3" t="s">
        <v>269</v>
      </c>
      <c r="E79" s="3" t="s">
        <v>270</v>
      </c>
      <c r="F79" s="3" t="s">
        <v>271</v>
      </c>
      <c r="G79" s="3" t="s">
        <v>272</v>
      </c>
      <c r="H79" s="3" t="s">
        <v>296</v>
      </c>
      <c r="I79" s="3"/>
      <c r="J79" s="3">
        <v>5.3547741845250104E-3</v>
      </c>
      <c r="L79" s="4">
        <v>43958.429339201386</v>
      </c>
    </row>
    <row r="80" spans="1:12" x14ac:dyDescent="0.2">
      <c r="A80" s="4">
        <v>43957.732268518521</v>
      </c>
      <c r="B80" s="4" t="s">
        <v>10</v>
      </c>
      <c r="C80" s="12">
        <v>3.9988426925925925E-3</v>
      </c>
      <c r="D80" s="3" t="s">
        <v>269</v>
      </c>
      <c r="E80" s="3" t="s">
        <v>270</v>
      </c>
      <c r="F80" s="3" t="s">
        <v>271</v>
      </c>
      <c r="G80" s="3" t="s">
        <v>272</v>
      </c>
      <c r="H80" s="3" t="s">
        <v>296</v>
      </c>
      <c r="I80" s="3"/>
      <c r="J80" s="3">
        <v>3.4743239879608199</v>
      </c>
      <c r="L80" s="4">
        <v>43958.429339236114</v>
      </c>
    </row>
    <row r="81" spans="1:12" x14ac:dyDescent="0.2">
      <c r="A81" s="4">
        <v>43957.736267361215</v>
      </c>
      <c r="B81" s="4" t="s">
        <v>8</v>
      </c>
      <c r="C81" s="12">
        <v>1.4529594907407408E-2</v>
      </c>
      <c r="D81" s="3" t="s">
        <v>269</v>
      </c>
      <c r="E81" s="3" t="s">
        <v>270</v>
      </c>
      <c r="F81" s="3" t="s">
        <v>271</v>
      </c>
      <c r="G81" s="3" t="s">
        <v>272</v>
      </c>
      <c r="H81" s="3" t="s">
        <v>296</v>
      </c>
      <c r="I81" s="3"/>
      <c r="J81" s="3">
        <v>2.7955034747719799E-2</v>
      </c>
      <c r="L81" s="4">
        <v>43958.429339236114</v>
      </c>
    </row>
    <row r="82" spans="1:12" x14ac:dyDescent="0.2">
      <c r="A82" s="4">
        <v>43957.750796956017</v>
      </c>
      <c r="B82" s="4" t="s">
        <v>10</v>
      </c>
      <c r="C82" s="12">
        <v>1.7640543981481481E-2</v>
      </c>
      <c r="D82" s="3" t="s">
        <v>269</v>
      </c>
      <c r="E82" s="3" t="s">
        <v>270</v>
      </c>
      <c r="F82" s="3" t="s">
        <v>271</v>
      </c>
      <c r="G82" s="3" t="s">
        <v>272</v>
      </c>
      <c r="H82" s="3" t="s">
        <v>296</v>
      </c>
      <c r="I82" s="3"/>
      <c r="J82" s="3">
        <v>17.308301925659201</v>
      </c>
      <c r="L82" s="4">
        <v>43958.429339270835</v>
      </c>
    </row>
    <row r="83" spans="1:12" x14ac:dyDescent="0.2">
      <c r="A83" s="4">
        <v>43957.768437500003</v>
      </c>
      <c r="B83" s="4" t="s">
        <v>8</v>
      </c>
      <c r="C83" s="12">
        <v>8.7152777777777784E-3</v>
      </c>
      <c r="D83" s="3" t="s">
        <v>269</v>
      </c>
      <c r="E83" s="3" t="s">
        <v>270</v>
      </c>
      <c r="F83" s="3" t="s">
        <v>271</v>
      </c>
      <c r="G83" s="3" t="s">
        <v>272</v>
      </c>
      <c r="H83" s="3" t="s">
        <v>296</v>
      </c>
      <c r="I83" s="3"/>
      <c r="J83" s="3">
        <v>7.2240918874740601E-2</v>
      </c>
      <c r="L83" s="4">
        <v>43958.429339270835</v>
      </c>
    </row>
    <row r="84" spans="1:12" x14ac:dyDescent="0.2">
      <c r="A84" s="4">
        <v>43957.77715277778</v>
      </c>
      <c r="B84" s="4" t="s">
        <v>10</v>
      </c>
      <c r="C84" s="12">
        <v>1.1086458333333332E-3</v>
      </c>
      <c r="D84" s="3" t="s">
        <v>269</v>
      </c>
      <c r="E84" s="3" t="s">
        <v>270</v>
      </c>
      <c r="F84" s="3" t="s">
        <v>271</v>
      </c>
      <c r="G84" s="3" t="s">
        <v>272</v>
      </c>
      <c r="H84" s="3" t="s">
        <v>296</v>
      </c>
      <c r="I84" s="3"/>
      <c r="J84" s="3">
        <v>-1.01037994027138E-2</v>
      </c>
      <c r="L84" s="4">
        <v>43958.429339270835</v>
      </c>
    </row>
    <row r="85" spans="1:12" x14ac:dyDescent="0.2">
      <c r="A85" s="4">
        <v>43957.778261423613</v>
      </c>
      <c r="B85" s="4" t="s">
        <v>8</v>
      </c>
      <c r="C85" s="12">
        <v>1.3960798611111111E-2</v>
      </c>
      <c r="D85" s="3" t="s">
        <v>269</v>
      </c>
      <c r="E85" s="3" t="s">
        <v>270</v>
      </c>
      <c r="F85" s="3" t="s">
        <v>271</v>
      </c>
      <c r="G85" s="3" t="s">
        <v>272</v>
      </c>
      <c r="H85" s="3" t="s">
        <v>296</v>
      </c>
      <c r="I85" s="3"/>
      <c r="J85" s="3">
        <v>8.4668017923831898E-2</v>
      </c>
      <c r="L85" s="4">
        <v>43958.429339317132</v>
      </c>
    </row>
    <row r="86" spans="1:12" x14ac:dyDescent="0.2">
      <c r="A86" s="4">
        <v>43957.792222222219</v>
      </c>
      <c r="B86" s="4" t="s">
        <v>10</v>
      </c>
      <c r="C86" s="12">
        <v>3.8148148148148146E-2</v>
      </c>
      <c r="D86" s="3" t="s">
        <v>269</v>
      </c>
      <c r="E86" s="3" t="s">
        <v>270</v>
      </c>
      <c r="F86" s="3" t="s">
        <v>271</v>
      </c>
      <c r="G86" s="3" t="s">
        <v>272</v>
      </c>
      <c r="H86" s="3" t="s">
        <v>296</v>
      </c>
      <c r="I86" s="3"/>
      <c r="J86" s="3">
        <v>1.5308971405029299</v>
      </c>
      <c r="L86" s="4">
        <v>43958.429339317132</v>
      </c>
    </row>
    <row r="87" spans="1:12" x14ac:dyDescent="0.2">
      <c r="A87" s="4">
        <v>43957.830370370371</v>
      </c>
      <c r="B87" s="4" t="s">
        <v>8</v>
      </c>
      <c r="C87" s="12">
        <v>1.1778935185185185E-4</v>
      </c>
      <c r="D87" s="3" t="s">
        <v>269</v>
      </c>
      <c r="E87" s="3" t="s">
        <v>270</v>
      </c>
      <c r="F87" s="3" t="s">
        <v>271</v>
      </c>
      <c r="G87" s="3" t="s">
        <v>272</v>
      </c>
      <c r="H87" s="3" t="s">
        <v>296</v>
      </c>
      <c r="I87" s="3"/>
      <c r="J87" s="3">
        <v>6.6138263791799502E-3</v>
      </c>
      <c r="L87" s="4">
        <v>43961.685484259258</v>
      </c>
    </row>
    <row r="88" spans="1:12" x14ac:dyDescent="0.2">
      <c r="A88" s="4">
        <v>43957.830488159721</v>
      </c>
      <c r="B88" s="4" t="s">
        <v>10</v>
      </c>
      <c r="C88" s="12">
        <v>0.59312295138888893</v>
      </c>
      <c r="D88" s="3" t="s">
        <v>269</v>
      </c>
      <c r="E88" s="3" t="s">
        <v>270</v>
      </c>
      <c r="F88" s="3" t="s">
        <v>271</v>
      </c>
      <c r="G88" s="3" t="s">
        <v>272</v>
      </c>
      <c r="H88" s="3" t="s">
        <v>296</v>
      </c>
      <c r="I88" s="3"/>
      <c r="J88" s="3">
        <v>2.6031453609466602</v>
      </c>
      <c r="K88" s="3"/>
      <c r="L88" s="4">
        <v>43958.429339317132</v>
      </c>
    </row>
    <row r="89" spans="1:12" x14ac:dyDescent="0.2">
      <c r="A89" s="4">
        <v>43958.423611111109</v>
      </c>
      <c r="B89" s="4" t="s">
        <v>8</v>
      </c>
      <c r="C89" s="12">
        <v>6.851851851851852E-3</v>
      </c>
      <c r="D89" s="3" t="s">
        <v>269</v>
      </c>
      <c r="E89" s="3" t="s">
        <v>270</v>
      </c>
      <c r="F89" s="3" t="s">
        <v>271</v>
      </c>
      <c r="G89" s="3" t="s">
        <v>272</v>
      </c>
      <c r="H89" s="3" t="s">
        <v>296</v>
      </c>
      <c r="I89" s="3"/>
      <c r="J89" s="3">
        <v>3.9516523480415303E-2</v>
      </c>
      <c r="K89" s="3"/>
      <c r="L89" s="4">
        <v>43958.921058877313</v>
      </c>
    </row>
    <row r="90" spans="1:12" x14ac:dyDescent="0.2">
      <c r="A90" s="4">
        <v>43958.430462962962</v>
      </c>
      <c r="B90" s="4" t="s">
        <v>10</v>
      </c>
      <c r="C90" s="12">
        <v>3.6620370370370373E-2</v>
      </c>
      <c r="D90" s="3" t="s">
        <v>269</v>
      </c>
      <c r="E90" s="3" t="s">
        <v>270</v>
      </c>
      <c r="F90" s="3" t="s">
        <v>271</v>
      </c>
      <c r="G90" s="3" t="s">
        <v>272</v>
      </c>
      <c r="H90" s="3" t="s">
        <v>296</v>
      </c>
      <c r="I90" s="3"/>
      <c r="J90" s="3">
        <v>16.426820755004901</v>
      </c>
      <c r="L90" s="4">
        <v>43958.921058912034</v>
      </c>
    </row>
    <row r="91" spans="1:12" x14ac:dyDescent="0.2">
      <c r="A91" s="4">
        <v>43958.467083333337</v>
      </c>
      <c r="B91" s="4" t="s">
        <v>8</v>
      </c>
      <c r="C91" s="12">
        <v>8.3333333333333331E-5</v>
      </c>
      <c r="D91" s="3" t="s">
        <v>269</v>
      </c>
      <c r="E91" s="3" t="s">
        <v>270</v>
      </c>
      <c r="F91" s="3" t="s">
        <v>271</v>
      </c>
      <c r="G91" s="3" t="s">
        <v>272</v>
      </c>
      <c r="H91" s="3" t="s">
        <v>296</v>
      </c>
      <c r="I91" s="3"/>
      <c r="J91" s="3">
        <v>7.9993709921836895E-2</v>
      </c>
      <c r="L91" s="4">
        <v>43958.921058912034</v>
      </c>
    </row>
    <row r="92" spans="1:12" x14ac:dyDescent="0.2">
      <c r="A92" s="4">
        <v>43958.467166666669</v>
      </c>
      <c r="B92" s="4" t="s">
        <v>10</v>
      </c>
      <c r="C92" s="12">
        <v>1.0344907407407407E-2</v>
      </c>
      <c r="D92" s="3" t="s">
        <v>269</v>
      </c>
      <c r="E92" s="3" t="s">
        <v>270</v>
      </c>
      <c r="F92" s="3" t="s">
        <v>271</v>
      </c>
      <c r="G92" s="3" t="s">
        <v>272</v>
      </c>
      <c r="H92" s="3" t="s">
        <v>296</v>
      </c>
      <c r="I92" s="3"/>
      <c r="J92" s="3">
        <v>18.625551223754901</v>
      </c>
      <c r="L92" s="4">
        <v>43958.921058946762</v>
      </c>
    </row>
    <row r="93" spans="1:12" x14ac:dyDescent="0.2">
      <c r="A93" s="4">
        <v>43958.477511574078</v>
      </c>
      <c r="B93" s="4" t="s">
        <v>260</v>
      </c>
      <c r="C93" s="12">
        <v>7.5694444444444446E-3</v>
      </c>
      <c r="D93" s="3" t="s">
        <v>269</v>
      </c>
      <c r="E93" s="3" t="s">
        <v>270</v>
      </c>
      <c r="F93" s="3" t="s">
        <v>271</v>
      </c>
      <c r="G93" s="3" t="s">
        <v>272</v>
      </c>
      <c r="H93" s="3" t="s">
        <v>296</v>
      </c>
      <c r="I93" s="3"/>
      <c r="J93" s="3">
        <v>19.404661178588899</v>
      </c>
      <c r="L93" s="4">
        <v>43958.921058946762</v>
      </c>
    </row>
    <row r="94" spans="1:12" x14ac:dyDescent="0.2">
      <c r="A94" s="4">
        <v>43958.485081018516</v>
      </c>
      <c r="B94" s="4" t="s">
        <v>8</v>
      </c>
      <c r="C94" s="12">
        <v>4.8113425925925929E-5</v>
      </c>
      <c r="D94" s="3" t="s">
        <v>269</v>
      </c>
      <c r="E94" s="3" t="s">
        <v>270</v>
      </c>
      <c r="F94" s="3" t="s">
        <v>271</v>
      </c>
      <c r="G94" s="3" t="s">
        <v>272</v>
      </c>
      <c r="H94" s="3" t="s">
        <v>296</v>
      </c>
      <c r="I94" s="3"/>
      <c r="J94" s="3">
        <v>3.7263702601194403E-2</v>
      </c>
      <c r="L94" s="4">
        <v>43958.921058946762</v>
      </c>
    </row>
    <row r="95" spans="1:12" x14ac:dyDescent="0.2">
      <c r="A95" s="4">
        <v>43958.485129131943</v>
      </c>
      <c r="B95" s="4" t="s">
        <v>10</v>
      </c>
      <c r="C95" s="12">
        <v>8.4698611111111103E-3</v>
      </c>
      <c r="D95" s="3" t="s">
        <v>269</v>
      </c>
      <c r="E95" s="3" t="s">
        <v>270</v>
      </c>
      <c r="F95" s="3" t="s">
        <v>271</v>
      </c>
      <c r="G95" s="3" t="s">
        <v>272</v>
      </c>
      <c r="H95" s="3" t="s">
        <v>296</v>
      </c>
      <c r="I95" s="3"/>
      <c r="J95" s="3">
        <v>8.1446847915649396</v>
      </c>
      <c r="L95" s="4">
        <v>43958.921058993059</v>
      </c>
    </row>
    <row r="96" spans="1:12" x14ac:dyDescent="0.2">
      <c r="A96" s="4">
        <v>43958.493598993053</v>
      </c>
      <c r="B96" s="4" t="s">
        <v>8</v>
      </c>
      <c r="C96" s="12">
        <v>1.2373541666666666E-2</v>
      </c>
      <c r="D96" s="3" t="s">
        <v>269</v>
      </c>
      <c r="E96" s="3" t="s">
        <v>270</v>
      </c>
      <c r="F96" s="3" t="s">
        <v>271</v>
      </c>
      <c r="G96" s="3" t="s">
        <v>272</v>
      </c>
      <c r="H96" s="3" t="s">
        <v>296</v>
      </c>
      <c r="I96" s="3"/>
      <c r="J96" s="3">
        <v>5.0151329487562197E-3</v>
      </c>
      <c r="L96" s="4">
        <v>43958.921058993059</v>
      </c>
    </row>
    <row r="97" spans="1:12" x14ac:dyDescent="0.2">
      <c r="A97" s="4">
        <v>43958.505972534724</v>
      </c>
      <c r="B97" s="4" t="s">
        <v>10</v>
      </c>
      <c r="C97" s="12">
        <v>2.3080555555555554E-3</v>
      </c>
      <c r="D97" s="3" t="s">
        <v>269</v>
      </c>
      <c r="E97" s="3" t="s">
        <v>270</v>
      </c>
      <c r="F97" s="3" t="s">
        <v>271</v>
      </c>
      <c r="G97" s="3" t="s">
        <v>272</v>
      </c>
      <c r="H97" s="3" t="s">
        <v>296</v>
      </c>
      <c r="I97" s="3"/>
      <c r="J97" s="3">
        <v>21.183744430541999</v>
      </c>
      <c r="L97" s="4">
        <v>43958.921058993059</v>
      </c>
    </row>
    <row r="98" spans="1:12" x14ac:dyDescent="0.2">
      <c r="A98" s="4">
        <v>43958.508280590278</v>
      </c>
      <c r="B98" s="4" t="s">
        <v>8</v>
      </c>
      <c r="C98" s="12">
        <v>7.2413854166666666E-2</v>
      </c>
      <c r="D98" s="3" t="s">
        <v>269</v>
      </c>
      <c r="E98" s="3" t="s">
        <v>270</v>
      </c>
      <c r="F98" s="3" t="s">
        <v>271</v>
      </c>
      <c r="G98" s="3" t="s">
        <v>272</v>
      </c>
      <c r="H98" s="3" t="s">
        <v>296</v>
      </c>
      <c r="I98" s="3"/>
      <c r="J98" s="3">
        <v>4.0630176663398701E-2</v>
      </c>
      <c r="L98" s="4">
        <v>43958.921059027882</v>
      </c>
    </row>
    <row r="99" spans="1:12" x14ac:dyDescent="0.2">
      <c r="A99" s="4">
        <v>43958.580694444441</v>
      </c>
      <c r="B99" s="4" t="s">
        <v>10</v>
      </c>
      <c r="C99" s="12">
        <v>2.6057523148148146E-3</v>
      </c>
      <c r="D99" s="3" t="s">
        <v>269</v>
      </c>
      <c r="E99" s="3" t="s">
        <v>270</v>
      </c>
      <c r="F99" s="3" t="s">
        <v>271</v>
      </c>
      <c r="G99" s="3" t="s">
        <v>272</v>
      </c>
      <c r="H99" s="3" t="s">
        <v>296</v>
      </c>
      <c r="I99" s="3"/>
      <c r="J99" s="3">
        <v>37.429103851318402</v>
      </c>
      <c r="L99" s="4">
        <v>43958.921059027882</v>
      </c>
    </row>
    <row r="100" spans="1:12" x14ac:dyDescent="0.2">
      <c r="A100" s="4">
        <v>43958.583300196762</v>
      </c>
      <c r="B100" s="4" t="s">
        <v>260</v>
      </c>
      <c r="C100" s="12">
        <v>3.4243402777777779E-3</v>
      </c>
      <c r="D100" s="3" t="s">
        <v>269</v>
      </c>
      <c r="E100" s="3" t="s">
        <v>270</v>
      </c>
      <c r="F100" s="3" t="s">
        <v>271</v>
      </c>
      <c r="G100" s="3" t="s">
        <v>272</v>
      </c>
      <c r="H100" s="3" t="s">
        <v>296</v>
      </c>
      <c r="I100" s="3"/>
      <c r="J100" s="3">
        <v>26.531501770019499</v>
      </c>
      <c r="L100" s="4">
        <v>43958.921059027882</v>
      </c>
    </row>
    <row r="101" spans="1:12" x14ac:dyDescent="0.2">
      <c r="A101" s="4">
        <v>43958.586724537039</v>
      </c>
      <c r="B101" s="4" t="s">
        <v>8</v>
      </c>
      <c r="C101" s="12">
        <v>0.21813657407407408</v>
      </c>
      <c r="D101" s="3" t="s">
        <v>269</v>
      </c>
      <c r="E101" s="3" t="s">
        <v>270</v>
      </c>
      <c r="F101" s="3" t="s">
        <v>271</v>
      </c>
      <c r="G101" s="3" t="s">
        <v>272</v>
      </c>
      <c r="H101" s="3" t="s">
        <v>296</v>
      </c>
      <c r="I101" s="3"/>
      <c r="J101" s="3">
        <v>1.56171210110188E-2</v>
      </c>
      <c r="L101" s="4">
        <v>43958.921059062501</v>
      </c>
    </row>
    <row r="102" spans="1:12" x14ac:dyDescent="0.2">
      <c r="A102" s="4">
        <v>43958.628391203703</v>
      </c>
      <c r="B102" s="4" t="s">
        <v>10</v>
      </c>
      <c r="D102" s="3" t="s">
        <v>269</v>
      </c>
      <c r="E102" s="3" t="s">
        <v>270</v>
      </c>
      <c r="F102" s="3" t="s">
        <v>271</v>
      </c>
      <c r="G102" s="3" t="s">
        <v>272</v>
      </c>
      <c r="H102" s="3" t="s">
        <v>296</v>
      </c>
      <c r="I102" s="3"/>
      <c r="J102" s="3">
        <v>12.4739446640015</v>
      </c>
    </row>
    <row r="103" spans="1:12" x14ac:dyDescent="0.2">
      <c r="A103" s="4">
        <v>43958.670057870368</v>
      </c>
      <c r="B103" s="4" t="s">
        <v>8</v>
      </c>
      <c r="D103" s="3" t="s">
        <v>269</v>
      </c>
      <c r="E103" s="3" t="s">
        <v>270</v>
      </c>
      <c r="F103" s="3" t="s">
        <v>271</v>
      </c>
      <c r="G103" s="3" t="s">
        <v>272</v>
      </c>
      <c r="H103" s="3" t="s">
        <v>296</v>
      </c>
      <c r="I103" s="3"/>
      <c r="J103" s="3">
        <v>3.0410172417759899E-2</v>
      </c>
    </row>
    <row r="104" spans="1:12" x14ac:dyDescent="0.2">
      <c r="A104" s="4">
        <v>43958.711724537039</v>
      </c>
      <c r="B104" s="4" t="s">
        <v>10</v>
      </c>
      <c r="D104" s="3" t="s">
        <v>269</v>
      </c>
      <c r="E104" s="3" t="s">
        <v>270</v>
      </c>
      <c r="F104" s="3" t="s">
        <v>271</v>
      </c>
      <c r="G104" s="3" t="s">
        <v>272</v>
      </c>
      <c r="H104" s="3" t="s">
        <v>296</v>
      </c>
      <c r="I104" s="3"/>
      <c r="J104" s="3">
        <v>12.8766479492188</v>
      </c>
    </row>
    <row r="105" spans="1:12" x14ac:dyDescent="0.2">
      <c r="A105" s="4">
        <v>43958.753391203703</v>
      </c>
      <c r="B105" s="4" t="s">
        <v>260</v>
      </c>
      <c r="D105" s="3" t="s">
        <v>269</v>
      </c>
      <c r="E105" s="3" t="s">
        <v>270</v>
      </c>
      <c r="F105" s="3" t="s">
        <v>271</v>
      </c>
      <c r="G105" s="3" t="s">
        <v>272</v>
      </c>
      <c r="H105" s="3" t="s">
        <v>296</v>
      </c>
      <c r="I105" s="3"/>
      <c r="J105" s="3">
        <v>3.4350047111511199</v>
      </c>
    </row>
    <row r="106" spans="1:12" x14ac:dyDescent="0.2">
      <c r="A106" s="4">
        <v>43958.795057870368</v>
      </c>
      <c r="B106" s="4" t="s">
        <v>8</v>
      </c>
      <c r="D106" s="3" t="s">
        <v>269</v>
      </c>
      <c r="E106" s="3" t="s">
        <v>270</v>
      </c>
      <c r="F106" s="3" t="s">
        <v>271</v>
      </c>
      <c r="G106" s="3" t="s">
        <v>272</v>
      </c>
      <c r="H106" s="3" t="s">
        <v>296</v>
      </c>
      <c r="I106" s="3"/>
      <c r="J106" s="3">
        <v>4.8188012093305602E-2</v>
      </c>
    </row>
    <row r="107" spans="1:12" x14ac:dyDescent="0.2">
      <c r="A107" s="4">
        <v>43958.804861111108</v>
      </c>
      <c r="B107" s="4" t="s">
        <v>10</v>
      </c>
      <c r="C107" s="12">
        <v>8.9085648148148154E-5</v>
      </c>
      <c r="D107" s="3" t="s">
        <v>269</v>
      </c>
      <c r="E107" s="3" t="s">
        <v>270</v>
      </c>
      <c r="F107" s="3" t="s">
        <v>271</v>
      </c>
      <c r="G107" s="3" t="s">
        <v>272</v>
      </c>
      <c r="H107" s="3" t="s">
        <v>296</v>
      </c>
      <c r="I107" s="3"/>
      <c r="J107" s="3">
        <v>2.3130226135253902</v>
      </c>
      <c r="L107" s="4">
        <v>43958.921059062501</v>
      </c>
    </row>
    <row r="108" spans="1:12" x14ac:dyDescent="0.2">
      <c r="A108" s="4">
        <v>43958.804950196762</v>
      </c>
      <c r="B108" s="4" t="s">
        <v>8</v>
      </c>
      <c r="C108" s="12">
        <v>8.257638888888889E-4</v>
      </c>
      <c r="D108" s="3" t="s">
        <v>269</v>
      </c>
      <c r="E108" s="3" t="s">
        <v>270</v>
      </c>
      <c r="F108" s="3" t="s">
        <v>271</v>
      </c>
      <c r="G108" s="3" t="s">
        <v>272</v>
      </c>
      <c r="H108" s="3" t="s">
        <v>296</v>
      </c>
      <c r="I108" s="3"/>
      <c r="J108" s="3">
        <v>2.2921569645404798E-2</v>
      </c>
      <c r="L108" s="4">
        <v>43958.921059062501</v>
      </c>
    </row>
    <row r="109" spans="1:12" x14ac:dyDescent="0.2">
      <c r="A109" s="4">
        <v>43958.805775960645</v>
      </c>
      <c r="B109" s="4" t="s">
        <v>10</v>
      </c>
      <c r="C109" s="12">
        <v>5.9532870370370373E-3</v>
      </c>
      <c r="D109" s="3" t="s">
        <v>269</v>
      </c>
      <c r="E109" s="3" t="s">
        <v>270</v>
      </c>
      <c r="F109" s="3" t="s">
        <v>271</v>
      </c>
      <c r="G109" s="3" t="s">
        <v>272</v>
      </c>
      <c r="H109" s="3" t="s">
        <v>296</v>
      </c>
      <c r="I109" s="3"/>
      <c r="J109" s="3">
        <v>8.8626871109008807</v>
      </c>
      <c r="L109" s="4">
        <v>43958.921059108798</v>
      </c>
    </row>
    <row r="110" spans="1:12" x14ac:dyDescent="0.2">
      <c r="A110" s="4">
        <v>43958.811729247682</v>
      </c>
      <c r="B110" s="4" t="s">
        <v>8</v>
      </c>
      <c r="C110" s="12">
        <v>2.4721412037037038E-3</v>
      </c>
      <c r="D110" s="3" t="s">
        <v>269</v>
      </c>
      <c r="E110" s="3" t="s">
        <v>270</v>
      </c>
      <c r="F110" s="3" t="s">
        <v>271</v>
      </c>
      <c r="G110" s="3" t="s">
        <v>272</v>
      </c>
      <c r="H110" s="3" t="s">
        <v>296</v>
      </c>
      <c r="I110" s="3"/>
      <c r="J110" s="3">
        <v>1.73124317079782E-2</v>
      </c>
      <c r="L110" s="4">
        <v>43958.921059108798</v>
      </c>
    </row>
    <row r="111" spans="1:12" x14ac:dyDescent="0.2">
      <c r="A111" s="4">
        <v>43958.814201388886</v>
      </c>
      <c r="B111" s="4" t="s">
        <v>10</v>
      </c>
      <c r="C111" s="12">
        <v>7.8831018518518522E-2</v>
      </c>
      <c r="D111" s="3" t="s">
        <v>269</v>
      </c>
      <c r="E111" s="3" t="s">
        <v>270</v>
      </c>
      <c r="F111" s="3" t="s">
        <v>271</v>
      </c>
      <c r="G111" s="3" t="s">
        <v>272</v>
      </c>
      <c r="H111" s="3" t="s">
        <v>296</v>
      </c>
      <c r="I111" s="3"/>
      <c r="J111" s="3">
        <v>9.4275302886962908</v>
      </c>
      <c r="L111" s="4">
        <v>43958.921059108798</v>
      </c>
    </row>
    <row r="112" spans="1:12" x14ac:dyDescent="0.2">
      <c r="A112" s="4">
        <v>43958.855868055558</v>
      </c>
      <c r="B112" s="4" t="s">
        <v>8</v>
      </c>
      <c r="D112" s="3" t="s">
        <v>269</v>
      </c>
      <c r="E112" s="3" t="s">
        <v>270</v>
      </c>
      <c r="F112" s="3" t="s">
        <v>271</v>
      </c>
      <c r="G112" s="3" t="s">
        <v>272</v>
      </c>
      <c r="H112" s="3" t="s">
        <v>296</v>
      </c>
      <c r="I112" s="3"/>
      <c r="J112" s="3">
        <v>4.11268472671509E-2</v>
      </c>
    </row>
    <row r="113" spans="1:12" x14ac:dyDescent="0.2">
      <c r="A113" s="4">
        <v>43958.89303240741</v>
      </c>
      <c r="B113" s="4" t="s">
        <v>10</v>
      </c>
      <c r="C113" s="12">
        <v>1.9467939814814814E-3</v>
      </c>
      <c r="D113" s="3" t="s">
        <v>269</v>
      </c>
      <c r="E113" s="3" t="s">
        <v>270</v>
      </c>
      <c r="F113" s="3" t="s">
        <v>271</v>
      </c>
      <c r="G113" s="3" t="s">
        <v>272</v>
      </c>
      <c r="H113" s="3" t="s">
        <v>296</v>
      </c>
      <c r="I113" s="3"/>
      <c r="J113" s="3">
        <v>9.4658527374267596</v>
      </c>
      <c r="L113" s="4">
        <v>43958.921059108798</v>
      </c>
    </row>
    <row r="114" spans="1:12" x14ac:dyDescent="0.2">
      <c r="A114" s="4">
        <v>43958.894979201388</v>
      </c>
      <c r="B114" s="4" t="s">
        <v>8</v>
      </c>
      <c r="C114" s="12">
        <v>2.5415092592592593E-2</v>
      </c>
      <c r="D114" s="3" t="s">
        <v>269</v>
      </c>
      <c r="E114" s="3" t="s">
        <v>270</v>
      </c>
      <c r="F114" s="3" t="s">
        <v>271</v>
      </c>
      <c r="G114" s="3" t="s">
        <v>272</v>
      </c>
      <c r="H114" s="3" t="s">
        <v>296</v>
      </c>
      <c r="I114" s="3"/>
      <c r="J114" s="3">
        <v>1.0984463617205601E-2</v>
      </c>
      <c r="L114" s="4">
        <v>43958.921059108798</v>
      </c>
    </row>
    <row r="115" spans="1:12" x14ac:dyDescent="0.2">
      <c r="A115" s="4">
        <v>43958.920394293978</v>
      </c>
      <c r="B115" s="4" t="s">
        <v>10</v>
      </c>
      <c r="C115" s="12">
        <v>0.41293903935185183</v>
      </c>
      <c r="D115" s="3" t="s">
        <v>269</v>
      </c>
      <c r="E115" s="3" t="s">
        <v>270</v>
      </c>
      <c r="F115" s="3" t="s">
        <v>271</v>
      </c>
      <c r="G115" s="3" t="s">
        <v>272</v>
      </c>
      <c r="H115" s="3" t="s">
        <v>296</v>
      </c>
      <c r="I115" s="3"/>
      <c r="J115" s="3">
        <v>1.6667178869247401</v>
      </c>
      <c r="K115" s="3"/>
      <c r="L115" s="4">
        <v>43958.921059143519</v>
      </c>
    </row>
    <row r="116" spans="1:12" x14ac:dyDescent="0.2">
      <c r="A116" s="4">
        <v>43958.920394293978</v>
      </c>
      <c r="B116" s="4" t="s">
        <v>8</v>
      </c>
      <c r="D116" s="3" t="s">
        <v>269</v>
      </c>
      <c r="E116" s="3" t="s">
        <v>270</v>
      </c>
      <c r="F116" s="3" t="s">
        <v>271</v>
      </c>
      <c r="G116" s="3" t="s">
        <v>272</v>
      </c>
      <c r="H116" s="3" t="s">
        <v>296</v>
      </c>
      <c r="I116" s="3"/>
      <c r="J116" s="3">
        <v>1.80746372789145E-2</v>
      </c>
      <c r="L116" s="4">
        <v>43958.921059143519</v>
      </c>
    </row>
    <row r="117" spans="1:12" x14ac:dyDescent="0.2">
      <c r="A117" s="4">
        <v>43959.333333333336</v>
      </c>
      <c r="B117" s="4" t="s">
        <v>10</v>
      </c>
      <c r="C117" s="12">
        <v>1.1124039351851852E-2</v>
      </c>
      <c r="D117" s="3" t="s">
        <v>269</v>
      </c>
      <c r="E117" s="3" t="s">
        <v>270</v>
      </c>
      <c r="F117" s="3" t="s">
        <v>271</v>
      </c>
      <c r="G117" s="3" t="s">
        <v>272</v>
      </c>
      <c r="H117" s="3" t="s">
        <v>296</v>
      </c>
      <c r="I117" s="3"/>
      <c r="J117" s="3">
        <v>11.1666069030762</v>
      </c>
      <c r="K117" s="3"/>
      <c r="L117" s="4">
        <v>43961.685346712962</v>
      </c>
    </row>
    <row r="118" spans="1:12" x14ac:dyDescent="0.2">
      <c r="A118" s="4">
        <v>43959.344457372688</v>
      </c>
      <c r="B118" s="4" t="s">
        <v>8</v>
      </c>
      <c r="C118" s="12">
        <v>1.7231828703703704E-3</v>
      </c>
      <c r="D118" s="3" t="s">
        <v>269</v>
      </c>
      <c r="E118" s="3" t="s">
        <v>270</v>
      </c>
      <c r="F118" s="3" t="s">
        <v>271</v>
      </c>
      <c r="G118" s="3" t="s">
        <v>272</v>
      </c>
      <c r="H118" s="3" t="s">
        <v>296</v>
      </c>
      <c r="I118" s="3"/>
      <c r="J118" s="3">
        <v>2.0977072417736099E-2</v>
      </c>
      <c r="L118" s="4">
        <v>43961.685346782404</v>
      </c>
    </row>
    <row r="119" spans="1:12" x14ac:dyDescent="0.2">
      <c r="A119" s="4">
        <v>43959.346180555556</v>
      </c>
      <c r="B119" s="4" t="s">
        <v>10</v>
      </c>
      <c r="C119" s="12">
        <v>2.3440046296296295E-3</v>
      </c>
      <c r="D119" s="3" t="s">
        <v>269</v>
      </c>
      <c r="E119" s="3" t="s">
        <v>270</v>
      </c>
      <c r="F119" s="3" t="s">
        <v>271</v>
      </c>
      <c r="G119" s="3" t="s">
        <v>272</v>
      </c>
      <c r="H119" s="3" t="s">
        <v>296</v>
      </c>
      <c r="I119" s="3"/>
      <c r="J119" s="3">
        <v>5.0742669105529803</v>
      </c>
      <c r="L119" s="4">
        <v>43961.685346817132</v>
      </c>
    </row>
    <row r="120" spans="1:12" x14ac:dyDescent="0.2">
      <c r="A120" s="4">
        <v>43959.348524560184</v>
      </c>
      <c r="B120" s="4" t="s">
        <v>8</v>
      </c>
      <c r="C120" s="12">
        <v>2.6533310185185184E-2</v>
      </c>
      <c r="D120" s="3" t="s">
        <v>269</v>
      </c>
      <c r="E120" s="3" t="s">
        <v>270</v>
      </c>
      <c r="F120" s="3" t="s">
        <v>271</v>
      </c>
      <c r="G120" s="3" t="s">
        <v>272</v>
      </c>
      <c r="H120" s="3" t="s">
        <v>296</v>
      </c>
      <c r="I120" s="3"/>
      <c r="J120" s="3">
        <v>8.2718394696712494E-3</v>
      </c>
      <c r="L120" s="4">
        <v>43961.685346828701</v>
      </c>
    </row>
    <row r="121" spans="1:12" x14ac:dyDescent="0.2">
      <c r="A121" s="4">
        <v>43959.375057870369</v>
      </c>
      <c r="B121" s="4" t="s">
        <v>10</v>
      </c>
      <c r="C121" s="12">
        <v>0.14310725694444446</v>
      </c>
      <c r="D121" s="3" t="s">
        <v>269</v>
      </c>
      <c r="E121" s="3" t="s">
        <v>270</v>
      </c>
      <c r="F121" s="3" t="s">
        <v>271</v>
      </c>
      <c r="G121" s="3" t="s">
        <v>272</v>
      </c>
      <c r="H121" s="3" t="s">
        <v>296</v>
      </c>
      <c r="I121" s="3"/>
      <c r="J121" s="3">
        <v>1.42088198661804</v>
      </c>
      <c r="L121" s="4">
        <v>43961.685346840277</v>
      </c>
    </row>
    <row r="122" spans="1:12" x14ac:dyDescent="0.2">
      <c r="A122" s="4">
        <v>43959.416724537034</v>
      </c>
      <c r="B122" s="4" t="s">
        <v>8</v>
      </c>
      <c r="D122" s="3" t="s">
        <v>269</v>
      </c>
      <c r="E122" s="3" t="s">
        <v>270</v>
      </c>
      <c r="F122" s="3" t="s">
        <v>271</v>
      </c>
      <c r="G122" s="3" t="s">
        <v>272</v>
      </c>
      <c r="H122" s="3" t="s">
        <v>296</v>
      </c>
      <c r="I122" s="3"/>
      <c r="J122" s="3">
        <v>3.7075344473123599E-2</v>
      </c>
    </row>
    <row r="123" spans="1:12" x14ac:dyDescent="0.2">
      <c r="A123" s="4">
        <v>43959.458391203705</v>
      </c>
      <c r="B123" s="4" t="s">
        <v>10</v>
      </c>
      <c r="D123" s="3" t="s">
        <v>269</v>
      </c>
      <c r="E123" s="3" t="s">
        <v>270</v>
      </c>
      <c r="F123" s="3" t="s">
        <v>271</v>
      </c>
      <c r="G123" s="3" t="s">
        <v>272</v>
      </c>
      <c r="H123" s="3" t="s">
        <v>296</v>
      </c>
      <c r="I123" s="3"/>
      <c r="J123" s="3">
        <v>6.0523624420165998</v>
      </c>
    </row>
    <row r="124" spans="1:12" x14ac:dyDescent="0.2">
      <c r="A124" s="4">
        <v>43959.500057870369</v>
      </c>
      <c r="B124" s="4" t="s">
        <v>8</v>
      </c>
      <c r="D124" s="3" t="s">
        <v>269</v>
      </c>
      <c r="E124" s="3" t="s">
        <v>270</v>
      </c>
      <c r="F124" s="3" t="s">
        <v>271</v>
      </c>
      <c r="G124" s="3" t="s">
        <v>272</v>
      </c>
      <c r="H124" s="3" t="s">
        <v>296</v>
      </c>
      <c r="I124" s="3"/>
      <c r="J124" s="3">
        <v>0.15932556986808799</v>
      </c>
    </row>
    <row r="125" spans="1:12" x14ac:dyDescent="0.2">
      <c r="A125" s="4">
        <v>43959.518165127316</v>
      </c>
      <c r="B125" s="4" t="s">
        <v>10</v>
      </c>
      <c r="C125" s="12">
        <v>2.1951111111111112E-2</v>
      </c>
      <c r="D125" s="3" t="s">
        <v>269</v>
      </c>
      <c r="E125" s="3" t="s">
        <v>270</v>
      </c>
      <c r="F125" s="3" t="s">
        <v>271</v>
      </c>
      <c r="G125" s="3" t="s">
        <v>272</v>
      </c>
      <c r="H125" s="3" t="s">
        <v>296</v>
      </c>
      <c r="I125" s="3"/>
      <c r="J125" s="3">
        <v>19.289592742919901</v>
      </c>
      <c r="L125" s="4">
        <v>43961.685346863429</v>
      </c>
    </row>
    <row r="126" spans="1:12" x14ac:dyDescent="0.2">
      <c r="A126" s="4">
        <v>43959.540116238422</v>
      </c>
      <c r="B126" s="4" t="s">
        <v>8</v>
      </c>
      <c r="C126" s="12">
        <v>2.7383761574074073E-2</v>
      </c>
      <c r="D126" s="3" t="s">
        <v>269</v>
      </c>
      <c r="E126" s="3" t="s">
        <v>270</v>
      </c>
      <c r="F126" s="3" t="s">
        <v>271</v>
      </c>
      <c r="G126" s="3" t="s">
        <v>272</v>
      </c>
      <c r="H126" s="3" t="s">
        <v>296</v>
      </c>
      <c r="I126" s="3"/>
      <c r="J126" s="3">
        <v>1.9876301288604702E-2</v>
      </c>
      <c r="L126" s="4">
        <v>43961.685346886574</v>
      </c>
    </row>
    <row r="127" spans="1:12" x14ac:dyDescent="0.2">
      <c r="A127" s="4">
        <v>43959.567499999997</v>
      </c>
      <c r="B127" s="4" t="s">
        <v>10</v>
      </c>
      <c r="C127" s="12">
        <v>7.8643310185185181E-2</v>
      </c>
      <c r="D127" s="3" t="s">
        <v>269</v>
      </c>
      <c r="E127" s="3" t="s">
        <v>270</v>
      </c>
      <c r="F127" s="3" t="s">
        <v>271</v>
      </c>
      <c r="G127" s="3" t="s">
        <v>272</v>
      </c>
      <c r="H127" s="3" t="s">
        <v>296</v>
      </c>
      <c r="I127" s="3"/>
      <c r="J127" s="3">
        <v>2.0927858352661102</v>
      </c>
      <c r="L127" s="4">
        <v>43961.68534689815</v>
      </c>
    </row>
    <row r="128" spans="1:12" x14ac:dyDescent="0.2">
      <c r="A128" s="4">
        <v>43959.609166666669</v>
      </c>
      <c r="B128" s="4" t="s">
        <v>8</v>
      </c>
      <c r="D128" s="3" t="s">
        <v>269</v>
      </c>
      <c r="E128" s="3" t="s">
        <v>270</v>
      </c>
      <c r="F128" s="3" t="s">
        <v>271</v>
      </c>
      <c r="G128" s="3" t="s">
        <v>272</v>
      </c>
      <c r="H128" s="3" t="s">
        <v>296</v>
      </c>
      <c r="I128" s="3"/>
      <c r="J128" s="3">
        <v>5.6357658468186899E-3</v>
      </c>
    </row>
    <row r="129" spans="1:12" x14ac:dyDescent="0.2">
      <c r="A129" s="4">
        <v>43959.646143310187</v>
      </c>
      <c r="B129" s="4" t="s">
        <v>285</v>
      </c>
      <c r="C129" s="12">
        <v>5.5583912037037034E-3</v>
      </c>
      <c r="D129" s="3" t="s">
        <v>269</v>
      </c>
      <c r="E129" s="3" t="s">
        <v>270</v>
      </c>
      <c r="F129" s="3" t="s">
        <v>271</v>
      </c>
      <c r="G129" s="3" t="s">
        <v>272</v>
      </c>
      <c r="H129" s="3" t="s">
        <v>296</v>
      </c>
      <c r="I129" s="3"/>
      <c r="J129" s="3">
        <v>0.98855817317962602</v>
      </c>
      <c r="L129" s="4">
        <v>43961.685346921295</v>
      </c>
    </row>
    <row r="130" spans="1:12" x14ac:dyDescent="0.2">
      <c r="A130" s="4">
        <v>43959.65170170139</v>
      </c>
      <c r="B130" s="4" t="s">
        <v>8</v>
      </c>
      <c r="C130" s="12">
        <v>3.6802430555555555E-3</v>
      </c>
      <c r="D130" s="3" t="s">
        <v>269</v>
      </c>
      <c r="E130" s="3" t="s">
        <v>270</v>
      </c>
      <c r="F130" s="3" t="s">
        <v>271</v>
      </c>
      <c r="G130" s="3" t="s">
        <v>272</v>
      </c>
      <c r="H130" s="3" t="s">
        <v>296</v>
      </c>
      <c r="I130" s="3"/>
      <c r="J130" s="3">
        <v>9.3488022685050999E-3</v>
      </c>
      <c r="L130" s="4">
        <v>43961.685346932871</v>
      </c>
    </row>
    <row r="131" spans="1:12" x14ac:dyDescent="0.2">
      <c r="A131" s="4">
        <v>43959.655381944445</v>
      </c>
      <c r="B131" s="4" t="s">
        <v>10</v>
      </c>
      <c r="C131" s="12">
        <v>0.16791993055555557</v>
      </c>
      <c r="D131" s="3" t="s">
        <v>269</v>
      </c>
      <c r="E131" s="3" t="s">
        <v>270</v>
      </c>
      <c r="F131" s="3" t="s">
        <v>271</v>
      </c>
      <c r="G131" s="3" t="s">
        <v>272</v>
      </c>
      <c r="H131" s="3" t="s">
        <v>296</v>
      </c>
      <c r="I131" s="3"/>
      <c r="J131" s="3">
        <v>14.841423034668001</v>
      </c>
      <c r="L131" s="4">
        <v>43961.685346944447</v>
      </c>
    </row>
    <row r="132" spans="1:12" x14ac:dyDescent="0.2">
      <c r="A132" s="4">
        <v>43959.697048611109</v>
      </c>
      <c r="B132" s="4" t="s">
        <v>8</v>
      </c>
      <c r="D132" s="3" t="s">
        <v>269</v>
      </c>
      <c r="E132" s="3" t="s">
        <v>270</v>
      </c>
      <c r="F132" s="3" t="s">
        <v>271</v>
      </c>
      <c r="G132" s="3" t="s">
        <v>272</v>
      </c>
      <c r="H132" s="3" t="s">
        <v>296</v>
      </c>
      <c r="I132" s="3"/>
    </row>
    <row r="133" spans="1:12" x14ac:dyDescent="0.2">
      <c r="A133" s="4">
        <v>43959.738715277781</v>
      </c>
      <c r="B133" s="4" t="s">
        <v>285</v>
      </c>
      <c r="D133" s="3" t="s">
        <v>269</v>
      </c>
      <c r="E133" s="3" t="s">
        <v>270</v>
      </c>
      <c r="F133" s="3" t="s">
        <v>271</v>
      </c>
      <c r="G133" s="3" t="s">
        <v>272</v>
      </c>
      <c r="H133" s="3" t="s">
        <v>296</v>
      </c>
      <c r="I133" s="3"/>
      <c r="J133" s="3">
        <v>2.1</v>
      </c>
    </row>
    <row r="134" spans="1:12" x14ac:dyDescent="0.2">
      <c r="A134" s="4">
        <v>43959.780381944445</v>
      </c>
      <c r="B134" s="4" t="s">
        <v>8</v>
      </c>
      <c r="D134" s="3" t="s">
        <v>269</v>
      </c>
      <c r="E134" s="3" t="s">
        <v>270</v>
      </c>
      <c r="F134" s="3" t="s">
        <v>271</v>
      </c>
      <c r="G134" s="3" t="s">
        <v>272</v>
      </c>
      <c r="H134" s="3" t="s">
        <v>296</v>
      </c>
      <c r="I134" s="3"/>
      <c r="J134" s="3">
        <v>0</v>
      </c>
    </row>
    <row r="135" spans="1:12" x14ac:dyDescent="0.2">
      <c r="A135" s="4">
        <v>43959.823301875003</v>
      </c>
      <c r="B135" s="4" t="s">
        <v>9</v>
      </c>
      <c r="C135" s="12">
        <v>1.5592361111111111E-3</v>
      </c>
      <c r="D135" s="3" t="s">
        <v>269</v>
      </c>
      <c r="E135" s="3" t="s">
        <v>270</v>
      </c>
      <c r="F135" s="3" t="s">
        <v>271</v>
      </c>
      <c r="G135" s="3" t="s">
        <v>272</v>
      </c>
      <c r="H135" s="3" t="s">
        <v>296</v>
      </c>
      <c r="I135" s="3"/>
      <c r="J135" s="3">
        <v>0</v>
      </c>
      <c r="L135" s="4">
        <v>43961.685346956016</v>
      </c>
    </row>
    <row r="136" spans="1:12" x14ac:dyDescent="0.2">
      <c r="A136" s="4">
        <v>43959.824861111112</v>
      </c>
      <c r="B136" s="4" t="s">
        <v>8</v>
      </c>
      <c r="C136" s="12">
        <v>3.6851851851851851E-2</v>
      </c>
      <c r="D136" s="3" t="s">
        <v>269</v>
      </c>
      <c r="E136" s="3" t="s">
        <v>270</v>
      </c>
      <c r="F136" s="3" t="s">
        <v>271</v>
      </c>
      <c r="G136" s="3" t="s">
        <v>272</v>
      </c>
      <c r="H136" s="3" t="s">
        <v>296</v>
      </c>
      <c r="I136" s="3"/>
      <c r="J136" s="3">
        <v>0</v>
      </c>
      <c r="L136" s="4">
        <v>43961.685346967592</v>
      </c>
    </row>
    <row r="137" spans="1:12" x14ac:dyDescent="0.2">
      <c r="A137" s="4">
        <v>43959.861712962964</v>
      </c>
      <c r="B137" s="4" t="s">
        <v>285</v>
      </c>
      <c r="C137" s="12">
        <v>2.0071759259259259E-4</v>
      </c>
      <c r="D137" s="3" t="s">
        <v>269</v>
      </c>
      <c r="E137" s="3" t="s">
        <v>270</v>
      </c>
      <c r="F137" s="3" t="s">
        <v>271</v>
      </c>
      <c r="G137" s="3" t="s">
        <v>272</v>
      </c>
      <c r="H137" s="3" t="s">
        <v>296</v>
      </c>
      <c r="I137" s="3"/>
      <c r="J137" s="3">
        <v>11.186718000000001</v>
      </c>
      <c r="L137" s="4">
        <v>43961.685346990744</v>
      </c>
    </row>
    <row r="138" spans="1:12" x14ac:dyDescent="0.2">
      <c r="A138" s="4">
        <v>43959.861913680557</v>
      </c>
      <c r="B138" s="4" t="s">
        <v>9</v>
      </c>
      <c r="C138" s="12">
        <v>1.1380747453703703</v>
      </c>
      <c r="D138" s="3" t="s">
        <v>269</v>
      </c>
      <c r="E138" s="3" t="s">
        <v>270</v>
      </c>
      <c r="F138" s="3" t="s">
        <v>271</v>
      </c>
      <c r="G138" s="3" t="s">
        <v>272</v>
      </c>
      <c r="H138" s="3" t="s">
        <v>296</v>
      </c>
      <c r="I138" s="3"/>
      <c r="K138" s="3"/>
      <c r="L138" s="4">
        <v>43961.685347002312</v>
      </c>
    </row>
    <row r="139" spans="1:12" x14ac:dyDescent="0.2">
      <c r="A139" s="4">
        <v>43959.861913680557</v>
      </c>
      <c r="B139" s="4" t="s">
        <v>8</v>
      </c>
      <c r="D139" s="3" t="s">
        <v>269</v>
      </c>
      <c r="E139" s="3" t="s">
        <v>270</v>
      </c>
      <c r="F139" s="3" t="s">
        <v>271</v>
      </c>
      <c r="G139" s="3" t="s">
        <v>272</v>
      </c>
      <c r="H139" s="3" t="s">
        <v>296</v>
      </c>
      <c r="I139" s="3"/>
      <c r="L139" s="4">
        <v>43961.685347002312</v>
      </c>
    </row>
  </sheetData>
  <phoneticPr fontId="16" type="noConversion"/>
  <pageMargins left="0.7" right="0.7" top="0.75" bottom="0.75" header="0.3" footer="0.3"/>
  <pageSetup fitToHeight="10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topLeftCell="A13" workbookViewId="0">
      <selection activeCell="A46" sqref="A46"/>
    </sheetView>
  </sheetViews>
  <sheetFormatPr defaultRowHeight="12.75" x14ac:dyDescent="0.2"/>
  <cols>
    <col min="1" max="7" width="30" customWidth="1"/>
    <col min="8" max="8" width="21" bestFit="1" customWidth="1"/>
    <col min="9" max="10" width="30" style="11" customWidth="1"/>
  </cols>
  <sheetData>
    <row r="1" spans="1:10" s="9" customForma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136</v>
      </c>
      <c r="G1" s="9" t="s">
        <v>158</v>
      </c>
      <c r="H1" s="9" t="s">
        <v>173</v>
      </c>
      <c r="I1" s="10" t="s">
        <v>193</v>
      </c>
      <c r="J1" s="10" t="s">
        <v>225</v>
      </c>
    </row>
    <row r="2" spans="1:10" x14ac:dyDescent="0.2">
      <c r="A2" t="s">
        <v>27</v>
      </c>
      <c r="B2" t="s">
        <v>46</v>
      </c>
      <c r="C2" t="s">
        <v>47</v>
      </c>
      <c r="D2" t="s">
        <v>48</v>
      </c>
      <c r="E2" t="s">
        <v>49</v>
      </c>
      <c r="F2" t="s">
        <v>137</v>
      </c>
      <c r="G2" t="s">
        <v>159</v>
      </c>
      <c r="H2" t="s">
        <v>174</v>
      </c>
      <c r="I2" s="11" t="s">
        <v>194</v>
      </c>
      <c r="J2" s="11" t="s">
        <v>214</v>
      </c>
    </row>
    <row r="3" spans="1:10" x14ac:dyDescent="0.2">
      <c r="A3" t="s">
        <v>43</v>
      </c>
      <c r="B3" t="s">
        <v>42</v>
      </c>
      <c r="C3" t="s">
        <v>50</v>
      </c>
      <c r="D3" t="s">
        <v>51</v>
      </c>
      <c r="E3" t="s">
        <v>52</v>
      </c>
      <c r="F3" t="s">
        <v>138</v>
      </c>
      <c r="G3" t="s">
        <v>138</v>
      </c>
      <c r="H3" t="s">
        <v>51</v>
      </c>
      <c r="I3" s="11" t="s">
        <v>138</v>
      </c>
      <c r="J3" s="11" t="s">
        <v>226</v>
      </c>
    </row>
    <row r="4" spans="1:10" x14ac:dyDescent="0.2">
      <c r="A4" t="s">
        <v>28</v>
      </c>
      <c r="B4" t="s">
        <v>53</v>
      </c>
      <c r="C4" t="s">
        <v>54</v>
      </c>
      <c r="D4" t="s">
        <v>11</v>
      </c>
      <c r="E4" t="s">
        <v>55</v>
      </c>
      <c r="F4" t="s">
        <v>11</v>
      </c>
      <c r="G4" t="s">
        <v>11</v>
      </c>
      <c r="H4" t="s">
        <v>11</v>
      </c>
      <c r="I4" s="11" t="s">
        <v>195</v>
      </c>
      <c r="J4" s="11" t="s">
        <v>227</v>
      </c>
    </row>
    <row r="5" spans="1:10" x14ac:dyDescent="0.2">
      <c r="A5" t="s">
        <v>29</v>
      </c>
      <c r="B5" t="s">
        <v>56</v>
      </c>
      <c r="C5" t="s">
        <v>57</v>
      </c>
      <c r="D5" t="s">
        <v>58</v>
      </c>
      <c r="E5" t="s">
        <v>59</v>
      </c>
      <c r="F5" t="s">
        <v>139</v>
      </c>
      <c r="G5" t="s">
        <v>57</v>
      </c>
      <c r="H5" t="s">
        <v>175</v>
      </c>
      <c r="I5" s="11" t="s">
        <v>57</v>
      </c>
      <c r="J5" s="11" t="s">
        <v>215</v>
      </c>
    </row>
    <row r="6" spans="1:10" x14ac:dyDescent="0.2">
      <c r="A6" t="s">
        <v>206</v>
      </c>
      <c r="B6" t="s">
        <v>60</v>
      </c>
      <c r="C6" t="s">
        <v>61</v>
      </c>
      <c r="D6" t="s">
        <v>62</v>
      </c>
      <c r="E6" t="s">
        <v>63</v>
      </c>
      <c r="F6" t="s">
        <v>140</v>
      </c>
      <c r="G6" t="s">
        <v>168</v>
      </c>
      <c r="H6" t="s">
        <v>176</v>
      </c>
      <c r="I6" s="11" t="s">
        <v>207</v>
      </c>
      <c r="J6" s="11" t="s">
        <v>228</v>
      </c>
    </row>
    <row r="7" spans="1:10" x14ac:dyDescent="0.2">
      <c r="A7" t="s">
        <v>30</v>
      </c>
      <c r="B7" t="s">
        <v>64</v>
      </c>
      <c r="C7" t="s">
        <v>65</v>
      </c>
      <c r="D7" t="s">
        <v>66</v>
      </c>
      <c r="E7" t="s">
        <v>67</v>
      </c>
      <c r="F7" t="s">
        <v>141</v>
      </c>
      <c r="G7" t="s">
        <v>160</v>
      </c>
      <c r="H7" t="s">
        <v>177</v>
      </c>
      <c r="I7" s="11" t="s">
        <v>196</v>
      </c>
      <c r="J7" s="11" t="s">
        <v>229</v>
      </c>
    </row>
    <row r="8" spans="1:10" x14ac:dyDescent="0.2">
      <c r="A8" t="s">
        <v>31</v>
      </c>
      <c r="B8" t="s">
        <v>12</v>
      </c>
      <c r="C8" t="s">
        <v>68</v>
      </c>
      <c r="D8" t="s">
        <v>69</v>
      </c>
      <c r="E8" t="s">
        <v>70</v>
      </c>
      <c r="F8" t="s">
        <v>142</v>
      </c>
      <c r="G8" t="s">
        <v>12</v>
      </c>
      <c r="H8" t="s">
        <v>178</v>
      </c>
      <c r="I8" s="11" t="s">
        <v>197</v>
      </c>
      <c r="J8" s="11" t="s">
        <v>230</v>
      </c>
    </row>
    <row r="9" spans="1:10" x14ac:dyDescent="0.2">
      <c r="A9" t="s">
        <v>32</v>
      </c>
      <c r="B9" t="s">
        <v>13</v>
      </c>
      <c r="C9" t="s">
        <v>71</v>
      </c>
      <c r="D9" t="s">
        <v>72</v>
      </c>
      <c r="E9" t="s">
        <v>73</v>
      </c>
      <c r="F9" t="s">
        <v>143</v>
      </c>
      <c r="G9" t="s">
        <v>13</v>
      </c>
      <c r="H9" t="s">
        <v>179</v>
      </c>
      <c r="I9" s="11" t="s">
        <v>198</v>
      </c>
      <c r="J9" s="11" t="s">
        <v>231</v>
      </c>
    </row>
    <row r="10" spans="1:10" x14ac:dyDescent="0.2">
      <c r="A10" t="s">
        <v>33</v>
      </c>
      <c r="B10" t="s">
        <v>74</v>
      </c>
      <c r="C10" t="s">
        <v>75</v>
      </c>
      <c r="D10" t="s">
        <v>74</v>
      </c>
      <c r="E10" t="s">
        <v>76</v>
      </c>
      <c r="F10" t="s">
        <v>144</v>
      </c>
      <c r="G10" t="s">
        <v>161</v>
      </c>
      <c r="H10" t="s">
        <v>144</v>
      </c>
      <c r="I10" s="11" t="s">
        <v>199</v>
      </c>
      <c r="J10" s="11" t="s">
        <v>232</v>
      </c>
    </row>
    <row r="11" spans="1:10" x14ac:dyDescent="0.2">
      <c r="A11" t="s">
        <v>34</v>
      </c>
      <c r="B11" t="s">
        <v>77</v>
      </c>
      <c r="C11" t="s">
        <v>78</v>
      </c>
      <c r="D11" t="s">
        <v>79</v>
      </c>
      <c r="E11" t="s">
        <v>80</v>
      </c>
      <c r="F11" t="s">
        <v>145</v>
      </c>
      <c r="G11" t="s">
        <v>237</v>
      </c>
      <c r="H11" t="s">
        <v>180</v>
      </c>
      <c r="I11" s="11" t="s">
        <v>200</v>
      </c>
      <c r="J11" s="11" t="s">
        <v>233</v>
      </c>
    </row>
    <row r="12" spans="1:10" x14ac:dyDescent="0.2">
      <c r="A12" t="s">
        <v>239</v>
      </c>
      <c r="B12" t="s">
        <v>240</v>
      </c>
      <c r="C12" t="s">
        <v>241</v>
      </c>
      <c r="D12" t="s">
        <v>242</v>
      </c>
      <c r="E12" t="s">
        <v>243</v>
      </c>
      <c r="F12" t="s">
        <v>244</v>
      </c>
      <c r="G12" t="s">
        <v>245</v>
      </c>
      <c r="H12" s="11" t="s">
        <v>246</v>
      </c>
      <c r="I12" s="11" t="s">
        <v>247</v>
      </c>
      <c r="J12" s="11" t="s">
        <v>248</v>
      </c>
    </row>
    <row r="13" spans="1:10" x14ac:dyDescent="0.2">
      <c r="A13" t="s">
        <v>35</v>
      </c>
      <c r="B13" t="s">
        <v>14</v>
      </c>
      <c r="C13" t="s">
        <v>81</v>
      </c>
      <c r="D13" t="s">
        <v>82</v>
      </c>
      <c r="E13" t="s">
        <v>83</v>
      </c>
      <c r="F13" t="s">
        <v>146</v>
      </c>
      <c r="G13" t="s">
        <v>162</v>
      </c>
      <c r="H13" t="s">
        <v>181</v>
      </c>
      <c r="I13" s="11" t="s">
        <v>201</v>
      </c>
      <c r="J13" s="11" t="s">
        <v>234</v>
      </c>
    </row>
    <row r="14" spans="1:10" x14ac:dyDescent="0.2">
      <c r="A14" t="s">
        <v>44</v>
      </c>
      <c r="B14" t="s">
        <v>84</v>
      </c>
      <c r="C14" t="s">
        <v>85</v>
      </c>
      <c r="D14" t="s">
        <v>86</v>
      </c>
      <c r="E14" t="s">
        <v>87</v>
      </c>
      <c r="F14" t="s">
        <v>147</v>
      </c>
      <c r="G14" t="s">
        <v>169</v>
      </c>
      <c r="H14" t="s">
        <v>182</v>
      </c>
      <c r="I14" s="11" t="s">
        <v>208</v>
      </c>
      <c r="J14" s="11" t="s">
        <v>216</v>
      </c>
    </row>
    <row r="15" spans="1:10" x14ac:dyDescent="0.2">
      <c r="A15" t="s">
        <v>45</v>
      </c>
      <c r="B15" t="s">
        <v>88</v>
      </c>
      <c r="C15" t="s">
        <v>89</v>
      </c>
      <c r="D15" t="s">
        <v>90</v>
      </c>
      <c r="E15" t="s">
        <v>91</v>
      </c>
      <c r="F15" t="s">
        <v>148</v>
      </c>
      <c r="G15" t="s">
        <v>170</v>
      </c>
      <c r="H15" t="s">
        <v>183</v>
      </c>
      <c r="I15" s="11" t="s">
        <v>209</v>
      </c>
      <c r="J15" s="11" t="s">
        <v>217</v>
      </c>
    </row>
    <row r="16" spans="1:10" x14ac:dyDescent="0.2">
      <c r="A16" t="s">
        <v>36</v>
      </c>
      <c r="B16" t="s">
        <v>92</v>
      </c>
      <c r="C16" t="s">
        <v>93</v>
      </c>
      <c r="D16" t="s">
        <v>94</v>
      </c>
      <c r="E16" t="s">
        <v>95</v>
      </c>
      <c r="F16" t="s">
        <v>149</v>
      </c>
      <c r="G16" t="s">
        <v>163</v>
      </c>
      <c r="H16" t="s">
        <v>184</v>
      </c>
      <c r="I16" s="11" t="s">
        <v>202</v>
      </c>
      <c r="J16" s="11" t="s">
        <v>235</v>
      </c>
    </row>
    <row r="17" spans="1:10" x14ac:dyDescent="0.2">
      <c r="A17" t="s">
        <v>41</v>
      </c>
      <c r="B17" t="s">
        <v>96</v>
      </c>
      <c r="C17" t="s">
        <v>97</v>
      </c>
      <c r="D17" t="s">
        <v>98</v>
      </c>
      <c r="E17" t="s">
        <v>99</v>
      </c>
      <c r="F17" t="s">
        <v>150</v>
      </c>
      <c r="G17" t="s">
        <v>164</v>
      </c>
      <c r="H17" t="s">
        <v>185</v>
      </c>
      <c r="I17" s="11" t="s">
        <v>203</v>
      </c>
      <c r="J17" s="11" t="s">
        <v>236</v>
      </c>
    </row>
    <row r="18" spans="1:10" x14ac:dyDescent="0.2">
      <c r="A18" t="s">
        <v>37</v>
      </c>
      <c r="B18" t="s">
        <v>100</v>
      </c>
      <c r="C18" t="s">
        <v>101</v>
      </c>
      <c r="D18" t="s">
        <v>102</v>
      </c>
      <c r="E18" t="s">
        <v>103</v>
      </c>
      <c r="F18" t="s">
        <v>151</v>
      </c>
      <c r="G18" t="s">
        <v>171</v>
      </c>
      <c r="H18" t="s">
        <v>186</v>
      </c>
      <c r="I18" s="11" t="s">
        <v>210</v>
      </c>
      <c r="J18" s="11" t="s">
        <v>218</v>
      </c>
    </row>
    <row r="19" spans="1:10" x14ac:dyDescent="0.2">
      <c r="A19" t="s">
        <v>38</v>
      </c>
      <c r="B19" t="s">
        <v>104</v>
      </c>
      <c r="C19" t="s">
        <v>105</v>
      </c>
      <c r="D19" t="s">
        <v>106</v>
      </c>
      <c r="E19" t="s">
        <v>107</v>
      </c>
      <c r="F19" t="s">
        <v>152</v>
      </c>
      <c r="G19" t="s">
        <v>105</v>
      </c>
      <c r="H19" t="s">
        <v>187</v>
      </c>
      <c r="I19" s="11" t="s">
        <v>204</v>
      </c>
      <c r="J19" s="11" t="s">
        <v>219</v>
      </c>
    </row>
    <row r="20" spans="1:10" x14ac:dyDescent="0.2">
      <c r="A20" t="s">
        <v>39</v>
      </c>
      <c r="B20" t="s">
        <v>108</v>
      </c>
      <c r="C20" t="s">
        <v>109</v>
      </c>
      <c r="D20" t="s">
        <v>110</v>
      </c>
      <c r="E20" t="s">
        <v>111</v>
      </c>
      <c r="F20" t="s">
        <v>153</v>
      </c>
      <c r="G20" t="s">
        <v>109</v>
      </c>
      <c r="H20" t="s">
        <v>188</v>
      </c>
      <c r="I20" s="11" t="s">
        <v>205</v>
      </c>
      <c r="J20" s="11" t="s">
        <v>220</v>
      </c>
    </row>
    <row r="21" spans="1:10" x14ac:dyDescent="0.2">
      <c r="A21" t="s">
        <v>40</v>
      </c>
      <c r="B21" t="s">
        <v>112</v>
      </c>
      <c r="C21" t="s">
        <v>113</v>
      </c>
      <c r="D21" t="s">
        <v>114</v>
      </c>
      <c r="E21" t="s">
        <v>115</v>
      </c>
      <c r="F21" t="s">
        <v>154</v>
      </c>
      <c r="G21" t="s">
        <v>172</v>
      </c>
      <c r="H21" t="s">
        <v>189</v>
      </c>
      <c r="I21" s="11" t="s">
        <v>211</v>
      </c>
      <c r="J21" s="11" t="s">
        <v>221</v>
      </c>
    </row>
    <row r="22" spans="1:10" x14ac:dyDescent="0.2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155</v>
      </c>
      <c r="G22" t="s">
        <v>165</v>
      </c>
      <c r="H22" t="s">
        <v>190</v>
      </c>
      <c r="I22" s="11" t="s">
        <v>165</v>
      </c>
      <c r="J22" s="11" t="s">
        <v>222</v>
      </c>
    </row>
    <row r="23" spans="1:10" x14ac:dyDescent="0.2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156</v>
      </c>
      <c r="G23" t="s">
        <v>166</v>
      </c>
      <c r="H23" t="s">
        <v>191</v>
      </c>
      <c r="I23" s="11" t="s">
        <v>212</v>
      </c>
      <c r="J23" s="11" t="s">
        <v>223</v>
      </c>
    </row>
    <row r="24" spans="1:10" x14ac:dyDescent="0.2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157</v>
      </c>
      <c r="G24" t="s">
        <v>167</v>
      </c>
      <c r="H24" t="s">
        <v>192</v>
      </c>
      <c r="I24" s="11" t="s">
        <v>213</v>
      </c>
      <c r="J24" s="11" t="s">
        <v>224</v>
      </c>
    </row>
    <row r="25" spans="1:10" x14ac:dyDescent="0.2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256</v>
      </c>
      <c r="I25" s="11" t="s">
        <v>257</v>
      </c>
      <c r="J25" s="11" t="s">
        <v>258</v>
      </c>
    </row>
    <row r="26" spans="1:10" x14ac:dyDescent="0.2">
      <c r="A26" t="s">
        <v>298</v>
      </c>
    </row>
    <row r="27" spans="1:10" x14ac:dyDescent="0.2">
      <c r="A27" t="s">
        <v>274</v>
      </c>
    </row>
    <row r="28" spans="1:10" x14ac:dyDescent="0.2">
      <c r="A28" t="s">
        <v>276</v>
      </c>
    </row>
    <row r="29" spans="1:10" x14ac:dyDescent="0.2">
      <c r="A29" t="s">
        <v>299</v>
      </c>
    </row>
    <row r="30" spans="1:10" ht="12.75" customHeight="1" x14ac:dyDescent="0.2">
      <c r="A30" t="s">
        <v>300</v>
      </c>
    </row>
    <row r="31" spans="1:10" ht="13.5" customHeight="1" x14ac:dyDescent="0.2">
      <c r="A31" t="s">
        <v>301</v>
      </c>
    </row>
    <row r="32" spans="1:10" x14ac:dyDescent="0.2">
      <c r="A32" t="s">
        <v>302</v>
      </c>
    </row>
    <row r="33" spans="1:1" x14ac:dyDescent="0.2">
      <c r="A33" t="s">
        <v>294</v>
      </c>
    </row>
    <row r="34" spans="1:1" ht="38.25" x14ac:dyDescent="0.2">
      <c r="A34" s="11" t="s">
        <v>303</v>
      </c>
    </row>
    <row r="35" spans="1:1" ht="89.25" x14ac:dyDescent="0.2">
      <c r="A35" s="11" t="s">
        <v>292</v>
      </c>
    </row>
    <row r="36" spans="1:1" x14ac:dyDescent="0.2">
      <c r="A36" t="s">
        <v>275</v>
      </c>
    </row>
    <row r="37" spans="1:1" x14ac:dyDescent="0.2">
      <c r="A37" t="s">
        <v>278</v>
      </c>
    </row>
    <row r="38" spans="1:1" x14ac:dyDescent="0.2">
      <c r="A38" t="s">
        <v>279</v>
      </c>
    </row>
    <row r="39" spans="1:1" x14ac:dyDescent="0.2">
      <c r="A39" t="s">
        <v>283</v>
      </c>
    </row>
    <row r="40" spans="1:1" x14ac:dyDescent="0.2">
      <c r="A40" t="s">
        <v>284</v>
      </c>
    </row>
    <row r="41" spans="1:1" x14ac:dyDescent="0.2">
      <c r="A41" t="s">
        <v>293</v>
      </c>
    </row>
    <row r="42" spans="1:1" x14ac:dyDescent="0.2">
      <c r="A42" t="s">
        <v>297</v>
      </c>
    </row>
    <row r="43" spans="1:1" x14ac:dyDescent="0.2">
      <c r="A43" t="s">
        <v>307</v>
      </c>
    </row>
    <row r="44" spans="1:1" x14ac:dyDescent="0.2">
      <c r="A44" t="s">
        <v>308</v>
      </c>
    </row>
    <row r="45" spans="1:1" x14ac:dyDescent="0.2">
      <c r="A45" t="s">
        <v>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Excessive YM Events</vt:lpstr>
      <vt:lpstr>Report</vt:lpstr>
      <vt:lpstr>Data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Dubey</dc:creator>
  <cp:lastModifiedBy>Ben Schwartz</cp:lastModifiedBy>
  <dcterms:created xsi:type="dcterms:W3CDTF">2009-05-21T13:20:04Z</dcterms:created>
  <dcterms:modified xsi:type="dcterms:W3CDTF">2020-11-17T17:06:59Z</dcterms:modified>
</cp:coreProperties>
</file>