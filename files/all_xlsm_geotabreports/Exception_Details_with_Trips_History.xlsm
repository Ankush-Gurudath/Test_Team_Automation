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codeName="ThisWorkbook" hidePivotFieldList="1"/>
  <mc:AlternateContent xmlns:mc="http://schemas.openxmlformats.org/markup-compatibility/2006">
    <mc:Choice Requires="x15">
      <x15ac:absPath xmlns:x15ac="http://schemas.microsoft.com/office/spreadsheetml/2010/11/ac" url="C:\Users\jasonwidla\Desktop\"/>
    </mc:Choice>
  </mc:AlternateContent>
  <bookViews>
    <workbookView xWindow="0" yWindow="0" windowWidth="23040" windowHeight="9084" firstSheet="2" activeTab="2"/>
  </bookViews>
  <sheets>
    <sheet name="Data" sheetId="1" state="hidden" r:id="rId1"/>
    <sheet name="Summary" sheetId="4" state="hidden" r:id="rId2"/>
    <sheet name="Report" sheetId="2" r:id="rId3"/>
    <sheet name="Languages" sheetId="5" state="hidden" r:id="rId4"/>
  </sheets>
  <definedNames>
    <definedName name="AllData">Report!$A$10:$M$11</definedName>
  </definedNames>
  <calcPr calcId="171027" concurrentCalc="0"/>
  <pivotCaches>
    <pivotCache cacheId="5" r:id="rId5"/>
  </pivotCaches>
</workbook>
</file>

<file path=xl/calcChain.xml><?xml version="1.0" encoding="utf-8"?>
<calcChain xmlns="http://schemas.openxmlformats.org/spreadsheetml/2006/main">
  <c r="M11" i="2" l="1"/>
  <c r="L11" i="2"/>
  <c r="I11" i="2"/>
  <c r="J11" i="2"/>
  <c r="A1" i="2"/>
  <c r="B11" i="2"/>
  <c r="F11" i="2"/>
  <c r="E11" i="2"/>
  <c r="C8" i="2"/>
  <c r="C7" i="2"/>
  <c r="C4" i="2"/>
  <c r="D5" i="4"/>
  <c r="D4" i="4"/>
  <c r="F1" i="4"/>
  <c r="A1" i="4"/>
  <c r="B4" i="4"/>
  <c r="B5" i="4"/>
  <c r="C5" i="2"/>
  <c r="C6" i="2"/>
  <c r="K11" i="2"/>
  <c r="G11" i="2"/>
  <c r="D11" i="2"/>
  <c r="C11" i="2"/>
  <c r="A11" i="2"/>
  <c r="H11" i="2"/>
</calcChain>
</file>

<file path=xl/comments1.xml><?xml version="1.0" encoding="utf-8"?>
<comments xmlns="http://schemas.openxmlformats.org/spreadsheetml/2006/main">
  <authors>
    <author>Thomas</author>
  </authors>
  <commentList>
    <comment ref="A1" authorId="0" shapeId="0">
      <text>
        <r>
          <rPr>
            <sz val="11"/>
            <color theme="1"/>
            <rFont val="Calibri"/>
            <family val="2"/>
            <scheme val="minor"/>
          </rPr>
          <t>ExceptionsDetail.5</t>
        </r>
      </text>
    </comment>
  </commentList>
</comments>
</file>

<file path=xl/sharedStrings.xml><?xml version="1.0" encoding="utf-8"?>
<sst xmlns="http://schemas.openxmlformats.org/spreadsheetml/2006/main" count="221" uniqueCount="190">
  <si>
    <t>Distance</t>
  </si>
  <si>
    <t>Details</t>
  </si>
  <si>
    <t>Speeding</t>
  </si>
  <si>
    <t>Grand Total</t>
  </si>
  <si>
    <t/>
  </si>
  <si>
    <t>ExceptionDetailLongitude</t>
  </si>
  <si>
    <t>ExceptionDetailLatitude</t>
  </si>
  <si>
    <t>ExceptionDetailStartTime</t>
  </si>
  <si>
    <t>ExceptionDetailDetails</t>
  </si>
  <si>
    <t>ExceptionDuration</t>
  </si>
  <si>
    <t>ExceptionDistance</t>
  </si>
  <si>
    <t>ExceptionDetailLocation</t>
  </si>
  <si>
    <t>Data</t>
  </si>
  <si>
    <t>.Device.DeviceName</t>
  </si>
  <si>
    <t>.Device.DeviceId</t>
  </si>
  <si>
    <t>.Device.DeviceGroup</t>
  </si>
  <si>
    <t>.Driver.DriverGroup</t>
  </si>
  <si>
    <t>.ExceptionRule.ExceptionRuleName</t>
  </si>
  <si>
    <t>Location.ZoneZoneTypes</t>
  </si>
  <si>
    <t>RunDate</t>
  </si>
  <si>
    <t>FromDate</t>
  </si>
  <si>
    <t>ToDate</t>
  </si>
  <si>
    <t>Location.ZoneExternalReference</t>
  </si>
  <si>
    <t>.Device.DeviceComment</t>
  </si>
  <si>
    <t>Template Vehicle 1</t>
  </si>
  <si>
    <t>Template Group 1</t>
  </si>
  <si>
    <t>Template Group 2</t>
  </si>
  <si>
    <t>Template Driver 1</t>
  </si>
  <si>
    <t>1801 S Service Rd W, Oakville, ON, L6L</t>
  </si>
  <si>
    <t>CompanyName</t>
  </si>
  <si>
    <t>DistanceUnit</t>
  </si>
  <si>
    <t>km</t>
  </si>
  <si>
    <t>SpeedUnit</t>
  </si>
  <si>
    <t>km/h</t>
  </si>
  <si>
    <t>SendReport</t>
  </si>
  <si>
    <t>LastModifiedUser</t>
  </si>
  <si>
    <t>System</t>
  </si>
  <si>
    <t>ExceptionDetailExtraInfo</t>
  </si>
  <si>
    <t>Driving faster than 113 km/h</t>
  </si>
  <si>
    <t>Max Speed: 131 km/h</t>
  </si>
  <si>
    <t>Office Zone</t>
  </si>
  <si>
    <t>.Driver.UserName</t>
  </si>
  <si>
    <t>.Driver.UserId</t>
  </si>
  <si>
    <t>.Driver.UserComment</t>
  </si>
  <si>
    <t>Link</t>
  </si>
  <si>
    <t>Server</t>
  </si>
  <si>
    <t>Test Company</t>
  </si>
  <si>
    <t>English</t>
  </si>
  <si>
    <t>French</t>
  </si>
  <si>
    <t>Spanish</t>
  </si>
  <si>
    <t>German</t>
  </si>
  <si>
    <t>Japanese</t>
  </si>
  <si>
    <t>**Vehicle</t>
  </si>
  <si>
    <t>Véhicule</t>
  </si>
  <si>
    <t>Vehículo</t>
  </si>
  <si>
    <t>Fahrzeug</t>
  </si>
  <si>
    <t>車両</t>
  </si>
  <si>
    <t>**Driver</t>
  </si>
  <si>
    <t>Conducteur</t>
  </si>
  <si>
    <t>Conductor</t>
  </si>
  <si>
    <t>Fahrer</t>
  </si>
  <si>
    <t>ドライバー</t>
  </si>
  <si>
    <t>**Location</t>
  </si>
  <si>
    <t>Emplacement</t>
  </si>
  <si>
    <t>Ubicación</t>
  </si>
  <si>
    <t>Ort</t>
  </si>
  <si>
    <t>位置</t>
  </si>
  <si>
    <t>**Extra Info</t>
  </si>
  <si>
    <t>Autres infos</t>
  </si>
  <si>
    <t>Información adicional</t>
  </si>
  <si>
    <t>Zusatzinformationen</t>
  </si>
  <si>
    <t>追加情報</t>
  </si>
  <si>
    <t>**Details</t>
  </si>
  <si>
    <t>Détails</t>
  </si>
  <si>
    <t>Detalles</t>
  </si>
  <si>
    <t>詳細</t>
  </si>
  <si>
    <t>**Time</t>
  </si>
  <si>
    <t>Heure</t>
  </si>
  <si>
    <t>Tiempo</t>
  </si>
  <si>
    <t>Zeit</t>
  </si>
  <si>
    <t>時間</t>
  </si>
  <si>
    <t>**Duration</t>
  </si>
  <si>
    <t>durée</t>
  </si>
  <si>
    <t>duración</t>
  </si>
  <si>
    <t>Dauer</t>
  </si>
  <si>
    <t>期間</t>
  </si>
  <si>
    <t>**Distance</t>
  </si>
  <si>
    <t>Distancia</t>
  </si>
  <si>
    <t>Entfernung</t>
  </si>
  <si>
    <t>距離</t>
  </si>
  <si>
    <t>**Location Zone Types</t>
  </si>
  <si>
    <t>Types de zones de localisation</t>
  </si>
  <si>
    <t>Tipos de zonas de la ubicación</t>
  </si>
  <si>
    <t>Standortzonentyp</t>
  </si>
  <si>
    <t>場所ゾーンタイプ</t>
  </si>
  <si>
    <t>**Date</t>
  </si>
  <si>
    <t>Date</t>
  </si>
  <si>
    <t>Fecha</t>
  </si>
  <si>
    <t>Datum</t>
  </si>
  <si>
    <t>データ</t>
  </si>
  <si>
    <t>**Device Group</t>
  </si>
  <si>
    <t>Groupe de dispositifs</t>
  </si>
  <si>
    <t>Grupo de dispositivos</t>
  </si>
  <si>
    <t>Gerätegruppe</t>
  </si>
  <si>
    <t>デバイスグループ</t>
  </si>
  <si>
    <t>**Driver Group</t>
  </si>
  <si>
    <t>Groupe de chauffeurs</t>
  </si>
  <si>
    <t>Grupo de conductores</t>
  </si>
  <si>
    <t>Fahrergruppe</t>
  </si>
  <si>
    <t>ドライバーグループ</t>
  </si>
  <si>
    <t>**Rule</t>
  </si>
  <si>
    <t>Règle</t>
  </si>
  <si>
    <t>Regla</t>
  </si>
  <si>
    <t>Regel</t>
  </si>
  <si>
    <t>ルール</t>
  </si>
  <si>
    <t>**Created</t>
  </si>
  <si>
    <t>Créé</t>
  </si>
  <si>
    <t>Creado</t>
  </si>
  <si>
    <t>Angelegt</t>
  </si>
  <si>
    <t>作成済</t>
  </si>
  <si>
    <t>**From</t>
  </si>
  <si>
    <t>À partir de</t>
  </si>
  <si>
    <t>De</t>
  </si>
  <si>
    <t>Von</t>
  </si>
  <si>
    <t>から</t>
  </si>
  <si>
    <t>**To</t>
  </si>
  <si>
    <t>Pour</t>
  </si>
  <si>
    <t>Para</t>
  </si>
  <si>
    <t>An</t>
  </si>
  <si>
    <t>へ</t>
  </si>
  <si>
    <t>**Measurements</t>
  </si>
  <si>
    <t>Mesures</t>
  </si>
  <si>
    <t>Medidas</t>
  </si>
  <si>
    <t>Messungen</t>
  </si>
  <si>
    <t>計測値</t>
  </si>
  <si>
    <t>**Speed</t>
  </si>
  <si>
    <t>Vitesse</t>
  </si>
  <si>
    <t>Velocidad</t>
  </si>
  <si>
    <t>Geschwindigkeit</t>
  </si>
  <si>
    <t>スピード</t>
  </si>
  <si>
    <t>**Exceptions Detail Report</t>
  </si>
  <si>
    <t>Rapport d’exceptions détaillé</t>
  </si>
  <si>
    <t>Reporte detallado sobre las excepciones</t>
  </si>
  <si>
    <t>Bericht Ausnahmeneinzelheiten</t>
  </si>
  <si>
    <t>例外事項（例外ルール）詳細レポート</t>
  </si>
  <si>
    <t>**Speeds</t>
  </si>
  <si>
    <t>**Device</t>
  </si>
  <si>
    <t>**Link</t>
  </si>
  <si>
    <t>ID</t>
  </si>
  <si>
    <t>**UTC Start</t>
  </si>
  <si>
    <t>**UTC End</t>
  </si>
  <si>
    <t>**Server</t>
  </si>
  <si>
    <t>**Database</t>
  </si>
  <si>
    <t>Lien</t>
  </si>
  <si>
    <t>UTC Démarrer</t>
  </si>
  <si>
    <t>UTC Fin</t>
  </si>
  <si>
    <t>Serveur</t>
  </si>
  <si>
    <t>Base de données</t>
  </si>
  <si>
    <t>Enlazar</t>
  </si>
  <si>
    <t>GMT Inicio</t>
  </si>
  <si>
    <t>Servidor</t>
  </si>
  <si>
    <t>Base de datos</t>
  </si>
  <si>
    <t>UTC starten</t>
  </si>
  <si>
    <t>UTC end</t>
  </si>
  <si>
    <t>Datenbank</t>
  </si>
  <si>
    <t>リンク</t>
  </si>
  <si>
    <t>UTCスタート</t>
  </si>
  <si>
    <t>UTCエンド</t>
  </si>
  <si>
    <t>サーバ</t>
  </si>
  <si>
    <t>データベース</t>
  </si>
  <si>
    <t>Sum of **Distance</t>
  </si>
  <si>
    <t>Sum of **Duration</t>
  </si>
  <si>
    <t>**Report Description</t>
  </si>
  <si>
    <t xml:space="preserve">**This is a standard exception details report with the added benefit of being able to open each exception’s respective trips history information directly from within the Report sheet. </t>
  </si>
  <si>
    <t>Berichtbeschreibung</t>
  </si>
  <si>
    <t>Descripción del reporte</t>
  </si>
  <si>
    <t>Description du rapport</t>
  </si>
  <si>
    <t>レポート詳細説明</t>
  </si>
  <si>
    <t>**This is a standard exception details report with the added benefit of being able to open each exception’s respective trips history information directly from within the Report sheet.</t>
  </si>
  <si>
    <t>Dies ist ein Standardausnahmedetailbericht mit dem Vorteil, dass die Streckenhistorie zu jeder Ausnahme direkt aus dem Bericht geöffnet werden kann.</t>
  </si>
  <si>
    <t>Este es un reporte de detalles de excepciones estándar que cuenta con el beneficio añadido de poder abrir la información sobre el histórico de viajes de cada excepción directamente de la hoja de Reporte.</t>
  </si>
  <si>
    <t>Ce rapport fournit les détails d’exception habituels avec l’option d’ouvrir l’historique des trajets respectif de chaque exception directement à partir de la feuille de rapport.</t>
  </si>
  <si>
    <t>このレポートでは、標準の例外項目に関する詳細データを確認できるだけでなく、各例外事項に関連する走行履歴情報をレポートシートから直接開くことができます。</t>
  </si>
  <si>
    <t>**Exception Details with Trips History</t>
  </si>
  <si>
    <t>Ausnahmedetails mit Streckenhistorie</t>
  </si>
  <si>
    <t>Détails de l’exception et historique des trajets</t>
  </si>
  <si>
    <t>Detalles de excepciones con histórico de viajes</t>
  </si>
  <si>
    <t>例外項目詳細 (走行履歴含む)</t>
  </si>
  <si>
    <t>test_company</t>
  </si>
  <si>
    <t>my9.geotab.com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</si>
</sst>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dd/mm/yyyy\ h:mm:ss\ AM/PM"/>
    <numFmt numFmtId="169" formatCode="[h]:mm"/>
    <numFmt numFmtId="170" formatCode="[$-F800]dddd\,\ mmmm\ dd\,\ yyyy"/>
    <numFmt numFmtId="171" formatCode="[$-F400]h:mm:ss\ AM/PM"/>
    <numFmt numFmtId="172" formatCode="0;\-0;;@"/>
    <numFmt numFmtId="173" formatCode="mmm\ dd\,\ yyyy"/>
    <numFmt numFmtId="174" formatCode="mmm\ dd\,\ yyyy\ h:mm:ss\ AM/PM"/>
    <numFmt numFmtId="175" formatCode="0.0"/>
    <numFmt numFmtId="176" formatCode="h&quot;h, &quot;m&quot;m&quot;"/>
    <numFmt numFmtId="177" formatCode="yyyy\-mm\-dd\Thh:mm:ss.000\Z"/>
  </numFmts>
  <fonts count="24" x14ac:knownFonts="1">
    <font>
      <sz val="11"/>
      <color theme="1"/>
      <name val="Calibri"/>
      <family val="2"/>
      <scheme val="minor"/>
    </font>
    <font>
      <b/>
      <sz val="7"/>
      <color indexed="8"/>
      <name val="Tahoma"/>
      <family val="2"/>
    </font>
    <font>
      <sz val="8"/>
      <color indexed="8"/>
      <name val="Tahoma"/>
      <family val="2"/>
    </font>
    <font>
      <sz val="11"/>
      <color indexed="8"/>
      <name val="Calibri"/>
      <family val="2"/>
    </font>
    <font>
      <sz val="11"/>
      <name val="Segoe UI"/>
      <family val="2"/>
    </font>
    <font>
      <b/>
      <sz val="11"/>
      <name val="Segoe UI"/>
      <family val="2"/>
    </font>
    <font>
      <sz val="11"/>
      <color theme="0"/>
      <name val="Calibri"/>
      <family val="2"/>
      <scheme val="minor"/>
    </font>
    <font>
      <b/>
      <sz val="18"/>
      <color theme="0"/>
      <name val="Calibri"/>
      <family val="2"/>
      <scheme val="minor"/>
    </font>
    <font>
      <sz val="11"/>
      <color theme="3"/>
      <name val="Calibri"/>
      <family val="2"/>
      <scheme val="minor"/>
    </font>
    <font>
      <b/>
      <sz val="11"/>
      <color theme="1"/>
      <name val="Calibri"/>
      <family val="2"/>
    </font>
    <font>
      <b/>
      <sz val="11"/>
      <color theme="1"/>
      <name val="Calibri"/>
      <family val="2"/>
      <scheme val="minor"/>
    </font>
    <font>
      <b/>
      <sz val="14"/>
      <color theme="5" tint="-0.249977111117893"/>
      <name val="Calibri"/>
      <family val="2"/>
    </font>
    <font>
      <u/>
      <sz val="11"/>
      <color theme="10"/>
      <name val="Calibri"/>
      <family val="2"/>
      <scheme val="minor"/>
    </font>
    <font>
      <b/>
      <sz val="8"/>
      <color theme="1"/>
      <name val="Tahoma"/>
      <family val="2"/>
    </font>
    <font>
      <sz val="11"/>
      <name val="Calibri"/>
      <family val="2"/>
      <scheme val="minor"/>
    </font>
    <font>
      <b/>
      <sz val="11"/>
      <name val="Calibri"/>
      <family val="2"/>
      <scheme val="minor"/>
    </font>
    <font>
      <sz val="11"/>
      <color theme="0" tint="-0.34998626667073579"/>
      <name val="Segoe UI"/>
      <family val="2"/>
    </font>
    <font>
      <sz val="11"/>
      <color theme="3"/>
      <name val="Segoe UI"/>
      <family val="2"/>
    </font>
    <font>
      <sz val="11"/>
      <color theme="1"/>
      <name val="Segoe UI"/>
      <family val="2"/>
    </font>
    <font>
      <sz val="12"/>
      <color theme="0" tint="-0.34998626667073579"/>
      <name val="Segoe UI"/>
      <family val="2"/>
    </font>
    <font>
      <b/>
      <sz val="10"/>
      <name val="Arial"/>
      <family val="2"/>
    </font>
    <font>
      <b/>
      <sz val="14"/>
      <name val="Calibri"/>
      <family val="2"/>
      <scheme val="minor"/>
    </font>
    <font>
      <sz val="11"/>
      <color rgb="FF000000"/>
      <name val="Calibri"/>
      <family val="2"/>
      <scheme val="minor"/>
    </font>
    <font>
      <sz val="11"/>
      <color theme="1"/>
      <name val="Calibri"/>
      <scheme val="minor"/>
    </font>
  </fonts>
  <fills count="5">
    <fill>
      <patternFill patternType="none"/>
    </fill>
    <fill>
      <patternFill patternType="gray125"/>
    </fill>
    <fill>
      <patternFill patternType="solid">
        <fgColor indexed="22"/>
        <bgColor indexed="64"/>
      </patternFill>
    </fill>
    <fill>
      <patternFill patternType="solid">
        <fgColor theme="4"/>
        <bgColor indexed="64"/>
      </patternFill>
    </fill>
    <fill>
      <patternFill patternType="solid">
        <fgColor theme="5" tint="0.59999389629810485"/>
        <bgColor indexed="64"/>
      </patternFill>
    </fill>
  </fills>
  <borders count="2">
    <border>
      <left/>
      <right/>
      <top/>
      <bottom/>
      <diagonal/>
    </border>
    <border>
      <left/>
      <right/>
      <top/>
      <bottom style="medium">
        <color indexed="8"/>
      </bottom>
      <diagonal/>
    </border>
  </borders>
  <cellStyleXfs count="12">
    <xf numFmtId="0" fontId="0" fillId="0" borderId="0"/>
    <xf numFmtId="167" fontId="3" fillId="0" borderId="0" applyFont="0" applyFill="0" applyBorder="0" applyAlignment="0" applyProtection="0"/>
    <xf numFmtId="165" fontId="3" fillId="0" borderId="0" applyFont="0" applyFill="0" applyBorder="0" applyAlignment="0" applyProtection="0"/>
    <xf numFmtId="166" fontId="3" fillId="0" borderId="0" applyFont="0" applyFill="0" applyBorder="0" applyAlignment="0" applyProtection="0"/>
    <xf numFmtId="164" fontId="3" fillId="0" borderId="0" applyFont="0" applyFill="0" applyBorder="0" applyAlignment="0" applyProtection="0"/>
    <xf numFmtId="0" fontId="7" fillId="3" borderId="0" applyNumberFormat="0"/>
    <xf numFmtId="0" fontId="8" fillId="0" borderId="0" applyNumberFormat="0" applyAlignment="0"/>
    <xf numFmtId="0" fontId="9" fillId="4" borderId="0" applyNumberFormat="0"/>
    <xf numFmtId="173" fontId="6" fillId="3" borderId="0"/>
    <xf numFmtId="0" fontId="10" fillId="0" borderId="0" applyNumberFormat="0"/>
    <xf numFmtId="0" fontId="11" fillId="0" borderId="0" applyNumberFormat="0"/>
    <xf numFmtId="0" fontId="12" fillId="0" borderId="0" applyNumberFormat="0" applyFill="0" applyBorder="0" applyAlignment="0" applyProtection="0"/>
  </cellStyleXfs>
  <cellXfs count="55">
    <xf numFmtId="0" fontId="0" fillId="0" borderId="0" xfId="0"/>
    <xf numFmtId="0" fontId="1" fillId="2" borderId="1" xfId="0" applyFont="1" applyFill="1" applyBorder="1" applyAlignment="1">
      <alignment horizontal="center" wrapText="1"/>
    </xf>
    <xf numFmtId="0" fontId="2" fillId="0" borderId="0" xfId="0" applyFont="1" applyAlignment="1">
      <alignment horizontal="left"/>
    </xf>
    <xf numFmtId="168" fontId="2" fillId="0" borderId="0" xfId="0" applyNumberFormat="1" applyFont="1" applyAlignment="1">
      <alignment horizontal="left"/>
    </xf>
    <xf numFmtId="169" fontId="2" fillId="0" borderId="0" xfId="0" applyNumberFormat="1" applyFont="1" applyAlignment="1">
      <alignment horizontal="left"/>
    </xf>
    <xf numFmtId="0" fontId="13" fillId="0" borderId="0" xfId="0" applyFont="1"/>
    <xf numFmtId="0" fontId="14" fillId="0" borderId="0" xfId="0" applyFont="1"/>
    <xf numFmtId="0" fontId="15" fillId="0" borderId="0" xfId="0" applyFont="1"/>
    <xf numFmtId="173" fontId="14" fillId="0" borderId="0" xfId="0" applyNumberFormat="1" applyFont="1" applyAlignment="1">
      <alignment horizontal="left"/>
    </xf>
    <xf numFmtId="0" fontId="7" fillId="3" borderId="0" xfId="5"/>
    <xf numFmtId="0" fontId="11" fillId="0" borderId="0" xfId="10"/>
    <xf numFmtId="173" fontId="6" fillId="3" borderId="0" xfId="8"/>
    <xf numFmtId="0" fontId="10" fillId="0" borderId="0" xfId="9"/>
    <xf numFmtId="173" fontId="8" fillId="0" borderId="0" xfId="6" applyNumberFormat="1" applyAlignment="1">
      <alignment horizontal="left"/>
    </xf>
    <xf numFmtId="0" fontId="8" fillId="0" borderId="0" xfId="6"/>
    <xf numFmtId="0" fontId="16" fillId="0" borderId="0" xfId="6" applyFont="1" applyAlignment="1">
      <alignment horizontal="right"/>
    </xf>
    <xf numFmtId="173" fontId="17" fillId="0" borderId="0" xfId="6" applyNumberFormat="1" applyFont="1" applyAlignment="1">
      <alignment horizontal="left"/>
    </xf>
    <xf numFmtId="0" fontId="4" fillId="0" borderId="0" xfId="0" applyFont="1"/>
    <xf numFmtId="170" fontId="4" fillId="0" borderId="0" xfId="0" applyNumberFormat="1" applyFont="1"/>
    <xf numFmtId="171" fontId="4" fillId="0" borderId="0" xfId="0" applyNumberFormat="1" applyFont="1"/>
    <xf numFmtId="0" fontId="17" fillId="0" borderId="0" xfId="6" applyFont="1"/>
    <xf numFmtId="0" fontId="5" fillId="0" borderId="0" xfId="0" applyFont="1"/>
    <xf numFmtId="172" fontId="17" fillId="0" borderId="0" xfId="6" applyNumberFormat="1" applyFont="1"/>
    <xf numFmtId="0" fontId="18" fillId="0" borderId="0" xfId="0" applyFont="1"/>
    <xf numFmtId="170" fontId="18" fillId="0" borderId="0" xfId="0" applyNumberFormat="1" applyFont="1"/>
    <xf numFmtId="171" fontId="18" fillId="0" borderId="0" xfId="0" applyNumberFormat="1" applyFont="1"/>
    <xf numFmtId="0" fontId="19" fillId="0" borderId="0" xfId="6" applyFont="1"/>
    <xf numFmtId="170" fontId="19" fillId="0" borderId="0" xfId="6" applyNumberFormat="1" applyFont="1"/>
    <xf numFmtId="171" fontId="19" fillId="0" borderId="0" xfId="6" applyNumberFormat="1" applyFont="1"/>
    <xf numFmtId="174" fontId="17" fillId="0" borderId="0" xfId="6" applyNumberFormat="1" applyFont="1" applyAlignment="1">
      <alignment horizontal="left"/>
    </xf>
    <xf numFmtId="175" fontId="4" fillId="0" borderId="0" xfId="0" applyNumberFormat="1" applyFont="1" applyAlignment="1">
      <alignment horizontal="right"/>
    </xf>
    <xf numFmtId="175" fontId="19" fillId="0" borderId="0" xfId="6" applyNumberFormat="1" applyFont="1" applyAlignment="1">
      <alignment horizontal="right"/>
    </xf>
    <xf numFmtId="175" fontId="17" fillId="0" borderId="0" xfId="6" applyNumberFormat="1" applyFont="1" applyAlignment="1">
      <alignment horizontal="right"/>
    </xf>
    <xf numFmtId="175" fontId="18" fillId="0" borderId="0" xfId="0" applyNumberFormat="1" applyFont="1" applyAlignment="1">
      <alignment horizontal="right"/>
    </xf>
    <xf numFmtId="176" fontId="4" fillId="0" borderId="0" xfId="0" applyNumberFormat="1" applyFont="1" applyAlignment="1">
      <alignment horizontal="right"/>
    </xf>
    <xf numFmtId="176" fontId="19" fillId="0" borderId="0" xfId="6" applyNumberFormat="1" applyFont="1" applyAlignment="1">
      <alignment horizontal="right"/>
    </xf>
    <xf numFmtId="176" fontId="17" fillId="0" borderId="0" xfId="6" applyNumberFormat="1" applyFont="1" applyAlignment="1">
      <alignment horizontal="right"/>
    </xf>
    <xf numFmtId="176" fontId="18" fillId="0" borderId="0" xfId="0" applyNumberFormat="1" applyFont="1" applyAlignment="1">
      <alignment horizontal="right"/>
    </xf>
    <xf numFmtId="177" fontId="17" fillId="0" borderId="0" xfId="6" applyNumberFormat="1" applyFont="1"/>
    <xf numFmtId="172" fontId="12" fillId="0" borderId="0" xfId="11" applyNumberFormat="1"/>
    <xf numFmtId="0" fontId="9" fillId="4" borderId="0" xfId="7"/>
    <xf numFmtId="173" fontId="6" fillId="3" borderId="0" xfId="8" applyAlignment="1">
      <alignment horizontal="right"/>
    </xf>
    <xf numFmtId="16" fontId="0" fillId="0" borderId="0" xfId="0" applyNumberFormat="1"/>
    <xf numFmtId="0" fontId="21" fillId="0" borderId="0" xfId="0" applyFont="1"/>
    <xf numFmtId="0" fontId="23" fillId="0" borderId="0" xfId="0" applyFont="1"/>
    <xf numFmtId="0" fontId="23" fillId="0" borderId="0" xfId="0" pivotButton="1" applyFont="1"/>
    <xf numFmtId="174" fontId="23" fillId="0" borderId="0" xfId="0" applyNumberFormat="1" applyFont="1"/>
    <xf numFmtId="46" fontId="23" fillId="0" borderId="0" xfId="0" applyNumberFormat="1" applyFont="1"/>
    <xf numFmtId="2" fontId="23" fillId="0" borderId="0" xfId="0" applyNumberFormat="1" applyFont="1"/>
    <xf numFmtId="0" fontId="0" fillId="0" borderId="0" xfId="0" applyAlignment="1">
      <alignment vertical="top" wrapText="1"/>
    </xf>
    <xf numFmtId="0" fontId="20" fillId="0" borderId="0" xfId="0" applyFont="1" applyAlignment="1">
      <alignment wrapText="1"/>
    </xf>
    <xf numFmtId="0" fontId="0" fillId="0" borderId="0" xfId="0" applyAlignment="1">
      <alignment wrapText="1"/>
    </xf>
    <xf numFmtId="0" fontId="22" fillId="0" borderId="0" xfId="0" applyFont="1" applyAlignment="1">
      <alignment vertical="top" wrapText="1"/>
    </xf>
    <xf numFmtId="0" fontId="21" fillId="0" borderId="0" xfId="0" applyFont="1" applyAlignment="1">
      <alignment horizontal="center" vertical="center"/>
    </xf>
    <xf numFmtId="0" fontId="22" fillId="0" borderId="0" xfId="0" applyFont="1" applyAlignment="1">
      <alignment horizontal="left" vertical="top" wrapText="1"/>
    </xf>
  </cellXfs>
  <cellStyles count="12">
    <cellStyle name="Comma" xfId="1" builtinId="3" customBuiltin="1"/>
    <cellStyle name="Comma [0]" xfId="2" builtinId="6" customBuiltin="1"/>
    <cellStyle name="Currency" xfId="3" builtinId="4" customBuiltin="1"/>
    <cellStyle name="Currency [0]" xfId="4" builtinId="7" customBuiltin="1"/>
    <cellStyle name="Geotab Heading" xfId="5"/>
    <cellStyle name="Geotab Report Body" xfId="6"/>
    <cellStyle name="Geotab Report Column Header" xfId="7"/>
    <cellStyle name="Geotab Report Creation DateTime" xfId="8"/>
    <cellStyle name="Geotab Report Field Name" xfId="9"/>
    <cellStyle name="Geotab Report Name" xfId="10"/>
    <cellStyle name="Hyperlink" xfId="11" builtinId="8"/>
    <cellStyle name="Normal" xfId="0" builtinId="0" customBuiltin="1"/>
  </cellStyles>
  <dxfs count="30">
    <dxf>
      <font>
        <name val="Calibri"/>
        <scheme val="minor"/>
      </font>
    </dxf>
    <dxf>
      <font>
        <sz val="11"/>
      </font>
    </dxf>
    <dxf>
      <numFmt numFmtId="31" formatCode="[h]:mm:ss"/>
    </dxf>
    <dxf>
      <numFmt numFmtId="2" formatCode="0.00"/>
    </dxf>
    <dxf>
      <font>
        <color rgb="FF0070C0"/>
      </font>
      <fill>
        <patternFill patternType="none">
          <bgColor indexed="65"/>
        </patternFill>
      </fill>
    </dxf>
    <dxf>
      <font>
        <color rgb="FF00B050"/>
      </font>
      <fill>
        <patternFill patternType="none">
          <bgColor indexed="65"/>
        </patternFill>
      </fill>
    </dxf>
    <dxf>
      <font>
        <color rgb="FFC00000"/>
      </font>
      <fill>
        <patternFill patternType="none">
          <bgColor indexed="65"/>
        </patternFill>
      </fill>
    </dxf>
    <dxf>
      <numFmt numFmtId="172" formatCode="0;\-0;;@"/>
    </dxf>
    <dxf>
      <font>
        <color theme="0" tint="-0.34998626667073579"/>
      </font>
    </dxf>
    <dxf>
      <font>
        <color theme="0" tint="-0.34998626667073579"/>
      </font>
    </dxf>
    <dxf>
      <font>
        <color auto="1"/>
      </font>
      <numFmt numFmtId="178" formatCode="[m]&quot;m&quot;"/>
    </dxf>
    <dxf>
      <font>
        <color rgb="FF0070C0"/>
      </font>
      <fill>
        <patternFill patternType="none">
          <bgColor indexed="65"/>
        </patternFill>
      </fill>
    </dxf>
    <dxf>
      <font>
        <color rgb="FF00B050"/>
      </font>
      <fill>
        <patternFill patternType="none">
          <bgColor indexed="65"/>
        </patternFill>
      </fill>
    </dxf>
    <dxf>
      <font>
        <color rgb="FFC00000"/>
      </font>
      <fill>
        <patternFill patternType="none">
          <bgColor indexed="65"/>
        </patternFill>
      </fill>
    </dxf>
    <dxf>
      <numFmt numFmtId="2" formatCode="0.00"/>
    </dxf>
    <dxf>
      <numFmt numFmtId="31" formatCode="[h]:mm:ss"/>
    </dxf>
    <dxf>
      <font>
        <sz val="11"/>
      </font>
    </dxf>
    <dxf>
      <font>
        <name val="Calibri"/>
        <scheme val="minor"/>
      </font>
    </dxf>
    <dxf>
      <fill>
        <patternFill patternType="solid">
          <fgColor theme="5" tint="0.79998168889431442"/>
          <bgColor theme="5" tint="0.79998168889431442"/>
        </patternFill>
      </fill>
      <border>
        <bottom style="thin">
          <color theme="5" tint="0.39997558519241921"/>
        </bottom>
      </border>
    </dxf>
    <dxf>
      <fill>
        <patternFill patternType="solid">
          <fgColor theme="5" tint="0.79998168889431442"/>
          <bgColor theme="5" tint="0.79998168889431442"/>
        </patternFill>
      </fill>
      <border>
        <bottom style="thin">
          <color theme="5" tint="0.39997558519241921"/>
        </bottom>
      </border>
    </dxf>
    <dxf>
      <font>
        <b/>
        <color theme="1"/>
      </font>
    </dxf>
    <dxf>
      <font>
        <b/>
        <color theme="1"/>
      </font>
      <border>
        <bottom style="thin">
          <color theme="5" tint="0.39997558519241921"/>
        </bottom>
      </border>
    </dxf>
    <dxf>
      <font>
        <color theme="1"/>
      </font>
    </dxf>
    <dxf>
      <font>
        <b/>
        <i val="0"/>
        <color theme="1"/>
      </font>
      <fill>
        <patternFill>
          <bgColor theme="6" tint="0.79998168889431442"/>
        </patternFill>
      </fill>
      <border>
        <top style="thin">
          <color theme="5"/>
        </top>
        <bottom style="thin">
          <color theme="5"/>
        </bottom>
      </border>
    </dxf>
    <dxf>
      <font>
        <color auto="1"/>
      </font>
      <fill>
        <patternFill patternType="solid">
          <fgColor theme="0" tint="-0.14999847407452621"/>
          <bgColor theme="0" tint="-0.14999847407452621"/>
        </patternFill>
      </fill>
    </dxf>
    <dxf>
      <fill>
        <patternFill patternType="solid">
          <fgColor theme="0" tint="-0.14993743705557422"/>
          <bgColor theme="0" tint="-0.14996795556505021"/>
        </patternFill>
      </fill>
      <border>
        <left style="thin">
          <color theme="0" tint="-0.249977111117893"/>
        </left>
        <right style="thin">
          <color theme="0" tint="-0.249977111117893"/>
        </right>
      </border>
    </dxf>
    <dxf>
      <fill>
        <patternFill>
          <fgColor theme="8"/>
          <bgColor theme="8"/>
        </patternFill>
      </fill>
    </dxf>
    <dxf>
      <font>
        <b/>
        <i val="0"/>
        <color theme="0"/>
      </font>
      <fill>
        <patternFill patternType="solid">
          <fgColor theme="5" tint="0.79995117038483843"/>
          <bgColor theme="4"/>
        </patternFill>
      </fill>
      <border>
        <top style="thin">
          <color theme="5" tint="0.39997558519241921"/>
        </top>
      </border>
    </dxf>
    <dxf>
      <font>
        <b/>
        <i val="0"/>
        <color theme="1"/>
      </font>
      <fill>
        <patternFill patternType="solid">
          <fgColor theme="5" tint="0.79995117038483843"/>
          <bgColor theme="5" tint="0.59996337778862885"/>
        </patternFill>
      </fill>
      <border>
        <bottom style="thin">
          <color theme="5" tint="0.39997558519241921"/>
        </bottom>
      </border>
    </dxf>
    <dxf>
      <font>
        <color theme="3"/>
      </font>
    </dxf>
  </dxfs>
  <tableStyles count="1" defaultTableStyle="TableStyleMedium9" defaultPivotStyle="PivotStyleLight16">
    <tableStyle name="PivotStyleLightCheckmate" table="0" count="12">
      <tableStyleElement type="wholeTable" dxfId="29"/>
      <tableStyleElement type="headerRow" dxfId="28"/>
      <tableStyleElement type="totalRow" dxfId="27"/>
      <tableStyleElement type="secondRowStripe" dxfId="26"/>
      <tableStyleElement type="firstColumnStripe" dxfId="25"/>
      <tableStyleElement type="firstSubtotalColumn" dxfId="24"/>
      <tableStyleElement type="firstSubtotalRow" dxfId="23"/>
      <tableStyleElement type="secondSubtotalRow" dxfId="22"/>
      <tableStyleElement type="firstRowSubheading" dxfId="21"/>
      <tableStyleElement type="secondRowSubheading" dxfId="20"/>
      <tableStyleElement type="pageFieldLabels" dxfId="19"/>
      <tableStyleElement type="pageFieldValues"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1057275</xdr:colOff>
      <xdr:row>1</xdr:row>
      <xdr:rowOff>142874</xdr:rowOff>
    </xdr:from>
    <xdr:to>
      <xdr:col>13</xdr:col>
      <xdr:colOff>95250</xdr:colOff>
      <xdr:row>6</xdr:row>
      <xdr:rowOff>190500</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3744575" y="438149"/>
          <a:ext cx="3333750" cy="112395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Jason Widla" refreshedDate="42684.858828472221" createdVersion="5" refreshedVersion="6" recordCount="1">
  <cacheSource type="worksheet">
    <worksheetSource name="AllData"/>
  </cacheSource>
  <cacheFields count="13">
    <cacheField name="**Device" numFmtId="172">
      <sharedItems count="1">
        <s v="Template Vehicle 1"/>
      </sharedItems>
    </cacheField>
    <cacheField name="ID" numFmtId="172">
      <sharedItems containsSemiMixedTypes="0" containsString="0" containsNumber="1" containsInteger="1" minValue="7" maxValue="7"/>
    </cacheField>
    <cacheField name="**Device Group" numFmtId="172">
      <sharedItems/>
    </cacheField>
    <cacheField name="**Rule" numFmtId="0">
      <sharedItems count="1">
        <s v="Speeding"/>
      </sharedItems>
    </cacheField>
    <cacheField name="**Details" numFmtId="172">
      <sharedItems/>
    </cacheField>
    <cacheField name="**Extra Info" numFmtId="172">
      <sharedItems/>
    </cacheField>
    <cacheField name="**Location" numFmtId="172">
      <sharedItems/>
    </cacheField>
    <cacheField name="**Link" numFmtId="172">
      <sharedItems/>
    </cacheField>
    <cacheField name="**Time" numFmtId="174">
      <sharedItems containsSemiMixedTypes="0" containsNonDate="0" containsDate="1" containsString="0" minDate="2009-09-27T08:04:04" maxDate="2009-09-27T08:04:04" count="1">
        <d v="2009-09-27T08:04:04"/>
      </sharedItems>
    </cacheField>
    <cacheField name="**Duration" numFmtId="176">
      <sharedItems containsSemiMixedTypes="0" containsNonDate="0" containsDate="1" containsString="0" minDate="1899-12-30T00:03:34" maxDate="1899-12-30T00:03:34"/>
    </cacheField>
    <cacheField name="**Distance" numFmtId="175">
      <sharedItems containsSemiMixedTypes="0" containsString="0" containsNumber="1" minValue="7.6828615401386999" maxValue="7.6828615401386999"/>
    </cacheField>
    <cacheField name="**UTC Start" numFmtId="177">
      <sharedItems/>
    </cacheField>
    <cacheField name="**UTC End" numFmtId="177">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7"/>
    <s v="Template Driver 1"/>
    <x v="0"/>
    <s v="Driving faster than 113 km/h"/>
    <s v="Max Speed: 131 km/h"/>
    <s v="1801 S Service Rd W, Oakville, ON, L6L"/>
    <s v="View Trip"/>
    <x v="0"/>
    <d v="1899-12-30T00:03:34"/>
    <n v="7.6828615401386999"/>
    <s v="2009-09-27T12:04:04.000Z"/>
    <s v="2009-09-27T12:07:38.000Z"/>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Data" updatedVersion="6" minRefreshableVersion="3" showDrill="0" showMemberPropertyTips="0" useAutoFormatting="1" itemPrintTitles="1" createdVersion="5" indent="0" compact="0" compactData="0" gridDropZones="1">
  <location ref="A7:E10" firstHeaderRow="1" firstDataRow="2" firstDataCol="3"/>
  <pivotFields count="13">
    <pivotField axis="axisRow" compact="0" outline="0" showAll="0" defaultSubtotal="0">
      <items count="1">
        <item x="0"/>
      </items>
    </pivotField>
    <pivotField compact="0" numFmtId="172"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axis="axisRow" compact="0" numFmtId="174" outline="0" showAll="0" defaultSubtotal="0">
      <items count="1">
        <item x="0"/>
      </items>
    </pivotField>
    <pivotField dataField="1" compact="0" numFmtId="176" outline="0" showAll="0" defaultSubtotal="0"/>
    <pivotField dataField="1" compact="0" numFmtId="175" outline="0" showAll="0" defaultSubtotal="0"/>
    <pivotField compact="0" outline="0" showAll="0" defaultSubtotal="0"/>
    <pivotField compact="0" outline="0" showAll="0" defaultSubtotal="0"/>
  </pivotFields>
  <rowFields count="3">
    <field x="0"/>
    <field x="3"/>
    <field x="8"/>
  </rowFields>
  <rowItems count="2">
    <i>
      <x/>
      <x/>
      <x/>
    </i>
    <i t="grand">
      <x/>
    </i>
  </rowItems>
  <colFields count="1">
    <field x="-2"/>
  </colFields>
  <colItems count="2">
    <i>
      <x/>
    </i>
    <i i="1">
      <x v="1"/>
    </i>
  </colItems>
  <dataFields count="2">
    <dataField name="Sum of **Duration" fld="9" baseField="8" baseItem="0" numFmtId="46"/>
    <dataField name="Sum of **Distance" fld="10" baseField="8" baseItem="0" numFmtId="2"/>
  </dataFields>
  <formats count="4">
    <format dxfId="17">
      <pivotArea type="all" dataOnly="0" outline="0" fieldPosition="0"/>
    </format>
    <format dxfId="16">
      <pivotArea type="all" dataOnly="0" outline="0" fieldPosition="0"/>
    </format>
    <format dxfId="15">
      <pivotArea outline="0" fieldPosition="0">
        <references count="1">
          <reference field="4294967294" count="1">
            <x v="0"/>
          </reference>
        </references>
      </pivotArea>
    </format>
    <format dxfId="14">
      <pivotArea outline="0" fieldPosition="0">
        <references count="1">
          <reference field="4294967294" count="1">
            <x v="1"/>
          </reference>
        </references>
      </pivotArea>
    </format>
  </formats>
  <pivotTableStyleInfo name="PivotStyleLightCheckmate" showRowHeaders="0" showColHeaders="1" showRowStripes="1" showColStripes="0" showLastColumn="1"/>
</pivotTableDefinition>
</file>

<file path=xl/theme/theme1.xml><?xml version="1.0" encoding="utf-8"?>
<a:theme xmlns:a="http://schemas.openxmlformats.org/drawingml/2006/main" name="CheckmateReportTheme">
  <a:themeElements>
    <a:clrScheme name="Custom 1">
      <a:dk1>
        <a:sysClr val="windowText" lastClr="000000"/>
      </a:dk1>
      <a:lt1>
        <a:sysClr val="window" lastClr="FFFFFF"/>
      </a:lt1>
      <a:dk2>
        <a:srgbClr val="3F3F3F"/>
      </a:dk2>
      <a:lt2>
        <a:srgbClr val="EEECE1"/>
      </a:lt2>
      <a:accent1>
        <a:srgbClr val="25477B"/>
      </a:accent1>
      <a:accent2>
        <a:srgbClr val="5C9CCC"/>
      </a:accent2>
      <a:accent3>
        <a:srgbClr val="9BBB59"/>
      </a:accent3>
      <a:accent4>
        <a:srgbClr val="F7941E"/>
      </a:accent4>
      <a:accent5>
        <a:srgbClr val="F3F8FB"/>
      </a:accent5>
      <a:accent6>
        <a:srgbClr val="EEECE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S16"/>
  <sheetViews>
    <sheetView workbookViewId="0">
      <pane ySplit="9" topLeftCell="A10" activePane="bottomLeft" state="frozen"/>
      <selection pane="bottomLeft"/>
    </sheetView>
  </sheetViews>
  <sheetFormatPr defaultRowHeight="14.4" x14ac:dyDescent="0.3"/>
  <cols>
    <col min="1" max="1" width="16" customWidth="1"/>
    <col min="2" max="2" width="18.5546875" customWidth="1"/>
    <col min="3" max="3" width="12.88671875" customWidth="1"/>
    <col min="4" max="4" width="15.5546875" customWidth="1"/>
    <col min="5" max="5" width="17.6640625" customWidth="1"/>
    <col min="6" max="6" width="12.44140625" customWidth="1"/>
    <col min="7" max="7" width="18.109375" customWidth="1"/>
    <col min="8" max="8" width="13" customWidth="1"/>
    <col min="9" max="9" width="16.44140625" customWidth="1"/>
    <col min="10" max="10" width="15.6640625" customWidth="1"/>
    <col min="11" max="11" width="12.44140625" customWidth="1"/>
    <col min="12" max="12" width="37.5546875" customWidth="1"/>
    <col min="13" max="14" width="21.5546875" customWidth="1"/>
    <col min="15" max="15" width="18.5546875" customWidth="1"/>
    <col min="16" max="16" width="10.5546875" customWidth="1"/>
    <col min="17" max="17" width="10.44140625" customWidth="1"/>
    <col min="18" max="18" width="15.109375" customWidth="1"/>
    <col min="19" max="19" width="38" customWidth="1"/>
  </cols>
  <sheetData>
    <row r="1" spans="1:19" x14ac:dyDescent="0.3">
      <c r="A1" s="5" t="s">
        <v>29</v>
      </c>
      <c r="B1" s="3" t="s">
        <v>46</v>
      </c>
    </row>
    <row r="2" spans="1:19" x14ac:dyDescent="0.3">
      <c r="A2" s="5" t="s">
        <v>19</v>
      </c>
      <c r="B2" s="3">
        <v>40094.375</v>
      </c>
    </row>
    <row r="3" spans="1:19" x14ac:dyDescent="0.3">
      <c r="A3" s="5" t="s">
        <v>20</v>
      </c>
      <c r="B3" s="3">
        <v>40083</v>
      </c>
    </row>
    <row r="4" spans="1:19" x14ac:dyDescent="0.3">
      <c r="A4" s="5" t="s">
        <v>21</v>
      </c>
      <c r="B4" s="3">
        <v>40088.999988425923</v>
      </c>
    </row>
    <row r="5" spans="1:19" x14ac:dyDescent="0.3">
      <c r="A5" s="5" t="s">
        <v>30</v>
      </c>
      <c r="B5" s="3" t="s">
        <v>31</v>
      </c>
    </row>
    <row r="6" spans="1:19" x14ac:dyDescent="0.3">
      <c r="A6" s="5" t="s">
        <v>32</v>
      </c>
      <c r="B6" s="3" t="s">
        <v>33</v>
      </c>
    </row>
    <row r="7" spans="1:19" x14ac:dyDescent="0.3">
      <c r="A7" s="5" t="s">
        <v>34</v>
      </c>
      <c r="B7" s="3" t="b">
        <v>1</v>
      </c>
    </row>
    <row r="8" spans="1:19" x14ac:dyDescent="0.3">
      <c r="A8" s="5" t="s">
        <v>35</v>
      </c>
      <c r="B8" s="3" t="s">
        <v>36</v>
      </c>
    </row>
    <row r="9" spans="1:19" ht="26.25" customHeight="1" thickBot="1" x14ac:dyDescent="0.35">
      <c r="A9" s="1" t="s">
        <v>13</v>
      </c>
      <c r="B9" s="1" t="s">
        <v>14</v>
      </c>
      <c r="C9" s="1" t="s">
        <v>23</v>
      </c>
      <c r="D9" s="1" t="s">
        <v>15</v>
      </c>
      <c r="E9" s="1" t="s">
        <v>41</v>
      </c>
      <c r="F9" s="1" t="s">
        <v>42</v>
      </c>
      <c r="G9" s="1" t="s">
        <v>43</v>
      </c>
      <c r="H9" s="1" t="s">
        <v>16</v>
      </c>
      <c r="I9" s="1" t="s">
        <v>17</v>
      </c>
      <c r="J9" s="1" t="s">
        <v>5</v>
      </c>
      <c r="K9" s="1" t="s">
        <v>6</v>
      </c>
      <c r="L9" s="1" t="s">
        <v>11</v>
      </c>
      <c r="M9" s="1" t="s">
        <v>18</v>
      </c>
      <c r="N9" s="1" t="s">
        <v>22</v>
      </c>
      <c r="O9" s="1" t="s">
        <v>7</v>
      </c>
      <c r="P9" s="1" t="s">
        <v>9</v>
      </c>
      <c r="Q9" s="1" t="s">
        <v>10</v>
      </c>
      <c r="R9" s="1" t="s">
        <v>37</v>
      </c>
      <c r="S9" s="1" t="s">
        <v>8</v>
      </c>
    </row>
    <row r="10" spans="1:19" ht="15" customHeight="1" x14ac:dyDescent="0.3">
      <c r="A10" s="2" t="s">
        <v>24</v>
      </c>
      <c r="B10" s="2">
        <v>7</v>
      </c>
      <c r="C10" s="2" t="s">
        <v>4</v>
      </c>
      <c r="D10" s="2" t="s">
        <v>25</v>
      </c>
      <c r="E10" s="2" t="s">
        <v>27</v>
      </c>
      <c r="F10" s="2">
        <v>100000001</v>
      </c>
      <c r="G10" s="2" t="s">
        <v>4</v>
      </c>
      <c r="H10" s="2" t="s">
        <v>26</v>
      </c>
      <c r="I10" s="2" t="s">
        <v>2</v>
      </c>
      <c r="J10" s="2">
        <v>-79.722023010253906</v>
      </c>
      <c r="K10" s="2">
        <v>43.426418304443359</v>
      </c>
      <c r="L10" s="2" t="s">
        <v>28</v>
      </c>
      <c r="M10" s="2" t="s">
        <v>40</v>
      </c>
      <c r="N10" s="2"/>
      <c r="O10" s="3">
        <v>40083.336157407408</v>
      </c>
      <c r="P10" s="4">
        <v>2.476851851851852E-3</v>
      </c>
      <c r="Q10" s="2">
        <v>7.6828615401386999</v>
      </c>
      <c r="R10" s="2" t="s">
        <v>39</v>
      </c>
      <c r="S10" s="2" t="s">
        <v>38</v>
      </c>
    </row>
    <row r="11" spans="1:19" x14ac:dyDescent="0.3">
      <c r="O11" s="3">
        <v>40083.502824074072</v>
      </c>
    </row>
    <row r="16" spans="1:19" x14ac:dyDescent="0.3">
      <c r="N16" s="42"/>
    </row>
  </sheetData>
  <pageMargins left="0.75" right="0.75" top="1" bottom="1" header="0.5" footer="0.5"/>
  <pageSetup fitToHeight="100" orientation="landscape"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0"/>
  <sheetViews>
    <sheetView showGridLines="0" workbookViewId="0"/>
  </sheetViews>
  <sheetFormatPr defaultRowHeight="14.4" x14ac:dyDescent="0.3"/>
  <cols>
    <col min="1" max="1" width="30.109375" bestFit="1" customWidth="1"/>
    <col min="2" max="2" width="11.6640625" bestFit="1" customWidth="1"/>
    <col min="3" max="3" width="21.33203125" customWidth="1"/>
    <col min="4" max="4" width="16.88671875" customWidth="1"/>
    <col min="5" max="5" width="16.6640625" customWidth="1"/>
    <col min="6" max="8" width="15.44140625" customWidth="1"/>
    <col min="9" max="9" width="23.88671875" bestFit="1" customWidth="1"/>
    <col min="10" max="10" width="15.44140625" customWidth="1"/>
    <col min="11" max="11" width="15.88671875" customWidth="1"/>
    <col min="12" max="12" width="6.5546875" customWidth="1"/>
  </cols>
  <sheetData>
    <row r="1" spans="1:10" s="9" customFormat="1" ht="23.4" x14ac:dyDescent="0.45">
      <c r="A1" s="9" t="str">
        <f>Data!B1</f>
        <v>Test Company</v>
      </c>
      <c r="F1" s="11">
        <f>Data!B2</f>
        <v>40094.375</v>
      </c>
    </row>
    <row r="2" spans="1:10" s="6" customFormat="1" ht="18" x14ac:dyDescent="0.35">
      <c r="A2" s="10" t="s">
        <v>183</v>
      </c>
    </row>
    <row r="3" spans="1:10" s="6" customFormat="1" x14ac:dyDescent="0.3"/>
    <row r="4" spans="1:10" s="6" customFormat="1" ht="18" x14ac:dyDescent="0.35">
      <c r="A4" s="12" t="s">
        <v>120</v>
      </c>
      <c r="B4" s="13">
        <f>Data!B3</f>
        <v>40083</v>
      </c>
      <c r="C4" s="12" t="s">
        <v>86</v>
      </c>
      <c r="D4" s="14" t="str">
        <f>Data!B5</f>
        <v>km</v>
      </c>
      <c r="I4" s="43"/>
    </row>
    <row r="5" spans="1:10" s="6" customFormat="1" ht="14.4" customHeight="1" x14ac:dyDescent="0.3">
      <c r="A5" s="12" t="s">
        <v>125</v>
      </c>
      <c r="B5" s="13">
        <f>Data!B4</f>
        <v>40088.999988425923</v>
      </c>
      <c r="C5" s="12" t="s">
        <v>135</v>
      </c>
      <c r="D5" s="14" t="str">
        <f>Data!B6</f>
        <v>km/h</v>
      </c>
      <c r="H5" s="52"/>
      <c r="I5" s="52"/>
      <c r="J5" s="52"/>
    </row>
    <row r="6" spans="1:10" s="6" customFormat="1" x14ac:dyDescent="0.3">
      <c r="A6" s="7"/>
      <c r="B6" s="8"/>
      <c r="H6" s="52"/>
      <c r="I6" s="52"/>
      <c r="J6" s="52"/>
    </row>
    <row r="7" spans="1:10" hidden="1" x14ac:dyDescent="0.3">
      <c r="A7" s="44"/>
      <c r="B7" s="44"/>
      <c r="C7" s="44"/>
      <c r="D7" s="45" t="s">
        <v>12</v>
      </c>
      <c r="E7" s="44"/>
      <c r="H7" s="52"/>
      <c r="I7" s="52"/>
      <c r="J7" s="52"/>
    </row>
    <row r="8" spans="1:10" x14ac:dyDescent="0.3">
      <c r="A8" s="45" t="s">
        <v>146</v>
      </c>
      <c r="B8" s="45" t="s">
        <v>110</v>
      </c>
      <c r="C8" s="45" t="s">
        <v>76</v>
      </c>
      <c r="D8" s="44" t="s">
        <v>171</v>
      </c>
      <c r="E8" s="44" t="s">
        <v>170</v>
      </c>
      <c r="H8" s="52"/>
      <c r="I8" s="52"/>
      <c r="J8" s="52"/>
    </row>
    <row r="9" spans="1:10" x14ac:dyDescent="0.3">
      <c r="A9" s="44" t="s">
        <v>24</v>
      </c>
      <c r="B9" s="44" t="s">
        <v>2</v>
      </c>
      <c r="C9" s="46">
        <v>40083.336157407408</v>
      </c>
      <c r="D9" s="47">
        <v>2.4768518518518516E-3</v>
      </c>
      <c r="E9" s="48">
        <v>7.6828615401386999</v>
      </c>
      <c r="H9" s="52"/>
      <c r="I9" s="52"/>
      <c r="J9" s="52"/>
    </row>
    <row r="10" spans="1:10" x14ac:dyDescent="0.3">
      <c r="A10" s="44" t="s">
        <v>3</v>
      </c>
      <c r="B10" s="44"/>
      <c r="C10" s="44"/>
      <c r="D10" s="47">
        <v>2.4768518518518516E-3</v>
      </c>
      <c r="E10" s="48">
        <v>7.6828615401386999</v>
      </c>
    </row>
  </sheetData>
  <mergeCells count="1">
    <mergeCell ref="H5:J9"/>
  </mergeCell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1"/>
  <sheetViews>
    <sheetView showGridLines="0" tabSelected="1" workbookViewId="0">
      <pane ySplit="10" topLeftCell="A11" activePane="bottomLeft" state="frozen"/>
      <selection pane="bottomLeft"/>
    </sheetView>
  </sheetViews>
  <sheetFormatPr defaultColWidth="8.88671875" defaultRowHeight="16.8" x14ac:dyDescent="0.4"/>
  <cols>
    <col min="1" max="1" width="26.44140625" style="23" customWidth="1"/>
    <col min="2" max="2" width="25" style="23" hidden="1" customWidth="1"/>
    <col min="3" max="3" width="25" style="23" customWidth="1"/>
    <col min="4" max="4" width="20.44140625" style="23" customWidth="1"/>
    <col min="5" max="5" width="34" style="23" customWidth="1"/>
    <col min="6" max="6" width="30.109375" style="23" customWidth="1"/>
    <col min="7" max="7" width="54.33203125" style="23" customWidth="1"/>
    <col min="8" max="8" width="17" style="23" customWidth="1"/>
    <col min="9" max="9" width="24.44140625" style="24" customWidth="1"/>
    <col min="10" max="10" width="12" style="37" bestFit="1" customWidth="1"/>
    <col min="11" max="11" width="11" style="33" customWidth="1"/>
    <col min="12" max="12" width="26.44140625" style="23" hidden="1" customWidth="1"/>
    <col min="13" max="13" width="26.44140625" style="25" hidden="1" customWidth="1"/>
    <col min="14" max="16384" width="8.88671875" style="23"/>
  </cols>
  <sheetData>
    <row r="1" spans="1:13" s="9" customFormat="1" ht="23.4" x14ac:dyDescent="0.45">
      <c r="A1" s="9" t="str">
        <f>Data!B1</f>
        <v>Test Company</v>
      </c>
      <c r="F1" s="11"/>
    </row>
    <row r="2" spans="1:13" ht="18.600000000000001" x14ac:dyDescent="0.4">
      <c r="A2" s="10" t="s">
        <v>183</v>
      </c>
    </row>
    <row r="3" spans="1:13" ht="16.5" customHeight="1" x14ac:dyDescent="0.4">
      <c r="I3" s="53" t="s">
        <v>172</v>
      </c>
      <c r="J3" s="53"/>
      <c r="K3" s="53"/>
      <c r="L3" s="6"/>
    </row>
    <row r="4" spans="1:13" s="17" customFormat="1" ht="16.5" customHeight="1" x14ac:dyDescent="0.4">
      <c r="A4" s="15" t="s">
        <v>115</v>
      </c>
      <c r="C4" s="16">
        <f>Data!B2</f>
        <v>40094.375</v>
      </c>
      <c r="D4" s="41" t="s">
        <v>151</v>
      </c>
      <c r="E4" s="40" t="s">
        <v>189</v>
      </c>
      <c r="I4" s="54" t="s">
        <v>173</v>
      </c>
      <c r="J4" s="54"/>
      <c r="K4" s="54"/>
      <c r="L4" s="54"/>
      <c r="M4" s="19"/>
    </row>
    <row r="5" spans="1:13" s="17" customFormat="1" x14ac:dyDescent="0.4">
      <c r="A5" s="15" t="s">
        <v>120</v>
      </c>
      <c r="C5" s="16">
        <f>Data!B3</f>
        <v>40083</v>
      </c>
      <c r="D5" s="41" t="s">
        <v>152</v>
      </c>
      <c r="E5" s="40" t="s">
        <v>188</v>
      </c>
      <c r="I5" s="54"/>
      <c r="J5" s="54"/>
      <c r="K5" s="54"/>
      <c r="L5" s="54"/>
      <c r="M5" s="19"/>
    </row>
    <row r="6" spans="1:13" s="17" customFormat="1" x14ac:dyDescent="0.4">
      <c r="A6" s="15" t="s">
        <v>125</v>
      </c>
      <c r="C6" s="16">
        <f>Data!B4</f>
        <v>40088.999988425923</v>
      </c>
      <c r="E6" s="15"/>
      <c r="I6" s="54"/>
      <c r="J6" s="54"/>
      <c r="K6" s="54"/>
      <c r="L6" s="54"/>
      <c r="M6" s="19"/>
    </row>
    <row r="7" spans="1:13" s="17" customFormat="1" x14ac:dyDescent="0.4">
      <c r="A7" s="15" t="s">
        <v>130</v>
      </c>
      <c r="C7" s="16" t="str">
        <f>Data!B5</f>
        <v>km</v>
      </c>
      <c r="E7" s="15"/>
      <c r="I7" s="54"/>
      <c r="J7" s="54"/>
      <c r="K7" s="54"/>
      <c r="L7" s="54"/>
      <c r="M7" s="19"/>
    </row>
    <row r="8" spans="1:13" s="17" customFormat="1" x14ac:dyDescent="0.4">
      <c r="A8" s="15" t="s">
        <v>145</v>
      </c>
      <c r="C8" s="16" t="str">
        <f>Data!B6</f>
        <v>km/h</v>
      </c>
      <c r="I8" s="54"/>
      <c r="J8" s="54"/>
      <c r="K8" s="54"/>
      <c r="L8" s="54"/>
      <c r="M8" s="19"/>
    </row>
    <row r="9" spans="1:13" s="17" customFormat="1" x14ac:dyDescent="0.4">
      <c r="A9" s="21"/>
      <c r="B9" s="21"/>
      <c r="I9" s="18"/>
      <c r="J9" s="34"/>
      <c r="K9" s="30"/>
      <c r="M9" s="19"/>
    </row>
    <row r="10" spans="1:13" s="26" customFormat="1" ht="19.2" x14ac:dyDescent="0.45">
      <c r="A10" s="26" t="s">
        <v>146</v>
      </c>
      <c r="B10" s="26" t="s">
        <v>148</v>
      </c>
      <c r="C10" s="26" t="s">
        <v>100</v>
      </c>
      <c r="D10" s="26" t="s">
        <v>110</v>
      </c>
      <c r="E10" s="26" t="s">
        <v>72</v>
      </c>
      <c r="F10" s="26" t="s">
        <v>67</v>
      </c>
      <c r="G10" s="26" t="s">
        <v>62</v>
      </c>
      <c r="H10" s="26" t="s">
        <v>147</v>
      </c>
      <c r="I10" s="27" t="s">
        <v>76</v>
      </c>
      <c r="J10" s="35" t="s">
        <v>81</v>
      </c>
      <c r="K10" s="31" t="s">
        <v>86</v>
      </c>
      <c r="L10" s="26" t="s">
        <v>149</v>
      </c>
      <c r="M10" s="28" t="s">
        <v>150</v>
      </c>
    </row>
    <row r="11" spans="1:13" s="20" customFormat="1" x14ac:dyDescent="0.4">
      <c r="A11" s="22" t="str">
        <f>Data!A10</f>
        <v>Template Vehicle 1</v>
      </c>
      <c r="B11" s="22">
        <f>Data!B10</f>
        <v>7</v>
      </c>
      <c r="C11" s="22" t="str">
        <f>Data!E10</f>
        <v>Template Driver 1</v>
      </c>
      <c r="D11" s="20" t="str">
        <f>Data!I10</f>
        <v>Speeding</v>
      </c>
      <c r="E11" s="22" t="str">
        <f>Data!S10</f>
        <v>Driving faster than 113 km/h</v>
      </c>
      <c r="F11" s="22" t="str">
        <f>Data!R10</f>
        <v>Max Speed: 131 km/h</v>
      </c>
      <c r="G11" s="22" t="str">
        <f>Data!L10</f>
        <v>1801 S Service Rd W, Oakville, ON, L6L</v>
      </c>
      <c r="H11" s="39" t="str">
        <f>IF(OR($E$4="",$E$5=""),"No Server or Database provided",HYPERLINK("https://"&amp;$E$4&amp;"/"&amp;$E$5&amp;"/#tripsHistory,dateRange:(endDate:'"&amp;M11&amp;"',startDate:'"&amp;L11&amp;"'),devices:!("&amp;B11&amp;"),maxStopTime:'0',routes:()", "View Trip"))</f>
        <v>View Trip</v>
      </c>
      <c r="I11" s="29">
        <f>Data!O10</f>
        <v>40083.336157407408</v>
      </c>
      <c r="J11" s="36">
        <f>Data!P10</f>
        <v>2.476851851851852E-3</v>
      </c>
      <c r="K11" s="32">
        <f>Data!Q10</f>
        <v>7.6828615401386999</v>
      </c>
      <c r="L11" s="38" t="str">
        <f>TEXT((I11+5/24),"yyyy-mm-ddThh:mm:ss.000Z")</f>
        <v>2009-09-27T13:04:04.000Z</v>
      </c>
      <c r="M11" s="38" t="str">
        <f>TEXT(((I11+5/24)+IF(J11=0,1/480,J11)),"yyyy-mm-ddThh:mm:ss.000Z")</f>
        <v>2009-09-27T13:07:38.000Z</v>
      </c>
    </row>
  </sheetData>
  <mergeCells count="2">
    <mergeCell ref="I3:K3"/>
    <mergeCell ref="I4:L8"/>
  </mergeCells>
  <conditionalFormatting sqref="F11">
    <cfRule type="expression" dxfId="13" priority="8" stopIfTrue="1">
      <formula>ISNUMBER(SEARCH("Customer Zone", M11))</formula>
    </cfRule>
    <cfRule type="expression" dxfId="12" priority="9" stopIfTrue="1">
      <formula>ISNUMBER(SEARCH("Home Zone", M11))</formula>
    </cfRule>
    <cfRule type="expression" dxfId="11" priority="10" stopIfTrue="1">
      <formula>ISNUMBER(SEARCH("Depot Zone", M11))</formula>
    </cfRule>
  </conditionalFormatting>
  <conditionalFormatting sqref="J1:J2 J9:J1048576 I4">
    <cfRule type="cellIs" dxfId="10" priority="1" operator="lessThan">
      <formula>0.042</formula>
    </cfRule>
    <cfRule type="cellIs" dxfId="9" priority="2" operator="lessThanOrEqual">
      <formula>0</formula>
    </cfRule>
    <cfRule type="colorScale" priority="7">
      <colorScale>
        <cfvo type="min"/>
        <cfvo type="max"/>
        <color rgb="FFFCFCFF"/>
        <color theme="0" tint="-0.34998626667073579"/>
      </colorScale>
    </cfRule>
  </conditionalFormatting>
  <conditionalFormatting sqref="K1:K2 K9:K1048576 I3">
    <cfRule type="cellIs" dxfId="8" priority="3" stopIfTrue="1" operator="lessThanOrEqual">
      <formula>0</formula>
    </cfRule>
    <cfRule type="colorScale" priority="6">
      <colorScale>
        <cfvo type="min"/>
        <cfvo type="max"/>
        <color rgb="FFFCFCFF"/>
        <color theme="0" tint="-0.34998626667073579"/>
      </colorScale>
    </cfRule>
  </conditionalFormatting>
  <conditionalFormatting sqref="F6:H1048576 C1:C1048576 E4:E5">
    <cfRule type="cellIs" dxfId="7" priority="5" stopIfTrue="1" operator="equal">
      <formula>0</formula>
    </cfRule>
  </conditionalFormatting>
  <conditionalFormatting sqref="G11:H11">
    <cfRule type="expression" dxfId="6" priority="14" stopIfTrue="1">
      <formula>ISNUMBER(SEARCH("Customer Zone", L11))</formula>
    </cfRule>
    <cfRule type="expression" dxfId="5" priority="15" stopIfTrue="1">
      <formula>ISNUMBER(SEARCH("Home Zone", L11))</formula>
    </cfRule>
    <cfRule type="expression" dxfId="4" priority="16" stopIfTrue="1">
      <formula>ISNUMBER(SEARCH("Depot Zone", L11))</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8"/>
  <sheetViews>
    <sheetView workbookViewId="0"/>
  </sheetViews>
  <sheetFormatPr defaultColWidth="30.109375" defaultRowHeight="14.4" x14ac:dyDescent="0.3"/>
  <cols>
    <col min="1" max="1" width="39.5546875" style="51" customWidth="1"/>
    <col min="2" max="2" width="28.33203125" style="51" bestFit="1" customWidth="1"/>
    <col min="3" max="3" width="37.5546875" style="51" bestFit="1" customWidth="1"/>
    <col min="4" max="4" width="30.33203125" style="51" bestFit="1" customWidth="1"/>
    <col min="5" max="5" width="40.88671875" style="51" bestFit="1" customWidth="1"/>
    <col min="6" max="16384" width="30.109375" style="51"/>
  </cols>
  <sheetData>
    <row r="1" spans="1:5" s="50" customFormat="1" ht="13.2" x14ac:dyDescent="0.25">
      <c r="A1" s="50" t="s">
        <v>47</v>
      </c>
      <c r="B1" s="50" t="s">
        <v>48</v>
      </c>
      <c r="C1" s="50" t="s">
        <v>49</v>
      </c>
      <c r="D1" s="50" t="s">
        <v>50</v>
      </c>
      <c r="E1" s="50" t="s">
        <v>51</v>
      </c>
    </row>
    <row r="2" spans="1:5" x14ac:dyDescent="0.3">
      <c r="A2" s="51" t="s">
        <v>52</v>
      </c>
      <c r="B2" s="51" t="s">
        <v>53</v>
      </c>
      <c r="C2" s="51" t="s">
        <v>54</v>
      </c>
      <c r="D2" s="51" t="s">
        <v>55</v>
      </c>
      <c r="E2" s="51" t="s">
        <v>56</v>
      </c>
    </row>
    <row r="3" spans="1:5" x14ac:dyDescent="0.3">
      <c r="A3" s="51" t="s">
        <v>57</v>
      </c>
      <c r="B3" s="51" t="s">
        <v>58</v>
      </c>
      <c r="C3" s="51" t="s">
        <v>59</v>
      </c>
      <c r="D3" s="51" t="s">
        <v>60</v>
      </c>
      <c r="E3" s="51" t="s">
        <v>61</v>
      </c>
    </row>
    <row r="4" spans="1:5" x14ac:dyDescent="0.3">
      <c r="A4" s="51" t="s">
        <v>62</v>
      </c>
      <c r="B4" s="51" t="s">
        <v>63</v>
      </c>
      <c r="C4" s="51" t="s">
        <v>64</v>
      </c>
      <c r="D4" s="51" t="s">
        <v>65</v>
      </c>
      <c r="E4" s="51" t="s">
        <v>66</v>
      </c>
    </row>
    <row r="5" spans="1:5" x14ac:dyDescent="0.3">
      <c r="A5" s="51" t="s">
        <v>67</v>
      </c>
      <c r="B5" s="51" t="s">
        <v>68</v>
      </c>
      <c r="C5" s="51" t="s">
        <v>69</v>
      </c>
      <c r="D5" s="51" t="s">
        <v>70</v>
      </c>
      <c r="E5" s="51" t="s">
        <v>71</v>
      </c>
    </row>
    <row r="6" spans="1:5" x14ac:dyDescent="0.3">
      <c r="A6" s="51" t="s">
        <v>72</v>
      </c>
      <c r="B6" s="51" t="s">
        <v>73</v>
      </c>
      <c r="C6" s="51" t="s">
        <v>74</v>
      </c>
      <c r="D6" s="51" t="s">
        <v>1</v>
      </c>
      <c r="E6" s="51" t="s">
        <v>75</v>
      </c>
    </row>
    <row r="7" spans="1:5" x14ac:dyDescent="0.3">
      <c r="A7" s="51" t="s">
        <v>76</v>
      </c>
      <c r="B7" s="51" t="s">
        <v>77</v>
      </c>
      <c r="C7" s="51" t="s">
        <v>78</v>
      </c>
      <c r="D7" s="51" t="s">
        <v>79</v>
      </c>
      <c r="E7" s="51" t="s">
        <v>80</v>
      </c>
    </row>
    <row r="8" spans="1:5" x14ac:dyDescent="0.3">
      <c r="A8" s="51" t="s">
        <v>81</v>
      </c>
      <c r="B8" s="51" t="s">
        <v>82</v>
      </c>
      <c r="C8" s="51" t="s">
        <v>83</v>
      </c>
      <c r="D8" s="51" t="s">
        <v>84</v>
      </c>
      <c r="E8" s="51" t="s">
        <v>85</v>
      </c>
    </row>
    <row r="9" spans="1:5" x14ac:dyDescent="0.3">
      <c r="A9" s="51" t="s">
        <v>86</v>
      </c>
      <c r="B9" s="51" t="s">
        <v>0</v>
      </c>
      <c r="C9" s="51" t="s">
        <v>87</v>
      </c>
      <c r="D9" s="51" t="s">
        <v>88</v>
      </c>
      <c r="E9" s="51" t="s">
        <v>89</v>
      </c>
    </row>
    <row r="10" spans="1:5" x14ac:dyDescent="0.3">
      <c r="A10" s="51" t="s">
        <v>90</v>
      </c>
      <c r="B10" s="51" t="s">
        <v>91</v>
      </c>
      <c r="C10" s="51" t="s">
        <v>92</v>
      </c>
      <c r="D10" s="51" t="s">
        <v>93</v>
      </c>
      <c r="E10" s="51" t="s">
        <v>94</v>
      </c>
    </row>
    <row r="11" spans="1:5" x14ac:dyDescent="0.3">
      <c r="A11" s="51" t="s">
        <v>95</v>
      </c>
      <c r="B11" s="51" t="s">
        <v>96</v>
      </c>
      <c r="C11" s="51" t="s">
        <v>97</v>
      </c>
      <c r="D11" s="51" t="s">
        <v>98</v>
      </c>
      <c r="E11" s="51" t="s">
        <v>99</v>
      </c>
    </row>
    <row r="12" spans="1:5" x14ac:dyDescent="0.3">
      <c r="A12" s="51" t="s">
        <v>100</v>
      </c>
      <c r="B12" s="51" t="s">
        <v>101</v>
      </c>
      <c r="C12" s="51" t="s">
        <v>102</v>
      </c>
      <c r="D12" s="51" t="s">
        <v>103</v>
      </c>
      <c r="E12" s="51" t="s">
        <v>104</v>
      </c>
    </row>
    <row r="13" spans="1:5" x14ac:dyDescent="0.3">
      <c r="A13" s="51" t="s">
        <v>105</v>
      </c>
      <c r="B13" s="51" t="s">
        <v>106</v>
      </c>
      <c r="C13" s="51" t="s">
        <v>107</v>
      </c>
      <c r="D13" s="51" t="s">
        <v>108</v>
      </c>
      <c r="E13" s="51" t="s">
        <v>109</v>
      </c>
    </row>
    <row r="14" spans="1:5" x14ac:dyDescent="0.3">
      <c r="A14" s="51" t="s">
        <v>110</v>
      </c>
      <c r="B14" s="51" t="s">
        <v>111</v>
      </c>
      <c r="C14" s="51" t="s">
        <v>112</v>
      </c>
      <c r="D14" s="51" t="s">
        <v>113</v>
      </c>
      <c r="E14" s="51" t="s">
        <v>114</v>
      </c>
    </row>
    <row r="15" spans="1:5" x14ac:dyDescent="0.3">
      <c r="A15" s="51" t="s">
        <v>115</v>
      </c>
      <c r="B15" s="51" t="s">
        <v>116</v>
      </c>
      <c r="C15" s="51" t="s">
        <v>117</v>
      </c>
      <c r="D15" s="51" t="s">
        <v>118</v>
      </c>
      <c r="E15" s="51" t="s">
        <v>119</v>
      </c>
    </row>
    <row r="16" spans="1:5" x14ac:dyDescent="0.3">
      <c r="A16" s="51" t="s">
        <v>120</v>
      </c>
      <c r="B16" s="51" t="s">
        <v>121</v>
      </c>
      <c r="C16" s="51" t="s">
        <v>122</v>
      </c>
      <c r="D16" s="51" t="s">
        <v>123</v>
      </c>
      <c r="E16" s="51" t="s">
        <v>124</v>
      </c>
    </row>
    <row r="17" spans="1:5" x14ac:dyDescent="0.3">
      <c r="A17" s="51" t="s">
        <v>125</v>
      </c>
      <c r="B17" s="51" t="s">
        <v>126</v>
      </c>
      <c r="C17" s="51" t="s">
        <v>127</v>
      </c>
      <c r="D17" s="51" t="s">
        <v>128</v>
      </c>
      <c r="E17" s="51" t="s">
        <v>129</v>
      </c>
    </row>
    <row r="18" spans="1:5" x14ac:dyDescent="0.3">
      <c r="A18" s="51" t="s">
        <v>130</v>
      </c>
      <c r="B18" s="51" t="s">
        <v>131</v>
      </c>
      <c r="C18" s="51" t="s">
        <v>132</v>
      </c>
      <c r="D18" s="51" t="s">
        <v>133</v>
      </c>
      <c r="E18" s="51" t="s">
        <v>134</v>
      </c>
    </row>
    <row r="19" spans="1:5" x14ac:dyDescent="0.3">
      <c r="A19" s="51" t="s">
        <v>135</v>
      </c>
      <c r="B19" s="51" t="s">
        <v>136</v>
      </c>
      <c r="C19" s="51" t="s">
        <v>137</v>
      </c>
      <c r="D19" s="51" t="s">
        <v>138</v>
      </c>
      <c r="E19" s="51" t="s">
        <v>139</v>
      </c>
    </row>
    <row r="20" spans="1:5" x14ac:dyDescent="0.3">
      <c r="A20" s="51" t="s">
        <v>140</v>
      </c>
      <c r="B20" s="51" t="s">
        <v>141</v>
      </c>
      <c r="C20" s="51" t="s">
        <v>142</v>
      </c>
      <c r="D20" s="51" t="s">
        <v>143</v>
      </c>
      <c r="E20" s="51" t="s">
        <v>144</v>
      </c>
    </row>
    <row r="21" spans="1:5" x14ac:dyDescent="0.3">
      <c r="A21" s="51" t="s">
        <v>147</v>
      </c>
      <c r="B21" s="51" t="s">
        <v>153</v>
      </c>
      <c r="C21" s="51" t="s">
        <v>158</v>
      </c>
      <c r="D21" s="51" t="s">
        <v>44</v>
      </c>
      <c r="E21" s="51" t="s">
        <v>165</v>
      </c>
    </row>
    <row r="22" spans="1:5" x14ac:dyDescent="0.3">
      <c r="A22" s="51" t="s">
        <v>149</v>
      </c>
      <c r="B22" s="51" t="s">
        <v>154</v>
      </c>
      <c r="C22" s="51" t="s">
        <v>159</v>
      </c>
      <c r="D22" s="51" t="s">
        <v>162</v>
      </c>
      <c r="E22" s="51" t="s">
        <v>166</v>
      </c>
    </row>
    <row r="23" spans="1:5" x14ac:dyDescent="0.3">
      <c r="A23" s="51" t="s">
        <v>150</v>
      </c>
      <c r="B23" s="51" t="s">
        <v>155</v>
      </c>
      <c r="C23" s="51" t="s">
        <v>155</v>
      </c>
      <c r="D23" s="51" t="s">
        <v>163</v>
      </c>
      <c r="E23" s="51" t="s">
        <v>167</v>
      </c>
    </row>
    <row r="24" spans="1:5" x14ac:dyDescent="0.3">
      <c r="A24" s="51" t="s">
        <v>151</v>
      </c>
      <c r="B24" s="51" t="s">
        <v>156</v>
      </c>
      <c r="C24" s="51" t="s">
        <v>160</v>
      </c>
      <c r="D24" s="51" t="s">
        <v>45</v>
      </c>
      <c r="E24" s="51" t="s">
        <v>168</v>
      </c>
    </row>
    <row r="25" spans="1:5" x14ac:dyDescent="0.3">
      <c r="A25" s="51" t="s">
        <v>152</v>
      </c>
      <c r="B25" s="51" t="s">
        <v>157</v>
      </c>
      <c r="C25" s="51" t="s">
        <v>161</v>
      </c>
      <c r="D25" s="51" t="s">
        <v>164</v>
      </c>
      <c r="E25" s="51" t="s">
        <v>169</v>
      </c>
    </row>
    <row r="26" spans="1:5" x14ac:dyDescent="0.3">
      <c r="A26" s="51" t="s">
        <v>172</v>
      </c>
      <c r="B26" s="51" t="s">
        <v>176</v>
      </c>
      <c r="C26" s="51" t="s">
        <v>175</v>
      </c>
      <c r="D26" s="51" t="s">
        <v>174</v>
      </c>
      <c r="E26" s="51" t="s">
        <v>177</v>
      </c>
    </row>
    <row r="27" spans="1:5" ht="15.6" customHeight="1" x14ac:dyDescent="0.3">
      <c r="A27" s="49" t="s">
        <v>178</v>
      </c>
      <c r="B27" s="49" t="s">
        <v>181</v>
      </c>
      <c r="C27" s="49" t="s">
        <v>180</v>
      </c>
      <c r="D27" s="49" t="s">
        <v>179</v>
      </c>
      <c r="E27" s="49" t="s">
        <v>182</v>
      </c>
    </row>
    <row r="28" spans="1:5" ht="28.8" x14ac:dyDescent="0.3">
      <c r="A28" s="51" t="s">
        <v>183</v>
      </c>
      <c r="B28" s="51" t="s">
        <v>185</v>
      </c>
      <c r="C28" s="51" t="s">
        <v>186</v>
      </c>
      <c r="D28" s="51" t="s">
        <v>184</v>
      </c>
      <c r="E28" s="51" t="s">
        <v>187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Data</vt:lpstr>
      <vt:lpstr>Summary</vt:lpstr>
      <vt:lpstr>Report</vt:lpstr>
      <vt:lpstr>Languages</vt:lpstr>
      <vt:lpstr>AllData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dc:creator>
  <cp:lastModifiedBy>Jason Widla</cp:lastModifiedBy>
  <dcterms:created xsi:type="dcterms:W3CDTF">2009-06-11T14:10:24Z</dcterms:created>
  <dcterms:modified xsi:type="dcterms:W3CDTF">2016-11-11T01:43:45Z</dcterms:modified>
</cp:coreProperties>
</file>