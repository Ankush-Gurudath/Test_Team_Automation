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hidePivotFieldList="1"/>
  <mc:AlternateContent xmlns:mc="http://schemas.openxmlformats.org/markup-compatibility/2006">
    <mc:Choice Requires="x15">
      <x15ac:absPath xmlns:x15ac="http://schemas.microsoft.com/office/spreadsheetml/2010/11/ac" url="C:\Users\angiemilne\Google Drive\MARKETPLACE\Custom Reports\Last 3 Months Idling Trend\Download File\"/>
    </mc:Choice>
  </mc:AlternateContent>
  <bookViews>
    <workbookView xWindow="0" yWindow="0" windowWidth="23040" windowHeight="9405" tabRatio="545" firstSheet="1" activeTab="2"/>
  </bookViews>
  <sheets>
    <sheet name="Data" sheetId="1" state="hidden" r:id="rId1"/>
    <sheet name="Report" sheetId="2" r:id="rId2"/>
    <sheet name="Summary" sheetId="3" r:id="rId3"/>
  </sheets>
  <definedNames>
    <definedName name="AllData">Report!$A$7:$Y$10</definedName>
  </definedNames>
  <calcPr calcId="152511"/>
  <pivotCaches>
    <pivotCache cacheId="3" r:id="rId4"/>
  </pivotCaches>
</workbook>
</file>

<file path=xl/calcChain.xml><?xml version="1.0" encoding="utf-8"?>
<calcChain xmlns="http://schemas.openxmlformats.org/spreadsheetml/2006/main">
  <c r="A1" i="2" l="1"/>
  <c r="D1" i="2"/>
  <c r="B4" i="2"/>
  <c r="D4" i="2"/>
  <c r="B5" i="2"/>
  <c r="D5" i="2"/>
  <c r="A8" i="2"/>
  <c r="B8" i="2"/>
  <c r="C8" i="2"/>
  <c r="D8" i="2"/>
  <c r="E8" i="2"/>
  <c r="F8" i="2"/>
  <c r="G8" i="2"/>
  <c r="H8" i="2"/>
  <c r="I8" i="2"/>
  <c r="J8" i="2"/>
  <c r="K8" i="2"/>
  <c r="L8" i="2"/>
  <c r="M8" i="2"/>
  <c r="N8" i="2"/>
  <c r="O8" i="2"/>
  <c r="P8" i="2"/>
  <c r="Q8" i="2"/>
  <c r="R8" i="2"/>
  <c r="S8" i="2"/>
  <c r="T8" i="2"/>
  <c r="U8" i="2"/>
  <c r="V8" i="2"/>
  <c r="W8" i="2"/>
  <c r="X8" i="2"/>
  <c r="Y8" i="2"/>
  <c r="A9" i="2"/>
  <c r="B9" i="2"/>
  <c r="C9" i="2"/>
  <c r="D9" i="2"/>
  <c r="E9" i="2"/>
  <c r="F9" i="2"/>
  <c r="G9" i="2"/>
  <c r="H9" i="2"/>
  <c r="I9" i="2"/>
  <c r="J9" i="2"/>
  <c r="K9" i="2"/>
  <c r="L9" i="2"/>
  <c r="M9" i="2"/>
  <c r="N9" i="2"/>
  <c r="O9" i="2"/>
  <c r="P9" i="2"/>
  <c r="Q9" i="2"/>
  <c r="R9" i="2"/>
  <c r="S9" i="2"/>
  <c r="T9" i="2"/>
  <c r="U9" i="2"/>
  <c r="V9" i="2"/>
  <c r="W9" i="2"/>
  <c r="X9" i="2"/>
  <c r="Y9" i="2"/>
  <c r="A10" i="2"/>
  <c r="B10" i="2"/>
  <c r="C10" i="2"/>
  <c r="D10" i="2"/>
  <c r="E10" i="2"/>
  <c r="F10" i="2"/>
  <c r="G10" i="2"/>
  <c r="H10" i="2"/>
  <c r="I10" i="2"/>
  <c r="J10" i="2"/>
  <c r="K10" i="2"/>
  <c r="L10" i="2"/>
  <c r="M10" i="2"/>
  <c r="N10" i="2"/>
  <c r="O10" i="2"/>
  <c r="P10" i="2"/>
  <c r="Q10" i="2"/>
  <c r="R10" i="2"/>
  <c r="S10" i="2"/>
  <c r="T10" i="2"/>
  <c r="U10" i="2"/>
  <c r="V10" i="2"/>
  <c r="W10" i="2"/>
  <c r="X10" i="2"/>
  <c r="Y10" i="2"/>
  <c r="A1" i="3"/>
  <c r="F1" i="3"/>
  <c r="B4" i="3"/>
  <c r="B5" i="3"/>
</calcChain>
</file>

<file path=xl/comments1.xml><?xml version="1.0" encoding="utf-8"?>
<comments xmlns="http://schemas.openxmlformats.org/spreadsheetml/2006/main">
  <authors>
    <author>Thomas</author>
  </authors>
  <commentList>
    <comment ref="A1" authorId="0" shapeId="0">
      <text>
        <r>
          <rPr>
            <sz val="11"/>
            <color theme="1"/>
            <rFont val="Calibri"/>
            <family val="2"/>
            <scheme val="minor"/>
          </rPr>
          <t>RiskManagement.5</t>
        </r>
      </text>
    </comment>
  </commentList>
</comments>
</file>

<file path=xl/sharedStrings.xml><?xml version="1.0" encoding="utf-8"?>
<sst xmlns="http://schemas.openxmlformats.org/spreadsheetml/2006/main" count="69" uniqueCount="63">
  <si>
    <t>Group</t>
  </si>
  <si>
    <t>Total Stops</t>
  </si>
  <si>
    <t>Idling &gt; 5 mins.</t>
  </si>
  <si>
    <t>Idling Duration</t>
  </si>
  <si>
    <t>Total Distance</t>
  </si>
  <si>
    <t>Grand Total</t>
  </si>
  <si>
    <t>DeviceGroup</t>
  </si>
  <si>
    <t>DeviceName</t>
  </si>
  <si>
    <t>DeviceId</t>
  </si>
  <si>
    <t>DeviceComment</t>
  </si>
  <si>
    <t>DriverGroup</t>
  </si>
  <si>
    <t>GroupName</t>
  </si>
  <si>
    <t>GroupId</t>
  </si>
  <si>
    <t>GroupComment</t>
  </si>
  <si>
    <t>RiskManagementIdlingOver5Count</t>
  </si>
  <si>
    <t>RiskManagementIdlingDuration</t>
  </si>
  <si>
    <t>RiskManagementTotalDistance</t>
  </si>
  <si>
    <t>RiskManagementTotalStopsCount</t>
  </si>
  <si>
    <t>RunDate</t>
  </si>
  <si>
    <t>FromDate</t>
  </si>
  <si>
    <t>ToDate</t>
  </si>
  <si>
    <t>From</t>
  </si>
  <si>
    <t>To</t>
  </si>
  <si>
    <t>Exception #1 Duration</t>
  </si>
  <si>
    <t>Exception #1 Count</t>
  </si>
  <si>
    <t>Exception #2 Duration</t>
  </si>
  <si>
    <t>Exception #2 Count</t>
  </si>
  <si>
    <t>Exception #3 Duration</t>
  </si>
  <si>
    <t>Exception #3 Count</t>
  </si>
  <si>
    <t>Exception #4 Duration</t>
  </si>
  <si>
    <t>Exception #4 Count</t>
  </si>
  <si>
    <t>Exception #5 Duration</t>
  </si>
  <si>
    <t>Exception #5 Count</t>
  </si>
  <si>
    <t>Exception #6 Duration</t>
  </si>
  <si>
    <t>Exception #6 Count</t>
  </si>
  <si>
    <t>CompanyName</t>
  </si>
  <si>
    <t>DistanceUnit</t>
  </si>
  <si>
    <t>SpeedUnit</t>
  </si>
  <si>
    <t>Distance Unit</t>
  </si>
  <si>
    <t>Speed Unit</t>
  </si>
  <si>
    <t>SendReport</t>
  </si>
  <si>
    <t>RiskManagementPeriodNumber</t>
  </si>
  <si>
    <t>RiskManagementPeriodStartDate</t>
  </si>
  <si>
    <t>RiskManagementPeriodEndDate</t>
  </si>
  <si>
    <t>LastModifiedUser</t>
  </si>
  <si>
    <t>Exception #1 Distance</t>
  </si>
  <si>
    <t>Exception #3 Distance</t>
  </si>
  <si>
    <t>Exception #4 Distance</t>
  </si>
  <si>
    <t>Exception #6 Distance</t>
  </si>
  <si>
    <t>Exception #5 Distance</t>
  </si>
  <si>
    <t>Exception #2 Distance</t>
  </si>
  <si>
    <t>UserName</t>
  </si>
  <si>
    <t>UserId</t>
  </si>
  <si>
    <t>UserComment</t>
  </si>
  <si>
    <t>miles</t>
  </si>
  <si>
    <t>mph</t>
  </si>
  <si>
    <t>**&lt;No User&gt;</t>
  </si>
  <si>
    <t>**Org**</t>
  </si>
  <si>
    <t>Last 3 Months Idling Trend</t>
  </si>
  <si>
    <t>Idling Duration (hh:mm)</t>
  </si>
  <si>
    <t>Fleet Name</t>
  </si>
  <si>
    <t>Vehicle</t>
  </si>
  <si>
    <t>Month</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</si>
</sst>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2" formatCode="_(&quot;$&quot;* #,##0_);_(&quot;$&quot;* \(#,##0\);_(&quot;$&quot;* &quot;-&quot;_);_(@_)"/>
    <numFmt numFmtId="41" formatCode="_(* #,##0_);_(* \(#,##0\);_(* &quot;-&quot;_);_(@_)"/>
    <numFmt numFmtId="44" formatCode="_(&quot;$&quot;* #,##0.00_);_(&quot;$&quot;* \(#,##0.00\);_(&quot;$&quot;* &quot;-&quot;??_);_(@_)"/>
    <numFmt numFmtId="43" formatCode="_(* #,##0.00_);_(* \(#,##0.00\);_(* &quot;-&quot;??_);_(@_)"/>
    <numFmt numFmtId="173" formatCode="[h]:mm"/>
    <numFmt numFmtId="174" formatCode="dd/mm/yyyy\ h:mm:ss\ AM/PM"/>
    <numFmt numFmtId="175" formatCode="mmm\ dd\,\ yyyy"/>
    <numFmt numFmtId="177" formatCode="mmmm\ yyyy"/>
  </numFmts>
  <fonts count="16" x14ac:knownFonts="1">
    <font>
      <sz val="11"/>
      <color theme="1"/>
      <name val="Calibri"/>
      <family val="2"/>
      <scheme val="minor"/>
    </font>
    <font>
      <b/>
      <sz val="7"/>
      <color indexed="8"/>
      <name val="Tahoma"/>
      <family val="2"/>
    </font>
    <font>
      <sz val="8"/>
      <color indexed="8"/>
      <name val="Tahoma"/>
      <family val="2"/>
    </font>
    <font>
      <sz val="11"/>
      <color indexed="8"/>
      <name val="Calibri"/>
      <family val="2"/>
    </font>
    <font>
      <sz val="11"/>
      <color theme="0"/>
      <name val="Calibri"/>
      <family val="2"/>
      <scheme val="minor"/>
    </font>
    <font>
      <b/>
      <sz val="18"/>
      <color theme="0"/>
      <name val="Calibri"/>
      <family val="2"/>
      <scheme val="minor"/>
    </font>
    <font>
      <sz val="11"/>
      <color theme="3"/>
      <name val="Calibri"/>
      <family val="2"/>
      <scheme val="minor"/>
    </font>
    <font>
      <b/>
      <sz val="11"/>
      <color theme="1"/>
      <name val="Calibri"/>
      <family val="2"/>
    </font>
    <font>
      <b/>
      <sz val="11"/>
      <color theme="1"/>
      <name val="Calibri"/>
      <family val="2"/>
      <scheme val="minor"/>
    </font>
    <font>
      <b/>
      <sz val="14"/>
      <color theme="5" tint="-0.249977111117893"/>
      <name val="Calibri"/>
      <family val="2"/>
    </font>
    <font>
      <b/>
      <sz val="8"/>
      <color theme="1"/>
      <name val="Tahoma"/>
      <family val="2"/>
    </font>
    <font>
      <sz val="11"/>
      <name val="Calibri"/>
      <family val="2"/>
      <scheme val="minor"/>
    </font>
    <font>
      <b/>
      <sz val="14"/>
      <color theme="5"/>
      <name val="Calibri"/>
      <family val="2"/>
      <scheme val="minor"/>
    </font>
    <font>
      <sz val="14"/>
      <name val="Calibri"/>
      <family val="2"/>
      <scheme val="minor"/>
    </font>
    <font>
      <sz val="14"/>
      <color theme="1"/>
      <name val="Calibri"/>
      <family val="2"/>
      <scheme val="minor"/>
    </font>
    <font>
      <sz val="11"/>
      <color theme="1"/>
      <name val="Calibri"/>
    </font>
  </fonts>
  <fills count="5">
    <fill>
      <patternFill patternType="none"/>
    </fill>
    <fill>
      <patternFill patternType="gray125"/>
    </fill>
    <fill>
      <patternFill patternType="solid">
        <fgColor indexed="22"/>
        <bgColor indexed="64"/>
      </patternFill>
    </fill>
    <fill>
      <patternFill patternType="solid">
        <fgColor theme="4"/>
        <bgColor indexed="64"/>
      </patternFill>
    </fill>
    <fill>
      <patternFill patternType="solid">
        <fgColor theme="5" tint="0.59999389629810485"/>
        <bgColor indexed="64"/>
      </patternFill>
    </fill>
  </fills>
  <borders count="2">
    <border>
      <left/>
      <right/>
      <top/>
      <bottom/>
      <diagonal/>
    </border>
    <border>
      <left/>
      <right/>
      <top/>
      <bottom style="medium">
        <color indexed="8"/>
      </bottom>
      <diagonal/>
    </border>
  </borders>
  <cellStyleXfs count="11">
    <xf numFmtId="0" fontId="0" fillId="0" borderId="0"/>
    <xf numFmtId="43" fontId="3" fillId="0" borderId="0" applyFont="0" applyFill="0" applyBorder="0" applyAlignment="0" applyProtection="0"/>
    <xf numFmtId="41" fontId="3" fillId="0" borderId="0" applyFont="0" applyFill="0" applyBorder="0" applyAlignment="0" applyProtection="0"/>
    <xf numFmtId="44" fontId="3" fillId="0" borderId="0" applyFont="0" applyFill="0" applyBorder="0" applyAlignment="0" applyProtection="0"/>
    <xf numFmtId="42" fontId="3" fillId="0" borderId="0" applyFont="0" applyFill="0" applyBorder="0" applyAlignment="0" applyProtection="0"/>
    <xf numFmtId="0" fontId="5" fillId="3" borderId="0" applyNumberFormat="0"/>
    <xf numFmtId="0" fontId="6" fillId="0" borderId="0" applyNumberFormat="0" applyAlignment="0"/>
    <xf numFmtId="0" fontId="7" fillId="4" borderId="0" applyNumberFormat="0"/>
    <xf numFmtId="175" fontId="4" fillId="3" borderId="0"/>
    <xf numFmtId="0" fontId="8" fillId="0" borderId="0" applyNumberFormat="0"/>
    <xf numFmtId="0" fontId="9" fillId="0" borderId="0" applyNumberFormat="0"/>
  </cellStyleXfs>
  <cellXfs count="29">
    <xf numFmtId="0" fontId="0" fillId="0" borderId="0" xfId="0"/>
    <xf numFmtId="0" fontId="1" fillId="2" borderId="1" xfId="0" applyFont="1" applyFill="1" applyBorder="1" applyAlignment="1">
      <alignment horizontal="center" wrapText="1"/>
    </xf>
    <xf numFmtId="0" fontId="2" fillId="0" borderId="0" xfId="0" applyFont="1" applyAlignment="1">
      <alignment horizontal="left"/>
    </xf>
    <xf numFmtId="0" fontId="2" fillId="0" borderId="0" xfId="0" applyFont="1" applyAlignment="1">
      <alignment horizontal="right"/>
    </xf>
    <xf numFmtId="173" fontId="2" fillId="0" borderId="0" xfId="0" applyNumberFormat="1" applyFont="1" applyAlignment="1">
      <alignment horizontal="right"/>
    </xf>
    <xf numFmtId="3" fontId="2" fillId="0" borderId="0" xfId="0" applyNumberFormat="1" applyFont="1" applyAlignment="1">
      <alignment horizontal="right"/>
    </xf>
    <xf numFmtId="1" fontId="2" fillId="0" borderId="0" xfId="0" applyNumberFormat="1" applyFont="1" applyAlignment="1">
      <alignment horizontal="right"/>
    </xf>
    <xf numFmtId="0" fontId="10" fillId="0" borderId="0" xfId="0" applyFont="1"/>
    <xf numFmtId="174" fontId="2" fillId="0" borderId="0" xfId="0" applyNumberFormat="1" applyFont="1" applyAlignment="1">
      <alignment horizontal="left"/>
    </xf>
    <xf numFmtId="0" fontId="11" fillId="0" borderId="0" xfId="0" applyFont="1"/>
    <xf numFmtId="0" fontId="5" fillId="3" borderId="0" xfId="5"/>
    <xf numFmtId="175" fontId="4" fillId="3" borderId="0" xfId="8"/>
    <xf numFmtId="0" fontId="9" fillId="0" borderId="0" xfId="10"/>
    <xf numFmtId="0" fontId="8" fillId="0" borderId="0" xfId="9"/>
    <xf numFmtId="175" fontId="6" fillId="0" borderId="0" xfId="6" applyNumberFormat="1" applyAlignment="1">
      <alignment horizontal="left"/>
    </xf>
    <xf numFmtId="0" fontId="6" fillId="0" borderId="0" xfId="6"/>
    <xf numFmtId="0" fontId="7" fillId="4" borderId="0" xfId="7"/>
    <xf numFmtId="0" fontId="6" fillId="0" borderId="0" xfId="6" applyAlignment="1">
      <alignment horizontal="left"/>
    </xf>
    <xf numFmtId="1" fontId="6" fillId="0" borderId="0" xfId="6" applyNumberFormat="1" applyAlignment="1">
      <alignment horizontal="left"/>
    </xf>
    <xf numFmtId="173" fontId="6" fillId="0" borderId="0" xfId="6" applyNumberFormat="1" applyAlignment="1">
      <alignment horizontal="left"/>
    </xf>
    <xf numFmtId="2" fontId="6" fillId="0" borderId="0" xfId="6" applyNumberFormat="1" applyAlignment="1">
      <alignment horizontal="left"/>
    </xf>
    <xf numFmtId="0" fontId="12" fillId="0" borderId="0" xfId="0" applyFont="1"/>
    <xf numFmtId="0" fontId="13" fillId="0" borderId="0" xfId="0" applyFont="1" applyAlignment="1">
      <alignment wrapText="1"/>
    </xf>
    <xf numFmtId="0" fontId="14" fillId="0" borderId="0" xfId="0" applyFont="1" applyAlignment="1">
      <alignment wrapText="1"/>
    </xf>
    <xf numFmtId="177" fontId="6" fillId="0" borderId="0" xfId="6" applyNumberFormat="1" applyAlignment="1">
      <alignment horizontal="left"/>
    </xf>
    <xf numFmtId="0" fontId="15" fillId="0" borderId="0" xfId="0" pivotButton="1" applyFont="1"/>
    <xf numFmtId="177" fontId="15" fillId="0" borderId="0" xfId="0" applyNumberFormat="1" applyFont="1"/>
    <xf numFmtId="173" fontId="15" fillId="0" borderId="0" xfId="0" applyNumberFormat="1" applyFont="1"/>
    <xf numFmtId="0" fontId="15" fillId="0" borderId="0" xfId="0" applyFont="1" applyAlignment="1">
      <alignment horizontal="right" wrapText="1"/>
    </xf>
  </cellXfs>
  <cellStyles count="11">
    <cellStyle name="Comma" xfId="1" builtinId="3" customBuiltin="1"/>
    <cellStyle name="Comma [0]" xfId="2" builtinId="6" customBuiltin="1"/>
    <cellStyle name="Currency" xfId="3" builtinId="4" customBuiltin="1"/>
    <cellStyle name="Currency [0]" xfId="4" builtinId="7" customBuiltin="1"/>
    <cellStyle name="Geotab Heading" xfId="5"/>
    <cellStyle name="Geotab Report Body" xfId="6"/>
    <cellStyle name="Geotab Report Column Header" xfId="7"/>
    <cellStyle name="Geotab Report Creation DateTime" xfId="8"/>
    <cellStyle name="Geotab Report Field Name" xfId="9"/>
    <cellStyle name="Geotab Report Name" xfId="10"/>
    <cellStyle name="Normal" xfId="0" builtinId="0" customBuiltin="1"/>
  </cellStyles>
  <dxfs count="22">
    <dxf>
      <font>
        <name val="Calibri"/>
        <scheme val="minor"/>
      </font>
    </dxf>
    <dxf>
      <font>
        <sz val="11"/>
      </font>
    </dxf>
    <dxf>
      <numFmt numFmtId="173" formatCode="[h]:mm"/>
    </dxf>
    <dxf>
      <alignment wrapText="1" readingOrder="0"/>
    </dxf>
    <dxf>
      <alignment horizontal="right" readingOrder="0"/>
    </dxf>
    <dxf>
      <alignment horizontal="right" readingOrder="0"/>
    </dxf>
    <dxf>
      <alignment wrapText="1" readingOrder="0"/>
    </dxf>
    <dxf>
      <numFmt numFmtId="173" formatCode="[h]:mm"/>
    </dxf>
    <dxf>
      <font>
        <sz val="11"/>
      </font>
    </dxf>
    <dxf>
      <font>
        <name val="Calibri"/>
        <scheme val="minor"/>
      </font>
    </dxf>
    <dxf>
      <fill>
        <patternFill patternType="solid">
          <fgColor theme="5" tint="0.79998168889431442"/>
          <bgColor theme="5" tint="0.79998168889431442"/>
        </patternFill>
      </fill>
      <border>
        <bottom style="thin">
          <color theme="5" tint="0.39997558519241921"/>
        </bottom>
      </border>
    </dxf>
    <dxf>
      <fill>
        <patternFill patternType="solid">
          <fgColor theme="5" tint="0.79998168889431442"/>
          <bgColor theme="5" tint="0.79998168889431442"/>
        </patternFill>
      </fill>
      <border>
        <bottom style="thin">
          <color theme="5" tint="0.39997558519241921"/>
        </bottom>
      </border>
    </dxf>
    <dxf>
      <font>
        <b/>
        <color theme="1"/>
      </font>
    </dxf>
    <dxf>
      <font>
        <b/>
        <color theme="1"/>
      </font>
      <border>
        <bottom style="thin">
          <color theme="5" tint="0.39997558519241921"/>
        </bottom>
      </border>
    </dxf>
    <dxf>
      <font>
        <color theme="1"/>
      </font>
    </dxf>
    <dxf>
      <font>
        <b/>
        <i val="0"/>
        <color theme="1"/>
      </font>
      <fill>
        <patternFill>
          <bgColor theme="6" tint="0.79998168889431442"/>
        </patternFill>
      </fill>
      <border>
        <top style="thin">
          <color theme="5"/>
        </top>
        <bottom style="thin">
          <color theme="5"/>
        </bottom>
      </border>
    </dxf>
    <dxf>
      <font>
        <color auto="1"/>
      </font>
      <fill>
        <patternFill patternType="solid">
          <fgColor theme="0" tint="-0.14999847407452621"/>
          <bgColor theme="0" tint="-0.14999847407452621"/>
        </patternFill>
      </fill>
    </dxf>
    <dxf>
      <fill>
        <patternFill patternType="solid">
          <fgColor theme="0" tint="-0.14993743705557422"/>
          <bgColor theme="0" tint="-0.14996795556505021"/>
        </patternFill>
      </fill>
      <border>
        <left style="thin">
          <color theme="0" tint="-0.249977111117893"/>
        </left>
        <right style="thin">
          <color theme="0" tint="-0.249977111117893"/>
        </right>
      </border>
    </dxf>
    <dxf>
      <fill>
        <patternFill>
          <fgColor theme="8"/>
          <bgColor theme="8"/>
        </patternFill>
      </fill>
    </dxf>
    <dxf>
      <font>
        <b/>
        <i val="0"/>
        <color theme="0"/>
      </font>
      <fill>
        <patternFill patternType="solid">
          <fgColor theme="5" tint="0.79995117038483843"/>
          <bgColor theme="4"/>
        </patternFill>
      </fill>
      <border>
        <top style="thin">
          <color theme="5" tint="0.39997558519241921"/>
        </top>
      </border>
    </dxf>
    <dxf>
      <font>
        <b/>
        <i val="0"/>
        <color theme="1"/>
      </font>
      <fill>
        <patternFill patternType="solid">
          <fgColor theme="5" tint="0.79995117038483843"/>
          <bgColor theme="5" tint="0.59996337778862885"/>
        </patternFill>
      </fill>
      <border>
        <bottom style="thin">
          <color theme="5" tint="0.39997558519241921"/>
        </bottom>
      </border>
    </dxf>
    <dxf>
      <font>
        <color theme="3"/>
      </font>
    </dxf>
  </dxfs>
  <tableStyles count="1" defaultTableStyle="TableStyleMedium9" defaultPivotStyle="PivotStyleLight16">
    <tableStyle name="PivotStyleLightCheckmate" table="0" count="12">
      <tableStyleElement type="wholeTable" dxfId="21"/>
      <tableStyleElement type="headerRow" dxfId="20"/>
      <tableStyleElement type="totalRow" dxfId="19"/>
      <tableStyleElement type="secondRowStripe" dxfId="18"/>
      <tableStyleElement type="firstColumnStripe" dxfId="17"/>
      <tableStyleElement type="firstSubtotalColumn" dxfId="16"/>
      <tableStyleElement type="firstSubtotalRow" dxfId="15"/>
      <tableStyleElement type="secondSubtotalRow" dxfId="14"/>
      <tableStyleElement type="firstRowSubheading" dxfId="13"/>
      <tableStyleElement type="secondRowSubheading" dxfId="12"/>
      <tableStyleElement type="pageFieldLabels" dxfId="11"/>
      <tableStyleElement type="pageFieldValues" dxfId="1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[Last 3 Months Idling Trend.xlsm]Summary!Riskmangement Summary</c:name>
    <c:fmtId val="0"/>
  </c:pivotSource>
  <c:chart>
    <c:autoTitleDeleted val="1"/>
    <c:pivotFmts>
      <c:pivotFmt>
        <c:idx val="0"/>
        <c:spPr>
          <a:solidFill>
            <a:srgbClr val="5C9CCC"/>
          </a:solidFill>
          <a:ln w="25400">
            <a:noFill/>
          </a:ln>
        </c:spPr>
        <c:marker>
          <c:symbol val="none"/>
        </c:marker>
      </c:pivotFmt>
    </c:pivotFmts>
    <c:plotArea>
      <c:layout/>
      <c:barChart>
        <c:barDir val="col"/>
        <c:grouping val="clustered"/>
        <c:varyColors val="0"/>
        <c:ser>
          <c:idx val="0"/>
          <c:order val="0"/>
          <c:tx>
            <c:strRef>
              <c:f>Summary!$B$7</c:f>
              <c:strCache>
                <c:ptCount val="1"/>
                <c:pt idx="0">
                  <c:v>Total</c:v>
                </c:pt>
              </c:strCache>
            </c:strRef>
          </c:tx>
          <c:spPr>
            <a:solidFill>
              <a:srgbClr val="5C9CCC"/>
            </a:solidFill>
            <a:ln w="25400">
              <a:noFill/>
            </a:ln>
          </c:spPr>
          <c:invertIfNegative val="0"/>
          <c:trendline>
            <c:spPr>
              <a:ln w="25400" cap="rnd">
                <a:solidFill>
                  <a:schemeClr val="accent4"/>
                </a:solidFill>
                <a:prstDash val="sysDot"/>
              </a:ln>
              <a:effectLst/>
            </c:spPr>
            <c:trendlineType val="linear"/>
            <c:dispRSqr val="0"/>
            <c:dispEq val="0"/>
          </c:trendline>
          <c:cat>
            <c:strRef>
              <c:f>Summary!$A$8:$A$11</c:f>
              <c:strCache>
                <c:ptCount val="3"/>
                <c:pt idx="0">
                  <c:v>February 2014</c:v>
                </c:pt>
                <c:pt idx="1">
                  <c:v>March 2014</c:v>
                </c:pt>
                <c:pt idx="2">
                  <c:v>April 2014</c:v>
                </c:pt>
              </c:strCache>
            </c:strRef>
          </c:cat>
          <c:val>
            <c:numRef>
              <c:f>Summary!$B$8:$B$11</c:f>
              <c:numCache>
                <c:formatCode>[h]:mm</c:formatCode>
                <c:ptCount val="3"/>
                <c:pt idx="0">
                  <c:v>8.2052083333333332</c:v>
                </c:pt>
                <c:pt idx="1">
                  <c:v>23.454479166666665</c:v>
                </c:pt>
                <c:pt idx="2">
                  <c:v>9.7817245370370376</c:v>
                </c:pt>
              </c:numCache>
            </c:numRef>
          </c:val>
        </c:ser>
        <c:dLbls>
          <c:showLegendKey val="0"/>
          <c:showVal val="0"/>
          <c:showCatName val="0"/>
          <c:showSerName val="0"/>
          <c:showPercent val="0"/>
          <c:showBubbleSize val="0"/>
        </c:dLbls>
        <c:gapWidth val="219"/>
        <c:overlap val="-27"/>
        <c:axId val="501111536"/>
        <c:axId val="501120160"/>
      </c:barChart>
      <c:catAx>
        <c:axId val="501111536"/>
        <c:scaling>
          <c:orientation val="minMax"/>
        </c:scaling>
        <c:delete val="0"/>
        <c:axPos val="b"/>
        <c:title>
          <c:tx>
            <c:rich>
              <a:bodyPr/>
              <a:lstStyle/>
              <a:p>
                <a:pPr>
                  <a:defRPr sz="900" b="0" i="0" u="none" strike="noStrike" baseline="0">
                    <a:solidFill>
                      <a:schemeClr val="tx1">
                        <a:lumMod val="50000"/>
                        <a:lumOff val="50000"/>
                      </a:schemeClr>
                    </a:solidFill>
                    <a:latin typeface="Calibri"/>
                    <a:ea typeface="Calibri"/>
                    <a:cs typeface="Calibri"/>
                  </a:defRPr>
                </a:pPr>
                <a:r>
                  <a:rPr lang="en-US">
                    <a:solidFill>
                      <a:schemeClr val="tx1">
                        <a:lumMod val="50000"/>
                        <a:lumOff val="50000"/>
                      </a:schemeClr>
                    </a:solidFill>
                  </a:rPr>
                  <a:t>Month</a:t>
                </a:r>
              </a:p>
            </c:rich>
          </c:tx>
          <c:layout/>
          <c:overlay val="0"/>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1000" b="0" i="0" u="none" strike="noStrike" baseline="0">
                <a:solidFill>
                  <a:schemeClr val="tx1">
                    <a:lumMod val="50000"/>
                    <a:lumOff val="50000"/>
                  </a:schemeClr>
                </a:solidFill>
                <a:latin typeface="Calibri"/>
                <a:ea typeface="Calibri"/>
                <a:cs typeface="Calibri"/>
              </a:defRPr>
            </a:pPr>
            <a:endParaRPr lang="en-US"/>
          </a:p>
        </c:txPr>
        <c:crossAx val="501120160"/>
        <c:crosses val="autoZero"/>
        <c:auto val="0"/>
        <c:lblAlgn val="ctr"/>
        <c:lblOffset val="100"/>
        <c:noMultiLvlLbl val="0"/>
      </c:catAx>
      <c:valAx>
        <c:axId val="501120160"/>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900" b="0" i="0" u="none" strike="noStrike" baseline="0">
                    <a:solidFill>
                      <a:schemeClr val="tx1">
                        <a:lumMod val="50000"/>
                        <a:lumOff val="50000"/>
                      </a:schemeClr>
                    </a:solidFill>
                    <a:latin typeface="Calibri"/>
                    <a:ea typeface="Calibri"/>
                    <a:cs typeface="Calibri"/>
                  </a:defRPr>
                </a:pPr>
                <a:r>
                  <a:rPr lang="en-US">
                    <a:solidFill>
                      <a:schemeClr val="tx1">
                        <a:lumMod val="50000"/>
                        <a:lumOff val="50000"/>
                      </a:schemeClr>
                    </a:solidFill>
                  </a:rPr>
                  <a:t>Idle Time (hh:mm)</a:t>
                </a:r>
              </a:p>
            </c:rich>
          </c:tx>
          <c:layout/>
          <c:overlay val="0"/>
        </c:title>
        <c:numFmt formatCode="[h]:mm" sourceLinked="1"/>
        <c:majorTickMark val="none"/>
        <c:minorTickMark val="none"/>
        <c:tickLblPos val="nextTo"/>
        <c:spPr>
          <a:ln w="9525">
            <a:noFill/>
          </a:ln>
        </c:spPr>
        <c:txPr>
          <a:bodyPr rot="0" vert="horz"/>
          <a:lstStyle/>
          <a:p>
            <a:pPr>
              <a:defRPr sz="1000" b="0" i="0" u="none" strike="noStrike" baseline="0">
                <a:solidFill>
                  <a:schemeClr val="tx1">
                    <a:lumMod val="50000"/>
                    <a:lumOff val="50000"/>
                  </a:schemeClr>
                </a:solidFill>
                <a:latin typeface="Calibri"/>
                <a:ea typeface="Calibri"/>
                <a:cs typeface="Calibri"/>
              </a:defRPr>
            </a:pPr>
            <a:endParaRPr lang="en-US"/>
          </a:p>
        </c:txPr>
        <c:crossAx val="501111536"/>
        <c:crosses val="autoZero"/>
        <c:crossBetween val="between"/>
      </c:valAx>
      <c:spPr>
        <a:noFill/>
        <a:ln w="25400">
          <a:noFill/>
        </a:ln>
      </c:spPr>
    </c:plotArea>
    <c:plotVisOnly val="1"/>
    <c:dispBlanksAs val="gap"/>
    <c:showDLblsOverMax val="0"/>
  </c:chart>
  <c:spPr>
    <a:solidFill>
      <a:schemeClr val="bg1"/>
    </a:solidFill>
    <a:ln w="9525" cap="flat" cmpd="sng" algn="ctr">
      <a:no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133350</xdr:colOff>
      <xdr:row>3</xdr:row>
      <xdr:rowOff>38100</xdr:rowOff>
    </xdr:from>
    <xdr:to>
      <xdr:col>6</xdr:col>
      <xdr:colOff>533400</xdr:colOff>
      <xdr:row>16</xdr:row>
      <xdr:rowOff>114300</xdr:rowOff>
    </xdr:to>
    <xdr:graphicFrame macro="">
      <xdr:nvGraphicFramePr>
        <xdr:cNvPr id="3086"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180975</xdr:colOff>
      <xdr:row>2</xdr:row>
      <xdr:rowOff>70485</xdr:rowOff>
    </xdr:from>
    <xdr:to>
      <xdr:col>10</xdr:col>
      <xdr:colOff>956293</xdr:colOff>
      <xdr:row>12</xdr:row>
      <xdr:rowOff>121945</xdr:rowOff>
    </xdr:to>
    <xdr:sp macro="" textlink="">
      <xdr:nvSpPr>
        <xdr:cNvPr id="3" name="TextBox 2"/>
        <xdr:cNvSpPr txBox="1"/>
      </xdr:nvSpPr>
      <xdr:spPr>
        <a:xfrm>
          <a:off x="8343900" y="586740"/>
          <a:ext cx="4444365" cy="207264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u="none" strike="noStrike">
              <a:solidFill>
                <a:schemeClr val="accent2">
                  <a:lumMod val="75000"/>
                </a:schemeClr>
              </a:solidFill>
              <a:effectLst/>
              <a:latin typeface="+mn-lt"/>
              <a:ea typeface="+mn-ea"/>
              <a:cs typeface="+mn-cs"/>
            </a:rPr>
            <a:t>Report Description</a:t>
          </a:r>
          <a:r>
            <a:rPr lang="en-US" sz="1200" b="0" i="0" u="none" strike="noStrike">
              <a:solidFill>
                <a:schemeClr val="tx1">
                  <a:lumMod val="50000"/>
                  <a:lumOff val="50000"/>
                </a:schemeClr>
              </a:solidFill>
              <a:effectLst/>
              <a:latin typeface="+mn-lt"/>
              <a:ea typeface="+mn-ea"/>
              <a:cs typeface="+mn-cs"/>
            </a:rPr>
            <a:t/>
          </a:r>
          <a:br>
            <a:rPr lang="en-US" sz="1200" b="0" i="0" u="none" strike="noStrike">
              <a:solidFill>
                <a:schemeClr val="tx1">
                  <a:lumMod val="50000"/>
                  <a:lumOff val="50000"/>
                </a:schemeClr>
              </a:solidFill>
              <a:effectLst/>
              <a:latin typeface="+mn-lt"/>
              <a:ea typeface="+mn-ea"/>
              <a:cs typeface="+mn-cs"/>
            </a:rPr>
          </a:br>
          <a:r>
            <a:rPr lang="en-US" sz="1200" b="0" i="0" u="none" strike="noStrike">
              <a:solidFill>
                <a:schemeClr val="tx1">
                  <a:lumMod val="50000"/>
                  <a:lumOff val="50000"/>
                </a:schemeClr>
              </a:solidFill>
              <a:effectLst/>
              <a:latin typeface="+mn-lt"/>
              <a:ea typeface="+mn-ea"/>
              <a:cs typeface="+mn-cs"/>
            </a:rPr>
            <a:t>This report is designed to run as a dashboard or as an emailed report that displays the total idling time for the entire fleet over the last 3 months.</a:t>
          </a:r>
        </a:p>
        <a:p>
          <a:r>
            <a:rPr lang="en-US" sz="1200" b="0" i="0" u="none" strike="noStrike">
              <a:solidFill>
                <a:schemeClr val="tx1">
                  <a:lumMod val="50000"/>
                  <a:lumOff val="50000"/>
                </a:schemeClr>
              </a:solidFill>
              <a:effectLst/>
              <a:latin typeface="+mn-lt"/>
              <a:ea typeface="+mn-ea"/>
              <a:cs typeface="+mn-cs"/>
            </a:rPr>
            <a:t/>
          </a:r>
          <a:br>
            <a:rPr lang="en-US" sz="1200" b="0" i="0" u="none" strike="noStrike">
              <a:solidFill>
                <a:schemeClr val="tx1">
                  <a:lumMod val="50000"/>
                  <a:lumOff val="50000"/>
                </a:schemeClr>
              </a:solidFill>
              <a:effectLst/>
              <a:latin typeface="+mn-lt"/>
              <a:ea typeface="+mn-ea"/>
              <a:cs typeface="+mn-cs"/>
            </a:rPr>
          </a:br>
          <a:r>
            <a:rPr lang="en-US" sz="1200" b="0" i="0" u="none" strike="noStrike">
              <a:solidFill>
                <a:schemeClr val="tx1">
                  <a:lumMod val="50000"/>
                  <a:lumOff val="50000"/>
                </a:schemeClr>
              </a:solidFill>
              <a:effectLst/>
              <a:latin typeface="+mn-lt"/>
              <a:ea typeface="+mn-ea"/>
              <a:cs typeface="+mn-cs"/>
            </a:rPr>
            <a:t>This is a great measure for demonstrating any change in total idling time after implementing new company policies for drivers. It helps to demonstrate whether or not your company is trending in the right direction in regards to total idling time, especially when compared to total miles driven and fuel usage statistics.</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OnLoad="1" refreshedBy="Angie Milne" refreshedDate="42251.416068402781" missingItemsLimit="0" createdVersion="4" refreshedVersion="5" minRefreshableVersion="3" recordCount="3">
  <cacheSource type="worksheet">
    <worksheetSource name="AllData"/>
  </cacheSource>
  <cacheFields count="25">
    <cacheField name="Vehicle" numFmtId="0">
      <sharedItems/>
    </cacheField>
    <cacheField name="Group" numFmtId="0">
      <sharedItems/>
    </cacheField>
    <cacheField name="Month" numFmtId="177">
      <sharedItems containsSemiMixedTypes="0" containsNonDate="0" containsDate="1" containsString="0" minDate="2014-02-01T00:00:00" maxDate="2014-04-02T00:00:00" count="3">
        <d v="2014-02-01T00:00:00"/>
        <d v="2014-03-01T00:00:00"/>
        <d v="2014-04-01T00:00:00"/>
      </sharedItems>
    </cacheField>
    <cacheField name="Idling &gt; 5 mins." numFmtId="0">
      <sharedItems containsSemiMixedTypes="0" containsString="0" containsNumber="1" containsInteger="1" minValue="753" maxValue="873"/>
    </cacheField>
    <cacheField name="Idling Duration" numFmtId="173">
      <sharedItems containsSemiMixedTypes="0" containsNonDate="0" containsDate="1" containsString="0" minDate="1900-01-07T04:55:30" maxDate="1900-01-22T10:54:27"/>
    </cacheField>
    <cacheField name="Total Distance" numFmtId="2">
      <sharedItems containsSemiMixedTypes="0" containsString="0" containsNumber="1" minValue="75295.59375" maxValue="84553.3671875"/>
    </cacheField>
    <cacheField name="Total Stops" numFmtId="1">
      <sharedItems containsSemiMixedTypes="0" containsString="0" containsNumber="1" containsInteger="1" minValue="6425" maxValue="6625"/>
    </cacheField>
    <cacheField name="Exception #1 Duration" numFmtId="173">
      <sharedItems/>
    </cacheField>
    <cacheField name="Exception #1 Count" numFmtId="1">
      <sharedItems/>
    </cacheField>
    <cacheField name="Exception #1 Distance" numFmtId="1">
      <sharedItems/>
    </cacheField>
    <cacheField name="Exception #2 Duration" numFmtId="173">
      <sharedItems/>
    </cacheField>
    <cacheField name="Exception #2 Count" numFmtId="0">
      <sharedItems/>
    </cacheField>
    <cacheField name="Exception #2 Distance" numFmtId="0">
      <sharedItems/>
    </cacheField>
    <cacheField name="Exception #3 Duration" numFmtId="173">
      <sharedItems/>
    </cacheField>
    <cacheField name="Exception #3 Count" numFmtId="0">
      <sharedItems/>
    </cacheField>
    <cacheField name="Exception #3 Distance" numFmtId="0">
      <sharedItems/>
    </cacheField>
    <cacheField name="Exception #4 Duration" numFmtId="173">
      <sharedItems/>
    </cacheField>
    <cacheField name="Exception #4 Count" numFmtId="0">
      <sharedItems/>
    </cacheField>
    <cacheField name="Exception #4 Distance" numFmtId="0">
      <sharedItems/>
    </cacheField>
    <cacheField name="Exception #5 Duration" numFmtId="173">
      <sharedItems/>
    </cacheField>
    <cacheField name="Exception #5 Count" numFmtId="0">
      <sharedItems/>
    </cacheField>
    <cacheField name="Exception #5 Distance" numFmtId="0">
      <sharedItems/>
    </cacheField>
    <cacheField name="Exception #6 Duration" numFmtId="173">
      <sharedItems/>
    </cacheField>
    <cacheField name="Exception #6 Count" numFmtId="0">
      <sharedItems/>
    </cacheField>
    <cacheField name="Exception #6 Distance"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
  <r>
    <s v="**Org**"/>
    <s v=""/>
    <x v="0"/>
    <n v="753"/>
    <d v="1900-01-07T04:55:30"/>
    <n v="75295.59375"/>
    <n v="6425"/>
    <e v="#REF!"/>
    <e v="#REF!"/>
    <e v="#REF!"/>
    <e v="#REF!"/>
    <e v="#REF!"/>
    <e v="#REF!"/>
    <e v="#REF!"/>
    <e v="#REF!"/>
    <e v="#REF!"/>
    <e v="#REF!"/>
    <e v="#REF!"/>
    <e v="#REF!"/>
    <e v="#REF!"/>
    <e v="#REF!"/>
    <e v="#REF!"/>
    <e v="#REF!"/>
    <e v="#REF!"/>
    <e v="#REF!"/>
  </r>
  <r>
    <s v="**Org**"/>
    <s v=""/>
    <x v="1"/>
    <n v="873"/>
    <d v="1900-01-22T10:54:27"/>
    <n v="77969.6015625"/>
    <n v="6625"/>
    <e v="#REF!"/>
    <e v="#REF!"/>
    <e v="#REF!"/>
    <e v="#REF!"/>
    <e v="#REF!"/>
    <e v="#REF!"/>
    <e v="#REF!"/>
    <e v="#REF!"/>
    <e v="#REF!"/>
    <e v="#REF!"/>
    <e v="#REF!"/>
    <e v="#REF!"/>
    <e v="#REF!"/>
    <e v="#REF!"/>
    <e v="#REF!"/>
    <e v="#REF!"/>
    <e v="#REF!"/>
    <e v="#REF!"/>
  </r>
  <r>
    <s v="**Org**"/>
    <s v=""/>
    <x v="2"/>
    <n v="864"/>
    <d v="1900-01-08T18:45:41"/>
    <n v="84553.3671875"/>
    <n v="6555"/>
    <e v="#REF!"/>
    <e v="#REF!"/>
    <e v="#REF!"/>
    <e v="#REF!"/>
    <e v="#REF!"/>
    <e v="#REF!"/>
    <e v="#REF!"/>
    <e v="#REF!"/>
    <e v="#REF!"/>
    <e v="#REF!"/>
    <e v="#REF!"/>
    <e v="#REF!"/>
    <e v="#REF!"/>
    <e v="#REF!"/>
    <e v="#REF!"/>
    <e v="#REF!"/>
    <e v="#REF!"/>
    <e v="#REF!"/>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Riskmangement Summary" cacheId="3" applyNumberFormats="0" applyBorderFormats="0" applyFontFormats="0" applyPatternFormats="0" applyAlignmentFormats="0" applyWidthHeightFormats="1" dataCaption="Data" updatedVersion="5" minRefreshableVersion="3" showDrill="0" showMemberPropertyTips="0" itemPrintTitles="1" createdVersion="5" indent="0" compact="0" compactData="0" chartFormat="1">
  <location ref="A7:B11" firstHeaderRow="1" firstDataRow="1" firstDataCol="1"/>
  <pivotFields count="25">
    <pivotField compact="0" outline="0" showAll="0" defaultSubtotal="0"/>
    <pivotField compact="0" outline="0" subtotalTop="0" showAll="0" includeNewItemsInFilter="1" defaultSubtotal="0"/>
    <pivotField axis="axisRow" compact="0" numFmtId="177" outline="0" showAll="0" defaultSubtotal="0">
      <items count="3">
        <item x="0"/>
        <item x="1"/>
        <item x="2"/>
      </items>
    </pivotField>
    <pivotField compact="0" outline="0" subtotalTop="0" showAll="0" includeNewItemsInFilter="1"/>
    <pivotField dataField="1" compact="0" numFmtId="173" outline="0" subtotalTop="0" showAll="0" includeNewItemsInFilter="1"/>
    <pivotField compact="0" numFmtId="2" outline="0" subtotalTop="0" showAll="0" includeNewItemsInFilter="1"/>
    <pivotField compact="0" numFmtId="1" outline="0" subtotalTop="0" showAll="0" includeNewItemsInFilter="1"/>
    <pivotField compact="0" numFmtId="173" outline="0" subtotalTop="0" showAll="0" includeNewItemsInFilter="1" defaultSubtotal="0"/>
    <pivotField compact="0" numFmtId="1" outline="0" subtotalTop="0" showAll="0" includeNewItemsInFilter="1" defaultSubtotal="0"/>
    <pivotField compact="0" numFmtId="1" outline="0" subtotalTop="0" showAll="0" includeNewItemsInFilter="1" defaultSubtotal="0"/>
    <pivotField compact="0" numFmtId="173"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numFmtId="173"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numFmtId="173"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numFmtId="173"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numFmtId="173" outline="0" subtotalTop="0" showAll="0" includeNewItemsInFilter="1" defaultSubtotal="0"/>
    <pivotField compact="0" outline="0" subtotalTop="0" showAll="0" includeNewItemsInFilter="1" defaultSubtotal="0"/>
    <pivotField compact="0" outline="0" subtotalTop="0" showAll="0" includeNewItemsInFilter="1" defaultSubtotal="0"/>
  </pivotFields>
  <rowFields count="1">
    <field x="2"/>
  </rowFields>
  <rowItems count="4">
    <i>
      <x/>
    </i>
    <i>
      <x v="1"/>
    </i>
    <i>
      <x v="2"/>
    </i>
    <i t="grand">
      <x/>
    </i>
  </rowItems>
  <colItems count="1">
    <i/>
  </colItems>
  <dataFields count="1">
    <dataField name="Idling Duration (hh:mm)" fld="4" baseField="3" baseItem="1" numFmtId="173"/>
  </dataFields>
  <formats count="5">
    <format dxfId="9">
      <pivotArea type="all" dataOnly="0" outline="0" collapsedLevelsAreSubtotals="1" fieldPosition="0"/>
    </format>
    <format dxfId="8">
      <pivotArea type="all" dataOnly="0" outline="0" collapsedLevelsAreSubtotals="1" fieldPosition="0"/>
    </format>
    <format dxfId="7">
      <pivotArea outline="0" collapsedLevelsAreSubtotals="1" fieldPosition="0">
        <references count="1">
          <reference field="4294967294" count="1">
            <x v="0"/>
          </reference>
        </references>
      </pivotArea>
    </format>
    <format dxfId="6">
      <pivotArea dataOnly="0" labelOnly="1" outline="0" axis="axisValues" fieldPosition="0"/>
    </format>
    <format dxfId="5">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Checkmate" showRowHeaders="0" showColHeaders="1" showRowStripes="1" showColStripes="0" showLastColumn="1"/>
</pivotTableDefinition>
</file>

<file path=xl/theme/theme1.xml><?xml version="1.0" encoding="utf-8"?>
<a:theme xmlns:a="http://schemas.openxmlformats.org/drawingml/2006/main" name="CheckmateReportTheme">
  <a:themeElements>
    <a:clrScheme name="Custom 1">
      <a:dk1>
        <a:sysClr val="windowText" lastClr="000000"/>
      </a:dk1>
      <a:lt1>
        <a:sysClr val="window" lastClr="FFFFFF"/>
      </a:lt1>
      <a:dk2>
        <a:srgbClr val="3F3F3F"/>
      </a:dk2>
      <a:lt2>
        <a:srgbClr val="EEECE1"/>
      </a:lt2>
      <a:accent1>
        <a:srgbClr val="25477B"/>
      </a:accent1>
      <a:accent2>
        <a:srgbClr val="5C9CCC"/>
      </a:accent2>
      <a:accent3>
        <a:srgbClr val="9BBB59"/>
      </a:accent3>
      <a:accent4>
        <a:srgbClr val="F7941E"/>
      </a:accent4>
      <a:accent5>
        <a:srgbClr val="F3F8FB"/>
      </a:accent5>
      <a:accent6>
        <a:srgbClr val="EEECE1"/>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R12"/>
  <sheetViews>
    <sheetView workbookViewId="0">
      <pane ySplit="9" topLeftCell="A10" activePane="bottomLeft" state="frozen"/>
      <selection pane="bottomLeft" activeCell="I4" sqref="I4"/>
    </sheetView>
  </sheetViews>
  <sheetFormatPr defaultRowHeight="15" x14ac:dyDescent="0.25"/>
  <cols>
    <col min="1" max="1" width="15.28515625" customWidth="1"/>
    <col min="2" max="2" width="18.5703125" customWidth="1"/>
    <col min="3" max="12" width="13" customWidth="1"/>
    <col min="13" max="13" width="18.5703125" customWidth="1"/>
    <col min="14" max="14" width="18.42578125" customWidth="1"/>
    <col min="15" max="15" width="13" customWidth="1"/>
    <col min="16" max="16" width="10" customWidth="1"/>
    <col min="17" max="17" width="9" customWidth="1"/>
    <col min="18" max="18" width="8" customWidth="1"/>
  </cols>
  <sheetData>
    <row r="1" spans="1:18" x14ac:dyDescent="0.25">
      <c r="A1" s="7" t="s">
        <v>35</v>
      </c>
      <c r="B1" s="8" t="s">
        <v>60</v>
      </c>
    </row>
    <row r="2" spans="1:18" x14ac:dyDescent="0.25">
      <c r="A2" s="7" t="s">
        <v>18</v>
      </c>
      <c r="B2" s="8">
        <v>41787.426907187502</v>
      </c>
    </row>
    <row r="3" spans="1:18" x14ac:dyDescent="0.25">
      <c r="A3" s="7" t="s">
        <v>19</v>
      </c>
      <c r="B3" s="8">
        <v>41671</v>
      </c>
    </row>
    <row r="4" spans="1:18" x14ac:dyDescent="0.25">
      <c r="A4" s="7" t="s">
        <v>20</v>
      </c>
      <c r="B4" s="8">
        <v>41759.999988425923</v>
      </c>
    </row>
    <row r="5" spans="1:18" x14ac:dyDescent="0.25">
      <c r="A5" s="7" t="s">
        <v>36</v>
      </c>
      <c r="B5" s="8" t="s">
        <v>54</v>
      </c>
    </row>
    <row r="6" spans="1:18" x14ac:dyDescent="0.25">
      <c r="A6" s="7" t="s">
        <v>37</v>
      </c>
      <c r="B6" s="8" t="s">
        <v>55</v>
      </c>
    </row>
    <row r="7" spans="1:18" x14ac:dyDescent="0.25">
      <c r="A7" s="7" t="s">
        <v>40</v>
      </c>
      <c r="B7" s="8" t="b">
        <v>1</v>
      </c>
    </row>
    <row r="8" spans="1:18" x14ac:dyDescent="0.25">
      <c r="A8" s="7" t="s">
        <v>44</v>
      </c>
      <c r="B8" s="8" t="s">
        <v>56</v>
      </c>
    </row>
    <row r="9" spans="1:18" ht="32.25" customHeight="1" thickBot="1" x14ac:dyDescent="0.3">
      <c r="A9" s="1" t="s">
        <v>7</v>
      </c>
      <c r="B9" s="1" t="s">
        <v>8</v>
      </c>
      <c r="C9" s="1" t="s">
        <v>9</v>
      </c>
      <c r="D9" s="1" t="s">
        <v>6</v>
      </c>
      <c r="E9" s="1" t="s">
        <v>51</v>
      </c>
      <c r="F9" s="1" t="s">
        <v>52</v>
      </c>
      <c r="G9" s="1" t="s">
        <v>53</v>
      </c>
      <c r="H9" s="1" t="s">
        <v>10</v>
      </c>
      <c r="I9" s="1" t="s">
        <v>11</v>
      </c>
      <c r="J9" s="1" t="s">
        <v>12</v>
      </c>
      <c r="K9" s="1" t="s">
        <v>13</v>
      </c>
      <c r="L9" s="1" t="s">
        <v>41</v>
      </c>
      <c r="M9" s="1" t="s">
        <v>42</v>
      </c>
      <c r="N9" s="1" t="s">
        <v>43</v>
      </c>
      <c r="O9" s="1" t="s">
        <v>14</v>
      </c>
      <c r="P9" s="1" t="s">
        <v>15</v>
      </c>
      <c r="Q9" s="1" t="s">
        <v>16</v>
      </c>
      <c r="R9" s="1" t="s">
        <v>17</v>
      </c>
    </row>
    <row r="10" spans="1:18" x14ac:dyDescent="0.25">
      <c r="I10" s="2" t="s">
        <v>57</v>
      </c>
      <c r="J10" s="2">
        <v>9998</v>
      </c>
      <c r="L10" s="3">
        <v>1</v>
      </c>
      <c r="M10" s="8">
        <v>41671</v>
      </c>
      <c r="N10" s="8">
        <v>41698.999988425923</v>
      </c>
      <c r="O10" s="3">
        <v>753</v>
      </c>
      <c r="P10" s="4">
        <v>8.2052083333333332</v>
      </c>
      <c r="Q10" s="6">
        <v>75295.59375</v>
      </c>
      <c r="R10" s="5">
        <v>6425</v>
      </c>
    </row>
    <row r="11" spans="1:18" x14ac:dyDescent="0.25">
      <c r="I11" s="2" t="s">
        <v>57</v>
      </c>
      <c r="J11" s="2">
        <v>9998</v>
      </c>
      <c r="L11" s="3">
        <v>2</v>
      </c>
      <c r="M11" s="8">
        <v>41699</v>
      </c>
      <c r="N11" s="8">
        <v>41729.999988425923</v>
      </c>
      <c r="O11" s="3">
        <v>873</v>
      </c>
      <c r="P11" s="4">
        <v>23.454479166666665</v>
      </c>
      <c r="Q11" s="6">
        <v>77969.6015625</v>
      </c>
      <c r="R11" s="5">
        <v>6625</v>
      </c>
    </row>
    <row r="12" spans="1:18" x14ac:dyDescent="0.25">
      <c r="I12" s="2" t="s">
        <v>57</v>
      </c>
      <c r="J12" s="2">
        <v>9998</v>
      </c>
      <c r="L12" s="3">
        <v>3</v>
      </c>
      <c r="M12" s="8">
        <v>41730</v>
      </c>
      <c r="N12" s="8">
        <v>41759.999988425923</v>
      </c>
      <c r="O12" s="3">
        <v>864</v>
      </c>
      <c r="P12" s="4">
        <v>9.7817245370370376</v>
      </c>
      <c r="Q12" s="6">
        <v>84553.3671875</v>
      </c>
      <c r="R12" s="5">
        <v>6555</v>
      </c>
    </row>
  </sheetData>
  <pageMargins left="0.75" right="0.75" top="1" bottom="1" header="0.5" footer="0.5"/>
  <pageSetup fitToHeight="100" orientation="landscape" horizontalDpi="300" verticalDpi="300"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10"/>
  <sheetViews>
    <sheetView showGridLines="0" workbookViewId="0">
      <pane ySplit="7" topLeftCell="A8" activePane="bottomLeft" state="frozen"/>
      <selection pane="bottomLeft" activeCell="C8" sqref="C8"/>
    </sheetView>
  </sheetViews>
  <sheetFormatPr defaultRowHeight="15" x14ac:dyDescent="0.25"/>
  <cols>
    <col min="1" max="1" width="20" customWidth="1"/>
    <col min="2" max="2" width="21.7109375" customWidth="1"/>
    <col min="3" max="3" width="20.42578125" customWidth="1"/>
    <col min="4" max="4" width="15" customWidth="1"/>
    <col min="5" max="5" width="14.5703125" customWidth="1"/>
    <col min="6" max="6" width="14" customWidth="1"/>
    <col min="7" max="7" width="11.140625" customWidth="1"/>
    <col min="8" max="8" width="20.7109375" hidden="1" customWidth="1"/>
    <col min="9" max="9" width="18.7109375" hidden="1" customWidth="1"/>
    <col min="10" max="10" width="20.85546875" hidden="1" customWidth="1"/>
    <col min="11" max="11" width="21.140625" hidden="1" customWidth="1"/>
    <col min="12" max="12" width="19.140625" hidden="1" customWidth="1"/>
    <col min="13" max="13" width="21.85546875" hidden="1" customWidth="1"/>
    <col min="14" max="14" width="21.140625" hidden="1" customWidth="1"/>
    <col min="15" max="15" width="18.7109375" hidden="1" customWidth="1"/>
    <col min="16" max="16" width="20.85546875" hidden="1" customWidth="1"/>
    <col min="17" max="17" width="21.140625" hidden="1" customWidth="1"/>
    <col min="18" max="18" width="18.7109375" hidden="1" customWidth="1"/>
    <col min="19" max="19" width="21.28515625" hidden="1" customWidth="1"/>
    <col min="20" max="20" width="21.140625" hidden="1" customWidth="1"/>
    <col min="21" max="21" width="18.7109375" hidden="1" customWidth="1"/>
    <col min="22" max="22" width="21.42578125" hidden="1" customWidth="1"/>
    <col min="23" max="23" width="21.140625" hidden="1" customWidth="1"/>
    <col min="24" max="24" width="18.7109375" hidden="1" customWidth="1"/>
    <col min="25" max="25" width="20.28515625" hidden="1" customWidth="1"/>
  </cols>
  <sheetData>
    <row r="1" spans="1:25" s="10" customFormat="1" ht="23.25" x14ac:dyDescent="0.35">
      <c r="A1" s="10" t="str">
        <f>Data!B1</f>
        <v>Fleet Name</v>
      </c>
      <c r="D1" s="11">
        <f>Data!B2</f>
        <v>41787.426907187502</v>
      </c>
    </row>
    <row r="2" spans="1:25" s="9" customFormat="1" ht="18.75" x14ac:dyDescent="0.3">
      <c r="A2" s="12" t="s">
        <v>58</v>
      </c>
    </row>
    <row r="3" spans="1:25" s="9" customFormat="1" x14ac:dyDescent="0.25"/>
    <row r="4" spans="1:25" s="9" customFormat="1" x14ac:dyDescent="0.25">
      <c r="A4" s="13" t="s">
        <v>21</v>
      </c>
      <c r="B4" s="14">
        <f>Data!B3</f>
        <v>41671</v>
      </c>
      <c r="C4" s="13" t="s">
        <v>38</v>
      </c>
      <c r="D4" s="14" t="str">
        <f>Data!B5</f>
        <v>miles</v>
      </c>
    </row>
    <row r="5" spans="1:25" s="9" customFormat="1" x14ac:dyDescent="0.25">
      <c r="A5" s="13" t="s">
        <v>22</v>
      </c>
      <c r="B5" s="14">
        <f>Data!B4</f>
        <v>41759.999988425923</v>
      </c>
      <c r="C5" s="13" t="s">
        <v>39</v>
      </c>
      <c r="D5" s="14" t="str">
        <f>Data!B6</f>
        <v>mph</v>
      </c>
    </row>
    <row r="6" spans="1:25" s="9" customFormat="1" x14ac:dyDescent="0.25"/>
    <row r="7" spans="1:25" s="16" customFormat="1" x14ac:dyDescent="0.25">
      <c r="A7" s="16" t="s">
        <v>61</v>
      </c>
      <c r="B7" s="16" t="s">
        <v>0</v>
      </c>
      <c r="C7" s="16" t="s">
        <v>62</v>
      </c>
      <c r="D7" s="16" t="s">
        <v>2</v>
      </c>
      <c r="E7" s="16" t="s">
        <v>3</v>
      </c>
      <c r="F7" s="16" t="s">
        <v>4</v>
      </c>
      <c r="G7" s="16" t="s">
        <v>1</v>
      </c>
      <c r="H7" s="16" t="s">
        <v>23</v>
      </c>
      <c r="I7" s="16" t="s">
        <v>24</v>
      </c>
      <c r="J7" s="16" t="s">
        <v>45</v>
      </c>
      <c r="K7" s="16" t="s">
        <v>25</v>
      </c>
      <c r="L7" s="16" t="s">
        <v>26</v>
      </c>
      <c r="M7" s="16" t="s">
        <v>50</v>
      </c>
      <c r="N7" s="16" t="s">
        <v>27</v>
      </c>
      <c r="O7" s="16" t="s">
        <v>28</v>
      </c>
      <c r="P7" s="16" t="s">
        <v>46</v>
      </c>
      <c r="Q7" s="16" t="s">
        <v>29</v>
      </c>
      <c r="R7" s="16" t="s">
        <v>30</v>
      </c>
      <c r="S7" s="16" t="s">
        <v>47</v>
      </c>
      <c r="T7" s="16" t="s">
        <v>31</v>
      </c>
      <c r="U7" s="16" t="s">
        <v>32</v>
      </c>
      <c r="V7" s="16" t="s">
        <v>49</v>
      </c>
      <c r="W7" s="16" t="s">
        <v>33</v>
      </c>
      <c r="X7" s="16" t="s">
        <v>34</v>
      </c>
      <c r="Y7" s="16" t="s">
        <v>48</v>
      </c>
    </row>
    <row r="8" spans="1:25" x14ac:dyDescent="0.25">
      <c r="A8" s="15" t="str">
        <f>CONCATENATE(Data!A10,Data!E10,Data!I10)</f>
        <v>**Org**</v>
      </c>
      <c r="B8" s="15" t="str">
        <f>CONCATENATE(Data!D10,Data!H10)</f>
        <v/>
      </c>
      <c r="C8" s="24">
        <f>Data!M10</f>
        <v>41671</v>
      </c>
      <c r="D8" s="17">
        <f>Data!O10</f>
        <v>753</v>
      </c>
      <c r="E8" s="19">
        <f>Data!P10</f>
        <v>8.2052083333333332</v>
      </c>
      <c r="F8" s="20">
        <f>Data!Q10</f>
        <v>75295.59375</v>
      </c>
      <c r="G8" s="18">
        <f>Data!R10</f>
        <v>6425</v>
      </c>
      <c r="H8" s="19" t="e">
        <f>Data!#REF!</f>
        <v>#REF!</v>
      </c>
      <c r="I8" s="18" t="e">
        <f>Data!#REF!</f>
        <v>#REF!</v>
      </c>
      <c r="J8" s="18" t="e">
        <f>Data!#REF!</f>
        <v>#REF!</v>
      </c>
      <c r="K8" s="19" t="e">
        <f>Data!#REF!</f>
        <v>#REF!</v>
      </c>
      <c r="L8" s="17" t="e">
        <f>Data!#REF!</f>
        <v>#REF!</v>
      </c>
      <c r="M8" s="17" t="e">
        <f>Data!#REF!</f>
        <v>#REF!</v>
      </c>
      <c r="N8" s="19" t="e">
        <f>Data!#REF!</f>
        <v>#REF!</v>
      </c>
      <c r="O8" s="17" t="e">
        <f>Data!#REF!</f>
        <v>#REF!</v>
      </c>
      <c r="P8" s="17" t="e">
        <f>Data!#REF!</f>
        <v>#REF!</v>
      </c>
      <c r="Q8" s="19" t="e">
        <f>Data!#REF!</f>
        <v>#REF!</v>
      </c>
      <c r="R8" s="17" t="e">
        <f>Data!#REF!</f>
        <v>#REF!</v>
      </c>
      <c r="S8" s="17" t="e">
        <f>Data!#REF!</f>
        <v>#REF!</v>
      </c>
      <c r="T8" s="19" t="e">
        <f>Data!#REF!</f>
        <v>#REF!</v>
      </c>
      <c r="U8" s="17" t="e">
        <f>Data!#REF!</f>
        <v>#REF!</v>
      </c>
      <c r="V8" s="17" t="e">
        <f>Data!#REF!</f>
        <v>#REF!</v>
      </c>
      <c r="W8" s="19" t="e">
        <f>Data!#REF!</f>
        <v>#REF!</v>
      </c>
      <c r="X8" s="17" t="e">
        <f>Data!#REF!</f>
        <v>#REF!</v>
      </c>
      <c r="Y8" s="17" t="e">
        <f>Data!#REF!</f>
        <v>#REF!</v>
      </c>
    </row>
    <row r="9" spans="1:25" x14ac:dyDescent="0.25">
      <c r="A9" s="15" t="str">
        <f>CONCATENATE(Data!A11,Data!E11,Data!I11)</f>
        <v>**Org**</v>
      </c>
      <c r="B9" s="15" t="str">
        <f>CONCATENATE(Data!D11,Data!H11)</f>
        <v/>
      </c>
      <c r="C9" s="24">
        <f>Data!M11</f>
        <v>41699</v>
      </c>
      <c r="D9" s="17">
        <f>Data!O11</f>
        <v>873</v>
      </c>
      <c r="E9" s="19">
        <f>Data!P11</f>
        <v>23.454479166666665</v>
      </c>
      <c r="F9" s="20">
        <f>Data!Q11</f>
        <v>77969.6015625</v>
      </c>
      <c r="G9" s="18">
        <f>Data!R11</f>
        <v>6625</v>
      </c>
      <c r="H9" s="19" t="e">
        <f>Data!#REF!</f>
        <v>#REF!</v>
      </c>
      <c r="I9" s="18" t="e">
        <f>Data!#REF!</f>
        <v>#REF!</v>
      </c>
      <c r="J9" s="18" t="e">
        <f>Data!#REF!</f>
        <v>#REF!</v>
      </c>
      <c r="K9" s="19" t="e">
        <f>Data!#REF!</f>
        <v>#REF!</v>
      </c>
      <c r="L9" s="17" t="e">
        <f>Data!#REF!</f>
        <v>#REF!</v>
      </c>
      <c r="M9" s="17" t="e">
        <f>Data!#REF!</f>
        <v>#REF!</v>
      </c>
      <c r="N9" s="19" t="e">
        <f>Data!#REF!</f>
        <v>#REF!</v>
      </c>
      <c r="O9" s="17" t="e">
        <f>Data!#REF!</f>
        <v>#REF!</v>
      </c>
      <c r="P9" s="17" t="e">
        <f>Data!#REF!</f>
        <v>#REF!</v>
      </c>
      <c r="Q9" s="19" t="e">
        <f>Data!#REF!</f>
        <v>#REF!</v>
      </c>
      <c r="R9" s="17" t="e">
        <f>Data!#REF!</f>
        <v>#REF!</v>
      </c>
      <c r="S9" s="17" t="e">
        <f>Data!#REF!</f>
        <v>#REF!</v>
      </c>
      <c r="T9" s="19" t="e">
        <f>Data!#REF!</f>
        <v>#REF!</v>
      </c>
      <c r="U9" s="17" t="e">
        <f>Data!#REF!</f>
        <v>#REF!</v>
      </c>
      <c r="V9" s="17" t="e">
        <f>Data!#REF!</f>
        <v>#REF!</v>
      </c>
      <c r="W9" s="19" t="e">
        <f>Data!#REF!</f>
        <v>#REF!</v>
      </c>
      <c r="X9" s="17" t="e">
        <f>Data!#REF!</f>
        <v>#REF!</v>
      </c>
      <c r="Y9" s="17" t="e">
        <f>Data!#REF!</f>
        <v>#REF!</v>
      </c>
    </row>
    <row r="10" spans="1:25" x14ac:dyDescent="0.25">
      <c r="A10" s="15" t="str">
        <f>CONCATENATE(Data!A12,Data!E12,Data!I12)</f>
        <v>**Org**</v>
      </c>
      <c r="B10" s="15" t="str">
        <f>CONCATENATE(Data!D12,Data!H12)</f>
        <v/>
      </c>
      <c r="C10" s="24">
        <f>Data!M12</f>
        <v>41730</v>
      </c>
      <c r="D10" s="17">
        <f>Data!O12</f>
        <v>864</v>
      </c>
      <c r="E10" s="19">
        <f>Data!P12</f>
        <v>9.7817245370370376</v>
      </c>
      <c r="F10" s="20">
        <f>Data!Q12</f>
        <v>84553.3671875</v>
      </c>
      <c r="G10" s="18">
        <f>Data!R12</f>
        <v>6555</v>
      </c>
      <c r="H10" s="19" t="e">
        <f>Data!#REF!</f>
        <v>#REF!</v>
      </c>
      <c r="I10" s="18" t="e">
        <f>Data!#REF!</f>
        <v>#REF!</v>
      </c>
      <c r="J10" s="18" t="e">
        <f>Data!#REF!</f>
        <v>#REF!</v>
      </c>
      <c r="K10" s="19" t="e">
        <f>Data!#REF!</f>
        <v>#REF!</v>
      </c>
      <c r="L10" s="17" t="e">
        <f>Data!#REF!</f>
        <v>#REF!</v>
      </c>
      <c r="M10" s="17" t="e">
        <f>Data!#REF!</f>
        <v>#REF!</v>
      </c>
      <c r="N10" s="19" t="e">
        <f>Data!#REF!</f>
        <v>#REF!</v>
      </c>
      <c r="O10" s="17" t="e">
        <f>Data!#REF!</f>
        <v>#REF!</v>
      </c>
      <c r="P10" s="17" t="e">
        <f>Data!#REF!</f>
        <v>#REF!</v>
      </c>
      <c r="Q10" s="19" t="e">
        <f>Data!#REF!</f>
        <v>#REF!</v>
      </c>
      <c r="R10" s="17" t="e">
        <f>Data!#REF!</f>
        <v>#REF!</v>
      </c>
      <c r="S10" s="17" t="e">
        <f>Data!#REF!</f>
        <v>#REF!</v>
      </c>
      <c r="T10" s="19" t="e">
        <f>Data!#REF!</f>
        <v>#REF!</v>
      </c>
      <c r="U10" s="17" t="e">
        <f>Data!#REF!</f>
        <v>#REF!</v>
      </c>
      <c r="V10" s="17" t="e">
        <f>Data!#REF!</f>
        <v>#REF!</v>
      </c>
      <c r="W10" s="19" t="e">
        <f>Data!#REF!</f>
        <v>#REF!</v>
      </c>
      <c r="X10" s="17" t="e">
        <f>Data!#REF!</f>
        <v>#REF!</v>
      </c>
      <c r="Y10" s="17" t="e">
        <f>Data!#REF!</f>
        <v>#REF!</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5"/>
  <sheetViews>
    <sheetView showGridLines="0" tabSelected="1" workbookViewId="0">
      <selection activeCell="D18" sqref="D18"/>
    </sheetView>
  </sheetViews>
  <sheetFormatPr defaultRowHeight="15" x14ac:dyDescent="0.25"/>
  <cols>
    <col min="1" max="1" width="21" customWidth="1"/>
    <col min="2" max="2" width="14.7109375" bestFit="1" customWidth="1"/>
    <col min="3" max="3" width="12.85546875" bestFit="1" customWidth="1"/>
    <col min="4" max="6" width="17.5703125" customWidth="1"/>
    <col min="7" max="7" width="17.7109375" customWidth="1"/>
    <col min="8" max="8" width="18.140625" customWidth="1"/>
    <col min="9" max="19" width="17.5703125" customWidth="1"/>
    <col min="20" max="20" width="19.5703125" customWidth="1"/>
    <col min="21" max="21" width="17.5703125" customWidth="1"/>
  </cols>
  <sheetData>
    <row r="1" spans="1:6" s="10" customFormat="1" ht="23.25" x14ac:dyDescent="0.35">
      <c r="A1" s="10" t="str">
        <f>Data!B1</f>
        <v>Fleet Name</v>
      </c>
      <c r="F1" s="11">
        <f>Data!B2</f>
        <v>41787.426907187502</v>
      </c>
    </row>
    <row r="2" spans="1:6" s="9" customFormat="1" ht="18.75" x14ac:dyDescent="0.3">
      <c r="A2" s="12" t="s">
        <v>58</v>
      </c>
    </row>
    <row r="3" spans="1:6" s="9" customFormat="1" x14ac:dyDescent="0.25"/>
    <row r="4" spans="1:6" s="9" customFormat="1" x14ac:dyDescent="0.25">
      <c r="A4" s="13" t="s">
        <v>21</v>
      </c>
      <c r="B4" s="14">
        <f>Data!B3</f>
        <v>41671</v>
      </c>
      <c r="C4" s="13"/>
      <c r="D4" s="15"/>
    </row>
    <row r="5" spans="1:6" s="9" customFormat="1" x14ac:dyDescent="0.25">
      <c r="A5" s="13" t="s">
        <v>22</v>
      </c>
      <c r="B5" s="14">
        <f>Data!B4</f>
        <v>41759.999988425923</v>
      </c>
      <c r="C5" s="13"/>
      <c r="D5" s="15"/>
    </row>
    <row r="6" spans="1:6" s="9" customFormat="1" x14ac:dyDescent="0.25"/>
    <row r="7" spans="1:6" ht="30" x14ac:dyDescent="0.25">
      <c r="A7" s="25" t="s">
        <v>62</v>
      </c>
      <c r="B7" s="28" t="s">
        <v>59</v>
      </c>
    </row>
    <row r="8" spans="1:6" x14ac:dyDescent="0.25">
      <c r="A8" s="26">
        <v>41671</v>
      </c>
      <c r="B8" s="27">
        <v>8.2052083333333332</v>
      </c>
    </row>
    <row r="9" spans="1:6" x14ac:dyDescent="0.25">
      <c r="A9" s="26">
        <v>41699</v>
      </c>
      <c r="B9" s="27">
        <v>23.454479166666665</v>
      </c>
    </row>
    <row r="10" spans="1:6" x14ac:dyDescent="0.25">
      <c r="A10" s="26">
        <v>41730</v>
      </c>
      <c r="B10" s="27">
        <v>9.7817245370370376</v>
      </c>
    </row>
    <row r="11" spans="1:6" x14ac:dyDescent="0.25">
      <c r="A11" s="26" t="s">
        <v>5</v>
      </c>
      <c r="B11" s="27">
        <v>41.441412037037033</v>
      </c>
    </row>
    <row r="21" spans="8:8" ht="18.75" x14ac:dyDescent="0.3">
      <c r="H21" s="21"/>
    </row>
    <row r="22" spans="8:8" ht="18.75" x14ac:dyDescent="0.3">
      <c r="H22" s="22"/>
    </row>
    <row r="23" spans="8:8" x14ac:dyDescent="0.25">
      <c r="H23" s="9"/>
    </row>
    <row r="24" spans="8:8" ht="18.75" x14ac:dyDescent="0.3">
      <c r="H24" s="21"/>
    </row>
    <row r="25" spans="8:8" ht="18.75" x14ac:dyDescent="0.3">
      <c r="H25" s="23"/>
    </row>
  </sheetData>
  <pageMargins left="0.7" right="0.7" top="0.75" bottom="0.75" header="0.3" footer="0.3"/>
  <pageSetup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Data</vt:lpstr>
      <vt:lpstr>Report</vt:lpstr>
      <vt:lpstr>Summary</vt:lpstr>
      <vt:lpstr>AllData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dc:creator>
  <cp:lastModifiedBy>Angie Milne</cp:lastModifiedBy>
  <dcterms:created xsi:type="dcterms:W3CDTF">2009-10-09T14:28:57Z</dcterms:created>
  <dcterms:modified xsi:type="dcterms:W3CDTF">2015-09-04T13:59:16Z</dcterms:modified>
</cp:coreProperties>
</file>