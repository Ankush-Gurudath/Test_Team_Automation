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66"/>
  <workbookPr/>
  <mc:AlternateContent xmlns:mc="http://schemas.openxmlformats.org/markup-compatibility/2006">
    <mc:Choice Requires="x15">
      <x15ac:absPath xmlns:x15ac="http://schemas.microsoft.com/office/spreadsheetml/2010/11/ac" url="C:\Users\jasonwidla\Desktop\"/>
    </mc:Choice>
  </mc:AlternateContent>
  <bookViews>
    <workbookView xWindow="0" yWindow="0" windowWidth="23040" windowHeight="8796" firstSheet="2" activeTab="2"/>
  </bookViews>
  <sheets>
    <sheet name="Data" sheetId="1" state="hidden" r:id="rId1"/>
    <sheet name="Report" sheetId="2" state="hidden" r:id="rId2"/>
    <sheet name="Chart" sheetId="3" r:id="rId3"/>
    <sheet name="Summary" sheetId="4" state="hidden" r:id="rId4"/>
    <sheet name="Languages" sheetId="5" state="hidden" r:id="rId5"/>
  </sheets>
  <definedNames>
    <definedName name="AllData">Report!$A$19:$K$24</definedName>
  </definedNames>
  <calcPr calcId="171027"/>
  <pivotCaches>
    <pivotCache cacheId="5" r:id="rId6"/>
  </pivotCaches>
</workbook>
</file>

<file path=xl/calcChain.xml><?xml version="1.0" encoding="utf-8"?>
<calcChain xmlns="http://schemas.openxmlformats.org/spreadsheetml/2006/main">
  <c r="K21" i="2" l="1"/>
  <c r="K22" i="2"/>
  <c r="K23" i="2"/>
  <c r="K24" i="2"/>
  <c r="K20" i="2"/>
  <c r="B1" i="2" l="1"/>
  <c r="A17" i="2" l="1"/>
  <c r="A12" i="2"/>
  <c r="A13" i="2"/>
  <c r="I21" i="2"/>
  <c r="I20" i="2"/>
  <c r="B1" i="4"/>
  <c r="C24" i="2"/>
  <c r="M24" i="2"/>
  <c r="L24" i="2"/>
  <c r="I24" i="2"/>
  <c r="B24" i="2"/>
  <c r="A24" i="2"/>
  <c r="C21" i="2"/>
  <c r="C22" i="2"/>
  <c r="C23" i="2"/>
  <c r="C20" i="2"/>
  <c r="A23" i="2"/>
  <c r="B23" i="2"/>
  <c r="I23" i="2"/>
  <c r="L23" i="2"/>
  <c r="M23" i="2"/>
  <c r="A22" i="2"/>
  <c r="B22" i="2"/>
  <c r="I22" i="2"/>
  <c r="L22" i="2"/>
  <c r="M22" i="2"/>
  <c r="M21" i="2"/>
  <c r="L21" i="2"/>
  <c r="M20" i="2"/>
  <c r="L20" i="2"/>
  <c r="B2" i="2"/>
  <c r="A20" i="2"/>
  <c r="B20" i="2"/>
  <c r="A21" i="2"/>
  <c r="B21" i="2"/>
  <c r="A14" i="2"/>
  <c r="B3" i="4" s="1"/>
  <c r="A15" i="2"/>
  <c r="B4" i="4" s="1"/>
  <c r="B2" i="4" l="1"/>
  <c r="D23" i="2"/>
  <c r="F23" i="2" s="1"/>
  <c r="D21" i="2"/>
  <c r="F21" i="2" s="1"/>
  <c r="D22" i="2"/>
  <c r="F22" i="2" s="1"/>
  <c r="D20" i="2"/>
  <c r="F20" i="2" s="1"/>
  <c r="D24" i="2"/>
  <c r="G24" i="2" s="1"/>
  <c r="G23" i="2" l="1"/>
  <c r="G21" i="2"/>
  <c r="J22" i="2"/>
  <c r="E22" i="2" s="1"/>
  <c r="J23" i="2"/>
  <c r="E23" i="2" s="1"/>
  <c r="J21" i="2"/>
  <c r="E21" i="2" s="1"/>
  <c r="G22" i="2"/>
  <c r="J20" i="2"/>
  <c r="G20" i="2"/>
  <c r="J24" i="2"/>
  <c r="E24" i="2" s="1"/>
  <c r="F24" i="2"/>
  <c r="B4" i="1" l="1"/>
  <c r="E20" i="2"/>
  <c r="H22" i="2"/>
  <c r="H21" i="2"/>
  <c r="H23" i="2"/>
  <c r="B12" i="2"/>
  <c r="H20" i="2"/>
  <c r="H24" i="2"/>
  <c r="B16" i="2"/>
  <c r="B17" i="2"/>
  <c r="B15" i="2"/>
  <c r="B13" i="2"/>
  <c r="B14" i="2"/>
</calcChain>
</file>

<file path=xl/comments1.xml><?xml version="1.0" encoding="utf-8"?>
<comments xmlns="http://schemas.openxmlformats.org/spreadsheetml/2006/main">
  <authors>
    <author>Thomas</author>
  </authors>
  <commentList>
    <comment ref="A1" authorId="0" shapeId="0">
      <text>
        <r>
          <rPr>
            <sz val="10"/>
            <rFont val="Arial"/>
            <family val="2"/>
          </rPr>
          <t>Device.5</t>
        </r>
      </text>
    </comment>
  </commentList>
</comments>
</file>

<file path=xl/sharedStrings.xml><?xml version="1.0" encoding="utf-8"?>
<sst xmlns="http://schemas.openxmlformats.org/spreadsheetml/2006/main" count="380" uniqueCount="290">
  <si>
    <t/>
  </si>
  <si>
    <t>DeviceName</t>
  </si>
  <si>
    <t>DeviceDetailsLocation</t>
  </si>
  <si>
    <t>DeviceId</t>
  </si>
  <si>
    <t>DeviceComment</t>
  </si>
  <si>
    <t>DeviceGroup</t>
  </si>
  <si>
    <t>DeviceDeviceType</t>
  </si>
  <si>
    <t>DeviceProductId</t>
  </si>
  <si>
    <t>DeviceMajor</t>
  </si>
  <si>
    <t>DeviceMinor</t>
  </si>
  <si>
    <t>DeviceLicensePlate</t>
  </si>
  <si>
    <t>DeviceLicenseState</t>
  </si>
  <si>
    <t>DeviceVIN</t>
  </si>
  <si>
    <t>DeviceTimeZoneId</t>
  </si>
  <si>
    <t>DeviceStatusLastTrip</t>
  </si>
  <si>
    <t>DeviceStatusLastGpsRecord</t>
  </si>
  <si>
    <t>Geotab Inc.</t>
  </si>
  <si>
    <t>DeviceDetailsDrivingState</t>
  </si>
  <si>
    <t>Eastern Standard Time</t>
  </si>
  <si>
    <t>1003</t>
  </si>
  <si>
    <t>ABCD1003</t>
  </si>
  <si>
    <t>ON</t>
  </si>
  <si>
    <t>Go2</t>
  </si>
  <si>
    <t>GTAA000003EB</t>
  </si>
  <si>
    <t>Driving</t>
  </si>
  <si>
    <t>1002</t>
  </si>
  <si>
    <t>ABCD1002</t>
  </si>
  <si>
    <t>GTA9000003EA</t>
  </si>
  <si>
    <t>Location.ZoneZoneTypes</t>
  </si>
  <si>
    <t>Customer Zone</t>
  </si>
  <si>
    <t>OK</t>
  </si>
  <si>
    <t>RunDate</t>
  </si>
  <si>
    <t>Location.ZoneExternalReference</t>
  </si>
  <si>
    <t>Template Vehicle 1</t>
  </si>
  <si>
    <t>Template Vehicle 2</t>
  </si>
  <si>
    <t>Template Group 1</t>
  </si>
  <si>
    <t>Template Group 2</t>
  </si>
  <si>
    <t>201 John st., Oakville, ON</t>
  </si>
  <si>
    <t>Mark</t>
  </si>
  <si>
    <t>John</t>
  </si>
  <si>
    <t>CompanyName</t>
  </si>
  <si>
    <t>DistanceUnit</t>
  </si>
  <si>
    <t>km</t>
  </si>
  <si>
    <t>DeviceProgrammingImmobilizeArming</t>
  </si>
  <si>
    <t>DeviceProgrammingSpeedingOn</t>
  </si>
  <si>
    <t>DeviceProgrammingSpeedingOff</t>
  </si>
  <si>
    <t>DeviceProgrammingIdleMinutes</t>
  </si>
  <si>
    <t>DeviceProgrammingRpmValue</t>
  </si>
  <si>
    <t>DeviceProgrammingOdometerOffset</t>
  </si>
  <si>
    <t>DeviceProgrammingEngineHourOffset</t>
  </si>
  <si>
    <t>SendReport</t>
  </si>
  <si>
    <t>LastModifiedUser</t>
  </si>
  <si>
    <t>System</t>
  </si>
  <si>
    <t>DeviceDetailsLastStopLatitude</t>
  </si>
  <si>
    <t>DeviceDetailsLastStopLongitude</t>
  </si>
  <si>
    <t>Template Zone 1: 1081 S Service Rd. West, Oakville, ON</t>
  </si>
  <si>
    <t>No Driver Key Used</t>
  </si>
  <si>
    <t>Go5</t>
  </si>
  <si>
    <t>G55320C87DC4</t>
  </si>
  <si>
    <t>No Group</t>
  </si>
  <si>
    <t>Geotab: Redwood Sq &amp; S Service Rd W, Oakville, ON</t>
  </si>
  <si>
    <t>G57120C8CD56</t>
  </si>
  <si>
    <t>KMHDU4AD1AU991701</t>
  </si>
  <si>
    <t>back of van , on side window</t>
  </si>
  <si>
    <t>Template Vehicle 3</t>
  </si>
  <si>
    <t>Template Vehicle 4</t>
  </si>
  <si>
    <t>CurrentDriver.UserName</t>
  </si>
  <si>
    <t>DeviceActiveFrom</t>
  </si>
  <si>
    <t>DeviceActiveTo</t>
  </si>
  <si>
    <t>Template Vehicle 5</t>
  </si>
  <si>
    <t>Suspend, HOS</t>
  </si>
  <si>
    <t>Terminate</t>
  </si>
  <si>
    <t>Pro, Iridium, UI</t>
  </si>
  <si>
    <t>Base, UI</t>
  </si>
  <si>
    <t>Pro, HOS, Iridium, UI</t>
  </si>
  <si>
    <t>DeviceDetailsDevicePlan</t>
  </si>
  <si>
    <t>DeviceStatusAnalysisTroubleDownloadStatus</t>
  </si>
  <si>
    <t>Device is not downloading data</t>
  </si>
  <si>
    <t>Status</t>
  </si>
  <si>
    <t>Stopped</t>
  </si>
  <si>
    <t>DeviceSerialNumber</t>
  </si>
  <si>
    <t xml:space="preserve"> minutes</t>
  </si>
  <si>
    <t xml:space="preserve"> hour</t>
  </si>
  <si>
    <t>Delayed communication threshold (days)</t>
  </si>
  <si>
    <t>Possible communication issue threshold (days)</t>
  </si>
  <si>
    <t>Not communicating threshold (days)</t>
  </si>
  <si>
    <t>n/a</t>
  </si>
  <si>
    <t xml:space="preserve"> hours</t>
  </si>
  <si>
    <t xml:space="preserve"> day</t>
  </si>
  <si>
    <t xml:space="preserve"> days</t>
  </si>
  <si>
    <t>English</t>
  </si>
  <si>
    <t>French</t>
  </si>
  <si>
    <t>Spanish</t>
  </si>
  <si>
    <t>German</t>
  </si>
  <si>
    <t>Japanese</t>
  </si>
  <si>
    <t>**Vehicle</t>
  </si>
  <si>
    <t>**Group</t>
  </si>
  <si>
    <t>**Last Known Address</t>
  </si>
  <si>
    <t>**Last Communication Date</t>
  </si>
  <si>
    <t>**Days Since Moved</t>
  </si>
  <si>
    <t>**Last Download Value</t>
  </si>
  <si>
    <t>**Serial Number</t>
  </si>
  <si>
    <t>**Status</t>
  </si>
  <si>
    <t>**Map View</t>
  </si>
  <si>
    <t>**Last Trip Record</t>
  </si>
  <si>
    <t>**Last GPS Record</t>
  </si>
  <si>
    <t>**Thresholds</t>
  </si>
  <si>
    <t xml:space="preserve"> </t>
  </si>
  <si>
    <t>**Created</t>
  </si>
  <si>
    <t>**OK</t>
  </si>
  <si>
    <t>**Fleet Watchdog Report</t>
  </si>
  <si>
    <t>**Understanding the report</t>
  </si>
  <si>
    <t>**Use the following legend throughout the report to easily understand issues:</t>
  </si>
  <si>
    <t>**Action needed: None.</t>
  </si>
  <si>
    <t>**Action needed: Verify the last available location of the vehicle was outdoors, clear of obstruction and the device is properly installed in your vehicle.</t>
  </si>
  <si>
    <t>**Action needed: Verify the device is undamaged and properly installed in your vehicle. Refer to the installation guide for instructions on how to perform a visual inspection of the device.</t>
  </si>
  <si>
    <t>**Action needed: Ensure the SIM is active on the cellular network and the device is undamaged and properly installed in your vehicle. If the issue continues, ensure that the vehicle is currently in a known area of cellular coverage (For V4 Devices: Check whether the antenna is loose or damaged).</t>
  </si>
  <si>
    <t>**Not installed</t>
  </si>
  <si>
    <t>**Not active</t>
  </si>
  <si>
    <r>
      <t xml:space="preserve">**Use the </t>
    </r>
    <r>
      <rPr>
        <i/>
        <sz val="10"/>
        <rFont val="Segoe UI"/>
        <family val="2"/>
      </rPr>
      <t>report tab</t>
    </r>
    <r>
      <rPr>
        <sz val="10"/>
        <rFont val="Segoe UI"/>
        <family val="2"/>
      </rPr>
      <t xml:space="preserve"> to see detailed information about your devices such as the exact time of the last trip, address and communication. On the </t>
    </r>
    <r>
      <rPr>
        <i/>
        <sz val="10"/>
        <rFont val="Segoe UI"/>
        <family val="2"/>
      </rPr>
      <t xml:space="preserve">summary tab </t>
    </r>
    <r>
      <rPr>
        <sz val="10"/>
        <rFont val="Segoe UI"/>
        <family val="2"/>
      </rPr>
      <t xml:space="preserve">you will see how many days it has been since the last trip and communication for any devices currently experiencing a communication issue. You can visualize the status of your fleet using the </t>
    </r>
    <r>
      <rPr>
        <i/>
        <sz val="10"/>
        <rFont val="Segoe UI"/>
        <family val="2"/>
      </rPr>
      <t xml:space="preserve">chart tab </t>
    </r>
    <r>
      <rPr>
        <sz val="10"/>
        <rFont val="Segoe UI"/>
        <family val="2"/>
      </rPr>
      <t>to instantly identify current issues.</t>
    </r>
  </si>
  <si>
    <t>**Number of Vehicles in range</t>
  </si>
  <si>
    <t>**Measurements</t>
  </si>
  <si>
    <t>**Movement Interval (hours)</t>
  </si>
  <si>
    <t>**Status categories</t>
  </si>
  <si>
    <t>**Last Download</t>
  </si>
  <si>
    <t>Véhicule</t>
  </si>
  <si>
    <t>Vehículo</t>
  </si>
  <si>
    <t>Fahrzeug</t>
  </si>
  <si>
    <t>車両</t>
  </si>
  <si>
    <t>Groupe</t>
  </si>
  <si>
    <t>Grupo</t>
  </si>
  <si>
    <t>Gruppe</t>
  </si>
  <si>
    <t>グループ</t>
  </si>
  <si>
    <t>Dernière adresse connue</t>
  </si>
  <si>
    <t>Última dirección conocida</t>
  </si>
  <si>
    <t>Letzte bekannte Adresse</t>
  </si>
  <si>
    <t>最後に確認された住所</t>
  </si>
  <si>
    <t>Dernière date de communication</t>
  </si>
  <si>
    <t>Última fecha de comunicación</t>
  </si>
  <si>
    <t>Letztes Kommunikationsdatum</t>
  </si>
  <si>
    <t>最終通信日</t>
  </si>
  <si>
    <t>Jours depuis le déplacement</t>
  </si>
  <si>
    <t>Días desde que se desplazó</t>
  </si>
  <si>
    <t>Tage seit das Fahrzeug bewegt wurde</t>
  </si>
  <si>
    <t>移動後経過日数</t>
  </si>
  <si>
    <t>Dernière valeur téléchargée</t>
  </si>
  <si>
    <t>Último valor descargado</t>
  </si>
  <si>
    <t>Letzter Download-Wert</t>
  </si>
  <si>
    <t>最終のダウンロード値</t>
  </si>
  <si>
    <t>Dernier téléchargement</t>
  </si>
  <si>
    <t>Última descarga</t>
  </si>
  <si>
    <t>Letzter Download</t>
  </si>
  <si>
    <t>最終ダウンロード</t>
  </si>
  <si>
    <t>Numéro de série</t>
  </si>
  <si>
    <t>Número de serie</t>
  </si>
  <si>
    <t>Seriennummer</t>
  </si>
  <si>
    <t>シリアル番号</t>
  </si>
  <si>
    <t>État</t>
  </si>
  <si>
    <t>Estado</t>
  </si>
  <si>
    <t>ステータス</t>
  </si>
  <si>
    <t>Vue de la carte</t>
  </si>
  <si>
    <t>Vista de mapa</t>
  </si>
  <si>
    <t>Kartenansicht</t>
  </si>
  <si>
    <t>マップビュー</t>
  </si>
  <si>
    <t>Dernier registre de trajet</t>
  </si>
  <si>
    <t>Último registro de viaje</t>
  </si>
  <si>
    <t>Letzter Fahrtdatensatz</t>
  </si>
  <si>
    <t>走行の最終記録データ</t>
  </si>
  <si>
    <t>Dernières données GPS</t>
  </si>
  <si>
    <t>Último registro GPS</t>
  </si>
  <si>
    <t>Letzter GPS-Datensatz</t>
  </si>
  <si>
    <t>GPS の最終記録データ</t>
  </si>
  <si>
    <t>Créé</t>
  </si>
  <si>
    <t>Creado</t>
  </si>
  <si>
    <t>Angelegt</t>
  </si>
  <si>
    <t>作成済</t>
  </si>
  <si>
    <t>Mesures</t>
  </si>
  <si>
    <t>Medidas</t>
  </si>
  <si>
    <t>Messungen</t>
  </si>
  <si>
    <t>計測値</t>
  </si>
  <si>
    <t>Intervalle des mouvements (heures)</t>
  </si>
  <si>
    <t>Intervalo de desplazamiento (horas)</t>
  </si>
  <si>
    <t>Bewegungsinterval (Stunden)</t>
  </si>
  <si>
    <t>移動間隔（時間）</t>
  </si>
  <si>
    <t>Nombre de véhicules dans la plage</t>
  </si>
  <si>
    <t>Número de vehículos en rango</t>
  </si>
  <si>
    <t>Anzahl der Fahrzeuge in der Nähe</t>
  </si>
  <si>
    <t>範囲内にある車両台数</t>
  </si>
  <si>
    <t>Catégories d'état</t>
  </si>
  <si>
    <t>Categorías de estado</t>
  </si>
  <si>
    <t>Statuskategorien</t>
  </si>
  <si>
    <t>ステータスカテゴリ</t>
  </si>
  <si>
    <t>Seuils</t>
  </si>
  <si>
    <t>Umbrales</t>
  </si>
  <si>
    <t>Grenzwerte</t>
  </si>
  <si>
    <t>閾値</t>
  </si>
  <si>
    <t>Non installé</t>
  </si>
  <si>
    <t>No instalado</t>
  </si>
  <si>
    <t>Nicht installiert</t>
  </si>
  <si>
    <t>インストール未</t>
  </si>
  <si>
    <t>Non actif</t>
  </si>
  <si>
    <t>Inactivo</t>
  </si>
  <si>
    <t>Nicht aktiv</t>
  </si>
  <si>
    <t>有効になっていません</t>
  </si>
  <si>
    <t>Rapport de surveillance de flotte</t>
  </si>
  <si>
    <t>Reporte de estado de la flota</t>
  </si>
  <si>
    <t>Überwachungsbericht Fuhrpark</t>
  </si>
  <si>
    <t>保有車両ウォッチドッグレポート</t>
  </si>
  <si>
    <t>**This report helps you monitor the health of your telematics devices. Every device is tested on a daily basis to ensure that it is communicating via the cellular network and is accurately recording trips made by drivers and their vehicles.</t>
  </si>
  <si>
    <t>Ce rapport vous permet de surveiller la santé de vos dispositifs télématiques. Chaque appareil est vérifié quotidiennement pour s’assurer qu'il communique par le réseau cellulaire et qu’il enregistre avec précision les déplacements des chauffeurs et de leurs véhicules.</t>
  </si>
  <si>
    <t>Este reporte sirve para monitorear el buen estado de los dispositivos telemáticos. Todo dispositivo se testea a diario para asegurar que se comunica correctamente a través de la red celular y que está registrando con precisión los viajes efectuados por los conductores y sus vehículos.</t>
  </si>
  <si>
    <t>Dieser Bericht hilft Ihnen den Zustand Ihrer Telematikgeräte zu überwachen. Jedes Gerät wird täglich überprüft, um sicherzustellen, dass die Kommunikation über das Mobilfunknetzwerk einwandfrei funktioniert und Fahrten der Fahrer und ihrer Fahrzeuge fehlerfrei aufgezeichnet werden.</t>
  </si>
  <si>
    <t>このレポートは、テレマティクスデバイスの健康状態のモニタリングにお役立ていただけます。毎日ベースで各デバイスをテストし、携帯電話ネットワークを介して通信していること、そして、ドライバーないし車両の走行を正確に記録することを確実にします。</t>
  </si>
  <si>
    <t>Comprendre le rapport</t>
  </si>
  <si>
    <t>Entender el reporte</t>
  </si>
  <si>
    <t>Den Bericht verstehen</t>
  </si>
  <si>
    <t>レポートを理解する</t>
  </si>
  <si>
    <t>Utilisez l'onglet Rapport pour voir des informations détaillées sur vos dispositifs, comme l'heure exacte du dernier trajet, l'adresse et la communication. Sous l'onglet Sommaire vous verrez combien de jours se sont écoulés depuis le dernier trajet et la dernière communication pour tous les dispositifs qui ont des difficultés de communication. Vous pouvez visualiser l'état de votre flotte en utilisant l'onglet du tableau pour instantanément identifier les problèmes en cours.</t>
  </si>
  <si>
    <t>En la pestaña reportes encontrará información más detallada sobre sus dispositivos, como la hora exacta del último viaje, la dirección y la comunicación. En la pestaña de resumen, verá cuántos días han pasado desde el último viaje y comunicación desde cualquier dispositivo que ahora mismo tenga cualquier problema de comunicación. Se puede ver el estado de la flota con la pestaña de gráficos para identificar inmediatamente los problemas actuales.</t>
  </si>
  <si>
    <t>Setzen Sie diesen Bericht ein, um detaillierte Informationen über Ihre Geräte wie zum Beispiel die präzise Zeit der letzten Fahrt, die Adresse und stattgefundene Kommunikation zu erhalten. Unter dem Übersichtsreiter wird angezeigt wieviele Tage seit der letzten Fahrt vergangen sind sowie Kommunikationen für Geräte bei denen zur Zeit Verbindungsprobleme bestehen. Der Status Ihres Fuhrparks lässt sich mit Hilfe des Grafikreiters visualisieren, um aktuelle Probleme direkt identifizieren zu können.</t>
  </si>
  <si>
    <t>レポートのタブでは、最終走行時間や住所、通信状況など、デバイスの情報を詳細に確認できます。また、サマリーのタブでは、通信に問題のあるデバイスについて、最終走行および通信から何日経過したかを確認できます。保有者両軍のステータスについても、チャートのタブでグラフを確認すれば、現存する問題点をかんたんに把握することができます。</t>
  </si>
  <si>
    <t>Consultez cette légende pour tout le rapport afin de facilement comprendre les problèmes :</t>
  </si>
  <si>
    <t>Utilice la siguiente leyenda en todo el reporte para identificar el problema con facilidad:</t>
  </si>
  <si>
    <t>Beziehen Sie sich auf die folgende Legende, um Probleme leicht zu verstehen:</t>
  </si>
  <si>
    <t>レポートで使用される次の凡例を参考にすると、問題点が何かをかんたんに把握できます。</t>
  </si>
  <si>
    <t>Mesures à prendre : aucune.</t>
  </si>
  <si>
    <t>Qué se debe hacer: nada.</t>
  </si>
  <si>
    <t>Aktion erforderlich: keine</t>
  </si>
  <si>
    <t>必要なアクション： なし。</t>
  </si>
  <si>
    <t>Mesures à prendre : vérifier si le dernier emplacement disponible du véhicule était à l’extérieur, libre de toute obstruction et si le dispositif est correctement installé à bord du véhicule.</t>
  </si>
  <si>
    <t>Qué se debe hacer: comprobar que la última ubicación disponible del vehículo era en el exterior, sin trabas, y que el dispositivo está correctamente instalado en el vehículo.</t>
  </si>
  <si>
    <t>Aktion erforderlich: Verifizieren Sie den letzten bekannten Standort, an dem sich das Fahrzeug ohne Blockierung der Mobilfunkverbindung im Freien befand und dass das Gerät ordnungsgemäß in dem Fahrzeug installiert wurde.</t>
  </si>
  <si>
    <t>必要なアクション： デバイスの最終の現在地が屋外で、かつ通信を妨害するものがないこと、そして、デバイスが車両に確実に取り付けられているかを確認してください。</t>
  </si>
  <si>
    <t>Mesures à prendre : vérifier si le dispositif est en bon état et bien installé à bord du véhicule. Consulter le guide d'installation pour obtenir des instructions sur l’inspection visuelle du dispositif.</t>
  </si>
  <si>
    <t>Qué se debe hacer: comprobar que el dispositivo no está dañado y sí está correctamente instalado en el vehículo. Consulte en la guía de instalación las instrucciones sobre cómo llevar a cabo una inspección visual del dispositivo.</t>
  </si>
  <si>
    <t>Aktion erforderlich: Verifizieren Sie, dass das Gerät ordnungsgemäß in dem Fahrzeug installiert wurde und unbeschädigt ist. Der Installationsleitfaden bietet Hilfestellungen zur Durchführung einer Augenscheinprüfung des Geräts.</t>
  </si>
  <si>
    <t>必要なアクション： デバイスに破損がなく、車両に確実に取り付けられていることを確認してください。取り付けおよびインストールに関するガイド資料を参照し、デバイスの外観検査の方法を確認してください。</t>
  </si>
  <si>
    <t>Mesures à prendre : vérifier si la carte SIM est active sur le réseau cellulaire et si le dispositif est en bon état et bien installé à bord du véhicule. Si le problème persiste, veiller à ce que le véhicule soit dans une zone connue de couverture cellulaire (pour les appareils V4 : vérifier si l'antenne est détachée ou endommagée).</t>
  </si>
  <si>
    <t>Qué se debe hacer: comprobar que la SIM está activa en la red celular, el dispositivo no está dañado y sí está correctamente instalado en el vehículo. Si el problema persiste, asegúrese de que el vehículo está en un área de cobertura celular conocida (para dispositivos V4: compruebe si la antena se ha soltado o está dañada).</t>
  </si>
  <si>
    <t>Aktion erforderlich: Stellen Sie sicher, dass die SIM-Karte für das entsprechende Mobilfunknetzwerk aktiviert wurde, dass das Gerät ordnungsgemäß in dem Fahrzeug installiert wurde und unbeschädigt ist. Sollte das Problem andauern, stellen Sie sicher, dass sich das Fahrzeug in einem Gebiet mit definitiver Mobilfunkabdeckung befindet (für Vers. 4-Geräte: prüfen Sie, ob die Antenne möglicherweise lose oder beschädigt ist).</t>
  </si>
  <si>
    <t>必要なアクション： 携帯電話ネットワーク上で SIM が有効になっていること、そして、デバイスに破損がなく車両に確実に取り付けられていることを確認してください。問題が解決しない場合、車両が確実な携帯ネットワーク圏内にあることを確認してください（V4 デバイスの場合、アンテナが緩んでいたり破損がないかを確認してください）。</t>
  </si>
  <si>
    <t>**Device has not communicated yet.</t>
  </si>
  <si>
    <t>Le dispositif n'a pas encore communiqué.</t>
  </si>
  <si>
    <t>El dispositivo no se ha comunicado todavía.</t>
  </si>
  <si>
    <t>Gerät hat bisher noch nicht kommuniziert</t>
  </si>
  <si>
    <t>デバイスとの通信がまだ行われていません。</t>
  </si>
  <si>
    <t>**Action needed: Install device.</t>
  </si>
  <si>
    <t>Mesures à prendre: installer le dispositif.</t>
  </si>
  <si>
    <t>Qué se debe hacer: instalar el dispositivo.</t>
  </si>
  <si>
    <t>Erforderliche Aktion: Gerät installieren</t>
  </si>
  <si>
    <t>必要なアクション: デバイスを取り付け/インストールしてください。</t>
  </si>
  <si>
    <t>**Device communicated within the last 5 minutes.</t>
  </si>
  <si>
    <t>Gerät hat während der letzten 5 Minuten erfolgreich kommuniziert</t>
  </si>
  <si>
    <t>**Device has been offline for 5 - 30 minutes</t>
  </si>
  <si>
    <t>El dispositivo ha estado desconectado durante 5 - 30 minutos</t>
  </si>
  <si>
    <t>Gerät ist seit 5 - 30 Minuten offline</t>
  </si>
  <si>
    <t>Dispositif déconnecté depuis 5 à 30 minutes</t>
  </si>
  <si>
    <t>**Device has been offline for 30 - 60 minutes</t>
  </si>
  <si>
    <t>Dispositif déconnecté depuis 30 à 60 minutes</t>
  </si>
  <si>
    <t>Gerät ist seit 30 - 60 Minuten offline</t>
  </si>
  <si>
    <t>**Device has been offline for 60+ minutes</t>
  </si>
  <si>
    <t>Dispositif déconnecté depuis 60+ minutes</t>
  </si>
  <si>
    <t>Gerät ist seit mehr als 60 Minuten offline</t>
  </si>
  <si>
    <t>**Offline for 5 - 30 minutes</t>
  </si>
  <si>
    <t>**Offline for 30 - 60 minutes</t>
  </si>
  <si>
    <t>**Offline for 60+ minutes</t>
  </si>
  <si>
    <t>Desconectado durante 5 - 30 minutos</t>
  </si>
  <si>
    <t>Desconectado durante 30 - 60 minutos</t>
  </si>
  <si>
    <t>Desconectado durante más de 60 minutos</t>
  </si>
  <si>
    <t>**Time Since Communicated</t>
  </si>
  <si>
    <t>伝えてからの時間</t>
  </si>
  <si>
    <t>Zeit seit letzter Kommunikation</t>
  </si>
  <si>
    <t>Tiempo transcurrido desde la comunicación</t>
  </si>
  <si>
    <t>Le temps écoulé depuis la communication</t>
  </si>
  <si>
    <t>Hors connexion pendant 5 à 30 minutes</t>
  </si>
  <si>
    <t>5-30 Minuten offline</t>
  </si>
  <si>
    <t>5~30 分オフライン</t>
  </si>
  <si>
    <t>30~60 分オフライン</t>
  </si>
  <si>
    <t>Hors connexion pendant 30 à 60 minutes</t>
  </si>
  <si>
    <t>30-60 Minuten offline</t>
  </si>
  <si>
    <t>Mehr als 60 Minuten offline</t>
  </si>
  <si>
    <t>Hors connexion pendant 60+ minutes</t>
  </si>
  <si>
    <t>60 分以上オフライン</t>
  </si>
  <si>
    <t>過去 5 分以内に通信が行われたデバイス</t>
  </si>
  <si>
    <t>5~30 分間オフラインのデバイス</t>
  </si>
  <si>
    <t>60~30 分間オフラインのデバイス</t>
  </si>
  <si>
    <t>Se comunicó con el dispositivo en los últimos 5 días</t>
  </si>
  <si>
    <t>El dispositivo ha estado desconectado durante 30 - 60 minutos</t>
  </si>
  <si>
    <t>El dispositivo ha estado desconectado durante más de 60 minutos</t>
  </si>
  <si>
    <t>Le dispositif a communiqué au cours 5 dernières minutes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</si>
</sst>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dd/mm/yyyy\ h:mm:ss\ AM/PM"/>
    <numFmt numFmtId="166" formatCode="0;\-0;;@"/>
    <numFmt numFmtId="167" formatCode="mmm\ dd\,\ yyyy"/>
    <numFmt numFmtId="168" formatCode="mm/dd/yyyy\ h:mm:ss\ AM/PM"/>
    <numFmt numFmtId="169" formatCode="mmm\ dd\,\ yyyy\ h:mm:ss\ AM/PM"/>
    <numFmt numFmtId="170" formatCode="dd/mm/yyyy\ h:mm:ss"/>
    <numFmt numFmtId="171" formatCode="0.0"/>
    <numFmt numFmtId="172" formatCode="0.0000"/>
  </numFmts>
  <fonts count="31" x14ac:knownFonts="1">
    <font>
      <sz val="10"/>
      <name val="Arial"/>
      <family val="2"/>
    </font>
    <font>
      <b/>
      <sz val="7"/>
      <color indexed="8"/>
      <name val="Tahoma"/>
      <family val="2"/>
    </font>
    <font>
      <sz val="10"/>
      <name val="Arial"/>
      <family val="2"/>
    </font>
    <font>
      <sz val="8"/>
      <color indexed="8"/>
      <name val="Tahoma"/>
      <family val="2"/>
    </font>
    <font>
      <sz val="8"/>
      <color indexed="8"/>
      <name val="Tahoma"/>
      <family val="2"/>
    </font>
    <font>
      <b/>
      <sz val="10"/>
      <name val="Segoe UI"/>
      <family val="2"/>
    </font>
    <font>
      <b/>
      <sz val="11"/>
      <name val="Segoe UI"/>
      <family val="2"/>
    </font>
    <font>
      <sz val="11"/>
      <color theme="1"/>
      <name val="Calibri"/>
      <family val="2"/>
      <scheme val="minor"/>
    </font>
    <font>
      <sz val="11"/>
      <color theme="0"/>
      <name val="Calibri"/>
      <family val="2"/>
      <scheme val="minor"/>
    </font>
    <font>
      <b/>
      <sz val="18"/>
      <color theme="1"/>
      <name val="Calibri"/>
      <family val="2"/>
      <scheme val="minor"/>
    </font>
    <font>
      <u/>
      <sz val="10"/>
      <color theme="10"/>
      <name val="Arial"/>
      <family val="2"/>
    </font>
    <font>
      <sz val="11"/>
      <color theme="3"/>
      <name val="Calibri"/>
      <family val="2"/>
      <scheme val="minor"/>
    </font>
    <font>
      <b/>
      <sz val="11"/>
      <color theme="1"/>
      <name val="Calibri"/>
      <family val="2"/>
    </font>
    <font>
      <b/>
      <sz val="11"/>
      <color theme="1"/>
      <name val="Calibri"/>
      <family val="2"/>
      <scheme val="minor"/>
    </font>
    <font>
      <b/>
      <sz val="14"/>
      <color theme="1"/>
      <name val="Calibri"/>
      <family val="2"/>
    </font>
    <font>
      <b/>
      <sz val="8"/>
      <color theme="1"/>
      <name val="Tahoma"/>
      <family val="2"/>
    </font>
    <font>
      <sz val="11"/>
      <color theme="3"/>
      <name val="Segoe UI"/>
      <family val="2"/>
    </font>
    <font>
      <sz val="11"/>
      <color theme="0" tint="-0.34998626667073579"/>
      <name val="Segoe UI"/>
      <family val="2"/>
    </font>
    <font>
      <sz val="12"/>
      <color theme="0" tint="-0.34998626667073579"/>
      <name val="Segoe UI"/>
      <family val="2"/>
    </font>
    <font>
      <sz val="11"/>
      <color theme="1"/>
      <name val="Segoe UI"/>
      <family val="2"/>
    </font>
    <font>
      <sz val="11"/>
      <color theme="5"/>
      <name val="Segoe UI"/>
      <family val="2"/>
    </font>
    <font>
      <sz val="11"/>
      <color rgb="FF00B050"/>
      <name val="Segoe UI"/>
      <family val="2"/>
    </font>
    <font>
      <sz val="11"/>
      <color theme="1" tint="0.499984740745262"/>
      <name val="Segoe UI"/>
      <family val="2"/>
    </font>
    <font>
      <sz val="11"/>
      <color rgb="FFFFCC00"/>
      <name val="Segoe UI"/>
      <family val="2"/>
    </font>
    <font>
      <sz val="11"/>
      <color theme="7"/>
      <name val="Segoe UI"/>
      <family val="2"/>
    </font>
    <font>
      <sz val="11"/>
      <color rgb="FF9C0006"/>
      <name val="Segoe UI"/>
      <family val="2"/>
    </font>
    <font>
      <sz val="11"/>
      <color rgb="FF99CC00"/>
      <name val="Segoe UI"/>
      <family val="2"/>
    </font>
    <font>
      <i/>
      <sz val="10"/>
      <name val="Segoe UI"/>
      <family val="2"/>
    </font>
    <font>
      <sz val="10"/>
      <name val="Segoe UI"/>
      <family val="2"/>
    </font>
    <font>
      <b/>
      <sz val="10"/>
      <name val="Arial"/>
      <family val="2"/>
    </font>
    <font>
      <sz val="10"/>
      <name val="Segoe UI"/>
    </font>
  </fonts>
  <fills count="1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11"/>
      </patternFill>
    </fill>
    <fill>
      <patternFill patternType="solid">
        <fgColor indexed="36"/>
      </patternFill>
    </fill>
    <fill>
      <patternFill patternType="solid">
        <fgColor indexed="52"/>
      </patternFill>
    </fill>
    <fill>
      <patternFill patternType="solid">
        <fgColor indexed="22"/>
        <bgColor indexed="64"/>
      </patternFill>
    </fill>
    <fill>
      <patternFill patternType="solid">
        <fgColor theme="0"/>
        <bgColor indexed="64"/>
      </patternFill>
    </fill>
  </fills>
  <borders count="2">
    <border>
      <left/>
      <right/>
      <top/>
      <bottom/>
      <diagonal/>
    </border>
    <border>
      <left/>
      <right/>
      <top/>
      <bottom style="medium">
        <color indexed="8"/>
      </bottom>
      <diagonal/>
    </border>
  </borders>
  <cellStyleXfs count="20">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43" fontId="2" fillId="0" borderId="0" applyFont="0" applyFill="0" applyBorder="0" applyAlignment="0" applyProtection="0"/>
    <xf numFmtId="41"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0" fontId="9" fillId="10" borderId="0" applyNumberFormat="0"/>
    <xf numFmtId="0" fontId="10" fillId="0" borderId="0" applyNumberFormat="0" applyFill="0" applyBorder="0" applyAlignment="0" applyProtection="0"/>
    <xf numFmtId="0" fontId="11" fillId="0" borderId="0" applyNumberFormat="0" applyAlignment="0"/>
    <xf numFmtId="0" fontId="12" fillId="10" borderId="0" applyNumberFormat="0"/>
    <xf numFmtId="167" fontId="7" fillId="10" borderId="0"/>
    <xf numFmtId="0" fontId="13" fillId="0" borderId="0" applyNumberFormat="0"/>
    <xf numFmtId="0" fontId="14" fillId="0" borderId="0" applyNumberFormat="0"/>
  </cellStyleXfs>
  <cellXfs count="54">
    <xf numFmtId="0" fontId="0" fillId="0" borderId="0" xfId="0"/>
    <xf numFmtId="0" fontId="1" fillId="9" borderId="1" xfId="0" applyFont="1" applyFill="1" applyBorder="1" applyAlignment="1">
      <alignment horizontal="center" wrapText="1"/>
    </xf>
    <xf numFmtId="0" fontId="3" fillId="0" borderId="0" xfId="0" applyFont="1" applyAlignment="1">
      <alignment horizontal="left"/>
    </xf>
    <xf numFmtId="164" fontId="3" fillId="0" borderId="0" xfId="0" applyNumberFormat="1" applyFont="1" applyAlignment="1">
      <alignment horizontal="left"/>
    </xf>
    <xf numFmtId="0" fontId="15" fillId="0" borderId="0" xfId="0" applyFont="1"/>
    <xf numFmtId="0" fontId="4" fillId="0" borderId="0" xfId="0" applyFont="1" applyAlignment="1">
      <alignment horizontal="left"/>
    </xf>
    <xf numFmtId="164" fontId="4" fillId="0" borderId="0" xfId="0" applyNumberFormat="1" applyFont="1" applyAlignment="1">
      <alignment horizontal="left"/>
    </xf>
    <xf numFmtId="170" fontId="3" fillId="0" borderId="0" xfId="0" applyNumberFormat="1" applyFont="1" applyAlignment="1">
      <alignment horizontal="left"/>
    </xf>
    <xf numFmtId="0" fontId="16" fillId="0" borderId="0" xfId="15" applyFont="1"/>
    <xf numFmtId="167" fontId="16" fillId="0" borderId="0" xfId="15" applyNumberFormat="1" applyFont="1" applyAlignment="1">
      <alignment horizontal="left"/>
    </xf>
    <xf numFmtId="0" fontId="16" fillId="0" borderId="0" xfId="15" applyFont="1" applyAlignment="1">
      <alignment horizontal="left"/>
    </xf>
    <xf numFmtId="169" fontId="16" fillId="0" borderId="0" xfId="15" applyNumberFormat="1" applyFont="1" applyAlignment="1">
      <alignment horizontal="left"/>
    </xf>
    <xf numFmtId="168" fontId="16" fillId="0" borderId="0" xfId="15" applyNumberFormat="1" applyFont="1"/>
    <xf numFmtId="0" fontId="17" fillId="0" borderId="0" xfId="15" applyFont="1" applyAlignment="1">
      <alignment horizontal="right"/>
    </xf>
    <xf numFmtId="0" fontId="18" fillId="0" borderId="0" xfId="15" applyFont="1" applyAlignment="1">
      <alignment vertical="center" wrapText="1"/>
    </xf>
    <xf numFmtId="0" fontId="5" fillId="0" borderId="0" xfId="0" applyFont="1"/>
    <xf numFmtId="0" fontId="19" fillId="0" borderId="0" xfId="0" applyFont="1"/>
    <xf numFmtId="167" fontId="19" fillId="0" borderId="0" xfId="0" applyNumberFormat="1" applyFont="1" applyAlignment="1">
      <alignment horizontal="left"/>
    </xf>
    <xf numFmtId="168" fontId="19" fillId="0" borderId="0" xfId="0" applyNumberFormat="1" applyFont="1"/>
    <xf numFmtId="0" fontId="20" fillId="0" borderId="0" xfId="15" applyFont="1"/>
    <xf numFmtId="0" fontId="18" fillId="0" borderId="0" xfId="15" applyFont="1" applyAlignment="1">
      <alignment horizontal="left" vertical="center" wrapText="1"/>
    </xf>
    <xf numFmtId="0" fontId="18" fillId="0" borderId="0" xfId="15" applyFont="1" applyAlignment="1">
      <alignment wrapText="1"/>
    </xf>
    <xf numFmtId="0" fontId="16" fillId="0" borderId="0" xfId="15" applyFont="1" applyAlignment="1">
      <alignment horizontal="left" wrapText="1"/>
    </xf>
    <xf numFmtId="166" fontId="16" fillId="0" borderId="0" xfId="15" applyNumberFormat="1" applyFont="1" applyAlignment="1">
      <alignment horizontal="left" wrapText="1"/>
    </xf>
    <xf numFmtId="167" fontId="16" fillId="0" borderId="0" xfId="15" applyNumberFormat="1" applyFont="1" applyAlignment="1">
      <alignment horizontal="left"/>
    </xf>
    <xf numFmtId="1" fontId="16" fillId="0" borderId="0" xfId="15" applyNumberFormat="1" applyFont="1" applyAlignment="1">
      <alignment horizontal="left"/>
    </xf>
    <xf numFmtId="0" fontId="16" fillId="0" borderId="0" xfId="15" applyNumberFormat="1" applyFont="1" applyAlignment="1">
      <alignment horizontal="left"/>
    </xf>
    <xf numFmtId="0" fontId="6" fillId="0" borderId="0" xfId="15" applyFont="1" applyFill="1" applyAlignment="1">
      <alignment horizontal="right"/>
    </xf>
    <xf numFmtId="0" fontId="21" fillId="0" borderId="0" xfId="15" applyFont="1" applyFill="1" applyAlignment="1">
      <alignment horizontal="right"/>
    </xf>
    <xf numFmtId="0" fontId="16" fillId="0" borderId="0" xfId="15" applyFont="1" applyFill="1" applyAlignment="1">
      <alignment horizontal="right"/>
    </xf>
    <xf numFmtId="0" fontId="22" fillId="0" borderId="0" xfId="15" applyFont="1" applyFill="1" applyAlignment="1">
      <alignment horizontal="right"/>
    </xf>
    <xf numFmtId="0" fontId="6" fillId="0" borderId="0" xfId="15" applyFont="1" applyFill="1" applyAlignment="1">
      <alignment horizontal="center"/>
    </xf>
    <xf numFmtId="0" fontId="21" fillId="0" borderId="0" xfId="15" applyFont="1" applyFill="1" applyAlignment="1">
      <alignment horizontal="center"/>
    </xf>
    <xf numFmtId="171" fontId="17" fillId="0" borderId="0" xfId="15" applyNumberFormat="1" applyFont="1" applyFill="1" applyAlignment="1">
      <alignment horizontal="center"/>
    </xf>
    <xf numFmtId="1" fontId="16" fillId="0" borderId="0" xfId="15" applyNumberFormat="1" applyFont="1" applyAlignment="1"/>
    <xf numFmtId="0" fontId="16" fillId="0" borderId="0" xfId="15" applyFont="1" applyAlignment="1"/>
    <xf numFmtId="171" fontId="16" fillId="0" borderId="0" xfId="15" applyNumberFormat="1" applyFont="1" applyFill="1" applyAlignment="1">
      <alignment horizontal="left"/>
    </xf>
    <xf numFmtId="1" fontId="16" fillId="0" borderId="0" xfId="15" applyNumberFormat="1" applyFont="1" applyFill="1" applyAlignment="1">
      <alignment horizontal="left"/>
    </xf>
    <xf numFmtId="2" fontId="16" fillId="0" borderId="0" xfId="15" applyNumberFormat="1" applyFont="1" applyAlignment="1">
      <alignment horizontal="left"/>
    </xf>
    <xf numFmtId="167" fontId="16" fillId="0" borderId="0" xfId="15" applyNumberFormat="1" applyFont="1" applyAlignment="1">
      <alignment horizontal="left"/>
    </xf>
    <xf numFmtId="0" fontId="26" fillId="0" borderId="0" xfId="15" applyFont="1" applyFill="1" applyAlignment="1">
      <alignment horizontal="right"/>
    </xf>
    <xf numFmtId="0" fontId="26" fillId="0" borderId="0" xfId="15" applyFont="1" applyFill="1" applyAlignment="1">
      <alignment horizontal="center"/>
    </xf>
    <xf numFmtId="0" fontId="0" fillId="0" borderId="0" xfId="0" applyAlignment="1">
      <alignment wrapText="1"/>
    </xf>
    <xf numFmtId="0" fontId="0" fillId="0" borderId="0" xfId="0" applyFont="1" applyAlignment="1">
      <alignment wrapText="1"/>
    </xf>
    <xf numFmtId="0" fontId="29" fillId="0" borderId="0" xfId="0" applyFont="1" applyAlignment="1">
      <alignment wrapText="1"/>
    </xf>
    <xf numFmtId="0" fontId="29" fillId="0" borderId="0" xfId="0" applyFont="1"/>
    <xf numFmtId="0" fontId="10" fillId="0" borderId="0" xfId="14"/>
    <xf numFmtId="172" fontId="24" fillId="0" borderId="0" xfId="15" applyNumberFormat="1" applyFont="1" applyFill="1" applyAlignment="1">
      <alignment horizontal="center"/>
    </xf>
    <xf numFmtId="172" fontId="23" fillId="0" borderId="0" xfId="15" applyNumberFormat="1" applyFont="1" applyFill="1" applyAlignment="1">
      <alignment horizontal="center"/>
    </xf>
    <xf numFmtId="172" fontId="25" fillId="0" borderId="0" xfId="15" applyNumberFormat="1" applyFont="1" applyFill="1" applyAlignment="1">
      <alignment horizontal="center"/>
    </xf>
    <xf numFmtId="0" fontId="30" fillId="0" borderId="0" xfId="0" applyFont="1"/>
    <xf numFmtId="0" fontId="30" fillId="0" borderId="0" xfId="0" pivotButton="1" applyFont="1"/>
    <xf numFmtId="167" fontId="16" fillId="0" borderId="0" xfId="15" applyNumberFormat="1" applyFont="1" applyAlignment="1">
      <alignment horizontal="left"/>
    </xf>
    <xf numFmtId="1" fontId="16" fillId="0" borderId="0" xfId="15" applyNumberFormat="1" applyFont="1" applyAlignment="1">
      <alignment horizontal="left"/>
    </xf>
  </cellXfs>
  <cellStyles count="20">
    <cellStyle name="20% - Accent1" xfId="1" builtinId="30" customBuiltin="1"/>
    <cellStyle name="20% - Accent2" xfId="2" builtinId="34" customBuiltin="1"/>
    <cellStyle name="20% - Accent3" xfId="3" builtinId="38" customBuiltin="1"/>
    <cellStyle name="20% - Accent4" xfId="4" builtinId="42" customBuiltin="1"/>
    <cellStyle name="40% - Accent3" xfId="5" builtinId="39" customBuiltin="1"/>
    <cellStyle name="60% - Accent3" xfId="6" builtinId="40" customBuiltin="1"/>
    <cellStyle name="60% - Accent4" xfId="7" builtinId="44" customBuiltin="1"/>
    <cellStyle name="60% - Accent6" xfId="8" builtinId="52" customBuiltin="1"/>
    <cellStyle name="Comma" xfId="9" builtinId="3" customBuiltin="1"/>
    <cellStyle name="Comma [0]" xfId="10" builtinId="6" customBuiltin="1"/>
    <cellStyle name="Currency" xfId="11" builtinId="4" customBuiltin="1"/>
    <cellStyle name="Currency [0]" xfId="12" builtinId="7" customBuiltin="1"/>
    <cellStyle name="Heading" xfId="13"/>
    <cellStyle name="Hyperlink" xfId="14" builtinId="8"/>
    <cellStyle name="Normal" xfId="0" builtinId="0" customBuiltin="1"/>
    <cellStyle name="Report Body" xfId="15"/>
    <cellStyle name="Report Column Header" xfId="16"/>
    <cellStyle name="Report Creation DateTime" xfId="17"/>
    <cellStyle name="Report Field Name" xfId="18"/>
    <cellStyle name="Report Name" xfId="19"/>
  </cellStyles>
  <dxfs count="41">
    <dxf>
      <font>
        <color rgb="FF9C0006"/>
      </font>
    </dxf>
    <dxf>
      <font>
        <color rgb="FF006100"/>
      </font>
    </dxf>
    <dxf>
      <font>
        <color rgb="FFFFCC00"/>
      </font>
    </dxf>
    <dxf>
      <font>
        <color theme="7"/>
      </font>
    </dxf>
    <dxf>
      <font>
        <color rgb="FF99CC00"/>
      </font>
    </dxf>
    <dxf>
      <font>
        <b val="0"/>
        <i val="0"/>
        <color rgb="FF99CC00"/>
      </font>
    </dxf>
    <dxf>
      <font>
        <color rgb="FF006100"/>
      </font>
      <fill>
        <patternFill patternType="none">
          <bgColor indexed="65"/>
        </patternFill>
      </fill>
    </dxf>
    <dxf>
      <font>
        <color rgb="FF9C0006"/>
      </font>
      <fill>
        <patternFill patternType="none">
          <bgColor indexed="65"/>
        </patternFill>
      </fill>
    </dxf>
    <dxf>
      <font>
        <b val="0"/>
        <i val="0"/>
        <u val="none"/>
        <color rgb="FFFFCC00"/>
      </font>
      <numFmt numFmtId="0" formatCode="General"/>
    </dxf>
    <dxf>
      <font>
        <color theme="7"/>
      </font>
    </dxf>
    <dxf>
      <font>
        <color theme="0" tint="-0.34998626667073579"/>
      </font>
    </dxf>
    <dxf>
      <font>
        <color rgb="FF006100"/>
      </font>
      <fill>
        <patternFill patternType="none">
          <bgColor indexed="65"/>
        </patternFill>
      </fill>
    </dxf>
    <dxf>
      <font>
        <color rgb="FF9C0006"/>
      </font>
      <fill>
        <patternFill patternType="none">
          <bgColor indexed="65"/>
        </patternFill>
      </fill>
    </dxf>
    <dxf>
      <font>
        <b val="0"/>
        <i val="0"/>
        <u val="none"/>
        <color rgb="FFFFCC00"/>
      </font>
      <numFmt numFmtId="0" formatCode="General"/>
    </dxf>
    <dxf>
      <font>
        <color theme="7"/>
      </font>
    </dxf>
    <dxf>
      <font>
        <color theme="0" tint="-0.34998626667073579"/>
      </font>
    </dxf>
    <dxf>
      <font>
        <color rgb="FF006100"/>
      </font>
      <fill>
        <patternFill patternType="none">
          <bgColor indexed="65"/>
        </patternFill>
      </fill>
    </dxf>
    <dxf>
      <font>
        <color rgb="FF9C0006"/>
      </font>
      <fill>
        <patternFill patternType="none">
          <bgColor indexed="65"/>
        </patternFill>
      </fill>
    </dxf>
    <dxf>
      <font>
        <b val="0"/>
        <i val="0"/>
        <u val="none"/>
        <color rgb="FFFFCC00"/>
      </font>
      <numFmt numFmtId="0" formatCode="General"/>
    </dxf>
    <dxf>
      <font>
        <color theme="7"/>
      </font>
    </dxf>
    <dxf>
      <font>
        <color theme="0" tint="-0.34998626667073579"/>
      </font>
    </dxf>
    <dxf>
      <font>
        <color rgb="FF006100"/>
      </font>
      <fill>
        <patternFill patternType="none">
          <bgColor indexed="65"/>
        </patternFill>
      </fill>
    </dxf>
    <dxf>
      <font>
        <color rgb="FF9C0006"/>
      </font>
      <fill>
        <patternFill patternType="none">
          <bgColor indexed="65"/>
        </patternFill>
      </fill>
    </dxf>
    <dxf>
      <font>
        <b val="0"/>
        <i val="0"/>
        <u val="none"/>
        <color rgb="FFFFCC00"/>
      </font>
      <numFmt numFmtId="0" formatCode="General"/>
    </dxf>
    <dxf>
      <font>
        <color theme="7"/>
      </font>
    </dxf>
    <dxf>
      <font>
        <color theme="0" tint="-0.34998626667073579"/>
      </font>
    </dxf>
    <dxf>
      <font>
        <color rgb="FF006100"/>
      </font>
      <fill>
        <patternFill patternType="none">
          <bgColor indexed="65"/>
        </patternFill>
      </fill>
    </dxf>
    <dxf>
      <font>
        <color rgb="FF9C0006"/>
      </font>
      <fill>
        <patternFill patternType="none">
          <bgColor indexed="65"/>
        </patternFill>
      </fill>
    </dxf>
    <dxf>
      <font>
        <b val="0"/>
        <i val="0"/>
        <u val="none"/>
        <color rgb="FFFFCC00"/>
      </font>
      <numFmt numFmtId="0" formatCode="General"/>
    </dxf>
    <dxf>
      <font>
        <color theme="7"/>
      </font>
    </dxf>
    <dxf>
      <font>
        <color rgb="FF99CC00"/>
      </font>
    </dxf>
    <dxf>
      <font>
        <color rgb="FF9C0006"/>
      </font>
      <fill>
        <patternFill>
          <bgColor rgb="FFFFC7CE"/>
        </patternFill>
      </fill>
    </dxf>
    <dxf>
      <font>
        <color rgb="FF006100"/>
      </font>
      <fill>
        <patternFill>
          <bgColor rgb="FFC6EFCE"/>
        </patternFill>
      </fill>
    </dxf>
    <dxf>
      <font>
        <color theme="5"/>
      </font>
    </dxf>
    <dxf>
      <font>
        <color rgb="FF9C0006"/>
      </font>
      <fill>
        <patternFill>
          <bgColor rgb="FFFFC7CE"/>
        </patternFill>
      </fill>
    </dxf>
    <dxf>
      <font>
        <color rgb="FF006100"/>
      </font>
      <fill>
        <patternFill>
          <bgColor rgb="FFC6EFCE"/>
        </patternFill>
      </fill>
    </dxf>
    <dxf>
      <font>
        <name val="Segoe UI"/>
        <scheme val="none"/>
      </font>
    </dxf>
    <dxf>
      <font>
        <name val="Segoe UI"/>
        <scheme val="none"/>
      </font>
    </dxf>
    <dxf>
      <font>
        <name val="Segoe UI"/>
        <scheme val="none"/>
      </font>
    </dxf>
    <dxf>
      <font>
        <color theme="0" tint="-0.34998626667073579"/>
      </font>
      <fill>
        <patternFill patternType="none">
          <bgColor auto="1"/>
        </patternFill>
      </fill>
    </dxf>
    <dxf>
      <font>
        <color theme="0" tint="-0.34998626667073579"/>
      </font>
      <fill>
        <patternFill patternType="none">
          <bgColor auto="1"/>
        </patternFill>
      </fill>
    </dxf>
  </dxfs>
  <tableStyles count="1" defaultTableStyle="TableStyleMedium9" defaultPivotStyle="PivotStyleLight16">
    <tableStyle name="PivotStyleLightCheckmate" table="0" count="2">
      <tableStyleElement type="headerRow" dxfId="40"/>
      <tableStyleElement type="firstSubtotalRow" dxfId="3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71507607192254"/>
          <c:y val="0.19514400066507523"/>
          <c:w val="0.80926498295596871"/>
          <c:h val="0.80485552428118434"/>
        </c:manualLayout>
      </c:layout>
      <c:pieChart>
        <c:varyColors val="1"/>
        <c:ser>
          <c:idx val="0"/>
          <c:order val="0"/>
          <c:dPt>
            <c:idx val="0"/>
            <c:bubble3D val="0"/>
            <c:spPr>
              <a:solidFill>
                <a:srgbClr val="77943C"/>
              </a:solidFill>
            </c:spPr>
            <c:extLst>
              <c:ext xmlns:c16="http://schemas.microsoft.com/office/drawing/2014/chart" uri="{C3380CC4-5D6E-409C-BE32-E72D297353CC}">
                <c16:uniqueId val="{00000001-6DED-48C9-99FD-D1EF4393ED7A}"/>
              </c:ext>
            </c:extLst>
          </c:dPt>
          <c:dPt>
            <c:idx val="1"/>
            <c:bubble3D val="0"/>
            <c:spPr>
              <a:solidFill>
                <a:srgbClr val="FFFF00"/>
              </a:solidFill>
            </c:spPr>
            <c:extLst>
              <c:ext xmlns:c16="http://schemas.microsoft.com/office/drawing/2014/chart" uri="{C3380CC4-5D6E-409C-BE32-E72D297353CC}">
                <c16:uniqueId val="{00000003-6DED-48C9-99FD-D1EF4393ED7A}"/>
              </c:ext>
            </c:extLst>
          </c:dPt>
          <c:dPt>
            <c:idx val="2"/>
            <c:bubble3D val="0"/>
            <c:spPr>
              <a:solidFill>
                <a:srgbClr val="F76F09"/>
              </a:solidFill>
            </c:spPr>
            <c:extLst>
              <c:ext xmlns:c16="http://schemas.microsoft.com/office/drawing/2014/chart" uri="{C3380CC4-5D6E-409C-BE32-E72D297353CC}">
                <c16:uniqueId val="{00000005-6DED-48C9-99FD-D1EF4393ED7A}"/>
              </c:ext>
            </c:extLst>
          </c:dPt>
          <c:dPt>
            <c:idx val="3"/>
            <c:bubble3D val="0"/>
            <c:spPr>
              <a:solidFill>
                <a:srgbClr val="C00000"/>
              </a:solidFill>
            </c:spPr>
            <c:extLst>
              <c:ext xmlns:c16="http://schemas.microsoft.com/office/drawing/2014/chart" uri="{C3380CC4-5D6E-409C-BE32-E72D297353CC}">
                <c16:uniqueId val="{00000007-6DED-48C9-99FD-D1EF4393ED7A}"/>
              </c:ext>
            </c:extLst>
          </c:dPt>
          <c:dPt>
            <c:idx val="4"/>
            <c:bubble3D val="0"/>
            <c:spPr>
              <a:solidFill>
                <a:srgbClr val="7030A0"/>
              </a:solidFill>
            </c:spPr>
            <c:extLst>
              <c:ext xmlns:c16="http://schemas.microsoft.com/office/drawing/2014/chart" uri="{C3380CC4-5D6E-409C-BE32-E72D297353CC}">
                <c16:uniqueId val="{00000009-6DED-48C9-99FD-D1EF4393ED7A}"/>
              </c:ext>
            </c:extLst>
          </c:dPt>
          <c:dLbls>
            <c:spPr>
              <a:noFill/>
              <a:ln w="25400">
                <a:noFill/>
              </a:ln>
            </c:spPr>
            <c:txPr>
              <a:bodyPr wrap="square" lIns="38100" tIns="19050" rIns="38100" bIns="19050" anchor="ctr">
                <a:spAutoFit/>
              </a:bodyPr>
              <a:lstStyle/>
              <a:p>
                <a:pPr>
                  <a:defRPr sz="800" b="1" i="0" u="none" strike="noStrike" baseline="0">
                    <a:solidFill>
                      <a:srgbClr val="000000"/>
                    </a:solidFill>
                    <a:latin typeface="Calibri"/>
                    <a:ea typeface="Calibri"/>
                    <a:cs typeface="Calibri"/>
                  </a:defRPr>
                </a:pPr>
                <a:endParaRPr lang="en-US"/>
              </a:p>
            </c:txPr>
            <c:dLblPos val="bestFit"/>
            <c:showLegendKey val="0"/>
            <c:showVal val="1"/>
            <c:showCatName val="0"/>
            <c:showSerName val="0"/>
            <c:showPercent val="0"/>
            <c:showBubbleSize val="0"/>
            <c:showLeaderLines val="0"/>
            <c:extLst>
              <c:ext xmlns:c15="http://schemas.microsoft.com/office/drawing/2012/chart" uri="{CE6537A1-D6FC-4f65-9D91-7224C49458BB}"/>
            </c:extLst>
          </c:dLbls>
          <c:cat>
            <c:strRef>
              <c:f>Report!$A$12:$A$16</c:f>
              <c:strCache>
                <c:ptCount val="5"/>
                <c:pt idx="0">
                  <c:v>**OK</c:v>
                </c:pt>
                <c:pt idx="1">
                  <c:v>**Offline for 5 - 30 minutes</c:v>
                </c:pt>
                <c:pt idx="2">
                  <c:v>**Offline for 30 - 60 minutes</c:v>
                </c:pt>
                <c:pt idx="3">
                  <c:v>**Offline for 60+ minutes</c:v>
                </c:pt>
                <c:pt idx="4">
                  <c:v>**Not installed</c:v>
                </c:pt>
              </c:strCache>
            </c:strRef>
          </c:cat>
          <c:val>
            <c:numRef>
              <c:f>Report!$B$12:$B$16</c:f>
              <c:numCache>
                <c:formatCode>0</c:formatCode>
                <c:ptCount val="5"/>
                <c:pt idx="0">
                  <c:v>1</c:v>
                </c:pt>
                <c:pt idx="1">
                  <c:v>1</c:v>
                </c:pt>
                <c:pt idx="2">
                  <c:v>1</c:v>
                </c:pt>
                <c:pt idx="3">
                  <c:v>1</c:v>
                </c:pt>
                <c:pt idx="4">
                  <c:v>1</c:v>
                </c:pt>
              </c:numCache>
            </c:numRef>
          </c:val>
          <c:extLst>
            <c:ext xmlns:c16="http://schemas.microsoft.com/office/drawing/2014/chart" uri="{C3380CC4-5D6E-409C-BE32-E72D297353CC}">
              <c16:uniqueId val="{0000000A-6DED-48C9-99FD-D1EF4393ED7A}"/>
            </c:ext>
          </c:extLst>
        </c:ser>
        <c:dLbls>
          <c:showLegendKey val="0"/>
          <c:showVal val="0"/>
          <c:showCatName val="0"/>
          <c:showSerName val="0"/>
          <c:showPercent val="0"/>
          <c:showBubbleSize val="0"/>
          <c:showLeaderLines val="0"/>
        </c:dLbls>
        <c:firstSliceAng val="40"/>
      </c:pieChart>
      <c:spPr>
        <a:noFill/>
        <a:ln w="25400">
          <a:noFill/>
        </a:ln>
      </c:spPr>
    </c:plotArea>
    <c:legend>
      <c:legendPos val="r"/>
      <c:layout>
        <c:manualLayout>
          <c:xMode val="edge"/>
          <c:yMode val="edge"/>
          <c:x val="3.3334383202099742E-2"/>
          <c:y val="2.8125984251968505E-2"/>
          <c:w val="0.40003933934487695"/>
          <c:h val="0.18874514103458589"/>
        </c:manualLayout>
      </c:layout>
      <c:overlay val="0"/>
      <c:txPr>
        <a:bodyPr/>
        <a:lstStyle/>
        <a:p>
          <a:pPr>
            <a:defRPr sz="80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9524</xdr:colOff>
      <xdr:row>0</xdr:row>
      <xdr:rowOff>19049</xdr:rowOff>
    </xdr:from>
    <xdr:to>
      <xdr:col>3</xdr:col>
      <xdr:colOff>942974</xdr:colOff>
      <xdr:row>18</xdr:row>
      <xdr:rowOff>9524</xdr:rowOff>
    </xdr:to>
    <xdr:graphicFrame macro="">
      <xdr:nvGraphicFramePr>
        <xdr:cNvPr id="4618" name="Chart 2">
          <a:extLst>
            <a:ext uri="{FF2B5EF4-FFF2-40B4-BE49-F238E27FC236}">
              <a16:creationId xmlns:a16="http://schemas.microsoft.com/office/drawing/2014/main" id="{00000000-0008-0000-0200-00000A12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7620</xdr:colOff>
      <xdr:row>0</xdr:row>
      <xdr:rowOff>83820</xdr:rowOff>
    </xdr:from>
    <xdr:to>
      <xdr:col>10</xdr:col>
      <xdr:colOff>443864</xdr:colOff>
      <xdr:row>33</xdr:row>
      <xdr:rowOff>104775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122420" y="83820"/>
          <a:ext cx="5246369" cy="693610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softEdge rad="1270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dk1"/>
              </a:solidFill>
              <a:effectLst/>
              <a:latin typeface="Segoe UI" panose="020B0502040204020203" pitchFamily="34" charset="0"/>
              <a:ea typeface="+mn-ea"/>
              <a:cs typeface="Segoe UI" panose="020B0502040204020203" pitchFamily="34" charset="0"/>
            </a:rPr>
            <a:t>**Fleet Watchdog Report</a:t>
          </a:r>
          <a:endParaRPr lang="en-US" sz="1200">
            <a:effectLst/>
            <a:latin typeface="Segoe UI" panose="020B0502040204020203" pitchFamily="34" charset="0"/>
            <a:cs typeface="Segoe UI" panose="020B0502040204020203" pitchFamily="34" charset="0"/>
          </a:endParaRPr>
        </a:p>
        <a:p>
          <a:r>
            <a:rPr lang="en-US" sz="1000" b="0">
              <a:solidFill>
                <a:schemeClr val="bg1">
                  <a:lumMod val="65000"/>
                </a:schemeClr>
              </a:solidFill>
              <a:effectLst/>
              <a:latin typeface="Segoe UI" panose="020B0502040204020203" pitchFamily="34" charset="0"/>
              <a:ea typeface="+mn-ea"/>
              <a:cs typeface="Segoe UI" panose="020B0502040204020203" pitchFamily="34" charset="0"/>
            </a:rPr>
            <a:t>**This report </a:t>
          </a:r>
          <a:r>
            <a:rPr lang="en-US" sz="1000">
              <a:solidFill>
                <a:schemeClr val="bg1">
                  <a:lumMod val="65000"/>
                </a:schemeClr>
              </a:solidFill>
              <a:effectLst/>
              <a:latin typeface="Segoe UI" panose="020B0502040204020203" pitchFamily="34" charset="0"/>
              <a:ea typeface="+mn-ea"/>
              <a:cs typeface="Segoe UI" panose="020B0502040204020203" pitchFamily="34" charset="0"/>
            </a:rPr>
            <a:t>helps you monitor the health of your Telematics Devices. Every device is tested on a daily basis to ensure that it is communicating via the cellular network and is accurately recording trips made by drivers and their vehicles.</a:t>
          </a:r>
        </a:p>
        <a:p>
          <a:endParaRPr lang="en-US" sz="1000">
            <a:solidFill>
              <a:schemeClr val="bg1">
                <a:lumMod val="65000"/>
              </a:schemeClr>
            </a:solidFill>
            <a:effectLst/>
            <a:latin typeface="Segoe UI" panose="020B0502040204020203" pitchFamily="34" charset="0"/>
            <a:cs typeface="Segoe UI" panose="020B0502040204020203" pitchFamily="34" charset="0"/>
          </a:endParaRPr>
        </a:p>
        <a:p>
          <a:pPr eaLnBrk="1" fontAlgn="auto" latinLnBrk="0" hangingPunct="1"/>
          <a:r>
            <a:rPr lang="en-US" sz="1200" b="0">
              <a:solidFill>
                <a:schemeClr val="dk1"/>
              </a:solidFill>
              <a:effectLst/>
              <a:latin typeface="Segoe UI" panose="020B0502040204020203" pitchFamily="34" charset="0"/>
              <a:ea typeface="+mn-ea"/>
              <a:cs typeface="Segoe UI" panose="020B0502040204020203" pitchFamily="34" charset="0"/>
            </a:rPr>
            <a:t>**Understanding</a:t>
          </a:r>
          <a:r>
            <a:rPr lang="en-US" sz="1200" b="0" baseline="0">
              <a:solidFill>
                <a:schemeClr val="dk1"/>
              </a:solidFill>
              <a:effectLst/>
              <a:latin typeface="Segoe UI" panose="020B0502040204020203" pitchFamily="34" charset="0"/>
              <a:ea typeface="+mn-ea"/>
              <a:cs typeface="Segoe UI" panose="020B0502040204020203" pitchFamily="34" charset="0"/>
            </a:rPr>
            <a:t> the report</a:t>
          </a:r>
          <a:endParaRPr lang="en-US" sz="1200">
            <a:effectLst/>
            <a:latin typeface="Segoe UI" panose="020B0502040204020203" pitchFamily="34" charset="0"/>
            <a:cs typeface="Segoe UI" panose="020B0502040204020203" pitchFamily="34" charset="0"/>
          </a:endParaRPr>
        </a:p>
        <a:p>
          <a:pPr eaLnBrk="1" fontAlgn="auto" latinLnBrk="0" hangingPunct="1"/>
          <a:r>
            <a:rPr lang="en-US" sz="1000" i="0" baseline="0">
              <a:solidFill>
                <a:schemeClr val="bg1">
                  <a:lumMod val="65000"/>
                </a:schemeClr>
              </a:solidFill>
              <a:effectLst/>
              <a:latin typeface="Segoe UI" panose="020B0502040204020203" pitchFamily="34" charset="0"/>
              <a:ea typeface="+mn-ea"/>
              <a:cs typeface="Segoe UI" panose="020B0502040204020203" pitchFamily="34" charset="0"/>
            </a:rPr>
            <a:t>**Use the </a:t>
          </a:r>
          <a:r>
            <a:rPr lang="en-US" sz="1000" i="1" baseline="0">
              <a:solidFill>
                <a:schemeClr val="bg1">
                  <a:lumMod val="65000"/>
                </a:schemeClr>
              </a:solidFill>
              <a:effectLst/>
              <a:latin typeface="Segoe UI" panose="020B0502040204020203" pitchFamily="34" charset="0"/>
              <a:ea typeface="+mn-ea"/>
              <a:cs typeface="Segoe UI" panose="020B0502040204020203" pitchFamily="34" charset="0"/>
            </a:rPr>
            <a:t>report tab</a:t>
          </a:r>
          <a:r>
            <a:rPr lang="en-US" sz="1000" i="0" baseline="0">
              <a:solidFill>
                <a:schemeClr val="bg1">
                  <a:lumMod val="65000"/>
                </a:schemeClr>
              </a:solidFill>
              <a:effectLst/>
              <a:latin typeface="Segoe UI" panose="020B0502040204020203" pitchFamily="34" charset="0"/>
              <a:ea typeface="+mn-ea"/>
              <a:cs typeface="Segoe UI" panose="020B0502040204020203" pitchFamily="34" charset="0"/>
            </a:rPr>
            <a:t> to see</a:t>
          </a:r>
          <a:r>
            <a:rPr lang="en-US" sz="1000" baseline="0">
              <a:solidFill>
                <a:schemeClr val="bg1">
                  <a:lumMod val="65000"/>
                </a:schemeClr>
              </a:solidFill>
              <a:effectLst/>
              <a:latin typeface="Segoe UI" panose="020B0502040204020203" pitchFamily="34" charset="0"/>
              <a:ea typeface="+mn-ea"/>
              <a:cs typeface="Segoe UI" panose="020B0502040204020203" pitchFamily="34" charset="0"/>
            </a:rPr>
            <a:t> detailed information about your devices such as the exact time of the last trip, address and communication. On the </a:t>
          </a:r>
          <a:r>
            <a:rPr lang="en-US" sz="1000" i="1" baseline="0">
              <a:solidFill>
                <a:schemeClr val="bg1">
                  <a:lumMod val="65000"/>
                </a:schemeClr>
              </a:solidFill>
              <a:effectLst/>
              <a:latin typeface="Segoe UI" panose="020B0502040204020203" pitchFamily="34" charset="0"/>
              <a:ea typeface="+mn-ea"/>
              <a:cs typeface="Segoe UI" panose="020B0502040204020203" pitchFamily="34" charset="0"/>
            </a:rPr>
            <a:t>summary tab </a:t>
          </a:r>
          <a:r>
            <a:rPr lang="en-US" sz="1000" baseline="0">
              <a:solidFill>
                <a:schemeClr val="bg1">
                  <a:lumMod val="65000"/>
                </a:schemeClr>
              </a:solidFill>
              <a:effectLst/>
              <a:latin typeface="Segoe UI" panose="020B0502040204020203" pitchFamily="34" charset="0"/>
              <a:ea typeface="+mn-ea"/>
              <a:cs typeface="Segoe UI" panose="020B0502040204020203" pitchFamily="34" charset="0"/>
            </a:rPr>
            <a:t>you will see how many days it has been since the last trip and communication for any devices currently experiencing a communication issue. You can visualize the status of your fleet using the </a:t>
          </a:r>
          <a:r>
            <a:rPr lang="en-US" sz="1000" i="1" baseline="0">
              <a:solidFill>
                <a:schemeClr val="bg1">
                  <a:lumMod val="65000"/>
                </a:schemeClr>
              </a:solidFill>
              <a:effectLst/>
              <a:latin typeface="Segoe UI" panose="020B0502040204020203" pitchFamily="34" charset="0"/>
              <a:ea typeface="+mn-ea"/>
              <a:cs typeface="Segoe UI" panose="020B0502040204020203" pitchFamily="34" charset="0"/>
            </a:rPr>
            <a:t>chart tab </a:t>
          </a:r>
          <a:r>
            <a:rPr lang="en-US" sz="1000" baseline="0">
              <a:solidFill>
                <a:schemeClr val="bg1">
                  <a:lumMod val="65000"/>
                </a:schemeClr>
              </a:solidFill>
              <a:effectLst/>
              <a:latin typeface="Segoe UI" panose="020B0502040204020203" pitchFamily="34" charset="0"/>
              <a:ea typeface="+mn-ea"/>
              <a:cs typeface="Segoe UI" panose="020B0502040204020203" pitchFamily="34" charset="0"/>
            </a:rPr>
            <a:t>to instantly identify current issues.</a:t>
          </a:r>
        </a:p>
        <a:p>
          <a:pPr eaLnBrk="1" fontAlgn="auto" latinLnBrk="0" hangingPunct="1"/>
          <a:endParaRPr lang="en-US" sz="1000" b="0" baseline="0">
            <a:solidFill>
              <a:schemeClr val="bg1">
                <a:lumMod val="65000"/>
              </a:schemeClr>
            </a:solidFill>
            <a:effectLst/>
            <a:latin typeface="Segoe UI" panose="020B0502040204020203" pitchFamily="34" charset="0"/>
            <a:ea typeface="+mn-ea"/>
            <a:cs typeface="Segoe UI" panose="020B0502040204020203" pitchFamily="34" charset="0"/>
          </a:endParaRPr>
        </a:p>
        <a:p>
          <a:pPr eaLnBrk="1" fontAlgn="auto" latinLnBrk="0" hangingPunct="1"/>
          <a:r>
            <a:rPr lang="en-US" sz="1000" b="0" baseline="0">
              <a:solidFill>
                <a:schemeClr val="bg1">
                  <a:lumMod val="65000"/>
                </a:schemeClr>
              </a:solidFill>
              <a:effectLst/>
              <a:latin typeface="Segoe UI" panose="020B0502040204020203" pitchFamily="34" charset="0"/>
              <a:ea typeface="+mn-ea"/>
              <a:cs typeface="Segoe UI" panose="020B0502040204020203" pitchFamily="34" charset="0"/>
            </a:rPr>
            <a:t>**Use the following legend throughout the report to easily understand issues:</a:t>
          </a:r>
        </a:p>
        <a:p>
          <a:pPr eaLnBrk="1" fontAlgn="auto" latinLnBrk="0" hangingPunct="1"/>
          <a:br>
            <a:rPr lang="en-US" sz="1200" b="0" baseline="0">
              <a:solidFill>
                <a:schemeClr val="dk1"/>
              </a:solidFill>
              <a:effectLst/>
              <a:latin typeface="Segoe UI" panose="020B0502040204020203" pitchFamily="34" charset="0"/>
              <a:ea typeface="+mn-ea"/>
              <a:cs typeface="Segoe UI" panose="020B0502040204020203" pitchFamily="34" charset="0"/>
            </a:rPr>
          </a:br>
          <a:r>
            <a:rPr lang="en-US" sz="1000" b="1" baseline="0">
              <a:solidFill>
                <a:srgbClr val="77943C"/>
              </a:solidFill>
              <a:effectLst/>
              <a:latin typeface="Segoe UI" panose="020B0502040204020203" pitchFamily="34" charset="0"/>
              <a:ea typeface="+mn-ea"/>
              <a:cs typeface="Segoe UI" panose="020B0502040204020203" pitchFamily="34" charset="0"/>
            </a:rPr>
            <a:t>**</a:t>
          </a:r>
          <a:r>
            <a:rPr lang="en-CA" sz="1000" b="1" baseline="0">
              <a:solidFill>
                <a:srgbClr val="77943C"/>
              </a:solidFill>
              <a:effectLst/>
              <a:latin typeface="Segoe UI" panose="020B0502040204020203" pitchFamily="34" charset="0"/>
              <a:ea typeface="+mn-ea"/>
              <a:cs typeface="Segoe UI" panose="020B0502040204020203" pitchFamily="34" charset="0"/>
            </a:rPr>
            <a:t>OK</a:t>
          </a:r>
          <a:endParaRPr lang="en-US" sz="1000">
            <a:solidFill>
              <a:srgbClr val="77943C"/>
            </a:solidFill>
            <a:effectLst/>
            <a:latin typeface="Segoe UI" panose="020B0502040204020203" pitchFamily="34" charset="0"/>
            <a:cs typeface="Segoe UI" panose="020B0502040204020203" pitchFamily="34" charset="0"/>
          </a:endParaRPr>
        </a:p>
        <a:p>
          <a:r>
            <a:rPr lang="en-CA" sz="1000">
              <a:solidFill>
                <a:schemeClr val="dk1"/>
              </a:solidFill>
              <a:effectLst/>
              <a:latin typeface="Segoe UI" panose="020B0502040204020203" pitchFamily="34" charset="0"/>
              <a:ea typeface="+mn-ea"/>
              <a:cs typeface="Segoe UI" panose="020B0502040204020203" pitchFamily="34" charset="0"/>
            </a:rPr>
            <a:t>**Device communicated</a:t>
          </a:r>
          <a:r>
            <a:rPr lang="en-CA" sz="1000" baseline="0">
              <a:solidFill>
                <a:schemeClr val="dk1"/>
              </a:solidFill>
              <a:effectLst/>
              <a:latin typeface="Segoe UI" panose="020B0502040204020203" pitchFamily="34" charset="0"/>
              <a:ea typeface="+mn-ea"/>
              <a:cs typeface="Segoe UI" panose="020B0502040204020203" pitchFamily="34" charset="0"/>
            </a:rPr>
            <a:t> within the last 5 minutes </a:t>
          </a:r>
          <a:br>
            <a:rPr lang="en-CA" sz="1000" baseline="0">
              <a:solidFill>
                <a:schemeClr val="dk1"/>
              </a:solidFill>
              <a:effectLst/>
              <a:latin typeface="Segoe UI" panose="020B0502040204020203" pitchFamily="34" charset="0"/>
              <a:ea typeface="+mn-ea"/>
              <a:cs typeface="Segoe UI" panose="020B0502040204020203" pitchFamily="34" charset="0"/>
            </a:rPr>
          </a:br>
          <a:r>
            <a:rPr lang="en-CA" sz="1000" baseline="0">
              <a:solidFill>
                <a:schemeClr val="bg1">
                  <a:lumMod val="65000"/>
                </a:schemeClr>
              </a:solidFill>
              <a:effectLst/>
              <a:latin typeface="Segoe UI" panose="020B0502040204020203" pitchFamily="34" charset="0"/>
              <a:ea typeface="+mn-ea"/>
              <a:cs typeface="Segoe UI" panose="020B0502040204020203" pitchFamily="34" charset="0"/>
            </a:rPr>
            <a:t>**Action needed:</a:t>
          </a:r>
          <a:r>
            <a:rPr lang="en-US" sz="1000" baseline="0">
              <a:solidFill>
                <a:schemeClr val="bg1">
                  <a:lumMod val="65000"/>
                </a:schemeClr>
              </a:solidFill>
              <a:effectLst/>
              <a:latin typeface="Segoe UI" panose="020B0502040204020203" pitchFamily="34" charset="0"/>
              <a:ea typeface="+mn-ea"/>
              <a:cs typeface="Segoe UI" panose="020B0502040204020203" pitchFamily="34" charset="0"/>
            </a:rPr>
            <a:t> </a:t>
          </a:r>
          <a:r>
            <a:rPr lang="en-CA" sz="1000" baseline="0">
              <a:solidFill>
                <a:schemeClr val="bg1">
                  <a:lumMod val="65000"/>
                </a:schemeClr>
              </a:solidFill>
              <a:effectLst/>
              <a:latin typeface="Segoe UI" panose="020B0502040204020203" pitchFamily="34" charset="0"/>
              <a:ea typeface="+mn-ea"/>
              <a:cs typeface="Segoe UI" panose="020B0502040204020203" pitchFamily="34" charset="0"/>
            </a:rPr>
            <a:t>None.</a:t>
          </a:r>
        </a:p>
        <a:p>
          <a:endParaRPr lang="en-US" sz="1000">
            <a:effectLst/>
            <a:latin typeface="Segoe UI" panose="020B0502040204020203" pitchFamily="34" charset="0"/>
            <a:cs typeface="Segoe UI" panose="020B0502040204020203" pitchFamily="34" charset="0"/>
          </a:endParaRPr>
        </a:p>
        <a:p>
          <a:r>
            <a:rPr lang="en-US" sz="1000" b="1" baseline="0">
              <a:solidFill>
                <a:srgbClr val="FFC000"/>
              </a:solidFill>
              <a:effectLst/>
              <a:latin typeface="Segoe UI" panose="020B0502040204020203" pitchFamily="34" charset="0"/>
              <a:ea typeface="+mn-ea"/>
              <a:cs typeface="Segoe UI" panose="020B0502040204020203" pitchFamily="34" charset="0"/>
            </a:rPr>
            <a:t>**Offline for 5 - 30 minutes</a:t>
          </a:r>
        </a:p>
        <a:p>
          <a:pPr marL="0" marR="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**Device has</a:t>
          </a:r>
          <a:r>
            <a:rPr lang="en-CA" sz="1100" baseline="0">
              <a:solidFill>
                <a:schemeClr val="dk1"/>
              </a:solidFill>
              <a:effectLst/>
              <a:latin typeface="+mn-lt"/>
              <a:ea typeface="+mn-ea"/>
              <a:cs typeface="+mn-cs"/>
            </a:rPr>
            <a:t> been offline for 5 - 30 minutes</a:t>
          </a:r>
          <a:br>
            <a:rPr lang="en-CA" sz="1100" baseline="0">
              <a:solidFill>
                <a:schemeClr val="dk1"/>
              </a:solidFill>
              <a:effectLst/>
              <a:latin typeface="+mn-lt"/>
              <a:ea typeface="+mn-ea"/>
              <a:cs typeface="+mn-cs"/>
            </a:rPr>
          </a:br>
          <a:r>
            <a:rPr lang="en-CA" sz="1100" baseline="0">
              <a:solidFill>
                <a:schemeClr val="bg1">
                  <a:lumMod val="65000"/>
                </a:schemeClr>
              </a:solidFill>
              <a:effectLst/>
              <a:latin typeface="+mn-lt"/>
              <a:ea typeface="+mn-ea"/>
              <a:cs typeface="+mn-cs"/>
            </a:rPr>
            <a:t>**Action needed:</a:t>
          </a:r>
          <a:r>
            <a:rPr lang="en-US" sz="1100" baseline="0">
              <a:solidFill>
                <a:schemeClr val="bg1">
                  <a:lumMod val="65000"/>
                </a:schemeClr>
              </a:solidFill>
              <a:effectLst/>
              <a:latin typeface="+mn-lt"/>
              <a:ea typeface="+mn-ea"/>
              <a:cs typeface="+mn-cs"/>
            </a:rPr>
            <a:t> Verify the last available location of the vehicle was outdoors, clear of obstruction and the device is properly installed in your vehicle.</a:t>
          </a:r>
          <a:endParaRPr lang="en-US" sz="1000">
            <a:solidFill>
              <a:schemeClr val="bg1">
                <a:lumMod val="65000"/>
              </a:schemeClr>
            </a:solidFill>
            <a:effectLst/>
            <a:latin typeface="Segoe UI" panose="020B0502040204020203" pitchFamily="34" charset="0"/>
            <a:cs typeface="Segoe UI" panose="020B0502040204020203" pitchFamily="34" charset="0"/>
          </a:endParaRPr>
        </a:p>
        <a:p>
          <a:endParaRPr lang="en-US" sz="1000">
            <a:effectLst/>
            <a:latin typeface="Segoe UI" panose="020B0502040204020203" pitchFamily="34" charset="0"/>
            <a:cs typeface="Segoe UI" panose="020B0502040204020203" pitchFamily="34" charset="0"/>
          </a:endParaRPr>
        </a:p>
        <a:p>
          <a:r>
            <a:rPr lang="en-US" sz="1000" b="1">
              <a:solidFill>
                <a:srgbClr val="F76F09"/>
              </a:solidFill>
              <a:effectLst/>
              <a:latin typeface="Segoe UI" panose="020B0502040204020203" pitchFamily="34" charset="0"/>
              <a:ea typeface="+mn-ea"/>
              <a:cs typeface="Segoe UI" panose="020B0502040204020203" pitchFamily="34" charset="0"/>
            </a:rPr>
            <a:t>**Offline for 30 - 60 minutes</a:t>
          </a:r>
          <a:endParaRPr lang="en-US" sz="1000">
            <a:solidFill>
              <a:srgbClr val="F76F09"/>
            </a:solidFill>
            <a:effectLst/>
            <a:latin typeface="Segoe UI" panose="020B0502040204020203" pitchFamily="34" charset="0"/>
            <a:cs typeface="Segoe UI" panose="020B0502040204020203"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CA" sz="1100">
              <a:solidFill>
                <a:schemeClr val="dk1"/>
              </a:solidFill>
              <a:effectLst/>
              <a:latin typeface="+mn-lt"/>
              <a:ea typeface="+mn-ea"/>
              <a:cs typeface="+mn-cs"/>
            </a:rPr>
            <a:t>**Device has</a:t>
          </a:r>
          <a:r>
            <a:rPr lang="en-CA" sz="1100" baseline="0">
              <a:solidFill>
                <a:schemeClr val="dk1"/>
              </a:solidFill>
              <a:effectLst/>
              <a:latin typeface="+mn-lt"/>
              <a:ea typeface="+mn-ea"/>
              <a:cs typeface="+mn-cs"/>
            </a:rPr>
            <a:t> been offline for 30 - 60 minutes</a:t>
          </a:r>
        </a:p>
        <a:p>
          <a:pPr marL="0" marR="0" indent="0" defTabSz="914400" eaLnBrk="1" fontAlgn="auto" latinLnBrk="0" hangingPunct="1">
            <a:lnSpc>
              <a:spcPct val="100000"/>
            </a:lnSpc>
            <a:spcBef>
              <a:spcPts val="0"/>
            </a:spcBef>
            <a:spcAft>
              <a:spcPts val="0"/>
            </a:spcAft>
            <a:buClrTx/>
            <a:buSzTx/>
            <a:buFontTx/>
            <a:buNone/>
            <a:tabLst/>
            <a:defRPr/>
          </a:pPr>
          <a:r>
            <a:rPr lang="en-CA" sz="1100" baseline="0">
              <a:solidFill>
                <a:schemeClr val="bg1">
                  <a:lumMod val="65000"/>
                </a:schemeClr>
              </a:solidFill>
              <a:effectLst/>
              <a:latin typeface="+mn-lt"/>
              <a:ea typeface="+mn-ea"/>
              <a:cs typeface="+mn-cs"/>
            </a:rPr>
            <a:t>**Action needed:</a:t>
          </a:r>
          <a:r>
            <a:rPr lang="en-US" sz="1100" baseline="0">
              <a:solidFill>
                <a:schemeClr val="bg1">
                  <a:lumMod val="65000"/>
                </a:schemeClr>
              </a:solidFill>
              <a:effectLst/>
              <a:latin typeface="+mn-lt"/>
              <a:ea typeface="+mn-ea"/>
              <a:cs typeface="+mn-cs"/>
            </a:rPr>
            <a:t> Verify the device is undamaged and properly installed in your vehicle. Refer to the installation guide for instructions on how to perform a visual inspection of the device.</a:t>
          </a:r>
          <a:endParaRPr lang="en-CA" sz="1100" baseline="0">
            <a:solidFill>
              <a:schemeClr val="bg1">
                <a:lumMod val="65000"/>
              </a:schemeClr>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000">
            <a:effectLst/>
            <a:latin typeface="Segoe UI" panose="020B0502040204020203" pitchFamily="34" charset="0"/>
            <a:cs typeface="Segoe UI" panose="020B0502040204020203" pitchFamily="34" charset="0"/>
          </a:endParaRPr>
        </a:p>
        <a:p>
          <a:r>
            <a:rPr lang="en-US" sz="1000" b="1">
              <a:solidFill>
                <a:srgbClr val="C00000"/>
              </a:solidFill>
              <a:effectLst/>
              <a:latin typeface="Segoe UI" panose="020B0502040204020203" pitchFamily="34" charset="0"/>
              <a:ea typeface="+mn-ea"/>
              <a:cs typeface="Segoe UI" panose="020B0502040204020203" pitchFamily="34" charset="0"/>
            </a:rPr>
            <a:t>**Offline</a:t>
          </a:r>
          <a:r>
            <a:rPr lang="en-US" sz="1000" b="1" baseline="0">
              <a:solidFill>
                <a:srgbClr val="C00000"/>
              </a:solidFill>
              <a:effectLst/>
              <a:latin typeface="Segoe UI" panose="020B0502040204020203" pitchFamily="34" charset="0"/>
              <a:ea typeface="+mn-ea"/>
              <a:cs typeface="Segoe UI" panose="020B0502040204020203" pitchFamily="34" charset="0"/>
            </a:rPr>
            <a:t> for 60+ minutes</a:t>
          </a:r>
          <a:endParaRPr lang="en-US" sz="1000">
            <a:solidFill>
              <a:srgbClr val="C00000"/>
            </a:solidFill>
            <a:effectLst/>
            <a:latin typeface="Segoe UI" panose="020B0502040204020203" pitchFamily="34" charset="0"/>
            <a:cs typeface="Segoe UI" panose="020B0502040204020203" pitchFamily="34" charset="0"/>
          </a:endParaRPr>
        </a:p>
        <a:p>
          <a:r>
            <a:rPr lang="en-CA" sz="1000">
              <a:solidFill>
                <a:schemeClr val="dk1"/>
              </a:solidFill>
              <a:effectLst/>
              <a:latin typeface="Segoe UI" panose="020B0502040204020203" pitchFamily="34" charset="0"/>
              <a:ea typeface="+mn-ea"/>
              <a:cs typeface="Segoe UI" panose="020B0502040204020203" pitchFamily="34" charset="0"/>
            </a:rPr>
            <a:t>**Device</a:t>
          </a:r>
          <a:r>
            <a:rPr lang="en-CA" sz="1000" baseline="0">
              <a:solidFill>
                <a:schemeClr val="dk1"/>
              </a:solidFill>
              <a:effectLst/>
              <a:latin typeface="Segoe UI" panose="020B0502040204020203" pitchFamily="34" charset="0"/>
              <a:ea typeface="+mn-ea"/>
              <a:cs typeface="Segoe UI" panose="020B0502040204020203" pitchFamily="34" charset="0"/>
            </a:rPr>
            <a:t> has been offline for 60+ minutes</a:t>
          </a:r>
          <a:endParaRPr lang="en-US" sz="1000">
            <a:effectLst/>
            <a:latin typeface="Segoe UI" panose="020B0502040204020203" pitchFamily="34" charset="0"/>
            <a:cs typeface="Segoe UI" panose="020B0502040204020203" pitchFamily="34" charset="0"/>
          </a:endParaRPr>
        </a:p>
        <a:p>
          <a:r>
            <a:rPr lang="en-CA" sz="1000" baseline="0">
              <a:solidFill>
                <a:schemeClr val="bg1">
                  <a:lumMod val="65000"/>
                </a:schemeClr>
              </a:solidFill>
              <a:effectLst/>
              <a:latin typeface="Segoe UI" panose="020B0502040204020203" pitchFamily="34" charset="0"/>
              <a:ea typeface="+mn-ea"/>
              <a:cs typeface="Segoe UI" panose="020B0502040204020203" pitchFamily="34" charset="0"/>
            </a:rPr>
            <a:t>**Action needed: Ensure the SIM is active on the cellular network and the device is undamaged and properly installed in your vehicle. If the issue continues, ensure that the vehicle is currently in a known area of cellular coverage (For V4 Devices: Check whether the antenna is loose or damaged).</a:t>
          </a:r>
        </a:p>
        <a:p>
          <a:endParaRPr lang="en-CA" sz="1000" baseline="0">
            <a:solidFill>
              <a:schemeClr val="bg1">
                <a:lumMod val="65000"/>
              </a:schemeClr>
            </a:solidFill>
            <a:effectLst/>
            <a:latin typeface="Segoe UI" panose="020B0502040204020203" pitchFamily="34" charset="0"/>
            <a:ea typeface="+mn-ea"/>
            <a:cs typeface="Segoe UI" panose="020B0502040204020203" pitchFamily="34" charset="0"/>
          </a:endParaRPr>
        </a:p>
        <a:p>
          <a:pPr eaLnBrk="1" fontAlgn="auto" latinLnBrk="0" hangingPunct="1"/>
          <a:r>
            <a:rPr lang="en-CA" sz="1100" b="1" baseline="0">
              <a:solidFill>
                <a:srgbClr val="7030A0"/>
              </a:solidFill>
              <a:effectLst/>
              <a:latin typeface="+mn-lt"/>
              <a:ea typeface="+mn-ea"/>
              <a:cs typeface="+mn-cs"/>
            </a:rPr>
            <a:t>**Not Installed</a:t>
          </a:r>
          <a:endParaRPr lang="en-CA" sz="1000">
            <a:solidFill>
              <a:srgbClr val="7030A0"/>
            </a:solidFill>
            <a:effectLst/>
          </a:endParaRPr>
        </a:p>
        <a:p>
          <a:pPr marL="0" marR="0" indent="0" defTabSz="914400" eaLnBrk="1" fontAlgn="auto" latinLnBrk="0" hangingPunct="1">
            <a:lnSpc>
              <a:spcPct val="100000"/>
            </a:lnSpc>
            <a:spcBef>
              <a:spcPts val="0"/>
            </a:spcBef>
            <a:spcAft>
              <a:spcPts val="0"/>
            </a:spcAft>
            <a:buClrTx/>
            <a:buSzTx/>
            <a:buFontTx/>
            <a:buNone/>
            <a:tabLst/>
            <a:defRPr/>
          </a:pPr>
          <a:r>
            <a:rPr lang="en-CA" sz="1000">
              <a:solidFill>
                <a:schemeClr val="dk1"/>
              </a:solidFill>
              <a:effectLst/>
              <a:latin typeface="Segoe UI" panose="020B0502040204020203" pitchFamily="34" charset="0"/>
              <a:ea typeface="+mn-ea"/>
              <a:cs typeface="Segoe UI" panose="020B0502040204020203" pitchFamily="34" charset="0"/>
            </a:rPr>
            <a:t>**Device</a:t>
          </a:r>
          <a:r>
            <a:rPr lang="en-CA" sz="1000" baseline="0">
              <a:solidFill>
                <a:schemeClr val="dk1"/>
              </a:solidFill>
              <a:effectLst/>
              <a:latin typeface="Segoe UI" panose="020B0502040204020203" pitchFamily="34" charset="0"/>
              <a:ea typeface="+mn-ea"/>
              <a:cs typeface="Segoe UI" panose="020B0502040204020203" pitchFamily="34" charset="0"/>
            </a:rPr>
            <a:t> has not communicated yet. </a:t>
          </a:r>
          <a:endParaRPr lang="en-CA" sz="1000">
            <a:effectLst/>
            <a:latin typeface="Segoe UI" panose="020B0502040204020203" pitchFamily="34" charset="0"/>
            <a:cs typeface="Segoe UI" panose="020B0502040204020203"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CA" sz="1000" baseline="0">
              <a:solidFill>
                <a:schemeClr val="bg1">
                  <a:lumMod val="65000"/>
                </a:schemeClr>
              </a:solidFill>
              <a:effectLst/>
              <a:latin typeface="Segoe UI" panose="020B0502040204020203" pitchFamily="34" charset="0"/>
              <a:ea typeface="+mn-ea"/>
              <a:cs typeface="Segoe UI" panose="020B0502040204020203" pitchFamily="34" charset="0"/>
            </a:rPr>
            <a:t>**Action needed: Install device. </a:t>
          </a:r>
          <a:endParaRPr lang="en-US" sz="1000">
            <a:solidFill>
              <a:schemeClr val="bg1">
                <a:lumMod val="65000"/>
              </a:schemeClr>
            </a:solidFill>
            <a:effectLst/>
            <a:latin typeface="Segoe UI" panose="020B0502040204020203" pitchFamily="34" charset="0"/>
            <a:cs typeface="Segoe UI"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Jason Widla" refreshedDate="42807.447561226851" createdVersion="4" refreshedVersion="6" recordCount="5">
  <cacheSource type="worksheet">
    <worksheetSource name="AllData"/>
  </cacheSource>
  <cacheFields count="11">
    <cacheField name="**Vehicle" numFmtId="0">
      <sharedItems count="5">
        <s v="Template Vehicle 1"/>
        <s v="Template Vehicle 2"/>
        <s v="Template Vehicle 3"/>
        <s v="Template Vehicle 4"/>
        <s v="Template Vehicle 5"/>
      </sharedItems>
    </cacheField>
    <cacheField name="**Group" numFmtId="0">
      <sharedItems count="3">
        <s v="Template Group 1"/>
        <s v="Template Group 2"/>
        <s v="No Group"/>
      </sharedItems>
    </cacheField>
    <cacheField name="**Last Known Address" numFmtId="166">
      <sharedItems/>
    </cacheField>
    <cacheField name="**Last Communication Date" numFmtId="169">
      <sharedItems containsDate="1" containsMixedTypes="1" minDate="2010-04-15T13:21:53" maxDate="2010-04-18T08:55:00"/>
    </cacheField>
    <cacheField name="**Days Since Moved" numFmtId="0">
      <sharedItems/>
    </cacheField>
    <cacheField name="**Last Download Value" numFmtId="0">
      <sharedItems containsMixedTypes="1" containsNumber="1" containsInteger="1" minValue="2" maxValue="25"/>
    </cacheField>
    <cacheField name="**Last Download" numFmtId="0">
      <sharedItems/>
    </cacheField>
    <cacheField name="**Time Since Communicated" numFmtId="0">
      <sharedItems/>
    </cacheField>
    <cacheField name="**Serial Number" numFmtId="0">
      <sharedItems/>
    </cacheField>
    <cacheField name="**Status" numFmtId="0">
      <sharedItems count="12">
        <s v="**Not installed"/>
        <s v="**OK"/>
        <s v="**Offline for 60+ minutes"/>
        <s v="**Offline for 5 - 30 minutes"/>
        <s v="**Offline for 30 - 60 minutes"/>
        <s v="Offline for 2 - 3 days" u="1"/>
        <s v="Not active" u="1"/>
        <s v="Not installed" u="1"/>
        <s v="Offline for 3 - 21 days" u="1"/>
        <s v="OK" u="1"/>
        <s v="Offline for 60+ minutes" u="1"/>
        <s v="Offline for 21+ days" u="1"/>
      </sharedItems>
    </cacheField>
    <cacheField name="**Map View"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
  <r>
    <x v="0"/>
    <x v="0"/>
    <s v="201 John st., Oakville, ON"/>
    <s v="Unknown"/>
    <s v=""/>
    <s v=""/>
    <s v=""/>
    <s v="Never transmitted"/>
    <s v="GTAA000003EB"/>
    <x v="0"/>
    <s v="Open in browser"/>
  </r>
  <r>
    <x v="1"/>
    <x v="1"/>
    <s v="Template Zone 1: 1081 S Service Rd. West, Oakville, ON"/>
    <d v="2010-04-18T08:55:00"/>
    <s v=""/>
    <n v="3"/>
    <s v=" minutes"/>
    <s v="3 minutes"/>
    <s v="GTA9000003EA"/>
    <x v="1"/>
    <s v="Open in browser"/>
  </r>
  <r>
    <x v="2"/>
    <x v="1"/>
    <s v=""/>
    <d v="2010-04-15T13:21:53"/>
    <s v="6 days"/>
    <n v="2"/>
    <s v=" days"/>
    <s v="2 days"/>
    <s v="G55320C87DC4"/>
    <x v="2"/>
    <s v="Open in browser"/>
  </r>
  <r>
    <x v="3"/>
    <x v="2"/>
    <s v="Geotab: Redwood Sq &amp; S Service Rd W, Oakville, ON"/>
    <d v="2010-04-18T08:40:00"/>
    <s v="0 day"/>
    <n v="13"/>
    <s v=" minutes"/>
    <s v="13 minutes"/>
    <s v="G57120C8CD56"/>
    <x v="3"/>
    <s v="Open in browser"/>
  </r>
  <r>
    <x v="4"/>
    <x v="2"/>
    <s v="Geotab: Redwood Sq &amp; S Service Rd W, Oakville, ON"/>
    <d v="2010-04-18T08:20:00"/>
    <s v="0 day"/>
    <n v="25"/>
    <s v=" minutes"/>
    <s v="25 minutes"/>
    <s v="G57120C8CD56"/>
    <x v="4"/>
    <s v="Open in browse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9" cacheId="5" dataOnRows="1" applyNumberFormats="0" applyBorderFormats="0" applyFontFormats="0" applyPatternFormats="0" applyAlignmentFormats="0" applyWidthHeightFormats="1" dataCaption="Data" updatedVersion="6" minRefreshableVersion="3" showDrill="0" showMemberPropertyTips="0" useAutoFormatting="1" rowGrandTotals="0" itemPrintTitles="1" createdVersion="4" indent="0" compact="0" compactData="0" gridDropZones="1">
  <location ref="A7:I13" firstHeaderRow="2" firstDataRow="2" firstDataCol="3"/>
  <pivotFields count="11">
    <pivotField axis="axisRow" compact="0" outline="0" subtotalTop="0" showAll="0" includeNewItemsInFilter="1" defaultSubtotal="0">
      <items count="5">
        <item x="0"/>
        <item x="1"/>
        <item x="2"/>
        <item x="3"/>
        <item x="4"/>
      </items>
    </pivotField>
    <pivotField axis="axisRow" compact="0" outline="0" subtotalTop="0" showAll="0" includeNewItemsInFilter="1" defaultSubtotal="0">
      <items count="3">
        <item x="2"/>
        <item x="0"/>
        <item x="1"/>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howAll="0" defaultSubtotal="0"/>
    <pivotField compact="0" outline="0" subtotalTop="0" showAll="0" includeNewItemsInFilter="1" defaultSubtotal="0"/>
    <pivotField axis="axisRow" compact="0" outline="0" subtotalTop="0" showAll="0" includeNewItemsInFilter="1" defaultSubtotal="0">
      <items count="12">
        <item h="1" m="1" x="6"/>
        <item m="1" x="9"/>
        <item m="1" x="8"/>
        <item m="1" x="11"/>
        <item m="1" x="5"/>
        <item m="1" x="7"/>
        <item m="1" x="10"/>
        <item x="0"/>
        <item x="1"/>
        <item x="2"/>
        <item x="3"/>
        <item x="4"/>
      </items>
    </pivotField>
    <pivotField compact="0" outline="0" subtotalTop="0" showAll="0" includeNewItemsInFilter="1" defaultSubtotal="0"/>
  </pivotFields>
  <rowFields count="3">
    <field x="0"/>
    <field x="1"/>
    <field x="9"/>
  </rowFields>
  <rowItems count="5">
    <i>
      <x/>
      <x v="1"/>
      <x v="7"/>
    </i>
    <i>
      <x v="1"/>
      <x v="2"/>
      <x v="8"/>
    </i>
    <i>
      <x v="2"/>
      <x v="2"/>
      <x v="9"/>
    </i>
    <i>
      <x v="3"/>
      <x/>
      <x v="10"/>
    </i>
    <i>
      <x v="4"/>
      <x/>
      <x v="11"/>
    </i>
  </rowItems>
  <colItems count="1">
    <i/>
  </colItems>
  <formats count="3">
    <format dxfId="38">
      <pivotArea type="all" dataOnly="0" outline="0" fieldPosition="0"/>
    </format>
    <format dxfId="37">
      <pivotArea outline="0" fieldPosition="0"/>
    </format>
    <format dxfId="36">
      <pivotArea type="topRight" dataOnly="0" labelOnly="1" outline="0" fieldPosition="0"/>
    </format>
  </formats>
  <pivotTableStyleInfo name="PivotStyleLightCheckmate" showRowHeaders="0" showColHeaders="1" showRowStripes="1"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CheckmateReport">
  <a:themeElements>
    <a:clrScheme name="Custom 1">
      <a:dk1>
        <a:sysClr val="windowText" lastClr="000000"/>
      </a:dk1>
      <a:lt1>
        <a:sysClr val="window" lastClr="FFFFFF"/>
      </a:lt1>
      <a:dk2>
        <a:srgbClr val="3F3F3F"/>
      </a:dk2>
      <a:lt2>
        <a:srgbClr val="EEECE1"/>
      </a:lt2>
      <a:accent1>
        <a:srgbClr val="25477B"/>
      </a:accent1>
      <a:accent2>
        <a:srgbClr val="5C9CCC"/>
      </a:accent2>
      <a:accent3>
        <a:srgbClr val="9BBB59"/>
      </a:accent3>
      <a:accent4>
        <a:srgbClr val="F7941E"/>
      </a:accent4>
      <a:accent5>
        <a:srgbClr val="F3F8FB"/>
      </a:accent5>
      <a:accent6>
        <a:srgbClr val="EEECE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AG11"/>
  <sheetViews>
    <sheetView workbookViewId="0">
      <pane ySplit="6" topLeftCell="A7" activePane="bottomLeft" state="frozen"/>
      <selection pane="bottomLeft"/>
    </sheetView>
  </sheetViews>
  <sheetFormatPr defaultRowHeight="13.2" x14ac:dyDescent="0.25"/>
  <cols>
    <col min="1" max="1" width="20.44140625" customWidth="1"/>
    <col min="2" max="2" width="18.5546875" customWidth="1"/>
    <col min="3" max="5" width="21.6640625" customWidth="1"/>
    <col min="6" max="6" width="12.33203125" customWidth="1"/>
    <col min="7" max="7" width="46" customWidth="1"/>
    <col min="8" max="8" width="27.6640625" customWidth="1"/>
    <col min="9" max="9" width="28" customWidth="1"/>
    <col min="10" max="11" width="21.88671875" customWidth="1"/>
    <col min="12" max="12" width="15" customWidth="1"/>
    <col min="13" max="13" width="18.5546875" customWidth="1"/>
    <col min="14" max="14" width="11" customWidth="1"/>
    <col min="15" max="17" width="14" customWidth="1"/>
    <col min="18" max="18" width="13" customWidth="1"/>
    <col min="19" max="20" width="11" customWidth="1"/>
    <col min="21" max="21" width="18" customWidth="1"/>
    <col min="22" max="22" width="31" customWidth="1"/>
    <col min="23" max="23" width="44" customWidth="1"/>
    <col min="24" max="24" width="23" customWidth="1"/>
    <col min="25" max="26" width="28" customWidth="1"/>
  </cols>
  <sheetData>
    <row r="1" spans="1:33" x14ac:dyDescent="0.25">
      <c r="A1" s="4" t="s">
        <v>40</v>
      </c>
      <c r="B1" s="3" t="s">
        <v>16</v>
      </c>
    </row>
    <row r="2" spans="1:33" x14ac:dyDescent="0.25">
      <c r="A2" s="4" t="s">
        <v>31</v>
      </c>
      <c r="B2" s="3">
        <v>40286.375</v>
      </c>
      <c r="C2" s="3"/>
      <c r="D2" s="3"/>
      <c r="E2" s="3"/>
    </row>
    <row r="3" spans="1:33" x14ac:dyDescent="0.25">
      <c r="A3" s="4" t="s">
        <v>41</v>
      </c>
      <c r="B3" s="3" t="s">
        <v>42</v>
      </c>
      <c r="C3" s="3"/>
      <c r="D3" s="3"/>
      <c r="E3" s="3"/>
    </row>
    <row r="4" spans="1:33" x14ac:dyDescent="0.25">
      <c r="A4" s="4" t="s">
        <v>50</v>
      </c>
      <c r="B4" s="3" t="b">
        <f>IF(OR(ISNUMBER(MATCH(Report!A7,Report!J:J,0)),ISNUMBER(MATCH(Report!A8,Report!J:J,0))),TRUE,FALSE)</f>
        <v>1</v>
      </c>
      <c r="C4" s="3"/>
      <c r="D4" s="3"/>
      <c r="E4" s="3"/>
    </row>
    <row r="5" spans="1:33" x14ac:dyDescent="0.25">
      <c r="A5" s="4" t="s">
        <v>51</v>
      </c>
      <c r="B5" s="3" t="s">
        <v>52</v>
      </c>
    </row>
    <row r="6" spans="1:33" ht="32.25" customHeight="1" thickBot="1" x14ac:dyDescent="0.3">
      <c r="A6" s="1" t="s">
        <v>1</v>
      </c>
      <c r="B6" s="1" t="s">
        <v>3</v>
      </c>
      <c r="C6" s="1" t="s">
        <v>5</v>
      </c>
      <c r="D6" s="1" t="s">
        <v>66</v>
      </c>
      <c r="E6" s="1" t="s">
        <v>75</v>
      </c>
      <c r="F6" s="1" t="s">
        <v>17</v>
      </c>
      <c r="G6" s="1" t="s">
        <v>2</v>
      </c>
      <c r="H6" s="1" t="s">
        <v>53</v>
      </c>
      <c r="I6" s="1" t="s">
        <v>54</v>
      </c>
      <c r="J6" s="1" t="s">
        <v>28</v>
      </c>
      <c r="K6" s="1" t="s">
        <v>32</v>
      </c>
      <c r="L6" s="1" t="s">
        <v>67</v>
      </c>
      <c r="M6" s="1" t="s">
        <v>68</v>
      </c>
      <c r="N6" s="1" t="s">
        <v>6</v>
      </c>
      <c r="O6" s="1" t="s">
        <v>7</v>
      </c>
      <c r="P6" s="1" t="s">
        <v>8</v>
      </c>
      <c r="Q6" s="1" t="s">
        <v>9</v>
      </c>
      <c r="R6" s="1" t="s">
        <v>80</v>
      </c>
      <c r="S6" s="1" t="s">
        <v>10</v>
      </c>
      <c r="T6" s="1" t="s">
        <v>11</v>
      </c>
      <c r="U6" s="1" t="s">
        <v>12</v>
      </c>
      <c r="V6" s="1" t="s">
        <v>13</v>
      </c>
      <c r="W6" s="1" t="s">
        <v>4</v>
      </c>
      <c r="X6" s="1" t="s">
        <v>14</v>
      </c>
      <c r="Y6" s="1" t="s">
        <v>15</v>
      </c>
      <c r="Z6" s="1" t="s">
        <v>76</v>
      </c>
      <c r="AA6" s="1" t="s">
        <v>43</v>
      </c>
      <c r="AB6" s="1" t="s">
        <v>44</v>
      </c>
      <c r="AC6" s="1" t="s">
        <v>45</v>
      </c>
      <c r="AD6" s="1" t="s">
        <v>46</v>
      </c>
      <c r="AE6" s="1" t="s">
        <v>47</v>
      </c>
      <c r="AF6" s="1" t="s">
        <v>48</v>
      </c>
      <c r="AG6" s="1" t="s">
        <v>49</v>
      </c>
    </row>
    <row r="7" spans="1:33" x14ac:dyDescent="0.25">
      <c r="A7" s="2" t="s">
        <v>33</v>
      </c>
      <c r="B7" s="2">
        <v>3</v>
      </c>
      <c r="C7" s="2" t="s">
        <v>35</v>
      </c>
      <c r="D7" s="2" t="s">
        <v>38</v>
      </c>
      <c r="E7" s="2" t="s">
        <v>72</v>
      </c>
      <c r="F7" s="2" t="s">
        <v>79</v>
      </c>
      <c r="G7" s="2" t="s">
        <v>37</v>
      </c>
      <c r="H7" s="2">
        <v>43.438642999999999</v>
      </c>
      <c r="I7" s="2">
        <v>-79.677132999999998</v>
      </c>
      <c r="J7" s="2" t="s">
        <v>0</v>
      </c>
      <c r="K7" s="2"/>
      <c r="L7" s="7">
        <v>31413</v>
      </c>
      <c r="M7" s="7">
        <v>54789</v>
      </c>
      <c r="N7" s="2" t="s">
        <v>22</v>
      </c>
      <c r="O7" s="2">
        <v>26</v>
      </c>
      <c r="P7" s="2">
        <v>1</v>
      </c>
      <c r="Q7" s="2">
        <v>3</v>
      </c>
      <c r="R7" s="2" t="s">
        <v>23</v>
      </c>
      <c r="S7" s="2" t="s">
        <v>20</v>
      </c>
      <c r="T7" s="2" t="s">
        <v>21</v>
      </c>
      <c r="U7" s="2" t="s">
        <v>19</v>
      </c>
      <c r="V7" s="2" t="s">
        <v>18</v>
      </c>
      <c r="W7" s="2" t="s">
        <v>0</v>
      </c>
      <c r="X7" s="3">
        <v>0</v>
      </c>
      <c r="Y7" s="3">
        <v>0</v>
      </c>
      <c r="Z7" s="3" t="s">
        <v>30</v>
      </c>
    </row>
    <row r="8" spans="1:33" x14ac:dyDescent="0.25">
      <c r="A8" s="2" t="s">
        <v>34</v>
      </c>
      <c r="B8" s="2">
        <v>2</v>
      </c>
      <c r="C8" s="2" t="s">
        <v>36</v>
      </c>
      <c r="D8" s="2" t="s">
        <v>39</v>
      </c>
      <c r="E8" s="2" t="s">
        <v>73</v>
      </c>
      <c r="F8" s="2" t="s">
        <v>24</v>
      </c>
      <c r="G8" s="2" t="s">
        <v>55</v>
      </c>
      <c r="H8" s="2">
        <v>43.434334999999997</v>
      </c>
      <c r="I8" s="2">
        <v>-79.709667999999994</v>
      </c>
      <c r="J8" s="2" t="s">
        <v>29</v>
      </c>
      <c r="K8" s="2"/>
      <c r="L8" s="7">
        <v>31413</v>
      </c>
      <c r="M8" s="7">
        <v>54789</v>
      </c>
      <c r="N8" s="2" t="s">
        <v>22</v>
      </c>
      <c r="O8" s="2">
        <v>20</v>
      </c>
      <c r="P8" s="2">
        <v>2</v>
      </c>
      <c r="Q8" s="2">
        <v>6</v>
      </c>
      <c r="R8" s="2" t="s">
        <v>27</v>
      </c>
      <c r="S8" s="2" t="s">
        <v>26</v>
      </c>
      <c r="T8" s="2" t="s">
        <v>21</v>
      </c>
      <c r="U8" s="2" t="s">
        <v>25</v>
      </c>
      <c r="V8" s="2" t="s">
        <v>18</v>
      </c>
      <c r="W8" s="2" t="s">
        <v>0</v>
      </c>
      <c r="X8" s="3">
        <v>40286.371527777781</v>
      </c>
      <c r="Y8" s="3">
        <v>40285.770372141204</v>
      </c>
      <c r="Z8" s="3" t="s">
        <v>30</v>
      </c>
    </row>
    <row r="9" spans="1:33" x14ac:dyDescent="0.25">
      <c r="A9" s="5" t="s">
        <v>64</v>
      </c>
      <c r="B9" s="5">
        <v>12</v>
      </c>
      <c r="C9" s="5" t="s">
        <v>36</v>
      </c>
      <c r="D9" s="5" t="s">
        <v>56</v>
      </c>
      <c r="E9" s="2" t="s">
        <v>70</v>
      </c>
      <c r="F9" s="5" t="s">
        <v>79</v>
      </c>
      <c r="G9" s="5"/>
      <c r="H9" s="5">
        <v>43.386394500732422</v>
      </c>
      <c r="I9" s="5">
        <v>-79.724212646484375</v>
      </c>
      <c r="J9" s="5" t="s">
        <v>0</v>
      </c>
      <c r="K9" s="5" t="s">
        <v>0</v>
      </c>
      <c r="L9" s="7">
        <v>31413</v>
      </c>
      <c r="M9" s="7">
        <v>54789</v>
      </c>
      <c r="N9" s="5" t="s">
        <v>57</v>
      </c>
      <c r="O9" s="5">
        <v>100</v>
      </c>
      <c r="P9" s="5">
        <v>8</v>
      </c>
      <c r="Q9" s="5">
        <v>47</v>
      </c>
      <c r="R9" s="5" t="s">
        <v>58</v>
      </c>
      <c r="S9" s="5" t="s">
        <v>0</v>
      </c>
      <c r="T9" s="5" t="s">
        <v>0</v>
      </c>
      <c r="U9" s="5" t="s">
        <v>0</v>
      </c>
      <c r="V9" s="5" t="s">
        <v>18</v>
      </c>
      <c r="W9" s="5" t="s">
        <v>0</v>
      </c>
      <c r="X9" s="3">
        <v>40280.70275462963</v>
      </c>
      <c r="Y9" s="6">
        <v>40283.556863425925</v>
      </c>
      <c r="Z9" s="3" t="s">
        <v>77</v>
      </c>
      <c r="AA9" s="5">
        <v>30</v>
      </c>
      <c r="AB9" s="5">
        <v>140.08320617675781</v>
      </c>
      <c r="AC9" s="5">
        <v>134.55360412597656</v>
      </c>
      <c r="AD9" s="5">
        <v>3</v>
      </c>
      <c r="AE9" s="5">
        <v>4000</v>
      </c>
      <c r="AF9" s="5">
        <v>0</v>
      </c>
      <c r="AG9" s="5">
        <v>0</v>
      </c>
    </row>
    <row r="10" spans="1:33" x14ac:dyDescent="0.25">
      <c r="A10" s="5" t="s">
        <v>65</v>
      </c>
      <c r="B10" s="5">
        <v>61</v>
      </c>
      <c r="C10" s="5" t="s">
        <v>59</v>
      </c>
      <c r="D10" s="5" t="s">
        <v>56</v>
      </c>
      <c r="E10" s="2" t="s">
        <v>71</v>
      </c>
      <c r="F10" s="2" t="s">
        <v>24</v>
      </c>
      <c r="G10" s="5" t="s">
        <v>60</v>
      </c>
      <c r="H10" s="5">
        <v>43.434829711914063</v>
      </c>
      <c r="I10" s="5">
        <v>-79.709976196289063</v>
      </c>
      <c r="J10" s="5" t="s">
        <v>0</v>
      </c>
      <c r="K10" s="5" t="s">
        <v>0</v>
      </c>
      <c r="L10" s="7">
        <v>31413</v>
      </c>
      <c r="M10" s="7">
        <v>54789</v>
      </c>
      <c r="N10" s="5" t="s">
        <v>57</v>
      </c>
      <c r="O10" s="5">
        <v>100</v>
      </c>
      <c r="P10" s="5">
        <v>7</v>
      </c>
      <c r="Q10" s="5">
        <v>46</v>
      </c>
      <c r="R10" s="5" t="s">
        <v>61</v>
      </c>
      <c r="S10" s="5" t="s">
        <v>0</v>
      </c>
      <c r="T10" s="5" t="s">
        <v>0</v>
      </c>
      <c r="U10" s="5" t="s">
        <v>62</v>
      </c>
      <c r="V10" s="5" t="s">
        <v>18</v>
      </c>
      <c r="W10" s="5" t="s">
        <v>63</v>
      </c>
      <c r="X10" s="3">
        <v>40286.361111111109</v>
      </c>
      <c r="Y10" s="6">
        <v>40271.346261574072</v>
      </c>
      <c r="Z10" s="3" t="s">
        <v>77</v>
      </c>
      <c r="AA10" s="5">
        <v>30</v>
      </c>
      <c r="AB10" s="5">
        <v>99.532798767089844</v>
      </c>
      <c r="AC10" s="5">
        <v>90.316802978515625</v>
      </c>
      <c r="AD10" s="5">
        <v>3</v>
      </c>
      <c r="AE10" s="5">
        <v>3500</v>
      </c>
      <c r="AF10" s="5">
        <v>0</v>
      </c>
      <c r="AG10" s="5">
        <v>0</v>
      </c>
    </row>
    <row r="11" spans="1:33" x14ac:dyDescent="0.25">
      <c r="A11" s="2" t="s">
        <v>69</v>
      </c>
      <c r="B11" s="5">
        <v>62</v>
      </c>
      <c r="C11" s="5" t="s">
        <v>59</v>
      </c>
      <c r="D11" s="5" t="s">
        <v>56</v>
      </c>
      <c r="E11" s="2" t="s">
        <v>74</v>
      </c>
      <c r="F11" s="5" t="s">
        <v>79</v>
      </c>
      <c r="G11" s="5" t="s">
        <v>60</v>
      </c>
      <c r="H11" s="5">
        <v>43.434829711914063</v>
      </c>
      <c r="I11" s="5">
        <v>-79.709976196298996</v>
      </c>
      <c r="J11" s="5" t="s">
        <v>0</v>
      </c>
      <c r="K11" s="5" t="s">
        <v>0</v>
      </c>
      <c r="L11" s="7">
        <v>31413</v>
      </c>
      <c r="M11" s="7">
        <v>54789</v>
      </c>
      <c r="N11" s="5" t="s">
        <v>57</v>
      </c>
      <c r="O11" s="5">
        <v>100</v>
      </c>
      <c r="P11" s="5">
        <v>7</v>
      </c>
      <c r="Q11" s="5">
        <v>46</v>
      </c>
      <c r="R11" s="5" t="s">
        <v>61</v>
      </c>
      <c r="S11" s="5" t="s">
        <v>0</v>
      </c>
      <c r="T11" s="5" t="s">
        <v>0</v>
      </c>
      <c r="U11" s="5" t="s">
        <v>62</v>
      </c>
      <c r="V11" s="5" t="s">
        <v>18</v>
      </c>
      <c r="W11" s="5" t="s">
        <v>63</v>
      </c>
      <c r="X11" s="3">
        <v>40286.347222222219</v>
      </c>
      <c r="Y11" s="6">
        <v>40259.554594907408</v>
      </c>
      <c r="Z11" s="3" t="s">
        <v>77</v>
      </c>
      <c r="AA11" s="5">
        <v>30</v>
      </c>
      <c r="AB11" s="5">
        <v>99.532798767089844</v>
      </c>
      <c r="AC11" s="5">
        <v>90.316802978515625</v>
      </c>
      <c r="AD11" s="5">
        <v>3</v>
      </c>
      <c r="AE11" s="5">
        <v>3500</v>
      </c>
      <c r="AF11" s="5">
        <v>0</v>
      </c>
      <c r="AG11" s="5">
        <v>0</v>
      </c>
    </row>
  </sheetData>
  <pageMargins left="0.75" right="0.75" top="1" bottom="1" header="0.5" footer="0.5"/>
  <pageSetup fitToHeight="100" orientation="landscape"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4"/>
  <sheetViews>
    <sheetView showGridLines="0" workbookViewId="0"/>
  </sheetViews>
  <sheetFormatPr defaultColWidth="8.88671875" defaultRowHeight="16.8" x14ac:dyDescent="0.4"/>
  <cols>
    <col min="1" max="1" width="32.44140625" style="8" bestFit="1" customWidth="1"/>
    <col min="2" max="2" width="26.44140625" style="8" customWidth="1"/>
    <col min="3" max="3" width="56.88671875" style="22" customWidth="1"/>
    <col min="4" max="4" width="32.44140625" style="10" hidden="1" customWidth="1"/>
    <col min="5" max="5" width="21.44140625" style="8" hidden="1" customWidth="1"/>
    <col min="6" max="6" width="24" style="8" hidden="1" customWidth="1"/>
    <col min="7" max="7" width="32.109375" style="8" hidden="1" customWidth="1"/>
    <col min="8" max="8" width="29.6640625" style="8" customWidth="1"/>
    <col min="9" max="9" width="20.88671875" style="8" customWidth="1"/>
    <col min="10" max="10" width="29.88671875" style="8" customWidth="1"/>
    <col min="11" max="11" width="14.5546875" style="19" customWidth="1"/>
    <col min="12" max="13" width="24.44140625" style="8" bestFit="1" customWidth="1"/>
    <col min="14" max="14" width="18.5546875" style="8" customWidth="1"/>
    <col min="15" max="16384" width="8.88671875" style="8"/>
  </cols>
  <sheetData>
    <row r="1" spans="1:13" x14ac:dyDescent="0.4">
      <c r="A1" s="13" t="s">
        <v>108</v>
      </c>
      <c r="B1" s="52">
        <f>Data!B2</f>
        <v>40286.375</v>
      </c>
      <c r="C1" s="52"/>
      <c r="D1" s="9"/>
      <c r="F1" s="8">
        <v>0</v>
      </c>
      <c r="G1" s="8" t="s">
        <v>81</v>
      </c>
      <c r="H1" s="38"/>
      <c r="I1" s="9"/>
      <c r="L1" s="9"/>
      <c r="M1" s="9"/>
    </row>
    <row r="2" spans="1:13" x14ac:dyDescent="0.4">
      <c r="A2" s="13" t="s">
        <v>121</v>
      </c>
      <c r="B2" s="52" t="str">
        <f>Data!B3</f>
        <v>km</v>
      </c>
      <c r="C2" s="52"/>
      <c r="D2" s="8"/>
      <c r="F2" s="8">
        <v>1</v>
      </c>
      <c r="G2" s="8" t="s">
        <v>82</v>
      </c>
      <c r="L2" s="9"/>
      <c r="M2" s="9"/>
    </row>
    <row r="3" spans="1:13" x14ac:dyDescent="0.4">
      <c r="A3" s="13" t="s">
        <v>122</v>
      </c>
      <c r="B3" s="53">
        <v>24</v>
      </c>
      <c r="C3" s="53"/>
      <c r="D3" s="8"/>
      <c r="F3" s="8">
        <v>2</v>
      </c>
      <c r="G3" s="8" t="s">
        <v>87</v>
      </c>
      <c r="L3" s="9"/>
      <c r="M3" s="9"/>
    </row>
    <row r="4" spans="1:13" ht="16.5" hidden="1" customHeight="1" x14ac:dyDescent="0.4">
      <c r="A4" s="27" t="s">
        <v>123</v>
      </c>
      <c r="B4" s="31" t="s">
        <v>106</v>
      </c>
      <c r="C4" s="34"/>
      <c r="D4" s="8"/>
      <c r="F4" s="8">
        <v>24</v>
      </c>
      <c r="G4" s="8" t="s">
        <v>88</v>
      </c>
      <c r="L4" s="9"/>
      <c r="M4" s="9"/>
    </row>
    <row r="5" spans="1:13" ht="16.5" hidden="1" customHeight="1" x14ac:dyDescent="0.4">
      <c r="A5" s="28" t="s">
        <v>109</v>
      </c>
      <c r="B5" s="32" t="s">
        <v>86</v>
      </c>
      <c r="C5" s="34"/>
      <c r="D5" s="8"/>
      <c r="F5" s="8">
        <v>48</v>
      </c>
      <c r="G5" s="8" t="s">
        <v>89</v>
      </c>
      <c r="L5" s="9"/>
      <c r="M5" s="9"/>
    </row>
    <row r="6" spans="1:13" ht="16.5" hidden="1" customHeight="1" x14ac:dyDescent="0.4">
      <c r="A6" s="29" t="s">
        <v>263</v>
      </c>
      <c r="B6" s="48">
        <v>3.5000000000000001E-3</v>
      </c>
      <c r="C6" s="34"/>
      <c r="D6" s="8"/>
      <c r="L6" s="9"/>
      <c r="M6" s="9"/>
    </row>
    <row r="7" spans="1:13" ht="16.5" hidden="1" customHeight="1" x14ac:dyDescent="0.4">
      <c r="A7" s="29" t="s">
        <v>264</v>
      </c>
      <c r="B7" s="47">
        <v>2.0833333333333332E-2</v>
      </c>
      <c r="C7" s="25"/>
      <c r="D7" s="8"/>
      <c r="L7" s="24"/>
      <c r="M7" s="24"/>
    </row>
    <row r="8" spans="1:13" ht="16.5" hidden="1" customHeight="1" x14ac:dyDescent="0.4">
      <c r="A8" s="29" t="s">
        <v>265</v>
      </c>
      <c r="B8" s="49">
        <v>4.1666666666666664E-2</v>
      </c>
      <c r="C8" s="25"/>
      <c r="D8" s="8"/>
      <c r="L8" s="24"/>
      <c r="M8" s="24"/>
    </row>
    <row r="9" spans="1:13" ht="16.5" hidden="1" customHeight="1" x14ac:dyDescent="0.4">
      <c r="A9" s="40" t="s">
        <v>117</v>
      </c>
      <c r="B9" s="41" t="s">
        <v>86</v>
      </c>
      <c r="C9" s="34"/>
      <c r="D9" s="8"/>
      <c r="L9" s="39"/>
      <c r="M9" s="39"/>
    </row>
    <row r="10" spans="1:13" ht="16.5" hidden="1" customHeight="1" x14ac:dyDescent="0.4">
      <c r="A10" s="30" t="s">
        <v>118</v>
      </c>
      <c r="B10" s="33" t="s">
        <v>86</v>
      </c>
      <c r="C10" s="25"/>
      <c r="D10" s="8"/>
      <c r="L10" s="24"/>
      <c r="M10" s="24"/>
    </row>
    <row r="11" spans="1:13" x14ac:dyDescent="0.4">
      <c r="A11" s="27" t="s">
        <v>120</v>
      </c>
      <c r="B11" s="36"/>
      <c r="C11" s="35"/>
      <c r="D11" s="8"/>
    </row>
    <row r="12" spans="1:13" x14ac:dyDescent="0.4">
      <c r="A12" s="29" t="str">
        <f>A5</f>
        <v>**OK</v>
      </c>
      <c r="B12" s="37">
        <f xml:space="preserve"> COUNTIF(J20:J65468,$A$5)</f>
        <v>1</v>
      </c>
      <c r="C12" s="35"/>
      <c r="D12" s="8"/>
    </row>
    <row r="13" spans="1:13" x14ac:dyDescent="0.4">
      <c r="A13" s="29" t="str">
        <f>A6</f>
        <v>**Offline for 5 - 30 minutes</v>
      </c>
      <c r="B13" s="37">
        <f>COUNTIF(J20:J65468,A6)</f>
        <v>1</v>
      </c>
      <c r="C13" s="35"/>
      <c r="D13" s="8"/>
    </row>
    <row r="14" spans="1:13" x14ac:dyDescent="0.4">
      <c r="A14" s="29" t="str">
        <f>A7</f>
        <v>**Offline for 30 - 60 minutes</v>
      </c>
      <c r="B14" s="37">
        <f>COUNTIF(J20:J65468,$A$7)</f>
        <v>1</v>
      </c>
      <c r="C14" s="35"/>
      <c r="D14" s="8"/>
    </row>
    <row r="15" spans="1:13" x14ac:dyDescent="0.4">
      <c r="A15" s="29" t="str">
        <f>A8</f>
        <v>**Offline for 60+ minutes</v>
      </c>
      <c r="B15" s="37">
        <f xml:space="preserve"> COUNTIF(J20:J65468,$A$8)</f>
        <v>1</v>
      </c>
      <c r="C15" s="35"/>
      <c r="D15" s="8"/>
    </row>
    <row r="16" spans="1:13" x14ac:dyDescent="0.4">
      <c r="A16" s="40" t="s">
        <v>117</v>
      </c>
      <c r="B16" s="37">
        <f xml:space="preserve"> COUNTIF(J20:J65469,$A$9)</f>
        <v>1</v>
      </c>
      <c r="C16" s="35"/>
      <c r="D16" s="8"/>
    </row>
    <row r="17" spans="1:13" x14ac:dyDescent="0.4">
      <c r="A17" s="29" t="str">
        <f>A10</f>
        <v>**Not active</v>
      </c>
      <c r="B17" s="37">
        <f xml:space="preserve"> COUNTIF(J20:J65468,$A$10)</f>
        <v>0</v>
      </c>
      <c r="C17" s="35"/>
      <c r="D17" s="8"/>
    </row>
    <row r="18" spans="1:13" x14ac:dyDescent="0.4">
      <c r="D18" s="8"/>
    </row>
    <row r="19" spans="1:13" s="21" customFormat="1" ht="19.2" x14ac:dyDescent="0.45">
      <c r="A19" s="14" t="s">
        <v>95</v>
      </c>
      <c r="B19" s="14" t="s">
        <v>96</v>
      </c>
      <c r="C19" s="20" t="s">
        <v>97</v>
      </c>
      <c r="D19" s="14" t="s">
        <v>98</v>
      </c>
      <c r="E19" s="14" t="s">
        <v>99</v>
      </c>
      <c r="F19" s="14" t="s">
        <v>100</v>
      </c>
      <c r="G19" s="14" t="s">
        <v>124</v>
      </c>
      <c r="H19" s="14" t="s">
        <v>269</v>
      </c>
      <c r="I19" s="14" t="s">
        <v>101</v>
      </c>
      <c r="J19" s="14" t="s">
        <v>102</v>
      </c>
      <c r="K19" s="14" t="s">
        <v>103</v>
      </c>
      <c r="L19" s="14" t="s">
        <v>104</v>
      </c>
      <c r="M19" s="14" t="s">
        <v>105</v>
      </c>
    </row>
    <row r="20" spans="1:13" x14ac:dyDescent="0.4">
      <c r="A20" s="8" t="str">
        <f>Data!A7</f>
        <v>Template Vehicle 1</v>
      </c>
      <c r="B20" s="8" t="str">
        <f>Data!C7</f>
        <v>Template Group 1</v>
      </c>
      <c r="C20" s="23" t="str">
        <f>IF(Data!G7="","",Data!G7)</f>
        <v>201 John st., Oakville, ON</v>
      </c>
      <c r="D20" s="11" t="str">
        <f>IF(MAX(L20,M20)=0,"Unknown",MAX(L20,M20))</f>
        <v>Unknown</v>
      </c>
      <c r="E20" s="8" t="str">
        <f>IFERROR(IF(OR(J20=$A$15,J20=$A$13,J20=$A$14),CONCATENATE((DATEDIF(Data!X7,Data!$B$2,"d"))," ",IF(DATEDIF(Data!X7,Data!$B$2,"d")&gt;1,"days","day")),""),"Never transmitted")</f>
        <v/>
      </c>
      <c r="F20" s="8" t="str">
        <f>IFERROR(IF(ROUNDDOWN((Data!$B$2-D20)*24,0)&lt;1,ROUNDUP((Data!$B$2-D20)*24*36,0),IF(ROUNDDOWN((Data!$B$2-D20)*24,0)&lt;24,ROUNDDOWN((Data!$B$2-D20)*24,0),ROUNDDOWN((Data!$B$2-D20),0))),"")</f>
        <v/>
      </c>
      <c r="G20" s="8" t="str">
        <f>IFERROR(LOOKUP(ROUNDDOWN((Data!$B$2-D20)*24,0),$F$1:$F$6,$G$1:$G$6),"")</f>
        <v/>
      </c>
      <c r="H20" s="8" t="str">
        <f>IF(AND(J20&lt;&gt;"OK",J20&lt;&gt;"Not active"),IF(CONCATENATE(F20,G20)="","Never transmitted",CONCATENATE(F20,G20)),"")</f>
        <v>Never transmitted</v>
      </c>
      <c r="I20" s="8" t="str">
        <f>Data!R7</f>
        <v>GTAA000003EB</v>
      </c>
      <c r="J20" s="8" t="str">
        <f>IF(OR(Data!$B$2&lt;Data!L7,Data!$B$2&gt;Data!M7),$A$10,IF(D20="Unknown",$A$9,IF(Data!$B$2-D20&gt;$B$8,$A$8,IF(Data!$B$2-D20&gt;$B$7,$A$7,IF(Data!$B$2-D20&gt;$B$6,$A$6,$A$5)))))</f>
        <v>**Not installed</v>
      </c>
      <c r="K20" s="46" t="str">
        <f>HYPERLINK("http://www.google.com/maps/place/"&amp;Data!H7&amp;","&amp;Data!I7,"Open in browser")</f>
        <v>Open in browser</v>
      </c>
      <c r="L20" s="12">
        <f>Data!X7</f>
        <v>0</v>
      </c>
      <c r="M20" s="12">
        <f>Data!Y7</f>
        <v>0</v>
      </c>
    </row>
    <row r="21" spans="1:13" x14ac:dyDescent="0.4">
      <c r="A21" s="8" t="str">
        <f>Data!A8</f>
        <v>Template Vehicle 2</v>
      </c>
      <c r="B21" s="8" t="str">
        <f>Data!C8</f>
        <v>Template Group 2</v>
      </c>
      <c r="C21" s="23" t="str">
        <f>IF(Data!G8="","",Data!G8)</f>
        <v>Template Zone 1: 1081 S Service Rd. West, Oakville, ON</v>
      </c>
      <c r="D21" s="11">
        <f>IF(MAX(L21,M21)=0,"Unknown",MAX(L21,M21))</f>
        <v>40286.371527777781</v>
      </c>
      <c r="E21" s="8" t="str">
        <f>IFERROR(IF(OR(J21=$A$15,J21=$A$13,J21=$A$14),CONCATENATE((DATEDIF(Data!X8,Data!$B$2,"d"))," ",IF(DATEDIF(Data!X8,Data!$B$2,"d")&gt;1,"days","day")),""),"Never transmitted")</f>
        <v/>
      </c>
      <c r="F21" s="8">
        <f>IF(ROUNDDOWN((Data!$B$2-D21)*24,0)&lt;1,ROUNDUP((Data!$B$2-D21)*24*36,0),IF(ROUNDDOWN((Data!$B$2-D21)*24,0)&lt;24,ROUNDDOWN((Data!$B$2-D21)*24,0),ROUNDDOWN((Data!$B$2-D21),0)))</f>
        <v>3</v>
      </c>
      <c r="G21" s="8" t="str">
        <f>IFERROR(LOOKUP(ROUNDDOWN((Data!$B$2-D21)*24,0),$F$1:$F$6,$G$1:$G$6),"")</f>
        <v xml:space="preserve"> minutes</v>
      </c>
      <c r="H21" s="8" t="str">
        <f>IF(AND(J21&lt;&gt;"OK",J21&lt;&gt;"Not active"),IF(CONCATENATE(F21,G21)="","Never transmitted",CONCATENATE(F21,G21)),"")</f>
        <v>3 minutes</v>
      </c>
      <c r="I21" s="8" t="str">
        <f>Data!R8</f>
        <v>GTA9000003EA</v>
      </c>
      <c r="J21" s="8" t="str">
        <f>IF(OR(Data!$B$2&lt;Data!L8,Data!$B$2&gt;Data!M8),$A$10,IF(D21="Unknown",$A$9,IF(Data!$B$2-D21&gt;$B$8,$A$8,IF(Data!$B$2-D21&gt;$B$7,$A$7,IF(Data!$B$2-D21&gt;$B$6,$A$6,$A$5)))))</f>
        <v>**OK</v>
      </c>
      <c r="K21" s="46" t="str">
        <f>HYPERLINK("http://www.google.com/maps/place/"&amp;Data!H8&amp;","&amp;Data!I8,"Open in browser")</f>
        <v>Open in browser</v>
      </c>
      <c r="L21" s="12">
        <f>Data!X8</f>
        <v>40286.371527777781</v>
      </c>
      <c r="M21" s="12">
        <f>Data!Y8</f>
        <v>40285.770372141204</v>
      </c>
    </row>
    <row r="22" spans="1:13" x14ac:dyDescent="0.4">
      <c r="A22" s="8" t="str">
        <f>Data!A9</f>
        <v>Template Vehicle 3</v>
      </c>
      <c r="B22" s="8" t="str">
        <f>Data!C9</f>
        <v>Template Group 2</v>
      </c>
      <c r="C22" s="23" t="str">
        <f>IF(Data!G9="","",Data!G9)</f>
        <v/>
      </c>
      <c r="D22" s="11">
        <f>IF(MAX(L22,M22)=0,"Unknown",MAX(L22,M22))</f>
        <v>40283.556863425925</v>
      </c>
      <c r="E22" s="8" t="str">
        <f>IFERROR(IF(OR(J22=$A$15,J22=$A$13,J22=$A$14),CONCATENATE((DATEDIF(Data!X9,Data!$B$2,"d"))," ",IF(DATEDIF(Data!X9,Data!$B$2,"d")&gt;1,"days","day")),""),"Never transmitted")</f>
        <v>6 days</v>
      </c>
      <c r="F22" s="8">
        <f>IF(ROUNDDOWN((Data!$B$2-D22)*24,0)&lt;1,ROUNDUP((Data!$B$2-D22)*24*36,0),IF(ROUNDDOWN((Data!$B$2-D22)*24,0)&lt;24,ROUNDDOWN((Data!$B$2-D22)*24,0),ROUNDDOWN((Data!$B$2-D22),0)))</f>
        <v>2</v>
      </c>
      <c r="G22" s="8" t="str">
        <f>IFERROR(LOOKUP(ROUNDDOWN((Data!$B$2-D22)*24,0),$F$1:$F$6,$G$1:$G$6),"")</f>
        <v xml:space="preserve"> days</v>
      </c>
      <c r="H22" s="8" t="str">
        <f>IF(AND(J22&lt;&gt;"OK",J22&lt;&gt;"Not active"),IF(CONCATENATE(F22,G22)="","Never transmitted",CONCATENATE(F22,G22)),"")</f>
        <v>2 days</v>
      </c>
      <c r="I22" s="8" t="str">
        <f>Data!R9</f>
        <v>G55320C87DC4</v>
      </c>
      <c r="J22" s="8" t="str">
        <f>IF(OR(Data!$B$2&lt;Data!L9,Data!$B$2&gt;Data!M9),$A$10,IF(D22="Unknown",$A$9,IF(Data!$B$2-D22&gt;$B$8,$A$8,IF(Data!$B$2-D22&gt;$B$7,$A$7,IF(Data!$B$2-D22&gt;$B$6,$A$6,$A$5)))))</f>
        <v>**Offline for 60+ minutes</v>
      </c>
      <c r="K22" s="46" t="str">
        <f>HYPERLINK("http://www.google.com/maps/place/"&amp;Data!H9&amp;","&amp;Data!I9,"Open in browser")</f>
        <v>Open in browser</v>
      </c>
      <c r="L22" s="12">
        <f>Data!X9</f>
        <v>40280.70275462963</v>
      </c>
      <c r="M22" s="12">
        <f>Data!Y9</f>
        <v>40283.556863425925</v>
      </c>
    </row>
    <row r="23" spans="1:13" x14ac:dyDescent="0.4">
      <c r="A23" s="8" t="str">
        <f>Data!A10</f>
        <v>Template Vehicle 4</v>
      </c>
      <c r="B23" s="8" t="str">
        <f>Data!C10</f>
        <v>No Group</v>
      </c>
      <c r="C23" s="23" t="str">
        <f>IF(Data!G10="","",Data!G10)</f>
        <v>Geotab: Redwood Sq &amp; S Service Rd W, Oakville, ON</v>
      </c>
      <c r="D23" s="11">
        <f>IF(MAX(L23,M23)=0,"Unknown",MAX(L23,M23))</f>
        <v>40286.361111111109</v>
      </c>
      <c r="E23" s="8" t="str">
        <f>IFERROR(IF(OR(J23=$A$15,J23=$A$13,J23=$A$14),CONCATENATE((DATEDIF(Data!X10,Data!$B$2,"d"))," ",IF(DATEDIF(Data!X10,Data!$B$2,"d")&gt;1,"days","day")),""),"Never transmitted")</f>
        <v>0 day</v>
      </c>
      <c r="F23" s="8">
        <f>IF(ROUNDDOWN((Data!$B$2-D23)*24,0)&lt;1,ROUNDUP((Data!$B$2-D23)*24*36,0),IF(ROUNDDOWN((Data!$B$2-D23)*24,0)&lt;24,ROUNDDOWN((Data!$B$2-D23)*24,0),ROUNDDOWN((Data!$B$2-D23),0)))</f>
        <v>13</v>
      </c>
      <c r="G23" s="8" t="str">
        <f>IFERROR(LOOKUP(ROUNDDOWN((Data!$B$2-D23)*24,0),$F$1:$F$6,$G$1:$G$6),"")</f>
        <v xml:space="preserve"> minutes</v>
      </c>
      <c r="H23" s="8" t="str">
        <f>IF(AND(J23&lt;&gt;"OK",J23&lt;&gt;"Not active"),IF(CONCATENATE(F23,G23)="","Never transmitted",CONCATENATE(F23,G23)),"")</f>
        <v>13 minutes</v>
      </c>
      <c r="I23" s="8" t="str">
        <f>Data!R10</f>
        <v>G57120C8CD56</v>
      </c>
      <c r="J23" s="8" t="str">
        <f>IF(OR(Data!$B$2&lt;Data!L10,Data!$B$2&gt;Data!M10),$A$10,IF(D23="Unknown",$A$9,IF(Data!$B$2-D23&gt;$B$8,$A$8,IF(Data!$B$2-D23&gt;$B$7,$A$7,IF(Data!$B$2-D23&gt;$B$6,$A$6,$A$5)))))</f>
        <v>**Offline for 5 - 30 minutes</v>
      </c>
      <c r="K23" s="46" t="str">
        <f>HYPERLINK("http://www.google.com/maps/place/"&amp;Data!H10&amp;","&amp;Data!I10,"Open in browser")</f>
        <v>Open in browser</v>
      </c>
      <c r="L23" s="12">
        <f>Data!X10</f>
        <v>40286.361111111109</v>
      </c>
      <c r="M23" s="12">
        <f>Data!Y10</f>
        <v>40271.346261574072</v>
      </c>
    </row>
    <row r="24" spans="1:13" x14ac:dyDescent="0.4">
      <c r="A24" s="8" t="str">
        <f>Data!A11</f>
        <v>Template Vehicle 5</v>
      </c>
      <c r="B24" s="8" t="str">
        <f>Data!C11</f>
        <v>No Group</v>
      </c>
      <c r="C24" s="23" t="str">
        <f>IF(Data!G11="","",Data!G11)</f>
        <v>Geotab: Redwood Sq &amp; S Service Rd W, Oakville, ON</v>
      </c>
      <c r="D24" s="11">
        <f>IF(MAX(L24,M24)=0,"Unknown",MAX(L24,M24))</f>
        <v>40286.347222222219</v>
      </c>
      <c r="E24" s="8" t="str">
        <f>IFERROR(IF(OR(J24=$A$15,J24=$A$13,J24=$A$14),CONCATENATE((DATEDIF(Data!X11,Data!$B$2,"d"))," ",IF(DATEDIF(Data!X11,Data!$B$2,"d")&gt;1,"days","day")),""),"Never transmitted")</f>
        <v>0 day</v>
      </c>
      <c r="F24" s="8">
        <f>IF(ROUNDDOWN((Data!$B$2-D24)*24,0)&lt;1,ROUNDUP((Data!$B$2-D24)*24*36,0),IF(ROUNDDOWN((Data!$B$2-D24)*24,0)&lt;24,ROUNDDOWN((Data!$B$2-D24)*24,0),ROUNDDOWN((Data!$B$2-D24),0)))</f>
        <v>25</v>
      </c>
      <c r="G24" s="8" t="str">
        <f>IFERROR(LOOKUP(ROUNDDOWN((Data!$B$2-D24)*24,0),$F$1:$F$6,$G$1:$G$6),"")</f>
        <v xml:space="preserve"> minutes</v>
      </c>
      <c r="H24" s="8" t="str">
        <f>IF(AND(J24&lt;&gt;"OK",J24&lt;&gt;"Not active"),IF(CONCATENATE(F24,G24)="","Never transmitted",CONCATENATE(F24,G24)),"")</f>
        <v>25 minutes</v>
      </c>
      <c r="I24" s="8" t="str">
        <f>Data!R11</f>
        <v>G57120C8CD56</v>
      </c>
      <c r="J24" s="8" t="str">
        <f>IF(OR(Data!$B$2&lt;Data!L11,Data!$B$2&gt;Data!M11),$A$10,IF(D24="Unknown",$A$9,IF(Data!$B$2-D24&gt;$B$8,$A$8,IF(Data!$B$2-D24&gt;$B$7,$A$7,IF(Data!$B$2-D24&gt;$B$6,$A$6,$A$5)))))</f>
        <v>**Offline for 30 - 60 minutes</v>
      </c>
      <c r="K24" s="46" t="str">
        <f>HYPERLINK("http://www.google.com/maps/place/"&amp;Data!H11&amp;","&amp;Data!I11,"Open in browser")</f>
        <v>Open in browser</v>
      </c>
      <c r="L24" s="12">
        <f>Data!X11</f>
        <v>40286.347222222219</v>
      </c>
      <c r="M24" s="12">
        <f>Data!Y11</f>
        <v>40259.554594907408</v>
      </c>
    </row>
  </sheetData>
  <mergeCells count="3">
    <mergeCell ref="B1:C1"/>
    <mergeCell ref="B2:C2"/>
    <mergeCell ref="B3:C3"/>
  </mergeCells>
  <conditionalFormatting sqref="H24 E20:G24">
    <cfRule type="cellIs" dxfId="35" priority="33" stopIfTrue="1" operator="equal">
      <formula>"OK"</formula>
    </cfRule>
  </conditionalFormatting>
  <conditionalFormatting sqref="H24 E20:G24">
    <cfRule type="cellIs" dxfId="34" priority="31" stopIfTrue="1" operator="equal">
      <formula>"Not communicating"</formula>
    </cfRule>
  </conditionalFormatting>
  <conditionalFormatting sqref="C18:C65536">
    <cfRule type="containsText" dxfId="33" priority="28" stopIfTrue="1" operator="containsText" text=": ">
      <formula>NOT(ISERROR(SEARCH(": ",C18)))</formula>
    </cfRule>
  </conditionalFormatting>
  <conditionalFormatting sqref="H20:H24">
    <cfRule type="cellIs" dxfId="32" priority="27" stopIfTrue="1" operator="equal">
      <formula>"OK"</formula>
    </cfRule>
  </conditionalFormatting>
  <conditionalFormatting sqref="H20:H24">
    <cfRule type="cellIs" dxfId="31" priority="26" stopIfTrue="1" operator="equal">
      <formula>"Not communicating"</formula>
    </cfRule>
  </conditionalFormatting>
  <conditionalFormatting sqref="J1:J1048576">
    <cfRule type="cellIs" dxfId="30" priority="1" stopIfTrue="1" operator="equal">
      <formula>"Not installed"</formula>
    </cfRule>
    <cfRule type="cellIs" dxfId="29" priority="24" stopIfTrue="1" operator="equal">
      <formula>"Offline for "&amp;$B$7&amp;" - "&amp;$B$8&amp;" days"</formula>
    </cfRule>
    <cfRule type="cellIs" dxfId="28" priority="25" stopIfTrue="1" operator="equal">
      <formula>"Offline for "&amp;$B$6&amp;" - "&amp;$B$7&amp;" days"</formula>
    </cfRule>
    <cfRule type="cellIs" dxfId="27" priority="34" stopIfTrue="1" operator="equal">
      <formula>"Offline for "&amp;$B$8&amp;"+ days"</formula>
    </cfRule>
    <cfRule type="cellIs" dxfId="26" priority="36" stopIfTrue="1" operator="equal">
      <formula>"OK"</formula>
    </cfRule>
  </conditionalFormatting>
  <conditionalFormatting sqref="A5:A10 A13:B15 B16 A17:B17">
    <cfRule type="cellIs" dxfId="25" priority="18" stopIfTrue="1" operator="equal">
      <formula>"Not active"</formula>
    </cfRule>
    <cfRule type="cellIs" dxfId="24" priority="19" stopIfTrue="1" operator="equal">
      <formula>"Offline for "&amp;$B$7&amp;" - "&amp;$B$8&amp;" days"</formula>
    </cfRule>
    <cfRule type="cellIs" dxfId="23" priority="20" stopIfTrue="1" operator="equal">
      <formula>"Offline for "&amp;$B$6&amp;" - "&amp;$B$7&amp;" days"</formula>
    </cfRule>
    <cfRule type="cellIs" dxfId="22" priority="21" stopIfTrue="1" operator="equal">
      <formula>"Offline for "&amp;$B$8&amp;"+ days"</formula>
    </cfRule>
    <cfRule type="cellIs" dxfId="21" priority="22" stopIfTrue="1" operator="equal">
      <formula>"OK"</formula>
    </cfRule>
  </conditionalFormatting>
  <conditionalFormatting sqref="B6">
    <cfRule type="cellIs" dxfId="20" priority="13" stopIfTrue="1" operator="equal">
      <formula>"Not active"</formula>
    </cfRule>
    <cfRule type="cellIs" dxfId="19" priority="14" stopIfTrue="1" operator="equal">
      <formula>"Offline for "&amp;$B$7&amp;" - "&amp;$B$8&amp;" days"</formula>
    </cfRule>
    <cfRule type="cellIs" dxfId="18" priority="15" stopIfTrue="1" operator="equal">
      <formula>"Offline for "&amp;$B$6&amp;" - "&amp;$B$7&amp;" days"</formula>
    </cfRule>
    <cfRule type="cellIs" dxfId="17" priority="16" stopIfTrue="1" operator="equal">
      <formula>"Offline for "&amp;$B$8&amp;"+ days"</formula>
    </cfRule>
    <cfRule type="cellIs" dxfId="16" priority="17" stopIfTrue="1" operator="equal">
      <formula>"OK"</formula>
    </cfRule>
  </conditionalFormatting>
  <conditionalFormatting sqref="A11:B12">
    <cfRule type="cellIs" dxfId="15" priority="8" stopIfTrue="1" operator="equal">
      <formula>"Not active"</formula>
    </cfRule>
    <cfRule type="cellIs" dxfId="14" priority="9" stopIfTrue="1" operator="equal">
      <formula>"Offline for "&amp;$B$7&amp;" - "&amp;$B$8&amp;" days"</formula>
    </cfRule>
    <cfRule type="cellIs" dxfId="13" priority="10" stopIfTrue="1" operator="equal">
      <formula>"Offline for "&amp;$B$6&amp;" - "&amp;$B$7&amp;" days"</formula>
    </cfRule>
    <cfRule type="cellIs" dxfId="12" priority="11" stopIfTrue="1" operator="equal">
      <formula>"Offline for "&amp;$B$8&amp;"+ days"</formula>
    </cfRule>
    <cfRule type="cellIs" dxfId="11" priority="12" stopIfTrue="1" operator="equal">
      <formula>"OK"</formula>
    </cfRule>
  </conditionalFormatting>
  <conditionalFormatting sqref="A16">
    <cfRule type="cellIs" dxfId="10" priority="3" stopIfTrue="1" operator="equal">
      <formula>"Not active"</formula>
    </cfRule>
    <cfRule type="cellIs" dxfId="9" priority="4" stopIfTrue="1" operator="equal">
      <formula>"Offline for "&amp;$B$7&amp;" - "&amp;$B$8&amp;" days"</formula>
    </cfRule>
    <cfRule type="cellIs" dxfId="8" priority="5" stopIfTrue="1" operator="equal">
      <formula>"Offline for "&amp;$B$6&amp;" - "&amp;$B$7&amp;" days"</formula>
    </cfRule>
    <cfRule type="cellIs" dxfId="7" priority="6" stopIfTrue="1" operator="equal">
      <formula>"Offline for "&amp;$B$8&amp;"+ days"</formula>
    </cfRule>
    <cfRule type="cellIs" dxfId="6" priority="7" stopIfTrue="1" operator="equal">
      <formula>"OK"</formula>
    </cfRule>
  </conditionalFormatting>
  <conditionalFormatting sqref="J6">
    <cfRule type="cellIs" dxfId="5" priority="2" stopIfTrue="1" operator="equal">
      <formula>"Not installed"</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7"/>
  <sheetViews>
    <sheetView showGridLines="0" tabSelected="1" zoomScaleNormal="100" workbookViewId="0">
      <selection activeCell="M7" sqref="M7"/>
    </sheetView>
  </sheetViews>
  <sheetFormatPr defaultColWidth="8.88671875" defaultRowHeight="16.8" x14ac:dyDescent="0.4"/>
  <cols>
    <col min="1" max="1" width="18.6640625" style="16" customWidth="1"/>
    <col min="2" max="2" width="15" style="16" customWidth="1"/>
    <col min="3" max="3" width="13.33203125" style="16" customWidth="1"/>
    <col min="4" max="4" width="14.6640625" style="16" customWidth="1"/>
    <col min="5" max="5" width="15.33203125" style="16" customWidth="1"/>
    <col min="6" max="6" width="12.6640625" style="16" customWidth="1"/>
    <col min="7" max="7" width="12.33203125" style="16" customWidth="1"/>
    <col min="8" max="8" width="9.88671875" style="16" customWidth="1"/>
    <col min="9" max="10" width="11" style="16" customWidth="1"/>
    <col min="11" max="11" width="12.33203125" style="16" customWidth="1"/>
    <col min="12" max="12" width="13.6640625" style="16" customWidth="1"/>
    <col min="13" max="13" width="19.109375" style="16" customWidth="1"/>
    <col min="14" max="14" width="16.6640625" style="16" customWidth="1"/>
    <col min="15" max="15" width="19.109375" style="16" customWidth="1"/>
    <col min="16" max="16" width="30.109375" style="16" customWidth="1"/>
    <col min="17" max="17" width="42" style="16" customWidth="1"/>
    <col min="18" max="18" width="152.5546875" style="16" customWidth="1"/>
    <col min="19" max="22" width="19.109375" style="16" customWidth="1"/>
    <col min="23" max="16384" width="8.88671875" style="16"/>
  </cols>
  <sheetData>
    <row r="1" spans="1:4" x14ac:dyDescent="0.4">
      <c r="A1" s="15"/>
    </row>
    <row r="2" spans="1:4" x14ac:dyDescent="0.4">
      <c r="A2" s="15"/>
    </row>
    <row r="3" spans="1:4" x14ac:dyDescent="0.4">
      <c r="A3" s="15"/>
      <c r="B3" s="17"/>
    </row>
    <row r="4" spans="1:4" x14ac:dyDescent="0.4">
      <c r="A4" s="15"/>
      <c r="B4" s="17"/>
    </row>
    <row r="5" spans="1:4" x14ac:dyDescent="0.4">
      <c r="A5" s="15"/>
      <c r="B5" s="17"/>
    </row>
    <row r="10" spans="1:4" x14ac:dyDescent="0.4">
      <c r="D10" s="18"/>
    </row>
    <row r="11" spans="1:4" x14ac:dyDescent="0.4">
      <c r="D11" s="18"/>
    </row>
    <row r="17" spans="4:4" x14ac:dyDescent="0.4">
      <c r="D17" s="16" t="s">
        <v>107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0"/>
  <sheetViews>
    <sheetView showGridLines="0" workbookViewId="0"/>
  </sheetViews>
  <sheetFormatPr defaultColWidth="9.109375" defaultRowHeight="16.8" x14ac:dyDescent="0.4"/>
  <cols>
    <col min="1" max="1" width="46" style="8" bestFit="1" customWidth="1"/>
    <col min="2" max="2" width="20.5546875" style="8" customWidth="1"/>
    <col min="3" max="3" width="25.109375" style="8" customWidth="1"/>
    <col min="4" max="4" width="20.109375" style="8" customWidth="1"/>
    <col min="5" max="5" width="17" style="8" customWidth="1"/>
    <col min="6" max="8" width="15.88671875" style="8" customWidth="1"/>
    <col min="9" max="9" width="10.5546875" style="8" customWidth="1"/>
    <col min="10" max="10" width="9.109375" style="8" customWidth="1"/>
    <col min="11" max="16384" width="9.109375" style="8"/>
  </cols>
  <sheetData>
    <row r="1" spans="1:11" x14ac:dyDescent="0.4">
      <c r="A1" s="13" t="s">
        <v>108</v>
      </c>
      <c r="B1" s="9">
        <f>Data!B2</f>
        <v>40286.375</v>
      </c>
    </row>
    <row r="2" spans="1:11" hidden="1" x14ac:dyDescent="0.4">
      <c r="A2" s="13" t="s">
        <v>83</v>
      </c>
      <c r="B2" s="26" t="str">
        <f>Report!A13</f>
        <v>**Offline for 5 - 30 minutes</v>
      </c>
    </row>
    <row r="3" spans="1:11" hidden="1" x14ac:dyDescent="0.4">
      <c r="A3" s="13" t="s">
        <v>84</v>
      </c>
      <c r="B3" s="26" t="str">
        <f>Report!A14</f>
        <v>**Offline for 30 - 60 minutes</v>
      </c>
    </row>
    <row r="4" spans="1:11" hidden="1" x14ac:dyDescent="0.4">
      <c r="A4" s="13" t="s">
        <v>85</v>
      </c>
      <c r="B4" s="26" t="str">
        <f>Report!A15</f>
        <v>**Offline for 60+ minutes</v>
      </c>
    </row>
    <row r="5" spans="1:11" x14ac:dyDescent="0.4">
      <c r="A5"/>
      <c r="B5"/>
    </row>
    <row r="7" spans="1:11" x14ac:dyDescent="0.4">
      <c r="A7" s="50"/>
      <c r="B7" s="50"/>
      <c r="C7" s="50"/>
      <c r="D7" s="50"/>
      <c r="E7" s="50"/>
      <c r="F7" s="50"/>
      <c r="G7" s="50"/>
      <c r="H7" s="50"/>
      <c r="I7" s="50"/>
      <c r="J7"/>
      <c r="K7"/>
    </row>
    <row r="8" spans="1:11" x14ac:dyDescent="0.4">
      <c r="A8" s="51" t="s">
        <v>95</v>
      </c>
      <c r="B8" s="51" t="s">
        <v>96</v>
      </c>
      <c r="C8" s="51" t="s">
        <v>102</v>
      </c>
      <c r="D8" s="50"/>
      <c r="E8" s="50"/>
      <c r="F8" s="50"/>
      <c r="G8" s="50"/>
      <c r="H8" s="50"/>
      <c r="I8" s="50"/>
      <c r="J8"/>
      <c r="K8"/>
    </row>
    <row r="9" spans="1:11" x14ac:dyDescent="0.4">
      <c r="A9" s="50" t="s">
        <v>33</v>
      </c>
      <c r="B9" s="50" t="s">
        <v>35</v>
      </c>
      <c r="C9" s="50" t="s">
        <v>117</v>
      </c>
      <c r="D9" s="50"/>
      <c r="E9" s="50"/>
      <c r="F9" s="50"/>
      <c r="G9" s="50"/>
      <c r="H9" s="50"/>
      <c r="I9" s="50"/>
      <c r="J9"/>
      <c r="K9"/>
    </row>
    <row r="10" spans="1:11" x14ac:dyDescent="0.4">
      <c r="A10" s="50" t="s">
        <v>34</v>
      </c>
      <c r="B10" s="50" t="s">
        <v>36</v>
      </c>
      <c r="C10" s="50" t="s">
        <v>109</v>
      </c>
      <c r="D10" s="50"/>
      <c r="E10" s="50"/>
      <c r="F10" s="50"/>
      <c r="G10" s="50"/>
      <c r="H10" s="50"/>
      <c r="I10" s="50"/>
      <c r="J10"/>
      <c r="K10"/>
    </row>
    <row r="11" spans="1:11" x14ac:dyDescent="0.4">
      <c r="A11" s="50" t="s">
        <v>64</v>
      </c>
      <c r="B11" s="50" t="s">
        <v>36</v>
      </c>
      <c r="C11" s="50" t="s">
        <v>265</v>
      </c>
      <c r="D11" s="50"/>
      <c r="E11" s="50"/>
      <c r="F11" s="50"/>
      <c r="G11" s="50"/>
      <c r="H11" s="50"/>
      <c r="I11" s="50"/>
      <c r="J11"/>
      <c r="K11"/>
    </row>
    <row r="12" spans="1:11" x14ac:dyDescent="0.4">
      <c r="A12" s="50" t="s">
        <v>65</v>
      </c>
      <c r="B12" s="50" t="s">
        <v>59</v>
      </c>
      <c r="C12" s="50" t="s">
        <v>263</v>
      </c>
      <c r="D12" s="50"/>
      <c r="E12" s="50"/>
      <c r="F12" s="50"/>
      <c r="G12" s="50"/>
      <c r="H12" s="50"/>
      <c r="I12" s="50"/>
      <c r="J12"/>
    </row>
    <row r="13" spans="1:11" x14ac:dyDescent="0.4">
      <c r="A13" s="50" t="s">
        <v>69</v>
      </c>
      <c r="B13" s="50" t="s">
        <v>59</v>
      </c>
      <c r="C13" s="50" t="s">
        <v>264</v>
      </c>
      <c r="D13" s="50"/>
      <c r="E13" s="50"/>
      <c r="F13" s="50"/>
      <c r="G13" s="50"/>
      <c r="H13" s="50"/>
      <c r="I13" s="50"/>
      <c r="J13"/>
    </row>
    <row r="14" spans="1:11" x14ac:dyDescent="0.4">
      <c r="A14"/>
      <c r="B14"/>
      <c r="C14"/>
      <c r="D14"/>
      <c r="E14"/>
      <c r="F14"/>
      <c r="G14"/>
    </row>
    <row r="15" spans="1:11" x14ac:dyDescent="0.4">
      <c r="A15"/>
      <c r="B15"/>
      <c r="C15"/>
      <c r="D15"/>
      <c r="E15"/>
      <c r="F15"/>
      <c r="G15"/>
    </row>
    <row r="16" spans="1:11" x14ac:dyDescent="0.4">
      <c r="A16"/>
      <c r="B16"/>
      <c r="C16"/>
      <c r="D16"/>
      <c r="E16"/>
      <c r="F16"/>
      <c r="G16"/>
    </row>
    <row r="17" spans="1:7" x14ac:dyDescent="0.4">
      <c r="A17"/>
      <c r="B17"/>
      <c r="C17"/>
      <c r="D17"/>
      <c r="E17"/>
      <c r="F17"/>
      <c r="G17"/>
    </row>
    <row r="18" spans="1:7" x14ac:dyDescent="0.4">
      <c r="A18"/>
      <c r="B18"/>
      <c r="C18"/>
      <c r="D18"/>
      <c r="E18"/>
      <c r="F18"/>
      <c r="G18"/>
    </row>
    <row r="19" spans="1:7" x14ac:dyDescent="0.4">
      <c r="A19"/>
      <c r="B19"/>
      <c r="C19"/>
      <c r="D19"/>
      <c r="E19"/>
      <c r="F19"/>
      <c r="G19"/>
    </row>
    <row r="20" spans="1:7" x14ac:dyDescent="0.4">
      <c r="A20"/>
      <c r="B20"/>
      <c r="C20"/>
      <c r="D20"/>
      <c r="E20"/>
      <c r="F20"/>
      <c r="G20"/>
    </row>
  </sheetData>
  <conditionalFormatting sqref="B1:B1048576">
    <cfRule type="cellIs" dxfId="4" priority="1" stopIfTrue="1" operator="equal">
      <formula>"Not installed"</formula>
    </cfRule>
    <cfRule type="cellIs" dxfId="3" priority="2" stopIfTrue="1" operator="equal">
      <formula>$B$3</formula>
    </cfRule>
    <cfRule type="cellIs" dxfId="2" priority="3" stopIfTrue="1" operator="equal">
      <formula>$B$2</formula>
    </cfRule>
    <cfRule type="cellIs" dxfId="1" priority="10" stopIfTrue="1" operator="equal">
      <formula>"OK"</formula>
    </cfRule>
    <cfRule type="cellIs" dxfId="0" priority="11" stopIfTrue="1" operator="equal">
      <formula>$B$4</formula>
    </cfRule>
  </conditionalFormatting>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1"/>
  <sheetViews>
    <sheetView workbookViewId="0"/>
  </sheetViews>
  <sheetFormatPr defaultRowHeight="13.2" x14ac:dyDescent="0.25"/>
  <cols>
    <col min="1" max="1" width="30" customWidth="1"/>
    <col min="2" max="2" width="36.6640625" bestFit="1" customWidth="1"/>
    <col min="3" max="3" width="36.88671875" bestFit="1" customWidth="1"/>
    <col min="4" max="5" width="30" customWidth="1"/>
  </cols>
  <sheetData>
    <row r="1" spans="1:5" s="45" customFormat="1" x14ac:dyDescent="0.25">
      <c r="A1" s="44" t="s">
        <v>90</v>
      </c>
      <c r="B1" s="45" t="s">
        <v>91</v>
      </c>
      <c r="C1" s="45" t="s">
        <v>92</v>
      </c>
      <c r="D1" s="45" t="s">
        <v>93</v>
      </c>
      <c r="E1" s="45" t="s">
        <v>94</v>
      </c>
    </row>
    <row r="2" spans="1:5" x14ac:dyDescent="0.25">
      <c r="A2" s="42" t="s">
        <v>95</v>
      </c>
      <c r="B2" t="s">
        <v>125</v>
      </c>
      <c r="C2" t="s">
        <v>126</v>
      </c>
      <c r="D2" t="s">
        <v>127</v>
      </c>
      <c r="E2" t="s">
        <v>128</v>
      </c>
    </row>
    <row r="3" spans="1:5" x14ac:dyDescent="0.25">
      <c r="A3" s="42" t="s">
        <v>96</v>
      </c>
      <c r="B3" t="s">
        <v>129</v>
      </c>
      <c r="C3" t="s">
        <v>130</v>
      </c>
      <c r="D3" t="s">
        <v>131</v>
      </c>
      <c r="E3" t="s">
        <v>132</v>
      </c>
    </row>
    <row r="4" spans="1:5" x14ac:dyDescent="0.25">
      <c r="A4" s="42" t="s">
        <v>97</v>
      </c>
      <c r="B4" t="s">
        <v>133</v>
      </c>
      <c r="C4" t="s">
        <v>134</v>
      </c>
      <c r="D4" t="s">
        <v>135</v>
      </c>
      <c r="E4" t="s">
        <v>136</v>
      </c>
    </row>
    <row r="5" spans="1:5" x14ac:dyDescent="0.25">
      <c r="A5" s="42" t="s">
        <v>98</v>
      </c>
      <c r="B5" t="s">
        <v>137</v>
      </c>
      <c r="C5" t="s">
        <v>138</v>
      </c>
      <c r="D5" t="s">
        <v>139</v>
      </c>
      <c r="E5" t="s">
        <v>140</v>
      </c>
    </row>
    <row r="6" spans="1:5" x14ac:dyDescent="0.25">
      <c r="A6" s="42" t="s">
        <v>99</v>
      </c>
      <c r="B6" t="s">
        <v>141</v>
      </c>
      <c r="C6" t="s">
        <v>142</v>
      </c>
      <c r="D6" t="s">
        <v>143</v>
      </c>
      <c r="E6" t="s">
        <v>144</v>
      </c>
    </row>
    <row r="7" spans="1:5" x14ac:dyDescent="0.25">
      <c r="A7" s="42" t="s">
        <v>100</v>
      </c>
      <c r="B7" t="s">
        <v>145</v>
      </c>
      <c r="C7" t="s">
        <v>146</v>
      </c>
      <c r="D7" t="s">
        <v>147</v>
      </c>
      <c r="E7" t="s">
        <v>148</v>
      </c>
    </row>
    <row r="8" spans="1:5" x14ac:dyDescent="0.25">
      <c r="A8" s="42" t="s">
        <v>124</v>
      </c>
      <c r="B8" t="s">
        <v>149</v>
      </c>
      <c r="C8" t="s">
        <v>150</v>
      </c>
      <c r="D8" t="s">
        <v>151</v>
      </c>
      <c r="E8" t="s">
        <v>152</v>
      </c>
    </row>
    <row r="9" spans="1:5" ht="26.4" x14ac:dyDescent="0.25">
      <c r="A9" s="42" t="s">
        <v>269</v>
      </c>
      <c r="B9" t="s">
        <v>273</v>
      </c>
      <c r="C9" s="42" t="s">
        <v>272</v>
      </c>
      <c r="D9" t="s">
        <v>271</v>
      </c>
      <c r="E9" t="s">
        <v>270</v>
      </c>
    </row>
    <row r="10" spans="1:5" x14ac:dyDescent="0.25">
      <c r="A10" s="42" t="s">
        <v>101</v>
      </c>
      <c r="B10" t="s">
        <v>153</v>
      </c>
      <c r="C10" t="s">
        <v>154</v>
      </c>
      <c r="D10" t="s">
        <v>155</v>
      </c>
      <c r="E10" t="s">
        <v>156</v>
      </c>
    </row>
    <row r="11" spans="1:5" x14ac:dyDescent="0.25">
      <c r="A11" s="42" t="s">
        <v>102</v>
      </c>
      <c r="B11" t="s">
        <v>157</v>
      </c>
      <c r="C11" t="s">
        <v>158</v>
      </c>
      <c r="D11" t="s">
        <v>78</v>
      </c>
      <c r="E11" t="s">
        <v>159</v>
      </c>
    </row>
    <row r="12" spans="1:5" x14ac:dyDescent="0.25">
      <c r="A12" s="42" t="s">
        <v>103</v>
      </c>
      <c r="B12" t="s">
        <v>160</v>
      </c>
      <c r="C12" t="s">
        <v>161</v>
      </c>
      <c r="D12" t="s">
        <v>162</v>
      </c>
      <c r="E12" t="s">
        <v>163</v>
      </c>
    </row>
    <row r="13" spans="1:5" x14ac:dyDescent="0.25">
      <c r="A13" s="42" t="s">
        <v>104</v>
      </c>
      <c r="B13" t="s">
        <v>164</v>
      </c>
      <c r="C13" t="s">
        <v>165</v>
      </c>
      <c r="D13" t="s">
        <v>166</v>
      </c>
      <c r="E13" t="s">
        <v>167</v>
      </c>
    </row>
    <row r="14" spans="1:5" x14ac:dyDescent="0.25">
      <c r="A14" s="42" t="s">
        <v>105</v>
      </c>
      <c r="B14" t="s">
        <v>168</v>
      </c>
      <c r="C14" t="s">
        <v>169</v>
      </c>
      <c r="D14" t="s">
        <v>170</v>
      </c>
      <c r="E14" t="s">
        <v>171</v>
      </c>
    </row>
    <row r="15" spans="1:5" x14ac:dyDescent="0.25">
      <c r="A15" s="42" t="s">
        <v>108</v>
      </c>
      <c r="B15" t="s">
        <v>172</v>
      </c>
      <c r="C15" t="s">
        <v>173</v>
      </c>
      <c r="D15" t="s">
        <v>174</v>
      </c>
      <c r="E15" t="s">
        <v>175</v>
      </c>
    </row>
    <row r="16" spans="1:5" x14ac:dyDescent="0.25">
      <c r="A16" s="42" t="s">
        <v>121</v>
      </c>
      <c r="B16" t="s">
        <v>176</v>
      </c>
      <c r="C16" t="s">
        <v>177</v>
      </c>
      <c r="D16" t="s">
        <v>178</v>
      </c>
      <c r="E16" t="s">
        <v>179</v>
      </c>
    </row>
    <row r="17" spans="1:5" x14ac:dyDescent="0.25">
      <c r="A17" s="42" t="s">
        <v>122</v>
      </c>
      <c r="B17" t="s">
        <v>180</v>
      </c>
      <c r="C17" t="s">
        <v>181</v>
      </c>
      <c r="D17" t="s">
        <v>182</v>
      </c>
      <c r="E17" t="s">
        <v>183</v>
      </c>
    </row>
    <row r="18" spans="1:5" x14ac:dyDescent="0.25">
      <c r="A18" s="42" t="s">
        <v>120</v>
      </c>
      <c r="B18" t="s">
        <v>184</v>
      </c>
      <c r="C18" t="s">
        <v>185</v>
      </c>
      <c r="D18" t="s">
        <v>186</v>
      </c>
      <c r="E18" t="s">
        <v>187</v>
      </c>
    </row>
    <row r="19" spans="1:5" x14ac:dyDescent="0.25">
      <c r="A19" s="42" t="s">
        <v>123</v>
      </c>
      <c r="B19" t="s">
        <v>188</v>
      </c>
      <c r="C19" t="s">
        <v>189</v>
      </c>
      <c r="D19" t="s">
        <v>190</v>
      </c>
      <c r="E19" t="s">
        <v>191</v>
      </c>
    </row>
    <row r="20" spans="1:5" x14ac:dyDescent="0.25">
      <c r="A20" s="42" t="s">
        <v>106</v>
      </c>
      <c r="B20" t="s">
        <v>192</v>
      </c>
      <c r="C20" t="s">
        <v>193</v>
      </c>
      <c r="D20" t="s">
        <v>194</v>
      </c>
      <c r="E20" t="s">
        <v>195</v>
      </c>
    </row>
    <row r="21" spans="1:5" x14ac:dyDescent="0.25">
      <c r="A21" s="42" t="s">
        <v>109</v>
      </c>
      <c r="B21" t="s">
        <v>30</v>
      </c>
      <c r="C21" t="s">
        <v>30</v>
      </c>
      <c r="D21" t="s">
        <v>30</v>
      </c>
      <c r="E21" t="s">
        <v>30</v>
      </c>
    </row>
    <row r="22" spans="1:5" x14ac:dyDescent="0.25">
      <c r="A22" s="42" t="s">
        <v>263</v>
      </c>
      <c r="B22" t="s">
        <v>274</v>
      </c>
      <c r="C22" t="s">
        <v>266</v>
      </c>
      <c r="D22" t="s">
        <v>275</v>
      </c>
      <c r="E22" t="s">
        <v>276</v>
      </c>
    </row>
    <row r="23" spans="1:5" x14ac:dyDescent="0.25">
      <c r="A23" s="42" t="s">
        <v>264</v>
      </c>
      <c r="B23" t="s">
        <v>278</v>
      </c>
      <c r="C23" t="s">
        <v>267</v>
      </c>
      <c r="D23" t="s">
        <v>279</v>
      </c>
      <c r="E23" t="s">
        <v>277</v>
      </c>
    </row>
    <row r="24" spans="1:5" x14ac:dyDescent="0.25">
      <c r="A24" s="42" t="s">
        <v>265</v>
      </c>
      <c r="B24" t="s">
        <v>281</v>
      </c>
      <c r="C24" t="s">
        <v>268</v>
      </c>
      <c r="D24" t="s">
        <v>280</v>
      </c>
      <c r="E24" t="s">
        <v>282</v>
      </c>
    </row>
    <row r="25" spans="1:5" x14ac:dyDescent="0.25">
      <c r="A25" s="42" t="s">
        <v>117</v>
      </c>
      <c r="B25" t="s">
        <v>196</v>
      </c>
      <c r="C25" t="s">
        <v>197</v>
      </c>
      <c r="D25" t="s">
        <v>198</v>
      </c>
      <c r="E25" t="s">
        <v>199</v>
      </c>
    </row>
    <row r="26" spans="1:5" x14ac:dyDescent="0.25">
      <c r="A26" s="42" t="s">
        <v>118</v>
      </c>
      <c r="B26" t="s">
        <v>200</v>
      </c>
      <c r="C26" t="s">
        <v>201</v>
      </c>
      <c r="D26" t="s">
        <v>202</v>
      </c>
      <c r="E26" t="s">
        <v>203</v>
      </c>
    </row>
    <row r="27" spans="1:5" x14ac:dyDescent="0.25">
      <c r="A27" s="42" t="s">
        <v>110</v>
      </c>
      <c r="B27" t="s">
        <v>204</v>
      </c>
      <c r="C27" t="s">
        <v>205</v>
      </c>
      <c r="D27" t="s">
        <v>206</v>
      </c>
      <c r="E27" t="s">
        <v>207</v>
      </c>
    </row>
    <row r="28" spans="1:5" ht="132" x14ac:dyDescent="0.25">
      <c r="A28" s="42" t="s">
        <v>208</v>
      </c>
      <c r="B28" s="42" t="s">
        <v>209</v>
      </c>
      <c r="C28" s="42" t="s">
        <v>210</v>
      </c>
      <c r="D28" s="42" t="s">
        <v>211</v>
      </c>
      <c r="E28" s="42" t="s">
        <v>212</v>
      </c>
    </row>
    <row r="29" spans="1:5" ht="19.2" customHeight="1" x14ac:dyDescent="0.25">
      <c r="A29" s="42" t="s">
        <v>111</v>
      </c>
      <c r="B29" s="42" t="s">
        <v>213</v>
      </c>
      <c r="C29" s="42" t="s">
        <v>214</v>
      </c>
      <c r="D29" s="42" t="s">
        <v>215</v>
      </c>
      <c r="E29" s="42" t="s">
        <v>216</v>
      </c>
    </row>
    <row r="30" spans="1:5" ht="212.4" x14ac:dyDescent="0.35">
      <c r="A30" s="43" t="s">
        <v>119</v>
      </c>
      <c r="B30" s="42" t="s">
        <v>217</v>
      </c>
      <c r="C30" s="42" t="s">
        <v>218</v>
      </c>
      <c r="D30" s="42" t="s">
        <v>219</v>
      </c>
      <c r="E30" s="42" t="s">
        <v>220</v>
      </c>
    </row>
    <row r="31" spans="1:5" ht="39.6" x14ac:dyDescent="0.25">
      <c r="A31" s="42" t="s">
        <v>112</v>
      </c>
      <c r="B31" s="42" t="s">
        <v>221</v>
      </c>
      <c r="C31" s="42" t="s">
        <v>222</v>
      </c>
      <c r="D31" s="42" t="s">
        <v>223</v>
      </c>
      <c r="E31" s="42" t="s">
        <v>224</v>
      </c>
    </row>
    <row r="32" spans="1:5" ht="39.6" x14ac:dyDescent="0.25">
      <c r="A32" s="42" t="s">
        <v>251</v>
      </c>
      <c r="B32" s="42" t="s">
        <v>289</v>
      </c>
      <c r="C32" s="42" t="s">
        <v>286</v>
      </c>
      <c r="D32" s="42" t="s">
        <v>252</v>
      </c>
      <c r="E32" s="42" t="s">
        <v>283</v>
      </c>
    </row>
    <row r="33" spans="1:5" x14ac:dyDescent="0.25">
      <c r="A33" s="42" t="s">
        <v>113</v>
      </c>
      <c r="B33" s="42" t="s">
        <v>225</v>
      </c>
      <c r="C33" s="42" t="s">
        <v>226</v>
      </c>
      <c r="D33" s="42" t="s">
        <v>227</v>
      </c>
      <c r="E33" s="42" t="s">
        <v>228</v>
      </c>
    </row>
    <row r="34" spans="1:5" ht="26.4" x14ac:dyDescent="0.25">
      <c r="A34" s="42" t="s">
        <v>253</v>
      </c>
      <c r="B34" s="42" t="s">
        <v>256</v>
      </c>
      <c r="C34" s="42" t="s">
        <v>254</v>
      </c>
      <c r="D34" s="42" t="s">
        <v>255</v>
      </c>
      <c r="E34" s="42" t="s">
        <v>284</v>
      </c>
    </row>
    <row r="35" spans="1:5" ht="105.6" x14ac:dyDescent="0.25">
      <c r="A35" s="42" t="s">
        <v>114</v>
      </c>
      <c r="B35" s="42" t="s">
        <v>229</v>
      </c>
      <c r="C35" s="42" t="s">
        <v>230</v>
      </c>
      <c r="D35" s="42" t="s">
        <v>231</v>
      </c>
      <c r="E35" s="42" t="s">
        <v>232</v>
      </c>
    </row>
    <row r="36" spans="1:5" ht="26.4" x14ac:dyDescent="0.25">
      <c r="A36" s="42" t="s">
        <v>257</v>
      </c>
      <c r="B36" s="42" t="s">
        <v>258</v>
      </c>
      <c r="C36" s="42" t="s">
        <v>287</v>
      </c>
      <c r="D36" s="42" t="s">
        <v>259</v>
      </c>
      <c r="E36" s="42" t="s">
        <v>285</v>
      </c>
    </row>
    <row r="37" spans="1:5" ht="105.6" x14ac:dyDescent="0.25">
      <c r="A37" s="42" t="s">
        <v>115</v>
      </c>
      <c r="B37" s="42" t="s">
        <v>233</v>
      </c>
      <c r="C37" s="42" t="s">
        <v>234</v>
      </c>
      <c r="D37" s="42" t="s">
        <v>235</v>
      </c>
      <c r="E37" s="42" t="s">
        <v>236</v>
      </c>
    </row>
    <row r="38" spans="1:5" ht="26.4" x14ac:dyDescent="0.25">
      <c r="A38" s="42" t="s">
        <v>260</v>
      </c>
      <c r="B38" s="42" t="s">
        <v>261</v>
      </c>
      <c r="C38" s="42" t="s">
        <v>288</v>
      </c>
      <c r="D38" s="42" t="s">
        <v>262</v>
      </c>
      <c r="E38" s="42" t="s">
        <v>282</v>
      </c>
    </row>
    <row r="39" spans="1:5" ht="184.8" x14ac:dyDescent="0.25">
      <c r="A39" s="42" t="s">
        <v>116</v>
      </c>
      <c r="B39" s="42" t="s">
        <v>237</v>
      </c>
      <c r="C39" s="42" t="s">
        <v>238</v>
      </c>
      <c r="D39" s="42" t="s">
        <v>239</v>
      </c>
      <c r="E39" s="42" t="s">
        <v>240</v>
      </c>
    </row>
    <row r="40" spans="1:5" ht="26.4" x14ac:dyDescent="0.25">
      <c r="A40" s="42" t="s">
        <v>241</v>
      </c>
      <c r="B40" s="42" t="s">
        <v>242</v>
      </c>
      <c r="C40" s="42" t="s">
        <v>243</v>
      </c>
      <c r="D40" s="42" t="s">
        <v>244</v>
      </c>
      <c r="E40" s="42" t="s">
        <v>245</v>
      </c>
    </row>
    <row r="41" spans="1:5" ht="39.6" x14ac:dyDescent="0.25">
      <c r="A41" s="42" t="s">
        <v>246</v>
      </c>
      <c r="B41" s="42" t="s">
        <v>247</v>
      </c>
      <c r="C41" s="42" t="s">
        <v>248</v>
      </c>
      <c r="D41" s="42" t="s">
        <v>249</v>
      </c>
      <c r="E41" s="42" t="s">
        <v>250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Data</vt:lpstr>
      <vt:lpstr>Report</vt:lpstr>
      <vt:lpstr>Chart</vt:lpstr>
      <vt:lpstr>Summary</vt:lpstr>
      <vt:lpstr>Languages</vt:lpstr>
      <vt:lpstr>AllData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dc:creator>
  <cp:lastModifiedBy>Jason Widla</cp:lastModifiedBy>
  <dcterms:created xsi:type="dcterms:W3CDTF">2009-12-22T20:29:52Z</dcterms:created>
  <dcterms:modified xsi:type="dcterms:W3CDTF">2017-03-14T17:09:02Z</dcterms:modified>
</cp:coreProperties>
</file>