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JasonWidla\Desktop\"/>
    </mc:Choice>
  </mc:AlternateContent>
  <bookViews>
    <workbookView xWindow="0" yWindow="0" windowWidth="19200" windowHeight="6375" firstSheet="2" activeTab="2"/>
  </bookViews>
  <sheets>
    <sheet name="Data" sheetId="1" state="hidden" r:id="rId1"/>
    <sheet name="Report" sheetId="2" state="hidden" r:id="rId2"/>
    <sheet name="Fleet Avg" sheetId="4" r:id="rId3"/>
    <sheet name="Summary" sheetId="3" state="hidden" r:id="rId4"/>
    <sheet name="Languages" sheetId="5" state="hidden" r:id="rId5"/>
  </sheets>
  <definedNames>
    <definedName name="_xlnm._FilterDatabase" localSheetId="0" hidden="1">Data!$A$10:$J$15</definedName>
    <definedName name="_xlnm._FilterDatabase" localSheetId="1" hidden="1">Report!$A$9:$F$14</definedName>
    <definedName name="AllData">Report!$A$9:$F$14</definedName>
  </definedNames>
  <calcPr calcId="152511" forceFullCalc="1"/>
  <pivotCaches>
    <pivotCache cacheId="13" r:id="rId6"/>
  </pivotCaches>
</workbook>
</file>

<file path=xl/calcChain.xml><?xml version="1.0" encoding="utf-8"?>
<calcChain xmlns="http://schemas.openxmlformats.org/spreadsheetml/2006/main">
  <c r="B7" i="3" l="1"/>
  <c r="B6" i="3"/>
  <c r="B5" i="3"/>
  <c r="B4" i="3"/>
  <c r="B3" i="3"/>
  <c r="F14" i="2"/>
  <c r="E14" i="2"/>
  <c r="D14" i="2"/>
  <c r="C14" i="2"/>
  <c r="B14" i="2"/>
  <c r="A14" i="2"/>
  <c r="F13" i="2"/>
  <c r="E13" i="2"/>
  <c r="D13" i="2"/>
  <c r="C13" i="2"/>
  <c r="B13" i="2"/>
  <c r="A13" i="2"/>
  <c r="F12" i="2"/>
  <c r="E12" i="2"/>
  <c r="D12" i="2"/>
  <c r="C12" i="2"/>
  <c r="B12" i="2"/>
  <c r="A12" i="2"/>
  <c r="F11" i="2"/>
  <c r="E11" i="2"/>
  <c r="D11" i="2"/>
  <c r="C11" i="2"/>
  <c r="B11" i="2"/>
  <c r="A11" i="2"/>
  <c r="F10" i="2"/>
  <c r="E10" i="2"/>
  <c r="D10" i="2"/>
  <c r="C10" i="2"/>
  <c r="B10" i="2"/>
  <c r="A10" i="2"/>
  <c r="B7" i="2"/>
  <c r="B6" i="2"/>
  <c r="B5" i="2"/>
  <c r="B4" i="2"/>
  <c r="B3" i="2"/>
  <c r="B2" i="4" l="1"/>
</calcChain>
</file>

<file path=xl/comments1.xml><?xml version="1.0" encoding="utf-8"?>
<comments xmlns="http://schemas.openxmlformats.org/spreadsheetml/2006/main">
  <authors>
    <author>Thomas</author>
  </authors>
  <commentList>
    <comment ref="A1" authorId="0" shapeId="0">
      <text>
        <r>
          <rPr>
            <sz val="10"/>
            <rFont val="Arial"/>
            <family val="2"/>
          </rPr>
          <t>EngineStatusStatistics.14</t>
        </r>
      </text>
    </comment>
  </commentList>
</comments>
</file>

<file path=xl/sharedStrings.xml><?xml version="1.0" encoding="utf-8"?>
<sst xmlns="http://schemas.openxmlformats.org/spreadsheetml/2006/main" count="206" uniqueCount="169">
  <si>
    <t>RunDate</t>
  </si>
  <si>
    <t>FromDate</t>
  </si>
  <si>
    <t>ToDate</t>
  </si>
  <si>
    <t>CompanyName</t>
  </si>
  <si>
    <t>DistanceUnit</t>
  </si>
  <si>
    <t>SpeedUnit</t>
  </si>
  <si>
    <t>SendReport</t>
  </si>
  <si>
    <t>.Device.DeviceName</t>
  </si>
  <si>
    <t>.Device.DeviceId</t>
  </si>
  <si>
    <t>.Device.DeviceComment</t>
  </si>
  <si>
    <t>.Device.DeviceGroup</t>
  </si>
  <si>
    <t>EngineStatusStatisticsPeriodNumber</t>
  </si>
  <si>
    <t>EngineStatusStatisticsPeriodStartDate</t>
  </si>
  <si>
    <t>EngineStatusStatisticsPeriodEndDate</t>
  </si>
  <si>
    <t>EngineStatusStatisticsDistance</t>
  </si>
  <si>
    <t>LastModifiedUser</t>
  </si>
  <si>
    <t>Data</t>
  </si>
  <si>
    <t>EngineStatusStatisticsFuelUsed</t>
  </si>
  <si>
    <t>FuelEconomyUnit</t>
  </si>
  <si>
    <t>EngineStatusStatisticsFuelEconomy</t>
  </si>
  <si>
    <t>b38</t>
  </si>
  <si>
    <t>b1B</t>
  </si>
  <si>
    <t/>
  </si>
  <si>
    <t>b7D</t>
  </si>
  <si>
    <t>bA</t>
  </si>
  <si>
    <t>b41</t>
  </si>
  <si>
    <t>Fleet Name</t>
  </si>
  <si>
    <t>Vehicle 1</t>
  </si>
  <si>
    <t>Vehicle 2</t>
  </si>
  <si>
    <t>Vehicle 3</t>
  </si>
  <si>
    <t>Vehicle 4</t>
  </si>
  <si>
    <t>Vehicle 5</t>
  </si>
  <si>
    <t>Group 1</t>
  </si>
  <si>
    <t>Group 2</t>
  </si>
  <si>
    <t>Group 3</t>
  </si>
  <si>
    <t>Group 4</t>
  </si>
  <si>
    <t>Group 5</t>
  </si>
  <si>
    <t>English</t>
  </si>
  <si>
    <t>French</t>
  </si>
  <si>
    <t>Spanish</t>
  </si>
  <si>
    <t>German</t>
  </si>
  <si>
    <t>Japanese</t>
  </si>
  <si>
    <t>**Device</t>
  </si>
  <si>
    <t>**Date</t>
  </si>
  <si>
    <t>**Created</t>
  </si>
  <si>
    <t>Créé</t>
  </si>
  <si>
    <t>Creado</t>
  </si>
  <si>
    <t>Angelegt</t>
  </si>
  <si>
    <t>作成済</t>
  </si>
  <si>
    <t>**From</t>
  </si>
  <si>
    <t>À partir de</t>
  </si>
  <si>
    <t>De</t>
  </si>
  <si>
    <t>Von</t>
  </si>
  <si>
    <t>から</t>
  </si>
  <si>
    <t>**To</t>
  </si>
  <si>
    <t>Pour</t>
  </si>
  <si>
    <t>Para</t>
  </si>
  <si>
    <t>An</t>
  </si>
  <si>
    <t>へ</t>
  </si>
  <si>
    <t>**Average Fuel Economy Report</t>
  </si>
  <si>
    <t>**Distance Unit</t>
  </si>
  <si>
    <t>**Fuel Economy Unit</t>
  </si>
  <si>
    <t>**Group</t>
  </si>
  <si>
    <t>**Distance</t>
  </si>
  <si>
    <t>**Fuel Used</t>
  </si>
  <si>
    <t>**Fuel Economy</t>
  </si>
  <si>
    <t>Sum of **Distance</t>
  </si>
  <si>
    <t>Sum of **Fuel Used</t>
  </si>
  <si>
    <t>Sum of **Fuel Economy</t>
  </si>
  <si>
    <t>km</t>
  </si>
  <si>
    <t>km/h</t>
  </si>
  <si>
    <t>2.7 to 3.1</t>
  </si>
  <si>
    <t>2.5 to 2.6</t>
  </si>
  <si>
    <t>2.4 or less</t>
  </si>
  <si>
    <t>Avg. KML</t>
  </si>
  <si>
    <t>km/L</t>
  </si>
  <si>
    <t>**Vehicle</t>
  </si>
  <si>
    <t>Véhicule</t>
  </si>
  <si>
    <t>Vehículo</t>
  </si>
  <si>
    <t>Fahrzeug</t>
  </si>
  <si>
    <t>車両</t>
  </si>
  <si>
    <t>**Period</t>
  </si>
  <si>
    <t>Période</t>
  </si>
  <si>
    <t>Periodo</t>
  </si>
  <si>
    <t>Zeitraum</t>
  </si>
  <si>
    <t>期間</t>
  </si>
  <si>
    <t>**Period Start Date</t>
  </si>
  <si>
    <t>Début de la période (date)</t>
  </si>
  <si>
    <t>Fecha de inicio del periodo</t>
  </si>
  <si>
    <t>Periodenanfangsdatum</t>
  </si>
  <si>
    <t>期間開始日</t>
  </si>
  <si>
    <t>**Period End Date</t>
  </si>
  <si>
    <t>Fin de la période (date)</t>
  </si>
  <si>
    <t>Fecha de fin del periodo</t>
  </si>
  <si>
    <t>Periodenenddatum</t>
  </si>
  <si>
    <t>期間終了日</t>
  </si>
  <si>
    <t>Économie de carburant</t>
  </si>
  <si>
    <t>Economía de combustible</t>
  </si>
  <si>
    <t>Kraftstoffverbrauch</t>
  </si>
  <si>
    <t>燃費</t>
  </si>
  <si>
    <t>Distance</t>
  </si>
  <si>
    <t>Distancia</t>
  </si>
  <si>
    <t>Entfernung</t>
  </si>
  <si>
    <t>距離</t>
  </si>
  <si>
    <t>Le carburant utilisé</t>
  </si>
  <si>
    <t>Combustible consumido</t>
  </si>
  <si>
    <t>Kraftstoff verwendet</t>
  </si>
  <si>
    <t>使用燃料</t>
  </si>
  <si>
    <t>Groupe</t>
  </si>
  <si>
    <t>Grupo</t>
  </si>
  <si>
    <t>Gruppe</t>
  </si>
  <si>
    <t>グループ</t>
  </si>
  <si>
    <t>Unité de distance</t>
  </si>
  <si>
    <t>Unidad de distancia</t>
  </si>
  <si>
    <t>Entfernungseinheit</t>
  </si>
  <si>
    <t>距離の単位</t>
  </si>
  <si>
    <t>Unité d'économie de carburant</t>
  </si>
  <si>
    <t>Unidad de ahorro de combustible</t>
  </si>
  <si>
    <t>Einheit Kraftstoffverbrauch</t>
  </si>
  <si>
    <t>燃費の単位</t>
  </si>
  <si>
    <t>**Fuel Usage Report</t>
  </si>
  <si>
    <t>Rapport sur l'utilisation de carburant</t>
  </si>
  <si>
    <t>Reporte de uso de combustible</t>
  </si>
  <si>
    <t>Kraftstoffverbrauchsbericht</t>
  </si>
  <si>
    <t>燃料使用レポート</t>
  </si>
  <si>
    <t>Durchschnittlicher Kraftstoffverbrauchsbericht</t>
  </si>
  <si>
    <t>Économie moyenne de carburant</t>
  </si>
  <si>
    <t>Reporte de ahorro promedio de combustible</t>
  </si>
  <si>
    <t>平均燃費レポート</t>
  </si>
  <si>
    <t>**Scoring Classification</t>
  </si>
  <si>
    <t>Erzielte Klassifizierung</t>
  </si>
  <si>
    <t>Classification de pointage</t>
  </si>
  <si>
    <t>Clasificación de puntuación</t>
  </si>
  <si>
    <t>スコアリング区分</t>
  </si>
  <si>
    <t>**Score Range</t>
  </si>
  <si>
    <t>Bewertungsbereich</t>
  </si>
  <si>
    <t>Fourchette des résultats</t>
  </si>
  <si>
    <t>Rango de puntuación</t>
  </si>
  <si>
    <t>スコア範囲</t>
  </si>
  <si>
    <t>**Company Goal</t>
  </si>
  <si>
    <t>Unternehmensziel</t>
  </si>
  <si>
    <t>Objectif de la société</t>
  </si>
  <si>
    <t>Objetivo de la empresa</t>
  </si>
  <si>
    <t>会社目標</t>
  </si>
  <si>
    <t>**Meets Expectations</t>
  </si>
  <si>
    <t>Entspricht den Erwartungen</t>
  </si>
  <si>
    <t>Répond aux attentes</t>
  </si>
  <si>
    <t>Cumple con las expectativas</t>
  </si>
  <si>
    <t>目標達成</t>
  </si>
  <si>
    <t>**Below Expectations</t>
  </si>
  <si>
    <t>Entspricht nicht den Erwartungen</t>
  </si>
  <si>
    <t>En deçà des attentes</t>
  </si>
  <si>
    <t>No cumple con las expectativas</t>
  </si>
  <si>
    <t>目標未到達</t>
  </si>
  <si>
    <t>**Far Below Expectations</t>
  </si>
  <si>
    <t>Entspricht überhaupt nicht den Erwartungen</t>
  </si>
  <si>
    <t>Bien en deçà des attentes</t>
  </si>
  <si>
    <t>No cumple para nada con las expectativas</t>
  </si>
  <si>
    <t>目標値をはるかに下回る</t>
  </si>
  <si>
    <t>**Report Description</t>
  </si>
  <si>
    <t>Berichtbeschreibung</t>
  </si>
  <si>
    <t>Descripción del reporte</t>
  </si>
  <si>
    <t>Description du rapport</t>
  </si>
  <si>
    <t>レポート詳細説明</t>
  </si>
  <si>
    <t>**This report provides a very easy visualization of the average fuel economy for your fleet based on the kilometers per litre (KML) measurement metric. The design is ideal for displaying on the database dashboard, since the fuel economy value is provided in bold text, overlayed onto a color coded square which indicates one of 4 possible scoring ranges.</t>
  </si>
  <si>
    <t>Dieser Bericht bietet eine sehr einfache Visualisierung des durchschnittlichen Kraftstoffverbrauchs für Ihren Fuhrpark, basierend auf der Metrik Kilometer pro Liter (KML). Das Design ist ideal für die Anzeige auf dem Datenbankdashboard, da der Kraftstoffverbrauch fettgedruckt und farblich hinterlegt angezeigt wird, wobei die Farbkodierung auf eine der 4 möglichen Bewertungsbereiche hindeutet.</t>
  </si>
  <si>
    <t>Este reporte permite visualizar fácilmente el ahorro promedio de combustible de su flota usando la métrica de medición de kilómetros por litro (KML). El diseño funciona muy bien para visualizarlo en el panel de gráficos de la base de datos, ya que el valor del ahorro de combustible aparece en negrita, superpuesto en un cuadrado codificado de color que indica uno de los cuatro intervalos de puntuación posibles.</t>
  </si>
  <si>
    <t>Ce rapport fournit une visualisation très simple de l’économie moyenne de carburant de votre flotte basée sur l’unité de mesure des kilomètres par litre (KML). Le design est idéal pour l’affichage au tableau de bord de la base de données, car la valeur de l’économie de carburant est fournie dans le texte en gras, superposé sur un carré de couleur qui indique l’une des 4 plages de pointage possibles.</t>
  </si>
  <si>
    <t>このレポートでは、リットル毎の km での測定法に基いてフリートの平均燃費を可視化し、非常にシンプルなグラフを提供します。燃費の値は太字で表示され、色付きの四角いアイコンが 4 つのスコア範囲を示す、データベースのダッシュボードでの表示に理想的な設計です。</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</si>
</sst>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dd/mm/yyyy\ h:mm:ss\ AM/PM"/>
    <numFmt numFmtId="166" formatCode="mmm\ dd\,\ yyyy"/>
    <numFmt numFmtId="167" formatCode="0.0"/>
  </numFmts>
  <fonts count="22" x14ac:knownFonts="1">
    <font>
      <sz val="10"/>
      <name val="Arial"/>
      <family val="2"/>
    </font>
    <font>
      <b/>
      <sz val="7"/>
      <color indexed="8"/>
      <name val="Tahoma"/>
      <family val="2"/>
    </font>
    <font>
      <sz val="8"/>
      <color indexed="8"/>
      <name val="Tahoma"/>
      <family val="2"/>
    </font>
    <font>
      <sz val="10"/>
      <name val="Arial"/>
      <family val="2"/>
    </font>
    <font>
      <sz val="11"/>
      <color theme="1"/>
      <name val="Calibri"/>
      <family val="2"/>
      <scheme val="minor"/>
    </font>
    <font>
      <sz val="11"/>
      <color theme="0"/>
      <name val="Calibri"/>
      <family val="2"/>
      <scheme val="minor"/>
    </font>
    <font>
      <b/>
      <sz val="18"/>
      <color theme="1"/>
      <name val="Calibri"/>
      <family val="2"/>
      <scheme val="minor"/>
    </font>
    <font>
      <sz val="11"/>
      <color theme="3"/>
      <name val="Calibri"/>
      <family val="2"/>
      <scheme val="minor"/>
    </font>
    <font>
      <b/>
      <sz val="11"/>
      <color theme="1"/>
      <name val="Calibri"/>
      <family val="2"/>
    </font>
    <font>
      <b/>
      <sz val="11"/>
      <color theme="1"/>
      <name val="Calibri"/>
      <family val="2"/>
      <scheme val="minor"/>
    </font>
    <font>
      <b/>
      <sz val="14"/>
      <color theme="1"/>
      <name val="Calibri"/>
      <family val="2"/>
    </font>
    <font>
      <sz val="12"/>
      <color theme="0" tint="-0.34998626667073579"/>
      <name val="Segoe UI"/>
      <family val="2"/>
    </font>
    <font>
      <b/>
      <sz val="8"/>
      <color theme="1"/>
      <name val="Tahoma"/>
      <family val="2"/>
    </font>
    <font>
      <sz val="11"/>
      <name val="Calibri"/>
      <family val="2"/>
      <scheme val="minor"/>
    </font>
    <font>
      <b/>
      <sz val="36"/>
      <name val="Calibri"/>
      <family val="2"/>
      <scheme val="minor"/>
    </font>
    <font>
      <b/>
      <sz val="11"/>
      <name val="Calibri"/>
      <family val="2"/>
      <scheme val="minor"/>
    </font>
    <font>
      <b/>
      <sz val="12"/>
      <color theme="3"/>
      <name val="Calibri"/>
      <family val="2"/>
      <scheme val="minor"/>
    </font>
    <font>
      <sz val="12"/>
      <color theme="3"/>
      <name val="Calibri"/>
      <family val="2"/>
      <scheme val="minor"/>
    </font>
    <font>
      <sz val="12"/>
      <color theme="2"/>
      <name val="Calibri"/>
      <family val="2"/>
      <scheme val="minor"/>
    </font>
    <font>
      <b/>
      <sz val="10"/>
      <name val="Arial"/>
      <family val="2"/>
    </font>
    <font>
      <sz val="11"/>
      <color rgb="FF000000"/>
      <name val="Calibri"/>
      <family val="2"/>
    </font>
    <font>
      <b/>
      <sz val="14"/>
      <color rgb="FF000000"/>
      <name val="Calibri"/>
      <family val="2"/>
    </font>
  </fonts>
  <fills count="1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11"/>
      </patternFill>
    </fill>
    <fill>
      <patternFill patternType="solid">
        <fgColor indexed="36"/>
      </patternFill>
    </fill>
    <fill>
      <patternFill patternType="solid">
        <fgColor indexed="52"/>
      </patternFill>
    </fill>
    <fill>
      <patternFill patternType="solid">
        <fgColor indexed="22"/>
        <bgColor indexed="64"/>
      </patternFill>
    </fill>
    <fill>
      <patternFill patternType="solid">
        <fgColor theme="0"/>
        <bgColor indexed="64"/>
      </patternFill>
    </fill>
    <fill>
      <patternFill patternType="solid">
        <fgColor rgb="FF92D050"/>
        <bgColor indexed="64"/>
      </patternFill>
    </fill>
    <fill>
      <patternFill patternType="solid">
        <fgColor rgb="FFFFC000"/>
        <bgColor indexed="64"/>
      </patternFill>
    </fill>
    <fill>
      <patternFill patternType="solid">
        <fgColor theme="7"/>
        <bgColor indexed="64"/>
      </patternFill>
    </fill>
    <fill>
      <patternFill patternType="solid">
        <fgColor rgb="FFC00000"/>
        <bgColor indexed="64"/>
      </patternFill>
    </fill>
  </fills>
  <borders count="2">
    <border>
      <left/>
      <right/>
      <top/>
      <bottom/>
      <diagonal/>
    </border>
    <border>
      <left/>
      <right/>
      <top/>
      <bottom style="medium">
        <color indexed="8"/>
      </bottom>
      <diagonal/>
    </border>
  </borders>
  <cellStyleXfs count="2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43" fontId="3" fillId="0" borderId="0" applyFont="0" applyFill="0" applyBorder="0" applyAlignment="0" applyProtection="0"/>
    <xf numFmtId="41" fontId="3" fillId="0" borderId="0" applyFont="0" applyFill="0" applyBorder="0" applyAlignment="0" applyProtection="0"/>
    <xf numFmtId="44" fontId="3" fillId="0" borderId="0" applyFont="0" applyFill="0" applyBorder="0" applyAlignment="0" applyProtection="0"/>
    <xf numFmtId="42" fontId="3" fillId="0" borderId="0" applyFont="0" applyFill="0" applyBorder="0" applyAlignment="0" applyProtection="0"/>
    <xf numFmtId="0" fontId="6" fillId="10" borderId="0" applyNumberFormat="0"/>
    <xf numFmtId="0" fontId="7" fillId="0" borderId="0" applyNumberFormat="0" applyAlignment="0"/>
    <xf numFmtId="0" fontId="8" fillId="10" borderId="0" applyNumberFormat="0"/>
    <xf numFmtId="166" fontId="4" fillId="10" borderId="0"/>
    <xf numFmtId="0" fontId="9" fillId="0" borderId="0" applyNumberFormat="0"/>
    <xf numFmtId="0" fontId="10" fillId="0" borderId="0" applyNumberFormat="0"/>
    <xf numFmtId="0" fontId="11" fillId="0" borderId="0" applyNumberFormat="0" applyFill="0" applyBorder="0" applyAlignment="0" applyProtection="0">
      <alignment horizontal="right"/>
    </xf>
    <xf numFmtId="0" fontId="7" fillId="0" borderId="0" applyNumberFormat="0" applyAlignment="0"/>
  </cellStyleXfs>
  <cellXfs count="45">
    <xf numFmtId="0" fontId="0" fillId="0" borderId="0" xfId="0"/>
    <xf numFmtId="0" fontId="1" fillId="9" borderId="1" xfId="0" applyFont="1" applyFill="1" applyBorder="1" applyAlignment="1">
      <alignment horizontal="center" wrapText="1"/>
    </xf>
    <xf numFmtId="0" fontId="2" fillId="0" borderId="0" xfId="0" applyFont="1" applyAlignment="1">
      <alignment horizontal="left"/>
    </xf>
    <xf numFmtId="0" fontId="2" fillId="0" borderId="0" xfId="0" applyFont="1" applyAlignment="1">
      <alignment horizontal="right"/>
    </xf>
    <xf numFmtId="164" fontId="2" fillId="0" borderId="0" xfId="0" applyNumberFormat="1" applyFont="1" applyAlignment="1">
      <alignment horizontal="right"/>
    </xf>
    <xf numFmtId="1" fontId="2" fillId="0" borderId="0" xfId="0" applyNumberFormat="1" applyFont="1" applyAlignment="1">
      <alignment horizontal="right"/>
    </xf>
    <xf numFmtId="0" fontId="12" fillId="0" borderId="0" xfId="0" applyFont="1"/>
    <xf numFmtId="165" fontId="2" fillId="0" borderId="0" xfId="0" applyNumberFormat="1" applyFont="1" applyAlignment="1">
      <alignment horizontal="left"/>
    </xf>
    <xf numFmtId="22" fontId="2" fillId="0" borderId="0" xfId="0" applyNumberFormat="1" applyFont="1" applyAlignment="1">
      <alignment horizontal="right"/>
    </xf>
    <xf numFmtId="0" fontId="6" fillId="10" borderId="0" xfId="13"/>
    <xf numFmtId="166" fontId="7" fillId="0" borderId="0" xfId="14" applyNumberFormat="1" applyAlignment="1">
      <alignment horizontal="left"/>
    </xf>
    <xf numFmtId="0" fontId="7" fillId="0" borderId="0" xfId="14"/>
    <xf numFmtId="0" fontId="0" fillId="0" borderId="0" xfId="0" pivotButton="1"/>
    <xf numFmtId="2" fontId="0" fillId="0" borderId="0" xfId="0" applyNumberFormat="1"/>
    <xf numFmtId="1" fontId="7" fillId="0" borderId="0" xfId="14" applyNumberFormat="1" applyAlignment="1">
      <alignment horizontal="left"/>
    </xf>
    <xf numFmtId="2" fontId="7" fillId="0" borderId="0" xfId="14" applyNumberFormat="1" applyAlignment="1">
      <alignment horizontal="left"/>
    </xf>
    <xf numFmtId="0" fontId="11" fillId="0" borderId="0" xfId="19" applyAlignment="1"/>
    <xf numFmtId="166" fontId="4" fillId="10" borderId="0" xfId="16" applyAlignment="1">
      <alignment horizontal="left"/>
    </xf>
    <xf numFmtId="0" fontId="6" fillId="10" borderId="0" xfId="13" applyAlignment="1">
      <alignment horizontal="left"/>
    </xf>
    <xf numFmtId="0" fontId="11" fillId="0" borderId="0" xfId="19" applyAlignment="1">
      <alignment horizontal="left"/>
    </xf>
    <xf numFmtId="0" fontId="13" fillId="0" borderId="0" xfId="0" applyFont="1" applyAlignment="1">
      <alignment horizontal="left"/>
    </xf>
    <xf numFmtId="0" fontId="11" fillId="10" borderId="0" xfId="19" applyFill="1" applyAlignment="1">
      <alignment horizontal="left"/>
    </xf>
    <xf numFmtId="0" fontId="8" fillId="10" borderId="0" xfId="15" applyAlignment="1">
      <alignment horizontal="left"/>
    </xf>
    <xf numFmtId="0" fontId="7" fillId="0" borderId="0" xfId="14" applyAlignment="1">
      <alignment horizontal="left"/>
    </xf>
    <xf numFmtId="0" fontId="15" fillId="0" borderId="0" xfId="0" applyFont="1" applyAlignment="1">
      <alignment horizontal="left"/>
    </xf>
    <xf numFmtId="0" fontId="15" fillId="0" borderId="0" xfId="0" applyFont="1" applyAlignment="1">
      <alignment horizontal="center"/>
    </xf>
    <xf numFmtId="166" fontId="4" fillId="10" borderId="0" xfId="16" applyAlignment="1">
      <alignment horizontal="left"/>
    </xf>
    <xf numFmtId="166" fontId="4" fillId="10" borderId="0" xfId="16" applyAlignment="1"/>
    <xf numFmtId="0" fontId="14" fillId="0" borderId="0" xfId="0" applyFont="1" applyAlignment="1">
      <alignment horizontal="center" vertical="center"/>
    </xf>
    <xf numFmtId="0" fontId="19" fillId="0" borderId="0" xfId="0" applyFont="1"/>
    <xf numFmtId="166" fontId="0" fillId="0" borderId="0" xfId="0" applyNumberFormat="1"/>
    <xf numFmtId="0" fontId="21" fillId="0" borderId="0" xfId="0" applyFont="1" applyAlignment="1">
      <alignment horizontal="center" vertical="center"/>
    </xf>
    <xf numFmtId="0" fontId="0" fillId="0" borderId="0" xfId="0" applyAlignment="1">
      <alignment vertical="top" wrapText="1"/>
    </xf>
    <xf numFmtId="0" fontId="20" fillId="0" borderId="0" xfId="0" applyFont="1" applyAlignment="1">
      <alignment vertical="top" wrapText="1"/>
    </xf>
    <xf numFmtId="167" fontId="14" fillId="0" borderId="0" xfId="0" applyNumberFormat="1" applyFont="1" applyAlignment="1">
      <alignment horizontal="center" vertical="center" wrapText="1"/>
    </xf>
    <xf numFmtId="166" fontId="17" fillId="13" borderId="0" xfId="20" applyNumberFormat="1" applyFont="1" applyFill="1" applyAlignment="1">
      <alignment horizontal="left"/>
    </xf>
    <xf numFmtId="0" fontId="17" fillId="13" borderId="0" xfId="20" applyFont="1" applyFill="1" applyAlignment="1">
      <alignment horizontal="center"/>
    </xf>
    <xf numFmtId="0" fontId="18" fillId="14" borderId="0" xfId="20" applyFont="1" applyFill="1" applyAlignment="1">
      <alignment horizontal="left"/>
    </xf>
    <xf numFmtId="0" fontId="18" fillId="14" borderId="0" xfId="20" applyFont="1" applyFill="1" applyAlignment="1">
      <alignment horizontal="center"/>
    </xf>
    <xf numFmtId="166" fontId="16" fillId="0" borderId="0" xfId="20" applyNumberFormat="1" applyFont="1" applyAlignment="1">
      <alignment horizontal="left"/>
    </xf>
    <xf numFmtId="0" fontId="16" fillId="0" borderId="0" xfId="20" applyFont="1" applyAlignment="1">
      <alignment horizontal="center"/>
    </xf>
    <xf numFmtId="166" fontId="17" fillId="11" borderId="0" xfId="20" applyNumberFormat="1" applyFont="1" applyFill="1" applyAlignment="1">
      <alignment horizontal="left"/>
    </xf>
    <xf numFmtId="0" fontId="17" fillId="11" borderId="0" xfId="20" applyFont="1" applyFill="1" applyAlignment="1">
      <alignment horizontal="center"/>
    </xf>
    <xf numFmtId="166" fontId="17" fillId="12" borderId="0" xfId="20" applyNumberFormat="1" applyFont="1" applyFill="1" applyAlignment="1">
      <alignment horizontal="left"/>
    </xf>
    <xf numFmtId="0" fontId="17" fillId="12" borderId="0" xfId="20" applyFont="1" applyFill="1" applyAlignment="1">
      <alignment horizontal="center"/>
    </xf>
  </cellXfs>
  <cellStyles count="21">
    <cellStyle name="20% - Accent1" xfId="1" builtinId="30" customBuiltin="1"/>
    <cellStyle name="20% - Accent2" xfId="2" builtinId="34" customBuiltin="1"/>
    <cellStyle name="20% - Accent3" xfId="3" builtinId="38" customBuiltin="1"/>
    <cellStyle name="20% - Accent4" xfId="4" builtinId="42" customBuiltin="1"/>
    <cellStyle name="40% - Accent3" xfId="5" builtinId="39" customBuiltin="1"/>
    <cellStyle name="60% - Accent3" xfId="6" builtinId="40" customBuiltin="1"/>
    <cellStyle name="60% - Accent4" xfId="7" builtinId="44" customBuiltin="1"/>
    <cellStyle name="60% - Accent6" xfId="8" builtinId="52" customBuiltin="1"/>
    <cellStyle name="Comma" xfId="9" builtinId="3" customBuiltin="1"/>
    <cellStyle name="Comma [0]" xfId="10" builtinId="6" customBuiltin="1"/>
    <cellStyle name="Currency" xfId="11" builtinId="4" customBuiltin="1"/>
    <cellStyle name="Currency [0]" xfId="12" builtinId="7" customBuiltin="1"/>
    <cellStyle name="Geotab Report Body" xfId="20"/>
    <cellStyle name="Heading" xfId="13"/>
    <cellStyle name="Normal" xfId="0" builtinId="0" customBuiltin="1"/>
    <cellStyle name="Report Body" xfId="14"/>
    <cellStyle name="Report Column Header" xfId="15"/>
    <cellStyle name="Report Creation DateTime" xfId="16"/>
    <cellStyle name="Report Field Name" xfId="17"/>
    <cellStyle name="Report Name" xfId="18"/>
    <cellStyle name="StandardReportHeading" xfId="19"/>
  </cellStyles>
  <dxfs count="16">
    <dxf>
      <font>
        <color theme="0"/>
      </font>
      <fill>
        <patternFill>
          <bgColor rgb="FFC00000"/>
        </patternFill>
      </fill>
    </dxf>
    <dxf>
      <font>
        <color auto="1"/>
      </font>
      <fill>
        <patternFill>
          <bgColor theme="7"/>
        </patternFill>
      </fill>
    </dxf>
    <dxf>
      <fill>
        <patternFill>
          <bgColor rgb="FFFFC000"/>
        </patternFill>
      </fill>
    </dxf>
    <dxf>
      <fill>
        <patternFill>
          <bgColor rgb="FF92D050"/>
        </patternFill>
      </fill>
    </dxf>
    <dxf>
      <fill>
        <patternFill patternType="solid">
          <fgColor theme="5" tint="0.79995117038483843"/>
          <bgColor theme="0" tint="-4.9989318521683403E-2"/>
        </patternFill>
      </fill>
      <border>
        <bottom style="thin">
          <color theme="5" tint="0.39997558519241921"/>
        </bottom>
      </border>
    </dxf>
    <dxf>
      <fill>
        <patternFill patternType="solid">
          <fgColor theme="5" tint="0.79995117038483843"/>
          <bgColor theme="0" tint="-4.9989318521683403E-2"/>
        </patternFill>
      </fill>
      <border>
        <bottom style="thin">
          <color theme="5" tint="0.39997558519241921"/>
        </bottom>
      </border>
    </dxf>
    <dxf>
      <font>
        <b/>
        <color theme="1"/>
      </font>
    </dxf>
    <dxf>
      <font>
        <b/>
        <color theme="1"/>
      </font>
      <border>
        <bottom style="thin">
          <color theme="5" tint="0.39997558519241921"/>
        </bottom>
      </border>
    </dxf>
    <dxf>
      <font>
        <color theme="1"/>
      </font>
    </dxf>
    <dxf>
      <font>
        <b/>
        <i val="0"/>
        <color theme="1"/>
      </font>
      <fill>
        <patternFill>
          <bgColor theme="0" tint="-4.9989318521683403E-2"/>
        </patternFill>
      </fill>
      <border>
        <top style="thin">
          <color theme="5"/>
        </top>
        <bottom style="thin">
          <color theme="5"/>
        </bottom>
      </border>
    </dxf>
    <dxf>
      <font>
        <color theme="1"/>
      </font>
      <fill>
        <patternFill patternType="solid">
          <fgColor theme="0" tint="-0.14993743705557422"/>
          <bgColor theme="0" tint="-4.9989318521683403E-2"/>
        </patternFill>
      </fill>
    </dxf>
    <dxf>
      <fill>
        <patternFill patternType="solid">
          <fgColor theme="0" tint="-0.14990691854609822"/>
          <bgColor theme="0" tint="-4.9989318521683403E-2"/>
        </patternFill>
      </fill>
      <border>
        <left style="thin">
          <color theme="0" tint="-0.249977111117893"/>
        </left>
        <right style="thin">
          <color theme="0" tint="-0.249977111117893"/>
        </right>
      </border>
    </dxf>
    <dxf>
      <fill>
        <patternFill>
          <fgColor theme="8"/>
          <bgColor theme="8"/>
        </patternFill>
      </fill>
    </dxf>
    <dxf>
      <font>
        <b/>
        <i val="0"/>
        <color theme="1"/>
      </font>
      <fill>
        <patternFill patternType="solid">
          <fgColor theme="5" tint="0.79985961485641044"/>
          <bgColor theme="0" tint="-4.9989318521683403E-2"/>
        </patternFill>
      </fill>
      <border>
        <top style="thin">
          <color theme="5" tint="0.39997558519241921"/>
        </top>
      </border>
    </dxf>
    <dxf>
      <font>
        <b/>
        <i val="0"/>
        <color theme="1"/>
      </font>
      <fill>
        <patternFill patternType="solid">
          <fgColor theme="5" tint="0.79989013336588644"/>
          <bgColor theme="0" tint="-4.9989318521683403E-2"/>
        </patternFill>
      </fill>
      <border>
        <bottom style="thin">
          <color theme="5" tint="0.39997558519241921"/>
        </bottom>
      </border>
    </dxf>
    <dxf>
      <font>
        <color theme="3"/>
      </font>
    </dxf>
  </dxfs>
  <tableStyles count="1" defaultTableStyle="TableStyleMedium9" defaultPivotStyle="PivotStyleLight16">
    <tableStyle name="PivotStyleLightCustom" table="0" count="12">
      <tableStyleElement type="wholeTable" dxfId="15"/>
      <tableStyleElement type="headerRow" dxfId="14"/>
      <tableStyleElement type="totalRow" dxfId="13"/>
      <tableStyleElement type="secondRowStripe" dxfId="12"/>
      <tableStyleElement type="firstColumnStripe" dxfId="11"/>
      <tableStyleElement type="firstSubtotalColumn" dxfId="10"/>
      <tableStyleElement type="firstSubtotalRow" dxfId="9"/>
      <tableStyleElement type="secondSubtotalRow" dxfId="8"/>
      <tableStyleElement type="firstRowSubheading" dxfId="7"/>
      <tableStyleElement type="secondRowSubheading" dxfId="6"/>
      <tableStyleElement type="pageFieldLabels" dxfId="5"/>
      <tableStyleElement type="pageFieldValues"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9</xdr:col>
      <xdr:colOff>406400</xdr:colOff>
      <xdr:row>6</xdr:row>
      <xdr:rowOff>301625</xdr:rowOff>
    </xdr:from>
    <xdr:to>
      <xdr:col>13</xdr:col>
      <xdr:colOff>260350</xdr:colOff>
      <xdr:row>14</xdr:row>
      <xdr:rowOff>88900</xdr:rowOff>
    </xdr:to>
    <xdr:sp macro="" textlink="">
      <xdr:nvSpPr>
        <xdr:cNvPr id="2" name="Rectangle 1"/>
        <xdr:cNvSpPr/>
      </xdr:nvSpPr>
      <xdr:spPr>
        <a:xfrm>
          <a:off x="7769225" y="1273175"/>
          <a:ext cx="3273425" cy="21971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Jason Widla" refreshedDate="42538.625243634262" createdVersion="5" refreshedVersion="5" recordCount="5">
  <cacheSource type="worksheet">
    <worksheetSource name="AllData"/>
  </cacheSource>
  <cacheFields count="6">
    <cacheField name="**Device" numFmtId="0">
      <sharedItems count="5">
        <s v="Vehicle 1"/>
        <s v="Vehicle 2"/>
        <s v="Vehicle 3"/>
        <s v="Vehicle 4"/>
        <s v="Vehicle 5"/>
      </sharedItems>
    </cacheField>
    <cacheField name="**Group" numFmtId="0">
      <sharedItems count="5">
        <s v="Group 1"/>
        <s v="Group 2"/>
        <s v="Group 3"/>
        <s v="Group 4"/>
        <s v="Group 5"/>
      </sharedItems>
    </cacheField>
    <cacheField name="**Date" numFmtId="166">
      <sharedItems containsSemiMixedTypes="0" containsNonDate="0" containsDate="1" containsString="0" minDate="2015-11-05T00:00:00" maxDate="2015-11-06T00:00:00" count="1">
        <d v="2015-11-05T00:00:00"/>
      </sharedItems>
    </cacheField>
    <cacheField name="**Distance" numFmtId="1">
      <sharedItems containsSemiMixedTypes="0" containsString="0" containsNumber="1" minValue="0" maxValue="968.5"/>
    </cacheField>
    <cacheField name="**Fuel Used" numFmtId="2">
      <sharedItems containsSemiMixedTypes="0" containsString="0" containsNumber="1" minValue="0" maxValue="350.5"/>
    </cacheField>
    <cacheField name="**Fuel Economy" numFmtId="2">
      <sharedItems containsSemiMixedTypes="0" containsString="0" containsNumber="1" minValue="0" maxValue="3.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
  <r>
    <x v="0"/>
    <x v="0"/>
    <x v="0"/>
    <n v="0"/>
    <n v="0"/>
    <n v="0"/>
  </r>
  <r>
    <x v="1"/>
    <x v="1"/>
    <x v="0"/>
    <n v="293.38341000000003"/>
    <n v="92.7"/>
    <n v="3.2"/>
  </r>
  <r>
    <x v="2"/>
    <x v="2"/>
    <x v="0"/>
    <n v="0"/>
    <n v="0"/>
    <n v="0"/>
  </r>
  <r>
    <x v="3"/>
    <x v="3"/>
    <x v="0"/>
    <n v="968.5"/>
    <n v="350.5"/>
    <n v="2.8"/>
  </r>
  <r>
    <x v="4"/>
    <x v="4"/>
    <x v="0"/>
    <n v="182"/>
    <n v="91.2"/>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3" applyNumberFormats="0" applyBorderFormats="0" applyFontFormats="0" applyPatternFormats="0" applyAlignmentFormats="0" applyWidthHeightFormats="1" dataCaption="Data" updatedVersion="5" minRefreshableVersion="3" showDrill="0" showMemberPropertyTips="0" useAutoFormatting="1" rowGrandTotals="0" itemPrintTitles="1" createdVersion="5" indent="0" compact="0" compactData="0" gridDropZones="1">
  <location ref="A9:F15" firstHeaderRow="1" firstDataRow="2" firstDataCol="3"/>
  <pivotFields count="6">
    <pivotField axis="axisRow" compact="0" outline="0" showAll="0" defaultSubtotal="0">
      <items count="5">
        <item x="0"/>
        <item x="1"/>
        <item x="2"/>
        <item x="3"/>
        <item x="4"/>
      </items>
    </pivotField>
    <pivotField axis="axisRow" compact="0" outline="0" showAll="0" defaultSubtotal="0">
      <items count="5">
        <item x="0"/>
        <item x="1"/>
        <item x="2"/>
        <item x="3"/>
        <item x="4"/>
      </items>
    </pivotField>
    <pivotField axis="axisRow" compact="0" numFmtId="166" outline="0" showAll="0" defaultSubtotal="0">
      <items count="1">
        <item x="0"/>
      </items>
    </pivotField>
    <pivotField dataField="1" compact="0" numFmtId="1" outline="0" showAll="0" defaultSubtotal="0"/>
    <pivotField dataField="1" compact="0" numFmtId="2" outline="0" showAll="0" defaultSubtotal="0"/>
    <pivotField dataField="1" compact="0" numFmtId="2" outline="0" showAll="0" defaultSubtotal="0"/>
  </pivotFields>
  <rowFields count="3">
    <field x="0"/>
    <field x="1"/>
    <field x="2"/>
  </rowFields>
  <rowItems count="5">
    <i>
      <x/>
      <x/>
      <x/>
    </i>
    <i>
      <x v="1"/>
      <x v="1"/>
      <x/>
    </i>
    <i>
      <x v="2"/>
      <x v="2"/>
      <x/>
    </i>
    <i>
      <x v="3"/>
      <x v="3"/>
      <x/>
    </i>
    <i>
      <x v="4"/>
      <x v="4"/>
      <x/>
    </i>
  </rowItems>
  <colFields count="1">
    <field x="-2"/>
  </colFields>
  <colItems count="3">
    <i>
      <x/>
    </i>
    <i i="1">
      <x v="1"/>
    </i>
    <i i="2">
      <x v="2"/>
    </i>
  </colItems>
  <dataFields count="3">
    <dataField name="Sum of **Distance" fld="3" baseField="2" baseItem="0" numFmtId="2"/>
    <dataField name="Sum of **Fuel Used" fld="4" baseField="2" baseItem="0" numFmtId="2"/>
    <dataField name="Sum of **Fuel Economy" fld="5" baseField="2" baseItem="0" numFmtId="2"/>
  </dataFields>
  <pivotTableStyleInfo name="PivotStyleLightCustom" showRowHeaders="0" showColHeaders="1" showRowStripes="1" showColStripes="0" showLastColumn="1"/>
</pivotTableDefinition>
</file>

<file path=xl/theme/theme1.xml><?xml version="1.0" encoding="utf-8"?>
<a:theme xmlns:a="http://schemas.openxmlformats.org/drawingml/2006/main" name="CheckmateReportTheme">
  <a:themeElements>
    <a:clrScheme name="Custom 1">
      <a:dk1>
        <a:sysClr val="windowText" lastClr="000000"/>
      </a:dk1>
      <a:lt1>
        <a:sysClr val="window" lastClr="FFFFFF"/>
      </a:lt1>
      <a:dk2>
        <a:srgbClr val="3F3F3F"/>
      </a:dk2>
      <a:lt2>
        <a:srgbClr val="EEECE1"/>
      </a:lt2>
      <a:accent1>
        <a:srgbClr val="25477B"/>
      </a:accent1>
      <a:accent2>
        <a:srgbClr val="5C9CCC"/>
      </a:accent2>
      <a:accent3>
        <a:srgbClr val="9BBB59"/>
      </a:accent3>
      <a:accent4>
        <a:srgbClr val="F7941E"/>
      </a:accent4>
      <a:accent5>
        <a:srgbClr val="F3F8FB"/>
      </a:accent5>
      <a:accent6>
        <a:srgbClr val="EEECE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J15"/>
  <sheetViews>
    <sheetView workbookViewId="0">
      <pane ySplit="10" topLeftCell="A11" activePane="bottomLeft" state="frozen"/>
      <selection pane="bottomLeft"/>
    </sheetView>
  </sheetViews>
  <sheetFormatPr defaultRowHeight="12.75" x14ac:dyDescent="0.2"/>
  <cols>
    <col min="1" max="1" width="16.85546875" customWidth="1"/>
    <col min="2" max="2" width="18.5703125" customWidth="1"/>
    <col min="3" max="3" width="13" customWidth="1"/>
    <col min="4" max="4" width="23" bestFit="1" customWidth="1"/>
    <col min="5" max="5" width="11" customWidth="1"/>
    <col min="6" max="6" width="13.28515625" customWidth="1"/>
    <col min="7" max="7" width="17.140625" customWidth="1"/>
    <col min="8" max="8" width="14.85546875" customWidth="1"/>
    <col min="9" max="9" width="13.28515625" customWidth="1"/>
    <col min="10" max="10" width="12.5703125" customWidth="1"/>
  </cols>
  <sheetData>
    <row r="1" spans="1:10" x14ac:dyDescent="0.2">
      <c r="A1" s="6" t="s">
        <v>3</v>
      </c>
      <c r="B1" s="7" t="s">
        <v>26</v>
      </c>
    </row>
    <row r="2" spans="1:10" x14ac:dyDescent="0.2">
      <c r="A2" s="6" t="s">
        <v>0</v>
      </c>
      <c r="B2" s="7">
        <v>42314.418221400498</v>
      </c>
    </row>
    <row r="3" spans="1:10" x14ac:dyDescent="0.2">
      <c r="A3" s="6" t="s">
        <v>1</v>
      </c>
      <c r="B3" s="7">
        <v>42313</v>
      </c>
    </row>
    <row r="4" spans="1:10" x14ac:dyDescent="0.2">
      <c r="A4" s="6" t="s">
        <v>2</v>
      </c>
      <c r="B4" s="7">
        <v>42313.999988425901</v>
      </c>
    </row>
    <row r="5" spans="1:10" x14ac:dyDescent="0.2">
      <c r="A5" s="6" t="s">
        <v>4</v>
      </c>
      <c r="B5" s="7" t="s">
        <v>69</v>
      </c>
    </row>
    <row r="6" spans="1:10" x14ac:dyDescent="0.2">
      <c r="A6" s="6" t="s">
        <v>5</v>
      </c>
      <c r="B6" s="7" t="s">
        <v>70</v>
      </c>
    </row>
    <row r="7" spans="1:10" x14ac:dyDescent="0.2">
      <c r="A7" s="6" t="s">
        <v>6</v>
      </c>
      <c r="B7" s="7" t="b">
        <v>1</v>
      </c>
    </row>
    <row r="8" spans="1:10" x14ac:dyDescent="0.2">
      <c r="A8" s="6" t="s">
        <v>15</v>
      </c>
      <c r="B8" s="7"/>
    </row>
    <row r="9" spans="1:10" x14ac:dyDescent="0.2">
      <c r="A9" s="6" t="s">
        <v>18</v>
      </c>
      <c r="B9" s="7" t="s">
        <v>75</v>
      </c>
    </row>
    <row r="10" spans="1:10" ht="32.25" customHeight="1" thickBot="1" x14ac:dyDescent="0.25">
      <c r="A10" s="1" t="s">
        <v>7</v>
      </c>
      <c r="B10" s="1" t="s">
        <v>8</v>
      </c>
      <c r="C10" s="1" t="s">
        <v>9</v>
      </c>
      <c r="D10" s="1" t="s">
        <v>10</v>
      </c>
      <c r="E10" s="1" t="s">
        <v>11</v>
      </c>
      <c r="F10" s="1" t="s">
        <v>12</v>
      </c>
      <c r="G10" s="1" t="s">
        <v>13</v>
      </c>
      <c r="H10" s="1" t="s">
        <v>14</v>
      </c>
      <c r="I10" s="1" t="s">
        <v>17</v>
      </c>
      <c r="J10" s="1" t="s">
        <v>19</v>
      </c>
    </row>
    <row r="11" spans="1:10" x14ac:dyDescent="0.2">
      <c r="A11" s="2" t="s">
        <v>27</v>
      </c>
      <c r="B11" s="3" t="s">
        <v>21</v>
      </c>
      <c r="C11" t="s">
        <v>22</v>
      </c>
      <c r="D11" s="2" t="s">
        <v>32</v>
      </c>
      <c r="E11" s="5">
        <v>1</v>
      </c>
      <c r="F11" s="8">
        <v>42313</v>
      </c>
      <c r="G11" s="8">
        <v>42313.999988425901</v>
      </c>
      <c r="H11" s="4">
        <v>0</v>
      </c>
      <c r="I11" s="4">
        <v>0</v>
      </c>
    </row>
    <row r="12" spans="1:10" x14ac:dyDescent="0.2">
      <c r="A12" s="2" t="s">
        <v>28</v>
      </c>
      <c r="B12" s="3" t="s">
        <v>20</v>
      </c>
      <c r="D12" s="2" t="s">
        <v>33</v>
      </c>
      <c r="E12" s="5">
        <v>1</v>
      </c>
      <c r="F12" s="8">
        <v>42313</v>
      </c>
      <c r="G12" s="8">
        <v>42313.999988425901</v>
      </c>
      <c r="H12" s="4">
        <v>293.38341000000003</v>
      </c>
      <c r="I12" s="4">
        <v>92.7</v>
      </c>
      <c r="J12" s="4">
        <v>3.2</v>
      </c>
    </row>
    <row r="13" spans="1:10" x14ac:dyDescent="0.2">
      <c r="A13" s="2" t="s">
        <v>29</v>
      </c>
      <c r="B13" s="3" t="s">
        <v>23</v>
      </c>
      <c r="D13" s="2" t="s">
        <v>34</v>
      </c>
      <c r="E13" s="5">
        <v>1</v>
      </c>
      <c r="F13" s="8">
        <v>42313</v>
      </c>
      <c r="G13" s="8">
        <v>42313.999988425901</v>
      </c>
      <c r="H13" s="4">
        <v>0</v>
      </c>
      <c r="I13" s="4">
        <v>0</v>
      </c>
    </row>
    <row r="14" spans="1:10" x14ac:dyDescent="0.2">
      <c r="A14" s="2" t="s">
        <v>30</v>
      </c>
      <c r="B14" s="3" t="s">
        <v>24</v>
      </c>
      <c r="D14" s="2" t="s">
        <v>35</v>
      </c>
      <c r="E14" s="5">
        <v>1</v>
      </c>
      <c r="F14" s="8">
        <v>42313</v>
      </c>
      <c r="G14" s="8">
        <v>42313.999988425901</v>
      </c>
      <c r="H14" s="4">
        <v>968.5</v>
      </c>
      <c r="I14" s="4">
        <v>350.5</v>
      </c>
      <c r="J14" s="4">
        <v>2.8</v>
      </c>
    </row>
    <row r="15" spans="1:10" x14ac:dyDescent="0.2">
      <c r="A15" s="2" t="s">
        <v>31</v>
      </c>
      <c r="B15" s="3" t="s">
        <v>25</v>
      </c>
      <c r="D15" s="2" t="s">
        <v>36</v>
      </c>
      <c r="E15" s="5">
        <v>1</v>
      </c>
      <c r="F15" s="8">
        <v>42313</v>
      </c>
      <c r="G15" s="8">
        <v>42313.999988425901</v>
      </c>
      <c r="H15" s="4">
        <v>182</v>
      </c>
      <c r="I15" s="4">
        <v>91.2</v>
      </c>
      <c r="J15" s="4">
        <v>2</v>
      </c>
    </row>
  </sheetData>
  <pageMargins left="0.75" right="0.75" top="1" bottom="1" header="0.5" footer="0.5"/>
  <pageSetup scale="86" fitToHeight="100" orientation="landscape"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5"/>
  <sheetViews>
    <sheetView showGridLines="0" zoomScaleNormal="100" workbookViewId="0">
      <pane ySplit="9" topLeftCell="A10" activePane="bottomLeft" state="frozen"/>
      <selection activeCell="X1" sqref="X1"/>
      <selection pane="bottomLeft"/>
    </sheetView>
  </sheetViews>
  <sheetFormatPr defaultColWidth="9.140625" defaultRowHeight="15" x14ac:dyDescent="0.25"/>
  <cols>
    <col min="1" max="1" width="48.85546875" style="20" bestFit="1" customWidth="1"/>
    <col min="2" max="2" width="12" style="20" bestFit="1" customWidth="1"/>
    <col min="3" max="3" width="17.42578125" style="20" customWidth="1"/>
    <col min="4" max="5" width="15.140625" style="20" customWidth="1"/>
    <col min="6" max="6" width="18.140625" style="20" customWidth="1"/>
    <col min="7" max="16384" width="9.140625" style="20"/>
  </cols>
  <sheetData>
    <row r="1" spans="1:7" s="18" customFormat="1" ht="23.25" x14ac:dyDescent="0.35">
      <c r="A1" s="18" t="s">
        <v>59</v>
      </c>
      <c r="E1" s="17"/>
      <c r="F1" s="17"/>
    </row>
    <row r="3" spans="1:7" ht="17.25" x14ac:dyDescent="0.3">
      <c r="A3" s="19" t="s">
        <v>44</v>
      </c>
      <c r="B3" s="26">
        <f>Data!B2</f>
        <v>42314.418221400498</v>
      </c>
      <c r="C3" s="27"/>
      <c r="D3" s="27"/>
      <c r="E3" s="27"/>
      <c r="F3" s="27"/>
    </row>
    <row r="4" spans="1:7" ht="17.25" x14ac:dyDescent="0.3">
      <c r="A4" s="19" t="s">
        <v>49</v>
      </c>
      <c r="B4" s="26">
        <f>Data!B3</f>
        <v>42313</v>
      </c>
      <c r="C4" s="27"/>
      <c r="D4" s="27"/>
      <c r="E4" s="27"/>
      <c r="F4" s="27"/>
    </row>
    <row r="5" spans="1:7" ht="17.25" x14ac:dyDescent="0.3">
      <c r="A5" s="19" t="s">
        <v>54</v>
      </c>
      <c r="B5" s="26">
        <f>Data!B4</f>
        <v>42313.999988425901</v>
      </c>
      <c r="C5" s="27"/>
      <c r="D5" s="27"/>
      <c r="E5" s="27"/>
      <c r="F5" s="27"/>
    </row>
    <row r="6" spans="1:7" ht="17.25" x14ac:dyDescent="0.3">
      <c r="A6" s="19" t="s">
        <v>60</v>
      </c>
      <c r="B6" s="26" t="str">
        <f>Data!B5</f>
        <v>km</v>
      </c>
      <c r="C6" s="27"/>
      <c r="D6" s="27"/>
      <c r="E6" s="27"/>
      <c r="F6" s="27"/>
    </row>
    <row r="7" spans="1:7" ht="17.25" x14ac:dyDescent="0.3">
      <c r="A7" s="19" t="s">
        <v>61</v>
      </c>
      <c r="B7" s="26" t="str">
        <f>Data!B9</f>
        <v>km/L</v>
      </c>
      <c r="C7" s="27"/>
      <c r="D7" s="27"/>
      <c r="E7" s="27"/>
      <c r="F7" s="27"/>
    </row>
    <row r="8" spans="1:7" x14ac:dyDescent="0.25">
      <c r="F8" s="25"/>
      <c r="G8" s="24"/>
    </row>
    <row r="9" spans="1:7" s="22" customFormat="1" ht="17.25" x14ac:dyDescent="0.3">
      <c r="A9" s="21" t="s">
        <v>42</v>
      </c>
      <c r="B9" s="21" t="s">
        <v>62</v>
      </c>
      <c r="C9" s="21" t="s">
        <v>43</v>
      </c>
      <c r="D9" s="21" t="s">
        <v>63</v>
      </c>
      <c r="E9" s="21" t="s">
        <v>64</v>
      </c>
      <c r="F9" s="21" t="s">
        <v>65</v>
      </c>
    </row>
    <row r="10" spans="1:7" x14ac:dyDescent="0.25">
      <c r="A10" s="23" t="str">
        <f>Data!A11</f>
        <v>Vehicle 1</v>
      </c>
      <c r="B10" s="23" t="str">
        <f>Data!D11</f>
        <v>Group 1</v>
      </c>
      <c r="C10" s="10">
        <f>Data!F11</f>
        <v>42313</v>
      </c>
      <c r="D10" s="14">
        <f>Data!H11</f>
        <v>0</v>
      </c>
      <c r="E10" s="15">
        <f>Data!I11</f>
        <v>0</v>
      </c>
      <c r="F10" s="15">
        <f>Data!J11</f>
        <v>0</v>
      </c>
    </row>
    <row r="11" spans="1:7" x14ac:dyDescent="0.25">
      <c r="A11" s="23" t="str">
        <f>Data!A12</f>
        <v>Vehicle 2</v>
      </c>
      <c r="B11" s="23" t="str">
        <f>Data!D12</f>
        <v>Group 2</v>
      </c>
      <c r="C11" s="10">
        <f>Data!F12</f>
        <v>42313</v>
      </c>
      <c r="D11" s="14">
        <f>Data!H12</f>
        <v>293.38341000000003</v>
      </c>
      <c r="E11" s="15">
        <f>Data!I12</f>
        <v>92.7</v>
      </c>
      <c r="F11" s="15">
        <f>Data!J12</f>
        <v>3.2</v>
      </c>
    </row>
    <row r="12" spans="1:7" x14ac:dyDescent="0.25">
      <c r="A12" s="23" t="str">
        <f>Data!A13</f>
        <v>Vehicle 3</v>
      </c>
      <c r="B12" s="23" t="str">
        <f>Data!D13</f>
        <v>Group 3</v>
      </c>
      <c r="C12" s="10">
        <f>Data!F13</f>
        <v>42313</v>
      </c>
      <c r="D12" s="14">
        <f>Data!H13</f>
        <v>0</v>
      </c>
      <c r="E12" s="15">
        <f>Data!I13</f>
        <v>0</v>
      </c>
      <c r="F12" s="15">
        <f>Data!J13</f>
        <v>0</v>
      </c>
    </row>
    <row r="13" spans="1:7" x14ac:dyDescent="0.25">
      <c r="A13" s="23" t="str">
        <f>Data!A14</f>
        <v>Vehicle 4</v>
      </c>
      <c r="B13" s="23" t="str">
        <f>Data!D14</f>
        <v>Group 4</v>
      </c>
      <c r="C13" s="10">
        <f>Data!F14</f>
        <v>42313</v>
      </c>
      <c r="D13" s="14">
        <f>Data!H14</f>
        <v>968.5</v>
      </c>
      <c r="E13" s="15">
        <f>Data!I14</f>
        <v>350.5</v>
      </c>
      <c r="F13" s="15">
        <f>Data!J14</f>
        <v>2.8</v>
      </c>
    </row>
    <row r="14" spans="1:7" x14ac:dyDescent="0.25">
      <c r="A14" s="23" t="str">
        <f>Data!A15</f>
        <v>Vehicle 5</v>
      </c>
      <c r="B14" s="23" t="str">
        <f>Data!D15</f>
        <v>Group 5</v>
      </c>
      <c r="C14" s="10">
        <f>Data!F15</f>
        <v>42313</v>
      </c>
      <c r="D14" s="14">
        <f>Data!H15</f>
        <v>182</v>
      </c>
      <c r="E14" s="15">
        <f>Data!I15</f>
        <v>91.2</v>
      </c>
      <c r="F14" s="15">
        <f>Data!J15</f>
        <v>2</v>
      </c>
    </row>
    <row r="15" spans="1:7" x14ac:dyDescent="0.25">
      <c r="F15" s="24"/>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M19"/>
  <sheetViews>
    <sheetView showGridLines="0" tabSelected="1" workbookViewId="0">
      <selection activeCell="B2" sqref="B2:B10"/>
    </sheetView>
  </sheetViews>
  <sheetFormatPr defaultRowHeight="12.75" x14ac:dyDescent="0.2"/>
  <cols>
    <col min="1" max="1" width="3.7109375" customWidth="1"/>
    <col min="2" max="2" width="35.28515625" customWidth="1"/>
    <col min="4" max="4" width="16.5703125" customWidth="1"/>
    <col min="12" max="12" width="23.85546875" bestFit="1" customWidth="1"/>
  </cols>
  <sheetData>
    <row r="2" spans="2:13" x14ac:dyDescent="0.2">
      <c r="B2" s="34">
        <f>ROUNDUP(AVERAGEIF(Report!$F:$F,"&gt;0"),1)</f>
        <v>2.7</v>
      </c>
    </row>
    <row r="3" spans="2:13" x14ac:dyDescent="0.2">
      <c r="B3" s="34"/>
    </row>
    <row r="4" spans="2:13" x14ac:dyDescent="0.2">
      <c r="B4" s="34"/>
    </row>
    <row r="5" spans="2:13" x14ac:dyDescent="0.2">
      <c r="B5" s="34"/>
    </row>
    <row r="6" spans="2:13" x14ac:dyDescent="0.2">
      <c r="B6" s="34"/>
    </row>
    <row r="7" spans="2:13" ht="26.25" customHeight="1" x14ac:dyDescent="0.2">
      <c r="B7" s="34"/>
    </row>
    <row r="8" spans="2:13" ht="26.25" customHeight="1" x14ac:dyDescent="0.2">
      <c r="B8" s="34"/>
      <c r="L8" s="31" t="s">
        <v>159</v>
      </c>
    </row>
    <row r="9" spans="2:13" ht="26.25" customHeight="1" x14ac:dyDescent="0.2">
      <c r="B9" s="34"/>
      <c r="K9" s="33" t="s">
        <v>164</v>
      </c>
      <c r="L9" s="33"/>
      <c r="M9" s="33"/>
    </row>
    <row r="10" spans="2:13" ht="26.25" customHeight="1" x14ac:dyDescent="0.2">
      <c r="B10" s="34"/>
      <c r="K10" s="33"/>
      <c r="L10" s="33"/>
      <c r="M10" s="33"/>
    </row>
    <row r="11" spans="2:13" ht="46.5" x14ac:dyDescent="0.2">
      <c r="B11" s="28" t="s">
        <v>74</v>
      </c>
      <c r="K11" s="33"/>
      <c r="L11" s="33"/>
      <c r="M11" s="33"/>
    </row>
    <row r="12" spans="2:13" x14ac:dyDescent="0.2">
      <c r="K12" s="33"/>
      <c r="L12" s="33"/>
      <c r="M12" s="33"/>
    </row>
    <row r="13" spans="2:13" x14ac:dyDescent="0.2">
      <c r="K13" s="33"/>
      <c r="L13" s="33"/>
      <c r="M13" s="33"/>
    </row>
    <row r="14" spans="2:13" x14ac:dyDescent="0.2">
      <c r="K14" s="33"/>
      <c r="L14" s="33"/>
      <c r="M14" s="33"/>
    </row>
    <row r="15" spans="2:13" ht="15.75" x14ac:dyDescent="0.25">
      <c r="C15" s="39" t="s">
        <v>129</v>
      </c>
      <c r="D15" s="39"/>
      <c r="E15" s="40" t="s">
        <v>134</v>
      </c>
      <c r="F15" s="40"/>
      <c r="K15" s="33"/>
      <c r="L15" s="33"/>
      <c r="M15" s="33"/>
    </row>
    <row r="16" spans="2:13" ht="15.75" x14ac:dyDescent="0.25">
      <c r="C16" s="41" t="s">
        <v>139</v>
      </c>
      <c r="D16" s="41"/>
      <c r="E16" s="42">
        <v>3.2</v>
      </c>
      <c r="F16" s="42"/>
    </row>
    <row r="17" spans="3:6" ht="15.75" x14ac:dyDescent="0.25">
      <c r="C17" s="43" t="s">
        <v>144</v>
      </c>
      <c r="D17" s="43"/>
      <c r="E17" s="44" t="s">
        <v>71</v>
      </c>
      <c r="F17" s="44"/>
    </row>
    <row r="18" spans="3:6" ht="15.75" x14ac:dyDescent="0.25">
      <c r="C18" s="35" t="s">
        <v>149</v>
      </c>
      <c r="D18" s="35"/>
      <c r="E18" s="36" t="s">
        <v>72</v>
      </c>
      <c r="F18" s="36"/>
    </row>
    <row r="19" spans="3:6" ht="15.75" x14ac:dyDescent="0.25">
      <c r="C19" s="37" t="s">
        <v>154</v>
      </c>
      <c r="D19" s="37"/>
      <c r="E19" s="38" t="s">
        <v>73</v>
      </c>
      <c r="F19" s="38"/>
    </row>
  </sheetData>
  <mergeCells count="12">
    <mergeCell ref="K9:M15"/>
    <mergeCell ref="B2:B10"/>
    <mergeCell ref="C18:D18"/>
    <mergeCell ref="E18:F18"/>
    <mergeCell ref="C19:D19"/>
    <mergeCell ref="E19:F19"/>
    <mergeCell ref="C15:D15"/>
    <mergeCell ref="E15:F15"/>
    <mergeCell ref="C16:D16"/>
    <mergeCell ref="E16:F16"/>
    <mergeCell ref="C17:D17"/>
    <mergeCell ref="E17:F17"/>
  </mergeCells>
  <conditionalFormatting sqref="B2:B10">
    <cfRule type="cellIs" dxfId="3" priority="1" operator="greaterThanOrEqual">
      <formula>3.2</formula>
    </cfRule>
    <cfRule type="cellIs" dxfId="2" priority="2" operator="between">
      <formula>2.7</formula>
      <formula>3.1</formula>
    </cfRule>
    <cfRule type="cellIs" dxfId="1" priority="3" operator="between">
      <formula>2.5</formula>
      <formula>2.6</formula>
    </cfRule>
    <cfRule type="cellIs" dxfId="0" priority="4" operator="lessThanOrEqual">
      <formula>2.4</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
  <sheetViews>
    <sheetView showGridLines="0" workbookViewId="0">
      <pane ySplit="10" topLeftCell="A11" activePane="bottomLeft" state="frozen"/>
      <selection pane="bottomLeft"/>
    </sheetView>
  </sheetViews>
  <sheetFormatPr defaultRowHeight="12.75" x14ac:dyDescent="0.2"/>
  <cols>
    <col min="1" max="1" width="48.85546875" bestFit="1" customWidth="1"/>
    <col min="2" max="2" width="12" bestFit="1" customWidth="1"/>
    <col min="3" max="3" width="11.7109375" customWidth="1"/>
    <col min="4" max="4" width="17.42578125" customWidth="1"/>
    <col min="5" max="5" width="18.7109375" customWidth="1"/>
    <col min="6" max="6" width="22.7109375" customWidth="1"/>
    <col min="7" max="7" width="15.85546875" customWidth="1"/>
    <col min="8" max="9" width="17.28515625" customWidth="1"/>
    <col min="10" max="10" width="12.5703125" customWidth="1"/>
  </cols>
  <sheetData>
    <row r="1" spans="1:6" s="9" customFormat="1" ht="23.25" x14ac:dyDescent="0.35">
      <c r="A1" s="18" t="s">
        <v>59</v>
      </c>
    </row>
    <row r="3" spans="1:6" ht="17.25" x14ac:dyDescent="0.3">
      <c r="A3" s="16" t="s">
        <v>44</v>
      </c>
      <c r="B3" s="10">
        <f>Data!B2</f>
        <v>42314.418221400498</v>
      </c>
    </row>
    <row r="4" spans="1:6" ht="17.25" x14ac:dyDescent="0.3">
      <c r="A4" s="16" t="s">
        <v>49</v>
      </c>
      <c r="B4" s="10">
        <f>Data!B3</f>
        <v>42313</v>
      </c>
    </row>
    <row r="5" spans="1:6" ht="17.25" x14ac:dyDescent="0.3">
      <c r="A5" s="16" t="s">
        <v>54</v>
      </c>
      <c r="B5" s="10">
        <f>Data!B4</f>
        <v>42313.999988425901</v>
      </c>
    </row>
    <row r="6" spans="1:6" ht="17.25" x14ac:dyDescent="0.3">
      <c r="A6" s="16" t="s">
        <v>60</v>
      </c>
      <c r="B6" s="11" t="str">
        <f>Data!B5</f>
        <v>km</v>
      </c>
    </row>
    <row r="7" spans="1:6" ht="17.25" x14ac:dyDescent="0.3">
      <c r="A7" s="16" t="s">
        <v>61</v>
      </c>
      <c r="B7" s="11" t="str">
        <f>Data!B9</f>
        <v>km/L</v>
      </c>
    </row>
    <row r="9" spans="1:6" hidden="1" x14ac:dyDescent="0.2">
      <c r="D9" s="12" t="s">
        <v>16</v>
      </c>
    </row>
    <row r="10" spans="1:6" x14ac:dyDescent="0.2">
      <c r="A10" s="12" t="s">
        <v>42</v>
      </c>
      <c r="B10" s="12" t="s">
        <v>62</v>
      </c>
      <c r="C10" s="12" t="s">
        <v>43</v>
      </c>
      <c r="D10" t="s">
        <v>66</v>
      </c>
      <c r="E10" t="s">
        <v>67</v>
      </c>
      <c r="F10" t="s">
        <v>68</v>
      </c>
    </row>
    <row r="11" spans="1:6" x14ac:dyDescent="0.2">
      <c r="A11" t="s">
        <v>27</v>
      </c>
      <c r="B11" t="s">
        <v>32</v>
      </c>
      <c r="C11" s="30">
        <v>42313</v>
      </c>
      <c r="D11" s="13">
        <v>0</v>
      </c>
      <c r="E11" s="13">
        <v>0</v>
      </c>
      <c r="F11" s="13">
        <v>0</v>
      </c>
    </row>
    <row r="12" spans="1:6" x14ac:dyDescent="0.2">
      <c r="A12" t="s">
        <v>28</v>
      </c>
      <c r="B12" t="s">
        <v>33</v>
      </c>
      <c r="C12" s="30">
        <v>42313</v>
      </c>
      <c r="D12" s="13">
        <v>293.38341000000003</v>
      </c>
      <c r="E12" s="13">
        <v>92.7</v>
      </c>
      <c r="F12" s="13">
        <v>3.2</v>
      </c>
    </row>
    <row r="13" spans="1:6" x14ac:dyDescent="0.2">
      <c r="A13" t="s">
        <v>29</v>
      </c>
      <c r="B13" t="s">
        <v>34</v>
      </c>
      <c r="C13" s="30">
        <v>42313</v>
      </c>
      <c r="D13" s="13">
        <v>0</v>
      </c>
      <c r="E13" s="13">
        <v>0</v>
      </c>
      <c r="F13" s="13">
        <v>0</v>
      </c>
    </row>
    <row r="14" spans="1:6" x14ac:dyDescent="0.2">
      <c r="A14" t="s">
        <v>30</v>
      </c>
      <c r="B14" t="s">
        <v>35</v>
      </c>
      <c r="C14" s="30">
        <v>42313</v>
      </c>
      <c r="D14" s="13">
        <v>968.5</v>
      </c>
      <c r="E14" s="13">
        <v>350.5</v>
      </c>
      <c r="F14" s="13">
        <v>2.8</v>
      </c>
    </row>
    <row r="15" spans="1:6" x14ac:dyDescent="0.2">
      <c r="A15" t="s">
        <v>31</v>
      </c>
      <c r="B15" t="s">
        <v>36</v>
      </c>
      <c r="C15" s="30">
        <v>42313</v>
      </c>
      <c r="D15" s="13">
        <v>182</v>
      </c>
      <c r="E15" s="13">
        <v>91.2</v>
      </c>
      <c r="F15" s="13">
        <v>2</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6"/>
  <sheetViews>
    <sheetView workbookViewId="0"/>
  </sheetViews>
  <sheetFormatPr defaultRowHeight="12.75" x14ac:dyDescent="0.2"/>
  <cols>
    <col min="1" max="1" width="34.5703125" customWidth="1"/>
    <col min="2" max="5" width="30" customWidth="1"/>
  </cols>
  <sheetData>
    <row r="1" spans="1:5" s="29" customFormat="1" x14ac:dyDescent="0.2">
      <c r="A1" s="29" t="s">
        <v>37</v>
      </c>
      <c r="B1" s="29" t="s">
        <v>38</v>
      </c>
      <c r="C1" s="29" t="s">
        <v>39</v>
      </c>
      <c r="D1" s="29" t="s">
        <v>40</v>
      </c>
      <c r="E1" s="29" t="s">
        <v>41</v>
      </c>
    </row>
    <row r="2" spans="1:5" x14ac:dyDescent="0.2">
      <c r="A2" t="s">
        <v>76</v>
      </c>
      <c r="B2" t="s">
        <v>77</v>
      </c>
      <c r="C2" t="s">
        <v>78</v>
      </c>
      <c r="D2" t="s">
        <v>79</v>
      </c>
      <c r="E2" t="s">
        <v>80</v>
      </c>
    </row>
    <row r="3" spans="1:5" x14ac:dyDescent="0.2">
      <c r="A3" t="s">
        <v>81</v>
      </c>
      <c r="B3" t="s">
        <v>82</v>
      </c>
      <c r="C3" t="s">
        <v>83</v>
      </c>
      <c r="D3" t="s">
        <v>84</v>
      </c>
      <c r="E3" t="s">
        <v>85</v>
      </c>
    </row>
    <row r="4" spans="1:5" x14ac:dyDescent="0.2">
      <c r="A4" t="s">
        <v>86</v>
      </c>
      <c r="B4" t="s">
        <v>87</v>
      </c>
      <c r="C4" t="s">
        <v>88</v>
      </c>
      <c r="D4" t="s">
        <v>89</v>
      </c>
      <c r="E4" t="s">
        <v>90</v>
      </c>
    </row>
    <row r="5" spans="1:5" x14ac:dyDescent="0.2">
      <c r="A5" t="s">
        <v>91</v>
      </c>
      <c r="B5" t="s">
        <v>92</v>
      </c>
      <c r="C5" t="s">
        <v>93</v>
      </c>
      <c r="D5" t="s">
        <v>94</v>
      </c>
      <c r="E5" t="s">
        <v>95</v>
      </c>
    </row>
    <row r="6" spans="1:5" x14ac:dyDescent="0.2">
      <c r="A6" t="s">
        <v>65</v>
      </c>
      <c r="B6" t="s">
        <v>96</v>
      </c>
      <c r="C6" t="s">
        <v>97</v>
      </c>
      <c r="D6" t="s">
        <v>98</v>
      </c>
      <c r="E6" t="s">
        <v>99</v>
      </c>
    </row>
    <row r="7" spans="1:5" x14ac:dyDescent="0.2">
      <c r="A7" t="s">
        <v>63</v>
      </c>
      <c r="B7" t="s">
        <v>100</v>
      </c>
      <c r="C7" t="s">
        <v>101</v>
      </c>
      <c r="D7" t="s">
        <v>102</v>
      </c>
      <c r="E7" t="s">
        <v>103</v>
      </c>
    </row>
    <row r="8" spans="1:5" x14ac:dyDescent="0.2">
      <c r="A8" t="s">
        <v>64</v>
      </c>
      <c r="B8" t="s">
        <v>104</v>
      </c>
      <c r="C8" t="s">
        <v>105</v>
      </c>
      <c r="D8" t="s">
        <v>106</v>
      </c>
      <c r="E8" t="s">
        <v>107</v>
      </c>
    </row>
    <row r="9" spans="1:5" x14ac:dyDescent="0.2">
      <c r="A9" t="s">
        <v>62</v>
      </c>
      <c r="B9" t="s">
        <v>108</v>
      </c>
      <c r="C9" t="s">
        <v>109</v>
      </c>
      <c r="D9" t="s">
        <v>110</v>
      </c>
      <c r="E9" t="s">
        <v>111</v>
      </c>
    </row>
    <row r="10" spans="1:5" x14ac:dyDescent="0.2">
      <c r="A10" t="s">
        <v>44</v>
      </c>
      <c r="B10" t="s">
        <v>45</v>
      </c>
      <c r="C10" t="s">
        <v>46</v>
      </c>
      <c r="D10" t="s">
        <v>47</v>
      </c>
      <c r="E10" t="s">
        <v>48</v>
      </c>
    </row>
    <row r="11" spans="1:5" x14ac:dyDescent="0.2">
      <c r="A11" t="s">
        <v>49</v>
      </c>
      <c r="B11" t="s">
        <v>50</v>
      </c>
      <c r="C11" t="s">
        <v>51</v>
      </c>
      <c r="D11" t="s">
        <v>52</v>
      </c>
      <c r="E11" t="s">
        <v>53</v>
      </c>
    </row>
    <row r="12" spans="1:5" x14ac:dyDescent="0.2">
      <c r="A12" t="s">
        <v>54</v>
      </c>
      <c r="B12" t="s">
        <v>55</v>
      </c>
      <c r="C12" t="s">
        <v>56</v>
      </c>
      <c r="D12" t="s">
        <v>57</v>
      </c>
      <c r="E12" t="s">
        <v>58</v>
      </c>
    </row>
    <row r="13" spans="1:5" x14ac:dyDescent="0.2">
      <c r="A13" t="s">
        <v>60</v>
      </c>
      <c r="B13" t="s">
        <v>112</v>
      </c>
      <c r="C13" t="s">
        <v>113</v>
      </c>
      <c r="D13" t="s">
        <v>114</v>
      </c>
      <c r="E13" t="s">
        <v>115</v>
      </c>
    </row>
    <row r="14" spans="1:5" x14ac:dyDescent="0.2">
      <c r="A14" t="s">
        <v>61</v>
      </c>
      <c r="B14" t="s">
        <v>116</v>
      </c>
      <c r="C14" t="s">
        <v>117</v>
      </c>
      <c r="D14" t="s">
        <v>118</v>
      </c>
      <c r="E14" t="s">
        <v>119</v>
      </c>
    </row>
    <row r="15" spans="1:5" x14ac:dyDescent="0.2">
      <c r="A15" t="s">
        <v>120</v>
      </c>
      <c r="B15" t="s">
        <v>121</v>
      </c>
      <c r="C15" t="s">
        <v>122</v>
      </c>
      <c r="D15" t="s">
        <v>123</v>
      </c>
      <c r="E15" t="s">
        <v>124</v>
      </c>
    </row>
    <row r="16" spans="1:5" x14ac:dyDescent="0.2">
      <c r="A16" t="s">
        <v>59</v>
      </c>
      <c r="B16" t="s">
        <v>126</v>
      </c>
      <c r="C16" t="s">
        <v>127</v>
      </c>
      <c r="D16" t="s">
        <v>125</v>
      </c>
      <c r="E16" t="s">
        <v>128</v>
      </c>
    </row>
    <row r="17" spans="1:5" x14ac:dyDescent="0.2">
      <c r="A17" t="s">
        <v>129</v>
      </c>
      <c r="B17" t="s">
        <v>131</v>
      </c>
      <c r="C17" t="s">
        <v>132</v>
      </c>
      <c r="D17" t="s">
        <v>130</v>
      </c>
      <c r="E17" t="s">
        <v>133</v>
      </c>
    </row>
    <row r="18" spans="1:5" x14ac:dyDescent="0.2">
      <c r="A18" t="s">
        <v>134</v>
      </c>
      <c r="B18" t="s">
        <v>136</v>
      </c>
      <c r="C18" t="s">
        <v>137</v>
      </c>
      <c r="D18" t="s">
        <v>135</v>
      </c>
      <c r="E18" t="s">
        <v>138</v>
      </c>
    </row>
    <row r="19" spans="1:5" x14ac:dyDescent="0.2">
      <c r="A19" t="s">
        <v>139</v>
      </c>
      <c r="B19" t="s">
        <v>141</v>
      </c>
      <c r="C19" t="s">
        <v>142</v>
      </c>
      <c r="D19" t="s">
        <v>140</v>
      </c>
      <c r="E19" t="s">
        <v>143</v>
      </c>
    </row>
    <row r="20" spans="1:5" x14ac:dyDescent="0.2">
      <c r="A20" t="s">
        <v>144</v>
      </c>
      <c r="B20" t="s">
        <v>146</v>
      </c>
      <c r="C20" t="s">
        <v>147</v>
      </c>
      <c r="D20" t="s">
        <v>145</v>
      </c>
      <c r="E20" t="s">
        <v>148</v>
      </c>
    </row>
    <row r="21" spans="1:5" x14ac:dyDescent="0.2">
      <c r="A21" t="s">
        <v>149</v>
      </c>
      <c r="B21" t="s">
        <v>151</v>
      </c>
      <c r="C21" t="s">
        <v>152</v>
      </c>
      <c r="D21" t="s">
        <v>150</v>
      </c>
      <c r="E21" t="s">
        <v>153</v>
      </c>
    </row>
    <row r="22" spans="1:5" x14ac:dyDescent="0.2">
      <c r="A22" t="s">
        <v>154</v>
      </c>
      <c r="B22" t="s">
        <v>156</v>
      </c>
      <c r="C22" t="s">
        <v>157</v>
      </c>
      <c r="D22" t="s">
        <v>155</v>
      </c>
      <c r="E22" t="s">
        <v>158</v>
      </c>
    </row>
    <row r="23" spans="1:5" x14ac:dyDescent="0.2">
      <c r="A23" t="s">
        <v>159</v>
      </c>
      <c r="B23" t="s">
        <v>162</v>
      </c>
      <c r="C23" t="s">
        <v>161</v>
      </c>
      <c r="D23" t="s">
        <v>160</v>
      </c>
      <c r="E23" t="s">
        <v>163</v>
      </c>
    </row>
    <row r="24" spans="1:5" ht="12.75" customHeight="1" x14ac:dyDescent="0.2">
      <c r="A24" s="32" t="s">
        <v>164</v>
      </c>
      <c r="B24" s="32" t="s">
        <v>167</v>
      </c>
      <c r="C24" s="32" t="s">
        <v>166</v>
      </c>
      <c r="D24" s="32" t="s">
        <v>165</v>
      </c>
      <c r="E24" s="32" t="s">
        <v>168</v>
      </c>
    </row>
    <row r="25" spans="1:5" x14ac:dyDescent="0.2">
      <c r="A25" s="32"/>
      <c r="B25" s="32"/>
      <c r="C25" s="32"/>
      <c r="D25" s="32"/>
      <c r="E25" s="32"/>
    </row>
    <row r="26" spans="1:5" x14ac:dyDescent="0.2">
      <c r="A26" s="32"/>
      <c r="B26" s="32"/>
      <c r="C26" s="32"/>
      <c r="D26" s="32"/>
      <c r="E26" s="32"/>
    </row>
    <row r="27" spans="1:5" x14ac:dyDescent="0.2">
      <c r="A27" s="32"/>
      <c r="B27" s="32"/>
      <c r="C27" s="32"/>
      <c r="D27" s="32"/>
      <c r="E27" s="32"/>
    </row>
    <row r="28" spans="1:5" x14ac:dyDescent="0.2">
      <c r="A28" s="32"/>
      <c r="B28" s="32"/>
      <c r="C28" s="32"/>
      <c r="D28" s="32"/>
      <c r="E28" s="32"/>
    </row>
    <row r="29" spans="1:5" x14ac:dyDescent="0.2">
      <c r="A29" s="32"/>
      <c r="B29" s="32"/>
      <c r="C29" s="32"/>
      <c r="D29" s="32"/>
      <c r="E29" s="32"/>
    </row>
    <row r="30" spans="1:5" x14ac:dyDescent="0.2">
      <c r="A30" s="32"/>
      <c r="B30" s="32"/>
      <c r="C30" s="32"/>
      <c r="D30" s="32"/>
      <c r="E30" s="32"/>
    </row>
    <row r="31" spans="1:5" x14ac:dyDescent="0.2">
      <c r="A31" s="32"/>
      <c r="B31" s="32"/>
      <c r="C31" s="32"/>
      <c r="D31" s="32"/>
      <c r="E31" s="32"/>
    </row>
    <row r="32" spans="1:5" x14ac:dyDescent="0.2">
      <c r="A32" s="32"/>
      <c r="B32" s="32"/>
      <c r="C32" s="32"/>
      <c r="D32" s="32"/>
      <c r="E32" s="32"/>
    </row>
    <row r="33" spans="1:5" x14ac:dyDescent="0.2">
      <c r="A33" s="32"/>
      <c r="B33" s="32"/>
      <c r="C33" s="32"/>
      <c r="D33" s="32"/>
      <c r="E33" s="32"/>
    </row>
    <row r="34" spans="1:5" x14ac:dyDescent="0.2">
      <c r="A34" s="32"/>
      <c r="B34" s="32"/>
      <c r="C34" s="32"/>
      <c r="D34" s="32"/>
      <c r="E34" s="32"/>
    </row>
    <row r="35" spans="1:5" x14ac:dyDescent="0.2">
      <c r="A35" s="32"/>
      <c r="B35" s="32"/>
      <c r="C35" s="32"/>
      <c r="D35" s="32"/>
      <c r="E35" s="32"/>
    </row>
    <row r="36" spans="1:5" x14ac:dyDescent="0.2">
      <c r="A36" s="32"/>
      <c r="B36" s="32"/>
      <c r="C36" s="32"/>
      <c r="D36" s="32"/>
      <c r="E36" s="3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Data</vt:lpstr>
      <vt:lpstr>Report</vt:lpstr>
      <vt:lpstr>Fleet Avg</vt:lpstr>
      <vt:lpstr>Summary</vt:lpstr>
      <vt:lpstr>Languages</vt:lpstr>
      <vt:lpstr>AllData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dc:creator>
  <cp:lastModifiedBy>Jason Widla</cp:lastModifiedBy>
  <dcterms:created xsi:type="dcterms:W3CDTF">2009-10-09T14:28:57Z</dcterms:created>
  <dcterms:modified xsi:type="dcterms:W3CDTF">2016-06-17T19:04:30Z</dcterms:modified>
</cp:coreProperties>
</file>