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rishmasawant\Documents\Geotab Drive\"/>
    </mc:Choice>
  </mc:AlternateContent>
  <bookViews>
    <workbookView xWindow="0" yWindow="0" windowWidth="23040" windowHeight="9084" firstSheet="1" activeTab="1"/>
  </bookViews>
  <sheets>
    <sheet name="Data" sheetId="1" state="hidden" r:id="rId1"/>
    <sheet name="Summary" sheetId="4" r:id="rId2"/>
    <sheet name="Report" sheetId="3" r:id="rId3"/>
    <sheet name="Languages" sheetId="5" state="hidden" r:id="rId4"/>
  </sheets>
  <definedNames>
    <definedName name="AllData">Report!$A$8:$O$10</definedName>
  </definedNames>
  <calcPr calcId="171027"/>
  <pivotCaches>
    <pivotCache cacheId="5" r:id="rId5"/>
  </pivotCaches>
</workbook>
</file>

<file path=xl/calcChain.xml><?xml version="1.0" encoding="utf-8"?>
<calcChain xmlns="http://schemas.openxmlformats.org/spreadsheetml/2006/main">
  <c r="A1" i="4" l="1"/>
  <c r="I12" i="4" l="1"/>
  <c r="B6" i="4"/>
  <c r="B5" i="4"/>
  <c r="B4" i="4"/>
  <c r="O10" i="3"/>
  <c r="N10" i="3"/>
  <c r="M10" i="3"/>
  <c r="L10" i="3"/>
  <c r="K10" i="3"/>
  <c r="J10" i="3"/>
  <c r="I10" i="3"/>
  <c r="H10" i="3"/>
  <c r="G10" i="3"/>
  <c r="E10" i="3"/>
  <c r="F10" i="3" s="1"/>
  <c r="D10" i="3"/>
  <c r="C10" i="3"/>
  <c r="B10" i="3"/>
  <c r="A10" i="3"/>
  <c r="O9" i="3"/>
  <c r="N9" i="3"/>
  <c r="M9" i="3"/>
  <c r="L9" i="3"/>
  <c r="K9" i="3"/>
  <c r="J9" i="3"/>
  <c r="I9" i="3"/>
  <c r="H9" i="3"/>
  <c r="G9" i="3"/>
  <c r="E9" i="3"/>
  <c r="F9" i="3" s="1"/>
  <c r="D9" i="3"/>
  <c r="C9" i="3"/>
  <c r="B9" i="3"/>
  <c r="A9" i="3"/>
  <c r="B6" i="3"/>
  <c r="B5" i="3"/>
  <c r="B4" i="3"/>
  <c r="B3" i="3"/>
</calcChain>
</file>

<file path=xl/comments1.xml><?xml version="1.0" encoding="utf-8"?>
<comments xmlns="http://schemas.openxmlformats.org/spreadsheetml/2006/main">
  <authors>
    <author>Thomas</author>
  </authors>
  <commentList>
    <comment ref="A1" authorId="0" shapeId="0">
      <text>
        <r>
          <rPr>
            <sz val="10"/>
            <rFont val="Arial"/>
            <family val="2"/>
          </rPr>
          <t>HosLog.20</t>
        </r>
      </text>
    </comment>
  </commentList>
</comments>
</file>

<file path=xl/sharedStrings.xml><?xml version="1.0" encoding="utf-8"?>
<sst xmlns="http://schemas.openxmlformats.org/spreadsheetml/2006/main" count="229" uniqueCount="208">
  <si>
    <t>Grand Total</t>
  </si>
  <si>
    <t>FromDate</t>
  </si>
  <si>
    <t>ToDate</t>
  </si>
  <si>
    <t>RunDate</t>
  </si>
  <si>
    <t>CompanyName</t>
  </si>
  <si>
    <t>DistanceUnit</t>
  </si>
  <si>
    <t>SpeedUnit</t>
  </si>
  <si>
    <t>SendReport</t>
  </si>
  <si>
    <t>LastModifiedUser</t>
  </si>
  <si>
    <t>Status</t>
  </si>
  <si>
    <t>Longitude</t>
  </si>
  <si>
    <t>Latitude</t>
  </si>
  <si>
    <t>Distance</t>
  </si>
  <si>
    <t>DutyStatusDateTime</t>
  </si>
  <si>
    <t>DutyStatusStatus</t>
  </si>
  <si>
    <t>.StatusLog.Device.DeviceName</t>
  </si>
  <si>
    <t>.StatusLog.Device.DeviceId</t>
  </si>
  <si>
    <t>.StatusLog.Device.DeviceComment</t>
  </si>
  <si>
    <t>.StatusLog.Device.DeviceGroup</t>
  </si>
  <si>
    <t>.StatusLog.Driver.UserName</t>
  </si>
  <si>
    <t>DutyStatusCoDrivers</t>
  </si>
  <si>
    <t>DutyStatusDetailOdometer</t>
  </si>
  <si>
    <t>DutyStatusDetailDistance</t>
  </si>
  <si>
    <t>DutyStatusDetailLongitude</t>
  </si>
  <si>
    <t>DutyStatusDetailLatitude</t>
  </si>
  <si>
    <t>DutyStatusLocation</t>
  </si>
  <si>
    <t>DutyStatusVerifyDateTime</t>
  </si>
  <si>
    <t>DutyStatusEditDateTime</t>
  </si>
  <si>
    <t>DutyStatusDetailTrailers</t>
  </si>
  <si>
    <t>DutyStatusDetailHosRuleSet</t>
  </si>
  <si>
    <t>DutyStatusId</t>
  </si>
  <si>
    <t>English</t>
  </si>
  <si>
    <t>French</t>
  </si>
  <si>
    <t>Spanish</t>
  </si>
  <si>
    <t>German</t>
  </si>
  <si>
    <t>Japanese</t>
  </si>
  <si>
    <t>**Driver</t>
  </si>
  <si>
    <t>**Status</t>
  </si>
  <si>
    <t>**Device</t>
  </si>
  <si>
    <t>**CoDrivers</t>
  </si>
  <si>
    <t>**Trailers</t>
  </si>
  <si>
    <t>**Longitude</t>
  </si>
  <si>
    <t>**Latitude</t>
  </si>
  <si>
    <t>**Address</t>
  </si>
  <si>
    <t>**Odometer</t>
  </si>
  <si>
    <t>**Distance</t>
  </si>
  <si>
    <t>**Duty Status Logs</t>
  </si>
  <si>
    <t>**Created</t>
  </si>
  <si>
    <t>**From</t>
  </si>
  <si>
    <t>**To</t>
  </si>
  <si>
    <t>**Distance Unit</t>
  </si>
  <si>
    <t>**Summary</t>
  </si>
  <si>
    <t>Date</t>
  </si>
  <si>
    <t>**Date</t>
  </si>
  <si>
    <t>**Verify Date</t>
  </si>
  <si>
    <t>**Edit Date</t>
  </si>
  <si>
    <t>Conducteur</t>
  </si>
  <si>
    <t>Conductor</t>
  </si>
  <si>
    <t>Fahrer</t>
  </si>
  <si>
    <t>ドライバー</t>
  </si>
  <si>
    <t>Fecha</t>
  </si>
  <si>
    <t>Datum</t>
  </si>
  <si>
    <t>データ</t>
  </si>
  <si>
    <t>État</t>
  </si>
  <si>
    <t>Estado</t>
  </si>
  <si>
    <t>ステータス</t>
  </si>
  <si>
    <t>Dispositif</t>
  </si>
  <si>
    <t>Dispositivo</t>
  </si>
  <si>
    <t>Gerät</t>
  </si>
  <si>
    <t>デバイス</t>
  </si>
  <si>
    <t>Co-chauffeurs</t>
  </si>
  <si>
    <t>Copiloto</t>
  </si>
  <si>
    <t>Beifahrer</t>
  </si>
  <si>
    <t>補助ドライバー</t>
  </si>
  <si>
    <t>Gros porteurs</t>
  </si>
  <si>
    <t>Remolques</t>
  </si>
  <si>
    <t>Anhänger</t>
  </si>
  <si>
    <t>トレーラー</t>
  </si>
  <si>
    <t>Longitud</t>
  </si>
  <si>
    <t>Längengrad</t>
  </si>
  <si>
    <t>経度</t>
  </si>
  <si>
    <t>Latitud</t>
  </si>
  <si>
    <t>Breitengrad</t>
  </si>
  <si>
    <t>緯度</t>
  </si>
  <si>
    <t>Adresse</t>
  </si>
  <si>
    <t>Dirección</t>
  </si>
  <si>
    <t>住所</t>
  </si>
  <si>
    <t>Odomètre</t>
  </si>
  <si>
    <t>Odómetro</t>
  </si>
  <si>
    <t>Kilometerstand</t>
  </si>
  <si>
    <t>オドメータ</t>
  </si>
  <si>
    <t>Distancia</t>
  </si>
  <si>
    <t>Entfernung</t>
  </si>
  <si>
    <t>距離</t>
  </si>
  <si>
    <t>Date de vérification</t>
  </si>
  <si>
    <t>Fecha de verificación</t>
  </si>
  <si>
    <t>Verifizierungsdatum</t>
  </si>
  <si>
    <t>確認日</t>
  </si>
  <si>
    <t>Date de modification</t>
  </si>
  <si>
    <t>Fecha de edición</t>
  </si>
  <si>
    <t>Bearbeitungsdatum</t>
  </si>
  <si>
    <t>編集日</t>
  </si>
  <si>
    <t>Registres de l'état des tâches</t>
  </si>
  <si>
    <t>Registros de estado de HOS</t>
  </si>
  <si>
    <t>Lenkzeitprotokoll</t>
  </si>
  <si>
    <t>職務ステータスログ</t>
  </si>
  <si>
    <t>Sommaire</t>
  </si>
  <si>
    <t>Resumen</t>
  </si>
  <si>
    <t>Zusammenfassung</t>
  </si>
  <si>
    <t>走行データ</t>
  </si>
  <si>
    <t>Créé</t>
  </si>
  <si>
    <t>Creado</t>
  </si>
  <si>
    <t>Angelegt</t>
  </si>
  <si>
    <t>作成済</t>
  </si>
  <si>
    <t>À partir de</t>
  </si>
  <si>
    <t>De</t>
  </si>
  <si>
    <t>Von</t>
  </si>
  <si>
    <t>から</t>
  </si>
  <si>
    <t>Pour</t>
  </si>
  <si>
    <t>Para</t>
  </si>
  <si>
    <t>An</t>
  </si>
  <si>
    <t>へ</t>
  </si>
  <si>
    <t>Unité de distance</t>
  </si>
  <si>
    <t>Unidad de distancia</t>
  </si>
  <si>
    <t>Entfernungseinheit</t>
  </si>
  <si>
    <t>距離の単位</t>
  </si>
  <si>
    <t>DutyStatusDetailAnnotations</t>
  </si>
  <si>
    <t>Language</t>
  </si>
  <si>
    <t>en</t>
  </si>
  <si>
    <t>DutyStatusOrigin</t>
  </si>
  <si>
    <t>**First Name</t>
  </si>
  <si>
    <t>Prénom</t>
  </si>
  <si>
    <t>Nombre</t>
  </si>
  <si>
    <t>Vorname</t>
  </si>
  <si>
    <t>ファーストネー</t>
  </si>
  <si>
    <t>**Last Name</t>
  </si>
  <si>
    <t>Nom de famille</t>
  </si>
  <si>
    <t>Apellido</t>
  </si>
  <si>
    <t>Nachname</t>
  </si>
  <si>
    <t>ラストネーム</t>
  </si>
  <si>
    <t>.StatusLog.Driver.UserFirstName</t>
  </si>
  <si>
    <t>.StatusLog.Driver.UserLastName</t>
  </si>
  <si>
    <t>**Log Origin</t>
  </si>
  <si>
    <t>Origine du Journal</t>
  </si>
  <si>
    <t>Origen del Registro</t>
  </si>
  <si>
    <t>Protokollherkunft</t>
  </si>
  <si>
    <t>ログの起源</t>
  </si>
  <si>
    <t>Polish</t>
  </si>
  <si>
    <t>Kierowca</t>
  </si>
  <si>
    <t>Data</t>
  </si>
  <si>
    <t>Urzadzenie</t>
  </si>
  <si>
    <t>Wspólkierowcy</t>
  </si>
  <si>
    <t>Przyczepy</t>
  </si>
  <si>
    <t>Dlugosc geograficzna</t>
  </si>
  <si>
    <t>Szerokosc geograficzna</t>
  </si>
  <si>
    <t>Adres</t>
  </si>
  <si>
    <t>Licznik kilometrów</t>
  </si>
  <si>
    <t>Odleglosc</t>
  </si>
  <si>
    <t>Data weryfikacji</t>
  </si>
  <si>
    <t>Data edycji</t>
  </si>
  <si>
    <t>Dzienniki statusów dyzurów</t>
  </si>
  <si>
    <t>Podsumowanie</t>
  </si>
  <si>
    <t>Utworzono</t>
  </si>
  <si>
    <t>Od</t>
  </si>
  <si>
    <t>Do</t>
  </si>
  <si>
    <t>Jednostka odleglosci</t>
  </si>
  <si>
    <t>Imie</t>
  </si>
  <si>
    <t>Nazwisko</t>
  </si>
  <si>
    <t>Powstanie dziennika</t>
  </si>
  <si>
    <t>Duty Status Logs</t>
  </si>
  <si>
    <t>Created</t>
  </si>
  <si>
    <t>From</t>
  </si>
  <si>
    <t>To</t>
  </si>
  <si>
    <t>Distance Unit</t>
  </si>
  <si>
    <t>Driver</t>
  </si>
  <si>
    <t>First Name</t>
  </si>
  <si>
    <t>Last Name</t>
  </si>
  <si>
    <t>Device</t>
  </si>
  <si>
    <t>CoDrivers</t>
  </si>
  <si>
    <t>Trailers</t>
  </si>
  <si>
    <t>Address</t>
  </si>
  <si>
    <t>Odometer</t>
  </si>
  <si>
    <t>Log Origin</t>
  </si>
  <si>
    <t>Verify Date</t>
  </si>
  <si>
    <t>Edit Date</t>
  </si>
  <si>
    <t>Number of Drivers ON Duty</t>
  </si>
  <si>
    <t>ON</t>
  </si>
  <si>
    <t>707</t>
  </si>
  <si>
    <t>b3</t>
  </si>
  <si>
    <t>100488</t>
  </si>
  <si>
    <t>America8DayBig</t>
  </si>
  <si>
    <t>Automatic</t>
  </si>
  <si>
    <t>ON?</t>
  </si>
  <si>
    <t>km</t>
  </si>
  <si>
    <t>km/h</t>
  </si>
  <si>
    <t>Kyledodsworth@geotab.com</t>
  </si>
  <si>
    <t>test comment</t>
  </si>
  <si>
    <t>TRUE</t>
  </si>
  <si>
    <t>Group 1</t>
  </si>
  <si>
    <t>Ron</t>
  </si>
  <si>
    <t>Vally</t>
  </si>
  <si>
    <t>Joe</t>
  </si>
  <si>
    <t>Fresh</t>
  </si>
  <si>
    <t>T1</t>
  </si>
  <si>
    <t>T2</t>
  </si>
  <si>
    <t>7km West of Here</t>
  </si>
  <si>
    <t>5 Km East of nowhere</t>
  </si>
  <si>
    <t>ABC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</si>
</sst>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[$-409]_(&quot;$&quot;* #,##0_);[$-409]_(&quot;$&quot;* \(#,##0\);[$-409]_(&quot;$&quot;* &quot;-&quot;_);_(@_)"/>
    <numFmt numFmtId="165" formatCode="[$-409]_(* #,##0_);[$-409]_(* \(#,##0\);[$-409]_(* &quot;-&quot;_);_(@_)"/>
    <numFmt numFmtId="166" formatCode="[$-409]_(&quot;$&quot;* #,##0.00_);[$-409]_(&quot;$&quot;* \(#,##0.00\);[$-409]_(&quot;$&quot;* &quot;-&quot;??_);_(@_)"/>
    <numFmt numFmtId="167" formatCode="[$-409]_(* #,##0.00_);[$-409]_(* \(#,##0.00\);[$-409]_(* &quot;-&quot;??_);_(@_)"/>
    <numFmt numFmtId="168" formatCode="[$-409]dd/mm/yyyy\ h:mm:ss\ AM/PM"/>
    <numFmt numFmtId="169" formatCode="[$-409]0;[$-409]\-0;[$-409];@"/>
    <numFmt numFmtId="170" formatCode="[$-409]mmm\ dd\,\ yyyy"/>
    <numFmt numFmtId="171" formatCode="[$-409]mmm\ dd\,\ yyyy\ h:mm:ss\ AM/PM"/>
    <numFmt numFmtId="172" formatCode="[$-409]0_ ;[$-409]\-0\ "/>
    <numFmt numFmtId="173" formatCode="[$-409]m/d/yy\ h:mm"/>
  </numFmts>
  <fonts count="17" x14ac:knownFonts="1">
    <font>
      <sz val="10"/>
      <name val="Arial"/>
      <family val="2"/>
    </font>
    <font>
      <b/>
      <sz val="11"/>
      <color indexed="8"/>
      <name val="Calibri"/>
      <family val="2"/>
    </font>
    <font>
      <b/>
      <sz val="7"/>
      <color indexed="8"/>
      <name val="Tahoma"/>
      <family val="2"/>
    </font>
    <font>
      <sz val="8"/>
      <color indexed="8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0" tint="-0.34998626667073579"/>
      <name val="Segoe UI"/>
      <family val="2"/>
    </font>
    <font>
      <b/>
      <sz val="8"/>
      <color theme="1"/>
      <name val="Tahoma"/>
      <family val="2"/>
    </font>
    <font>
      <b/>
      <sz val="10"/>
      <name val="Arial"/>
      <family val="2"/>
    </font>
    <font>
      <i/>
      <sz val="14"/>
      <color theme="4"/>
      <name val="Calibri"/>
      <family val="2"/>
      <scheme val="minor"/>
    </font>
    <font>
      <b/>
      <i/>
      <sz val="18"/>
      <color theme="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20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7" fillId="10" borderId="0" applyNumberFormat="0"/>
    <xf numFmtId="0" fontId="8" fillId="0" borderId="0" applyNumberFormat="0" applyAlignment="0"/>
    <xf numFmtId="0" fontId="9" fillId="10" borderId="0" applyNumberFormat="0"/>
    <xf numFmtId="170" fontId="5" fillId="10" borderId="0"/>
    <xf numFmtId="0" fontId="10" fillId="0" borderId="0" applyNumberFormat="0"/>
    <xf numFmtId="0" fontId="11" fillId="0" borderId="0" applyNumberFormat="0"/>
    <xf numFmtId="0" fontId="12" fillId="0" borderId="0" applyNumberFormat="0" applyFill="0" applyBorder="0" applyAlignment="0" applyProtection="0">
      <alignment horizontal="right"/>
    </xf>
  </cellStyleXfs>
  <cellXfs count="28">
    <xf numFmtId="0" fontId="0" fillId="0" borderId="0" xfId="0"/>
    <xf numFmtId="168" fontId="0" fillId="0" borderId="0" xfId="0" applyNumberFormat="1"/>
    <xf numFmtId="0" fontId="1" fillId="0" borderId="0" xfId="0" applyFont="1"/>
    <xf numFmtId="0" fontId="2" fillId="9" borderId="1" xfId="0" applyFont="1" applyFill="1" applyBorder="1" applyAlignment="1">
      <alignment horizontal="center" wrapText="1"/>
    </xf>
    <xf numFmtId="168" fontId="3" fillId="0" borderId="0" xfId="0" applyNumberFormat="1" applyFont="1" applyAlignment="1">
      <alignment horizontal="left"/>
    </xf>
    <xf numFmtId="0" fontId="0" fillId="0" borderId="0" xfId="0" pivotButton="1"/>
    <xf numFmtId="0" fontId="13" fillId="0" borderId="0" xfId="0" applyFont="1"/>
    <xf numFmtId="0" fontId="8" fillId="0" borderId="0" xfId="14"/>
    <xf numFmtId="0" fontId="7" fillId="10" borderId="0" xfId="13"/>
    <xf numFmtId="0" fontId="9" fillId="10" borderId="0" xfId="15"/>
    <xf numFmtId="170" fontId="8" fillId="0" borderId="0" xfId="14" applyNumberFormat="1" applyAlignment="1">
      <alignment horizontal="left"/>
    </xf>
    <xf numFmtId="173" fontId="0" fillId="0" borderId="0" xfId="0" applyNumberFormat="1"/>
    <xf numFmtId="0" fontId="12" fillId="0" borderId="0" xfId="19" applyAlignment="1"/>
    <xf numFmtId="0" fontId="12" fillId="10" borderId="0" xfId="19" applyFill="1" applyAlignment="1"/>
    <xf numFmtId="0" fontId="14" fillId="0" borderId="0" xfId="0" applyFont="1"/>
    <xf numFmtId="170" fontId="8" fillId="0" borderId="0" xfId="14" applyNumberFormat="1" applyAlignment="1">
      <alignment horizontal="left"/>
    </xf>
    <xf numFmtId="0" fontId="0" fillId="0" borderId="0" xfId="0" applyFont="1"/>
    <xf numFmtId="168" fontId="0" fillId="0" borderId="0" xfId="0" applyNumberFormat="1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170" fontId="8" fillId="0" borderId="0" xfId="14" applyNumberFormat="1" applyAlignment="1">
      <alignment horizontal="left"/>
    </xf>
    <xf numFmtId="0" fontId="15" fillId="10" borderId="0" xfId="13" applyFont="1"/>
    <xf numFmtId="0" fontId="16" fillId="10" borderId="0" xfId="13" applyFont="1"/>
    <xf numFmtId="0" fontId="7" fillId="10" borderId="0" xfId="13" applyAlignment="1">
      <alignment horizontal="center"/>
    </xf>
    <xf numFmtId="0" fontId="0" fillId="0" borderId="0" xfId="0" applyAlignment="1">
      <alignment horizontal="center"/>
    </xf>
    <xf numFmtId="170" fontId="8" fillId="0" borderId="0" xfId="14" applyNumberFormat="1" applyAlignment="1">
      <alignment horizontal="left"/>
    </xf>
    <xf numFmtId="168" fontId="0" fillId="0" borderId="0" xfId="0" applyNumberFormat="1"/>
  </cellXfs>
  <cellStyles count="2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40% - Accent3" xfId="5" builtinId="39" customBuiltin="1"/>
    <cellStyle name="60% - Accent3" xfId="6" builtinId="40" customBuiltin="1"/>
    <cellStyle name="60% - Accent4" xfId="7" builtinId="44" customBuiltin="1"/>
    <cellStyle name="60% - Accent6" xfId="8" builtinId="52" customBuiltin="1"/>
    <cellStyle name="Comma" xfId="9" builtinId="3" customBuiltin="1"/>
    <cellStyle name="Comma [0]" xfId="10" builtinId="6" customBuiltin="1"/>
    <cellStyle name="Currency" xfId="11" builtinId="4" customBuiltin="1"/>
    <cellStyle name="Currency [0]" xfId="12" builtinId="7" customBuiltin="1"/>
    <cellStyle name="Heading" xfId="13"/>
    <cellStyle name="Normal" xfId="0" builtinId="0" customBuiltin="1"/>
    <cellStyle name="Report Body" xfId="14"/>
    <cellStyle name="Report Column Header" xfId="15"/>
    <cellStyle name="Report Creation DateTime" xfId="16"/>
    <cellStyle name="Report Field Name" xfId="17"/>
    <cellStyle name="Report Name" xfId="18"/>
    <cellStyle name="StandardReportHeading" xfId="19"/>
  </cellStyles>
  <dxfs count="14">
    <dxf>
      <alignment horizontal="center"/>
    </dxf>
    <dxf>
      <alignment horizontal="left"/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5" tint="0.39997558519241921"/>
        </bottom>
      </border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5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5" tint="0.39997558519241921"/>
        </bottom>
      </border>
    </dxf>
    <dxf>
      <font>
        <color theme="1"/>
      </font>
    </dxf>
    <dxf>
      <font>
        <b/>
        <i val="0"/>
        <color theme="1"/>
      </font>
      <fill>
        <patternFill>
          <bgColor theme="0" tint="-4.9989318521683403E-2"/>
        </patternFill>
      </fill>
      <border>
        <top style="thin">
          <color theme="5"/>
        </top>
        <bottom style="thin">
          <color theme="5"/>
        </bottom>
      </border>
    </dxf>
    <dxf>
      <font>
        <color theme="1"/>
      </font>
      <fill>
        <patternFill patternType="solid">
          <fgColor theme="0" tint="-0.14993743705557422"/>
          <bgColor theme="0" tint="-4.9989318521683403E-2"/>
        </patternFill>
      </fill>
    </dxf>
    <dxf>
      <fill>
        <patternFill patternType="solid">
          <fgColor theme="0" tint="-0.14990691854609822"/>
          <bgColor theme="0" tint="-4.9989318521683403E-2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>
          <fgColor theme="8"/>
          <bgColor theme="8"/>
        </patternFill>
      </fill>
    </dxf>
    <dxf>
      <font>
        <b/>
        <i val="0"/>
        <color theme="1"/>
      </font>
      <fill>
        <patternFill patternType="solid">
          <fgColor theme="5" tint="0.79985961485641044"/>
          <bgColor theme="0" tint="-4.9989318521683403E-2"/>
        </patternFill>
      </fill>
      <border>
        <top style="thin">
          <color theme="5" tint="0.39997558519241921"/>
        </top>
      </border>
    </dxf>
    <dxf>
      <font>
        <b/>
        <i val="0"/>
        <color theme="1"/>
      </font>
      <fill>
        <patternFill patternType="solid">
          <fgColor theme="5" tint="0.79989013336588644"/>
          <bgColor theme="0" tint="-4.9989318521683403E-2"/>
        </patternFill>
      </fill>
      <border>
        <bottom style="thin">
          <color theme="5" tint="0.39997558519241921"/>
        </bottom>
      </border>
    </dxf>
    <dxf>
      <font>
        <color theme="3"/>
      </font>
    </dxf>
  </dxfs>
  <tableStyles count="1" defaultTableStyle="TableStyleMedium9" defaultPivotStyle="PivotStyleLight16">
    <tableStyle name="PivotStyleLightCustom" table="0" count="12">
      <tableStyleElement type="wholeTable" dxfId="13"/>
      <tableStyleElement type="headerRow" dxfId="12"/>
      <tableStyleElement type="totalRow" dxfId="11"/>
      <tableStyleElement type="secondRowStripe" dxfId="10"/>
      <tableStyleElement type="firstColumnStripe" dxfId="9"/>
      <tableStyleElement type="firstSubtotalColumn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Drivers ON Duty </a:t>
            </a:r>
          </a:p>
        </c:rich>
      </c:tx>
      <c:layout>
        <c:manualLayout>
          <c:xMode val="edge"/>
          <c:yMode val="edge"/>
          <c:x val="0.1500506707494896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Summary!$I$11</c:f>
              <c:strCache>
                <c:ptCount val="1"/>
                <c:pt idx="0">
                  <c:v>Number of Drivers ON Duty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Summary!$I$12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C-48B0-8625-3C501EE26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-823581376"/>
        <c:axId val="-823587904"/>
      </c:barChart>
      <c:catAx>
        <c:axId val="-823581376"/>
        <c:scaling>
          <c:orientation val="minMax"/>
        </c:scaling>
        <c:delete val="1"/>
        <c:axPos val="b"/>
        <c:majorTickMark val="none"/>
        <c:minorTickMark val="none"/>
        <c:tickLblPos val="nextTo"/>
        <c:crossAx val="-823587904"/>
        <c:crosses val="autoZero"/>
        <c:auto val="1"/>
        <c:lblAlgn val="ctr"/>
        <c:lblOffset val="100"/>
        <c:noMultiLvlLbl val="0"/>
      </c:catAx>
      <c:valAx>
        <c:axId val="-82358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2358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533400</xdr:colOff>
      <xdr:row>14</xdr:row>
      <xdr:rowOff>49530</xdr:rowOff>
    </xdr:from>
    <xdr:to>
      <xdr:col>8</xdr:col>
      <xdr:colOff>3276600</xdr:colOff>
      <xdr:row>30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rishma Sawant" refreshedDate="42886.8560005787" createdVersion="4" refreshedVersion="6" recordCount="2">
  <cacheSource type="worksheet">
    <worksheetSource name="AllData"/>
  </cacheSource>
  <cacheFields count="15">
    <cacheField name="Driver" numFmtId="0">
      <sharedItems containsMixedTypes="1" containsNumber="1" containsInteger="1" minValue="100489" maxValue="100489" count="2">
        <s v="100488"/>
        <n v="100489"/>
      </sharedItems>
    </cacheField>
    <cacheField name="First Name" numFmtId="168">
      <sharedItems/>
    </cacheField>
    <cacheField name="Last Name" numFmtId="168">
      <sharedItems/>
    </cacheField>
    <cacheField name="Date" numFmtId="168">
      <sharedItems containsSemiMixedTypes="0" containsNonDate="0" containsDate="1" containsString="0" minDate="2017-03-02T10:12:50" maxDate="2017-03-02T10:16:44"/>
    </cacheField>
    <cacheField name="Status" numFmtId="168">
      <sharedItems containsBlank="1" count="6">
        <s v="ON"/>
        <m u="1"/>
        <s v="D" u="1"/>
        <s v="OFF" u="1"/>
        <s v="PC" u="1"/>
        <s v="SB" u="1"/>
      </sharedItems>
    </cacheField>
    <cacheField name="ON?" numFmtId="168">
      <sharedItems count="2">
        <b v="1"/>
        <b v="0" u="1"/>
      </sharedItems>
    </cacheField>
    <cacheField name="Device" numFmtId="168">
      <sharedItems/>
    </cacheField>
    <cacheField name="CoDrivers" numFmtId="0">
      <sharedItems containsSemiMixedTypes="0" containsString="0" containsNumber="1" containsInteger="1" minValue="0" maxValue="0"/>
    </cacheField>
    <cacheField name="Trailers" numFmtId="168">
      <sharedItems/>
    </cacheField>
    <cacheField name="Address" numFmtId="168">
      <sharedItems/>
    </cacheField>
    <cacheField name="Odometer" numFmtId="1">
      <sharedItems containsSemiMixedTypes="0" containsString="0" containsNumber="1" minValue="754181.75" maxValue="754182.25"/>
    </cacheField>
    <cacheField name="Distance" numFmtId="2">
      <sharedItems containsSemiMixedTypes="0" containsString="0" containsNumber="1" minValue="5.1733753643930002E-3" maxValue="0.50995314121246305"/>
    </cacheField>
    <cacheField name="Log Origin" numFmtId="168">
      <sharedItems/>
    </cacheField>
    <cacheField name="Verify Date" numFmtId="168">
      <sharedItems containsSemiMixedTypes="0" containsNonDate="0" containsDate="1" containsString="0" minDate="1899-12-30T00:00:00" maxDate="1899-12-31T00:00:00"/>
    </cacheField>
    <cacheField name="Edit Date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x v="0"/>
    <s v="Ron"/>
    <s v="Vally"/>
    <d v="2017-03-02T10:12:50"/>
    <x v="0"/>
    <x v="0"/>
    <s v="707"/>
    <n v="0"/>
    <s v="T1"/>
    <s v="7km West of Here"/>
    <n v="754181.75"/>
    <n v="0.50995314121246305"/>
    <s v="Automatic"/>
    <d v="1899-12-30T00:00:00"/>
    <n v="0"/>
  </r>
  <r>
    <x v="1"/>
    <s v="Joe"/>
    <s v="Fresh"/>
    <d v="2017-03-02T10:16:44"/>
    <x v="0"/>
    <x v="0"/>
    <s v="707"/>
    <n v="0"/>
    <s v="T2"/>
    <s v="5 Km East of nowhere"/>
    <n v="754182.25"/>
    <n v="5.1733753643930002E-3"/>
    <s v="Automatic"/>
    <d v="1899-12-30T00:00: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S Driver Logs" cacheId="5" applyNumberFormats="0" applyBorderFormats="0" applyFontFormats="0" applyPatternFormats="0" applyAlignmentFormats="0" applyWidthHeightFormats="1" dataCaption="Data" updatedVersion="6" minRefreshableVersion="3" showDrill="0" showMemberPropertyTips="0" useAutoFormatting="1" itemPrintTitles="1" createdVersion="4" indent="0" compact="0" compactData="0" gridDropZones="1">
  <location ref="A9:H13" firstHeaderRow="2" firstDataRow="2" firstDataCol="2" rowPageCount="1" colPageCount="1"/>
  <pivotFields count="15">
    <pivotField axis="axisRow" compact="0" outline="0" subtotalTop="0" showAll="0" includeNewItemsInFilter="1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numFmtId="171" outline="0" showAll="0" defaultSubtotal="0"/>
    <pivotField axis="axisRow" compact="0" outline="0" subtotalTop="0" showAll="0" includeNewItemsInFilter="1" defaultSubtotal="0">
      <items count="6">
        <item h="1" m="1" x="2"/>
        <item h="1" m="1" x="3"/>
        <item x="0"/>
        <item h="1" m="1" x="4"/>
        <item m="1" x="1"/>
        <item m="1" x="5"/>
      </items>
    </pivotField>
    <pivotField axis="axisPage" compact="0" outline="0" multipleItemSelectionAllowed="1" showAll="0" defaultSubtotal="0">
      <items count="2">
        <item h="1" m="1" x="1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numFmtId="172" outline="0" subtotalTop="0" showAll="0" includeNewItemsInFilter="1" defaultSubtotal="0"/>
    <pivotField compact="0" numFmtId="169" outline="0" subtotalTop="0" showAll="0" includeNewItemsInFilter="1" defaultSubtotal="0"/>
    <pivotField compact="0" outline="0" showAll="0" defaultSubtotal="0"/>
    <pivotField compact="0" numFmtId="171" outline="0" subtotalTop="0" showAll="0" includeNewItemsInFilter="1" defaultSubtotal="0"/>
    <pivotField compact="0" outline="0" subtotalTop="0" showAll="0" includeNewItemsInFilter="1" defaultSubtotal="0"/>
  </pivotFields>
  <rowFields count="2">
    <field x="4"/>
    <field x="0"/>
  </rowFields>
  <rowItems count="3">
    <i>
      <x v="2"/>
      <x/>
    </i>
    <i r="1">
      <x v="1"/>
    </i>
    <i t="grand">
      <x/>
    </i>
  </rowItems>
  <colItems count="1">
    <i/>
  </colItems>
  <pageFields count="1">
    <pageField fld="5" hier="-1"/>
  </pageFields>
  <formats count="2">
    <format dxfId="1">
      <pivotArea dataOnly="0" labelOnly="1" outline="0" fieldPosition="0">
        <references count="1">
          <reference field="5" count="0"/>
        </references>
      </pivotArea>
    </format>
    <format dxfId="0">
      <pivotArea dataOnly="0" labelOnly="1" outline="0" fieldPosition="0">
        <references count="1">
          <reference field="5" count="0"/>
        </references>
      </pivotArea>
    </format>
  </formats>
  <pivotTableStyleInfo name="PivotStyleLightCustom" showRowHeaders="0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3F3F3F"/>
      </a:dk2>
      <a:lt2>
        <a:srgbClr val="EEECE1"/>
      </a:lt2>
      <a:accent1>
        <a:srgbClr val="25477B"/>
      </a:accent1>
      <a:accent2>
        <a:srgbClr val="5C9CCC"/>
      </a:accent2>
      <a:accent3>
        <a:srgbClr val="9BBB59"/>
      </a:accent3>
      <a:accent4>
        <a:srgbClr val="F7941E"/>
      </a:accent4>
      <a:accent5>
        <a:srgbClr val="F3F8FB"/>
      </a:accent5>
      <a:accent6>
        <a:srgbClr val="EEECE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2"/>
  <sheetViews>
    <sheetView workbookViewId="0">
      <selection activeCell="B13" sqref="B13"/>
    </sheetView>
  </sheetViews>
  <sheetFormatPr defaultRowHeight="13.2" x14ac:dyDescent="0.25"/>
  <cols>
    <col min="1" max="2" width="22.109375" customWidth="1"/>
    <col min="3" max="3" width="17.88671875" customWidth="1"/>
    <col min="4" max="4" width="15.109375" customWidth="1"/>
    <col min="5" max="5" width="18.109375" customWidth="1"/>
    <col min="6" max="8" width="18.5546875" customWidth="1"/>
    <col min="9" max="9" width="23" customWidth="1"/>
    <col min="10" max="10" width="22.109375" customWidth="1"/>
    <col min="11" max="11" width="41.109375" customWidth="1"/>
    <col min="12" max="12" width="39.5546875" customWidth="1"/>
    <col min="13" max="13" width="16" customWidth="1"/>
    <col min="14" max="14" width="18.109375" customWidth="1"/>
    <col min="15" max="15" width="16.5546875" customWidth="1"/>
    <col min="16" max="16" width="15.5546875" customWidth="1"/>
    <col min="17" max="17" width="22.109375" customWidth="1"/>
    <col min="18" max="18" width="31.5546875" customWidth="1"/>
    <col min="19" max="19" width="43.109375" customWidth="1"/>
    <col min="20" max="20" width="22.109375" customWidth="1"/>
    <col min="21" max="22" width="21.44140625" customWidth="1"/>
  </cols>
  <sheetData>
    <row r="1" spans="1:22" x14ac:dyDescent="0.25">
      <c r="A1" s="6" t="s">
        <v>4</v>
      </c>
      <c r="B1" s="4" t="s">
        <v>207</v>
      </c>
      <c r="F1" s="11"/>
      <c r="G1" s="11"/>
      <c r="H1" s="11"/>
      <c r="J1" s="4"/>
      <c r="Q1" s="4"/>
    </row>
    <row r="2" spans="1:22" x14ac:dyDescent="0.25">
      <c r="A2" s="6" t="s">
        <v>3</v>
      </c>
      <c r="B2" s="4">
        <v>42796.6982683565</v>
      </c>
      <c r="J2" s="4"/>
      <c r="Q2" s="4"/>
    </row>
    <row r="3" spans="1:22" x14ac:dyDescent="0.25">
      <c r="A3" s="6" t="s">
        <v>1</v>
      </c>
      <c r="B3" s="4">
        <v>42796</v>
      </c>
      <c r="J3" s="4"/>
      <c r="Q3" s="4"/>
    </row>
    <row r="4" spans="1:22" x14ac:dyDescent="0.25">
      <c r="A4" s="6" t="s">
        <v>2</v>
      </c>
      <c r="B4" s="4">
        <v>42796.999988425901</v>
      </c>
      <c r="J4" s="4"/>
      <c r="Q4" s="4"/>
    </row>
    <row r="5" spans="1:22" x14ac:dyDescent="0.25">
      <c r="A5" s="6" t="s">
        <v>5</v>
      </c>
      <c r="B5" s="4" t="s">
        <v>193</v>
      </c>
      <c r="J5" s="4"/>
      <c r="Q5" s="4"/>
    </row>
    <row r="6" spans="1:22" x14ac:dyDescent="0.25">
      <c r="A6" s="6" t="s">
        <v>6</v>
      </c>
      <c r="B6" s="4" t="s">
        <v>194</v>
      </c>
      <c r="J6" s="4"/>
      <c r="Q6" s="4"/>
    </row>
    <row r="7" spans="1:22" x14ac:dyDescent="0.25">
      <c r="A7" s="6" t="s">
        <v>7</v>
      </c>
      <c r="B7" s="4" t="b">
        <v>1</v>
      </c>
      <c r="J7" s="4"/>
      <c r="Q7" s="4"/>
    </row>
    <row r="8" spans="1:22" x14ac:dyDescent="0.25">
      <c r="A8" s="6" t="s">
        <v>8</v>
      </c>
      <c r="B8" s="4" t="s">
        <v>195</v>
      </c>
      <c r="J8" s="4"/>
      <c r="Q8" s="4"/>
    </row>
    <row r="9" spans="1:22" x14ac:dyDescent="0.25">
      <c r="A9" s="6" t="s">
        <v>127</v>
      </c>
      <c r="B9" s="4" t="s">
        <v>128</v>
      </c>
      <c r="J9" s="4"/>
      <c r="Q9" s="4"/>
    </row>
    <row r="10" spans="1:22" ht="26.25" customHeight="1" thickBot="1" x14ac:dyDescent="0.3">
      <c r="A10" s="3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140</v>
      </c>
      <c r="H10" s="3" t="s">
        <v>141</v>
      </c>
      <c r="I10" s="3" t="s">
        <v>19</v>
      </c>
      <c r="J10" s="3" t="s">
        <v>30</v>
      </c>
      <c r="K10" s="3" t="s">
        <v>20</v>
      </c>
      <c r="L10" s="3" t="s">
        <v>28</v>
      </c>
      <c r="M10" s="3" t="s">
        <v>21</v>
      </c>
      <c r="N10" s="3" t="s">
        <v>22</v>
      </c>
      <c r="O10" s="3" t="s">
        <v>23</v>
      </c>
      <c r="P10" s="3" t="s">
        <v>24</v>
      </c>
      <c r="Q10" s="3" t="s">
        <v>29</v>
      </c>
      <c r="R10" s="3" t="s">
        <v>25</v>
      </c>
      <c r="S10" s="3" t="s">
        <v>126</v>
      </c>
      <c r="T10" s="3" t="s">
        <v>129</v>
      </c>
      <c r="U10" s="3" t="s">
        <v>26</v>
      </c>
      <c r="V10" s="3" t="s">
        <v>27</v>
      </c>
    </row>
    <row r="11" spans="1:22" x14ac:dyDescent="0.25">
      <c r="A11">
        <v>42796.425575011599</v>
      </c>
      <c r="B11" t="s">
        <v>186</v>
      </c>
      <c r="C11" t="s">
        <v>187</v>
      </c>
      <c r="D11" t="s">
        <v>188</v>
      </c>
      <c r="E11" t="s">
        <v>196</v>
      </c>
      <c r="F11" t="s">
        <v>198</v>
      </c>
      <c r="G11" t="s">
        <v>199</v>
      </c>
      <c r="H11" t="s">
        <v>200</v>
      </c>
      <c r="I11" t="s">
        <v>189</v>
      </c>
      <c r="L11" t="s">
        <v>203</v>
      </c>
      <c r="M11">
        <v>754181.75</v>
      </c>
      <c r="N11">
        <v>0.50995314121246305</v>
      </c>
      <c r="O11">
        <v>-120.211944580078</v>
      </c>
      <c r="P11">
        <v>47.374515533447301</v>
      </c>
      <c r="Q11" t="s">
        <v>190</v>
      </c>
      <c r="R11" t="s">
        <v>205</v>
      </c>
      <c r="T11" t="s">
        <v>191</v>
      </c>
    </row>
    <row r="12" spans="1:22" x14ac:dyDescent="0.25">
      <c r="A12">
        <v>42796.428288958297</v>
      </c>
      <c r="B12" t="s">
        <v>186</v>
      </c>
      <c r="C12" t="s">
        <v>187</v>
      </c>
      <c r="D12" t="s">
        <v>188</v>
      </c>
      <c r="E12" t="s">
        <v>196</v>
      </c>
      <c r="F12" t="s">
        <v>198</v>
      </c>
      <c r="G12" t="s">
        <v>201</v>
      </c>
      <c r="H12" t="s">
        <v>202</v>
      </c>
      <c r="I12">
        <v>100489</v>
      </c>
      <c r="L12" t="s">
        <v>204</v>
      </c>
      <c r="M12">
        <v>754182.25</v>
      </c>
      <c r="N12">
        <v>5.1733753643930002E-3</v>
      </c>
      <c r="O12">
        <v>-120.21340179443401</v>
      </c>
      <c r="P12">
        <v>47.373081207275398</v>
      </c>
      <c r="Q12" t="s">
        <v>190</v>
      </c>
      <c r="R12" t="s">
        <v>206</v>
      </c>
      <c r="T12" t="s">
        <v>191</v>
      </c>
    </row>
  </sheetData>
  <pageMargins left="0.7" right="0.7" top="0.75" bottom="0.75" header="0.3" footer="0.3"/>
  <pageSetup fitToHeight="10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showGridLines="0" tabSelected="1" workbookViewId="0">
      <pane ySplit="10" topLeftCell="A11" activePane="bottomLeft" state="frozen"/>
      <selection pane="bottomLeft" activeCell="K25" sqref="K25"/>
    </sheetView>
  </sheetViews>
  <sheetFormatPr defaultRowHeight="13.2" x14ac:dyDescent="0.25"/>
  <cols>
    <col min="1" max="1" width="11.33203125" customWidth="1"/>
    <col min="2" max="2" width="13.6640625" style="25" customWidth="1"/>
    <col min="3" max="5" width="5.33203125" hidden="1" customWidth="1"/>
    <col min="6" max="6" width="17.88671875" hidden="1" customWidth="1"/>
    <col min="7" max="7" width="22.109375" hidden="1" customWidth="1"/>
    <col min="8" max="8" width="15.5546875" hidden="1" customWidth="1"/>
    <col min="9" max="9" width="49.44140625" customWidth="1"/>
    <col min="10" max="10" width="15.44140625" customWidth="1"/>
    <col min="11" max="11" width="23" customWidth="1"/>
    <col min="12" max="12" width="21" customWidth="1"/>
    <col min="13" max="13" width="20.5546875" customWidth="1"/>
  </cols>
  <sheetData>
    <row r="1" spans="1:9" s="8" customFormat="1" ht="23.4" x14ac:dyDescent="0.45">
      <c r="A1" s="23" t="str">
        <f>Data!B1</f>
        <v>ABC Company</v>
      </c>
      <c r="B1" s="24"/>
    </row>
    <row r="2" spans="1:9" ht="18" x14ac:dyDescent="0.35">
      <c r="A2" s="22" t="s">
        <v>185</v>
      </c>
    </row>
    <row r="3" spans="1:9" ht="14.4" x14ac:dyDescent="0.3">
      <c r="A3" s="2"/>
    </row>
    <row r="4" spans="1:9" ht="19.2" x14ac:dyDescent="0.45">
      <c r="A4" s="12" t="s">
        <v>170</v>
      </c>
      <c r="B4" s="26">
        <f>Data!B2</f>
        <v>42796.6982683565</v>
      </c>
      <c r="C4" s="26"/>
      <c r="D4" s="26"/>
    </row>
    <row r="5" spans="1:9" ht="19.2" x14ac:dyDescent="0.45">
      <c r="A5" s="12" t="s">
        <v>171</v>
      </c>
      <c r="B5" s="26">
        <f>Data!B3</f>
        <v>42796</v>
      </c>
      <c r="C5" s="26"/>
      <c r="D5" s="26"/>
    </row>
    <row r="6" spans="1:9" ht="19.2" x14ac:dyDescent="0.45">
      <c r="A6" s="12" t="s">
        <v>172</v>
      </c>
      <c r="B6" s="26">
        <f>Data!B4</f>
        <v>42796.999988425901</v>
      </c>
      <c r="C6" s="26"/>
      <c r="D6" s="26"/>
    </row>
    <row r="7" spans="1:9" ht="14.4" hidden="1" x14ac:dyDescent="0.3">
      <c r="A7" s="5" t="s">
        <v>192</v>
      </c>
      <c r="B7" s="25" t="s">
        <v>197</v>
      </c>
      <c r="C7" s="21"/>
      <c r="D7" s="21"/>
    </row>
    <row r="9" spans="1:9" hidden="1" x14ac:dyDescent="0.25">
      <c r="B9"/>
    </row>
    <row r="10" spans="1:9" x14ac:dyDescent="0.25">
      <c r="A10" s="5" t="s">
        <v>9</v>
      </c>
      <c r="B10" s="5" t="s">
        <v>174</v>
      </c>
    </row>
    <row r="11" spans="1:9" x14ac:dyDescent="0.25">
      <c r="A11" t="s">
        <v>186</v>
      </c>
      <c r="B11" t="s">
        <v>189</v>
      </c>
      <c r="I11" t="s">
        <v>185</v>
      </c>
    </row>
    <row r="12" spans="1:9" x14ac:dyDescent="0.25">
      <c r="B12">
        <v>100489</v>
      </c>
      <c r="I12">
        <f>IF(B11&lt;&gt;"(blank)",COUNTA(B11:B10001),0)</f>
        <v>2</v>
      </c>
    </row>
    <row r="13" spans="1:9" x14ac:dyDescent="0.25">
      <c r="A13" t="s">
        <v>0</v>
      </c>
      <c r="B13"/>
    </row>
  </sheetData>
  <mergeCells count="3">
    <mergeCell ref="B4:D4"/>
    <mergeCell ref="B5:D5"/>
    <mergeCell ref="B6:D6"/>
  </mergeCell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showGridLines="0" workbookViewId="0">
      <pane ySplit="8" topLeftCell="A9" activePane="bottomLeft" state="frozen"/>
      <selection pane="bottomLeft" activeCell="A10" sqref="A10"/>
    </sheetView>
  </sheetViews>
  <sheetFormatPr defaultRowHeight="13.2" x14ac:dyDescent="0.25"/>
  <cols>
    <col min="1" max="1" width="29.88671875" customWidth="1"/>
    <col min="2" max="4" width="25.5546875" style="1" customWidth="1"/>
    <col min="5" max="5" width="18.44140625" style="1" customWidth="1"/>
    <col min="6" max="6" width="18.44140625" style="17" customWidth="1"/>
    <col min="7" max="7" width="24.88671875" style="1" customWidth="1"/>
    <col min="8" max="8" width="51.109375" style="1" hidden="1" customWidth="1"/>
    <col min="9" max="9" width="43.44140625" style="1" customWidth="1"/>
    <col min="10" max="10" width="46.44140625" style="1" customWidth="1"/>
    <col min="11" max="11" width="19" style="1" customWidth="1"/>
    <col min="12" max="13" width="18.5546875" style="1" customWidth="1"/>
    <col min="14" max="14" width="31.109375" style="1" customWidth="1"/>
    <col min="15" max="15" width="27.5546875" customWidth="1"/>
    <col min="16" max="16" width="13.44140625" customWidth="1"/>
    <col min="17" max="17" width="13.109375" bestFit="1" customWidth="1"/>
    <col min="18" max="18" width="13.44140625" bestFit="1" customWidth="1"/>
    <col min="19" max="19" width="13.109375" bestFit="1" customWidth="1"/>
    <col min="20" max="20" width="13.44140625" bestFit="1" customWidth="1"/>
    <col min="21" max="21" width="13.109375" bestFit="1" customWidth="1"/>
    <col min="22" max="22" width="13.44140625" bestFit="1" customWidth="1"/>
    <col min="23" max="23" width="13.109375" bestFit="1" customWidth="1"/>
    <col min="24" max="24" width="13.44140625" bestFit="1" customWidth="1"/>
    <col min="25" max="25" width="13.109375" bestFit="1" customWidth="1"/>
  </cols>
  <sheetData>
    <row r="1" spans="1:15" s="8" customFormat="1" ht="23.4" x14ac:dyDescent="0.45">
      <c r="A1" s="8" t="s">
        <v>169</v>
      </c>
    </row>
    <row r="2" spans="1:15" x14ac:dyDescent="0.25">
      <c r="B2"/>
      <c r="C2"/>
      <c r="D2"/>
      <c r="E2"/>
      <c r="F2"/>
      <c r="G2"/>
      <c r="H2"/>
      <c r="I2"/>
      <c r="J2"/>
      <c r="K2"/>
      <c r="L2"/>
      <c r="M2"/>
      <c r="N2"/>
    </row>
    <row r="3" spans="1:15" ht="19.2" x14ac:dyDescent="0.45">
      <c r="A3" s="12" t="s">
        <v>170</v>
      </c>
      <c r="B3" s="26">
        <f>Data!B2</f>
        <v>42796.6982683565</v>
      </c>
      <c r="C3" s="26"/>
      <c r="D3" s="26"/>
      <c r="E3"/>
      <c r="F3"/>
      <c r="G3"/>
      <c r="H3"/>
      <c r="I3"/>
      <c r="J3"/>
      <c r="K3"/>
      <c r="L3"/>
      <c r="M3"/>
      <c r="N3"/>
    </row>
    <row r="4" spans="1:15" ht="19.2" x14ac:dyDescent="0.45">
      <c r="A4" s="12" t="s">
        <v>171</v>
      </c>
      <c r="B4" s="26">
        <f>Data!B3</f>
        <v>42796</v>
      </c>
      <c r="C4" s="26"/>
      <c r="D4" s="26"/>
      <c r="H4" s="10"/>
      <c r="I4" s="10"/>
      <c r="J4" s="10"/>
      <c r="K4" s="10"/>
      <c r="L4" s="10"/>
      <c r="M4" s="15"/>
      <c r="N4" s="10"/>
    </row>
    <row r="5" spans="1:15" ht="19.2" x14ac:dyDescent="0.45">
      <c r="A5" s="12" t="s">
        <v>172</v>
      </c>
      <c r="B5" s="26">
        <f>Data!B4</f>
        <v>42796.999988425901</v>
      </c>
      <c r="C5" s="26"/>
      <c r="D5" s="26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5" ht="19.2" x14ac:dyDescent="0.45">
      <c r="A6" s="12" t="s">
        <v>173</v>
      </c>
      <c r="B6" s="26" t="str">
        <f>Data!B5</f>
        <v>km</v>
      </c>
      <c r="C6" s="26"/>
      <c r="D6" s="26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5" x14ac:dyDescent="0.25">
      <c r="B7" s="27"/>
      <c r="C7" s="27"/>
      <c r="D7" s="27"/>
    </row>
    <row r="8" spans="1:15" s="9" customFormat="1" ht="19.2" x14ac:dyDescent="0.45">
      <c r="A8" s="13" t="s">
        <v>174</v>
      </c>
      <c r="B8" s="13" t="s">
        <v>175</v>
      </c>
      <c r="C8" s="13" t="s">
        <v>176</v>
      </c>
      <c r="D8" s="13" t="s">
        <v>52</v>
      </c>
      <c r="E8" s="13" t="s">
        <v>9</v>
      </c>
      <c r="F8" s="13" t="s">
        <v>192</v>
      </c>
      <c r="G8" s="13" t="s">
        <v>177</v>
      </c>
      <c r="H8" s="13" t="s">
        <v>178</v>
      </c>
      <c r="I8" s="13" t="s">
        <v>179</v>
      </c>
      <c r="J8" s="13" t="s">
        <v>180</v>
      </c>
      <c r="K8" s="13" t="s">
        <v>181</v>
      </c>
      <c r="L8" s="13" t="s">
        <v>12</v>
      </c>
      <c r="M8" s="13" t="s">
        <v>182</v>
      </c>
      <c r="N8" s="13" t="s">
        <v>183</v>
      </c>
      <c r="O8" s="13" t="s">
        <v>184</v>
      </c>
    </row>
    <row r="9" spans="1:15" x14ac:dyDescent="0.25">
      <c r="A9" t="str">
        <f>Data!I11</f>
        <v>100488</v>
      </c>
      <c r="B9" s="1" t="str">
        <f>Data!G11</f>
        <v>Ron</v>
      </c>
      <c r="C9" s="1" t="str">
        <f>Data!H11</f>
        <v>Vally</v>
      </c>
      <c r="D9" s="1">
        <f>Data!A11</f>
        <v>42796.425575011599</v>
      </c>
      <c r="E9" s="1" t="str">
        <f>Data!B11</f>
        <v>ON</v>
      </c>
      <c r="F9" s="17" t="b">
        <f t="shared" ref="F9:F10" si="0">IF(E9="ON",TRUE,FALSE)</f>
        <v>1</v>
      </c>
      <c r="G9" s="1" t="str">
        <f>Data!C11</f>
        <v>707</v>
      </c>
      <c r="H9" s="18">
        <f>Data!K11</f>
        <v>0</v>
      </c>
      <c r="I9" s="1" t="str">
        <f>Data!L11</f>
        <v>T1</v>
      </c>
      <c r="J9" s="1" t="str">
        <f>Data!R11</f>
        <v>7km West of Here</v>
      </c>
      <c r="K9" s="20">
        <f>Data!M11</f>
        <v>754181.75</v>
      </c>
      <c r="L9" s="19">
        <f>Data!N11</f>
        <v>0.50995314121246305</v>
      </c>
      <c r="M9" s="1" t="str">
        <f>Data!T11</f>
        <v>Automatic</v>
      </c>
      <c r="N9" s="1">
        <f>Data!U11</f>
        <v>0</v>
      </c>
      <c r="O9">
        <f>Data!V11</f>
        <v>0</v>
      </c>
    </row>
    <row r="10" spans="1:15" x14ac:dyDescent="0.25">
      <c r="A10">
        <f>Data!I12</f>
        <v>100489</v>
      </c>
      <c r="B10" s="1" t="str">
        <f>Data!G12</f>
        <v>Joe</v>
      </c>
      <c r="C10" s="1" t="str">
        <f>Data!H12</f>
        <v>Fresh</v>
      </c>
      <c r="D10" s="1">
        <f>Data!A12</f>
        <v>42796.428288958297</v>
      </c>
      <c r="E10" s="1" t="str">
        <f>Data!B12</f>
        <v>ON</v>
      </c>
      <c r="F10" s="17" t="b">
        <f t="shared" si="0"/>
        <v>1</v>
      </c>
      <c r="G10" s="1" t="str">
        <f>Data!C12</f>
        <v>707</v>
      </c>
      <c r="H10" s="18">
        <f>Data!K12</f>
        <v>0</v>
      </c>
      <c r="I10" s="1" t="str">
        <f>Data!L12</f>
        <v>T2</v>
      </c>
      <c r="J10" s="1" t="str">
        <f>Data!R12</f>
        <v>5 Km East of nowhere</v>
      </c>
      <c r="K10" s="20">
        <f>Data!M12</f>
        <v>754182.25</v>
      </c>
      <c r="L10" s="19">
        <f>Data!N12</f>
        <v>5.1733753643930002E-3</v>
      </c>
      <c r="M10" s="1" t="str">
        <f>Data!T12</f>
        <v>Automatic</v>
      </c>
      <c r="N10" s="1">
        <f>Data!U12</f>
        <v>0</v>
      </c>
      <c r="O10">
        <f>Data!V12</f>
        <v>0</v>
      </c>
    </row>
    <row r="11" spans="1:15" x14ac:dyDescent="0.25">
      <c r="B11" s="17"/>
      <c r="C11" s="17"/>
      <c r="D11" s="17"/>
      <c r="E11" s="17"/>
      <c r="G11" s="17"/>
      <c r="H11" s="18"/>
      <c r="I11" s="17"/>
      <c r="J11" s="17"/>
      <c r="K11" s="20"/>
      <c r="L11" s="19"/>
      <c r="M11" s="17"/>
      <c r="N11" s="17"/>
    </row>
    <row r="12" spans="1:15" x14ac:dyDescent="0.25">
      <c r="B12" s="17"/>
      <c r="C12" s="17"/>
      <c r="D12" s="17"/>
      <c r="E12" s="17"/>
      <c r="G12" s="17"/>
      <c r="H12" s="18"/>
      <c r="I12" s="17"/>
      <c r="J12" s="17"/>
      <c r="K12" s="20"/>
      <c r="L12" s="19"/>
      <c r="M12" s="17"/>
      <c r="N12" s="17"/>
    </row>
    <row r="13" spans="1:15" x14ac:dyDescent="0.25">
      <c r="B13" s="17"/>
      <c r="C13" s="17"/>
      <c r="D13" s="17"/>
      <c r="E13" s="17"/>
      <c r="G13" s="17"/>
      <c r="H13" s="18"/>
      <c r="I13" s="17"/>
      <c r="J13" s="17"/>
      <c r="K13" s="20"/>
      <c r="L13" s="19"/>
      <c r="M13" s="17"/>
      <c r="N13" s="17"/>
    </row>
    <row r="14" spans="1:15" x14ac:dyDescent="0.25">
      <c r="B14" s="17"/>
      <c r="C14" s="17"/>
      <c r="D14" s="17"/>
      <c r="E14" s="17"/>
      <c r="G14" s="17"/>
      <c r="H14" s="18"/>
      <c r="I14" s="17"/>
      <c r="J14" s="17"/>
      <c r="K14" s="20"/>
      <c r="L14" s="19"/>
      <c r="M14" s="17"/>
      <c r="N14" s="17"/>
    </row>
    <row r="15" spans="1:15" x14ac:dyDescent="0.25">
      <c r="B15" s="17"/>
      <c r="C15" s="17"/>
      <c r="D15" s="17"/>
      <c r="E15" s="17"/>
      <c r="G15" s="17"/>
      <c r="H15" s="18"/>
      <c r="I15" s="17"/>
      <c r="J15" s="17"/>
      <c r="K15" s="20"/>
      <c r="L15" s="19"/>
      <c r="M15" s="17"/>
      <c r="N15" s="17"/>
    </row>
    <row r="16" spans="1:15" x14ac:dyDescent="0.25">
      <c r="B16" s="17"/>
      <c r="C16" s="17"/>
      <c r="D16" s="17"/>
      <c r="E16" s="17"/>
      <c r="G16" s="17"/>
      <c r="H16" s="18"/>
      <c r="I16" s="17"/>
      <c r="J16" s="17"/>
      <c r="K16" s="20"/>
      <c r="L16" s="19"/>
      <c r="M16" s="17"/>
      <c r="N16" s="17"/>
    </row>
    <row r="17" spans="2:14" x14ac:dyDescent="0.25">
      <c r="B17" s="17"/>
      <c r="C17" s="17"/>
      <c r="D17" s="17"/>
      <c r="E17" s="17"/>
      <c r="G17" s="17"/>
      <c r="H17" s="18"/>
      <c r="I17" s="17"/>
      <c r="J17" s="17"/>
      <c r="K17" s="20"/>
      <c r="L17" s="19"/>
      <c r="M17" s="17"/>
      <c r="N17" s="17"/>
    </row>
    <row r="18" spans="2:14" x14ac:dyDescent="0.25">
      <c r="B18" s="17"/>
      <c r="C18" s="17"/>
      <c r="D18" s="17"/>
      <c r="E18" s="17"/>
      <c r="G18" s="17"/>
      <c r="H18" s="18"/>
      <c r="I18" s="17"/>
      <c r="J18" s="17"/>
      <c r="K18" s="20"/>
      <c r="L18" s="19"/>
      <c r="M18" s="17"/>
      <c r="N18" s="17"/>
    </row>
    <row r="19" spans="2:14" x14ac:dyDescent="0.25">
      <c r="B19" s="17"/>
      <c r="C19" s="17"/>
      <c r="D19" s="17"/>
      <c r="E19" s="17"/>
      <c r="G19" s="17"/>
      <c r="H19" s="18"/>
      <c r="I19" s="17"/>
      <c r="J19" s="17"/>
      <c r="K19" s="20"/>
      <c r="L19" s="19"/>
      <c r="M19" s="17"/>
      <c r="N19" s="17"/>
    </row>
    <row r="20" spans="2:14" x14ac:dyDescent="0.25">
      <c r="B20" s="17"/>
      <c r="C20" s="17"/>
      <c r="D20" s="17"/>
      <c r="E20" s="17"/>
      <c r="G20" s="17"/>
      <c r="H20" s="18"/>
      <c r="I20" s="17"/>
      <c r="J20" s="17"/>
      <c r="K20" s="20"/>
      <c r="L20" s="19"/>
      <c r="M20" s="17"/>
      <c r="N20" s="17"/>
    </row>
    <row r="21" spans="2:14" x14ac:dyDescent="0.25">
      <c r="B21" s="17"/>
      <c r="C21" s="17"/>
      <c r="D21" s="17"/>
      <c r="E21" s="17"/>
      <c r="G21" s="17"/>
      <c r="H21" s="18"/>
      <c r="I21" s="17"/>
      <c r="J21" s="17"/>
      <c r="K21" s="20"/>
      <c r="L21" s="19"/>
      <c r="M21" s="17"/>
      <c r="N21" s="17"/>
    </row>
    <row r="22" spans="2:14" x14ac:dyDescent="0.25">
      <c r="B22" s="17"/>
      <c r="C22" s="17"/>
      <c r="D22" s="17"/>
      <c r="E22" s="17"/>
      <c r="G22" s="17"/>
      <c r="H22" s="18"/>
      <c r="I22" s="17"/>
      <c r="J22" s="17"/>
      <c r="K22" s="20"/>
      <c r="L22" s="19"/>
      <c r="M22" s="17"/>
      <c r="N22" s="17"/>
    </row>
    <row r="23" spans="2:14" x14ac:dyDescent="0.25">
      <c r="B23" s="17"/>
      <c r="C23" s="17"/>
      <c r="D23" s="17"/>
      <c r="E23" s="17"/>
      <c r="G23" s="17"/>
      <c r="H23" s="18"/>
      <c r="I23" s="17"/>
      <c r="J23" s="17"/>
      <c r="K23" s="20"/>
      <c r="L23" s="19"/>
      <c r="M23" s="17"/>
      <c r="N23" s="17"/>
    </row>
    <row r="24" spans="2:14" x14ac:dyDescent="0.25">
      <c r="B24" s="17"/>
      <c r="C24" s="17"/>
      <c r="D24" s="17"/>
      <c r="E24" s="17"/>
      <c r="G24" s="17"/>
      <c r="H24" s="18"/>
      <c r="I24" s="17"/>
      <c r="J24" s="17"/>
      <c r="K24" s="20"/>
      <c r="L24" s="19"/>
      <c r="M24" s="17"/>
      <c r="N24" s="17"/>
    </row>
    <row r="25" spans="2:14" x14ac:dyDescent="0.25">
      <c r="B25" s="17"/>
      <c r="C25" s="17"/>
      <c r="D25" s="17"/>
      <c r="E25" s="17"/>
      <c r="G25" s="17"/>
      <c r="H25" s="18"/>
      <c r="I25" s="17"/>
      <c r="J25" s="17"/>
      <c r="K25" s="20"/>
      <c r="L25" s="19"/>
      <c r="M25" s="17"/>
      <c r="N25" s="17"/>
    </row>
    <row r="26" spans="2:14" x14ac:dyDescent="0.25">
      <c r="B26" s="17"/>
      <c r="C26" s="17"/>
      <c r="D26" s="17"/>
      <c r="E26" s="17"/>
      <c r="G26" s="17"/>
      <c r="H26" s="18"/>
      <c r="I26" s="17"/>
      <c r="J26" s="17"/>
      <c r="K26" s="20"/>
      <c r="L26" s="19"/>
      <c r="M26" s="17"/>
      <c r="N26" s="17"/>
    </row>
    <row r="27" spans="2:14" x14ac:dyDescent="0.25">
      <c r="B27" s="17"/>
      <c r="C27" s="17"/>
      <c r="D27" s="17"/>
      <c r="E27" s="17"/>
      <c r="G27" s="17"/>
      <c r="H27" s="18"/>
      <c r="I27" s="17"/>
      <c r="J27" s="17"/>
      <c r="K27" s="20"/>
      <c r="L27" s="19"/>
      <c r="M27" s="17"/>
      <c r="N27" s="17"/>
    </row>
    <row r="28" spans="2:14" x14ac:dyDescent="0.25">
      <c r="B28" s="17"/>
      <c r="C28" s="17"/>
      <c r="D28" s="17"/>
      <c r="E28" s="17"/>
      <c r="G28" s="17"/>
      <c r="H28" s="18"/>
      <c r="I28" s="17"/>
      <c r="J28" s="17"/>
      <c r="K28" s="20"/>
      <c r="L28" s="19"/>
      <c r="M28" s="17"/>
      <c r="N28" s="17"/>
    </row>
    <row r="29" spans="2:14" x14ac:dyDescent="0.25">
      <c r="B29" s="17"/>
      <c r="C29" s="17"/>
      <c r="D29" s="17"/>
      <c r="E29" s="17"/>
      <c r="G29" s="17"/>
      <c r="H29" s="18"/>
      <c r="I29" s="17"/>
      <c r="J29" s="17"/>
      <c r="K29" s="20"/>
      <c r="L29" s="19"/>
      <c r="M29" s="17"/>
      <c r="N29" s="17"/>
    </row>
    <row r="30" spans="2:14" x14ac:dyDescent="0.25">
      <c r="B30" s="17"/>
      <c r="C30" s="17"/>
      <c r="D30" s="17"/>
      <c r="E30" s="17"/>
      <c r="G30" s="17"/>
      <c r="H30" s="18"/>
      <c r="I30" s="17"/>
      <c r="J30" s="17"/>
      <c r="K30" s="20"/>
      <c r="L30" s="19"/>
      <c r="M30" s="17"/>
      <c r="N30" s="17"/>
    </row>
    <row r="31" spans="2:14" x14ac:dyDescent="0.25">
      <c r="B31" s="17"/>
      <c r="C31" s="17"/>
      <c r="D31" s="17"/>
      <c r="E31" s="17"/>
      <c r="G31" s="17"/>
      <c r="H31" s="18"/>
      <c r="I31" s="17"/>
      <c r="J31" s="17"/>
      <c r="K31" s="20"/>
      <c r="L31" s="19"/>
      <c r="M31" s="17"/>
      <c r="N31" s="17"/>
    </row>
    <row r="32" spans="2:14" x14ac:dyDescent="0.25">
      <c r="B32" s="17"/>
      <c r="C32" s="17"/>
      <c r="D32" s="17"/>
      <c r="E32" s="17"/>
      <c r="G32" s="17"/>
      <c r="H32" s="18"/>
      <c r="I32" s="17"/>
      <c r="J32" s="17"/>
      <c r="K32" s="20"/>
      <c r="L32" s="19"/>
      <c r="M32" s="17"/>
      <c r="N32" s="17"/>
    </row>
    <row r="33" spans="2:14" x14ac:dyDescent="0.25">
      <c r="B33" s="17"/>
      <c r="C33" s="17"/>
      <c r="D33" s="17"/>
      <c r="E33" s="17"/>
      <c r="G33" s="17"/>
      <c r="H33" s="18"/>
      <c r="I33" s="17"/>
      <c r="J33" s="17"/>
      <c r="K33" s="20"/>
      <c r="L33" s="19"/>
      <c r="M33" s="17"/>
      <c r="N33" s="17"/>
    </row>
    <row r="34" spans="2:14" x14ac:dyDescent="0.25">
      <c r="B34" s="17"/>
      <c r="C34" s="17"/>
      <c r="D34" s="17"/>
      <c r="E34" s="17"/>
      <c r="G34" s="17"/>
      <c r="H34" s="18"/>
      <c r="I34" s="17"/>
      <c r="J34" s="17"/>
      <c r="K34" s="20"/>
      <c r="L34" s="19"/>
      <c r="M34" s="17"/>
      <c r="N34" s="17"/>
    </row>
    <row r="35" spans="2:14" x14ac:dyDescent="0.25">
      <c r="B35" s="17"/>
      <c r="C35" s="17"/>
      <c r="D35" s="17"/>
      <c r="E35" s="17"/>
      <c r="G35" s="17"/>
      <c r="H35" s="18"/>
      <c r="I35" s="17"/>
      <c r="J35" s="17"/>
      <c r="K35" s="20"/>
      <c r="L35" s="19"/>
      <c r="M35" s="17"/>
      <c r="N35" s="17"/>
    </row>
    <row r="36" spans="2:14" x14ac:dyDescent="0.25">
      <c r="B36" s="17"/>
      <c r="C36" s="17"/>
      <c r="D36" s="17"/>
      <c r="E36" s="17"/>
      <c r="G36" s="17"/>
      <c r="H36" s="18"/>
      <c r="I36" s="17"/>
      <c r="J36" s="17"/>
      <c r="K36" s="20"/>
      <c r="L36" s="19"/>
      <c r="M36" s="17"/>
      <c r="N36" s="17"/>
    </row>
    <row r="37" spans="2:14" x14ac:dyDescent="0.25">
      <c r="B37" s="17"/>
      <c r="C37" s="17"/>
      <c r="D37" s="17"/>
      <c r="E37" s="17"/>
      <c r="G37" s="17"/>
      <c r="H37" s="18"/>
      <c r="I37" s="17"/>
      <c r="J37" s="17"/>
      <c r="K37" s="20"/>
      <c r="L37" s="19"/>
      <c r="M37" s="17"/>
      <c r="N37" s="17"/>
    </row>
    <row r="38" spans="2:14" x14ac:dyDescent="0.25">
      <c r="B38" s="17"/>
      <c r="C38" s="17"/>
      <c r="D38" s="17"/>
      <c r="E38" s="17"/>
      <c r="G38" s="17"/>
      <c r="H38" s="18"/>
      <c r="I38" s="17"/>
      <c r="J38" s="17"/>
      <c r="K38" s="20"/>
      <c r="L38" s="19"/>
      <c r="M38" s="17"/>
      <c r="N38" s="17"/>
    </row>
    <row r="39" spans="2:14" x14ac:dyDescent="0.25">
      <c r="B39" s="17"/>
      <c r="C39" s="17"/>
      <c r="D39" s="17"/>
      <c r="E39" s="17"/>
      <c r="G39" s="17"/>
      <c r="H39" s="18"/>
      <c r="I39" s="17"/>
      <c r="J39" s="17"/>
      <c r="K39" s="20"/>
      <c r="L39" s="19"/>
      <c r="M39" s="17"/>
      <c r="N39" s="17"/>
    </row>
    <row r="40" spans="2:14" x14ac:dyDescent="0.25">
      <c r="B40" s="17"/>
      <c r="C40" s="17"/>
      <c r="D40" s="17"/>
      <c r="E40" s="17"/>
      <c r="G40" s="17"/>
      <c r="H40" s="18"/>
      <c r="I40" s="17"/>
      <c r="J40" s="17"/>
      <c r="K40" s="20"/>
      <c r="L40" s="19"/>
      <c r="M40" s="17"/>
      <c r="N40" s="17"/>
    </row>
    <row r="41" spans="2:14" x14ac:dyDescent="0.25">
      <c r="B41" s="17"/>
      <c r="C41" s="17"/>
      <c r="D41" s="17"/>
      <c r="E41" s="17"/>
      <c r="G41" s="17"/>
      <c r="H41" s="18"/>
      <c r="I41" s="17"/>
      <c r="J41" s="17"/>
      <c r="K41" s="20"/>
      <c r="L41" s="19"/>
      <c r="M41" s="17"/>
      <c r="N41" s="17"/>
    </row>
    <row r="42" spans="2:14" x14ac:dyDescent="0.25">
      <c r="B42" s="17"/>
      <c r="C42" s="17"/>
      <c r="D42" s="17"/>
      <c r="E42" s="17"/>
      <c r="G42" s="17"/>
      <c r="H42" s="18"/>
      <c r="I42" s="17"/>
      <c r="J42" s="17"/>
      <c r="K42" s="20"/>
      <c r="L42" s="19"/>
      <c r="M42" s="17"/>
      <c r="N42" s="17"/>
    </row>
    <row r="43" spans="2:14" x14ac:dyDescent="0.25">
      <c r="B43" s="17"/>
      <c r="C43" s="17"/>
      <c r="D43" s="17"/>
      <c r="E43" s="17"/>
      <c r="G43" s="17"/>
      <c r="H43" s="18"/>
      <c r="I43" s="17"/>
      <c r="J43" s="17"/>
      <c r="K43" s="20"/>
      <c r="L43" s="19"/>
      <c r="M43" s="17"/>
      <c r="N43" s="17"/>
    </row>
  </sheetData>
  <mergeCells count="5">
    <mergeCell ref="B3:D3"/>
    <mergeCell ref="B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3.2" x14ac:dyDescent="0.25"/>
  <cols>
    <col min="1" max="6" width="30" customWidth="1"/>
  </cols>
  <sheetData>
    <row r="1" spans="1:6" s="14" customFormat="1" x14ac:dyDescent="0.25">
      <c r="A1" s="14" t="s">
        <v>31</v>
      </c>
      <c r="B1" s="14" t="s">
        <v>32</v>
      </c>
      <c r="C1" s="14" t="s">
        <v>33</v>
      </c>
      <c r="D1" s="14" t="s">
        <v>34</v>
      </c>
      <c r="E1" s="14" t="s">
        <v>35</v>
      </c>
      <c r="F1" s="14" t="s">
        <v>147</v>
      </c>
    </row>
    <row r="2" spans="1:6" x14ac:dyDescent="0.25">
      <c r="A2" t="s">
        <v>36</v>
      </c>
      <c r="B2" t="s">
        <v>56</v>
      </c>
      <c r="C2" t="s">
        <v>57</v>
      </c>
      <c r="D2" t="s">
        <v>58</v>
      </c>
      <c r="E2" t="s">
        <v>59</v>
      </c>
      <c r="F2" t="s">
        <v>148</v>
      </c>
    </row>
    <row r="3" spans="1:6" x14ac:dyDescent="0.25">
      <c r="A3" t="s">
        <v>53</v>
      </c>
      <c r="B3" t="s">
        <v>52</v>
      </c>
      <c r="C3" t="s">
        <v>60</v>
      </c>
      <c r="D3" t="s">
        <v>61</v>
      </c>
      <c r="E3" t="s">
        <v>62</v>
      </c>
      <c r="F3" t="s">
        <v>149</v>
      </c>
    </row>
    <row r="4" spans="1:6" x14ac:dyDescent="0.25">
      <c r="A4" t="s">
        <v>37</v>
      </c>
      <c r="B4" t="s">
        <v>63</v>
      </c>
      <c r="C4" t="s">
        <v>64</v>
      </c>
      <c r="D4" t="s">
        <v>9</v>
      </c>
      <c r="E4" t="s">
        <v>65</v>
      </c>
      <c r="F4" t="s">
        <v>9</v>
      </c>
    </row>
    <row r="5" spans="1:6" x14ac:dyDescent="0.25">
      <c r="A5" t="s">
        <v>38</v>
      </c>
      <c r="B5" t="s">
        <v>66</v>
      </c>
      <c r="C5" t="s">
        <v>67</v>
      </c>
      <c r="D5" t="s">
        <v>68</v>
      </c>
      <c r="E5" t="s">
        <v>69</v>
      </c>
      <c r="F5" t="s">
        <v>150</v>
      </c>
    </row>
    <row r="6" spans="1:6" x14ac:dyDescent="0.25">
      <c r="A6" t="s">
        <v>39</v>
      </c>
      <c r="B6" t="s">
        <v>70</v>
      </c>
      <c r="C6" t="s">
        <v>71</v>
      </c>
      <c r="D6" t="s">
        <v>72</v>
      </c>
      <c r="E6" t="s">
        <v>73</v>
      </c>
      <c r="F6" t="s">
        <v>151</v>
      </c>
    </row>
    <row r="7" spans="1:6" x14ac:dyDescent="0.25">
      <c r="A7" t="s">
        <v>40</v>
      </c>
      <c r="B7" t="s">
        <v>74</v>
      </c>
      <c r="C7" t="s">
        <v>75</v>
      </c>
      <c r="D7" t="s">
        <v>76</v>
      </c>
      <c r="E7" t="s">
        <v>77</v>
      </c>
      <c r="F7" t="s">
        <v>152</v>
      </c>
    </row>
    <row r="8" spans="1:6" x14ac:dyDescent="0.25">
      <c r="A8" t="s">
        <v>41</v>
      </c>
      <c r="B8" t="s">
        <v>10</v>
      </c>
      <c r="C8" t="s">
        <v>78</v>
      </c>
      <c r="D8" t="s">
        <v>79</v>
      </c>
      <c r="E8" t="s">
        <v>80</v>
      </c>
      <c r="F8" t="s">
        <v>153</v>
      </c>
    </row>
    <row r="9" spans="1:6" x14ac:dyDescent="0.25">
      <c r="A9" t="s">
        <v>42</v>
      </c>
      <c r="B9" t="s">
        <v>11</v>
      </c>
      <c r="C9" t="s">
        <v>81</v>
      </c>
      <c r="D9" t="s">
        <v>82</v>
      </c>
      <c r="E9" t="s">
        <v>83</v>
      </c>
      <c r="F9" t="s">
        <v>154</v>
      </c>
    </row>
    <row r="10" spans="1:6" x14ac:dyDescent="0.25">
      <c r="A10" t="s">
        <v>43</v>
      </c>
      <c r="B10" t="s">
        <v>84</v>
      </c>
      <c r="C10" t="s">
        <v>85</v>
      </c>
      <c r="D10" t="s">
        <v>84</v>
      </c>
      <c r="E10" t="s">
        <v>86</v>
      </c>
      <c r="F10" t="s">
        <v>155</v>
      </c>
    </row>
    <row r="11" spans="1:6" x14ac:dyDescent="0.25">
      <c r="A11" t="s">
        <v>44</v>
      </c>
      <c r="B11" t="s">
        <v>87</v>
      </c>
      <c r="C11" t="s">
        <v>88</v>
      </c>
      <c r="D11" t="s">
        <v>89</v>
      </c>
      <c r="E11" t="s">
        <v>90</v>
      </c>
      <c r="F11" t="s">
        <v>156</v>
      </c>
    </row>
    <row r="12" spans="1:6" x14ac:dyDescent="0.25">
      <c r="A12" t="s">
        <v>45</v>
      </c>
      <c r="B12" t="s">
        <v>12</v>
      </c>
      <c r="C12" t="s">
        <v>91</v>
      </c>
      <c r="D12" t="s">
        <v>92</v>
      </c>
      <c r="E12" t="s">
        <v>93</v>
      </c>
      <c r="F12" t="s">
        <v>157</v>
      </c>
    </row>
    <row r="13" spans="1:6" x14ac:dyDescent="0.25">
      <c r="A13" t="s">
        <v>54</v>
      </c>
      <c r="B13" t="s">
        <v>94</v>
      </c>
      <c r="C13" t="s">
        <v>95</v>
      </c>
      <c r="D13" t="s">
        <v>96</v>
      </c>
      <c r="E13" t="s">
        <v>97</v>
      </c>
      <c r="F13" t="s">
        <v>158</v>
      </c>
    </row>
    <row r="14" spans="1:6" x14ac:dyDescent="0.25">
      <c r="A14" t="s">
        <v>55</v>
      </c>
      <c r="B14" t="s">
        <v>98</v>
      </c>
      <c r="C14" t="s">
        <v>99</v>
      </c>
      <c r="D14" t="s">
        <v>100</v>
      </c>
      <c r="E14" t="s">
        <v>101</v>
      </c>
      <c r="F14" t="s">
        <v>159</v>
      </c>
    </row>
    <row r="15" spans="1:6" x14ac:dyDescent="0.25">
      <c r="A15" t="s">
        <v>46</v>
      </c>
      <c r="B15" t="s">
        <v>102</v>
      </c>
      <c r="C15" t="s">
        <v>103</v>
      </c>
      <c r="D15" t="s">
        <v>104</v>
      </c>
      <c r="E15" t="s">
        <v>105</v>
      </c>
      <c r="F15" t="s">
        <v>160</v>
      </c>
    </row>
    <row r="16" spans="1:6" x14ac:dyDescent="0.25">
      <c r="A16" t="s">
        <v>51</v>
      </c>
      <c r="B16" t="s">
        <v>106</v>
      </c>
      <c r="C16" t="s">
        <v>107</v>
      </c>
      <c r="D16" t="s">
        <v>108</v>
      </c>
      <c r="E16" t="s">
        <v>109</v>
      </c>
      <c r="F16" t="s">
        <v>161</v>
      </c>
    </row>
    <row r="17" spans="1:6" x14ac:dyDescent="0.25">
      <c r="A17" t="s">
        <v>47</v>
      </c>
      <c r="B17" t="s">
        <v>110</v>
      </c>
      <c r="C17" t="s">
        <v>111</v>
      </c>
      <c r="D17" t="s">
        <v>112</v>
      </c>
      <c r="E17" t="s">
        <v>113</v>
      </c>
      <c r="F17" t="s">
        <v>162</v>
      </c>
    </row>
    <row r="18" spans="1:6" x14ac:dyDescent="0.25">
      <c r="A18" t="s">
        <v>48</v>
      </c>
      <c r="B18" t="s">
        <v>114</v>
      </c>
      <c r="C18" t="s">
        <v>115</v>
      </c>
      <c r="D18" t="s">
        <v>116</v>
      </c>
      <c r="E18" t="s">
        <v>117</v>
      </c>
      <c r="F18" t="s">
        <v>163</v>
      </c>
    </row>
    <row r="19" spans="1:6" x14ac:dyDescent="0.25">
      <c r="A19" t="s">
        <v>49</v>
      </c>
      <c r="B19" t="s">
        <v>118</v>
      </c>
      <c r="C19" t="s">
        <v>119</v>
      </c>
      <c r="D19" t="s">
        <v>120</v>
      </c>
      <c r="E19" t="s">
        <v>121</v>
      </c>
      <c r="F19" t="s">
        <v>164</v>
      </c>
    </row>
    <row r="20" spans="1:6" x14ac:dyDescent="0.25">
      <c r="A20" t="s">
        <v>50</v>
      </c>
      <c r="B20" t="s">
        <v>122</v>
      </c>
      <c r="C20" t="s">
        <v>123</v>
      </c>
      <c r="D20" t="s">
        <v>124</v>
      </c>
      <c r="E20" t="s">
        <v>125</v>
      </c>
      <c r="F20" t="s">
        <v>165</v>
      </c>
    </row>
    <row r="21" spans="1:6" x14ac:dyDescent="0.25">
      <c r="A21" s="16" t="s">
        <v>130</v>
      </c>
      <c r="B21" s="16" t="s">
        <v>131</v>
      </c>
      <c r="C21" s="16" t="s">
        <v>132</v>
      </c>
      <c r="D21" s="16" t="s">
        <v>133</v>
      </c>
      <c r="E21" s="16" t="s">
        <v>134</v>
      </c>
      <c r="F21" t="s">
        <v>166</v>
      </c>
    </row>
    <row r="22" spans="1:6" x14ac:dyDescent="0.25">
      <c r="A22" s="16" t="s">
        <v>135</v>
      </c>
      <c r="B22" s="16" t="s">
        <v>136</v>
      </c>
      <c r="C22" s="16" t="s">
        <v>137</v>
      </c>
      <c r="D22" s="16" t="s">
        <v>138</v>
      </c>
      <c r="E22" s="16" t="s">
        <v>139</v>
      </c>
      <c r="F22" t="s">
        <v>167</v>
      </c>
    </row>
    <row r="23" spans="1:6" x14ac:dyDescent="0.25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168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Summary</vt:lpstr>
      <vt:lpstr>Report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Grishma Sawant</cp:lastModifiedBy>
  <dcterms:created xsi:type="dcterms:W3CDTF">2009-05-21T13:20:04Z</dcterms:created>
  <dcterms:modified xsi:type="dcterms:W3CDTF">2017-06-01T00:33:35Z</dcterms:modified>
</cp:coreProperties>
</file>