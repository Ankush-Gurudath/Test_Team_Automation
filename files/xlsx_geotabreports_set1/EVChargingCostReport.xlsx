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hidePivotFieldList="1"/>
  <mc:AlternateContent xmlns:mc="http://schemas.openxmlformats.org/markup-compatibility/2006">
    <mc:Choice Requires="x15">
      <x15ac:absPath xmlns:x15ac="http://schemas.microsoft.com/office/spreadsheetml/2010/11/ac" url="C:\Users\christophmiddleton\Documents\Custom Reports\"/>
    </mc:Choice>
  </mc:AlternateContent>
  <xr:revisionPtr revIDLastSave="0" documentId="13_ncr:1_{419BF77F-AC2F-4B1E-901D-0B77DE8CE564}" xr6:coauthVersionLast="46" xr6:coauthVersionMax="46" xr10:uidLastSave="{00000000-0000-0000-0000-000000000000}"/>
  <bookViews>
    <workbookView xWindow="-19310" yWindow="-110" windowWidth="19420" windowHeight="10420" firstSheet="2" activeTab="5" xr2:uid="{00000000-000D-0000-FFFF-FFFF00000000}"/>
  </bookViews>
  <sheets>
    <sheet name="Data" sheetId="1" state="hidden" r:id="rId1"/>
    <sheet name="Report" sheetId="2" state="hidden" r:id="rId2"/>
    <sheet name="User Entries" sheetId="10" r:id="rId3"/>
    <sheet name="Languages" sheetId="4" state="hidden" r:id="rId4"/>
    <sheet name="Charging Cost By Zone" sheetId="8" r:id="rId5"/>
    <sheet name="Charging Cost By Vehicle" sheetId="11" r:id="rId6"/>
  </sheets>
  <definedNames>
    <definedName name="AllData">Report!$A$12:$F$17</definedName>
  </definedNames>
  <calcPr calcId="191029"/>
  <pivotCaches>
    <pivotCache cacheId="5"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10" l="1"/>
  <c r="A12" i="10"/>
  <c r="B12" i="10"/>
  <c r="C12" i="10"/>
  <c r="C14" i="2"/>
  <c r="C15" i="2"/>
  <c r="C16" i="2"/>
  <c r="C17" i="2"/>
  <c r="C13" i="2"/>
  <c r="B14" i="2"/>
  <c r="B15" i="2"/>
  <c r="B16" i="2"/>
  <c r="B17" i="2"/>
  <c r="B13" i="2"/>
  <c r="A17" i="2"/>
  <c r="D17" i="2"/>
  <c r="B9" i="2"/>
  <c r="A16" i="2" l="1"/>
  <c r="D16" i="2"/>
  <c r="B4" i="10"/>
  <c r="A9" i="10" l="1"/>
  <c r="E13" i="2" a="1"/>
  <c r="E14" i="2" a="1"/>
  <c r="E17" i="2" a="1"/>
  <c r="E16" i="2" a="1"/>
  <c r="E15" i="2" a="1"/>
  <c r="E15" i="2" l="1"/>
  <c r="E16" i="2"/>
  <c r="F16" i="2" s="1"/>
  <c r="E14" i="2"/>
  <c r="E13" i="2"/>
  <c r="E17" i="2"/>
  <c r="F17" i="2" s="1"/>
  <c r="B9" i="11"/>
  <c r="A9" i="11"/>
  <c r="A8" i="11"/>
  <c r="A7" i="11"/>
  <c r="A6" i="11"/>
  <c r="A5" i="11"/>
  <c r="A4" i="11"/>
  <c r="A1" i="11"/>
  <c r="A4" i="8"/>
  <c r="A1" i="8"/>
  <c r="B9" i="8"/>
  <c r="A9" i="8"/>
  <c r="A8" i="8"/>
  <c r="A7" i="8"/>
  <c r="A6" i="8"/>
  <c r="A5" i="8"/>
  <c r="C1" i="2"/>
  <c r="C1" i="8" s="1"/>
  <c r="C1" i="11" l="1"/>
  <c r="D15" i="2"/>
  <c r="F15" i="2" s="1"/>
  <c r="A15" i="2"/>
  <c r="D14" i="2"/>
  <c r="F14" i="2" s="1"/>
  <c r="A14" i="2"/>
  <c r="D13" i="2"/>
  <c r="F13" i="2" s="1"/>
  <c r="A13" i="2"/>
  <c r="B8" i="2"/>
  <c r="B7" i="2"/>
  <c r="B6" i="2"/>
  <c r="B5" i="2"/>
  <c r="B5" i="8" l="1"/>
  <c r="B5" i="11"/>
  <c r="B6" i="8"/>
  <c r="B6" i="11"/>
  <c r="B7" i="8"/>
  <c r="B7" i="11"/>
  <c r="B8" i="8"/>
  <c r="B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A1" authorId="0" shapeId="0" xr:uid="{00000000-0006-0000-0000-000001000000}">
      <text>
        <r>
          <rPr>
            <sz val="10"/>
            <rFont val="Arial"/>
            <family val="2"/>
          </rPr>
          <t>ChargeEvent.22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<sst xmlns="http://schemas.openxmlformats.org/spreadsheetml/2006/main" count="596" uniqueCount="492">
  <si>
    <t>RunDate</t>
  </si>
  <si>
    <t>FromDate</t>
  </si>
  <si>
    <t>ToDate</t>
  </si>
  <si>
    <t>CompanyName</t>
  </si>
  <si>
    <t>SendReport</t>
  </si>
  <si>
    <t>LastModifiedUser</t>
  </si>
  <si>
    <t>English</t>
  </si>
  <si>
    <t>French</t>
  </si>
  <si>
    <t>Spanish</t>
  </si>
  <si>
    <t>German</t>
  </si>
  <si>
    <t>Japanese</t>
  </si>
  <si>
    <t>**Created</t>
  </si>
  <si>
    <t>**From</t>
  </si>
  <si>
    <t>**To</t>
  </si>
  <si>
    <t>Créé</t>
  </si>
  <si>
    <t>Creado</t>
  </si>
  <si>
    <t>Angelegt</t>
  </si>
  <si>
    <t>作成済</t>
  </si>
  <si>
    <t>À partir de</t>
  </si>
  <si>
    <t>De</t>
  </si>
  <si>
    <t>Von</t>
  </si>
  <si>
    <t>から</t>
  </si>
  <si>
    <t>Pour</t>
  </si>
  <si>
    <t>Para</t>
  </si>
  <si>
    <t>An</t>
  </si>
  <si>
    <t>へ</t>
  </si>
  <si>
    <t>DeviceName</t>
  </si>
  <si>
    <t>DeviceId</t>
  </si>
  <si>
    <t>DeviceComment</t>
  </si>
  <si>
    <t>DeviceGroup</t>
  </si>
  <si>
    <t>DistanceUnit</t>
  </si>
  <si>
    <t>km</t>
  </si>
  <si>
    <t>**Vehicle</t>
  </si>
  <si>
    <t>**Location</t>
  </si>
  <si>
    <t>Emplacement</t>
  </si>
  <si>
    <t>Ubicación</t>
  </si>
  <si>
    <t>Ort</t>
  </si>
  <si>
    <t>位置</t>
  </si>
  <si>
    <t>Véhicule</t>
  </si>
  <si>
    <t>Vehículo</t>
  </si>
  <si>
    <t>Fahrzeug</t>
  </si>
  <si>
    <t>車両</t>
  </si>
  <si>
    <t>Language</t>
  </si>
  <si>
    <t>en</t>
  </si>
  <si>
    <t>Polish</t>
  </si>
  <si>
    <t>Utworzono</t>
  </si>
  <si>
    <t>Od</t>
  </si>
  <si>
    <t>Do</t>
  </si>
  <si>
    <t>Pojazd</t>
  </si>
  <si>
    <t>Lokalizacja</t>
  </si>
  <si>
    <t>Portuguese-Brazil</t>
  </si>
  <si>
    <t>Veículo</t>
  </si>
  <si>
    <t>Localização</t>
  </si>
  <si>
    <t>Criado em</t>
  </si>
  <si>
    <t>Dutch</t>
  </si>
  <si>
    <t>Aangemaakt</t>
  </si>
  <si>
    <t>Van</t>
  </si>
  <si>
    <t>Aan</t>
  </si>
  <si>
    <t>Voertuig</t>
  </si>
  <si>
    <t>Locatie</t>
  </si>
  <si>
    <t>Italian</t>
  </si>
  <si>
    <t>Da</t>
  </si>
  <si>
    <t>A</t>
  </si>
  <si>
    <t>Veicolo</t>
  </si>
  <si>
    <t>Ubicazione</t>
  </si>
  <si>
    <t>Creato</t>
  </si>
  <si>
    <t>创建日期</t>
  </si>
  <si>
    <t>自</t>
  </si>
  <si>
    <t>至</t>
  </si>
  <si>
    <t>车辆</t>
  </si>
  <si>
    <t>Simplified Chinese</t>
  </si>
  <si>
    <t>ChargeEventEnergyAdded</t>
  </si>
  <si>
    <t>ElectricPowerUnit</t>
  </si>
  <si>
    <t>kW</t>
  </si>
  <si>
    <t>ChargeEventZones</t>
  </si>
  <si>
    <t>ElectricEnergyUnit</t>
  </si>
  <si>
    <t>kWh</t>
  </si>
  <si>
    <t>ElectricEconomyUnit</t>
  </si>
  <si>
    <t>**Electric Energy Unit</t>
  </si>
  <si>
    <t>**Electric Energy Economy Unit</t>
  </si>
  <si>
    <t>**Start Date</t>
  </si>
  <si>
    <t>**End Date</t>
  </si>
  <si>
    <t>**Start Charge %</t>
  </si>
  <si>
    <t>**Energy Added</t>
  </si>
  <si>
    <t>**Max Power</t>
  </si>
  <si>
    <t>**Electric Energy Economy</t>
  </si>
  <si>
    <t>**End Charge %</t>
  </si>
  <si>
    <t>**Zone Types</t>
  </si>
  <si>
    <t>Types de zone</t>
  </si>
  <si>
    <t>Tipos de zona</t>
  </si>
  <si>
    <t>Zonentypen</t>
  </si>
  <si>
    <t>ゾーンタイプ</t>
  </si>
  <si>
    <t>Typy stref</t>
  </si>
  <si>
    <t>Zonetypes</t>
  </si>
  <si>
    <t>Tipi di zona</t>
  </si>
  <si>
    <t>区域类型</t>
  </si>
  <si>
    <t>**Zones</t>
  </si>
  <si>
    <t>**Trip Stop Time</t>
  </si>
  <si>
    <t>**Current</t>
  </si>
  <si>
    <t>**AC Voltage</t>
  </si>
  <si>
    <t>**Average Start Charge %</t>
  </si>
  <si>
    <t>**Average End Charge %</t>
  </si>
  <si>
    <t>**Zone</t>
  </si>
  <si>
    <t>Zone</t>
  </si>
  <si>
    <t>Zona</t>
  </si>
  <si>
    <t>ゾーン</t>
  </si>
  <si>
    <t>Strefa</t>
  </si>
  <si>
    <t>区域</t>
  </si>
  <si>
    <t>**Max Power Unit</t>
  </si>
  <si>
    <t>ZoneZoneTypes</t>
  </si>
  <si>
    <t>**Start Charge % For Session</t>
  </si>
  <si>
    <t>**End Charge % For Session</t>
  </si>
  <si>
    <t>**Start Charge % Average For Device</t>
  </si>
  <si>
    <t>**End Charge % Average For Device</t>
  </si>
  <si>
    <t>Unité d’énergie électrique</t>
  </si>
  <si>
    <t>Unidad de energía eléctrica</t>
  </si>
  <si>
    <t>電力量単位</t>
  </si>
  <si>
    <t>Einheit für den Stromverbrauch</t>
  </si>
  <si>
    <t>Jednostka energii elektrycznej</t>
  </si>
  <si>
    <t>Unidade de energia elétrica</t>
  </si>
  <si>
    <t>Eenheid elektrische energie</t>
  </si>
  <si>
    <t>Unità di misura dell'energia elettrica</t>
  </si>
  <si>
    <t>电能单位</t>
  </si>
  <si>
    <t>Unité d’économie d’énergie électrique</t>
  </si>
  <si>
    <t>Unidad de consumo de energía eléctrica</t>
  </si>
  <si>
    <t>電費単位</t>
  </si>
  <si>
    <t>Einheit für den durchschnittlichen Stromverbrauch</t>
  </si>
  <si>
    <t>Jednostka zużycia energii elektrycznej</t>
  </si>
  <si>
    <t>Unidade de economia de energia elétrica</t>
  </si>
  <si>
    <t>Eenheid elektrische-energieverbruik</t>
  </si>
  <si>
    <t>Unità di misura del risparmio di energia elettrica</t>
  </si>
  <si>
    <t>电能经济性单位</t>
  </si>
  <si>
    <t>Unité de puissance maximum</t>
  </si>
  <si>
    <t>Unidad de potencia máxima</t>
  </si>
  <si>
    <t>最大電力単位</t>
  </si>
  <si>
    <t>Max. Leistung des Geräts</t>
  </si>
  <si>
    <t>Jednostka mocy maksymalnej</t>
  </si>
  <si>
    <t>Unidade de potência máxima</t>
  </si>
  <si>
    <t>Eenheid max. vermogen</t>
  </si>
  <si>
    <t>Unità di alimentazione max</t>
  </si>
  <si>
    <t>最大功率单位</t>
  </si>
  <si>
    <t>Zones</t>
  </si>
  <si>
    <t>Zonas</t>
  </si>
  <si>
    <t>Zonen</t>
  </si>
  <si>
    <t>Strefy</t>
  </si>
  <si>
    <t>% au début de la charge</t>
  </si>
  <si>
    <t>% de carga al inicio</t>
  </si>
  <si>
    <t>充電開始 %</t>
  </si>
  <si>
    <t>Anfangs-Ladezustand in %</t>
  </si>
  <si>
    <t>% naładowania początkowego</t>
  </si>
  <si>
    <t>% de carga no início</t>
  </si>
  <si>
    <t>Startlading %</t>
  </si>
  <si>
    <t>% di carica iniziale</t>
  </si>
  <si>
    <t>开始充电 %</t>
  </si>
  <si>
    <t>% à la fin de la charge</t>
  </si>
  <si>
    <t>% de carga al final</t>
  </si>
  <si>
    <t>充電終了 %</t>
  </si>
  <si>
    <t>End-Ladezustand in %</t>
  </si>
  <si>
    <t>% naładowania końcowego</t>
  </si>
  <si>
    <t>% de carga ao final</t>
  </si>
  <si>
    <t>Eindlading %</t>
  </si>
  <si>
    <t>% di carica finale</t>
  </si>
  <si>
    <t>结束充电 %</t>
  </si>
  <si>
    <t>Énergie ajoutée</t>
  </si>
  <si>
    <t>Energía añadida</t>
  </si>
  <si>
    <t>追加電力</t>
  </si>
  <si>
    <t>Hinzugefügte Energie</t>
  </si>
  <si>
    <t>Dodana energia</t>
  </si>
  <si>
    <t>Energia adicionada</t>
  </si>
  <si>
    <t>Toegevoegde energie</t>
  </si>
  <si>
    <t>Energia aggiunta</t>
  </si>
  <si>
    <t>已充能源</t>
  </si>
  <si>
    <t>Date de début</t>
  </si>
  <si>
    <t>Fecha de inicio</t>
  </si>
  <si>
    <t>開始日</t>
  </si>
  <si>
    <t>Startdatum</t>
  </si>
  <si>
    <t>Data rozpoczęcia</t>
  </si>
  <si>
    <t>Data inicial</t>
  </si>
  <si>
    <t>Data di inizio</t>
  </si>
  <si>
    <t>开始日期</t>
  </si>
  <si>
    <t>Date de fin</t>
  </si>
  <si>
    <t>Fecha de finalización</t>
  </si>
  <si>
    <t>終了日</t>
  </si>
  <si>
    <t>Enddatum</t>
  </si>
  <si>
    <t>Data zakończenia</t>
  </si>
  <si>
    <t>Data final</t>
  </si>
  <si>
    <t>Einddatum</t>
  </si>
  <si>
    <t>Data di fine</t>
  </si>
  <si>
    <t>结束日期</t>
  </si>
  <si>
    <t>Puissance maximum</t>
  </si>
  <si>
    <t>Potencia máxima</t>
  </si>
  <si>
    <t>最大電力</t>
  </si>
  <si>
    <t>Max. Leistung</t>
  </si>
  <si>
    <t>Moc maksymalna</t>
  </si>
  <si>
    <t>Potência máxima</t>
  </si>
  <si>
    <t>Max. vermogen</t>
  </si>
  <si>
    <t>Alimentazione max</t>
  </si>
  <si>
    <t>最大功率</t>
  </si>
  <si>
    <t>Temps d’arrêt du trajet</t>
  </si>
  <si>
    <t>Hora de parada en el viaje</t>
  </si>
  <si>
    <t>トリップ停止時間</t>
  </si>
  <si>
    <t>Zeitpunkt der Zwischenhalte während der Fahrt</t>
  </si>
  <si>
    <t>Czas postoju na trasie</t>
  </si>
  <si>
    <t>Hora de parada da viagem</t>
  </si>
  <si>
    <t>Stoptijd trip</t>
  </si>
  <si>
    <t>Ora di sosta del viaggio</t>
  </si>
  <si>
    <t>行程停止时间</t>
  </si>
  <si>
    <t>Économie d’énergie électrique</t>
  </si>
  <si>
    <t>Consumo de energía eléctrica</t>
  </si>
  <si>
    <t>電費</t>
  </si>
  <si>
    <t>Stromverbrauch</t>
  </si>
  <si>
    <t>Zużycie energii elektrycznej</t>
  </si>
  <si>
    <t>Economia de energia elétrica</t>
  </si>
  <si>
    <t>Elektrische-energieverbruik</t>
  </si>
  <si>
    <t>Risparmio di energia elettrica</t>
  </si>
  <si>
    <t>电能经济性</t>
  </si>
  <si>
    <t>Courant</t>
  </si>
  <si>
    <t>Corriente</t>
  </si>
  <si>
    <t>電流</t>
  </si>
  <si>
    <t>Strom</t>
  </si>
  <si>
    <t>Prąd</t>
  </si>
  <si>
    <t>Corrente</t>
  </si>
  <si>
    <t>Stroom</t>
  </si>
  <si>
    <t>电流</t>
  </si>
  <si>
    <t>Tension CA</t>
  </si>
  <si>
    <t>Voltaje de CA</t>
  </si>
  <si>
    <t>AC 電圧</t>
  </si>
  <si>
    <t>Wechselspannung</t>
  </si>
  <si>
    <t>Napięcie AC</t>
  </si>
  <si>
    <t>Tensão AC</t>
  </si>
  <si>
    <t>Wisselstroom</t>
  </si>
  <si>
    <t>Tensione a corrente alternata</t>
  </si>
  <si>
    <t>交流电压</t>
  </si>
  <si>
    <t>% moyen au début de la charge</t>
  </si>
  <si>
    <t>% promedio de carga al inicio</t>
  </si>
  <si>
    <t>充電開始平均 %</t>
  </si>
  <si>
    <t>Durchschnittlicher Anfangs-Ladezustand in %</t>
  </si>
  <si>
    <t>Średnia wartość % naładowania początkowego</t>
  </si>
  <si>
    <t>% média de carga no início</t>
  </si>
  <si>
    <t>Gemiddelde startlading %</t>
  </si>
  <si>
    <t>% di carica media iniziale</t>
  </si>
  <si>
    <t>平均开始充电 %</t>
  </si>
  <si>
    <t>% moyen à la fin de la charge</t>
  </si>
  <si>
    <t>% promedio de carga al final</t>
  </si>
  <si>
    <t>充電終了平均 %</t>
  </si>
  <si>
    <t>Durchschnittlicher End-Ladezustand in %</t>
  </si>
  <si>
    <t>Średnia wartość % naładowania końcowego</t>
  </si>
  <si>
    <t>% média de carga ao final</t>
  </si>
  <si>
    <t>Gemiddelde eindlading %</t>
  </si>
  <si>
    <t>% di carica media finale</t>
  </si>
  <si>
    <t>平均结束充电 %</t>
  </si>
  <si>
    <t>% de charge au démarrage de la session</t>
  </si>
  <si>
    <t>% de carga al inicio por sesión</t>
  </si>
  <si>
    <t>セッションの充電開始 %</t>
  </si>
  <si>
    <t>Anfangs-Ladezustand für Ladevorgang in %</t>
  </si>
  <si>
    <t>Opłata początkowa w % dla sesji</t>
  </si>
  <si>
    <t>% de carga inicial para sessão</t>
  </si>
  <si>
    <t>% startlading voor sessie</t>
  </si>
  <si>
    <t>% di carica iniziale per sessione</t>
  </si>
  <si>
    <t>会话的开始充电 %</t>
  </si>
  <si>
    <t>% de charge à la fin de la session</t>
  </si>
  <si>
    <t>% de carga al final por sesión</t>
  </si>
  <si>
    <t>セッションの充電終了 %</t>
  </si>
  <si>
    <t>End-Ladezustand für Ladevorgang in %</t>
  </si>
  <si>
    <t>Opłata końcowa w % dla sesji</t>
  </si>
  <si>
    <t>% de carga final para sessão</t>
  </si>
  <si>
    <t>% eindlading voor sessie</t>
  </si>
  <si>
    <t>% di carica finale per sessione</t>
  </si>
  <si>
    <t>会话的结束充电 %</t>
  </si>
  <si>
    <t>Moyenne du % initial de la charge de l’appareil</t>
  </si>
  <si>
    <t>% promedio de carga al inicio por dispositivo</t>
  </si>
  <si>
    <t>デバイスの充電開始平均 %</t>
  </si>
  <si>
    <t>Durchschnittlicher Anfangs-Ladezustand für Gerät in %</t>
  </si>
  <si>
    <t>Średnia opłata początkowa w % dla urządzenia</t>
  </si>
  <si>
    <t>% média de carga inicial para o dispositivo</t>
  </si>
  <si>
    <t>Gemiddeld % startlading voor apparaat</t>
  </si>
  <si>
    <t>% di carica media iniziale per dispositivo</t>
  </si>
  <si>
    <t>设备的平均开始充电 %</t>
  </si>
  <si>
    <t>Moyenne du % final de la charge de l’appareil</t>
  </si>
  <si>
    <t>% promedio de carga al final por dispositivo</t>
  </si>
  <si>
    <t>デバイスの充電終了平均 %</t>
  </si>
  <si>
    <t>Durchschnittlicher End-Ladezustand für Gerät in %</t>
  </si>
  <si>
    <t>Średnia opłata końcowa w % dla urządzenia</t>
  </si>
  <si>
    <t>% média de carga final para o dispositivo</t>
  </si>
  <si>
    <t>Gemiddeld % eindlading voor apparaat</t>
  </si>
  <si>
    <t>% di carica media finale per dispositivo</t>
  </si>
  <si>
    <t>设备的平均结束充电 %</t>
  </si>
  <si>
    <t>Sessions de charge : Chaque ligne correspond à la période à partir du début de charge (puissance &gt; 0 W) jusqu’à la fin de la charge (puissance = 0 W).</t>
  </si>
  <si>
    <t>Eventos de carga: Cada fila corresponde al inicio de la carga (potencia &gt; 0 W) hasta el final de la carga (potencia = 0 W).</t>
  </si>
  <si>
    <t>充電イベント：各行は、充電開始時（電力 &gt; 0 W）と充電停止時（電力 = 0 W）に対応しています。</t>
  </si>
  <si>
    <t>Ladeereignisse: Jede Zeile entspricht dem Beginn des Ladevorgangs (Leistung &gt; 0 W) bis zum Ende des Ladevorgangs (Leistung = 0 W).</t>
  </si>
  <si>
    <t>Zdarzenia ładowania: Każdy rząd odpowiada wartościom od rozpoczęcia ładowania (moc &gt; 0 W) do zakończenia ładowania (moc = 0 W).</t>
  </si>
  <si>
    <t>Eventos de carga: Cada linha corresponde ao início da carga (potência &gt; 0 W) até o momento de parada da carga (potência = 0 W).</t>
  </si>
  <si>
    <t>Laadgebeurtenissen: Elke rij komt overeen met wanneer het laden begint (vermogen &gt; 0 W) tot wanneer het laden stopt (vermogen = 0 W).</t>
  </si>
  <si>
    <t>Eventi di carica: Ogni riga corrisponde all'inizio della ricarica (alimentazione &gt; 0 W) fino alla fine della ricarica (alimentazione = 0 W).</t>
  </si>
  <si>
    <t>充电记录：每一行与开始充电（功率 &gt; 0 W）至停止充电（功率 = 0 W）相对应。</t>
  </si>
  <si>
    <t>Période de charge : Chaque rangée combine toutes les sessions de charge en un seul arrêt. Dans le cas où la charge soit interrompue (p. ex. pendant une charge gérée ou un partage d’énergie), cet affichage fournit une vue plus lisible. Pour obtenir une vue détaillée de toutes les charges, reportez-vous à l’onglet Rapport.</t>
  </si>
  <si>
    <t>Sesiones de carga: Cada fila combina todos los Eventos de carga en una sola parada. En caso de que se interrumpa la carga (p. ej., durante la carga gestionada o el uso compartido de la alimentación), esta pantalla proporciona una vista más legible. Para obtener una vista detallada de toda la carga, véase la pestaña Reporte.</t>
  </si>
  <si>
    <t>充電セッション：各行では、すべての充電イベントが 1 回の停車にまとめられています。充電が中断された場合（管理充電中や電源共有中など）、このディスプレイはより見やすい表示になります。すべての充電の詳細表示を確認したい場合は、レポートタブを参照してください。</t>
  </si>
  <si>
    <t>Auflade-Sitzungen: In jeder Zeile werden alle Ladeereignisse zu einem einzigen Zwischenhalt zusammengefasst. Falls der Ladevorgang unterbrochen wird (z. B. während eines verwalteten Ladevorgangs oder Power Sharing), bietet diese Anzeige eine besser lesbare Ansicht. Eine detaillierte Ansicht aller Ladevorgänge finden Sie unter der Registerkarte Bericht.</t>
  </si>
  <si>
    <t>Sesje ładowania: Każdy rząd stanowi połączenie wszystkich zdarzeń ładowania w jednym postoju. W przypadku przerwanego ładowania (np. podczas ładowania inteligentnego lub udostępniania zasilania) wyświetlacz zapewnia bardziej czytelny widok. Szczegółowe informacje na temat wszystkich zdarzeń ładowania znajdują się w zakładce raportów.</t>
  </si>
  <si>
    <t>Sessões de carga: Cada linha combina todos os Eventos de carga em apenas uma parada. Quando a carga é interrompida, por exemplo, durante a carga gerenciada ou compartilhamento de potência, o visor proporciona uma visualização mais legível. Para obter uma visão detalhada de todo o carregamento, consulte a guia Relatório.</t>
  </si>
  <si>
    <t>Laadsessies: Elke rij combineert alle laadgebeurtenissen tot één stop. In het geval dat het laden wordt onderbroken (bijvoorbeeld tijdens beheerd laden of stroom delen), biedt dit display een beter leesbare weergave. Zie het tabblad Rapport voor een gedetailleerde weergave van al het laden.</t>
  </si>
  <si>
    <t>Sessioni di carica: Ogni riga combina tutti gli Eventi di carica in una singola fermata. Nel caso in cui la ricarica venga interrotta (ad esempio durante la ricarica gestita o la condivisione dell'alimentazione), questo display fornisce una visualizzazione più leggibile. Per una visualizzazione dettagliata di tutte le ricariche, vedere la scheda Rapporto.</t>
  </si>
  <si>
    <t>充电情况：每一行将同一次停车充电过程中所有的充电记录整合到一起。如果充电中断（例如在托管充电或电源共享期间），则此显示页面会提供更加详细的视图。如要详细查看所有充电的相关内容，请参阅“报告”选项卡。</t>
  </si>
  <si>
    <t>TimeZone</t>
  </si>
  <si>
    <t>**Time Zone</t>
  </si>
  <si>
    <t>Fuseau horaire</t>
  </si>
  <si>
    <t>Huso horario</t>
  </si>
  <si>
    <t>Zeitzone</t>
  </si>
  <si>
    <t>タイムゾーン</t>
  </si>
  <si>
    <t>Strefa czasowa</t>
  </si>
  <si>
    <t>Zona horária</t>
  </si>
  <si>
    <t>Tijdzone</t>
  </si>
  <si>
    <t>Fuso orario</t>
  </si>
  <si>
    <t>时区</t>
  </si>
  <si>
    <t>**Charge Sessions: Each row groups all charging (all Charge Events) for a single stop. When charging is interrupted, such as when managed charging or power sharing is used, this is a more readable view. For a detailed view of all charging, see the Report tab.</t>
  </si>
  <si>
    <t>**Charge Events: Each row corresponds to when charging starts (power &gt; 0 W) to when it stops (power = 0 W).</t>
  </si>
  <si>
    <t>Thai</t>
  </si>
  <si>
    <t>สร้างแล้ว</t>
  </si>
  <si>
    <t>จาก</t>
  </si>
  <si>
    <t>ถึง</t>
  </si>
  <si>
    <t>หน่วยอัตราสิ้นเปลืองพลังงานไฟฟ้า</t>
  </si>
  <si>
    <t>หน่วยพลังงานไฟฟ้า</t>
  </si>
  <si>
    <t>อัตราสิ้นเปลืองพลังงานไฟฟ้า</t>
  </si>
  <si>
    <t>รถ</t>
  </si>
  <si>
    <t>ตำแหน่งที่ตั้ง</t>
  </si>
  <si>
    <t>โซน</t>
  </si>
  <si>
    <t>ประเภทโซน</t>
  </si>
  <si>
    <t>เหตุการณ์การชาร์จ: แต่ละแถวจะสัมพันธ์กับเวลาที่การชาร์จเริ่มต้น (พลังงาน &gt; 0 วัตต์) ถึงเวลาที่การชาร์จสิ้นสุด (พลังงาน = 0 วัตต์)</t>
  </si>
  <si>
    <t>หน่วยพลังงานสูงสุด</t>
  </si>
  <si>
    <t>% การชาร์จเริ่มต้น</t>
  </si>
  <si>
    <t>% การชาร์จสิ้นสุด</t>
  </si>
  <si>
    <t>พลังงานที่เพิ่ม</t>
  </si>
  <si>
    <t>วันที่เริ่มต้น</t>
  </si>
  <si>
    <t>วันที่สิ้นสุด</t>
  </si>
  <si>
    <t>พลังงานสูงสุด</t>
  </si>
  <si>
    <t>เวลาหยุดของเที่ยวขับ</t>
  </si>
  <si>
    <t>ปัจจุบัน</t>
  </si>
  <si>
    <t>แรงดันไฟฟ้า AC</t>
  </si>
  <si>
    <t>% การชาร์จเริ่มต้นเฉลี่ย</t>
  </si>
  <si>
    <t>% การชาร์จสิ้นสุดเฉลี่ย</t>
  </si>
  <si>
    <t>% การชาร์จเริ่มต้นสำหรับเซสชัน</t>
  </si>
  <si>
    <t>% การชาร์จสิ้นสุดสำหรับเซสชัน</t>
  </si>
  <si>
    <t>ค่าเฉลี่ย % การชาร์จเริ่มต้นสำหรับอุปกรณ์</t>
  </si>
  <si>
    <t>ค่าเฉลี่ย % การชาร์จสิ้นสุดสำหรับอุปกรณ์</t>
  </si>
  <si>
    <t>โซนเวลา</t>
  </si>
  <si>
    <t>เซสชันการชาร์จ:  แต่ละแถวจะจัดกลุ่มการชาร์จทั้งหมด (เหตุการณ์การชาร์จทั้งหมด) สำหรับการหยุดหนึ่งครั้ง  เมื่อการชาร์จถูกขัดจังหวะเช่น เมื่อมีการใช้การชาร์จแบบมีการจัดการหรือการแชร์พลังงานนี่คือมุมมองที่อ่านได้ง่ายขึ้น  สำหรับมุมมองรายละเอียดของการชาร์จทั้งหมดโปรดดูที่แท็บรายงาน</t>
  </si>
  <si>
    <t>ABC_Company Inc</t>
  </si>
  <si>
    <t>Europe/London</t>
  </si>
  <si>
    <t>kWh/100 km</t>
  </si>
  <si>
    <t>Chevrolet Volt</t>
  </si>
  <si>
    <t>Currency drop-down</t>
  </si>
  <si>
    <t>$</t>
  </si>
  <si>
    <t>£</t>
  </si>
  <si>
    <t>€</t>
  </si>
  <si>
    <t>**Legend</t>
  </si>
  <si>
    <t>**Charging Cost By Zone</t>
  </si>
  <si>
    <t>**Currency</t>
  </si>
  <si>
    <t>**Cost of Electric Energy</t>
  </si>
  <si>
    <t>**Cost</t>
  </si>
  <si>
    <t>**User Entries</t>
  </si>
  <si>
    <t>Vehicle 1</t>
  </si>
  <si>
    <t>Vehicle 2</t>
  </si>
  <si>
    <t>Vehicle 3</t>
  </si>
  <si>
    <t>b1</t>
  </si>
  <si>
    <t>b2</t>
  </si>
  <si>
    <t>b3</t>
  </si>
  <si>
    <t>Tesla Model S</t>
  </si>
  <si>
    <t>Nissan Leaf</t>
  </si>
  <si>
    <t>EV, PHEV</t>
  </si>
  <si>
    <t>EV, BEV</t>
  </si>
  <si>
    <t>EV Zone 1</t>
  </si>
  <si>
    <t>EV Zone 2</t>
  </si>
  <si>
    <t>Home Zone</t>
  </si>
  <si>
    <t xml:space="preserve">**Energy Added </t>
  </si>
  <si>
    <t xml:space="preserve">**Cost </t>
  </si>
  <si>
    <t xml:space="preserve">Énergie ajoutée </t>
  </si>
  <si>
    <t xml:space="preserve">Energía añadida </t>
  </si>
  <si>
    <t xml:space="preserve">Hinzugefügte Energie </t>
  </si>
  <si>
    <t xml:space="preserve">追加電力 </t>
  </si>
  <si>
    <t xml:space="preserve">Dodana energia </t>
  </si>
  <si>
    <t xml:space="preserve">Energia adicionada </t>
  </si>
  <si>
    <t xml:space="preserve">Toegevoegde energie </t>
  </si>
  <si>
    <t xml:space="preserve">Energia aggiunta </t>
  </si>
  <si>
    <t xml:space="preserve">已充能源 </t>
  </si>
  <si>
    <t xml:space="preserve">พลังงานที่เพิ่ม </t>
  </si>
  <si>
    <t>**Charging Cost By Vehicle</t>
  </si>
  <si>
    <t>Desde</t>
  </si>
  <si>
    <t>Hasta</t>
  </si>
  <si>
    <t>Moneda</t>
  </si>
  <si>
    <t>Leyenda</t>
  </si>
  <si>
    <t>Customer Zone</t>
  </si>
  <si>
    <t>Office Zone</t>
  </si>
  <si>
    <t>Vehicle 4</t>
  </si>
  <si>
    <t>b4</t>
  </si>
  <si>
    <t>Chevrolet Bolt</t>
  </si>
  <si>
    <t>EV Zone 3</t>
  </si>
  <si>
    <t>EV Zone 4</t>
  </si>
  <si>
    <t>Custom Type Zone</t>
  </si>
  <si>
    <t>Rows</t>
  </si>
  <si>
    <t>EV Zone 1, EV Zone 5</t>
  </si>
  <si>
    <t>Entrées utilisateur</t>
  </si>
  <si>
    <t>Devise</t>
  </si>
  <si>
    <t>Coût de l’énergie électrique</t>
  </si>
  <si>
    <t>Coût</t>
  </si>
  <si>
    <t>Coût de charge par véhicule</t>
  </si>
  <si>
    <t>Coût de charge par zone</t>
  </si>
  <si>
    <t>Légende</t>
  </si>
  <si>
    <t>Benutzereinträge</t>
  </si>
  <si>
    <t>Währung</t>
  </si>
  <si>
    <t>Stromkosten</t>
  </si>
  <si>
    <t>Kosten</t>
  </si>
  <si>
    <t>Ladekosten nach Fahrzeug</t>
  </si>
  <si>
    <t>Ladekosten nach Zone</t>
  </si>
  <si>
    <t>Legende</t>
  </si>
  <si>
    <t>ユーザーエントリー</t>
  </si>
  <si>
    <t>Wpisy użytkownika</t>
  </si>
  <si>
    <t>Entradas do usuário</t>
  </si>
  <si>
    <t>Gebruikersinvoer</t>
  </si>
  <si>
    <t>Inserimenti utente</t>
  </si>
  <si>
    <t>通貨</t>
  </si>
  <si>
    <t>Waluta</t>
  </si>
  <si>
    <t>Moeda</t>
  </si>
  <si>
    <t>Valuta</t>
  </si>
  <si>
    <t>電気エネルギー費用</t>
  </si>
  <si>
    <t>Koszt energii elektrycznej</t>
  </si>
  <si>
    <t>Custo de energia elétrica</t>
  </si>
  <si>
    <t>Kosten van elektrische energie</t>
  </si>
  <si>
    <t>Costo dell'energia elettrica</t>
  </si>
  <si>
    <t>コスト</t>
  </si>
  <si>
    <t>Koszt</t>
  </si>
  <si>
    <t>Custo</t>
  </si>
  <si>
    <t>Costo</t>
  </si>
  <si>
    <t>車両別の充電費用</t>
  </si>
  <si>
    <t>Koszt ładowania według pojazdu</t>
  </si>
  <si>
    <t>Custo de carregamento por veículo</t>
  </si>
  <si>
    <t>Laadkosten per voertuig</t>
  </si>
  <si>
    <t>Costo di ricarica per veicolo</t>
  </si>
  <si>
    <t>ゾーン別の充電費用</t>
  </si>
  <si>
    <t>Koszt ładowania według strefy</t>
  </si>
  <si>
    <t>Custo de carregamento por zona</t>
  </si>
  <si>
    <t>Laadkosten per zone</t>
  </si>
  <si>
    <t>Costo di ricarica per zona</t>
  </si>
  <si>
    <t>例</t>
  </si>
  <si>
    <t>Legenda</t>
  </si>
  <si>
    <t>用户条目</t>
  </si>
  <si>
    <t>รายการผู้ใช้</t>
  </si>
  <si>
    <t>货币</t>
  </si>
  <si>
    <t>สกุลเงิน</t>
  </si>
  <si>
    <t>电能成本</t>
  </si>
  <si>
    <t>ต้นทุนพลังงานไฟฟ้า</t>
  </si>
  <si>
    <t>成本</t>
  </si>
  <si>
    <t>ค่าใช้จ่าย</t>
  </si>
  <si>
    <t>按车辆充电成本</t>
  </si>
  <si>
    <t>คิดค่าใช้จ่ายตามยานพาหนะ</t>
  </si>
  <si>
    <t>按区域充电成本</t>
  </si>
  <si>
    <t>คิดค่าใช้จ่ายตามโซน</t>
  </si>
  <si>
    <t>图例</t>
  </si>
  <si>
    <t>คำอธิบาย</t>
  </si>
  <si>
    <t>Entradas del usuario</t>
  </si>
  <si>
    <t>Costo de energía eléctrica</t>
  </si>
  <si>
    <t>Costo de carga por vehículo</t>
  </si>
  <si>
    <t>Costo de carga por zona</t>
  </si>
  <si>
    <t>**EV Charging Cost Report</t>
  </si>
  <si>
    <t>Vehicle 5</t>
  </si>
  <si>
    <t>b5</t>
  </si>
  <si>
    <t>Outside of Zones</t>
  </si>
  <si>
    <t>**Outside of Zones</t>
  </si>
  <si>
    <t>Rapport sur les coûts de charge des véhicules électriques</t>
  </si>
  <si>
    <t>Reporte de costos de carga de vehículos eléctricos</t>
  </si>
  <si>
    <t>Kostenbericht E-Fahrzeug-Ladevorgänge</t>
  </si>
  <si>
    <t>EV 充電費用レポート</t>
  </si>
  <si>
    <t>Raport kosztów ładowania pojazdu elektrycznego</t>
  </si>
  <si>
    <t>Relatório de custos de carga de veículos elétricos</t>
  </si>
  <si>
    <t>Rapport Laadkosten elektrische voertuigen</t>
  </si>
  <si>
    <t>Report sul costo di ricarica EV</t>
  </si>
  <si>
    <t>电动车充电成本报告</t>
  </si>
  <si>
    <t>รายงานค่าใช้จ่ายการชาร์จ EV</t>
  </si>
  <si>
    <t>Außerhalb der Zonen</t>
  </si>
  <si>
    <t>ゾーン外部</t>
  </si>
  <si>
    <t>Poza strefami</t>
  </si>
  <si>
    <t>Fora das zonas</t>
  </si>
  <si>
    <t>Buiten de zones</t>
  </si>
  <si>
    <t>All'esterno delle zone</t>
  </si>
  <si>
    <t>超出区域</t>
  </si>
  <si>
    <t>นอกโซน</t>
  </si>
  <si>
    <t>En dehors des zones</t>
  </si>
  <si>
    <t>Fuera de las zonas</t>
  </si>
  <si>
    <t>abccompany@abccompany.com</t>
  </si>
  <si>
    <t>ChargeEventLocation</t>
  </si>
  <si>
    <t>1032 Template Rd, Oakville,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</si>
</sst>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409]_(&quot;$&quot;* #,##0_);[$-409]_(&quot;$&quot;* \(#,##0\);[$-409]_(&quot;$&quot;* &quot;-&quot;_);_(@_)"/>
    <numFmt numFmtId="165" formatCode="[$-409]_(* #,##0_);[$-409]_(* \(#,##0\);[$-409]_(* &quot;-&quot;_);_(@_)"/>
    <numFmt numFmtId="166" formatCode="[$-409]_(&quot;$&quot;* #,##0.00_);[$-409]_(&quot;$&quot;* \(#,##0.00\);[$-409]_(&quot;$&quot;* &quot;-&quot;??_);_(@_)"/>
    <numFmt numFmtId="167" formatCode="[$-409]_(* #,##0.00_);[$-409]_(* \(#,##0.00\);[$-409]_(* &quot;-&quot;??_);_(@_)"/>
    <numFmt numFmtId="168" formatCode="[$-409]dd/mm/yyyy\ h:mm:ss\ AM/PM"/>
    <numFmt numFmtId="169" formatCode="[$-409]mmm\ dd\,\ yyyy"/>
    <numFmt numFmtId="170" formatCode="[$-409]dd/mm/yyyy\ h:mm:ss"/>
    <numFmt numFmtId="171" formatCode="[$-409]0;[$-409]\-0;[$-409];@"/>
    <numFmt numFmtId="172" formatCode="[$-409]General;[$-409];[$-409]"/>
  </numFmts>
  <fonts count="35" x14ac:knownFonts="1">
    <font>
      <sz val="10"/>
      <name val="Arial"/>
      <family val="2"/>
    </font>
    <font>
      <b/>
      <sz val="7"/>
      <color indexed="8"/>
      <name val="Tahoma"/>
      <family val="2"/>
    </font>
    <font>
      <sz val="8"/>
      <color indexed="8"/>
      <name val="Tahoma"/>
      <family val="2"/>
    </font>
    <font>
      <sz val="10"/>
      <name val="Arial"/>
      <family val="2"/>
    </font>
    <font>
      <sz val="8"/>
      <color indexed="8"/>
      <name val="Tahoma"/>
      <family val="2"/>
    </font>
    <font>
      <sz val="11"/>
      <name val="Segoe UI"/>
      <family val="2"/>
    </font>
    <font>
      <sz val="11"/>
      <color theme="1"/>
      <name val="Calibri"/>
      <family val="2"/>
      <scheme val="minor"/>
    </font>
    <font>
      <sz val="11"/>
      <color theme="0"/>
      <name val="Calibri"/>
      <family val="2"/>
      <scheme val="minor"/>
    </font>
    <font>
      <b/>
      <sz val="18"/>
      <color theme="1"/>
      <name val="Calibri"/>
      <family val="2"/>
      <scheme val="minor"/>
    </font>
    <font>
      <sz val="11"/>
      <color theme="3"/>
      <name val="Calibri"/>
      <family val="2"/>
      <scheme val="minor"/>
    </font>
    <font>
      <b/>
      <sz val="11"/>
      <color theme="1"/>
      <name val="Calibri"/>
      <family val="2"/>
    </font>
    <font>
      <b/>
      <sz val="11"/>
      <color theme="1"/>
      <name val="Calibri"/>
      <family val="2"/>
      <scheme val="minor"/>
    </font>
    <font>
      <b/>
      <sz val="14"/>
      <color theme="1"/>
      <name val="Calibri"/>
      <family val="2"/>
    </font>
    <font>
      <b/>
      <sz val="8"/>
      <color theme="1"/>
      <name val="Tahoma"/>
      <family val="2"/>
    </font>
    <font>
      <sz val="11"/>
      <name val="Calibri"/>
      <family val="2"/>
      <scheme val="minor"/>
    </font>
    <font>
      <sz val="11"/>
      <color theme="1"/>
      <name val="Segoe UI"/>
      <family val="2"/>
    </font>
    <font>
      <sz val="12"/>
      <color theme="0" tint="-0.34998626667073579"/>
      <name val="Segoe UI"/>
      <family val="2"/>
    </font>
    <font>
      <b/>
      <sz val="10"/>
      <name val="Arial"/>
      <family val="2"/>
    </font>
    <font>
      <sz val="12"/>
      <name val="Arial"/>
      <family val="2"/>
    </font>
    <font>
      <sz val="11"/>
      <color theme="1"/>
      <name val="Tahoma"/>
      <family val="2"/>
    </font>
    <font>
      <sz val="10"/>
      <color theme="0"/>
      <name val="Verdana"/>
      <family val="2"/>
    </font>
    <font>
      <sz val="11"/>
      <name val="Verdana"/>
      <family val="2"/>
    </font>
    <font>
      <sz val="11"/>
      <color theme="0"/>
      <name val="Verdana"/>
      <family val="2"/>
    </font>
    <font>
      <b/>
      <sz val="18"/>
      <color theme="0"/>
      <name val="Verdana"/>
      <family val="2"/>
    </font>
    <font>
      <sz val="14"/>
      <color rgb="FF00AEEF"/>
      <name val="Verdana"/>
      <family val="2"/>
    </font>
    <font>
      <sz val="12"/>
      <name val="Verdana"/>
      <family val="2"/>
    </font>
    <font>
      <b/>
      <sz val="14"/>
      <color theme="0"/>
      <name val="Verdana"/>
      <family val="2"/>
    </font>
    <font>
      <sz val="11"/>
      <name val="Arial"/>
      <family val="2"/>
    </font>
    <font>
      <sz val="14"/>
      <color theme="0"/>
      <name val="Verdana"/>
      <family val="2"/>
    </font>
    <font>
      <sz val="14"/>
      <name val="Verdana"/>
      <family val="2"/>
    </font>
    <font>
      <u/>
      <sz val="10"/>
      <color theme="10"/>
      <name val="Arial"/>
      <family val="2"/>
    </font>
    <font>
      <sz val="8"/>
      <name val="Arial"/>
      <family val="2"/>
    </font>
    <font>
      <sz val="10"/>
      <name val="Verdana"/>
      <family val="2"/>
    </font>
    <font>
      <sz val="11"/>
      <name val="Verdana"/>
    </font>
    <font>
      <sz val="14"/>
      <name val="Verdana"/>
    </font>
  </fonts>
  <fills count="1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22"/>
        <bgColor indexed="64"/>
      </patternFill>
    </fill>
    <fill>
      <patternFill patternType="solid">
        <fgColor theme="0"/>
        <bgColor indexed="64"/>
      </patternFill>
    </fill>
    <fill>
      <patternFill patternType="solid">
        <fgColor rgb="FF20325F"/>
        <bgColor indexed="64"/>
      </patternFill>
    </fill>
    <fill>
      <patternFill patternType="solid">
        <fgColor theme="2"/>
        <bgColor indexed="64"/>
      </patternFill>
    </fill>
    <fill>
      <patternFill patternType="solid">
        <fgColor theme="3" tint="0.59999389629810485"/>
        <bgColor indexed="64"/>
      </patternFill>
    </fill>
    <fill>
      <patternFill patternType="solid">
        <fgColor rgb="FFFFC169"/>
        <bgColor indexed="64"/>
      </patternFill>
    </fill>
  </fills>
  <borders count="14">
    <border>
      <left/>
      <right/>
      <top/>
      <bottom/>
      <diagonal/>
    </border>
    <border>
      <left/>
      <right/>
      <top/>
      <bottom style="medium">
        <color indexed="8"/>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rgb="FF20325F"/>
      </left>
      <right/>
      <top style="thin">
        <color rgb="FF20325F"/>
      </top>
      <bottom style="thin">
        <color rgb="FF20325F"/>
      </bottom>
      <diagonal/>
    </border>
    <border>
      <left/>
      <right style="thin">
        <color rgb="FF20325F"/>
      </right>
      <top style="thin">
        <color rgb="FF20325F"/>
      </top>
      <bottom style="thin">
        <color rgb="FF20325F"/>
      </bottom>
      <diagonal/>
    </border>
    <border>
      <left/>
      <right/>
      <top style="thin">
        <color rgb="FF20325F"/>
      </top>
      <bottom/>
      <diagonal/>
    </border>
    <border>
      <left style="thin">
        <color theme="3"/>
      </left>
      <right style="thin">
        <color theme="3"/>
      </right>
      <top style="thin">
        <color theme="3"/>
      </top>
      <bottom style="thin">
        <color theme="3"/>
      </bottom>
      <diagonal/>
    </border>
    <border>
      <left style="thin">
        <color rgb="FF00AEEF"/>
      </left>
      <right style="thin">
        <color rgb="FF00AEEF"/>
      </right>
      <top style="thin">
        <color rgb="FF00AEEF"/>
      </top>
      <bottom style="thin">
        <color rgb="FF00AEEF"/>
      </bottom>
      <diagonal/>
    </border>
    <border>
      <left style="thin">
        <color rgb="FF20325F"/>
      </left>
      <right/>
      <top style="thin">
        <color rgb="FF20325F"/>
      </top>
      <bottom style="thin">
        <color rgb="FF00AEEF"/>
      </bottom>
      <diagonal/>
    </border>
    <border>
      <left style="thin">
        <color theme="3"/>
      </left>
      <right style="thin">
        <color theme="3"/>
      </right>
      <top/>
      <bottom style="thin">
        <color theme="3"/>
      </bottom>
      <diagonal/>
    </border>
    <border>
      <left style="thin">
        <color rgb="FF20325F"/>
      </left>
      <right/>
      <top style="thin">
        <color rgb="FF20325F"/>
      </top>
      <bottom/>
      <diagonal/>
    </border>
    <border>
      <left style="thin">
        <color rgb="FFFF9600"/>
      </left>
      <right style="thin">
        <color rgb="FFFF9600"/>
      </right>
      <top style="thin">
        <color rgb="FFFF9600"/>
      </top>
      <bottom style="thin">
        <color rgb="FFFF9600"/>
      </bottom>
      <diagonal/>
    </border>
    <border>
      <left/>
      <right/>
      <top style="thin">
        <color rgb="FFFF9600"/>
      </top>
      <bottom/>
      <diagonal/>
    </border>
  </borders>
  <cellStyleXfs count="21">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167" fontId="3" fillId="0" borderId="0" applyFont="0" applyFill="0" applyBorder="0" applyAlignment="0" applyProtection="0"/>
    <xf numFmtId="165"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0" fontId="8" fillId="10" borderId="0" applyNumberFormat="0"/>
    <xf numFmtId="0" fontId="9" fillId="0" borderId="0" applyNumberFormat="0" applyAlignment="0"/>
    <xf numFmtId="0" fontId="10" fillId="10" borderId="0" applyNumberFormat="0"/>
    <xf numFmtId="169" fontId="6" fillId="10" borderId="0"/>
    <xf numFmtId="0" fontId="11" fillId="0" borderId="0" applyNumberFormat="0"/>
    <xf numFmtId="0" fontId="12" fillId="0" borderId="0" applyNumberFormat="0"/>
    <xf numFmtId="0" fontId="16" fillId="0" borderId="0" applyNumberFormat="0" applyFill="0" applyBorder="0" applyAlignment="0" applyProtection="0">
      <alignment horizontal="right"/>
    </xf>
    <xf numFmtId="0" fontId="30" fillId="0" borderId="0" applyNumberFormat="0" applyFill="0" applyBorder="0" applyAlignment="0" applyProtection="0"/>
  </cellStyleXfs>
  <cellXfs count="62">
    <xf numFmtId="0" fontId="0" fillId="0" borderId="0" xfId="0"/>
    <xf numFmtId="0" fontId="1" fillId="9" borderId="1" xfId="0" applyFont="1" applyFill="1" applyBorder="1" applyAlignment="1">
      <alignment horizontal="center" wrapText="1"/>
    </xf>
    <xf numFmtId="0" fontId="2" fillId="0" borderId="0" xfId="0" applyFont="1" applyAlignment="1">
      <alignment horizontal="left"/>
    </xf>
    <xf numFmtId="0" fontId="13" fillId="0" borderId="0" xfId="0" applyFont="1"/>
    <xf numFmtId="168" fontId="4" fillId="0" borderId="0" xfId="0" applyNumberFormat="1" applyFont="1" applyAlignment="1">
      <alignment horizontal="left"/>
    </xf>
    <xf numFmtId="0" fontId="14" fillId="0" borderId="0" xfId="0" applyFont="1"/>
    <xf numFmtId="170" fontId="2" fillId="0" borderId="0" xfId="0" applyNumberFormat="1" applyFont="1" applyAlignment="1">
      <alignment horizontal="left"/>
    </xf>
    <xf numFmtId="0" fontId="5" fillId="0" borderId="0" xfId="0" applyFont="1"/>
    <xf numFmtId="0" fontId="15" fillId="0" borderId="0" xfId="0" applyFont="1"/>
    <xf numFmtId="169" fontId="5" fillId="0" borderId="0" xfId="14" applyNumberFormat="1" applyFont="1" applyAlignment="1">
      <alignment horizontal="left"/>
    </xf>
    <xf numFmtId="0" fontId="16" fillId="0" borderId="0" xfId="14" applyFont="1"/>
    <xf numFmtId="0" fontId="16" fillId="0" borderId="0" xfId="19">
      <alignment horizontal="right"/>
    </xf>
    <xf numFmtId="168" fontId="2" fillId="0" borderId="0" xfId="0" applyNumberFormat="1" applyFont="1" applyAlignment="1">
      <alignment horizontal="left"/>
    </xf>
    <xf numFmtId="171" fontId="5" fillId="0" borderId="0" xfId="14" applyNumberFormat="1" applyFont="1" applyAlignment="1">
      <alignment horizontal="left"/>
    </xf>
    <xf numFmtId="0" fontId="17" fillId="0" borderId="0" xfId="0" applyFont="1" applyAlignment="1">
      <alignment wrapText="1"/>
    </xf>
    <xf numFmtId="0" fontId="0" fillId="0" borderId="0" xfId="0" applyAlignment="1">
      <alignment wrapText="1"/>
    </xf>
    <xf numFmtId="2" fontId="5" fillId="0" borderId="0" xfId="14" applyNumberFormat="1" applyFont="1"/>
    <xf numFmtId="172" fontId="5" fillId="0" borderId="0" xfId="14" applyNumberFormat="1" applyFont="1"/>
    <xf numFmtId="0" fontId="16" fillId="0" borderId="0" xfId="14" applyFont="1" applyAlignment="1">
      <alignment horizontal="right"/>
    </xf>
    <xf numFmtId="0" fontId="5" fillId="0" borderId="0" xfId="14" applyNumberFormat="1" applyFont="1" applyAlignment="1">
      <alignment horizontal="left"/>
    </xf>
    <xf numFmtId="0" fontId="5" fillId="0" borderId="0" xfId="0" applyFont="1" applyAlignment="1">
      <alignment horizontal="left" vertical="center"/>
    </xf>
    <xf numFmtId="169" fontId="5" fillId="0" borderId="0" xfId="14" applyNumberFormat="1" applyFont="1" applyAlignment="1">
      <alignment horizontal="left"/>
    </xf>
    <xf numFmtId="0" fontId="20" fillId="11" borderId="0" xfId="0" applyFont="1" applyFill="1"/>
    <xf numFmtId="169" fontId="22" fillId="11" borderId="0" xfId="14" applyNumberFormat="1" applyFont="1" applyFill="1" applyAlignment="1">
      <alignment horizontal="left"/>
    </xf>
    <xf numFmtId="0" fontId="20" fillId="10" borderId="0" xfId="0" applyFont="1" applyFill="1"/>
    <xf numFmtId="169" fontId="20" fillId="10" borderId="0" xfId="14" applyNumberFormat="1" applyFont="1" applyFill="1" applyAlignment="1">
      <alignment horizontal="left"/>
    </xf>
    <xf numFmtId="0" fontId="23" fillId="11" borderId="0" xfId="0" applyFont="1" applyFill="1"/>
    <xf numFmtId="0" fontId="24" fillId="10" borderId="0" xfId="0" applyFont="1" applyFill="1"/>
    <xf numFmtId="0" fontId="23" fillId="11" borderId="2" xfId="0" applyFont="1" applyFill="1" applyBorder="1"/>
    <xf numFmtId="0" fontId="20" fillId="11" borderId="3" xfId="0" applyFont="1" applyFill="1" applyBorder="1"/>
    <xf numFmtId="169" fontId="22" fillId="11" borderId="3" xfId="14" applyNumberFormat="1" applyFont="1" applyFill="1" applyBorder="1" applyAlignment="1">
      <alignment horizontal="left"/>
    </xf>
    <xf numFmtId="0" fontId="25" fillId="13" borderId="8" xfId="19" applyFont="1" applyFill="1" applyBorder="1">
      <alignment horizontal="right"/>
    </xf>
    <xf numFmtId="0" fontId="26" fillId="12" borderId="9" xfId="0" applyFont="1" applyFill="1" applyBorder="1" applyAlignment="1"/>
    <xf numFmtId="0" fontId="21" fillId="0" borderId="0" xfId="0" applyFont="1"/>
    <xf numFmtId="0" fontId="21" fillId="0" borderId="0" xfId="0" pivotButton="1" applyFont="1"/>
    <xf numFmtId="0" fontId="27" fillId="0" borderId="0" xfId="0" applyFont="1"/>
    <xf numFmtId="0" fontId="21" fillId="13" borderId="7" xfId="19" applyFont="1" applyFill="1" applyBorder="1">
      <alignment horizontal="right"/>
    </xf>
    <xf numFmtId="169" fontId="21" fillId="13" borderId="7" xfId="14" applyNumberFormat="1" applyFont="1" applyFill="1" applyBorder="1" applyAlignment="1">
      <alignment horizontal="left"/>
    </xf>
    <xf numFmtId="2" fontId="15" fillId="0" borderId="0" xfId="0" applyNumberFormat="1" applyFont="1"/>
    <xf numFmtId="0" fontId="21" fillId="13" borderId="10" xfId="19" applyFont="1" applyFill="1" applyBorder="1">
      <alignment horizontal="right"/>
    </xf>
    <xf numFmtId="169" fontId="21" fillId="13" borderId="10" xfId="14" applyNumberFormat="1" applyFont="1" applyFill="1" applyBorder="1" applyAlignment="1">
      <alignment horizontal="left"/>
    </xf>
    <xf numFmtId="168" fontId="30" fillId="0" borderId="0" xfId="20" applyNumberFormat="1" applyAlignment="1">
      <alignment horizontal="left"/>
    </xf>
    <xf numFmtId="0" fontId="18" fillId="0" borderId="0" xfId="0" applyFont="1" applyAlignment="1">
      <alignment horizontal="left" vertical="center" wrapText="1"/>
    </xf>
    <xf numFmtId="0" fontId="19" fillId="0" borderId="0" xfId="0" applyFont="1" applyAlignment="1">
      <alignment wrapText="1"/>
    </xf>
    <xf numFmtId="0" fontId="28" fillId="12" borderId="11" xfId="0" applyFont="1" applyFill="1" applyBorder="1" applyAlignment="1"/>
    <xf numFmtId="0" fontId="28" fillId="12" borderId="6" xfId="0" applyFont="1" applyFill="1" applyBorder="1" applyAlignment="1"/>
    <xf numFmtId="1" fontId="5" fillId="0" borderId="0" xfId="14" applyNumberFormat="1" applyFont="1" applyAlignment="1">
      <alignment horizontal="left"/>
    </xf>
    <xf numFmtId="0" fontId="32" fillId="10" borderId="0" xfId="0" applyFont="1" applyFill="1"/>
    <xf numFmtId="0" fontId="33" fillId="0" borderId="0" xfId="0" applyFont="1"/>
    <xf numFmtId="2" fontId="33" fillId="0" borderId="0" xfId="0" applyNumberFormat="1" applyFont="1"/>
    <xf numFmtId="0" fontId="34" fillId="0" borderId="0" xfId="0" pivotButton="1" applyFont="1"/>
    <xf numFmtId="0" fontId="34" fillId="0" borderId="0" xfId="0" applyFont="1"/>
    <xf numFmtId="0" fontId="21" fillId="14" borderId="12" xfId="0" applyFont="1" applyFill="1" applyBorder="1"/>
    <xf numFmtId="0" fontId="0" fillId="0" borderId="13" xfId="0" applyBorder="1"/>
    <xf numFmtId="2" fontId="21" fillId="14" borderId="12" xfId="0" applyNumberFormat="1" applyFont="1" applyFill="1" applyBorder="1"/>
    <xf numFmtId="0" fontId="21" fillId="14" borderId="12" xfId="0" applyFont="1" applyFill="1" applyBorder="1" applyAlignment="1">
      <alignment horizontal="right"/>
    </xf>
    <xf numFmtId="0" fontId="29" fillId="10" borderId="0" xfId="0" applyFont="1" applyFill="1" applyAlignment="1">
      <alignment horizontal="center"/>
    </xf>
    <xf numFmtId="0" fontId="23" fillId="11" borderId="2" xfId="0" applyFont="1" applyFill="1" applyBorder="1" applyAlignment="1"/>
    <xf numFmtId="0" fontId="23" fillId="11" borderId="3" xfId="0" applyFont="1" applyFill="1" applyBorder="1" applyAlignment="1"/>
    <xf numFmtId="0" fontId="21" fillId="0" borderId="0" xfId="0" applyFont="1" applyAlignment="1">
      <alignment horizontal="left" vertical="center" wrapText="1"/>
    </xf>
    <xf numFmtId="0" fontId="28" fillId="12" borderId="4" xfId="0" applyFont="1" applyFill="1" applyBorder="1" applyAlignment="1">
      <alignment horizontal="center"/>
    </xf>
    <xf numFmtId="0" fontId="28" fillId="12" borderId="5" xfId="0" applyFont="1" applyFill="1" applyBorder="1" applyAlignment="1">
      <alignment horizontal="center"/>
    </xf>
  </cellXfs>
  <cellStyles count="21">
    <cellStyle name="20% - Accent1" xfId="1" builtinId="30" customBuiltin="1"/>
    <cellStyle name="20% - Accent2" xfId="2" builtinId="34" customBuiltin="1"/>
    <cellStyle name="20% - Accent3" xfId="3" builtinId="38" customBuiltin="1"/>
    <cellStyle name="20% - Accent4" xfId="4" builtinId="42" customBuiltin="1"/>
    <cellStyle name="40% - Accent3" xfId="5" builtinId="39" customBuiltin="1"/>
    <cellStyle name="60% - Accent3" xfId="6" builtinId="40" customBuiltin="1"/>
    <cellStyle name="60% - Accent4" xfId="7" builtinId="44" customBuiltin="1"/>
    <cellStyle name="60% - Accent6" xfId="8" builtinId="52" customBuiltin="1"/>
    <cellStyle name="Comma" xfId="9" builtinId="3" customBuiltin="1"/>
    <cellStyle name="Comma [0]" xfId="10" builtinId="6" customBuiltin="1"/>
    <cellStyle name="Currency" xfId="11" builtinId="4" customBuiltin="1"/>
    <cellStyle name="Currency [0]" xfId="12" builtinId="7" customBuiltin="1"/>
    <cellStyle name="Heading" xfId="13" xr:uid="{00000000-0005-0000-0000-00000C000000}"/>
    <cellStyle name="Hyperlink" xfId="20" builtinId="8"/>
    <cellStyle name="Normal" xfId="0" builtinId="0" customBuiltin="1"/>
    <cellStyle name="Report Body" xfId="14" xr:uid="{00000000-0005-0000-0000-00000E000000}"/>
    <cellStyle name="Report Column Header" xfId="15" xr:uid="{00000000-0005-0000-0000-00000F000000}"/>
    <cellStyle name="Report Creation DateTime" xfId="16" xr:uid="{00000000-0005-0000-0000-000010000000}"/>
    <cellStyle name="Report Field Name" xfId="17" xr:uid="{00000000-0005-0000-0000-000011000000}"/>
    <cellStyle name="Report Name" xfId="18" xr:uid="{00000000-0005-0000-0000-000012000000}"/>
    <cellStyle name="StandardReportHeading" xfId="19" xr:uid="{00000000-0005-0000-0000-000013000000}"/>
  </cellStyles>
  <dxfs count="63">
    <dxf>
      <font>
        <sz val="14"/>
      </font>
    </dxf>
    <dxf>
      <font>
        <sz val="14"/>
      </font>
    </dxf>
    <dxf>
      <font>
        <sz val="14"/>
      </font>
    </dxf>
    <dxf>
      <font>
        <sz val="14"/>
      </font>
    </dxf>
    <dxf>
      <font>
        <sz val="11"/>
      </font>
    </dxf>
    <dxf>
      <font>
        <sz val="11"/>
      </font>
    </dxf>
    <dxf>
      <font>
        <sz val="11"/>
      </font>
    </dxf>
    <dxf>
      <font>
        <sz val="11"/>
      </font>
    </dxf>
    <dxf>
      <font>
        <name val="Verdana"/>
      </font>
    </dxf>
    <dxf>
      <font>
        <name val="Verdana"/>
      </font>
    </dxf>
    <dxf>
      <font>
        <name val="Verdana"/>
      </font>
    </dxf>
    <dxf>
      <font>
        <name val="Verdana"/>
      </font>
    </dxf>
    <dxf>
      <font>
        <name val="Verdana"/>
      </font>
    </dxf>
    <dxf>
      <font>
        <name val="Verdana"/>
      </font>
    </dxf>
    <dxf>
      <font>
        <name val="Verdana"/>
      </font>
    </dxf>
    <dxf>
      <numFmt numFmtId="173" formatCode="[$€-2]\ #,##0.00"/>
    </dxf>
    <dxf>
      <numFmt numFmtId="174" formatCode="&quot;$&quot;#,##0.00"/>
    </dxf>
    <dxf>
      <numFmt numFmtId="175" formatCode="[$£-809]#,##0.00"/>
    </dxf>
    <dxf>
      <font>
        <sz val="14"/>
      </font>
    </dxf>
    <dxf>
      <font>
        <sz val="14"/>
      </font>
    </dxf>
    <dxf>
      <font>
        <sz val="14"/>
      </font>
    </dxf>
    <dxf>
      <font>
        <sz val="14"/>
      </font>
    </dxf>
    <dxf>
      <font>
        <sz val="11"/>
      </font>
    </dxf>
    <dxf>
      <font>
        <sz val="11"/>
      </font>
    </dxf>
    <dxf>
      <font>
        <sz val="11"/>
      </font>
    </dxf>
    <dxf>
      <font>
        <sz val="11"/>
      </font>
    </dxf>
    <dxf>
      <font>
        <name val="Verdana"/>
      </font>
    </dxf>
    <dxf>
      <font>
        <name val="Verdana"/>
      </font>
    </dxf>
    <dxf>
      <font>
        <name val="Verdana"/>
      </font>
    </dxf>
    <dxf>
      <font>
        <name val="Verdana"/>
      </font>
    </dxf>
    <dxf>
      <font>
        <name val="Verdana"/>
      </font>
    </dxf>
    <dxf>
      <font>
        <name val="Verdana"/>
      </font>
    </dxf>
    <dxf>
      <font>
        <name val="Verdana"/>
      </font>
    </dxf>
    <dxf>
      <numFmt numFmtId="175" formatCode="[$£-809]#,##0.00"/>
    </dxf>
    <dxf>
      <numFmt numFmtId="173" formatCode="[$€-2]\ #,##0.00"/>
    </dxf>
    <dxf>
      <numFmt numFmtId="174" formatCode="&quot;$&quot;#,##0.00"/>
    </dxf>
    <dxf>
      <font>
        <b val="0"/>
        <i val="0"/>
        <strike val="0"/>
      </font>
      <fill>
        <patternFill>
          <bgColor theme="2"/>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bgColor theme="5" tint="0.59996337778862885"/>
        </patternFill>
      </fill>
      <border>
        <left style="thin">
          <color theme="5"/>
        </left>
        <right style="thin">
          <color theme="5"/>
        </right>
        <top style="thin">
          <color theme="5"/>
        </top>
        <bottom style="thin">
          <color theme="5"/>
        </bottom>
        <vertical style="thin">
          <color theme="5"/>
        </vertical>
        <horizontal style="thin">
          <color theme="5"/>
        </horizontal>
      </border>
    </dxf>
    <dxf>
      <fill>
        <patternFill>
          <bgColor rgb="FF25477B"/>
        </patternFill>
      </fill>
    </dxf>
    <dxf>
      <fill>
        <patternFill>
          <bgColor rgb="FFFFC169"/>
        </patternFill>
      </fill>
    </dxf>
    <dxf>
      <font>
        <b val="0"/>
        <i val="0"/>
        <strike val="0"/>
      </font>
      <fill>
        <patternFill>
          <bgColor theme="2"/>
        </patternFill>
      </fill>
      <border>
        <left style="thin">
          <color rgb="FF20325F"/>
        </left>
        <right style="thin">
          <color rgb="FF20325F"/>
        </right>
        <top style="thin">
          <color rgb="FF20325F"/>
        </top>
        <bottom style="thin">
          <color rgb="FF20325F"/>
        </bottom>
        <vertical style="thin">
          <color rgb="FF20325F"/>
        </vertical>
        <horizontal style="thin">
          <color rgb="FF20325F"/>
        </horizontal>
      </border>
    </dxf>
    <dxf>
      <font>
        <b val="0"/>
        <i val="0"/>
        <strike val="0"/>
      </font>
      <fill>
        <patternFill>
          <bgColor theme="5"/>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color theme="0"/>
      </font>
      <fill>
        <patternFill>
          <bgColor theme="2"/>
        </patternFill>
      </fill>
      <border>
        <left style="thin">
          <color rgb="FF20325F"/>
        </left>
        <right style="thin">
          <color rgb="FF20325F"/>
        </right>
        <top style="thin">
          <color rgb="FF20325F"/>
        </top>
        <bottom style="thin">
          <color rgb="FF20325F"/>
        </bottom>
        <vertical style="thin">
          <color rgb="FF20325F"/>
        </vertical>
        <horizontal style="thin">
          <color rgb="FF20325F"/>
        </horizontal>
      </border>
    </dxf>
    <dxf>
      <font>
        <b val="0"/>
        <i val="0"/>
        <strike val="0"/>
        <color theme="1"/>
      </font>
      <fill>
        <patternFill>
          <bgColor theme="5" tint="0.59996337778862885"/>
        </patternFill>
      </fill>
      <border>
        <left style="thin">
          <color theme="5"/>
        </left>
        <right style="thin">
          <color theme="5"/>
        </right>
        <top style="thin">
          <color theme="5"/>
        </top>
        <bottom style="thin">
          <color theme="5"/>
        </bottom>
        <vertical style="thin">
          <color theme="5"/>
        </vertical>
        <horizontal style="thin">
          <color theme="5"/>
        </horizontal>
      </border>
    </dxf>
    <dxf>
      <fill>
        <patternFill>
          <bgColor theme="2"/>
        </patternFill>
      </fill>
      <border>
        <left style="thin">
          <color rgb="FF20325F"/>
        </left>
        <right style="thin">
          <color rgb="FF20325F"/>
        </right>
        <top style="thin">
          <color rgb="FF20325F"/>
        </top>
        <bottom style="thin">
          <color rgb="FF20325F"/>
        </bottom>
        <vertical style="thin">
          <color rgb="FF20325F"/>
        </vertical>
        <horizontal style="thin">
          <color rgb="FF20325F"/>
        </horizontal>
      </border>
    </dxf>
    <dxf>
      <font>
        <b val="0"/>
        <i val="0"/>
        <strike val="0"/>
      </font>
      <fill>
        <patternFill>
          <bgColor theme="5" tint="0.59996337778862885"/>
        </patternFill>
      </fill>
      <border>
        <left style="thin">
          <color theme="5"/>
        </left>
        <right style="thin">
          <color theme="5"/>
        </right>
        <top style="thin">
          <color theme="5"/>
        </top>
        <bottom style="thin">
          <color theme="5"/>
        </bottom>
        <vertical style="thin">
          <color theme="5"/>
        </vertical>
        <horizontal style="thin">
          <color theme="5"/>
        </horizontal>
      </border>
    </dxf>
    <dxf>
      <font>
        <b val="0"/>
        <i val="0"/>
        <strike val="0"/>
      </font>
      <fill>
        <patternFill>
          <bgColor theme="5"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5"/>
        </patternFill>
      </fill>
    </dxf>
    <dxf>
      <font>
        <b val="0"/>
        <i val="0"/>
        <strike val="0"/>
        <color theme="0"/>
      </font>
    </dxf>
    <dxf>
      <fill>
        <patternFill patternType="solid">
          <fgColor theme="5" tint="0.79995117038483843"/>
          <bgColor theme="0" tint="-4.9989318521683403E-2"/>
        </patternFill>
      </fill>
      <border>
        <bottom style="thin">
          <color theme="5" tint="0.39997558519241921"/>
        </bottom>
      </border>
    </dxf>
    <dxf>
      <fill>
        <patternFill patternType="solid">
          <fgColor theme="5" tint="0.79995117038483843"/>
          <bgColor theme="0" tint="-4.9989318521683403E-2"/>
        </patternFill>
      </fill>
      <border>
        <bottom style="thin">
          <color theme="5" tint="0.39997558519241921"/>
        </bottom>
      </border>
    </dxf>
    <dxf>
      <font>
        <b/>
        <color theme="1"/>
      </font>
    </dxf>
    <dxf>
      <font>
        <b/>
        <color theme="1"/>
      </font>
      <border>
        <bottom style="thin">
          <color theme="5" tint="0.39997558519241921"/>
        </bottom>
      </border>
    </dxf>
    <dxf>
      <font>
        <color theme="1"/>
      </font>
    </dxf>
    <dxf>
      <font>
        <b/>
        <i val="0"/>
        <color theme="1"/>
      </font>
      <fill>
        <patternFill>
          <bgColor theme="0" tint="-4.9989318521683403E-2"/>
        </patternFill>
      </fill>
      <border>
        <top style="thin">
          <color theme="5"/>
        </top>
        <bottom style="thin">
          <color theme="5"/>
        </bottom>
      </border>
    </dxf>
    <dxf>
      <font>
        <color theme="1"/>
      </font>
      <fill>
        <patternFill patternType="solid">
          <fgColor theme="0" tint="-0.14993743705557422"/>
          <bgColor theme="0" tint="-4.9989318521683403E-2"/>
        </patternFill>
      </fill>
    </dxf>
    <dxf>
      <fill>
        <patternFill patternType="solid">
          <fgColor theme="0" tint="-0.14990691854609822"/>
          <bgColor theme="0" tint="-4.9989318521683403E-2"/>
        </patternFill>
      </fill>
      <border>
        <left style="thin">
          <color theme="0" tint="-0.249977111117893"/>
        </left>
        <right style="thin">
          <color theme="0" tint="-0.249977111117893"/>
        </right>
      </border>
    </dxf>
    <dxf>
      <fill>
        <patternFill>
          <fgColor theme="8"/>
          <bgColor theme="8"/>
        </patternFill>
      </fill>
    </dxf>
    <dxf>
      <font>
        <b/>
        <i val="0"/>
        <color theme="1"/>
      </font>
      <fill>
        <patternFill patternType="solid">
          <fgColor theme="5" tint="0.79985961485641044"/>
          <bgColor theme="0" tint="-4.9989318521683403E-2"/>
        </patternFill>
      </fill>
      <border>
        <top style="thin">
          <color theme="5" tint="0.39997558519241921"/>
        </top>
      </border>
    </dxf>
    <dxf>
      <font>
        <b/>
        <i val="0"/>
        <color theme="1"/>
      </font>
      <fill>
        <patternFill patternType="solid">
          <fgColor theme="5" tint="0.79989013336588644"/>
          <bgColor theme="0" tint="-4.9989318521683403E-2"/>
        </patternFill>
      </fill>
      <border>
        <bottom style="thin">
          <color theme="5" tint="0.39997558519241921"/>
        </bottom>
      </border>
    </dxf>
    <dxf>
      <font>
        <color theme="3"/>
      </font>
    </dxf>
    <dxf>
      <font>
        <b val="0"/>
        <i val="0"/>
        <strike val="0"/>
      </font>
      <fill>
        <patternFill>
          <bgColor theme="2"/>
        </patternFill>
      </fill>
      <border>
        <left style="thin">
          <color rgb="FF20325F"/>
        </left>
        <right style="thin">
          <color rgb="FF20325F"/>
        </right>
        <top style="thin">
          <color rgb="FF20325F"/>
        </top>
        <bottom style="thin">
          <color rgb="FF20325F"/>
        </bottom>
        <vertical style="thin">
          <color rgb="FF20325F"/>
        </vertical>
        <horizontal style="thin">
          <color rgb="FF20325F"/>
        </horizontal>
      </border>
    </dxf>
    <dxf>
      <font>
        <b val="0"/>
        <i val="0"/>
        <strike val="0"/>
      </font>
      <fill>
        <patternFill>
          <bgColor theme="5" tint="0.59996337778862885"/>
        </patternFill>
      </fill>
      <border>
        <left style="thin">
          <color auto="1"/>
        </left>
        <right style="thin">
          <color auto="1"/>
        </right>
        <top style="thin">
          <color auto="1"/>
        </top>
        <bottom style="thin">
          <color auto="1"/>
        </bottom>
        <vertical style="thin">
          <color auto="1"/>
        </vertical>
        <horizontal style="thin">
          <color auto="1"/>
        </horizontal>
      </border>
    </dxf>
  </dxfs>
  <tableStyles count="11" defaultTableStyle="Table Style 3" defaultPivotStyle="PivotStyleLight16">
    <tableStyle name="Blue with Green" pivot="0" count="2" xr9:uid="{40CB2B18-9C5A-4A9F-91A2-0EC7DB8F6829}">
      <tableStyleElement type="wholeTable" dxfId="62"/>
      <tableStyleElement type="headerRow" dxfId="61"/>
    </tableStyle>
    <tableStyle name="PivotStyleLightCustom" table="0" count="12" xr9:uid="{00000000-0011-0000-FFFF-FFFF00000000}">
      <tableStyleElement type="wholeTable" dxfId="60"/>
      <tableStyleElement type="headerRow" dxfId="59"/>
      <tableStyleElement type="totalRow" dxfId="58"/>
      <tableStyleElement type="secondRowStripe" dxfId="57"/>
      <tableStyleElement type="firstColumnStripe" dxfId="56"/>
      <tableStyleElement type="firstSubtotalColumn" dxfId="55"/>
      <tableStyleElement type="firstSubtotalRow" dxfId="54"/>
      <tableStyleElement type="secondSubtotalRow" dxfId="53"/>
      <tableStyleElement type="firstRowSubheading" dxfId="52"/>
      <tableStyleElement type="secondRowSubheading" dxfId="51"/>
      <tableStyleElement type="pageFieldLabels" dxfId="50"/>
      <tableStyleElement type="pageFieldValues" dxfId="49"/>
    </tableStyle>
    <tableStyle name="PivotTable Style 1" table="0" count="1" xr9:uid="{64908F81-253B-408B-AC1E-53ABCCA9E2EE}">
      <tableStyleElement type="headerRow" dxfId="48"/>
    </tableStyle>
    <tableStyle name="PivotTable Style 2" table="0" count="0" xr9:uid="{76DE75D9-7111-48BA-B9DB-5A8F8F691DF4}"/>
    <tableStyle name="PivotTable Style 3" table="0" count="1" xr9:uid="{4456AAB1-6581-446B-9442-158CFBA89D2D}">
      <tableStyleElement type="wholeTable" dxfId="47"/>
    </tableStyle>
    <tableStyle name="PivotTable Style 4" table="0" count="1" xr9:uid="{BE1A9DE9-561A-4BFE-B606-E4FA73F51E25}">
      <tableStyleElement type="wholeTable" dxfId="46"/>
    </tableStyle>
    <tableStyle name="PivotTable Style 5" table="0" count="2" xr9:uid="{D7B2AEF0-74CC-4B8C-B9EA-305B865BBA9C}">
      <tableStyleElement type="wholeTable" dxfId="45"/>
      <tableStyleElement type="headerRow" dxfId="44"/>
    </tableStyle>
    <tableStyle name="PivotTable Style 6" table="0" count="2" xr9:uid="{165C5801-5015-45C8-8648-B77132913522}">
      <tableStyleElement type="wholeTable" dxfId="43"/>
      <tableStyleElement type="headerRow" dxfId="42"/>
    </tableStyle>
    <tableStyle name="Table Style 1" pivot="0" count="2" xr9:uid="{FAB9B840-8AC1-4C8A-9F6A-2D341BF4E539}">
      <tableStyleElement type="wholeTable" dxfId="41"/>
      <tableStyleElement type="headerRow" dxfId="40"/>
    </tableStyle>
    <tableStyle name="Table Style 2" pivot="0" count="2" xr9:uid="{360F9F64-1774-4440-9727-0C0E6B6EAD2B}">
      <tableStyleElement type="wholeTable" dxfId="39"/>
      <tableStyleElement type="headerRow" dxfId="38"/>
    </tableStyle>
    <tableStyle name="Table Style 3" pivot="0" count="2" xr9:uid="{3B43065D-51AA-48BA-A7BB-A8869B0C0D4C}">
      <tableStyleElement type="wholeTable" dxfId="37"/>
      <tableStyleElement type="totalRow" dxfId="36"/>
    </tableStyle>
  </tableStyles>
  <colors>
    <mruColors>
      <color rgb="FFFF9600"/>
      <color rgb="FFFFC169"/>
      <color rgb="FF20325F"/>
      <color rgb="FF25477B"/>
      <color rgb="FF00AEEF"/>
      <color rgb="FF0082E3"/>
      <color rgb="FF696A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hristoph Middleton" refreshedDate="44293.589108796295" missingItemsLimit="0" createdVersion="5" refreshedVersion="6" minRefreshableVersion="3" recordCount="5" xr:uid="{00000000-000A-0000-FFFF-FFFF22000000}">
  <cacheSource type="worksheet">
    <worksheetSource name="AllData"/>
  </cacheSource>
  <cacheFields count="6">
    <cacheField name="**Vehicle" numFmtId="171">
      <sharedItems count="5">
        <s v="Vehicle 1"/>
        <s v="Vehicle 2"/>
        <s v="Vehicle 3"/>
        <s v="Vehicle 4"/>
        <s v="Vehicle 5"/>
      </sharedItems>
    </cacheField>
    <cacheField name="**Zones" numFmtId="172">
      <sharedItems count="5">
        <s v="EV Zone 1, EV Zone 5"/>
        <s v="EV Zone 2"/>
        <s v="EV Zone 3"/>
        <s v="EV Zone 4"/>
        <s v="**Outside of Zones"/>
      </sharedItems>
    </cacheField>
    <cacheField name="**Zone Types" numFmtId="172">
      <sharedItems count="5">
        <s v="Home Zone"/>
        <s v="Customer Zone"/>
        <s v="Office Zone"/>
        <s v="Custom Type Zone"/>
        <s v="**Outside of Zones"/>
      </sharedItems>
    </cacheField>
    <cacheField name="**Energy Added" numFmtId="2">
      <sharedItems containsSemiMixedTypes="0" containsString="0" containsNumber="1" minValue="1.8400000333786011" maxValue="8.7700004577636719"/>
    </cacheField>
    <cacheField name="**Cost of Electric Energy" numFmtId="2">
      <sharedItems containsSemiMixedTypes="0" containsString="0" containsNumber="1" minValue="0.15" maxValue="1"/>
    </cacheField>
    <cacheField name="**Cost" numFmtId="2">
      <sharedItems containsSemiMixedTypes="0" containsString="0" containsNumber="1" minValue="0.27600000500679017" maxValue="7.119999885559080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n v="8.7700004577636719"/>
    <n v="0.3"/>
    <n v="2.6310001373291017"/>
  </r>
  <r>
    <x v="1"/>
    <x v="1"/>
    <x v="1"/>
    <n v="1.8400000333786011"/>
    <n v="0.15"/>
    <n v="0.27600000500679017"/>
  </r>
  <r>
    <x v="2"/>
    <x v="2"/>
    <x v="2"/>
    <n v="6.119999885559082"/>
    <n v="0.2"/>
    <n v="1.2239999771118164"/>
  </r>
  <r>
    <x v="3"/>
    <x v="3"/>
    <x v="3"/>
    <n v="6.119999885559082"/>
    <n v="0.25"/>
    <n v="1.5299999713897705"/>
  </r>
  <r>
    <x v="4"/>
    <x v="4"/>
    <x v="4"/>
    <n v="7.1199998855590803"/>
    <n v="1"/>
    <n v="7.11999988555908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5" applyNumberFormats="0" applyBorderFormats="0" applyFontFormats="0" applyPatternFormats="0" applyAlignmentFormats="0" applyWidthHeightFormats="1" dataCaption="Values" updatedVersion="6" minRefreshableVersion="3" useAutoFormatting="1" rowGrandTotals="0" colGrandTotals="0" itemPrintTitles="1" createdVersion="5" indent="0" compact="0" compactData="0" multipleFieldFilters="0">
  <location ref="A12:E17" firstHeaderRow="0" firstDataRow="1" firstDataCol="3"/>
  <pivotFields count="6">
    <pivotField axis="axisRow" compact="0" outline="0" subtotalTop="0" showAll="0" defaultSubtotal="0">
      <items count="5">
        <item x="0"/>
        <item x="1"/>
        <item x="2"/>
        <item x="3"/>
        <item x="4"/>
      </items>
    </pivotField>
    <pivotField axis="axisRow" compact="0" outline="0" subtotalTop="0" showAll="0" defaultSubtotal="0">
      <items count="5">
        <item x="1"/>
        <item x="0"/>
        <item x="2"/>
        <item x="3"/>
        <item x="4"/>
      </items>
    </pivotField>
    <pivotField axis="axisRow" compact="0" outline="0" subtotalTop="0" showAll="0" defaultSubtotal="0">
      <items count="5">
        <item x="3"/>
        <item x="1"/>
        <item x="0"/>
        <item x="2"/>
        <item x="4"/>
      </items>
    </pivotField>
    <pivotField dataField="1" compact="0" numFmtId="2" outline="0" subtotalTop="0" showAll="0" defaultSubtotal="0"/>
    <pivotField compact="0" numFmtId="2" outline="0" subtotalTop="0" showAll="0" defaultSubtotal="0"/>
    <pivotField dataField="1" compact="0" numFmtId="2" outline="0" subtotalTop="0" showAll="0" defaultSubtotal="0"/>
  </pivotFields>
  <rowFields count="3">
    <field x="1"/>
    <field x="2"/>
    <field x="0"/>
  </rowFields>
  <rowItems count="5">
    <i>
      <x/>
      <x v="1"/>
      <x v="1"/>
    </i>
    <i>
      <x v="1"/>
      <x v="2"/>
      <x/>
    </i>
    <i>
      <x v="2"/>
      <x v="3"/>
      <x v="2"/>
    </i>
    <i>
      <x v="3"/>
      <x/>
      <x v="3"/>
    </i>
    <i>
      <x v="4"/>
      <x v="4"/>
      <x v="4"/>
    </i>
  </rowItems>
  <colFields count="1">
    <field x="-2"/>
  </colFields>
  <colItems count="2">
    <i>
      <x/>
    </i>
    <i i="1">
      <x v="1"/>
    </i>
  </colItems>
  <dataFields count="2">
    <dataField name="**Energy Added " fld="3" baseField="0" baseItem="5" numFmtId="2"/>
    <dataField name="**Cost " fld="5" baseField="0" baseItem="5" numFmtId="2"/>
  </dataFields>
  <formats count="15">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field="0" type="button" dataOnly="0" labelOnly="1" outline="0" axis="axisRow" fieldPosition="2"/>
    </format>
    <format dxfId="28">
      <pivotArea dataOnly="0" labelOnly="1" outline="0" fieldPosition="0">
        <references count="1">
          <reference field="1" count="0"/>
        </references>
      </pivotArea>
    </format>
    <format dxfId="27">
      <pivotArea dataOnly="0" labelOnly="1" outline="0" fieldPosition="0">
        <references count="2">
          <reference field="0" count="1">
            <x v="2"/>
          </reference>
          <reference field="1" count="1" selected="0">
            <x v="0"/>
          </reference>
        </references>
      </pivotArea>
    </format>
    <format dxfId="26">
      <pivotArea dataOnly="0" labelOnly="1" outline="0" fieldPosition="0">
        <references count="1">
          <reference field="4294967294" count="2">
            <x v="0"/>
            <x v="1"/>
          </reference>
        </references>
      </pivotArea>
    </format>
    <format dxfId="25">
      <pivotArea type="all" dataOnly="0" outline="0" fieldPosition="0"/>
    </format>
    <format dxfId="24">
      <pivotArea outline="0" collapsedLevelsAreSubtotals="1" fieldPosition="0"/>
    </format>
    <format dxfId="23">
      <pivotArea dataOnly="0" labelOnly="1" outline="0" fieldPosition="0">
        <references count="1">
          <reference field="1" count="0"/>
        </references>
      </pivotArea>
    </format>
    <format dxfId="22">
      <pivotArea dataOnly="0" labelOnly="1" outline="0" fieldPosition="0">
        <references count="2">
          <reference field="0" count="1">
            <x v="2"/>
          </reference>
          <reference field="1" count="1" selected="0">
            <x v="0"/>
          </reference>
        </references>
      </pivotArea>
    </format>
    <format dxfId="21">
      <pivotArea field="1" type="button" dataOnly="0" labelOnly="1" outline="0" axis="axisRow" fieldPosition="0"/>
    </format>
    <format dxfId="20">
      <pivotArea field="0" type="button" dataOnly="0" labelOnly="1" outline="0" axis="axisRow" fieldPosition="2"/>
    </format>
    <format dxfId="19">
      <pivotArea dataOnly="0" labelOnly="1" outline="0" fieldPosition="0">
        <references count="1">
          <reference field="4294967294" count="2">
            <x v="0"/>
            <x v="1"/>
          </reference>
        </references>
      </pivotArea>
    </format>
    <format dxfId="18">
      <pivotArea field="2" type="button" dataOnly="0" labelOnly="1" outline="0" axis="axisRow" fieldPosition="1"/>
    </format>
  </formats>
  <conditionalFormats count="3">
    <conditionalFormat scope="data" priority="1">
      <pivotAreas count="1">
        <pivotArea outline="0" fieldPosition="0">
          <references count="1">
            <reference field="4294967294" count="1" selected="0">
              <x v="1"/>
            </reference>
          </references>
        </pivotArea>
      </pivotAreas>
    </conditionalFormat>
    <conditionalFormat scope="data" priority="3">
      <pivotAreas count="1">
        <pivotArea outline="0" fieldPosition="0">
          <references count="1">
            <reference field="4294967294" count="1" selected="0">
              <x v="1"/>
            </reference>
          </references>
        </pivotArea>
      </pivotAreas>
    </conditionalFormat>
    <conditionalFormat scope="data" priority="4">
      <pivotAreas count="1">
        <pivotArea outline="0" fieldPosition="0">
          <references count="1">
            <reference field="4294967294" count="1" selected="0">
              <x v="1"/>
            </reference>
          </references>
        </pivotArea>
      </pivotAreas>
    </conditionalFormat>
  </conditionalFormats>
  <pivotTableStyleInfo name="PivotTable Style 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E9BE8A-8B9A-456D-BA1E-60476290D8E1}" name="PivotTable1" cacheId="5" applyNumberFormats="0" applyBorderFormats="0" applyFontFormats="0" applyPatternFormats="0" applyAlignmentFormats="0" applyWidthHeightFormats="1" dataCaption="Values" updatedVersion="6" minRefreshableVersion="3" useAutoFormatting="1" rowGrandTotals="0" colGrandTotals="0" itemPrintTitles="1" createdVersion="5" indent="0" compact="0" compactData="0" multipleFieldFilters="0">
  <location ref="A12:E17" firstHeaderRow="0" firstDataRow="1" firstDataCol="3"/>
  <pivotFields count="6">
    <pivotField axis="axisRow" compact="0" outline="0" subtotalTop="0" showAll="0" defaultSubtotal="0">
      <items count="5">
        <item x="0"/>
        <item x="1"/>
        <item x="2"/>
        <item x="3"/>
        <item x="4"/>
      </items>
    </pivotField>
    <pivotField axis="axisRow" compact="0" outline="0" subtotalTop="0" showAll="0" defaultSubtotal="0">
      <items count="5">
        <item x="1"/>
        <item x="0"/>
        <item x="2"/>
        <item x="3"/>
        <item x="4"/>
      </items>
    </pivotField>
    <pivotField axis="axisRow" compact="0" outline="0" subtotalTop="0" showAll="0" defaultSubtotal="0">
      <items count="5">
        <item x="3"/>
        <item x="1"/>
        <item x="0"/>
        <item x="2"/>
        <item x="4"/>
      </items>
    </pivotField>
    <pivotField dataField="1" compact="0" numFmtId="2" outline="0" subtotalTop="0" showAll="0" defaultSubtotal="0"/>
    <pivotField compact="0" numFmtId="2" outline="0" subtotalTop="0" showAll="0" defaultSubtotal="0"/>
    <pivotField dataField="1" compact="0" numFmtId="2" outline="0" subtotalTop="0" showAll="0" defaultSubtotal="0"/>
  </pivotFields>
  <rowFields count="3">
    <field x="0"/>
    <field x="1"/>
    <field x="2"/>
  </rowFields>
  <rowItems count="5">
    <i>
      <x/>
      <x v="1"/>
      <x v="2"/>
    </i>
    <i>
      <x v="1"/>
      <x/>
      <x v="1"/>
    </i>
    <i>
      <x v="2"/>
      <x v="2"/>
      <x v="3"/>
    </i>
    <i>
      <x v="3"/>
      <x v="3"/>
      <x/>
    </i>
    <i>
      <x v="4"/>
      <x v="4"/>
      <x v="4"/>
    </i>
  </rowItems>
  <colFields count="1">
    <field x="-2"/>
  </colFields>
  <colItems count="2">
    <i>
      <x/>
    </i>
    <i i="1">
      <x v="1"/>
    </i>
  </colItems>
  <dataFields count="2">
    <dataField name="**Energy Added " fld="3" baseField="1" baseItem="4" numFmtId="2"/>
    <dataField name="**Cost " fld="5" baseField="1" baseItem="4" numFmtId="2"/>
  </dataFields>
  <formats count="15">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field="1" type="button" dataOnly="0" labelOnly="1" outline="0" axis="axisRow" fieldPosition="1"/>
    </format>
    <format dxfId="10">
      <pivotArea dataOnly="0" labelOnly="1" outline="0" fieldPosition="0">
        <references count="1">
          <reference field="0" count="0"/>
        </references>
      </pivotArea>
    </format>
    <format dxfId="9">
      <pivotArea dataOnly="0" labelOnly="1" outline="0" fieldPosition="0">
        <references count="2">
          <reference field="0" count="1" selected="0">
            <x v="2"/>
          </reference>
          <reference field="1" count="1">
            <x v="0"/>
          </reference>
        </references>
      </pivotArea>
    </format>
    <format dxfId="8">
      <pivotArea dataOnly="0" labelOnly="1" outline="0" fieldPosition="0">
        <references count="1">
          <reference field="4294967294" count="2">
            <x v="0"/>
            <x v="1"/>
          </reference>
        </references>
      </pivotArea>
    </format>
    <format dxfId="7">
      <pivotArea type="all" dataOnly="0" outline="0" fieldPosition="0"/>
    </format>
    <format dxfId="6">
      <pivotArea outline="0" collapsedLevelsAreSubtotals="1" fieldPosition="0"/>
    </format>
    <format dxfId="5">
      <pivotArea dataOnly="0" labelOnly="1" outline="0" fieldPosition="0">
        <references count="1">
          <reference field="0" count="0"/>
        </references>
      </pivotArea>
    </format>
    <format dxfId="4">
      <pivotArea dataOnly="0" labelOnly="1" outline="0" fieldPosition="0">
        <references count="2">
          <reference field="0" count="1" selected="0">
            <x v="2"/>
          </reference>
          <reference field="1" count="1">
            <x v="0"/>
          </reference>
        </references>
      </pivotArea>
    </format>
    <format dxfId="3">
      <pivotArea field="0" type="button" dataOnly="0" labelOnly="1" outline="0" axis="axisRow" fieldPosition="0"/>
    </format>
    <format dxfId="2">
      <pivotArea field="1" type="button" dataOnly="0" labelOnly="1" outline="0" axis="axisRow" fieldPosition="1"/>
    </format>
    <format dxfId="1">
      <pivotArea dataOnly="0" labelOnly="1" outline="0" fieldPosition="0">
        <references count="1">
          <reference field="4294967294" count="2">
            <x v="0"/>
            <x v="1"/>
          </reference>
        </references>
      </pivotArea>
    </format>
    <format dxfId="0">
      <pivotArea field="2" type="button" dataOnly="0" labelOnly="1" outline="0" axis="axisRow" fieldPosition="2"/>
    </format>
  </formats>
  <conditionalFormats count="3">
    <conditionalFormat scope="data" priority="2">
      <pivotAreas count="1">
        <pivotArea outline="0" fieldPosition="0">
          <references count="1">
            <reference field="4294967294" count="1" selected="0">
              <x v="1"/>
            </reference>
          </references>
        </pivotArea>
      </pivotAreas>
    </conditionalFormat>
    <conditionalFormat scope="data" priority="3">
      <pivotAreas count="1">
        <pivotArea outline="0" fieldPosition="0">
          <references count="1">
            <reference field="4294967294" count="1" selected="0">
              <x v="1"/>
            </reference>
          </references>
        </pivotArea>
      </pivotAreas>
    </conditionalFormat>
    <conditionalFormat scope="data" priority="4">
      <pivotAreas count="1">
        <pivotArea outline="0" fieldPosition="0">
          <references count="1">
            <reference field="4294967294" count="1" selected="0">
              <x v="1"/>
            </reference>
          </references>
        </pivotArea>
      </pivotAreas>
    </conditionalFormat>
  </conditionalFormats>
  <pivotTableStyleInfo name="PivotTable Style 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geotab-excel-theme-v3">
  <a:themeElements>
    <a:clrScheme name="Custom 10">
      <a:dk1>
        <a:srgbClr val="000000"/>
      </a:dk1>
      <a:lt1>
        <a:srgbClr val="FFFFFF"/>
      </a:lt1>
      <a:dk2>
        <a:srgbClr val="00AEEF"/>
      </a:dk2>
      <a:lt2>
        <a:srgbClr val="25477B"/>
      </a:lt2>
      <a:accent1>
        <a:srgbClr val="696A6C"/>
      </a:accent1>
      <a:accent2>
        <a:srgbClr val="93C83D"/>
      </a:accent2>
      <a:accent3>
        <a:srgbClr val="FAD201"/>
      </a:accent3>
      <a:accent4>
        <a:srgbClr val="FF9600"/>
      </a:accent4>
      <a:accent5>
        <a:srgbClr val="EA184D"/>
      </a:accent5>
      <a:accent6>
        <a:srgbClr val="B95FFF"/>
      </a:accent6>
      <a:hlink>
        <a:srgbClr val="00AEEF"/>
      </a:hlink>
      <a:folHlink>
        <a:srgbClr val="0082E3"/>
      </a:folHlink>
    </a:clrScheme>
    <a:fontScheme name="Office">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abccompany@abccompany.co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8"/>
  <sheetViews>
    <sheetView workbookViewId="0">
      <pane ySplit="13" topLeftCell="A14" activePane="bottomLeft" state="frozen"/>
      <selection pane="bottomLeft"/>
    </sheetView>
  </sheetViews>
  <sheetFormatPr defaultRowHeight="12.5" x14ac:dyDescent="0.25"/>
  <cols>
    <col min="1" max="1" width="18" customWidth="1"/>
    <col min="2" max="2" width="20" customWidth="1"/>
    <col min="3" max="5" width="14.81640625" customWidth="1"/>
    <col min="6" max="6" width="19" bestFit="1" customWidth="1"/>
    <col min="7" max="7" width="21.1796875" customWidth="1"/>
    <col min="8" max="8" width="15.54296875" customWidth="1"/>
    <col min="9" max="9" width="15" customWidth="1"/>
    <col min="10" max="10" width="20.54296875" customWidth="1"/>
    <col min="11" max="11" width="15.81640625" customWidth="1"/>
    <col min="12" max="12" width="16.81640625" customWidth="1"/>
    <col min="13" max="16" width="15.453125" customWidth="1"/>
    <col min="17" max="17" width="14.1796875" customWidth="1"/>
    <col min="18" max="20" width="13.54296875" customWidth="1"/>
    <col min="28" max="28" width="12.453125" customWidth="1"/>
    <col min="29" max="31" width="13" customWidth="1"/>
    <col min="39" max="39" width="11.1796875" customWidth="1"/>
    <col min="40" max="42" width="12.1796875" customWidth="1"/>
    <col min="45" max="45" width="11.81640625" customWidth="1"/>
    <col min="46" max="47" width="13.54296875" customWidth="1"/>
    <col min="48" max="48" width="13.453125" customWidth="1"/>
    <col min="49" max="49" width="12.81640625" customWidth="1"/>
    <col min="50" max="50" width="10.1796875" customWidth="1"/>
    <col min="51" max="51" width="10.54296875" customWidth="1"/>
  </cols>
  <sheetData>
    <row r="1" spans="1:8" x14ac:dyDescent="0.25">
      <c r="A1" s="3" t="s">
        <v>3</v>
      </c>
      <c r="B1" s="12" t="s">
        <v>348</v>
      </c>
    </row>
    <row r="2" spans="1:8" x14ac:dyDescent="0.25">
      <c r="A2" s="3" t="s">
        <v>0</v>
      </c>
      <c r="B2" s="4">
        <v>44127.623263379632</v>
      </c>
    </row>
    <row r="3" spans="1:8" x14ac:dyDescent="0.25">
      <c r="A3" s="3" t="s">
        <v>1</v>
      </c>
      <c r="B3" s="4">
        <v>44105</v>
      </c>
    </row>
    <row r="4" spans="1:8" x14ac:dyDescent="0.25">
      <c r="A4" s="3" t="s">
        <v>2</v>
      </c>
      <c r="B4" s="4">
        <v>44135.999988425923</v>
      </c>
    </row>
    <row r="5" spans="1:8" x14ac:dyDescent="0.25">
      <c r="A5" s="3" t="s">
        <v>305</v>
      </c>
      <c r="B5" s="12" t="s">
        <v>349</v>
      </c>
    </row>
    <row r="6" spans="1:8" x14ac:dyDescent="0.25">
      <c r="A6" s="3" t="s">
        <v>30</v>
      </c>
      <c r="B6" s="12" t="s">
        <v>31</v>
      </c>
    </row>
    <row r="7" spans="1:8" x14ac:dyDescent="0.25">
      <c r="A7" s="3" t="s">
        <v>72</v>
      </c>
      <c r="B7" s="12" t="s">
        <v>73</v>
      </c>
    </row>
    <row r="8" spans="1:8" x14ac:dyDescent="0.25">
      <c r="A8" s="3" t="s">
        <v>75</v>
      </c>
      <c r="B8" s="12" t="s">
        <v>76</v>
      </c>
    </row>
    <row r="9" spans="1:8" x14ac:dyDescent="0.25">
      <c r="A9" s="3" t="s">
        <v>77</v>
      </c>
      <c r="B9" s="12" t="s">
        <v>350</v>
      </c>
    </row>
    <row r="10" spans="1:8" x14ac:dyDescent="0.25">
      <c r="A10" s="3" t="s">
        <v>4</v>
      </c>
      <c r="B10" s="4" t="b">
        <v>1</v>
      </c>
    </row>
    <row r="11" spans="1:8" x14ac:dyDescent="0.25">
      <c r="A11" s="3" t="s">
        <v>5</v>
      </c>
      <c r="B11" s="41" t="s">
        <v>489</v>
      </c>
    </row>
    <row r="12" spans="1:8" x14ac:dyDescent="0.25">
      <c r="A12" s="3" t="s">
        <v>42</v>
      </c>
      <c r="B12" s="12" t="s">
        <v>43</v>
      </c>
    </row>
    <row r="13" spans="1:8" ht="21.75" customHeight="1" thickBot="1" x14ac:dyDescent="0.3">
      <c r="A13" s="1" t="s">
        <v>26</v>
      </c>
      <c r="B13" s="1" t="s">
        <v>27</v>
      </c>
      <c r="C13" s="1" t="s">
        <v>28</v>
      </c>
      <c r="D13" s="1" t="s">
        <v>29</v>
      </c>
      <c r="E13" s="1" t="s">
        <v>490</v>
      </c>
      <c r="F13" s="1" t="s">
        <v>74</v>
      </c>
      <c r="G13" s="1" t="s">
        <v>109</v>
      </c>
      <c r="H13" s="1" t="s">
        <v>71</v>
      </c>
    </row>
    <row r="14" spans="1:8" x14ac:dyDescent="0.25">
      <c r="A14" s="6" t="s">
        <v>362</v>
      </c>
      <c r="B14" s="2" t="s">
        <v>365</v>
      </c>
      <c r="C14" t="s">
        <v>351</v>
      </c>
      <c r="D14" s="2" t="s">
        <v>370</v>
      </c>
      <c r="E14" t="s">
        <v>491</v>
      </c>
      <c r="F14" t="s">
        <v>401</v>
      </c>
      <c r="G14" t="s">
        <v>374</v>
      </c>
      <c r="H14">
        <v>8.7700004577636719</v>
      </c>
    </row>
    <row r="15" spans="1:8" x14ac:dyDescent="0.25">
      <c r="A15" s="6" t="s">
        <v>363</v>
      </c>
      <c r="B15" s="2" t="s">
        <v>366</v>
      </c>
      <c r="C15" t="s">
        <v>368</v>
      </c>
      <c r="D15" s="2" t="s">
        <v>371</v>
      </c>
      <c r="E15" t="s">
        <v>491</v>
      </c>
      <c r="F15" t="s">
        <v>373</v>
      </c>
      <c r="G15" t="s">
        <v>392</v>
      </c>
      <c r="H15">
        <v>1.8400000333786011</v>
      </c>
    </row>
    <row r="16" spans="1:8" x14ac:dyDescent="0.25">
      <c r="A16" s="6" t="s">
        <v>364</v>
      </c>
      <c r="B16" s="2" t="s">
        <v>367</v>
      </c>
      <c r="C16" t="s">
        <v>369</v>
      </c>
      <c r="D16" s="2" t="s">
        <v>371</v>
      </c>
      <c r="E16" t="s">
        <v>491</v>
      </c>
      <c r="F16" t="s">
        <v>397</v>
      </c>
      <c r="G16" t="s">
        <v>393</v>
      </c>
      <c r="H16">
        <v>6.119999885559082</v>
      </c>
    </row>
    <row r="17" spans="1:8" x14ac:dyDescent="0.25">
      <c r="A17" s="6" t="s">
        <v>394</v>
      </c>
      <c r="B17" s="2" t="s">
        <v>395</v>
      </c>
      <c r="C17" t="s">
        <v>396</v>
      </c>
      <c r="D17" s="2" t="s">
        <v>371</v>
      </c>
      <c r="E17" t="s">
        <v>491</v>
      </c>
      <c r="F17" t="s">
        <v>398</v>
      </c>
      <c r="G17" t="s">
        <v>399</v>
      </c>
      <c r="H17">
        <v>6.119999885559082</v>
      </c>
    </row>
    <row r="18" spans="1:8" x14ac:dyDescent="0.25">
      <c r="A18" s="6" t="s">
        <v>465</v>
      </c>
      <c r="B18" s="2" t="s">
        <v>466</v>
      </c>
      <c r="C18" t="s">
        <v>396</v>
      </c>
      <c r="D18" s="2" t="s">
        <v>371</v>
      </c>
      <c r="E18" s="2"/>
      <c r="H18">
        <v>7.1199998855590803</v>
      </c>
    </row>
  </sheetData>
  <phoneticPr fontId="31" type="noConversion"/>
  <hyperlinks>
    <hyperlink ref="B11" r:id="rId1" xr:uid="{8EEE0337-F610-48C6-A402-8BDA760F0657}"/>
  </hyperlinks>
  <pageMargins left="0.75" right="0.75" top="1" bottom="1" header="0.5" footer="0.5"/>
  <pageSetup fitToHeight="100" orientation="landscape" horizontalDpi="300" verticalDpi="300" r:id="rId2"/>
  <headerFooter alignWithMargins="0"/>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7"/>
  <sheetViews>
    <sheetView showGridLines="0" workbookViewId="0">
      <pane ySplit="12" topLeftCell="A13" activePane="bottomLeft" state="frozen"/>
      <selection pane="bottomLeft"/>
    </sheetView>
  </sheetViews>
  <sheetFormatPr defaultColWidth="8.81640625" defaultRowHeight="16.5" x14ac:dyDescent="0.45"/>
  <cols>
    <col min="1" max="1" width="32.54296875" style="8" customWidth="1"/>
    <col min="2" max="2" width="41.453125" style="8" customWidth="1"/>
    <col min="3" max="3" width="26.81640625" style="8" bestFit="1" customWidth="1"/>
    <col min="4" max="4" width="16.54296875" style="8" bestFit="1" customWidth="1"/>
    <col min="5" max="5" width="24.7265625" style="8" customWidth="1"/>
    <col min="6" max="6" width="14.6328125" style="8" customWidth="1"/>
    <col min="7" max="7" width="30.1796875" style="8" customWidth="1"/>
    <col min="8" max="8" width="25.453125" style="8" hidden="1" customWidth="1"/>
    <col min="9" max="9" width="24.54296875" style="8" customWidth="1"/>
    <col min="10" max="10" width="22.1796875" style="8" customWidth="1"/>
    <col min="11" max="11" width="21.453125" style="8" customWidth="1"/>
    <col min="12" max="12" width="33.453125" style="8" customWidth="1"/>
    <col min="13" max="13" width="10.54296875" style="8" customWidth="1"/>
    <col min="14" max="17" width="19.1796875" style="8" customWidth="1"/>
    <col min="18" max="18" width="15.54296875" style="8" customWidth="1"/>
    <col min="19" max="19" width="15" style="8" customWidth="1"/>
    <col min="20" max="16384" width="8.81640625" style="8"/>
  </cols>
  <sheetData>
    <row r="1" spans="1:16" ht="23" x14ac:dyDescent="0.45">
      <c r="A1" s="28" t="s">
        <v>464</v>
      </c>
      <c r="B1" s="29"/>
      <c r="C1" s="30">
        <f>Data!B2</f>
        <v>44127.623263379632</v>
      </c>
      <c r="D1" s="29"/>
      <c r="E1" s="29"/>
      <c r="F1" s="29"/>
      <c r="G1" s="29"/>
      <c r="H1" s="29"/>
      <c r="I1" s="29"/>
      <c r="J1" s="29"/>
      <c r="K1" s="29"/>
      <c r="L1" s="29"/>
      <c r="M1" s="29"/>
      <c r="N1" s="29"/>
      <c r="O1" s="29"/>
      <c r="P1" s="29"/>
    </row>
    <row r="2" spans="1:16" ht="18.5" x14ac:dyDescent="0.45">
      <c r="A2" s="27"/>
      <c r="B2" s="24"/>
      <c r="C2" s="25"/>
      <c r="D2" s="24"/>
      <c r="E2" s="24"/>
      <c r="F2" s="24"/>
      <c r="G2" s="24"/>
      <c r="H2" s="24"/>
      <c r="I2" s="24"/>
      <c r="J2" s="24"/>
      <c r="K2" s="24"/>
      <c r="L2" s="24"/>
      <c r="M2" s="24"/>
      <c r="N2" s="24"/>
      <c r="O2" s="24"/>
      <c r="P2" s="24"/>
    </row>
    <row r="3" spans="1:16" ht="18.5" x14ac:dyDescent="0.45">
      <c r="A3" s="27"/>
      <c r="B3" s="24"/>
      <c r="C3" s="25"/>
      <c r="D3" s="24"/>
      <c r="E3" s="24"/>
      <c r="F3" s="24"/>
      <c r="G3" s="24"/>
      <c r="H3" s="47" t="s">
        <v>468</v>
      </c>
      <c r="I3" s="24"/>
      <c r="J3" s="24"/>
      <c r="K3" s="24"/>
      <c r="L3" s="24"/>
      <c r="M3" s="24"/>
      <c r="N3" s="24"/>
      <c r="O3" s="24"/>
      <c r="P3" s="24"/>
    </row>
    <row r="4" spans="1:16" ht="18.5" x14ac:dyDescent="0.45">
      <c r="A4" s="56" t="s">
        <v>356</v>
      </c>
      <c r="B4" s="56"/>
      <c r="C4" s="25"/>
      <c r="D4" s="24"/>
      <c r="E4" s="24"/>
      <c r="F4" s="24"/>
      <c r="G4" s="24"/>
      <c r="H4" s="24"/>
      <c r="I4" s="24"/>
      <c r="J4" s="24"/>
      <c r="K4" s="24"/>
      <c r="L4" s="24"/>
      <c r="M4" s="24"/>
      <c r="N4" s="24"/>
      <c r="O4" s="24"/>
      <c r="P4" s="24"/>
    </row>
    <row r="5" spans="1:16" s="7" customFormat="1" ht="17.5" x14ac:dyDescent="0.45">
      <c r="A5" s="11" t="s">
        <v>12</v>
      </c>
      <c r="B5" s="9">
        <f>Data!B3</f>
        <v>44105</v>
      </c>
    </row>
    <row r="6" spans="1:16" s="7" customFormat="1" ht="17.5" x14ac:dyDescent="0.45">
      <c r="A6" s="11" t="s">
        <v>13</v>
      </c>
      <c r="B6" s="9">
        <f>Data!B4</f>
        <v>44135.999988425923</v>
      </c>
    </row>
    <row r="7" spans="1:16" s="7" customFormat="1" ht="17.5" x14ac:dyDescent="0.45">
      <c r="A7" s="11" t="s">
        <v>306</v>
      </c>
      <c r="B7" s="19" t="str">
        <f>Data!B5</f>
        <v>Europe/London</v>
      </c>
    </row>
    <row r="8" spans="1:16" s="7" customFormat="1" ht="17.5" x14ac:dyDescent="0.45">
      <c r="A8" s="11" t="s">
        <v>78</v>
      </c>
      <c r="B8" s="9" t="str">
        <f>Data!B8</f>
        <v>kWh</v>
      </c>
    </row>
    <row r="9" spans="1:16" s="7" customFormat="1" ht="17.5" x14ac:dyDescent="0.45">
      <c r="A9" s="11" t="s">
        <v>358</v>
      </c>
      <c r="B9" s="21" t="str">
        <f>'User Entries'!B9</f>
        <v>$</v>
      </c>
    </row>
    <row r="10" spans="1:16" s="7" customFormat="1" ht="17.5" x14ac:dyDescent="0.45">
      <c r="A10" s="11"/>
      <c r="B10" s="21"/>
    </row>
    <row r="11" spans="1:16" s="7" customFormat="1" ht="17.5" x14ac:dyDescent="0.45">
      <c r="A11" s="11"/>
      <c r="B11" s="21"/>
      <c r="C11" s="20"/>
      <c r="D11" s="20"/>
      <c r="E11" s="20"/>
      <c r="F11" s="20"/>
      <c r="G11" s="20"/>
      <c r="H11" s="20"/>
      <c r="I11" s="20"/>
      <c r="J11" s="20"/>
      <c r="K11" s="20"/>
      <c r="L11" s="20"/>
    </row>
    <row r="12" spans="1:16" s="10" customFormat="1" ht="17.5" x14ac:dyDescent="0.45">
      <c r="A12" s="10" t="s">
        <v>32</v>
      </c>
      <c r="B12" s="10" t="s">
        <v>96</v>
      </c>
      <c r="C12" s="10" t="s">
        <v>87</v>
      </c>
      <c r="D12" s="18" t="s">
        <v>83</v>
      </c>
      <c r="E12" s="11" t="s">
        <v>359</v>
      </c>
      <c r="F12" s="18" t="s">
        <v>360</v>
      </c>
    </row>
    <row r="13" spans="1:16" x14ac:dyDescent="0.45">
      <c r="A13" s="13" t="str">
        <f>Data!A14</f>
        <v>Vehicle 1</v>
      </c>
      <c r="B13" s="17" t="str">
        <f>IF(Data!F14="",$H$3,Data!F14)</f>
        <v>EV Zone 1, EV Zone 5</v>
      </c>
      <c r="C13" s="17" t="str">
        <f>IF(Data!G14="",$H$3,Data!G14)</f>
        <v>Home Zone</v>
      </c>
      <c r="D13" s="16">
        <f>Data!H14</f>
        <v>8.7700004577636719</v>
      </c>
      <c r="E13" s="16" cm="1">
        <f t="array" aca="1" ref="E13" ca="1">IFERROR(INDEX(INDIRECT("'User Entries'!C"&amp;ROW($A$13)&amp;":C"&amp;INDIRECT("'User Entries'!$B$4")),MATCH(B13,INDIRECT("'User Entries'!A"&amp;ROW($A$13)&amp;":A"&amp;INDIRECT("'User Entries'!$B$4")),0),0),INDEX(INDIRECT("'User Entries'!C"&amp;ROW($A$13)&amp;":C"&amp;INDIRECT("'User Entries'!$B$4")),MATCH(C13,INDIRECT("'User Entries'!B"&amp;ROW($A$13)&amp;":B"&amp;INDIRECT("'User Entries'!$B$4")),0),0))</f>
        <v>0.3</v>
      </c>
      <c r="F13" s="38">
        <f ca="1">D13*E13</f>
        <v>2.6310001373291017</v>
      </c>
    </row>
    <row r="14" spans="1:16" x14ac:dyDescent="0.45">
      <c r="A14" s="13" t="str">
        <f>Data!A15</f>
        <v>Vehicle 2</v>
      </c>
      <c r="B14" s="17" t="str">
        <f>IF(Data!F15="",$H$3,Data!F15)</f>
        <v>EV Zone 2</v>
      </c>
      <c r="C14" s="17" t="str">
        <f>IF(Data!G15="",$H$3,Data!G15)</f>
        <v>Customer Zone</v>
      </c>
      <c r="D14" s="16">
        <f>Data!H15</f>
        <v>1.8400000333786011</v>
      </c>
      <c r="E14" s="16" cm="1">
        <f t="array" aca="1" ref="E14" ca="1">IFERROR(INDEX(INDIRECT("'User Entries'!C"&amp;ROW($A$13)&amp;":C"&amp;INDIRECT("'User Entries'!$B$4")),MATCH(B14,INDIRECT("'User Entries'!A"&amp;ROW($A$13)&amp;":A"&amp;INDIRECT("'User Entries'!$B$4")),0),0),INDEX(INDIRECT("'User Entries'!C"&amp;ROW($A$13)&amp;":C"&amp;INDIRECT("'User Entries'!$B$4")),MATCH(C14,INDIRECT("'User Entries'!B"&amp;ROW($A$13)&amp;":B"&amp;INDIRECT("'User Entries'!$B$4")),0),0))</f>
        <v>0.15</v>
      </c>
      <c r="F14" s="38">
        <f t="shared" ref="F14:F15" ca="1" si="0">D14*E14</f>
        <v>0.27600000500679017</v>
      </c>
    </row>
    <row r="15" spans="1:16" x14ac:dyDescent="0.45">
      <c r="A15" s="13" t="str">
        <f>Data!A16</f>
        <v>Vehicle 3</v>
      </c>
      <c r="B15" s="17" t="str">
        <f>IF(Data!F16="",$H$3,Data!F16)</f>
        <v>EV Zone 3</v>
      </c>
      <c r="C15" s="17" t="str">
        <f>IF(Data!G16="",$H$3,Data!G16)</f>
        <v>Office Zone</v>
      </c>
      <c r="D15" s="16">
        <f>Data!H16</f>
        <v>6.119999885559082</v>
      </c>
      <c r="E15" s="16" cm="1">
        <f t="array" aca="1" ref="E15" ca="1">IFERROR(INDEX(INDIRECT("'User Entries'!C"&amp;ROW($A$13)&amp;":C"&amp;INDIRECT("'User Entries'!$B$4")),MATCH(B15,INDIRECT("'User Entries'!A"&amp;ROW($A$13)&amp;":A"&amp;INDIRECT("'User Entries'!$B$4")),0),0),INDEX(INDIRECT("'User Entries'!C"&amp;ROW($A$13)&amp;":C"&amp;INDIRECT("'User Entries'!$B$4")),MATCH(C15,INDIRECT("'User Entries'!B"&amp;ROW($A$13)&amp;":B"&amp;INDIRECT("'User Entries'!$B$4")),0),0))</f>
        <v>0.2</v>
      </c>
      <c r="F15" s="38">
        <f t="shared" ca="1" si="0"/>
        <v>1.2239999771118164</v>
      </c>
    </row>
    <row r="16" spans="1:16" x14ac:dyDescent="0.45">
      <c r="A16" s="13" t="str">
        <f>Data!A17</f>
        <v>Vehicle 4</v>
      </c>
      <c r="B16" s="17" t="str">
        <f>IF(Data!F17="",$H$3,Data!F17)</f>
        <v>EV Zone 4</v>
      </c>
      <c r="C16" s="17" t="str">
        <f>IF(Data!G17="",$H$3,Data!G17)</f>
        <v>Custom Type Zone</v>
      </c>
      <c r="D16" s="16">
        <f>Data!H17</f>
        <v>6.119999885559082</v>
      </c>
      <c r="E16" s="16" cm="1">
        <f t="array" aca="1" ref="E16" ca="1">IFERROR(INDEX(INDIRECT("'User Entries'!C"&amp;ROW($A$13)&amp;":C"&amp;INDIRECT("'User Entries'!$B$4")),MATCH(B16,INDIRECT("'User Entries'!A"&amp;ROW($A$13)&amp;":A"&amp;INDIRECT("'User Entries'!$B$4")),0),0),INDEX(INDIRECT("'User Entries'!C"&amp;ROW($A$13)&amp;":C"&amp;INDIRECT("'User Entries'!$B$4")),MATCH(C16,INDIRECT("'User Entries'!B"&amp;ROW($A$13)&amp;":B"&amp;INDIRECT("'User Entries'!$B$4")),0),0))</f>
        <v>0.25</v>
      </c>
      <c r="F16" s="38">
        <f ca="1">D16*E16</f>
        <v>1.5299999713897705</v>
      </c>
    </row>
    <row r="17" spans="1:6" x14ac:dyDescent="0.45">
      <c r="A17" s="13" t="str">
        <f>Data!A18</f>
        <v>Vehicle 5</v>
      </c>
      <c r="B17" s="17" t="str">
        <f>IF(Data!F18="",$H$3,Data!F18)</f>
        <v>**Outside of Zones</v>
      </c>
      <c r="C17" s="17" t="str">
        <f>IF(Data!G18="",$H$3,Data!G18)</f>
        <v>**Outside of Zones</v>
      </c>
      <c r="D17" s="16">
        <f>Data!H18</f>
        <v>7.1199998855590803</v>
      </c>
      <c r="E17" s="16" cm="1">
        <f t="array" aca="1" ref="E17" ca="1">IFERROR(INDEX(INDIRECT("'User Entries'!C"&amp;ROW($A$13)&amp;":C"&amp;INDIRECT("'User Entries'!$B$4")),MATCH(B17,INDIRECT("'User Entries'!A"&amp;ROW($A$13)&amp;":A"&amp;INDIRECT("'User Entries'!$B$4")),0),0),INDEX(INDIRECT("'User Entries'!C"&amp;ROW($A$13)&amp;":C"&amp;INDIRECT("'User Entries'!$B$4")),MATCH(C17,INDIRECT("'User Entries'!B"&amp;ROW($A$13)&amp;":B"&amp;INDIRECT("'User Entries'!$B$4")),0),0))</f>
        <v>1</v>
      </c>
      <c r="F17" s="38">
        <f ca="1">D17*E17</f>
        <v>7.1199998855590803</v>
      </c>
    </row>
  </sheetData>
  <mergeCells count="1">
    <mergeCell ref="A4:B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E164-CCD0-44EA-B54B-2B71122E7F43}">
  <dimension ref="A1:L21"/>
  <sheetViews>
    <sheetView showGridLines="0" zoomScaleNormal="100" workbookViewId="0">
      <selection activeCell="B6" sqref="B6"/>
    </sheetView>
  </sheetViews>
  <sheetFormatPr defaultRowHeight="12.5" x14ac:dyDescent="0.25"/>
  <cols>
    <col min="1" max="1" width="28.54296875" customWidth="1"/>
    <col min="2" max="2" width="24" bestFit="1" customWidth="1"/>
    <col min="3" max="3" width="35" bestFit="1" customWidth="1"/>
    <col min="4" max="4" width="11.453125" bestFit="1" customWidth="1"/>
    <col min="5" max="5" width="12.54296875" bestFit="1" customWidth="1"/>
    <col min="6" max="6" width="18.453125" customWidth="1"/>
    <col min="7" max="8" width="12.54296875" bestFit="1" customWidth="1"/>
    <col min="9" max="9" width="32" hidden="1" customWidth="1"/>
    <col min="10" max="14" width="12.54296875" bestFit="1" customWidth="1"/>
    <col min="15" max="15" width="32.1796875" bestFit="1" customWidth="1"/>
    <col min="16" max="16" width="27.81640625" bestFit="1" customWidth="1"/>
  </cols>
  <sheetData>
    <row r="1" spans="1:12" s="29" customFormat="1" ht="23" x14ac:dyDescent="0.45">
      <c r="A1" s="57" t="str">
        <f>Report!A1</f>
        <v>**EV Charging Cost Report</v>
      </c>
      <c r="B1" s="58"/>
      <c r="C1" s="58"/>
    </row>
    <row r="2" spans="1:12" s="24" customFormat="1" ht="17.5" x14ac:dyDescent="0.35">
      <c r="A2" s="27" t="s">
        <v>361</v>
      </c>
      <c r="C2" s="25"/>
    </row>
    <row r="3" spans="1:12" s="24" customFormat="1" ht="17.5" x14ac:dyDescent="0.35">
      <c r="A3" s="27"/>
      <c r="C3" s="25"/>
    </row>
    <row r="4" spans="1:12" s="24" customFormat="1" ht="17.5" hidden="1" x14ac:dyDescent="0.45">
      <c r="A4" s="11" t="s">
        <v>400</v>
      </c>
      <c r="B4" s="46">
        <f>COUNTA(C:C)+12</f>
        <v>22</v>
      </c>
      <c r="C4" s="25"/>
    </row>
    <row r="5" spans="1:12" s="24" customFormat="1" ht="17.5" x14ac:dyDescent="0.35">
      <c r="A5" s="44" t="s">
        <v>356</v>
      </c>
      <c r="B5" s="44"/>
      <c r="C5" s="25"/>
    </row>
    <row r="6" spans="1:12" s="24" customFormat="1" ht="16.5" x14ac:dyDescent="0.45">
      <c r="A6" s="52"/>
      <c r="B6" s="21" t="s">
        <v>361</v>
      </c>
      <c r="C6" s="25"/>
    </row>
    <row r="7" spans="1:12" s="24" customFormat="1" ht="13.5" x14ac:dyDescent="0.3">
      <c r="A7" s="53"/>
      <c r="B7"/>
      <c r="C7"/>
    </row>
    <row r="8" spans="1:12" s="24" customFormat="1" ht="17.5" x14ac:dyDescent="0.35">
      <c r="A8" s="27"/>
      <c r="C8" s="25"/>
      <c r="E8"/>
      <c r="F8"/>
      <c r="I8" s="32" t="s">
        <v>352</v>
      </c>
      <c r="J8"/>
    </row>
    <row r="9" spans="1:12" s="5" customFormat="1" ht="15.5" customHeight="1" x14ac:dyDescent="0.35">
      <c r="A9" s="44" t="str">
        <f>Report!A9</f>
        <v>**Currency</v>
      </c>
      <c r="B9" s="55" t="s">
        <v>353</v>
      </c>
      <c r="C9"/>
      <c r="I9" s="31" t="s">
        <v>353</v>
      </c>
      <c r="J9"/>
    </row>
    <row r="10" spans="1:12" s="5" customFormat="1" ht="15.5" x14ac:dyDescent="0.35">
      <c r="A10"/>
      <c r="B10"/>
      <c r="C10"/>
      <c r="I10" s="31" t="s">
        <v>354</v>
      </c>
      <c r="J10"/>
    </row>
    <row r="11" spans="1:12" s="5" customFormat="1" ht="15.5" x14ac:dyDescent="0.35">
      <c r="A11"/>
      <c r="B11"/>
      <c r="I11" s="31" t="s">
        <v>355</v>
      </c>
    </row>
    <row r="12" spans="1:12" ht="17.5" x14ac:dyDescent="0.35">
      <c r="A12" s="44" t="str">
        <f>Report!B12</f>
        <v>**Zones</v>
      </c>
      <c r="B12" s="45" t="str">
        <f>Report!C12</f>
        <v>**Zone Types</v>
      </c>
      <c r="C12" s="45" t="str">
        <f>Report!E12</f>
        <v>**Cost of Electric Energy</v>
      </c>
      <c r="D12" s="42"/>
      <c r="E12" s="42"/>
      <c r="F12" s="42"/>
      <c r="G12" s="42"/>
      <c r="H12" s="42"/>
      <c r="I12" s="42"/>
      <c r="J12" s="42"/>
      <c r="K12" s="42"/>
      <c r="L12" s="42"/>
    </row>
    <row r="13" spans="1:12" ht="13.5" x14ac:dyDescent="0.25">
      <c r="A13" s="52" t="s">
        <v>372</v>
      </c>
      <c r="B13" s="52"/>
      <c r="C13" s="54">
        <v>0.1</v>
      </c>
    </row>
    <row r="14" spans="1:12" ht="13.5" x14ac:dyDescent="0.25">
      <c r="A14" s="52" t="s">
        <v>373</v>
      </c>
      <c r="B14" s="52"/>
      <c r="C14" s="54">
        <v>0.15</v>
      </c>
    </row>
    <row r="15" spans="1:12" ht="13.5" x14ac:dyDescent="0.25">
      <c r="A15" s="52" t="s">
        <v>397</v>
      </c>
      <c r="B15" s="52"/>
      <c r="C15" s="54">
        <v>0.2</v>
      </c>
    </row>
    <row r="16" spans="1:12" ht="13.5" x14ac:dyDescent="0.25">
      <c r="A16" s="52" t="s">
        <v>398</v>
      </c>
      <c r="B16" s="52"/>
      <c r="C16" s="54">
        <v>0.25</v>
      </c>
    </row>
    <row r="17" spans="1:3" ht="13.5" x14ac:dyDescent="0.25">
      <c r="A17" s="52"/>
      <c r="B17" s="52" t="s">
        <v>374</v>
      </c>
      <c r="C17" s="54">
        <v>0.3</v>
      </c>
    </row>
    <row r="18" spans="1:3" ht="15" customHeight="1" x14ac:dyDescent="0.25">
      <c r="A18" s="52"/>
      <c r="B18" s="52" t="s">
        <v>392</v>
      </c>
      <c r="C18" s="54">
        <v>0.35</v>
      </c>
    </row>
    <row r="19" spans="1:3" ht="13.5" x14ac:dyDescent="0.25">
      <c r="A19" s="52"/>
      <c r="B19" s="52" t="s">
        <v>393</v>
      </c>
      <c r="C19" s="54">
        <v>0.4</v>
      </c>
    </row>
    <row r="20" spans="1:3" ht="13.5" x14ac:dyDescent="0.25">
      <c r="A20" s="52"/>
      <c r="B20" s="52" t="s">
        <v>399</v>
      </c>
      <c r="C20" s="54">
        <v>0.45</v>
      </c>
    </row>
    <row r="21" spans="1:3" ht="13.5" x14ac:dyDescent="0.25">
      <c r="A21" s="52" t="s">
        <v>467</v>
      </c>
      <c r="B21" s="52"/>
      <c r="C21" s="54">
        <v>1</v>
      </c>
    </row>
  </sheetData>
  <mergeCells count="1">
    <mergeCell ref="A1:C1"/>
  </mergeCells>
  <phoneticPr fontId="31" type="noConversion"/>
  <dataValidations count="1">
    <dataValidation type="list" errorStyle="information" allowBlank="1" sqref="B9:B10" xr:uid="{1DD77EA4-E49A-4C16-A659-D7CAC6995DF0}">
      <formula1>$I$9:$I$11</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3"/>
  <sheetViews>
    <sheetView workbookViewId="0"/>
  </sheetViews>
  <sheetFormatPr defaultRowHeight="12.5" x14ac:dyDescent="0.25"/>
  <cols>
    <col min="1" max="1" width="30.1796875" customWidth="1"/>
    <col min="2" max="7" width="30" customWidth="1"/>
    <col min="8" max="10" width="30" style="15" customWidth="1"/>
    <col min="11" max="11" width="30" customWidth="1"/>
  </cols>
  <sheetData>
    <row r="1" spans="1:11" s="14" customFormat="1" ht="13" x14ac:dyDescent="0.3">
      <c r="A1" s="14" t="s">
        <v>6</v>
      </c>
      <c r="B1" s="14" t="s">
        <v>7</v>
      </c>
      <c r="C1" s="14" t="s">
        <v>8</v>
      </c>
      <c r="D1" s="14" t="s">
        <v>9</v>
      </c>
      <c r="E1" s="14" t="s">
        <v>10</v>
      </c>
      <c r="F1" s="14" t="s">
        <v>44</v>
      </c>
      <c r="G1" s="14" t="s">
        <v>50</v>
      </c>
      <c r="H1" s="14" t="s">
        <v>54</v>
      </c>
      <c r="I1" s="14" t="s">
        <v>60</v>
      </c>
      <c r="J1" s="14" t="s">
        <v>70</v>
      </c>
      <c r="K1" s="14" t="s">
        <v>318</v>
      </c>
    </row>
    <row r="2" spans="1:11" s="15" customFormat="1" x14ac:dyDescent="0.25">
      <c r="A2" s="15" t="s">
        <v>11</v>
      </c>
      <c r="B2" s="15" t="s">
        <v>14</v>
      </c>
      <c r="C2" s="15" t="s">
        <v>15</v>
      </c>
      <c r="D2" s="15" t="s">
        <v>16</v>
      </c>
      <c r="E2" s="15" t="s">
        <v>17</v>
      </c>
      <c r="F2" s="15" t="s">
        <v>45</v>
      </c>
      <c r="G2" s="15" t="s">
        <v>53</v>
      </c>
      <c r="H2" s="15" t="s">
        <v>55</v>
      </c>
      <c r="I2" s="15" t="s">
        <v>65</v>
      </c>
      <c r="J2" s="15" t="s">
        <v>66</v>
      </c>
      <c r="K2" s="15" t="s">
        <v>319</v>
      </c>
    </row>
    <row r="3" spans="1:11" s="15" customFormat="1" x14ac:dyDescent="0.25">
      <c r="A3" s="15" t="s">
        <v>12</v>
      </c>
      <c r="B3" s="15" t="s">
        <v>18</v>
      </c>
      <c r="C3" s="15" t="s">
        <v>388</v>
      </c>
      <c r="D3" s="15" t="s">
        <v>20</v>
      </c>
      <c r="E3" s="15" t="s">
        <v>21</v>
      </c>
      <c r="F3" s="15" t="s">
        <v>46</v>
      </c>
      <c r="G3" s="15" t="s">
        <v>19</v>
      </c>
      <c r="H3" s="15" t="s">
        <v>56</v>
      </c>
      <c r="I3" s="15" t="s">
        <v>61</v>
      </c>
      <c r="J3" s="15" t="s">
        <v>67</v>
      </c>
      <c r="K3" s="15" t="s">
        <v>320</v>
      </c>
    </row>
    <row r="4" spans="1:11" s="15" customFormat="1" x14ac:dyDescent="0.25">
      <c r="A4" s="15" t="s">
        <v>13</v>
      </c>
      <c r="B4" s="15" t="s">
        <v>22</v>
      </c>
      <c r="C4" s="15" t="s">
        <v>389</v>
      </c>
      <c r="D4" s="15" t="s">
        <v>24</v>
      </c>
      <c r="E4" s="15" t="s">
        <v>25</v>
      </c>
      <c r="F4" s="15" t="s">
        <v>47</v>
      </c>
      <c r="G4" s="15" t="s">
        <v>23</v>
      </c>
      <c r="H4" s="15" t="s">
        <v>57</v>
      </c>
      <c r="I4" s="15" t="s">
        <v>62</v>
      </c>
      <c r="J4" s="15" t="s">
        <v>68</v>
      </c>
      <c r="K4" s="15" t="s">
        <v>321</v>
      </c>
    </row>
    <row r="5" spans="1:11" s="15" customFormat="1" ht="25" x14ac:dyDescent="0.25">
      <c r="A5" s="15" t="s">
        <v>79</v>
      </c>
      <c r="B5" s="15" t="s">
        <v>123</v>
      </c>
      <c r="C5" s="15" t="s">
        <v>124</v>
      </c>
      <c r="D5" s="15" t="s">
        <v>126</v>
      </c>
      <c r="E5" s="15" t="s">
        <v>125</v>
      </c>
      <c r="F5" s="15" t="s">
        <v>127</v>
      </c>
      <c r="G5" s="15" t="s">
        <v>128</v>
      </c>
      <c r="H5" s="15" t="s">
        <v>129</v>
      </c>
      <c r="I5" s="15" t="s">
        <v>130</v>
      </c>
      <c r="J5" s="15" t="s">
        <v>131</v>
      </c>
      <c r="K5" s="15" t="s">
        <v>322</v>
      </c>
    </row>
    <row r="6" spans="1:11" s="15" customFormat="1" x14ac:dyDescent="0.25">
      <c r="A6" s="15" t="s">
        <v>78</v>
      </c>
      <c r="B6" s="15" t="s">
        <v>114</v>
      </c>
      <c r="C6" s="15" t="s">
        <v>115</v>
      </c>
      <c r="D6" s="15" t="s">
        <v>117</v>
      </c>
      <c r="E6" s="15" t="s">
        <v>116</v>
      </c>
      <c r="F6" s="15" t="s">
        <v>118</v>
      </c>
      <c r="G6" s="15" t="s">
        <v>119</v>
      </c>
      <c r="H6" s="15" t="s">
        <v>120</v>
      </c>
      <c r="I6" s="15" t="s">
        <v>121</v>
      </c>
      <c r="J6" s="15" t="s">
        <v>122</v>
      </c>
      <c r="K6" s="15" t="s">
        <v>323</v>
      </c>
    </row>
    <row r="7" spans="1:11" s="15" customFormat="1" x14ac:dyDescent="0.25">
      <c r="A7" s="15" t="s">
        <v>85</v>
      </c>
      <c r="B7" s="15" t="s">
        <v>207</v>
      </c>
      <c r="C7" s="15" t="s">
        <v>208</v>
      </c>
      <c r="D7" s="15" t="s">
        <v>210</v>
      </c>
      <c r="E7" s="15" t="s">
        <v>209</v>
      </c>
      <c r="F7" s="15" t="s">
        <v>211</v>
      </c>
      <c r="G7" s="15" t="s">
        <v>212</v>
      </c>
      <c r="H7" s="15" t="s">
        <v>213</v>
      </c>
      <c r="I7" s="15" t="s">
        <v>214</v>
      </c>
      <c r="J7" s="15" t="s">
        <v>215</v>
      </c>
      <c r="K7" s="15" t="s">
        <v>324</v>
      </c>
    </row>
    <row r="8" spans="1:11" s="15" customFormat="1" x14ac:dyDescent="0.25">
      <c r="A8" s="15" t="s">
        <v>32</v>
      </c>
      <c r="B8" s="15" t="s">
        <v>38</v>
      </c>
      <c r="C8" s="15" t="s">
        <v>39</v>
      </c>
      <c r="D8" s="15" t="s">
        <v>40</v>
      </c>
      <c r="E8" s="15" t="s">
        <v>41</v>
      </c>
      <c r="F8" s="15" t="s">
        <v>48</v>
      </c>
      <c r="G8" s="15" t="s">
        <v>51</v>
      </c>
      <c r="H8" s="15" t="s">
        <v>58</v>
      </c>
      <c r="I8" s="15" t="s">
        <v>63</v>
      </c>
      <c r="J8" s="15" t="s">
        <v>69</v>
      </c>
      <c r="K8" s="15" t="s">
        <v>325</v>
      </c>
    </row>
    <row r="9" spans="1:11" s="15" customFormat="1" x14ac:dyDescent="0.25">
      <c r="A9" s="15" t="s">
        <v>33</v>
      </c>
      <c r="B9" s="15" t="s">
        <v>34</v>
      </c>
      <c r="C9" s="15" t="s">
        <v>35</v>
      </c>
      <c r="D9" s="15" t="s">
        <v>36</v>
      </c>
      <c r="E9" s="15" t="s">
        <v>37</v>
      </c>
      <c r="F9" s="15" t="s">
        <v>49</v>
      </c>
      <c r="G9" s="15" t="s">
        <v>52</v>
      </c>
      <c r="H9" s="15" t="s">
        <v>59</v>
      </c>
      <c r="I9" s="15" t="s">
        <v>64</v>
      </c>
      <c r="J9" s="15" t="s">
        <v>37</v>
      </c>
      <c r="K9" s="15" t="s">
        <v>326</v>
      </c>
    </row>
    <row r="10" spans="1:11" s="15" customFormat="1" x14ac:dyDescent="0.25">
      <c r="A10" s="15" t="s">
        <v>102</v>
      </c>
      <c r="B10" s="15" t="s">
        <v>103</v>
      </c>
      <c r="C10" s="15" t="s">
        <v>104</v>
      </c>
      <c r="D10" s="15" t="s">
        <v>103</v>
      </c>
      <c r="E10" s="15" t="s">
        <v>105</v>
      </c>
      <c r="F10" s="15" t="s">
        <v>106</v>
      </c>
      <c r="G10" s="15" t="s">
        <v>104</v>
      </c>
      <c r="H10" s="15" t="s">
        <v>103</v>
      </c>
      <c r="I10" s="15" t="s">
        <v>104</v>
      </c>
      <c r="J10" s="15" t="s">
        <v>107</v>
      </c>
      <c r="K10" s="15" t="s">
        <v>327</v>
      </c>
    </row>
    <row r="11" spans="1:11" s="15" customFormat="1" x14ac:dyDescent="0.25">
      <c r="A11" s="15" t="s">
        <v>87</v>
      </c>
      <c r="B11" s="15" t="s">
        <v>88</v>
      </c>
      <c r="C11" s="15" t="s">
        <v>89</v>
      </c>
      <c r="D11" s="15" t="s">
        <v>90</v>
      </c>
      <c r="E11" s="15" t="s">
        <v>91</v>
      </c>
      <c r="F11" s="15" t="s">
        <v>92</v>
      </c>
      <c r="G11" s="15" t="s">
        <v>89</v>
      </c>
      <c r="H11" s="15" t="s">
        <v>93</v>
      </c>
      <c r="I11" s="15" t="s">
        <v>94</v>
      </c>
      <c r="J11" s="15" t="s">
        <v>95</v>
      </c>
      <c r="K11" s="15" t="s">
        <v>328</v>
      </c>
    </row>
    <row r="12" spans="1:11" s="15" customFormat="1" ht="62.5" x14ac:dyDescent="0.25">
      <c r="A12" s="15" t="s">
        <v>317</v>
      </c>
      <c r="B12" s="15" t="s">
        <v>287</v>
      </c>
      <c r="C12" s="15" t="s">
        <v>288</v>
      </c>
      <c r="D12" s="15" t="s">
        <v>289</v>
      </c>
      <c r="E12" s="15" t="s">
        <v>290</v>
      </c>
      <c r="F12" s="15" t="s">
        <v>291</v>
      </c>
      <c r="G12" s="15" t="s">
        <v>292</v>
      </c>
      <c r="H12" s="15" t="s">
        <v>293</v>
      </c>
      <c r="I12" s="15" t="s">
        <v>294</v>
      </c>
      <c r="J12" s="15" t="s">
        <v>295</v>
      </c>
      <c r="K12" s="15" t="s">
        <v>329</v>
      </c>
    </row>
    <row r="13" spans="1:11" s="15" customFormat="1" ht="150.5" x14ac:dyDescent="0.3">
      <c r="A13" s="15" t="s">
        <v>316</v>
      </c>
      <c r="B13" s="15" t="s">
        <v>296</v>
      </c>
      <c r="C13" s="15" t="s">
        <v>297</v>
      </c>
      <c r="D13" s="15" t="s">
        <v>298</v>
      </c>
      <c r="E13" s="15" t="s">
        <v>299</v>
      </c>
      <c r="F13" s="15" t="s">
        <v>300</v>
      </c>
      <c r="G13" s="15" t="s">
        <v>301</v>
      </c>
      <c r="H13" s="15" t="s">
        <v>302</v>
      </c>
      <c r="I13" s="15" t="s">
        <v>303</v>
      </c>
      <c r="J13" s="15" t="s">
        <v>304</v>
      </c>
      <c r="K13" s="43" t="s">
        <v>347</v>
      </c>
    </row>
    <row r="14" spans="1:11" s="15" customFormat="1" x14ac:dyDescent="0.25">
      <c r="A14" s="15" t="s">
        <v>108</v>
      </c>
      <c r="B14" s="15" t="s">
        <v>132</v>
      </c>
      <c r="C14" s="15" t="s">
        <v>133</v>
      </c>
      <c r="D14" s="15" t="s">
        <v>135</v>
      </c>
      <c r="E14" s="15" t="s">
        <v>134</v>
      </c>
      <c r="F14" s="15" t="s">
        <v>136</v>
      </c>
      <c r="G14" s="15" t="s">
        <v>137</v>
      </c>
      <c r="H14" s="15" t="s">
        <v>138</v>
      </c>
      <c r="I14" s="15" t="s">
        <v>139</v>
      </c>
      <c r="J14" s="15" t="s">
        <v>140</v>
      </c>
      <c r="K14" s="15" t="s">
        <v>330</v>
      </c>
    </row>
    <row r="15" spans="1:11" s="15" customFormat="1" x14ac:dyDescent="0.25">
      <c r="A15" s="15" t="s">
        <v>96</v>
      </c>
      <c r="B15" s="15" t="s">
        <v>141</v>
      </c>
      <c r="C15" s="15" t="s">
        <v>142</v>
      </c>
      <c r="D15" s="15" t="s">
        <v>143</v>
      </c>
      <c r="E15" s="15" t="s">
        <v>105</v>
      </c>
      <c r="F15" s="15" t="s">
        <v>144</v>
      </c>
      <c r="G15" s="15" t="s">
        <v>142</v>
      </c>
      <c r="H15" s="15" t="s">
        <v>141</v>
      </c>
      <c r="I15" s="15" t="s">
        <v>103</v>
      </c>
      <c r="J15" s="15" t="s">
        <v>107</v>
      </c>
      <c r="K15" s="15" t="s">
        <v>327</v>
      </c>
    </row>
    <row r="16" spans="1:11" s="15" customFormat="1" x14ac:dyDescent="0.25">
      <c r="A16" s="15" t="s">
        <v>82</v>
      </c>
      <c r="B16" s="15" t="s">
        <v>145</v>
      </c>
      <c r="C16" s="15" t="s">
        <v>146</v>
      </c>
      <c r="D16" s="15" t="s">
        <v>148</v>
      </c>
      <c r="E16" s="15" t="s">
        <v>147</v>
      </c>
      <c r="F16" s="15" t="s">
        <v>149</v>
      </c>
      <c r="G16" s="15" t="s">
        <v>150</v>
      </c>
      <c r="H16" s="15" t="s">
        <v>151</v>
      </c>
      <c r="I16" s="15" t="s">
        <v>152</v>
      </c>
      <c r="J16" s="15" t="s">
        <v>153</v>
      </c>
      <c r="K16" s="15" t="s">
        <v>331</v>
      </c>
    </row>
    <row r="17" spans="1:11" s="15" customFormat="1" x14ac:dyDescent="0.25">
      <c r="A17" s="15" t="s">
        <v>86</v>
      </c>
      <c r="B17" s="15" t="s">
        <v>154</v>
      </c>
      <c r="C17" s="15" t="s">
        <v>155</v>
      </c>
      <c r="D17" s="15" t="s">
        <v>157</v>
      </c>
      <c r="E17" s="15" t="s">
        <v>156</v>
      </c>
      <c r="F17" s="15" t="s">
        <v>158</v>
      </c>
      <c r="G17" s="15" t="s">
        <v>159</v>
      </c>
      <c r="H17" s="15" t="s">
        <v>160</v>
      </c>
      <c r="I17" s="15" t="s">
        <v>161</v>
      </c>
      <c r="J17" s="15" t="s">
        <v>162</v>
      </c>
      <c r="K17" s="15" t="s">
        <v>332</v>
      </c>
    </row>
    <row r="18" spans="1:11" s="15" customFormat="1" x14ac:dyDescent="0.25">
      <c r="A18" s="15" t="s">
        <v>83</v>
      </c>
      <c r="B18" s="15" t="s">
        <v>163</v>
      </c>
      <c r="C18" s="15" t="s">
        <v>164</v>
      </c>
      <c r="D18" s="15" t="s">
        <v>166</v>
      </c>
      <c r="E18" s="15" t="s">
        <v>165</v>
      </c>
      <c r="F18" s="15" t="s">
        <v>167</v>
      </c>
      <c r="G18" s="15" t="s">
        <v>168</v>
      </c>
      <c r="H18" s="15" t="s">
        <v>169</v>
      </c>
      <c r="I18" s="15" t="s">
        <v>170</v>
      </c>
      <c r="J18" s="15" t="s">
        <v>171</v>
      </c>
      <c r="K18" s="15" t="s">
        <v>333</v>
      </c>
    </row>
    <row r="19" spans="1:11" s="15" customFormat="1" x14ac:dyDescent="0.25">
      <c r="A19" s="15" t="s">
        <v>375</v>
      </c>
      <c r="B19" s="15" t="s">
        <v>377</v>
      </c>
      <c r="C19" s="15" t="s">
        <v>378</v>
      </c>
      <c r="D19" s="15" t="s">
        <v>379</v>
      </c>
      <c r="E19" s="15" t="s">
        <v>380</v>
      </c>
      <c r="F19" s="15" t="s">
        <v>381</v>
      </c>
      <c r="G19" s="15" t="s">
        <v>382</v>
      </c>
      <c r="H19" s="15" t="s">
        <v>383</v>
      </c>
      <c r="I19" s="15" t="s">
        <v>384</v>
      </c>
      <c r="J19" s="15" t="s">
        <v>385</v>
      </c>
      <c r="K19" s="15" t="s">
        <v>386</v>
      </c>
    </row>
    <row r="20" spans="1:11" s="15" customFormat="1" x14ac:dyDescent="0.25">
      <c r="A20" s="15" t="s">
        <v>80</v>
      </c>
      <c r="B20" s="15" t="s">
        <v>172</v>
      </c>
      <c r="C20" s="15" t="s">
        <v>173</v>
      </c>
      <c r="D20" s="15" t="s">
        <v>175</v>
      </c>
      <c r="E20" s="15" t="s">
        <v>174</v>
      </c>
      <c r="F20" s="15" t="s">
        <v>176</v>
      </c>
      <c r="G20" s="15" t="s">
        <v>177</v>
      </c>
      <c r="H20" s="15" t="s">
        <v>175</v>
      </c>
      <c r="I20" s="15" t="s">
        <v>178</v>
      </c>
      <c r="J20" s="15" t="s">
        <v>179</v>
      </c>
      <c r="K20" s="15" t="s">
        <v>334</v>
      </c>
    </row>
    <row r="21" spans="1:11" s="15" customFormat="1" x14ac:dyDescent="0.25">
      <c r="A21" s="15" t="s">
        <v>81</v>
      </c>
      <c r="B21" s="15" t="s">
        <v>180</v>
      </c>
      <c r="C21" s="15" t="s">
        <v>181</v>
      </c>
      <c r="D21" s="15" t="s">
        <v>183</v>
      </c>
      <c r="E21" s="15" t="s">
        <v>182</v>
      </c>
      <c r="F21" s="15" t="s">
        <v>184</v>
      </c>
      <c r="G21" s="15" t="s">
        <v>185</v>
      </c>
      <c r="H21" s="15" t="s">
        <v>186</v>
      </c>
      <c r="I21" s="15" t="s">
        <v>187</v>
      </c>
      <c r="J21" s="15" t="s">
        <v>188</v>
      </c>
      <c r="K21" s="15" t="s">
        <v>335</v>
      </c>
    </row>
    <row r="22" spans="1:11" s="15" customFormat="1" x14ac:dyDescent="0.25">
      <c r="A22" s="15" t="s">
        <v>84</v>
      </c>
      <c r="B22" s="15" t="s">
        <v>189</v>
      </c>
      <c r="C22" s="15" t="s">
        <v>190</v>
      </c>
      <c r="D22" s="15" t="s">
        <v>192</v>
      </c>
      <c r="E22" s="15" t="s">
        <v>191</v>
      </c>
      <c r="F22" s="15" t="s">
        <v>193</v>
      </c>
      <c r="G22" s="15" t="s">
        <v>194</v>
      </c>
      <c r="H22" s="15" t="s">
        <v>195</v>
      </c>
      <c r="I22" s="15" t="s">
        <v>196</v>
      </c>
      <c r="J22" s="15" t="s">
        <v>197</v>
      </c>
      <c r="K22" s="15" t="s">
        <v>336</v>
      </c>
    </row>
    <row r="23" spans="1:11" s="15" customFormat="1" ht="25" x14ac:dyDescent="0.25">
      <c r="A23" s="15" t="s">
        <v>97</v>
      </c>
      <c r="B23" s="15" t="s">
        <v>198</v>
      </c>
      <c r="C23" s="15" t="s">
        <v>199</v>
      </c>
      <c r="D23" s="15" t="s">
        <v>201</v>
      </c>
      <c r="E23" s="15" t="s">
        <v>200</v>
      </c>
      <c r="F23" s="15" t="s">
        <v>202</v>
      </c>
      <c r="G23" s="15" t="s">
        <v>203</v>
      </c>
      <c r="H23" s="15" t="s">
        <v>204</v>
      </c>
      <c r="I23" s="15" t="s">
        <v>205</v>
      </c>
      <c r="J23" s="15" t="s">
        <v>206</v>
      </c>
      <c r="K23" s="15" t="s">
        <v>337</v>
      </c>
    </row>
    <row r="24" spans="1:11" s="15" customFormat="1" x14ac:dyDescent="0.25">
      <c r="A24" s="15" t="s">
        <v>98</v>
      </c>
      <c r="B24" s="15" t="s">
        <v>216</v>
      </c>
      <c r="C24" s="15" t="s">
        <v>217</v>
      </c>
      <c r="D24" s="15" t="s">
        <v>219</v>
      </c>
      <c r="E24" s="15" t="s">
        <v>218</v>
      </c>
      <c r="F24" s="15" t="s">
        <v>220</v>
      </c>
      <c r="G24" s="15" t="s">
        <v>221</v>
      </c>
      <c r="H24" s="15" t="s">
        <v>222</v>
      </c>
      <c r="I24" s="15" t="s">
        <v>221</v>
      </c>
      <c r="J24" s="15" t="s">
        <v>223</v>
      </c>
      <c r="K24" s="15" t="s">
        <v>338</v>
      </c>
    </row>
    <row r="25" spans="1:11" s="15" customFormat="1" x14ac:dyDescent="0.25">
      <c r="A25" s="15" t="s">
        <v>99</v>
      </c>
      <c r="B25" s="15" t="s">
        <v>224</v>
      </c>
      <c r="C25" s="15" t="s">
        <v>225</v>
      </c>
      <c r="D25" s="15" t="s">
        <v>227</v>
      </c>
      <c r="E25" s="15" t="s">
        <v>226</v>
      </c>
      <c r="F25" s="15" t="s">
        <v>228</v>
      </c>
      <c r="G25" s="15" t="s">
        <v>229</v>
      </c>
      <c r="H25" s="15" t="s">
        <v>230</v>
      </c>
      <c r="I25" s="15" t="s">
        <v>231</v>
      </c>
      <c r="J25" s="15" t="s">
        <v>232</v>
      </c>
      <c r="K25" s="15" t="s">
        <v>339</v>
      </c>
    </row>
    <row r="26" spans="1:11" s="15" customFormat="1" ht="25" x14ac:dyDescent="0.25">
      <c r="A26" s="15" t="s">
        <v>100</v>
      </c>
      <c r="B26" s="15" t="s">
        <v>233</v>
      </c>
      <c r="C26" s="15" t="s">
        <v>234</v>
      </c>
      <c r="D26" s="15" t="s">
        <v>236</v>
      </c>
      <c r="E26" s="15" t="s">
        <v>235</v>
      </c>
      <c r="F26" s="15" t="s">
        <v>237</v>
      </c>
      <c r="G26" s="15" t="s">
        <v>238</v>
      </c>
      <c r="H26" s="15" t="s">
        <v>239</v>
      </c>
      <c r="I26" s="15" t="s">
        <v>240</v>
      </c>
      <c r="J26" s="15" t="s">
        <v>241</v>
      </c>
      <c r="K26" s="15" t="s">
        <v>340</v>
      </c>
    </row>
    <row r="27" spans="1:11" s="15" customFormat="1" ht="25" x14ac:dyDescent="0.25">
      <c r="A27" s="15" t="s">
        <v>101</v>
      </c>
      <c r="B27" s="15" t="s">
        <v>242</v>
      </c>
      <c r="C27" s="15" t="s">
        <v>243</v>
      </c>
      <c r="D27" s="15" t="s">
        <v>245</v>
      </c>
      <c r="E27" s="15" t="s">
        <v>244</v>
      </c>
      <c r="F27" s="15" t="s">
        <v>246</v>
      </c>
      <c r="G27" s="15" t="s">
        <v>247</v>
      </c>
      <c r="H27" s="15" t="s">
        <v>248</v>
      </c>
      <c r="I27" s="15" t="s">
        <v>249</v>
      </c>
      <c r="J27" s="15" t="s">
        <v>250</v>
      </c>
      <c r="K27" s="15" t="s">
        <v>341</v>
      </c>
    </row>
    <row r="28" spans="1:11" s="15" customFormat="1" ht="25" x14ac:dyDescent="0.25">
      <c r="A28" s="15" t="s">
        <v>110</v>
      </c>
      <c r="B28" s="15" t="s">
        <v>251</v>
      </c>
      <c r="C28" s="15" t="s">
        <v>252</v>
      </c>
      <c r="D28" s="15" t="s">
        <v>254</v>
      </c>
      <c r="E28" s="15" t="s">
        <v>253</v>
      </c>
      <c r="F28" s="15" t="s">
        <v>255</v>
      </c>
      <c r="G28" s="15" t="s">
        <v>256</v>
      </c>
      <c r="H28" s="15" t="s">
        <v>257</v>
      </c>
      <c r="I28" s="15" t="s">
        <v>258</v>
      </c>
      <c r="J28" s="15" t="s">
        <v>259</v>
      </c>
      <c r="K28" s="15" t="s">
        <v>342</v>
      </c>
    </row>
    <row r="29" spans="1:11" s="15" customFormat="1" ht="25" x14ac:dyDescent="0.25">
      <c r="A29" s="15" t="s">
        <v>111</v>
      </c>
      <c r="B29" s="15" t="s">
        <v>260</v>
      </c>
      <c r="C29" s="15" t="s">
        <v>261</v>
      </c>
      <c r="D29" s="15" t="s">
        <v>263</v>
      </c>
      <c r="E29" s="15" t="s">
        <v>262</v>
      </c>
      <c r="F29" s="15" t="s">
        <v>264</v>
      </c>
      <c r="G29" s="15" t="s">
        <v>265</v>
      </c>
      <c r="H29" s="15" t="s">
        <v>266</v>
      </c>
      <c r="I29" s="15" t="s">
        <v>267</v>
      </c>
      <c r="J29" s="15" t="s">
        <v>268</v>
      </c>
      <c r="K29" s="15" t="s">
        <v>343</v>
      </c>
    </row>
    <row r="30" spans="1:11" s="15" customFormat="1" ht="25" x14ac:dyDescent="0.25">
      <c r="A30" s="15" t="s">
        <v>112</v>
      </c>
      <c r="B30" s="15" t="s">
        <v>269</v>
      </c>
      <c r="C30" s="15" t="s">
        <v>270</v>
      </c>
      <c r="D30" s="15" t="s">
        <v>272</v>
      </c>
      <c r="E30" s="15" t="s">
        <v>271</v>
      </c>
      <c r="F30" s="15" t="s">
        <v>273</v>
      </c>
      <c r="G30" s="15" t="s">
        <v>274</v>
      </c>
      <c r="H30" s="15" t="s">
        <v>275</v>
      </c>
      <c r="I30" s="15" t="s">
        <v>276</v>
      </c>
      <c r="J30" s="15" t="s">
        <v>277</v>
      </c>
      <c r="K30" s="15" t="s">
        <v>344</v>
      </c>
    </row>
    <row r="31" spans="1:11" s="15" customFormat="1" ht="25" x14ac:dyDescent="0.25">
      <c r="A31" s="15" t="s">
        <v>113</v>
      </c>
      <c r="B31" s="15" t="s">
        <v>278</v>
      </c>
      <c r="C31" s="15" t="s">
        <v>279</v>
      </c>
      <c r="D31" s="15" t="s">
        <v>281</v>
      </c>
      <c r="E31" s="15" t="s">
        <v>280</v>
      </c>
      <c r="F31" s="15" t="s">
        <v>282</v>
      </c>
      <c r="G31" s="15" t="s">
        <v>283</v>
      </c>
      <c r="H31" s="15" t="s">
        <v>284</v>
      </c>
      <c r="I31" s="15" t="s">
        <v>285</v>
      </c>
      <c r="J31" s="15" t="s">
        <v>286</v>
      </c>
      <c r="K31" s="15" t="s">
        <v>345</v>
      </c>
    </row>
    <row r="32" spans="1:11" s="15" customFormat="1" x14ac:dyDescent="0.25">
      <c r="A32" s="15" t="s">
        <v>306</v>
      </c>
      <c r="B32" s="15" t="s">
        <v>307</v>
      </c>
      <c r="C32" s="15" t="s">
        <v>308</v>
      </c>
      <c r="D32" s="15" t="s">
        <v>309</v>
      </c>
      <c r="E32" s="15" t="s">
        <v>310</v>
      </c>
      <c r="F32" s="15" t="s">
        <v>311</v>
      </c>
      <c r="G32" s="15" t="s">
        <v>312</v>
      </c>
      <c r="H32" s="15" t="s">
        <v>313</v>
      </c>
      <c r="I32" s="15" t="s">
        <v>314</v>
      </c>
      <c r="J32" s="15" t="s">
        <v>315</v>
      </c>
      <c r="K32" s="15" t="s">
        <v>346</v>
      </c>
    </row>
    <row r="33" spans="1:12" s="15" customFormat="1" x14ac:dyDescent="0.25">
      <c r="A33" s="15" t="s">
        <v>361</v>
      </c>
      <c r="B33" t="s">
        <v>402</v>
      </c>
      <c r="C33" t="s">
        <v>460</v>
      </c>
      <c r="D33" t="s">
        <v>409</v>
      </c>
      <c r="E33" t="s">
        <v>416</v>
      </c>
      <c r="F33" t="s">
        <v>417</v>
      </c>
      <c r="G33" t="s">
        <v>418</v>
      </c>
      <c r="H33" t="s">
        <v>419</v>
      </c>
      <c r="I33" t="s">
        <v>420</v>
      </c>
      <c r="J33" t="s">
        <v>446</v>
      </c>
      <c r="K33" t="s">
        <v>447</v>
      </c>
      <c r="L33"/>
    </row>
    <row r="34" spans="1:12" s="15" customFormat="1" x14ac:dyDescent="0.25">
      <c r="A34" s="15" t="s">
        <v>358</v>
      </c>
      <c r="B34" t="s">
        <v>403</v>
      </c>
      <c r="C34" t="s">
        <v>390</v>
      </c>
      <c r="D34" t="s">
        <v>410</v>
      </c>
      <c r="E34" t="s">
        <v>421</v>
      </c>
      <c r="F34" t="s">
        <v>422</v>
      </c>
      <c r="G34" t="s">
        <v>423</v>
      </c>
      <c r="H34" t="s">
        <v>424</v>
      </c>
      <c r="I34" t="s">
        <v>424</v>
      </c>
      <c r="J34" t="s">
        <v>448</v>
      </c>
      <c r="K34" t="s">
        <v>449</v>
      </c>
      <c r="L34"/>
    </row>
    <row r="35" spans="1:12" s="15" customFormat="1" x14ac:dyDescent="0.25">
      <c r="A35" s="15" t="s">
        <v>359</v>
      </c>
      <c r="B35" t="s">
        <v>404</v>
      </c>
      <c r="C35" t="s">
        <v>461</v>
      </c>
      <c r="D35" t="s">
        <v>411</v>
      </c>
      <c r="E35" t="s">
        <v>425</v>
      </c>
      <c r="F35" t="s">
        <v>426</v>
      </c>
      <c r="G35" t="s">
        <v>427</v>
      </c>
      <c r="H35" t="s">
        <v>428</v>
      </c>
      <c r="I35" t="s">
        <v>429</v>
      </c>
      <c r="J35" t="s">
        <v>450</v>
      </c>
      <c r="K35" t="s">
        <v>451</v>
      </c>
      <c r="L35"/>
    </row>
    <row r="36" spans="1:12" s="15" customFormat="1" x14ac:dyDescent="0.25">
      <c r="A36" s="15" t="s">
        <v>360</v>
      </c>
      <c r="B36" t="s">
        <v>405</v>
      </c>
      <c r="C36" t="s">
        <v>433</v>
      </c>
      <c r="D36" t="s">
        <v>412</v>
      </c>
      <c r="E36" t="s">
        <v>430</v>
      </c>
      <c r="F36" t="s">
        <v>431</v>
      </c>
      <c r="G36" t="s">
        <v>432</v>
      </c>
      <c r="H36" t="s">
        <v>412</v>
      </c>
      <c r="I36" t="s">
        <v>433</v>
      </c>
      <c r="J36" t="s">
        <v>452</v>
      </c>
      <c r="K36" t="s">
        <v>453</v>
      </c>
      <c r="L36"/>
    </row>
    <row r="37" spans="1:12" s="15" customFormat="1" x14ac:dyDescent="0.25">
      <c r="A37" s="15" t="s">
        <v>376</v>
      </c>
      <c r="B37" t="s">
        <v>405</v>
      </c>
      <c r="C37" t="s">
        <v>433</v>
      </c>
      <c r="D37" t="s">
        <v>412</v>
      </c>
      <c r="E37" t="s">
        <v>430</v>
      </c>
      <c r="F37" t="s">
        <v>431</v>
      </c>
      <c r="G37" t="s">
        <v>432</v>
      </c>
      <c r="H37" t="s">
        <v>412</v>
      </c>
      <c r="I37" t="s">
        <v>433</v>
      </c>
      <c r="J37" t="s">
        <v>452</v>
      </c>
      <c r="K37" t="s">
        <v>453</v>
      </c>
      <c r="L37"/>
    </row>
    <row r="38" spans="1:12" s="15" customFormat="1" x14ac:dyDescent="0.25">
      <c r="A38" s="15" t="s">
        <v>387</v>
      </c>
      <c r="B38" t="s">
        <v>406</v>
      </c>
      <c r="C38" t="s">
        <v>462</v>
      </c>
      <c r="D38" t="s">
        <v>413</v>
      </c>
      <c r="E38" t="s">
        <v>434</v>
      </c>
      <c r="F38" t="s">
        <v>435</v>
      </c>
      <c r="G38" t="s">
        <v>436</v>
      </c>
      <c r="H38" t="s">
        <v>437</v>
      </c>
      <c r="I38" t="s">
        <v>438</v>
      </c>
      <c r="J38" t="s">
        <v>454</v>
      </c>
      <c r="K38" t="s">
        <v>455</v>
      </c>
      <c r="L38"/>
    </row>
    <row r="39" spans="1:12" s="15" customFormat="1" x14ac:dyDescent="0.25">
      <c r="A39" s="15" t="s">
        <v>357</v>
      </c>
      <c r="B39" t="s">
        <v>407</v>
      </c>
      <c r="C39" t="s">
        <v>463</v>
      </c>
      <c r="D39" t="s">
        <v>414</v>
      </c>
      <c r="E39" t="s">
        <v>439</v>
      </c>
      <c r="F39" t="s">
        <v>440</v>
      </c>
      <c r="G39" t="s">
        <v>441</v>
      </c>
      <c r="H39" t="s">
        <v>442</v>
      </c>
      <c r="I39" t="s">
        <v>443</v>
      </c>
      <c r="J39" t="s">
        <v>456</v>
      </c>
      <c r="K39" t="s">
        <v>457</v>
      </c>
      <c r="L39"/>
    </row>
    <row r="40" spans="1:12" s="15" customFormat="1" x14ac:dyDescent="0.25">
      <c r="A40" s="15" t="s">
        <v>464</v>
      </c>
      <c r="B40" t="s">
        <v>469</v>
      </c>
      <c r="C40" t="s">
        <v>470</v>
      </c>
      <c r="D40" t="s">
        <v>471</v>
      </c>
      <c r="E40" t="s">
        <v>472</v>
      </c>
      <c r="F40" t="s">
        <v>473</v>
      </c>
      <c r="G40" t="s">
        <v>474</v>
      </c>
      <c r="H40" t="s">
        <v>475</v>
      </c>
      <c r="I40" t="s">
        <v>476</v>
      </c>
      <c r="J40" t="s">
        <v>477</v>
      </c>
      <c r="K40" t="s">
        <v>478</v>
      </c>
      <c r="L40"/>
    </row>
    <row r="41" spans="1:12" s="15" customFormat="1" x14ac:dyDescent="0.25">
      <c r="A41" s="15" t="s">
        <v>356</v>
      </c>
      <c r="B41" t="s">
        <v>408</v>
      </c>
      <c r="C41" t="s">
        <v>391</v>
      </c>
      <c r="D41" t="s">
        <v>415</v>
      </c>
      <c r="E41" t="s">
        <v>444</v>
      </c>
      <c r="F41" t="s">
        <v>445</v>
      </c>
      <c r="G41" t="s">
        <v>445</v>
      </c>
      <c r="H41" t="s">
        <v>445</v>
      </c>
      <c r="I41" t="s">
        <v>445</v>
      </c>
      <c r="J41" t="s">
        <v>458</v>
      </c>
      <c r="K41" t="s">
        <v>459</v>
      </c>
      <c r="L41"/>
    </row>
    <row r="42" spans="1:12" x14ac:dyDescent="0.25">
      <c r="A42" s="15" t="s">
        <v>468</v>
      </c>
      <c r="B42" t="s">
        <v>487</v>
      </c>
      <c r="C42" t="s">
        <v>488</v>
      </c>
      <c r="D42" t="s">
        <v>479</v>
      </c>
      <c r="E42" t="s">
        <v>480</v>
      </c>
      <c r="F42" t="s">
        <v>481</v>
      </c>
      <c r="G42" t="s">
        <v>482</v>
      </c>
      <c r="H42" t="s">
        <v>483</v>
      </c>
      <c r="I42" t="s">
        <v>484</v>
      </c>
      <c r="J42" t="s">
        <v>485</v>
      </c>
      <c r="K42" t="s">
        <v>486</v>
      </c>
    </row>
    <row r="43" spans="1:12" x14ac:dyDescent="0.25">
      <c r="H43"/>
      <c r="I43"/>
      <c r="J4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2"/>
  <sheetViews>
    <sheetView showGridLines="0" zoomScaleNormal="100" workbookViewId="0"/>
  </sheetViews>
  <sheetFormatPr defaultRowHeight="12.5" x14ac:dyDescent="0.25"/>
  <cols>
    <col min="1" max="1" width="72.1796875" customWidth="1"/>
    <col min="2" max="2" width="22.81640625" bestFit="1" customWidth="1"/>
    <col min="3" max="3" width="16.26953125" bestFit="1" customWidth="1"/>
    <col min="4" max="4" width="23.453125" bestFit="1" customWidth="1"/>
    <col min="5" max="5" width="11.08984375" bestFit="1" customWidth="1"/>
    <col min="6" max="6" width="18.453125" customWidth="1"/>
    <col min="7" max="14" width="12.54296875" bestFit="1" customWidth="1"/>
    <col min="15" max="15" width="32.1796875" bestFit="1" customWidth="1"/>
    <col min="16" max="16" width="27.81640625" bestFit="1" customWidth="1"/>
  </cols>
  <sheetData>
    <row r="1" spans="1:12" s="22" customFormat="1" ht="23" x14ac:dyDescent="0.45">
      <c r="A1" s="26" t="str">
        <f>Report!A1</f>
        <v>**EV Charging Cost Report</v>
      </c>
      <c r="C1" s="23">
        <f>Report!C1</f>
        <v>44127.623263379632</v>
      </c>
    </row>
    <row r="2" spans="1:12" s="24" customFormat="1" ht="17.5" x14ac:dyDescent="0.35">
      <c r="A2" s="27" t="s">
        <v>357</v>
      </c>
      <c r="C2" s="25"/>
    </row>
    <row r="3" spans="1:12" s="24" customFormat="1" ht="17.5" x14ac:dyDescent="0.35">
      <c r="A3" s="27"/>
      <c r="C3" s="25"/>
    </row>
    <row r="4" spans="1:12" s="24" customFormat="1" ht="17.5" x14ac:dyDescent="0.35">
      <c r="A4" s="60" t="str">
        <f>Report!A4</f>
        <v>**Legend</v>
      </c>
      <c r="B4" s="61"/>
      <c r="C4" s="25"/>
    </row>
    <row r="5" spans="1:12" s="5" customFormat="1" ht="14.5" customHeight="1" x14ac:dyDescent="0.35">
      <c r="A5" s="39" t="str">
        <f>Report!A5</f>
        <v>**From</v>
      </c>
      <c r="B5" s="40">
        <f>Report!B5</f>
        <v>44105</v>
      </c>
      <c r="C5" s="33"/>
      <c r="D5" s="33"/>
      <c r="E5" s="33"/>
      <c r="F5" s="33"/>
      <c r="G5" s="33"/>
      <c r="H5" s="33"/>
      <c r="I5" s="33"/>
      <c r="J5" s="33"/>
      <c r="K5" s="33"/>
      <c r="L5" s="33"/>
    </row>
    <row r="6" spans="1:12" s="5" customFormat="1" ht="14.5" x14ac:dyDescent="0.35">
      <c r="A6" s="36" t="str">
        <f>Report!A6</f>
        <v>**To</v>
      </c>
      <c r="B6" s="37">
        <f>Report!B6</f>
        <v>44135.999988425923</v>
      </c>
      <c r="C6" s="33"/>
      <c r="D6" s="33"/>
      <c r="E6" s="33"/>
      <c r="F6" s="33"/>
      <c r="G6" s="33"/>
      <c r="H6" s="33"/>
      <c r="I6" s="33"/>
      <c r="J6" s="33"/>
      <c r="K6" s="33"/>
      <c r="L6" s="33"/>
    </row>
    <row r="7" spans="1:12" s="5" customFormat="1" ht="14.5" x14ac:dyDescent="0.35">
      <c r="A7" s="36" t="str">
        <f>Report!A7</f>
        <v>**Time Zone</v>
      </c>
      <c r="B7" s="37" t="str">
        <f>Report!B7</f>
        <v>Europe/London</v>
      </c>
      <c r="C7" s="33"/>
      <c r="D7" s="33"/>
      <c r="E7" s="33"/>
      <c r="F7" s="33"/>
      <c r="G7" s="33"/>
      <c r="H7" s="33"/>
      <c r="I7" s="33"/>
      <c r="J7" s="33"/>
      <c r="K7" s="33"/>
      <c r="L7" s="33"/>
    </row>
    <row r="8" spans="1:12" ht="13.5" x14ac:dyDescent="0.25">
      <c r="A8" s="36" t="str">
        <f>Report!A8</f>
        <v>**Electric Energy Unit</v>
      </c>
      <c r="B8" s="37" t="str">
        <f>Report!B8</f>
        <v>kWh</v>
      </c>
      <c r="C8" s="59"/>
      <c r="D8" s="59"/>
      <c r="E8" s="59"/>
      <c r="F8" s="59"/>
      <c r="G8" s="59"/>
      <c r="H8" s="59"/>
      <c r="I8" s="59"/>
      <c r="J8" s="59"/>
      <c r="K8" s="59"/>
      <c r="L8" s="59"/>
    </row>
    <row r="9" spans="1:12" ht="13.5" x14ac:dyDescent="0.25">
      <c r="A9" s="36" t="str">
        <f>Report!A9</f>
        <v>**Currency</v>
      </c>
      <c r="B9" s="37" t="str">
        <f>Report!B9</f>
        <v>$</v>
      </c>
      <c r="C9" s="33"/>
      <c r="D9" s="33"/>
      <c r="E9" s="33"/>
      <c r="F9" s="33"/>
      <c r="G9" s="33"/>
      <c r="H9" s="33"/>
      <c r="I9" s="33"/>
      <c r="J9" s="33"/>
      <c r="K9" s="33"/>
      <c r="L9" s="33"/>
    </row>
    <row r="10" spans="1:12" ht="13.5" x14ac:dyDescent="0.25">
      <c r="D10" s="33"/>
      <c r="E10" s="33"/>
      <c r="F10" s="33"/>
      <c r="G10" s="33"/>
      <c r="H10" s="33"/>
      <c r="I10" s="33"/>
      <c r="J10" s="33"/>
      <c r="K10" s="33"/>
      <c r="L10" s="33"/>
    </row>
    <row r="11" spans="1:12" ht="13.5" x14ac:dyDescent="0.25">
      <c r="A11" s="33"/>
      <c r="B11" s="33"/>
      <c r="C11" s="33"/>
      <c r="D11" s="33"/>
      <c r="E11" s="33"/>
      <c r="F11" s="33"/>
      <c r="G11" s="33"/>
      <c r="H11" s="33"/>
      <c r="I11" s="33"/>
      <c r="J11" s="33"/>
      <c r="K11" s="33"/>
      <c r="L11" s="33"/>
    </row>
    <row r="12" spans="1:12" ht="17.5" x14ac:dyDescent="0.35">
      <c r="A12" s="50" t="s">
        <v>96</v>
      </c>
      <c r="B12" s="50" t="s">
        <v>87</v>
      </c>
      <c r="C12" s="50" t="s">
        <v>32</v>
      </c>
      <c r="D12" s="51" t="s">
        <v>375</v>
      </c>
      <c r="E12" s="51" t="s">
        <v>376</v>
      </c>
      <c r="F12" s="33"/>
      <c r="G12" s="33"/>
      <c r="H12" s="33"/>
      <c r="I12" s="33"/>
      <c r="J12" s="33"/>
      <c r="K12" s="33"/>
      <c r="L12" s="33"/>
    </row>
    <row r="13" spans="1:12" ht="13.5" x14ac:dyDescent="0.25">
      <c r="A13" s="48" t="s">
        <v>373</v>
      </c>
      <c r="B13" s="48" t="s">
        <v>392</v>
      </c>
      <c r="C13" s="48" t="s">
        <v>363</v>
      </c>
      <c r="D13" s="49">
        <v>1.8400000333786011</v>
      </c>
      <c r="E13" s="49">
        <v>0.27600000500679017</v>
      </c>
      <c r="F13" s="33"/>
      <c r="G13" s="33"/>
      <c r="H13" s="33"/>
      <c r="I13" s="34"/>
      <c r="J13" s="33"/>
      <c r="K13" s="33"/>
      <c r="L13" s="33"/>
    </row>
    <row r="14" spans="1:12" ht="15" customHeight="1" x14ac:dyDescent="0.25">
      <c r="A14" s="48" t="s">
        <v>401</v>
      </c>
      <c r="B14" s="48" t="s">
        <v>374</v>
      </c>
      <c r="C14" s="48" t="s">
        <v>362</v>
      </c>
      <c r="D14" s="49">
        <v>8.7700004577636719</v>
      </c>
      <c r="E14" s="49">
        <v>2.6310001373291017</v>
      </c>
      <c r="F14" s="33"/>
      <c r="G14" s="33"/>
      <c r="H14" s="33"/>
      <c r="I14" s="33"/>
      <c r="J14" s="33"/>
      <c r="K14" s="33"/>
      <c r="L14" s="33"/>
    </row>
    <row r="15" spans="1:12" ht="13.5" x14ac:dyDescent="0.25">
      <c r="A15" s="48" t="s">
        <v>397</v>
      </c>
      <c r="B15" s="48" t="s">
        <v>393</v>
      </c>
      <c r="C15" s="48" t="s">
        <v>364</v>
      </c>
      <c r="D15" s="49">
        <v>6.119999885559082</v>
      </c>
      <c r="E15" s="49">
        <v>1.2239999771118164</v>
      </c>
      <c r="F15" s="33"/>
      <c r="G15" s="33"/>
      <c r="H15" s="33"/>
      <c r="I15" s="33"/>
      <c r="J15" s="33"/>
      <c r="K15" s="33"/>
      <c r="L15" s="33"/>
    </row>
    <row r="16" spans="1:12" ht="13.5" x14ac:dyDescent="0.25">
      <c r="A16" s="48" t="s">
        <v>398</v>
      </c>
      <c r="B16" s="48" t="s">
        <v>399</v>
      </c>
      <c r="C16" s="48" t="s">
        <v>394</v>
      </c>
      <c r="D16" s="49">
        <v>6.119999885559082</v>
      </c>
      <c r="E16" s="49">
        <v>1.5299999713897705</v>
      </c>
      <c r="F16" s="33"/>
      <c r="G16" s="33"/>
      <c r="H16" s="33"/>
      <c r="I16" s="33"/>
      <c r="J16" s="33"/>
      <c r="K16" s="33"/>
      <c r="L16" s="33"/>
    </row>
    <row r="17" spans="1:12" ht="13.5" x14ac:dyDescent="0.25">
      <c r="A17" s="48" t="s">
        <v>468</v>
      </c>
      <c r="B17" s="48" t="s">
        <v>468</v>
      </c>
      <c r="C17" s="48" t="s">
        <v>465</v>
      </c>
      <c r="D17" s="49">
        <v>7.1199998855590803</v>
      </c>
      <c r="E17" s="49">
        <v>7.1199998855590803</v>
      </c>
      <c r="F17" s="33"/>
      <c r="G17" s="33"/>
      <c r="H17" s="33"/>
      <c r="I17" s="33"/>
      <c r="J17" s="33"/>
      <c r="K17" s="33"/>
      <c r="L17" s="33"/>
    </row>
    <row r="18" spans="1:12" ht="14" x14ac:dyDescent="0.3">
      <c r="A18" s="33"/>
      <c r="B18" s="33"/>
      <c r="C18" s="33"/>
      <c r="D18" s="33"/>
      <c r="E18" s="33"/>
      <c r="F18" s="33"/>
      <c r="G18" s="35"/>
      <c r="H18" s="35"/>
      <c r="I18" s="35"/>
      <c r="J18" s="35"/>
      <c r="K18" s="35"/>
      <c r="L18" s="35"/>
    </row>
    <row r="19" spans="1:12" ht="14" x14ac:dyDescent="0.3">
      <c r="A19" s="33"/>
      <c r="B19" s="33"/>
      <c r="C19" s="33"/>
      <c r="D19" s="33"/>
      <c r="E19" s="33"/>
      <c r="F19" s="33"/>
      <c r="G19" s="35"/>
      <c r="H19" s="35"/>
      <c r="I19" s="35"/>
      <c r="J19" s="35"/>
      <c r="K19" s="35"/>
      <c r="L19" s="35"/>
    </row>
    <row r="20" spans="1:12" ht="14" x14ac:dyDescent="0.3">
      <c r="D20" s="35"/>
      <c r="E20" s="35"/>
      <c r="F20" s="35"/>
      <c r="G20" s="35"/>
      <c r="H20" s="35"/>
      <c r="I20" s="35"/>
      <c r="J20" s="35"/>
      <c r="K20" s="35"/>
      <c r="L20" s="35"/>
    </row>
    <row r="21" spans="1:12" ht="14" x14ac:dyDescent="0.3">
      <c r="D21" s="35"/>
      <c r="E21" s="35"/>
      <c r="F21" s="35"/>
      <c r="G21" s="35"/>
      <c r="H21" s="35"/>
      <c r="I21" s="35"/>
      <c r="J21" s="35"/>
      <c r="K21" s="35"/>
      <c r="L21" s="35"/>
    </row>
    <row r="22" spans="1:12" ht="14" x14ac:dyDescent="0.3">
      <c r="D22" s="35"/>
      <c r="E22" s="35"/>
      <c r="F22" s="35"/>
      <c r="G22" s="35"/>
      <c r="H22" s="35"/>
      <c r="I22" s="35"/>
      <c r="J22" s="35"/>
      <c r="K22" s="35"/>
      <c r="L22" s="35"/>
    </row>
  </sheetData>
  <mergeCells count="2">
    <mergeCell ref="C8:L8"/>
    <mergeCell ref="A4:B4"/>
  </mergeCells>
  <conditionalFormatting pivot="1" sqref="E13:E17">
    <cfRule type="expression" dxfId="35" priority="4">
      <formula>$B$9="$"</formula>
    </cfRule>
  </conditionalFormatting>
  <conditionalFormatting pivot="1" sqref="E13:E17">
    <cfRule type="expression" dxfId="34" priority="3">
      <formula>$B$9="€"</formula>
    </cfRule>
  </conditionalFormatting>
  <conditionalFormatting pivot="1" sqref="E13:E17">
    <cfRule type="expression" dxfId="33" priority="1">
      <formula>$B$9="£"</formula>
    </cfRule>
  </conditionalFormatting>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73704-12EF-47D8-AA90-D9DB7E263110}">
  <dimension ref="A1:L22"/>
  <sheetViews>
    <sheetView showGridLines="0" tabSelected="1" zoomScaleNormal="100" workbookViewId="0"/>
  </sheetViews>
  <sheetFormatPr defaultRowHeight="12.5" x14ac:dyDescent="0.25"/>
  <cols>
    <col min="1" max="1" width="71.1796875" customWidth="1"/>
    <col min="2" max="2" width="25.7265625" bestFit="1" customWidth="1"/>
    <col min="3" max="3" width="21.81640625" bestFit="1" customWidth="1"/>
    <col min="4" max="4" width="23.453125" bestFit="1" customWidth="1"/>
    <col min="5" max="5" width="11.08984375" bestFit="1" customWidth="1"/>
    <col min="6" max="6" width="18.453125" customWidth="1"/>
    <col min="7" max="14" width="12.54296875" bestFit="1" customWidth="1"/>
    <col min="15" max="15" width="32.1796875" bestFit="1" customWidth="1"/>
    <col min="16" max="16" width="27.81640625" bestFit="1" customWidth="1"/>
  </cols>
  <sheetData>
    <row r="1" spans="1:12" s="22" customFormat="1" ht="23" x14ac:dyDescent="0.45">
      <c r="A1" s="26" t="str">
        <f>Report!A1</f>
        <v>**EV Charging Cost Report</v>
      </c>
      <c r="C1" s="23">
        <f>Report!C1</f>
        <v>44127.623263379632</v>
      </c>
    </row>
    <row r="2" spans="1:12" s="24" customFormat="1" ht="17.5" x14ac:dyDescent="0.35">
      <c r="A2" s="27" t="s">
        <v>387</v>
      </c>
      <c r="C2" s="25"/>
    </row>
    <row r="3" spans="1:12" s="24" customFormat="1" ht="17.5" x14ac:dyDescent="0.35">
      <c r="A3" s="27"/>
      <c r="C3" s="25"/>
    </row>
    <row r="4" spans="1:12" s="24" customFormat="1" ht="17.5" x14ac:dyDescent="0.35">
      <c r="A4" s="60" t="str">
        <f>Report!A4</f>
        <v>**Legend</v>
      </c>
      <c r="B4" s="61"/>
      <c r="C4" s="25"/>
    </row>
    <row r="5" spans="1:12" s="5" customFormat="1" ht="14.5" customHeight="1" x14ac:dyDescent="0.35">
      <c r="A5" s="39" t="str">
        <f>Report!A5</f>
        <v>**From</v>
      </c>
      <c r="B5" s="40">
        <f>Report!B5</f>
        <v>44105</v>
      </c>
      <c r="C5" s="33"/>
      <c r="D5" s="33"/>
      <c r="E5" s="33"/>
      <c r="F5" s="33"/>
      <c r="G5" s="33"/>
      <c r="H5" s="33"/>
      <c r="I5" s="33"/>
      <c r="J5" s="33"/>
      <c r="K5" s="33"/>
      <c r="L5" s="33"/>
    </row>
    <row r="6" spans="1:12" s="5" customFormat="1" ht="14.5" x14ac:dyDescent="0.35">
      <c r="A6" s="36" t="str">
        <f>Report!A6</f>
        <v>**To</v>
      </c>
      <c r="B6" s="37">
        <f>Report!B6</f>
        <v>44135.999988425923</v>
      </c>
      <c r="C6" s="33"/>
      <c r="D6" s="33"/>
      <c r="E6" s="33"/>
      <c r="F6" s="33"/>
      <c r="G6" s="33"/>
      <c r="H6" s="33"/>
      <c r="I6" s="33"/>
      <c r="J6" s="33"/>
      <c r="K6" s="33"/>
      <c r="L6" s="33"/>
    </row>
    <row r="7" spans="1:12" s="5" customFormat="1" ht="14.5" x14ac:dyDescent="0.35">
      <c r="A7" s="36" t="str">
        <f>Report!A7</f>
        <v>**Time Zone</v>
      </c>
      <c r="B7" s="37" t="str">
        <f>Report!B7</f>
        <v>Europe/London</v>
      </c>
      <c r="C7" s="33"/>
      <c r="D7" s="33"/>
      <c r="E7" s="33"/>
      <c r="F7" s="33"/>
      <c r="G7" s="33"/>
      <c r="H7" s="33"/>
      <c r="I7" s="33"/>
      <c r="J7" s="33"/>
      <c r="K7" s="33"/>
      <c r="L7" s="33"/>
    </row>
    <row r="8" spans="1:12" ht="13.5" x14ac:dyDescent="0.25">
      <c r="A8" s="36" t="str">
        <f>Report!A8</f>
        <v>**Electric Energy Unit</v>
      </c>
      <c r="B8" s="37" t="str">
        <f>Report!B8</f>
        <v>kWh</v>
      </c>
      <c r="C8" s="59"/>
      <c r="D8" s="59"/>
      <c r="E8" s="59"/>
      <c r="F8" s="59"/>
      <c r="G8" s="59"/>
      <c r="H8" s="59"/>
      <c r="I8" s="59"/>
      <c r="J8" s="59"/>
      <c r="K8" s="59"/>
      <c r="L8" s="59"/>
    </row>
    <row r="9" spans="1:12" ht="13.5" x14ac:dyDescent="0.25">
      <c r="A9" s="36" t="str">
        <f>Report!A9</f>
        <v>**Currency</v>
      </c>
      <c r="B9" s="37" t="str">
        <f>Report!B9</f>
        <v>$</v>
      </c>
      <c r="C9" s="33"/>
      <c r="D9" s="33"/>
      <c r="E9" s="33"/>
      <c r="F9" s="33"/>
      <c r="G9" s="33"/>
      <c r="H9" s="33"/>
      <c r="I9" s="33"/>
      <c r="J9" s="33"/>
      <c r="K9" s="33"/>
      <c r="L9" s="33"/>
    </row>
    <row r="10" spans="1:12" ht="13.5" x14ac:dyDescent="0.25">
      <c r="D10" s="33"/>
      <c r="E10" s="33"/>
      <c r="F10" s="33"/>
      <c r="G10" s="33"/>
      <c r="H10" s="33"/>
      <c r="I10" s="33"/>
      <c r="J10" s="33"/>
      <c r="K10" s="33"/>
      <c r="L10" s="33"/>
    </row>
    <row r="11" spans="1:12" ht="13.5" x14ac:dyDescent="0.25">
      <c r="A11" s="33"/>
      <c r="B11" s="33"/>
      <c r="C11" s="33"/>
      <c r="D11" s="33"/>
      <c r="E11" s="33"/>
      <c r="F11" s="33"/>
      <c r="G11" s="33"/>
      <c r="H11" s="33"/>
      <c r="I11" s="33"/>
      <c r="J11" s="33"/>
      <c r="K11" s="33"/>
      <c r="L11" s="33"/>
    </row>
    <row r="12" spans="1:12" ht="17.5" x14ac:dyDescent="0.35">
      <c r="A12" s="50" t="s">
        <v>32</v>
      </c>
      <c r="B12" s="50" t="s">
        <v>96</v>
      </c>
      <c r="C12" s="50" t="s">
        <v>87</v>
      </c>
      <c r="D12" s="51" t="s">
        <v>375</v>
      </c>
      <c r="E12" s="51" t="s">
        <v>376</v>
      </c>
      <c r="F12" s="33"/>
      <c r="G12" s="33"/>
      <c r="H12" s="33"/>
      <c r="I12" s="33"/>
      <c r="J12" s="33"/>
      <c r="K12" s="33"/>
      <c r="L12" s="33"/>
    </row>
    <row r="13" spans="1:12" ht="13.5" x14ac:dyDescent="0.25">
      <c r="A13" s="48" t="s">
        <v>362</v>
      </c>
      <c r="B13" s="48" t="s">
        <v>401</v>
      </c>
      <c r="C13" s="48" t="s">
        <v>374</v>
      </c>
      <c r="D13" s="49">
        <v>8.7700004577636719</v>
      </c>
      <c r="E13" s="49">
        <v>2.6310001373291017</v>
      </c>
      <c r="F13" s="33"/>
      <c r="G13" s="33"/>
      <c r="H13" s="33"/>
      <c r="I13" s="33"/>
      <c r="J13" s="33"/>
      <c r="K13" s="33"/>
      <c r="L13" s="33"/>
    </row>
    <row r="14" spans="1:12" ht="15" customHeight="1" x14ac:dyDescent="0.25">
      <c r="A14" s="48" t="s">
        <v>363</v>
      </c>
      <c r="B14" s="48" t="s">
        <v>373</v>
      </c>
      <c r="C14" s="48" t="s">
        <v>392</v>
      </c>
      <c r="D14" s="49">
        <v>1.8400000333786011</v>
      </c>
      <c r="E14" s="49">
        <v>0.27600000500679017</v>
      </c>
      <c r="F14" s="33"/>
      <c r="G14" s="33"/>
      <c r="H14" s="33"/>
      <c r="I14" s="33"/>
      <c r="J14" s="33"/>
      <c r="K14" s="33"/>
      <c r="L14" s="33"/>
    </row>
    <row r="15" spans="1:12" ht="13.5" x14ac:dyDescent="0.25">
      <c r="A15" s="48" t="s">
        <v>364</v>
      </c>
      <c r="B15" s="48" t="s">
        <v>397</v>
      </c>
      <c r="C15" s="48" t="s">
        <v>393</v>
      </c>
      <c r="D15" s="49">
        <v>6.119999885559082</v>
      </c>
      <c r="E15" s="49">
        <v>1.2239999771118164</v>
      </c>
      <c r="F15" s="33"/>
      <c r="G15" s="33"/>
      <c r="H15" s="33"/>
      <c r="I15" s="33"/>
      <c r="J15" s="33"/>
      <c r="K15" s="33"/>
      <c r="L15" s="33"/>
    </row>
    <row r="16" spans="1:12" ht="13.5" x14ac:dyDescent="0.25">
      <c r="A16" s="48" t="s">
        <v>394</v>
      </c>
      <c r="B16" s="48" t="s">
        <v>398</v>
      </c>
      <c r="C16" s="48" t="s">
        <v>399</v>
      </c>
      <c r="D16" s="49">
        <v>6.119999885559082</v>
      </c>
      <c r="E16" s="49">
        <v>1.5299999713897705</v>
      </c>
      <c r="F16" s="33"/>
      <c r="G16" s="33"/>
      <c r="H16" s="33"/>
      <c r="I16" s="33"/>
      <c r="J16" s="33"/>
      <c r="K16" s="33"/>
      <c r="L16" s="33"/>
    </row>
    <row r="17" spans="1:12" ht="13.5" x14ac:dyDescent="0.25">
      <c r="A17" s="48" t="s">
        <v>465</v>
      </c>
      <c r="B17" s="48" t="s">
        <v>468</v>
      </c>
      <c r="C17" s="48" t="s">
        <v>468</v>
      </c>
      <c r="D17" s="49">
        <v>7.1199998855590803</v>
      </c>
      <c r="E17" s="49">
        <v>7.1199998855590803</v>
      </c>
      <c r="F17" s="33"/>
      <c r="G17" s="33"/>
      <c r="H17" s="33"/>
      <c r="I17" s="33"/>
      <c r="J17" s="33"/>
      <c r="K17" s="33"/>
      <c r="L17" s="33"/>
    </row>
    <row r="18" spans="1:12" ht="14" x14ac:dyDescent="0.3">
      <c r="A18" s="33"/>
      <c r="B18" s="33"/>
      <c r="C18" s="33"/>
      <c r="D18" s="33"/>
      <c r="E18" s="33"/>
      <c r="F18" s="35"/>
      <c r="G18" s="35"/>
      <c r="H18" s="35"/>
      <c r="I18" s="35"/>
      <c r="J18" s="35"/>
      <c r="K18" s="35"/>
      <c r="L18" s="35"/>
    </row>
    <row r="19" spans="1:12" ht="14" x14ac:dyDescent="0.3">
      <c r="E19" s="35"/>
      <c r="F19" s="35"/>
      <c r="G19" s="35"/>
      <c r="H19" s="35"/>
      <c r="I19" s="35"/>
      <c r="J19" s="35"/>
      <c r="K19" s="35"/>
      <c r="L19" s="35"/>
    </row>
    <row r="20" spans="1:12" ht="14" x14ac:dyDescent="0.3">
      <c r="D20" s="35"/>
      <c r="E20" s="35"/>
      <c r="F20" s="35"/>
      <c r="G20" s="35"/>
      <c r="H20" s="35"/>
      <c r="I20" s="35"/>
      <c r="J20" s="35"/>
      <c r="K20" s="35"/>
      <c r="L20" s="35"/>
    </row>
    <row r="21" spans="1:12" ht="14" x14ac:dyDescent="0.3">
      <c r="D21" s="35"/>
      <c r="E21" s="35"/>
      <c r="F21" s="35"/>
      <c r="G21" s="35"/>
      <c r="H21" s="35"/>
      <c r="I21" s="35"/>
      <c r="J21" s="35"/>
      <c r="K21" s="35"/>
      <c r="L21" s="35"/>
    </row>
    <row r="22" spans="1:12" ht="14" x14ac:dyDescent="0.3">
      <c r="D22" s="35"/>
      <c r="E22" s="35"/>
      <c r="F22" s="35"/>
      <c r="G22" s="35"/>
      <c r="H22" s="35"/>
      <c r="I22" s="35"/>
      <c r="J22" s="35"/>
      <c r="K22" s="35"/>
      <c r="L22" s="35"/>
    </row>
  </sheetData>
  <mergeCells count="2">
    <mergeCell ref="A4:B4"/>
    <mergeCell ref="C8:L8"/>
  </mergeCells>
  <conditionalFormatting pivot="1" sqref="E13:E17">
    <cfRule type="expression" dxfId="17" priority="4">
      <formula>$B$9="£"</formula>
    </cfRule>
  </conditionalFormatting>
  <conditionalFormatting pivot="1" sqref="E13:E17">
    <cfRule type="expression" dxfId="16" priority="3">
      <formula>$B$9="$"</formula>
    </cfRule>
  </conditionalFormatting>
  <conditionalFormatting pivot="1" sqref="E13:E17">
    <cfRule type="expression" dxfId="15" priority="2">
      <formula>$B$9="€"</formula>
    </cfRule>
  </conditionalFormatting>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vt:lpstr>
      <vt:lpstr>Report</vt:lpstr>
      <vt:lpstr>User Entries</vt:lpstr>
      <vt:lpstr>Languages</vt:lpstr>
      <vt:lpstr>Charging Cost By Zone</vt:lpstr>
      <vt:lpstr>Charging Cost By Vehicle</vt:lpstr>
      <vt:lpstr>AllData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Christoph Middleton</cp:lastModifiedBy>
  <dcterms:created xsi:type="dcterms:W3CDTF">2009-12-03T20:41:59Z</dcterms:created>
  <dcterms:modified xsi:type="dcterms:W3CDTF">2021-04-07T18:16:22Z</dcterms:modified>
</cp:coreProperties>
</file>