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akashdubey\Google Drive\HOS Marketplace Reports project\current reports\7 Egregious HOS Violations Cost Report\"/>
    </mc:Choice>
  </mc:AlternateContent>
  <xr:revisionPtr revIDLastSave="0" documentId="13_ncr:1_{F6DEB6E4-5B59-4DAF-BE4F-33C6A36563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ummary" sheetId="4" r:id="rId1"/>
    <sheet name="Report" sheetId="3" r:id="rId2"/>
    <sheet name="Data" sheetId="1" state="hidden" r:id="rId3"/>
    <sheet name="Setup" sheetId="5" r:id="rId4"/>
    <sheet name="Languages" sheetId="6" state="hidden" r:id="rId5"/>
  </sheets>
  <definedNames>
    <definedName name="AllData">Report!$A$9:$I$20</definedName>
  </definedName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5" i="4" l="1"/>
  <c r="G1" i="3" l="1"/>
  <c r="A2" i="3"/>
  <c r="A2" i="4"/>
  <c r="B6" i="4" l="1"/>
  <c r="B5" i="4"/>
  <c r="D1" i="4"/>
  <c r="B7" i="4" l="1"/>
  <c r="C11" i="3"/>
  <c r="C12" i="3"/>
  <c r="C13" i="3"/>
  <c r="C14" i="3"/>
  <c r="C15" i="3"/>
  <c r="C16" i="3"/>
  <c r="C17" i="3"/>
  <c r="C18" i="3"/>
  <c r="C19" i="3"/>
  <c r="C20" i="3"/>
  <c r="C10" i="3"/>
  <c r="B6" i="3"/>
  <c r="B5" i="3"/>
  <c r="B7" i="3" l="1"/>
  <c r="I10" i="3" l="1"/>
  <c r="I20" i="3" l="1"/>
  <c r="E20" i="3"/>
  <c r="F20" i="3" s="1"/>
  <c r="D20" i="3"/>
  <c r="B20" i="3"/>
  <c r="A20" i="3"/>
  <c r="I19" i="3"/>
  <c r="E19" i="3"/>
  <c r="F19" i="3" s="1"/>
  <c r="D19" i="3"/>
  <c r="B19" i="3"/>
  <c r="A19" i="3"/>
  <c r="I18" i="3"/>
  <c r="E18" i="3"/>
  <c r="F18" i="3" s="1"/>
  <c r="D18" i="3"/>
  <c r="B18" i="3"/>
  <c r="A18" i="3"/>
  <c r="I17" i="3"/>
  <c r="E17" i="3"/>
  <c r="F17" i="3" s="1"/>
  <c r="D17" i="3"/>
  <c r="B17" i="3"/>
  <c r="A17" i="3"/>
  <c r="I16" i="3"/>
  <c r="E16" i="3"/>
  <c r="F16" i="3" s="1"/>
  <c r="D16" i="3"/>
  <c r="B16" i="3"/>
  <c r="A16" i="3"/>
  <c r="I15" i="3"/>
  <c r="E15" i="3"/>
  <c r="F15" i="3" s="1"/>
  <c r="D15" i="3"/>
  <c r="B15" i="3"/>
  <c r="A15" i="3"/>
  <c r="I14" i="3"/>
  <c r="E14" i="3"/>
  <c r="F14" i="3" s="1"/>
  <c r="D14" i="3"/>
  <c r="B14" i="3"/>
  <c r="A14" i="3"/>
  <c r="I13" i="3"/>
  <c r="E13" i="3"/>
  <c r="F13" i="3" s="1"/>
  <c r="D13" i="3"/>
  <c r="B13" i="3"/>
  <c r="A13" i="3"/>
  <c r="I12" i="3"/>
  <c r="E12" i="3"/>
  <c r="F12" i="3" s="1"/>
  <c r="D12" i="3"/>
  <c r="B12" i="3"/>
  <c r="A12" i="3"/>
  <c r="I11" i="3"/>
  <c r="E11" i="3"/>
  <c r="F11" i="3" s="1"/>
  <c r="D11" i="3"/>
  <c r="B11" i="3"/>
  <c r="A11" i="3"/>
  <c r="E10" i="3"/>
  <c r="F10" i="3" s="1"/>
  <c r="D10" i="3"/>
  <c r="B10" i="3"/>
  <c r="A10" i="3"/>
  <c r="G11" i="3" l="1"/>
  <c r="H11" i="3"/>
  <c r="G13" i="3"/>
  <c r="H13" i="3"/>
  <c r="G12" i="3"/>
  <c r="H12" i="3"/>
  <c r="G14" i="3"/>
  <c r="H14" i="3"/>
  <c r="G16" i="3"/>
  <c r="H16" i="3"/>
  <c r="G18" i="3"/>
  <c r="H18" i="3"/>
  <c r="G20" i="3"/>
  <c r="H20" i="3"/>
  <c r="G15" i="3"/>
  <c r="H15" i="3"/>
  <c r="G17" i="3"/>
  <c r="H17" i="3"/>
  <c r="G19" i="3"/>
  <c r="H19" i="3"/>
  <c r="G10" i="3"/>
  <c r="H10" i="3"/>
  <c r="I1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HosViolation.20</t>
        </r>
      </text>
    </comment>
  </commentList>
</comments>
</file>

<file path=xl/sharedStrings.xml><?xml version="1.0" encoding="utf-8"?>
<sst xmlns="http://schemas.openxmlformats.org/spreadsheetml/2006/main" count="198" uniqueCount="127">
  <si>
    <t>FromDate</t>
  </si>
  <si>
    <t>ToDate</t>
  </si>
  <si>
    <t>RunDate</t>
  </si>
  <si>
    <t>CompanyName</t>
  </si>
  <si>
    <t>DistanceUnit</t>
  </si>
  <si>
    <t>SpeedUnit</t>
  </si>
  <si>
    <t>SendReport</t>
  </si>
  <si>
    <t>LastModifiedUser</t>
  </si>
  <si>
    <t>.Driver.UserName</t>
  </si>
  <si>
    <t>.Driver.UserId</t>
  </si>
  <si>
    <t>HosViolationStartDateTime</t>
  </si>
  <si>
    <t>HosViolationEndDateTime</t>
  </si>
  <si>
    <t>HosViolationDrivingDuration</t>
  </si>
  <si>
    <t>HosViolationType</t>
  </si>
  <si>
    <t>HosViolationReason</t>
  </si>
  <si>
    <t>Driving</t>
  </si>
  <si>
    <t>Type</t>
  </si>
  <si>
    <t>**&lt;No User&gt;</t>
  </si>
  <si>
    <t>b42</t>
  </si>
  <si>
    <t>miles</t>
  </si>
  <si>
    <t>mph</t>
  </si>
  <si>
    <t>b2B</t>
  </si>
  <si>
    <t>Rest</t>
  </si>
  <si>
    <t>Driving after more than 8 hour rest limit</t>
  </si>
  <si>
    <t>Workday</t>
  </si>
  <si>
    <t>Maximum 14 hour work day limit violation</t>
  </si>
  <si>
    <t>bE4</t>
  </si>
  <si>
    <t>Maximum 11 hour driving limit violation</t>
  </si>
  <si>
    <t>bAF</t>
  </si>
  <si>
    <t>Fleet Name</t>
  </si>
  <si>
    <t>Hide</t>
  </si>
  <si>
    <t>**Date</t>
  </si>
  <si>
    <t>**From</t>
  </si>
  <si>
    <t>**To</t>
  </si>
  <si>
    <t>**Days</t>
  </si>
  <si>
    <t>**Egregious HOS Violations Cost Report</t>
  </si>
  <si>
    <t>a</t>
  </si>
  <si>
    <t>b</t>
  </si>
  <si>
    <t>c</t>
  </si>
  <si>
    <t>d</t>
  </si>
  <si>
    <t>English</t>
  </si>
  <si>
    <t>French</t>
  </si>
  <si>
    <t>Spanish</t>
  </si>
  <si>
    <t>German</t>
  </si>
  <si>
    <t>Japanese</t>
  </si>
  <si>
    <t>**Driver</t>
  </si>
  <si>
    <t>Conducteur</t>
  </si>
  <si>
    <t>Conductor</t>
  </si>
  <si>
    <t>Fahrer</t>
  </si>
  <si>
    <t>ドライバー</t>
  </si>
  <si>
    <t>**Start Date</t>
  </si>
  <si>
    <t>Date de début</t>
  </si>
  <si>
    <t>Fecha de inicio</t>
  </si>
  <si>
    <t>Startdatum</t>
  </si>
  <si>
    <t>開始日</t>
  </si>
  <si>
    <t>**End Date</t>
  </si>
  <si>
    <t>Date de fin</t>
  </si>
  <si>
    <t>Fecha de finalización</t>
  </si>
  <si>
    <t>Enddatum</t>
  </si>
  <si>
    <t>終了日</t>
  </si>
  <si>
    <t>**Driving Duration</t>
  </si>
  <si>
    <t>Durée de conduite</t>
  </si>
  <si>
    <t>Duración de conducción</t>
  </si>
  <si>
    <t>Fahrtendauer</t>
  </si>
  <si>
    <t>運転期間</t>
  </si>
  <si>
    <t>**Type</t>
  </si>
  <si>
    <t>Tipo</t>
  </si>
  <si>
    <t>Typ</t>
  </si>
  <si>
    <t>種類</t>
  </si>
  <si>
    <t>**Reason</t>
  </si>
  <si>
    <t>Raison</t>
  </si>
  <si>
    <t>Motivo</t>
  </si>
  <si>
    <t>Grund</t>
  </si>
  <si>
    <t>理由</t>
  </si>
  <si>
    <t>**HOS Driver Logs</t>
  </si>
  <si>
    <t>Registre HDS du chauffeur</t>
  </si>
  <si>
    <t>Registros de horas de servicio del conductor</t>
  </si>
  <si>
    <t>Fahrerlenkzeit (HOS) Protokolle</t>
  </si>
  <si>
    <t>HOS ドライバーログ</t>
  </si>
  <si>
    <t>**Summary</t>
  </si>
  <si>
    <t>Sommaire</t>
  </si>
  <si>
    <t>Resumen</t>
  </si>
  <si>
    <t>Zusammenfassung</t>
  </si>
  <si>
    <t>走行データ</t>
  </si>
  <si>
    <t>**Created</t>
  </si>
  <si>
    <t>Créé</t>
  </si>
  <si>
    <t>Creado</t>
  </si>
  <si>
    <t>Angelegt</t>
  </si>
  <si>
    <t>作成済</t>
  </si>
  <si>
    <t>À partir de</t>
  </si>
  <si>
    <t>De</t>
  </si>
  <si>
    <t>Von</t>
  </si>
  <si>
    <t>から</t>
  </si>
  <si>
    <t>Pour</t>
  </si>
  <si>
    <t>Para</t>
  </si>
  <si>
    <t>An</t>
  </si>
  <si>
    <t>へ</t>
  </si>
  <si>
    <t>**First Name</t>
  </si>
  <si>
    <t>Prénom</t>
  </si>
  <si>
    <t>Nombre</t>
  </si>
  <si>
    <t>Vorname</t>
  </si>
  <si>
    <t>ファーストネー</t>
  </si>
  <si>
    <t>**Last Name</t>
  </si>
  <si>
    <t>Nom de famille</t>
  </si>
  <si>
    <t>Apellido</t>
  </si>
  <si>
    <t>Nachname</t>
  </si>
  <si>
    <t>ラストネーム</t>
  </si>
  <si>
    <t>**Check</t>
  </si>
  <si>
    <t>**Time and Date</t>
  </si>
  <si>
    <t>**ELD Driver Violations Alert</t>
  </si>
  <si>
    <t>**Drivers in Violation</t>
  </si>
  <si>
    <t>**Hours</t>
  </si>
  <si>
    <t>**Driving Violation Count</t>
  </si>
  <si>
    <t>**Company Penalty ($16,000 per violation)</t>
  </si>
  <si>
    <t>**Company Penalty</t>
  </si>
  <si>
    <t>**Driver Penalty</t>
  </si>
  <si>
    <t>**Driver Penalty ($3,750 per violation)</t>
  </si>
  <si>
    <t>Grand Total</t>
  </si>
  <si>
    <t>Data</t>
  </si>
  <si>
    <t>**Number of Egrogrious Violations</t>
  </si>
  <si>
    <t>**Total Driver Penalty ($3,750 per violation)</t>
  </si>
  <si>
    <t>**Total Company Penalty ($16,000 per violation)</t>
  </si>
  <si>
    <t>**The FMCSA considers any Driver who continues to drive for more than three hours beyond their driving limits as an egregious violator. The Carrier can be fined up to $16000 while the Driver can fined up to $3750. This report can run as a dashboard or as an emailed report that captures any hours of service violations that are longer than three hours and plots on a graph the total potential cost to your organization of these violations.</t>
  </si>
  <si>
    <t>**Total Company Penalty</t>
  </si>
  <si>
    <t>**Total Driver Penalty</t>
  </si>
  <si>
    <t>**HOS Violations Penalty</t>
  </si>
  <si>
    <t>**Penalty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</si>
</sst>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[$-409]_(&quot;$&quot;* #,##0.00_);[$-409]_(&quot;$&quot;* \(#,##0.00\);[$-409]_(&quot;$&quot;* &quot;-&quot;??_);_(@_)"/>
    <numFmt numFmtId="165" formatCode="[$-409]dd/mm/yyyy\ h:mm:ss\ AM/PM"/>
    <numFmt numFmtId="166" formatCode="[$-409]0;[$-409]\-0;[$-409];@"/>
    <numFmt numFmtId="167" formatCode="[$-409]mmm\ dd\,\ yyyy"/>
    <numFmt numFmtId="168" formatCode="[$-409]mmm\ dd\,\ yyyy\ h:mm:ss\ AM/PM"/>
    <numFmt numFmtId="169" formatCode="[$-409][h]:mm"/>
    <numFmt numFmtId="170" formatCode="[$-409]&quot;$&quot;#,##0"/>
    <numFmt numFmtId="171" formatCode="[$-409]m/d/yy\ h:mm"/>
    <numFmt numFmtId="172" formatCode="&quot;$&quot;#,##0"/>
    <numFmt numFmtId="173" formatCode="[$-409]dddd\,\ mmm\ dd\,\ yyyy\,\ h:mm:ss\ AM/PM"/>
    <numFmt numFmtId="174" formatCode="mmm\ dd\,\ yyyy"/>
    <numFmt numFmtId="175" formatCode="&quot;$&quot;#,##0.00"/>
  </numFmts>
  <fonts count="3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7"/>
      <color indexed="8"/>
      <name val="Tahoma"/>
      <family val="2"/>
    </font>
    <font>
      <sz val="8"/>
      <color indexed="8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3"/>
      <name val="Cambria"/>
      <family val="2"/>
      <scheme val="major"/>
    </font>
    <font>
      <b/>
      <sz val="8"/>
      <color theme="1"/>
      <name val="Tahoma"/>
      <family val="2"/>
    </font>
    <font>
      <sz val="11"/>
      <color theme="3"/>
      <name val="Segoe UI"/>
      <family val="2"/>
    </font>
    <font>
      <sz val="12"/>
      <color theme="0" tint="-0.34998626667073579"/>
      <name val="Segoe UI"/>
      <family val="2"/>
    </font>
    <font>
      <b/>
      <sz val="10"/>
      <name val="Arial"/>
      <family val="2"/>
    </font>
    <font>
      <b/>
      <sz val="18"/>
      <color theme="0"/>
      <name val="Calibri"/>
      <family val="2"/>
      <scheme val="minor"/>
    </font>
    <font>
      <sz val="18"/>
      <color theme="0"/>
      <name val="Segoe UI"/>
      <family val="2"/>
    </font>
    <font>
      <b/>
      <sz val="18"/>
      <color theme="0"/>
      <name val="Segoe UI"/>
      <family val="2"/>
    </font>
    <font>
      <sz val="12"/>
      <color theme="0"/>
      <name val="Segoe UI"/>
      <family val="2"/>
    </font>
    <font>
      <sz val="18"/>
      <color theme="3"/>
      <name val="Segoe UI"/>
      <family val="2"/>
    </font>
    <font>
      <sz val="10"/>
      <name val="Segoe UI"/>
      <family val="2"/>
    </font>
    <font>
      <sz val="11"/>
      <color theme="0"/>
      <name val="Segoe UI"/>
      <family val="2"/>
    </font>
    <font>
      <sz val="11"/>
      <name val="Segoe U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Calibri"/>
      <family val="2"/>
    </font>
    <font>
      <b/>
      <sz val="14"/>
      <color theme="5" tint="-0.249977111117893"/>
      <name val="Calibri"/>
      <family val="2"/>
    </font>
    <font>
      <b/>
      <sz val="12"/>
      <color theme="0"/>
      <name val="Segoe UI"/>
      <family val="2"/>
    </font>
    <font>
      <b/>
      <sz val="11"/>
      <color theme="1"/>
      <name val="Segoe UI"/>
      <family val="2"/>
    </font>
    <font>
      <sz val="11"/>
      <name val="Segoe UI"/>
    </font>
    <font>
      <b/>
      <sz val="12"/>
      <name val="Segoe UI"/>
    </font>
  </fonts>
  <fills count="1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56A1D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30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164" fontId="4" fillId="0" borderId="0" applyFont="0" applyFill="0" applyBorder="0" applyAlignment="0" applyProtection="0"/>
    <xf numFmtId="0" fontId="7" fillId="10" borderId="0" applyNumberFormat="0"/>
    <xf numFmtId="0" fontId="8" fillId="0" borderId="0" applyNumberFormat="0" applyAlignment="0"/>
    <xf numFmtId="0" fontId="9" fillId="10" borderId="0" applyNumberFormat="0"/>
    <xf numFmtId="167" fontId="5" fillId="10" borderId="0"/>
    <xf numFmtId="0" fontId="10" fillId="0" borderId="0" applyNumberFormat="0"/>
    <xf numFmtId="0" fontId="11" fillId="0" borderId="0" applyNumberFormat="0"/>
    <xf numFmtId="0" fontId="12" fillId="0" borderId="0" applyNumberFormat="0" applyFill="0" applyBorder="0" applyAlignment="0" applyProtection="0"/>
    <xf numFmtId="0" fontId="10" fillId="0" borderId="0" applyNumberFormat="0"/>
    <xf numFmtId="0" fontId="15" fillId="0" borderId="0" applyNumberFormat="0" applyFill="0" applyBorder="0" applyAlignment="0" applyProtection="0">
      <alignment horizontal="right"/>
    </xf>
    <xf numFmtId="0" fontId="25" fillId="0" borderId="0"/>
    <xf numFmtId="0" fontId="17" fillId="14" borderId="0" applyNumberFormat="0"/>
    <xf numFmtId="174" fontId="6" fillId="14" borderId="0"/>
    <xf numFmtId="0" fontId="28" fillId="0" borderId="0" applyNumberFormat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167" fontId="1" fillId="10" borderId="0"/>
    <xf numFmtId="167" fontId="6" fillId="14" borderId="0"/>
  </cellStyleXfs>
  <cellXfs count="65">
    <xf numFmtId="0" fontId="0" fillId="0" borderId="0" xfId="0"/>
    <xf numFmtId="0" fontId="2" fillId="9" borderId="1" xfId="0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13" fillId="0" borderId="0" xfId="0" applyFont="1"/>
    <xf numFmtId="171" fontId="0" fillId="0" borderId="0" xfId="0" applyNumberFormat="1"/>
    <xf numFmtId="0" fontId="14" fillId="0" borderId="0" xfId="11" applyFont="1"/>
    <xf numFmtId="167" fontId="14" fillId="0" borderId="0" xfId="11" applyNumberFormat="1" applyFont="1" applyAlignment="1">
      <alignment horizontal="left"/>
    </xf>
    <xf numFmtId="165" fontId="14" fillId="0" borderId="0" xfId="11" applyNumberFormat="1" applyFont="1"/>
    <xf numFmtId="0" fontId="3" fillId="0" borderId="0" xfId="0" applyNumberFormat="1" applyFont="1" applyAlignment="1">
      <alignment horizontal="left"/>
    </xf>
    <xf numFmtId="169" fontId="3" fillId="0" borderId="0" xfId="0" applyNumberFormat="1" applyFont="1" applyAlignment="1">
      <alignment horizontal="left"/>
    </xf>
    <xf numFmtId="0" fontId="0" fillId="0" borderId="0" xfId="0" applyAlignment="1">
      <alignment wrapText="1"/>
    </xf>
    <xf numFmtId="172" fontId="0" fillId="0" borderId="0" xfId="0" applyNumberFormat="1"/>
    <xf numFmtId="0" fontId="18" fillId="11" borderId="0" xfId="10" applyFont="1" applyFill="1" applyAlignment="1">
      <alignment vertical="center"/>
    </xf>
    <xf numFmtId="0" fontId="19" fillId="11" borderId="0" xfId="10" applyFont="1" applyFill="1" applyAlignment="1">
      <alignment vertical="center"/>
    </xf>
    <xf numFmtId="173" fontId="20" fillId="11" borderId="0" xfId="11" applyNumberFormat="1" applyFont="1" applyFill="1" applyAlignment="1">
      <alignment vertical="center"/>
    </xf>
    <xf numFmtId="2" fontId="19" fillId="11" borderId="0" xfId="10" applyNumberFormat="1" applyFont="1" applyFill="1" applyAlignment="1">
      <alignment horizontal="center" vertical="center"/>
    </xf>
    <xf numFmtId="0" fontId="21" fillId="0" borderId="0" xfId="10" applyFont="1" applyFill="1" applyAlignment="1">
      <alignment vertical="center"/>
    </xf>
    <xf numFmtId="0" fontId="19" fillId="0" borderId="0" xfId="10" applyFont="1" applyFill="1"/>
    <xf numFmtId="2" fontId="19" fillId="0" borderId="0" xfId="10" applyNumberFormat="1" applyFont="1" applyFill="1" applyAlignment="1">
      <alignment horizontal="center"/>
    </xf>
    <xf numFmtId="0" fontId="19" fillId="0" borderId="0" xfId="10" applyFont="1" applyFill="1" applyAlignment="1">
      <alignment horizontal="center"/>
    </xf>
    <xf numFmtId="0" fontId="22" fillId="0" borderId="0" xfId="0" applyFont="1"/>
    <xf numFmtId="2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67" fontId="24" fillId="0" borderId="0" xfId="11" applyNumberFormat="1" applyFont="1" applyAlignment="1"/>
    <xf numFmtId="0" fontId="24" fillId="13" borderId="4" xfId="17" applyFont="1" applyFill="1" applyBorder="1" applyAlignment="1">
      <alignment horizontal="center" vertical="center"/>
    </xf>
    <xf numFmtId="167" fontId="24" fillId="13" borderId="4" xfId="17" applyNumberFormat="1" applyFont="1" applyFill="1" applyBorder="1" applyAlignment="1">
      <alignment horizontal="center" vertical="center"/>
    </xf>
    <xf numFmtId="2" fontId="24" fillId="0" borderId="0" xfId="11" applyNumberFormat="1" applyFont="1" applyAlignment="1">
      <alignment horizontal="center"/>
    </xf>
    <xf numFmtId="167" fontId="24" fillId="0" borderId="0" xfId="11" applyNumberFormat="1" applyFont="1" applyAlignment="1">
      <alignment horizontal="left"/>
    </xf>
    <xf numFmtId="0" fontId="24" fillId="0" borderId="0" xfId="11" applyFont="1"/>
    <xf numFmtId="1" fontId="24" fillId="13" borderId="4" xfId="17" applyNumberFormat="1" applyFont="1" applyFill="1" applyBorder="1" applyAlignment="1">
      <alignment horizontal="center" vertical="center"/>
    </xf>
    <xf numFmtId="0" fontId="24" fillId="0" borderId="0" xfId="11" applyFont="1" applyAlignment="1">
      <alignment horizontal="center"/>
    </xf>
    <xf numFmtId="168" fontId="24" fillId="0" borderId="0" xfId="11" applyNumberFormat="1" applyFont="1" applyAlignment="1">
      <alignment horizontal="left"/>
    </xf>
    <xf numFmtId="169" fontId="24" fillId="0" borderId="0" xfId="11" applyNumberFormat="1" applyFont="1" applyAlignment="1">
      <alignment horizontal="left"/>
    </xf>
    <xf numFmtId="166" fontId="24" fillId="0" borderId="0" xfId="11" applyNumberFormat="1" applyFont="1" applyAlignment="1">
      <alignment horizontal="left"/>
    </xf>
    <xf numFmtId="170" fontId="24" fillId="0" borderId="0" xfId="9" applyNumberFormat="1" applyFont="1" applyAlignment="1">
      <alignment horizontal="left"/>
    </xf>
    <xf numFmtId="0" fontId="26" fillId="0" borderId="0" xfId="19" applyFont="1"/>
    <xf numFmtId="0" fontId="25" fillId="0" borderId="0" xfId="19"/>
    <xf numFmtId="0" fontId="27" fillId="0" borderId="0" xfId="19" applyFont="1"/>
    <xf numFmtId="167" fontId="20" fillId="11" borderId="0" xfId="11" applyNumberFormat="1" applyFont="1" applyFill="1" applyAlignment="1">
      <alignment horizontal="center" vertical="center"/>
    </xf>
    <xf numFmtId="167" fontId="20" fillId="11" borderId="0" xfId="11" applyNumberFormat="1" applyFont="1" applyFill="1" applyAlignment="1">
      <alignment vertical="center"/>
    </xf>
    <xf numFmtId="0" fontId="0" fillId="0" borderId="0" xfId="0" applyNumberFormat="1"/>
    <xf numFmtId="0" fontId="16" fillId="0" borderId="0" xfId="0" applyFont="1" applyAlignment="1">
      <alignment wrapText="1"/>
    </xf>
    <xf numFmtId="0" fontId="25" fillId="0" borderId="0" xfId="19" applyAlignment="1">
      <alignment wrapText="1"/>
    </xf>
    <xf numFmtId="0" fontId="25" fillId="0" borderId="0" xfId="19" applyAlignment="1">
      <alignment wrapText="1"/>
    </xf>
    <xf numFmtId="0" fontId="29" fillId="11" borderId="0" xfId="18" applyFont="1" applyFill="1" applyAlignment="1">
      <alignment vertical="center" wrapText="1"/>
    </xf>
    <xf numFmtId="0" fontId="29" fillId="11" borderId="0" xfId="18" applyFont="1" applyFill="1" applyAlignment="1">
      <alignment vertical="center"/>
    </xf>
    <xf numFmtId="0" fontId="0" fillId="0" borderId="0" xfId="0" applyFont="1" applyAlignment="1"/>
    <xf numFmtId="0" fontId="0" fillId="0" borderId="0" xfId="0" applyAlignment="1">
      <alignment vertical="center"/>
    </xf>
    <xf numFmtId="172" fontId="30" fillId="0" borderId="0" xfId="14" applyNumberFormat="1" applyFont="1"/>
    <xf numFmtId="172" fontId="14" fillId="0" borderId="0" xfId="11" applyNumberFormat="1" applyFont="1" applyAlignment="1">
      <alignment horizontal="left"/>
    </xf>
    <xf numFmtId="0" fontId="24" fillId="0" borderId="0" xfId="0" applyFont="1"/>
    <xf numFmtId="172" fontId="24" fillId="0" borderId="0" xfId="0" applyNumberFormat="1" applyFont="1"/>
    <xf numFmtId="0" fontId="24" fillId="0" borderId="0" xfId="0" applyFont="1" applyAlignment="1">
      <alignment wrapText="1"/>
    </xf>
    <xf numFmtId="0" fontId="23" fillId="12" borderId="2" xfId="17" applyFont="1" applyFill="1" applyBorder="1" applyAlignment="1">
      <alignment horizontal="center" vertical="center"/>
    </xf>
    <xf numFmtId="0" fontId="23" fillId="12" borderId="3" xfId="17" applyFont="1" applyFill="1" applyBorder="1" applyAlignment="1">
      <alignment horizontal="center" vertical="center"/>
    </xf>
    <xf numFmtId="0" fontId="24" fillId="15" borderId="5" xfId="0" applyFont="1" applyFill="1" applyBorder="1" applyAlignment="1">
      <alignment horizontal="left" vertical="top" wrapText="1" indent="5"/>
    </xf>
    <xf numFmtId="0" fontId="31" fillId="0" borderId="0" xfId="0" applyFont="1"/>
    <xf numFmtId="172" fontId="31" fillId="0" borderId="0" xfId="0" pivotButton="1" applyNumberFormat="1" applyFont="1"/>
    <xf numFmtId="172" fontId="31" fillId="0" borderId="0" xfId="0" applyNumberFormat="1" applyFont="1"/>
    <xf numFmtId="0" fontId="31" fillId="0" borderId="0" xfId="0" applyFont="1" applyAlignment="1">
      <alignment wrapText="1"/>
    </xf>
    <xf numFmtId="175" fontId="31" fillId="0" borderId="0" xfId="0" applyNumberFormat="1" applyFont="1"/>
    <xf numFmtId="0" fontId="31" fillId="0" borderId="0" xfId="0" applyNumberFormat="1" applyFont="1"/>
    <xf numFmtId="0" fontId="32" fillId="0" borderId="0" xfId="0" pivotButton="1" applyFont="1" applyAlignment="1">
      <alignment wrapText="1"/>
    </xf>
    <xf numFmtId="0" fontId="32" fillId="0" borderId="0" xfId="0" applyFont="1" applyAlignment="1">
      <alignment wrapText="1"/>
    </xf>
  </cellXfs>
  <cellStyles count="30">
    <cellStyle name="20% - Accent1" xfId="1" builtinId="30" customBuiltin="1"/>
    <cellStyle name="20% - Accent1 2" xfId="23" xr:uid="{803649C7-B781-4915-8263-01FDF2ECC697}"/>
    <cellStyle name="20% - Accent2" xfId="2" builtinId="34" customBuiltin="1"/>
    <cellStyle name="20% - Accent2 2" xfId="24" xr:uid="{98B25D63-C064-4F31-BD79-0727579DDA40}"/>
    <cellStyle name="20% - Accent3" xfId="3" builtinId="38" customBuiltin="1"/>
    <cellStyle name="20% - Accent3 2" xfId="25" xr:uid="{FF69277B-3FF2-4B40-BE0C-0790319EFA9B}"/>
    <cellStyle name="20% - Accent4" xfId="4" builtinId="42" customBuiltin="1"/>
    <cellStyle name="20% - Accent4 2" xfId="26" xr:uid="{6A4CB9B4-B1D7-46F0-8B84-D6A0927928FE}"/>
    <cellStyle name="40% - Accent3" xfId="5" builtinId="39" customBuiltin="1"/>
    <cellStyle name="40% - Accent3 2" xfId="27" xr:uid="{FB3997A7-7CA5-4330-9F28-C5B104341BFC}"/>
    <cellStyle name="60% - Accent3" xfId="6" builtinId="40" customBuiltin="1"/>
    <cellStyle name="60% - Accent4" xfId="7" builtinId="44" customBuiltin="1"/>
    <cellStyle name="60% - Accent6" xfId="8" builtinId="52" customBuiltin="1"/>
    <cellStyle name="Currency" xfId="9" builtinId="4"/>
    <cellStyle name="Geotab Heading" xfId="20" xr:uid="{1003FB1C-1DB5-4B05-85C2-CCB617B155EC}"/>
    <cellStyle name="Geotab Report Creation DateTime" xfId="21" xr:uid="{96B88C5F-5E80-415E-9EE7-837371E284C7}"/>
    <cellStyle name="Geotab Report Creation DateTime 2" xfId="29" xr:uid="{ACAA1DA1-BF51-4CD4-AAA1-1CFC141F1C94}"/>
    <cellStyle name="Geotab Report Field Name" xfId="17" xr:uid="{72519481-6DED-4680-B178-44E3E7072131}"/>
    <cellStyle name="Geotab Report Name" xfId="22" xr:uid="{A63D2B8D-AC5C-4D39-AC57-66AB44AAC5C9}"/>
    <cellStyle name="Heading" xfId="10" xr:uid="{00000000-0005-0000-0000-000009000000}"/>
    <cellStyle name="Normal" xfId="0" builtinId="0" customBuiltin="1"/>
    <cellStyle name="Normal 2" xfId="19" xr:uid="{8ACED918-9393-415B-9D0F-CC663608ED2C}"/>
    <cellStyle name="Report Body" xfId="11" xr:uid="{00000000-0005-0000-0000-00000B000000}"/>
    <cellStyle name="Report Column Header" xfId="12" xr:uid="{00000000-0005-0000-0000-00000C000000}"/>
    <cellStyle name="Report Creation DateTime" xfId="13" xr:uid="{00000000-0005-0000-0000-00000D000000}"/>
    <cellStyle name="Report Creation DateTime 2" xfId="28" xr:uid="{33932599-CBA9-4A7D-AA11-AE06EA2A35D3}"/>
    <cellStyle name="Report Field Name" xfId="14" xr:uid="{00000000-0005-0000-0000-00000E000000}"/>
    <cellStyle name="Report Name" xfId="15" xr:uid="{00000000-0005-0000-0000-00000F000000}"/>
    <cellStyle name="StandardReportHeading" xfId="18" xr:uid="{9A41BAFC-0031-4906-9EE9-2323A5A65D56}"/>
    <cellStyle name="Title" xfId="16" builtinId="15" customBuiltin="1"/>
  </cellStyles>
  <dxfs count="52">
    <dxf>
      <font>
        <color theme="0" tint="-0.34998626667073579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175" formatCode="&quot;$&quot;#,##0.00"/>
    </dxf>
    <dxf>
      <alignment wrapText="1"/>
    </dxf>
    <dxf>
      <alignment wrapText="1"/>
    </dxf>
    <dxf>
      <alignment wrapText="1"/>
    </dxf>
    <dxf>
      <numFmt numFmtId="175" formatCode="&quot;$&quot;#,##0.00"/>
    </dxf>
    <dxf>
      <alignment wrapText="1"/>
    </dxf>
    <dxf>
      <alignment wrapText="1"/>
    </dxf>
    <dxf>
      <numFmt numFmtId="172" formatCode="&quot;$&quot;#,##0"/>
    </dxf>
    <dxf>
      <numFmt numFmtId="172" formatCode="&quot;$&quot;#,##0"/>
    </dxf>
    <dxf>
      <alignment wrapText="1" readingOrder="0"/>
    </dxf>
    <dxf>
      <fill>
        <patternFill patternType="solid">
          <fgColor theme="5" tint="0.79995117038483843"/>
          <bgColor theme="0" tint="-4.9989318521683403E-2"/>
        </patternFill>
      </fill>
      <border>
        <bottom style="thin">
          <color theme="5" tint="0.39997558519241921"/>
        </bottom>
      </border>
    </dxf>
    <dxf>
      <fill>
        <patternFill patternType="solid">
          <fgColor theme="5" tint="0.79995117038483843"/>
          <bgColor theme="0" tint="-4.9989318521683403E-2"/>
        </patternFill>
      </fill>
      <border>
        <bottom style="thin">
          <color theme="5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5" tint="0.39997558519241921"/>
        </bottom>
      </border>
    </dxf>
    <dxf>
      <font>
        <color theme="1"/>
      </font>
    </dxf>
    <dxf>
      <font>
        <b/>
        <i val="0"/>
        <color theme="1"/>
      </font>
      <fill>
        <patternFill>
          <bgColor theme="0" tint="-4.9989318521683403E-2"/>
        </patternFill>
      </fill>
      <border>
        <top style="thin">
          <color theme="5"/>
        </top>
        <bottom style="thin">
          <color theme="5"/>
        </bottom>
      </border>
    </dxf>
    <dxf>
      <font>
        <color theme="1"/>
      </font>
      <fill>
        <patternFill patternType="solid">
          <fgColor theme="0" tint="-0.14993743705557422"/>
          <bgColor theme="0" tint="-4.9989318521683403E-2"/>
        </patternFill>
      </fill>
    </dxf>
    <dxf>
      <fill>
        <patternFill patternType="solid">
          <fgColor theme="0" tint="-0.14990691854609822"/>
          <bgColor theme="0" tint="-4.9989318521683403E-2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>
          <fgColor theme="8"/>
          <bgColor theme="8"/>
        </patternFill>
      </fill>
    </dxf>
    <dxf>
      <font>
        <b/>
        <i val="0"/>
        <color theme="1"/>
      </font>
      <fill>
        <patternFill patternType="solid">
          <fgColor theme="5" tint="0.79985961485641044"/>
          <bgColor theme="0" tint="-4.9989318521683403E-2"/>
        </patternFill>
      </fill>
      <border>
        <top style="thin">
          <color theme="5" tint="0.39997558519241921"/>
        </top>
      </border>
    </dxf>
    <dxf>
      <font>
        <b/>
        <i val="0"/>
        <color theme="1"/>
      </font>
      <fill>
        <patternFill patternType="solid">
          <fgColor theme="5" tint="0.79989013336588644"/>
          <bgColor theme="0" tint="-4.9989318521683403E-2"/>
        </patternFill>
      </fill>
      <border>
        <bottom style="thin">
          <color theme="5" tint="0.39997558519241921"/>
        </bottom>
      </border>
    </dxf>
    <dxf>
      <font>
        <color theme="3"/>
      </font>
    </dxf>
  </dxfs>
  <tableStyles count="1" defaultTableStyle="TableStyleMedium9" defaultPivotStyle="PivotStyleLight16">
    <tableStyle name="PivotStyleLightCustom" table="0" count="12" xr9:uid="{00000000-0011-0000-FFFF-FFFF00000000}">
      <tableStyleElement type="wholeTable" dxfId="51"/>
      <tableStyleElement type="headerRow" dxfId="50"/>
      <tableStyleElement type="totalRow" dxfId="49"/>
      <tableStyleElement type="secondRowStripe" dxfId="48"/>
      <tableStyleElement type="firstColumnStripe" dxfId="47"/>
      <tableStyleElement type="firstSubtotalColumn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</tableStyles>
  <colors>
    <mruColors>
      <color rgb="FFCC0000"/>
      <color rgb="FFFF0000"/>
      <color rgb="FF2547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Summary!$H$13</c:f>
          <c:strCache>
            <c:ptCount val="1"/>
            <c:pt idx="0">
              <c:v>**HOS Violations Penalty</c:v>
            </c:pt>
          </c:strCache>
        </c:strRef>
      </c:tx>
      <c:layout>
        <c:manualLayout>
          <c:xMode val="edge"/>
          <c:yMode val="edge"/>
          <c:x val="0.15421296296296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A184D">
                  <a:lumMod val="20000"/>
                  <a:lumOff val="80000"/>
                </a:srgbClr>
              </a:solidFill>
              <a:ln>
                <a:solidFill>
                  <a:srgbClr val="EA184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27-42BC-AA00-C4C22FF5BDEF}"/>
              </c:ext>
            </c:extLst>
          </c:dPt>
          <c:dPt>
            <c:idx val="1"/>
            <c:invertIfNegative val="0"/>
            <c:bubble3D val="0"/>
            <c:spPr>
              <a:solidFill>
                <a:srgbClr val="FF9600">
                  <a:lumMod val="40000"/>
                  <a:lumOff val="60000"/>
                </a:srgbClr>
              </a:solidFill>
              <a:ln>
                <a:solidFill>
                  <a:srgbClr val="FF96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27-42BC-AA00-C4C22FF5BDEF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Summary!$H$14:$I$14</c:f>
              <c:strCache>
                <c:ptCount val="2"/>
                <c:pt idx="0">
                  <c:v>**Total Company Penalty</c:v>
                </c:pt>
                <c:pt idx="1">
                  <c:v>**Total Driver Penalty</c:v>
                </c:pt>
              </c:strCache>
            </c:strRef>
          </c:cat>
          <c:val>
            <c:numRef>
              <c:f>Summary!$H$15:$I$15</c:f>
              <c:numCache>
                <c:formatCode>General</c:formatCode>
                <c:ptCount val="2"/>
                <c:pt idx="0">
                  <c:v>144000</c:v>
                </c:pt>
                <c:pt idx="1">
                  <c:v>33750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5-4292-B6CC-189BC02162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"/>
        <c:overlap val="-27"/>
        <c:axId val="1555339024"/>
        <c:axId val="1719234176"/>
      </c:barChart>
      <c:catAx>
        <c:axId val="155533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234176"/>
        <c:crosses val="autoZero"/>
        <c:auto val="1"/>
        <c:lblAlgn val="ctr"/>
        <c:lblOffset val="100"/>
        <c:noMultiLvlLbl val="0"/>
      </c:catAx>
      <c:valAx>
        <c:axId val="1719234176"/>
        <c:scaling>
          <c:orientation val="minMax"/>
        </c:scaling>
        <c:delete val="0"/>
        <c:axPos val="l"/>
        <c:title>
          <c:tx>
            <c:strRef>
              <c:f>Summary!$H$16</c:f>
              <c:strCache>
                <c:ptCount val="1"/>
                <c:pt idx="0">
                  <c:v>**Penalty Charges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33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10</xdr:row>
      <xdr:rowOff>381000</xdr:rowOff>
    </xdr:from>
    <xdr:to>
      <xdr:col>9</xdr:col>
      <xdr:colOff>552450</xdr:colOff>
      <xdr:row>22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123825</xdr:colOff>
      <xdr:row>2</xdr:row>
      <xdr:rowOff>133350</xdr:rowOff>
    </xdr:from>
    <xdr:to>
      <xdr:col>6</xdr:col>
      <xdr:colOff>457017</xdr:colOff>
      <xdr:row>4</xdr:row>
      <xdr:rowOff>36195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BF5B90-CEBE-40BD-9CE7-D2E518F5A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6325" y="781050"/>
          <a:ext cx="333192" cy="3409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123825</xdr:rowOff>
    </xdr:from>
    <xdr:to>
      <xdr:col>14</xdr:col>
      <xdr:colOff>347961</xdr:colOff>
      <xdr:row>28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F5D057-A576-4304-B2CA-0D247D3E0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1" y="123825"/>
          <a:ext cx="8729960" cy="4524375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akash Dubey" refreshedDate="44007.492582523148" createdVersion="4" refreshedVersion="6" minRefreshableVersion="3" recordCount="11" xr:uid="{00000000-000A-0000-FFFF-FFFF05000000}">
  <cacheSource type="worksheet">
    <worksheetSource name="AllData"/>
  </cacheSource>
  <cacheFields count="9">
    <cacheField name="**Driver" numFmtId="0">
      <sharedItems count="4">
        <s v="a"/>
        <s v="b"/>
        <s v="c"/>
        <s v="d"/>
      </sharedItems>
    </cacheField>
    <cacheField name="**Start Date" numFmtId="168">
      <sharedItems containsSemiMixedTypes="0" containsNonDate="0" containsDate="1" containsString="0" minDate="2016-08-22T23:48:40" maxDate="2016-11-10T01:26:04"/>
    </cacheField>
    <cacheField name="**End Date" numFmtId="168">
      <sharedItems/>
    </cacheField>
    <cacheField name="**Driving Duration" numFmtId="169">
      <sharedItems containsSemiMixedTypes="0" containsNonDate="0" containsDate="1" containsString="0" minDate="1899-12-30T00:16:13" maxDate="1900-03-22T17:24:03"/>
    </cacheField>
    <cacheField name="**Type" numFmtId="166">
      <sharedItems/>
    </cacheField>
    <cacheField name="**Driving Violation Count" numFmtId="166">
      <sharedItems containsSemiMixedTypes="0" containsString="0" containsNumber="1" containsInteger="1" minValue="0" maxValue="1"/>
    </cacheField>
    <cacheField name="**Company Penalty ($16,000 per violation)" numFmtId="170">
      <sharedItems containsMixedTypes="1" containsNumber="1" containsInteger="1" minValue="16000" maxValue="16000"/>
    </cacheField>
    <cacheField name="**Driver Penalty ($3,750 per violation)" numFmtId="170">
      <sharedItems containsMixedTypes="1" containsNumber="1" containsInteger="1" minValue="3750" maxValue="3750"/>
    </cacheField>
    <cacheField name="**Reason" numFmtId="0">
      <sharedItems count="3">
        <s v="Driving after more than 8 hour rest limit"/>
        <s v="Maximum 11 hour driving limit violation"/>
        <s v="Maximum 14 hour work day limit viola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d v="2016-10-21T16:32:14"/>
    <s v="Ongoing Violation"/>
    <d v="1899-12-30T00:16:13"/>
    <s v="Rest"/>
    <n v="0"/>
    <s v=""/>
    <s v=""/>
    <x v="0"/>
  </r>
  <r>
    <x v="0"/>
    <d v="2016-10-21T16:32:14"/>
    <s v="Ongoing Violation"/>
    <d v="1899-12-30T00:16:13"/>
    <s v="Workday"/>
    <n v="0"/>
    <s v=""/>
    <s v=""/>
    <x v="0"/>
  </r>
  <r>
    <x v="1"/>
    <d v="2016-08-23T02:48:40"/>
    <s v="Ongoing Violation"/>
    <d v="1900-03-22T14:24:03"/>
    <s v="Driving"/>
    <n v="1"/>
    <n v="16000"/>
    <n v="3750"/>
    <x v="1"/>
  </r>
  <r>
    <x v="1"/>
    <d v="2016-08-22T23:48:40"/>
    <s v="Ongoing Violation"/>
    <d v="1900-03-22T17:24:03"/>
    <s v="Rest"/>
    <n v="0"/>
    <n v="16000"/>
    <n v="3750"/>
    <x v="0"/>
  </r>
  <r>
    <x v="1"/>
    <d v="2016-08-23T07:48:40"/>
    <s v="Ongoing Violation"/>
    <d v="1900-03-22T09:24:03"/>
    <s v="Workday"/>
    <n v="0"/>
    <n v="16000"/>
    <n v="3750"/>
    <x v="2"/>
  </r>
  <r>
    <x v="2"/>
    <d v="2016-11-09T20:41:37"/>
    <s v="Ongoing Violation"/>
    <d v="1900-01-02T19:31:06"/>
    <s v="Driving"/>
    <n v="1"/>
    <n v="16000"/>
    <n v="3750"/>
    <x v="1"/>
  </r>
  <r>
    <x v="2"/>
    <d v="2016-11-09T17:26:04"/>
    <s v="Ongoing Violation"/>
    <d v="1900-01-02T22:46:38"/>
    <s v="Rest"/>
    <n v="0"/>
    <n v="16000"/>
    <n v="3750"/>
    <x v="0"/>
  </r>
  <r>
    <x v="2"/>
    <d v="2016-11-10T01:26:04"/>
    <s v="Ongoing Violation"/>
    <d v="1900-01-02T14:46:38"/>
    <s v="Workday"/>
    <n v="0"/>
    <n v="16000"/>
    <n v="3750"/>
    <x v="2"/>
  </r>
  <r>
    <x v="3"/>
    <d v="2016-09-10T04:12:30"/>
    <s v="Ongoing Violation"/>
    <d v="1900-03-04T13:00:12"/>
    <s v="Driving"/>
    <n v="1"/>
    <n v="16000"/>
    <n v="3750"/>
    <x v="1"/>
  </r>
  <r>
    <x v="3"/>
    <d v="2016-09-10T01:12:30"/>
    <s v="Ongoing Violation"/>
    <d v="1900-03-04T16:00:12"/>
    <s v="Rest"/>
    <n v="0"/>
    <n v="16000"/>
    <n v="3750"/>
    <x v="0"/>
  </r>
  <r>
    <x v="3"/>
    <d v="2016-09-10T09:12:30"/>
    <s v="Ongoing Violation"/>
    <d v="1900-03-04T08:00:12"/>
    <s v="Workday"/>
    <n v="0"/>
    <n v="16000"/>
    <n v="375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HOS Driver Logs" cacheId="4" applyNumberFormats="0" applyBorderFormats="0" applyFontFormats="0" applyPatternFormats="0" applyAlignmentFormats="0" applyWidthHeightFormats="1" dataCaption="Data" updatedVersion="6" minRefreshableVersion="3" showDrill="0" showMemberPropertyTips="0" colGrandTotals="0" itemPrintTitles="1" createdVersion="5" indent="0" compact="0" compactData="0" chartFormat="15">
  <location ref="A10:E21" firstHeaderRow="1" firstDataRow="2" firstDataCol="2"/>
  <pivotFields count="9">
    <pivotField axis="axisRow" compact="0" outline="0" showAll="0" measureFilter="1" defaultSubtotal="0">
      <items count="4">
        <item x="0"/>
        <item x="1"/>
        <item x="2"/>
        <item x="3"/>
      </items>
    </pivotField>
    <pivotField compact="0" numFmtId="168" outline="0" showAll="0" defaultSubtotal="0"/>
    <pivotField compact="0" outline="0" showAll="0" defaultSubtotal="0"/>
    <pivotField compact="0" numFmtId="169" outline="0" showAll="0" defaultSubtotal="0"/>
    <pivotField compact="0" outline="0" showAll="0" defaultSubtotal="0"/>
    <pivotField compact="0" numFmtId="166" outline="0" showAll="0" defaultSubtotal="0"/>
    <pivotField dataField="1" compact="0" outline="0" showAll="0" defaultSubtotal="0"/>
    <pivotField dataField="1" compact="0" outline="0" showAll="0" defaultSubtotal="0"/>
    <pivotField axis="axisRow" dataField="1" compact="0" outline="0" showAll="0" defaultSubtotal="0">
      <items count="3">
        <item x="0"/>
        <item x="1"/>
        <item x="2"/>
      </items>
    </pivotField>
  </pivotFields>
  <rowFields count="2">
    <field x="0"/>
    <field x="8"/>
  </rowFields>
  <rowItems count="10"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**Total Company Penalty ($16,000 per violation)" fld="6" baseField="8" baseItem="1" numFmtId="175"/>
    <dataField name="**Total Driver Penalty ($3,750 per violation)" fld="7" baseField="8" baseItem="1" numFmtId="175"/>
    <dataField name="**Number of Egrogrious Violations" fld="8" subtotal="count" baseField="0" baseItem="0"/>
  </dataFields>
  <formats count="39">
    <format dxfId="39">
      <pivotArea dataOnly="0" labelOnly="1" grandRow="1" outline="0" fieldPosition="0"/>
    </format>
    <format dxfId="38">
      <pivotArea field="-2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0" type="button" dataOnly="0" labelOnly="1" outline="0" axis="axisRow" fieldPosition="0"/>
    </format>
    <format dxfId="35">
      <pivotArea field="8" type="button" dataOnly="0" labelOnly="1" outline="0" axis="axisRow" fieldPosition="1"/>
    </format>
    <format dxfId="34">
      <pivotArea outline="0" fieldPosition="0">
        <references count="1">
          <reference field="4294967294" count="1">
            <x v="0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0">
      <pivotArea outline="0" fieldPosition="0">
        <references count="1">
          <reference field="4294967294" count="1">
            <x v="1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-2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0" type="button" dataOnly="0" labelOnly="1" outline="0" axis="axisRow" fieldPosition="0"/>
    </format>
    <format dxfId="23">
      <pivotArea field="8" type="button" dataOnly="0" labelOnly="1" outline="0" axis="axisRow" fieldPosition="1"/>
    </format>
    <format dxfId="22">
      <pivotArea dataOnly="0" labelOnly="1" outline="0" fieldPosition="0">
        <references count="1">
          <reference field="0" count="3">
            <x v="1"/>
            <x v="2"/>
            <x v="3"/>
          </reference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2">
          <reference field="0" count="1" selected="0">
            <x v="1"/>
          </reference>
          <reference field="8" count="0"/>
        </references>
      </pivotArea>
    </format>
    <format dxfId="19">
      <pivotArea dataOnly="0" labelOnly="1" outline="0" fieldPosition="0">
        <references count="2">
          <reference field="0" count="1" selected="0">
            <x v="2"/>
          </reference>
          <reference field="8" count="0"/>
        </references>
      </pivotArea>
    </format>
    <format dxfId="18">
      <pivotArea dataOnly="0" labelOnly="1" outline="0" fieldPosition="0">
        <references count="2">
          <reference field="0" count="1" selected="0">
            <x v="3"/>
          </reference>
          <reference field="8" count="0"/>
        </references>
      </pivotArea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field="-2" type="button" dataOnly="0" labelOnly="1" outline="0" axis="axisCol" fieldPosition="0"/>
    </format>
    <format dxfId="12">
      <pivotArea type="topRight" dataOnly="0" labelOnly="1" outline="0" fieldPosition="0"/>
    </format>
    <format dxfId="11">
      <pivotArea dataOnly="0" labelOnly="1" outline="0" fieldPosition="0">
        <references count="1">
          <reference field="0" count="3">
            <x v="1"/>
            <x v="2"/>
            <x v="3"/>
          </reference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2">
          <reference field="0" count="1" selected="0">
            <x v="1"/>
          </reference>
          <reference field="8" count="0"/>
        </references>
      </pivotArea>
    </format>
    <format dxfId="8">
      <pivotArea dataOnly="0" labelOnly="1" outline="0" fieldPosition="0">
        <references count="2">
          <reference field="0" count="1" selected="0">
            <x v="2"/>
          </reference>
          <reference field="8" count="0"/>
        </references>
      </pivotArea>
    </format>
    <format dxfId="7">
      <pivotArea dataOnly="0" labelOnly="1" outline="0" fieldPosition="0">
        <references count="2">
          <reference field="0" count="1" selected="0">
            <x v="3"/>
          </reference>
          <reference field="8" count="0"/>
        </references>
      </pivotArea>
    </format>
    <format dxfId="6">
      <pivotArea field="0" type="button" dataOnly="0" labelOnly="1" outline="0" axis="axisRow" fieldPosition="0"/>
    </format>
    <format dxfId="5">
      <pivotArea field="8" type="button" dataOnly="0" labelOnly="1" outline="0" axis="axisRow" fieldPosition="1"/>
    </format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">
      <pivotArea field="0" type="button" dataOnly="0" labelOnly="1" outline="0" axis="axisRow" fieldPosition="0"/>
    </format>
    <format dxfId="2">
      <pivotArea field="8" type="button" dataOnly="0" labelOnly="1" outline="0" axis="axisRow" fieldPosition="1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6" showRowHeaders="0" showColHeaders="1" showRowStripes="1" showColStripes="0" showLastColumn="1"/>
  <filters count="1">
    <filter fld="0" type="valueGreaterThanOrEqual" evalOrder="-1" id="1" iMeasureFld="0">
      <autoFilter ref="A1">
        <filterColumn colId="0">
          <customFilters>
            <customFilter operator="greaterThanOrEqual" val="16000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Geotab sample Theme">
  <a:themeElements>
    <a:clrScheme name="Geotab Brand Colors">
      <a:dk1>
        <a:sysClr val="windowText" lastClr="000000"/>
      </a:dk1>
      <a:lt1>
        <a:srgbClr val="FFFFFF"/>
      </a:lt1>
      <a:dk2>
        <a:srgbClr val="00AEEF"/>
      </a:dk2>
      <a:lt2>
        <a:srgbClr val="25477B"/>
      </a:lt2>
      <a:accent1>
        <a:srgbClr val="696A6C"/>
      </a:accent1>
      <a:accent2>
        <a:srgbClr val="93C83D"/>
      </a:accent2>
      <a:accent3>
        <a:srgbClr val="FAD201"/>
      </a:accent3>
      <a:accent4>
        <a:srgbClr val="FF9600"/>
      </a:accent4>
      <a:accent5>
        <a:srgbClr val="EA184D"/>
      </a:accent5>
      <a:accent6>
        <a:srgbClr val="B95FFF"/>
      </a:accent6>
      <a:hlink>
        <a:srgbClr val="00AEEF"/>
      </a:hlink>
      <a:folHlink>
        <a:srgbClr val="0082E3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Custom 1">
    <a:dk1>
      <a:sysClr val="windowText" lastClr="000000"/>
    </a:dk1>
    <a:lt1>
      <a:sysClr val="window" lastClr="FFFFFF"/>
    </a:lt1>
    <a:dk2>
      <a:srgbClr val="3F3F3F"/>
    </a:dk2>
    <a:lt2>
      <a:srgbClr val="EEECE1"/>
    </a:lt2>
    <a:accent1>
      <a:srgbClr val="25477B"/>
    </a:accent1>
    <a:accent2>
      <a:srgbClr val="5C9CCC"/>
    </a:accent2>
    <a:accent3>
      <a:srgbClr val="9BBB59"/>
    </a:accent3>
    <a:accent4>
      <a:srgbClr val="F7941E"/>
    </a:accent4>
    <a:accent5>
      <a:srgbClr val="F3F8FB"/>
    </a:accent5>
    <a:accent6>
      <a:srgbClr val="EEECE1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johnsmith@abco.com" TargetMode="External"/><Relationship Id="rId1" Type="http://schemas.openxmlformats.org/officeDocument/2006/relationships/hyperlink" Target="mailto:johnsmith@abco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71"/>
  <sheetViews>
    <sheetView showGridLines="0" tabSelected="1" workbookViewId="0">
      <selection activeCell="B26" sqref="B26"/>
    </sheetView>
  </sheetViews>
  <sheetFormatPr defaultRowHeight="12.75" x14ac:dyDescent="0.2"/>
  <cols>
    <col min="1" max="1" width="25.7109375" customWidth="1"/>
    <col min="2" max="2" width="40.7109375" style="11" customWidth="1"/>
    <col min="3" max="4" width="20.7109375" style="12" customWidth="1"/>
    <col min="5" max="5" width="20.7109375" customWidth="1"/>
    <col min="6" max="7" width="9.140625" customWidth="1"/>
    <col min="8" max="9" width="15.7109375" customWidth="1"/>
    <col min="10" max="14" width="9.140625" customWidth="1"/>
  </cols>
  <sheetData>
    <row r="1" spans="1:15" s="14" customFormat="1" ht="25.5" customHeight="1" x14ac:dyDescent="0.2">
      <c r="A1" s="13" t="s">
        <v>35</v>
      </c>
      <c r="D1" s="39">
        <f>Data!B2</f>
        <v>44150.333333333336</v>
      </c>
      <c r="E1" s="15"/>
      <c r="F1" s="15"/>
      <c r="I1" s="40"/>
      <c r="L1" s="16"/>
      <c r="M1" s="16"/>
      <c r="N1" s="16"/>
    </row>
    <row r="2" spans="1:15" s="18" customFormat="1" ht="25.5" customHeight="1" x14ac:dyDescent="0.45">
      <c r="A2" s="17" t="str">
        <f>Data!B1</f>
        <v>Fleet Name</v>
      </c>
      <c r="D2" s="19"/>
      <c r="H2" s="20"/>
      <c r="I2" s="19"/>
      <c r="J2" s="19"/>
      <c r="K2" s="19"/>
      <c r="L2" s="19"/>
      <c r="M2" s="19"/>
      <c r="N2" s="19"/>
    </row>
    <row r="3" spans="1:15" s="21" customFormat="1" ht="17.25" customHeight="1" x14ac:dyDescent="0.25">
      <c r="D3" s="22"/>
      <c r="G3" s="56" t="s">
        <v>122</v>
      </c>
      <c r="H3" s="56"/>
      <c r="I3" s="56"/>
      <c r="J3" s="56"/>
      <c r="K3" s="56"/>
      <c r="L3" s="56"/>
      <c r="M3" s="56"/>
      <c r="N3" s="56"/>
      <c r="O3" s="56"/>
    </row>
    <row r="4" spans="1:15" s="21" customFormat="1" ht="17.25" customHeight="1" x14ac:dyDescent="0.3">
      <c r="A4" s="54" t="s">
        <v>31</v>
      </c>
      <c r="B4" s="55"/>
      <c r="C4" s="24"/>
      <c r="D4" s="22"/>
      <c r="E4" s="22"/>
      <c r="G4" s="56"/>
      <c r="H4" s="56"/>
      <c r="I4" s="56"/>
      <c r="J4" s="56"/>
      <c r="K4" s="56"/>
      <c r="L4" s="56"/>
      <c r="M4" s="56"/>
      <c r="N4" s="56"/>
      <c r="O4" s="56"/>
    </row>
    <row r="5" spans="1:15" s="21" customFormat="1" ht="17.25" customHeight="1" x14ac:dyDescent="0.3">
      <c r="A5" s="25" t="s">
        <v>32</v>
      </c>
      <c r="B5" s="26">
        <f>Data!B3</f>
        <v>44141</v>
      </c>
      <c r="C5" s="24"/>
      <c r="D5" s="27"/>
      <c r="E5" s="22"/>
      <c r="G5" s="56"/>
      <c r="H5" s="56"/>
      <c r="I5" s="56"/>
      <c r="J5" s="56"/>
      <c r="K5" s="56"/>
      <c r="L5" s="56"/>
      <c r="M5" s="56"/>
      <c r="N5" s="56"/>
      <c r="O5" s="56"/>
    </row>
    <row r="6" spans="1:15" s="21" customFormat="1" ht="17.25" customHeight="1" x14ac:dyDescent="0.3">
      <c r="A6" s="25" t="s">
        <v>33</v>
      </c>
      <c r="B6" s="26">
        <f>Data!B4</f>
        <v>44147.999988425923</v>
      </c>
      <c r="C6" s="24"/>
      <c r="D6" s="27"/>
      <c r="E6" s="22"/>
      <c r="G6" s="56"/>
      <c r="H6" s="56"/>
      <c r="I6" s="56"/>
      <c r="J6" s="56"/>
      <c r="K6" s="56"/>
      <c r="L6" s="56"/>
      <c r="M6" s="56"/>
      <c r="N6" s="56"/>
      <c r="O6" s="56"/>
    </row>
    <row r="7" spans="1:15" s="21" customFormat="1" ht="17.25" customHeight="1" x14ac:dyDescent="0.3">
      <c r="A7" s="25" t="s">
        <v>34</v>
      </c>
      <c r="B7" s="30">
        <f>B6-B5</f>
        <v>6.9999884259232203</v>
      </c>
      <c r="C7" s="24"/>
      <c r="D7" s="27"/>
      <c r="E7" s="24"/>
      <c r="G7" s="56"/>
      <c r="H7" s="56"/>
      <c r="I7" s="56"/>
      <c r="J7" s="56"/>
      <c r="K7" s="56"/>
      <c r="L7" s="56"/>
      <c r="M7" s="56"/>
      <c r="N7" s="56"/>
      <c r="O7" s="56"/>
    </row>
    <row r="8" spans="1:15" ht="12.75" customHeight="1" x14ac:dyDescent="0.2">
      <c r="G8" s="56"/>
      <c r="H8" s="56"/>
      <c r="I8" s="56"/>
      <c r="J8" s="56"/>
      <c r="K8" s="56"/>
      <c r="L8" s="56"/>
      <c r="M8" s="56"/>
      <c r="N8" s="56"/>
      <c r="O8" s="56"/>
    </row>
    <row r="9" spans="1:15" ht="15" customHeight="1" x14ac:dyDescent="0.3">
      <c r="A9" s="51"/>
      <c r="B9" s="51"/>
      <c r="C9" s="49"/>
      <c r="D9" s="50"/>
      <c r="E9" s="51"/>
      <c r="G9" s="56"/>
      <c r="H9" s="56"/>
      <c r="I9" s="56"/>
      <c r="J9" s="56"/>
      <c r="K9" s="56"/>
      <c r="L9" s="56"/>
      <c r="M9" s="56"/>
      <c r="N9" s="56"/>
      <c r="O9" s="56"/>
    </row>
    <row r="10" spans="1:15" ht="16.5" hidden="1" x14ac:dyDescent="0.3">
      <c r="A10" s="57"/>
      <c r="B10" s="57"/>
      <c r="C10" s="58" t="s">
        <v>118</v>
      </c>
      <c r="D10" s="59"/>
      <c r="E10" s="59"/>
    </row>
    <row r="11" spans="1:15" ht="51.75" x14ac:dyDescent="0.3">
      <c r="A11" s="63" t="s">
        <v>45</v>
      </c>
      <c r="B11" s="63" t="s">
        <v>69</v>
      </c>
      <c r="C11" s="64" t="s">
        <v>121</v>
      </c>
      <c r="D11" s="64" t="s">
        <v>120</v>
      </c>
      <c r="E11" s="64" t="s">
        <v>119</v>
      </c>
      <c r="F11" s="12"/>
    </row>
    <row r="12" spans="1:15" s="42" customFormat="1" ht="16.5" x14ac:dyDescent="0.3">
      <c r="A12" s="57" t="s">
        <v>37</v>
      </c>
      <c r="B12" s="57" t="s">
        <v>23</v>
      </c>
      <c r="C12" s="61">
        <v>16000</v>
      </c>
      <c r="D12" s="61">
        <v>3750</v>
      </c>
      <c r="E12" s="62">
        <v>1</v>
      </c>
      <c r="F12" s="11"/>
    </row>
    <row r="13" spans="1:15" ht="16.5" x14ac:dyDescent="0.3">
      <c r="A13" s="57"/>
      <c r="B13" s="57" t="s">
        <v>27</v>
      </c>
      <c r="C13" s="61">
        <v>16000</v>
      </c>
      <c r="D13" s="61">
        <v>3750</v>
      </c>
      <c r="E13" s="62">
        <v>1</v>
      </c>
      <c r="F13" s="41"/>
      <c r="H13" s="48" t="s">
        <v>125</v>
      </c>
      <c r="I13" s="48"/>
    </row>
    <row r="14" spans="1:15" ht="16.5" x14ac:dyDescent="0.3">
      <c r="A14" s="57"/>
      <c r="B14" s="57" t="s">
        <v>25</v>
      </c>
      <c r="C14" s="61">
        <v>16000</v>
      </c>
      <c r="D14" s="61">
        <v>3750</v>
      </c>
      <c r="E14" s="62">
        <v>1</v>
      </c>
      <c r="F14" s="41"/>
      <c r="H14" s="47" t="s">
        <v>123</v>
      </c>
      <c r="I14" s="47" t="s">
        <v>124</v>
      </c>
    </row>
    <row r="15" spans="1:15" ht="16.5" x14ac:dyDescent="0.3">
      <c r="A15" s="57" t="s">
        <v>38</v>
      </c>
      <c r="B15" s="57" t="s">
        <v>23</v>
      </c>
      <c r="C15" s="61">
        <v>16000</v>
      </c>
      <c r="D15" s="61">
        <v>3750</v>
      </c>
      <c r="E15" s="62">
        <v>1</v>
      </c>
      <c r="F15" s="41"/>
      <c r="H15">
        <f>SUM(Report!G3:G100003)</f>
        <v>144000</v>
      </c>
      <c r="I15">
        <f>SUM(Report!H:H)</f>
        <v>33750</v>
      </c>
    </row>
    <row r="16" spans="1:15" ht="16.5" x14ac:dyDescent="0.3">
      <c r="A16" s="57"/>
      <c r="B16" s="57" t="s">
        <v>27</v>
      </c>
      <c r="C16" s="61">
        <v>16000</v>
      </c>
      <c r="D16" s="61">
        <v>3750</v>
      </c>
      <c r="E16" s="62">
        <v>1</v>
      </c>
      <c r="F16" s="41"/>
      <c r="H16" t="s">
        <v>126</v>
      </c>
    </row>
    <row r="17" spans="1:6" ht="16.5" x14ac:dyDescent="0.3">
      <c r="A17" s="57"/>
      <c r="B17" s="57" t="s">
        <v>25</v>
      </c>
      <c r="C17" s="61">
        <v>16000</v>
      </c>
      <c r="D17" s="61">
        <v>3750</v>
      </c>
      <c r="E17" s="62">
        <v>1</v>
      </c>
      <c r="F17" s="41"/>
    </row>
    <row r="18" spans="1:6" ht="16.5" x14ac:dyDescent="0.3">
      <c r="A18" s="57" t="s">
        <v>39</v>
      </c>
      <c r="B18" s="57" t="s">
        <v>23</v>
      </c>
      <c r="C18" s="61">
        <v>16000</v>
      </c>
      <c r="D18" s="61">
        <v>3750</v>
      </c>
      <c r="E18" s="62">
        <v>1</v>
      </c>
      <c r="F18" s="41"/>
    </row>
    <row r="19" spans="1:6" ht="16.5" x14ac:dyDescent="0.3">
      <c r="A19" s="57"/>
      <c r="B19" s="57" t="s">
        <v>27</v>
      </c>
      <c r="C19" s="61">
        <v>16000</v>
      </c>
      <c r="D19" s="61">
        <v>3750</v>
      </c>
      <c r="E19" s="62">
        <v>1</v>
      </c>
      <c r="F19" s="41"/>
    </row>
    <row r="20" spans="1:6" ht="16.5" x14ac:dyDescent="0.3">
      <c r="A20" s="57"/>
      <c r="B20" s="57" t="s">
        <v>25</v>
      </c>
      <c r="C20" s="61">
        <v>16000</v>
      </c>
      <c r="D20" s="61">
        <v>3750</v>
      </c>
      <c r="E20" s="62">
        <v>1</v>
      </c>
      <c r="F20" s="41"/>
    </row>
    <row r="21" spans="1:6" ht="16.5" x14ac:dyDescent="0.3">
      <c r="A21" s="60" t="s">
        <v>117</v>
      </c>
      <c r="B21" s="60"/>
      <c r="C21" s="61">
        <v>144000</v>
      </c>
      <c r="D21" s="61">
        <v>33750</v>
      </c>
      <c r="E21" s="62">
        <v>9</v>
      </c>
      <c r="F21" s="41"/>
    </row>
    <row r="22" spans="1:6" ht="16.5" x14ac:dyDescent="0.3">
      <c r="A22" s="51"/>
      <c r="B22" s="53"/>
      <c r="C22" s="52"/>
      <c r="D22" s="52"/>
      <c r="E22" s="51"/>
      <c r="F22" s="41"/>
    </row>
    <row r="23" spans="1:6" ht="16.5" x14ac:dyDescent="0.3">
      <c r="A23" s="51"/>
      <c r="B23" s="51"/>
      <c r="C23" s="51"/>
      <c r="D23" s="51"/>
      <c r="E23" s="51"/>
    </row>
    <row r="24" spans="1:6" ht="16.5" x14ac:dyDescent="0.3">
      <c r="A24" s="51"/>
      <c r="B24" s="51"/>
      <c r="C24" s="51"/>
      <c r="D24" s="52"/>
      <c r="E24" s="51"/>
    </row>
    <row r="25" spans="1:6" ht="16.5" x14ac:dyDescent="0.3">
      <c r="A25" s="51"/>
      <c r="B25" s="51"/>
      <c r="C25" s="51"/>
      <c r="D25" s="52"/>
      <c r="E25" s="51"/>
    </row>
    <row r="26" spans="1:6" ht="16.5" x14ac:dyDescent="0.3">
      <c r="A26" s="51"/>
      <c r="B26" s="51"/>
      <c r="C26" s="51"/>
      <c r="D26" s="52"/>
      <c r="E26" s="51"/>
    </row>
    <row r="27" spans="1:6" ht="16.5" x14ac:dyDescent="0.3">
      <c r="A27" s="51"/>
      <c r="B27" s="51"/>
      <c r="C27" s="51"/>
      <c r="D27" s="52"/>
      <c r="E27" s="51"/>
    </row>
    <row r="28" spans="1:6" ht="16.5" x14ac:dyDescent="0.3">
      <c r="A28" s="51"/>
      <c r="B28" s="51"/>
      <c r="C28" s="51"/>
      <c r="D28" s="52"/>
      <c r="E28" s="51"/>
    </row>
    <row r="29" spans="1:6" ht="16.5" x14ac:dyDescent="0.3">
      <c r="A29" s="51"/>
      <c r="B29" s="53"/>
      <c r="C29" s="52"/>
      <c r="D29" s="52"/>
      <c r="E29" s="51"/>
    </row>
    <row r="30" spans="1:6" ht="16.5" x14ac:dyDescent="0.3">
      <c r="A30" s="51"/>
      <c r="B30" s="53"/>
      <c r="C30" s="52"/>
      <c r="D30" s="52"/>
      <c r="E30" s="51"/>
    </row>
    <row r="31" spans="1:6" ht="16.5" x14ac:dyDescent="0.3">
      <c r="A31" s="51"/>
      <c r="B31" s="53"/>
      <c r="C31" s="52"/>
      <c r="D31" s="52"/>
      <c r="E31" s="51"/>
    </row>
    <row r="32" spans="1:6" ht="16.5" x14ac:dyDescent="0.3">
      <c r="A32" s="51"/>
      <c r="B32" s="53"/>
      <c r="C32" s="52"/>
      <c r="D32" s="52"/>
      <c r="E32" s="51"/>
    </row>
    <row r="33" spans="1:5" ht="16.5" x14ac:dyDescent="0.3">
      <c r="A33" s="51"/>
      <c r="B33" s="53"/>
      <c r="C33" s="52"/>
      <c r="D33" s="52"/>
      <c r="E33" s="51"/>
    </row>
    <row r="34" spans="1:5" ht="16.5" x14ac:dyDescent="0.3">
      <c r="A34" s="51"/>
      <c r="B34" s="53"/>
      <c r="C34" s="52"/>
      <c r="D34" s="52"/>
      <c r="E34" s="51"/>
    </row>
    <row r="35" spans="1:5" ht="16.5" x14ac:dyDescent="0.3">
      <c r="A35" s="51"/>
      <c r="B35" s="53"/>
      <c r="C35" s="52"/>
      <c r="D35" s="52"/>
      <c r="E35" s="51"/>
    </row>
    <row r="36" spans="1:5" ht="16.5" x14ac:dyDescent="0.3">
      <c r="A36" s="51"/>
      <c r="B36" s="53"/>
      <c r="C36" s="52"/>
      <c r="D36" s="52"/>
      <c r="E36" s="51"/>
    </row>
    <row r="37" spans="1:5" ht="16.5" x14ac:dyDescent="0.3">
      <c r="A37" s="51"/>
      <c r="B37" s="53"/>
      <c r="C37" s="52"/>
      <c r="D37" s="52"/>
      <c r="E37" s="51"/>
    </row>
    <row r="38" spans="1:5" ht="16.5" x14ac:dyDescent="0.3">
      <c r="A38" s="51"/>
      <c r="B38" s="53"/>
      <c r="C38" s="52"/>
      <c r="D38" s="52"/>
      <c r="E38" s="51"/>
    </row>
    <row r="39" spans="1:5" ht="16.5" x14ac:dyDescent="0.3">
      <c r="A39" s="51"/>
      <c r="B39" s="53"/>
      <c r="C39" s="52"/>
      <c r="D39" s="52"/>
      <c r="E39" s="51"/>
    </row>
    <row r="40" spans="1:5" ht="16.5" x14ac:dyDescent="0.3">
      <c r="A40" s="51"/>
      <c r="B40" s="53"/>
      <c r="C40" s="52"/>
      <c r="D40" s="52"/>
      <c r="E40" s="51"/>
    </row>
    <row r="41" spans="1:5" ht="16.5" x14ac:dyDescent="0.3">
      <c r="A41" s="51"/>
      <c r="B41" s="53"/>
      <c r="C41" s="52"/>
      <c r="D41" s="52"/>
      <c r="E41" s="51"/>
    </row>
    <row r="42" spans="1:5" ht="16.5" x14ac:dyDescent="0.3">
      <c r="A42" s="51"/>
      <c r="B42" s="53"/>
      <c r="C42" s="52"/>
      <c r="D42" s="52"/>
      <c r="E42" s="51"/>
    </row>
    <row r="43" spans="1:5" ht="16.5" x14ac:dyDescent="0.3">
      <c r="A43" s="51"/>
      <c r="B43" s="53"/>
      <c r="C43" s="52"/>
      <c r="D43" s="52"/>
      <c r="E43" s="51"/>
    </row>
    <row r="44" spans="1:5" ht="16.5" x14ac:dyDescent="0.3">
      <c r="A44" s="51"/>
      <c r="B44" s="53"/>
      <c r="C44" s="52"/>
      <c r="D44" s="52"/>
      <c r="E44" s="51"/>
    </row>
    <row r="45" spans="1:5" ht="16.5" x14ac:dyDescent="0.3">
      <c r="A45" s="51"/>
      <c r="B45" s="53"/>
      <c r="C45" s="52"/>
      <c r="D45" s="52"/>
      <c r="E45" s="51"/>
    </row>
    <row r="46" spans="1:5" ht="16.5" x14ac:dyDescent="0.3">
      <c r="A46" s="51"/>
      <c r="B46" s="53"/>
      <c r="C46" s="52"/>
      <c r="D46" s="52"/>
      <c r="E46" s="51"/>
    </row>
    <row r="47" spans="1:5" ht="16.5" x14ac:dyDescent="0.3">
      <c r="A47" s="51"/>
      <c r="B47" s="53"/>
      <c r="C47" s="52"/>
      <c r="D47" s="52"/>
      <c r="E47" s="51"/>
    </row>
    <row r="48" spans="1:5" ht="16.5" x14ac:dyDescent="0.3">
      <c r="A48" s="51"/>
      <c r="B48" s="53"/>
      <c r="C48" s="52"/>
      <c r="D48" s="52"/>
      <c r="E48" s="51"/>
    </row>
    <row r="49" spans="1:5" ht="16.5" x14ac:dyDescent="0.3">
      <c r="A49" s="51"/>
      <c r="B49" s="53"/>
      <c r="C49" s="52"/>
      <c r="D49" s="52"/>
      <c r="E49" s="51"/>
    </row>
    <row r="50" spans="1:5" ht="16.5" x14ac:dyDescent="0.3">
      <c r="A50" s="51"/>
      <c r="B50" s="53"/>
      <c r="C50" s="52"/>
      <c r="D50" s="52"/>
      <c r="E50" s="51"/>
    </row>
    <row r="51" spans="1:5" ht="16.5" x14ac:dyDescent="0.3">
      <c r="A51" s="51"/>
      <c r="B51" s="53"/>
      <c r="C51" s="52"/>
      <c r="D51" s="52"/>
      <c r="E51" s="51"/>
    </row>
    <row r="52" spans="1:5" ht="16.5" x14ac:dyDescent="0.3">
      <c r="A52" s="51"/>
      <c r="B52" s="53"/>
      <c r="C52" s="52"/>
      <c r="D52" s="52"/>
      <c r="E52" s="51"/>
    </row>
    <row r="53" spans="1:5" ht="16.5" x14ac:dyDescent="0.3">
      <c r="A53" s="51"/>
      <c r="B53" s="53"/>
      <c r="C53" s="52"/>
      <c r="D53" s="52"/>
      <c r="E53" s="51"/>
    </row>
    <row r="54" spans="1:5" ht="16.5" x14ac:dyDescent="0.3">
      <c r="A54" s="51"/>
      <c r="B54" s="53"/>
      <c r="C54" s="52"/>
      <c r="D54" s="52"/>
      <c r="E54" s="51"/>
    </row>
    <row r="55" spans="1:5" ht="16.5" x14ac:dyDescent="0.3">
      <c r="A55" s="51"/>
      <c r="B55" s="53"/>
      <c r="C55" s="52"/>
      <c r="D55" s="52"/>
      <c r="E55" s="51"/>
    </row>
    <row r="56" spans="1:5" ht="16.5" x14ac:dyDescent="0.3">
      <c r="A56" s="51"/>
      <c r="B56" s="53"/>
      <c r="C56" s="52"/>
      <c r="D56" s="52"/>
      <c r="E56" s="51"/>
    </row>
    <row r="57" spans="1:5" ht="16.5" x14ac:dyDescent="0.3">
      <c r="A57" s="51"/>
      <c r="B57" s="53"/>
      <c r="C57" s="52"/>
      <c r="D57" s="52"/>
      <c r="E57" s="51"/>
    </row>
    <row r="58" spans="1:5" ht="16.5" x14ac:dyDescent="0.3">
      <c r="A58" s="51"/>
      <c r="B58" s="53"/>
      <c r="C58" s="52"/>
      <c r="D58" s="52"/>
      <c r="E58" s="51"/>
    </row>
    <row r="59" spans="1:5" ht="16.5" x14ac:dyDescent="0.3">
      <c r="A59" s="51"/>
      <c r="B59" s="53"/>
      <c r="C59" s="52"/>
      <c r="D59" s="52"/>
      <c r="E59" s="51"/>
    </row>
    <row r="60" spans="1:5" ht="16.5" x14ac:dyDescent="0.3">
      <c r="A60" s="51"/>
      <c r="B60" s="53"/>
      <c r="C60" s="52"/>
      <c r="D60" s="52"/>
      <c r="E60" s="51"/>
    </row>
    <row r="61" spans="1:5" ht="16.5" x14ac:dyDescent="0.3">
      <c r="A61" s="51"/>
      <c r="B61" s="53"/>
      <c r="C61" s="52"/>
      <c r="D61" s="52"/>
      <c r="E61" s="51"/>
    </row>
    <row r="62" spans="1:5" ht="16.5" x14ac:dyDescent="0.3">
      <c r="A62" s="51"/>
      <c r="B62" s="53"/>
      <c r="C62" s="52"/>
      <c r="D62" s="52"/>
      <c r="E62" s="51"/>
    </row>
    <row r="63" spans="1:5" ht="16.5" x14ac:dyDescent="0.3">
      <c r="A63" s="51"/>
      <c r="B63" s="53"/>
      <c r="C63" s="52"/>
      <c r="D63" s="52"/>
      <c r="E63" s="51"/>
    </row>
    <row r="64" spans="1:5" ht="16.5" x14ac:dyDescent="0.3">
      <c r="A64" s="51"/>
      <c r="B64" s="53"/>
      <c r="C64" s="52"/>
      <c r="D64" s="52"/>
      <c r="E64" s="51"/>
    </row>
    <row r="65" spans="1:5" ht="16.5" x14ac:dyDescent="0.3">
      <c r="A65" s="51"/>
      <c r="B65" s="53"/>
      <c r="C65" s="52"/>
      <c r="D65" s="52"/>
      <c r="E65" s="51"/>
    </row>
    <row r="66" spans="1:5" ht="16.5" x14ac:dyDescent="0.3">
      <c r="A66" s="51"/>
      <c r="B66" s="53"/>
      <c r="C66" s="52"/>
      <c r="D66" s="52"/>
      <c r="E66" s="51"/>
    </row>
    <row r="67" spans="1:5" ht="16.5" x14ac:dyDescent="0.3">
      <c r="A67" s="51"/>
      <c r="B67" s="53"/>
      <c r="C67" s="52"/>
      <c r="D67" s="52"/>
      <c r="E67" s="51"/>
    </row>
    <row r="68" spans="1:5" ht="16.5" x14ac:dyDescent="0.3">
      <c r="A68" s="51"/>
      <c r="B68" s="53"/>
      <c r="C68" s="52"/>
      <c r="D68" s="52"/>
      <c r="E68" s="51"/>
    </row>
    <row r="69" spans="1:5" ht="16.5" x14ac:dyDescent="0.3">
      <c r="A69" s="51"/>
      <c r="B69" s="53"/>
      <c r="C69" s="52"/>
      <c r="D69" s="52"/>
      <c r="E69" s="51"/>
    </row>
    <row r="70" spans="1:5" ht="16.5" x14ac:dyDescent="0.3">
      <c r="A70" s="51"/>
      <c r="B70" s="53"/>
      <c r="C70" s="52"/>
      <c r="D70" s="52"/>
      <c r="E70" s="51"/>
    </row>
    <row r="71" spans="1:5" ht="16.5" x14ac:dyDescent="0.3">
      <c r="A71" s="51"/>
      <c r="B71" s="53"/>
      <c r="C71" s="52"/>
      <c r="D71" s="52"/>
      <c r="E71" s="51"/>
    </row>
    <row r="72" spans="1:5" ht="16.5" x14ac:dyDescent="0.3">
      <c r="A72" s="51"/>
      <c r="B72" s="53"/>
      <c r="C72" s="52"/>
      <c r="D72" s="52"/>
      <c r="E72" s="51"/>
    </row>
    <row r="73" spans="1:5" ht="16.5" x14ac:dyDescent="0.3">
      <c r="A73" s="51"/>
      <c r="B73" s="53"/>
      <c r="C73" s="52"/>
      <c r="D73" s="52"/>
      <c r="E73" s="51"/>
    </row>
    <row r="74" spans="1:5" ht="16.5" x14ac:dyDescent="0.3">
      <c r="A74" s="51"/>
      <c r="B74" s="53"/>
      <c r="C74" s="52"/>
      <c r="D74" s="52"/>
      <c r="E74" s="51"/>
    </row>
    <row r="75" spans="1:5" ht="16.5" x14ac:dyDescent="0.3">
      <c r="A75" s="51"/>
      <c r="B75" s="53"/>
      <c r="C75" s="52"/>
      <c r="D75" s="52"/>
      <c r="E75" s="51"/>
    </row>
    <row r="76" spans="1:5" ht="16.5" x14ac:dyDescent="0.3">
      <c r="A76" s="51"/>
      <c r="B76" s="53"/>
      <c r="C76" s="52"/>
      <c r="D76" s="52"/>
      <c r="E76" s="51"/>
    </row>
    <row r="77" spans="1:5" ht="16.5" x14ac:dyDescent="0.3">
      <c r="A77" s="51"/>
      <c r="B77" s="53"/>
      <c r="C77" s="52"/>
      <c r="D77" s="52"/>
      <c r="E77" s="51"/>
    </row>
    <row r="78" spans="1:5" ht="16.5" x14ac:dyDescent="0.3">
      <c r="A78" s="51"/>
      <c r="B78" s="53"/>
      <c r="C78" s="52"/>
      <c r="D78" s="52"/>
      <c r="E78" s="51"/>
    </row>
    <row r="79" spans="1:5" ht="16.5" x14ac:dyDescent="0.3">
      <c r="A79" s="51"/>
      <c r="B79" s="53"/>
      <c r="C79" s="52"/>
      <c r="D79" s="52"/>
      <c r="E79" s="51"/>
    </row>
    <row r="80" spans="1:5" ht="16.5" x14ac:dyDescent="0.3">
      <c r="A80" s="51"/>
      <c r="B80" s="53"/>
      <c r="C80" s="52"/>
      <c r="D80" s="52"/>
      <c r="E80" s="51"/>
    </row>
    <row r="81" spans="1:5" ht="16.5" x14ac:dyDescent="0.3">
      <c r="A81" s="51"/>
      <c r="B81" s="53"/>
      <c r="C81" s="52"/>
      <c r="D81" s="52"/>
      <c r="E81" s="51"/>
    </row>
    <row r="82" spans="1:5" ht="16.5" x14ac:dyDescent="0.3">
      <c r="A82" s="51"/>
      <c r="B82" s="53"/>
      <c r="C82" s="52"/>
      <c r="D82" s="52"/>
      <c r="E82" s="51"/>
    </row>
    <row r="83" spans="1:5" ht="16.5" x14ac:dyDescent="0.3">
      <c r="A83" s="51"/>
      <c r="B83" s="53"/>
      <c r="C83" s="52"/>
      <c r="D83" s="52"/>
      <c r="E83" s="51"/>
    </row>
    <row r="84" spans="1:5" ht="16.5" x14ac:dyDescent="0.3">
      <c r="A84" s="51"/>
      <c r="B84" s="53"/>
      <c r="C84" s="52"/>
      <c r="D84" s="52"/>
      <c r="E84" s="51"/>
    </row>
    <row r="85" spans="1:5" ht="16.5" x14ac:dyDescent="0.3">
      <c r="A85" s="51"/>
      <c r="B85" s="53"/>
      <c r="C85" s="52"/>
      <c r="D85" s="52"/>
      <c r="E85" s="51"/>
    </row>
    <row r="86" spans="1:5" ht="16.5" x14ac:dyDescent="0.3">
      <c r="A86" s="51"/>
      <c r="B86" s="53"/>
      <c r="C86" s="52"/>
      <c r="D86" s="52"/>
      <c r="E86" s="51"/>
    </row>
    <row r="87" spans="1:5" ht="16.5" x14ac:dyDescent="0.3">
      <c r="A87" s="51"/>
      <c r="B87" s="53"/>
      <c r="C87" s="52"/>
      <c r="D87" s="52"/>
      <c r="E87" s="51"/>
    </row>
    <row r="88" spans="1:5" ht="16.5" x14ac:dyDescent="0.3">
      <c r="A88" s="51"/>
      <c r="B88" s="53"/>
      <c r="C88" s="52"/>
      <c r="D88" s="52"/>
      <c r="E88" s="51"/>
    </row>
    <row r="89" spans="1:5" ht="16.5" x14ac:dyDescent="0.3">
      <c r="A89" s="51"/>
      <c r="B89" s="53"/>
      <c r="C89" s="52"/>
      <c r="D89" s="52"/>
      <c r="E89" s="51"/>
    </row>
    <row r="90" spans="1:5" ht="16.5" x14ac:dyDescent="0.3">
      <c r="A90" s="51"/>
      <c r="B90" s="53"/>
      <c r="C90" s="52"/>
      <c r="D90" s="52"/>
      <c r="E90" s="51"/>
    </row>
    <row r="91" spans="1:5" ht="16.5" x14ac:dyDescent="0.3">
      <c r="A91" s="51"/>
      <c r="B91" s="53"/>
      <c r="C91" s="52"/>
      <c r="D91" s="52"/>
      <c r="E91" s="51"/>
    </row>
    <row r="92" spans="1:5" ht="16.5" x14ac:dyDescent="0.3">
      <c r="A92" s="51"/>
      <c r="B92" s="53"/>
      <c r="C92" s="52"/>
      <c r="D92" s="52"/>
      <c r="E92" s="51"/>
    </row>
    <row r="93" spans="1:5" ht="16.5" x14ac:dyDescent="0.3">
      <c r="A93" s="51"/>
      <c r="B93" s="53"/>
      <c r="C93" s="52"/>
      <c r="D93" s="52"/>
      <c r="E93" s="51"/>
    </row>
    <row r="94" spans="1:5" ht="16.5" x14ac:dyDescent="0.3">
      <c r="A94" s="51"/>
      <c r="B94" s="53"/>
      <c r="C94" s="52"/>
      <c r="D94" s="52"/>
      <c r="E94" s="51"/>
    </row>
    <row r="95" spans="1:5" ht="16.5" x14ac:dyDescent="0.3">
      <c r="A95" s="51"/>
      <c r="B95" s="53"/>
      <c r="C95" s="52"/>
      <c r="D95" s="52"/>
      <c r="E95" s="51"/>
    </row>
    <row r="96" spans="1:5" ht="16.5" x14ac:dyDescent="0.3">
      <c r="A96" s="51"/>
      <c r="B96" s="53"/>
      <c r="C96" s="52"/>
      <c r="D96" s="52"/>
      <c r="E96" s="51"/>
    </row>
    <row r="97" spans="1:5" ht="16.5" x14ac:dyDescent="0.3">
      <c r="A97" s="51"/>
      <c r="B97" s="53"/>
      <c r="C97" s="52"/>
      <c r="D97" s="52"/>
      <c r="E97" s="51"/>
    </row>
    <row r="98" spans="1:5" ht="16.5" x14ac:dyDescent="0.3">
      <c r="A98" s="51"/>
      <c r="B98" s="53"/>
      <c r="C98" s="52"/>
      <c r="D98" s="52"/>
      <c r="E98" s="51"/>
    </row>
    <row r="99" spans="1:5" ht="16.5" x14ac:dyDescent="0.3">
      <c r="A99" s="51"/>
      <c r="B99" s="53"/>
      <c r="C99" s="52"/>
      <c r="D99" s="52"/>
      <c r="E99" s="51"/>
    </row>
    <row r="100" spans="1:5" ht="16.5" x14ac:dyDescent="0.3">
      <c r="A100" s="51"/>
      <c r="B100" s="53"/>
      <c r="C100" s="52"/>
      <c r="D100" s="52"/>
      <c r="E100" s="51"/>
    </row>
    <row r="101" spans="1:5" ht="16.5" x14ac:dyDescent="0.3">
      <c r="A101" s="51"/>
      <c r="B101" s="53"/>
      <c r="C101" s="52"/>
      <c r="D101" s="52"/>
      <c r="E101" s="51"/>
    </row>
    <row r="102" spans="1:5" ht="16.5" x14ac:dyDescent="0.3">
      <c r="A102" s="51"/>
      <c r="B102" s="53"/>
      <c r="C102" s="52"/>
      <c r="D102" s="52"/>
      <c r="E102" s="51"/>
    </row>
    <row r="103" spans="1:5" ht="16.5" x14ac:dyDescent="0.3">
      <c r="A103" s="51"/>
      <c r="B103" s="53"/>
      <c r="C103" s="52"/>
      <c r="D103" s="52"/>
      <c r="E103" s="51"/>
    </row>
    <row r="104" spans="1:5" ht="16.5" x14ac:dyDescent="0.3">
      <c r="A104" s="51"/>
      <c r="B104" s="53"/>
      <c r="C104" s="52"/>
      <c r="D104" s="52"/>
      <c r="E104" s="51"/>
    </row>
    <row r="105" spans="1:5" ht="16.5" x14ac:dyDescent="0.3">
      <c r="A105" s="51"/>
      <c r="B105" s="53"/>
      <c r="C105" s="52"/>
      <c r="D105" s="52"/>
      <c r="E105" s="51"/>
    </row>
    <row r="106" spans="1:5" ht="16.5" x14ac:dyDescent="0.3">
      <c r="A106" s="51"/>
      <c r="B106" s="53"/>
      <c r="C106" s="52"/>
      <c r="D106" s="52"/>
      <c r="E106" s="51"/>
    </row>
    <row r="107" spans="1:5" ht="16.5" x14ac:dyDescent="0.3">
      <c r="A107" s="51"/>
      <c r="B107" s="53"/>
      <c r="C107" s="52"/>
      <c r="D107" s="52"/>
      <c r="E107" s="51"/>
    </row>
    <row r="108" spans="1:5" ht="16.5" x14ac:dyDescent="0.3">
      <c r="A108" s="51"/>
      <c r="B108" s="53"/>
      <c r="C108" s="52"/>
      <c r="D108" s="52"/>
      <c r="E108" s="51"/>
    </row>
    <row r="109" spans="1:5" ht="16.5" x14ac:dyDescent="0.3">
      <c r="A109" s="51"/>
      <c r="B109" s="53"/>
      <c r="C109" s="52"/>
      <c r="D109" s="52"/>
      <c r="E109" s="51"/>
    </row>
    <row r="110" spans="1:5" ht="16.5" x14ac:dyDescent="0.3">
      <c r="A110" s="51"/>
      <c r="B110" s="53"/>
      <c r="C110" s="52"/>
      <c r="D110" s="52"/>
      <c r="E110" s="51"/>
    </row>
    <row r="111" spans="1:5" ht="16.5" x14ac:dyDescent="0.3">
      <c r="A111" s="51"/>
      <c r="B111" s="53"/>
      <c r="C111" s="52"/>
      <c r="D111" s="52"/>
      <c r="E111" s="51"/>
    </row>
    <row r="112" spans="1:5" ht="16.5" x14ac:dyDescent="0.3">
      <c r="A112" s="51"/>
      <c r="B112" s="53"/>
      <c r="C112" s="52"/>
      <c r="D112" s="52"/>
      <c r="E112" s="51"/>
    </row>
    <row r="113" spans="1:5" ht="16.5" x14ac:dyDescent="0.3">
      <c r="A113" s="51"/>
      <c r="B113" s="53"/>
      <c r="C113" s="52"/>
      <c r="D113" s="52"/>
      <c r="E113" s="51"/>
    </row>
    <row r="114" spans="1:5" ht="16.5" x14ac:dyDescent="0.3">
      <c r="A114" s="51"/>
      <c r="B114" s="53"/>
      <c r="C114" s="52"/>
      <c r="D114" s="52"/>
      <c r="E114" s="51"/>
    </row>
    <row r="115" spans="1:5" ht="16.5" x14ac:dyDescent="0.3">
      <c r="A115" s="51"/>
      <c r="B115" s="53"/>
      <c r="C115" s="52"/>
      <c r="D115" s="52"/>
      <c r="E115" s="51"/>
    </row>
    <row r="116" spans="1:5" ht="16.5" x14ac:dyDescent="0.3">
      <c r="A116" s="51"/>
      <c r="B116" s="53"/>
      <c r="C116" s="52"/>
      <c r="D116" s="52"/>
      <c r="E116" s="51"/>
    </row>
    <row r="117" spans="1:5" ht="16.5" x14ac:dyDescent="0.3">
      <c r="A117" s="51"/>
      <c r="B117" s="53"/>
      <c r="C117" s="52"/>
      <c r="D117" s="52"/>
      <c r="E117" s="51"/>
    </row>
    <row r="118" spans="1:5" ht="16.5" x14ac:dyDescent="0.3">
      <c r="A118" s="51"/>
      <c r="B118" s="53"/>
      <c r="C118" s="52"/>
      <c r="D118" s="52"/>
      <c r="E118" s="51"/>
    </row>
    <row r="119" spans="1:5" ht="16.5" x14ac:dyDescent="0.3">
      <c r="A119" s="51"/>
      <c r="B119" s="53"/>
      <c r="C119" s="52"/>
      <c r="D119" s="52"/>
      <c r="E119" s="51"/>
    </row>
    <row r="120" spans="1:5" ht="16.5" x14ac:dyDescent="0.3">
      <c r="A120" s="51"/>
      <c r="B120" s="53"/>
      <c r="C120" s="52"/>
      <c r="D120" s="52"/>
      <c r="E120" s="51"/>
    </row>
    <row r="121" spans="1:5" ht="16.5" x14ac:dyDescent="0.3">
      <c r="A121" s="51"/>
      <c r="B121" s="53"/>
      <c r="C121" s="52"/>
      <c r="D121" s="52"/>
      <c r="E121" s="51"/>
    </row>
    <row r="122" spans="1:5" ht="16.5" x14ac:dyDescent="0.3">
      <c r="A122" s="51"/>
      <c r="B122" s="53"/>
      <c r="C122" s="52"/>
      <c r="D122" s="52"/>
      <c r="E122" s="51"/>
    </row>
    <row r="123" spans="1:5" ht="16.5" x14ac:dyDescent="0.3">
      <c r="A123" s="51"/>
      <c r="B123" s="53"/>
      <c r="C123" s="52"/>
      <c r="D123" s="52"/>
      <c r="E123" s="51"/>
    </row>
    <row r="124" spans="1:5" ht="16.5" x14ac:dyDescent="0.3">
      <c r="A124" s="51"/>
      <c r="B124" s="53"/>
      <c r="C124" s="52"/>
      <c r="D124" s="52"/>
      <c r="E124" s="51"/>
    </row>
    <row r="125" spans="1:5" ht="16.5" x14ac:dyDescent="0.3">
      <c r="A125" s="51"/>
      <c r="B125" s="53"/>
      <c r="C125" s="52"/>
      <c r="D125" s="52"/>
      <c r="E125" s="51"/>
    </row>
    <row r="126" spans="1:5" ht="16.5" x14ac:dyDescent="0.3">
      <c r="A126" s="51"/>
      <c r="B126" s="53"/>
      <c r="C126" s="52"/>
      <c r="D126" s="52"/>
      <c r="E126" s="51"/>
    </row>
    <row r="127" spans="1:5" ht="16.5" x14ac:dyDescent="0.3">
      <c r="A127" s="51"/>
      <c r="B127" s="53"/>
      <c r="C127" s="52"/>
      <c r="D127" s="52"/>
      <c r="E127" s="51"/>
    </row>
    <row r="128" spans="1:5" ht="16.5" x14ac:dyDescent="0.3">
      <c r="A128" s="51"/>
      <c r="B128" s="53"/>
      <c r="C128" s="52"/>
      <c r="D128" s="52"/>
      <c r="E128" s="51"/>
    </row>
    <row r="129" spans="1:5" ht="16.5" x14ac:dyDescent="0.3">
      <c r="A129" s="51"/>
      <c r="B129" s="53"/>
      <c r="C129" s="52"/>
      <c r="D129" s="52"/>
      <c r="E129" s="51"/>
    </row>
    <row r="130" spans="1:5" ht="16.5" x14ac:dyDescent="0.3">
      <c r="A130" s="51"/>
      <c r="B130" s="53"/>
      <c r="C130" s="52"/>
      <c r="D130" s="52"/>
      <c r="E130" s="51"/>
    </row>
    <row r="131" spans="1:5" ht="16.5" x14ac:dyDescent="0.3">
      <c r="A131" s="51"/>
      <c r="B131" s="53"/>
      <c r="C131" s="52"/>
      <c r="D131" s="52"/>
      <c r="E131" s="51"/>
    </row>
    <row r="132" spans="1:5" ht="16.5" x14ac:dyDescent="0.3">
      <c r="A132" s="51"/>
      <c r="B132" s="53"/>
      <c r="C132" s="52"/>
      <c r="D132" s="52"/>
      <c r="E132" s="51"/>
    </row>
    <row r="133" spans="1:5" ht="16.5" x14ac:dyDescent="0.3">
      <c r="A133" s="51"/>
      <c r="B133" s="53"/>
      <c r="C133" s="52"/>
      <c r="D133" s="52"/>
      <c r="E133" s="51"/>
    </row>
    <row r="134" spans="1:5" ht="16.5" x14ac:dyDescent="0.3">
      <c r="A134" s="51"/>
      <c r="B134" s="53"/>
      <c r="C134" s="52"/>
      <c r="D134" s="52"/>
      <c r="E134" s="51"/>
    </row>
    <row r="135" spans="1:5" ht="16.5" x14ac:dyDescent="0.3">
      <c r="A135" s="51"/>
      <c r="B135" s="53"/>
      <c r="C135" s="52"/>
      <c r="D135" s="52"/>
      <c r="E135" s="51"/>
    </row>
    <row r="136" spans="1:5" ht="16.5" x14ac:dyDescent="0.3">
      <c r="A136" s="51"/>
      <c r="B136" s="53"/>
      <c r="C136" s="52"/>
      <c r="D136" s="52"/>
      <c r="E136" s="51"/>
    </row>
    <row r="137" spans="1:5" ht="16.5" x14ac:dyDescent="0.3">
      <c r="A137" s="51"/>
      <c r="B137" s="53"/>
      <c r="C137" s="52"/>
      <c r="D137" s="52"/>
      <c r="E137" s="51"/>
    </row>
    <row r="138" spans="1:5" ht="16.5" x14ac:dyDescent="0.3">
      <c r="A138" s="51"/>
      <c r="B138" s="53"/>
      <c r="C138" s="52"/>
      <c r="D138" s="52"/>
      <c r="E138" s="51"/>
    </row>
    <row r="139" spans="1:5" ht="16.5" x14ac:dyDescent="0.3">
      <c r="A139" s="51"/>
      <c r="B139" s="53"/>
      <c r="C139" s="52"/>
      <c r="D139" s="52"/>
      <c r="E139" s="51"/>
    </row>
    <row r="140" spans="1:5" ht="16.5" x14ac:dyDescent="0.3">
      <c r="A140" s="51"/>
      <c r="B140" s="53"/>
      <c r="C140" s="52"/>
      <c r="D140" s="52"/>
      <c r="E140" s="51"/>
    </row>
    <row r="141" spans="1:5" ht="16.5" x14ac:dyDescent="0.3">
      <c r="A141" s="51"/>
      <c r="B141" s="53"/>
      <c r="C141" s="52"/>
      <c r="D141" s="52"/>
      <c r="E141" s="51"/>
    </row>
    <row r="142" spans="1:5" ht="16.5" x14ac:dyDescent="0.3">
      <c r="A142" s="51"/>
      <c r="B142" s="53"/>
      <c r="C142" s="52"/>
      <c r="D142" s="52"/>
      <c r="E142" s="51"/>
    </row>
    <row r="143" spans="1:5" ht="16.5" x14ac:dyDescent="0.3">
      <c r="A143" s="51"/>
      <c r="B143" s="53"/>
      <c r="C143" s="52"/>
      <c r="D143" s="52"/>
      <c r="E143" s="51"/>
    </row>
    <row r="144" spans="1:5" ht="16.5" x14ac:dyDescent="0.3">
      <c r="A144" s="51"/>
      <c r="B144" s="53"/>
      <c r="C144" s="52"/>
      <c r="D144" s="52"/>
      <c r="E144" s="51"/>
    </row>
    <row r="145" spans="1:5" ht="16.5" x14ac:dyDescent="0.3">
      <c r="A145" s="51"/>
      <c r="B145" s="53"/>
      <c r="C145" s="52"/>
      <c r="D145" s="52"/>
      <c r="E145" s="51"/>
    </row>
    <row r="146" spans="1:5" ht="16.5" x14ac:dyDescent="0.3">
      <c r="A146" s="51"/>
      <c r="B146" s="53"/>
      <c r="C146" s="52"/>
      <c r="D146" s="52"/>
      <c r="E146" s="51"/>
    </row>
    <row r="147" spans="1:5" ht="16.5" x14ac:dyDescent="0.3">
      <c r="A147" s="51"/>
      <c r="B147" s="53"/>
      <c r="C147" s="52"/>
      <c r="D147" s="52"/>
      <c r="E147" s="51"/>
    </row>
    <row r="148" spans="1:5" ht="16.5" x14ac:dyDescent="0.3">
      <c r="A148" s="51"/>
      <c r="B148" s="53"/>
      <c r="C148" s="52"/>
      <c r="D148" s="52"/>
      <c r="E148" s="51"/>
    </row>
    <row r="149" spans="1:5" ht="16.5" x14ac:dyDescent="0.3">
      <c r="A149" s="51"/>
      <c r="B149" s="53"/>
      <c r="C149" s="52"/>
      <c r="D149" s="52"/>
      <c r="E149" s="51"/>
    </row>
    <row r="150" spans="1:5" ht="16.5" x14ac:dyDescent="0.3">
      <c r="A150" s="51"/>
      <c r="B150" s="53"/>
      <c r="C150" s="52"/>
      <c r="D150" s="52"/>
      <c r="E150" s="51"/>
    </row>
    <row r="151" spans="1:5" ht="16.5" x14ac:dyDescent="0.3">
      <c r="A151" s="51"/>
      <c r="B151" s="53"/>
      <c r="C151" s="52"/>
      <c r="D151" s="52"/>
      <c r="E151" s="51"/>
    </row>
    <row r="152" spans="1:5" ht="16.5" x14ac:dyDescent="0.3">
      <c r="A152" s="51"/>
      <c r="B152" s="53"/>
      <c r="C152" s="52"/>
      <c r="D152" s="52"/>
      <c r="E152" s="51"/>
    </row>
    <row r="153" spans="1:5" ht="16.5" x14ac:dyDescent="0.3">
      <c r="A153" s="51"/>
      <c r="B153" s="53"/>
      <c r="C153" s="52"/>
      <c r="D153" s="52"/>
      <c r="E153" s="51"/>
    </row>
    <row r="154" spans="1:5" ht="16.5" x14ac:dyDescent="0.3">
      <c r="A154" s="51"/>
      <c r="B154" s="53"/>
      <c r="C154" s="52"/>
      <c r="D154" s="52"/>
      <c r="E154" s="51"/>
    </row>
    <row r="155" spans="1:5" ht="16.5" x14ac:dyDescent="0.3">
      <c r="A155" s="51"/>
      <c r="B155" s="53"/>
      <c r="C155" s="52"/>
      <c r="D155" s="52"/>
      <c r="E155" s="51"/>
    </row>
    <row r="156" spans="1:5" ht="16.5" x14ac:dyDescent="0.3">
      <c r="A156" s="51"/>
      <c r="B156" s="53"/>
      <c r="C156" s="52"/>
      <c r="D156" s="52"/>
      <c r="E156" s="51"/>
    </row>
    <row r="157" spans="1:5" ht="16.5" x14ac:dyDescent="0.3">
      <c r="A157" s="51"/>
      <c r="B157" s="53"/>
      <c r="C157" s="52"/>
      <c r="D157" s="52"/>
      <c r="E157" s="51"/>
    </row>
    <row r="158" spans="1:5" ht="16.5" x14ac:dyDescent="0.3">
      <c r="A158" s="51"/>
      <c r="B158" s="53"/>
      <c r="C158" s="52"/>
      <c r="D158" s="52"/>
      <c r="E158" s="51"/>
    </row>
    <row r="159" spans="1:5" ht="16.5" x14ac:dyDescent="0.3">
      <c r="A159" s="51"/>
      <c r="B159" s="53"/>
      <c r="C159" s="52"/>
      <c r="D159" s="52"/>
      <c r="E159" s="51"/>
    </row>
    <row r="160" spans="1:5" ht="16.5" x14ac:dyDescent="0.3">
      <c r="A160" s="51"/>
      <c r="B160" s="53"/>
      <c r="C160" s="52"/>
      <c r="D160" s="52"/>
      <c r="E160" s="51"/>
    </row>
    <row r="161" spans="1:5" ht="16.5" x14ac:dyDescent="0.3">
      <c r="A161" s="51"/>
      <c r="B161" s="53"/>
      <c r="C161" s="52"/>
      <c r="D161" s="52"/>
      <c r="E161" s="51"/>
    </row>
    <row r="162" spans="1:5" ht="16.5" x14ac:dyDescent="0.3">
      <c r="A162" s="51"/>
      <c r="B162" s="53"/>
      <c r="C162" s="52"/>
      <c r="D162" s="52"/>
      <c r="E162" s="51"/>
    </row>
    <row r="163" spans="1:5" ht="16.5" x14ac:dyDescent="0.3">
      <c r="A163" s="51"/>
      <c r="B163" s="53"/>
      <c r="C163" s="52"/>
      <c r="D163" s="52"/>
      <c r="E163" s="51"/>
    </row>
    <row r="164" spans="1:5" ht="16.5" x14ac:dyDescent="0.3">
      <c r="A164" s="51"/>
      <c r="B164" s="53"/>
      <c r="C164" s="52"/>
      <c r="D164" s="52"/>
      <c r="E164" s="51"/>
    </row>
    <row r="165" spans="1:5" ht="16.5" x14ac:dyDescent="0.3">
      <c r="A165" s="51"/>
      <c r="B165" s="53"/>
      <c r="C165" s="52"/>
      <c r="D165" s="52"/>
      <c r="E165" s="51"/>
    </row>
    <row r="166" spans="1:5" ht="16.5" x14ac:dyDescent="0.3">
      <c r="A166" s="51"/>
      <c r="B166" s="53"/>
      <c r="C166" s="52"/>
      <c r="D166" s="52"/>
      <c r="E166" s="51"/>
    </row>
    <row r="167" spans="1:5" ht="16.5" x14ac:dyDescent="0.3">
      <c r="A167" s="51"/>
      <c r="B167" s="53"/>
      <c r="C167" s="52"/>
      <c r="D167" s="52"/>
      <c r="E167" s="51"/>
    </row>
    <row r="168" spans="1:5" ht="16.5" x14ac:dyDescent="0.3">
      <c r="A168" s="51"/>
      <c r="B168" s="53"/>
      <c r="C168" s="52"/>
      <c r="D168" s="52"/>
      <c r="E168" s="51"/>
    </row>
    <row r="169" spans="1:5" ht="16.5" x14ac:dyDescent="0.3">
      <c r="A169" s="51"/>
      <c r="B169" s="53"/>
      <c r="C169" s="52"/>
      <c r="D169" s="52"/>
      <c r="E169" s="51"/>
    </row>
    <row r="170" spans="1:5" ht="16.5" x14ac:dyDescent="0.3">
      <c r="A170" s="51"/>
      <c r="B170" s="53"/>
      <c r="C170" s="52"/>
      <c r="D170" s="52"/>
      <c r="E170" s="51"/>
    </row>
    <row r="171" spans="1:5" ht="16.5" x14ac:dyDescent="0.3">
      <c r="A171" s="51"/>
      <c r="B171" s="53"/>
      <c r="C171" s="52"/>
      <c r="D171" s="52"/>
      <c r="E171" s="51"/>
    </row>
    <row r="172" spans="1:5" ht="16.5" x14ac:dyDescent="0.3">
      <c r="A172" s="51"/>
      <c r="B172" s="53"/>
      <c r="C172" s="52"/>
      <c r="D172" s="52"/>
      <c r="E172" s="51"/>
    </row>
    <row r="173" spans="1:5" ht="16.5" x14ac:dyDescent="0.3">
      <c r="A173" s="51"/>
      <c r="B173" s="53"/>
      <c r="C173" s="52"/>
      <c r="D173" s="52"/>
      <c r="E173" s="51"/>
    </row>
    <row r="174" spans="1:5" ht="16.5" x14ac:dyDescent="0.3">
      <c r="A174" s="51"/>
      <c r="B174" s="53"/>
      <c r="C174" s="52"/>
      <c r="D174" s="52"/>
      <c r="E174" s="51"/>
    </row>
    <row r="175" spans="1:5" ht="16.5" x14ac:dyDescent="0.3">
      <c r="A175" s="51"/>
      <c r="B175" s="53"/>
      <c r="C175" s="52"/>
      <c r="D175" s="52"/>
      <c r="E175" s="51"/>
    </row>
    <row r="176" spans="1:5" ht="16.5" x14ac:dyDescent="0.3">
      <c r="A176" s="51"/>
      <c r="B176" s="53"/>
      <c r="C176" s="52"/>
      <c r="D176" s="52"/>
      <c r="E176" s="51"/>
    </row>
    <row r="177" spans="1:5" ht="16.5" x14ac:dyDescent="0.3">
      <c r="A177" s="51"/>
      <c r="B177" s="53"/>
      <c r="C177" s="52"/>
      <c r="D177" s="52"/>
      <c r="E177" s="51"/>
    </row>
    <row r="178" spans="1:5" ht="16.5" x14ac:dyDescent="0.3">
      <c r="A178" s="51"/>
      <c r="B178" s="53"/>
      <c r="C178" s="52"/>
      <c r="D178" s="52"/>
      <c r="E178" s="51"/>
    </row>
    <row r="179" spans="1:5" ht="16.5" x14ac:dyDescent="0.3">
      <c r="A179" s="51"/>
      <c r="B179" s="53"/>
      <c r="C179" s="52"/>
      <c r="D179" s="52"/>
      <c r="E179" s="51"/>
    </row>
    <row r="180" spans="1:5" ht="16.5" x14ac:dyDescent="0.3">
      <c r="A180" s="51"/>
      <c r="B180" s="53"/>
      <c r="C180" s="52"/>
      <c r="D180" s="52"/>
      <c r="E180" s="51"/>
    </row>
    <row r="181" spans="1:5" ht="16.5" x14ac:dyDescent="0.3">
      <c r="A181" s="51"/>
      <c r="B181" s="53"/>
      <c r="C181" s="52"/>
      <c r="D181" s="52"/>
      <c r="E181" s="51"/>
    </row>
    <row r="182" spans="1:5" ht="16.5" x14ac:dyDescent="0.3">
      <c r="A182" s="51"/>
      <c r="B182" s="53"/>
      <c r="C182" s="52"/>
      <c r="D182" s="52"/>
      <c r="E182" s="51"/>
    </row>
    <row r="183" spans="1:5" ht="16.5" x14ac:dyDescent="0.3">
      <c r="A183" s="51"/>
      <c r="B183" s="53"/>
      <c r="C183" s="52"/>
      <c r="D183" s="52"/>
      <c r="E183" s="51"/>
    </row>
    <row r="184" spans="1:5" ht="16.5" x14ac:dyDescent="0.3">
      <c r="A184" s="51"/>
      <c r="B184" s="53"/>
      <c r="C184" s="52"/>
      <c r="D184" s="52"/>
      <c r="E184" s="51"/>
    </row>
    <row r="185" spans="1:5" ht="16.5" x14ac:dyDescent="0.3">
      <c r="A185" s="51"/>
      <c r="B185" s="53"/>
      <c r="C185" s="52"/>
      <c r="D185" s="52"/>
      <c r="E185" s="51"/>
    </row>
    <row r="186" spans="1:5" ht="16.5" x14ac:dyDescent="0.3">
      <c r="A186" s="51"/>
      <c r="B186" s="53"/>
      <c r="C186" s="52"/>
      <c r="D186" s="52"/>
      <c r="E186" s="51"/>
    </row>
    <row r="187" spans="1:5" ht="16.5" x14ac:dyDescent="0.3">
      <c r="A187" s="51"/>
      <c r="B187" s="53"/>
      <c r="C187" s="52"/>
      <c r="D187" s="52"/>
      <c r="E187" s="51"/>
    </row>
    <row r="188" spans="1:5" ht="16.5" x14ac:dyDescent="0.3">
      <c r="A188" s="51"/>
      <c r="B188" s="53"/>
      <c r="C188" s="52"/>
      <c r="D188" s="52"/>
      <c r="E188" s="51"/>
    </row>
    <row r="189" spans="1:5" ht="16.5" x14ac:dyDescent="0.3">
      <c r="A189" s="51"/>
      <c r="B189" s="53"/>
      <c r="C189" s="52"/>
      <c r="D189" s="52"/>
      <c r="E189" s="51"/>
    </row>
    <row r="190" spans="1:5" ht="16.5" x14ac:dyDescent="0.3">
      <c r="A190" s="51"/>
      <c r="B190" s="53"/>
      <c r="C190" s="52"/>
      <c r="D190" s="52"/>
      <c r="E190" s="51"/>
    </row>
    <row r="191" spans="1:5" ht="16.5" x14ac:dyDescent="0.3">
      <c r="A191" s="51"/>
      <c r="B191" s="53"/>
      <c r="C191" s="52"/>
      <c r="D191" s="52"/>
      <c r="E191" s="51"/>
    </row>
    <row r="192" spans="1:5" ht="16.5" x14ac:dyDescent="0.3">
      <c r="A192" s="51"/>
      <c r="B192" s="53"/>
      <c r="C192" s="52"/>
      <c r="D192" s="52"/>
      <c r="E192" s="51"/>
    </row>
    <row r="193" spans="1:5" ht="16.5" x14ac:dyDescent="0.3">
      <c r="A193" s="51"/>
      <c r="B193" s="53"/>
      <c r="C193" s="52"/>
      <c r="D193" s="52"/>
      <c r="E193" s="51"/>
    </row>
    <row r="194" spans="1:5" ht="16.5" x14ac:dyDescent="0.3">
      <c r="A194" s="51"/>
      <c r="B194" s="53"/>
      <c r="C194" s="52"/>
      <c r="D194" s="52"/>
      <c r="E194" s="51"/>
    </row>
    <row r="195" spans="1:5" ht="16.5" x14ac:dyDescent="0.3">
      <c r="A195" s="51"/>
      <c r="B195" s="53"/>
      <c r="C195" s="52"/>
      <c r="D195" s="52"/>
      <c r="E195" s="51"/>
    </row>
    <row r="196" spans="1:5" ht="16.5" x14ac:dyDescent="0.3">
      <c r="A196" s="51"/>
      <c r="B196" s="53"/>
      <c r="C196" s="52"/>
      <c r="D196" s="52"/>
      <c r="E196" s="51"/>
    </row>
    <row r="197" spans="1:5" ht="16.5" x14ac:dyDescent="0.3">
      <c r="A197" s="51"/>
      <c r="B197" s="53"/>
      <c r="C197" s="52"/>
      <c r="D197" s="52"/>
      <c r="E197" s="51"/>
    </row>
    <row r="198" spans="1:5" ht="16.5" x14ac:dyDescent="0.3">
      <c r="A198" s="51"/>
      <c r="B198" s="53"/>
      <c r="C198" s="52"/>
      <c r="D198" s="52"/>
      <c r="E198" s="51"/>
    </row>
    <row r="199" spans="1:5" ht="16.5" x14ac:dyDescent="0.3">
      <c r="A199" s="51"/>
      <c r="B199" s="53"/>
      <c r="C199" s="52"/>
      <c r="D199" s="52"/>
      <c r="E199" s="51"/>
    </row>
    <row r="200" spans="1:5" ht="16.5" x14ac:dyDescent="0.3">
      <c r="A200" s="51"/>
      <c r="B200" s="53"/>
      <c r="C200" s="52"/>
      <c r="D200" s="52"/>
      <c r="E200" s="51"/>
    </row>
    <row r="201" spans="1:5" ht="16.5" x14ac:dyDescent="0.3">
      <c r="A201" s="51"/>
      <c r="B201" s="53"/>
      <c r="C201" s="52"/>
      <c r="D201" s="52"/>
      <c r="E201" s="51"/>
    </row>
    <row r="202" spans="1:5" ht="16.5" x14ac:dyDescent="0.3">
      <c r="A202" s="51"/>
      <c r="B202" s="53"/>
      <c r="C202" s="52"/>
      <c r="D202" s="52"/>
      <c r="E202" s="51"/>
    </row>
    <row r="203" spans="1:5" ht="16.5" x14ac:dyDescent="0.3">
      <c r="A203" s="51"/>
      <c r="B203" s="53"/>
      <c r="C203" s="52"/>
      <c r="D203" s="52"/>
      <c r="E203" s="51"/>
    </row>
    <row r="204" spans="1:5" ht="16.5" x14ac:dyDescent="0.3">
      <c r="A204" s="51"/>
      <c r="B204" s="53"/>
      <c r="C204" s="52"/>
      <c r="D204" s="52"/>
      <c r="E204" s="51"/>
    </row>
    <row r="205" spans="1:5" ht="16.5" x14ac:dyDescent="0.3">
      <c r="A205" s="51"/>
      <c r="B205" s="53"/>
      <c r="C205" s="52"/>
      <c r="D205" s="52"/>
      <c r="E205" s="51"/>
    </row>
    <row r="206" spans="1:5" ht="16.5" x14ac:dyDescent="0.3">
      <c r="A206" s="51"/>
      <c r="B206" s="53"/>
      <c r="C206" s="52"/>
      <c r="D206" s="52"/>
      <c r="E206" s="51"/>
    </row>
    <row r="207" spans="1:5" ht="16.5" x14ac:dyDescent="0.3">
      <c r="A207" s="51"/>
      <c r="B207" s="53"/>
      <c r="C207" s="52"/>
      <c r="D207" s="52"/>
      <c r="E207" s="51"/>
    </row>
    <row r="208" spans="1:5" ht="16.5" x14ac:dyDescent="0.3">
      <c r="A208" s="51"/>
      <c r="B208" s="53"/>
      <c r="C208" s="52"/>
      <c r="D208" s="52"/>
      <c r="E208" s="51"/>
    </row>
    <row r="209" spans="1:5" ht="16.5" x14ac:dyDescent="0.3">
      <c r="A209" s="51"/>
      <c r="B209" s="53"/>
      <c r="C209" s="52"/>
      <c r="D209" s="52"/>
      <c r="E209" s="51"/>
    </row>
    <row r="210" spans="1:5" ht="16.5" x14ac:dyDescent="0.3">
      <c r="A210" s="51"/>
      <c r="B210" s="53"/>
      <c r="C210" s="52"/>
      <c r="D210" s="52"/>
      <c r="E210" s="51"/>
    </row>
    <row r="211" spans="1:5" ht="16.5" x14ac:dyDescent="0.3">
      <c r="A211" s="51"/>
      <c r="B211" s="53"/>
      <c r="C211" s="52"/>
      <c r="D211" s="52"/>
      <c r="E211" s="51"/>
    </row>
    <row r="212" spans="1:5" ht="16.5" x14ac:dyDescent="0.3">
      <c r="A212" s="51"/>
      <c r="B212" s="53"/>
      <c r="C212" s="52"/>
      <c r="D212" s="52"/>
      <c r="E212" s="51"/>
    </row>
    <row r="213" spans="1:5" ht="16.5" x14ac:dyDescent="0.3">
      <c r="A213" s="51"/>
      <c r="B213" s="53"/>
      <c r="C213" s="52"/>
      <c r="D213" s="52"/>
      <c r="E213" s="51"/>
    </row>
    <row r="214" spans="1:5" ht="16.5" x14ac:dyDescent="0.3">
      <c r="A214" s="51"/>
      <c r="B214" s="53"/>
      <c r="C214" s="52"/>
      <c r="D214" s="52"/>
      <c r="E214" s="51"/>
    </row>
    <row r="215" spans="1:5" ht="16.5" x14ac:dyDescent="0.3">
      <c r="A215" s="51"/>
      <c r="B215" s="53"/>
      <c r="C215" s="52"/>
      <c r="D215" s="52"/>
      <c r="E215" s="51"/>
    </row>
    <row r="216" spans="1:5" ht="16.5" x14ac:dyDescent="0.3">
      <c r="A216" s="51"/>
      <c r="B216" s="53"/>
      <c r="C216" s="52"/>
      <c r="D216" s="52"/>
      <c r="E216" s="51"/>
    </row>
    <row r="217" spans="1:5" ht="16.5" x14ac:dyDescent="0.3">
      <c r="A217" s="51"/>
      <c r="B217" s="53"/>
      <c r="C217" s="52"/>
      <c r="D217" s="52"/>
      <c r="E217" s="51"/>
    </row>
    <row r="218" spans="1:5" ht="16.5" x14ac:dyDescent="0.3">
      <c r="A218" s="51"/>
      <c r="B218" s="53"/>
      <c r="C218" s="52"/>
      <c r="D218" s="52"/>
      <c r="E218" s="51"/>
    </row>
    <row r="219" spans="1:5" ht="16.5" x14ac:dyDescent="0.3">
      <c r="A219" s="51"/>
      <c r="B219" s="53"/>
      <c r="C219" s="52"/>
      <c r="D219" s="52"/>
      <c r="E219" s="51"/>
    </row>
    <row r="220" spans="1:5" ht="16.5" x14ac:dyDescent="0.3">
      <c r="A220" s="51"/>
      <c r="B220" s="53"/>
      <c r="C220" s="52"/>
      <c r="D220" s="52"/>
      <c r="E220" s="51"/>
    </row>
    <row r="221" spans="1:5" ht="16.5" x14ac:dyDescent="0.3">
      <c r="A221" s="51"/>
      <c r="B221" s="53"/>
      <c r="C221" s="52"/>
      <c r="D221" s="52"/>
      <c r="E221" s="51"/>
    </row>
    <row r="222" spans="1:5" ht="16.5" x14ac:dyDescent="0.3">
      <c r="A222" s="51"/>
      <c r="B222" s="53"/>
      <c r="C222" s="52"/>
      <c r="D222" s="52"/>
      <c r="E222" s="51"/>
    </row>
    <row r="223" spans="1:5" ht="16.5" x14ac:dyDescent="0.3">
      <c r="A223" s="51"/>
      <c r="B223" s="53"/>
      <c r="C223" s="52"/>
      <c r="D223" s="52"/>
      <c r="E223" s="51"/>
    </row>
    <row r="224" spans="1:5" ht="16.5" x14ac:dyDescent="0.3">
      <c r="A224" s="51"/>
      <c r="B224" s="53"/>
      <c r="C224" s="52"/>
      <c r="D224" s="52"/>
      <c r="E224" s="51"/>
    </row>
    <row r="225" spans="1:5" ht="16.5" x14ac:dyDescent="0.3">
      <c r="A225" s="51"/>
      <c r="B225" s="53"/>
      <c r="C225" s="52"/>
      <c r="D225" s="52"/>
      <c r="E225" s="51"/>
    </row>
    <row r="226" spans="1:5" ht="16.5" x14ac:dyDescent="0.3">
      <c r="A226" s="51"/>
      <c r="B226" s="53"/>
      <c r="C226" s="52"/>
      <c r="D226" s="52"/>
      <c r="E226" s="51"/>
    </row>
    <row r="227" spans="1:5" ht="16.5" x14ac:dyDescent="0.3">
      <c r="A227" s="51"/>
      <c r="B227" s="53"/>
      <c r="C227" s="52"/>
      <c r="D227" s="52"/>
      <c r="E227" s="51"/>
    </row>
    <row r="228" spans="1:5" ht="16.5" x14ac:dyDescent="0.3">
      <c r="A228" s="51"/>
      <c r="B228" s="53"/>
      <c r="C228" s="52"/>
      <c r="D228" s="52"/>
      <c r="E228" s="51"/>
    </row>
    <row r="229" spans="1:5" ht="16.5" x14ac:dyDescent="0.3">
      <c r="A229" s="51"/>
      <c r="B229" s="53"/>
      <c r="C229" s="52"/>
      <c r="D229" s="52"/>
      <c r="E229" s="51"/>
    </row>
    <row r="230" spans="1:5" ht="16.5" x14ac:dyDescent="0.3">
      <c r="A230" s="51"/>
      <c r="B230" s="53"/>
      <c r="C230" s="52"/>
      <c r="D230" s="52"/>
      <c r="E230" s="51"/>
    </row>
    <row r="231" spans="1:5" ht="16.5" x14ac:dyDescent="0.3">
      <c r="A231" s="51"/>
      <c r="B231" s="53"/>
      <c r="C231" s="52"/>
      <c r="D231" s="52"/>
      <c r="E231" s="51"/>
    </row>
    <row r="232" spans="1:5" ht="16.5" x14ac:dyDescent="0.3">
      <c r="A232" s="51"/>
      <c r="B232" s="53"/>
      <c r="C232" s="52"/>
      <c r="D232" s="52"/>
      <c r="E232" s="51"/>
    </row>
    <row r="233" spans="1:5" ht="16.5" x14ac:dyDescent="0.3">
      <c r="A233" s="51"/>
      <c r="B233" s="53"/>
      <c r="C233" s="52"/>
      <c r="D233" s="52"/>
      <c r="E233" s="51"/>
    </row>
    <row r="234" spans="1:5" ht="16.5" x14ac:dyDescent="0.3">
      <c r="A234" s="51"/>
      <c r="B234" s="53"/>
      <c r="C234" s="52"/>
      <c r="D234" s="52"/>
      <c r="E234" s="51"/>
    </row>
    <row r="235" spans="1:5" ht="16.5" x14ac:dyDescent="0.3">
      <c r="A235" s="51"/>
      <c r="B235" s="53"/>
      <c r="C235" s="52"/>
      <c r="D235" s="52"/>
      <c r="E235" s="51"/>
    </row>
    <row r="236" spans="1:5" ht="16.5" x14ac:dyDescent="0.3">
      <c r="A236" s="51"/>
      <c r="B236" s="53"/>
      <c r="C236" s="52"/>
      <c r="D236" s="52"/>
      <c r="E236" s="51"/>
    </row>
    <row r="237" spans="1:5" ht="16.5" x14ac:dyDescent="0.3">
      <c r="A237" s="51"/>
      <c r="B237" s="53"/>
      <c r="C237" s="52"/>
      <c r="D237" s="52"/>
      <c r="E237" s="51"/>
    </row>
    <row r="238" spans="1:5" ht="16.5" x14ac:dyDescent="0.3">
      <c r="A238" s="51"/>
      <c r="B238" s="53"/>
      <c r="C238" s="52"/>
      <c r="D238" s="52"/>
      <c r="E238" s="51"/>
    </row>
    <row r="239" spans="1:5" ht="16.5" x14ac:dyDescent="0.3">
      <c r="A239" s="51"/>
      <c r="B239" s="53"/>
      <c r="C239" s="52"/>
      <c r="D239" s="52"/>
      <c r="E239" s="51"/>
    </row>
    <row r="240" spans="1:5" ht="16.5" x14ac:dyDescent="0.3">
      <c r="A240" s="51"/>
      <c r="B240" s="53"/>
      <c r="C240" s="52"/>
      <c r="D240" s="52"/>
      <c r="E240" s="51"/>
    </row>
    <row r="241" spans="1:5" ht="16.5" x14ac:dyDescent="0.3">
      <c r="A241" s="51"/>
      <c r="B241" s="53"/>
      <c r="C241" s="52"/>
      <c r="D241" s="52"/>
      <c r="E241" s="51"/>
    </row>
    <row r="242" spans="1:5" ht="16.5" x14ac:dyDescent="0.3">
      <c r="A242" s="51"/>
      <c r="B242" s="53"/>
      <c r="C242" s="52"/>
      <c r="D242" s="52"/>
      <c r="E242" s="51"/>
    </row>
    <row r="243" spans="1:5" ht="16.5" x14ac:dyDescent="0.3">
      <c r="A243" s="51"/>
      <c r="B243" s="53"/>
      <c r="C243" s="52"/>
      <c r="D243" s="52"/>
      <c r="E243" s="51"/>
    </row>
    <row r="244" spans="1:5" ht="16.5" x14ac:dyDescent="0.3">
      <c r="A244" s="51"/>
      <c r="B244" s="53"/>
      <c r="C244" s="52"/>
      <c r="D244" s="52"/>
      <c r="E244" s="51"/>
    </row>
    <row r="245" spans="1:5" ht="16.5" x14ac:dyDescent="0.3">
      <c r="A245" s="51"/>
      <c r="B245" s="53"/>
      <c r="C245" s="52"/>
      <c r="D245" s="52"/>
      <c r="E245" s="51"/>
    </row>
    <row r="246" spans="1:5" ht="16.5" x14ac:dyDescent="0.3">
      <c r="A246" s="51"/>
      <c r="B246" s="53"/>
      <c r="C246" s="52"/>
      <c r="D246" s="52"/>
      <c r="E246" s="51"/>
    </row>
    <row r="247" spans="1:5" ht="16.5" x14ac:dyDescent="0.3">
      <c r="A247" s="51"/>
      <c r="B247" s="53"/>
      <c r="C247" s="52"/>
      <c r="D247" s="52"/>
      <c r="E247" s="51"/>
    </row>
    <row r="248" spans="1:5" ht="16.5" x14ac:dyDescent="0.3">
      <c r="A248" s="51"/>
      <c r="B248" s="53"/>
      <c r="C248" s="52"/>
      <c r="D248" s="52"/>
      <c r="E248" s="51"/>
    </row>
    <row r="249" spans="1:5" ht="16.5" x14ac:dyDescent="0.3">
      <c r="A249" s="51"/>
      <c r="B249" s="53"/>
      <c r="C249" s="52"/>
      <c r="D249" s="52"/>
      <c r="E249" s="51"/>
    </row>
    <row r="250" spans="1:5" ht="16.5" x14ac:dyDescent="0.3">
      <c r="A250" s="51"/>
      <c r="B250" s="53"/>
      <c r="C250" s="52"/>
      <c r="D250" s="52"/>
      <c r="E250" s="51"/>
    </row>
    <row r="251" spans="1:5" ht="16.5" x14ac:dyDescent="0.3">
      <c r="A251" s="51"/>
      <c r="B251" s="53"/>
      <c r="C251" s="52"/>
      <c r="D251" s="52"/>
      <c r="E251" s="51"/>
    </row>
    <row r="252" spans="1:5" ht="16.5" x14ac:dyDescent="0.3">
      <c r="A252" s="51"/>
      <c r="B252" s="53"/>
      <c r="C252" s="52"/>
      <c r="D252" s="52"/>
      <c r="E252" s="51"/>
    </row>
    <row r="253" spans="1:5" ht="16.5" x14ac:dyDescent="0.3">
      <c r="A253" s="51"/>
      <c r="B253" s="53"/>
      <c r="C253" s="52"/>
      <c r="D253" s="52"/>
      <c r="E253" s="51"/>
    </row>
    <row r="254" spans="1:5" ht="16.5" x14ac:dyDescent="0.3">
      <c r="A254" s="51"/>
      <c r="B254" s="53"/>
      <c r="C254" s="52"/>
      <c r="D254" s="52"/>
      <c r="E254" s="51"/>
    </row>
    <row r="255" spans="1:5" ht="16.5" x14ac:dyDescent="0.3">
      <c r="A255" s="51"/>
      <c r="B255" s="53"/>
      <c r="C255" s="52"/>
      <c r="D255" s="52"/>
      <c r="E255" s="51"/>
    </row>
    <row r="256" spans="1:5" ht="16.5" x14ac:dyDescent="0.3">
      <c r="A256" s="51"/>
      <c r="B256" s="53"/>
      <c r="C256" s="52"/>
      <c r="D256" s="52"/>
      <c r="E256" s="51"/>
    </row>
    <row r="257" spans="1:5" ht="16.5" x14ac:dyDescent="0.3">
      <c r="A257" s="51"/>
      <c r="B257" s="53"/>
      <c r="C257" s="52"/>
      <c r="D257" s="52"/>
      <c r="E257" s="51"/>
    </row>
    <row r="258" spans="1:5" ht="16.5" x14ac:dyDescent="0.3">
      <c r="A258" s="51"/>
      <c r="B258" s="53"/>
      <c r="C258" s="52"/>
      <c r="D258" s="52"/>
      <c r="E258" s="51"/>
    </row>
    <row r="259" spans="1:5" ht="16.5" x14ac:dyDescent="0.3">
      <c r="A259" s="51"/>
      <c r="B259" s="53"/>
      <c r="C259" s="52"/>
      <c r="D259" s="52"/>
      <c r="E259" s="51"/>
    </row>
    <row r="260" spans="1:5" ht="16.5" x14ac:dyDescent="0.3">
      <c r="A260" s="51"/>
      <c r="B260" s="53"/>
      <c r="C260" s="52"/>
      <c r="D260" s="52"/>
      <c r="E260" s="51"/>
    </row>
    <row r="261" spans="1:5" ht="16.5" x14ac:dyDescent="0.3">
      <c r="A261" s="51"/>
      <c r="B261" s="53"/>
      <c r="C261" s="52"/>
      <c r="D261" s="52"/>
      <c r="E261" s="51"/>
    </row>
    <row r="262" spans="1:5" ht="16.5" x14ac:dyDescent="0.3">
      <c r="A262" s="51"/>
      <c r="B262" s="53"/>
      <c r="C262" s="52"/>
      <c r="D262" s="52"/>
      <c r="E262" s="51"/>
    </row>
    <row r="263" spans="1:5" ht="16.5" x14ac:dyDescent="0.3">
      <c r="A263" s="51"/>
      <c r="B263" s="53"/>
      <c r="C263" s="52"/>
      <c r="D263" s="52"/>
      <c r="E263" s="51"/>
    </row>
    <row r="264" spans="1:5" ht="16.5" x14ac:dyDescent="0.3">
      <c r="A264" s="51"/>
      <c r="B264" s="53"/>
      <c r="C264" s="52"/>
      <c r="D264" s="52"/>
      <c r="E264" s="51"/>
    </row>
    <row r="265" spans="1:5" ht="16.5" x14ac:dyDescent="0.3">
      <c r="A265" s="51"/>
      <c r="B265" s="53"/>
      <c r="C265" s="52"/>
      <c r="D265" s="52"/>
      <c r="E265" s="51"/>
    </row>
    <row r="266" spans="1:5" ht="16.5" x14ac:dyDescent="0.3">
      <c r="A266" s="51"/>
      <c r="B266" s="53"/>
      <c r="C266" s="52"/>
      <c r="D266" s="52"/>
      <c r="E266" s="51"/>
    </row>
    <row r="267" spans="1:5" ht="16.5" x14ac:dyDescent="0.3">
      <c r="A267" s="51"/>
      <c r="B267" s="53"/>
      <c r="C267" s="52"/>
      <c r="D267" s="52"/>
      <c r="E267" s="51"/>
    </row>
    <row r="268" spans="1:5" ht="16.5" x14ac:dyDescent="0.3">
      <c r="A268" s="51"/>
      <c r="B268" s="53"/>
      <c r="C268" s="52"/>
      <c r="D268" s="52"/>
      <c r="E268" s="51"/>
    </row>
    <row r="269" spans="1:5" ht="16.5" x14ac:dyDescent="0.3">
      <c r="A269" s="51"/>
      <c r="B269" s="53"/>
      <c r="C269" s="52"/>
      <c r="D269" s="52"/>
      <c r="E269" s="51"/>
    </row>
    <row r="270" spans="1:5" ht="16.5" x14ac:dyDescent="0.3">
      <c r="A270" s="51"/>
      <c r="B270" s="53"/>
      <c r="C270" s="52"/>
      <c r="D270" s="52"/>
      <c r="E270" s="51"/>
    </row>
    <row r="271" spans="1:5" ht="16.5" x14ac:dyDescent="0.3">
      <c r="A271" s="51"/>
      <c r="B271" s="53"/>
      <c r="C271" s="52"/>
      <c r="D271" s="52"/>
      <c r="E271" s="51"/>
    </row>
    <row r="272" spans="1:5" ht="16.5" x14ac:dyDescent="0.3">
      <c r="A272" s="51"/>
      <c r="B272" s="53"/>
      <c r="C272" s="52"/>
      <c r="D272" s="52"/>
      <c r="E272" s="51"/>
    </row>
    <row r="273" spans="1:5" ht="16.5" x14ac:dyDescent="0.3">
      <c r="A273" s="51"/>
      <c r="B273" s="53"/>
      <c r="C273" s="52"/>
      <c r="D273" s="52"/>
      <c r="E273" s="51"/>
    </row>
    <row r="274" spans="1:5" ht="16.5" x14ac:dyDescent="0.3">
      <c r="A274" s="51"/>
      <c r="B274" s="53"/>
      <c r="C274" s="52"/>
      <c r="D274" s="52"/>
      <c r="E274" s="51"/>
    </row>
    <row r="275" spans="1:5" ht="16.5" x14ac:dyDescent="0.3">
      <c r="A275" s="51"/>
      <c r="B275" s="53"/>
      <c r="C275" s="52"/>
      <c r="D275" s="52"/>
      <c r="E275" s="51"/>
    </row>
    <row r="276" spans="1:5" ht="16.5" x14ac:dyDescent="0.3">
      <c r="A276" s="51"/>
      <c r="B276" s="53"/>
      <c r="C276" s="52"/>
      <c r="D276" s="52"/>
      <c r="E276" s="51"/>
    </row>
    <row r="277" spans="1:5" ht="16.5" x14ac:dyDescent="0.3">
      <c r="A277" s="51"/>
      <c r="B277" s="53"/>
      <c r="C277" s="52"/>
      <c r="D277" s="52"/>
      <c r="E277" s="51"/>
    </row>
    <row r="278" spans="1:5" ht="16.5" x14ac:dyDescent="0.3">
      <c r="A278" s="51"/>
      <c r="B278" s="53"/>
      <c r="C278" s="52"/>
      <c r="D278" s="52"/>
      <c r="E278" s="51"/>
    </row>
    <row r="279" spans="1:5" ht="16.5" x14ac:dyDescent="0.3">
      <c r="A279" s="51"/>
      <c r="B279" s="53"/>
      <c r="C279" s="52"/>
      <c r="D279" s="52"/>
      <c r="E279" s="51"/>
    </row>
    <row r="280" spans="1:5" ht="16.5" x14ac:dyDescent="0.3">
      <c r="A280" s="51"/>
      <c r="B280" s="53"/>
      <c r="C280" s="52"/>
      <c r="D280" s="52"/>
      <c r="E280" s="51"/>
    </row>
    <row r="281" spans="1:5" ht="16.5" x14ac:dyDescent="0.3">
      <c r="A281" s="51"/>
      <c r="B281" s="53"/>
      <c r="C281" s="52"/>
      <c r="D281" s="52"/>
      <c r="E281" s="51"/>
    </row>
    <row r="282" spans="1:5" ht="16.5" x14ac:dyDescent="0.3">
      <c r="A282" s="51"/>
      <c r="B282" s="53"/>
      <c r="C282" s="52"/>
      <c r="D282" s="52"/>
      <c r="E282" s="51"/>
    </row>
    <row r="283" spans="1:5" ht="16.5" x14ac:dyDescent="0.3">
      <c r="A283" s="51"/>
      <c r="B283" s="53"/>
      <c r="C283" s="52"/>
      <c r="D283" s="52"/>
      <c r="E283" s="51"/>
    </row>
    <row r="284" spans="1:5" ht="16.5" x14ac:dyDescent="0.3">
      <c r="A284" s="51"/>
      <c r="B284" s="53"/>
      <c r="C284" s="52"/>
      <c r="D284" s="52"/>
      <c r="E284" s="51"/>
    </row>
    <row r="285" spans="1:5" ht="16.5" x14ac:dyDescent="0.3">
      <c r="A285" s="51"/>
      <c r="B285" s="53"/>
      <c r="C285" s="52"/>
      <c r="D285" s="52"/>
      <c r="E285" s="51"/>
    </row>
    <row r="286" spans="1:5" ht="16.5" x14ac:dyDescent="0.3">
      <c r="A286" s="51"/>
      <c r="B286" s="53"/>
      <c r="C286" s="52"/>
      <c r="D286" s="52"/>
      <c r="E286" s="51"/>
    </row>
    <row r="287" spans="1:5" ht="16.5" x14ac:dyDescent="0.3">
      <c r="A287" s="51"/>
      <c r="B287" s="53"/>
      <c r="C287" s="52"/>
      <c r="D287" s="52"/>
      <c r="E287" s="51"/>
    </row>
    <row r="288" spans="1:5" ht="16.5" x14ac:dyDescent="0.3">
      <c r="A288" s="51"/>
      <c r="B288" s="53"/>
      <c r="C288" s="52"/>
      <c r="D288" s="52"/>
      <c r="E288" s="51"/>
    </row>
    <row r="289" spans="1:5" ht="16.5" x14ac:dyDescent="0.3">
      <c r="A289" s="51"/>
      <c r="B289" s="53"/>
      <c r="C289" s="52"/>
      <c r="D289" s="52"/>
      <c r="E289" s="51"/>
    </row>
    <row r="290" spans="1:5" ht="16.5" x14ac:dyDescent="0.3">
      <c r="A290" s="51"/>
      <c r="B290" s="53"/>
      <c r="C290" s="52"/>
      <c r="D290" s="52"/>
      <c r="E290" s="51"/>
    </row>
    <row r="291" spans="1:5" ht="16.5" x14ac:dyDescent="0.3">
      <c r="A291" s="51"/>
      <c r="B291" s="53"/>
      <c r="C291" s="52"/>
      <c r="D291" s="52"/>
      <c r="E291" s="51"/>
    </row>
    <row r="292" spans="1:5" ht="16.5" x14ac:dyDescent="0.3">
      <c r="A292" s="51"/>
      <c r="B292" s="53"/>
      <c r="C292" s="52"/>
      <c r="D292" s="52"/>
      <c r="E292" s="51"/>
    </row>
    <row r="293" spans="1:5" ht="16.5" x14ac:dyDescent="0.3">
      <c r="A293" s="51"/>
      <c r="B293" s="53"/>
      <c r="C293" s="52"/>
      <c r="D293" s="52"/>
      <c r="E293" s="51"/>
    </row>
    <row r="294" spans="1:5" ht="16.5" x14ac:dyDescent="0.3">
      <c r="A294" s="51"/>
      <c r="B294" s="53"/>
      <c r="C294" s="52"/>
      <c r="D294" s="52"/>
      <c r="E294" s="51"/>
    </row>
    <row r="295" spans="1:5" ht="16.5" x14ac:dyDescent="0.3">
      <c r="A295" s="51"/>
      <c r="B295" s="53"/>
      <c r="C295" s="52"/>
      <c r="D295" s="52"/>
      <c r="E295" s="51"/>
    </row>
    <row r="296" spans="1:5" ht="16.5" x14ac:dyDescent="0.3">
      <c r="A296" s="51"/>
      <c r="B296" s="53"/>
      <c r="C296" s="52"/>
      <c r="D296" s="52"/>
      <c r="E296" s="51"/>
    </row>
    <row r="297" spans="1:5" ht="16.5" x14ac:dyDescent="0.3">
      <c r="A297" s="51"/>
      <c r="B297" s="53"/>
      <c r="C297" s="52"/>
      <c r="D297" s="52"/>
      <c r="E297" s="51"/>
    </row>
    <row r="298" spans="1:5" ht="16.5" x14ac:dyDescent="0.3">
      <c r="A298" s="51"/>
      <c r="B298" s="53"/>
      <c r="C298" s="52"/>
      <c r="D298" s="52"/>
      <c r="E298" s="51"/>
    </row>
    <row r="299" spans="1:5" ht="16.5" x14ac:dyDescent="0.3">
      <c r="A299" s="51"/>
      <c r="B299" s="53"/>
      <c r="C299" s="52"/>
      <c r="D299" s="52"/>
      <c r="E299" s="51"/>
    </row>
    <row r="300" spans="1:5" ht="16.5" x14ac:dyDescent="0.3">
      <c r="A300" s="51"/>
      <c r="B300" s="53"/>
      <c r="C300" s="52"/>
      <c r="D300" s="52"/>
      <c r="E300" s="51"/>
    </row>
    <row r="301" spans="1:5" ht="16.5" x14ac:dyDescent="0.3">
      <c r="A301" s="51"/>
      <c r="B301" s="53"/>
      <c r="C301" s="52"/>
      <c r="D301" s="52"/>
      <c r="E301" s="51"/>
    </row>
    <row r="302" spans="1:5" ht="16.5" x14ac:dyDescent="0.3">
      <c r="A302" s="51"/>
      <c r="B302" s="53"/>
      <c r="C302" s="52"/>
      <c r="D302" s="52"/>
      <c r="E302" s="51"/>
    </row>
    <row r="303" spans="1:5" ht="16.5" x14ac:dyDescent="0.3">
      <c r="A303" s="51"/>
      <c r="B303" s="53"/>
      <c r="C303" s="52"/>
      <c r="D303" s="52"/>
      <c r="E303" s="51"/>
    </row>
    <row r="304" spans="1:5" ht="16.5" x14ac:dyDescent="0.3">
      <c r="A304" s="51"/>
      <c r="B304" s="53"/>
      <c r="C304" s="52"/>
      <c r="D304" s="52"/>
      <c r="E304" s="51"/>
    </row>
    <row r="305" spans="1:5" ht="16.5" x14ac:dyDescent="0.3">
      <c r="A305" s="51"/>
      <c r="B305" s="53"/>
      <c r="C305" s="52"/>
      <c r="D305" s="52"/>
      <c r="E305" s="51"/>
    </row>
    <row r="306" spans="1:5" ht="16.5" x14ac:dyDescent="0.3">
      <c r="A306" s="51"/>
      <c r="B306" s="53"/>
      <c r="C306" s="52"/>
      <c r="D306" s="52"/>
      <c r="E306" s="51"/>
    </row>
    <row r="307" spans="1:5" ht="16.5" x14ac:dyDescent="0.3">
      <c r="A307" s="51"/>
      <c r="B307" s="53"/>
      <c r="C307" s="52"/>
      <c r="D307" s="52"/>
      <c r="E307" s="51"/>
    </row>
    <row r="308" spans="1:5" ht="16.5" x14ac:dyDescent="0.3">
      <c r="A308" s="51"/>
      <c r="B308" s="53"/>
      <c r="C308" s="52"/>
      <c r="D308" s="52"/>
      <c r="E308" s="51"/>
    </row>
    <row r="309" spans="1:5" ht="16.5" x14ac:dyDescent="0.3">
      <c r="A309" s="51"/>
      <c r="B309" s="53"/>
      <c r="C309" s="52"/>
      <c r="D309" s="52"/>
      <c r="E309" s="51"/>
    </row>
    <row r="310" spans="1:5" ht="16.5" x14ac:dyDescent="0.3">
      <c r="A310" s="51"/>
      <c r="B310" s="53"/>
      <c r="C310" s="52"/>
      <c r="D310" s="52"/>
      <c r="E310" s="51"/>
    </row>
    <row r="311" spans="1:5" ht="16.5" x14ac:dyDescent="0.3">
      <c r="A311" s="51"/>
      <c r="B311" s="53"/>
      <c r="C311" s="52"/>
      <c r="D311" s="52"/>
      <c r="E311" s="51"/>
    </row>
    <row r="312" spans="1:5" ht="16.5" x14ac:dyDescent="0.3">
      <c r="A312" s="51"/>
      <c r="B312" s="53"/>
      <c r="C312" s="52"/>
      <c r="D312" s="52"/>
      <c r="E312" s="51"/>
    </row>
    <row r="313" spans="1:5" ht="16.5" x14ac:dyDescent="0.3">
      <c r="A313" s="51"/>
      <c r="B313" s="53"/>
      <c r="C313" s="52"/>
      <c r="D313" s="52"/>
      <c r="E313" s="51"/>
    </row>
    <row r="314" spans="1:5" ht="16.5" x14ac:dyDescent="0.3">
      <c r="A314" s="51"/>
      <c r="B314" s="53"/>
      <c r="C314" s="52"/>
      <c r="D314" s="52"/>
      <c r="E314" s="51"/>
    </row>
    <row r="315" spans="1:5" ht="16.5" x14ac:dyDescent="0.3">
      <c r="A315" s="51"/>
      <c r="B315" s="53"/>
      <c r="C315" s="52"/>
      <c r="D315" s="52"/>
      <c r="E315" s="51"/>
    </row>
    <row r="316" spans="1:5" ht="16.5" x14ac:dyDescent="0.3">
      <c r="A316" s="51"/>
      <c r="B316" s="53"/>
      <c r="C316" s="52"/>
      <c r="D316" s="52"/>
      <c r="E316" s="51"/>
    </row>
    <row r="317" spans="1:5" ht="16.5" x14ac:dyDescent="0.3">
      <c r="A317" s="51"/>
      <c r="B317" s="53"/>
      <c r="C317" s="52"/>
      <c r="D317" s="52"/>
      <c r="E317" s="51"/>
    </row>
    <row r="318" spans="1:5" ht="16.5" x14ac:dyDescent="0.3">
      <c r="A318" s="51"/>
      <c r="B318" s="53"/>
      <c r="C318" s="52"/>
      <c r="D318" s="52"/>
      <c r="E318" s="51"/>
    </row>
    <row r="319" spans="1:5" ht="16.5" x14ac:dyDescent="0.3">
      <c r="A319" s="51"/>
      <c r="B319" s="53"/>
      <c r="C319" s="52"/>
      <c r="D319" s="52"/>
      <c r="E319" s="51"/>
    </row>
    <row r="320" spans="1:5" ht="16.5" x14ac:dyDescent="0.3">
      <c r="A320" s="51"/>
      <c r="B320" s="53"/>
      <c r="C320" s="52"/>
      <c r="D320" s="52"/>
      <c r="E320" s="51"/>
    </row>
    <row r="321" spans="1:5" ht="16.5" x14ac:dyDescent="0.3">
      <c r="A321" s="51"/>
      <c r="B321" s="53"/>
      <c r="C321" s="52"/>
      <c r="D321" s="52"/>
      <c r="E321" s="51"/>
    </row>
    <row r="322" spans="1:5" ht="16.5" x14ac:dyDescent="0.3">
      <c r="A322" s="51"/>
      <c r="B322" s="53"/>
      <c r="C322" s="52"/>
      <c r="D322" s="52"/>
      <c r="E322" s="51"/>
    </row>
    <row r="323" spans="1:5" ht="16.5" x14ac:dyDescent="0.3">
      <c r="A323" s="51"/>
      <c r="B323" s="53"/>
      <c r="C323" s="52"/>
      <c r="D323" s="52"/>
      <c r="E323" s="51"/>
    </row>
    <row r="324" spans="1:5" ht="16.5" x14ac:dyDescent="0.3">
      <c r="A324" s="51"/>
      <c r="B324" s="53"/>
      <c r="C324" s="52"/>
      <c r="D324" s="52"/>
      <c r="E324" s="51"/>
    </row>
    <row r="325" spans="1:5" ht="16.5" x14ac:dyDescent="0.3">
      <c r="A325" s="51"/>
      <c r="B325" s="53"/>
      <c r="C325" s="52"/>
      <c r="D325" s="52"/>
      <c r="E325" s="51"/>
    </row>
    <row r="326" spans="1:5" ht="16.5" x14ac:dyDescent="0.3">
      <c r="A326" s="51"/>
      <c r="B326" s="53"/>
      <c r="C326" s="52"/>
      <c r="D326" s="52"/>
      <c r="E326" s="51"/>
    </row>
    <row r="327" spans="1:5" ht="16.5" x14ac:dyDescent="0.3">
      <c r="A327" s="51"/>
      <c r="B327" s="53"/>
      <c r="C327" s="52"/>
      <c r="D327" s="52"/>
      <c r="E327" s="51"/>
    </row>
    <row r="328" spans="1:5" ht="16.5" x14ac:dyDescent="0.3">
      <c r="A328" s="51"/>
      <c r="B328" s="53"/>
      <c r="C328" s="52"/>
      <c r="D328" s="52"/>
      <c r="E328" s="51"/>
    </row>
    <row r="329" spans="1:5" ht="16.5" x14ac:dyDescent="0.3">
      <c r="A329" s="51"/>
      <c r="B329" s="53"/>
      <c r="C329" s="52"/>
      <c r="D329" s="52"/>
      <c r="E329" s="51"/>
    </row>
    <row r="330" spans="1:5" ht="16.5" x14ac:dyDescent="0.3">
      <c r="A330" s="51"/>
      <c r="B330" s="53"/>
      <c r="C330" s="52"/>
      <c r="D330" s="52"/>
      <c r="E330" s="51"/>
    </row>
    <row r="331" spans="1:5" ht="16.5" x14ac:dyDescent="0.3">
      <c r="A331" s="51"/>
      <c r="B331" s="53"/>
      <c r="C331" s="52"/>
      <c r="D331" s="52"/>
      <c r="E331" s="51"/>
    </row>
    <row r="332" spans="1:5" ht="16.5" x14ac:dyDescent="0.3">
      <c r="A332" s="51"/>
      <c r="B332" s="53"/>
      <c r="C332" s="52"/>
      <c r="D332" s="52"/>
      <c r="E332" s="51"/>
    </row>
    <row r="333" spans="1:5" ht="16.5" x14ac:dyDescent="0.3">
      <c r="A333" s="51"/>
      <c r="B333" s="53"/>
      <c r="C333" s="52"/>
      <c r="D333" s="52"/>
      <c r="E333" s="51"/>
    </row>
    <row r="334" spans="1:5" ht="16.5" x14ac:dyDescent="0.3">
      <c r="A334" s="51"/>
      <c r="B334" s="53"/>
      <c r="C334" s="52"/>
      <c r="D334" s="52"/>
      <c r="E334" s="51"/>
    </row>
    <row r="335" spans="1:5" ht="16.5" x14ac:dyDescent="0.3">
      <c r="A335" s="51"/>
      <c r="B335" s="53"/>
      <c r="C335" s="52"/>
      <c r="D335" s="52"/>
      <c r="E335" s="51"/>
    </row>
    <row r="336" spans="1:5" ht="16.5" x14ac:dyDescent="0.3">
      <c r="A336" s="51"/>
      <c r="B336" s="53"/>
      <c r="C336" s="52"/>
      <c r="D336" s="52"/>
      <c r="E336" s="51"/>
    </row>
    <row r="337" spans="1:5" ht="16.5" x14ac:dyDescent="0.3">
      <c r="A337" s="51"/>
      <c r="B337" s="53"/>
      <c r="C337" s="52"/>
      <c r="D337" s="52"/>
      <c r="E337" s="51"/>
    </row>
    <row r="338" spans="1:5" ht="16.5" x14ac:dyDescent="0.3">
      <c r="A338" s="51"/>
      <c r="B338" s="53"/>
      <c r="C338" s="52"/>
      <c r="D338" s="52"/>
      <c r="E338" s="51"/>
    </row>
    <row r="339" spans="1:5" ht="16.5" x14ac:dyDescent="0.3">
      <c r="A339" s="51"/>
      <c r="B339" s="53"/>
      <c r="C339" s="52"/>
      <c r="D339" s="52"/>
      <c r="E339" s="51"/>
    </row>
    <row r="340" spans="1:5" ht="16.5" x14ac:dyDescent="0.3">
      <c r="A340" s="51"/>
      <c r="B340" s="53"/>
      <c r="C340" s="52"/>
      <c r="D340" s="52"/>
      <c r="E340" s="51"/>
    </row>
    <row r="341" spans="1:5" ht="16.5" x14ac:dyDescent="0.3">
      <c r="A341" s="51"/>
      <c r="B341" s="53"/>
      <c r="C341" s="52"/>
      <c r="D341" s="52"/>
      <c r="E341" s="51"/>
    </row>
    <row r="342" spans="1:5" ht="16.5" x14ac:dyDescent="0.3">
      <c r="A342" s="51"/>
      <c r="B342" s="53"/>
      <c r="C342" s="52"/>
      <c r="D342" s="52"/>
      <c r="E342" s="51"/>
    </row>
    <row r="343" spans="1:5" ht="16.5" x14ac:dyDescent="0.3">
      <c r="A343" s="51"/>
      <c r="B343" s="53"/>
      <c r="C343" s="52"/>
      <c r="D343" s="52"/>
      <c r="E343" s="51"/>
    </row>
    <row r="344" spans="1:5" ht="16.5" x14ac:dyDescent="0.3">
      <c r="A344" s="51"/>
      <c r="B344" s="53"/>
      <c r="C344" s="52"/>
      <c r="D344" s="52"/>
      <c r="E344" s="51"/>
    </row>
    <row r="345" spans="1:5" ht="16.5" x14ac:dyDescent="0.3">
      <c r="A345" s="51"/>
      <c r="B345" s="53"/>
      <c r="C345" s="52"/>
      <c r="D345" s="52"/>
      <c r="E345" s="51"/>
    </row>
    <row r="346" spans="1:5" ht="16.5" x14ac:dyDescent="0.3">
      <c r="A346" s="51"/>
      <c r="B346" s="53"/>
      <c r="C346" s="52"/>
      <c r="D346" s="52"/>
      <c r="E346" s="51"/>
    </row>
    <row r="347" spans="1:5" ht="16.5" x14ac:dyDescent="0.3">
      <c r="A347" s="51"/>
      <c r="B347" s="53"/>
      <c r="C347" s="52"/>
      <c r="D347" s="52"/>
      <c r="E347" s="51"/>
    </row>
    <row r="348" spans="1:5" ht="16.5" x14ac:dyDescent="0.3">
      <c r="A348" s="51"/>
      <c r="B348" s="53"/>
      <c r="C348" s="52"/>
      <c r="D348" s="52"/>
      <c r="E348" s="51"/>
    </row>
    <row r="349" spans="1:5" ht="16.5" x14ac:dyDescent="0.3">
      <c r="A349" s="51"/>
      <c r="B349" s="53"/>
      <c r="C349" s="52"/>
      <c r="D349" s="52"/>
      <c r="E349" s="51"/>
    </row>
    <row r="350" spans="1:5" ht="16.5" x14ac:dyDescent="0.3">
      <c r="A350" s="51"/>
      <c r="B350" s="53"/>
      <c r="C350" s="52"/>
      <c r="D350" s="52"/>
      <c r="E350" s="51"/>
    </row>
    <row r="351" spans="1:5" ht="16.5" x14ac:dyDescent="0.3">
      <c r="A351" s="51"/>
      <c r="B351" s="53"/>
      <c r="C351" s="52"/>
      <c r="D351" s="52"/>
      <c r="E351" s="51"/>
    </row>
    <row r="352" spans="1:5" ht="16.5" x14ac:dyDescent="0.3">
      <c r="A352" s="51"/>
      <c r="B352" s="53"/>
      <c r="C352" s="52"/>
      <c r="D352" s="52"/>
      <c r="E352" s="51"/>
    </row>
    <row r="353" spans="1:5" ht="16.5" x14ac:dyDescent="0.3">
      <c r="A353" s="51"/>
      <c r="B353" s="53"/>
      <c r="C353" s="52"/>
      <c r="D353" s="52"/>
      <c r="E353" s="51"/>
    </row>
    <row r="354" spans="1:5" ht="16.5" x14ac:dyDescent="0.3">
      <c r="A354" s="51"/>
      <c r="B354" s="53"/>
      <c r="C354" s="52"/>
      <c r="D354" s="52"/>
      <c r="E354" s="51"/>
    </row>
    <row r="355" spans="1:5" ht="16.5" x14ac:dyDescent="0.3">
      <c r="A355" s="51"/>
      <c r="B355" s="53"/>
      <c r="C355" s="52"/>
      <c r="D355" s="52"/>
      <c r="E355" s="51"/>
    </row>
    <row r="356" spans="1:5" ht="16.5" x14ac:dyDescent="0.3">
      <c r="A356" s="51"/>
      <c r="B356" s="53"/>
      <c r="C356" s="52"/>
      <c r="D356" s="52"/>
      <c r="E356" s="51"/>
    </row>
    <row r="357" spans="1:5" ht="16.5" x14ac:dyDescent="0.3">
      <c r="A357" s="51"/>
      <c r="B357" s="53"/>
      <c r="C357" s="52"/>
      <c r="D357" s="52"/>
      <c r="E357" s="51"/>
    </row>
    <row r="358" spans="1:5" ht="16.5" x14ac:dyDescent="0.3">
      <c r="A358" s="51"/>
      <c r="B358" s="53"/>
      <c r="C358" s="52"/>
      <c r="D358" s="52"/>
      <c r="E358" s="51"/>
    </row>
    <row r="359" spans="1:5" ht="16.5" x14ac:dyDescent="0.3">
      <c r="A359" s="51"/>
      <c r="B359" s="53"/>
      <c r="C359" s="52"/>
      <c r="D359" s="52"/>
      <c r="E359" s="51"/>
    </row>
    <row r="360" spans="1:5" ht="16.5" x14ac:dyDescent="0.3">
      <c r="A360" s="51"/>
      <c r="B360" s="53"/>
      <c r="C360" s="52"/>
      <c r="D360" s="52"/>
      <c r="E360" s="51"/>
    </row>
    <row r="361" spans="1:5" ht="16.5" x14ac:dyDescent="0.3">
      <c r="A361" s="51"/>
      <c r="B361" s="53"/>
      <c r="C361" s="52"/>
      <c r="D361" s="52"/>
      <c r="E361" s="51"/>
    </row>
    <row r="362" spans="1:5" ht="16.5" x14ac:dyDescent="0.3">
      <c r="A362" s="51"/>
      <c r="B362" s="53"/>
      <c r="C362" s="52"/>
      <c r="D362" s="52"/>
      <c r="E362" s="51"/>
    </row>
    <row r="363" spans="1:5" ht="16.5" x14ac:dyDescent="0.3">
      <c r="A363" s="51"/>
      <c r="B363" s="53"/>
      <c r="C363" s="52"/>
      <c r="D363" s="52"/>
      <c r="E363" s="51"/>
    </row>
    <row r="364" spans="1:5" ht="16.5" x14ac:dyDescent="0.3">
      <c r="A364" s="51"/>
      <c r="B364" s="53"/>
      <c r="C364" s="52"/>
      <c r="D364" s="52"/>
      <c r="E364" s="51"/>
    </row>
    <row r="365" spans="1:5" ht="16.5" x14ac:dyDescent="0.3">
      <c r="A365" s="51"/>
      <c r="B365" s="53"/>
      <c r="C365" s="52"/>
      <c r="D365" s="52"/>
      <c r="E365" s="51"/>
    </row>
    <row r="366" spans="1:5" ht="16.5" x14ac:dyDescent="0.3">
      <c r="A366" s="51"/>
      <c r="B366" s="53"/>
      <c r="C366" s="52"/>
      <c r="D366" s="52"/>
      <c r="E366" s="51"/>
    </row>
    <row r="367" spans="1:5" ht="16.5" x14ac:dyDescent="0.3">
      <c r="A367" s="51"/>
      <c r="B367" s="53"/>
      <c r="C367" s="52"/>
      <c r="D367" s="52"/>
      <c r="E367" s="51"/>
    </row>
    <row r="368" spans="1:5" ht="16.5" x14ac:dyDescent="0.3">
      <c r="A368" s="51"/>
      <c r="B368" s="53"/>
      <c r="C368" s="52"/>
      <c r="D368" s="52"/>
      <c r="E368" s="51"/>
    </row>
    <row r="369" spans="1:5" ht="16.5" x14ac:dyDescent="0.3">
      <c r="A369" s="51"/>
      <c r="B369" s="53"/>
      <c r="C369" s="52"/>
      <c r="D369" s="52"/>
      <c r="E369" s="51"/>
    </row>
    <row r="370" spans="1:5" ht="16.5" x14ac:dyDescent="0.3">
      <c r="A370" s="51"/>
      <c r="B370" s="53"/>
      <c r="C370" s="52"/>
      <c r="D370" s="52"/>
      <c r="E370" s="51"/>
    </row>
    <row r="371" spans="1:5" ht="16.5" x14ac:dyDescent="0.3">
      <c r="A371" s="51"/>
      <c r="B371" s="53"/>
      <c r="C371" s="52"/>
      <c r="D371" s="52"/>
      <c r="E371" s="51"/>
    </row>
  </sheetData>
  <mergeCells count="2">
    <mergeCell ref="A4:B4"/>
    <mergeCell ref="G3:O9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"/>
  <sheetViews>
    <sheetView showGridLines="0" workbookViewId="0">
      <pane ySplit="9" topLeftCell="A10" activePane="bottomLeft" state="frozen"/>
      <selection pane="bottomLeft" activeCell="G1" sqref="G1:G1048576"/>
    </sheetView>
  </sheetViews>
  <sheetFormatPr defaultColWidth="8.85546875" defaultRowHeight="16.5" x14ac:dyDescent="0.3"/>
  <cols>
    <col min="1" max="1" width="27.42578125" style="6" customWidth="1"/>
    <col min="2" max="2" width="25.5703125" style="8" customWidth="1"/>
    <col min="3" max="3" width="25.5703125" style="8" hidden="1" customWidth="1"/>
    <col min="4" max="4" width="20.7109375" style="8" customWidth="1"/>
    <col min="5" max="5" width="11.28515625" style="8" customWidth="1"/>
    <col min="6" max="6" width="25.7109375" style="8" hidden="1" customWidth="1"/>
    <col min="7" max="7" width="26.7109375" style="8" customWidth="1"/>
    <col min="8" max="8" width="25.7109375" style="8" customWidth="1"/>
    <col min="9" max="9" width="57.28515625" style="6" customWidth="1"/>
    <col min="10" max="10" width="13.28515625" style="6" customWidth="1"/>
    <col min="11" max="11" width="13.140625" style="6" customWidth="1"/>
    <col min="12" max="12" width="13.28515625" style="6" customWidth="1"/>
    <col min="13" max="13" width="13.140625" style="6" customWidth="1"/>
    <col min="14" max="14" width="13.28515625" style="6" customWidth="1"/>
    <col min="15" max="15" width="13.140625" style="6" customWidth="1"/>
    <col min="16" max="16" width="13.28515625" style="6" customWidth="1"/>
    <col min="17" max="17" width="13.140625" style="6" customWidth="1"/>
    <col min="18" max="18" width="13.28515625" style="6" customWidth="1"/>
    <col min="19" max="19" width="13.140625" style="6" customWidth="1"/>
    <col min="20" max="16384" width="8.85546875" style="6"/>
  </cols>
  <sheetData>
    <row r="1" spans="1:14" s="14" customFormat="1" ht="25.5" customHeight="1" x14ac:dyDescent="0.2">
      <c r="A1" s="13" t="s">
        <v>35</v>
      </c>
      <c r="E1" s="15"/>
      <c r="G1" s="39">
        <f>Data!B2</f>
        <v>44150.333333333336</v>
      </c>
      <c r="H1" s="39"/>
      <c r="K1" s="16"/>
      <c r="L1" s="16"/>
      <c r="M1" s="16"/>
    </row>
    <row r="2" spans="1:14" s="18" customFormat="1" ht="25.5" customHeight="1" x14ac:dyDescent="0.45">
      <c r="A2" s="17" t="str">
        <f>Data!B1</f>
        <v>Fleet Name</v>
      </c>
      <c r="D2" s="19"/>
      <c r="G2" s="20"/>
      <c r="H2" s="19"/>
      <c r="I2" s="19"/>
      <c r="J2" s="19"/>
      <c r="K2" s="19"/>
      <c r="L2" s="19"/>
      <c r="M2" s="19"/>
    </row>
    <row r="3" spans="1:14" s="21" customFormat="1" ht="17.25" customHeight="1" x14ac:dyDescent="0.25">
      <c r="D3" s="22"/>
      <c r="G3" s="23"/>
      <c r="H3" s="22"/>
      <c r="I3" s="22"/>
      <c r="J3" s="22"/>
      <c r="K3" s="22"/>
      <c r="L3" s="22"/>
      <c r="M3" s="22"/>
    </row>
    <row r="4" spans="1:14" s="21" customFormat="1" ht="17.25" customHeight="1" x14ac:dyDescent="0.3">
      <c r="A4" s="54" t="s">
        <v>31</v>
      </c>
      <c r="B4" s="55"/>
      <c r="C4" s="24"/>
      <c r="D4" s="22"/>
      <c r="E4" s="22"/>
      <c r="F4" s="22"/>
      <c r="G4" s="23"/>
      <c r="H4" s="22"/>
      <c r="I4" s="22"/>
      <c r="J4" s="22"/>
      <c r="K4" s="22"/>
      <c r="L4" s="22"/>
      <c r="M4" s="22"/>
    </row>
    <row r="5" spans="1:14" s="21" customFormat="1" ht="17.25" customHeight="1" x14ac:dyDescent="0.3">
      <c r="A5" s="25" t="s">
        <v>32</v>
      </c>
      <c r="B5" s="26">
        <f>Data!B3</f>
        <v>44141</v>
      </c>
      <c r="C5" s="24"/>
      <c r="D5" s="27"/>
      <c r="E5" s="22"/>
      <c r="F5" s="22"/>
      <c r="H5" s="27"/>
      <c r="I5" s="27"/>
      <c r="J5" s="27"/>
      <c r="K5" s="27"/>
      <c r="L5" s="27"/>
      <c r="M5" s="27"/>
      <c r="N5" s="28"/>
    </row>
    <row r="6" spans="1:14" s="21" customFormat="1" ht="17.25" customHeight="1" x14ac:dyDescent="0.3">
      <c r="A6" s="25" t="s">
        <v>33</v>
      </c>
      <c r="B6" s="26">
        <f>Data!B4</f>
        <v>44147.999988425923</v>
      </c>
      <c r="C6" s="24"/>
      <c r="D6" s="27"/>
      <c r="E6" s="22"/>
      <c r="F6" s="22"/>
      <c r="H6" s="27"/>
      <c r="I6" s="27"/>
      <c r="J6" s="27"/>
      <c r="K6" s="27"/>
      <c r="L6" s="27"/>
      <c r="M6" s="27"/>
      <c r="N6" s="29"/>
    </row>
    <row r="7" spans="1:14" s="21" customFormat="1" ht="17.25" customHeight="1" x14ac:dyDescent="0.3">
      <c r="A7" s="25" t="s">
        <v>34</v>
      </c>
      <c r="B7" s="30">
        <f>B6-B5</f>
        <v>6.9999884259232203</v>
      </c>
      <c r="C7" s="24"/>
      <c r="D7" s="27"/>
      <c r="E7" s="24"/>
      <c r="F7" s="29"/>
      <c r="G7" s="31"/>
      <c r="H7" s="27"/>
      <c r="I7" s="27"/>
      <c r="J7" s="27"/>
      <c r="K7" s="27"/>
      <c r="L7" s="27"/>
      <c r="M7" s="27"/>
      <c r="N7" s="29"/>
    </row>
    <row r="8" spans="1:14" x14ac:dyDescent="0.3">
      <c r="C8" s="6" t="s">
        <v>30</v>
      </c>
      <c r="D8" s="7"/>
      <c r="E8" s="7"/>
      <c r="F8" s="7"/>
    </row>
    <row r="9" spans="1:14" s="46" customFormat="1" ht="34.5" x14ac:dyDescent="0.2">
      <c r="A9" s="45" t="s">
        <v>45</v>
      </c>
      <c r="B9" s="45" t="s">
        <v>50</v>
      </c>
      <c r="C9" s="45" t="s">
        <v>55</v>
      </c>
      <c r="D9" s="45" t="s">
        <v>60</v>
      </c>
      <c r="E9" s="45" t="s">
        <v>65</v>
      </c>
      <c r="F9" s="45" t="s">
        <v>112</v>
      </c>
      <c r="G9" s="45" t="s">
        <v>113</v>
      </c>
      <c r="H9" s="45" t="s">
        <v>116</v>
      </c>
      <c r="I9" s="45" t="s">
        <v>69</v>
      </c>
    </row>
    <row r="10" spans="1:14" x14ac:dyDescent="0.3">
      <c r="A10" s="29" t="str">
        <f>Data!A10</f>
        <v>a</v>
      </c>
      <c r="B10" s="32">
        <f>Data!C10</f>
        <v>42664.689056099502</v>
      </c>
      <c r="C10" s="32" t="str">
        <f>IF(Data!D10=0, "Ongoing Violation", Data!D10)</f>
        <v>Ongoing Violation</v>
      </c>
      <c r="D10" s="33">
        <f>Data!E10</f>
        <v>1.1261793981481499E-2</v>
      </c>
      <c r="E10" s="34" t="str">
        <f>Data!F10</f>
        <v>Rest</v>
      </c>
      <c r="F10" s="34">
        <f t="shared" ref="F10:F20" si="0">IF(E10="Driving",1,0)</f>
        <v>0</v>
      </c>
      <c r="G10" s="35" t="str">
        <f>IF(D10&gt;0.125,16000,"")</f>
        <v/>
      </c>
      <c r="H10" s="35" t="str">
        <f>IF(D10&gt;0.125,3750,"")</f>
        <v/>
      </c>
      <c r="I10" s="29" t="str">
        <f>Data!G10</f>
        <v>Driving after more than 8 hour rest limit</v>
      </c>
    </row>
    <row r="11" spans="1:14" x14ac:dyDescent="0.3">
      <c r="A11" s="29" t="str">
        <f>Data!A11</f>
        <v>a</v>
      </c>
      <c r="B11" s="32">
        <f>Data!C11</f>
        <v>42664.689056099502</v>
      </c>
      <c r="C11" s="32" t="str">
        <f>IF(Data!D11=0, "Ongoing Violation", Data!D11)</f>
        <v>Ongoing Violation</v>
      </c>
      <c r="D11" s="33">
        <f>Data!E11</f>
        <v>1.1261793981481499E-2</v>
      </c>
      <c r="E11" s="34" t="str">
        <f>Data!F11</f>
        <v>Workday</v>
      </c>
      <c r="F11" s="34">
        <f t="shared" si="0"/>
        <v>0</v>
      </c>
      <c r="G11" s="35" t="str">
        <f t="shared" ref="G11:G20" si="1">IF(D11&gt;0.125,16000,"")</f>
        <v/>
      </c>
      <c r="H11" s="35" t="str">
        <f t="shared" ref="H11:H20" si="2">IF(D11&gt;0.125,3750,"")</f>
        <v/>
      </c>
      <c r="I11" s="29" t="str">
        <f>Data!G11</f>
        <v>Driving after more than 8 hour rest limit</v>
      </c>
    </row>
    <row r="12" spans="1:14" x14ac:dyDescent="0.3">
      <c r="A12" s="29" t="str">
        <f>Data!A12</f>
        <v>b</v>
      </c>
      <c r="B12" s="32">
        <f>Data!C12</f>
        <v>42605.117124687502</v>
      </c>
      <c r="C12" s="32" t="str">
        <f>IF(Data!D12=0, "Ongoing Violation", Data!D12)</f>
        <v>Ongoing Violation</v>
      </c>
      <c r="D12" s="33">
        <f>Data!E12</f>
        <v>82.600031261574102</v>
      </c>
      <c r="E12" s="34" t="str">
        <f>Data!F12</f>
        <v>Driving</v>
      </c>
      <c r="F12" s="34">
        <f t="shared" si="0"/>
        <v>1</v>
      </c>
      <c r="G12" s="35">
        <f t="shared" si="1"/>
        <v>16000</v>
      </c>
      <c r="H12" s="35">
        <f t="shared" si="2"/>
        <v>3750</v>
      </c>
      <c r="I12" s="29" t="str">
        <f>Data!G12</f>
        <v>Maximum 11 hour driving limit violation</v>
      </c>
    </row>
    <row r="13" spans="1:14" x14ac:dyDescent="0.3">
      <c r="A13" s="29" t="str">
        <f>Data!A13</f>
        <v>b</v>
      </c>
      <c r="B13" s="32">
        <f>Data!C13</f>
        <v>42604.992124687502</v>
      </c>
      <c r="C13" s="32" t="str">
        <f>IF(Data!D13=0, "Ongoing Violation", Data!D13)</f>
        <v>Ongoing Violation</v>
      </c>
      <c r="D13" s="33">
        <f>Data!E13</f>
        <v>82.725031261574102</v>
      </c>
      <c r="E13" s="34" t="str">
        <f>Data!F13</f>
        <v>Rest</v>
      </c>
      <c r="F13" s="34">
        <f t="shared" si="0"/>
        <v>0</v>
      </c>
      <c r="G13" s="35">
        <f t="shared" si="1"/>
        <v>16000</v>
      </c>
      <c r="H13" s="35">
        <f t="shared" si="2"/>
        <v>3750</v>
      </c>
      <c r="I13" s="29" t="str">
        <f>Data!G13</f>
        <v>Driving after more than 8 hour rest limit</v>
      </c>
    </row>
    <row r="14" spans="1:14" x14ac:dyDescent="0.3">
      <c r="A14" s="29" t="str">
        <f>Data!A14</f>
        <v>b</v>
      </c>
      <c r="B14" s="32">
        <f>Data!C14</f>
        <v>42605.325458020801</v>
      </c>
      <c r="C14" s="32" t="str">
        <f>IF(Data!D14=0, "Ongoing Violation", Data!D14)</f>
        <v>Ongoing Violation</v>
      </c>
      <c r="D14" s="33">
        <f>Data!E14</f>
        <v>82.391697928240703</v>
      </c>
      <c r="E14" s="34" t="str">
        <f>Data!F14</f>
        <v>Workday</v>
      </c>
      <c r="F14" s="34">
        <f t="shared" si="0"/>
        <v>0</v>
      </c>
      <c r="G14" s="35">
        <f t="shared" si="1"/>
        <v>16000</v>
      </c>
      <c r="H14" s="35">
        <f t="shared" si="2"/>
        <v>3750</v>
      </c>
      <c r="I14" s="29" t="str">
        <f>Data!G14</f>
        <v>Maximum 14 hour work day limit violation</v>
      </c>
    </row>
    <row r="15" spans="1:14" x14ac:dyDescent="0.3">
      <c r="A15" s="29" t="str">
        <f>Data!A15</f>
        <v>c</v>
      </c>
      <c r="B15" s="32">
        <f>Data!C15</f>
        <v>42683.862228391197</v>
      </c>
      <c r="C15" s="32" t="str">
        <f>IF(Data!D15=0, "Ongoing Violation", Data!D15)</f>
        <v>Ongoing Violation</v>
      </c>
      <c r="D15" s="33">
        <f>Data!E15</f>
        <v>3.8132608912036998</v>
      </c>
      <c r="E15" s="34" t="str">
        <f>Data!F15</f>
        <v>Driving</v>
      </c>
      <c r="F15" s="34">
        <f t="shared" si="0"/>
        <v>1</v>
      </c>
      <c r="G15" s="35">
        <f t="shared" si="1"/>
        <v>16000</v>
      </c>
      <c r="H15" s="35">
        <f t="shared" si="2"/>
        <v>3750</v>
      </c>
      <c r="I15" s="29" t="str">
        <f>Data!G15</f>
        <v>Maximum 11 hour driving limit violation</v>
      </c>
    </row>
    <row r="16" spans="1:14" x14ac:dyDescent="0.3">
      <c r="A16" s="29" t="str">
        <f>Data!A16</f>
        <v>c</v>
      </c>
      <c r="B16" s="32">
        <f>Data!C16</f>
        <v>42683.7264404745</v>
      </c>
      <c r="C16" s="32" t="str">
        <f>IF(Data!D16=0, "Ongoing Violation", Data!D16)</f>
        <v>Ongoing Violation</v>
      </c>
      <c r="D16" s="33">
        <f>Data!E16</f>
        <v>3.94904880787037</v>
      </c>
      <c r="E16" s="34" t="str">
        <f>Data!F16</f>
        <v>Rest</v>
      </c>
      <c r="F16" s="34">
        <f t="shared" si="0"/>
        <v>0</v>
      </c>
      <c r="G16" s="35">
        <f t="shared" si="1"/>
        <v>16000</v>
      </c>
      <c r="H16" s="35">
        <f t="shared" si="2"/>
        <v>3750</v>
      </c>
      <c r="I16" s="29" t="str">
        <f>Data!G16</f>
        <v>Driving after more than 8 hour rest limit</v>
      </c>
    </row>
    <row r="17" spans="1:9" x14ac:dyDescent="0.3">
      <c r="A17" s="29" t="str">
        <f>Data!A17</f>
        <v>c</v>
      </c>
      <c r="B17" s="32">
        <f>Data!C17</f>
        <v>42684.059773807901</v>
      </c>
      <c r="C17" s="32" t="str">
        <f>IF(Data!D17=0, "Ongoing Violation", Data!D17)</f>
        <v>Ongoing Violation</v>
      </c>
      <c r="D17" s="33">
        <f>Data!E17</f>
        <v>3.6157154745370401</v>
      </c>
      <c r="E17" s="34" t="str">
        <f>Data!F17</f>
        <v>Workday</v>
      </c>
      <c r="F17" s="34">
        <f t="shared" si="0"/>
        <v>0</v>
      </c>
      <c r="G17" s="35">
        <f t="shared" si="1"/>
        <v>16000</v>
      </c>
      <c r="H17" s="35">
        <f t="shared" si="2"/>
        <v>3750</v>
      </c>
      <c r="I17" s="29" t="str">
        <f>Data!G17</f>
        <v>Maximum 14 hour work day limit violation</v>
      </c>
    </row>
    <row r="18" spans="1:9" x14ac:dyDescent="0.3">
      <c r="A18" s="29" t="str">
        <f>Data!A18</f>
        <v>d</v>
      </c>
      <c r="B18" s="32">
        <f>Data!C18</f>
        <v>42623.175350081001</v>
      </c>
      <c r="C18" s="32" t="str">
        <f>IF(Data!D18=0, "Ongoing Violation", Data!D18)</f>
        <v>Ongoing Violation</v>
      </c>
      <c r="D18" s="33">
        <f>Data!E18</f>
        <v>64.541805868055604</v>
      </c>
      <c r="E18" s="34" t="str">
        <f>Data!F18</f>
        <v>Driving</v>
      </c>
      <c r="F18" s="34">
        <f t="shared" si="0"/>
        <v>1</v>
      </c>
      <c r="G18" s="35">
        <f t="shared" si="1"/>
        <v>16000</v>
      </c>
      <c r="H18" s="35">
        <f t="shared" si="2"/>
        <v>3750</v>
      </c>
      <c r="I18" s="29" t="str">
        <f>Data!G18</f>
        <v>Maximum 11 hour driving limit violation</v>
      </c>
    </row>
    <row r="19" spans="1:9" x14ac:dyDescent="0.3">
      <c r="A19" s="29" t="str">
        <f>Data!A19</f>
        <v>d</v>
      </c>
      <c r="B19" s="32">
        <f>Data!C19</f>
        <v>42623.050350081001</v>
      </c>
      <c r="C19" s="32" t="str">
        <f>IF(Data!D19=0, "Ongoing Violation", Data!D19)</f>
        <v>Ongoing Violation</v>
      </c>
      <c r="D19" s="33">
        <f>Data!E19</f>
        <v>64.666805868055604</v>
      </c>
      <c r="E19" s="34" t="str">
        <f>Data!F19</f>
        <v>Rest</v>
      </c>
      <c r="F19" s="34">
        <f t="shared" si="0"/>
        <v>0</v>
      </c>
      <c r="G19" s="35">
        <f t="shared" si="1"/>
        <v>16000</v>
      </c>
      <c r="H19" s="35">
        <f t="shared" si="2"/>
        <v>3750</v>
      </c>
      <c r="I19" s="29" t="str">
        <f>Data!G19</f>
        <v>Driving after more than 8 hour rest limit</v>
      </c>
    </row>
    <row r="20" spans="1:9" x14ac:dyDescent="0.3">
      <c r="A20" s="29" t="str">
        <f>Data!A20</f>
        <v>d</v>
      </c>
      <c r="B20" s="32">
        <f>Data!C20</f>
        <v>42623.383683414402</v>
      </c>
      <c r="C20" s="32" t="str">
        <f>IF(Data!D20=0, "Ongoing Violation", Data!D20)</f>
        <v>Ongoing Violation</v>
      </c>
      <c r="D20" s="33">
        <f>Data!E20</f>
        <v>64.333472534722205</v>
      </c>
      <c r="E20" s="34" t="str">
        <f>Data!F20</f>
        <v>Workday</v>
      </c>
      <c r="F20" s="34">
        <f t="shared" si="0"/>
        <v>0</v>
      </c>
      <c r="G20" s="35">
        <f t="shared" si="1"/>
        <v>16000</v>
      </c>
      <c r="H20" s="35">
        <f t="shared" si="2"/>
        <v>3750</v>
      </c>
      <c r="I20" s="29" t="str">
        <f>Data!G20</f>
        <v>Maximum 14 hour work day limit violation</v>
      </c>
    </row>
  </sheetData>
  <mergeCells count="1">
    <mergeCell ref="A4:B4"/>
  </mergeCells>
  <conditionalFormatting sqref="A9:XFD9">
    <cfRule type="expression" dxfId="0" priority="1">
      <formula>#REF!=TRUE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0"/>
  <sheetViews>
    <sheetView workbookViewId="0">
      <selection activeCell="C10" sqref="C10"/>
    </sheetView>
  </sheetViews>
  <sheetFormatPr defaultRowHeight="12.75" x14ac:dyDescent="0.2"/>
  <cols>
    <col min="1" max="2" width="22.140625" customWidth="1"/>
    <col min="3" max="3" width="18.5703125" customWidth="1"/>
    <col min="4" max="4" width="18.7109375" customWidth="1"/>
    <col min="5" max="5" width="18.140625" customWidth="1"/>
    <col min="6" max="6" width="18.7109375" customWidth="1"/>
    <col min="7" max="7" width="42.140625" customWidth="1"/>
  </cols>
  <sheetData>
    <row r="1" spans="1:7" x14ac:dyDescent="0.2">
      <c r="A1" s="4" t="s">
        <v>3</v>
      </c>
      <c r="B1" s="3" t="s">
        <v>29</v>
      </c>
      <c r="F1" s="5"/>
    </row>
    <row r="2" spans="1:7" x14ac:dyDescent="0.2">
      <c r="A2" s="4" t="s">
        <v>2</v>
      </c>
      <c r="B2" s="3">
        <v>44150.333333333336</v>
      </c>
    </row>
    <row r="3" spans="1:7" x14ac:dyDescent="0.2">
      <c r="A3" s="4" t="s">
        <v>0</v>
      </c>
      <c r="B3" s="3">
        <v>44141</v>
      </c>
    </row>
    <row r="4" spans="1:7" x14ac:dyDescent="0.2">
      <c r="A4" s="4" t="s">
        <v>1</v>
      </c>
      <c r="B4" s="3">
        <v>44147.999988425923</v>
      </c>
    </row>
    <row r="5" spans="1:7" x14ac:dyDescent="0.2">
      <c r="A5" s="4" t="s">
        <v>4</v>
      </c>
      <c r="B5" s="3" t="s">
        <v>19</v>
      </c>
    </row>
    <row r="6" spans="1:7" x14ac:dyDescent="0.2">
      <c r="A6" s="4" t="s">
        <v>5</v>
      </c>
      <c r="B6" s="3" t="s">
        <v>20</v>
      </c>
    </row>
    <row r="7" spans="1:7" x14ac:dyDescent="0.2">
      <c r="A7" s="4" t="s">
        <v>6</v>
      </c>
      <c r="B7" s="3" t="b">
        <v>1</v>
      </c>
    </row>
    <row r="8" spans="1:7" x14ac:dyDescent="0.2">
      <c r="A8" s="4" t="s">
        <v>7</v>
      </c>
      <c r="B8" s="3" t="s">
        <v>17</v>
      </c>
    </row>
    <row r="9" spans="1:7" ht="26.25" customHeight="1" thickBo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</row>
    <row r="10" spans="1:7" x14ac:dyDescent="0.2">
      <c r="A10" s="2" t="s">
        <v>36</v>
      </c>
      <c r="B10" s="9" t="s">
        <v>21</v>
      </c>
      <c r="C10" s="3">
        <v>42664.689056099502</v>
      </c>
      <c r="E10" s="10">
        <v>1.1261793981481499E-2</v>
      </c>
      <c r="F10" s="2" t="s">
        <v>22</v>
      </c>
      <c r="G10" s="2" t="s">
        <v>23</v>
      </c>
    </row>
    <row r="11" spans="1:7" x14ac:dyDescent="0.2">
      <c r="A11" s="2" t="s">
        <v>36</v>
      </c>
      <c r="B11" s="9" t="s">
        <v>21</v>
      </c>
      <c r="C11" s="3">
        <v>42664.689056099502</v>
      </c>
      <c r="E11" s="10">
        <v>1.1261793981481499E-2</v>
      </c>
      <c r="F11" s="2" t="s">
        <v>24</v>
      </c>
      <c r="G11" s="2" t="s">
        <v>23</v>
      </c>
    </row>
    <row r="12" spans="1:7" x14ac:dyDescent="0.2">
      <c r="A12" s="2" t="s">
        <v>37</v>
      </c>
      <c r="B12" s="9" t="s">
        <v>26</v>
      </c>
      <c r="C12" s="3">
        <v>42605.117124687502</v>
      </c>
      <c r="E12" s="10">
        <v>82.600031261574102</v>
      </c>
      <c r="F12" s="2" t="s">
        <v>15</v>
      </c>
      <c r="G12" s="2" t="s">
        <v>27</v>
      </c>
    </row>
    <row r="13" spans="1:7" x14ac:dyDescent="0.2">
      <c r="A13" s="2" t="s">
        <v>37</v>
      </c>
      <c r="B13" s="9" t="s">
        <v>26</v>
      </c>
      <c r="C13" s="3">
        <v>42604.992124687502</v>
      </c>
      <c r="E13" s="10">
        <v>82.725031261574102</v>
      </c>
      <c r="F13" s="2" t="s">
        <v>22</v>
      </c>
      <c r="G13" s="2" t="s">
        <v>23</v>
      </c>
    </row>
    <row r="14" spans="1:7" x14ac:dyDescent="0.2">
      <c r="A14" s="2" t="s">
        <v>37</v>
      </c>
      <c r="B14" s="9" t="s">
        <v>26</v>
      </c>
      <c r="C14" s="3">
        <v>42605.325458020801</v>
      </c>
      <c r="E14" s="10">
        <v>82.391697928240703</v>
      </c>
      <c r="F14" s="2" t="s">
        <v>24</v>
      </c>
      <c r="G14" s="2" t="s">
        <v>25</v>
      </c>
    </row>
    <row r="15" spans="1:7" x14ac:dyDescent="0.2">
      <c r="A15" s="2" t="s">
        <v>38</v>
      </c>
      <c r="B15" s="9" t="s">
        <v>18</v>
      </c>
      <c r="C15" s="3">
        <v>42683.862228391197</v>
      </c>
      <c r="E15" s="10">
        <v>3.8132608912036998</v>
      </c>
      <c r="F15" s="2" t="s">
        <v>15</v>
      </c>
      <c r="G15" s="2" t="s">
        <v>27</v>
      </c>
    </row>
    <row r="16" spans="1:7" x14ac:dyDescent="0.2">
      <c r="A16" s="2" t="s">
        <v>38</v>
      </c>
      <c r="B16" s="9" t="s">
        <v>18</v>
      </c>
      <c r="C16" s="3">
        <v>42683.7264404745</v>
      </c>
      <c r="E16" s="10">
        <v>3.94904880787037</v>
      </c>
      <c r="F16" s="2" t="s">
        <v>22</v>
      </c>
      <c r="G16" s="2" t="s">
        <v>23</v>
      </c>
    </row>
    <row r="17" spans="1:7" x14ac:dyDescent="0.2">
      <c r="A17" s="2" t="s">
        <v>38</v>
      </c>
      <c r="B17" s="9" t="s">
        <v>18</v>
      </c>
      <c r="C17" s="3">
        <v>42684.059773807901</v>
      </c>
      <c r="E17" s="10">
        <v>3.6157154745370401</v>
      </c>
      <c r="F17" s="2" t="s">
        <v>24</v>
      </c>
      <c r="G17" s="2" t="s">
        <v>25</v>
      </c>
    </row>
    <row r="18" spans="1:7" x14ac:dyDescent="0.2">
      <c r="A18" s="2" t="s">
        <v>39</v>
      </c>
      <c r="B18" s="9" t="s">
        <v>28</v>
      </c>
      <c r="C18" s="3">
        <v>42623.175350081001</v>
      </c>
      <c r="E18" s="10">
        <v>64.541805868055604</v>
      </c>
      <c r="F18" s="2" t="s">
        <v>15</v>
      </c>
      <c r="G18" s="2" t="s">
        <v>27</v>
      </c>
    </row>
    <row r="19" spans="1:7" x14ac:dyDescent="0.2">
      <c r="A19" s="2" t="s">
        <v>39</v>
      </c>
      <c r="B19" s="9" t="s">
        <v>28</v>
      </c>
      <c r="C19" s="3">
        <v>42623.050350081001</v>
      </c>
      <c r="E19" s="10">
        <v>64.666805868055604</v>
      </c>
      <c r="F19" s="2" t="s">
        <v>22</v>
      </c>
      <c r="G19" s="2" t="s">
        <v>23</v>
      </c>
    </row>
    <row r="20" spans="1:7" x14ac:dyDescent="0.2">
      <c r="A20" s="2" t="s">
        <v>39</v>
      </c>
      <c r="B20" s="9" t="s">
        <v>28</v>
      </c>
      <c r="C20" s="3">
        <v>42623.383683414402</v>
      </c>
      <c r="E20" s="10">
        <v>64.333472534722205</v>
      </c>
      <c r="F20" s="2" t="s">
        <v>24</v>
      </c>
      <c r="G20" s="2" t="s">
        <v>25</v>
      </c>
    </row>
  </sheetData>
  <hyperlinks>
    <hyperlink ref="A14" r:id="rId1" display="leedsu@gmail.com" xr:uid="{00000000-0004-0000-0000-000000000000}"/>
    <hyperlink ref="A15" r:id="rId2" display="LeoLandauer" xr:uid="{00000000-0004-0000-0000-000001000000}"/>
  </hyperlinks>
  <pageMargins left="0.7" right="0.7" top="0.75" bottom="0.75" header="0.3" footer="0.3"/>
  <pageSetup fitToHeight="100" orientation="portrait"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/>
  </sheetViews>
  <sheetFormatPr defaultRowHeight="12.7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A721-B0A8-45D4-A075-22114780EB73}">
  <dimension ref="A1:Y998"/>
  <sheetViews>
    <sheetView topLeftCell="A9" workbookViewId="0">
      <selection activeCell="A35" sqref="A35"/>
    </sheetView>
  </sheetViews>
  <sheetFormatPr defaultColWidth="14.42578125" defaultRowHeight="12.75" x14ac:dyDescent="0.2"/>
  <cols>
    <col min="1" max="5" width="30" style="37" customWidth="1"/>
    <col min="6" max="25" width="8.7109375" style="37" customWidth="1"/>
    <col min="26" max="16384" width="14.42578125" style="37"/>
  </cols>
  <sheetData>
    <row r="1" spans="1:25" ht="12.75" customHeight="1" x14ac:dyDescent="0.2">
      <c r="A1" s="36" t="s">
        <v>40</v>
      </c>
      <c r="B1" s="36" t="s">
        <v>41</v>
      </c>
      <c r="C1" s="36" t="s">
        <v>42</v>
      </c>
      <c r="D1" s="36" t="s">
        <v>43</v>
      </c>
      <c r="E1" s="36" t="s">
        <v>44</v>
      </c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2.75" customHeight="1" x14ac:dyDescent="0.25">
      <c r="A2" s="37" t="s">
        <v>45</v>
      </c>
      <c r="B2" s="38" t="s">
        <v>46</v>
      </c>
      <c r="C2" s="38" t="s">
        <v>47</v>
      </c>
      <c r="D2" s="38" t="s">
        <v>48</v>
      </c>
      <c r="E2" s="38" t="s">
        <v>49</v>
      </c>
    </row>
    <row r="3" spans="1:25" ht="12.75" customHeight="1" x14ac:dyDescent="0.25">
      <c r="A3" s="37" t="s">
        <v>50</v>
      </c>
      <c r="B3" s="38" t="s">
        <v>51</v>
      </c>
      <c r="C3" s="38" t="s">
        <v>52</v>
      </c>
      <c r="D3" s="38" t="s">
        <v>53</v>
      </c>
      <c r="E3" s="38" t="s">
        <v>54</v>
      </c>
    </row>
    <row r="4" spans="1:25" ht="12.75" customHeight="1" x14ac:dyDescent="0.25">
      <c r="A4" s="37" t="s">
        <v>55</v>
      </c>
      <c r="B4" s="38" t="s">
        <v>56</v>
      </c>
      <c r="C4" s="38" t="s">
        <v>57</v>
      </c>
      <c r="D4" s="38" t="s">
        <v>58</v>
      </c>
      <c r="E4" s="38" t="s">
        <v>59</v>
      </c>
    </row>
    <row r="5" spans="1:25" ht="12.75" customHeight="1" x14ac:dyDescent="0.25">
      <c r="A5" s="37" t="s">
        <v>60</v>
      </c>
      <c r="B5" s="38" t="s">
        <v>61</v>
      </c>
      <c r="C5" s="38" t="s">
        <v>62</v>
      </c>
      <c r="D5" s="38" t="s">
        <v>63</v>
      </c>
      <c r="E5" s="38" t="s">
        <v>64</v>
      </c>
    </row>
    <row r="6" spans="1:25" ht="12.75" customHeight="1" x14ac:dyDescent="0.25">
      <c r="A6" s="37" t="s">
        <v>65</v>
      </c>
      <c r="B6" s="38" t="s">
        <v>16</v>
      </c>
      <c r="C6" s="38" t="s">
        <v>66</v>
      </c>
      <c r="D6" s="38" t="s">
        <v>67</v>
      </c>
      <c r="E6" s="38" t="s">
        <v>68</v>
      </c>
    </row>
    <row r="7" spans="1:25" ht="12.75" customHeight="1" x14ac:dyDescent="0.25">
      <c r="A7" s="37" t="s">
        <v>69</v>
      </c>
      <c r="B7" s="38" t="s">
        <v>70</v>
      </c>
      <c r="C7" s="38" t="s">
        <v>71</v>
      </c>
      <c r="D7" s="38" t="s">
        <v>72</v>
      </c>
      <c r="E7" s="38" t="s">
        <v>73</v>
      </c>
    </row>
    <row r="8" spans="1:25" ht="12.75" customHeight="1" x14ac:dyDescent="0.25">
      <c r="A8" s="37" t="s">
        <v>74</v>
      </c>
      <c r="B8" s="38" t="s">
        <v>75</v>
      </c>
      <c r="C8" s="38" t="s">
        <v>76</v>
      </c>
      <c r="D8" s="38" t="s">
        <v>77</v>
      </c>
      <c r="E8" s="38" t="s">
        <v>78</v>
      </c>
    </row>
    <row r="9" spans="1:25" ht="12.75" customHeight="1" x14ac:dyDescent="0.25">
      <c r="A9" s="37" t="s">
        <v>79</v>
      </c>
      <c r="B9" s="38" t="s">
        <v>80</v>
      </c>
      <c r="C9" s="38" t="s">
        <v>81</v>
      </c>
      <c r="D9" s="38" t="s">
        <v>82</v>
      </c>
      <c r="E9" s="38" t="s">
        <v>83</v>
      </c>
    </row>
    <row r="10" spans="1:25" ht="12.75" customHeight="1" x14ac:dyDescent="0.25">
      <c r="A10" s="37" t="s">
        <v>84</v>
      </c>
      <c r="B10" s="38" t="s">
        <v>85</v>
      </c>
      <c r="C10" s="38" t="s">
        <v>86</v>
      </c>
      <c r="D10" s="38" t="s">
        <v>87</v>
      </c>
      <c r="E10" s="38" t="s">
        <v>88</v>
      </c>
    </row>
    <row r="11" spans="1:25" ht="12.75" customHeight="1" x14ac:dyDescent="0.25">
      <c r="A11" s="37" t="s">
        <v>32</v>
      </c>
      <c r="B11" s="38" t="s">
        <v>89</v>
      </c>
      <c r="C11" s="38" t="s">
        <v>90</v>
      </c>
      <c r="D11" s="38" t="s">
        <v>91</v>
      </c>
      <c r="E11" s="38" t="s">
        <v>92</v>
      </c>
    </row>
    <row r="12" spans="1:25" ht="12.75" customHeight="1" x14ac:dyDescent="0.25">
      <c r="A12" s="37" t="s">
        <v>33</v>
      </c>
      <c r="B12" s="38" t="s">
        <v>93</v>
      </c>
      <c r="C12" s="38" t="s">
        <v>94</v>
      </c>
      <c r="D12" s="38" t="s">
        <v>95</v>
      </c>
      <c r="E12" s="38" t="s">
        <v>96</v>
      </c>
    </row>
    <row r="13" spans="1:25" ht="12.75" customHeight="1" x14ac:dyDescent="0.2">
      <c r="A13" s="37" t="s">
        <v>97</v>
      </c>
      <c r="B13" s="37" t="s">
        <v>98</v>
      </c>
      <c r="C13" s="37" t="s">
        <v>99</v>
      </c>
      <c r="D13" s="37" t="s">
        <v>100</v>
      </c>
      <c r="E13" s="37" t="s">
        <v>101</v>
      </c>
    </row>
    <row r="14" spans="1:25" ht="12.75" customHeight="1" x14ac:dyDescent="0.2">
      <c r="A14" s="37" t="s">
        <v>102</v>
      </c>
      <c r="B14" s="37" t="s">
        <v>103</v>
      </c>
      <c r="C14" s="37" t="s">
        <v>104</v>
      </c>
      <c r="D14" s="37" t="s">
        <v>105</v>
      </c>
      <c r="E14" s="37" t="s">
        <v>106</v>
      </c>
    </row>
    <row r="15" spans="1:25" ht="12.75" customHeight="1" x14ac:dyDescent="0.2">
      <c r="A15" s="37" t="s">
        <v>107</v>
      </c>
    </row>
    <row r="16" spans="1:25" ht="12.75" customHeight="1" x14ac:dyDescent="0.2">
      <c r="A16" s="37" t="s">
        <v>31</v>
      </c>
    </row>
    <row r="17" spans="1:1" ht="12.75" customHeight="1" x14ac:dyDescent="0.2">
      <c r="A17" s="37" t="s">
        <v>108</v>
      </c>
    </row>
    <row r="18" spans="1:1" ht="12.75" customHeight="1" x14ac:dyDescent="0.2">
      <c r="A18" s="37" t="s">
        <v>109</v>
      </c>
    </row>
    <row r="19" spans="1:1" ht="12.75" customHeight="1" x14ac:dyDescent="0.2">
      <c r="A19" s="37" t="s">
        <v>110</v>
      </c>
    </row>
    <row r="20" spans="1:1" ht="12.75" customHeight="1" x14ac:dyDescent="0.2">
      <c r="A20" s="37" t="s">
        <v>111</v>
      </c>
    </row>
    <row r="21" spans="1:1" ht="12.75" customHeight="1" x14ac:dyDescent="0.2">
      <c r="A21" s="37" t="s">
        <v>112</v>
      </c>
    </row>
    <row r="22" spans="1:1" ht="12.75" customHeight="1" x14ac:dyDescent="0.2">
      <c r="A22" s="37" t="s">
        <v>114</v>
      </c>
    </row>
    <row r="23" spans="1:1" ht="12.75" customHeight="1" x14ac:dyDescent="0.2">
      <c r="A23" s="37" t="s">
        <v>115</v>
      </c>
    </row>
    <row r="24" spans="1:1" ht="178.5" x14ac:dyDescent="0.2">
      <c r="A24" s="43" t="s">
        <v>122</v>
      </c>
    </row>
    <row r="25" spans="1:1" ht="25.5" x14ac:dyDescent="0.2">
      <c r="A25" s="43" t="s">
        <v>35</v>
      </c>
    </row>
    <row r="26" spans="1:1" ht="25.5" x14ac:dyDescent="0.2">
      <c r="A26" s="43" t="s">
        <v>121</v>
      </c>
    </row>
    <row r="27" spans="1:1" ht="25.5" x14ac:dyDescent="0.2">
      <c r="A27" s="43" t="s">
        <v>120</v>
      </c>
    </row>
    <row r="28" spans="1:1" x14ac:dyDescent="0.2">
      <c r="A28" s="43" t="s">
        <v>119</v>
      </c>
    </row>
    <row r="29" spans="1:1" ht="25.5" x14ac:dyDescent="0.2">
      <c r="A29" s="44" t="s">
        <v>113</v>
      </c>
    </row>
    <row r="30" spans="1:1" ht="25.5" x14ac:dyDescent="0.2">
      <c r="A30" s="44" t="s">
        <v>116</v>
      </c>
    </row>
    <row r="31" spans="1:1" ht="12.75" customHeight="1" x14ac:dyDescent="0.2">
      <c r="A31" s="44" t="s">
        <v>123</v>
      </c>
    </row>
    <row r="32" spans="1:1" ht="12.75" customHeight="1" x14ac:dyDescent="0.2">
      <c r="A32" s="44" t="s">
        <v>124</v>
      </c>
    </row>
    <row r="33" spans="1:1" ht="12.75" customHeight="1" x14ac:dyDescent="0.2">
      <c r="A33" s="44" t="s">
        <v>34</v>
      </c>
    </row>
    <row r="34" spans="1:1" ht="12.75" customHeight="1" x14ac:dyDescent="0.2">
      <c r="A34" s="44" t="s">
        <v>125</v>
      </c>
    </row>
    <row r="35" spans="1:1" ht="12.75" customHeight="1" x14ac:dyDescent="0.2">
      <c r="A35" s="44" t="s">
        <v>126</v>
      </c>
    </row>
    <row r="36" spans="1:1" ht="12.75" customHeight="1" x14ac:dyDescent="0.2"/>
    <row r="37" spans="1:1" ht="12.75" customHeight="1" x14ac:dyDescent="0.2"/>
    <row r="38" spans="1:1" ht="12.75" customHeight="1" x14ac:dyDescent="0.2"/>
    <row r="39" spans="1:1" ht="12.75" customHeight="1" x14ac:dyDescent="0.2"/>
    <row r="40" spans="1:1" ht="12.75" customHeight="1" x14ac:dyDescent="0.2"/>
    <row r="41" spans="1:1" ht="12.75" customHeight="1" x14ac:dyDescent="0.2"/>
    <row r="42" spans="1:1" ht="12.75" customHeight="1" x14ac:dyDescent="0.2"/>
    <row r="43" spans="1:1" ht="12.75" customHeight="1" x14ac:dyDescent="0.2"/>
    <row r="44" spans="1:1" ht="12.75" customHeight="1" x14ac:dyDescent="0.2"/>
    <row r="45" spans="1:1" ht="12.75" customHeight="1" x14ac:dyDescent="0.2"/>
    <row r="46" spans="1:1" ht="12.75" customHeight="1" x14ac:dyDescent="0.2"/>
    <row r="47" spans="1:1" ht="12.75" customHeight="1" x14ac:dyDescent="0.2"/>
    <row r="48" spans="1:1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Report</vt:lpstr>
      <vt:lpstr>Data</vt:lpstr>
      <vt:lpstr>Setup</vt:lpstr>
      <vt:lpstr>Languages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Aakash Dubey</cp:lastModifiedBy>
  <dcterms:created xsi:type="dcterms:W3CDTF">2009-05-21T13:20:04Z</dcterms:created>
  <dcterms:modified xsi:type="dcterms:W3CDTF">2020-06-25T15:50:04Z</dcterms:modified>
</cp:coreProperties>
</file>