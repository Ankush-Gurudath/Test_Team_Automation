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aakashdubey\Google Drive\HOS Marketplace Reports project\Final for Marketplace\"/>
    </mc:Choice>
  </mc:AlternateContent>
  <xr:revisionPtr revIDLastSave="0" documentId="13_ncr:1_{6936B55C-8C81-4236-A5F6-9B2D5381BE87}" xr6:coauthVersionLast="45" xr6:coauthVersionMax="45" xr10:uidLastSave="{00000000-0000-0000-0000-000000000000}"/>
  <bookViews>
    <workbookView xWindow="-120" yWindow="-120" windowWidth="29040" windowHeight="15840" firstSheet="1" activeTab="3" xr2:uid="{00000000-000D-0000-FFFF-FFFF00000000}"/>
  </bookViews>
  <sheets>
    <sheet name="Picture" sheetId="8" state="hidden" r:id="rId1"/>
    <sheet name="Report" sheetId="3" r:id="rId2"/>
    <sheet name="Summary" sheetId="4" r:id="rId3"/>
    <sheet name="Approaching Limit" sheetId="7" r:id="rId4"/>
    <sheet name="Data" sheetId="1" state="hidden" r:id="rId5"/>
    <sheet name="Languages" sheetId="5" state="hidden" r:id="rId6"/>
  </sheets>
  <definedNames>
    <definedName name="ALERT">Picture!$A$2</definedName>
    <definedName name="AllData">Report!$A$7:$X$64</definedName>
    <definedName name="OK">Picture!$A$1</definedName>
    <definedName name="Picture">INDIRECT(Picture!$H$1)</definedName>
  </definedNames>
  <calcPr calcId="191029"/>
  <pivotCaches>
    <pivotCache cacheId="1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" i="7" l="1"/>
  <c r="I9" i="3" l="1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8" i="3"/>
  <c r="B17" i="7" l="1"/>
  <c r="T8" i="3" l="1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B9" i="3" l="1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8" i="3"/>
  <c r="A2" i="4"/>
  <c r="C1" i="4"/>
  <c r="A2" i="3"/>
  <c r="D64" i="3" l="1"/>
  <c r="D60" i="3"/>
  <c r="D56" i="3"/>
  <c r="D52" i="3"/>
  <c r="D48" i="3"/>
  <c r="D44" i="3"/>
  <c r="D40" i="3"/>
  <c r="D36" i="3"/>
  <c r="D32" i="3"/>
  <c r="D28" i="3"/>
  <c r="D24" i="3"/>
  <c r="D20" i="3"/>
  <c r="D16" i="3"/>
  <c r="D12" i="3"/>
  <c r="D63" i="3"/>
  <c r="D59" i="3"/>
  <c r="D55" i="3"/>
  <c r="D51" i="3"/>
  <c r="D47" i="3"/>
  <c r="D43" i="3"/>
  <c r="D39" i="3"/>
  <c r="D35" i="3"/>
  <c r="D31" i="3"/>
  <c r="D27" i="3"/>
  <c r="D23" i="3"/>
  <c r="D19" i="3"/>
  <c r="D15" i="3"/>
  <c r="D11" i="3"/>
  <c r="D62" i="3"/>
  <c r="D58" i="3"/>
  <c r="D54" i="3"/>
  <c r="D50" i="3"/>
  <c r="D46" i="3"/>
  <c r="D42" i="3"/>
  <c r="D38" i="3"/>
  <c r="D34" i="3"/>
  <c r="D30" i="3"/>
  <c r="D26" i="3"/>
  <c r="D22" i="3"/>
  <c r="D18" i="3"/>
  <c r="D14" i="3"/>
  <c r="D10" i="3"/>
  <c r="D61" i="3"/>
  <c r="D57" i="3"/>
  <c r="D53" i="3"/>
  <c r="D49" i="3"/>
  <c r="D45" i="3"/>
  <c r="D41" i="3"/>
  <c r="D37" i="3"/>
  <c r="D33" i="3"/>
  <c r="D29" i="3"/>
  <c r="D25" i="3"/>
  <c r="D21" i="3"/>
  <c r="D17" i="3"/>
  <c r="D13" i="3"/>
  <c r="D9" i="3"/>
  <c r="D8" i="3"/>
  <c r="X64" i="3"/>
  <c r="W64" i="3"/>
  <c r="V64" i="3"/>
  <c r="U64" i="3"/>
  <c r="F64" i="3"/>
  <c r="E64" i="3"/>
  <c r="G64" i="3" s="1"/>
  <c r="A64" i="3"/>
  <c r="X63" i="3"/>
  <c r="W63" i="3"/>
  <c r="V63" i="3"/>
  <c r="U63" i="3"/>
  <c r="F63" i="3"/>
  <c r="E63" i="3"/>
  <c r="G63" i="3" s="1"/>
  <c r="A63" i="3"/>
  <c r="X62" i="3"/>
  <c r="W62" i="3"/>
  <c r="V62" i="3"/>
  <c r="U62" i="3"/>
  <c r="F62" i="3"/>
  <c r="E62" i="3"/>
  <c r="G62" i="3" s="1"/>
  <c r="A62" i="3"/>
  <c r="X61" i="3"/>
  <c r="W61" i="3"/>
  <c r="V61" i="3"/>
  <c r="U61" i="3"/>
  <c r="F61" i="3"/>
  <c r="E61" i="3"/>
  <c r="G61" i="3" s="1"/>
  <c r="A61" i="3"/>
  <c r="X60" i="3"/>
  <c r="W60" i="3"/>
  <c r="V60" i="3"/>
  <c r="U60" i="3"/>
  <c r="F60" i="3"/>
  <c r="E60" i="3"/>
  <c r="G60" i="3" s="1"/>
  <c r="A60" i="3"/>
  <c r="X59" i="3"/>
  <c r="W59" i="3"/>
  <c r="V59" i="3"/>
  <c r="U59" i="3"/>
  <c r="F59" i="3"/>
  <c r="E59" i="3"/>
  <c r="G59" i="3" s="1"/>
  <c r="A59" i="3"/>
  <c r="X58" i="3"/>
  <c r="W58" i="3"/>
  <c r="V58" i="3"/>
  <c r="U58" i="3"/>
  <c r="F58" i="3"/>
  <c r="E58" i="3"/>
  <c r="G58" i="3" s="1"/>
  <c r="A58" i="3"/>
  <c r="X57" i="3"/>
  <c r="W57" i="3"/>
  <c r="V57" i="3"/>
  <c r="U57" i="3"/>
  <c r="F57" i="3"/>
  <c r="E57" i="3"/>
  <c r="G57" i="3" s="1"/>
  <c r="A57" i="3"/>
  <c r="X56" i="3"/>
  <c r="W56" i="3"/>
  <c r="V56" i="3"/>
  <c r="U56" i="3"/>
  <c r="F56" i="3"/>
  <c r="E56" i="3"/>
  <c r="G56" i="3" s="1"/>
  <c r="A56" i="3"/>
  <c r="X55" i="3"/>
  <c r="W55" i="3"/>
  <c r="V55" i="3"/>
  <c r="U55" i="3"/>
  <c r="F55" i="3"/>
  <c r="E55" i="3"/>
  <c r="G55" i="3" s="1"/>
  <c r="A55" i="3"/>
  <c r="X54" i="3"/>
  <c r="W54" i="3"/>
  <c r="V54" i="3"/>
  <c r="U54" i="3"/>
  <c r="F54" i="3"/>
  <c r="E54" i="3"/>
  <c r="G54" i="3" s="1"/>
  <c r="A54" i="3"/>
  <c r="X53" i="3"/>
  <c r="W53" i="3"/>
  <c r="V53" i="3"/>
  <c r="U53" i="3"/>
  <c r="F53" i="3"/>
  <c r="E53" i="3"/>
  <c r="G53" i="3" s="1"/>
  <c r="A53" i="3"/>
  <c r="X52" i="3"/>
  <c r="W52" i="3"/>
  <c r="V52" i="3"/>
  <c r="U52" i="3"/>
  <c r="F52" i="3"/>
  <c r="E52" i="3"/>
  <c r="G52" i="3" s="1"/>
  <c r="A52" i="3"/>
  <c r="X51" i="3"/>
  <c r="W51" i="3"/>
  <c r="V51" i="3"/>
  <c r="U51" i="3"/>
  <c r="F51" i="3"/>
  <c r="E51" i="3"/>
  <c r="G51" i="3" s="1"/>
  <c r="A51" i="3"/>
  <c r="X50" i="3"/>
  <c r="W50" i="3"/>
  <c r="V50" i="3"/>
  <c r="U50" i="3"/>
  <c r="F50" i="3"/>
  <c r="E50" i="3"/>
  <c r="G50" i="3" s="1"/>
  <c r="A50" i="3"/>
  <c r="X49" i="3"/>
  <c r="W49" i="3"/>
  <c r="V49" i="3"/>
  <c r="U49" i="3"/>
  <c r="F49" i="3"/>
  <c r="E49" i="3"/>
  <c r="G49" i="3" s="1"/>
  <c r="A49" i="3"/>
  <c r="X48" i="3"/>
  <c r="W48" i="3"/>
  <c r="V48" i="3"/>
  <c r="U48" i="3"/>
  <c r="F48" i="3"/>
  <c r="E48" i="3"/>
  <c r="G48" i="3" s="1"/>
  <c r="A48" i="3"/>
  <c r="X47" i="3"/>
  <c r="W47" i="3"/>
  <c r="V47" i="3"/>
  <c r="U47" i="3"/>
  <c r="F47" i="3"/>
  <c r="E47" i="3"/>
  <c r="G47" i="3" s="1"/>
  <c r="A47" i="3"/>
  <c r="X46" i="3"/>
  <c r="W46" i="3"/>
  <c r="V46" i="3"/>
  <c r="U46" i="3"/>
  <c r="F46" i="3"/>
  <c r="E46" i="3"/>
  <c r="G46" i="3" s="1"/>
  <c r="A46" i="3"/>
  <c r="X45" i="3"/>
  <c r="W45" i="3"/>
  <c r="V45" i="3"/>
  <c r="U45" i="3"/>
  <c r="F45" i="3"/>
  <c r="E45" i="3"/>
  <c r="G45" i="3" s="1"/>
  <c r="A45" i="3"/>
  <c r="X44" i="3"/>
  <c r="W44" i="3"/>
  <c r="V44" i="3"/>
  <c r="U44" i="3"/>
  <c r="F44" i="3"/>
  <c r="E44" i="3"/>
  <c r="G44" i="3" s="1"/>
  <c r="A44" i="3"/>
  <c r="X43" i="3"/>
  <c r="W43" i="3"/>
  <c r="V43" i="3"/>
  <c r="U43" i="3"/>
  <c r="F43" i="3"/>
  <c r="E43" i="3"/>
  <c r="G43" i="3" s="1"/>
  <c r="A43" i="3"/>
  <c r="X42" i="3"/>
  <c r="W42" i="3"/>
  <c r="V42" i="3"/>
  <c r="U42" i="3"/>
  <c r="F42" i="3"/>
  <c r="E42" i="3"/>
  <c r="G42" i="3" s="1"/>
  <c r="A42" i="3"/>
  <c r="X41" i="3"/>
  <c r="W41" i="3"/>
  <c r="V41" i="3"/>
  <c r="U41" i="3"/>
  <c r="F41" i="3"/>
  <c r="E41" i="3"/>
  <c r="G41" i="3" s="1"/>
  <c r="A41" i="3"/>
  <c r="X40" i="3"/>
  <c r="W40" i="3"/>
  <c r="V40" i="3"/>
  <c r="U40" i="3"/>
  <c r="F40" i="3"/>
  <c r="E40" i="3"/>
  <c r="G40" i="3" s="1"/>
  <c r="A40" i="3"/>
  <c r="X39" i="3"/>
  <c r="W39" i="3"/>
  <c r="V39" i="3"/>
  <c r="U39" i="3"/>
  <c r="F39" i="3"/>
  <c r="E39" i="3"/>
  <c r="G39" i="3" s="1"/>
  <c r="A39" i="3"/>
  <c r="X38" i="3"/>
  <c r="W38" i="3"/>
  <c r="V38" i="3"/>
  <c r="U38" i="3"/>
  <c r="F38" i="3"/>
  <c r="E38" i="3"/>
  <c r="G38" i="3" s="1"/>
  <c r="A38" i="3"/>
  <c r="X37" i="3"/>
  <c r="W37" i="3"/>
  <c r="V37" i="3"/>
  <c r="U37" i="3"/>
  <c r="F37" i="3"/>
  <c r="E37" i="3"/>
  <c r="G37" i="3" s="1"/>
  <c r="A37" i="3"/>
  <c r="X36" i="3"/>
  <c r="W36" i="3"/>
  <c r="V36" i="3"/>
  <c r="U36" i="3"/>
  <c r="F36" i="3"/>
  <c r="E36" i="3"/>
  <c r="G36" i="3" s="1"/>
  <c r="A36" i="3"/>
  <c r="X35" i="3"/>
  <c r="W35" i="3"/>
  <c r="V35" i="3"/>
  <c r="U35" i="3"/>
  <c r="F35" i="3"/>
  <c r="E35" i="3"/>
  <c r="G35" i="3" s="1"/>
  <c r="A35" i="3"/>
  <c r="X34" i="3"/>
  <c r="W34" i="3"/>
  <c r="V34" i="3"/>
  <c r="U34" i="3"/>
  <c r="F34" i="3"/>
  <c r="E34" i="3"/>
  <c r="G34" i="3" s="1"/>
  <c r="A34" i="3"/>
  <c r="X33" i="3"/>
  <c r="W33" i="3"/>
  <c r="V33" i="3"/>
  <c r="U33" i="3"/>
  <c r="F33" i="3"/>
  <c r="E33" i="3"/>
  <c r="G33" i="3" s="1"/>
  <c r="A33" i="3"/>
  <c r="X32" i="3"/>
  <c r="W32" i="3"/>
  <c r="V32" i="3"/>
  <c r="U32" i="3"/>
  <c r="F32" i="3"/>
  <c r="E32" i="3"/>
  <c r="G32" i="3" s="1"/>
  <c r="A32" i="3"/>
  <c r="X31" i="3"/>
  <c r="W31" i="3"/>
  <c r="V31" i="3"/>
  <c r="U31" i="3"/>
  <c r="F31" i="3"/>
  <c r="E31" i="3"/>
  <c r="G31" i="3" s="1"/>
  <c r="A31" i="3"/>
  <c r="X30" i="3"/>
  <c r="W30" i="3"/>
  <c r="V30" i="3"/>
  <c r="U30" i="3"/>
  <c r="F30" i="3"/>
  <c r="E30" i="3"/>
  <c r="G30" i="3" s="1"/>
  <c r="A30" i="3"/>
  <c r="X29" i="3"/>
  <c r="W29" i="3"/>
  <c r="V29" i="3"/>
  <c r="U29" i="3"/>
  <c r="F29" i="3"/>
  <c r="E29" i="3"/>
  <c r="G29" i="3" s="1"/>
  <c r="A29" i="3"/>
  <c r="X28" i="3"/>
  <c r="W28" i="3"/>
  <c r="V28" i="3"/>
  <c r="U28" i="3"/>
  <c r="F28" i="3"/>
  <c r="E28" i="3"/>
  <c r="G28" i="3" s="1"/>
  <c r="A28" i="3"/>
  <c r="X27" i="3"/>
  <c r="W27" i="3"/>
  <c r="V27" i="3"/>
  <c r="U27" i="3"/>
  <c r="F27" i="3"/>
  <c r="E27" i="3"/>
  <c r="G27" i="3" s="1"/>
  <c r="A27" i="3"/>
  <c r="X26" i="3"/>
  <c r="W26" i="3"/>
  <c r="V26" i="3"/>
  <c r="U26" i="3"/>
  <c r="F26" i="3"/>
  <c r="E26" i="3"/>
  <c r="G26" i="3" s="1"/>
  <c r="A26" i="3"/>
  <c r="X25" i="3"/>
  <c r="W25" i="3"/>
  <c r="V25" i="3"/>
  <c r="U25" i="3"/>
  <c r="F25" i="3"/>
  <c r="E25" i="3"/>
  <c r="G25" i="3" s="1"/>
  <c r="A25" i="3"/>
  <c r="X24" i="3"/>
  <c r="W24" i="3"/>
  <c r="V24" i="3"/>
  <c r="U24" i="3"/>
  <c r="F24" i="3"/>
  <c r="E24" i="3"/>
  <c r="G24" i="3" s="1"/>
  <c r="A24" i="3"/>
  <c r="X23" i="3"/>
  <c r="W23" i="3"/>
  <c r="V23" i="3"/>
  <c r="U23" i="3"/>
  <c r="F23" i="3"/>
  <c r="E23" i="3"/>
  <c r="G23" i="3" s="1"/>
  <c r="A23" i="3"/>
  <c r="X22" i="3"/>
  <c r="W22" i="3"/>
  <c r="V22" i="3"/>
  <c r="U22" i="3"/>
  <c r="F22" i="3"/>
  <c r="E22" i="3"/>
  <c r="G22" i="3" s="1"/>
  <c r="A22" i="3"/>
  <c r="X21" i="3"/>
  <c r="W21" i="3"/>
  <c r="V21" i="3"/>
  <c r="U21" i="3"/>
  <c r="F21" i="3"/>
  <c r="E21" i="3"/>
  <c r="G21" i="3" s="1"/>
  <c r="A21" i="3"/>
  <c r="X20" i="3"/>
  <c r="W20" i="3"/>
  <c r="V20" i="3"/>
  <c r="U20" i="3"/>
  <c r="F20" i="3"/>
  <c r="E20" i="3"/>
  <c r="G20" i="3" s="1"/>
  <c r="A20" i="3"/>
  <c r="X19" i="3"/>
  <c r="W19" i="3"/>
  <c r="V19" i="3"/>
  <c r="U19" i="3"/>
  <c r="F19" i="3"/>
  <c r="E19" i="3"/>
  <c r="G19" i="3" s="1"/>
  <c r="A19" i="3"/>
  <c r="X18" i="3"/>
  <c r="W18" i="3"/>
  <c r="V18" i="3"/>
  <c r="U18" i="3"/>
  <c r="F18" i="3"/>
  <c r="E18" i="3"/>
  <c r="G18" i="3" s="1"/>
  <c r="A18" i="3"/>
  <c r="X17" i="3"/>
  <c r="W17" i="3"/>
  <c r="V17" i="3"/>
  <c r="U17" i="3"/>
  <c r="F17" i="3"/>
  <c r="E17" i="3"/>
  <c r="G17" i="3" s="1"/>
  <c r="A17" i="3"/>
  <c r="X16" i="3"/>
  <c r="W16" i="3"/>
  <c r="V16" i="3"/>
  <c r="U16" i="3"/>
  <c r="F16" i="3"/>
  <c r="E16" i="3"/>
  <c r="G16" i="3" s="1"/>
  <c r="A16" i="3"/>
  <c r="X15" i="3"/>
  <c r="W15" i="3"/>
  <c r="V15" i="3"/>
  <c r="U15" i="3"/>
  <c r="F15" i="3"/>
  <c r="E15" i="3"/>
  <c r="G15" i="3" s="1"/>
  <c r="A15" i="3"/>
  <c r="X14" i="3"/>
  <c r="W14" i="3"/>
  <c r="V14" i="3"/>
  <c r="U14" i="3"/>
  <c r="F14" i="3"/>
  <c r="E14" i="3"/>
  <c r="G14" i="3" s="1"/>
  <c r="A14" i="3"/>
  <c r="X13" i="3"/>
  <c r="W13" i="3"/>
  <c r="V13" i="3"/>
  <c r="U13" i="3"/>
  <c r="F13" i="3"/>
  <c r="E13" i="3"/>
  <c r="G13" i="3" s="1"/>
  <c r="A13" i="3"/>
  <c r="X12" i="3"/>
  <c r="W12" i="3"/>
  <c r="V12" i="3"/>
  <c r="U12" i="3"/>
  <c r="F12" i="3"/>
  <c r="E12" i="3"/>
  <c r="G12" i="3" s="1"/>
  <c r="A12" i="3"/>
  <c r="X11" i="3"/>
  <c r="W11" i="3"/>
  <c r="V11" i="3"/>
  <c r="U11" i="3"/>
  <c r="F11" i="3"/>
  <c r="E11" i="3"/>
  <c r="G11" i="3" s="1"/>
  <c r="A11" i="3"/>
  <c r="X10" i="3"/>
  <c r="W10" i="3"/>
  <c r="V10" i="3"/>
  <c r="U10" i="3"/>
  <c r="F10" i="3"/>
  <c r="E10" i="3"/>
  <c r="G10" i="3" s="1"/>
  <c r="A10" i="3"/>
  <c r="X9" i="3"/>
  <c r="W9" i="3"/>
  <c r="V9" i="3"/>
  <c r="U9" i="3"/>
  <c r="F9" i="3"/>
  <c r="E9" i="3"/>
  <c r="G9" i="3" s="1"/>
  <c r="A9" i="3"/>
  <c r="X8" i="3"/>
  <c r="W8" i="3"/>
  <c r="V8" i="3"/>
  <c r="U8" i="3"/>
  <c r="F8" i="3"/>
  <c r="E8" i="3"/>
  <c r="G8" i="3" s="1"/>
  <c r="A8" i="3"/>
  <c r="E1" i="3"/>
  <c r="M10" i="3" l="1"/>
  <c r="R10" i="3" s="1"/>
  <c r="L10" i="3"/>
  <c r="Q10" i="3" s="1"/>
  <c r="N10" i="3"/>
  <c r="K10" i="3"/>
  <c r="P10" i="3" s="1"/>
  <c r="J10" i="3"/>
  <c r="O10" i="3" s="1"/>
  <c r="M14" i="3"/>
  <c r="R14" i="3" s="1"/>
  <c r="L14" i="3"/>
  <c r="Q14" i="3" s="1"/>
  <c r="K14" i="3"/>
  <c r="P14" i="3" s="1"/>
  <c r="J14" i="3"/>
  <c r="O14" i="3" s="1"/>
  <c r="N14" i="3"/>
  <c r="M18" i="3"/>
  <c r="R18" i="3" s="1"/>
  <c r="L18" i="3"/>
  <c r="Q18" i="3" s="1"/>
  <c r="K18" i="3"/>
  <c r="P18" i="3" s="1"/>
  <c r="J18" i="3"/>
  <c r="O18" i="3" s="1"/>
  <c r="N18" i="3"/>
  <c r="M22" i="3"/>
  <c r="R22" i="3" s="1"/>
  <c r="L22" i="3"/>
  <c r="Q22" i="3" s="1"/>
  <c r="K22" i="3"/>
  <c r="P22" i="3" s="1"/>
  <c r="J22" i="3"/>
  <c r="O22" i="3" s="1"/>
  <c r="N22" i="3"/>
  <c r="M26" i="3"/>
  <c r="R26" i="3" s="1"/>
  <c r="J26" i="3"/>
  <c r="O26" i="3" s="1"/>
  <c r="N26" i="3"/>
  <c r="L26" i="3"/>
  <c r="Q26" i="3" s="1"/>
  <c r="K26" i="3"/>
  <c r="P26" i="3" s="1"/>
  <c r="M30" i="3"/>
  <c r="R30" i="3" s="1"/>
  <c r="J30" i="3"/>
  <c r="O30" i="3" s="1"/>
  <c r="N30" i="3"/>
  <c r="L30" i="3"/>
  <c r="Q30" i="3" s="1"/>
  <c r="K30" i="3"/>
  <c r="P30" i="3" s="1"/>
  <c r="M34" i="3"/>
  <c r="R34" i="3" s="1"/>
  <c r="J34" i="3"/>
  <c r="O34" i="3" s="1"/>
  <c r="N34" i="3"/>
  <c r="L34" i="3"/>
  <c r="Q34" i="3" s="1"/>
  <c r="K34" i="3"/>
  <c r="P34" i="3" s="1"/>
  <c r="M38" i="3"/>
  <c r="R38" i="3" s="1"/>
  <c r="J38" i="3"/>
  <c r="O38" i="3" s="1"/>
  <c r="N38" i="3"/>
  <c r="L38" i="3"/>
  <c r="Q38" i="3" s="1"/>
  <c r="K38" i="3"/>
  <c r="P38" i="3" s="1"/>
  <c r="M42" i="3"/>
  <c r="R42" i="3" s="1"/>
  <c r="J42" i="3"/>
  <c r="O42" i="3" s="1"/>
  <c r="N42" i="3"/>
  <c r="L42" i="3"/>
  <c r="Q42" i="3" s="1"/>
  <c r="K42" i="3"/>
  <c r="P42" i="3" s="1"/>
  <c r="M46" i="3"/>
  <c r="R46" i="3" s="1"/>
  <c r="J46" i="3"/>
  <c r="O46" i="3" s="1"/>
  <c r="N46" i="3"/>
  <c r="L46" i="3"/>
  <c r="Q46" i="3" s="1"/>
  <c r="K46" i="3"/>
  <c r="P46" i="3" s="1"/>
  <c r="M50" i="3"/>
  <c r="R50" i="3" s="1"/>
  <c r="J50" i="3"/>
  <c r="O50" i="3" s="1"/>
  <c r="N50" i="3"/>
  <c r="L50" i="3"/>
  <c r="Q50" i="3" s="1"/>
  <c r="K50" i="3"/>
  <c r="P50" i="3" s="1"/>
  <c r="M54" i="3"/>
  <c r="R54" i="3" s="1"/>
  <c r="J54" i="3"/>
  <c r="O54" i="3" s="1"/>
  <c r="L54" i="3"/>
  <c r="Q54" i="3" s="1"/>
  <c r="K54" i="3"/>
  <c r="P54" i="3" s="1"/>
  <c r="M58" i="3"/>
  <c r="R58" i="3" s="1"/>
  <c r="J58" i="3"/>
  <c r="O58" i="3" s="1"/>
  <c r="N58" i="3"/>
  <c r="L58" i="3"/>
  <c r="Q58" i="3" s="1"/>
  <c r="K58" i="3"/>
  <c r="P58" i="3" s="1"/>
  <c r="M62" i="3"/>
  <c r="R62" i="3" s="1"/>
  <c r="J62" i="3"/>
  <c r="O62" i="3" s="1"/>
  <c r="N62" i="3"/>
  <c r="L62" i="3"/>
  <c r="Q62" i="3" s="1"/>
  <c r="K62" i="3"/>
  <c r="P62" i="3" s="1"/>
  <c r="M9" i="3"/>
  <c r="R9" i="3" s="1"/>
  <c r="L9" i="3"/>
  <c r="Q9" i="3" s="1"/>
  <c r="N9" i="3"/>
  <c r="K9" i="3"/>
  <c r="P9" i="3" s="1"/>
  <c r="J9" i="3"/>
  <c r="O9" i="3" s="1"/>
  <c r="M13" i="3"/>
  <c r="R13" i="3" s="1"/>
  <c r="L13" i="3"/>
  <c r="Q13" i="3" s="1"/>
  <c r="N13" i="3"/>
  <c r="M17" i="3"/>
  <c r="R17" i="3" s="1"/>
  <c r="L17" i="3"/>
  <c r="Q17" i="3" s="1"/>
  <c r="K17" i="3"/>
  <c r="P17" i="3" s="1"/>
  <c r="J17" i="3"/>
  <c r="O17" i="3" s="1"/>
  <c r="N17" i="3"/>
  <c r="M21" i="3"/>
  <c r="R21" i="3" s="1"/>
  <c r="L21" i="3"/>
  <c r="Q21" i="3" s="1"/>
  <c r="K21" i="3"/>
  <c r="P21" i="3" s="1"/>
  <c r="J21" i="3"/>
  <c r="O21" i="3" s="1"/>
  <c r="N21" i="3"/>
  <c r="M25" i="3"/>
  <c r="R25" i="3" s="1"/>
  <c r="J25" i="3"/>
  <c r="O25" i="3" s="1"/>
  <c r="N25" i="3"/>
  <c r="L25" i="3"/>
  <c r="Q25" i="3" s="1"/>
  <c r="K25" i="3"/>
  <c r="P25" i="3" s="1"/>
  <c r="M29" i="3"/>
  <c r="R29" i="3" s="1"/>
  <c r="J29" i="3"/>
  <c r="O29" i="3" s="1"/>
  <c r="N29" i="3"/>
  <c r="L29" i="3"/>
  <c r="Q29" i="3" s="1"/>
  <c r="K29" i="3"/>
  <c r="P29" i="3" s="1"/>
  <c r="M33" i="3"/>
  <c r="R33" i="3" s="1"/>
  <c r="J33" i="3"/>
  <c r="O33" i="3" s="1"/>
  <c r="L33" i="3"/>
  <c r="Q33" i="3" s="1"/>
  <c r="K33" i="3"/>
  <c r="P33" i="3" s="1"/>
  <c r="M37" i="3"/>
  <c r="R37" i="3" s="1"/>
  <c r="J37" i="3"/>
  <c r="O37" i="3" s="1"/>
  <c r="N37" i="3"/>
  <c r="L37" i="3"/>
  <c r="Q37" i="3" s="1"/>
  <c r="K37" i="3"/>
  <c r="P37" i="3" s="1"/>
  <c r="M41" i="3"/>
  <c r="R41" i="3" s="1"/>
  <c r="J41" i="3"/>
  <c r="O41" i="3" s="1"/>
  <c r="N41" i="3"/>
  <c r="L41" i="3"/>
  <c r="Q41" i="3" s="1"/>
  <c r="K41" i="3"/>
  <c r="P41" i="3" s="1"/>
  <c r="M45" i="3"/>
  <c r="R45" i="3" s="1"/>
  <c r="J45" i="3"/>
  <c r="O45" i="3" s="1"/>
  <c r="N45" i="3"/>
  <c r="L45" i="3"/>
  <c r="Q45" i="3" s="1"/>
  <c r="K45" i="3"/>
  <c r="P45" i="3" s="1"/>
  <c r="M49" i="3"/>
  <c r="R49" i="3" s="1"/>
  <c r="J49" i="3"/>
  <c r="O49" i="3" s="1"/>
  <c r="L49" i="3"/>
  <c r="Q49" i="3" s="1"/>
  <c r="K49" i="3"/>
  <c r="P49" i="3" s="1"/>
  <c r="M53" i="3"/>
  <c r="R53" i="3" s="1"/>
  <c r="J53" i="3"/>
  <c r="O53" i="3" s="1"/>
  <c r="N53" i="3"/>
  <c r="L53" i="3"/>
  <c r="Q53" i="3" s="1"/>
  <c r="K53" i="3"/>
  <c r="P53" i="3" s="1"/>
  <c r="M57" i="3"/>
  <c r="R57" i="3" s="1"/>
  <c r="J57" i="3"/>
  <c r="O57" i="3" s="1"/>
  <c r="N57" i="3"/>
  <c r="L57" i="3"/>
  <c r="Q57" i="3" s="1"/>
  <c r="K57" i="3"/>
  <c r="P57" i="3" s="1"/>
  <c r="M61" i="3"/>
  <c r="R61" i="3" s="1"/>
  <c r="J61" i="3"/>
  <c r="O61" i="3" s="1"/>
  <c r="N61" i="3"/>
  <c r="L61" i="3"/>
  <c r="Q61" i="3" s="1"/>
  <c r="K61" i="3"/>
  <c r="P61" i="3" s="1"/>
  <c r="L16" i="3"/>
  <c r="Q16" i="3" s="1"/>
  <c r="K16" i="3"/>
  <c r="P16" i="3" s="1"/>
  <c r="J16" i="3"/>
  <c r="O16" i="3" s="1"/>
  <c r="N16" i="3"/>
  <c r="M16" i="3"/>
  <c r="R16" i="3" s="1"/>
  <c r="L20" i="3"/>
  <c r="Q20" i="3" s="1"/>
  <c r="K20" i="3"/>
  <c r="P20" i="3" s="1"/>
  <c r="J20" i="3"/>
  <c r="O20" i="3" s="1"/>
  <c r="N20" i="3"/>
  <c r="M20" i="3"/>
  <c r="R20" i="3" s="1"/>
  <c r="L24" i="3"/>
  <c r="Q24" i="3" s="1"/>
  <c r="K24" i="3"/>
  <c r="P24" i="3" s="1"/>
  <c r="M24" i="3"/>
  <c r="R24" i="3" s="1"/>
  <c r="J24" i="3"/>
  <c r="O24" i="3" s="1"/>
  <c r="L28" i="3"/>
  <c r="Q28" i="3" s="1"/>
  <c r="K28" i="3"/>
  <c r="P28" i="3" s="1"/>
  <c r="M28" i="3"/>
  <c r="R28" i="3" s="1"/>
  <c r="J28" i="3"/>
  <c r="O28" i="3" s="1"/>
  <c r="N28" i="3"/>
  <c r="L32" i="3"/>
  <c r="Q32" i="3" s="1"/>
  <c r="K32" i="3"/>
  <c r="P32" i="3" s="1"/>
  <c r="M32" i="3"/>
  <c r="R32" i="3" s="1"/>
  <c r="J32" i="3"/>
  <c r="O32" i="3" s="1"/>
  <c r="N32" i="3"/>
  <c r="L36" i="3"/>
  <c r="Q36" i="3" s="1"/>
  <c r="K36" i="3"/>
  <c r="P36" i="3" s="1"/>
  <c r="M36" i="3"/>
  <c r="R36" i="3" s="1"/>
  <c r="J36" i="3"/>
  <c r="O36" i="3" s="1"/>
  <c r="N36" i="3"/>
  <c r="L40" i="3"/>
  <c r="Q40" i="3" s="1"/>
  <c r="K40" i="3"/>
  <c r="P40" i="3" s="1"/>
  <c r="M40" i="3"/>
  <c r="R40" i="3" s="1"/>
  <c r="J40" i="3"/>
  <c r="O40" i="3" s="1"/>
  <c r="L44" i="3"/>
  <c r="Q44" i="3" s="1"/>
  <c r="K44" i="3"/>
  <c r="P44" i="3" s="1"/>
  <c r="M44" i="3"/>
  <c r="R44" i="3" s="1"/>
  <c r="J44" i="3"/>
  <c r="O44" i="3" s="1"/>
  <c r="N44" i="3"/>
  <c r="L48" i="3"/>
  <c r="Q48" i="3" s="1"/>
  <c r="K48" i="3"/>
  <c r="P48" i="3" s="1"/>
  <c r="M48" i="3"/>
  <c r="R48" i="3" s="1"/>
  <c r="J48" i="3"/>
  <c r="O48" i="3" s="1"/>
  <c r="N48" i="3"/>
  <c r="L52" i="3"/>
  <c r="Q52" i="3" s="1"/>
  <c r="K52" i="3"/>
  <c r="P52" i="3" s="1"/>
  <c r="M52" i="3"/>
  <c r="R52" i="3" s="1"/>
  <c r="J52" i="3"/>
  <c r="O52" i="3" s="1"/>
  <c r="N52" i="3"/>
  <c r="L56" i="3"/>
  <c r="Q56" i="3" s="1"/>
  <c r="K56" i="3"/>
  <c r="P56" i="3" s="1"/>
  <c r="M56" i="3"/>
  <c r="R56" i="3" s="1"/>
  <c r="J56" i="3"/>
  <c r="O56" i="3" s="1"/>
  <c r="N56" i="3"/>
  <c r="L60" i="3"/>
  <c r="Q60" i="3" s="1"/>
  <c r="K60" i="3"/>
  <c r="P60" i="3" s="1"/>
  <c r="M60" i="3"/>
  <c r="R60" i="3" s="1"/>
  <c r="J60" i="3"/>
  <c r="O60" i="3" s="1"/>
  <c r="N60" i="3"/>
  <c r="L64" i="3"/>
  <c r="Q64" i="3" s="1"/>
  <c r="K64" i="3"/>
  <c r="P64" i="3" s="1"/>
  <c r="M64" i="3"/>
  <c r="R64" i="3" s="1"/>
  <c r="J64" i="3"/>
  <c r="O64" i="3" s="1"/>
  <c r="N64" i="3"/>
  <c r="M8" i="3"/>
  <c r="R8" i="3" s="1"/>
  <c r="J8" i="3"/>
  <c r="O8" i="3" s="1"/>
  <c r="N8" i="3"/>
  <c r="L8" i="3"/>
  <c r="Q8" i="3" s="1"/>
  <c r="K8" i="3"/>
  <c r="P8" i="3" s="1"/>
  <c r="L12" i="3"/>
  <c r="Q12" i="3" s="1"/>
  <c r="N12" i="3"/>
  <c r="K12" i="3"/>
  <c r="P12" i="3" s="1"/>
  <c r="J12" i="3"/>
  <c r="O12" i="3" s="1"/>
  <c r="M12" i="3"/>
  <c r="R12" i="3" s="1"/>
  <c r="K11" i="3"/>
  <c r="P11" i="3" s="1"/>
  <c r="J11" i="3"/>
  <c r="O11" i="3" s="1"/>
  <c r="M11" i="3"/>
  <c r="R11" i="3" s="1"/>
  <c r="L11" i="3"/>
  <c r="Q11" i="3" s="1"/>
  <c r="M15" i="3"/>
  <c r="R15" i="3" s="1"/>
  <c r="L15" i="3"/>
  <c r="Q15" i="3" s="1"/>
  <c r="K15" i="3"/>
  <c r="P15" i="3" s="1"/>
  <c r="J15" i="3"/>
  <c r="O15" i="3" s="1"/>
  <c r="N15" i="3"/>
  <c r="M19" i="3"/>
  <c r="R19" i="3" s="1"/>
  <c r="L19" i="3"/>
  <c r="Q19" i="3" s="1"/>
  <c r="K19" i="3"/>
  <c r="P19" i="3" s="1"/>
  <c r="J19" i="3"/>
  <c r="O19" i="3" s="1"/>
  <c r="N19" i="3"/>
  <c r="M23" i="3"/>
  <c r="R23" i="3" s="1"/>
  <c r="L23" i="3"/>
  <c r="Q23" i="3" s="1"/>
  <c r="K23" i="3"/>
  <c r="P23" i="3" s="1"/>
  <c r="M27" i="3"/>
  <c r="R27" i="3" s="1"/>
  <c r="J27" i="3"/>
  <c r="O27" i="3" s="1"/>
  <c r="L27" i="3"/>
  <c r="Q27" i="3" s="1"/>
  <c r="K27" i="3"/>
  <c r="P27" i="3" s="1"/>
  <c r="M31" i="3"/>
  <c r="R31" i="3" s="1"/>
  <c r="J31" i="3"/>
  <c r="O31" i="3" s="1"/>
  <c r="N31" i="3"/>
  <c r="L31" i="3"/>
  <c r="Q31" i="3" s="1"/>
  <c r="K31" i="3"/>
  <c r="P31" i="3" s="1"/>
  <c r="M35" i="3"/>
  <c r="R35" i="3" s="1"/>
  <c r="J35" i="3"/>
  <c r="O35" i="3" s="1"/>
  <c r="N35" i="3"/>
  <c r="L35" i="3"/>
  <c r="Q35" i="3" s="1"/>
  <c r="K35" i="3"/>
  <c r="P35" i="3" s="1"/>
  <c r="M39" i="3"/>
  <c r="R39" i="3" s="1"/>
  <c r="J39" i="3"/>
  <c r="O39" i="3" s="1"/>
  <c r="N39" i="3"/>
  <c r="L39" i="3"/>
  <c r="Q39" i="3" s="1"/>
  <c r="K39" i="3"/>
  <c r="P39" i="3" s="1"/>
  <c r="M43" i="3"/>
  <c r="R43" i="3" s="1"/>
  <c r="J43" i="3"/>
  <c r="O43" i="3" s="1"/>
  <c r="L43" i="3"/>
  <c r="Q43" i="3" s="1"/>
  <c r="K43" i="3"/>
  <c r="P43" i="3" s="1"/>
  <c r="M47" i="3"/>
  <c r="R47" i="3" s="1"/>
  <c r="J47" i="3"/>
  <c r="O47" i="3" s="1"/>
  <c r="N47" i="3"/>
  <c r="L47" i="3"/>
  <c r="Q47" i="3" s="1"/>
  <c r="K47" i="3"/>
  <c r="P47" i="3" s="1"/>
  <c r="M51" i="3"/>
  <c r="R51" i="3" s="1"/>
  <c r="J51" i="3"/>
  <c r="O51" i="3" s="1"/>
  <c r="N51" i="3"/>
  <c r="L51" i="3"/>
  <c r="Q51" i="3" s="1"/>
  <c r="K51" i="3"/>
  <c r="P51" i="3" s="1"/>
  <c r="M55" i="3"/>
  <c r="R55" i="3" s="1"/>
  <c r="J55" i="3"/>
  <c r="O55" i="3" s="1"/>
  <c r="N55" i="3"/>
  <c r="L55" i="3"/>
  <c r="Q55" i="3" s="1"/>
  <c r="K55" i="3"/>
  <c r="P55" i="3" s="1"/>
  <c r="M59" i="3"/>
  <c r="R59" i="3" s="1"/>
  <c r="J59" i="3"/>
  <c r="O59" i="3" s="1"/>
  <c r="L59" i="3"/>
  <c r="Q59" i="3" s="1"/>
  <c r="K59" i="3"/>
  <c r="P59" i="3" s="1"/>
  <c r="M63" i="3"/>
  <c r="R63" i="3" s="1"/>
  <c r="J63" i="3"/>
  <c r="O63" i="3" s="1"/>
  <c r="N63" i="3"/>
  <c r="L63" i="3"/>
  <c r="Q63" i="3" s="1"/>
  <c r="K63" i="3"/>
  <c r="P63" i="3" s="1"/>
  <c r="K13" i="3"/>
  <c r="P13" i="3" s="1"/>
  <c r="J13" i="3"/>
  <c r="O13" i="3" s="1"/>
  <c r="N23" i="3"/>
  <c r="J23" i="3"/>
  <c r="O23" i="3" s="1"/>
  <c r="S51" i="3" l="1"/>
  <c r="S46" i="3"/>
  <c r="S29" i="3"/>
  <c r="S21" i="3"/>
  <c r="S61" i="3"/>
  <c r="S36" i="3"/>
  <c r="S30" i="3"/>
  <c r="S23" i="3"/>
  <c r="S35" i="3"/>
  <c r="S19" i="3"/>
  <c r="S52" i="3"/>
  <c r="S45" i="3"/>
  <c r="S62" i="3"/>
  <c r="S22" i="3"/>
  <c r="S63" i="3"/>
  <c r="S64" i="3"/>
  <c r="S41" i="3"/>
  <c r="S17" i="3"/>
  <c r="S58" i="3"/>
  <c r="S18" i="3"/>
  <c r="S12" i="3"/>
  <c r="S16" i="3"/>
  <c r="S53" i="3"/>
  <c r="S37" i="3"/>
  <c r="S13" i="3"/>
  <c r="S38" i="3"/>
  <c r="S14" i="3"/>
  <c r="S47" i="3"/>
  <c r="S31" i="3"/>
  <c r="S15" i="3"/>
  <c r="S48" i="3"/>
  <c r="S32" i="3"/>
  <c r="S20" i="3"/>
  <c r="S57" i="3"/>
  <c r="S25" i="3"/>
  <c r="S42" i="3"/>
  <c r="S26" i="3"/>
  <c r="S10" i="3"/>
  <c r="S8" i="3"/>
  <c r="S60" i="3"/>
  <c r="S44" i="3"/>
  <c r="S28" i="3"/>
  <c r="S55" i="3"/>
  <c r="S39" i="3"/>
  <c r="S56" i="3"/>
  <c r="S9" i="3"/>
  <c r="S50" i="3"/>
  <c r="S34" i="3"/>
  <c r="H43" i="3"/>
  <c r="N43" i="3"/>
  <c r="S43" i="3" s="1"/>
  <c r="H27" i="3"/>
  <c r="N27" i="3"/>
  <c r="S27" i="3" s="1"/>
  <c r="H11" i="3"/>
  <c r="N11" i="3"/>
  <c r="S11" i="3" s="1"/>
  <c r="H54" i="3"/>
  <c r="N54" i="3"/>
  <c r="S54" i="3" s="1"/>
  <c r="H59" i="3"/>
  <c r="N59" i="3"/>
  <c r="S59" i="3" s="1"/>
  <c r="H40" i="3"/>
  <c r="N40" i="3"/>
  <c r="S40" i="3" s="1"/>
  <c r="H24" i="3"/>
  <c r="N24" i="3"/>
  <c r="S24" i="3" s="1"/>
  <c r="H49" i="3"/>
  <c r="N49" i="3"/>
  <c r="S49" i="3" s="1"/>
  <c r="H33" i="3"/>
  <c r="N33" i="3"/>
  <c r="S33" i="3" s="1"/>
  <c r="H28" i="3"/>
  <c r="H16" i="3"/>
  <c r="H38" i="3"/>
  <c r="H14" i="3"/>
  <c r="H56" i="3"/>
  <c r="H55" i="3"/>
  <c r="H23" i="3"/>
  <c r="H51" i="3"/>
  <c r="H35" i="3"/>
  <c r="H19" i="3"/>
  <c r="H52" i="3"/>
  <c r="H36" i="3"/>
  <c r="H61" i="3"/>
  <c r="H45" i="3"/>
  <c r="H29" i="3"/>
  <c r="H21" i="3"/>
  <c r="H62" i="3"/>
  <c r="H46" i="3"/>
  <c r="H30" i="3"/>
  <c r="H22" i="3"/>
  <c r="H63" i="3"/>
  <c r="H47" i="3"/>
  <c r="H31" i="3"/>
  <c r="H15" i="3"/>
  <c r="H64" i="3"/>
  <c r="H48" i="3"/>
  <c r="H32" i="3"/>
  <c r="H20" i="3"/>
  <c r="H57" i="3"/>
  <c r="H41" i="3"/>
  <c r="H25" i="3"/>
  <c r="H17" i="3"/>
  <c r="H58" i="3"/>
  <c r="H42" i="3"/>
  <c r="H26" i="3"/>
  <c r="H18" i="3"/>
  <c r="H10" i="3"/>
  <c r="H12" i="3"/>
  <c r="H8" i="3"/>
  <c r="H60" i="3"/>
  <c r="H44" i="3"/>
  <c r="H53" i="3"/>
  <c r="H37" i="3"/>
  <c r="H13" i="3"/>
  <c r="H39" i="3"/>
  <c r="H9" i="3"/>
  <c r="H50" i="3"/>
  <c r="H34" i="3"/>
  <c r="A5" i="3" l="1"/>
  <c r="H1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</author>
  </authors>
  <commentList>
    <comment ref="A1" authorId="0" shapeId="0" xr:uid="{00000000-0006-0000-0000-000001000000}">
      <text>
        <r>
          <rPr>
            <sz val="10"/>
            <rFont val="Arial"/>
            <family val="2"/>
          </rPr>
          <t>HosAvailability.20</t>
        </r>
      </text>
    </comment>
  </commentList>
</comments>
</file>

<file path=xl/sharedStrings.xml><?xml version="1.0" encoding="utf-8"?>
<sst xmlns="http://schemas.openxmlformats.org/spreadsheetml/2006/main" count="646" uniqueCount="294">
  <si>
    <t>RunDate</t>
  </si>
  <si>
    <t>CompanyName</t>
  </si>
  <si>
    <t>DistanceUnit</t>
  </si>
  <si>
    <t>SpeedUnit</t>
  </si>
  <si>
    <t>SendReport</t>
  </si>
  <si>
    <t>LastModifiedUser</t>
  </si>
  <si>
    <t>.Driver.UserName</t>
  </si>
  <si>
    <t>.Driver.UserId</t>
  </si>
  <si>
    <t>English</t>
  </si>
  <si>
    <t>French</t>
  </si>
  <si>
    <t>Spanish</t>
  </si>
  <si>
    <t>German</t>
  </si>
  <si>
    <t>Japanese</t>
  </si>
  <si>
    <t>**Driver</t>
  </si>
  <si>
    <t>**Created</t>
  </si>
  <si>
    <t>**From</t>
  </si>
  <si>
    <t>**To</t>
  </si>
  <si>
    <t>**Summary</t>
  </si>
  <si>
    <t>Conducteur</t>
  </si>
  <si>
    <t>Conductor</t>
  </si>
  <si>
    <t>Fahrer</t>
  </si>
  <si>
    <t>ドライバー</t>
  </si>
  <si>
    <t>Sommaire</t>
  </si>
  <si>
    <t>Resumen</t>
  </si>
  <si>
    <t>Zusammenfassung</t>
  </si>
  <si>
    <t>走行データ</t>
  </si>
  <si>
    <t>Créé</t>
  </si>
  <si>
    <t>Creado</t>
  </si>
  <si>
    <t>Angelegt</t>
  </si>
  <si>
    <t>作成済</t>
  </si>
  <si>
    <t>À partir de</t>
  </si>
  <si>
    <t>De</t>
  </si>
  <si>
    <t>Von</t>
  </si>
  <si>
    <t>から</t>
  </si>
  <si>
    <t>Pour</t>
  </si>
  <si>
    <t>Para</t>
  </si>
  <si>
    <t>An</t>
  </si>
  <si>
    <t>へ</t>
  </si>
  <si>
    <t>Language</t>
  </si>
  <si>
    <t>en</t>
  </si>
  <si>
    <t>**First Name</t>
  </si>
  <si>
    <t>Prénom</t>
  </si>
  <si>
    <t>Nombre</t>
  </si>
  <si>
    <t>Vorname</t>
  </si>
  <si>
    <t>ファーストネー</t>
  </si>
  <si>
    <t>**Last Name</t>
  </si>
  <si>
    <t>Nom de famille</t>
  </si>
  <si>
    <t>Apellido</t>
  </si>
  <si>
    <t>Nachname</t>
  </si>
  <si>
    <t>ラストネーム</t>
  </si>
  <si>
    <t>.Driver.UserFirstName</t>
  </si>
  <si>
    <t>.Driver.UserLastName</t>
  </si>
  <si>
    <t>Polish</t>
  </si>
  <si>
    <t>Kierowca</t>
  </si>
  <si>
    <t>Podsumowanie</t>
  </si>
  <si>
    <t>Utworzono</t>
  </si>
  <si>
    <t>Od</t>
  </si>
  <si>
    <t>Do</t>
  </si>
  <si>
    <t>Imie</t>
  </si>
  <si>
    <t>Nazwisko</t>
  </si>
  <si>
    <t>HosAvailabilityRest</t>
  </si>
  <si>
    <t>HosAvailabilityDriving</t>
  </si>
  <si>
    <t>HosAvailabilityDuty</t>
  </si>
  <si>
    <t>HosAvailabilityWorkday</t>
  </si>
  <si>
    <t>**Rest available</t>
  </si>
  <si>
    <t>**Driving available</t>
  </si>
  <si>
    <t>**Duty available</t>
  </si>
  <si>
    <t>**Workday available</t>
  </si>
  <si>
    <t>**Cycle available</t>
  </si>
  <si>
    <t>DutyStatusStatus</t>
  </si>
  <si>
    <t>UserHosRuleSet</t>
  </si>
  <si>
    <t>ON</t>
  </si>
  <si>
    <t>D</t>
  </si>
  <si>
    <t>America7Day</t>
  </si>
  <si>
    <t>**HOS Status</t>
  </si>
  <si>
    <t>HosAvailabilityCycle</t>
  </si>
  <si>
    <t>**Advanced HOS Availability Logs</t>
  </si>
  <si>
    <t>**HOS Ruleset</t>
  </si>
  <si>
    <t>État des HDS</t>
  </si>
  <si>
    <t>Estado de HDS</t>
  </si>
  <si>
    <t>Lenkzeit-Status</t>
  </si>
  <si>
    <t>HOS ステータス</t>
  </si>
  <si>
    <t>Status czasu pracy</t>
  </si>
  <si>
    <t>Ensemble de règles HDS</t>
  </si>
  <si>
    <t>Conjunto de reglas de HDS</t>
  </si>
  <si>
    <t>Lenkzeiten-Regelsatz</t>
  </si>
  <si>
    <t>HOS ルールセット</t>
  </si>
  <si>
    <t>Zestaw reguł czasu pracy</t>
  </si>
  <si>
    <t>Repos disponible</t>
  </si>
  <si>
    <t>Descanso disponible</t>
  </si>
  <si>
    <t>Pause verfügbar</t>
  </si>
  <si>
    <t>「休憩」残あり</t>
  </si>
  <si>
    <t>Dostępny odpoczynek</t>
  </si>
  <si>
    <t>Conduite disponible</t>
  </si>
  <si>
    <t>Conducción disponible</t>
  </si>
  <si>
    <t>Fahren verfügbar</t>
  </si>
  <si>
    <t>「運転」残あり</t>
  </si>
  <si>
    <t>Dostępny czas jazdy</t>
  </si>
  <si>
    <t>Service disponible</t>
  </si>
  <si>
    <t>Servicio disponible</t>
  </si>
  <si>
    <t>Einsatzstatus verfügbar</t>
  </si>
  <si>
    <t>「職務」残あり</t>
  </si>
  <si>
    <t>Dostępna praca</t>
  </si>
  <si>
    <t>Journée de travail disponible</t>
  </si>
  <si>
    <t>Jornada de trabajo disponible</t>
  </si>
  <si>
    <t>Arbeitstag verfügbar</t>
  </si>
  <si>
    <t>「実働」残あり</t>
  </si>
  <si>
    <t>Dostępny dzień roboczy</t>
  </si>
  <si>
    <t>Cycle disponible</t>
  </si>
  <si>
    <t>Ciclo disponible</t>
  </si>
  <si>
    <t>Zyklus verfügbar</t>
  </si>
  <si>
    <t>「サイクル」残あり</t>
  </si>
  <si>
    <t>Dostępny cykl</t>
  </si>
  <si>
    <t>Registres de disponibilité HOS avancés</t>
  </si>
  <si>
    <t>Registros avanzados de disponibilidad de HDS</t>
  </si>
  <si>
    <t>Erweiterte Protokolle Lenkzeit-Verfügbarkeit</t>
  </si>
  <si>
    <t>利用可能 HOS の有無の高度なログ記録</t>
  </si>
  <si>
    <t>Zaawansowane dzienniki dostępności czasu pracy</t>
  </si>
  <si>
    <t>Portuguese-Brazil</t>
  </si>
  <si>
    <t>Motorista</t>
  </si>
  <si>
    <t>Resumo</t>
  </si>
  <si>
    <t>Nome</t>
  </si>
  <si>
    <t>Sobrenome</t>
  </si>
  <si>
    <t>Criado em</t>
  </si>
  <si>
    <t>Status HOS</t>
  </si>
  <si>
    <t>Ruleset HOS</t>
  </si>
  <si>
    <t>Descanso disponível</t>
  </si>
  <si>
    <t>Condução disponível</t>
  </si>
  <si>
    <t>Tarefa disponível</t>
  </si>
  <si>
    <t>Dia útil disponível</t>
  </si>
  <si>
    <t>Ciclo disponível</t>
  </si>
  <si>
    <t>Registros avançados da disponibilidade de HOS</t>
  </si>
  <si>
    <t>Dutch</t>
  </si>
  <si>
    <t>Chauffeur</t>
  </si>
  <si>
    <t>Overzicht</t>
  </si>
  <si>
    <t>Aangemaakt</t>
  </si>
  <si>
    <t>Van</t>
  </si>
  <si>
    <t>Aan</t>
  </si>
  <si>
    <t>Voornaam</t>
  </si>
  <si>
    <t>Achternaam</t>
  </si>
  <si>
    <t>Geavanceerde DU-beschikbaarheidslogboeken</t>
  </si>
  <si>
    <t>DU-status</t>
  </si>
  <si>
    <t>DU-regelset</t>
  </si>
  <si>
    <t>Rust beschikbaar</t>
  </si>
  <si>
    <t>Rijden beschikbaar</t>
  </si>
  <si>
    <t>Dienst beschikbaar</t>
  </si>
  <si>
    <t>Werkdag beschikbaar</t>
  </si>
  <si>
    <t>Cyclus beschikbaar</t>
  </si>
  <si>
    <t>Italian</t>
  </si>
  <si>
    <t>Conducente</t>
  </si>
  <si>
    <t>Stato HOS</t>
  </si>
  <si>
    <t>Set di regole HOS</t>
  </si>
  <si>
    <t>Riposo disponibile</t>
  </si>
  <si>
    <t>Guida disponibile</t>
  </si>
  <si>
    <t>Servizio disponibile</t>
  </si>
  <si>
    <t>Giorno lavorativo disponibile</t>
  </si>
  <si>
    <t>Ciclo disponibile</t>
  </si>
  <si>
    <t>Riassunto</t>
  </si>
  <si>
    <t>Da</t>
  </si>
  <si>
    <t>A</t>
  </si>
  <si>
    <t>Registri avanzati di disponibilità HOS</t>
  </si>
  <si>
    <t>Creato</t>
  </si>
  <si>
    <t>Cognome</t>
  </si>
  <si>
    <t>Mandarin</t>
  </si>
  <si>
    <t>驾驶员</t>
  </si>
  <si>
    <t>HOS Status</t>
  </si>
  <si>
    <t>HOS Ruleset</t>
  </si>
  <si>
    <t>Rest available</t>
  </si>
  <si>
    <t>Driving available</t>
  </si>
  <si>
    <t>Duty available</t>
  </si>
  <si>
    <t>Workday available</t>
  </si>
  <si>
    <t>Cycle available</t>
  </si>
  <si>
    <t>Summary</t>
  </si>
  <si>
    <t>创建日期</t>
  </si>
  <si>
    <t>自</t>
  </si>
  <si>
    <t>至</t>
  </si>
  <si>
    <t>名字</t>
  </si>
  <si>
    <t>姓氏</t>
  </si>
  <si>
    <t>Advanced HOS Availability Logs</t>
  </si>
  <si>
    <t>miles</t>
  </si>
  <si>
    <t>mph</t>
  </si>
  <si>
    <t>b3B</t>
  </si>
  <si>
    <t>OFF</t>
  </si>
  <si>
    <t>None</t>
  </si>
  <si>
    <t>America7DayBig</t>
  </si>
  <si>
    <t>America8Day</t>
  </si>
  <si>
    <t>Florida7Day</t>
  </si>
  <si>
    <t>AmericaTexasShortHaul8Day</t>
  </si>
  <si>
    <t>CanadaCycleOne</t>
  </si>
  <si>
    <t>CaliforniaProperty</t>
  </si>
  <si>
    <t>America8DayBig</t>
  </si>
  <si>
    <t>CanadaCycleTwo</t>
  </si>
  <si>
    <t>FloridaShortHaul7Day</t>
  </si>
  <si>
    <t>OilWellTexas</t>
  </si>
  <si>
    <t>America7DayPassenger</t>
  </si>
  <si>
    <t>OilWell7DayBig</t>
  </si>
  <si>
    <t>OilWell7Day</t>
  </si>
  <si>
    <t>OilTransport8Day</t>
  </si>
  <si>
    <t>OilTransport7Day</t>
  </si>
  <si>
    <t>First Name</t>
  </si>
  <si>
    <t>Last Name</t>
  </si>
  <si>
    <t>Driver 1</t>
  </si>
  <si>
    <t>Driver 2</t>
  </si>
  <si>
    <t>Driver 3</t>
  </si>
  <si>
    <t>Driver 4</t>
  </si>
  <si>
    <t>Driver 5</t>
  </si>
  <si>
    <t>Driver 6</t>
  </si>
  <si>
    <t>Driver 7</t>
  </si>
  <si>
    <t>Driver 8</t>
  </si>
  <si>
    <t>Driver 9</t>
  </si>
  <si>
    <t>Driver 10</t>
  </si>
  <si>
    <t>Driver 11</t>
  </si>
  <si>
    <t>Driver 12</t>
  </si>
  <si>
    <t>Driver 13</t>
  </si>
  <si>
    <t>Driver 14</t>
  </si>
  <si>
    <t>Driver 15</t>
  </si>
  <si>
    <t>Driver 16</t>
  </si>
  <si>
    <t>Driver 17</t>
  </si>
  <si>
    <t>Driver 18</t>
  </si>
  <si>
    <t>Driver 19</t>
  </si>
  <si>
    <t>Driver 20</t>
  </si>
  <si>
    <t>Driver 21</t>
  </si>
  <si>
    <t>Driver 22</t>
  </si>
  <si>
    <t>Driver 23</t>
  </si>
  <si>
    <t>Driver 24</t>
  </si>
  <si>
    <t>Driver 25</t>
  </si>
  <si>
    <t>Driver 26</t>
  </si>
  <si>
    <t>Driver 27</t>
  </si>
  <si>
    <t>Driver 28</t>
  </si>
  <si>
    <t>Driver 29</t>
  </si>
  <si>
    <t>Driver 30</t>
  </si>
  <si>
    <t>Driver 31</t>
  </si>
  <si>
    <t>Driver 32</t>
  </si>
  <si>
    <t>Driver 33</t>
  </si>
  <si>
    <t>Driver 34</t>
  </si>
  <si>
    <t>Driver 35</t>
  </si>
  <si>
    <t>Driver 36</t>
  </si>
  <si>
    <t>Driver 37</t>
  </si>
  <si>
    <t>Driver 38</t>
  </si>
  <si>
    <t>Driver 39</t>
  </si>
  <si>
    <t>Driver 40</t>
  </si>
  <si>
    <t>Driver 41</t>
  </si>
  <si>
    <t>Driver 42</t>
  </si>
  <si>
    <t>Driver 43</t>
  </si>
  <si>
    <t>Driver 44</t>
  </si>
  <si>
    <t>Driver 45</t>
  </si>
  <si>
    <t>Driver 46</t>
  </si>
  <si>
    <t>Driver 47</t>
  </si>
  <si>
    <t>Driver 48</t>
  </si>
  <si>
    <t>Driver 49</t>
  </si>
  <si>
    <t>Driver 50</t>
  </si>
  <si>
    <t>Driver 51</t>
  </si>
  <si>
    <t>Driver 52</t>
  </si>
  <si>
    <t>Driver 53</t>
  </si>
  <si>
    <t>Driver 54</t>
  </si>
  <si>
    <t>Driver 55</t>
  </si>
  <si>
    <t>Driver 56</t>
  </si>
  <si>
    <t>Driver 57</t>
  </si>
  <si>
    <t>First Name Last Name</t>
  </si>
  <si>
    <t>Rest</t>
  </si>
  <si>
    <t>Driving</t>
  </si>
  <si>
    <t>Duty</t>
  </si>
  <si>
    <t>Workday</t>
  </si>
  <si>
    <t>Cycle</t>
  </si>
  <si>
    <t>OK</t>
  </si>
  <si>
    <t>ALERT</t>
  </si>
  <si>
    <t>Potential Violation</t>
  </si>
  <si>
    <t>YM</t>
  </si>
  <si>
    <t>Driving Status?</t>
  </si>
  <si>
    <t>YES</t>
  </si>
  <si>
    <t>Rest Violation</t>
  </si>
  <si>
    <t>Driving Violation</t>
  </si>
  <si>
    <t>Duty Violation</t>
  </si>
  <si>
    <t>Workday Violation</t>
  </si>
  <si>
    <t>Cycle Violation</t>
  </si>
  <si>
    <t>Violation</t>
  </si>
  <si>
    <t>**Drivers Approaching Limit</t>
  </si>
  <si>
    <t>**Hours</t>
  </si>
  <si>
    <t>**Minutes</t>
  </si>
  <si>
    <t>**Approaching Limit</t>
  </si>
  <si>
    <t>**Full Name</t>
  </si>
  <si>
    <t>**Rest</t>
  </si>
  <si>
    <t>**Driving</t>
  </si>
  <si>
    <t>**Duty</t>
  </si>
  <si>
    <t>**Workday</t>
  </si>
  <si>
    <t>**Cycle</t>
  </si>
  <si>
    <t>**Input the desired potential violation threshold hours in cell A5 and minutes in cell B5 (default is 10 minutes).
This report will show a driver as having a potential violation if they are still in a driving status with any of the pertaining Rest, Driving, Duty, Workday, and Cycle times being less than or equal to the potential violation threshold.</t>
  </si>
  <si>
    <t>**Rest Availability</t>
  </si>
  <si>
    <t>**Driving Availability</t>
  </si>
  <si>
    <t>**Duty Availability</t>
  </si>
  <si>
    <t>**Workday Availability</t>
  </si>
  <si>
    <t>**Cycle Availability</t>
  </si>
  <si>
    <t>ABC Company</t>
  </si>
  <si>
    <t>mygproduct@geotab.com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</si>
</sst>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[$-409]_(&quot;$&quot;* #,##0_);[$-409]_(&quot;$&quot;* \(#,##0\);[$-409]_(&quot;$&quot;* &quot;-&quot;_);_(@_)"/>
    <numFmt numFmtId="165" formatCode="[$-409]_(* #,##0_);[$-409]_(* \(#,##0\);[$-409]_(* &quot;-&quot;_);_(@_)"/>
    <numFmt numFmtId="166" formatCode="[$-409]_(&quot;$&quot;* #,##0.00_);[$-409]_(&quot;$&quot;* \(#,##0.00\);[$-409]_(&quot;$&quot;* &quot;-&quot;??_);_(@_)"/>
    <numFmt numFmtId="167" formatCode="[$-409]_(* #,##0.00_);[$-409]_(* \(#,##0.00\);[$-409]_(* &quot;-&quot;??_);_(@_)"/>
    <numFmt numFmtId="168" formatCode="[$-409]dd/mm/yyyy\ h:mm:ss\ AM/PM"/>
    <numFmt numFmtId="169" formatCode="[$-409][h]:mm"/>
    <numFmt numFmtId="170" formatCode="[$-409]mmm\ dd\,\ yyyy"/>
    <numFmt numFmtId="171" formatCode="[$-409]mmm\ dd\,\ yyyy\ h:mm:ss\ AM/PM"/>
    <numFmt numFmtId="172" formatCode="[$-409]mmm\ dd\,\ yyyy\ h:mm:ss\ AM/PM;[$-409];[$-409]"/>
  </numFmts>
  <fonts count="30" x14ac:knownFonts="1">
    <font>
      <sz val="10"/>
      <name val="Arial"/>
      <family val="2"/>
    </font>
    <font>
      <b/>
      <sz val="7"/>
      <color indexed="8"/>
      <name val="Tahoma"/>
      <family val="2"/>
    </font>
    <font>
      <sz val="8"/>
      <color indexed="8"/>
      <name val="Tahom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0" tint="-0.34998626667073579"/>
      <name val="Segoe UI"/>
      <family val="2"/>
    </font>
    <font>
      <b/>
      <sz val="8"/>
      <color theme="1"/>
      <name val="Tahoma"/>
      <family val="2"/>
    </font>
    <font>
      <b/>
      <sz val="10"/>
      <name val="Arial"/>
      <family val="2"/>
    </font>
    <font>
      <sz val="10"/>
      <name val="Segoe UI"/>
      <family val="2"/>
    </font>
    <font>
      <sz val="12"/>
      <name val="Segoe UI"/>
      <family val="2"/>
    </font>
    <font>
      <sz val="11"/>
      <name val="Segoe UI"/>
      <family val="2"/>
    </font>
    <font>
      <sz val="12"/>
      <color theme="0"/>
      <name val="Segoe UI"/>
      <family val="2"/>
    </font>
    <font>
      <b/>
      <sz val="11"/>
      <color theme="0"/>
      <name val="Segoe UI"/>
      <family val="2"/>
    </font>
    <font>
      <sz val="18"/>
      <color theme="0"/>
      <name val="Segoe UI"/>
      <family val="2"/>
    </font>
    <font>
      <b/>
      <sz val="18"/>
      <color theme="0"/>
      <name val="Segoe UI"/>
      <family val="2"/>
    </font>
    <font>
      <sz val="16"/>
      <color theme="3"/>
      <name val="Segoe UI"/>
      <family val="2"/>
    </font>
    <font>
      <sz val="100"/>
      <name val="Segoe UI"/>
      <family val="2"/>
    </font>
    <font>
      <b/>
      <sz val="11"/>
      <color indexed="8"/>
      <name val="Segoe UI"/>
      <family val="2"/>
    </font>
    <font>
      <sz val="11"/>
      <color theme="3"/>
      <name val="Segoe UI"/>
      <family val="2"/>
    </font>
    <font>
      <u/>
      <sz val="10"/>
      <color theme="10"/>
      <name val="Arial"/>
      <family val="2"/>
    </font>
    <font>
      <b/>
      <sz val="12"/>
      <color theme="0"/>
      <name val="Segoe UI"/>
      <family val="2"/>
    </font>
    <font>
      <b/>
      <sz val="12.5"/>
      <color theme="4" tint="0.59999389629810485"/>
      <name val="Segoe UI"/>
      <family val="2"/>
    </font>
    <font>
      <sz val="11"/>
      <name val="Segoe UI"/>
    </font>
    <font>
      <sz val="12"/>
      <name val="Segoe UI"/>
    </font>
  </fonts>
  <fills count="1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49998474074526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/>
      <right style="thin">
        <color theme="3"/>
      </right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/>
      <right/>
      <top style="medium">
        <color theme="4" tint="-0.499984740745262"/>
      </top>
      <bottom/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/>
      <top/>
      <bottom/>
      <diagonal/>
    </border>
    <border>
      <left/>
      <right style="medium">
        <color theme="4" tint="-0.499984740745262"/>
      </right>
      <top/>
      <bottom/>
      <diagonal/>
    </border>
    <border>
      <left style="medium">
        <color theme="4" tint="-0.499984740745262"/>
      </left>
      <right/>
      <top/>
      <bottom style="medium">
        <color theme="4" tint="-0.499984740745262"/>
      </bottom>
      <diagonal/>
    </border>
    <border>
      <left/>
      <right/>
      <top/>
      <bottom style="medium">
        <color theme="4" tint="-0.499984740745262"/>
      </bottom>
      <diagonal/>
    </border>
    <border>
      <left/>
      <right style="medium">
        <color theme="4" tint="-0.499984740745262"/>
      </right>
      <top/>
      <bottom style="medium">
        <color theme="4" tint="-0.499984740745262"/>
      </bottom>
      <diagonal/>
    </border>
  </borders>
  <cellStyleXfs count="22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6" fillId="10" borderId="0" applyNumberFormat="0"/>
    <xf numFmtId="0" fontId="7" fillId="0" borderId="0" applyNumberFormat="0" applyAlignment="0"/>
    <xf numFmtId="0" fontId="8" fillId="10" borderId="0" applyNumberFormat="0"/>
    <xf numFmtId="170" fontId="4" fillId="10" borderId="0"/>
    <xf numFmtId="0" fontId="9" fillId="0" borderId="0" applyNumberFormat="0"/>
    <xf numFmtId="0" fontId="10" fillId="0" borderId="0" applyNumberFormat="0"/>
    <xf numFmtId="0" fontId="11" fillId="0" borderId="0" applyNumberFormat="0" applyFill="0" applyBorder="0" applyAlignment="0" applyProtection="0">
      <alignment horizontal="right"/>
    </xf>
    <xf numFmtId="0" fontId="9" fillId="0" borderId="0" applyNumberFormat="0"/>
    <xf numFmtId="0" fontId="25" fillId="0" borderId="0" applyNumberFormat="0" applyFill="0" applyBorder="0" applyAlignment="0" applyProtection="0"/>
  </cellStyleXfs>
  <cellXfs count="84">
    <xf numFmtId="0" fontId="0" fillId="0" borderId="0" xfId="0"/>
    <xf numFmtId="0" fontId="1" fillId="9" borderId="1" xfId="0" applyFont="1" applyFill="1" applyBorder="1" applyAlignment="1">
      <alignment horizontal="center" wrapText="1"/>
    </xf>
    <xf numFmtId="168" fontId="2" fillId="0" borderId="0" xfId="0" applyNumberFormat="1" applyFont="1" applyAlignment="1">
      <alignment horizontal="left"/>
    </xf>
    <xf numFmtId="0" fontId="12" fillId="0" borderId="0" xfId="0" applyFont="1"/>
    <xf numFmtId="0" fontId="2" fillId="0" borderId="0" xfId="0" applyNumberFormat="1" applyFont="1" applyAlignment="1">
      <alignment horizontal="left"/>
    </xf>
    <xf numFmtId="169" fontId="2" fillId="0" borderId="0" xfId="0" applyNumberFormat="1" applyFont="1" applyAlignment="1">
      <alignment horizontal="left"/>
    </xf>
    <xf numFmtId="0" fontId="13" fillId="0" borderId="0" xfId="0" applyFont="1"/>
    <xf numFmtId="0" fontId="13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0" fontId="14" fillId="0" borderId="0" xfId="0" applyFont="1"/>
    <xf numFmtId="172" fontId="14" fillId="0" borderId="0" xfId="0" applyNumberFormat="1" applyFont="1"/>
    <xf numFmtId="0" fontId="14" fillId="0" borderId="0" xfId="0" applyFont="1" applyAlignment="1"/>
    <xf numFmtId="168" fontId="14" fillId="0" borderId="0" xfId="0" applyNumberFormat="1" applyFont="1"/>
    <xf numFmtId="0" fontId="16" fillId="0" borderId="0" xfId="14" applyFont="1"/>
    <xf numFmtId="171" fontId="16" fillId="0" borderId="0" xfId="14" applyNumberFormat="1" applyFont="1" applyAlignment="1">
      <alignment horizontal="left"/>
    </xf>
    <xf numFmtId="169" fontId="16" fillId="0" borderId="0" xfId="14" applyNumberFormat="1" applyFont="1" applyAlignment="1">
      <alignment horizontal="left"/>
    </xf>
    <xf numFmtId="0" fontId="17" fillId="11" borderId="0" xfId="19" applyFont="1" applyFill="1" applyAlignment="1"/>
    <xf numFmtId="0" fontId="18" fillId="11" borderId="0" xfId="15" applyFont="1" applyFill="1"/>
    <xf numFmtId="0" fontId="19" fillId="11" borderId="0" xfId="13" applyFont="1" applyFill="1"/>
    <xf numFmtId="0" fontId="20" fillId="11" borderId="0" xfId="13" applyFont="1" applyFill="1"/>
    <xf numFmtId="170" fontId="17" fillId="11" borderId="0" xfId="14" applyNumberFormat="1" applyFont="1" applyFill="1" applyAlignment="1">
      <alignment horizontal="center"/>
    </xf>
    <xf numFmtId="172" fontId="20" fillId="11" borderId="0" xfId="13" applyNumberFormat="1" applyFont="1" applyFill="1"/>
    <xf numFmtId="0" fontId="20" fillId="11" borderId="0" xfId="13" applyFont="1" applyFill="1" applyAlignment="1"/>
    <xf numFmtId="0" fontId="21" fillId="0" borderId="0" xfId="0" applyFont="1"/>
    <xf numFmtId="0" fontId="15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/>
    </xf>
    <xf numFmtId="0" fontId="15" fillId="12" borderId="2" xfId="0" applyFont="1" applyFill="1" applyBorder="1" applyAlignment="1">
      <alignment horizontal="center"/>
    </xf>
    <xf numFmtId="1" fontId="20" fillId="11" borderId="0" xfId="13" applyNumberFormat="1" applyFont="1" applyFill="1"/>
    <xf numFmtId="1" fontId="14" fillId="0" borderId="0" xfId="0" applyNumberFormat="1" applyFont="1"/>
    <xf numFmtId="1" fontId="17" fillId="11" borderId="0" xfId="19" applyNumberFormat="1" applyFont="1" applyFill="1" applyAlignment="1"/>
    <xf numFmtId="1" fontId="16" fillId="0" borderId="0" xfId="14" applyNumberFormat="1" applyFont="1" applyAlignment="1">
      <alignment horizontal="left"/>
    </xf>
    <xf numFmtId="0" fontId="17" fillId="0" borderId="0" xfId="0" applyFont="1" applyFill="1" applyBorder="1" applyAlignment="1">
      <alignment horizontal="center" vertical="center"/>
    </xf>
    <xf numFmtId="0" fontId="15" fillId="13" borderId="3" xfId="0" applyFont="1" applyFill="1" applyBorder="1" applyAlignment="1">
      <alignment horizontal="center" vertical="center"/>
    </xf>
    <xf numFmtId="0" fontId="23" fillId="0" borderId="0" xfId="0" applyFont="1"/>
    <xf numFmtId="170" fontId="24" fillId="0" borderId="0" xfId="14" applyNumberFormat="1" applyFont="1" applyAlignment="1"/>
    <xf numFmtId="0" fontId="15" fillId="0" borderId="0" xfId="0" applyFont="1"/>
    <xf numFmtId="0" fontId="14" fillId="0" borderId="0" xfId="0" applyFont="1" applyAlignment="1">
      <alignment horizontal="center"/>
    </xf>
    <xf numFmtId="0" fontId="20" fillId="11" borderId="0" xfId="13" applyFont="1" applyFill="1" applyAlignment="1">
      <alignment horizontal="center"/>
    </xf>
    <xf numFmtId="172" fontId="20" fillId="11" borderId="0" xfId="13" applyNumberFormat="1" applyFont="1" applyFill="1" applyAlignment="1">
      <alignment horizontal="center"/>
    </xf>
    <xf numFmtId="172" fontId="14" fillId="0" borderId="0" xfId="0" applyNumberFormat="1" applyFont="1" applyAlignment="1">
      <alignment horizontal="center"/>
    </xf>
    <xf numFmtId="0" fontId="17" fillId="11" borderId="0" xfId="19" applyFont="1" applyFill="1" applyAlignment="1">
      <alignment horizontal="center"/>
    </xf>
    <xf numFmtId="172" fontId="17" fillId="11" borderId="0" xfId="19" applyNumberFormat="1" applyFont="1" applyFill="1" applyAlignment="1">
      <alignment horizontal="center"/>
    </xf>
    <xf numFmtId="169" fontId="16" fillId="0" borderId="0" xfId="14" applyNumberFormat="1" applyFont="1" applyAlignment="1">
      <alignment horizontal="center"/>
    </xf>
    <xf numFmtId="168" fontId="14" fillId="0" borderId="0" xfId="0" applyNumberFormat="1" applyFont="1" applyAlignment="1">
      <alignment horizontal="center"/>
    </xf>
    <xf numFmtId="0" fontId="19" fillId="11" borderId="0" xfId="13" applyFont="1" applyFill="1" applyAlignment="1"/>
    <xf numFmtId="168" fontId="25" fillId="0" borderId="0" xfId="21" applyNumberFormat="1" applyAlignment="1">
      <alignment horizontal="left"/>
    </xf>
    <xf numFmtId="0" fontId="26" fillId="11" borderId="2" xfId="0" applyFont="1" applyFill="1" applyBorder="1" applyAlignment="1">
      <alignment horizontal="center"/>
    </xf>
    <xf numFmtId="0" fontId="26" fillId="11" borderId="3" xfId="0" applyFont="1" applyFill="1" applyBorder="1" applyAlignment="1">
      <alignment horizontal="center" vertical="center"/>
    </xf>
    <xf numFmtId="0" fontId="28" fillId="0" borderId="0" xfId="0" pivotButton="1" applyFont="1"/>
    <xf numFmtId="0" fontId="28" fillId="0" borderId="0" xfId="0" applyFont="1"/>
    <xf numFmtId="1" fontId="28" fillId="0" borderId="0" xfId="0" applyNumberFormat="1" applyFont="1" applyAlignment="1">
      <alignment horizontal="center"/>
    </xf>
    <xf numFmtId="0" fontId="29" fillId="0" borderId="0" xfId="0" pivotButton="1" applyFont="1"/>
    <xf numFmtId="0" fontId="29" fillId="0" borderId="0" xfId="0" pivotButton="1" applyFont="1" applyAlignment="1">
      <alignment horizontal="center"/>
    </xf>
    <xf numFmtId="0" fontId="16" fillId="13" borderId="4" xfId="0" applyFont="1" applyFill="1" applyBorder="1" applyAlignment="1">
      <alignment horizontal="left" vertical="top" wrapText="1" indent="5"/>
    </xf>
    <xf numFmtId="0" fontId="16" fillId="13" borderId="5" xfId="0" applyFont="1" applyFill="1" applyBorder="1" applyAlignment="1">
      <alignment horizontal="left" vertical="top" wrapText="1" indent="5"/>
    </xf>
    <xf numFmtId="0" fontId="16" fillId="13" borderId="7" xfId="0" applyFont="1" applyFill="1" applyBorder="1" applyAlignment="1">
      <alignment horizontal="left" vertical="top" wrapText="1" indent="5"/>
    </xf>
    <xf numFmtId="0" fontId="16" fillId="13" borderId="0" xfId="0" applyFont="1" applyFill="1" applyBorder="1" applyAlignment="1">
      <alignment horizontal="left" vertical="top" wrapText="1" indent="5"/>
    </xf>
    <xf numFmtId="0" fontId="16" fillId="13" borderId="9" xfId="0" applyFont="1" applyFill="1" applyBorder="1" applyAlignment="1">
      <alignment horizontal="left" vertical="top" wrapText="1" indent="5"/>
    </xf>
    <xf numFmtId="0" fontId="16" fillId="13" borderId="10" xfId="0" applyFont="1" applyFill="1" applyBorder="1" applyAlignment="1">
      <alignment horizontal="left" vertical="top" wrapText="1" indent="5"/>
    </xf>
    <xf numFmtId="0" fontId="14" fillId="13" borderId="6" xfId="0" applyFont="1" applyFill="1" applyBorder="1" applyAlignment="1">
      <alignment horizontal="center"/>
    </xf>
    <xf numFmtId="0" fontId="14" fillId="13" borderId="8" xfId="0" applyFont="1" applyFill="1" applyBorder="1" applyAlignment="1">
      <alignment horizontal="center"/>
    </xf>
    <xf numFmtId="0" fontId="14" fillId="13" borderId="11" xfId="0" applyFont="1" applyFill="1" applyBorder="1" applyAlignment="1">
      <alignment horizontal="center"/>
    </xf>
    <xf numFmtId="171" fontId="27" fillId="15" borderId="12" xfId="20" applyNumberFormat="1" applyFont="1" applyFill="1" applyBorder="1" applyAlignment="1">
      <alignment horizontal="center" vertical="center"/>
    </xf>
    <xf numFmtId="171" fontId="27" fillId="15" borderId="13" xfId="20" applyNumberFormat="1" applyFont="1" applyFill="1" applyBorder="1" applyAlignment="1">
      <alignment horizontal="center" vertical="center"/>
    </xf>
    <xf numFmtId="171" fontId="27" fillId="15" borderId="14" xfId="20" applyNumberFormat="1" applyFont="1" applyFill="1" applyBorder="1" applyAlignment="1">
      <alignment horizontal="center" vertical="center"/>
    </xf>
    <xf numFmtId="171" fontId="27" fillId="15" borderId="17" xfId="20" applyNumberFormat="1" applyFont="1" applyFill="1" applyBorder="1" applyAlignment="1">
      <alignment horizontal="center" vertical="center"/>
    </xf>
    <xf numFmtId="171" fontId="27" fillId="15" borderId="18" xfId="20" applyNumberFormat="1" applyFont="1" applyFill="1" applyBorder="1" applyAlignment="1">
      <alignment horizontal="center" vertical="center"/>
    </xf>
    <xf numFmtId="171" fontId="27" fillId="15" borderId="19" xfId="20" applyNumberFormat="1" applyFont="1" applyFill="1" applyBorder="1" applyAlignment="1">
      <alignment horizontal="center" vertical="center"/>
    </xf>
    <xf numFmtId="0" fontId="27" fillId="15" borderId="12" xfId="0" applyFont="1" applyFill="1" applyBorder="1" applyAlignment="1">
      <alignment horizontal="center" vertical="center"/>
    </xf>
    <xf numFmtId="0" fontId="27" fillId="15" borderId="13" xfId="0" applyFont="1" applyFill="1" applyBorder="1" applyAlignment="1">
      <alignment horizontal="center" vertical="center"/>
    </xf>
    <xf numFmtId="0" fontId="27" fillId="15" borderId="14" xfId="0" applyFont="1" applyFill="1" applyBorder="1" applyAlignment="1">
      <alignment horizontal="center" vertical="center"/>
    </xf>
    <xf numFmtId="0" fontId="27" fillId="15" borderId="17" xfId="0" applyFont="1" applyFill="1" applyBorder="1" applyAlignment="1">
      <alignment horizontal="center" vertical="center"/>
    </xf>
    <xf numFmtId="0" fontId="27" fillId="15" borderId="18" xfId="0" applyFont="1" applyFill="1" applyBorder="1" applyAlignment="1">
      <alignment horizontal="center" vertical="center"/>
    </xf>
    <xf numFmtId="0" fontId="27" fillId="15" borderId="19" xfId="0" applyFont="1" applyFill="1" applyBorder="1" applyAlignment="1">
      <alignment horizontal="center" vertical="center"/>
    </xf>
    <xf numFmtId="0" fontId="22" fillId="14" borderId="12" xfId="0" applyFont="1" applyFill="1" applyBorder="1" applyAlignment="1">
      <alignment horizontal="center" vertical="center"/>
    </xf>
    <xf numFmtId="0" fontId="22" fillId="14" borderId="13" xfId="0" applyFont="1" applyFill="1" applyBorder="1" applyAlignment="1">
      <alignment horizontal="center" vertical="center"/>
    </xf>
    <xf numFmtId="0" fontId="22" fillId="14" borderId="14" xfId="0" applyFont="1" applyFill="1" applyBorder="1" applyAlignment="1">
      <alignment horizontal="center" vertical="center"/>
    </xf>
    <xf numFmtId="0" fontId="22" fillId="14" borderId="15" xfId="0" applyFont="1" applyFill="1" applyBorder="1" applyAlignment="1">
      <alignment horizontal="center" vertical="center"/>
    </xf>
    <xf numFmtId="0" fontId="22" fillId="14" borderId="0" xfId="0" applyFont="1" applyFill="1" applyBorder="1" applyAlignment="1">
      <alignment horizontal="center" vertical="center"/>
    </xf>
    <xf numFmtId="0" fontId="22" fillId="14" borderId="16" xfId="0" applyFont="1" applyFill="1" applyBorder="1" applyAlignment="1">
      <alignment horizontal="center" vertical="center"/>
    </xf>
    <xf numFmtId="0" fontId="22" fillId="14" borderId="17" xfId="0" applyFont="1" applyFill="1" applyBorder="1" applyAlignment="1">
      <alignment horizontal="center" vertical="center"/>
    </xf>
    <xf numFmtId="0" fontId="22" fillId="14" borderId="18" xfId="0" applyFont="1" applyFill="1" applyBorder="1" applyAlignment="1">
      <alignment horizontal="center" vertical="center"/>
    </xf>
    <xf numFmtId="0" fontId="22" fillId="14" borderId="19" xfId="0" applyFont="1" applyFill="1" applyBorder="1" applyAlignment="1">
      <alignment horizontal="center" vertical="center"/>
    </xf>
  </cellXfs>
  <cellStyles count="2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40% - Accent3" xfId="5" builtinId="39" customBuiltin="1"/>
    <cellStyle name="60% - Accent3" xfId="6" builtinId="40" customBuiltin="1"/>
    <cellStyle name="60% - Accent4" xfId="7" builtinId="44" customBuiltin="1"/>
    <cellStyle name="60% - Accent6" xfId="8" builtinId="52" customBuiltin="1"/>
    <cellStyle name="Comma" xfId="9" builtinId="3" customBuiltin="1"/>
    <cellStyle name="Comma [0]" xfId="10" builtinId="6" customBuiltin="1"/>
    <cellStyle name="Currency" xfId="11" builtinId="4" customBuiltin="1"/>
    <cellStyle name="Currency [0]" xfId="12" builtinId="7" customBuiltin="1"/>
    <cellStyle name="Geotab Report Field Name" xfId="20" xr:uid="{00000000-0005-0000-0000-00000C000000}"/>
    <cellStyle name="Heading" xfId="13" xr:uid="{00000000-0005-0000-0000-00000D000000}"/>
    <cellStyle name="Hyperlink" xfId="21" builtinId="8"/>
    <cellStyle name="Normal" xfId="0" builtinId="0" customBuiltin="1"/>
    <cellStyle name="Report Body" xfId="14" xr:uid="{00000000-0005-0000-0000-000010000000}"/>
    <cellStyle name="Report Column Header" xfId="15" xr:uid="{00000000-0005-0000-0000-000011000000}"/>
    <cellStyle name="Report Creation DateTime" xfId="16" xr:uid="{00000000-0005-0000-0000-000012000000}"/>
    <cellStyle name="Report Field Name" xfId="17" xr:uid="{00000000-0005-0000-0000-000013000000}"/>
    <cellStyle name="Report Name" xfId="18" xr:uid="{00000000-0005-0000-0000-000014000000}"/>
    <cellStyle name="StandardReportHeading" xfId="19" xr:uid="{00000000-0005-0000-0000-000015000000}"/>
  </cellStyles>
  <dxfs count="206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theme="5" tint="0.7999816888943144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ill>
        <patternFill>
          <bgColor theme="8" tint="0.79998168889431442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5" tint="-0.499984740745262"/>
      </font>
      <fill>
        <patternFill>
          <bgColor theme="5" tint="0.7999816888943144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color theme="8" tint="-0.499984740745262"/>
      </font>
      <fill>
        <patternFill>
          <bgColor theme="8" tint="0.79998168889431442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theme="8"/>
        </top>
        <bottom style="thin">
          <color theme="8"/>
        </bottom>
        <vertical/>
        <horizontal/>
      </border>
    </dxf>
    <dxf>
      <fill>
        <patternFill>
          <bgColor theme="5" tint="0.79998168889431442"/>
        </patternFill>
      </fill>
      <border>
        <top style="thin">
          <color theme="5"/>
        </top>
        <bottom style="thin">
          <color theme="5"/>
        </bottom>
        <vertical/>
        <horizontal/>
      </border>
    </dxf>
    <dxf>
      <fill>
        <patternFill>
          <bgColor theme="8" tint="0.79998168889431442"/>
        </patternFill>
      </fill>
    </dxf>
    <dxf>
      <fill>
        <patternFill patternType="solid">
          <fgColor theme="5" tint="0.79995117038483843"/>
          <bgColor theme="0" tint="-4.9989318521683403E-2"/>
        </patternFill>
      </fill>
      <border>
        <bottom style="thin">
          <color theme="4"/>
        </bottom>
      </border>
    </dxf>
    <dxf>
      <fill>
        <patternFill patternType="solid">
          <fgColor theme="5" tint="0.79992065187536243"/>
          <bgColor theme="0" tint="-4.9989318521683403E-2"/>
        </patternFill>
      </fill>
      <border>
        <bottom style="thin">
          <color theme="4"/>
        </bottom>
      </border>
    </dxf>
    <dxf>
      <font>
        <b/>
        <color theme="1"/>
      </font>
    </dxf>
    <dxf>
      <font>
        <b/>
        <color theme="1"/>
      </font>
      <border>
        <bottom style="thin">
          <color theme="5" tint="0.39997558519241921"/>
        </bottom>
      </border>
    </dxf>
    <dxf>
      <font>
        <color theme="1"/>
      </font>
    </dxf>
    <dxf>
      <font>
        <b/>
        <i val="0"/>
        <color theme="1"/>
      </font>
      <fill>
        <patternFill>
          <bgColor theme="0" tint="-4.9989318521683403E-2"/>
        </patternFill>
      </fill>
      <border>
        <top style="thin">
          <color theme="5"/>
        </top>
        <bottom style="thin">
          <color theme="5"/>
        </bottom>
      </border>
    </dxf>
    <dxf>
      <font>
        <color theme="1"/>
      </font>
      <fill>
        <patternFill patternType="solid">
          <fgColor theme="0" tint="-0.14993743705557422"/>
          <bgColor theme="0" tint="-4.9989318521683403E-2"/>
        </patternFill>
      </fill>
    </dxf>
    <dxf>
      <fill>
        <patternFill patternType="solid">
          <fgColor theme="0" tint="-0.14990691854609822"/>
          <bgColor theme="0" tint="-4.9989318521683403E-2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>
          <fgColor theme="8"/>
          <bgColor theme="2" tint="0.79998168889431442"/>
        </patternFill>
      </fill>
    </dxf>
    <dxf>
      <fill>
        <patternFill>
          <bgColor theme="0" tint="-4.9989318521683403E-2"/>
        </patternFill>
      </fill>
    </dxf>
    <dxf>
      <font>
        <b/>
        <i val="0"/>
        <color theme="1"/>
      </font>
      <fill>
        <patternFill patternType="solid">
          <fgColor theme="5" tint="0.79982909634693444"/>
          <bgColor theme="0" tint="-4.9989318521683403E-2"/>
        </patternFill>
      </fill>
      <border diagonalDown="1">
        <top style="thin">
          <color theme="2" tint="0.59996337778862885"/>
        </top>
        <bottom style="thin">
          <color theme="2" tint="0.59996337778862885"/>
        </bottom>
        <diagonal style="thin">
          <color theme="2" tint="0.59996337778862885"/>
        </diagonal>
      </border>
    </dxf>
    <dxf>
      <font>
        <b/>
        <i val="0"/>
        <color theme="0"/>
      </font>
      <fill>
        <patternFill patternType="solid">
          <fgColor theme="5" tint="0.79985961485641044"/>
          <bgColor theme="2"/>
        </patternFill>
      </fill>
      <border>
        <bottom style="thin">
          <color theme="4"/>
        </bottom>
      </border>
    </dxf>
    <dxf>
      <font>
        <color auto="1"/>
      </font>
    </dxf>
  </dxfs>
  <tableStyles count="1" defaultTableStyle="TableStyleMedium9" defaultPivotStyle="PivotStyleLight16">
    <tableStyle name="PivotStyleLightCustom" table="0" count="13" xr9:uid="{00000000-0011-0000-FFFF-FFFF00000000}">
      <tableStyleElement type="wholeTable" dxfId="205"/>
      <tableStyleElement type="headerRow" dxfId="204"/>
      <tableStyleElement type="totalRow" dxfId="203"/>
      <tableStyleElement type="firstRowStripe" dxfId="202"/>
      <tableStyleElement type="secondRowStripe" dxfId="201"/>
      <tableStyleElement type="firstColumnStripe" dxfId="200"/>
      <tableStyleElement type="firstSubtotalColumn" dxfId="199"/>
      <tableStyleElement type="firstSubtotalRow" dxfId="198"/>
      <tableStyleElement type="secondSubtotalRow" dxfId="197"/>
      <tableStyleElement type="firstRowSubheading" dxfId="196"/>
      <tableStyleElement type="secondRowSubheading" dxfId="195"/>
      <tableStyleElement type="pageFieldLabels" dxfId="194"/>
      <tableStyleElement type="pageFieldValues" dxfId="19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76200</xdr:rowOff>
    </xdr:from>
    <xdr:to>
      <xdr:col>0</xdr:col>
      <xdr:colOff>541207</xdr:colOff>
      <xdr:row>1</xdr:row>
      <xdr:rowOff>523879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CF60C1-B71F-4940-838A-19E2E52D9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schemeClr val="accent5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33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66675" y="457200"/>
          <a:ext cx="474532" cy="4476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104775</xdr:colOff>
      <xdr:row>2</xdr:row>
      <xdr:rowOff>104775</xdr:rowOff>
    </xdr:from>
    <xdr:to>
      <xdr:col>3</xdr:col>
      <xdr:colOff>437967</xdr:colOff>
      <xdr:row>4</xdr:row>
      <xdr:rowOff>8981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0DE5214-1216-4671-BC65-42397A71B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81650" y="752475"/>
          <a:ext cx="333192" cy="34235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190500</xdr:colOff>
          <xdr:row>12</xdr:row>
          <xdr:rowOff>57150</xdr:rowOff>
        </xdr:from>
        <xdr:to>
          <xdr:col>4</xdr:col>
          <xdr:colOff>790575</xdr:colOff>
          <xdr:row>16</xdr:row>
          <xdr:rowOff>9526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BB55D54A-A68E-455A-AD4E-5813BCD59399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Picture" spid="_x0000_s4131"/>
                </a:ext>
              </a:extLst>
            </xdr:cNvPicPr>
          </xdr:nvPicPr>
          <xdr:blipFill rotWithShape="1">
            <a:blip xmlns:r="http://schemas.openxmlformats.org/officeDocument/2006/relationships" r:embed="rId1">
              <a:duotone>
                <a:schemeClr val="accent5">
                  <a:shade val="45000"/>
                  <a:satMod val="135000"/>
                </a:schemeClr>
                <a:prstClr val="white"/>
              </a:duotone>
            </a:blip>
            <a:srcRect l="6579" t="6379" r="10526" b="11961"/>
            <a:stretch>
              <a:fillRect/>
            </a:stretch>
          </xdr:blipFill>
          <xdr:spPr>
            <a:xfrm flipH="1">
              <a:off x="1981200" y="1876425"/>
              <a:ext cx="600075" cy="609601"/>
            </a:xfrm>
            <a:prstGeom prst="rect">
              <a:avLst/>
            </a:prstGeom>
          </xdr:spPr>
        </xdr:pic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akash Dubey" refreshedDate="44154.669149768517" createdVersion="4" refreshedVersion="6" recordCount="57" xr:uid="{00000000-000A-0000-FFFF-FFFF0C000000}">
  <cacheSource type="worksheet">
    <worksheetSource name="AllData"/>
  </cacheSource>
  <cacheFields count="24">
    <cacheField name="**Driver" numFmtId="0">
      <sharedItems count="57">
        <s v="Driver 1"/>
        <s v="Driver 2"/>
        <s v="Driver 3"/>
        <s v="Driver 4"/>
        <s v="Driver 5"/>
        <s v="Driver 6"/>
        <s v="Driver 7"/>
        <s v="Driver 8"/>
        <s v="Driver 9"/>
        <s v="Driver 10"/>
        <s v="Driver 11"/>
        <s v="Driver 12"/>
        <s v="Driver 13"/>
        <s v="Driver 14"/>
        <s v="Driver 15"/>
        <s v="Driver 16"/>
        <s v="Driver 17"/>
        <s v="Driver 18"/>
        <s v="Driver 19"/>
        <s v="Driver 20"/>
        <s v="Driver 21"/>
        <s v="Driver 22"/>
        <s v="Driver 23"/>
        <s v="Driver 24"/>
        <s v="Driver 25"/>
        <s v="Driver 26"/>
        <s v="Driver 27"/>
        <s v="Driver 28"/>
        <s v="Driver 29"/>
        <s v="Driver 30"/>
        <s v="Driver 31"/>
        <s v="Driver 32"/>
        <s v="Driver 33"/>
        <s v="Driver 34"/>
        <s v="Driver 35"/>
        <s v="Driver 36"/>
        <s v="Driver 37"/>
        <s v="Driver 38"/>
        <s v="Driver 39"/>
        <s v="Driver 40"/>
        <s v="Driver 41"/>
        <s v="Driver 42"/>
        <s v="Driver 43"/>
        <s v="Driver 44"/>
        <s v="Driver 45"/>
        <s v="Driver 46"/>
        <s v="Driver 47"/>
        <s v="Driver 48"/>
        <s v="Driver 49"/>
        <s v="Driver 50"/>
        <s v="Driver 51"/>
        <s v="Driver 52"/>
        <s v="Driver 53"/>
        <s v="Driver 54"/>
        <s v="Driver 55"/>
        <s v="Driver 56"/>
        <s v="Driver 57"/>
      </sharedItems>
    </cacheField>
    <cacheField name="**First Name" numFmtId="171">
      <sharedItems/>
    </cacheField>
    <cacheField name="**Last Name" numFmtId="171">
      <sharedItems/>
    </cacheField>
    <cacheField name="**Full Name" numFmtId="171">
      <sharedItems count="1">
        <s v="First Name Last Name"/>
      </sharedItems>
    </cacheField>
    <cacheField name="**HOS Status" numFmtId="169">
      <sharedItems count="4">
        <s v="OFF"/>
        <s v="D"/>
        <s v="ON"/>
        <s v="YM"/>
      </sharedItems>
    </cacheField>
    <cacheField name="**HOS Ruleset" numFmtId="169">
      <sharedItems count="17">
        <s v="None"/>
        <s v="America7DayBig"/>
        <s v="America8Day"/>
        <s v="Florida7Day"/>
        <s v="AmericaTexasShortHaul8Day"/>
        <s v="America7Day"/>
        <s v="CanadaCycleOne"/>
        <s v="CaliforniaProperty"/>
        <s v="America8DayBig"/>
        <s v="CanadaCycleTwo"/>
        <s v="FloridaShortHaul7Day"/>
        <s v="OilWellTexas"/>
        <s v="America7DayPassenger"/>
        <s v="OilWell7DayBig"/>
        <s v="OilWell7Day"/>
        <s v="OilTransport8Day"/>
        <s v="OilTransport7Day"/>
      </sharedItems>
    </cacheField>
    <cacheField name="Driving Status?" numFmtId="169">
      <sharedItems/>
    </cacheField>
    <cacheField name="Potential Violation" numFmtId="169">
      <sharedItems count="4">
        <s v="NO"/>
        <s v="YES"/>
        <b v="0" u="1"/>
        <b v="1" u="1"/>
      </sharedItems>
    </cacheField>
    <cacheField name="Rest" numFmtId="1">
      <sharedItems count="2">
        <s v="OK"/>
        <s v="ALERT"/>
      </sharedItems>
    </cacheField>
    <cacheField name="Driving" numFmtId="1">
      <sharedItems count="2">
        <s v="OK"/>
        <s v="ALERT"/>
      </sharedItems>
    </cacheField>
    <cacheField name="Duty" numFmtId="1">
      <sharedItems count="2">
        <s v="OK"/>
        <s v="ALERT"/>
      </sharedItems>
    </cacheField>
    <cacheField name="Workday" numFmtId="1">
      <sharedItems count="2">
        <s v="OK"/>
        <s v="ALERT"/>
      </sharedItems>
    </cacheField>
    <cacheField name="Cycle" numFmtId="1">
      <sharedItems count="2">
        <s v="OK"/>
        <s v="ALERT"/>
      </sharedItems>
    </cacheField>
    <cacheField name="Rest Violation" numFmtId="1">
      <sharedItems/>
    </cacheField>
    <cacheField name="Driving Violation" numFmtId="1">
      <sharedItems/>
    </cacheField>
    <cacheField name="Duty Violation" numFmtId="1">
      <sharedItems/>
    </cacheField>
    <cacheField name="Workday Violation" numFmtId="1">
      <sharedItems/>
    </cacheField>
    <cacheField name="Cycle Violation" numFmtId="1">
      <sharedItems/>
    </cacheField>
    <cacheField name="Violation" numFmtId="1">
      <sharedItems/>
    </cacheField>
    <cacheField name="**Rest Availability" numFmtId="169">
      <sharedItems containsSemiMixedTypes="0" containsNonDate="0" containsDate="1" containsString="0" minDate="1899-12-30T00:00:00" maxDate="1899-12-31T00:00:00"/>
    </cacheField>
    <cacheField name="**Driving Availability" numFmtId="169">
      <sharedItems containsSemiMixedTypes="0" containsNonDate="0" containsDate="1" containsString="0" minDate="1899-12-30T00:00:00" maxDate="1899-12-31T00:00:00"/>
    </cacheField>
    <cacheField name="**Duty Availability" numFmtId="169">
      <sharedItems containsSemiMixedTypes="0" containsNonDate="0" containsDate="1" containsString="0" minDate="1899-12-30T00:00:00" maxDate="1899-12-31T00:00:00"/>
    </cacheField>
    <cacheField name="**Workday Availability" numFmtId="169">
      <sharedItems containsSemiMixedTypes="0" containsNonDate="0" containsDate="1" containsString="0" minDate="1899-12-30T00:00:00" maxDate="1899-12-31T00:00:00"/>
    </cacheField>
    <cacheField name="**Cycle Availability" numFmtId="169">
      <sharedItems containsSemiMixedTypes="0" containsNonDate="0" containsDate="1" containsString="0" minDate="1899-12-30T00:00:00" maxDate="1900-01-05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x v="0"/>
    <s v="First Name"/>
    <s v="Last Name"/>
    <x v="0"/>
    <x v="0"/>
    <x v="0"/>
    <b v="0"/>
    <x v="0"/>
    <x v="0"/>
    <x v="0"/>
    <x v="0"/>
    <x v="0"/>
    <x v="0"/>
    <s v=""/>
    <s v=""/>
    <s v=""/>
    <s v=""/>
    <s v=""/>
    <s v=""/>
    <d v="1899-12-30T00:00:00"/>
    <d v="1899-12-30T00:00:00"/>
    <d v="1899-12-30T00:00:00"/>
    <d v="1899-12-30T00:00:00"/>
    <d v="1899-12-30T00:00:00"/>
  </r>
  <r>
    <x v="1"/>
    <s v="First Name"/>
    <s v="Last Name"/>
    <x v="0"/>
    <x v="0"/>
    <x v="1"/>
    <b v="0"/>
    <x v="0"/>
    <x v="0"/>
    <x v="0"/>
    <x v="0"/>
    <x v="0"/>
    <x v="0"/>
    <s v=""/>
    <s v=""/>
    <s v=""/>
    <s v=""/>
    <s v=""/>
    <s v=""/>
    <d v="1899-12-30T08:00:00"/>
    <d v="1899-12-30T11:00:00"/>
    <d v="1899-12-30T00:00:00"/>
    <d v="1899-12-30T14:00:00"/>
    <d v="1900-01-01T12:00:00"/>
  </r>
  <r>
    <x v="2"/>
    <s v="First Name"/>
    <s v="Last Name"/>
    <x v="0"/>
    <x v="1"/>
    <x v="2"/>
    <b v="1"/>
    <x v="0"/>
    <x v="0"/>
    <x v="0"/>
    <x v="0"/>
    <x v="0"/>
    <x v="0"/>
    <s v=""/>
    <s v=""/>
    <s v=""/>
    <s v=""/>
    <s v=""/>
    <s v=""/>
    <d v="1899-12-30T08:00:00"/>
    <d v="1899-12-30T11:00:00"/>
    <d v="1899-12-30T00:00:00"/>
    <d v="1899-12-30T14:00:00"/>
    <d v="1900-01-01T22:00:00"/>
  </r>
  <r>
    <x v="3"/>
    <s v="First Name"/>
    <s v="Last Name"/>
    <x v="0"/>
    <x v="2"/>
    <x v="3"/>
    <b v="0"/>
    <x v="0"/>
    <x v="0"/>
    <x v="0"/>
    <x v="0"/>
    <x v="0"/>
    <x v="0"/>
    <s v=""/>
    <s v=""/>
    <s v=""/>
    <s v=""/>
    <s v=""/>
    <s v=""/>
    <d v="1899-12-30T00:00:00"/>
    <d v="1899-12-30T12:00:00"/>
    <d v="1899-12-30T00:00:00"/>
    <d v="1899-12-30T16:00:00"/>
    <d v="1900-01-01T22:00:00"/>
  </r>
  <r>
    <x v="4"/>
    <s v="First Name"/>
    <s v="Last Name"/>
    <x v="0"/>
    <x v="2"/>
    <x v="0"/>
    <b v="0"/>
    <x v="0"/>
    <x v="0"/>
    <x v="0"/>
    <x v="0"/>
    <x v="0"/>
    <x v="0"/>
    <s v=""/>
    <s v=""/>
    <s v=""/>
    <s v=""/>
    <s v=""/>
    <s v=""/>
    <d v="1899-12-30T00:00:00"/>
    <d v="1899-12-30T00:00:00"/>
    <d v="1899-12-30T00:00:00"/>
    <d v="1899-12-30T00:00:00"/>
    <d v="1899-12-30T00:00:00"/>
  </r>
  <r>
    <x v="5"/>
    <s v="First Name"/>
    <s v="Last Name"/>
    <x v="0"/>
    <x v="1"/>
    <x v="4"/>
    <b v="1"/>
    <x v="1"/>
    <x v="0"/>
    <x v="0"/>
    <x v="1"/>
    <x v="1"/>
    <x v="1"/>
    <s v=""/>
    <s v=""/>
    <s v="Duty"/>
    <s v="Workday"/>
    <s v="Cycle"/>
    <s v="Duty Workday Cycle"/>
    <d v="1899-12-30T00:00:00"/>
    <d v="1899-12-30T12:00:00"/>
    <d v="1899-12-30T00:00:00"/>
    <d v="1899-12-30T00:00:00"/>
    <d v="1899-12-30T00:00:00"/>
  </r>
  <r>
    <x v="6"/>
    <s v="First Name"/>
    <s v="Last Name"/>
    <x v="0"/>
    <x v="2"/>
    <x v="2"/>
    <b v="0"/>
    <x v="0"/>
    <x v="0"/>
    <x v="0"/>
    <x v="0"/>
    <x v="0"/>
    <x v="0"/>
    <s v=""/>
    <s v=""/>
    <s v=""/>
    <s v=""/>
    <s v=""/>
    <s v=""/>
    <d v="1899-12-30T00:00:00"/>
    <d v="1899-12-30T00:00:00"/>
    <d v="1899-12-30T00:00:00"/>
    <d v="1899-12-30T00:00:00"/>
    <d v="1899-12-30T00:00:00"/>
  </r>
  <r>
    <x v="7"/>
    <s v="First Name"/>
    <s v="Last Name"/>
    <x v="0"/>
    <x v="0"/>
    <x v="5"/>
    <b v="0"/>
    <x v="0"/>
    <x v="0"/>
    <x v="0"/>
    <x v="0"/>
    <x v="0"/>
    <x v="0"/>
    <s v=""/>
    <s v=""/>
    <s v=""/>
    <s v=""/>
    <s v=""/>
    <s v=""/>
    <d v="1899-12-30T08:00:00"/>
    <d v="1899-12-30T11:00:00"/>
    <d v="1899-12-30T00:00:00"/>
    <d v="1899-12-30T14:00:00"/>
    <d v="1900-01-01T12:00:00"/>
  </r>
  <r>
    <x v="8"/>
    <s v="First Name"/>
    <s v="Last Name"/>
    <x v="0"/>
    <x v="0"/>
    <x v="6"/>
    <b v="0"/>
    <x v="0"/>
    <x v="0"/>
    <x v="0"/>
    <x v="0"/>
    <x v="0"/>
    <x v="0"/>
    <s v=""/>
    <s v=""/>
    <s v=""/>
    <s v=""/>
    <s v=""/>
    <s v=""/>
    <d v="1899-12-30T00:00:00"/>
    <d v="1899-12-30T13:00:00"/>
    <d v="1899-12-30T14:00:00"/>
    <d v="1899-12-30T16:00:00"/>
    <d v="1900-01-01T22:00:00"/>
  </r>
  <r>
    <x v="9"/>
    <s v="First Name"/>
    <s v="Last Name"/>
    <x v="0"/>
    <x v="0"/>
    <x v="7"/>
    <b v="0"/>
    <x v="0"/>
    <x v="0"/>
    <x v="0"/>
    <x v="0"/>
    <x v="0"/>
    <x v="0"/>
    <s v=""/>
    <s v=""/>
    <s v=""/>
    <s v=""/>
    <s v=""/>
    <s v=""/>
    <d v="1899-12-30T00:00:00"/>
    <d v="1899-12-30T12:00:00"/>
    <d v="1899-12-30T00:00:00"/>
    <d v="1899-12-30T16:00:00"/>
    <d v="1900-01-02T05:20:47"/>
  </r>
  <r>
    <x v="10"/>
    <s v="First Name"/>
    <s v="Last Name"/>
    <x v="0"/>
    <x v="0"/>
    <x v="6"/>
    <b v="0"/>
    <x v="0"/>
    <x v="0"/>
    <x v="0"/>
    <x v="0"/>
    <x v="0"/>
    <x v="0"/>
    <s v=""/>
    <s v=""/>
    <s v=""/>
    <s v=""/>
    <s v=""/>
    <s v=""/>
    <d v="1899-12-30T00:00:00"/>
    <d v="1899-12-30T13:00:00"/>
    <d v="1899-12-30T14:00:00"/>
    <d v="1899-12-30T16:00:00"/>
    <d v="1900-01-01T22:00:00"/>
  </r>
  <r>
    <x v="11"/>
    <s v="First Name"/>
    <s v="Last Name"/>
    <x v="0"/>
    <x v="0"/>
    <x v="6"/>
    <b v="0"/>
    <x v="0"/>
    <x v="0"/>
    <x v="0"/>
    <x v="0"/>
    <x v="0"/>
    <x v="0"/>
    <s v=""/>
    <s v=""/>
    <s v=""/>
    <s v=""/>
    <s v=""/>
    <s v=""/>
    <d v="1899-12-30T00:00:00"/>
    <d v="1899-12-30T13:00:00"/>
    <d v="1899-12-30T14:00:00"/>
    <d v="1899-12-30T16:00:00"/>
    <d v="1900-01-01T22:00:00"/>
  </r>
  <r>
    <x v="12"/>
    <s v="First Name"/>
    <s v="Last Name"/>
    <x v="0"/>
    <x v="0"/>
    <x v="2"/>
    <b v="0"/>
    <x v="0"/>
    <x v="0"/>
    <x v="0"/>
    <x v="0"/>
    <x v="0"/>
    <x v="0"/>
    <s v=""/>
    <s v=""/>
    <s v=""/>
    <s v=""/>
    <s v=""/>
    <s v=""/>
    <d v="1899-12-30T08:00:00"/>
    <d v="1899-12-30T11:00:00"/>
    <d v="1899-12-30T00:00:00"/>
    <d v="1899-12-30T14:00:00"/>
    <d v="1900-01-01T22:00:00"/>
  </r>
  <r>
    <x v="13"/>
    <s v="First Name"/>
    <s v="Last Name"/>
    <x v="0"/>
    <x v="1"/>
    <x v="0"/>
    <b v="1"/>
    <x v="0"/>
    <x v="0"/>
    <x v="0"/>
    <x v="0"/>
    <x v="0"/>
    <x v="0"/>
    <s v=""/>
    <s v=""/>
    <s v=""/>
    <s v=""/>
    <s v=""/>
    <s v=""/>
    <d v="1899-12-30T00:00:00"/>
    <d v="1899-12-30T00:00:00"/>
    <d v="1899-12-30T00:00:00"/>
    <d v="1899-12-30T00:00:00"/>
    <d v="1899-12-30T00:00:00"/>
  </r>
  <r>
    <x v="14"/>
    <s v="First Name"/>
    <s v="Last Name"/>
    <x v="0"/>
    <x v="0"/>
    <x v="6"/>
    <b v="0"/>
    <x v="0"/>
    <x v="0"/>
    <x v="0"/>
    <x v="0"/>
    <x v="0"/>
    <x v="0"/>
    <s v=""/>
    <s v=""/>
    <s v=""/>
    <s v=""/>
    <s v=""/>
    <s v=""/>
    <d v="1899-12-30T00:00:00"/>
    <d v="1899-12-30T13:00:00"/>
    <d v="1899-12-30T00:00:00"/>
    <d v="1899-12-30T16:00:00"/>
    <d v="1900-01-01T22:00:00"/>
  </r>
  <r>
    <x v="15"/>
    <s v="First Name"/>
    <s v="Last Name"/>
    <x v="0"/>
    <x v="3"/>
    <x v="2"/>
    <b v="1"/>
    <x v="1"/>
    <x v="1"/>
    <x v="1"/>
    <x v="0"/>
    <x v="1"/>
    <x v="1"/>
    <s v="Rest"/>
    <s v="Driving"/>
    <s v=""/>
    <s v="Workday"/>
    <s v="Cycle"/>
    <s v="Rest Driving Workday Cycle"/>
    <d v="1899-12-30T00:00:00"/>
    <d v="1899-12-30T00:00:00"/>
    <d v="1899-12-30T00:00:00"/>
    <d v="1899-12-30T00:00:00"/>
    <d v="1899-12-30T00:00:00"/>
  </r>
  <r>
    <x v="16"/>
    <s v="First Name"/>
    <s v="Last Name"/>
    <x v="0"/>
    <x v="2"/>
    <x v="0"/>
    <b v="0"/>
    <x v="0"/>
    <x v="0"/>
    <x v="0"/>
    <x v="0"/>
    <x v="0"/>
    <x v="0"/>
    <s v=""/>
    <s v=""/>
    <s v=""/>
    <s v=""/>
    <s v=""/>
    <s v=""/>
    <d v="1899-12-30T00:00:00"/>
    <d v="1899-12-30T00:00:00"/>
    <d v="1899-12-30T00:00:00"/>
    <d v="1899-12-30T00:00:00"/>
    <d v="1899-12-30T00:00:00"/>
  </r>
  <r>
    <x v="17"/>
    <s v="First Name"/>
    <s v="Last Name"/>
    <x v="0"/>
    <x v="1"/>
    <x v="8"/>
    <b v="1"/>
    <x v="1"/>
    <x v="1"/>
    <x v="0"/>
    <x v="0"/>
    <x v="1"/>
    <x v="1"/>
    <s v="Rest"/>
    <s v=""/>
    <s v=""/>
    <s v="Workday"/>
    <s v="Cycle"/>
    <s v="Rest Workday Cycle"/>
    <d v="1899-12-30T00:00:00"/>
    <d v="1899-12-30T11:00:00"/>
    <d v="1899-12-30T00:00:00"/>
    <d v="1899-12-30T00:00:00"/>
    <d v="1899-12-30T00:00:00"/>
  </r>
  <r>
    <x v="18"/>
    <s v="First Name"/>
    <s v="Last Name"/>
    <x v="0"/>
    <x v="1"/>
    <x v="0"/>
    <b v="1"/>
    <x v="0"/>
    <x v="0"/>
    <x v="0"/>
    <x v="0"/>
    <x v="0"/>
    <x v="0"/>
    <s v=""/>
    <s v=""/>
    <s v=""/>
    <s v=""/>
    <s v=""/>
    <s v=""/>
    <d v="1899-12-30T00:00:00"/>
    <d v="1899-12-30T00:00:00"/>
    <d v="1899-12-30T00:00:00"/>
    <d v="1899-12-30T00:00:00"/>
    <d v="1899-12-30T00:00:00"/>
  </r>
  <r>
    <x v="19"/>
    <s v="First Name"/>
    <s v="Last Name"/>
    <x v="0"/>
    <x v="0"/>
    <x v="0"/>
    <b v="0"/>
    <x v="0"/>
    <x v="0"/>
    <x v="0"/>
    <x v="0"/>
    <x v="0"/>
    <x v="0"/>
    <s v=""/>
    <s v=""/>
    <s v=""/>
    <s v=""/>
    <s v=""/>
    <s v=""/>
    <d v="1899-12-30T00:00:00"/>
    <d v="1899-12-30T00:00:00"/>
    <d v="1899-12-30T00:00:00"/>
    <d v="1899-12-30T00:00:00"/>
    <d v="1899-12-30T00:00:00"/>
  </r>
  <r>
    <x v="20"/>
    <s v="First Name"/>
    <s v="Last Name"/>
    <x v="0"/>
    <x v="0"/>
    <x v="9"/>
    <b v="0"/>
    <x v="0"/>
    <x v="0"/>
    <x v="0"/>
    <x v="0"/>
    <x v="0"/>
    <x v="0"/>
    <s v=""/>
    <s v=""/>
    <s v=""/>
    <s v=""/>
    <s v=""/>
    <s v=""/>
    <d v="1899-12-30T00:00:00"/>
    <d v="1899-12-30T13:00:00"/>
    <d v="1899-12-30T14:00:00"/>
    <d v="1899-12-30T16:00:00"/>
    <d v="1900-01-04T00:00:00"/>
  </r>
  <r>
    <x v="21"/>
    <s v="First Name"/>
    <s v="Last Name"/>
    <x v="0"/>
    <x v="2"/>
    <x v="5"/>
    <b v="0"/>
    <x v="0"/>
    <x v="0"/>
    <x v="0"/>
    <x v="0"/>
    <x v="0"/>
    <x v="0"/>
    <s v=""/>
    <s v=""/>
    <s v=""/>
    <s v=""/>
    <s v=""/>
    <s v=""/>
    <d v="1899-12-30T00:00:00"/>
    <d v="1899-12-30T10:59:57"/>
    <d v="1899-12-30T00:00:00"/>
    <d v="1899-12-30T00:00:00"/>
    <d v="1899-12-30T00:00:00"/>
  </r>
  <r>
    <x v="22"/>
    <s v="First Name"/>
    <s v="Last Name"/>
    <x v="0"/>
    <x v="1"/>
    <x v="5"/>
    <b v="1"/>
    <x v="1"/>
    <x v="1"/>
    <x v="0"/>
    <x v="0"/>
    <x v="1"/>
    <x v="1"/>
    <s v="Rest"/>
    <s v=""/>
    <s v=""/>
    <s v="Workday"/>
    <s v="Cycle"/>
    <s v="Rest Workday Cycle"/>
    <d v="1899-12-30T00:00:00"/>
    <d v="1899-12-30T07:22:22"/>
    <d v="1899-12-30T00:00:00"/>
    <d v="1899-12-30T00:00:00"/>
    <d v="1899-12-30T00:00:00"/>
  </r>
  <r>
    <x v="23"/>
    <s v="First Name"/>
    <s v="Last Name"/>
    <x v="0"/>
    <x v="0"/>
    <x v="6"/>
    <b v="0"/>
    <x v="0"/>
    <x v="0"/>
    <x v="0"/>
    <x v="0"/>
    <x v="0"/>
    <x v="0"/>
    <s v=""/>
    <s v=""/>
    <s v=""/>
    <s v=""/>
    <s v=""/>
    <s v=""/>
    <d v="1899-12-30T00:00:00"/>
    <d v="1899-12-30T13:00:00"/>
    <d v="1899-12-30T14:00:00"/>
    <d v="1899-12-30T16:00:00"/>
    <d v="1900-01-01T22:00:00"/>
  </r>
  <r>
    <x v="24"/>
    <s v="First Name"/>
    <s v="Last Name"/>
    <x v="0"/>
    <x v="1"/>
    <x v="5"/>
    <b v="1"/>
    <x v="1"/>
    <x v="1"/>
    <x v="0"/>
    <x v="0"/>
    <x v="1"/>
    <x v="1"/>
    <s v="Rest"/>
    <s v=""/>
    <s v=""/>
    <s v="Workday"/>
    <s v="Cycle"/>
    <s v="Rest Workday Cycle"/>
    <d v="1899-12-30T00:00:00"/>
    <d v="1899-12-30T08:21:45"/>
    <d v="1899-12-30T00:00:00"/>
    <d v="1899-12-30T00:00:00"/>
    <d v="1899-12-30T00:00:00"/>
  </r>
  <r>
    <x v="25"/>
    <s v="First Name"/>
    <s v="Last Name"/>
    <x v="0"/>
    <x v="0"/>
    <x v="5"/>
    <b v="0"/>
    <x v="0"/>
    <x v="0"/>
    <x v="0"/>
    <x v="0"/>
    <x v="0"/>
    <x v="0"/>
    <s v=""/>
    <s v=""/>
    <s v=""/>
    <s v=""/>
    <s v=""/>
    <s v=""/>
    <d v="1899-12-30T08:00:00"/>
    <d v="1899-12-30T11:00:00"/>
    <d v="1899-12-30T00:00:00"/>
    <d v="1899-12-30T14:00:00"/>
    <d v="1900-01-01T12:00:00"/>
  </r>
  <r>
    <x v="26"/>
    <s v="First Name"/>
    <s v="Last Name"/>
    <x v="0"/>
    <x v="0"/>
    <x v="6"/>
    <b v="0"/>
    <x v="0"/>
    <x v="0"/>
    <x v="0"/>
    <x v="0"/>
    <x v="0"/>
    <x v="0"/>
    <s v=""/>
    <s v=""/>
    <s v=""/>
    <s v=""/>
    <s v=""/>
    <s v=""/>
    <d v="1899-12-30T00:00:00"/>
    <d v="1899-12-30T13:00:00"/>
    <d v="1899-12-30T14:00:00"/>
    <d v="1899-12-30T16:00:00"/>
    <d v="1900-01-01T22:00:00"/>
  </r>
  <r>
    <x v="27"/>
    <s v="First Name"/>
    <s v="Last Name"/>
    <x v="0"/>
    <x v="0"/>
    <x v="5"/>
    <b v="0"/>
    <x v="0"/>
    <x v="0"/>
    <x v="0"/>
    <x v="0"/>
    <x v="0"/>
    <x v="0"/>
    <s v=""/>
    <s v=""/>
    <s v=""/>
    <s v=""/>
    <s v=""/>
    <s v=""/>
    <d v="1899-12-30T08:00:00"/>
    <d v="1899-12-30T11:00:00"/>
    <d v="1899-12-30T00:00:00"/>
    <d v="1899-12-30T14:00:00"/>
    <d v="1900-01-01T12:00:00"/>
  </r>
  <r>
    <x v="28"/>
    <s v="First Name"/>
    <s v="Last Name"/>
    <x v="0"/>
    <x v="2"/>
    <x v="6"/>
    <b v="0"/>
    <x v="0"/>
    <x v="0"/>
    <x v="0"/>
    <x v="0"/>
    <x v="0"/>
    <x v="0"/>
    <s v=""/>
    <s v=""/>
    <s v=""/>
    <s v=""/>
    <s v=""/>
    <s v=""/>
    <d v="1899-12-30T00:00:00"/>
    <d v="1899-12-30T13:00:00"/>
    <d v="1899-12-30T14:00:00"/>
    <d v="1899-12-30T16:00:00"/>
    <d v="1900-01-01T22:00:00"/>
  </r>
  <r>
    <x v="29"/>
    <s v="First Name"/>
    <s v="Last Name"/>
    <x v="0"/>
    <x v="3"/>
    <x v="1"/>
    <b v="1"/>
    <x v="1"/>
    <x v="1"/>
    <x v="0"/>
    <x v="0"/>
    <x v="1"/>
    <x v="1"/>
    <s v="Rest"/>
    <s v=""/>
    <s v=""/>
    <s v="Workday"/>
    <s v="Cycle"/>
    <s v="Rest Workday Cycle"/>
    <d v="1899-12-30T00:00:00"/>
    <d v="1899-12-30T11:00:00"/>
    <d v="1899-12-30T00:00:00"/>
    <d v="1899-12-30T00:00:00"/>
    <d v="1899-12-30T00:00:00"/>
  </r>
  <r>
    <x v="30"/>
    <s v="First Name"/>
    <s v="Last Name"/>
    <x v="0"/>
    <x v="2"/>
    <x v="3"/>
    <b v="0"/>
    <x v="0"/>
    <x v="0"/>
    <x v="0"/>
    <x v="0"/>
    <x v="0"/>
    <x v="0"/>
    <s v=""/>
    <s v=""/>
    <s v=""/>
    <s v=""/>
    <s v=""/>
    <s v=""/>
    <d v="1899-12-30T00:00:00"/>
    <d v="1899-12-30T12:00:00"/>
    <d v="1899-12-30T00:00:00"/>
    <d v="1899-12-30T16:00:00"/>
    <d v="1900-01-01T22:00:00"/>
  </r>
  <r>
    <x v="31"/>
    <s v="First Name"/>
    <s v="Last Name"/>
    <x v="0"/>
    <x v="2"/>
    <x v="10"/>
    <b v="0"/>
    <x v="0"/>
    <x v="0"/>
    <x v="0"/>
    <x v="0"/>
    <x v="0"/>
    <x v="0"/>
    <s v=""/>
    <s v=""/>
    <s v=""/>
    <s v=""/>
    <s v=""/>
    <s v=""/>
    <d v="1899-12-30T00:00:00"/>
    <d v="1899-12-30T12:00:00"/>
    <d v="1899-12-30T00:00:00"/>
    <d v="1899-12-30T00:00:00"/>
    <d v="1899-12-30T00:00:00"/>
  </r>
  <r>
    <x v="32"/>
    <s v="First Name"/>
    <s v="Last Name"/>
    <x v="0"/>
    <x v="0"/>
    <x v="11"/>
    <b v="0"/>
    <x v="0"/>
    <x v="0"/>
    <x v="0"/>
    <x v="0"/>
    <x v="0"/>
    <x v="0"/>
    <s v=""/>
    <s v=""/>
    <s v=""/>
    <s v=""/>
    <s v=""/>
    <s v=""/>
    <d v="1899-12-30T00:00:00"/>
    <d v="1899-12-30T12:00:00"/>
    <d v="1899-12-30T15:00:00"/>
    <d v="1899-12-30T00:00:00"/>
    <d v="1900-01-01T22:00:00"/>
  </r>
  <r>
    <x v="33"/>
    <s v="First Name"/>
    <s v="Last Name"/>
    <x v="0"/>
    <x v="0"/>
    <x v="5"/>
    <b v="0"/>
    <x v="0"/>
    <x v="0"/>
    <x v="0"/>
    <x v="0"/>
    <x v="0"/>
    <x v="0"/>
    <s v=""/>
    <s v=""/>
    <s v=""/>
    <s v=""/>
    <s v=""/>
    <s v=""/>
    <d v="1899-12-30T08:00:00"/>
    <d v="1899-12-30T11:00:00"/>
    <d v="1899-12-30T00:00:00"/>
    <d v="1899-12-30T14:00:00"/>
    <d v="1900-01-01T12:00:00"/>
  </r>
  <r>
    <x v="34"/>
    <s v="First Name"/>
    <s v="Last Name"/>
    <x v="0"/>
    <x v="0"/>
    <x v="12"/>
    <b v="0"/>
    <x v="0"/>
    <x v="0"/>
    <x v="0"/>
    <x v="0"/>
    <x v="0"/>
    <x v="0"/>
    <s v=""/>
    <s v=""/>
    <s v=""/>
    <s v=""/>
    <s v=""/>
    <s v=""/>
    <d v="1899-12-30T00:00:00"/>
    <d v="1899-12-30T10:00:00"/>
    <d v="1899-12-30T15:00:00"/>
    <d v="1899-12-30T00:00:00"/>
    <d v="1900-01-01T12:00:00"/>
  </r>
  <r>
    <x v="35"/>
    <s v="First Name"/>
    <s v="Last Name"/>
    <x v="0"/>
    <x v="0"/>
    <x v="5"/>
    <b v="0"/>
    <x v="0"/>
    <x v="0"/>
    <x v="0"/>
    <x v="0"/>
    <x v="0"/>
    <x v="0"/>
    <s v=""/>
    <s v=""/>
    <s v=""/>
    <s v=""/>
    <s v=""/>
    <s v=""/>
    <d v="1899-12-30T08:00:00"/>
    <d v="1899-12-30T11:00:00"/>
    <d v="1899-12-30T00:00:00"/>
    <d v="1899-12-30T14:00:00"/>
    <d v="1900-01-01T12:00:00"/>
  </r>
  <r>
    <x v="36"/>
    <s v="First Name"/>
    <s v="Last Name"/>
    <x v="0"/>
    <x v="0"/>
    <x v="13"/>
    <b v="0"/>
    <x v="0"/>
    <x v="0"/>
    <x v="0"/>
    <x v="0"/>
    <x v="0"/>
    <x v="0"/>
    <s v=""/>
    <s v=""/>
    <s v=""/>
    <s v=""/>
    <s v=""/>
    <s v=""/>
    <d v="1899-12-30T08:00:00"/>
    <d v="1899-12-30T11:00:00"/>
    <d v="1899-12-30T00:00:00"/>
    <d v="1899-12-30T14:00:00"/>
    <d v="1900-01-01T12:00:00"/>
  </r>
  <r>
    <x v="37"/>
    <s v="First Name"/>
    <s v="Last Name"/>
    <x v="0"/>
    <x v="0"/>
    <x v="5"/>
    <b v="0"/>
    <x v="0"/>
    <x v="0"/>
    <x v="0"/>
    <x v="0"/>
    <x v="0"/>
    <x v="0"/>
    <s v=""/>
    <s v=""/>
    <s v=""/>
    <s v=""/>
    <s v=""/>
    <s v=""/>
    <d v="1899-12-30T08:00:00"/>
    <d v="1899-12-30T11:00:00"/>
    <d v="1899-12-30T00:00:00"/>
    <d v="1899-12-30T14:00:00"/>
    <d v="1900-01-01T12:00:00"/>
  </r>
  <r>
    <x v="38"/>
    <s v="First Name"/>
    <s v="Last Name"/>
    <x v="0"/>
    <x v="0"/>
    <x v="14"/>
    <b v="0"/>
    <x v="0"/>
    <x v="0"/>
    <x v="0"/>
    <x v="0"/>
    <x v="0"/>
    <x v="0"/>
    <s v=""/>
    <s v=""/>
    <s v=""/>
    <s v=""/>
    <s v=""/>
    <s v=""/>
    <d v="1899-12-30T08:00:00"/>
    <d v="1899-12-30T11:00:00"/>
    <d v="1899-12-30T00:00:00"/>
    <d v="1899-12-30T14:00:00"/>
    <d v="1900-01-01T12:00:00"/>
  </r>
  <r>
    <x v="39"/>
    <s v="First Name"/>
    <s v="Last Name"/>
    <x v="0"/>
    <x v="0"/>
    <x v="0"/>
    <b v="0"/>
    <x v="0"/>
    <x v="0"/>
    <x v="0"/>
    <x v="0"/>
    <x v="0"/>
    <x v="0"/>
    <s v=""/>
    <s v=""/>
    <s v=""/>
    <s v=""/>
    <s v=""/>
    <s v=""/>
    <d v="1899-12-30T00:00:00"/>
    <d v="1899-12-30T00:00:00"/>
    <d v="1899-12-30T00:00:00"/>
    <d v="1899-12-30T00:00:00"/>
    <d v="1899-12-30T00:00:00"/>
  </r>
  <r>
    <x v="40"/>
    <s v="First Name"/>
    <s v="Last Name"/>
    <x v="0"/>
    <x v="2"/>
    <x v="15"/>
    <b v="0"/>
    <x v="0"/>
    <x v="0"/>
    <x v="0"/>
    <x v="0"/>
    <x v="0"/>
    <x v="0"/>
    <s v=""/>
    <s v=""/>
    <s v=""/>
    <s v=""/>
    <s v=""/>
    <s v=""/>
    <d v="1899-12-30T00:00:00"/>
    <d v="1899-12-30T11:00:00"/>
    <d v="1899-12-30T00:00:00"/>
    <d v="1899-12-30T00:00:00"/>
    <d v="1899-12-30T00:00:00"/>
  </r>
  <r>
    <x v="41"/>
    <s v="First Name"/>
    <s v="Last Name"/>
    <x v="0"/>
    <x v="0"/>
    <x v="9"/>
    <b v="0"/>
    <x v="0"/>
    <x v="0"/>
    <x v="0"/>
    <x v="0"/>
    <x v="0"/>
    <x v="0"/>
    <s v=""/>
    <s v=""/>
    <s v=""/>
    <s v=""/>
    <s v=""/>
    <s v=""/>
    <d v="1899-12-30T00:00:00"/>
    <d v="1899-12-30T13:00:00"/>
    <d v="1899-12-30T14:00:00"/>
    <d v="1899-12-30T16:00:00"/>
    <d v="1900-01-04T00:00:00"/>
  </r>
  <r>
    <x v="42"/>
    <s v="First Name"/>
    <s v="Last Name"/>
    <x v="0"/>
    <x v="2"/>
    <x v="9"/>
    <b v="0"/>
    <x v="0"/>
    <x v="0"/>
    <x v="0"/>
    <x v="0"/>
    <x v="0"/>
    <x v="0"/>
    <s v=""/>
    <s v=""/>
    <s v=""/>
    <s v=""/>
    <s v=""/>
    <s v=""/>
    <d v="1899-12-30T00:00:00"/>
    <d v="1899-12-30T13:00:00"/>
    <d v="1899-12-30T14:00:00"/>
    <d v="1899-12-30T16:00:00"/>
    <d v="1900-01-04T00:00:00"/>
  </r>
  <r>
    <x v="43"/>
    <s v="First Name"/>
    <s v="Last Name"/>
    <x v="0"/>
    <x v="0"/>
    <x v="2"/>
    <b v="0"/>
    <x v="0"/>
    <x v="0"/>
    <x v="0"/>
    <x v="0"/>
    <x v="0"/>
    <x v="0"/>
    <s v=""/>
    <s v=""/>
    <s v=""/>
    <s v=""/>
    <s v=""/>
    <s v=""/>
    <d v="1899-12-30T08:00:00"/>
    <d v="1899-12-30T11:00:00"/>
    <d v="1899-12-30T00:00:00"/>
    <d v="1899-12-30T14:00:00"/>
    <d v="1900-01-01T22:00:00"/>
  </r>
  <r>
    <x v="44"/>
    <s v="First Name"/>
    <s v="Last Name"/>
    <x v="0"/>
    <x v="3"/>
    <x v="9"/>
    <b v="1"/>
    <x v="0"/>
    <x v="0"/>
    <x v="0"/>
    <x v="0"/>
    <x v="0"/>
    <x v="0"/>
    <s v=""/>
    <s v=""/>
    <s v=""/>
    <s v=""/>
    <s v=""/>
    <s v=""/>
    <d v="1899-12-30T00:00:00"/>
    <d v="1899-12-30T13:00:00"/>
    <d v="1899-12-30T14:00:00"/>
    <d v="1899-12-30T16:00:00"/>
    <d v="1900-01-04T00:00:00"/>
  </r>
  <r>
    <x v="45"/>
    <s v="First Name"/>
    <s v="Last Name"/>
    <x v="0"/>
    <x v="0"/>
    <x v="0"/>
    <b v="0"/>
    <x v="0"/>
    <x v="0"/>
    <x v="0"/>
    <x v="0"/>
    <x v="0"/>
    <x v="0"/>
    <s v=""/>
    <s v=""/>
    <s v=""/>
    <s v=""/>
    <s v=""/>
    <s v=""/>
    <d v="1899-12-30T00:00:00"/>
    <d v="1899-12-30T00:00:00"/>
    <d v="1899-12-30T00:00:00"/>
    <d v="1899-12-30T00:00:00"/>
    <d v="1899-12-30T00:00:00"/>
  </r>
  <r>
    <x v="46"/>
    <s v="First Name"/>
    <s v="Last Name"/>
    <x v="0"/>
    <x v="0"/>
    <x v="0"/>
    <b v="0"/>
    <x v="0"/>
    <x v="0"/>
    <x v="0"/>
    <x v="0"/>
    <x v="0"/>
    <x v="0"/>
    <s v=""/>
    <s v=""/>
    <s v=""/>
    <s v=""/>
    <s v=""/>
    <s v=""/>
    <d v="1899-12-30T00:00:00"/>
    <d v="1899-12-30T00:00:00"/>
    <d v="1899-12-30T00:00:00"/>
    <d v="1899-12-30T00:00:00"/>
    <d v="1899-12-30T00:00:00"/>
  </r>
  <r>
    <x v="47"/>
    <s v="First Name"/>
    <s v="Last Name"/>
    <x v="0"/>
    <x v="2"/>
    <x v="0"/>
    <b v="0"/>
    <x v="0"/>
    <x v="0"/>
    <x v="0"/>
    <x v="0"/>
    <x v="0"/>
    <x v="0"/>
    <s v=""/>
    <s v=""/>
    <s v=""/>
    <s v=""/>
    <s v=""/>
    <s v=""/>
    <d v="1899-12-30T00:00:00"/>
    <d v="1899-12-30T00:00:00"/>
    <d v="1899-12-30T00:00:00"/>
    <d v="1899-12-30T00:00:00"/>
    <d v="1899-12-30T00:00:00"/>
  </r>
  <r>
    <x v="48"/>
    <s v="First Name"/>
    <s v="Last Name"/>
    <x v="0"/>
    <x v="0"/>
    <x v="5"/>
    <b v="0"/>
    <x v="0"/>
    <x v="0"/>
    <x v="0"/>
    <x v="0"/>
    <x v="0"/>
    <x v="0"/>
    <s v=""/>
    <s v=""/>
    <s v=""/>
    <s v=""/>
    <s v=""/>
    <s v=""/>
    <d v="1899-12-30T08:00:00"/>
    <d v="1899-12-30T11:00:00"/>
    <d v="1899-12-30T00:00:00"/>
    <d v="1899-12-30T14:00:00"/>
    <d v="1900-01-01T12:00:00"/>
  </r>
  <r>
    <x v="49"/>
    <s v="First Name"/>
    <s v="Last Name"/>
    <x v="0"/>
    <x v="2"/>
    <x v="6"/>
    <b v="0"/>
    <x v="0"/>
    <x v="0"/>
    <x v="0"/>
    <x v="0"/>
    <x v="0"/>
    <x v="0"/>
    <s v=""/>
    <s v=""/>
    <s v=""/>
    <s v=""/>
    <s v=""/>
    <s v=""/>
    <d v="1899-12-30T00:00:00"/>
    <d v="1899-12-30T13:00:00"/>
    <d v="1899-12-30T14:00:00"/>
    <d v="1899-12-30T16:00:00"/>
    <d v="1900-01-01T22:00:00"/>
  </r>
  <r>
    <x v="50"/>
    <s v="First Name"/>
    <s v="Last Name"/>
    <x v="0"/>
    <x v="1"/>
    <x v="16"/>
    <b v="1"/>
    <x v="1"/>
    <x v="1"/>
    <x v="0"/>
    <x v="0"/>
    <x v="1"/>
    <x v="1"/>
    <s v="Rest"/>
    <s v=""/>
    <s v=""/>
    <s v="Workday"/>
    <s v="Cycle"/>
    <s v="Rest Workday Cycle"/>
    <d v="1899-12-30T00:00:00"/>
    <d v="1899-12-30T06:10:54"/>
    <d v="1899-12-30T00:00:00"/>
    <d v="1899-12-30T00:00:00"/>
    <d v="1899-12-30T00:00:00"/>
  </r>
  <r>
    <x v="51"/>
    <s v="First Name"/>
    <s v="Last Name"/>
    <x v="0"/>
    <x v="1"/>
    <x v="0"/>
    <b v="1"/>
    <x v="0"/>
    <x v="0"/>
    <x v="0"/>
    <x v="0"/>
    <x v="0"/>
    <x v="0"/>
    <s v=""/>
    <s v=""/>
    <s v=""/>
    <s v=""/>
    <s v=""/>
    <s v=""/>
    <d v="1899-12-30T00:00:00"/>
    <d v="1899-12-30T00:00:00"/>
    <d v="1899-12-30T00:00:00"/>
    <d v="1899-12-30T00:00:00"/>
    <d v="1899-12-30T00:00:00"/>
  </r>
  <r>
    <x v="52"/>
    <s v="First Name"/>
    <s v="Last Name"/>
    <x v="0"/>
    <x v="2"/>
    <x v="0"/>
    <b v="0"/>
    <x v="0"/>
    <x v="0"/>
    <x v="0"/>
    <x v="0"/>
    <x v="0"/>
    <x v="0"/>
    <s v=""/>
    <s v=""/>
    <s v=""/>
    <s v=""/>
    <s v=""/>
    <s v=""/>
    <d v="1899-12-30T00:00:00"/>
    <d v="1899-12-30T00:00:00"/>
    <d v="1899-12-30T00:00:00"/>
    <d v="1899-12-30T00:00:00"/>
    <d v="1899-12-30T00:00:00"/>
  </r>
  <r>
    <x v="53"/>
    <s v="First Name"/>
    <s v="Last Name"/>
    <x v="0"/>
    <x v="0"/>
    <x v="8"/>
    <b v="0"/>
    <x v="0"/>
    <x v="0"/>
    <x v="0"/>
    <x v="0"/>
    <x v="0"/>
    <x v="0"/>
    <s v=""/>
    <s v=""/>
    <s v=""/>
    <s v=""/>
    <s v=""/>
    <s v=""/>
    <d v="1899-12-30T08:00:00"/>
    <d v="1899-12-30T11:00:00"/>
    <d v="1899-12-30T00:00:00"/>
    <d v="1899-12-30T14:00:00"/>
    <d v="1900-01-01T22:00:00"/>
  </r>
  <r>
    <x v="54"/>
    <s v="First Name"/>
    <s v="Last Name"/>
    <x v="0"/>
    <x v="3"/>
    <x v="6"/>
    <b v="1"/>
    <x v="0"/>
    <x v="0"/>
    <x v="0"/>
    <x v="0"/>
    <x v="0"/>
    <x v="0"/>
    <s v=""/>
    <s v=""/>
    <s v=""/>
    <s v=""/>
    <s v=""/>
    <s v=""/>
    <d v="1899-12-30T00:00:00"/>
    <d v="1899-12-30T13:00:00"/>
    <d v="1899-12-30T14:00:00"/>
    <d v="1899-12-30T16:00:00"/>
    <d v="1900-01-01T22:00:00"/>
  </r>
  <r>
    <x v="55"/>
    <s v="First Name"/>
    <s v="Last Name"/>
    <x v="0"/>
    <x v="1"/>
    <x v="2"/>
    <b v="1"/>
    <x v="0"/>
    <x v="0"/>
    <x v="0"/>
    <x v="0"/>
    <x v="0"/>
    <x v="0"/>
    <s v=""/>
    <s v=""/>
    <s v=""/>
    <s v=""/>
    <s v=""/>
    <s v=""/>
    <d v="1899-12-30T08:00:00"/>
    <d v="1899-12-30T11:00:00"/>
    <d v="1899-12-30T00:00:00"/>
    <d v="1899-12-30T14:00:00"/>
    <d v="1900-01-01T22:00:00"/>
  </r>
  <r>
    <x v="56"/>
    <s v="First Name"/>
    <s v="Last Name"/>
    <x v="0"/>
    <x v="0"/>
    <x v="0"/>
    <b v="0"/>
    <x v="0"/>
    <x v="0"/>
    <x v="0"/>
    <x v="0"/>
    <x v="0"/>
    <x v="0"/>
    <s v=""/>
    <s v=""/>
    <s v=""/>
    <s v=""/>
    <s v=""/>
    <s v=""/>
    <d v="1899-12-30T00:00:00"/>
    <d v="1899-12-30T00:00:00"/>
    <d v="1899-12-30T00:00:00"/>
    <d v="1899-12-30T00:00:00"/>
    <d v="1899-12-30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HOS Driver Logs" cacheId="12" applyNumberFormats="0" applyBorderFormats="0" applyFontFormats="0" applyPatternFormats="0" applyAlignmentFormats="0" applyWidthHeightFormats="1" dataCaption="Data" updatedVersion="6" minRefreshableVersion="3" showDrill="0" showMemberPropertyTips="0" rowGrandTotals="0" colGrandTotals="0" itemPrintTitles="1" createdVersion="4" indent="0" compact="0" compactData="0">
  <location ref="A11:I18" firstHeaderRow="1" firstDataRow="1" firstDataCol="9" rowPageCount="1" colPageCount="1"/>
  <pivotFields count="24">
    <pivotField axis="axisRow" compact="0" outline="0" showAll="0" defaultSubtotal="0">
      <items count="57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0"/>
        <item x="51"/>
        <item x="52"/>
        <item x="53"/>
        <item x="54"/>
        <item x="55"/>
        <item x="56"/>
        <item x="5"/>
        <item x="6"/>
        <item x="7"/>
        <item x="8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4">
        <item x="1"/>
        <item x="0"/>
        <item x="2"/>
        <item x="3"/>
      </items>
    </pivotField>
    <pivotField axis="axisRow" compact="0" outline="0" showAll="0" defaultSubtotal="0">
      <items count="17">
        <item x="5"/>
        <item x="1"/>
        <item x="12"/>
        <item x="2"/>
        <item x="8"/>
        <item x="4"/>
        <item x="7"/>
        <item x="6"/>
        <item x="9"/>
        <item x="3"/>
        <item x="10"/>
        <item x="0"/>
        <item x="16"/>
        <item x="15"/>
        <item x="14"/>
        <item x="13"/>
        <item x="11"/>
      </items>
    </pivotField>
    <pivotField compact="0" outline="0" showAll="0" defaultSubtotal="0"/>
    <pivotField axis="axisPage" compact="0" outline="0" multipleItemSelectionAllowed="1" showAll="0" defaultSubtotal="0">
      <items count="4">
        <item h="1" m="1" x="2"/>
        <item m="1" x="3"/>
        <item h="1" x="0"/>
        <item x="1"/>
      </items>
    </pivotField>
    <pivotField name="**Rest" axis="axisRow" compact="0" numFmtId="1" outline="0" showAll="0" defaultSubtotal="0">
      <items count="2">
        <item x="1"/>
        <item x="0"/>
      </items>
    </pivotField>
    <pivotField name="**Driving" axis="axisRow" compact="0" numFmtId="1" outline="0" showAll="0" defaultSubtotal="0">
      <items count="2">
        <item x="1"/>
        <item x="0"/>
      </items>
    </pivotField>
    <pivotField name="**Duty" axis="axisRow" compact="0" numFmtId="1" outline="0" showAll="0" defaultSubtotal="0">
      <items count="2">
        <item x="1"/>
        <item x="0"/>
      </items>
    </pivotField>
    <pivotField name="**Workday" axis="axisRow" compact="0" numFmtId="1" outline="0" showAll="0" defaultSubtotal="0">
      <items count="2">
        <item x="1"/>
        <item x="0"/>
      </items>
    </pivotField>
    <pivotField name="**Cycle" axis="axisRow" compact="0" numFmtId="1" outline="0" showAll="0" defaultSubtotal="0">
      <items count="2">
        <item x="1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9" outline="0" subtotalTop="0" showAll="0" defaultSubtotal="0"/>
    <pivotField compact="0" numFmtId="169" outline="0" subtotalTop="0" showAll="0" defaultSubtotal="0"/>
    <pivotField compact="0" numFmtId="169" outline="0" subtotalTop="0" showAll="0" defaultSubtotal="0"/>
    <pivotField compact="0" numFmtId="169" outline="0" subtotalTop="0" showAll="0" defaultSubtotal="0"/>
    <pivotField compact="0" numFmtId="169" outline="0" subtotalTop="0" showAll="0" defaultSubtotal="0"/>
  </pivotFields>
  <rowFields count="9">
    <field x="0"/>
    <field x="3"/>
    <field x="5"/>
    <field x="4"/>
    <field x="8"/>
    <field x="9"/>
    <field x="10"/>
    <field x="11"/>
    <field x="12"/>
  </rowFields>
  <rowItems count="7">
    <i>
      <x v="7"/>
      <x/>
      <x v="3"/>
      <x v="3"/>
      <x/>
      <x/>
      <x v="1"/>
      <x/>
      <x/>
    </i>
    <i>
      <x v="9"/>
      <x/>
      <x v="4"/>
      <x/>
      <x/>
      <x v="1"/>
      <x v="1"/>
      <x/>
      <x/>
    </i>
    <i>
      <x v="15"/>
      <x/>
      <x/>
      <x/>
      <x/>
      <x v="1"/>
      <x v="1"/>
      <x/>
      <x/>
    </i>
    <i>
      <x v="17"/>
      <x/>
      <x/>
      <x/>
      <x/>
      <x v="1"/>
      <x v="1"/>
      <x/>
      <x/>
    </i>
    <i>
      <x v="23"/>
      <x/>
      <x v="1"/>
      <x v="3"/>
      <x/>
      <x v="1"/>
      <x v="1"/>
      <x/>
      <x/>
    </i>
    <i>
      <x v="46"/>
      <x/>
      <x v="12"/>
      <x/>
      <x/>
      <x v="1"/>
      <x v="1"/>
      <x/>
      <x/>
    </i>
    <i>
      <x v="53"/>
      <x/>
      <x v="5"/>
      <x/>
      <x v="1"/>
      <x v="1"/>
      <x/>
      <x/>
      <x/>
    </i>
  </rowItems>
  <colItems count="1">
    <i/>
  </colItems>
  <pageFields count="1">
    <pageField fld="7" hier="-1"/>
  </pageFields>
  <formats count="92">
    <format dxfId="187">
      <pivotArea dataOnly="0" labelOnly="1" outline="0" fieldPosition="0">
        <references count="1">
          <reference field="8" count="0"/>
        </references>
      </pivotArea>
    </format>
    <format dxfId="186">
      <pivotArea field="8" type="button" dataOnly="0" labelOnly="1" outline="0" axis="axisRow" fieldPosition="4"/>
    </format>
    <format dxfId="185">
      <pivotArea field="9" type="button" dataOnly="0" labelOnly="1" outline="0" axis="axisRow" fieldPosition="5"/>
    </format>
    <format dxfId="184">
      <pivotArea field="10" type="button" dataOnly="0" labelOnly="1" outline="0" axis="axisRow" fieldPosition="6"/>
    </format>
    <format dxfId="183">
      <pivotArea field="11" type="button" dataOnly="0" labelOnly="1" outline="0" axis="axisRow" fieldPosition="7"/>
    </format>
    <format dxfId="182">
      <pivotArea field="12" type="button" dataOnly="0" labelOnly="1" outline="0" axis="axisRow" fieldPosition="8"/>
    </format>
    <format dxfId="181">
      <pivotArea dataOnly="0" labelOnly="1" outline="0" fieldPosition="0">
        <references count="1">
          <reference field="9" count="0"/>
        </references>
      </pivotArea>
    </format>
    <format dxfId="180">
      <pivotArea dataOnly="0" labelOnly="1" outline="0" fieldPosition="0">
        <references count="1">
          <reference field="10" count="0"/>
        </references>
      </pivotArea>
    </format>
    <format dxfId="179">
      <pivotArea dataOnly="0" labelOnly="1" outline="0" fieldPosition="0">
        <references count="1">
          <reference field="11" count="0"/>
        </references>
      </pivotArea>
    </format>
    <format dxfId="178">
      <pivotArea dataOnly="0" labelOnly="1" outline="0" fieldPosition="0">
        <references count="1">
          <reference field="12" count="0"/>
        </references>
      </pivotArea>
    </format>
    <format dxfId="177">
      <pivotArea type="all" dataOnly="0" outline="0" fieldPosition="0"/>
    </format>
    <format dxfId="176">
      <pivotArea field="0" type="button" dataOnly="0" labelOnly="1" outline="0" axis="axisRow" fieldPosition="0"/>
    </format>
    <format dxfId="175">
      <pivotArea field="3" type="button" dataOnly="0" labelOnly="1" outline="0" axis="axisRow" fieldPosition="1"/>
    </format>
    <format dxfId="174">
      <pivotArea field="5" type="button" dataOnly="0" labelOnly="1" outline="0" axis="axisRow" fieldPosition="2"/>
    </format>
    <format dxfId="173">
      <pivotArea field="4" type="button" dataOnly="0" labelOnly="1" outline="0" axis="axisRow" fieldPosition="3"/>
    </format>
    <format dxfId="172">
      <pivotArea field="8" type="button" dataOnly="0" labelOnly="1" outline="0" axis="axisRow" fieldPosition="4"/>
    </format>
    <format dxfId="171">
      <pivotArea field="9" type="button" dataOnly="0" labelOnly="1" outline="0" axis="axisRow" fieldPosition="5"/>
    </format>
    <format dxfId="170">
      <pivotArea field="10" type="button" dataOnly="0" labelOnly="1" outline="0" axis="axisRow" fieldPosition="6"/>
    </format>
    <format dxfId="169">
      <pivotArea field="11" type="button" dataOnly="0" labelOnly="1" outline="0" axis="axisRow" fieldPosition="7"/>
    </format>
    <format dxfId="168">
      <pivotArea field="12" type="button" dataOnly="0" labelOnly="1" outline="0" axis="axisRow" fieldPosition="8"/>
    </format>
    <format dxfId="167">
      <pivotArea dataOnly="0" labelOnly="1" outline="0" fieldPosition="0">
        <references count="1">
          <reference field="0" count="9">
            <x v="7"/>
            <x v="9"/>
            <x v="15"/>
            <x v="17"/>
            <x v="23"/>
            <x v="39"/>
            <x v="46"/>
            <x v="50"/>
            <x v="53"/>
          </reference>
        </references>
      </pivotArea>
    </format>
    <format dxfId="166">
      <pivotArea dataOnly="0" labelOnly="1" outline="0" fieldPosition="0">
        <references count="2">
          <reference field="0" count="1" selected="0">
            <x v="7"/>
          </reference>
          <reference field="3" count="0"/>
        </references>
      </pivotArea>
    </format>
    <format dxfId="165">
      <pivotArea dataOnly="0" labelOnly="1" outline="0" fieldPosition="0">
        <references count="3">
          <reference field="0" count="1" selected="0">
            <x v="7"/>
          </reference>
          <reference field="3" count="0" selected="0"/>
          <reference field="5" count="1">
            <x v="3"/>
          </reference>
        </references>
      </pivotArea>
    </format>
    <format dxfId="164">
      <pivotArea dataOnly="0" labelOnly="1" outline="0" fieldPosition="0">
        <references count="3">
          <reference field="0" count="1" selected="0">
            <x v="9"/>
          </reference>
          <reference field="3" count="0" selected="0"/>
          <reference field="5" count="1">
            <x v="4"/>
          </reference>
        </references>
      </pivotArea>
    </format>
    <format dxfId="163">
      <pivotArea dataOnly="0" labelOnly="1" outline="0" fieldPosition="0">
        <references count="3">
          <reference field="0" count="1" selected="0">
            <x v="15"/>
          </reference>
          <reference field="3" count="0" selected="0"/>
          <reference field="5" count="1">
            <x v="0"/>
          </reference>
        </references>
      </pivotArea>
    </format>
    <format dxfId="162">
      <pivotArea dataOnly="0" labelOnly="1" outline="0" fieldPosition="0">
        <references count="3">
          <reference field="0" count="1" selected="0">
            <x v="23"/>
          </reference>
          <reference field="3" count="0" selected="0"/>
          <reference field="5" count="1">
            <x v="1"/>
          </reference>
        </references>
      </pivotArea>
    </format>
    <format dxfId="161">
      <pivotArea dataOnly="0" labelOnly="1" outline="0" fieldPosition="0">
        <references count="3">
          <reference field="0" count="1" selected="0">
            <x v="39"/>
          </reference>
          <reference field="3" count="0" selected="0"/>
          <reference field="5" count="1">
            <x v="8"/>
          </reference>
        </references>
      </pivotArea>
    </format>
    <format dxfId="160">
      <pivotArea dataOnly="0" labelOnly="1" outline="0" fieldPosition="0">
        <references count="3">
          <reference field="0" count="1" selected="0">
            <x v="46"/>
          </reference>
          <reference field="3" count="0" selected="0"/>
          <reference field="5" count="1">
            <x v="12"/>
          </reference>
        </references>
      </pivotArea>
    </format>
    <format dxfId="159">
      <pivotArea dataOnly="0" labelOnly="1" outline="0" fieldPosition="0">
        <references count="3">
          <reference field="0" count="1" selected="0">
            <x v="50"/>
          </reference>
          <reference field="3" count="0" selected="0"/>
          <reference field="5" count="1">
            <x v="7"/>
          </reference>
        </references>
      </pivotArea>
    </format>
    <format dxfId="158">
      <pivotArea dataOnly="0" labelOnly="1" outline="0" fieldPosition="0">
        <references count="3">
          <reference field="0" count="1" selected="0">
            <x v="53"/>
          </reference>
          <reference field="3" count="0" selected="0"/>
          <reference field="5" count="1">
            <x v="5"/>
          </reference>
        </references>
      </pivotArea>
    </format>
    <format dxfId="157">
      <pivotArea dataOnly="0" labelOnly="1" outline="0" fieldPosition="0">
        <references count="4">
          <reference field="0" count="1" selected="0">
            <x v="7"/>
          </reference>
          <reference field="3" count="0" selected="0"/>
          <reference field="4" count="1">
            <x v="3"/>
          </reference>
          <reference field="5" count="1" selected="0">
            <x v="3"/>
          </reference>
        </references>
      </pivotArea>
    </format>
    <format dxfId="156">
      <pivotArea dataOnly="0" labelOnly="1" outline="0" fieldPosition="0">
        <references count="4">
          <reference field="0" count="1" selected="0">
            <x v="9"/>
          </reference>
          <reference field="3" count="0" selected="0"/>
          <reference field="4" count="1">
            <x v="0"/>
          </reference>
          <reference field="5" count="1" selected="0">
            <x v="4"/>
          </reference>
        </references>
      </pivotArea>
    </format>
    <format dxfId="155">
      <pivotArea dataOnly="0" labelOnly="1" outline="0" fieldPosition="0">
        <references count="4">
          <reference field="0" count="1" selected="0">
            <x v="23"/>
          </reference>
          <reference field="3" count="0" selected="0"/>
          <reference field="4" count="1">
            <x v="3"/>
          </reference>
          <reference field="5" count="1" selected="0">
            <x v="1"/>
          </reference>
        </references>
      </pivotArea>
    </format>
    <format dxfId="154">
      <pivotArea dataOnly="0" labelOnly="1" outline="0" fieldPosition="0">
        <references count="4">
          <reference field="0" count="1" selected="0">
            <x v="46"/>
          </reference>
          <reference field="3" count="0" selected="0"/>
          <reference field="4" count="1">
            <x v="0"/>
          </reference>
          <reference field="5" count="1" selected="0">
            <x v="12"/>
          </reference>
        </references>
      </pivotArea>
    </format>
    <format dxfId="153">
      <pivotArea dataOnly="0" labelOnly="1" outline="0" fieldPosition="0">
        <references count="4">
          <reference field="0" count="1" selected="0">
            <x v="50"/>
          </reference>
          <reference field="3" count="0" selected="0"/>
          <reference field="4" count="1">
            <x v="3"/>
          </reference>
          <reference field="5" count="1" selected="0">
            <x v="7"/>
          </reference>
        </references>
      </pivotArea>
    </format>
    <format dxfId="152">
      <pivotArea dataOnly="0" labelOnly="1" outline="0" fieldPosition="0">
        <references count="4">
          <reference field="0" count="1" selected="0">
            <x v="53"/>
          </reference>
          <reference field="3" count="0" selected="0"/>
          <reference field="4" count="1">
            <x v="0"/>
          </reference>
          <reference field="5" count="1" selected="0">
            <x v="5"/>
          </reference>
        </references>
      </pivotArea>
    </format>
    <format dxfId="151">
      <pivotArea dataOnly="0" labelOnly="1" outline="0" fieldPosition="0">
        <references count="5">
          <reference field="0" count="1" selected="0">
            <x v="7"/>
          </reference>
          <reference field="3" count="0" selected="0"/>
          <reference field="4" count="1" selected="0">
            <x v="3"/>
          </reference>
          <reference field="5" count="1" selected="0">
            <x v="3"/>
          </reference>
          <reference field="8" count="1">
            <x v="0"/>
          </reference>
        </references>
      </pivotArea>
    </format>
    <format dxfId="150">
      <pivotArea dataOnly="0" labelOnly="1" outline="0" fieldPosition="0">
        <references count="5">
          <reference field="0" count="1" selected="0">
            <x v="53"/>
          </reference>
          <reference field="3" count="0" selected="0"/>
          <reference field="4" count="1" selected="0">
            <x v="0"/>
          </reference>
          <reference field="5" count="1" selected="0">
            <x v="5"/>
          </reference>
          <reference field="8" count="1">
            <x v="1"/>
          </reference>
        </references>
      </pivotArea>
    </format>
    <format dxfId="149">
      <pivotArea dataOnly="0" labelOnly="1" outline="0" fieldPosition="0">
        <references count="6">
          <reference field="0" count="1" selected="0">
            <x v="7"/>
          </reference>
          <reference field="3" count="0" selected="0"/>
          <reference field="4" count="1" selected="0">
            <x v="3"/>
          </reference>
          <reference field="5" count="1" selected="0">
            <x v="3"/>
          </reference>
          <reference field="8" count="1" selected="0">
            <x v="0"/>
          </reference>
          <reference field="9" count="1">
            <x v="0"/>
          </reference>
        </references>
      </pivotArea>
    </format>
    <format dxfId="148">
      <pivotArea dataOnly="0" labelOnly="1" outline="0" fieldPosition="0">
        <references count="6">
          <reference field="0" count="1" selected="0">
            <x v="9"/>
          </reference>
          <reference field="3" count="0" selected="0"/>
          <reference field="4" count="1" selected="0">
            <x v="0"/>
          </reference>
          <reference field="5" count="1" selected="0">
            <x v="4"/>
          </reference>
          <reference field="8" count="1" selected="0">
            <x v="0"/>
          </reference>
          <reference field="9" count="1">
            <x v="1"/>
          </reference>
        </references>
      </pivotArea>
    </format>
    <format dxfId="147">
      <pivotArea dataOnly="0" labelOnly="1" outline="0" fieldPosition="0">
        <references count="7">
          <reference field="0" count="1" selected="0">
            <x v="7"/>
          </reference>
          <reference field="3" count="0" selected="0"/>
          <reference field="4" count="1" selected="0">
            <x v="3"/>
          </reference>
          <reference field="5" count="1" selected="0">
            <x v="3"/>
          </reference>
          <reference field="8" count="1" selected="0">
            <x v="0"/>
          </reference>
          <reference field="9" count="1" selected="0">
            <x v="0"/>
          </reference>
          <reference field="10" count="1">
            <x v="1"/>
          </reference>
        </references>
      </pivotArea>
    </format>
    <format dxfId="146">
      <pivotArea dataOnly="0" labelOnly="1" outline="0" fieldPosition="0">
        <references count="7">
          <reference field="0" count="1" selected="0">
            <x v="53"/>
          </reference>
          <reference field="3" count="0" selected="0"/>
          <reference field="4" count="1" selected="0">
            <x v="0"/>
          </reference>
          <reference field="5" count="1" selected="0">
            <x v="5"/>
          </reference>
          <reference field="8" count="1" selected="0">
            <x v="1"/>
          </reference>
          <reference field="9" count="1" selected="0">
            <x v="1"/>
          </reference>
          <reference field="10" count="1">
            <x v="0"/>
          </reference>
        </references>
      </pivotArea>
    </format>
    <format dxfId="145">
      <pivotArea dataOnly="0" labelOnly="1" outline="0" fieldPosition="0">
        <references count="8">
          <reference field="0" count="1" selected="0">
            <x v="7"/>
          </reference>
          <reference field="3" count="0" selected="0"/>
          <reference field="4" count="1" selected="0">
            <x v="3"/>
          </reference>
          <reference field="5" count="1" selected="0">
            <x v="3"/>
          </reference>
          <reference field="8" count="1" selected="0">
            <x v="0"/>
          </reference>
          <reference field="9" count="1" selected="0">
            <x v="0"/>
          </reference>
          <reference field="10" count="1" selected="0">
            <x v="1"/>
          </reference>
          <reference field="11" count="1">
            <x v="0"/>
          </reference>
        </references>
      </pivotArea>
    </format>
    <format dxfId="144">
      <pivotArea dataOnly="0" labelOnly="1" outline="0" fieldPosition="0">
        <references count="8">
          <reference field="0" count="1" selected="0">
            <x v="39"/>
          </reference>
          <reference field="3" count="0" selected="0"/>
          <reference field="4" count="1" selected="0">
            <x v="3"/>
          </reference>
          <reference field="5" count="1" selected="0">
            <x v="8"/>
          </reference>
          <reference field="8" count="1" selected="0">
            <x v="0"/>
          </reference>
          <reference field="9" count="1" selected="0">
            <x v="1"/>
          </reference>
          <reference field="10" count="1" selected="0">
            <x v="1"/>
          </reference>
          <reference field="11" count="1">
            <x v="1"/>
          </reference>
        </references>
      </pivotArea>
    </format>
    <format dxfId="143">
      <pivotArea dataOnly="0" labelOnly="1" outline="0" fieldPosition="0">
        <references count="8">
          <reference field="0" count="1" selected="0">
            <x v="46"/>
          </reference>
          <reference field="3" count="0" selected="0"/>
          <reference field="4" count="1" selected="0">
            <x v="0"/>
          </reference>
          <reference field="5" count="1" selected="0">
            <x v="12"/>
          </reference>
          <reference field="8" count="1" selected="0">
            <x v="0"/>
          </reference>
          <reference field="9" count="1" selected="0">
            <x v="1"/>
          </reference>
          <reference field="10" count="1" selected="0">
            <x v="1"/>
          </reference>
          <reference field="11" count="1">
            <x v="0"/>
          </reference>
        </references>
      </pivotArea>
    </format>
    <format dxfId="142">
      <pivotArea dataOnly="0" labelOnly="1" outline="0" fieldPosition="0">
        <references count="8">
          <reference field="0" count="1" selected="0">
            <x v="50"/>
          </reference>
          <reference field="3" count="0" selected="0"/>
          <reference field="4" count="1" selected="0">
            <x v="3"/>
          </reference>
          <reference field="5" count="1" selected="0">
            <x v="7"/>
          </reference>
          <reference field="8" count="1" selected="0">
            <x v="0"/>
          </reference>
          <reference field="9" count="1" selected="0">
            <x v="1"/>
          </reference>
          <reference field="10" count="1" selected="0">
            <x v="1"/>
          </reference>
          <reference field="11" count="1">
            <x v="1"/>
          </reference>
        </references>
      </pivotArea>
    </format>
    <format dxfId="141">
      <pivotArea dataOnly="0" labelOnly="1" outline="0" fieldPosition="0">
        <references count="8">
          <reference field="0" count="1" selected="0">
            <x v="53"/>
          </reference>
          <reference field="3" count="0" selected="0"/>
          <reference field="4" count="1" selected="0">
            <x v="0"/>
          </reference>
          <reference field="5" count="1" selected="0">
            <x v="5"/>
          </reference>
          <reference field="8" count="1" selected="0">
            <x v="1"/>
          </reference>
          <reference field="9" count="1" selected="0">
            <x v="1"/>
          </reference>
          <reference field="10" count="1" selected="0">
            <x v="0"/>
          </reference>
          <reference field="11" count="1">
            <x v="0"/>
          </reference>
        </references>
      </pivotArea>
    </format>
    <format dxfId="140">
      <pivotArea dataOnly="0" labelOnly="1" outline="0" fieldPosition="0">
        <references count="9">
          <reference field="0" count="1" selected="0">
            <x v="7"/>
          </reference>
          <reference field="3" count="0" selected="0"/>
          <reference field="4" count="1" selected="0">
            <x v="3"/>
          </reference>
          <reference field="5" count="1" selected="0">
            <x v="3"/>
          </reference>
          <reference field="8" count="1" selected="0">
            <x v="0"/>
          </reference>
          <reference field="9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139">
      <pivotArea dataOnly="0" labelOnly="1" outline="0" fieldPosition="0">
        <references count="9">
          <reference field="0" count="1" selected="0">
            <x v="9"/>
          </reference>
          <reference field="3" count="0" selected="0"/>
          <reference field="4" count="1" selected="0">
            <x v="0"/>
          </reference>
          <reference field="5" count="1" selected="0">
            <x v="4"/>
          </reference>
          <reference field="8" count="1" selected="0">
            <x v="0"/>
          </reference>
          <reference field="9" count="1" selected="0">
            <x v="1"/>
          </reference>
          <reference field="10" count="1" selected="0">
            <x v="1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138">
      <pivotArea dataOnly="0" labelOnly="1" outline="0" fieldPosition="0">
        <references count="9">
          <reference field="0" count="1" selected="0">
            <x v="15"/>
          </reference>
          <reference field="3" count="0" selected="0"/>
          <reference field="4" count="1" selected="0">
            <x v="0"/>
          </reference>
          <reference field="5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  <reference field="10" count="1" selected="0">
            <x v="1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137">
      <pivotArea dataOnly="0" labelOnly="1" outline="0" fieldPosition="0">
        <references count="9">
          <reference field="0" count="1" selected="0">
            <x v="17"/>
          </reference>
          <reference field="3" count="0" selected="0"/>
          <reference field="4" count="1" selected="0">
            <x v="0"/>
          </reference>
          <reference field="5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  <reference field="10" count="1" selected="0">
            <x v="1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136">
      <pivotArea dataOnly="0" labelOnly="1" outline="0" fieldPosition="0">
        <references count="9">
          <reference field="0" count="1" selected="0">
            <x v="23"/>
          </reference>
          <reference field="3" count="0" selected="0"/>
          <reference field="4" count="1" selected="0">
            <x v="3"/>
          </reference>
          <reference field="5" count="1" selected="0">
            <x v="1"/>
          </reference>
          <reference field="8" count="1" selected="0">
            <x v="0"/>
          </reference>
          <reference field="9" count="1" selected="0">
            <x v="1"/>
          </reference>
          <reference field="10" count="1" selected="0">
            <x v="1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135">
      <pivotArea dataOnly="0" labelOnly="1" outline="0" fieldPosition="0">
        <references count="9">
          <reference field="0" count="1" selected="0">
            <x v="39"/>
          </reference>
          <reference field="3" count="0" selected="0"/>
          <reference field="4" count="1" selected="0">
            <x v="3"/>
          </reference>
          <reference field="5" count="1" selected="0">
            <x v="8"/>
          </reference>
          <reference field="8" count="1" selected="0">
            <x v="0"/>
          </reference>
          <reference field="9" count="1" selected="0">
            <x v="1"/>
          </reference>
          <reference field="10" count="1" selected="0">
            <x v="1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134">
      <pivotArea dataOnly="0" labelOnly="1" outline="0" fieldPosition="0">
        <references count="9">
          <reference field="0" count="1" selected="0">
            <x v="46"/>
          </reference>
          <reference field="3" count="0" selected="0"/>
          <reference field="4" count="1" selected="0">
            <x v="0"/>
          </reference>
          <reference field="5" count="1" selected="0">
            <x v="12"/>
          </reference>
          <reference field="8" count="1" selected="0">
            <x v="0"/>
          </reference>
          <reference field="9" count="1" selected="0">
            <x v="1"/>
          </reference>
          <reference field="10" count="1" selected="0">
            <x v="1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133">
      <pivotArea dataOnly="0" labelOnly="1" outline="0" fieldPosition="0">
        <references count="9">
          <reference field="0" count="1" selected="0">
            <x v="50"/>
          </reference>
          <reference field="3" count="0" selected="0"/>
          <reference field="4" count="1" selected="0">
            <x v="3"/>
          </reference>
          <reference field="5" count="1" selected="0">
            <x v="7"/>
          </reference>
          <reference field="8" count="1" selected="0">
            <x v="0"/>
          </reference>
          <reference field="9" count="1" selected="0">
            <x v="1"/>
          </reference>
          <reference field="10" count="1" selected="0">
            <x v="1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132">
      <pivotArea dataOnly="0" labelOnly="1" outline="0" fieldPosition="0">
        <references count="9">
          <reference field="0" count="1" selected="0">
            <x v="53"/>
          </reference>
          <reference field="3" count="0" selected="0"/>
          <reference field="4" count="1" selected="0">
            <x v="0"/>
          </reference>
          <reference field="5" count="1" selected="0">
            <x v="5"/>
          </reference>
          <reference field="8" count="1" selected="0">
            <x v="1"/>
          </reference>
          <reference field="9" count="1" selected="0">
            <x v="1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131">
      <pivotArea type="all" dataOnly="0" outline="0" fieldPosition="0"/>
    </format>
    <format dxfId="130">
      <pivotArea dataOnly="0" labelOnly="1" outline="0" fieldPosition="0">
        <references count="1">
          <reference field="0" count="7">
            <x v="7"/>
            <x v="9"/>
            <x v="15"/>
            <x v="17"/>
            <x v="23"/>
            <x v="46"/>
            <x v="53"/>
          </reference>
        </references>
      </pivotArea>
    </format>
    <format dxfId="129">
      <pivotArea dataOnly="0" labelOnly="1" outline="0" fieldPosition="0">
        <references count="2">
          <reference field="0" count="1" selected="0">
            <x v="7"/>
          </reference>
          <reference field="3" count="0"/>
        </references>
      </pivotArea>
    </format>
    <format dxfId="128">
      <pivotArea dataOnly="0" labelOnly="1" outline="0" fieldPosition="0">
        <references count="3">
          <reference field="0" count="1" selected="0">
            <x v="7"/>
          </reference>
          <reference field="3" count="0" selected="0"/>
          <reference field="5" count="1">
            <x v="3"/>
          </reference>
        </references>
      </pivotArea>
    </format>
    <format dxfId="127">
      <pivotArea dataOnly="0" labelOnly="1" outline="0" fieldPosition="0">
        <references count="3">
          <reference field="0" count="1" selected="0">
            <x v="9"/>
          </reference>
          <reference field="3" count="0" selected="0"/>
          <reference field="5" count="1">
            <x v="4"/>
          </reference>
        </references>
      </pivotArea>
    </format>
    <format dxfId="126">
      <pivotArea dataOnly="0" labelOnly="1" outline="0" fieldPosition="0">
        <references count="3">
          <reference field="0" count="1" selected="0">
            <x v="15"/>
          </reference>
          <reference field="3" count="0" selected="0"/>
          <reference field="5" count="1">
            <x v="0"/>
          </reference>
        </references>
      </pivotArea>
    </format>
    <format dxfId="125">
      <pivotArea dataOnly="0" labelOnly="1" outline="0" fieldPosition="0">
        <references count="3">
          <reference field="0" count="1" selected="0">
            <x v="23"/>
          </reference>
          <reference field="3" count="0" selected="0"/>
          <reference field="5" count="1">
            <x v="1"/>
          </reference>
        </references>
      </pivotArea>
    </format>
    <format dxfId="124">
      <pivotArea dataOnly="0" labelOnly="1" outline="0" fieldPosition="0">
        <references count="3">
          <reference field="0" count="1" selected="0">
            <x v="46"/>
          </reference>
          <reference field="3" count="0" selected="0"/>
          <reference field="5" count="1">
            <x v="12"/>
          </reference>
        </references>
      </pivotArea>
    </format>
    <format dxfId="123">
      <pivotArea dataOnly="0" labelOnly="1" outline="0" fieldPosition="0">
        <references count="3">
          <reference field="0" count="1" selected="0">
            <x v="53"/>
          </reference>
          <reference field="3" count="0" selected="0"/>
          <reference field="5" count="1">
            <x v="5"/>
          </reference>
        </references>
      </pivotArea>
    </format>
    <format dxfId="122">
      <pivotArea dataOnly="0" labelOnly="1" outline="0" fieldPosition="0">
        <references count="4">
          <reference field="0" count="1" selected="0">
            <x v="7"/>
          </reference>
          <reference field="3" count="0" selected="0"/>
          <reference field="4" count="1">
            <x v="3"/>
          </reference>
          <reference field="5" count="1" selected="0">
            <x v="3"/>
          </reference>
        </references>
      </pivotArea>
    </format>
    <format dxfId="121">
      <pivotArea dataOnly="0" labelOnly="1" outline="0" fieldPosition="0">
        <references count="4">
          <reference field="0" count="1" selected="0">
            <x v="9"/>
          </reference>
          <reference field="3" count="0" selected="0"/>
          <reference field="4" count="1">
            <x v="0"/>
          </reference>
          <reference field="5" count="1" selected="0">
            <x v="4"/>
          </reference>
        </references>
      </pivotArea>
    </format>
    <format dxfId="120">
      <pivotArea dataOnly="0" labelOnly="1" outline="0" fieldPosition="0">
        <references count="4">
          <reference field="0" count="1" selected="0">
            <x v="23"/>
          </reference>
          <reference field="3" count="0" selected="0"/>
          <reference field="4" count="1">
            <x v="3"/>
          </reference>
          <reference field="5" count="1" selected="0">
            <x v="1"/>
          </reference>
        </references>
      </pivotArea>
    </format>
    <format dxfId="119">
      <pivotArea dataOnly="0" labelOnly="1" outline="0" fieldPosition="0">
        <references count="4">
          <reference field="0" count="1" selected="0">
            <x v="46"/>
          </reference>
          <reference field="3" count="0" selected="0"/>
          <reference field="4" count="1">
            <x v="0"/>
          </reference>
          <reference field="5" count="1" selected="0">
            <x v="12"/>
          </reference>
        </references>
      </pivotArea>
    </format>
    <format dxfId="118">
      <pivotArea dataOnly="0" labelOnly="1" outline="0" fieldPosition="0">
        <references count="5">
          <reference field="0" count="1" selected="0">
            <x v="7"/>
          </reference>
          <reference field="3" count="0" selected="0"/>
          <reference field="4" count="1" selected="0">
            <x v="3"/>
          </reference>
          <reference field="5" count="1" selected="0">
            <x v="3"/>
          </reference>
          <reference field="8" count="1">
            <x v="0"/>
          </reference>
        </references>
      </pivotArea>
    </format>
    <format dxfId="117">
      <pivotArea dataOnly="0" labelOnly="1" outline="0" fieldPosition="0">
        <references count="5">
          <reference field="0" count="1" selected="0">
            <x v="53"/>
          </reference>
          <reference field="3" count="0" selected="0"/>
          <reference field="4" count="1" selected="0">
            <x v="0"/>
          </reference>
          <reference field="5" count="1" selected="0">
            <x v="5"/>
          </reference>
          <reference field="8" count="1">
            <x v="1"/>
          </reference>
        </references>
      </pivotArea>
    </format>
    <format dxfId="116">
      <pivotArea dataOnly="0" labelOnly="1" outline="0" fieldPosition="0">
        <references count="6">
          <reference field="0" count="1" selected="0">
            <x v="7"/>
          </reference>
          <reference field="3" count="0" selected="0"/>
          <reference field="4" count="1" selected="0">
            <x v="3"/>
          </reference>
          <reference field="5" count="1" selected="0">
            <x v="3"/>
          </reference>
          <reference field="8" count="1" selected="0">
            <x v="0"/>
          </reference>
          <reference field="9" count="1">
            <x v="0"/>
          </reference>
        </references>
      </pivotArea>
    </format>
    <format dxfId="115">
      <pivotArea dataOnly="0" labelOnly="1" outline="0" fieldPosition="0">
        <references count="6">
          <reference field="0" count="1" selected="0">
            <x v="9"/>
          </reference>
          <reference field="3" count="0" selected="0"/>
          <reference field="4" count="1" selected="0">
            <x v="0"/>
          </reference>
          <reference field="5" count="1" selected="0">
            <x v="4"/>
          </reference>
          <reference field="8" count="1" selected="0">
            <x v="0"/>
          </reference>
          <reference field="9" count="1">
            <x v="1"/>
          </reference>
        </references>
      </pivotArea>
    </format>
    <format dxfId="114">
      <pivotArea dataOnly="0" labelOnly="1" outline="0" fieldPosition="0">
        <references count="7">
          <reference field="0" count="1" selected="0">
            <x v="7"/>
          </reference>
          <reference field="3" count="0" selected="0"/>
          <reference field="4" count="1" selected="0">
            <x v="3"/>
          </reference>
          <reference field="5" count="1" selected="0">
            <x v="3"/>
          </reference>
          <reference field="8" count="1" selected="0">
            <x v="0"/>
          </reference>
          <reference field="9" count="1" selected="0">
            <x v="0"/>
          </reference>
          <reference field="10" count="1">
            <x v="1"/>
          </reference>
        </references>
      </pivotArea>
    </format>
    <format dxfId="113">
      <pivotArea dataOnly="0" labelOnly="1" outline="0" fieldPosition="0">
        <references count="7">
          <reference field="0" count="1" selected="0">
            <x v="53"/>
          </reference>
          <reference field="3" count="0" selected="0"/>
          <reference field="4" count="1" selected="0">
            <x v="0"/>
          </reference>
          <reference field="5" count="1" selected="0">
            <x v="5"/>
          </reference>
          <reference field="8" count="1" selected="0">
            <x v="1"/>
          </reference>
          <reference field="9" count="1" selected="0">
            <x v="1"/>
          </reference>
          <reference field="10" count="1">
            <x v="0"/>
          </reference>
        </references>
      </pivotArea>
    </format>
    <format dxfId="112">
      <pivotArea dataOnly="0" labelOnly="1" outline="0" fieldPosition="0">
        <references count="8">
          <reference field="0" count="1" selected="0">
            <x v="7"/>
          </reference>
          <reference field="3" count="0" selected="0"/>
          <reference field="4" count="1" selected="0">
            <x v="3"/>
          </reference>
          <reference field="5" count="1" selected="0">
            <x v="3"/>
          </reference>
          <reference field="8" count="1" selected="0">
            <x v="0"/>
          </reference>
          <reference field="9" count="1" selected="0">
            <x v="0"/>
          </reference>
          <reference field="10" count="1" selected="0">
            <x v="1"/>
          </reference>
          <reference field="11" count="1">
            <x v="0"/>
          </reference>
        </references>
      </pivotArea>
    </format>
    <format dxfId="111">
      <pivotArea dataOnly="0" labelOnly="1" outline="0" fieldPosition="0">
        <references count="9">
          <reference field="0" count="1" selected="0">
            <x v="7"/>
          </reference>
          <reference field="3" count="0" selected="0"/>
          <reference field="4" count="1" selected="0">
            <x v="3"/>
          </reference>
          <reference field="5" count="1" selected="0">
            <x v="3"/>
          </reference>
          <reference field="8" count="1" selected="0">
            <x v="0"/>
          </reference>
          <reference field="9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110">
      <pivotArea dataOnly="0" labelOnly="1" outline="0" fieldPosition="0">
        <references count="9">
          <reference field="0" count="1" selected="0">
            <x v="9"/>
          </reference>
          <reference field="3" count="0" selected="0"/>
          <reference field="4" count="1" selected="0">
            <x v="0"/>
          </reference>
          <reference field="5" count="1" selected="0">
            <x v="4"/>
          </reference>
          <reference field="8" count="1" selected="0">
            <x v="0"/>
          </reference>
          <reference field="9" count="1" selected="0">
            <x v="1"/>
          </reference>
          <reference field="10" count="1" selected="0">
            <x v="1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109">
      <pivotArea dataOnly="0" labelOnly="1" outline="0" fieldPosition="0">
        <references count="9">
          <reference field="0" count="1" selected="0">
            <x v="15"/>
          </reference>
          <reference field="3" count="0" selected="0"/>
          <reference field="4" count="1" selected="0">
            <x v="0"/>
          </reference>
          <reference field="5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  <reference field="10" count="1" selected="0">
            <x v="1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108">
      <pivotArea dataOnly="0" labelOnly="1" outline="0" fieldPosition="0">
        <references count="9">
          <reference field="0" count="1" selected="0">
            <x v="17"/>
          </reference>
          <reference field="3" count="0" selected="0"/>
          <reference field="4" count="1" selected="0">
            <x v="0"/>
          </reference>
          <reference field="5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  <reference field="10" count="1" selected="0">
            <x v="1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107">
      <pivotArea dataOnly="0" labelOnly="1" outline="0" fieldPosition="0">
        <references count="9">
          <reference field="0" count="1" selected="0">
            <x v="23"/>
          </reference>
          <reference field="3" count="0" selected="0"/>
          <reference field="4" count="1" selected="0">
            <x v="3"/>
          </reference>
          <reference field="5" count="1" selected="0">
            <x v="1"/>
          </reference>
          <reference field="8" count="1" selected="0">
            <x v="0"/>
          </reference>
          <reference field="9" count="1" selected="0">
            <x v="1"/>
          </reference>
          <reference field="10" count="1" selected="0">
            <x v="1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106">
      <pivotArea dataOnly="0" labelOnly="1" outline="0" fieldPosition="0">
        <references count="9">
          <reference field="0" count="1" selected="0">
            <x v="46"/>
          </reference>
          <reference field="3" count="0" selected="0"/>
          <reference field="4" count="1" selected="0">
            <x v="0"/>
          </reference>
          <reference field="5" count="1" selected="0">
            <x v="12"/>
          </reference>
          <reference field="8" count="1" selected="0">
            <x v="0"/>
          </reference>
          <reference field="9" count="1" selected="0">
            <x v="1"/>
          </reference>
          <reference field="10" count="1" selected="0">
            <x v="1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105">
      <pivotArea dataOnly="0" labelOnly="1" outline="0" fieldPosition="0">
        <references count="9">
          <reference field="0" count="1" selected="0">
            <x v="53"/>
          </reference>
          <reference field="3" count="0" selected="0"/>
          <reference field="4" count="1" selected="0">
            <x v="0"/>
          </reference>
          <reference field="5" count="1" selected="0">
            <x v="5"/>
          </reference>
          <reference field="8" count="1" selected="0">
            <x v="1"/>
          </reference>
          <reference field="9" count="1" selected="0">
            <x v="1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104">
      <pivotArea field="0" type="button" dataOnly="0" labelOnly="1" outline="0" axis="axisRow" fieldPosition="0"/>
    </format>
    <format dxfId="103">
      <pivotArea field="3" type="button" dataOnly="0" labelOnly="1" outline="0" axis="axisRow" fieldPosition="1"/>
    </format>
    <format dxfId="102">
      <pivotArea field="5" type="button" dataOnly="0" labelOnly="1" outline="0" axis="axisRow" fieldPosition="2"/>
    </format>
    <format dxfId="101">
      <pivotArea field="4" type="button" dataOnly="0" labelOnly="1" outline="0" axis="axisRow" fieldPosition="3"/>
    </format>
    <format dxfId="100">
      <pivotArea field="8" type="button" dataOnly="0" labelOnly="1" outline="0" axis="axisRow" fieldPosition="4"/>
    </format>
    <format dxfId="99">
      <pivotArea field="9" type="button" dataOnly="0" labelOnly="1" outline="0" axis="axisRow" fieldPosition="5"/>
    </format>
    <format dxfId="98">
      <pivotArea field="10" type="button" dataOnly="0" labelOnly="1" outline="0" axis="axisRow" fieldPosition="6"/>
    </format>
    <format dxfId="97">
      <pivotArea field="11" type="button" dataOnly="0" labelOnly="1" outline="0" axis="axisRow" fieldPosition="7"/>
    </format>
    <format dxfId="96">
      <pivotArea field="12" type="button" dataOnly="0" labelOnly="1" outline="0" axis="axisRow" fieldPosition="8"/>
    </format>
  </formats>
  <pivotTableStyleInfo name="PivotStyleLightCustom" showRowHeaders="0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Geotab Brand Colors">
      <a:dk1>
        <a:srgbClr val="000000"/>
      </a:dk1>
      <a:lt1>
        <a:srgbClr val="FFFFFF"/>
      </a:lt1>
      <a:dk2>
        <a:srgbClr val="00AEEF"/>
      </a:dk2>
      <a:lt2>
        <a:srgbClr val="25477B"/>
      </a:lt2>
      <a:accent1>
        <a:srgbClr val="696A6C"/>
      </a:accent1>
      <a:accent2>
        <a:srgbClr val="93C83D"/>
      </a:accent2>
      <a:accent3>
        <a:srgbClr val="FAD201"/>
      </a:accent3>
      <a:accent4>
        <a:srgbClr val="FF9600"/>
      </a:accent4>
      <a:accent5>
        <a:srgbClr val="EA184D"/>
      </a:accent5>
      <a:accent6>
        <a:srgbClr val="B95FFF"/>
      </a:accent6>
      <a:hlink>
        <a:srgbClr val="00AEEF"/>
      </a:hlink>
      <a:folHlink>
        <a:srgbClr val="0082E3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TemplateDriver1@abc.com" TargetMode="External"/><Relationship Id="rId18" Type="http://schemas.openxmlformats.org/officeDocument/2006/relationships/hyperlink" Target="mailto:TemplateDriver1@abc.com" TargetMode="External"/><Relationship Id="rId26" Type="http://schemas.openxmlformats.org/officeDocument/2006/relationships/hyperlink" Target="mailto:TemplateDriver1@abc.com" TargetMode="External"/><Relationship Id="rId39" Type="http://schemas.openxmlformats.org/officeDocument/2006/relationships/hyperlink" Target="mailto:TemplateDriver1@abc.com" TargetMode="External"/><Relationship Id="rId21" Type="http://schemas.openxmlformats.org/officeDocument/2006/relationships/hyperlink" Target="mailto:TemplateDriver1@abc.com" TargetMode="External"/><Relationship Id="rId34" Type="http://schemas.openxmlformats.org/officeDocument/2006/relationships/hyperlink" Target="mailto:TemplateDriver1@abc.com" TargetMode="External"/><Relationship Id="rId42" Type="http://schemas.openxmlformats.org/officeDocument/2006/relationships/hyperlink" Target="mailto:TemplateDriver1@abc.com" TargetMode="External"/><Relationship Id="rId47" Type="http://schemas.openxmlformats.org/officeDocument/2006/relationships/hyperlink" Target="mailto:TemplateDriver1@abc.com" TargetMode="External"/><Relationship Id="rId50" Type="http://schemas.openxmlformats.org/officeDocument/2006/relationships/hyperlink" Target="mailto:TemplateDriver1@abc.com" TargetMode="External"/><Relationship Id="rId55" Type="http://schemas.openxmlformats.org/officeDocument/2006/relationships/hyperlink" Target="mailto:TemplateDriver1@abc.com" TargetMode="External"/><Relationship Id="rId7" Type="http://schemas.openxmlformats.org/officeDocument/2006/relationships/hyperlink" Target="mailto:TemplateDriver1@abc.com" TargetMode="External"/><Relationship Id="rId2" Type="http://schemas.openxmlformats.org/officeDocument/2006/relationships/hyperlink" Target="mailto:TemplateDriver1@abc.com" TargetMode="External"/><Relationship Id="rId16" Type="http://schemas.openxmlformats.org/officeDocument/2006/relationships/hyperlink" Target="mailto:TemplateDriver1@abc.com" TargetMode="External"/><Relationship Id="rId29" Type="http://schemas.openxmlformats.org/officeDocument/2006/relationships/hyperlink" Target="mailto:TemplateDriver1@abc.com" TargetMode="External"/><Relationship Id="rId11" Type="http://schemas.openxmlformats.org/officeDocument/2006/relationships/hyperlink" Target="mailto:TemplateDriver1@abc.com" TargetMode="External"/><Relationship Id="rId24" Type="http://schemas.openxmlformats.org/officeDocument/2006/relationships/hyperlink" Target="mailto:TemplateDriver1@abc.com" TargetMode="External"/><Relationship Id="rId32" Type="http://schemas.openxmlformats.org/officeDocument/2006/relationships/hyperlink" Target="mailto:TemplateDriver1@abc.com" TargetMode="External"/><Relationship Id="rId37" Type="http://schemas.openxmlformats.org/officeDocument/2006/relationships/hyperlink" Target="mailto:TemplateDriver1@abc.com" TargetMode="External"/><Relationship Id="rId40" Type="http://schemas.openxmlformats.org/officeDocument/2006/relationships/hyperlink" Target="mailto:TemplateDriver1@abc.com" TargetMode="External"/><Relationship Id="rId45" Type="http://schemas.openxmlformats.org/officeDocument/2006/relationships/hyperlink" Target="mailto:TemplateDriver1@abc.com" TargetMode="External"/><Relationship Id="rId53" Type="http://schemas.openxmlformats.org/officeDocument/2006/relationships/hyperlink" Target="mailto:TemplateDriver1@abc.com" TargetMode="External"/><Relationship Id="rId58" Type="http://schemas.openxmlformats.org/officeDocument/2006/relationships/printerSettings" Target="../printerSettings/printerSettings4.bin"/><Relationship Id="rId5" Type="http://schemas.openxmlformats.org/officeDocument/2006/relationships/hyperlink" Target="mailto:TemplateDriver1@abc.com" TargetMode="External"/><Relationship Id="rId19" Type="http://schemas.openxmlformats.org/officeDocument/2006/relationships/hyperlink" Target="mailto:TemplateDriver1@abc.com" TargetMode="External"/><Relationship Id="rId4" Type="http://schemas.openxmlformats.org/officeDocument/2006/relationships/hyperlink" Target="mailto:TemplateDriver1@abc.com" TargetMode="External"/><Relationship Id="rId9" Type="http://schemas.openxmlformats.org/officeDocument/2006/relationships/hyperlink" Target="mailto:TemplateDriver1@abc.com" TargetMode="External"/><Relationship Id="rId14" Type="http://schemas.openxmlformats.org/officeDocument/2006/relationships/hyperlink" Target="mailto:TemplateDriver1@abc.com" TargetMode="External"/><Relationship Id="rId22" Type="http://schemas.openxmlformats.org/officeDocument/2006/relationships/hyperlink" Target="mailto:TemplateDriver1@abc.com" TargetMode="External"/><Relationship Id="rId27" Type="http://schemas.openxmlformats.org/officeDocument/2006/relationships/hyperlink" Target="mailto:TemplateDriver1@abc.com" TargetMode="External"/><Relationship Id="rId30" Type="http://schemas.openxmlformats.org/officeDocument/2006/relationships/hyperlink" Target="mailto:TemplateDriver1@abc.com" TargetMode="External"/><Relationship Id="rId35" Type="http://schemas.openxmlformats.org/officeDocument/2006/relationships/hyperlink" Target="mailto:TemplateDriver1@abc.com" TargetMode="External"/><Relationship Id="rId43" Type="http://schemas.openxmlformats.org/officeDocument/2006/relationships/hyperlink" Target="mailto:TemplateDriver1@abc.com" TargetMode="External"/><Relationship Id="rId48" Type="http://schemas.openxmlformats.org/officeDocument/2006/relationships/hyperlink" Target="mailto:TemplateDriver1@abc.com" TargetMode="External"/><Relationship Id="rId56" Type="http://schemas.openxmlformats.org/officeDocument/2006/relationships/hyperlink" Target="mailto:TemplateDriver1@abc.com" TargetMode="External"/><Relationship Id="rId8" Type="http://schemas.openxmlformats.org/officeDocument/2006/relationships/hyperlink" Target="mailto:TemplateDriver1@abc.com" TargetMode="External"/><Relationship Id="rId51" Type="http://schemas.openxmlformats.org/officeDocument/2006/relationships/hyperlink" Target="mailto:TemplateDriver1@abc.com" TargetMode="External"/><Relationship Id="rId3" Type="http://schemas.openxmlformats.org/officeDocument/2006/relationships/hyperlink" Target="mailto:TemplateDriver1@abc.com" TargetMode="External"/><Relationship Id="rId12" Type="http://schemas.openxmlformats.org/officeDocument/2006/relationships/hyperlink" Target="mailto:TemplateDriver1@abc.com" TargetMode="External"/><Relationship Id="rId17" Type="http://schemas.openxmlformats.org/officeDocument/2006/relationships/hyperlink" Target="mailto:TemplateDriver1@abc.com" TargetMode="External"/><Relationship Id="rId25" Type="http://schemas.openxmlformats.org/officeDocument/2006/relationships/hyperlink" Target="mailto:TemplateDriver1@abc.com" TargetMode="External"/><Relationship Id="rId33" Type="http://schemas.openxmlformats.org/officeDocument/2006/relationships/hyperlink" Target="mailto:TemplateDriver1@abc.com" TargetMode="External"/><Relationship Id="rId38" Type="http://schemas.openxmlformats.org/officeDocument/2006/relationships/hyperlink" Target="mailto:TemplateDriver1@abc.com" TargetMode="External"/><Relationship Id="rId46" Type="http://schemas.openxmlformats.org/officeDocument/2006/relationships/hyperlink" Target="mailto:TemplateDriver1@abc.com" TargetMode="External"/><Relationship Id="rId59" Type="http://schemas.openxmlformats.org/officeDocument/2006/relationships/vmlDrawing" Target="../drawings/vmlDrawing2.vml"/><Relationship Id="rId20" Type="http://schemas.openxmlformats.org/officeDocument/2006/relationships/hyperlink" Target="mailto:TemplateDriver1@abc.com" TargetMode="External"/><Relationship Id="rId41" Type="http://schemas.openxmlformats.org/officeDocument/2006/relationships/hyperlink" Target="mailto:TemplateDriver1@abc.com" TargetMode="External"/><Relationship Id="rId54" Type="http://schemas.openxmlformats.org/officeDocument/2006/relationships/hyperlink" Target="mailto:TemplateDriver1@abc.com" TargetMode="External"/><Relationship Id="rId1" Type="http://schemas.openxmlformats.org/officeDocument/2006/relationships/hyperlink" Target="mailto:TemplateDriver1@abc.com" TargetMode="External"/><Relationship Id="rId6" Type="http://schemas.openxmlformats.org/officeDocument/2006/relationships/hyperlink" Target="mailto:TemplateDriver1@abc.com" TargetMode="External"/><Relationship Id="rId15" Type="http://schemas.openxmlformats.org/officeDocument/2006/relationships/hyperlink" Target="mailto:TemplateDriver1@abc.com" TargetMode="External"/><Relationship Id="rId23" Type="http://schemas.openxmlformats.org/officeDocument/2006/relationships/hyperlink" Target="mailto:TemplateDriver1@abc.com" TargetMode="External"/><Relationship Id="rId28" Type="http://schemas.openxmlformats.org/officeDocument/2006/relationships/hyperlink" Target="mailto:TemplateDriver1@abc.com" TargetMode="External"/><Relationship Id="rId36" Type="http://schemas.openxmlformats.org/officeDocument/2006/relationships/hyperlink" Target="mailto:TemplateDriver1@abc.com" TargetMode="External"/><Relationship Id="rId49" Type="http://schemas.openxmlformats.org/officeDocument/2006/relationships/hyperlink" Target="mailto:TemplateDriver1@abc.com" TargetMode="External"/><Relationship Id="rId57" Type="http://schemas.openxmlformats.org/officeDocument/2006/relationships/hyperlink" Target="mailto:TemplateDriver1@abc.com" TargetMode="External"/><Relationship Id="rId10" Type="http://schemas.openxmlformats.org/officeDocument/2006/relationships/hyperlink" Target="mailto:TemplateDriver1@abc.com" TargetMode="External"/><Relationship Id="rId31" Type="http://schemas.openxmlformats.org/officeDocument/2006/relationships/hyperlink" Target="mailto:TemplateDriver1@abc.com" TargetMode="External"/><Relationship Id="rId44" Type="http://schemas.openxmlformats.org/officeDocument/2006/relationships/hyperlink" Target="mailto:TemplateDriver1@abc.com" TargetMode="External"/><Relationship Id="rId52" Type="http://schemas.openxmlformats.org/officeDocument/2006/relationships/hyperlink" Target="mailto:TemplateDriver1@abc.com" TargetMode="External"/><Relationship Id="rId60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F34E3-5D43-4A8C-97F7-F02C5551DD9C}">
  <dimension ref="H1:H2"/>
  <sheetViews>
    <sheetView workbookViewId="0"/>
  </sheetViews>
  <sheetFormatPr defaultRowHeight="12.75" x14ac:dyDescent="0.2"/>
  <sheetData>
    <row r="1" spans="8:8" ht="49.5" customHeight="1" x14ac:dyDescent="0.2">
      <c r="H1" t="str">
        <f>IF(Report!A5=0, "OK", "ALERT")</f>
        <v>ALERT</v>
      </c>
    </row>
    <row r="2" spans="8:8" ht="49.5" customHeight="1" x14ac:dyDescent="0.2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X64"/>
  <sheetViews>
    <sheetView showGridLines="0" workbookViewId="0">
      <pane ySplit="7" topLeftCell="A8" activePane="bottomLeft" state="frozen"/>
      <selection pane="bottomLeft"/>
    </sheetView>
  </sheetViews>
  <sheetFormatPr defaultColWidth="9.28515625" defaultRowHeight="14.25" x14ac:dyDescent="0.25"/>
  <cols>
    <col min="1" max="1" width="25.7109375" style="10" customWidth="1"/>
    <col min="2" max="3" width="25.7109375" style="13" hidden="1" customWidth="1"/>
    <col min="4" max="4" width="25.7109375" style="13" customWidth="1"/>
    <col min="5" max="5" width="25.5703125" style="13" customWidth="1"/>
    <col min="6" max="6" width="25.7109375" style="13" customWidth="1"/>
    <col min="7" max="7" width="15.140625" style="13" hidden="1" customWidth="1"/>
    <col min="8" max="8" width="18.42578125" style="13" hidden="1" customWidth="1"/>
    <col min="9" max="13" width="10.7109375" style="29" hidden="1" customWidth="1"/>
    <col min="14" max="14" width="14" style="29" hidden="1" customWidth="1"/>
    <col min="15" max="15" width="16.7109375" style="29" hidden="1" customWidth="1"/>
    <col min="16" max="16" width="14.42578125" style="29" hidden="1" customWidth="1"/>
    <col min="17" max="17" width="18.42578125" style="29" hidden="1" customWidth="1"/>
    <col min="18" max="18" width="15" style="29" hidden="1" customWidth="1"/>
    <col min="19" max="19" width="25.85546875" style="29" hidden="1" customWidth="1"/>
    <col min="20" max="20" width="25.7109375" style="44" customWidth="1"/>
    <col min="21" max="21" width="25.7109375" style="40" customWidth="1"/>
    <col min="22" max="24" width="25.7109375" style="44" customWidth="1"/>
    <col min="25" max="25" width="13.140625" style="10" customWidth="1"/>
    <col min="26" max="26" width="13.42578125" style="10" bestFit="1" customWidth="1"/>
    <col min="27" max="27" width="13.140625" style="10" bestFit="1" customWidth="1"/>
    <col min="28" max="28" width="13.42578125" style="10" bestFit="1" customWidth="1"/>
    <col min="29" max="29" width="13.140625" style="10" bestFit="1" customWidth="1"/>
    <col min="30" max="30" width="13.42578125" style="10" bestFit="1" customWidth="1"/>
    <col min="31" max="31" width="13.140625" style="10" bestFit="1" customWidth="1"/>
    <col min="32" max="32" width="13.42578125" style="10" bestFit="1" customWidth="1"/>
    <col min="33" max="33" width="13.140625" style="10" bestFit="1" customWidth="1"/>
    <col min="34" max="34" width="13.42578125" style="10" bestFit="1" customWidth="1"/>
    <col min="35" max="35" width="13.140625" style="10" bestFit="1" customWidth="1"/>
    <col min="36" max="16384" width="9.28515625" style="10"/>
  </cols>
  <sheetData>
    <row r="1" spans="1:24" s="20" customFormat="1" ht="25.5" customHeight="1" x14ac:dyDescent="0.45">
      <c r="A1" s="45" t="s">
        <v>276</v>
      </c>
      <c r="E1" s="21">
        <f>Data!B2</f>
        <v>43172.538217314803</v>
      </c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38"/>
      <c r="U1" s="39"/>
      <c r="V1" s="38"/>
      <c r="W1" s="38"/>
      <c r="X1" s="38"/>
    </row>
    <row r="2" spans="1:24" ht="25.5" customHeight="1" x14ac:dyDescent="0.5">
      <c r="A2" s="24" t="str">
        <f>Data!B1</f>
        <v>ABC Company</v>
      </c>
      <c r="B2" s="10"/>
      <c r="C2" s="10"/>
      <c r="D2" s="10"/>
      <c r="E2" s="10"/>
      <c r="F2" s="10"/>
      <c r="G2" s="10"/>
      <c r="H2" s="10"/>
      <c r="T2" s="37"/>
      <c r="V2" s="37"/>
      <c r="W2" s="37"/>
      <c r="X2" s="37"/>
    </row>
    <row r="3" spans="1:24" ht="17.45" customHeight="1" x14ac:dyDescent="0.5">
      <c r="A3" s="24"/>
      <c r="B3" s="10"/>
      <c r="C3" s="10"/>
      <c r="D3" s="10"/>
      <c r="E3" s="10"/>
      <c r="F3" s="10"/>
      <c r="G3" s="10"/>
      <c r="H3" s="10"/>
      <c r="T3" s="37"/>
      <c r="V3" s="37"/>
      <c r="W3" s="37"/>
      <c r="X3" s="37"/>
    </row>
    <row r="4" spans="1:24" ht="17.45" customHeight="1" x14ac:dyDescent="0.25">
      <c r="A4" s="48" t="s">
        <v>279</v>
      </c>
      <c r="B4" s="25"/>
      <c r="C4" s="10"/>
      <c r="D4" s="32"/>
      <c r="E4" s="10"/>
      <c r="F4" s="10"/>
      <c r="G4" s="10"/>
      <c r="H4" s="10"/>
      <c r="T4" s="37"/>
      <c r="V4" s="37"/>
      <c r="W4" s="37"/>
      <c r="X4" s="37"/>
    </row>
    <row r="5" spans="1:24" ht="17.45" customHeight="1" x14ac:dyDescent="0.25">
      <c r="A5" s="33">
        <f>COUNTIF(H8:H99999,"YES")</f>
        <v>7</v>
      </c>
      <c r="B5" s="25"/>
      <c r="C5" s="10"/>
      <c r="D5" s="25"/>
      <c r="E5" s="10"/>
      <c r="F5" s="10"/>
      <c r="G5" s="10"/>
      <c r="H5" s="10"/>
      <c r="T5" s="37"/>
      <c r="V5" s="37"/>
      <c r="W5" s="37"/>
      <c r="X5" s="37"/>
    </row>
    <row r="6" spans="1:24" ht="17.45" customHeight="1" x14ac:dyDescent="0.5">
      <c r="A6" s="24"/>
      <c r="B6" s="10"/>
      <c r="C6" s="10"/>
      <c r="D6" s="10"/>
      <c r="E6" s="10"/>
      <c r="F6" s="10"/>
      <c r="G6" s="10"/>
      <c r="H6" s="10"/>
      <c r="T6" s="37"/>
      <c r="V6" s="37"/>
      <c r="W6" s="37"/>
      <c r="X6" s="37"/>
    </row>
    <row r="7" spans="1:24" s="18" customFormat="1" ht="18" customHeight="1" x14ac:dyDescent="0.3">
      <c r="A7" s="17" t="s">
        <v>13</v>
      </c>
      <c r="B7" s="17" t="s">
        <v>40</v>
      </c>
      <c r="C7" s="17" t="s">
        <v>45</v>
      </c>
      <c r="D7" s="17" t="s">
        <v>280</v>
      </c>
      <c r="E7" s="17" t="s">
        <v>74</v>
      </c>
      <c r="F7" s="17" t="s">
        <v>77</v>
      </c>
      <c r="G7" s="17" t="s">
        <v>268</v>
      </c>
      <c r="H7" s="17" t="s">
        <v>266</v>
      </c>
      <c r="I7" s="30" t="s">
        <v>259</v>
      </c>
      <c r="J7" s="30" t="s">
        <v>260</v>
      </c>
      <c r="K7" s="30" t="s">
        <v>261</v>
      </c>
      <c r="L7" s="30" t="s">
        <v>262</v>
      </c>
      <c r="M7" s="30" t="s">
        <v>263</v>
      </c>
      <c r="N7" s="30" t="s">
        <v>270</v>
      </c>
      <c r="O7" s="30" t="s">
        <v>271</v>
      </c>
      <c r="P7" s="30" t="s">
        <v>272</v>
      </c>
      <c r="Q7" s="30" t="s">
        <v>273</v>
      </c>
      <c r="R7" s="30" t="s">
        <v>274</v>
      </c>
      <c r="S7" s="30" t="s">
        <v>275</v>
      </c>
      <c r="T7" s="41" t="s">
        <v>287</v>
      </c>
      <c r="U7" s="42" t="s">
        <v>288</v>
      </c>
      <c r="V7" s="42" t="s">
        <v>289</v>
      </c>
      <c r="W7" s="42" t="s">
        <v>290</v>
      </c>
      <c r="X7" s="42" t="s">
        <v>291</v>
      </c>
    </row>
    <row r="8" spans="1:24" ht="16.5" x14ac:dyDescent="0.3">
      <c r="A8" s="14" t="str">
        <f>Data!A9</f>
        <v>Driver 1</v>
      </c>
      <c r="B8" s="15" t="str">
        <f>IF(Data!C9="","",Data!C9)</f>
        <v>First Name</v>
      </c>
      <c r="C8" s="15" t="str">
        <f>IF(Data!D9="","",Data!D9)</f>
        <v>Last Name</v>
      </c>
      <c r="D8" s="15" t="str">
        <f>CONCATENATE(B8," ",C8)</f>
        <v>First Name Last Name</v>
      </c>
      <c r="E8" s="16" t="str">
        <f>Data!E9</f>
        <v>OFF</v>
      </c>
      <c r="F8" s="16" t="str">
        <f>Data!F9</f>
        <v>None</v>
      </c>
      <c r="G8" s="16" t="b">
        <f>OR(ISNUMBER(SEARCH("D",E8)),ISNUMBER(SEARCH("YM",E8)))</f>
        <v>0</v>
      </c>
      <c r="H8" s="16" t="str">
        <f>IF(AND(I8="OK",J8="OK",K8="OK",L8="OK",M8="OK")=TRUE,"NO","YES")</f>
        <v>NO</v>
      </c>
      <c r="I8" s="31" t="str">
        <f>IF(OR(ISNUMBER(SEARCH("Canada",F8)), ISNUMBER(SEARCH("None",F8)),ISNUMBER(SEARCH("Short",F8)),ISNUMBER(SEARCH("Alaska",F8))),"OK",IF(AND(G8=TRUE,T8&lt;=((Summary!$A$5*60)+Summary!$B$5)/1440),"ALERT","OK"))</f>
        <v>OK</v>
      </c>
      <c r="J8" s="31" t="str">
        <f>IF(ISNUMBER(SEARCH("None",F8)),"OK",IF(AND(G8=TRUE,U8&lt;=((Summary!$A$5*60)+Summary!$B$5)/1440),"ALERT","OK"))</f>
        <v>OK</v>
      </c>
      <c r="K8" s="31" t="str">
        <f>IF(ISNUMBER(SEARCH("None",F8)),"OK",IF(AND(G8=TRUE,OR(ISNUMBER(SEARCH("Texas",F8)),ISNUMBER(SEARCH("Canada",F8))),V8&lt;=((Summary!$A$5*60)+Summary!$B$5)/1440),"ALERT","OK"))</f>
        <v>OK</v>
      </c>
      <c r="L8" s="31" t="str">
        <f>IF(ISNUMBER(SEARCH("None",F8)),"OK",IF(AND(G8=TRUE,W8&lt;=((Summary!$A$5*60)+Summary!$B$5)/1440),"ALERT","OK"))</f>
        <v>OK</v>
      </c>
      <c r="M8" s="31" t="str">
        <f>IF(ISNUMBER(SEARCH("None",F8)),"OK",IF(AND(G8=TRUE,X8&lt;=((Summary!$A$5*60)+Summary!$B$5)/1440),"ALERT","OK"))</f>
        <v>OK</v>
      </c>
      <c r="N8" s="31" t="str">
        <f>IF(I8="OK","","Rest")</f>
        <v/>
      </c>
      <c r="O8" s="31" t="str">
        <f>IF(J8="OK","","Driving")</f>
        <v/>
      </c>
      <c r="P8" s="31" t="str">
        <f>IF(K8="OK","","Duty")</f>
        <v/>
      </c>
      <c r="Q8" s="31" t="str">
        <f>IF(L8="OK","","Workday")</f>
        <v/>
      </c>
      <c r="R8" s="31" t="str">
        <f>IF(M8="OK","","Cycle")</f>
        <v/>
      </c>
      <c r="S8" s="31" t="str">
        <f>TRIM(CONCATENATE(N8," ",O8," ",P8," ",Q8," ",R8))</f>
        <v/>
      </c>
      <c r="T8" s="43">
        <f>Data!G9</f>
        <v>0</v>
      </c>
      <c r="U8" s="43">
        <f>Data!H9</f>
        <v>0</v>
      </c>
      <c r="V8" s="43">
        <f>Data!I9</f>
        <v>0</v>
      </c>
      <c r="W8" s="43">
        <f>Data!J9</f>
        <v>0</v>
      </c>
      <c r="X8" s="43">
        <f>Data!K9</f>
        <v>0</v>
      </c>
    </row>
    <row r="9" spans="1:24" ht="16.5" x14ac:dyDescent="0.3">
      <c r="A9" s="14" t="str">
        <f>Data!A10</f>
        <v>Driver 2</v>
      </c>
      <c r="B9" s="15" t="str">
        <f>IF(Data!C10="","",Data!C10)</f>
        <v>First Name</v>
      </c>
      <c r="C9" s="15" t="str">
        <f>IF(Data!D10="","",Data!D10)</f>
        <v>Last Name</v>
      </c>
      <c r="D9" s="15" t="str">
        <f t="shared" ref="D9:D64" si="0">CONCATENATE(B9," ",C9)</f>
        <v>First Name Last Name</v>
      </c>
      <c r="E9" s="16" t="str">
        <f>Data!E10</f>
        <v>OFF</v>
      </c>
      <c r="F9" s="16" t="str">
        <f>Data!F10</f>
        <v>America7DayBig</v>
      </c>
      <c r="G9" s="16" t="b">
        <f t="shared" ref="G9:G64" si="1">OR(ISNUMBER(SEARCH("D",E9)),ISNUMBER(SEARCH("YM",E9)))</f>
        <v>0</v>
      </c>
      <c r="H9" s="16" t="str">
        <f t="shared" ref="H9:H64" si="2">IF(AND(I9="OK",J9="OK",K9="OK",L9="OK",M9="OK")=TRUE,"NO","YES")</f>
        <v>NO</v>
      </c>
      <c r="I9" s="31" t="str">
        <f>IF(OR(ISNUMBER(SEARCH("Canada",F9)), ISNUMBER(SEARCH("None",F9)),ISNUMBER(SEARCH("Short",F9)),ISNUMBER(SEARCH("Alaska",F9))),"OK",IF(AND(G9=TRUE,T9&lt;=((Summary!$A$5*60)+Summary!$B$5)/1440),"ALERT","OK"))</f>
        <v>OK</v>
      </c>
      <c r="J9" s="31" t="str">
        <f>IF(ISNUMBER(SEARCH("None",F9)),"OK",IF(AND(G9=TRUE,U9&lt;=((Summary!$A$5*60)+Summary!$B$5)/1440),"ALERT","OK"))</f>
        <v>OK</v>
      </c>
      <c r="K9" s="31" t="str">
        <f>IF(ISNUMBER(SEARCH("None",F9)),"OK",IF(AND(G9=TRUE,OR(ISNUMBER(SEARCH("Texas",F9)),ISNUMBER(SEARCH("Canada",F9))),V9&lt;=((Summary!$A$5*60)+Summary!$B$5)/1440),"ALERT","OK"))</f>
        <v>OK</v>
      </c>
      <c r="L9" s="31" t="str">
        <f>IF(ISNUMBER(SEARCH("None",F9)),"OK",IF(AND(G9=TRUE,W9&lt;=((Summary!$A$5*60)+Summary!$B$5)/1440),"ALERT","OK"))</f>
        <v>OK</v>
      </c>
      <c r="M9" s="31" t="str">
        <f>IF(ISNUMBER(SEARCH("None",F9)),"OK",IF(AND(G9=TRUE,X9&lt;=((Summary!$A$5*60)+Summary!$B$5)/1440),"ALERT","OK"))</f>
        <v>OK</v>
      </c>
      <c r="N9" s="31" t="str">
        <f t="shared" ref="N9:N64" si="3">IF(I9="OK","","Rest")</f>
        <v/>
      </c>
      <c r="O9" s="31" t="str">
        <f t="shared" ref="O9:O64" si="4">IF(J9="OK","","Driving")</f>
        <v/>
      </c>
      <c r="P9" s="31" t="str">
        <f t="shared" ref="P9:P64" si="5">IF(K9="OK","","Duty")</f>
        <v/>
      </c>
      <c r="Q9" s="31" t="str">
        <f t="shared" ref="Q9:Q64" si="6">IF(L9="OK","","Workday")</f>
        <v/>
      </c>
      <c r="R9" s="31" t="str">
        <f t="shared" ref="R9:R64" si="7">IF(M9="OK","","Cycle")</f>
        <v/>
      </c>
      <c r="S9" s="31" t="str">
        <f t="shared" ref="S9:S64" si="8">TRIM(CONCATENATE(N9," ",O9," ",P9," ",Q9," ",R9))</f>
        <v/>
      </c>
      <c r="T9" s="43">
        <f>Data!G10</f>
        <v>0.33333333333333298</v>
      </c>
      <c r="U9" s="43">
        <f>Data!H10</f>
        <v>0.45833333333333298</v>
      </c>
      <c r="V9" s="43">
        <f>Data!I10</f>
        <v>0</v>
      </c>
      <c r="W9" s="43">
        <f>Data!J10</f>
        <v>0.58333333333333304</v>
      </c>
      <c r="X9" s="43">
        <f>Data!K10</f>
        <v>2.5</v>
      </c>
    </row>
    <row r="10" spans="1:24" ht="16.5" x14ac:dyDescent="0.3">
      <c r="A10" s="14" t="str">
        <f>Data!A11</f>
        <v>Driver 3</v>
      </c>
      <c r="B10" s="15" t="str">
        <f>IF(Data!C11="","",Data!C11)</f>
        <v>First Name</v>
      </c>
      <c r="C10" s="15" t="str">
        <f>IF(Data!D11="","",Data!D11)</f>
        <v>Last Name</v>
      </c>
      <c r="D10" s="15" t="str">
        <f t="shared" si="0"/>
        <v>First Name Last Name</v>
      </c>
      <c r="E10" s="16" t="str">
        <f>Data!E11</f>
        <v>D</v>
      </c>
      <c r="F10" s="16" t="str">
        <f>Data!F11</f>
        <v>America8Day</v>
      </c>
      <c r="G10" s="16" t="b">
        <f t="shared" si="1"/>
        <v>1</v>
      </c>
      <c r="H10" s="16" t="str">
        <f t="shared" si="2"/>
        <v>NO</v>
      </c>
      <c r="I10" s="31" t="str">
        <f>IF(OR(ISNUMBER(SEARCH("Canada",F10)), ISNUMBER(SEARCH("None",F10)),ISNUMBER(SEARCH("Short",F10)),ISNUMBER(SEARCH("Alaska",F10))),"OK",IF(AND(G10=TRUE,T10&lt;=((Summary!$A$5*60)+Summary!$B$5)/1440),"ALERT","OK"))</f>
        <v>OK</v>
      </c>
      <c r="J10" s="31" t="str">
        <f>IF(ISNUMBER(SEARCH("None",F10)),"OK",IF(AND(G10=TRUE,U10&lt;=((Summary!$A$5*60)+Summary!$B$5)/1440),"ALERT","OK"))</f>
        <v>OK</v>
      </c>
      <c r="K10" s="31" t="str">
        <f>IF(ISNUMBER(SEARCH("None",F10)),"OK",IF(AND(G10=TRUE,OR(ISNUMBER(SEARCH("Texas",F10)),ISNUMBER(SEARCH("Canada",F10))),V10&lt;=((Summary!$A$5*60)+Summary!$B$5)/1440),"ALERT","OK"))</f>
        <v>OK</v>
      </c>
      <c r="L10" s="31" t="str">
        <f>IF(ISNUMBER(SEARCH("None",F10)),"OK",IF(AND(G10=TRUE,W10&lt;=((Summary!$A$5*60)+Summary!$B$5)/1440),"ALERT","OK"))</f>
        <v>OK</v>
      </c>
      <c r="M10" s="31" t="str">
        <f>IF(ISNUMBER(SEARCH("None",F10)),"OK",IF(AND(G10=TRUE,X10&lt;=((Summary!$A$5*60)+Summary!$B$5)/1440),"ALERT","OK"))</f>
        <v>OK</v>
      </c>
      <c r="N10" s="31" t="str">
        <f t="shared" si="3"/>
        <v/>
      </c>
      <c r="O10" s="31" t="str">
        <f t="shared" si="4"/>
        <v/>
      </c>
      <c r="P10" s="31" t="str">
        <f t="shared" si="5"/>
        <v/>
      </c>
      <c r="Q10" s="31" t="str">
        <f t="shared" si="6"/>
        <v/>
      </c>
      <c r="R10" s="31" t="str">
        <f t="shared" si="7"/>
        <v/>
      </c>
      <c r="S10" s="31" t="str">
        <f t="shared" si="8"/>
        <v/>
      </c>
      <c r="T10" s="43">
        <f>Data!G11</f>
        <v>0.33333333333333298</v>
      </c>
      <c r="U10" s="43">
        <f>Data!H11</f>
        <v>0.45833333333333298</v>
      </c>
      <c r="V10" s="43">
        <f>Data!I11</f>
        <v>0</v>
      </c>
      <c r="W10" s="43">
        <f>Data!J11</f>
        <v>0.58333333333333304</v>
      </c>
      <c r="X10" s="43">
        <f>Data!K11</f>
        <v>2.9166666666666701</v>
      </c>
    </row>
    <row r="11" spans="1:24" ht="16.5" x14ac:dyDescent="0.3">
      <c r="A11" s="14" t="str">
        <f>Data!A12</f>
        <v>Driver 4</v>
      </c>
      <c r="B11" s="15" t="str">
        <f>IF(Data!C12="","",Data!C12)</f>
        <v>First Name</v>
      </c>
      <c r="C11" s="15" t="str">
        <f>IF(Data!D12="","",Data!D12)</f>
        <v>Last Name</v>
      </c>
      <c r="D11" s="15" t="str">
        <f t="shared" si="0"/>
        <v>First Name Last Name</v>
      </c>
      <c r="E11" s="16" t="str">
        <f>Data!E12</f>
        <v>ON</v>
      </c>
      <c r="F11" s="16" t="str">
        <f>Data!F12</f>
        <v>Florida7Day</v>
      </c>
      <c r="G11" s="16" t="b">
        <f t="shared" si="1"/>
        <v>0</v>
      </c>
      <c r="H11" s="16" t="str">
        <f t="shared" si="2"/>
        <v>NO</v>
      </c>
      <c r="I11" s="31" t="str">
        <f>IF(OR(ISNUMBER(SEARCH("Canada",F11)), ISNUMBER(SEARCH("None",F11)),ISNUMBER(SEARCH("Short",F11)),ISNUMBER(SEARCH("Alaska",F11))),"OK",IF(AND(G11=TRUE,T11&lt;=((Summary!$A$5*60)+Summary!$B$5)/1440),"ALERT","OK"))</f>
        <v>OK</v>
      </c>
      <c r="J11" s="31" t="str">
        <f>IF(ISNUMBER(SEARCH("None",F11)),"OK",IF(AND(G11=TRUE,U11&lt;=((Summary!$A$5*60)+Summary!$B$5)/1440),"ALERT","OK"))</f>
        <v>OK</v>
      </c>
      <c r="K11" s="31" t="str">
        <f>IF(ISNUMBER(SEARCH("None",F11)),"OK",IF(AND(G11=TRUE,OR(ISNUMBER(SEARCH("Texas",F11)),ISNUMBER(SEARCH("Canada",F11))),V11&lt;=((Summary!$A$5*60)+Summary!$B$5)/1440),"ALERT","OK"))</f>
        <v>OK</v>
      </c>
      <c r="L11" s="31" t="str">
        <f>IF(ISNUMBER(SEARCH("None",F11)),"OK",IF(AND(G11=TRUE,W11&lt;=((Summary!$A$5*60)+Summary!$B$5)/1440),"ALERT","OK"))</f>
        <v>OK</v>
      </c>
      <c r="M11" s="31" t="str">
        <f>IF(ISNUMBER(SEARCH("None",F11)),"OK",IF(AND(G11=TRUE,X11&lt;=((Summary!$A$5*60)+Summary!$B$5)/1440),"ALERT","OK"))</f>
        <v>OK</v>
      </c>
      <c r="N11" s="31" t="str">
        <f t="shared" si="3"/>
        <v/>
      </c>
      <c r="O11" s="31" t="str">
        <f t="shared" si="4"/>
        <v/>
      </c>
      <c r="P11" s="31" t="str">
        <f t="shared" si="5"/>
        <v/>
      </c>
      <c r="Q11" s="31" t="str">
        <f t="shared" si="6"/>
        <v/>
      </c>
      <c r="R11" s="31" t="str">
        <f t="shared" si="7"/>
        <v/>
      </c>
      <c r="S11" s="31" t="str">
        <f t="shared" si="8"/>
        <v/>
      </c>
      <c r="T11" s="43">
        <f>Data!G12</f>
        <v>0</v>
      </c>
      <c r="U11" s="43">
        <f>Data!H12</f>
        <v>0.5</v>
      </c>
      <c r="V11" s="43">
        <f>Data!I12</f>
        <v>0</v>
      </c>
      <c r="W11" s="43">
        <f>Data!J12</f>
        <v>0.66666666666666696</v>
      </c>
      <c r="X11" s="43">
        <f>Data!K12</f>
        <v>2.9166666666666701</v>
      </c>
    </row>
    <row r="12" spans="1:24" ht="16.5" x14ac:dyDescent="0.3">
      <c r="A12" s="14" t="str">
        <f>Data!A13</f>
        <v>Driver 5</v>
      </c>
      <c r="B12" s="15" t="str">
        <f>IF(Data!C13="","",Data!C13)</f>
        <v>First Name</v>
      </c>
      <c r="C12" s="15" t="str">
        <f>IF(Data!D13="","",Data!D13)</f>
        <v>Last Name</v>
      </c>
      <c r="D12" s="15" t="str">
        <f t="shared" si="0"/>
        <v>First Name Last Name</v>
      </c>
      <c r="E12" s="16" t="str">
        <f>Data!E13</f>
        <v>ON</v>
      </c>
      <c r="F12" s="16" t="str">
        <f>Data!F13</f>
        <v>None</v>
      </c>
      <c r="G12" s="16" t="b">
        <f t="shared" si="1"/>
        <v>0</v>
      </c>
      <c r="H12" s="16" t="str">
        <f t="shared" si="2"/>
        <v>NO</v>
      </c>
      <c r="I12" s="31" t="str">
        <f>IF(OR(ISNUMBER(SEARCH("Canada",F12)), ISNUMBER(SEARCH("None",F12)),ISNUMBER(SEARCH("Short",F12)),ISNUMBER(SEARCH("Alaska",F12))),"OK",IF(AND(G12=TRUE,T12&lt;=((Summary!$A$5*60)+Summary!$B$5)/1440),"ALERT","OK"))</f>
        <v>OK</v>
      </c>
      <c r="J12" s="31" t="str">
        <f>IF(ISNUMBER(SEARCH("None",F12)),"OK",IF(AND(G12=TRUE,U12&lt;=((Summary!$A$5*60)+Summary!$B$5)/1440),"ALERT","OK"))</f>
        <v>OK</v>
      </c>
      <c r="K12" s="31" t="str">
        <f>IF(ISNUMBER(SEARCH("None",F12)),"OK",IF(AND(G12=TRUE,OR(ISNUMBER(SEARCH("Texas",F12)),ISNUMBER(SEARCH("Canada",F12))),V12&lt;=((Summary!$A$5*60)+Summary!$B$5)/1440),"ALERT","OK"))</f>
        <v>OK</v>
      </c>
      <c r="L12" s="31" t="str">
        <f>IF(ISNUMBER(SEARCH("None",F12)),"OK",IF(AND(G12=TRUE,W12&lt;=((Summary!$A$5*60)+Summary!$B$5)/1440),"ALERT","OK"))</f>
        <v>OK</v>
      </c>
      <c r="M12" s="31" t="str">
        <f>IF(ISNUMBER(SEARCH("None",F12)),"OK",IF(AND(G12=TRUE,X12&lt;=((Summary!$A$5*60)+Summary!$B$5)/1440),"ALERT","OK"))</f>
        <v>OK</v>
      </c>
      <c r="N12" s="31" t="str">
        <f t="shared" si="3"/>
        <v/>
      </c>
      <c r="O12" s="31" t="str">
        <f t="shared" si="4"/>
        <v/>
      </c>
      <c r="P12" s="31" t="str">
        <f t="shared" si="5"/>
        <v/>
      </c>
      <c r="Q12" s="31" t="str">
        <f t="shared" si="6"/>
        <v/>
      </c>
      <c r="R12" s="31" t="str">
        <f t="shared" si="7"/>
        <v/>
      </c>
      <c r="S12" s="31" t="str">
        <f t="shared" si="8"/>
        <v/>
      </c>
      <c r="T12" s="43">
        <f>Data!G13</f>
        <v>0</v>
      </c>
      <c r="U12" s="43">
        <f>Data!H13</f>
        <v>0</v>
      </c>
      <c r="V12" s="43">
        <f>Data!I13</f>
        <v>0</v>
      </c>
      <c r="W12" s="43">
        <f>Data!J13</f>
        <v>0</v>
      </c>
      <c r="X12" s="43">
        <f>Data!K13</f>
        <v>0</v>
      </c>
    </row>
    <row r="13" spans="1:24" ht="16.5" x14ac:dyDescent="0.3">
      <c r="A13" s="14" t="str">
        <f>Data!A14</f>
        <v>Driver 6</v>
      </c>
      <c r="B13" s="15" t="str">
        <f>IF(Data!C14="","",Data!C14)</f>
        <v>First Name</v>
      </c>
      <c r="C13" s="15" t="str">
        <f>IF(Data!D14="","",Data!D14)</f>
        <v>Last Name</v>
      </c>
      <c r="D13" s="15" t="str">
        <f t="shared" si="0"/>
        <v>First Name Last Name</v>
      </c>
      <c r="E13" s="16" t="str">
        <f>Data!E14</f>
        <v>D</v>
      </c>
      <c r="F13" s="16" t="str">
        <f>Data!F14</f>
        <v>AmericaTexasShortHaul8Day</v>
      </c>
      <c r="G13" s="16" t="b">
        <f t="shared" si="1"/>
        <v>1</v>
      </c>
      <c r="H13" s="16" t="str">
        <f t="shared" si="2"/>
        <v>YES</v>
      </c>
      <c r="I13" s="31" t="str">
        <f>IF(OR(ISNUMBER(SEARCH("Canada",F13)), ISNUMBER(SEARCH("None",F13)),ISNUMBER(SEARCH("Short",F13)),ISNUMBER(SEARCH("Alaska",F13))),"OK",IF(AND(G13=TRUE,T13&lt;=((Summary!$A$5*60)+Summary!$B$5)/1440),"ALERT","OK"))</f>
        <v>OK</v>
      </c>
      <c r="J13" s="31" t="str">
        <f>IF(ISNUMBER(SEARCH("None",F13)),"OK",IF(AND(G13=TRUE,U13&lt;=((Summary!$A$5*60)+Summary!$B$5)/1440),"ALERT","OK"))</f>
        <v>OK</v>
      </c>
      <c r="K13" s="31" t="str">
        <f>IF(ISNUMBER(SEARCH("None",F13)),"OK",IF(AND(G13=TRUE,OR(ISNUMBER(SEARCH("Texas",F13)),ISNUMBER(SEARCH("Canada",F13))),V13&lt;=((Summary!$A$5*60)+Summary!$B$5)/1440),"ALERT","OK"))</f>
        <v>ALERT</v>
      </c>
      <c r="L13" s="31" t="str">
        <f>IF(ISNUMBER(SEARCH("None",F13)),"OK",IF(AND(G13=TRUE,W13&lt;=((Summary!$A$5*60)+Summary!$B$5)/1440),"ALERT","OK"))</f>
        <v>ALERT</v>
      </c>
      <c r="M13" s="31" t="str">
        <f>IF(ISNUMBER(SEARCH("None",F13)),"OK",IF(AND(G13=TRUE,X13&lt;=((Summary!$A$5*60)+Summary!$B$5)/1440),"ALERT","OK"))</f>
        <v>ALERT</v>
      </c>
      <c r="N13" s="31" t="str">
        <f t="shared" si="3"/>
        <v/>
      </c>
      <c r="O13" s="31" t="str">
        <f t="shared" si="4"/>
        <v/>
      </c>
      <c r="P13" s="31" t="str">
        <f t="shared" si="5"/>
        <v>Duty</v>
      </c>
      <c r="Q13" s="31" t="str">
        <f t="shared" si="6"/>
        <v>Workday</v>
      </c>
      <c r="R13" s="31" t="str">
        <f t="shared" si="7"/>
        <v>Cycle</v>
      </c>
      <c r="S13" s="31" t="str">
        <f t="shared" si="8"/>
        <v>Duty Workday Cycle</v>
      </c>
      <c r="T13" s="43">
        <f>Data!G14</f>
        <v>0</v>
      </c>
      <c r="U13" s="43">
        <f>Data!H14</f>
        <v>0.5</v>
      </c>
      <c r="V13" s="43">
        <f>Data!I14</f>
        <v>0</v>
      </c>
      <c r="W13" s="43">
        <f>Data!J14</f>
        <v>0</v>
      </c>
      <c r="X13" s="43">
        <f>Data!K14</f>
        <v>0</v>
      </c>
    </row>
    <row r="14" spans="1:24" ht="16.5" x14ac:dyDescent="0.3">
      <c r="A14" s="14" t="str">
        <f>Data!A15</f>
        <v>Driver 7</v>
      </c>
      <c r="B14" s="15" t="str">
        <f>IF(Data!C15="","",Data!C15)</f>
        <v>First Name</v>
      </c>
      <c r="C14" s="15" t="str">
        <f>IF(Data!D15="","",Data!D15)</f>
        <v>Last Name</v>
      </c>
      <c r="D14" s="15" t="str">
        <f t="shared" si="0"/>
        <v>First Name Last Name</v>
      </c>
      <c r="E14" s="16" t="str">
        <f>Data!E15</f>
        <v>ON</v>
      </c>
      <c r="F14" s="16" t="str">
        <f>Data!F15</f>
        <v>America8Day</v>
      </c>
      <c r="G14" s="16" t="b">
        <f t="shared" si="1"/>
        <v>0</v>
      </c>
      <c r="H14" s="16" t="str">
        <f t="shared" si="2"/>
        <v>NO</v>
      </c>
      <c r="I14" s="31" t="str">
        <f>IF(OR(ISNUMBER(SEARCH("Canada",F14)), ISNUMBER(SEARCH("None",F14)),ISNUMBER(SEARCH("Short",F14)),ISNUMBER(SEARCH("Alaska",F14))),"OK",IF(AND(G14=TRUE,T14&lt;=((Summary!$A$5*60)+Summary!$B$5)/1440),"ALERT","OK"))</f>
        <v>OK</v>
      </c>
      <c r="J14" s="31" t="str">
        <f>IF(ISNUMBER(SEARCH("None",F14)),"OK",IF(AND(G14=TRUE,U14&lt;=((Summary!$A$5*60)+Summary!$B$5)/1440),"ALERT","OK"))</f>
        <v>OK</v>
      </c>
      <c r="K14" s="31" t="str">
        <f>IF(ISNUMBER(SEARCH("None",F14)),"OK",IF(AND(G14=TRUE,OR(ISNUMBER(SEARCH("Texas",F14)),ISNUMBER(SEARCH("Canada",F14))),V14&lt;=((Summary!$A$5*60)+Summary!$B$5)/1440),"ALERT","OK"))</f>
        <v>OK</v>
      </c>
      <c r="L14" s="31" t="str">
        <f>IF(ISNUMBER(SEARCH("None",F14)),"OK",IF(AND(G14=TRUE,W14&lt;=((Summary!$A$5*60)+Summary!$B$5)/1440),"ALERT","OK"))</f>
        <v>OK</v>
      </c>
      <c r="M14" s="31" t="str">
        <f>IF(ISNUMBER(SEARCH("None",F14)),"OK",IF(AND(G14=TRUE,X14&lt;=((Summary!$A$5*60)+Summary!$B$5)/1440),"ALERT","OK"))</f>
        <v>OK</v>
      </c>
      <c r="N14" s="31" t="str">
        <f t="shared" si="3"/>
        <v/>
      </c>
      <c r="O14" s="31" t="str">
        <f t="shared" si="4"/>
        <v/>
      </c>
      <c r="P14" s="31" t="str">
        <f t="shared" si="5"/>
        <v/>
      </c>
      <c r="Q14" s="31" t="str">
        <f t="shared" si="6"/>
        <v/>
      </c>
      <c r="R14" s="31" t="str">
        <f t="shared" si="7"/>
        <v/>
      </c>
      <c r="S14" s="31" t="str">
        <f t="shared" si="8"/>
        <v/>
      </c>
      <c r="T14" s="43">
        <f>Data!G15</f>
        <v>0</v>
      </c>
      <c r="U14" s="43">
        <f>Data!H15</f>
        <v>0</v>
      </c>
      <c r="V14" s="43">
        <f>Data!I15</f>
        <v>0</v>
      </c>
      <c r="W14" s="43">
        <f>Data!J15</f>
        <v>0</v>
      </c>
      <c r="X14" s="43">
        <f>Data!K15</f>
        <v>0</v>
      </c>
    </row>
    <row r="15" spans="1:24" ht="16.5" x14ac:dyDescent="0.3">
      <c r="A15" s="14" t="str">
        <f>Data!A16</f>
        <v>Driver 8</v>
      </c>
      <c r="B15" s="15" t="str">
        <f>IF(Data!C16="","",Data!C16)</f>
        <v>First Name</v>
      </c>
      <c r="C15" s="15" t="str">
        <f>IF(Data!D16="","",Data!D16)</f>
        <v>Last Name</v>
      </c>
      <c r="D15" s="15" t="str">
        <f t="shared" si="0"/>
        <v>First Name Last Name</v>
      </c>
      <c r="E15" s="16" t="str">
        <f>Data!E16</f>
        <v>OFF</v>
      </c>
      <c r="F15" s="16" t="str">
        <f>Data!F16</f>
        <v>America7Day</v>
      </c>
      <c r="G15" s="16" t="b">
        <f t="shared" si="1"/>
        <v>0</v>
      </c>
      <c r="H15" s="16" t="str">
        <f t="shared" si="2"/>
        <v>NO</v>
      </c>
      <c r="I15" s="31" t="str">
        <f>IF(OR(ISNUMBER(SEARCH("Canada",F15)), ISNUMBER(SEARCH("None",F15)),ISNUMBER(SEARCH("Short",F15)),ISNUMBER(SEARCH("Alaska",F15))),"OK",IF(AND(G15=TRUE,T15&lt;=((Summary!$A$5*60)+Summary!$B$5)/1440),"ALERT","OK"))</f>
        <v>OK</v>
      </c>
      <c r="J15" s="31" t="str">
        <f>IF(ISNUMBER(SEARCH("None",F15)),"OK",IF(AND(G15=TRUE,U15&lt;=((Summary!$A$5*60)+Summary!$B$5)/1440),"ALERT","OK"))</f>
        <v>OK</v>
      </c>
      <c r="K15" s="31" t="str">
        <f>IF(ISNUMBER(SEARCH("None",F15)),"OK",IF(AND(G15=TRUE,OR(ISNUMBER(SEARCH("Texas",F15)),ISNUMBER(SEARCH("Canada",F15))),V15&lt;=((Summary!$A$5*60)+Summary!$B$5)/1440),"ALERT","OK"))</f>
        <v>OK</v>
      </c>
      <c r="L15" s="31" t="str">
        <f>IF(ISNUMBER(SEARCH("None",F15)),"OK",IF(AND(G15=TRUE,W15&lt;=((Summary!$A$5*60)+Summary!$B$5)/1440),"ALERT","OK"))</f>
        <v>OK</v>
      </c>
      <c r="M15" s="31" t="str">
        <f>IF(ISNUMBER(SEARCH("None",F15)),"OK",IF(AND(G15=TRUE,X15&lt;=((Summary!$A$5*60)+Summary!$B$5)/1440),"ALERT","OK"))</f>
        <v>OK</v>
      </c>
      <c r="N15" s="31" t="str">
        <f t="shared" si="3"/>
        <v/>
      </c>
      <c r="O15" s="31" t="str">
        <f t="shared" si="4"/>
        <v/>
      </c>
      <c r="P15" s="31" t="str">
        <f t="shared" si="5"/>
        <v/>
      </c>
      <c r="Q15" s="31" t="str">
        <f t="shared" si="6"/>
        <v/>
      </c>
      <c r="R15" s="31" t="str">
        <f t="shared" si="7"/>
        <v/>
      </c>
      <c r="S15" s="31" t="str">
        <f t="shared" si="8"/>
        <v/>
      </c>
      <c r="T15" s="43">
        <f>Data!G16</f>
        <v>0.33333333333333298</v>
      </c>
      <c r="U15" s="43">
        <f>Data!H16</f>
        <v>0.45833333333333298</v>
      </c>
      <c r="V15" s="43">
        <f>Data!I16</f>
        <v>0</v>
      </c>
      <c r="W15" s="43">
        <f>Data!J16</f>
        <v>0.58333333333333304</v>
      </c>
      <c r="X15" s="43">
        <f>Data!K16</f>
        <v>2.5</v>
      </c>
    </row>
    <row r="16" spans="1:24" ht="16.5" x14ac:dyDescent="0.3">
      <c r="A16" s="14" t="str">
        <f>Data!A17</f>
        <v>Driver 9</v>
      </c>
      <c r="B16" s="15" t="str">
        <f>IF(Data!C17="","",Data!C17)</f>
        <v>First Name</v>
      </c>
      <c r="C16" s="15" t="str">
        <f>IF(Data!D17="","",Data!D17)</f>
        <v>Last Name</v>
      </c>
      <c r="D16" s="15" t="str">
        <f t="shared" si="0"/>
        <v>First Name Last Name</v>
      </c>
      <c r="E16" s="16" t="str">
        <f>Data!E17</f>
        <v>OFF</v>
      </c>
      <c r="F16" s="16" t="str">
        <f>Data!F17</f>
        <v>CanadaCycleOne</v>
      </c>
      <c r="G16" s="16" t="b">
        <f t="shared" si="1"/>
        <v>0</v>
      </c>
      <c r="H16" s="16" t="str">
        <f t="shared" si="2"/>
        <v>NO</v>
      </c>
      <c r="I16" s="31" t="str">
        <f>IF(OR(ISNUMBER(SEARCH("Canada",F16)), ISNUMBER(SEARCH("None",F16)),ISNUMBER(SEARCH("Short",F16)),ISNUMBER(SEARCH("Alaska",F16))),"OK",IF(AND(G16=TRUE,T16&lt;=((Summary!$A$5*60)+Summary!$B$5)/1440),"ALERT","OK"))</f>
        <v>OK</v>
      </c>
      <c r="J16" s="31" t="str">
        <f>IF(ISNUMBER(SEARCH("None",F16)),"OK",IF(AND(G16=TRUE,U16&lt;=((Summary!$A$5*60)+Summary!$B$5)/1440),"ALERT","OK"))</f>
        <v>OK</v>
      </c>
      <c r="K16" s="31" t="str">
        <f>IF(ISNUMBER(SEARCH("None",F16)),"OK",IF(AND(G16=TRUE,OR(ISNUMBER(SEARCH("Texas",F16)),ISNUMBER(SEARCH("Canada",F16))),V16&lt;=((Summary!$A$5*60)+Summary!$B$5)/1440),"ALERT","OK"))</f>
        <v>OK</v>
      </c>
      <c r="L16" s="31" t="str">
        <f>IF(ISNUMBER(SEARCH("None",F16)),"OK",IF(AND(G16=TRUE,W16&lt;=((Summary!$A$5*60)+Summary!$B$5)/1440),"ALERT","OK"))</f>
        <v>OK</v>
      </c>
      <c r="M16" s="31" t="str">
        <f>IF(ISNUMBER(SEARCH("None",F16)),"OK",IF(AND(G16=TRUE,X16&lt;=((Summary!$A$5*60)+Summary!$B$5)/1440),"ALERT","OK"))</f>
        <v>OK</v>
      </c>
      <c r="N16" s="31" t="str">
        <f t="shared" si="3"/>
        <v/>
      </c>
      <c r="O16" s="31" t="str">
        <f t="shared" si="4"/>
        <v/>
      </c>
      <c r="P16" s="31" t="str">
        <f t="shared" si="5"/>
        <v/>
      </c>
      <c r="Q16" s="31" t="str">
        <f t="shared" si="6"/>
        <v/>
      </c>
      <c r="R16" s="31" t="str">
        <f t="shared" si="7"/>
        <v/>
      </c>
      <c r="S16" s="31" t="str">
        <f t="shared" si="8"/>
        <v/>
      </c>
      <c r="T16" s="43">
        <f>Data!G17</f>
        <v>0</v>
      </c>
      <c r="U16" s="43">
        <f>Data!H17</f>
        <v>0.54166666666666696</v>
      </c>
      <c r="V16" s="43">
        <f>Data!I17</f>
        <v>0.58333333333333304</v>
      </c>
      <c r="W16" s="43">
        <f>Data!J17</f>
        <v>0.66666666666666696</v>
      </c>
      <c r="X16" s="43">
        <f>Data!K17</f>
        <v>2.9166666666666701</v>
      </c>
    </row>
    <row r="17" spans="1:24" ht="16.5" x14ac:dyDescent="0.3">
      <c r="A17" s="14" t="str">
        <f>Data!A18</f>
        <v>Driver 10</v>
      </c>
      <c r="B17" s="15" t="str">
        <f>IF(Data!C18="","",Data!C18)</f>
        <v>First Name</v>
      </c>
      <c r="C17" s="15" t="str">
        <f>IF(Data!D18="","",Data!D18)</f>
        <v>Last Name</v>
      </c>
      <c r="D17" s="15" t="str">
        <f t="shared" si="0"/>
        <v>First Name Last Name</v>
      </c>
      <c r="E17" s="16" t="str">
        <f>Data!E18</f>
        <v>OFF</v>
      </c>
      <c r="F17" s="16" t="str">
        <f>Data!F18</f>
        <v>CaliforniaProperty</v>
      </c>
      <c r="G17" s="16" t="b">
        <f t="shared" si="1"/>
        <v>0</v>
      </c>
      <c r="H17" s="16" t="str">
        <f t="shared" si="2"/>
        <v>NO</v>
      </c>
      <c r="I17" s="31" t="str">
        <f>IF(OR(ISNUMBER(SEARCH("Canada",F17)), ISNUMBER(SEARCH("None",F17)),ISNUMBER(SEARCH("Short",F17)),ISNUMBER(SEARCH("Alaska",F17))),"OK",IF(AND(G17=TRUE,T17&lt;=((Summary!$A$5*60)+Summary!$B$5)/1440),"ALERT","OK"))</f>
        <v>OK</v>
      </c>
      <c r="J17" s="31" t="str">
        <f>IF(ISNUMBER(SEARCH("None",F17)),"OK",IF(AND(G17=TRUE,U17&lt;=((Summary!$A$5*60)+Summary!$B$5)/1440),"ALERT","OK"))</f>
        <v>OK</v>
      </c>
      <c r="K17" s="31" t="str">
        <f>IF(ISNUMBER(SEARCH("None",F17)),"OK",IF(AND(G17=TRUE,OR(ISNUMBER(SEARCH("Texas",F17)),ISNUMBER(SEARCH("Canada",F17))),V17&lt;=((Summary!$A$5*60)+Summary!$B$5)/1440),"ALERT","OK"))</f>
        <v>OK</v>
      </c>
      <c r="L17" s="31" t="str">
        <f>IF(ISNUMBER(SEARCH("None",F17)),"OK",IF(AND(G17=TRUE,W17&lt;=((Summary!$A$5*60)+Summary!$B$5)/1440),"ALERT","OK"))</f>
        <v>OK</v>
      </c>
      <c r="M17" s="31" t="str">
        <f>IF(ISNUMBER(SEARCH("None",F17)),"OK",IF(AND(G17=TRUE,X17&lt;=((Summary!$A$5*60)+Summary!$B$5)/1440),"ALERT","OK"))</f>
        <v>OK</v>
      </c>
      <c r="N17" s="31" t="str">
        <f t="shared" si="3"/>
        <v/>
      </c>
      <c r="O17" s="31" t="str">
        <f t="shared" si="4"/>
        <v/>
      </c>
      <c r="P17" s="31" t="str">
        <f t="shared" si="5"/>
        <v/>
      </c>
      <c r="Q17" s="31" t="str">
        <f t="shared" si="6"/>
        <v/>
      </c>
      <c r="R17" s="31" t="str">
        <f t="shared" si="7"/>
        <v/>
      </c>
      <c r="S17" s="31" t="str">
        <f t="shared" si="8"/>
        <v/>
      </c>
      <c r="T17" s="43">
        <f>Data!G18</f>
        <v>0</v>
      </c>
      <c r="U17" s="43">
        <f>Data!H18</f>
        <v>0.5</v>
      </c>
      <c r="V17" s="43">
        <f>Data!I18</f>
        <v>0</v>
      </c>
      <c r="W17" s="43">
        <f>Data!J18</f>
        <v>0.66666666666666696</v>
      </c>
      <c r="X17" s="43">
        <f>Data!K18</f>
        <v>3.2227679398148199</v>
      </c>
    </row>
    <row r="18" spans="1:24" ht="16.5" x14ac:dyDescent="0.3">
      <c r="A18" s="14" t="str">
        <f>Data!A19</f>
        <v>Driver 11</v>
      </c>
      <c r="B18" s="15" t="str">
        <f>IF(Data!C19="","",Data!C19)</f>
        <v>First Name</v>
      </c>
      <c r="C18" s="15" t="str">
        <f>IF(Data!D19="","",Data!D19)</f>
        <v>Last Name</v>
      </c>
      <c r="D18" s="15" t="str">
        <f t="shared" si="0"/>
        <v>First Name Last Name</v>
      </c>
      <c r="E18" s="16" t="str">
        <f>Data!E19</f>
        <v>OFF</v>
      </c>
      <c r="F18" s="16" t="str">
        <f>Data!F19</f>
        <v>CanadaCycleOne</v>
      </c>
      <c r="G18" s="16" t="b">
        <f t="shared" si="1"/>
        <v>0</v>
      </c>
      <c r="H18" s="16" t="str">
        <f t="shared" si="2"/>
        <v>NO</v>
      </c>
      <c r="I18" s="31" t="str">
        <f>IF(OR(ISNUMBER(SEARCH("Canada",F18)), ISNUMBER(SEARCH("None",F18)),ISNUMBER(SEARCH("Short",F18)),ISNUMBER(SEARCH("Alaska",F18))),"OK",IF(AND(G18=TRUE,T18&lt;=((Summary!$A$5*60)+Summary!$B$5)/1440),"ALERT","OK"))</f>
        <v>OK</v>
      </c>
      <c r="J18" s="31" t="str">
        <f>IF(ISNUMBER(SEARCH("None",F18)),"OK",IF(AND(G18=TRUE,U18&lt;=((Summary!$A$5*60)+Summary!$B$5)/1440),"ALERT","OK"))</f>
        <v>OK</v>
      </c>
      <c r="K18" s="31" t="str">
        <f>IF(ISNUMBER(SEARCH("None",F18)),"OK",IF(AND(G18=TRUE,OR(ISNUMBER(SEARCH("Texas",F18)),ISNUMBER(SEARCH("Canada",F18))),V18&lt;=((Summary!$A$5*60)+Summary!$B$5)/1440),"ALERT","OK"))</f>
        <v>OK</v>
      </c>
      <c r="L18" s="31" t="str">
        <f>IF(ISNUMBER(SEARCH("None",F18)),"OK",IF(AND(G18=TRUE,W18&lt;=((Summary!$A$5*60)+Summary!$B$5)/1440),"ALERT","OK"))</f>
        <v>OK</v>
      </c>
      <c r="M18" s="31" t="str">
        <f>IF(ISNUMBER(SEARCH("None",F18)),"OK",IF(AND(G18=TRUE,X18&lt;=((Summary!$A$5*60)+Summary!$B$5)/1440),"ALERT","OK"))</f>
        <v>OK</v>
      </c>
      <c r="N18" s="31" t="str">
        <f t="shared" si="3"/>
        <v/>
      </c>
      <c r="O18" s="31" t="str">
        <f t="shared" si="4"/>
        <v/>
      </c>
      <c r="P18" s="31" t="str">
        <f t="shared" si="5"/>
        <v/>
      </c>
      <c r="Q18" s="31" t="str">
        <f t="shared" si="6"/>
        <v/>
      </c>
      <c r="R18" s="31" t="str">
        <f t="shared" si="7"/>
        <v/>
      </c>
      <c r="S18" s="31" t="str">
        <f t="shared" si="8"/>
        <v/>
      </c>
      <c r="T18" s="43">
        <f>Data!G19</f>
        <v>0</v>
      </c>
      <c r="U18" s="43">
        <f>Data!H19</f>
        <v>0.54166666666666696</v>
      </c>
      <c r="V18" s="43">
        <f>Data!I19</f>
        <v>0.58333333333333304</v>
      </c>
      <c r="W18" s="43">
        <f>Data!J19</f>
        <v>0.66666666666666696</v>
      </c>
      <c r="X18" s="43">
        <f>Data!K19</f>
        <v>2.9166666666666701</v>
      </c>
    </row>
    <row r="19" spans="1:24" ht="16.5" x14ac:dyDescent="0.3">
      <c r="A19" s="14" t="str">
        <f>Data!A20</f>
        <v>Driver 12</v>
      </c>
      <c r="B19" s="15" t="str">
        <f>IF(Data!C20="","",Data!C20)</f>
        <v>First Name</v>
      </c>
      <c r="C19" s="15" t="str">
        <f>IF(Data!D20="","",Data!D20)</f>
        <v>Last Name</v>
      </c>
      <c r="D19" s="15" t="str">
        <f t="shared" si="0"/>
        <v>First Name Last Name</v>
      </c>
      <c r="E19" s="16" t="str">
        <f>Data!E20</f>
        <v>OFF</v>
      </c>
      <c r="F19" s="16" t="str">
        <f>Data!F20</f>
        <v>CanadaCycleOne</v>
      </c>
      <c r="G19" s="16" t="b">
        <f t="shared" si="1"/>
        <v>0</v>
      </c>
      <c r="H19" s="16" t="str">
        <f t="shared" si="2"/>
        <v>NO</v>
      </c>
      <c r="I19" s="31" t="str">
        <f>IF(OR(ISNUMBER(SEARCH("Canada",F19)), ISNUMBER(SEARCH("None",F19)),ISNUMBER(SEARCH("Short",F19)),ISNUMBER(SEARCH("Alaska",F19))),"OK",IF(AND(G19=TRUE,T19&lt;=((Summary!$A$5*60)+Summary!$B$5)/1440),"ALERT","OK"))</f>
        <v>OK</v>
      </c>
      <c r="J19" s="31" t="str">
        <f>IF(ISNUMBER(SEARCH("None",F19)),"OK",IF(AND(G19=TRUE,U19&lt;=((Summary!$A$5*60)+Summary!$B$5)/1440),"ALERT","OK"))</f>
        <v>OK</v>
      </c>
      <c r="K19" s="31" t="str">
        <f>IF(ISNUMBER(SEARCH("None",F19)),"OK",IF(AND(G19=TRUE,OR(ISNUMBER(SEARCH("Texas",F19)),ISNUMBER(SEARCH("Canada",F19))),V19&lt;=((Summary!$A$5*60)+Summary!$B$5)/1440),"ALERT","OK"))</f>
        <v>OK</v>
      </c>
      <c r="L19" s="31" t="str">
        <f>IF(ISNUMBER(SEARCH("None",F19)),"OK",IF(AND(G19=TRUE,W19&lt;=((Summary!$A$5*60)+Summary!$B$5)/1440),"ALERT","OK"))</f>
        <v>OK</v>
      </c>
      <c r="M19" s="31" t="str">
        <f>IF(ISNUMBER(SEARCH("None",F19)),"OK",IF(AND(G19=TRUE,X19&lt;=((Summary!$A$5*60)+Summary!$B$5)/1440),"ALERT","OK"))</f>
        <v>OK</v>
      </c>
      <c r="N19" s="31" t="str">
        <f t="shared" si="3"/>
        <v/>
      </c>
      <c r="O19" s="31" t="str">
        <f t="shared" si="4"/>
        <v/>
      </c>
      <c r="P19" s="31" t="str">
        <f t="shared" si="5"/>
        <v/>
      </c>
      <c r="Q19" s="31" t="str">
        <f t="shared" si="6"/>
        <v/>
      </c>
      <c r="R19" s="31" t="str">
        <f t="shared" si="7"/>
        <v/>
      </c>
      <c r="S19" s="31" t="str">
        <f t="shared" si="8"/>
        <v/>
      </c>
      <c r="T19" s="43">
        <f>Data!G20</f>
        <v>0</v>
      </c>
      <c r="U19" s="43">
        <f>Data!H20</f>
        <v>0.54166666666666696</v>
      </c>
      <c r="V19" s="43">
        <f>Data!I20</f>
        <v>0.58333333333333304</v>
      </c>
      <c r="W19" s="43">
        <f>Data!J20</f>
        <v>0.66666666666666696</v>
      </c>
      <c r="X19" s="43">
        <f>Data!K20</f>
        <v>2.9166666666666701</v>
      </c>
    </row>
    <row r="20" spans="1:24" ht="16.5" x14ac:dyDescent="0.3">
      <c r="A20" s="14" t="str">
        <f>Data!A21</f>
        <v>Driver 13</v>
      </c>
      <c r="B20" s="15" t="str">
        <f>IF(Data!C21="","",Data!C21)</f>
        <v>First Name</v>
      </c>
      <c r="C20" s="15" t="str">
        <f>IF(Data!D21="","",Data!D21)</f>
        <v>Last Name</v>
      </c>
      <c r="D20" s="15" t="str">
        <f t="shared" si="0"/>
        <v>First Name Last Name</v>
      </c>
      <c r="E20" s="16" t="str">
        <f>Data!E21</f>
        <v>OFF</v>
      </c>
      <c r="F20" s="16" t="str">
        <f>Data!F21</f>
        <v>America8Day</v>
      </c>
      <c r="G20" s="16" t="b">
        <f t="shared" si="1"/>
        <v>0</v>
      </c>
      <c r="H20" s="16" t="str">
        <f t="shared" si="2"/>
        <v>NO</v>
      </c>
      <c r="I20" s="31" t="str">
        <f>IF(OR(ISNUMBER(SEARCH("Canada",F20)), ISNUMBER(SEARCH("None",F20)),ISNUMBER(SEARCH("Short",F20)),ISNUMBER(SEARCH("Alaska",F20))),"OK",IF(AND(G20=TRUE,T20&lt;=((Summary!$A$5*60)+Summary!$B$5)/1440),"ALERT","OK"))</f>
        <v>OK</v>
      </c>
      <c r="J20" s="31" t="str">
        <f>IF(ISNUMBER(SEARCH("None",F20)),"OK",IF(AND(G20=TRUE,U20&lt;=((Summary!$A$5*60)+Summary!$B$5)/1440),"ALERT","OK"))</f>
        <v>OK</v>
      </c>
      <c r="K20" s="31" t="str">
        <f>IF(ISNUMBER(SEARCH("None",F20)),"OK",IF(AND(G20=TRUE,OR(ISNUMBER(SEARCH("Texas",F20)),ISNUMBER(SEARCH("Canada",F20))),V20&lt;=((Summary!$A$5*60)+Summary!$B$5)/1440),"ALERT","OK"))</f>
        <v>OK</v>
      </c>
      <c r="L20" s="31" t="str">
        <f>IF(ISNUMBER(SEARCH("None",F20)),"OK",IF(AND(G20=TRUE,W20&lt;=((Summary!$A$5*60)+Summary!$B$5)/1440),"ALERT","OK"))</f>
        <v>OK</v>
      </c>
      <c r="M20" s="31" t="str">
        <f>IF(ISNUMBER(SEARCH("None",F20)),"OK",IF(AND(G20=TRUE,X20&lt;=((Summary!$A$5*60)+Summary!$B$5)/1440),"ALERT","OK"))</f>
        <v>OK</v>
      </c>
      <c r="N20" s="31" t="str">
        <f t="shared" si="3"/>
        <v/>
      </c>
      <c r="O20" s="31" t="str">
        <f t="shared" si="4"/>
        <v/>
      </c>
      <c r="P20" s="31" t="str">
        <f t="shared" si="5"/>
        <v/>
      </c>
      <c r="Q20" s="31" t="str">
        <f t="shared" si="6"/>
        <v/>
      </c>
      <c r="R20" s="31" t="str">
        <f t="shared" si="7"/>
        <v/>
      </c>
      <c r="S20" s="31" t="str">
        <f t="shared" si="8"/>
        <v/>
      </c>
      <c r="T20" s="43">
        <f>Data!G21</f>
        <v>0.33333333333333298</v>
      </c>
      <c r="U20" s="43">
        <f>Data!H21</f>
        <v>0.45833333333333298</v>
      </c>
      <c r="V20" s="43">
        <f>Data!I21</f>
        <v>0</v>
      </c>
      <c r="W20" s="43">
        <f>Data!J21</f>
        <v>0.58333333333333304</v>
      </c>
      <c r="X20" s="43">
        <f>Data!K21</f>
        <v>2.9166666666666701</v>
      </c>
    </row>
    <row r="21" spans="1:24" ht="16.5" x14ac:dyDescent="0.3">
      <c r="A21" s="14" t="str">
        <f>Data!A22</f>
        <v>Driver 14</v>
      </c>
      <c r="B21" s="15" t="str">
        <f>IF(Data!C22="","",Data!C22)</f>
        <v>First Name</v>
      </c>
      <c r="C21" s="15" t="str">
        <f>IF(Data!D22="","",Data!D22)</f>
        <v>Last Name</v>
      </c>
      <c r="D21" s="15" t="str">
        <f t="shared" si="0"/>
        <v>First Name Last Name</v>
      </c>
      <c r="E21" s="16" t="str">
        <f>Data!E22</f>
        <v>D</v>
      </c>
      <c r="F21" s="16" t="str">
        <f>Data!F22</f>
        <v>None</v>
      </c>
      <c r="G21" s="16" t="b">
        <f t="shared" si="1"/>
        <v>1</v>
      </c>
      <c r="H21" s="16" t="str">
        <f t="shared" si="2"/>
        <v>NO</v>
      </c>
      <c r="I21" s="31" t="str">
        <f>IF(OR(ISNUMBER(SEARCH("Canada",F21)), ISNUMBER(SEARCH("None",F21)),ISNUMBER(SEARCH("Short",F21)),ISNUMBER(SEARCH("Alaska",F21))),"OK",IF(AND(G21=TRUE,T21&lt;=((Summary!$A$5*60)+Summary!$B$5)/1440),"ALERT","OK"))</f>
        <v>OK</v>
      </c>
      <c r="J21" s="31" t="str">
        <f>IF(ISNUMBER(SEARCH("None",F21)),"OK",IF(AND(G21=TRUE,U21&lt;=((Summary!$A$5*60)+Summary!$B$5)/1440),"ALERT","OK"))</f>
        <v>OK</v>
      </c>
      <c r="K21" s="31" t="str">
        <f>IF(ISNUMBER(SEARCH("None",F21)),"OK",IF(AND(G21=TRUE,OR(ISNUMBER(SEARCH("Texas",F21)),ISNUMBER(SEARCH("Canada",F21))),V21&lt;=((Summary!$A$5*60)+Summary!$B$5)/1440),"ALERT","OK"))</f>
        <v>OK</v>
      </c>
      <c r="L21" s="31" t="str">
        <f>IF(ISNUMBER(SEARCH("None",F21)),"OK",IF(AND(G21=TRUE,W21&lt;=((Summary!$A$5*60)+Summary!$B$5)/1440),"ALERT","OK"))</f>
        <v>OK</v>
      </c>
      <c r="M21" s="31" t="str">
        <f>IF(ISNUMBER(SEARCH("None",F21)),"OK",IF(AND(G21=TRUE,X21&lt;=((Summary!$A$5*60)+Summary!$B$5)/1440),"ALERT","OK"))</f>
        <v>OK</v>
      </c>
      <c r="N21" s="31" t="str">
        <f t="shared" si="3"/>
        <v/>
      </c>
      <c r="O21" s="31" t="str">
        <f t="shared" si="4"/>
        <v/>
      </c>
      <c r="P21" s="31" t="str">
        <f t="shared" si="5"/>
        <v/>
      </c>
      <c r="Q21" s="31" t="str">
        <f t="shared" si="6"/>
        <v/>
      </c>
      <c r="R21" s="31" t="str">
        <f t="shared" si="7"/>
        <v/>
      </c>
      <c r="S21" s="31" t="str">
        <f t="shared" si="8"/>
        <v/>
      </c>
      <c r="T21" s="43">
        <f>Data!G22</f>
        <v>0</v>
      </c>
      <c r="U21" s="43">
        <f>Data!H22</f>
        <v>0</v>
      </c>
      <c r="V21" s="43">
        <f>Data!I22</f>
        <v>0</v>
      </c>
      <c r="W21" s="43">
        <f>Data!J22</f>
        <v>0</v>
      </c>
      <c r="X21" s="43">
        <f>Data!K22</f>
        <v>0</v>
      </c>
    </row>
    <row r="22" spans="1:24" ht="16.5" x14ac:dyDescent="0.3">
      <c r="A22" s="14" t="str">
        <f>Data!A23</f>
        <v>Driver 15</v>
      </c>
      <c r="B22" s="15" t="str">
        <f>IF(Data!C23="","",Data!C23)</f>
        <v>First Name</v>
      </c>
      <c r="C22" s="15" t="str">
        <f>IF(Data!D23="","",Data!D23)</f>
        <v>Last Name</v>
      </c>
      <c r="D22" s="15" t="str">
        <f t="shared" si="0"/>
        <v>First Name Last Name</v>
      </c>
      <c r="E22" s="16" t="str">
        <f>Data!E23</f>
        <v>OFF</v>
      </c>
      <c r="F22" s="16" t="str">
        <f>Data!F23</f>
        <v>CanadaCycleOne</v>
      </c>
      <c r="G22" s="16" t="b">
        <f t="shared" si="1"/>
        <v>0</v>
      </c>
      <c r="H22" s="16" t="str">
        <f t="shared" si="2"/>
        <v>NO</v>
      </c>
      <c r="I22" s="31" t="str">
        <f>IF(OR(ISNUMBER(SEARCH("Canada",F22)), ISNUMBER(SEARCH("None",F22)),ISNUMBER(SEARCH("Short",F22)),ISNUMBER(SEARCH("Alaska",F22))),"OK",IF(AND(G22=TRUE,T22&lt;=((Summary!$A$5*60)+Summary!$B$5)/1440),"ALERT","OK"))</f>
        <v>OK</v>
      </c>
      <c r="J22" s="31" t="str">
        <f>IF(ISNUMBER(SEARCH("None",F22)),"OK",IF(AND(G22=TRUE,U22&lt;=((Summary!$A$5*60)+Summary!$B$5)/1440),"ALERT","OK"))</f>
        <v>OK</v>
      </c>
      <c r="K22" s="31" t="str">
        <f>IF(ISNUMBER(SEARCH("None",F22)),"OK",IF(AND(G22=TRUE,OR(ISNUMBER(SEARCH("Texas",F22)),ISNUMBER(SEARCH("Canada",F22))),V22&lt;=((Summary!$A$5*60)+Summary!$B$5)/1440),"ALERT","OK"))</f>
        <v>OK</v>
      </c>
      <c r="L22" s="31" t="str">
        <f>IF(ISNUMBER(SEARCH("None",F22)),"OK",IF(AND(G22=TRUE,W22&lt;=((Summary!$A$5*60)+Summary!$B$5)/1440),"ALERT","OK"))</f>
        <v>OK</v>
      </c>
      <c r="M22" s="31" t="str">
        <f>IF(ISNUMBER(SEARCH("None",F22)),"OK",IF(AND(G22=TRUE,X22&lt;=((Summary!$A$5*60)+Summary!$B$5)/1440),"ALERT","OK"))</f>
        <v>OK</v>
      </c>
      <c r="N22" s="31" t="str">
        <f t="shared" si="3"/>
        <v/>
      </c>
      <c r="O22" s="31" t="str">
        <f t="shared" si="4"/>
        <v/>
      </c>
      <c r="P22" s="31" t="str">
        <f t="shared" si="5"/>
        <v/>
      </c>
      <c r="Q22" s="31" t="str">
        <f t="shared" si="6"/>
        <v/>
      </c>
      <c r="R22" s="31" t="str">
        <f t="shared" si="7"/>
        <v/>
      </c>
      <c r="S22" s="31" t="str">
        <f t="shared" si="8"/>
        <v/>
      </c>
      <c r="T22" s="43">
        <f>Data!G23</f>
        <v>0</v>
      </c>
      <c r="U22" s="43">
        <f>Data!H23</f>
        <v>0.54166666666666696</v>
      </c>
      <c r="V22" s="43">
        <f>Data!I23</f>
        <v>0</v>
      </c>
      <c r="W22" s="43">
        <f>Data!J23</f>
        <v>0.66666666666666696</v>
      </c>
      <c r="X22" s="43">
        <f>Data!K23</f>
        <v>2.9166666666666701</v>
      </c>
    </row>
    <row r="23" spans="1:24" ht="16.5" x14ac:dyDescent="0.3">
      <c r="A23" s="14" t="str">
        <f>Data!A24</f>
        <v>Driver 16</v>
      </c>
      <c r="B23" s="15" t="str">
        <f>IF(Data!C24="","",Data!C24)</f>
        <v>First Name</v>
      </c>
      <c r="C23" s="15" t="str">
        <f>IF(Data!D24="","",Data!D24)</f>
        <v>Last Name</v>
      </c>
      <c r="D23" s="15" t="str">
        <f t="shared" si="0"/>
        <v>First Name Last Name</v>
      </c>
      <c r="E23" s="16" t="str">
        <f>Data!E24</f>
        <v>YM</v>
      </c>
      <c r="F23" s="16" t="str">
        <f>Data!F24</f>
        <v>America8Day</v>
      </c>
      <c r="G23" s="16" t="b">
        <f t="shared" si="1"/>
        <v>1</v>
      </c>
      <c r="H23" s="16" t="str">
        <f t="shared" si="2"/>
        <v>YES</v>
      </c>
      <c r="I23" s="31" t="str">
        <f>IF(OR(ISNUMBER(SEARCH("Canada",F23)), ISNUMBER(SEARCH("None",F23)),ISNUMBER(SEARCH("Short",F23)),ISNUMBER(SEARCH("Alaska",F23))),"OK",IF(AND(G23=TRUE,T23&lt;=((Summary!$A$5*60)+Summary!$B$5)/1440),"ALERT","OK"))</f>
        <v>ALERT</v>
      </c>
      <c r="J23" s="31" t="str">
        <f>IF(ISNUMBER(SEARCH("None",F23)),"OK",IF(AND(G23=TRUE,U23&lt;=((Summary!$A$5*60)+Summary!$B$5)/1440),"ALERT","OK"))</f>
        <v>ALERT</v>
      </c>
      <c r="K23" s="31" t="str">
        <f>IF(ISNUMBER(SEARCH("None",F23)),"OK",IF(AND(G23=TRUE,OR(ISNUMBER(SEARCH("Texas",F23)),ISNUMBER(SEARCH("Canada",F23))),V23&lt;=((Summary!$A$5*60)+Summary!$B$5)/1440),"ALERT","OK"))</f>
        <v>OK</v>
      </c>
      <c r="L23" s="31" t="str">
        <f>IF(ISNUMBER(SEARCH("None",F23)),"OK",IF(AND(G23=TRUE,W23&lt;=((Summary!$A$5*60)+Summary!$B$5)/1440),"ALERT","OK"))</f>
        <v>ALERT</v>
      </c>
      <c r="M23" s="31" t="str">
        <f>IF(ISNUMBER(SEARCH("None",F23)),"OK",IF(AND(G23=TRUE,X23&lt;=((Summary!$A$5*60)+Summary!$B$5)/1440),"ALERT","OK"))</f>
        <v>ALERT</v>
      </c>
      <c r="N23" s="31" t="str">
        <f t="shared" si="3"/>
        <v>Rest</v>
      </c>
      <c r="O23" s="31" t="str">
        <f t="shared" si="4"/>
        <v>Driving</v>
      </c>
      <c r="P23" s="31" t="str">
        <f t="shared" si="5"/>
        <v/>
      </c>
      <c r="Q23" s="31" t="str">
        <f t="shared" si="6"/>
        <v>Workday</v>
      </c>
      <c r="R23" s="31" t="str">
        <f t="shared" si="7"/>
        <v>Cycle</v>
      </c>
      <c r="S23" s="31" t="str">
        <f t="shared" si="8"/>
        <v>Rest Driving Workday Cycle</v>
      </c>
      <c r="T23" s="43">
        <f>Data!G24</f>
        <v>0</v>
      </c>
      <c r="U23" s="43">
        <f>Data!H24</f>
        <v>0</v>
      </c>
      <c r="V23" s="43">
        <f>Data!I24</f>
        <v>0</v>
      </c>
      <c r="W23" s="43">
        <f>Data!J24</f>
        <v>0</v>
      </c>
      <c r="X23" s="43">
        <f>Data!K24</f>
        <v>0</v>
      </c>
    </row>
    <row r="24" spans="1:24" ht="16.5" x14ac:dyDescent="0.3">
      <c r="A24" s="14" t="str">
        <f>Data!A25</f>
        <v>Driver 17</v>
      </c>
      <c r="B24" s="15" t="str">
        <f>IF(Data!C25="","",Data!C25)</f>
        <v>First Name</v>
      </c>
      <c r="C24" s="15" t="str">
        <f>IF(Data!D25="","",Data!D25)</f>
        <v>Last Name</v>
      </c>
      <c r="D24" s="15" t="str">
        <f t="shared" si="0"/>
        <v>First Name Last Name</v>
      </c>
      <c r="E24" s="16" t="str">
        <f>Data!E25</f>
        <v>ON</v>
      </c>
      <c r="F24" s="16" t="str">
        <f>Data!F25</f>
        <v>None</v>
      </c>
      <c r="G24" s="16" t="b">
        <f t="shared" si="1"/>
        <v>0</v>
      </c>
      <c r="H24" s="16" t="str">
        <f t="shared" si="2"/>
        <v>NO</v>
      </c>
      <c r="I24" s="31" t="str">
        <f>IF(OR(ISNUMBER(SEARCH("Canada",F24)), ISNUMBER(SEARCH("None",F24)),ISNUMBER(SEARCH("Short",F24)),ISNUMBER(SEARCH("Alaska",F24))),"OK",IF(AND(G24=TRUE,T24&lt;=((Summary!$A$5*60)+Summary!$B$5)/1440),"ALERT","OK"))</f>
        <v>OK</v>
      </c>
      <c r="J24" s="31" t="str">
        <f>IF(ISNUMBER(SEARCH("None",F24)),"OK",IF(AND(G24=TRUE,U24&lt;=((Summary!$A$5*60)+Summary!$B$5)/1440),"ALERT","OK"))</f>
        <v>OK</v>
      </c>
      <c r="K24" s="31" t="str">
        <f>IF(ISNUMBER(SEARCH("None",F24)),"OK",IF(AND(G24=TRUE,OR(ISNUMBER(SEARCH("Texas",F24)),ISNUMBER(SEARCH("Canada",F24))),V24&lt;=((Summary!$A$5*60)+Summary!$B$5)/1440),"ALERT","OK"))</f>
        <v>OK</v>
      </c>
      <c r="L24" s="31" t="str">
        <f>IF(ISNUMBER(SEARCH("None",F24)),"OK",IF(AND(G24=TRUE,W24&lt;=((Summary!$A$5*60)+Summary!$B$5)/1440),"ALERT","OK"))</f>
        <v>OK</v>
      </c>
      <c r="M24" s="31" t="str">
        <f>IF(ISNUMBER(SEARCH("None",F24)),"OK",IF(AND(G24=TRUE,X24&lt;=((Summary!$A$5*60)+Summary!$B$5)/1440),"ALERT","OK"))</f>
        <v>OK</v>
      </c>
      <c r="N24" s="31" t="str">
        <f t="shared" si="3"/>
        <v/>
      </c>
      <c r="O24" s="31" t="str">
        <f t="shared" si="4"/>
        <v/>
      </c>
      <c r="P24" s="31" t="str">
        <f t="shared" si="5"/>
        <v/>
      </c>
      <c r="Q24" s="31" t="str">
        <f t="shared" si="6"/>
        <v/>
      </c>
      <c r="R24" s="31" t="str">
        <f t="shared" si="7"/>
        <v/>
      </c>
      <c r="S24" s="31" t="str">
        <f t="shared" si="8"/>
        <v/>
      </c>
      <c r="T24" s="43">
        <f>Data!G25</f>
        <v>0</v>
      </c>
      <c r="U24" s="43">
        <f>Data!H25</f>
        <v>0</v>
      </c>
      <c r="V24" s="43">
        <f>Data!I25</f>
        <v>0</v>
      </c>
      <c r="W24" s="43">
        <f>Data!J25</f>
        <v>0</v>
      </c>
      <c r="X24" s="43">
        <f>Data!K25</f>
        <v>0</v>
      </c>
    </row>
    <row r="25" spans="1:24" ht="16.5" x14ac:dyDescent="0.3">
      <c r="A25" s="14" t="str">
        <f>Data!A26</f>
        <v>Driver 18</v>
      </c>
      <c r="B25" s="15" t="str">
        <f>IF(Data!C26="","",Data!C26)</f>
        <v>First Name</v>
      </c>
      <c r="C25" s="15" t="str">
        <f>IF(Data!D26="","",Data!D26)</f>
        <v>Last Name</v>
      </c>
      <c r="D25" s="15" t="str">
        <f t="shared" si="0"/>
        <v>First Name Last Name</v>
      </c>
      <c r="E25" s="16" t="str">
        <f>Data!E26</f>
        <v>D</v>
      </c>
      <c r="F25" s="16" t="str">
        <f>Data!F26</f>
        <v>America8DayBig</v>
      </c>
      <c r="G25" s="16" t="b">
        <f t="shared" si="1"/>
        <v>1</v>
      </c>
      <c r="H25" s="16" t="str">
        <f t="shared" si="2"/>
        <v>YES</v>
      </c>
      <c r="I25" s="31" t="str">
        <f>IF(OR(ISNUMBER(SEARCH("Canada",F25)), ISNUMBER(SEARCH("None",F25)),ISNUMBER(SEARCH("Short",F25)),ISNUMBER(SEARCH("Alaska",F25))),"OK",IF(AND(G25=TRUE,T25&lt;=((Summary!$A$5*60)+Summary!$B$5)/1440),"ALERT","OK"))</f>
        <v>ALERT</v>
      </c>
      <c r="J25" s="31" t="str">
        <f>IF(ISNUMBER(SEARCH("None",F25)),"OK",IF(AND(G25=TRUE,U25&lt;=((Summary!$A$5*60)+Summary!$B$5)/1440),"ALERT","OK"))</f>
        <v>OK</v>
      </c>
      <c r="K25" s="31" t="str">
        <f>IF(ISNUMBER(SEARCH("None",F25)),"OK",IF(AND(G25=TRUE,OR(ISNUMBER(SEARCH("Texas",F25)),ISNUMBER(SEARCH("Canada",F25))),V25&lt;=((Summary!$A$5*60)+Summary!$B$5)/1440),"ALERT","OK"))</f>
        <v>OK</v>
      </c>
      <c r="L25" s="31" t="str">
        <f>IF(ISNUMBER(SEARCH("None",F25)),"OK",IF(AND(G25=TRUE,W25&lt;=((Summary!$A$5*60)+Summary!$B$5)/1440),"ALERT","OK"))</f>
        <v>ALERT</v>
      </c>
      <c r="M25" s="31" t="str">
        <f>IF(ISNUMBER(SEARCH("None",F25)),"OK",IF(AND(G25=TRUE,X25&lt;=((Summary!$A$5*60)+Summary!$B$5)/1440),"ALERT","OK"))</f>
        <v>ALERT</v>
      </c>
      <c r="N25" s="31" t="str">
        <f t="shared" si="3"/>
        <v>Rest</v>
      </c>
      <c r="O25" s="31" t="str">
        <f t="shared" si="4"/>
        <v/>
      </c>
      <c r="P25" s="31" t="str">
        <f t="shared" si="5"/>
        <v/>
      </c>
      <c r="Q25" s="31" t="str">
        <f t="shared" si="6"/>
        <v>Workday</v>
      </c>
      <c r="R25" s="31" t="str">
        <f t="shared" si="7"/>
        <v>Cycle</v>
      </c>
      <c r="S25" s="31" t="str">
        <f t="shared" si="8"/>
        <v>Rest Workday Cycle</v>
      </c>
      <c r="T25" s="43">
        <f>Data!G26</f>
        <v>0</v>
      </c>
      <c r="U25" s="43">
        <f>Data!H26</f>
        <v>0.45833333333333298</v>
      </c>
      <c r="V25" s="43">
        <f>Data!I26</f>
        <v>0</v>
      </c>
      <c r="W25" s="43">
        <f>Data!J26</f>
        <v>0</v>
      </c>
      <c r="X25" s="43">
        <f>Data!K26</f>
        <v>0</v>
      </c>
    </row>
    <row r="26" spans="1:24" ht="16.5" x14ac:dyDescent="0.3">
      <c r="A26" s="14" t="str">
        <f>Data!A27</f>
        <v>Driver 19</v>
      </c>
      <c r="B26" s="15" t="str">
        <f>IF(Data!C27="","",Data!C27)</f>
        <v>First Name</v>
      </c>
      <c r="C26" s="15" t="str">
        <f>IF(Data!D27="","",Data!D27)</f>
        <v>Last Name</v>
      </c>
      <c r="D26" s="15" t="str">
        <f t="shared" si="0"/>
        <v>First Name Last Name</v>
      </c>
      <c r="E26" s="16" t="str">
        <f>Data!E27</f>
        <v>D</v>
      </c>
      <c r="F26" s="16" t="str">
        <f>Data!F27</f>
        <v>None</v>
      </c>
      <c r="G26" s="16" t="b">
        <f t="shared" si="1"/>
        <v>1</v>
      </c>
      <c r="H26" s="16" t="str">
        <f t="shared" si="2"/>
        <v>NO</v>
      </c>
      <c r="I26" s="31" t="str">
        <f>IF(OR(ISNUMBER(SEARCH("Canada",F26)), ISNUMBER(SEARCH("None",F26)),ISNUMBER(SEARCH("Short",F26)),ISNUMBER(SEARCH("Alaska",F26))),"OK",IF(AND(G26=TRUE,T26&lt;=((Summary!$A$5*60)+Summary!$B$5)/1440),"ALERT","OK"))</f>
        <v>OK</v>
      </c>
      <c r="J26" s="31" t="str">
        <f>IF(ISNUMBER(SEARCH("None",F26)),"OK",IF(AND(G26=TRUE,U26&lt;=((Summary!$A$5*60)+Summary!$B$5)/1440),"ALERT","OK"))</f>
        <v>OK</v>
      </c>
      <c r="K26" s="31" t="str">
        <f>IF(ISNUMBER(SEARCH("None",F26)),"OK",IF(AND(G26=TRUE,OR(ISNUMBER(SEARCH("Texas",F26)),ISNUMBER(SEARCH("Canada",F26))),V26&lt;=((Summary!$A$5*60)+Summary!$B$5)/1440),"ALERT","OK"))</f>
        <v>OK</v>
      </c>
      <c r="L26" s="31" t="str">
        <f>IF(ISNUMBER(SEARCH("None",F26)),"OK",IF(AND(G26=TRUE,W26&lt;=((Summary!$A$5*60)+Summary!$B$5)/1440),"ALERT","OK"))</f>
        <v>OK</v>
      </c>
      <c r="M26" s="31" t="str">
        <f>IF(ISNUMBER(SEARCH("None",F26)),"OK",IF(AND(G26=TRUE,X26&lt;=((Summary!$A$5*60)+Summary!$B$5)/1440),"ALERT","OK"))</f>
        <v>OK</v>
      </c>
      <c r="N26" s="31" t="str">
        <f t="shared" si="3"/>
        <v/>
      </c>
      <c r="O26" s="31" t="str">
        <f t="shared" si="4"/>
        <v/>
      </c>
      <c r="P26" s="31" t="str">
        <f t="shared" si="5"/>
        <v/>
      </c>
      <c r="Q26" s="31" t="str">
        <f t="shared" si="6"/>
        <v/>
      </c>
      <c r="R26" s="31" t="str">
        <f t="shared" si="7"/>
        <v/>
      </c>
      <c r="S26" s="31" t="str">
        <f t="shared" si="8"/>
        <v/>
      </c>
      <c r="T26" s="43">
        <f>Data!G27</f>
        <v>0</v>
      </c>
      <c r="U26" s="43">
        <f>Data!H27</f>
        <v>0</v>
      </c>
      <c r="V26" s="43">
        <f>Data!I27</f>
        <v>0</v>
      </c>
      <c r="W26" s="43">
        <f>Data!J27</f>
        <v>0</v>
      </c>
      <c r="X26" s="43">
        <f>Data!K27</f>
        <v>0</v>
      </c>
    </row>
    <row r="27" spans="1:24" ht="16.5" x14ac:dyDescent="0.3">
      <c r="A27" s="14" t="str">
        <f>Data!A28</f>
        <v>Driver 20</v>
      </c>
      <c r="B27" s="15" t="str">
        <f>IF(Data!C28="","",Data!C28)</f>
        <v>First Name</v>
      </c>
      <c r="C27" s="15" t="str">
        <f>IF(Data!D28="","",Data!D28)</f>
        <v>Last Name</v>
      </c>
      <c r="D27" s="15" t="str">
        <f t="shared" si="0"/>
        <v>First Name Last Name</v>
      </c>
      <c r="E27" s="16" t="str">
        <f>Data!E28</f>
        <v>OFF</v>
      </c>
      <c r="F27" s="16" t="str">
        <f>Data!F28</f>
        <v>None</v>
      </c>
      <c r="G27" s="16" t="b">
        <f t="shared" si="1"/>
        <v>0</v>
      </c>
      <c r="H27" s="16" t="str">
        <f t="shared" si="2"/>
        <v>NO</v>
      </c>
      <c r="I27" s="31" t="str">
        <f>IF(OR(ISNUMBER(SEARCH("Canada",F27)), ISNUMBER(SEARCH("None",F27)),ISNUMBER(SEARCH("Short",F27)),ISNUMBER(SEARCH("Alaska",F27))),"OK",IF(AND(G27=TRUE,T27&lt;=((Summary!$A$5*60)+Summary!$B$5)/1440),"ALERT","OK"))</f>
        <v>OK</v>
      </c>
      <c r="J27" s="31" t="str">
        <f>IF(ISNUMBER(SEARCH("None",F27)),"OK",IF(AND(G27=TRUE,U27&lt;=((Summary!$A$5*60)+Summary!$B$5)/1440),"ALERT","OK"))</f>
        <v>OK</v>
      </c>
      <c r="K27" s="31" t="str">
        <f>IF(ISNUMBER(SEARCH("None",F27)),"OK",IF(AND(G27=TRUE,OR(ISNUMBER(SEARCH("Texas",F27)),ISNUMBER(SEARCH("Canada",F27))),V27&lt;=((Summary!$A$5*60)+Summary!$B$5)/1440),"ALERT","OK"))</f>
        <v>OK</v>
      </c>
      <c r="L27" s="31" t="str">
        <f>IF(ISNUMBER(SEARCH("None",F27)),"OK",IF(AND(G27=TRUE,W27&lt;=((Summary!$A$5*60)+Summary!$B$5)/1440),"ALERT","OK"))</f>
        <v>OK</v>
      </c>
      <c r="M27" s="31" t="str">
        <f>IF(ISNUMBER(SEARCH("None",F27)),"OK",IF(AND(G27=TRUE,X27&lt;=((Summary!$A$5*60)+Summary!$B$5)/1440),"ALERT","OK"))</f>
        <v>OK</v>
      </c>
      <c r="N27" s="31" t="str">
        <f t="shared" si="3"/>
        <v/>
      </c>
      <c r="O27" s="31" t="str">
        <f t="shared" si="4"/>
        <v/>
      </c>
      <c r="P27" s="31" t="str">
        <f t="shared" si="5"/>
        <v/>
      </c>
      <c r="Q27" s="31" t="str">
        <f t="shared" si="6"/>
        <v/>
      </c>
      <c r="R27" s="31" t="str">
        <f t="shared" si="7"/>
        <v/>
      </c>
      <c r="S27" s="31" t="str">
        <f t="shared" si="8"/>
        <v/>
      </c>
      <c r="T27" s="43">
        <f>Data!G28</f>
        <v>0</v>
      </c>
      <c r="U27" s="43">
        <f>Data!H28</f>
        <v>0</v>
      </c>
      <c r="V27" s="43">
        <f>Data!I28</f>
        <v>0</v>
      </c>
      <c r="W27" s="43">
        <f>Data!J28</f>
        <v>0</v>
      </c>
      <c r="X27" s="43">
        <f>Data!K28</f>
        <v>0</v>
      </c>
    </row>
    <row r="28" spans="1:24" ht="16.5" x14ac:dyDescent="0.3">
      <c r="A28" s="14" t="str">
        <f>Data!A29</f>
        <v>Driver 21</v>
      </c>
      <c r="B28" s="15" t="str">
        <f>IF(Data!C29="","",Data!C29)</f>
        <v>First Name</v>
      </c>
      <c r="C28" s="15" t="str">
        <f>IF(Data!D29="","",Data!D29)</f>
        <v>Last Name</v>
      </c>
      <c r="D28" s="15" t="str">
        <f t="shared" si="0"/>
        <v>First Name Last Name</v>
      </c>
      <c r="E28" s="16" t="str">
        <f>Data!E29</f>
        <v>OFF</v>
      </c>
      <c r="F28" s="16" t="str">
        <f>Data!F29</f>
        <v>CanadaCycleTwo</v>
      </c>
      <c r="G28" s="16" t="b">
        <f t="shared" si="1"/>
        <v>0</v>
      </c>
      <c r="H28" s="16" t="str">
        <f t="shared" si="2"/>
        <v>NO</v>
      </c>
      <c r="I28" s="31" t="str">
        <f>IF(OR(ISNUMBER(SEARCH("Canada",F28)), ISNUMBER(SEARCH("None",F28)),ISNUMBER(SEARCH("Short",F28)),ISNUMBER(SEARCH("Alaska",F28))),"OK",IF(AND(G28=TRUE,T28&lt;=((Summary!$A$5*60)+Summary!$B$5)/1440),"ALERT","OK"))</f>
        <v>OK</v>
      </c>
      <c r="J28" s="31" t="str">
        <f>IF(ISNUMBER(SEARCH("None",F28)),"OK",IF(AND(G28=TRUE,U28&lt;=((Summary!$A$5*60)+Summary!$B$5)/1440),"ALERT","OK"))</f>
        <v>OK</v>
      </c>
      <c r="K28" s="31" t="str">
        <f>IF(ISNUMBER(SEARCH("None",F28)),"OK",IF(AND(G28=TRUE,OR(ISNUMBER(SEARCH("Texas",F28)),ISNUMBER(SEARCH("Canada",F28))),V28&lt;=((Summary!$A$5*60)+Summary!$B$5)/1440),"ALERT","OK"))</f>
        <v>OK</v>
      </c>
      <c r="L28" s="31" t="str">
        <f>IF(ISNUMBER(SEARCH("None",F28)),"OK",IF(AND(G28=TRUE,W28&lt;=((Summary!$A$5*60)+Summary!$B$5)/1440),"ALERT","OK"))</f>
        <v>OK</v>
      </c>
      <c r="M28" s="31" t="str">
        <f>IF(ISNUMBER(SEARCH("None",F28)),"OK",IF(AND(G28=TRUE,X28&lt;=((Summary!$A$5*60)+Summary!$B$5)/1440),"ALERT","OK"))</f>
        <v>OK</v>
      </c>
      <c r="N28" s="31" t="str">
        <f t="shared" si="3"/>
        <v/>
      </c>
      <c r="O28" s="31" t="str">
        <f t="shared" si="4"/>
        <v/>
      </c>
      <c r="P28" s="31" t="str">
        <f t="shared" si="5"/>
        <v/>
      </c>
      <c r="Q28" s="31" t="str">
        <f t="shared" si="6"/>
        <v/>
      </c>
      <c r="R28" s="31" t="str">
        <f t="shared" si="7"/>
        <v/>
      </c>
      <c r="S28" s="31" t="str">
        <f t="shared" si="8"/>
        <v/>
      </c>
      <c r="T28" s="43">
        <f>Data!G29</f>
        <v>0</v>
      </c>
      <c r="U28" s="43">
        <f>Data!H29</f>
        <v>0.54166666666666696</v>
      </c>
      <c r="V28" s="43">
        <f>Data!I29</f>
        <v>0.58333333333333304</v>
      </c>
      <c r="W28" s="43">
        <f>Data!J29</f>
        <v>0.66666666666666696</v>
      </c>
      <c r="X28" s="43">
        <f>Data!K29</f>
        <v>5</v>
      </c>
    </row>
    <row r="29" spans="1:24" ht="16.5" x14ac:dyDescent="0.3">
      <c r="A29" s="14" t="str">
        <f>Data!A30</f>
        <v>Driver 22</v>
      </c>
      <c r="B29" s="15" t="str">
        <f>IF(Data!C30="","",Data!C30)</f>
        <v>First Name</v>
      </c>
      <c r="C29" s="15" t="str">
        <f>IF(Data!D30="","",Data!D30)</f>
        <v>Last Name</v>
      </c>
      <c r="D29" s="15" t="str">
        <f t="shared" si="0"/>
        <v>First Name Last Name</v>
      </c>
      <c r="E29" s="16" t="str">
        <f>Data!E30</f>
        <v>ON</v>
      </c>
      <c r="F29" s="16" t="str">
        <f>Data!F30</f>
        <v>America7Day</v>
      </c>
      <c r="G29" s="16" t="b">
        <f t="shared" si="1"/>
        <v>0</v>
      </c>
      <c r="H29" s="16" t="str">
        <f t="shared" si="2"/>
        <v>NO</v>
      </c>
      <c r="I29" s="31" t="str">
        <f>IF(OR(ISNUMBER(SEARCH("Canada",F29)), ISNUMBER(SEARCH("None",F29)),ISNUMBER(SEARCH("Short",F29)),ISNUMBER(SEARCH("Alaska",F29))),"OK",IF(AND(G29=TRUE,T29&lt;=((Summary!$A$5*60)+Summary!$B$5)/1440),"ALERT","OK"))</f>
        <v>OK</v>
      </c>
      <c r="J29" s="31" t="str">
        <f>IF(ISNUMBER(SEARCH("None",F29)),"OK",IF(AND(G29=TRUE,U29&lt;=((Summary!$A$5*60)+Summary!$B$5)/1440),"ALERT","OK"))</f>
        <v>OK</v>
      </c>
      <c r="K29" s="31" t="str">
        <f>IF(ISNUMBER(SEARCH("None",F29)),"OK",IF(AND(G29=TRUE,OR(ISNUMBER(SEARCH("Texas",F29)),ISNUMBER(SEARCH("Canada",F29))),V29&lt;=((Summary!$A$5*60)+Summary!$B$5)/1440),"ALERT","OK"))</f>
        <v>OK</v>
      </c>
      <c r="L29" s="31" t="str">
        <f>IF(ISNUMBER(SEARCH("None",F29)),"OK",IF(AND(G29=TRUE,W29&lt;=((Summary!$A$5*60)+Summary!$B$5)/1440),"ALERT","OK"))</f>
        <v>OK</v>
      </c>
      <c r="M29" s="31" t="str">
        <f>IF(ISNUMBER(SEARCH("None",F29)),"OK",IF(AND(G29=TRUE,X29&lt;=((Summary!$A$5*60)+Summary!$B$5)/1440),"ALERT","OK"))</f>
        <v>OK</v>
      </c>
      <c r="N29" s="31" t="str">
        <f t="shared" si="3"/>
        <v/>
      </c>
      <c r="O29" s="31" t="str">
        <f t="shared" si="4"/>
        <v/>
      </c>
      <c r="P29" s="31" t="str">
        <f t="shared" si="5"/>
        <v/>
      </c>
      <c r="Q29" s="31" t="str">
        <f t="shared" si="6"/>
        <v/>
      </c>
      <c r="R29" s="31" t="str">
        <f t="shared" si="7"/>
        <v/>
      </c>
      <c r="S29" s="31" t="str">
        <f t="shared" si="8"/>
        <v/>
      </c>
      <c r="T29" s="43">
        <f>Data!G30</f>
        <v>0</v>
      </c>
      <c r="U29" s="43">
        <f>Data!H30</f>
        <v>0.45829609953703698</v>
      </c>
      <c r="V29" s="43">
        <f>Data!I30</f>
        <v>0</v>
      </c>
      <c r="W29" s="43">
        <f>Data!J30</f>
        <v>0</v>
      </c>
      <c r="X29" s="43">
        <f>Data!K30</f>
        <v>0</v>
      </c>
    </row>
    <row r="30" spans="1:24" ht="16.5" x14ac:dyDescent="0.3">
      <c r="A30" s="14" t="str">
        <f>Data!A31</f>
        <v>Driver 23</v>
      </c>
      <c r="B30" s="15" t="str">
        <f>IF(Data!C31="","",Data!C31)</f>
        <v>First Name</v>
      </c>
      <c r="C30" s="15" t="str">
        <f>IF(Data!D31="","",Data!D31)</f>
        <v>Last Name</v>
      </c>
      <c r="D30" s="15" t="str">
        <f t="shared" si="0"/>
        <v>First Name Last Name</v>
      </c>
      <c r="E30" s="16" t="str">
        <f>Data!E31</f>
        <v>D</v>
      </c>
      <c r="F30" s="16" t="str">
        <f>Data!F31</f>
        <v>America7Day</v>
      </c>
      <c r="G30" s="16" t="b">
        <f t="shared" si="1"/>
        <v>1</v>
      </c>
      <c r="H30" s="16" t="str">
        <f t="shared" si="2"/>
        <v>YES</v>
      </c>
      <c r="I30" s="31" t="str">
        <f>IF(OR(ISNUMBER(SEARCH("Canada",F30)), ISNUMBER(SEARCH("None",F30)),ISNUMBER(SEARCH("Short",F30)),ISNUMBER(SEARCH("Alaska",F30))),"OK",IF(AND(G30=TRUE,T30&lt;=((Summary!$A$5*60)+Summary!$B$5)/1440),"ALERT","OK"))</f>
        <v>ALERT</v>
      </c>
      <c r="J30" s="31" t="str">
        <f>IF(ISNUMBER(SEARCH("None",F30)),"OK",IF(AND(G30=TRUE,U30&lt;=((Summary!$A$5*60)+Summary!$B$5)/1440),"ALERT","OK"))</f>
        <v>OK</v>
      </c>
      <c r="K30" s="31" t="str">
        <f>IF(ISNUMBER(SEARCH("None",F30)),"OK",IF(AND(G30=TRUE,OR(ISNUMBER(SEARCH("Texas",F30)),ISNUMBER(SEARCH("Canada",F30))),V30&lt;=((Summary!$A$5*60)+Summary!$B$5)/1440),"ALERT","OK"))</f>
        <v>OK</v>
      </c>
      <c r="L30" s="31" t="str">
        <f>IF(ISNUMBER(SEARCH("None",F30)),"OK",IF(AND(G30=TRUE,W30&lt;=((Summary!$A$5*60)+Summary!$B$5)/1440),"ALERT","OK"))</f>
        <v>ALERT</v>
      </c>
      <c r="M30" s="31" t="str">
        <f>IF(ISNUMBER(SEARCH("None",F30)),"OK",IF(AND(G30=TRUE,X30&lt;=((Summary!$A$5*60)+Summary!$B$5)/1440),"ALERT","OK"))</f>
        <v>ALERT</v>
      </c>
      <c r="N30" s="31" t="str">
        <f t="shared" si="3"/>
        <v>Rest</v>
      </c>
      <c r="O30" s="31" t="str">
        <f t="shared" si="4"/>
        <v/>
      </c>
      <c r="P30" s="31" t="str">
        <f t="shared" si="5"/>
        <v/>
      </c>
      <c r="Q30" s="31" t="str">
        <f t="shared" si="6"/>
        <v>Workday</v>
      </c>
      <c r="R30" s="31" t="str">
        <f t="shared" si="7"/>
        <v>Cycle</v>
      </c>
      <c r="S30" s="31" t="str">
        <f t="shared" si="8"/>
        <v>Rest Workday Cycle</v>
      </c>
      <c r="T30" s="43">
        <f>Data!G31</f>
        <v>0</v>
      </c>
      <c r="U30" s="43">
        <f>Data!H31</f>
        <v>0.30719837962962998</v>
      </c>
      <c r="V30" s="43">
        <f>Data!I31</f>
        <v>0</v>
      </c>
      <c r="W30" s="43">
        <f>Data!J31</f>
        <v>0</v>
      </c>
      <c r="X30" s="43">
        <f>Data!K31</f>
        <v>0</v>
      </c>
    </row>
    <row r="31" spans="1:24" ht="16.5" x14ac:dyDescent="0.3">
      <c r="A31" s="14" t="str">
        <f>Data!A32</f>
        <v>Driver 24</v>
      </c>
      <c r="B31" s="15" t="str">
        <f>IF(Data!C32="","",Data!C32)</f>
        <v>First Name</v>
      </c>
      <c r="C31" s="15" t="str">
        <f>IF(Data!D32="","",Data!D32)</f>
        <v>Last Name</v>
      </c>
      <c r="D31" s="15" t="str">
        <f t="shared" si="0"/>
        <v>First Name Last Name</v>
      </c>
      <c r="E31" s="16" t="str">
        <f>Data!E32</f>
        <v>OFF</v>
      </c>
      <c r="F31" s="16" t="str">
        <f>Data!F32</f>
        <v>CanadaCycleOne</v>
      </c>
      <c r="G31" s="16" t="b">
        <f t="shared" si="1"/>
        <v>0</v>
      </c>
      <c r="H31" s="16" t="str">
        <f t="shared" si="2"/>
        <v>NO</v>
      </c>
      <c r="I31" s="31" t="str">
        <f>IF(OR(ISNUMBER(SEARCH("Canada",F31)), ISNUMBER(SEARCH("None",F31)),ISNUMBER(SEARCH("Short",F31)),ISNUMBER(SEARCH("Alaska",F31))),"OK",IF(AND(G31=TRUE,T31&lt;=((Summary!$A$5*60)+Summary!$B$5)/1440),"ALERT","OK"))</f>
        <v>OK</v>
      </c>
      <c r="J31" s="31" t="str">
        <f>IF(ISNUMBER(SEARCH("None",F31)),"OK",IF(AND(G31=TRUE,U31&lt;=((Summary!$A$5*60)+Summary!$B$5)/1440),"ALERT","OK"))</f>
        <v>OK</v>
      </c>
      <c r="K31" s="31" t="str">
        <f>IF(ISNUMBER(SEARCH("None",F31)),"OK",IF(AND(G31=TRUE,OR(ISNUMBER(SEARCH("Texas",F31)),ISNUMBER(SEARCH("Canada",F31))),V31&lt;=((Summary!$A$5*60)+Summary!$B$5)/1440),"ALERT","OK"))</f>
        <v>OK</v>
      </c>
      <c r="L31" s="31" t="str">
        <f>IF(ISNUMBER(SEARCH("None",F31)),"OK",IF(AND(G31=TRUE,W31&lt;=((Summary!$A$5*60)+Summary!$B$5)/1440),"ALERT","OK"))</f>
        <v>OK</v>
      </c>
      <c r="M31" s="31" t="str">
        <f>IF(ISNUMBER(SEARCH("None",F31)),"OK",IF(AND(G31=TRUE,X31&lt;=((Summary!$A$5*60)+Summary!$B$5)/1440),"ALERT","OK"))</f>
        <v>OK</v>
      </c>
      <c r="N31" s="31" t="str">
        <f t="shared" si="3"/>
        <v/>
      </c>
      <c r="O31" s="31" t="str">
        <f t="shared" si="4"/>
        <v/>
      </c>
      <c r="P31" s="31" t="str">
        <f t="shared" si="5"/>
        <v/>
      </c>
      <c r="Q31" s="31" t="str">
        <f t="shared" si="6"/>
        <v/>
      </c>
      <c r="R31" s="31" t="str">
        <f t="shared" si="7"/>
        <v/>
      </c>
      <c r="S31" s="31" t="str">
        <f t="shared" si="8"/>
        <v/>
      </c>
      <c r="T31" s="43">
        <f>Data!G32</f>
        <v>0</v>
      </c>
      <c r="U31" s="43">
        <f>Data!H32</f>
        <v>0.54166666666666696</v>
      </c>
      <c r="V31" s="43">
        <f>Data!I32</f>
        <v>0.58333333333333304</v>
      </c>
      <c r="W31" s="43">
        <f>Data!J32</f>
        <v>0.66666666666666696</v>
      </c>
      <c r="X31" s="43">
        <f>Data!K32</f>
        <v>2.9166666666666701</v>
      </c>
    </row>
    <row r="32" spans="1:24" ht="16.5" x14ac:dyDescent="0.3">
      <c r="A32" s="14" t="str">
        <f>Data!A33</f>
        <v>Driver 25</v>
      </c>
      <c r="B32" s="15" t="str">
        <f>IF(Data!C33="","",Data!C33)</f>
        <v>First Name</v>
      </c>
      <c r="C32" s="15" t="str">
        <f>IF(Data!D33="","",Data!D33)</f>
        <v>Last Name</v>
      </c>
      <c r="D32" s="15" t="str">
        <f t="shared" si="0"/>
        <v>First Name Last Name</v>
      </c>
      <c r="E32" s="16" t="str">
        <f>Data!E33</f>
        <v>D</v>
      </c>
      <c r="F32" s="16" t="str">
        <f>Data!F33</f>
        <v>America7Day</v>
      </c>
      <c r="G32" s="16" t="b">
        <f t="shared" si="1"/>
        <v>1</v>
      </c>
      <c r="H32" s="16" t="str">
        <f t="shared" si="2"/>
        <v>YES</v>
      </c>
      <c r="I32" s="31" t="str">
        <f>IF(OR(ISNUMBER(SEARCH("Canada",F32)), ISNUMBER(SEARCH("None",F32)),ISNUMBER(SEARCH("Short",F32)),ISNUMBER(SEARCH("Alaska",F32))),"OK",IF(AND(G32=TRUE,T32&lt;=((Summary!$A$5*60)+Summary!$B$5)/1440),"ALERT","OK"))</f>
        <v>ALERT</v>
      </c>
      <c r="J32" s="31" t="str">
        <f>IF(ISNUMBER(SEARCH("None",F32)),"OK",IF(AND(G32=TRUE,U32&lt;=((Summary!$A$5*60)+Summary!$B$5)/1440),"ALERT","OK"))</f>
        <v>OK</v>
      </c>
      <c r="K32" s="31" t="str">
        <f>IF(ISNUMBER(SEARCH("None",F32)),"OK",IF(AND(G32=TRUE,OR(ISNUMBER(SEARCH("Texas",F32)),ISNUMBER(SEARCH("Canada",F32))),V32&lt;=((Summary!$A$5*60)+Summary!$B$5)/1440),"ALERT","OK"))</f>
        <v>OK</v>
      </c>
      <c r="L32" s="31" t="str">
        <f>IF(ISNUMBER(SEARCH("None",F32)),"OK",IF(AND(G32=TRUE,W32&lt;=((Summary!$A$5*60)+Summary!$B$5)/1440),"ALERT","OK"))</f>
        <v>ALERT</v>
      </c>
      <c r="M32" s="31" t="str">
        <f>IF(ISNUMBER(SEARCH("None",F32)),"OK",IF(AND(G32=TRUE,X32&lt;=((Summary!$A$5*60)+Summary!$B$5)/1440),"ALERT","OK"))</f>
        <v>ALERT</v>
      </c>
      <c r="N32" s="31" t="str">
        <f t="shared" si="3"/>
        <v>Rest</v>
      </c>
      <c r="O32" s="31" t="str">
        <f t="shared" si="4"/>
        <v/>
      </c>
      <c r="P32" s="31" t="str">
        <f t="shared" si="5"/>
        <v/>
      </c>
      <c r="Q32" s="31" t="str">
        <f t="shared" si="6"/>
        <v>Workday</v>
      </c>
      <c r="R32" s="31" t="str">
        <f t="shared" si="7"/>
        <v>Cycle</v>
      </c>
      <c r="S32" s="31" t="str">
        <f t="shared" si="8"/>
        <v>Rest Workday Cycle</v>
      </c>
      <c r="T32" s="43">
        <f>Data!G33</f>
        <v>0</v>
      </c>
      <c r="U32" s="43">
        <f>Data!H33</f>
        <v>0.34843748842592598</v>
      </c>
      <c r="V32" s="43">
        <f>Data!I33</f>
        <v>0</v>
      </c>
      <c r="W32" s="43">
        <f>Data!J33</f>
        <v>0</v>
      </c>
      <c r="X32" s="43">
        <f>Data!K33</f>
        <v>0</v>
      </c>
    </row>
    <row r="33" spans="1:24" ht="16.5" x14ac:dyDescent="0.3">
      <c r="A33" s="14" t="str">
        <f>Data!A34</f>
        <v>Driver 26</v>
      </c>
      <c r="B33" s="15" t="str">
        <f>IF(Data!C34="","",Data!C34)</f>
        <v>First Name</v>
      </c>
      <c r="C33" s="15" t="str">
        <f>IF(Data!D34="","",Data!D34)</f>
        <v>Last Name</v>
      </c>
      <c r="D33" s="15" t="str">
        <f t="shared" si="0"/>
        <v>First Name Last Name</v>
      </c>
      <c r="E33" s="16" t="str">
        <f>Data!E34</f>
        <v>OFF</v>
      </c>
      <c r="F33" s="16" t="str">
        <f>Data!F34</f>
        <v>America7Day</v>
      </c>
      <c r="G33" s="16" t="b">
        <f t="shared" si="1"/>
        <v>0</v>
      </c>
      <c r="H33" s="16" t="str">
        <f t="shared" si="2"/>
        <v>NO</v>
      </c>
      <c r="I33" s="31" t="str">
        <f>IF(OR(ISNUMBER(SEARCH("Canada",F33)), ISNUMBER(SEARCH("None",F33)),ISNUMBER(SEARCH("Short",F33)),ISNUMBER(SEARCH("Alaska",F33))),"OK",IF(AND(G33=TRUE,T33&lt;=((Summary!$A$5*60)+Summary!$B$5)/1440),"ALERT","OK"))</f>
        <v>OK</v>
      </c>
      <c r="J33" s="31" t="str">
        <f>IF(ISNUMBER(SEARCH("None",F33)),"OK",IF(AND(G33=TRUE,U33&lt;=((Summary!$A$5*60)+Summary!$B$5)/1440),"ALERT","OK"))</f>
        <v>OK</v>
      </c>
      <c r="K33" s="31" t="str">
        <f>IF(ISNUMBER(SEARCH("None",F33)),"OK",IF(AND(G33=TRUE,OR(ISNUMBER(SEARCH("Texas",F33)),ISNUMBER(SEARCH("Canada",F33))),V33&lt;=((Summary!$A$5*60)+Summary!$B$5)/1440),"ALERT","OK"))</f>
        <v>OK</v>
      </c>
      <c r="L33" s="31" t="str">
        <f>IF(ISNUMBER(SEARCH("None",F33)),"OK",IF(AND(G33=TRUE,W33&lt;=((Summary!$A$5*60)+Summary!$B$5)/1440),"ALERT","OK"))</f>
        <v>OK</v>
      </c>
      <c r="M33" s="31" t="str">
        <f>IF(ISNUMBER(SEARCH("None",F33)),"OK",IF(AND(G33=TRUE,X33&lt;=((Summary!$A$5*60)+Summary!$B$5)/1440),"ALERT","OK"))</f>
        <v>OK</v>
      </c>
      <c r="N33" s="31" t="str">
        <f t="shared" si="3"/>
        <v/>
      </c>
      <c r="O33" s="31" t="str">
        <f t="shared" si="4"/>
        <v/>
      </c>
      <c r="P33" s="31" t="str">
        <f t="shared" si="5"/>
        <v/>
      </c>
      <c r="Q33" s="31" t="str">
        <f t="shared" si="6"/>
        <v/>
      </c>
      <c r="R33" s="31" t="str">
        <f t="shared" si="7"/>
        <v/>
      </c>
      <c r="S33" s="31" t="str">
        <f t="shared" si="8"/>
        <v/>
      </c>
      <c r="T33" s="43">
        <f>Data!G34</f>
        <v>0.33333333333333298</v>
      </c>
      <c r="U33" s="43">
        <f>Data!H34</f>
        <v>0.45833333333333298</v>
      </c>
      <c r="V33" s="43">
        <f>Data!I34</f>
        <v>0</v>
      </c>
      <c r="W33" s="43">
        <f>Data!J34</f>
        <v>0.58333333333333304</v>
      </c>
      <c r="X33" s="43">
        <f>Data!K34</f>
        <v>2.5</v>
      </c>
    </row>
    <row r="34" spans="1:24" ht="16.5" x14ac:dyDescent="0.3">
      <c r="A34" s="14" t="str">
        <f>Data!A35</f>
        <v>Driver 27</v>
      </c>
      <c r="B34" s="15" t="str">
        <f>IF(Data!C35="","",Data!C35)</f>
        <v>First Name</v>
      </c>
      <c r="C34" s="15" t="str">
        <f>IF(Data!D35="","",Data!D35)</f>
        <v>Last Name</v>
      </c>
      <c r="D34" s="15" t="str">
        <f t="shared" si="0"/>
        <v>First Name Last Name</v>
      </c>
      <c r="E34" s="16" t="str">
        <f>Data!E35</f>
        <v>OFF</v>
      </c>
      <c r="F34" s="16" t="str">
        <f>Data!F35</f>
        <v>CanadaCycleOne</v>
      </c>
      <c r="G34" s="16" t="b">
        <f t="shared" si="1"/>
        <v>0</v>
      </c>
      <c r="H34" s="16" t="str">
        <f t="shared" si="2"/>
        <v>NO</v>
      </c>
      <c r="I34" s="31" t="str">
        <f>IF(OR(ISNUMBER(SEARCH("Canada",F34)), ISNUMBER(SEARCH("None",F34)),ISNUMBER(SEARCH("Short",F34)),ISNUMBER(SEARCH("Alaska",F34))),"OK",IF(AND(G34=TRUE,T34&lt;=((Summary!$A$5*60)+Summary!$B$5)/1440),"ALERT","OK"))</f>
        <v>OK</v>
      </c>
      <c r="J34" s="31" t="str">
        <f>IF(ISNUMBER(SEARCH("None",F34)),"OK",IF(AND(G34=TRUE,U34&lt;=((Summary!$A$5*60)+Summary!$B$5)/1440),"ALERT","OK"))</f>
        <v>OK</v>
      </c>
      <c r="K34" s="31" t="str">
        <f>IF(ISNUMBER(SEARCH("None",F34)),"OK",IF(AND(G34=TRUE,OR(ISNUMBER(SEARCH("Texas",F34)),ISNUMBER(SEARCH("Canada",F34))),V34&lt;=((Summary!$A$5*60)+Summary!$B$5)/1440),"ALERT","OK"))</f>
        <v>OK</v>
      </c>
      <c r="L34" s="31" t="str">
        <f>IF(ISNUMBER(SEARCH("None",F34)),"OK",IF(AND(G34=TRUE,W34&lt;=((Summary!$A$5*60)+Summary!$B$5)/1440),"ALERT","OK"))</f>
        <v>OK</v>
      </c>
      <c r="M34" s="31" t="str">
        <f>IF(ISNUMBER(SEARCH("None",F34)),"OK",IF(AND(G34=TRUE,X34&lt;=((Summary!$A$5*60)+Summary!$B$5)/1440),"ALERT","OK"))</f>
        <v>OK</v>
      </c>
      <c r="N34" s="31" t="str">
        <f t="shared" si="3"/>
        <v/>
      </c>
      <c r="O34" s="31" t="str">
        <f t="shared" si="4"/>
        <v/>
      </c>
      <c r="P34" s="31" t="str">
        <f t="shared" si="5"/>
        <v/>
      </c>
      <c r="Q34" s="31" t="str">
        <f t="shared" si="6"/>
        <v/>
      </c>
      <c r="R34" s="31" t="str">
        <f t="shared" si="7"/>
        <v/>
      </c>
      <c r="S34" s="31" t="str">
        <f t="shared" si="8"/>
        <v/>
      </c>
      <c r="T34" s="43">
        <f>Data!G35</f>
        <v>0</v>
      </c>
      <c r="U34" s="43">
        <f>Data!H35</f>
        <v>0.54166666666666696</v>
      </c>
      <c r="V34" s="43">
        <f>Data!I35</f>
        <v>0.58333333333333304</v>
      </c>
      <c r="W34" s="43">
        <f>Data!J35</f>
        <v>0.66666666666666696</v>
      </c>
      <c r="X34" s="43">
        <f>Data!K35</f>
        <v>2.9166666666666701</v>
      </c>
    </row>
    <row r="35" spans="1:24" ht="16.5" x14ac:dyDescent="0.3">
      <c r="A35" s="14" t="str">
        <f>Data!A36</f>
        <v>Driver 28</v>
      </c>
      <c r="B35" s="15" t="str">
        <f>IF(Data!C36="","",Data!C36)</f>
        <v>First Name</v>
      </c>
      <c r="C35" s="15" t="str">
        <f>IF(Data!D36="","",Data!D36)</f>
        <v>Last Name</v>
      </c>
      <c r="D35" s="15" t="str">
        <f t="shared" si="0"/>
        <v>First Name Last Name</v>
      </c>
      <c r="E35" s="16" t="str">
        <f>Data!E36</f>
        <v>OFF</v>
      </c>
      <c r="F35" s="16" t="str">
        <f>Data!F36</f>
        <v>America7Day</v>
      </c>
      <c r="G35" s="16" t="b">
        <f t="shared" si="1"/>
        <v>0</v>
      </c>
      <c r="H35" s="16" t="str">
        <f t="shared" si="2"/>
        <v>NO</v>
      </c>
      <c r="I35" s="31" t="str">
        <f>IF(OR(ISNUMBER(SEARCH("Canada",F35)), ISNUMBER(SEARCH("None",F35)),ISNUMBER(SEARCH("Short",F35)),ISNUMBER(SEARCH("Alaska",F35))),"OK",IF(AND(G35=TRUE,T35&lt;=((Summary!$A$5*60)+Summary!$B$5)/1440),"ALERT","OK"))</f>
        <v>OK</v>
      </c>
      <c r="J35" s="31" t="str">
        <f>IF(ISNUMBER(SEARCH("None",F35)),"OK",IF(AND(G35=TRUE,U35&lt;=((Summary!$A$5*60)+Summary!$B$5)/1440),"ALERT","OK"))</f>
        <v>OK</v>
      </c>
      <c r="K35" s="31" t="str">
        <f>IF(ISNUMBER(SEARCH("None",F35)),"OK",IF(AND(G35=TRUE,OR(ISNUMBER(SEARCH("Texas",F35)),ISNUMBER(SEARCH("Canada",F35))),V35&lt;=((Summary!$A$5*60)+Summary!$B$5)/1440),"ALERT","OK"))</f>
        <v>OK</v>
      </c>
      <c r="L35" s="31" t="str">
        <f>IF(ISNUMBER(SEARCH("None",F35)),"OK",IF(AND(G35=TRUE,W35&lt;=((Summary!$A$5*60)+Summary!$B$5)/1440),"ALERT","OK"))</f>
        <v>OK</v>
      </c>
      <c r="M35" s="31" t="str">
        <f>IF(ISNUMBER(SEARCH("None",F35)),"OK",IF(AND(G35=TRUE,X35&lt;=((Summary!$A$5*60)+Summary!$B$5)/1440),"ALERT","OK"))</f>
        <v>OK</v>
      </c>
      <c r="N35" s="31" t="str">
        <f t="shared" si="3"/>
        <v/>
      </c>
      <c r="O35" s="31" t="str">
        <f t="shared" si="4"/>
        <v/>
      </c>
      <c r="P35" s="31" t="str">
        <f t="shared" si="5"/>
        <v/>
      </c>
      <c r="Q35" s="31" t="str">
        <f t="shared" si="6"/>
        <v/>
      </c>
      <c r="R35" s="31" t="str">
        <f t="shared" si="7"/>
        <v/>
      </c>
      <c r="S35" s="31" t="str">
        <f t="shared" si="8"/>
        <v/>
      </c>
      <c r="T35" s="43">
        <f>Data!G36</f>
        <v>0.33333333333333298</v>
      </c>
      <c r="U35" s="43">
        <f>Data!H36</f>
        <v>0.45833333333333298</v>
      </c>
      <c r="V35" s="43">
        <f>Data!I36</f>
        <v>0</v>
      </c>
      <c r="W35" s="43">
        <f>Data!J36</f>
        <v>0.58333333333333304</v>
      </c>
      <c r="X35" s="43">
        <f>Data!K36</f>
        <v>2.5</v>
      </c>
    </row>
    <row r="36" spans="1:24" ht="16.5" x14ac:dyDescent="0.3">
      <c r="A36" s="14" t="str">
        <f>Data!A37</f>
        <v>Driver 29</v>
      </c>
      <c r="B36" s="15" t="str">
        <f>IF(Data!C37="","",Data!C37)</f>
        <v>First Name</v>
      </c>
      <c r="C36" s="15" t="str">
        <f>IF(Data!D37="","",Data!D37)</f>
        <v>Last Name</v>
      </c>
      <c r="D36" s="15" t="str">
        <f t="shared" si="0"/>
        <v>First Name Last Name</v>
      </c>
      <c r="E36" s="16" t="str">
        <f>Data!E37</f>
        <v>ON</v>
      </c>
      <c r="F36" s="16" t="str">
        <f>Data!F37</f>
        <v>CanadaCycleOne</v>
      </c>
      <c r="G36" s="16" t="b">
        <f t="shared" si="1"/>
        <v>0</v>
      </c>
      <c r="H36" s="16" t="str">
        <f t="shared" si="2"/>
        <v>NO</v>
      </c>
      <c r="I36" s="31" t="str">
        <f>IF(OR(ISNUMBER(SEARCH("Canada",F36)), ISNUMBER(SEARCH("None",F36)),ISNUMBER(SEARCH("Short",F36)),ISNUMBER(SEARCH("Alaska",F36))),"OK",IF(AND(G36=TRUE,T36&lt;=((Summary!$A$5*60)+Summary!$B$5)/1440),"ALERT","OK"))</f>
        <v>OK</v>
      </c>
      <c r="J36" s="31" t="str">
        <f>IF(ISNUMBER(SEARCH("None",F36)),"OK",IF(AND(G36=TRUE,U36&lt;=((Summary!$A$5*60)+Summary!$B$5)/1440),"ALERT","OK"))</f>
        <v>OK</v>
      </c>
      <c r="K36" s="31" t="str">
        <f>IF(ISNUMBER(SEARCH("None",F36)),"OK",IF(AND(G36=TRUE,OR(ISNUMBER(SEARCH("Texas",F36)),ISNUMBER(SEARCH("Canada",F36))),V36&lt;=((Summary!$A$5*60)+Summary!$B$5)/1440),"ALERT","OK"))</f>
        <v>OK</v>
      </c>
      <c r="L36" s="31" t="str">
        <f>IF(ISNUMBER(SEARCH("None",F36)),"OK",IF(AND(G36=TRUE,W36&lt;=((Summary!$A$5*60)+Summary!$B$5)/1440),"ALERT","OK"))</f>
        <v>OK</v>
      </c>
      <c r="M36" s="31" t="str">
        <f>IF(ISNUMBER(SEARCH("None",F36)),"OK",IF(AND(G36=TRUE,X36&lt;=((Summary!$A$5*60)+Summary!$B$5)/1440),"ALERT","OK"))</f>
        <v>OK</v>
      </c>
      <c r="N36" s="31" t="str">
        <f t="shared" si="3"/>
        <v/>
      </c>
      <c r="O36" s="31" t="str">
        <f t="shared" si="4"/>
        <v/>
      </c>
      <c r="P36" s="31" t="str">
        <f t="shared" si="5"/>
        <v/>
      </c>
      <c r="Q36" s="31" t="str">
        <f t="shared" si="6"/>
        <v/>
      </c>
      <c r="R36" s="31" t="str">
        <f t="shared" si="7"/>
        <v/>
      </c>
      <c r="S36" s="31" t="str">
        <f t="shared" si="8"/>
        <v/>
      </c>
      <c r="T36" s="43">
        <f>Data!G37</f>
        <v>0</v>
      </c>
      <c r="U36" s="43">
        <f>Data!H37</f>
        <v>0.54166666666666696</v>
      </c>
      <c r="V36" s="43">
        <f>Data!I37</f>
        <v>0.58333333333333304</v>
      </c>
      <c r="W36" s="43">
        <f>Data!J37</f>
        <v>0.66666666666666696</v>
      </c>
      <c r="X36" s="43">
        <f>Data!K37</f>
        <v>2.9166666666666701</v>
      </c>
    </row>
    <row r="37" spans="1:24" ht="16.5" x14ac:dyDescent="0.3">
      <c r="A37" s="14" t="str">
        <f>Data!A38</f>
        <v>Driver 30</v>
      </c>
      <c r="B37" s="15" t="str">
        <f>IF(Data!C38="","",Data!C38)</f>
        <v>First Name</v>
      </c>
      <c r="C37" s="15" t="str">
        <f>IF(Data!D38="","",Data!D38)</f>
        <v>Last Name</v>
      </c>
      <c r="D37" s="15" t="str">
        <f t="shared" si="0"/>
        <v>First Name Last Name</v>
      </c>
      <c r="E37" s="16" t="str">
        <f>Data!E38</f>
        <v>YM</v>
      </c>
      <c r="F37" s="16" t="str">
        <f>Data!F38</f>
        <v>America7DayBig</v>
      </c>
      <c r="G37" s="16" t="b">
        <f t="shared" si="1"/>
        <v>1</v>
      </c>
      <c r="H37" s="16" t="str">
        <f t="shared" si="2"/>
        <v>YES</v>
      </c>
      <c r="I37" s="31" t="str">
        <f>IF(OR(ISNUMBER(SEARCH("Canada",F37)), ISNUMBER(SEARCH("None",F37)),ISNUMBER(SEARCH("Short",F37)),ISNUMBER(SEARCH("Alaska",F37))),"OK",IF(AND(G37=TRUE,T37&lt;=((Summary!$A$5*60)+Summary!$B$5)/1440),"ALERT","OK"))</f>
        <v>ALERT</v>
      </c>
      <c r="J37" s="31" t="str">
        <f>IF(ISNUMBER(SEARCH("None",F37)),"OK",IF(AND(G37=TRUE,U37&lt;=((Summary!$A$5*60)+Summary!$B$5)/1440),"ALERT","OK"))</f>
        <v>OK</v>
      </c>
      <c r="K37" s="31" t="str">
        <f>IF(ISNUMBER(SEARCH("None",F37)),"OK",IF(AND(G37=TRUE,OR(ISNUMBER(SEARCH("Texas",F37)),ISNUMBER(SEARCH("Canada",F37))),V37&lt;=((Summary!$A$5*60)+Summary!$B$5)/1440),"ALERT","OK"))</f>
        <v>OK</v>
      </c>
      <c r="L37" s="31" t="str">
        <f>IF(ISNUMBER(SEARCH("None",F37)),"OK",IF(AND(G37=TRUE,W37&lt;=((Summary!$A$5*60)+Summary!$B$5)/1440),"ALERT","OK"))</f>
        <v>ALERT</v>
      </c>
      <c r="M37" s="31" t="str">
        <f>IF(ISNUMBER(SEARCH("None",F37)),"OK",IF(AND(G37=TRUE,X37&lt;=((Summary!$A$5*60)+Summary!$B$5)/1440),"ALERT","OK"))</f>
        <v>ALERT</v>
      </c>
      <c r="N37" s="31" t="str">
        <f t="shared" si="3"/>
        <v>Rest</v>
      </c>
      <c r="O37" s="31" t="str">
        <f t="shared" si="4"/>
        <v/>
      </c>
      <c r="P37" s="31" t="str">
        <f t="shared" si="5"/>
        <v/>
      </c>
      <c r="Q37" s="31" t="str">
        <f t="shared" si="6"/>
        <v>Workday</v>
      </c>
      <c r="R37" s="31" t="str">
        <f t="shared" si="7"/>
        <v>Cycle</v>
      </c>
      <c r="S37" s="31" t="str">
        <f t="shared" si="8"/>
        <v>Rest Workday Cycle</v>
      </c>
      <c r="T37" s="43">
        <f>Data!G38</f>
        <v>0</v>
      </c>
      <c r="U37" s="43">
        <f>Data!H38</f>
        <v>0.45833333333333298</v>
      </c>
      <c r="V37" s="43">
        <f>Data!I38</f>
        <v>0</v>
      </c>
      <c r="W37" s="43">
        <f>Data!J38</f>
        <v>0</v>
      </c>
      <c r="X37" s="43">
        <f>Data!K38</f>
        <v>0</v>
      </c>
    </row>
    <row r="38" spans="1:24" ht="16.5" x14ac:dyDescent="0.3">
      <c r="A38" s="14" t="str">
        <f>Data!A39</f>
        <v>Driver 31</v>
      </c>
      <c r="B38" s="15" t="str">
        <f>IF(Data!C39="","",Data!C39)</f>
        <v>First Name</v>
      </c>
      <c r="C38" s="15" t="str">
        <f>IF(Data!D39="","",Data!D39)</f>
        <v>Last Name</v>
      </c>
      <c r="D38" s="15" t="str">
        <f t="shared" si="0"/>
        <v>First Name Last Name</v>
      </c>
      <c r="E38" s="16" t="str">
        <f>Data!E39</f>
        <v>ON</v>
      </c>
      <c r="F38" s="16" t="str">
        <f>Data!F39</f>
        <v>Florida7Day</v>
      </c>
      <c r="G38" s="16" t="b">
        <f t="shared" si="1"/>
        <v>0</v>
      </c>
      <c r="H38" s="16" t="str">
        <f t="shared" si="2"/>
        <v>NO</v>
      </c>
      <c r="I38" s="31" t="str">
        <f>IF(OR(ISNUMBER(SEARCH("Canada",F38)), ISNUMBER(SEARCH("None",F38)),ISNUMBER(SEARCH("Short",F38)),ISNUMBER(SEARCH("Alaska",F38))),"OK",IF(AND(G38=TRUE,T38&lt;=((Summary!$A$5*60)+Summary!$B$5)/1440),"ALERT","OK"))</f>
        <v>OK</v>
      </c>
      <c r="J38" s="31" t="str">
        <f>IF(ISNUMBER(SEARCH("None",F38)),"OK",IF(AND(G38=TRUE,U38&lt;=((Summary!$A$5*60)+Summary!$B$5)/1440),"ALERT","OK"))</f>
        <v>OK</v>
      </c>
      <c r="K38" s="31" t="str">
        <f>IF(ISNUMBER(SEARCH("None",F38)),"OK",IF(AND(G38=TRUE,OR(ISNUMBER(SEARCH("Texas",F38)),ISNUMBER(SEARCH("Canada",F38))),V38&lt;=((Summary!$A$5*60)+Summary!$B$5)/1440),"ALERT","OK"))</f>
        <v>OK</v>
      </c>
      <c r="L38" s="31" t="str">
        <f>IF(ISNUMBER(SEARCH("None",F38)),"OK",IF(AND(G38=TRUE,W38&lt;=((Summary!$A$5*60)+Summary!$B$5)/1440),"ALERT","OK"))</f>
        <v>OK</v>
      </c>
      <c r="M38" s="31" t="str">
        <f>IF(ISNUMBER(SEARCH("None",F38)),"OK",IF(AND(G38=TRUE,X38&lt;=((Summary!$A$5*60)+Summary!$B$5)/1440),"ALERT","OK"))</f>
        <v>OK</v>
      </c>
      <c r="N38" s="31" t="str">
        <f t="shared" si="3"/>
        <v/>
      </c>
      <c r="O38" s="31" t="str">
        <f t="shared" si="4"/>
        <v/>
      </c>
      <c r="P38" s="31" t="str">
        <f t="shared" si="5"/>
        <v/>
      </c>
      <c r="Q38" s="31" t="str">
        <f t="shared" si="6"/>
        <v/>
      </c>
      <c r="R38" s="31" t="str">
        <f t="shared" si="7"/>
        <v/>
      </c>
      <c r="S38" s="31" t="str">
        <f t="shared" si="8"/>
        <v/>
      </c>
      <c r="T38" s="43">
        <f>Data!G39</f>
        <v>0</v>
      </c>
      <c r="U38" s="43">
        <f>Data!H39</f>
        <v>0.5</v>
      </c>
      <c r="V38" s="43">
        <f>Data!I39</f>
        <v>0</v>
      </c>
      <c r="W38" s="43">
        <f>Data!J39</f>
        <v>0.66666666666666696</v>
      </c>
      <c r="X38" s="43">
        <f>Data!K39</f>
        <v>2.9166666666666701</v>
      </c>
    </row>
    <row r="39" spans="1:24" ht="16.5" x14ac:dyDescent="0.3">
      <c r="A39" s="14" t="str">
        <f>Data!A40</f>
        <v>Driver 32</v>
      </c>
      <c r="B39" s="15" t="str">
        <f>IF(Data!C40="","",Data!C40)</f>
        <v>First Name</v>
      </c>
      <c r="C39" s="15" t="str">
        <f>IF(Data!D40="","",Data!D40)</f>
        <v>Last Name</v>
      </c>
      <c r="D39" s="15" t="str">
        <f t="shared" si="0"/>
        <v>First Name Last Name</v>
      </c>
      <c r="E39" s="16" t="str">
        <f>Data!E40</f>
        <v>ON</v>
      </c>
      <c r="F39" s="16" t="str">
        <f>Data!F40</f>
        <v>FloridaShortHaul7Day</v>
      </c>
      <c r="G39" s="16" t="b">
        <f t="shared" si="1"/>
        <v>0</v>
      </c>
      <c r="H39" s="16" t="str">
        <f t="shared" si="2"/>
        <v>NO</v>
      </c>
      <c r="I39" s="31" t="str">
        <f>IF(OR(ISNUMBER(SEARCH("Canada",F39)), ISNUMBER(SEARCH("None",F39)),ISNUMBER(SEARCH("Short",F39)),ISNUMBER(SEARCH("Alaska",F39))),"OK",IF(AND(G39=TRUE,T39&lt;=((Summary!$A$5*60)+Summary!$B$5)/1440),"ALERT","OK"))</f>
        <v>OK</v>
      </c>
      <c r="J39" s="31" t="str">
        <f>IF(ISNUMBER(SEARCH("None",F39)),"OK",IF(AND(G39=TRUE,U39&lt;=((Summary!$A$5*60)+Summary!$B$5)/1440),"ALERT","OK"))</f>
        <v>OK</v>
      </c>
      <c r="K39" s="31" t="str">
        <f>IF(ISNUMBER(SEARCH("None",F39)),"OK",IF(AND(G39=TRUE,OR(ISNUMBER(SEARCH("Texas",F39)),ISNUMBER(SEARCH("Canada",F39))),V39&lt;=((Summary!$A$5*60)+Summary!$B$5)/1440),"ALERT","OK"))</f>
        <v>OK</v>
      </c>
      <c r="L39" s="31" t="str">
        <f>IF(ISNUMBER(SEARCH("None",F39)),"OK",IF(AND(G39=TRUE,W39&lt;=((Summary!$A$5*60)+Summary!$B$5)/1440),"ALERT","OK"))</f>
        <v>OK</v>
      </c>
      <c r="M39" s="31" t="str">
        <f>IF(ISNUMBER(SEARCH("None",F39)),"OK",IF(AND(G39=TRUE,X39&lt;=((Summary!$A$5*60)+Summary!$B$5)/1440),"ALERT","OK"))</f>
        <v>OK</v>
      </c>
      <c r="N39" s="31" t="str">
        <f t="shared" si="3"/>
        <v/>
      </c>
      <c r="O39" s="31" t="str">
        <f t="shared" si="4"/>
        <v/>
      </c>
      <c r="P39" s="31" t="str">
        <f t="shared" si="5"/>
        <v/>
      </c>
      <c r="Q39" s="31" t="str">
        <f t="shared" si="6"/>
        <v/>
      </c>
      <c r="R39" s="31" t="str">
        <f t="shared" si="7"/>
        <v/>
      </c>
      <c r="S39" s="31" t="str">
        <f t="shared" si="8"/>
        <v/>
      </c>
      <c r="T39" s="43">
        <f>Data!G40</f>
        <v>0</v>
      </c>
      <c r="U39" s="43">
        <f>Data!H40</f>
        <v>0.5</v>
      </c>
      <c r="V39" s="43">
        <f>Data!I40</f>
        <v>0</v>
      </c>
      <c r="W39" s="43">
        <f>Data!J40</f>
        <v>0</v>
      </c>
      <c r="X39" s="43">
        <f>Data!K40</f>
        <v>0</v>
      </c>
    </row>
    <row r="40" spans="1:24" ht="16.5" x14ac:dyDescent="0.3">
      <c r="A40" s="14" t="str">
        <f>Data!A41</f>
        <v>Driver 33</v>
      </c>
      <c r="B40" s="15" t="str">
        <f>IF(Data!C41="","",Data!C41)</f>
        <v>First Name</v>
      </c>
      <c r="C40" s="15" t="str">
        <f>IF(Data!D41="","",Data!D41)</f>
        <v>Last Name</v>
      </c>
      <c r="D40" s="15" t="str">
        <f t="shared" si="0"/>
        <v>First Name Last Name</v>
      </c>
      <c r="E40" s="16" t="str">
        <f>Data!E41</f>
        <v>OFF</v>
      </c>
      <c r="F40" s="16" t="str">
        <f>Data!F41</f>
        <v>OilWellTexas</v>
      </c>
      <c r="G40" s="16" t="b">
        <f t="shared" si="1"/>
        <v>0</v>
      </c>
      <c r="H40" s="16" t="str">
        <f t="shared" si="2"/>
        <v>NO</v>
      </c>
      <c r="I40" s="31" t="str">
        <f>IF(OR(ISNUMBER(SEARCH("Canada",F40)), ISNUMBER(SEARCH("None",F40)),ISNUMBER(SEARCH("Short",F40)),ISNUMBER(SEARCH("Alaska",F40))),"OK",IF(AND(G40=TRUE,T40&lt;=((Summary!$A$5*60)+Summary!$B$5)/1440),"ALERT","OK"))</f>
        <v>OK</v>
      </c>
      <c r="J40" s="31" t="str">
        <f>IF(ISNUMBER(SEARCH("None",F40)),"OK",IF(AND(G40=TRUE,U40&lt;=((Summary!$A$5*60)+Summary!$B$5)/1440),"ALERT","OK"))</f>
        <v>OK</v>
      </c>
      <c r="K40" s="31" t="str">
        <f>IF(ISNUMBER(SEARCH("None",F40)),"OK",IF(AND(G40=TRUE,OR(ISNUMBER(SEARCH("Texas",F40)),ISNUMBER(SEARCH("Canada",F40))),V40&lt;=((Summary!$A$5*60)+Summary!$B$5)/1440),"ALERT","OK"))</f>
        <v>OK</v>
      </c>
      <c r="L40" s="31" t="str">
        <f>IF(ISNUMBER(SEARCH("None",F40)),"OK",IF(AND(G40=TRUE,W40&lt;=((Summary!$A$5*60)+Summary!$B$5)/1440),"ALERT","OK"))</f>
        <v>OK</v>
      </c>
      <c r="M40" s="31" t="str">
        <f>IF(ISNUMBER(SEARCH("None",F40)),"OK",IF(AND(G40=TRUE,X40&lt;=((Summary!$A$5*60)+Summary!$B$5)/1440),"ALERT","OK"))</f>
        <v>OK</v>
      </c>
      <c r="N40" s="31" t="str">
        <f t="shared" si="3"/>
        <v/>
      </c>
      <c r="O40" s="31" t="str">
        <f t="shared" si="4"/>
        <v/>
      </c>
      <c r="P40" s="31" t="str">
        <f t="shared" si="5"/>
        <v/>
      </c>
      <c r="Q40" s="31" t="str">
        <f t="shared" si="6"/>
        <v/>
      </c>
      <c r="R40" s="31" t="str">
        <f t="shared" si="7"/>
        <v/>
      </c>
      <c r="S40" s="31" t="str">
        <f t="shared" si="8"/>
        <v/>
      </c>
      <c r="T40" s="43">
        <f>Data!G41</f>
        <v>0</v>
      </c>
      <c r="U40" s="43">
        <f>Data!H41</f>
        <v>0.5</v>
      </c>
      <c r="V40" s="43">
        <f>Data!I41</f>
        <v>0.625</v>
      </c>
      <c r="W40" s="43">
        <f>Data!J41</f>
        <v>0</v>
      </c>
      <c r="X40" s="43">
        <f>Data!K41</f>
        <v>2.9166666666666701</v>
      </c>
    </row>
    <row r="41" spans="1:24" ht="16.5" x14ac:dyDescent="0.3">
      <c r="A41" s="14" t="str">
        <f>Data!A42</f>
        <v>Driver 34</v>
      </c>
      <c r="B41" s="15" t="str">
        <f>IF(Data!C42="","",Data!C42)</f>
        <v>First Name</v>
      </c>
      <c r="C41" s="15" t="str">
        <f>IF(Data!D42="","",Data!D42)</f>
        <v>Last Name</v>
      </c>
      <c r="D41" s="15" t="str">
        <f t="shared" si="0"/>
        <v>First Name Last Name</v>
      </c>
      <c r="E41" s="16" t="str">
        <f>Data!E42</f>
        <v>OFF</v>
      </c>
      <c r="F41" s="16" t="str">
        <f>Data!F42</f>
        <v>America7Day</v>
      </c>
      <c r="G41" s="16" t="b">
        <f t="shared" si="1"/>
        <v>0</v>
      </c>
      <c r="H41" s="16" t="str">
        <f t="shared" si="2"/>
        <v>NO</v>
      </c>
      <c r="I41" s="31" t="str">
        <f>IF(OR(ISNUMBER(SEARCH("Canada",F41)), ISNUMBER(SEARCH("None",F41)),ISNUMBER(SEARCH("Short",F41)),ISNUMBER(SEARCH("Alaska",F41))),"OK",IF(AND(G41=TRUE,T41&lt;=((Summary!$A$5*60)+Summary!$B$5)/1440),"ALERT","OK"))</f>
        <v>OK</v>
      </c>
      <c r="J41" s="31" t="str">
        <f>IF(ISNUMBER(SEARCH("None",F41)),"OK",IF(AND(G41=TRUE,U41&lt;=((Summary!$A$5*60)+Summary!$B$5)/1440),"ALERT","OK"))</f>
        <v>OK</v>
      </c>
      <c r="K41" s="31" t="str">
        <f>IF(ISNUMBER(SEARCH("None",F41)),"OK",IF(AND(G41=TRUE,OR(ISNUMBER(SEARCH("Texas",F41)),ISNUMBER(SEARCH("Canada",F41))),V41&lt;=((Summary!$A$5*60)+Summary!$B$5)/1440),"ALERT","OK"))</f>
        <v>OK</v>
      </c>
      <c r="L41" s="31" t="str">
        <f>IF(ISNUMBER(SEARCH("None",F41)),"OK",IF(AND(G41=TRUE,W41&lt;=((Summary!$A$5*60)+Summary!$B$5)/1440),"ALERT","OK"))</f>
        <v>OK</v>
      </c>
      <c r="M41" s="31" t="str">
        <f>IF(ISNUMBER(SEARCH("None",F41)),"OK",IF(AND(G41=TRUE,X41&lt;=((Summary!$A$5*60)+Summary!$B$5)/1440),"ALERT","OK"))</f>
        <v>OK</v>
      </c>
      <c r="N41" s="31" t="str">
        <f t="shared" si="3"/>
        <v/>
      </c>
      <c r="O41" s="31" t="str">
        <f t="shared" si="4"/>
        <v/>
      </c>
      <c r="P41" s="31" t="str">
        <f t="shared" si="5"/>
        <v/>
      </c>
      <c r="Q41" s="31" t="str">
        <f t="shared" si="6"/>
        <v/>
      </c>
      <c r="R41" s="31" t="str">
        <f t="shared" si="7"/>
        <v/>
      </c>
      <c r="S41" s="31" t="str">
        <f t="shared" si="8"/>
        <v/>
      </c>
      <c r="T41" s="43">
        <f>Data!G42</f>
        <v>0.33333333333333298</v>
      </c>
      <c r="U41" s="43">
        <f>Data!H42</f>
        <v>0.45833333333333298</v>
      </c>
      <c r="V41" s="43">
        <f>Data!I42</f>
        <v>0</v>
      </c>
      <c r="W41" s="43">
        <f>Data!J42</f>
        <v>0.58333333333333304</v>
      </c>
      <c r="X41" s="43">
        <f>Data!K42</f>
        <v>2.5</v>
      </c>
    </row>
    <row r="42" spans="1:24" ht="16.5" x14ac:dyDescent="0.3">
      <c r="A42" s="14" t="str">
        <f>Data!A43</f>
        <v>Driver 35</v>
      </c>
      <c r="B42" s="15" t="str">
        <f>IF(Data!C43="","",Data!C43)</f>
        <v>First Name</v>
      </c>
      <c r="C42" s="15" t="str">
        <f>IF(Data!D43="","",Data!D43)</f>
        <v>Last Name</v>
      </c>
      <c r="D42" s="15" t="str">
        <f t="shared" si="0"/>
        <v>First Name Last Name</v>
      </c>
      <c r="E42" s="16" t="str">
        <f>Data!E43</f>
        <v>OFF</v>
      </c>
      <c r="F42" s="16" t="str">
        <f>Data!F43</f>
        <v>America7DayPassenger</v>
      </c>
      <c r="G42" s="16" t="b">
        <f t="shared" si="1"/>
        <v>0</v>
      </c>
      <c r="H42" s="16" t="str">
        <f t="shared" si="2"/>
        <v>NO</v>
      </c>
      <c r="I42" s="31" t="str">
        <f>IF(OR(ISNUMBER(SEARCH("Canada",F42)), ISNUMBER(SEARCH("None",F42)),ISNUMBER(SEARCH("Short",F42)),ISNUMBER(SEARCH("Alaska",F42))),"OK",IF(AND(G42=TRUE,T42&lt;=((Summary!$A$5*60)+Summary!$B$5)/1440),"ALERT","OK"))</f>
        <v>OK</v>
      </c>
      <c r="J42" s="31" t="str">
        <f>IF(ISNUMBER(SEARCH("None",F42)),"OK",IF(AND(G42=TRUE,U42&lt;=((Summary!$A$5*60)+Summary!$B$5)/1440),"ALERT","OK"))</f>
        <v>OK</v>
      </c>
      <c r="K42" s="31" t="str">
        <f>IF(ISNUMBER(SEARCH("None",F42)),"OK",IF(AND(G42=TRUE,OR(ISNUMBER(SEARCH("Texas",F42)),ISNUMBER(SEARCH("Canada",F42))),V42&lt;=((Summary!$A$5*60)+Summary!$B$5)/1440),"ALERT","OK"))</f>
        <v>OK</v>
      </c>
      <c r="L42" s="31" t="str">
        <f>IF(ISNUMBER(SEARCH("None",F42)),"OK",IF(AND(G42=TRUE,W42&lt;=((Summary!$A$5*60)+Summary!$B$5)/1440),"ALERT","OK"))</f>
        <v>OK</v>
      </c>
      <c r="M42" s="31" t="str">
        <f>IF(ISNUMBER(SEARCH("None",F42)),"OK",IF(AND(G42=TRUE,X42&lt;=((Summary!$A$5*60)+Summary!$B$5)/1440),"ALERT","OK"))</f>
        <v>OK</v>
      </c>
      <c r="N42" s="31" t="str">
        <f t="shared" si="3"/>
        <v/>
      </c>
      <c r="O42" s="31" t="str">
        <f t="shared" si="4"/>
        <v/>
      </c>
      <c r="P42" s="31" t="str">
        <f t="shared" si="5"/>
        <v/>
      </c>
      <c r="Q42" s="31" t="str">
        <f t="shared" si="6"/>
        <v/>
      </c>
      <c r="R42" s="31" t="str">
        <f t="shared" si="7"/>
        <v/>
      </c>
      <c r="S42" s="31" t="str">
        <f t="shared" si="8"/>
        <v/>
      </c>
      <c r="T42" s="43">
        <f>Data!G43</f>
        <v>0</v>
      </c>
      <c r="U42" s="43">
        <f>Data!H43</f>
        <v>0.41666666666666702</v>
      </c>
      <c r="V42" s="43">
        <f>Data!I43</f>
        <v>0.625</v>
      </c>
      <c r="W42" s="43">
        <f>Data!J43</f>
        <v>0</v>
      </c>
      <c r="X42" s="43">
        <f>Data!K43</f>
        <v>2.5</v>
      </c>
    </row>
    <row r="43" spans="1:24" ht="16.5" x14ac:dyDescent="0.3">
      <c r="A43" s="14" t="str">
        <f>Data!A44</f>
        <v>Driver 36</v>
      </c>
      <c r="B43" s="15" t="str">
        <f>IF(Data!C44="","",Data!C44)</f>
        <v>First Name</v>
      </c>
      <c r="C43" s="15" t="str">
        <f>IF(Data!D44="","",Data!D44)</f>
        <v>Last Name</v>
      </c>
      <c r="D43" s="15" t="str">
        <f t="shared" si="0"/>
        <v>First Name Last Name</v>
      </c>
      <c r="E43" s="16" t="str">
        <f>Data!E44</f>
        <v>OFF</v>
      </c>
      <c r="F43" s="16" t="str">
        <f>Data!F44</f>
        <v>America7Day</v>
      </c>
      <c r="G43" s="16" t="b">
        <f t="shared" si="1"/>
        <v>0</v>
      </c>
      <c r="H43" s="16" t="str">
        <f t="shared" si="2"/>
        <v>NO</v>
      </c>
      <c r="I43" s="31" t="str">
        <f>IF(OR(ISNUMBER(SEARCH("Canada",F43)), ISNUMBER(SEARCH("None",F43)),ISNUMBER(SEARCH("Short",F43)),ISNUMBER(SEARCH("Alaska",F43))),"OK",IF(AND(G43=TRUE,T43&lt;=((Summary!$A$5*60)+Summary!$B$5)/1440),"ALERT","OK"))</f>
        <v>OK</v>
      </c>
      <c r="J43" s="31" t="str">
        <f>IF(ISNUMBER(SEARCH("None",F43)),"OK",IF(AND(G43=TRUE,U43&lt;=((Summary!$A$5*60)+Summary!$B$5)/1440),"ALERT","OK"))</f>
        <v>OK</v>
      </c>
      <c r="K43" s="31" t="str">
        <f>IF(ISNUMBER(SEARCH("None",F43)),"OK",IF(AND(G43=TRUE,OR(ISNUMBER(SEARCH("Texas",F43)),ISNUMBER(SEARCH("Canada",F43))),V43&lt;=((Summary!$A$5*60)+Summary!$B$5)/1440),"ALERT","OK"))</f>
        <v>OK</v>
      </c>
      <c r="L43" s="31" t="str">
        <f>IF(ISNUMBER(SEARCH("None",F43)),"OK",IF(AND(G43=TRUE,W43&lt;=((Summary!$A$5*60)+Summary!$B$5)/1440),"ALERT","OK"))</f>
        <v>OK</v>
      </c>
      <c r="M43" s="31" t="str">
        <f>IF(ISNUMBER(SEARCH("None",F43)),"OK",IF(AND(G43=TRUE,X43&lt;=((Summary!$A$5*60)+Summary!$B$5)/1440),"ALERT","OK"))</f>
        <v>OK</v>
      </c>
      <c r="N43" s="31" t="str">
        <f t="shared" si="3"/>
        <v/>
      </c>
      <c r="O43" s="31" t="str">
        <f t="shared" si="4"/>
        <v/>
      </c>
      <c r="P43" s="31" t="str">
        <f t="shared" si="5"/>
        <v/>
      </c>
      <c r="Q43" s="31" t="str">
        <f t="shared" si="6"/>
        <v/>
      </c>
      <c r="R43" s="31" t="str">
        <f t="shared" si="7"/>
        <v/>
      </c>
      <c r="S43" s="31" t="str">
        <f t="shared" si="8"/>
        <v/>
      </c>
      <c r="T43" s="43">
        <f>Data!G44</f>
        <v>0.33333333333333298</v>
      </c>
      <c r="U43" s="43">
        <f>Data!H44</f>
        <v>0.45833333333333298</v>
      </c>
      <c r="V43" s="43">
        <f>Data!I44</f>
        <v>0</v>
      </c>
      <c r="W43" s="43">
        <f>Data!J44</f>
        <v>0.58333333333333304</v>
      </c>
      <c r="X43" s="43">
        <f>Data!K44</f>
        <v>2.5</v>
      </c>
    </row>
    <row r="44" spans="1:24" ht="16.5" x14ac:dyDescent="0.3">
      <c r="A44" s="14" t="str">
        <f>Data!A45</f>
        <v>Driver 37</v>
      </c>
      <c r="B44" s="15" t="str">
        <f>IF(Data!C45="","",Data!C45)</f>
        <v>First Name</v>
      </c>
      <c r="C44" s="15" t="str">
        <f>IF(Data!D45="","",Data!D45)</f>
        <v>Last Name</v>
      </c>
      <c r="D44" s="15" t="str">
        <f t="shared" si="0"/>
        <v>First Name Last Name</v>
      </c>
      <c r="E44" s="16" t="str">
        <f>Data!E45</f>
        <v>OFF</v>
      </c>
      <c r="F44" s="16" t="str">
        <f>Data!F45</f>
        <v>OilWell7DayBig</v>
      </c>
      <c r="G44" s="16" t="b">
        <f t="shared" si="1"/>
        <v>0</v>
      </c>
      <c r="H44" s="16" t="str">
        <f t="shared" si="2"/>
        <v>NO</v>
      </c>
      <c r="I44" s="31" t="str">
        <f>IF(OR(ISNUMBER(SEARCH("Canada",F44)), ISNUMBER(SEARCH("None",F44)),ISNUMBER(SEARCH("Short",F44)),ISNUMBER(SEARCH("Alaska",F44))),"OK",IF(AND(G44=TRUE,T44&lt;=((Summary!$A$5*60)+Summary!$B$5)/1440),"ALERT","OK"))</f>
        <v>OK</v>
      </c>
      <c r="J44" s="31" t="str">
        <f>IF(ISNUMBER(SEARCH("None",F44)),"OK",IF(AND(G44=TRUE,U44&lt;=((Summary!$A$5*60)+Summary!$B$5)/1440),"ALERT","OK"))</f>
        <v>OK</v>
      </c>
      <c r="K44" s="31" t="str">
        <f>IF(ISNUMBER(SEARCH("None",F44)),"OK",IF(AND(G44=TRUE,OR(ISNUMBER(SEARCH("Texas",F44)),ISNUMBER(SEARCH("Canada",F44))),V44&lt;=((Summary!$A$5*60)+Summary!$B$5)/1440),"ALERT","OK"))</f>
        <v>OK</v>
      </c>
      <c r="L44" s="31" t="str">
        <f>IF(ISNUMBER(SEARCH("None",F44)),"OK",IF(AND(G44=TRUE,W44&lt;=((Summary!$A$5*60)+Summary!$B$5)/1440),"ALERT","OK"))</f>
        <v>OK</v>
      </c>
      <c r="M44" s="31" t="str">
        <f>IF(ISNUMBER(SEARCH("None",F44)),"OK",IF(AND(G44=TRUE,X44&lt;=((Summary!$A$5*60)+Summary!$B$5)/1440),"ALERT","OK"))</f>
        <v>OK</v>
      </c>
      <c r="N44" s="31" t="str">
        <f t="shared" si="3"/>
        <v/>
      </c>
      <c r="O44" s="31" t="str">
        <f t="shared" si="4"/>
        <v/>
      </c>
      <c r="P44" s="31" t="str">
        <f t="shared" si="5"/>
        <v/>
      </c>
      <c r="Q44" s="31" t="str">
        <f t="shared" si="6"/>
        <v/>
      </c>
      <c r="R44" s="31" t="str">
        <f t="shared" si="7"/>
        <v/>
      </c>
      <c r="S44" s="31" t="str">
        <f t="shared" si="8"/>
        <v/>
      </c>
      <c r="T44" s="43">
        <f>Data!G45</f>
        <v>0.33333333333333298</v>
      </c>
      <c r="U44" s="43">
        <f>Data!H45</f>
        <v>0.45833333333333298</v>
      </c>
      <c r="V44" s="43">
        <f>Data!I45</f>
        <v>0</v>
      </c>
      <c r="W44" s="43">
        <f>Data!J45</f>
        <v>0.58333333333333304</v>
      </c>
      <c r="X44" s="43">
        <f>Data!K45</f>
        <v>2.5</v>
      </c>
    </row>
    <row r="45" spans="1:24" ht="16.5" x14ac:dyDescent="0.3">
      <c r="A45" s="14" t="str">
        <f>Data!A46</f>
        <v>Driver 38</v>
      </c>
      <c r="B45" s="15" t="str">
        <f>IF(Data!C46="","",Data!C46)</f>
        <v>First Name</v>
      </c>
      <c r="C45" s="15" t="str">
        <f>IF(Data!D46="","",Data!D46)</f>
        <v>Last Name</v>
      </c>
      <c r="D45" s="15" t="str">
        <f t="shared" si="0"/>
        <v>First Name Last Name</v>
      </c>
      <c r="E45" s="16" t="str">
        <f>Data!E46</f>
        <v>OFF</v>
      </c>
      <c r="F45" s="16" t="str">
        <f>Data!F46</f>
        <v>America7Day</v>
      </c>
      <c r="G45" s="16" t="b">
        <f t="shared" si="1"/>
        <v>0</v>
      </c>
      <c r="H45" s="16" t="str">
        <f t="shared" si="2"/>
        <v>NO</v>
      </c>
      <c r="I45" s="31" t="str">
        <f>IF(OR(ISNUMBER(SEARCH("Canada",F45)), ISNUMBER(SEARCH("None",F45)),ISNUMBER(SEARCH("Short",F45)),ISNUMBER(SEARCH("Alaska",F45))),"OK",IF(AND(G45=TRUE,T45&lt;=((Summary!$A$5*60)+Summary!$B$5)/1440),"ALERT","OK"))</f>
        <v>OK</v>
      </c>
      <c r="J45" s="31" t="str">
        <f>IF(ISNUMBER(SEARCH("None",F45)),"OK",IF(AND(G45=TRUE,U45&lt;=((Summary!$A$5*60)+Summary!$B$5)/1440),"ALERT","OK"))</f>
        <v>OK</v>
      </c>
      <c r="K45" s="31" t="str">
        <f>IF(ISNUMBER(SEARCH("None",F45)),"OK",IF(AND(G45=TRUE,OR(ISNUMBER(SEARCH("Texas",F45)),ISNUMBER(SEARCH("Canada",F45))),V45&lt;=((Summary!$A$5*60)+Summary!$B$5)/1440),"ALERT","OK"))</f>
        <v>OK</v>
      </c>
      <c r="L45" s="31" t="str">
        <f>IF(ISNUMBER(SEARCH("None",F45)),"OK",IF(AND(G45=TRUE,W45&lt;=((Summary!$A$5*60)+Summary!$B$5)/1440),"ALERT","OK"))</f>
        <v>OK</v>
      </c>
      <c r="M45" s="31" t="str">
        <f>IF(ISNUMBER(SEARCH("None",F45)),"OK",IF(AND(G45=TRUE,X45&lt;=((Summary!$A$5*60)+Summary!$B$5)/1440),"ALERT","OK"))</f>
        <v>OK</v>
      </c>
      <c r="N45" s="31" t="str">
        <f t="shared" si="3"/>
        <v/>
      </c>
      <c r="O45" s="31" t="str">
        <f t="shared" si="4"/>
        <v/>
      </c>
      <c r="P45" s="31" t="str">
        <f t="shared" si="5"/>
        <v/>
      </c>
      <c r="Q45" s="31" t="str">
        <f t="shared" si="6"/>
        <v/>
      </c>
      <c r="R45" s="31" t="str">
        <f t="shared" si="7"/>
        <v/>
      </c>
      <c r="S45" s="31" t="str">
        <f t="shared" si="8"/>
        <v/>
      </c>
      <c r="T45" s="43">
        <f>Data!G46</f>
        <v>0.33333333333333298</v>
      </c>
      <c r="U45" s="43">
        <f>Data!H46</f>
        <v>0.45833333333333298</v>
      </c>
      <c r="V45" s="43">
        <f>Data!I46</f>
        <v>0</v>
      </c>
      <c r="W45" s="43">
        <f>Data!J46</f>
        <v>0.58333333333333304</v>
      </c>
      <c r="X45" s="43">
        <f>Data!K46</f>
        <v>2.5</v>
      </c>
    </row>
    <row r="46" spans="1:24" ht="16.5" x14ac:dyDescent="0.3">
      <c r="A46" s="14" t="str">
        <f>Data!A47</f>
        <v>Driver 39</v>
      </c>
      <c r="B46" s="15" t="str">
        <f>IF(Data!C47="","",Data!C47)</f>
        <v>First Name</v>
      </c>
      <c r="C46" s="15" t="str">
        <f>IF(Data!D47="","",Data!D47)</f>
        <v>Last Name</v>
      </c>
      <c r="D46" s="15" t="str">
        <f t="shared" si="0"/>
        <v>First Name Last Name</v>
      </c>
      <c r="E46" s="16" t="str">
        <f>Data!E47</f>
        <v>OFF</v>
      </c>
      <c r="F46" s="16" t="str">
        <f>Data!F47</f>
        <v>OilWell7Day</v>
      </c>
      <c r="G46" s="16" t="b">
        <f t="shared" si="1"/>
        <v>0</v>
      </c>
      <c r="H46" s="16" t="str">
        <f t="shared" si="2"/>
        <v>NO</v>
      </c>
      <c r="I46" s="31" t="str">
        <f>IF(OR(ISNUMBER(SEARCH("Canada",F46)), ISNUMBER(SEARCH("None",F46)),ISNUMBER(SEARCH("Short",F46)),ISNUMBER(SEARCH("Alaska",F46))),"OK",IF(AND(G46=TRUE,T46&lt;=((Summary!$A$5*60)+Summary!$B$5)/1440),"ALERT","OK"))</f>
        <v>OK</v>
      </c>
      <c r="J46" s="31" t="str">
        <f>IF(ISNUMBER(SEARCH("None",F46)),"OK",IF(AND(G46=TRUE,U46&lt;=((Summary!$A$5*60)+Summary!$B$5)/1440),"ALERT","OK"))</f>
        <v>OK</v>
      </c>
      <c r="K46" s="31" t="str">
        <f>IF(ISNUMBER(SEARCH("None",F46)),"OK",IF(AND(G46=TRUE,OR(ISNUMBER(SEARCH("Texas",F46)),ISNUMBER(SEARCH("Canada",F46))),V46&lt;=((Summary!$A$5*60)+Summary!$B$5)/1440),"ALERT","OK"))</f>
        <v>OK</v>
      </c>
      <c r="L46" s="31" t="str">
        <f>IF(ISNUMBER(SEARCH("None",F46)),"OK",IF(AND(G46=TRUE,W46&lt;=((Summary!$A$5*60)+Summary!$B$5)/1440),"ALERT","OK"))</f>
        <v>OK</v>
      </c>
      <c r="M46" s="31" t="str">
        <f>IF(ISNUMBER(SEARCH("None",F46)),"OK",IF(AND(G46=TRUE,X46&lt;=((Summary!$A$5*60)+Summary!$B$5)/1440),"ALERT","OK"))</f>
        <v>OK</v>
      </c>
      <c r="N46" s="31" t="str">
        <f t="shared" si="3"/>
        <v/>
      </c>
      <c r="O46" s="31" t="str">
        <f t="shared" si="4"/>
        <v/>
      </c>
      <c r="P46" s="31" t="str">
        <f t="shared" si="5"/>
        <v/>
      </c>
      <c r="Q46" s="31" t="str">
        <f t="shared" si="6"/>
        <v/>
      </c>
      <c r="R46" s="31" t="str">
        <f t="shared" si="7"/>
        <v/>
      </c>
      <c r="S46" s="31" t="str">
        <f t="shared" si="8"/>
        <v/>
      </c>
      <c r="T46" s="43">
        <f>Data!G47</f>
        <v>0.33333333333333298</v>
      </c>
      <c r="U46" s="43">
        <f>Data!H47</f>
        <v>0.45833333333333298</v>
      </c>
      <c r="V46" s="43">
        <f>Data!I47</f>
        <v>0</v>
      </c>
      <c r="W46" s="43">
        <f>Data!J47</f>
        <v>0.58333333333333304</v>
      </c>
      <c r="X46" s="43">
        <f>Data!K47</f>
        <v>2.5</v>
      </c>
    </row>
    <row r="47" spans="1:24" ht="16.5" x14ac:dyDescent="0.3">
      <c r="A47" s="14" t="str">
        <f>Data!A48</f>
        <v>Driver 40</v>
      </c>
      <c r="B47" s="15" t="str">
        <f>IF(Data!C48="","",Data!C48)</f>
        <v>First Name</v>
      </c>
      <c r="C47" s="15" t="str">
        <f>IF(Data!D48="","",Data!D48)</f>
        <v>Last Name</v>
      </c>
      <c r="D47" s="15" t="str">
        <f t="shared" si="0"/>
        <v>First Name Last Name</v>
      </c>
      <c r="E47" s="16" t="str">
        <f>Data!E48</f>
        <v>OFF</v>
      </c>
      <c r="F47" s="16" t="str">
        <f>Data!F48</f>
        <v>None</v>
      </c>
      <c r="G47" s="16" t="b">
        <f t="shared" si="1"/>
        <v>0</v>
      </c>
      <c r="H47" s="16" t="str">
        <f t="shared" si="2"/>
        <v>NO</v>
      </c>
      <c r="I47" s="31" t="str">
        <f>IF(OR(ISNUMBER(SEARCH("Canada",F47)), ISNUMBER(SEARCH("None",F47)),ISNUMBER(SEARCH("Short",F47)),ISNUMBER(SEARCH("Alaska",F47))),"OK",IF(AND(G47=TRUE,T47&lt;=((Summary!$A$5*60)+Summary!$B$5)/1440),"ALERT","OK"))</f>
        <v>OK</v>
      </c>
      <c r="J47" s="31" t="str">
        <f>IF(ISNUMBER(SEARCH("None",F47)),"OK",IF(AND(G47=TRUE,U47&lt;=((Summary!$A$5*60)+Summary!$B$5)/1440),"ALERT","OK"))</f>
        <v>OK</v>
      </c>
      <c r="K47" s="31" t="str">
        <f>IF(ISNUMBER(SEARCH("None",F47)),"OK",IF(AND(G47=TRUE,OR(ISNUMBER(SEARCH("Texas",F47)),ISNUMBER(SEARCH("Canada",F47))),V47&lt;=((Summary!$A$5*60)+Summary!$B$5)/1440),"ALERT","OK"))</f>
        <v>OK</v>
      </c>
      <c r="L47" s="31" t="str">
        <f>IF(ISNUMBER(SEARCH("None",F47)),"OK",IF(AND(G47=TRUE,W47&lt;=((Summary!$A$5*60)+Summary!$B$5)/1440),"ALERT","OK"))</f>
        <v>OK</v>
      </c>
      <c r="M47" s="31" t="str">
        <f>IF(ISNUMBER(SEARCH("None",F47)),"OK",IF(AND(G47=TRUE,X47&lt;=((Summary!$A$5*60)+Summary!$B$5)/1440),"ALERT","OK"))</f>
        <v>OK</v>
      </c>
      <c r="N47" s="31" t="str">
        <f t="shared" si="3"/>
        <v/>
      </c>
      <c r="O47" s="31" t="str">
        <f t="shared" si="4"/>
        <v/>
      </c>
      <c r="P47" s="31" t="str">
        <f t="shared" si="5"/>
        <v/>
      </c>
      <c r="Q47" s="31" t="str">
        <f t="shared" si="6"/>
        <v/>
      </c>
      <c r="R47" s="31" t="str">
        <f t="shared" si="7"/>
        <v/>
      </c>
      <c r="S47" s="31" t="str">
        <f t="shared" si="8"/>
        <v/>
      </c>
      <c r="T47" s="43">
        <f>Data!G48</f>
        <v>0</v>
      </c>
      <c r="U47" s="43">
        <f>Data!H48</f>
        <v>0</v>
      </c>
      <c r="V47" s="43">
        <f>Data!I48</f>
        <v>0</v>
      </c>
      <c r="W47" s="43">
        <f>Data!J48</f>
        <v>0</v>
      </c>
      <c r="X47" s="43">
        <f>Data!K48</f>
        <v>0</v>
      </c>
    </row>
    <row r="48" spans="1:24" ht="16.5" x14ac:dyDescent="0.3">
      <c r="A48" s="14" t="str">
        <f>Data!A49</f>
        <v>Driver 41</v>
      </c>
      <c r="B48" s="15" t="str">
        <f>IF(Data!C49="","",Data!C49)</f>
        <v>First Name</v>
      </c>
      <c r="C48" s="15" t="str">
        <f>IF(Data!D49="","",Data!D49)</f>
        <v>Last Name</v>
      </c>
      <c r="D48" s="15" t="str">
        <f t="shared" si="0"/>
        <v>First Name Last Name</v>
      </c>
      <c r="E48" s="16" t="str">
        <f>Data!E49</f>
        <v>ON</v>
      </c>
      <c r="F48" s="16" t="str">
        <f>Data!F49</f>
        <v>OilTransport8Day</v>
      </c>
      <c r="G48" s="16" t="b">
        <f t="shared" si="1"/>
        <v>0</v>
      </c>
      <c r="H48" s="16" t="str">
        <f t="shared" si="2"/>
        <v>NO</v>
      </c>
      <c r="I48" s="31" t="str">
        <f>IF(OR(ISNUMBER(SEARCH("Canada",F48)), ISNUMBER(SEARCH("None",F48)),ISNUMBER(SEARCH("Short",F48)),ISNUMBER(SEARCH("Alaska",F48))),"OK",IF(AND(G48=TRUE,T48&lt;=((Summary!$A$5*60)+Summary!$B$5)/1440),"ALERT","OK"))</f>
        <v>OK</v>
      </c>
      <c r="J48" s="31" t="str">
        <f>IF(ISNUMBER(SEARCH("None",F48)),"OK",IF(AND(G48=TRUE,U48&lt;=((Summary!$A$5*60)+Summary!$B$5)/1440),"ALERT","OK"))</f>
        <v>OK</v>
      </c>
      <c r="K48" s="31" t="str">
        <f>IF(ISNUMBER(SEARCH("None",F48)),"OK",IF(AND(G48=TRUE,OR(ISNUMBER(SEARCH("Texas",F48)),ISNUMBER(SEARCH("Canada",F48))),V48&lt;=((Summary!$A$5*60)+Summary!$B$5)/1440),"ALERT","OK"))</f>
        <v>OK</v>
      </c>
      <c r="L48" s="31" t="str">
        <f>IF(ISNUMBER(SEARCH("None",F48)),"OK",IF(AND(G48=TRUE,W48&lt;=((Summary!$A$5*60)+Summary!$B$5)/1440),"ALERT","OK"))</f>
        <v>OK</v>
      </c>
      <c r="M48" s="31" t="str">
        <f>IF(ISNUMBER(SEARCH("None",F48)),"OK",IF(AND(G48=TRUE,X48&lt;=((Summary!$A$5*60)+Summary!$B$5)/1440),"ALERT","OK"))</f>
        <v>OK</v>
      </c>
      <c r="N48" s="31" t="str">
        <f t="shared" si="3"/>
        <v/>
      </c>
      <c r="O48" s="31" t="str">
        <f t="shared" si="4"/>
        <v/>
      </c>
      <c r="P48" s="31" t="str">
        <f t="shared" si="5"/>
        <v/>
      </c>
      <c r="Q48" s="31" t="str">
        <f t="shared" si="6"/>
        <v/>
      </c>
      <c r="R48" s="31" t="str">
        <f t="shared" si="7"/>
        <v/>
      </c>
      <c r="S48" s="31" t="str">
        <f t="shared" si="8"/>
        <v/>
      </c>
      <c r="T48" s="43">
        <f>Data!G49</f>
        <v>0</v>
      </c>
      <c r="U48" s="43">
        <f>Data!H49</f>
        <v>0.45833333333333298</v>
      </c>
      <c r="V48" s="43">
        <f>Data!I49</f>
        <v>0</v>
      </c>
      <c r="W48" s="43">
        <f>Data!J49</f>
        <v>0</v>
      </c>
      <c r="X48" s="43">
        <f>Data!K49</f>
        <v>0</v>
      </c>
    </row>
    <row r="49" spans="1:24" ht="16.5" x14ac:dyDescent="0.3">
      <c r="A49" s="14" t="str">
        <f>Data!A50</f>
        <v>Driver 42</v>
      </c>
      <c r="B49" s="15" t="str">
        <f>IF(Data!C50="","",Data!C50)</f>
        <v>First Name</v>
      </c>
      <c r="C49" s="15" t="str">
        <f>IF(Data!D50="","",Data!D50)</f>
        <v>Last Name</v>
      </c>
      <c r="D49" s="15" t="str">
        <f t="shared" si="0"/>
        <v>First Name Last Name</v>
      </c>
      <c r="E49" s="16" t="str">
        <f>Data!E50</f>
        <v>OFF</v>
      </c>
      <c r="F49" s="16" t="str">
        <f>Data!F50</f>
        <v>CanadaCycleTwo</v>
      </c>
      <c r="G49" s="16" t="b">
        <f t="shared" si="1"/>
        <v>0</v>
      </c>
      <c r="H49" s="16" t="str">
        <f t="shared" si="2"/>
        <v>NO</v>
      </c>
      <c r="I49" s="31" t="str">
        <f>IF(OR(ISNUMBER(SEARCH("Canada",F49)), ISNUMBER(SEARCH("None",F49)),ISNUMBER(SEARCH("Short",F49)),ISNUMBER(SEARCH("Alaska",F49))),"OK",IF(AND(G49=TRUE,T49&lt;=((Summary!$A$5*60)+Summary!$B$5)/1440),"ALERT","OK"))</f>
        <v>OK</v>
      </c>
      <c r="J49" s="31" t="str">
        <f>IF(ISNUMBER(SEARCH("None",F49)),"OK",IF(AND(G49=TRUE,U49&lt;=((Summary!$A$5*60)+Summary!$B$5)/1440),"ALERT","OK"))</f>
        <v>OK</v>
      </c>
      <c r="K49" s="31" t="str">
        <f>IF(ISNUMBER(SEARCH("None",F49)),"OK",IF(AND(G49=TRUE,OR(ISNUMBER(SEARCH("Texas",F49)),ISNUMBER(SEARCH("Canada",F49))),V49&lt;=((Summary!$A$5*60)+Summary!$B$5)/1440),"ALERT","OK"))</f>
        <v>OK</v>
      </c>
      <c r="L49" s="31" t="str">
        <f>IF(ISNUMBER(SEARCH("None",F49)),"OK",IF(AND(G49=TRUE,W49&lt;=((Summary!$A$5*60)+Summary!$B$5)/1440),"ALERT","OK"))</f>
        <v>OK</v>
      </c>
      <c r="M49" s="31" t="str">
        <f>IF(ISNUMBER(SEARCH("None",F49)),"OK",IF(AND(G49=TRUE,X49&lt;=((Summary!$A$5*60)+Summary!$B$5)/1440),"ALERT","OK"))</f>
        <v>OK</v>
      </c>
      <c r="N49" s="31" t="str">
        <f t="shared" si="3"/>
        <v/>
      </c>
      <c r="O49" s="31" t="str">
        <f t="shared" si="4"/>
        <v/>
      </c>
      <c r="P49" s="31" t="str">
        <f t="shared" si="5"/>
        <v/>
      </c>
      <c r="Q49" s="31" t="str">
        <f t="shared" si="6"/>
        <v/>
      </c>
      <c r="R49" s="31" t="str">
        <f t="shared" si="7"/>
        <v/>
      </c>
      <c r="S49" s="31" t="str">
        <f t="shared" si="8"/>
        <v/>
      </c>
      <c r="T49" s="43">
        <f>Data!G50</f>
        <v>0</v>
      </c>
      <c r="U49" s="43">
        <f>Data!H50</f>
        <v>0.54166666666666696</v>
      </c>
      <c r="V49" s="43">
        <f>Data!I50</f>
        <v>0.58333333333333304</v>
      </c>
      <c r="W49" s="43">
        <f>Data!J50</f>
        <v>0.66666666666666696</v>
      </c>
      <c r="X49" s="43">
        <f>Data!K50</f>
        <v>5</v>
      </c>
    </row>
    <row r="50" spans="1:24" ht="16.5" x14ac:dyDescent="0.3">
      <c r="A50" s="14" t="str">
        <f>Data!A51</f>
        <v>Driver 43</v>
      </c>
      <c r="B50" s="15" t="str">
        <f>IF(Data!C51="","",Data!C51)</f>
        <v>First Name</v>
      </c>
      <c r="C50" s="15" t="str">
        <f>IF(Data!D51="","",Data!D51)</f>
        <v>Last Name</v>
      </c>
      <c r="D50" s="15" t="str">
        <f t="shared" si="0"/>
        <v>First Name Last Name</v>
      </c>
      <c r="E50" s="16" t="str">
        <f>Data!E51</f>
        <v>ON</v>
      </c>
      <c r="F50" s="16" t="str">
        <f>Data!F51</f>
        <v>CanadaCycleTwo</v>
      </c>
      <c r="G50" s="16" t="b">
        <f t="shared" si="1"/>
        <v>0</v>
      </c>
      <c r="H50" s="16" t="str">
        <f t="shared" si="2"/>
        <v>NO</v>
      </c>
      <c r="I50" s="31" t="str">
        <f>IF(OR(ISNUMBER(SEARCH("Canada",F50)), ISNUMBER(SEARCH("None",F50)),ISNUMBER(SEARCH("Short",F50)),ISNUMBER(SEARCH("Alaska",F50))),"OK",IF(AND(G50=TRUE,T50&lt;=((Summary!$A$5*60)+Summary!$B$5)/1440),"ALERT","OK"))</f>
        <v>OK</v>
      </c>
      <c r="J50" s="31" t="str">
        <f>IF(ISNUMBER(SEARCH("None",F50)),"OK",IF(AND(G50=TRUE,U50&lt;=((Summary!$A$5*60)+Summary!$B$5)/1440),"ALERT","OK"))</f>
        <v>OK</v>
      </c>
      <c r="K50" s="31" t="str">
        <f>IF(ISNUMBER(SEARCH("None",F50)),"OK",IF(AND(G50=TRUE,OR(ISNUMBER(SEARCH("Texas",F50)),ISNUMBER(SEARCH("Canada",F50))),V50&lt;=((Summary!$A$5*60)+Summary!$B$5)/1440),"ALERT","OK"))</f>
        <v>OK</v>
      </c>
      <c r="L50" s="31" t="str">
        <f>IF(ISNUMBER(SEARCH("None",F50)),"OK",IF(AND(G50=TRUE,W50&lt;=((Summary!$A$5*60)+Summary!$B$5)/1440),"ALERT","OK"))</f>
        <v>OK</v>
      </c>
      <c r="M50" s="31" t="str">
        <f>IF(ISNUMBER(SEARCH("None",F50)),"OK",IF(AND(G50=TRUE,X50&lt;=((Summary!$A$5*60)+Summary!$B$5)/1440),"ALERT","OK"))</f>
        <v>OK</v>
      </c>
      <c r="N50" s="31" t="str">
        <f t="shared" si="3"/>
        <v/>
      </c>
      <c r="O50" s="31" t="str">
        <f t="shared" si="4"/>
        <v/>
      </c>
      <c r="P50" s="31" t="str">
        <f t="shared" si="5"/>
        <v/>
      </c>
      <c r="Q50" s="31" t="str">
        <f t="shared" si="6"/>
        <v/>
      </c>
      <c r="R50" s="31" t="str">
        <f t="shared" si="7"/>
        <v/>
      </c>
      <c r="S50" s="31" t="str">
        <f t="shared" si="8"/>
        <v/>
      </c>
      <c r="T50" s="43">
        <f>Data!G51</f>
        <v>0</v>
      </c>
      <c r="U50" s="43">
        <f>Data!H51</f>
        <v>0.54166666666666696</v>
      </c>
      <c r="V50" s="43">
        <f>Data!I51</f>
        <v>0.58333333333333304</v>
      </c>
      <c r="W50" s="43">
        <f>Data!J51</f>
        <v>0.66666666666666696</v>
      </c>
      <c r="X50" s="43">
        <f>Data!K51</f>
        <v>5</v>
      </c>
    </row>
    <row r="51" spans="1:24" ht="16.5" x14ac:dyDescent="0.3">
      <c r="A51" s="14" t="str">
        <f>Data!A52</f>
        <v>Driver 44</v>
      </c>
      <c r="B51" s="15" t="str">
        <f>IF(Data!C52="","",Data!C52)</f>
        <v>First Name</v>
      </c>
      <c r="C51" s="15" t="str">
        <f>IF(Data!D52="","",Data!D52)</f>
        <v>Last Name</v>
      </c>
      <c r="D51" s="15" t="str">
        <f t="shared" si="0"/>
        <v>First Name Last Name</v>
      </c>
      <c r="E51" s="16" t="str">
        <f>Data!E52</f>
        <v>OFF</v>
      </c>
      <c r="F51" s="16" t="str">
        <f>Data!F52</f>
        <v>America8Day</v>
      </c>
      <c r="G51" s="16" t="b">
        <f t="shared" si="1"/>
        <v>0</v>
      </c>
      <c r="H51" s="16" t="str">
        <f t="shared" si="2"/>
        <v>NO</v>
      </c>
      <c r="I51" s="31" t="str">
        <f>IF(OR(ISNUMBER(SEARCH("Canada",F51)), ISNUMBER(SEARCH("None",F51)),ISNUMBER(SEARCH("Short",F51)),ISNUMBER(SEARCH("Alaska",F51))),"OK",IF(AND(G51=TRUE,T51&lt;=((Summary!$A$5*60)+Summary!$B$5)/1440),"ALERT","OK"))</f>
        <v>OK</v>
      </c>
      <c r="J51" s="31" t="str">
        <f>IF(ISNUMBER(SEARCH("None",F51)),"OK",IF(AND(G51=TRUE,U51&lt;=((Summary!$A$5*60)+Summary!$B$5)/1440),"ALERT","OK"))</f>
        <v>OK</v>
      </c>
      <c r="K51" s="31" t="str">
        <f>IF(ISNUMBER(SEARCH("None",F51)),"OK",IF(AND(G51=TRUE,OR(ISNUMBER(SEARCH("Texas",F51)),ISNUMBER(SEARCH("Canada",F51))),V51&lt;=((Summary!$A$5*60)+Summary!$B$5)/1440),"ALERT","OK"))</f>
        <v>OK</v>
      </c>
      <c r="L51" s="31" t="str">
        <f>IF(ISNUMBER(SEARCH("None",F51)),"OK",IF(AND(G51=TRUE,W51&lt;=((Summary!$A$5*60)+Summary!$B$5)/1440),"ALERT","OK"))</f>
        <v>OK</v>
      </c>
      <c r="M51" s="31" t="str">
        <f>IF(ISNUMBER(SEARCH("None",F51)),"OK",IF(AND(G51=TRUE,X51&lt;=((Summary!$A$5*60)+Summary!$B$5)/1440),"ALERT","OK"))</f>
        <v>OK</v>
      </c>
      <c r="N51" s="31" t="str">
        <f t="shared" si="3"/>
        <v/>
      </c>
      <c r="O51" s="31" t="str">
        <f t="shared" si="4"/>
        <v/>
      </c>
      <c r="P51" s="31" t="str">
        <f t="shared" si="5"/>
        <v/>
      </c>
      <c r="Q51" s="31" t="str">
        <f t="shared" si="6"/>
        <v/>
      </c>
      <c r="R51" s="31" t="str">
        <f t="shared" si="7"/>
        <v/>
      </c>
      <c r="S51" s="31" t="str">
        <f t="shared" si="8"/>
        <v/>
      </c>
      <c r="T51" s="43">
        <f>Data!G52</f>
        <v>0.33333333333333298</v>
      </c>
      <c r="U51" s="43">
        <f>Data!H52</f>
        <v>0.45833333333333298</v>
      </c>
      <c r="V51" s="43">
        <f>Data!I52</f>
        <v>0</v>
      </c>
      <c r="W51" s="43">
        <f>Data!J52</f>
        <v>0.58333333333333304</v>
      </c>
      <c r="X51" s="43">
        <f>Data!K52</f>
        <v>2.9166666666666701</v>
      </c>
    </row>
    <row r="52" spans="1:24" ht="16.5" x14ac:dyDescent="0.3">
      <c r="A52" s="14" t="str">
        <f>Data!A53</f>
        <v>Driver 45</v>
      </c>
      <c r="B52" s="15" t="str">
        <f>IF(Data!C53="","",Data!C53)</f>
        <v>First Name</v>
      </c>
      <c r="C52" s="15" t="str">
        <f>IF(Data!D53="","",Data!D53)</f>
        <v>Last Name</v>
      </c>
      <c r="D52" s="15" t="str">
        <f t="shared" si="0"/>
        <v>First Name Last Name</v>
      </c>
      <c r="E52" s="16" t="str">
        <f>Data!E53</f>
        <v>YM</v>
      </c>
      <c r="F52" s="16" t="str">
        <f>Data!F53</f>
        <v>CanadaCycleTwo</v>
      </c>
      <c r="G52" s="16" t="b">
        <f t="shared" si="1"/>
        <v>1</v>
      </c>
      <c r="H52" s="16" t="str">
        <f t="shared" si="2"/>
        <v>NO</v>
      </c>
      <c r="I52" s="31" t="str">
        <f>IF(OR(ISNUMBER(SEARCH("Canada",F52)), ISNUMBER(SEARCH("None",F52)),ISNUMBER(SEARCH("Short",F52)),ISNUMBER(SEARCH("Alaska",F52))),"OK",IF(AND(G52=TRUE,T52&lt;=((Summary!$A$5*60)+Summary!$B$5)/1440),"ALERT","OK"))</f>
        <v>OK</v>
      </c>
      <c r="J52" s="31" t="str">
        <f>IF(ISNUMBER(SEARCH("None",F52)),"OK",IF(AND(G52=TRUE,U52&lt;=((Summary!$A$5*60)+Summary!$B$5)/1440),"ALERT","OK"))</f>
        <v>OK</v>
      </c>
      <c r="K52" s="31" t="str">
        <f>IF(ISNUMBER(SEARCH("None",F52)),"OK",IF(AND(G52=TRUE,OR(ISNUMBER(SEARCH("Texas",F52)),ISNUMBER(SEARCH("Canada",F52))),V52&lt;=((Summary!$A$5*60)+Summary!$B$5)/1440),"ALERT","OK"))</f>
        <v>OK</v>
      </c>
      <c r="L52" s="31" t="str">
        <f>IF(ISNUMBER(SEARCH("None",F52)),"OK",IF(AND(G52=TRUE,W52&lt;=((Summary!$A$5*60)+Summary!$B$5)/1440),"ALERT","OK"))</f>
        <v>OK</v>
      </c>
      <c r="M52" s="31" t="str">
        <f>IF(ISNUMBER(SEARCH("None",F52)),"OK",IF(AND(G52=TRUE,X52&lt;=((Summary!$A$5*60)+Summary!$B$5)/1440),"ALERT","OK"))</f>
        <v>OK</v>
      </c>
      <c r="N52" s="31" t="str">
        <f t="shared" si="3"/>
        <v/>
      </c>
      <c r="O52" s="31" t="str">
        <f t="shared" si="4"/>
        <v/>
      </c>
      <c r="P52" s="31" t="str">
        <f t="shared" si="5"/>
        <v/>
      </c>
      <c r="Q52" s="31" t="str">
        <f t="shared" si="6"/>
        <v/>
      </c>
      <c r="R52" s="31" t="str">
        <f t="shared" si="7"/>
        <v/>
      </c>
      <c r="S52" s="31" t="str">
        <f t="shared" si="8"/>
        <v/>
      </c>
      <c r="T52" s="43">
        <f>Data!G53</f>
        <v>0</v>
      </c>
      <c r="U52" s="43">
        <f>Data!H53</f>
        <v>0.54166666666666696</v>
      </c>
      <c r="V52" s="43">
        <f>Data!I53</f>
        <v>0.58333333333333304</v>
      </c>
      <c r="W52" s="43">
        <f>Data!J53</f>
        <v>0.66666666666666696</v>
      </c>
      <c r="X52" s="43">
        <f>Data!K53</f>
        <v>5</v>
      </c>
    </row>
    <row r="53" spans="1:24" ht="16.5" x14ac:dyDescent="0.3">
      <c r="A53" s="14" t="str">
        <f>Data!A54</f>
        <v>Driver 46</v>
      </c>
      <c r="B53" s="15" t="str">
        <f>IF(Data!C54="","",Data!C54)</f>
        <v>First Name</v>
      </c>
      <c r="C53" s="15" t="str">
        <f>IF(Data!D54="","",Data!D54)</f>
        <v>Last Name</v>
      </c>
      <c r="D53" s="15" t="str">
        <f t="shared" si="0"/>
        <v>First Name Last Name</v>
      </c>
      <c r="E53" s="16" t="str">
        <f>Data!E54</f>
        <v>OFF</v>
      </c>
      <c r="F53" s="16" t="str">
        <f>Data!F54</f>
        <v>None</v>
      </c>
      <c r="G53" s="16" t="b">
        <f t="shared" si="1"/>
        <v>0</v>
      </c>
      <c r="H53" s="16" t="str">
        <f t="shared" si="2"/>
        <v>NO</v>
      </c>
      <c r="I53" s="31" t="str">
        <f>IF(OR(ISNUMBER(SEARCH("Canada",F53)), ISNUMBER(SEARCH("None",F53)),ISNUMBER(SEARCH("Short",F53)),ISNUMBER(SEARCH("Alaska",F53))),"OK",IF(AND(G53=TRUE,T53&lt;=((Summary!$A$5*60)+Summary!$B$5)/1440),"ALERT","OK"))</f>
        <v>OK</v>
      </c>
      <c r="J53" s="31" t="str">
        <f>IF(ISNUMBER(SEARCH("None",F53)),"OK",IF(AND(G53=TRUE,U53&lt;=((Summary!$A$5*60)+Summary!$B$5)/1440),"ALERT","OK"))</f>
        <v>OK</v>
      </c>
      <c r="K53" s="31" t="str">
        <f>IF(ISNUMBER(SEARCH("None",F53)),"OK",IF(AND(G53=TRUE,OR(ISNUMBER(SEARCH("Texas",F53)),ISNUMBER(SEARCH("Canada",F53))),V53&lt;=((Summary!$A$5*60)+Summary!$B$5)/1440),"ALERT","OK"))</f>
        <v>OK</v>
      </c>
      <c r="L53" s="31" t="str">
        <f>IF(ISNUMBER(SEARCH("None",F53)),"OK",IF(AND(G53=TRUE,W53&lt;=((Summary!$A$5*60)+Summary!$B$5)/1440),"ALERT","OK"))</f>
        <v>OK</v>
      </c>
      <c r="M53" s="31" t="str">
        <f>IF(ISNUMBER(SEARCH("None",F53)),"OK",IF(AND(G53=TRUE,X53&lt;=((Summary!$A$5*60)+Summary!$B$5)/1440),"ALERT","OK"))</f>
        <v>OK</v>
      </c>
      <c r="N53" s="31" t="str">
        <f t="shared" si="3"/>
        <v/>
      </c>
      <c r="O53" s="31" t="str">
        <f t="shared" si="4"/>
        <v/>
      </c>
      <c r="P53" s="31" t="str">
        <f t="shared" si="5"/>
        <v/>
      </c>
      <c r="Q53" s="31" t="str">
        <f t="shared" si="6"/>
        <v/>
      </c>
      <c r="R53" s="31" t="str">
        <f t="shared" si="7"/>
        <v/>
      </c>
      <c r="S53" s="31" t="str">
        <f t="shared" si="8"/>
        <v/>
      </c>
      <c r="T53" s="43">
        <f>Data!G54</f>
        <v>0</v>
      </c>
      <c r="U53" s="43">
        <f>Data!H54</f>
        <v>0</v>
      </c>
      <c r="V53" s="43">
        <f>Data!I54</f>
        <v>0</v>
      </c>
      <c r="W53" s="43">
        <f>Data!J54</f>
        <v>0</v>
      </c>
      <c r="X53" s="43">
        <f>Data!K54</f>
        <v>0</v>
      </c>
    </row>
    <row r="54" spans="1:24" ht="16.5" x14ac:dyDescent="0.3">
      <c r="A54" s="14" t="str">
        <f>Data!A55</f>
        <v>Driver 47</v>
      </c>
      <c r="B54" s="15" t="str">
        <f>IF(Data!C55="","",Data!C55)</f>
        <v>First Name</v>
      </c>
      <c r="C54" s="15" t="str">
        <f>IF(Data!D55="","",Data!D55)</f>
        <v>Last Name</v>
      </c>
      <c r="D54" s="15" t="str">
        <f t="shared" si="0"/>
        <v>First Name Last Name</v>
      </c>
      <c r="E54" s="16" t="str">
        <f>Data!E55</f>
        <v>OFF</v>
      </c>
      <c r="F54" s="16" t="str">
        <f>Data!F55</f>
        <v>None</v>
      </c>
      <c r="G54" s="16" t="b">
        <f t="shared" si="1"/>
        <v>0</v>
      </c>
      <c r="H54" s="16" t="str">
        <f t="shared" si="2"/>
        <v>NO</v>
      </c>
      <c r="I54" s="31" t="str">
        <f>IF(OR(ISNUMBER(SEARCH("Canada",F54)), ISNUMBER(SEARCH("None",F54)),ISNUMBER(SEARCH("Short",F54)),ISNUMBER(SEARCH("Alaska",F54))),"OK",IF(AND(G54=TRUE,T54&lt;=((Summary!$A$5*60)+Summary!$B$5)/1440),"ALERT","OK"))</f>
        <v>OK</v>
      </c>
      <c r="J54" s="31" t="str">
        <f>IF(ISNUMBER(SEARCH("None",F54)),"OK",IF(AND(G54=TRUE,U54&lt;=((Summary!$A$5*60)+Summary!$B$5)/1440),"ALERT","OK"))</f>
        <v>OK</v>
      </c>
      <c r="K54" s="31" t="str">
        <f>IF(ISNUMBER(SEARCH("None",F54)),"OK",IF(AND(G54=TRUE,OR(ISNUMBER(SEARCH("Texas",F54)),ISNUMBER(SEARCH("Canada",F54))),V54&lt;=((Summary!$A$5*60)+Summary!$B$5)/1440),"ALERT","OK"))</f>
        <v>OK</v>
      </c>
      <c r="L54" s="31" t="str">
        <f>IF(ISNUMBER(SEARCH("None",F54)),"OK",IF(AND(G54=TRUE,W54&lt;=((Summary!$A$5*60)+Summary!$B$5)/1440),"ALERT","OK"))</f>
        <v>OK</v>
      </c>
      <c r="M54" s="31" t="str">
        <f>IF(ISNUMBER(SEARCH("None",F54)),"OK",IF(AND(G54=TRUE,X54&lt;=((Summary!$A$5*60)+Summary!$B$5)/1440),"ALERT","OK"))</f>
        <v>OK</v>
      </c>
      <c r="N54" s="31" t="str">
        <f t="shared" si="3"/>
        <v/>
      </c>
      <c r="O54" s="31" t="str">
        <f t="shared" si="4"/>
        <v/>
      </c>
      <c r="P54" s="31" t="str">
        <f t="shared" si="5"/>
        <v/>
      </c>
      <c r="Q54" s="31" t="str">
        <f t="shared" si="6"/>
        <v/>
      </c>
      <c r="R54" s="31" t="str">
        <f t="shared" si="7"/>
        <v/>
      </c>
      <c r="S54" s="31" t="str">
        <f t="shared" si="8"/>
        <v/>
      </c>
      <c r="T54" s="43">
        <f>Data!G55</f>
        <v>0</v>
      </c>
      <c r="U54" s="43">
        <f>Data!H55</f>
        <v>0</v>
      </c>
      <c r="V54" s="43">
        <f>Data!I55</f>
        <v>0</v>
      </c>
      <c r="W54" s="43">
        <f>Data!J55</f>
        <v>0</v>
      </c>
      <c r="X54" s="43">
        <f>Data!K55</f>
        <v>0</v>
      </c>
    </row>
    <row r="55" spans="1:24" ht="16.5" x14ac:dyDescent="0.3">
      <c r="A55" s="14" t="str">
        <f>Data!A56</f>
        <v>Driver 48</v>
      </c>
      <c r="B55" s="15" t="str">
        <f>IF(Data!C56="","",Data!C56)</f>
        <v>First Name</v>
      </c>
      <c r="C55" s="15" t="str">
        <f>IF(Data!D56="","",Data!D56)</f>
        <v>Last Name</v>
      </c>
      <c r="D55" s="15" t="str">
        <f t="shared" si="0"/>
        <v>First Name Last Name</v>
      </c>
      <c r="E55" s="16" t="str">
        <f>Data!E56</f>
        <v>ON</v>
      </c>
      <c r="F55" s="16" t="str">
        <f>Data!F56</f>
        <v>None</v>
      </c>
      <c r="G55" s="16" t="b">
        <f t="shared" si="1"/>
        <v>0</v>
      </c>
      <c r="H55" s="16" t="str">
        <f t="shared" si="2"/>
        <v>NO</v>
      </c>
      <c r="I55" s="31" t="str">
        <f>IF(OR(ISNUMBER(SEARCH("Canada",F55)), ISNUMBER(SEARCH("None",F55)),ISNUMBER(SEARCH("Short",F55)),ISNUMBER(SEARCH("Alaska",F55))),"OK",IF(AND(G55=TRUE,T55&lt;=((Summary!$A$5*60)+Summary!$B$5)/1440),"ALERT","OK"))</f>
        <v>OK</v>
      </c>
      <c r="J55" s="31" t="str">
        <f>IF(ISNUMBER(SEARCH("None",F55)),"OK",IF(AND(G55=TRUE,U55&lt;=((Summary!$A$5*60)+Summary!$B$5)/1440),"ALERT","OK"))</f>
        <v>OK</v>
      </c>
      <c r="K55" s="31" t="str">
        <f>IF(ISNUMBER(SEARCH("None",F55)),"OK",IF(AND(G55=TRUE,OR(ISNUMBER(SEARCH("Texas",F55)),ISNUMBER(SEARCH("Canada",F55))),V55&lt;=((Summary!$A$5*60)+Summary!$B$5)/1440),"ALERT","OK"))</f>
        <v>OK</v>
      </c>
      <c r="L55" s="31" t="str">
        <f>IF(ISNUMBER(SEARCH("None",F55)),"OK",IF(AND(G55=TRUE,W55&lt;=((Summary!$A$5*60)+Summary!$B$5)/1440),"ALERT","OK"))</f>
        <v>OK</v>
      </c>
      <c r="M55" s="31" t="str">
        <f>IF(ISNUMBER(SEARCH("None",F55)),"OK",IF(AND(G55=TRUE,X55&lt;=((Summary!$A$5*60)+Summary!$B$5)/1440),"ALERT","OK"))</f>
        <v>OK</v>
      </c>
      <c r="N55" s="31" t="str">
        <f t="shared" si="3"/>
        <v/>
      </c>
      <c r="O55" s="31" t="str">
        <f t="shared" si="4"/>
        <v/>
      </c>
      <c r="P55" s="31" t="str">
        <f t="shared" si="5"/>
        <v/>
      </c>
      <c r="Q55" s="31" t="str">
        <f t="shared" si="6"/>
        <v/>
      </c>
      <c r="R55" s="31" t="str">
        <f t="shared" si="7"/>
        <v/>
      </c>
      <c r="S55" s="31" t="str">
        <f t="shared" si="8"/>
        <v/>
      </c>
      <c r="T55" s="43">
        <f>Data!G56</f>
        <v>0</v>
      </c>
      <c r="U55" s="43">
        <f>Data!H56</f>
        <v>0</v>
      </c>
      <c r="V55" s="43">
        <f>Data!I56</f>
        <v>0</v>
      </c>
      <c r="W55" s="43">
        <f>Data!J56</f>
        <v>0</v>
      </c>
      <c r="X55" s="43">
        <f>Data!K56</f>
        <v>0</v>
      </c>
    </row>
    <row r="56" spans="1:24" ht="16.5" x14ac:dyDescent="0.3">
      <c r="A56" s="14" t="str">
        <f>Data!A57</f>
        <v>Driver 49</v>
      </c>
      <c r="B56" s="15" t="str">
        <f>IF(Data!C57="","",Data!C57)</f>
        <v>First Name</v>
      </c>
      <c r="C56" s="15" t="str">
        <f>IF(Data!D57="","",Data!D57)</f>
        <v>Last Name</v>
      </c>
      <c r="D56" s="15" t="str">
        <f t="shared" si="0"/>
        <v>First Name Last Name</v>
      </c>
      <c r="E56" s="16" t="str">
        <f>Data!E57</f>
        <v>OFF</v>
      </c>
      <c r="F56" s="16" t="str">
        <f>Data!F57</f>
        <v>America7Day</v>
      </c>
      <c r="G56" s="16" t="b">
        <f t="shared" si="1"/>
        <v>0</v>
      </c>
      <c r="H56" s="16" t="str">
        <f t="shared" si="2"/>
        <v>NO</v>
      </c>
      <c r="I56" s="31" t="str">
        <f>IF(OR(ISNUMBER(SEARCH("Canada",F56)), ISNUMBER(SEARCH("None",F56)),ISNUMBER(SEARCH("Short",F56)),ISNUMBER(SEARCH("Alaska",F56))),"OK",IF(AND(G56=TRUE,T56&lt;=((Summary!$A$5*60)+Summary!$B$5)/1440),"ALERT","OK"))</f>
        <v>OK</v>
      </c>
      <c r="J56" s="31" t="str">
        <f>IF(ISNUMBER(SEARCH("None",F56)),"OK",IF(AND(G56=TRUE,U56&lt;=((Summary!$A$5*60)+Summary!$B$5)/1440),"ALERT","OK"))</f>
        <v>OK</v>
      </c>
      <c r="K56" s="31" t="str">
        <f>IF(ISNUMBER(SEARCH("None",F56)),"OK",IF(AND(G56=TRUE,OR(ISNUMBER(SEARCH("Texas",F56)),ISNUMBER(SEARCH("Canada",F56))),V56&lt;=((Summary!$A$5*60)+Summary!$B$5)/1440),"ALERT","OK"))</f>
        <v>OK</v>
      </c>
      <c r="L56" s="31" t="str">
        <f>IF(ISNUMBER(SEARCH("None",F56)),"OK",IF(AND(G56=TRUE,W56&lt;=((Summary!$A$5*60)+Summary!$B$5)/1440),"ALERT","OK"))</f>
        <v>OK</v>
      </c>
      <c r="M56" s="31" t="str">
        <f>IF(ISNUMBER(SEARCH("None",F56)),"OK",IF(AND(G56=TRUE,X56&lt;=((Summary!$A$5*60)+Summary!$B$5)/1440),"ALERT","OK"))</f>
        <v>OK</v>
      </c>
      <c r="N56" s="31" t="str">
        <f t="shared" si="3"/>
        <v/>
      </c>
      <c r="O56" s="31" t="str">
        <f t="shared" si="4"/>
        <v/>
      </c>
      <c r="P56" s="31" t="str">
        <f t="shared" si="5"/>
        <v/>
      </c>
      <c r="Q56" s="31" t="str">
        <f t="shared" si="6"/>
        <v/>
      </c>
      <c r="R56" s="31" t="str">
        <f t="shared" si="7"/>
        <v/>
      </c>
      <c r="S56" s="31" t="str">
        <f t="shared" si="8"/>
        <v/>
      </c>
      <c r="T56" s="43">
        <f>Data!G57</f>
        <v>0.33333333333333298</v>
      </c>
      <c r="U56" s="43">
        <f>Data!H57</f>
        <v>0.45833333333333298</v>
      </c>
      <c r="V56" s="43">
        <f>Data!I57</f>
        <v>0</v>
      </c>
      <c r="W56" s="43">
        <f>Data!J57</f>
        <v>0.58333333333333304</v>
      </c>
      <c r="X56" s="43">
        <f>Data!K57</f>
        <v>2.5</v>
      </c>
    </row>
    <row r="57" spans="1:24" ht="16.5" x14ac:dyDescent="0.3">
      <c r="A57" s="14" t="str">
        <f>Data!A58</f>
        <v>Driver 50</v>
      </c>
      <c r="B57" s="15" t="str">
        <f>IF(Data!C58="","",Data!C58)</f>
        <v>First Name</v>
      </c>
      <c r="C57" s="15" t="str">
        <f>IF(Data!D58="","",Data!D58)</f>
        <v>Last Name</v>
      </c>
      <c r="D57" s="15" t="str">
        <f t="shared" si="0"/>
        <v>First Name Last Name</v>
      </c>
      <c r="E57" s="16" t="str">
        <f>Data!E58</f>
        <v>ON</v>
      </c>
      <c r="F57" s="16" t="str">
        <f>Data!F58</f>
        <v>CanadaCycleOne</v>
      </c>
      <c r="G57" s="16" t="b">
        <f t="shared" si="1"/>
        <v>0</v>
      </c>
      <c r="H57" s="16" t="str">
        <f t="shared" si="2"/>
        <v>NO</v>
      </c>
      <c r="I57" s="31" t="str">
        <f>IF(OR(ISNUMBER(SEARCH("Canada",F57)), ISNUMBER(SEARCH("None",F57)),ISNUMBER(SEARCH("Short",F57)),ISNUMBER(SEARCH("Alaska",F57))),"OK",IF(AND(G57=TRUE,T57&lt;=((Summary!$A$5*60)+Summary!$B$5)/1440),"ALERT","OK"))</f>
        <v>OK</v>
      </c>
      <c r="J57" s="31" t="str">
        <f>IF(ISNUMBER(SEARCH("None",F57)),"OK",IF(AND(G57=TRUE,U57&lt;=((Summary!$A$5*60)+Summary!$B$5)/1440),"ALERT","OK"))</f>
        <v>OK</v>
      </c>
      <c r="K57" s="31" t="str">
        <f>IF(ISNUMBER(SEARCH("None",F57)),"OK",IF(AND(G57=TRUE,OR(ISNUMBER(SEARCH("Texas",F57)),ISNUMBER(SEARCH("Canada",F57))),V57&lt;=((Summary!$A$5*60)+Summary!$B$5)/1440),"ALERT","OK"))</f>
        <v>OK</v>
      </c>
      <c r="L57" s="31" t="str">
        <f>IF(ISNUMBER(SEARCH("None",F57)),"OK",IF(AND(G57=TRUE,W57&lt;=((Summary!$A$5*60)+Summary!$B$5)/1440),"ALERT","OK"))</f>
        <v>OK</v>
      </c>
      <c r="M57" s="31" t="str">
        <f>IF(ISNUMBER(SEARCH("None",F57)),"OK",IF(AND(G57=TRUE,X57&lt;=((Summary!$A$5*60)+Summary!$B$5)/1440),"ALERT","OK"))</f>
        <v>OK</v>
      </c>
      <c r="N57" s="31" t="str">
        <f t="shared" si="3"/>
        <v/>
      </c>
      <c r="O57" s="31" t="str">
        <f t="shared" si="4"/>
        <v/>
      </c>
      <c r="P57" s="31" t="str">
        <f t="shared" si="5"/>
        <v/>
      </c>
      <c r="Q57" s="31" t="str">
        <f t="shared" si="6"/>
        <v/>
      </c>
      <c r="R57" s="31" t="str">
        <f t="shared" si="7"/>
        <v/>
      </c>
      <c r="S57" s="31" t="str">
        <f t="shared" si="8"/>
        <v/>
      </c>
      <c r="T57" s="43">
        <f>Data!G58</f>
        <v>0</v>
      </c>
      <c r="U57" s="43">
        <f>Data!H58</f>
        <v>0.54166666666666696</v>
      </c>
      <c r="V57" s="43">
        <f>Data!I58</f>
        <v>0.58333333333333304</v>
      </c>
      <c r="W57" s="43">
        <f>Data!J58</f>
        <v>0.66666666666666696</v>
      </c>
      <c r="X57" s="43">
        <f>Data!K58</f>
        <v>2.9166666666666701</v>
      </c>
    </row>
    <row r="58" spans="1:24" ht="16.5" x14ac:dyDescent="0.3">
      <c r="A58" s="14" t="str">
        <f>Data!A59</f>
        <v>Driver 51</v>
      </c>
      <c r="B58" s="15" t="str">
        <f>IF(Data!C59="","",Data!C59)</f>
        <v>First Name</v>
      </c>
      <c r="C58" s="15" t="str">
        <f>IF(Data!D59="","",Data!D59)</f>
        <v>Last Name</v>
      </c>
      <c r="D58" s="15" t="str">
        <f t="shared" si="0"/>
        <v>First Name Last Name</v>
      </c>
      <c r="E58" s="16" t="str">
        <f>Data!E59</f>
        <v>D</v>
      </c>
      <c r="F58" s="16" t="str">
        <f>Data!F59</f>
        <v>OilTransport7Day</v>
      </c>
      <c r="G58" s="16" t="b">
        <f t="shared" si="1"/>
        <v>1</v>
      </c>
      <c r="H58" s="16" t="str">
        <f t="shared" si="2"/>
        <v>YES</v>
      </c>
      <c r="I58" s="31" t="str">
        <f>IF(OR(ISNUMBER(SEARCH("Canada",F58)), ISNUMBER(SEARCH("None",F58)),ISNUMBER(SEARCH("Short",F58)),ISNUMBER(SEARCH("Alaska",F58))),"OK",IF(AND(G58=TRUE,T58&lt;=((Summary!$A$5*60)+Summary!$B$5)/1440),"ALERT","OK"))</f>
        <v>ALERT</v>
      </c>
      <c r="J58" s="31" t="str">
        <f>IF(ISNUMBER(SEARCH("None",F58)),"OK",IF(AND(G58=TRUE,U58&lt;=((Summary!$A$5*60)+Summary!$B$5)/1440),"ALERT","OK"))</f>
        <v>OK</v>
      </c>
      <c r="K58" s="31" t="str">
        <f>IF(ISNUMBER(SEARCH("None",F58)),"OK",IF(AND(G58=TRUE,OR(ISNUMBER(SEARCH("Texas",F58)),ISNUMBER(SEARCH("Canada",F58))),V58&lt;=((Summary!$A$5*60)+Summary!$B$5)/1440),"ALERT","OK"))</f>
        <v>OK</v>
      </c>
      <c r="L58" s="31" t="str">
        <f>IF(ISNUMBER(SEARCH("None",F58)),"OK",IF(AND(G58=TRUE,W58&lt;=((Summary!$A$5*60)+Summary!$B$5)/1440),"ALERT","OK"))</f>
        <v>ALERT</v>
      </c>
      <c r="M58" s="31" t="str">
        <f>IF(ISNUMBER(SEARCH("None",F58)),"OK",IF(AND(G58=TRUE,X58&lt;=((Summary!$A$5*60)+Summary!$B$5)/1440),"ALERT","OK"))</f>
        <v>ALERT</v>
      </c>
      <c r="N58" s="31" t="str">
        <f t="shared" si="3"/>
        <v>Rest</v>
      </c>
      <c r="O58" s="31" t="str">
        <f t="shared" si="4"/>
        <v/>
      </c>
      <c r="P58" s="31" t="str">
        <f t="shared" si="5"/>
        <v/>
      </c>
      <c r="Q58" s="31" t="str">
        <f t="shared" si="6"/>
        <v>Workday</v>
      </c>
      <c r="R58" s="31" t="str">
        <f t="shared" si="7"/>
        <v>Cycle</v>
      </c>
      <c r="S58" s="31" t="str">
        <f t="shared" si="8"/>
        <v>Rest Workday Cycle</v>
      </c>
      <c r="T58" s="43">
        <f>Data!G59</f>
        <v>0</v>
      </c>
      <c r="U58" s="43">
        <f>Data!H59</f>
        <v>0.25756944444444402</v>
      </c>
      <c r="V58" s="43">
        <f>Data!I59</f>
        <v>0</v>
      </c>
      <c r="W58" s="43">
        <f>Data!J59</f>
        <v>0</v>
      </c>
      <c r="X58" s="43">
        <f>Data!K59</f>
        <v>0</v>
      </c>
    </row>
    <row r="59" spans="1:24" ht="16.5" x14ac:dyDescent="0.3">
      <c r="A59" s="14" t="str">
        <f>Data!A60</f>
        <v>Driver 52</v>
      </c>
      <c r="B59" s="15" t="str">
        <f>IF(Data!C60="","",Data!C60)</f>
        <v>First Name</v>
      </c>
      <c r="C59" s="15" t="str">
        <f>IF(Data!D60="","",Data!D60)</f>
        <v>Last Name</v>
      </c>
      <c r="D59" s="15" t="str">
        <f t="shared" si="0"/>
        <v>First Name Last Name</v>
      </c>
      <c r="E59" s="16" t="str">
        <f>Data!E60</f>
        <v>D</v>
      </c>
      <c r="F59" s="16" t="str">
        <f>Data!F60</f>
        <v>None</v>
      </c>
      <c r="G59" s="16" t="b">
        <f t="shared" si="1"/>
        <v>1</v>
      </c>
      <c r="H59" s="16" t="str">
        <f t="shared" si="2"/>
        <v>NO</v>
      </c>
      <c r="I59" s="31" t="str">
        <f>IF(OR(ISNUMBER(SEARCH("Canada",F59)), ISNUMBER(SEARCH("None",F59)),ISNUMBER(SEARCH("Short",F59)),ISNUMBER(SEARCH("Alaska",F59))),"OK",IF(AND(G59=TRUE,T59&lt;=((Summary!$A$5*60)+Summary!$B$5)/1440),"ALERT","OK"))</f>
        <v>OK</v>
      </c>
      <c r="J59" s="31" t="str">
        <f>IF(ISNUMBER(SEARCH("None",F59)),"OK",IF(AND(G59=TRUE,U59&lt;=((Summary!$A$5*60)+Summary!$B$5)/1440),"ALERT","OK"))</f>
        <v>OK</v>
      </c>
      <c r="K59" s="31" t="str">
        <f>IF(ISNUMBER(SEARCH("None",F59)),"OK",IF(AND(G59=TRUE,OR(ISNUMBER(SEARCH("Texas",F59)),ISNUMBER(SEARCH("Canada",F59))),V59&lt;=((Summary!$A$5*60)+Summary!$B$5)/1440),"ALERT","OK"))</f>
        <v>OK</v>
      </c>
      <c r="L59" s="31" t="str">
        <f>IF(ISNUMBER(SEARCH("None",F59)),"OK",IF(AND(G59=TRUE,W59&lt;=((Summary!$A$5*60)+Summary!$B$5)/1440),"ALERT","OK"))</f>
        <v>OK</v>
      </c>
      <c r="M59" s="31" t="str">
        <f>IF(ISNUMBER(SEARCH("None",F59)),"OK",IF(AND(G59=TRUE,X59&lt;=((Summary!$A$5*60)+Summary!$B$5)/1440),"ALERT","OK"))</f>
        <v>OK</v>
      </c>
      <c r="N59" s="31" t="str">
        <f t="shared" si="3"/>
        <v/>
      </c>
      <c r="O59" s="31" t="str">
        <f t="shared" si="4"/>
        <v/>
      </c>
      <c r="P59" s="31" t="str">
        <f t="shared" si="5"/>
        <v/>
      </c>
      <c r="Q59" s="31" t="str">
        <f t="shared" si="6"/>
        <v/>
      </c>
      <c r="R59" s="31" t="str">
        <f t="shared" si="7"/>
        <v/>
      </c>
      <c r="S59" s="31" t="str">
        <f t="shared" si="8"/>
        <v/>
      </c>
      <c r="T59" s="43">
        <f>Data!G60</f>
        <v>0</v>
      </c>
      <c r="U59" s="43">
        <f>Data!H60</f>
        <v>0</v>
      </c>
      <c r="V59" s="43">
        <f>Data!I60</f>
        <v>0</v>
      </c>
      <c r="W59" s="43">
        <f>Data!J60</f>
        <v>0</v>
      </c>
      <c r="X59" s="43">
        <f>Data!K60</f>
        <v>0</v>
      </c>
    </row>
    <row r="60" spans="1:24" ht="16.5" x14ac:dyDescent="0.3">
      <c r="A60" s="14" t="str">
        <f>Data!A61</f>
        <v>Driver 53</v>
      </c>
      <c r="B60" s="15" t="str">
        <f>IF(Data!C61="","",Data!C61)</f>
        <v>First Name</v>
      </c>
      <c r="C60" s="15" t="str">
        <f>IF(Data!D61="","",Data!D61)</f>
        <v>Last Name</v>
      </c>
      <c r="D60" s="15" t="str">
        <f t="shared" si="0"/>
        <v>First Name Last Name</v>
      </c>
      <c r="E60" s="16" t="str">
        <f>Data!E61</f>
        <v>ON</v>
      </c>
      <c r="F60" s="16" t="str">
        <f>Data!F61</f>
        <v>None</v>
      </c>
      <c r="G60" s="16" t="b">
        <f t="shared" si="1"/>
        <v>0</v>
      </c>
      <c r="H60" s="16" t="str">
        <f t="shared" si="2"/>
        <v>NO</v>
      </c>
      <c r="I60" s="31" t="str">
        <f>IF(OR(ISNUMBER(SEARCH("Canada",F60)), ISNUMBER(SEARCH("None",F60)),ISNUMBER(SEARCH("Short",F60)),ISNUMBER(SEARCH("Alaska",F60))),"OK",IF(AND(G60=TRUE,T60&lt;=((Summary!$A$5*60)+Summary!$B$5)/1440),"ALERT","OK"))</f>
        <v>OK</v>
      </c>
      <c r="J60" s="31" t="str">
        <f>IF(ISNUMBER(SEARCH("None",F60)),"OK",IF(AND(G60=TRUE,U60&lt;=((Summary!$A$5*60)+Summary!$B$5)/1440),"ALERT","OK"))</f>
        <v>OK</v>
      </c>
      <c r="K60" s="31" t="str">
        <f>IF(ISNUMBER(SEARCH("None",F60)),"OK",IF(AND(G60=TRUE,OR(ISNUMBER(SEARCH("Texas",F60)),ISNUMBER(SEARCH("Canada",F60))),V60&lt;=((Summary!$A$5*60)+Summary!$B$5)/1440),"ALERT","OK"))</f>
        <v>OK</v>
      </c>
      <c r="L60" s="31" t="str">
        <f>IF(ISNUMBER(SEARCH("None",F60)),"OK",IF(AND(G60=TRUE,W60&lt;=((Summary!$A$5*60)+Summary!$B$5)/1440),"ALERT","OK"))</f>
        <v>OK</v>
      </c>
      <c r="M60" s="31" t="str">
        <f>IF(ISNUMBER(SEARCH("None",F60)),"OK",IF(AND(G60=TRUE,X60&lt;=((Summary!$A$5*60)+Summary!$B$5)/1440),"ALERT","OK"))</f>
        <v>OK</v>
      </c>
      <c r="N60" s="31" t="str">
        <f t="shared" si="3"/>
        <v/>
      </c>
      <c r="O60" s="31" t="str">
        <f t="shared" si="4"/>
        <v/>
      </c>
      <c r="P60" s="31" t="str">
        <f t="shared" si="5"/>
        <v/>
      </c>
      <c r="Q60" s="31" t="str">
        <f t="shared" si="6"/>
        <v/>
      </c>
      <c r="R60" s="31" t="str">
        <f t="shared" si="7"/>
        <v/>
      </c>
      <c r="S60" s="31" t="str">
        <f t="shared" si="8"/>
        <v/>
      </c>
      <c r="T60" s="43">
        <f>Data!G61</f>
        <v>0</v>
      </c>
      <c r="U60" s="43">
        <f>Data!H61</f>
        <v>0</v>
      </c>
      <c r="V60" s="43">
        <f>Data!I61</f>
        <v>0</v>
      </c>
      <c r="W60" s="43">
        <f>Data!J61</f>
        <v>0</v>
      </c>
      <c r="X60" s="43">
        <f>Data!K61</f>
        <v>0</v>
      </c>
    </row>
    <row r="61" spans="1:24" ht="16.5" x14ac:dyDescent="0.3">
      <c r="A61" s="14" t="str">
        <f>Data!A62</f>
        <v>Driver 54</v>
      </c>
      <c r="B61" s="15" t="str">
        <f>IF(Data!C62="","",Data!C62)</f>
        <v>First Name</v>
      </c>
      <c r="C61" s="15" t="str">
        <f>IF(Data!D62="","",Data!D62)</f>
        <v>Last Name</v>
      </c>
      <c r="D61" s="15" t="str">
        <f t="shared" si="0"/>
        <v>First Name Last Name</v>
      </c>
      <c r="E61" s="16" t="str">
        <f>Data!E62</f>
        <v>OFF</v>
      </c>
      <c r="F61" s="16" t="str">
        <f>Data!F62</f>
        <v>America8DayBig</v>
      </c>
      <c r="G61" s="16" t="b">
        <f t="shared" si="1"/>
        <v>0</v>
      </c>
      <c r="H61" s="16" t="str">
        <f t="shared" si="2"/>
        <v>NO</v>
      </c>
      <c r="I61" s="31" t="str">
        <f>IF(OR(ISNUMBER(SEARCH("Canada",F61)), ISNUMBER(SEARCH("None",F61)),ISNUMBER(SEARCH("Short",F61)),ISNUMBER(SEARCH("Alaska",F61))),"OK",IF(AND(G61=TRUE,T61&lt;=((Summary!$A$5*60)+Summary!$B$5)/1440),"ALERT","OK"))</f>
        <v>OK</v>
      </c>
      <c r="J61" s="31" t="str">
        <f>IF(ISNUMBER(SEARCH("None",F61)),"OK",IF(AND(G61=TRUE,U61&lt;=((Summary!$A$5*60)+Summary!$B$5)/1440),"ALERT","OK"))</f>
        <v>OK</v>
      </c>
      <c r="K61" s="31" t="str">
        <f>IF(ISNUMBER(SEARCH("None",F61)),"OK",IF(AND(G61=TRUE,OR(ISNUMBER(SEARCH("Texas",F61)),ISNUMBER(SEARCH("Canada",F61))),V61&lt;=((Summary!$A$5*60)+Summary!$B$5)/1440),"ALERT","OK"))</f>
        <v>OK</v>
      </c>
      <c r="L61" s="31" t="str">
        <f>IF(ISNUMBER(SEARCH("None",F61)),"OK",IF(AND(G61=TRUE,W61&lt;=((Summary!$A$5*60)+Summary!$B$5)/1440),"ALERT","OK"))</f>
        <v>OK</v>
      </c>
      <c r="M61" s="31" t="str">
        <f>IF(ISNUMBER(SEARCH("None",F61)),"OK",IF(AND(G61=TRUE,X61&lt;=((Summary!$A$5*60)+Summary!$B$5)/1440),"ALERT","OK"))</f>
        <v>OK</v>
      </c>
      <c r="N61" s="31" t="str">
        <f t="shared" si="3"/>
        <v/>
      </c>
      <c r="O61" s="31" t="str">
        <f t="shared" si="4"/>
        <v/>
      </c>
      <c r="P61" s="31" t="str">
        <f t="shared" si="5"/>
        <v/>
      </c>
      <c r="Q61" s="31" t="str">
        <f t="shared" si="6"/>
        <v/>
      </c>
      <c r="R61" s="31" t="str">
        <f t="shared" si="7"/>
        <v/>
      </c>
      <c r="S61" s="31" t="str">
        <f t="shared" si="8"/>
        <v/>
      </c>
      <c r="T61" s="43">
        <f>Data!G62</f>
        <v>0.33333333333333298</v>
      </c>
      <c r="U61" s="43">
        <f>Data!H62</f>
        <v>0.45833333333333298</v>
      </c>
      <c r="V61" s="43">
        <f>Data!I62</f>
        <v>0</v>
      </c>
      <c r="W61" s="43">
        <f>Data!J62</f>
        <v>0.58333333333333304</v>
      </c>
      <c r="X61" s="43">
        <f>Data!K62</f>
        <v>2.9166666666666701</v>
      </c>
    </row>
    <row r="62" spans="1:24" ht="16.5" x14ac:dyDescent="0.3">
      <c r="A62" s="14" t="str">
        <f>Data!A63</f>
        <v>Driver 55</v>
      </c>
      <c r="B62" s="15" t="str">
        <f>IF(Data!C63="","",Data!C63)</f>
        <v>First Name</v>
      </c>
      <c r="C62" s="15" t="str">
        <f>IF(Data!D63="","",Data!D63)</f>
        <v>Last Name</v>
      </c>
      <c r="D62" s="15" t="str">
        <f t="shared" si="0"/>
        <v>First Name Last Name</v>
      </c>
      <c r="E62" s="16" t="str">
        <f>Data!E63</f>
        <v>YM</v>
      </c>
      <c r="F62" s="16" t="str">
        <f>Data!F63</f>
        <v>CanadaCycleOne</v>
      </c>
      <c r="G62" s="16" t="b">
        <f t="shared" si="1"/>
        <v>1</v>
      </c>
      <c r="H62" s="16" t="str">
        <f t="shared" si="2"/>
        <v>NO</v>
      </c>
      <c r="I62" s="31" t="str">
        <f>IF(OR(ISNUMBER(SEARCH("Canada",F62)), ISNUMBER(SEARCH("None",F62)),ISNUMBER(SEARCH("Short",F62)),ISNUMBER(SEARCH("Alaska",F62))),"OK",IF(AND(G62=TRUE,T62&lt;=((Summary!$A$5*60)+Summary!$B$5)/1440),"ALERT","OK"))</f>
        <v>OK</v>
      </c>
      <c r="J62" s="31" t="str">
        <f>IF(ISNUMBER(SEARCH("None",F62)),"OK",IF(AND(G62=TRUE,U62&lt;=((Summary!$A$5*60)+Summary!$B$5)/1440),"ALERT","OK"))</f>
        <v>OK</v>
      </c>
      <c r="K62" s="31" t="str">
        <f>IF(ISNUMBER(SEARCH("None",F62)),"OK",IF(AND(G62=TRUE,OR(ISNUMBER(SEARCH("Texas",F62)),ISNUMBER(SEARCH("Canada",F62))),V62&lt;=((Summary!$A$5*60)+Summary!$B$5)/1440),"ALERT","OK"))</f>
        <v>OK</v>
      </c>
      <c r="L62" s="31" t="str">
        <f>IF(ISNUMBER(SEARCH("None",F62)),"OK",IF(AND(G62=TRUE,W62&lt;=((Summary!$A$5*60)+Summary!$B$5)/1440),"ALERT","OK"))</f>
        <v>OK</v>
      </c>
      <c r="M62" s="31" t="str">
        <f>IF(ISNUMBER(SEARCH("None",F62)),"OK",IF(AND(G62=TRUE,X62&lt;=((Summary!$A$5*60)+Summary!$B$5)/1440),"ALERT","OK"))</f>
        <v>OK</v>
      </c>
      <c r="N62" s="31" t="str">
        <f t="shared" si="3"/>
        <v/>
      </c>
      <c r="O62" s="31" t="str">
        <f t="shared" si="4"/>
        <v/>
      </c>
      <c r="P62" s="31" t="str">
        <f t="shared" si="5"/>
        <v/>
      </c>
      <c r="Q62" s="31" t="str">
        <f t="shared" si="6"/>
        <v/>
      </c>
      <c r="R62" s="31" t="str">
        <f t="shared" si="7"/>
        <v/>
      </c>
      <c r="S62" s="31" t="str">
        <f t="shared" si="8"/>
        <v/>
      </c>
      <c r="T62" s="43">
        <f>Data!G63</f>
        <v>0</v>
      </c>
      <c r="U62" s="43">
        <f>Data!H63</f>
        <v>0.54166666666666696</v>
      </c>
      <c r="V62" s="43">
        <f>Data!I63</f>
        <v>0.58333333333333304</v>
      </c>
      <c r="W62" s="43">
        <f>Data!J63</f>
        <v>0.66666666666666696</v>
      </c>
      <c r="X62" s="43">
        <f>Data!K63</f>
        <v>2.9166666666666701</v>
      </c>
    </row>
    <row r="63" spans="1:24" ht="16.5" x14ac:dyDescent="0.3">
      <c r="A63" s="14" t="str">
        <f>Data!A64</f>
        <v>Driver 56</v>
      </c>
      <c r="B63" s="15" t="str">
        <f>IF(Data!C64="","",Data!C64)</f>
        <v>First Name</v>
      </c>
      <c r="C63" s="15" t="str">
        <f>IF(Data!D64="","",Data!D64)</f>
        <v>Last Name</v>
      </c>
      <c r="D63" s="15" t="str">
        <f t="shared" si="0"/>
        <v>First Name Last Name</v>
      </c>
      <c r="E63" s="16" t="str">
        <f>Data!E64</f>
        <v>D</v>
      </c>
      <c r="F63" s="16" t="str">
        <f>Data!F64</f>
        <v>America8Day</v>
      </c>
      <c r="G63" s="16" t="b">
        <f t="shared" si="1"/>
        <v>1</v>
      </c>
      <c r="H63" s="16" t="str">
        <f t="shared" si="2"/>
        <v>NO</v>
      </c>
      <c r="I63" s="31" t="str">
        <f>IF(OR(ISNUMBER(SEARCH("Canada",F63)), ISNUMBER(SEARCH("None",F63)),ISNUMBER(SEARCH("Short",F63)),ISNUMBER(SEARCH("Alaska",F63))),"OK",IF(AND(G63=TRUE,T63&lt;=((Summary!$A$5*60)+Summary!$B$5)/1440),"ALERT","OK"))</f>
        <v>OK</v>
      </c>
      <c r="J63" s="31" t="str">
        <f>IF(ISNUMBER(SEARCH("None",F63)),"OK",IF(AND(G63=TRUE,U63&lt;=((Summary!$A$5*60)+Summary!$B$5)/1440),"ALERT","OK"))</f>
        <v>OK</v>
      </c>
      <c r="K63" s="31" t="str">
        <f>IF(ISNUMBER(SEARCH("None",F63)),"OK",IF(AND(G63=TRUE,OR(ISNUMBER(SEARCH("Texas",F63)),ISNUMBER(SEARCH("Canada",F63))),V63&lt;=((Summary!$A$5*60)+Summary!$B$5)/1440),"ALERT","OK"))</f>
        <v>OK</v>
      </c>
      <c r="L63" s="31" t="str">
        <f>IF(ISNUMBER(SEARCH("None",F63)),"OK",IF(AND(G63=TRUE,W63&lt;=((Summary!$A$5*60)+Summary!$B$5)/1440),"ALERT","OK"))</f>
        <v>OK</v>
      </c>
      <c r="M63" s="31" t="str">
        <f>IF(ISNUMBER(SEARCH("None",F63)),"OK",IF(AND(G63=TRUE,X63&lt;=((Summary!$A$5*60)+Summary!$B$5)/1440),"ALERT","OK"))</f>
        <v>OK</v>
      </c>
      <c r="N63" s="31" t="str">
        <f t="shared" si="3"/>
        <v/>
      </c>
      <c r="O63" s="31" t="str">
        <f t="shared" si="4"/>
        <v/>
      </c>
      <c r="P63" s="31" t="str">
        <f t="shared" si="5"/>
        <v/>
      </c>
      <c r="Q63" s="31" t="str">
        <f t="shared" si="6"/>
        <v/>
      </c>
      <c r="R63" s="31" t="str">
        <f t="shared" si="7"/>
        <v/>
      </c>
      <c r="S63" s="31" t="str">
        <f t="shared" si="8"/>
        <v/>
      </c>
      <c r="T63" s="43">
        <f>Data!G64</f>
        <v>0.33333333333333298</v>
      </c>
      <c r="U63" s="43">
        <f>Data!H64</f>
        <v>0.45833333333333298</v>
      </c>
      <c r="V63" s="43">
        <f>Data!I64</f>
        <v>0</v>
      </c>
      <c r="W63" s="43">
        <f>Data!J64</f>
        <v>0.58333333333333304</v>
      </c>
      <c r="X63" s="43">
        <f>Data!K64</f>
        <v>2.9166666666666701</v>
      </c>
    </row>
    <row r="64" spans="1:24" ht="16.5" x14ac:dyDescent="0.3">
      <c r="A64" s="14" t="str">
        <f>Data!A65</f>
        <v>Driver 57</v>
      </c>
      <c r="B64" s="15" t="str">
        <f>IF(Data!C65="","",Data!C65)</f>
        <v>First Name</v>
      </c>
      <c r="C64" s="15" t="str">
        <f>IF(Data!D65="","",Data!D65)</f>
        <v>Last Name</v>
      </c>
      <c r="D64" s="15" t="str">
        <f t="shared" si="0"/>
        <v>First Name Last Name</v>
      </c>
      <c r="E64" s="16" t="str">
        <f>Data!E65</f>
        <v>OFF</v>
      </c>
      <c r="F64" s="16" t="str">
        <f>Data!F65</f>
        <v>None</v>
      </c>
      <c r="G64" s="16" t="b">
        <f t="shared" si="1"/>
        <v>0</v>
      </c>
      <c r="H64" s="16" t="str">
        <f t="shared" si="2"/>
        <v>NO</v>
      </c>
      <c r="I64" s="31" t="str">
        <f>IF(OR(ISNUMBER(SEARCH("Canada",F64)), ISNUMBER(SEARCH("None",F64)),ISNUMBER(SEARCH("Short",F64)),ISNUMBER(SEARCH("Alaska",F64))),"OK",IF(AND(G64=TRUE,T64&lt;=((Summary!$A$5*60)+Summary!$B$5)/1440),"ALERT","OK"))</f>
        <v>OK</v>
      </c>
      <c r="J64" s="31" t="str">
        <f>IF(ISNUMBER(SEARCH("None",F64)),"OK",IF(AND(G64=TRUE,U64&lt;=((Summary!$A$5*60)+Summary!$B$5)/1440),"ALERT","OK"))</f>
        <v>OK</v>
      </c>
      <c r="K64" s="31" t="str">
        <f>IF(ISNUMBER(SEARCH("None",F64)),"OK",IF(AND(G64=TRUE,OR(ISNUMBER(SEARCH("Texas",F64)),ISNUMBER(SEARCH("Canada",F64))),V64&lt;=((Summary!$A$5*60)+Summary!$B$5)/1440),"ALERT","OK"))</f>
        <v>OK</v>
      </c>
      <c r="L64" s="31" t="str">
        <f>IF(ISNUMBER(SEARCH("None",F64)),"OK",IF(AND(G64=TRUE,W64&lt;=((Summary!$A$5*60)+Summary!$B$5)/1440),"ALERT","OK"))</f>
        <v>OK</v>
      </c>
      <c r="M64" s="31" t="str">
        <f>IF(ISNUMBER(SEARCH("None",F64)),"OK",IF(AND(G64=TRUE,X64&lt;=((Summary!$A$5*60)+Summary!$B$5)/1440),"ALERT","OK"))</f>
        <v>OK</v>
      </c>
      <c r="N64" s="31" t="str">
        <f t="shared" si="3"/>
        <v/>
      </c>
      <c r="O64" s="31" t="str">
        <f t="shared" si="4"/>
        <v/>
      </c>
      <c r="P64" s="31" t="str">
        <f t="shared" si="5"/>
        <v/>
      </c>
      <c r="Q64" s="31" t="str">
        <f t="shared" si="6"/>
        <v/>
      </c>
      <c r="R64" s="31" t="str">
        <f t="shared" si="7"/>
        <v/>
      </c>
      <c r="S64" s="31" t="str">
        <f t="shared" si="8"/>
        <v/>
      </c>
      <c r="T64" s="43">
        <f>Data!G65</f>
        <v>0</v>
      </c>
      <c r="U64" s="43">
        <f>Data!H65</f>
        <v>0</v>
      </c>
      <c r="V64" s="43">
        <f>Data!I65</f>
        <v>0</v>
      </c>
      <c r="W64" s="43">
        <f>Data!J65</f>
        <v>0</v>
      </c>
      <c r="X64" s="43">
        <f>Data!K65</f>
        <v>0</v>
      </c>
    </row>
  </sheetData>
  <conditionalFormatting sqref="A5">
    <cfRule type="cellIs" dxfId="192" priority="1" operator="greaterThan">
      <formula>0</formula>
    </cfRule>
  </conditionalFormatting>
  <conditionalFormatting sqref="A8:X1000000">
    <cfRule type="expression" dxfId="191" priority="6">
      <formula>$H8="NO"</formula>
    </cfRule>
    <cfRule type="expression" dxfId="190" priority="7">
      <formula>$H8="YES"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J20"/>
  <sheetViews>
    <sheetView showGridLines="0" workbookViewId="0"/>
  </sheetViews>
  <sheetFormatPr defaultRowHeight="14.25" x14ac:dyDescent="0.25"/>
  <cols>
    <col min="1" max="2" width="25.7109375" style="10" customWidth="1"/>
    <col min="3" max="3" width="30.7109375" style="10" customWidth="1"/>
    <col min="4" max="9" width="20.7109375" style="10" customWidth="1"/>
    <col min="10" max="10" width="1.7109375" style="10" customWidth="1"/>
    <col min="11" max="11" width="23" style="10" customWidth="1"/>
    <col min="12" max="12" width="21" style="10" customWidth="1"/>
    <col min="13" max="13" width="20.5703125" style="10" customWidth="1"/>
    <col min="14" max="16384" width="9.140625" style="10"/>
  </cols>
  <sheetData>
    <row r="1" spans="1:10" s="20" customFormat="1" ht="25.5" customHeight="1" x14ac:dyDescent="0.45">
      <c r="A1" s="19" t="s">
        <v>276</v>
      </c>
      <c r="C1" s="21">
        <f>Data!B2</f>
        <v>43172.538217314803</v>
      </c>
      <c r="G1" s="22"/>
      <c r="H1" s="23"/>
    </row>
    <row r="2" spans="1:10" ht="25.5" customHeight="1" x14ac:dyDescent="0.5">
      <c r="A2" s="24" t="str">
        <f>Data!B1</f>
        <v>ABC Company</v>
      </c>
      <c r="G2" s="11"/>
      <c r="H2" s="12"/>
    </row>
    <row r="3" spans="1:10" ht="17.45" customHeight="1" x14ac:dyDescent="0.5">
      <c r="A3" s="24"/>
      <c r="D3" s="54" t="s">
        <v>286</v>
      </c>
      <c r="E3" s="55"/>
      <c r="F3" s="55"/>
      <c r="G3" s="55"/>
      <c r="H3" s="55"/>
      <c r="I3" s="55"/>
      <c r="J3" s="60"/>
    </row>
    <row r="4" spans="1:10" ht="17.45" customHeight="1" x14ac:dyDescent="0.3">
      <c r="A4" s="47" t="s">
        <v>277</v>
      </c>
      <c r="B4" s="47" t="s">
        <v>278</v>
      </c>
      <c r="D4" s="56"/>
      <c r="E4" s="57"/>
      <c r="F4" s="57"/>
      <c r="G4" s="57"/>
      <c r="H4" s="57"/>
      <c r="I4" s="57"/>
      <c r="J4" s="61"/>
    </row>
    <row r="5" spans="1:10" ht="17.45" customHeight="1" x14ac:dyDescent="0.3">
      <c r="A5" s="27">
        <v>0</v>
      </c>
      <c r="B5" s="27">
        <v>10</v>
      </c>
      <c r="D5" s="56"/>
      <c r="E5" s="57"/>
      <c r="F5" s="57"/>
      <c r="G5" s="57"/>
      <c r="H5" s="57"/>
      <c r="I5" s="57"/>
      <c r="J5" s="61"/>
    </row>
    <row r="6" spans="1:10" ht="17.45" customHeight="1" x14ac:dyDescent="0.3">
      <c r="A6" s="26"/>
      <c r="B6" s="26"/>
      <c r="D6" s="56"/>
      <c r="E6" s="57"/>
      <c r="F6" s="57"/>
      <c r="G6" s="57"/>
      <c r="H6" s="57"/>
      <c r="I6" s="57"/>
      <c r="J6" s="61"/>
    </row>
    <row r="7" spans="1:10" ht="17.45" customHeight="1" x14ac:dyDescent="0.3">
      <c r="A7" s="34"/>
      <c r="D7" s="56"/>
      <c r="E7" s="57"/>
      <c r="F7" s="57"/>
      <c r="G7" s="57"/>
      <c r="H7" s="57"/>
      <c r="I7" s="57"/>
      <c r="J7" s="61"/>
    </row>
    <row r="8" spans="1:10" ht="17.45" customHeight="1" x14ac:dyDescent="0.25">
      <c r="D8" s="58"/>
      <c r="E8" s="59"/>
      <c r="F8" s="59"/>
      <c r="G8" s="59"/>
      <c r="H8" s="59"/>
      <c r="I8" s="59"/>
      <c r="J8" s="62"/>
    </row>
    <row r="9" spans="1:10" ht="16.5" hidden="1" x14ac:dyDescent="0.3">
      <c r="A9" s="49" t="s">
        <v>266</v>
      </c>
      <c r="B9" s="50" t="s">
        <v>269</v>
      </c>
      <c r="C9" s="35"/>
      <c r="D9" s="35"/>
    </row>
    <row r="10" spans="1:10" ht="17.45" customHeight="1" x14ac:dyDescent="0.25"/>
    <row r="11" spans="1:10" s="36" customFormat="1" ht="17.25" x14ac:dyDescent="0.3">
      <c r="A11" s="52" t="s">
        <v>13</v>
      </c>
      <c r="B11" s="52" t="s">
        <v>280</v>
      </c>
      <c r="C11" s="52" t="s">
        <v>77</v>
      </c>
      <c r="D11" s="52" t="s">
        <v>74</v>
      </c>
      <c r="E11" s="53" t="s">
        <v>281</v>
      </c>
      <c r="F11" s="53" t="s">
        <v>282</v>
      </c>
      <c r="G11" s="53" t="s">
        <v>283</v>
      </c>
      <c r="H11" s="53" t="s">
        <v>284</v>
      </c>
      <c r="I11" s="53" t="s">
        <v>285</v>
      </c>
    </row>
    <row r="12" spans="1:10" ht="16.5" x14ac:dyDescent="0.3">
      <c r="A12" s="50" t="s">
        <v>216</v>
      </c>
      <c r="B12" s="50" t="s">
        <v>258</v>
      </c>
      <c r="C12" s="50" t="s">
        <v>185</v>
      </c>
      <c r="D12" s="50" t="s">
        <v>267</v>
      </c>
      <c r="E12" s="51" t="s">
        <v>265</v>
      </c>
      <c r="F12" s="51" t="s">
        <v>265</v>
      </c>
      <c r="G12" s="51" t="s">
        <v>264</v>
      </c>
      <c r="H12" s="51" t="s">
        <v>265</v>
      </c>
      <c r="I12" s="51" t="s">
        <v>265</v>
      </c>
    </row>
    <row r="13" spans="1:10" ht="16.5" x14ac:dyDescent="0.3">
      <c r="A13" s="50" t="s">
        <v>218</v>
      </c>
      <c r="B13" s="50" t="s">
        <v>258</v>
      </c>
      <c r="C13" s="50" t="s">
        <v>190</v>
      </c>
      <c r="D13" s="50" t="s">
        <v>72</v>
      </c>
      <c r="E13" s="51" t="s">
        <v>265</v>
      </c>
      <c r="F13" s="51" t="s">
        <v>264</v>
      </c>
      <c r="G13" s="51" t="s">
        <v>264</v>
      </c>
      <c r="H13" s="51" t="s">
        <v>265</v>
      </c>
      <c r="I13" s="51" t="s">
        <v>265</v>
      </c>
    </row>
    <row r="14" spans="1:10" ht="16.5" x14ac:dyDescent="0.3">
      <c r="A14" s="50" t="s">
        <v>223</v>
      </c>
      <c r="B14" s="50" t="s">
        <v>258</v>
      </c>
      <c r="C14" s="50" t="s">
        <v>73</v>
      </c>
      <c r="D14" s="50" t="s">
        <v>72</v>
      </c>
      <c r="E14" s="51" t="s">
        <v>265</v>
      </c>
      <c r="F14" s="51" t="s">
        <v>264</v>
      </c>
      <c r="G14" s="51" t="s">
        <v>264</v>
      </c>
      <c r="H14" s="51" t="s">
        <v>265</v>
      </c>
      <c r="I14" s="51" t="s">
        <v>265</v>
      </c>
    </row>
    <row r="15" spans="1:10" ht="16.5" x14ac:dyDescent="0.3">
      <c r="A15" s="50" t="s">
        <v>225</v>
      </c>
      <c r="B15" s="50" t="s">
        <v>258</v>
      </c>
      <c r="C15" s="50" t="s">
        <v>73</v>
      </c>
      <c r="D15" s="50" t="s">
        <v>72</v>
      </c>
      <c r="E15" s="51" t="s">
        <v>265</v>
      </c>
      <c r="F15" s="51" t="s">
        <v>264</v>
      </c>
      <c r="G15" s="51" t="s">
        <v>264</v>
      </c>
      <c r="H15" s="51" t="s">
        <v>265</v>
      </c>
      <c r="I15" s="51" t="s">
        <v>265</v>
      </c>
    </row>
    <row r="16" spans="1:10" ht="16.5" x14ac:dyDescent="0.3">
      <c r="A16" s="50" t="s">
        <v>230</v>
      </c>
      <c r="B16" s="50" t="s">
        <v>258</v>
      </c>
      <c r="C16" s="50" t="s">
        <v>184</v>
      </c>
      <c r="D16" s="50" t="s">
        <v>267</v>
      </c>
      <c r="E16" s="51" t="s">
        <v>265</v>
      </c>
      <c r="F16" s="51" t="s">
        <v>264</v>
      </c>
      <c r="G16" s="51" t="s">
        <v>264</v>
      </c>
      <c r="H16" s="51" t="s">
        <v>265</v>
      </c>
      <c r="I16" s="51" t="s">
        <v>265</v>
      </c>
    </row>
    <row r="17" spans="1:9" ht="16.5" x14ac:dyDescent="0.3">
      <c r="A17" s="50" t="s">
        <v>251</v>
      </c>
      <c r="B17" s="50" t="s">
        <v>258</v>
      </c>
      <c r="C17" s="50" t="s">
        <v>198</v>
      </c>
      <c r="D17" s="50" t="s">
        <v>72</v>
      </c>
      <c r="E17" s="51" t="s">
        <v>265</v>
      </c>
      <c r="F17" s="51" t="s">
        <v>264</v>
      </c>
      <c r="G17" s="51" t="s">
        <v>264</v>
      </c>
      <c r="H17" s="51" t="s">
        <v>265</v>
      </c>
      <c r="I17" s="51" t="s">
        <v>265</v>
      </c>
    </row>
    <row r="18" spans="1:9" ht="16.5" x14ac:dyDescent="0.3">
      <c r="A18" s="50" t="s">
        <v>206</v>
      </c>
      <c r="B18" s="50" t="s">
        <v>258</v>
      </c>
      <c r="C18" s="50" t="s">
        <v>187</v>
      </c>
      <c r="D18" s="50" t="s">
        <v>72</v>
      </c>
      <c r="E18" s="51" t="s">
        <v>264</v>
      </c>
      <c r="F18" s="51" t="s">
        <v>264</v>
      </c>
      <c r="G18" s="51" t="s">
        <v>265</v>
      </c>
      <c r="H18" s="51" t="s">
        <v>265</v>
      </c>
      <c r="I18" s="51" t="s">
        <v>265</v>
      </c>
    </row>
    <row r="19" spans="1:9" x14ac:dyDescent="0.25">
      <c r="A19"/>
      <c r="B19"/>
      <c r="C19"/>
      <c r="D19"/>
      <c r="E19"/>
      <c r="F19"/>
      <c r="G19"/>
      <c r="H19"/>
      <c r="I19"/>
    </row>
    <row r="20" spans="1:9" x14ac:dyDescent="0.25">
      <c r="A20"/>
      <c r="B20"/>
      <c r="C20"/>
      <c r="D20"/>
      <c r="E20"/>
      <c r="F20"/>
      <c r="G20"/>
      <c r="H20"/>
      <c r="I20"/>
    </row>
  </sheetData>
  <mergeCells count="2">
    <mergeCell ref="D3:I8"/>
    <mergeCell ref="J3:J8"/>
  </mergeCells>
  <conditionalFormatting sqref="E1:I1048576">
    <cfRule type="containsText" dxfId="189" priority="1" operator="containsText" text="ALERT">
      <formula>NOT(ISERROR(SEARCH("ALERT",E1)))</formula>
    </cfRule>
    <cfRule type="containsText" dxfId="188" priority="2" operator="containsText" text="OK">
      <formula>NOT(ISERROR(SEARCH("OK",E1)))</formula>
    </cfRule>
  </conditionalFormatting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18"/>
  <sheetViews>
    <sheetView showGridLines="0" tabSelected="1" workbookViewId="0">
      <selection activeCell="I27" sqref="I27"/>
    </sheetView>
  </sheetViews>
  <sheetFormatPr defaultRowHeight="12.75" x14ac:dyDescent="0.2"/>
  <cols>
    <col min="1" max="1" width="2.7109375" customWidth="1"/>
    <col min="2" max="2" width="5.7109375" customWidth="1"/>
    <col min="3" max="3" width="12.7109375" customWidth="1"/>
    <col min="4" max="4" width="5.7109375" customWidth="1"/>
    <col min="5" max="5" width="12.7109375" customWidth="1"/>
  </cols>
  <sheetData>
    <row r="1" spans="2:5" ht="2.4500000000000002" customHeight="1" thickBot="1" x14ac:dyDescent="0.25"/>
    <row r="2" spans="2:5" x14ac:dyDescent="0.2">
      <c r="B2" s="69" t="s">
        <v>276</v>
      </c>
      <c r="C2" s="70"/>
      <c r="D2" s="70"/>
      <c r="E2" s="71"/>
    </row>
    <row r="3" spans="2:5" ht="13.5" thickBot="1" x14ac:dyDescent="0.25">
      <c r="B3" s="72"/>
      <c r="C3" s="73"/>
      <c r="D3" s="73"/>
      <c r="E3" s="74"/>
    </row>
    <row r="4" spans="2:5" x14ac:dyDescent="0.2">
      <c r="B4" s="75">
        <f>Report!A5</f>
        <v>7</v>
      </c>
      <c r="C4" s="76"/>
      <c r="D4" s="76"/>
      <c r="E4" s="77"/>
    </row>
    <row r="5" spans="2:5" x14ac:dyDescent="0.2">
      <c r="B5" s="78"/>
      <c r="C5" s="79"/>
      <c r="D5" s="79"/>
      <c r="E5" s="80"/>
    </row>
    <row r="6" spans="2:5" x14ac:dyDescent="0.2">
      <c r="B6" s="78"/>
      <c r="C6" s="79"/>
      <c r="D6" s="79"/>
      <c r="E6" s="80"/>
    </row>
    <row r="7" spans="2:5" x14ac:dyDescent="0.2">
      <c r="B7" s="78"/>
      <c r="C7" s="79"/>
      <c r="D7" s="79"/>
      <c r="E7" s="80"/>
    </row>
    <row r="8" spans="2:5" x14ac:dyDescent="0.2">
      <c r="B8" s="78"/>
      <c r="C8" s="79"/>
      <c r="D8" s="79"/>
      <c r="E8" s="80"/>
    </row>
    <row r="9" spans="2:5" x14ac:dyDescent="0.2">
      <c r="B9" s="78"/>
      <c r="C9" s="79"/>
      <c r="D9" s="79"/>
      <c r="E9" s="80"/>
    </row>
    <row r="10" spans="2:5" x14ac:dyDescent="0.2">
      <c r="B10" s="78"/>
      <c r="C10" s="79"/>
      <c r="D10" s="79"/>
      <c r="E10" s="80"/>
    </row>
    <row r="11" spans="2:5" x14ac:dyDescent="0.2">
      <c r="B11" s="78"/>
      <c r="C11" s="79"/>
      <c r="D11" s="79"/>
      <c r="E11" s="80"/>
    </row>
    <row r="12" spans="2:5" x14ac:dyDescent="0.2">
      <c r="B12" s="78"/>
      <c r="C12" s="79"/>
      <c r="D12" s="79"/>
      <c r="E12" s="80"/>
    </row>
    <row r="13" spans="2:5" x14ac:dyDescent="0.2">
      <c r="B13" s="78"/>
      <c r="C13" s="79"/>
      <c r="D13" s="79"/>
      <c r="E13" s="80"/>
    </row>
    <row r="14" spans="2:5" x14ac:dyDescent="0.2">
      <c r="B14" s="78"/>
      <c r="C14" s="79"/>
      <c r="D14" s="79"/>
      <c r="E14" s="80"/>
    </row>
    <row r="15" spans="2:5" x14ac:dyDescent="0.2">
      <c r="B15" s="78"/>
      <c r="C15" s="79"/>
      <c r="D15" s="79"/>
      <c r="E15" s="80"/>
    </row>
    <row r="16" spans="2:5" ht="13.5" thickBot="1" x14ac:dyDescent="0.25">
      <c r="B16" s="81"/>
      <c r="C16" s="82"/>
      <c r="D16" s="82"/>
      <c r="E16" s="83"/>
    </row>
    <row r="17" spans="2:5" ht="12.4" customHeight="1" x14ac:dyDescent="0.2">
      <c r="B17" s="63">
        <f>Data!B2</f>
        <v>43172.538217314803</v>
      </c>
      <c r="C17" s="64"/>
      <c r="D17" s="64"/>
      <c r="E17" s="65"/>
    </row>
    <row r="18" spans="2:5" ht="12.95" customHeight="1" thickBot="1" x14ac:dyDescent="0.25">
      <c r="B18" s="66"/>
      <c r="C18" s="67"/>
      <c r="D18" s="67"/>
      <c r="E18" s="68"/>
    </row>
  </sheetData>
  <mergeCells count="3">
    <mergeCell ref="B17:E18"/>
    <mergeCell ref="B2:E3"/>
    <mergeCell ref="B4:E16"/>
  </mergeCells>
  <conditionalFormatting sqref="B4:E16">
    <cfRule type="cellIs" dxfId="95" priority="1" operator="equal">
      <formula>0</formula>
    </cfRule>
    <cfRule type="cellIs" dxfId="94" priority="2" operator="greater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K65"/>
  <sheetViews>
    <sheetView workbookViewId="0"/>
  </sheetViews>
  <sheetFormatPr defaultRowHeight="12.75" x14ac:dyDescent="0.2"/>
  <cols>
    <col min="1" max="4" width="22.140625" customWidth="1"/>
    <col min="5" max="7" width="20.85546875" customWidth="1"/>
    <col min="8" max="8" width="18.5703125" customWidth="1"/>
    <col min="9" max="11" width="18.140625" customWidth="1"/>
  </cols>
  <sheetData>
    <row r="1" spans="1:11" x14ac:dyDescent="0.2">
      <c r="A1" s="3" t="s">
        <v>1</v>
      </c>
      <c r="B1" s="2" t="s">
        <v>292</v>
      </c>
      <c r="C1" s="2"/>
      <c r="D1" s="2"/>
    </row>
    <row r="2" spans="1:11" x14ac:dyDescent="0.2">
      <c r="A2" s="3" t="s">
        <v>0</v>
      </c>
      <c r="B2" s="2">
        <v>43172.538217314803</v>
      </c>
      <c r="C2" s="2"/>
      <c r="D2" s="2"/>
    </row>
    <row r="3" spans="1:11" x14ac:dyDescent="0.2">
      <c r="A3" s="3" t="s">
        <v>2</v>
      </c>
      <c r="B3" s="2" t="s">
        <v>179</v>
      </c>
      <c r="C3" s="2"/>
      <c r="D3" s="2"/>
    </row>
    <row r="4" spans="1:11" x14ac:dyDescent="0.2">
      <c r="A4" s="3" t="s">
        <v>3</v>
      </c>
      <c r="B4" s="2" t="s">
        <v>180</v>
      </c>
      <c r="C4" s="2"/>
      <c r="D4" s="2"/>
    </row>
    <row r="5" spans="1:11" x14ac:dyDescent="0.2">
      <c r="A5" s="3" t="s">
        <v>4</v>
      </c>
      <c r="B5" s="2" t="b">
        <v>1</v>
      </c>
      <c r="C5" s="2"/>
      <c r="D5" s="2"/>
    </row>
    <row r="6" spans="1:11" x14ac:dyDescent="0.2">
      <c r="A6" s="3" t="s">
        <v>5</v>
      </c>
      <c r="B6" s="46" t="s">
        <v>293</v>
      </c>
      <c r="C6" s="2"/>
      <c r="D6" s="2"/>
    </row>
    <row r="7" spans="1:11" x14ac:dyDescent="0.2">
      <c r="A7" s="3" t="s">
        <v>38</v>
      </c>
      <c r="B7" s="2" t="s">
        <v>39</v>
      </c>
      <c r="C7" s="2"/>
      <c r="D7" s="2"/>
    </row>
    <row r="8" spans="1:11" ht="26.25" customHeight="1" thickBot="1" x14ac:dyDescent="0.25">
      <c r="A8" s="1" t="s">
        <v>6</v>
      </c>
      <c r="B8" s="1" t="s">
        <v>7</v>
      </c>
      <c r="C8" s="1" t="s">
        <v>50</v>
      </c>
      <c r="D8" s="1" t="s">
        <v>51</v>
      </c>
      <c r="E8" s="1" t="s">
        <v>69</v>
      </c>
      <c r="F8" s="1" t="s">
        <v>70</v>
      </c>
      <c r="G8" s="1" t="s">
        <v>60</v>
      </c>
      <c r="H8" s="1" t="s">
        <v>61</v>
      </c>
      <c r="I8" s="1" t="s">
        <v>62</v>
      </c>
      <c r="J8" s="1" t="s">
        <v>63</v>
      </c>
      <c r="K8" s="1" t="s">
        <v>75</v>
      </c>
    </row>
    <row r="9" spans="1:11" x14ac:dyDescent="0.2">
      <c r="A9" s="4" t="s">
        <v>201</v>
      </c>
      <c r="B9" s="4" t="s">
        <v>181</v>
      </c>
      <c r="C9" s="4" t="s">
        <v>199</v>
      </c>
      <c r="D9" s="4" t="s">
        <v>200</v>
      </c>
      <c r="E9" s="5" t="s">
        <v>182</v>
      </c>
      <c r="F9" s="5" t="s">
        <v>183</v>
      </c>
      <c r="G9" s="5">
        <v>0</v>
      </c>
      <c r="H9" s="5">
        <v>0</v>
      </c>
      <c r="I9" s="5">
        <v>0</v>
      </c>
      <c r="J9" s="5">
        <v>0</v>
      </c>
      <c r="K9" s="5">
        <v>0</v>
      </c>
    </row>
    <row r="10" spans="1:11" x14ac:dyDescent="0.2">
      <c r="A10" s="4" t="s">
        <v>202</v>
      </c>
      <c r="B10" s="4" t="s">
        <v>181</v>
      </c>
      <c r="C10" s="4" t="s">
        <v>199</v>
      </c>
      <c r="D10" s="4" t="s">
        <v>200</v>
      </c>
      <c r="E10" s="5" t="s">
        <v>182</v>
      </c>
      <c r="F10" s="5" t="s">
        <v>184</v>
      </c>
      <c r="G10" s="5">
        <v>0.33333333333333298</v>
      </c>
      <c r="H10" s="5">
        <v>0.45833333333333298</v>
      </c>
      <c r="I10" s="5">
        <v>0</v>
      </c>
      <c r="J10" s="5">
        <v>0.58333333333333304</v>
      </c>
      <c r="K10" s="5">
        <v>2.5</v>
      </c>
    </row>
    <row r="11" spans="1:11" x14ac:dyDescent="0.2">
      <c r="A11" s="4" t="s">
        <v>203</v>
      </c>
      <c r="B11" s="4" t="s">
        <v>181</v>
      </c>
      <c r="C11" s="4" t="s">
        <v>199</v>
      </c>
      <c r="D11" s="4" t="s">
        <v>200</v>
      </c>
      <c r="E11" s="5" t="s">
        <v>72</v>
      </c>
      <c r="F11" s="5" t="s">
        <v>185</v>
      </c>
      <c r="G11" s="5">
        <v>0.33333333333333298</v>
      </c>
      <c r="H11" s="5">
        <v>0.45833333333333298</v>
      </c>
      <c r="I11" s="5">
        <v>0</v>
      </c>
      <c r="J11" s="5">
        <v>0.58333333333333304</v>
      </c>
      <c r="K11" s="5">
        <v>2.9166666666666701</v>
      </c>
    </row>
    <row r="12" spans="1:11" x14ac:dyDescent="0.2">
      <c r="A12" s="4" t="s">
        <v>204</v>
      </c>
      <c r="B12" s="4" t="s">
        <v>181</v>
      </c>
      <c r="C12" s="4" t="s">
        <v>199</v>
      </c>
      <c r="D12" s="4" t="s">
        <v>200</v>
      </c>
      <c r="E12" s="5" t="s">
        <v>71</v>
      </c>
      <c r="F12" s="5" t="s">
        <v>186</v>
      </c>
      <c r="G12" s="5">
        <v>0</v>
      </c>
      <c r="H12" s="5">
        <v>0.5</v>
      </c>
      <c r="I12" s="5">
        <v>0</v>
      </c>
      <c r="J12" s="5">
        <v>0.66666666666666696</v>
      </c>
      <c r="K12" s="5">
        <v>2.9166666666666701</v>
      </c>
    </row>
    <row r="13" spans="1:11" x14ac:dyDescent="0.2">
      <c r="A13" s="4" t="s">
        <v>205</v>
      </c>
      <c r="B13" s="4" t="s">
        <v>181</v>
      </c>
      <c r="C13" s="4" t="s">
        <v>199</v>
      </c>
      <c r="D13" s="4" t="s">
        <v>200</v>
      </c>
      <c r="E13" s="5" t="s">
        <v>71</v>
      </c>
      <c r="F13" s="5" t="s">
        <v>183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</row>
    <row r="14" spans="1:11" x14ac:dyDescent="0.2">
      <c r="A14" s="4" t="s">
        <v>206</v>
      </c>
      <c r="B14" s="4" t="s">
        <v>181</v>
      </c>
      <c r="C14" s="4" t="s">
        <v>199</v>
      </c>
      <c r="D14" s="4" t="s">
        <v>200</v>
      </c>
      <c r="E14" s="5" t="s">
        <v>72</v>
      </c>
      <c r="F14" s="5" t="s">
        <v>187</v>
      </c>
      <c r="G14" s="5">
        <v>0</v>
      </c>
      <c r="H14" s="5">
        <v>0.5</v>
      </c>
      <c r="I14" s="5">
        <v>0</v>
      </c>
      <c r="J14" s="5">
        <v>0</v>
      </c>
      <c r="K14" s="5">
        <v>0</v>
      </c>
    </row>
    <row r="15" spans="1:11" x14ac:dyDescent="0.2">
      <c r="A15" s="4" t="s">
        <v>207</v>
      </c>
      <c r="B15" s="4" t="s">
        <v>181</v>
      </c>
      <c r="C15" s="4" t="s">
        <v>199</v>
      </c>
      <c r="D15" s="4" t="s">
        <v>200</v>
      </c>
      <c r="E15" s="5" t="s">
        <v>71</v>
      </c>
      <c r="F15" s="5" t="s">
        <v>185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</row>
    <row r="16" spans="1:11" x14ac:dyDescent="0.2">
      <c r="A16" s="4" t="s">
        <v>208</v>
      </c>
      <c r="B16" s="4" t="s">
        <v>181</v>
      </c>
      <c r="C16" s="4" t="s">
        <v>199</v>
      </c>
      <c r="D16" s="4" t="s">
        <v>200</v>
      </c>
      <c r="E16" s="5" t="s">
        <v>182</v>
      </c>
      <c r="F16" s="5" t="s">
        <v>73</v>
      </c>
      <c r="G16" s="5">
        <v>0.33333333333333298</v>
      </c>
      <c r="H16" s="5">
        <v>0.45833333333333298</v>
      </c>
      <c r="I16" s="5">
        <v>0</v>
      </c>
      <c r="J16" s="5">
        <v>0.58333333333333304</v>
      </c>
      <c r="K16" s="5">
        <v>2.5</v>
      </c>
    </row>
    <row r="17" spans="1:11" x14ac:dyDescent="0.2">
      <c r="A17" s="4" t="s">
        <v>209</v>
      </c>
      <c r="B17" s="4" t="s">
        <v>181</v>
      </c>
      <c r="C17" s="4" t="s">
        <v>199</v>
      </c>
      <c r="D17" s="4" t="s">
        <v>200</v>
      </c>
      <c r="E17" s="5" t="s">
        <v>182</v>
      </c>
      <c r="F17" s="5" t="s">
        <v>188</v>
      </c>
      <c r="G17" s="5">
        <v>0</v>
      </c>
      <c r="H17" s="5">
        <v>0.54166666666666696</v>
      </c>
      <c r="I17" s="5">
        <v>0.58333333333333304</v>
      </c>
      <c r="J17" s="5">
        <v>0.66666666666666696</v>
      </c>
      <c r="K17" s="5">
        <v>2.9166666666666701</v>
      </c>
    </row>
    <row r="18" spans="1:11" x14ac:dyDescent="0.2">
      <c r="A18" s="4" t="s">
        <v>210</v>
      </c>
      <c r="B18" s="4" t="s">
        <v>181</v>
      </c>
      <c r="C18" s="4" t="s">
        <v>199</v>
      </c>
      <c r="D18" s="4" t="s">
        <v>200</v>
      </c>
      <c r="E18" s="5" t="s">
        <v>182</v>
      </c>
      <c r="F18" s="5" t="s">
        <v>189</v>
      </c>
      <c r="G18" s="5">
        <v>0</v>
      </c>
      <c r="H18" s="5">
        <v>0.5</v>
      </c>
      <c r="I18" s="5">
        <v>0</v>
      </c>
      <c r="J18" s="5">
        <v>0.66666666666666696</v>
      </c>
      <c r="K18" s="5">
        <v>3.2227679398148199</v>
      </c>
    </row>
    <row r="19" spans="1:11" x14ac:dyDescent="0.2">
      <c r="A19" s="4" t="s">
        <v>211</v>
      </c>
      <c r="B19" s="4" t="s">
        <v>181</v>
      </c>
      <c r="C19" s="4" t="s">
        <v>199</v>
      </c>
      <c r="D19" s="4" t="s">
        <v>200</v>
      </c>
      <c r="E19" s="5" t="s">
        <v>182</v>
      </c>
      <c r="F19" s="5" t="s">
        <v>188</v>
      </c>
      <c r="G19" s="5">
        <v>0</v>
      </c>
      <c r="H19" s="5">
        <v>0.54166666666666696</v>
      </c>
      <c r="I19" s="5">
        <v>0.58333333333333304</v>
      </c>
      <c r="J19" s="5">
        <v>0.66666666666666696</v>
      </c>
      <c r="K19" s="5">
        <v>2.9166666666666701</v>
      </c>
    </row>
    <row r="20" spans="1:11" x14ac:dyDescent="0.2">
      <c r="A20" s="4" t="s">
        <v>212</v>
      </c>
      <c r="B20" s="4" t="s">
        <v>181</v>
      </c>
      <c r="C20" s="4" t="s">
        <v>199</v>
      </c>
      <c r="D20" s="4" t="s">
        <v>200</v>
      </c>
      <c r="E20" s="5" t="s">
        <v>182</v>
      </c>
      <c r="F20" s="5" t="s">
        <v>188</v>
      </c>
      <c r="G20" s="5">
        <v>0</v>
      </c>
      <c r="H20" s="5">
        <v>0.54166666666666696</v>
      </c>
      <c r="I20" s="5">
        <v>0.58333333333333304</v>
      </c>
      <c r="J20" s="5">
        <v>0.66666666666666696</v>
      </c>
      <c r="K20" s="5">
        <v>2.9166666666666701</v>
      </c>
    </row>
    <row r="21" spans="1:11" x14ac:dyDescent="0.2">
      <c r="A21" s="4" t="s">
        <v>213</v>
      </c>
      <c r="B21" s="4" t="s">
        <v>181</v>
      </c>
      <c r="C21" s="4" t="s">
        <v>199</v>
      </c>
      <c r="D21" s="4" t="s">
        <v>200</v>
      </c>
      <c r="E21" s="5" t="s">
        <v>182</v>
      </c>
      <c r="F21" s="5" t="s">
        <v>185</v>
      </c>
      <c r="G21" s="5">
        <v>0.33333333333333298</v>
      </c>
      <c r="H21" s="5">
        <v>0.45833333333333298</v>
      </c>
      <c r="I21" s="5">
        <v>0</v>
      </c>
      <c r="J21" s="5">
        <v>0.58333333333333304</v>
      </c>
      <c r="K21" s="5">
        <v>2.9166666666666701</v>
      </c>
    </row>
    <row r="22" spans="1:11" x14ac:dyDescent="0.2">
      <c r="A22" s="4" t="s">
        <v>214</v>
      </c>
      <c r="B22" s="4" t="s">
        <v>181</v>
      </c>
      <c r="C22" s="4" t="s">
        <v>199</v>
      </c>
      <c r="D22" s="4" t="s">
        <v>200</v>
      </c>
      <c r="E22" s="5" t="s">
        <v>72</v>
      </c>
      <c r="F22" s="5" t="s">
        <v>183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</row>
    <row r="23" spans="1:11" x14ac:dyDescent="0.2">
      <c r="A23" s="4" t="s">
        <v>215</v>
      </c>
      <c r="B23" s="4" t="s">
        <v>181</v>
      </c>
      <c r="C23" s="4" t="s">
        <v>199</v>
      </c>
      <c r="D23" s="4" t="s">
        <v>200</v>
      </c>
      <c r="E23" s="5" t="s">
        <v>182</v>
      </c>
      <c r="F23" s="5" t="s">
        <v>188</v>
      </c>
      <c r="G23" s="5">
        <v>0</v>
      </c>
      <c r="H23" s="5">
        <v>0.54166666666666696</v>
      </c>
      <c r="I23" s="5">
        <v>0</v>
      </c>
      <c r="J23" s="5">
        <v>0.66666666666666696</v>
      </c>
      <c r="K23" s="5">
        <v>2.9166666666666701</v>
      </c>
    </row>
    <row r="24" spans="1:11" x14ac:dyDescent="0.2">
      <c r="A24" s="4" t="s">
        <v>216</v>
      </c>
      <c r="B24" s="4" t="s">
        <v>181</v>
      </c>
      <c r="C24" s="4" t="s">
        <v>199</v>
      </c>
      <c r="D24" s="4" t="s">
        <v>200</v>
      </c>
      <c r="E24" s="5" t="s">
        <v>267</v>
      </c>
      <c r="F24" s="5" t="s">
        <v>185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</row>
    <row r="25" spans="1:11" x14ac:dyDescent="0.2">
      <c r="A25" s="4" t="s">
        <v>217</v>
      </c>
      <c r="B25" s="4" t="s">
        <v>181</v>
      </c>
      <c r="C25" s="4" t="s">
        <v>199</v>
      </c>
      <c r="D25" s="4" t="s">
        <v>200</v>
      </c>
      <c r="E25" s="5" t="s">
        <v>71</v>
      </c>
      <c r="F25" s="5" t="s">
        <v>183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</row>
    <row r="26" spans="1:11" x14ac:dyDescent="0.2">
      <c r="A26" s="4" t="s">
        <v>218</v>
      </c>
      <c r="B26" s="4" t="s">
        <v>181</v>
      </c>
      <c r="C26" s="4" t="s">
        <v>199</v>
      </c>
      <c r="D26" s="4" t="s">
        <v>200</v>
      </c>
      <c r="E26" s="5" t="s">
        <v>72</v>
      </c>
      <c r="F26" s="5" t="s">
        <v>190</v>
      </c>
      <c r="G26" s="5">
        <v>0</v>
      </c>
      <c r="H26" s="5">
        <v>0.45833333333333298</v>
      </c>
      <c r="I26" s="5">
        <v>0</v>
      </c>
      <c r="J26" s="5">
        <v>0</v>
      </c>
      <c r="K26" s="5">
        <v>0</v>
      </c>
    </row>
    <row r="27" spans="1:11" x14ac:dyDescent="0.2">
      <c r="A27" s="4" t="s">
        <v>219</v>
      </c>
      <c r="B27" s="4" t="s">
        <v>181</v>
      </c>
      <c r="C27" s="4" t="s">
        <v>199</v>
      </c>
      <c r="D27" s="4" t="s">
        <v>200</v>
      </c>
      <c r="E27" s="5" t="s">
        <v>72</v>
      </c>
      <c r="F27" s="5" t="s">
        <v>183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</row>
    <row r="28" spans="1:11" x14ac:dyDescent="0.2">
      <c r="A28" s="4" t="s">
        <v>220</v>
      </c>
      <c r="B28" s="4" t="s">
        <v>181</v>
      </c>
      <c r="C28" s="4" t="s">
        <v>199</v>
      </c>
      <c r="D28" s="4" t="s">
        <v>200</v>
      </c>
      <c r="E28" s="5" t="s">
        <v>182</v>
      </c>
      <c r="F28" s="5" t="s">
        <v>183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</row>
    <row r="29" spans="1:11" x14ac:dyDescent="0.2">
      <c r="A29" s="4" t="s">
        <v>221</v>
      </c>
      <c r="B29" s="4" t="s">
        <v>181</v>
      </c>
      <c r="C29" s="4" t="s">
        <v>199</v>
      </c>
      <c r="D29" s="4" t="s">
        <v>200</v>
      </c>
      <c r="E29" s="5" t="s">
        <v>182</v>
      </c>
      <c r="F29" s="5" t="s">
        <v>191</v>
      </c>
      <c r="G29" s="5">
        <v>0</v>
      </c>
      <c r="H29" s="5">
        <v>0.54166666666666696</v>
      </c>
      <c r="I29" s="5">
        <v>0.58333333333333304</v>
      </c>
      <c r="J29" s="5">
        <v>0.66666666666666696</v>
      </c>
      <c r="K29" s="5">
        <v>5</v>
      </c>
    </row>
    <row r="30" spans="1:11" x14ac:dyDescent="0.2">
      <c r="A30" s="4" t="s">
        <v>222</v>
      </c>
      <c r="B30" s="4" t="s">
        <v>181</v>
      </c>
      <c r="C30" s="4" t="s">
        <v>199</v>
      </c>
      <c r="D30" s="4" t="s">
        <v>200</v>
      </c>
      <c r="E30" s="5" t="s">
        <v>71</v>
      </c>
      <c r="F30" s="5" t="s">
        <v>73</v>
      </c>
      <c r="G30" s="5">
        <v>0</v>
      </c>
      <c r="H30" s="5">
        <v>0.45829609953703698</v>
      </c>
      <c r="I30" s="5">
        <v>0</v>
      </c>
      <c r="J30" s="5">
        <v>0</v>
      </c>
      <c r="K30" s="5">
        <v>0</v>
      </c>
    </row>
    <row r="31" spans="1:11" x14ac:dyDescent="0.2">
      <c r="A31" s="4" t="s">
        <v>223</v>
      </c>
      <c r="B31" s="4" t="s">
        <v>181</v>
      </c>
      <c r="C31" s="4" t="s">
        <v>199</v>
      </c>
      <c r="D31" s="4" t="s">
        <v>200</v>
      </c>
      <c r="E31" s="5" t="s">
        <v>72</v>
      </c>
      <c r="F31" s="5" t="s">
        <v>73</v>
      </c>
      <c r="G31" s="5">
        <v>0</v>
      </c>
      <c r="H31" s="5">
        <v>0.30719837962962998</v>
      </c>
      <c r="I31" s="5">
        <v>0</v>
      </c>
      <c r="J31" s="5">
        <v>0</v>
      </c>
      <c r="K31" s="5">
        <v>0</v>
      </c>
    </row>
    <row r="32" spans="1:11" x14ac:dyDescent="0.2">
      <c r="A32" s="4" t="s">
        <v>224</v>
      </c>
      <c r="B32" s="4" t="s">
        <v>181</v>
      </c>
      <c r="C32" s="4" t="s">
        <v>199</v>
      </c>
      <c r="D32" s="4" t="s">
        <v>200</v>
      </c>
      <c r="E32" s="5" t="s">
        <v>182</v>
      </c>
      <c r="F32" s="5" t="s">
        <v>188</v>
      </c>
      <c r="G32" s="5">
        <v>0</v>
      </c>
      <c r="H32" s="5">
        <v>0.54166666666666696</v>
      </c>
      <c r="I32" s="5">
        <v>0.58333333333333304</v>
      </c>
      <c r="J32" s="5">
        <v>0.66666666666666696</v>
      </c>
      <c r="K32" s="5">
        <v>2.9166666666666701</v>
      </c>
    </row>
    <row r="33" spans="1:11" x14ac:dyDescent="0.2">
      <c r="A33" s="4" t="s">
        <v>225</v>
      </c>
      <c r="B33" s="4" t="s">
        <v>181</v>
      </c>
      <c r="C33" s="4" t="s">
        <v>199</v>
      </c>
      <c r="D33" s="4" t="s">
        <v>200</v>
      </c>
      <c r="E33" s="5" t="s">
        <v>72</v>
      </c>
      <c r="F33" s="5" t="s">
        <v>73</v>
      </c>
      <c r="G33" s="5">
        <v>0</v>
      </c>
      <c r="H33" s="5">
        <v>0.34843748842592598</v>
      </c>
      <c r="I33" s="5">
        <v>0</v>
      </c>
      <c r="J33" s="5">
        <v>0</v>
      </c>
      <c r="K33" s="5">
        <v>0</v>
      </c>
    </row>
    <row r="34" spans="1:11" x14ac:dyDescent="0.2">
      <c r="A34" s="4" t="s">
        <v>226</v>
      </c>
      <c r="B34" s="4" t="s">
        <v>181</v>
      </c>
      <c r="C34" s="4" t="s">
        <v>199</v>
      </c>
      <c r="D34" s="4" t="s">
        <v>200</v>
      </c>
      <c r="E34" s="5" t="s">
        <v>182</v>
      </c>
      <c r="F34" s="5" t="s">
        <v>73</v>
      </c>
      <c r="G34" s="5">
        <v>0.33333333333333298</v>
      </c>
      <c r="H34" s="5">
        <v>0.45833333333333298</v>
      </c>
      <c r="I34" s="5">
        <v>0</v>
      </c>
      <c r="J34" s="5">
        <v>0.58333333333333304</v>
      </c>
      <c r="K34" s="5">
        <v>2.5</v>
      </c>
    </row>
    <row r="35" spans="1:11" x14ac:dyDescent="0.2">
      <c r="A35" s="4" t="s">
        <v>227</v>
      </c>
      <c r="B35" s="4" t="s">
        <v>181</v>
      </c>
      <c r="C35" s="4" t="s">
        <v>199</v>
      </c>
      <c r="D35" s="4" t="s">
        <v>200</v>
      </c>
      <c r="E35" s="5" t="s">
        <v>182</v>
      </c>
      <c r="F35" s="5" t="s">
        <v>188</v>
      </c>
      <c r="G35" s="5">
        <v>0</v>
      </c>
      <c r="H35" s="5">
        <v>0.54166666666666696</v>
      </c>
      <c r="I35" s="5">
        <v>0.58333333333333304</v>
      </c>
      <c r="J35" s="5">
        <v>0.66666666666666696</v>
      </c>
      <c r="K35" s="5">
        <v>2.9166666666666701</v>
      </c>
    </row>
    <row r="36" spans="1:11" x14ac:dyDescent="0.2">
      <c r="A36" s="4" t="s">
        <v>228</v>
      </c>
      <c r="B36" s="4" t="s">
        <v>181</v>
      </c>
      <c r="C36" s="4" t="s">
        <v>199</v>
      </c>
      <c r="D36" s="4" t="s">
        <v>200</v>
      </c>
      <c r="E36" s="5" t="s">
        <v>182</v>
      </c>
      <c r="F36" s="5" t="s">
        <v>73</v>
      </c>
      <c r="G36" s="5">
        <v>0.33333333333333298</v>
      </c>
      <c r="H36" s="5">
        <v>0.45833333333333298</v>
      </c>
      <c r="I36" s="5">
        <v>0</v>
      </c>
      <c r="J36" s="5">
        <v>0.58333333333333304</v>
      </c>
      <c r="K36" s="5">
        <v>2.5</v>
      </c>
    </row>
    <row r="37" spans="1:11" x14ac:dyDescent="0.2">
      <c r="A37" s="4" t="s">
        <v>229</v>
      </c>
      <c r="B37" s="4" t="s">
        <v>181</v>
      </c>
      <c r="C37" s="4" t="s">
        <v>199</v>
      </c>
      <c r="D37" s="4" t="s">
        <v>200</v>
      </c>
      <c r="E37" s="5" t="s">
        <v>71</v>
      </c>
      <c r="F37" s="5" t="s">
        <v>188</v>
      </c>
      <c r="G37" s="5">
        <v>0</v>
      </c>
      <c r="H37" s="5">
        <v>0.54166666666666696</v>
      </c>
      <c r="I37" s="5">
        <v>0.58333333333333304</v>
      </c>
      <c r="J37" s="5">
        <v>0.66666666666666696</v>
      </c>
      <c r="K37" s="5">
        <v>2.9166666666666701</v>
      </c>
    </row>
    <row r="38" spans="1:11" x14ac:dyDescent="0.2">
      <c r="A38" s="4" t="s">
        <v>230</v>
      </c>
      <c r="B38" s="4" t="s">
        <v>181</v>
      </c>
      <c r="C38" s="4" t="s">
        <v>199</v>
      </c>
      <c r="D38" s="4" t="s">
        <v>200</v>
      </c>
      <c r="E38" s="5" t="s">
        <v>267</v>
      </c>
      <c r="F38" s="5" t="s">
        <v>184</v>
      </c>
      <c r="G38" s="5">
        <v>0</v>
      </c>
      <c r="H38" s="5">
        <v>0.45833333333333298</v>
      </c>
      <c r="I38" s="5">
        <v>0</v>
      </c>
      <c r="J38" s="5">
        <v>0</v>
      </c>
      <c r="K38" s="5">
        <v>0</v>
      </c>
    </row>
    <row r="39" spans="1:11" x14ac:dyDescent="0.2">
      <c r="A39" s="4" t="s">
        <v>231</v>
      </c>
      <c r="B39" s="4" t="s">
        <v>181</v>
      </c>
      <c r="C39" s="4" t="s">
        <v>199</v>
      </c>
      <c r="D39" s="4" t="s">
        <v>200</v>
      </c>
      <c r="E39" s="5" t="s">
        <v>71</v>
      </c>
      <c r="F39" s="5" t="s">
        <v>186</v>
      </c>
      <c r="G39" s="5">
        <v>0</v>
      </c>
      <c r="H39" s="5">
        <v>0.5</v>
      </c>
      <c r="I39" s="5">
        <v>0</v>
      </c>
      <c r="J39" s="5">
        <v>0.66666666666666696</v>
      </c>
      <c r="K39" s="5">
        <v>2.9166666666666701</v>
      </c>
    </row>
    <row r="40" spans="1:11" x14ac:dyDescent="0.2">
      <c r="A40" s="4" t="s">
        <v>232</v>
      </c>
      <c r="B40" s="4" t="s">
        <v>181</v>
      </c>
      <c r="C40" s="4" t="s">
        <v>199</v>
      </c>
      <c r="D40" s="4" t="s">
        <v>200</v>
      </c>
      <c r="E40" s="5" t="s">
        <v>71</v>
      </c>
      <c r="F40" s="5" t="s">
        <v>192</v>
      </c>
      <c r="G40" s="5">
        <v>0</v>
      </c>
      <c r="H40" s="5">
        <v>0.5</v>
      </c>
      <c r="I40" s="5">
        <v>0</v>
      </c>
      <c r="J40" s="5">
        <v>0</v>
      </c>
      <c r="K40" s="5">
        <v>0</v>
      </c>
    </row>
    <row r="41" spans="1:11" x14ac:dyDescent="0.2">
      <c r="A41" s="4" t="s">
        <v>233</v>
      </c>
      <c r="B41" s="4" t="s">
        <v>181</v>
      </c>
      <c r="C41" s="4" t="s">
        <v>199</v>
      </c>
      <c r="D41" s="4" t="s">
        <v>200</v>
      </c>
      <c r="E41" s="5" t="s">
        <v>182</v>
      </c>
      <c r="F41" s="5" t="s">
        <v>193</v>
      </c>
      <c r="G41" s="5">
        <v>0</v>
      </c>
      <c r="H41" s="5">
        <v>0.5</v>
      </c>
      <c r="I41" s="5">
        <v>0.625</v>
      </c>
      <c r="J41" s="5">
        <v>0</v>
      </c>
      <c r="K41" s="5">
        <v>2.9166666666666701</v>
      </c>
    </row>
    <row r="42" spans="1:11" x14ac:dyDescent="0.2">
      <c r="A42" s="4" t="s">
        <v>234</v>
      </c>
      <c r="B42" s="4" t="s">
        <v>181</v>
      </c>
      <c r="C42" s="4" t="s">
        <v>199</v>
      </c>
      <c r="D42" s="4" t="s">
        <v>200</v>
      </c>
      <c r="E42" s="5" t="s">
        <v>182</v>
      </c>
      <c r="F42" s="5" t="s">
        <v>73</v>
      </c>
      <c r="G42" s="5">
        <v>0.33333333333333298</v>
      </c>
      <c r="H42" s="5">
        <v>0.45833333333333298</v>
      </c>
      <c r="I42" s="5">
        <v>0</v>
      </c>
      <c r="J42" s="5">
        <v>0.58333333333333304</v>
      </c>
      <c r="K42" s="5">
        <v>2.5</v>
      </c>
    </row>
    <row r="43" spans="1:11" x14ac:dyDescent="0.2">
      <c r="A43" s="4" t="s">
        <v>235</v>
      </c>
      <c r="B43" s="4" t="s">
        <v>181</v>
      </c>
      <c r="C43" s="4" t="s">
        <v>199</v>
      </c>
      <c r="D43" s="4" t="s">
        <v>200</v>
      </c>
      <c r="E43" s="5" t="s">
        <v>182</v>
      </c>
      <c r="F43" s="5" t="s">
        <v>194</v>
      </c>
      <c r="G43" s="5">
        <v>0</v>
      </c>
      <c r="H43" s="5">
        <v>0.41666666666666702</v>
      </c>
      <c r="I43" s="5">
        <v>0.625</v>
      </c>
      <c r="J43" s="5">
        <v>0</v>
      </c>
      <c r="K43" s="5">
        <v>2.5</v>
      </c>
    </row>
    <row r="44" spans="1:11" x14ac:dyDescent="0.2">
      <c r="A44" s="4" t="s">
        <v>236</v>
      </c>
      <c r="B44" s="4" t="s">
        <v>181</v>
      </c>
      <c r="C44" s="4" t="s">
        <v>199</v>
      </c>
      <c r="D44" s="4" t="s">
        <v>200</v>
      </c>
      <c r="E44" s="5" t="s">
        <v>182</v>
      </c>
      <c r="F44" s="5" t="s">
        <v>73</v>
      </c>
      <c r="G44" s="5">
        <v>0.33333333333333298</v>
      </c>
      <c r="H44" s="5">
        <v>0.45833333333333298</v>
      </c>
      <c r="I44" s="5">
        <v>0</v>
      </c>
      <c r="J44" s="5">
        <v>0.58333333333333304</v>
      </c>
      <c r="K44" s="5">
        <v>2.5</v>
      </c>
    </row>
    <row r="45" spans="1:11" x14ac:dyDescent="0.2">
      <c r="A45" s="4" t="s">
        <v>237</v>
      </c>
      <c r="B45" s="4" t="s">
        <v>181</v>
      </c>
      <c r="C45" s="4" t="s">
        <v>199</v>
      </c>
      <c r="D45" s="4" t="s">
        <v>200</v>
      </c>
      <c r="E45" s="5" t="s">
        <v>182</v>
      </c>
      <c r="F45" s="5" t="s">
        <v>195</v>
      </c>
      <c r="G45" s="5">
        <v>0.33333333333333298</v>
      </c>
      <c r="H45" s="5">
        <v>0.45833333333333298</v>
      </c>
      <c r="I45" s="5">
        <v>0</v>
      </c>
      <c r="J45" s="5">
        <v>0.58333333333333304</v>
      </c>
      <c r="K45" s="5">
        <v>2.5</v>
      </c>
    </row>
    <row r="46" spans="1:11" x14ac:dyDescent="0.2">
      <c r="A46" s="4" t="s">
        <v>238</v>
      </c>
      <c r="B46" s="4" t="s">
        <v>181</v>
      </c>
      <c r="C46" s="4" t="s">
        <v>199</v>
      </c>
      <c r="D46" s="4" t="s">
        <v>200</v>
      </c>
      <c r="E46" s="5" t="s">
        <v>182</v>
      </c>
      <c r="F46" s="5" t="s">
        <v>73</v>
      </c>
      <c r="G46" s="5">
        <v>0.33333333333333298</v>
      </c>
      <c r="H46" s="5">
        <v>0.45833333333333298</v>
      </c>
      <c r="I46" s="5">
        <v>0</v>
      </c>
      <c r="J46" s="5">
        <v>0.58333333333333304</v>
      </c>
      <c r="K46" s="5">
        <v>2.5</v>
      </c>
    </row>
    <row r="47" spans="1:11" x14ac:dyDescent="0.2">
      <c r="A47" s="4" t="s">
        <v>239</v>
      </c>
      <c r="B47" s="4" t="s">
        <v>181</v>
      </c>
      <c r="C47" s="4" t="s">
        <v>199</v>
      </c>
      <c r="D47" s="4" t="s">
        <v>200</v>
      </c>
      <c r="E47" s="5" t="s">
        <v>182</v>
      </c>
      <c r="F47" s="5" t="s">
        <v>196</v>
      </c>
      <c r="G47" s="5">
        <v>0.33333333333333298</v>
      </c>
      <c r="H47" s="5">
        <v>0.45833333333333298</v>
      </c>
      <c r="I47" s="5">
        <v>0</v>
      </c>
      <c r="J47" s="5">
        <v>0.58333333333333304</v>
      </c>
      <c r="K47" s="5">
        <v>2.5</v>
      </c>
    </row>
    <row r="48" spans="1:11" x14ac:dyDescent="0.2">
      <c r="A48" s="4" t="s">
        <v>240</v>
      </c>
      <c r="B48" s="4" t="s">
        <v>181</v>
      </c>
      <c r="C48" s="4" t="s">
        <v>199</v>
      </c>
      <c r="D48" s="4" t="s">
        <v>200</v>
      </c>
      <c r="E48" s="5" t="s">
        <v>182</v>
      </c>
      <c r="F48" s="5" t="s">
        <v>183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</row>
    <row r="49" spans="1:11" x14ac:dyDescent="0.2">
      <c r="A49" s="4" t="s">
        <v>241</v>
      </c>
      <c r="B49" s="4" t="s">
        <v>181</v>
      </c>
      <c r="C49" s="4" t="s">
        <v>199</v>
      </c>
      <c r="D49" s="4" t="s">
        <v>200</v>
      </c>
      <c r="E49" s="5" t="s">
        <v>71</v>
      </c>
      <c r="F49" s="5" t="s">
        <v>197</v>
      </c>
      <c r="G49" s="5">
        <v>0</v>
      </c>
      <c r="H49" s="5">
        <v>0.45833333333333298</v>
      </c>
      <c r="I49" s="5">
        <v>0</v>
      </c>
      <c r="J49" s="5">
        <v>0</v>
      </c>
      <c r="K49" s="5">
        <v>0</v>
      </c>
    </row>
    <row r="50" spans="1:11" x14ac:dyDescent="0.2">
      <c r="A50" s="4" t="s">
        <v>242</v>
      </c>
      <c r="B50" s="4" t="s">
        <v>181</v>
      </c>
      <c r="C50" s="4" t="s">
        <v>199</v>
      </c>
      <c r="D50" s="4" t="s">
        <v>200</v>
      </c>
      <c r="E50" s="5" t="s">
        <v>182</v>
      </c>
      <c r="F50" s="5" t="s">
        <v>191</v>
      </c>
      <c r="G50" s="5">
        <v>0</v>
      </c>
      <c r="H50" s="5">
        <v>0.54166666666666696</v>
      </c>
      <c r="I50" s="5">
        <v>0.58333333333333304</v>
      </c>
      <c r="J50" s="5">
        <v>0.66666666666666696</v>
      </c>
      <c r="K50" s="5">
        <v>5</v>
      </c>
    </row>
    <row r="51" spans="1:11" x14ac:dyDescent="0.2">
      <c r="A51" s="4" t="s">
        <v>243</v>
      </c>
      <c r="B51" s="4" t="s">
        <v>181</v>
      </c>
      <c r="C51" s="4" t="s">
        <v>199</v>
      </c>
      <c r="D51" s="4" t="s">
        <v>200</v>
      </c>
      <c r="E51" s="5" t="s">
        <v>71</v>
      </c>
      <c r="F51" s="5" t="s">
        <v>191</v>
      </c>
      <c r="G51" s="5">
        <v>0</v>
      </c>
      <c r="H51" s="5">
        <v>0.54166666666666696</v>
      </c>
      <c r="I51" s="5">
        <v>0.58333333333333304</v>
      </c>
      <c r="J51" s="5">
        <v>0.66666666666666696</v>
      </c>
      <c r="K51" s="5">
        <v>5</v>
      </c>
    </row>
    <row r="52" spans="1:11" x14ac:dyDescent="0.2">
      <c r="A52" s="4" t="s">
        <v>244</v>
      </c>
      <c r="B52" s="4" t="s">
        <v>181</v>
      </c>
      <c r="C52" s="4" t="s">
        <v>199</v>
      </c>
      <c r="D52" s="4" t="s">
        <v>200</v>
      </c>
      <c r="E52" s="5" t="s">
        <v>182</v>
      </c>
      <c r="F52" s="5" t="s">
        <v>185</v>
      </c>
      <c r="G52" s="5">
        <v>0.33333333333333298</v>
      </c>
      <c r="H52" s="5">
        <v>0.45833333333333298</v>
      </c>
      <c r="I52" s="5">
        <v>0</v>
      </c>
      <c r="J52" s="5">
        <v>0.58333333333333304</v>
      </c>
      <c r="K52" s="5">
        <v>2.9166666666666701</v>
      </c>
    </row>
    <row r="53" spans="1:11" x14ac:dyDescent="0.2">
      <c r="A53" s="4" t="s">
        <v>245</v>
      </c>
      <c r="B53" s="4" t="s">
        <v>181</v>
      </c>
      <c r="C53" s="4" t="s">
        <v>199</v>
      </c>
      <c r="D53" s="4" t="s">
        <v>200</v>
      </c>
      <c r="E53" s="5" t="s">
        <v>267</v>
      </c>
      <c r="F53" s="5" t="s">
        <v>191</v>
      </c>
      <c r="G53" s="5">
        <v>0</v>
      </c>
      <c r="H53" s="5">
        <v>0.54166666666666696</v>
      </c>
      <c r="I53" s="5">
        <v>0.58333333333333304</v>
      </c>
      <c r="J53" s="5">
        <v>0.66666666666666696</v>
      </c>
      <c r="K53" s="5">
        <v>5</v>
      </c>
    </row>
    <row r="54" spans="1:11" x14ac:dyDescent="0.2">
      <c r="A54" s="4" t="s">
        <v>246</v>
      </c>
      <c r="B54" s="4" t="s">
        <v>181</v>
      </c>
      <c r="C54" s="4" t="s">
        <v>199</v>
      </c>
      <c r="D54" s="4" t="s">
        <v>200</v>
      </c>
      <c r="E54" s="5" t="s">
        <v>182</v>
      </c>
      <c r="F54" s="5" t="s">
        <v>183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</row>
    <row r="55" spans="1:11" x14ac:dyDescent="0.2">
      <c r="A55" s="4" t="s">
        <v>247</v>
      </c>
      <c r="B55" s="4" t="s">
        <v>181</v>
      </c>
      <c r="C55" s="4" t="s">
        <v>199</v>
      </c>
      <c r="D55" s="4" t="s">
        <v>200</v>
      </c>
      <c r="E55" s="5" t="s">
        <v>182</v>
      </c>
      <c r="F55" s="5" t="s">
        <v>183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</row>
    <row r="56" spans="1:11" x14ac:dyDescent="0.2">
      <c r="A56" s="4" t="s">
        <v>248</v>
      </c>
      <c r="B56" s="4" t="s">
        <v>181</v>
      </c>
      <c r="C56" s="4" t="s">
        <v>199</v>
      </c>
      <c r="D56" s="4" t="s">
        <v>200</v>
      </c>
      <c r="E56" s="5" t="s">
        <v>71</v>
      </c>
      <c r="F56" s="5" t="s">
        <v>183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</row>
    <row r="57" spans="1:11" x14ac:dyDescent="0.2">
      <c r="A57" s="4" t="s">
        <v>249</v>
      </c>
      <c r="B57" s="4" t="s">
        <v>181</v>
      </c>
      <c r="C57" s="4" t="s">
        <v>199</v>
      </c>
      <c r="D57" s="4" t="s">
        <v>200</v>
      </c>
      <c r="E57" s="5" t="s">
        <v>182</v>
      </c>
      <c r="F57" s="5" t="s">
        <v>73</v>
      </c>
      <c r="G57" s="5">
        <v>0.33333333333333298</v>
      </c>
      <c r="H57" s="5">
        <v>0.45833333333333298</v>
      </c>
      <c r="I57" s="5">
        <v>0</v>
      </c>
      <c r="J57" s="5">
        <v>0.58333333333333304</v>
      </c>
      <c r="K57" s="5">
        <v>2.5</v>
      </c>
    </row>
    <row r="58" spans="1:11" x14ac:dyDescent="0.2">
      <c r="A58" s="4" t="s">
        <v>250</v>
      </c>
      <c r="B58" s="4" t="s">
        <v>181</v>
      </c>
      <c r="C58" s="4" t="s">
        <v>199</v>
      </c>
      <c r="D58" s="4" t="s">
        <v>200</v>
      </c>
      <c r="E58" s="5" t="s">
        <v>71</v>
      </c>
      <c r="F58" s="5" t="s">
        <v>188</v>
      </c>
      <c r="G58" s="5">
        <v>0</v>
      </c>
      <c r="H58" s="5">
        <v>0.54166666666666696</v>
      </c>
      <c r="I58" s="5">
        <v>0.58333333333333304</v>
      </c>
      <c r="J58" s="5">
        <v>0.66666666666666696</v>
      </c>
      <c r="K58" s="5">
        <v>2.9166666666666701</v>
      </c>
    </row>
    <row r="59" spans="1:11" x14ac:dyDescent="0.2">
      <c r="A59" s="4" t="s">
        <v>251</v>
      </c>
      <c r="B59" s="4" t="s">
        <v>181</v>
      </c>
      <c r="C59" s="4" t="s">
        <v>199</v>
      </c>
      <c r="D59" s="4" t="s">
        <v>200</v>
      </c>
      <c r="E59" s="5" t="s">
        <v>72</v>
      </c>
      <c r="F59" s="5" t="s">
        <v>198</v>
      </c>
      <c r="G59" s="5">
        <v>0</v>
      </c>
      <c r="H59" s="5">
        <v>0.25756944444444402</v>
      </c>
      <c r="I59" s="5">
        <v>0</v>
      </c>
      <c r="J59" s="5">
        <v>0</v>
      </c>
      <c r="K59" s="5">
        <v>0</v>
      </c>
    </row>
    <row r="60" spans="1:11" x14ac:dyDescent="0.2">
      <c r="A60" s="4" t="s">
        <v>252</v>
      </c>
      <c r="B60" s="4" t="s">
        <v>181</v>
      </c>
      <c r="C60" s="4" t="s">
        <v>199</v>
      </c>
      <c r="D60" s="4" t="s">
        <v>200</v>
      </c>
      <c r="E60" s="5" t="s">
        <v>72</v>
      </c>
      <c r="F60" s="5" t="s">
        <v>183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</row>
    <row r="61" spans="1:11" x14ac:dyDescent="0.2">
      <c r="A61" s="4" t="s">
        <v>253</v>
      </c>
      <c r="B61" s="4" t="s">
        <v>181</v>
      </c>
      <c r="C61" s="4" t="s">
        <v>199</v>
      </c>
      <c r="D61" s="4" t="s">
        <v>200</v>
      </c>
      <c r="E61" s="5" t="s">
        <v>71</v>
      </c>
      <c r="F61" s="5" t="s">
        <v>183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</row>
    <row r="62" spans="1:11" x14ac:dyDescent="0.2">
      <c r="A62" s="4" t="s">
        <v>254</v>
      </c>
      <c r="B62" s="4" t="s">
        <v>181</v>
      </c>
      <c r="C62" s="4" t="s">
        <v>199</v>
      </c>
      <c r="D62" s="4" t="s">
        <v>200</v>
      </c>
      <c r="E62" s="5" t="s">
        <v>182</v>
      </c>
      <c r="F62" s="5" t="s">
        <v>190</v>
      </c>
      <c r="G62" s="5">
        <v>0.33333333333333298</v>
      </c>
      <c r="H62" s="5">
        <v>0.45833333333333298</v>
      </c>
      <c r="I62" s="5">
        <v>0</v>
      </c>
      <c r="J62" s="5">
        <v>0.58333333333333304</v>
      </c>
      <c r="K62" s="5">
        <v>2.9166666666666701</v>
      </c>
    </row>
    <row r="63" spans="1:11" x14ac:dyDescent="0.2">
      <c r="A63" s="4" t="s">
        <v>255</v>
      </c>
      <c r="B63" s="4" t="s">
        <v>181</v>
      </c>
      <c r="C63" s="4" t="s">
        <v>199</v>
      </c>
      <c r="D63" s="4" t="s">
        <v>200</v>
      </c>
      <c r="E63" s="5" t="s">
        <v>267</v>
      </c>
      <c r="F63" s="5" t="s">
        <v>188</v>
      </c>
      <c r="G63" s="5">
        <v>0</v>
      </c>
      <c r="H63" s="5">
        <v>0.54166666666666696</v>
      </c>
      <c r="I63" s="5">
        <v>0.58333333333333304</v>
      </c>
      <c r="J63" s="5">
        <v>0.66666666666666696</v>
      </c>
      <c r="K63" s="5">
        <v>2.9166666666666701</v>
      </c>
    </row>
    <row r="64" spans="1:11" x14ac:dyDescent="0.2">
      <c r="A64" s="4" t="s">
        <v>256</v>
      </c>
      <c r="B64" s="4" t="s">
        <v>181</v>
      </c>
      <c r="C64" s="4" t="s">
        <v>199</v>
      </c>
      <c r="D64" s="4" t="s">
        <v>200</v>
      </c>
      <c r="E64" s="5" t="s">
        <v>72</v>
      </c>
      <c r="F64" s="5" t="s">
        <v>185</v>
      </c>
      <c r="G64" s="5">
        <v>0.33333333333333298</v>
      </c>
      <c r="H64" s="5">
        <v>0.45833333333333298</v>
      </c>
      <c r="I64" s="5">
        <v>0</v>
      </c>
      <c r="J64" s="5">
        <v>0.58333333333333304</v>
      </c>
      <c r="K64" s="5">
        <v>2.9166666666666701</v>
      </c>
    </row>
    <row r="65" spans="1:11" x14ac:dyDescent="0.2">
      <c r="A65" s="4" t="s">
        <v>257</v>
      </c>
      <c r="B65" s="4" t="s">
        <v>181</v>
      </c>
      <c r="C65" s="4" t="s">
        <v>199</v>
      </c>
      <c r="D65" s="4" t="s">
        <v>200</v>
      </c>
      <c r="E65" s="5" t="s">
        <v>182</v>
      </c>
      <c r="F65" s="5" t="s">
        <v>183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</row>
  </sheetData>
  <hyperlinks>
    <hyperlink ref="A9" r:id="rId1" display="aarontoth@geotab.com" xr:uid="{00000000-0004-0000-0000-000000000000}"/>
    <hyperlink ref="A10" r:id="rId2" display="aarontoth@geotab.com" xr:uid="{00000000-0004-0000-0000-000001000000}"/>
    <hyperlink ref="A11" r:id="rId3" display="aarontoth@geotab.com" xr:uid="{00000000-0004-0000-0000-000002000000}"/>
    <hyperlink ref="A13" r:id="rId4" display="aarontoth@geotab.com" xr:uid="{00000000-0004-0000-0000-000003000000}"/>
    <hyperlink ref="A15" r:id="rId5" display="aarontoth@geotab.com" xr:uid="{00000000-0004-0000-0000-000004000000}"/>
    <hyperlink ref="A17" r:id="rId6" display="aarontoth@geotab.com" xr:uid="{00000000-0004-0000-0000-000005000000}"/>
    <hyperlink ref="A19" r:id="rId7" display="aarontoth@geotab.com" xr:uid="{00000000-0004-0000-0000-000006000000}"/>
    <hyperlink ref="A21" r:id="rId8" display="aarontoth@geotab.com" xr:uid="{00000000-0004-0000-0000-000007000000}"/>
    <hyperlink ref="A23" r:id="rId9" display="aarontoth@geotab.com" xr:uid="{00000000-0004-0000-0000-000008000000}"/>
    <hyperlink ref="A25" r:id="rId10" display="aarontoth@geotab.com" xr:uid="{00000000-0004-0000-0000-000009000000}"/>
    <hyperlink ref="A27" r:id="rId11" display="aarontoth@geotab.com" xr:uid="{00000000-0004-0000-0000-00000A000000}"/>
    <hyperlink ref="A29" r:id="rId12" display="aarontoth@geotab.com" xr:uid="{00000000-0004-0000-0000-00000B000000}"/>
    <hyperlink ref="A31" r:id="rId13" display="aarontoth@geotab.com" xr:uid="{00000000-0004-0000-0000-00000C000000}"/>
    <hyperlink ref="A33" r:id="rId14" display="aarontoth@geotab.com" xr:uid="{00000000-0004-0000-0000-00000D000000}"/>
    <hyperlink ref="A35" r:id="rId15" display="aarontoth@geotab.com" xr:uid="{00000000-0004-0000-0000-00000E000000}"/>
    <hyperlink ref="A37" r:id="rId16" display="aarontoth@geotab.com" xr:uid="{00000000-0004-0000-0000-00000F000000}"/>
    <hyperlink ref="A39" r:id="rId17" display="aarontoth@geotab.com" xr:uid="{00000000-0004-0000-0000-000010000000}"/>
    <hyperlink ref="A41" r:id="rId18" display="aarontoth@geotab.com" xr:uid="{00000000-0004-0000-0000-000011000000}"/>
    <hyperlink ref="A43" r:id="rId19" display="aarontoth@geotab.com" xr:uid="{00000000-0004-0000-0000-000012000000}"/>
    <hyperlink ref="A45" r:id="rId20" display="aarontoth@geotab.com" xr:uid="{00000000-0004-0000-0000-000013000000}"/>
    <hyperlink ref="A47" r:id="rId21" display="aarontoth@geotab.com" xr:uid="{00000000-0004-0000-0000-000014000000}"/>
    <hyperlink ref="A49" r:id="rId22" display="aarontoth@geotab.com" xr:uid="{00000000-0004-0000-0000-000015000000}"/>
    <hyperlink ref="A51" r:id="rId23" display="aarontoth@geotab.com" xr:uid="{00000000-0004-0000-0000-000016000000}"/>
    <hyperlink ref="A53" r:id="rId24" display="aarontoth@geotab.com" xr:uid="{00000000-0004-0000-0000-000017000000}"/>
    <hyperlink ref="A55" r:id="rId25" display="aarontoth@geotab.com" xr:uid="{00000000-0004-0000-0000-000018000000}"/>
    <hyperlink ref="A57" r:id="rId26" display="aarontoth@geotab.com" xr:uid="{00000000-0004-0000-0000-000019000000}"/>
    <hyperlink ref="A59" r:id="rId27" display="aarontoth@geotab.com" xr:uid="{00000000-0004-0000-0000-00001A000000}"/>
    <hyperlink ref="A61" r:id="rId28" display="aarontoth@geotab.com" xr:uid="{00000000-0004-0000-0000-00001B000000}"/>
    <hyperlink ref="A63" r:id="rId29" display="aarontoth@geotab.com" xr:uid="{00000000-0004-0000-0000-00001C000000}"/>
    <hyperlink ref="A65" r:id="rId30" display="aarontoth@geotab.com" xr:uid="{00000000-0004-0000-0000-00001D000000}"/>
    <hyperlink ref="A12" r:id="rId31" display="aarontoth@geotab.com" xr:uid="{00000000-0004-0000-0000-00001E000000}"/>
    <hyperlink ref="A14" r:id="rId32" display="aarontoth@geotab.com" xr:uid="{00000000-0004-0000-0000-00001F000000}"/>
    <hyperlink ref="A16" r:id="rId33" display="aarontoth@geotab.com" xr:uid="{00000000-0004-0000-0000-000020000000}"/>
    <hyperlink ref="A18" r:id="rId34" display="aarontoth@geotab.com" xr:uid="{00000000-0004-0000-0000-000021000000}"/>
    <hyperlink ref="A20" r:id="rId35" display="aarontoth@geotab.com" xr:uid="{00000000-0004-0000-0000-000022000000}"/>
    <hyperlink ref="A22" r:id="rId36" display="aarontoth@geotab.com" xr:uid="{00000000-0004-0000-0000-000023000000}"/>
    <hyperlink ref="A24" r:id="rId37" display="aarontoth@geotab.com" xr:uid="{00000000-0004-0000-0000-000024000000}"/>
    <hyperlink ref="A26" r:id="rId38" display="aarontoth@geotab.com" xr:uid="{00000000-0004-0000-0000-000025000000}"/>
    <hyperlink ref="A28" r:id="rId39" display="aarontoth@geotab.com" xr:uid="{00000000-0004-0000-0000-000026000000}"/>
    <hyperlink ref="A30" r:id="rId40" display="aarontoth@geotab.com" xr:uid="{00000000-0004-0000-0000-000027000000}"/>
    <hyperlink ref="A32" r:id="rId41" display="aarontoth@geotab.com" xr:uid="{00000000-0004-0000-0000-000028000000}"/>
    <hyperlink ref="A34" r:id="rId42" display="aarontoth@geotab.com" xr:uid="{00000000-0004-0000-0000-000029000000}"/>
    <hyperlink ref="A36" r:id="rId43" display="aarontoth@geotab.com" xr:uid="{00000000-0004-0000-0000-00002A000000}"/>
    <hyperlink ref="A38" r:id="rId44" display="aarontoth@geotab.com" xr:uid="{00000000-0004-0000-0000-00002B000000}"/>
    <hyperlink ref="A40" r:id="rId45" display="aarontoth@geotab.com" xr:uid="{00000000-0004-0000-0000-00002C000000}"/>
    <hyperlink ref="A42" r:id="rId46" display="aarontoth@geotab.com" xr:uid="{00000000-0004-0000-0000-00002D000000}"/>
    <hyperlink ref="A44" r:id="rId47" display="aarontoth@geotab.com" xr:uid="{00000000-0004-0000-0000-00002E000000}"/>
    <hyperlink ref="A46" r:id="rId48" display="aarontoth@geotab.com" xr:uid="{00000000-0004-0000-0000-00002F000000}"/>
    <hyperlink ref="A48" r:id="rId49" display="aarontoth@geotab.com" xr:uid="{00000000-0004-0000-0000-000030000000}"/>
    <hyperlink ref="A50" r:id="rId50" display="aarontoth@geotab.com" xr:uid="{00000000-0004-0000-0000-000031000000}"/>
    <hyperlink ref="A52" r:id="rId51" display="aarontoth@geotab.com" xr:uid="{00000000-0004-0000-0000-000032000000}"/>
    <hyperlink ref="A54" r:id="rId52" display="aarontoth@geotab.com" xr:uid="{00000000-0004-0000-0000-000033000000}"/>
    <hyperlink ref="A56" r:id="rId53" display="aarontoth@geotab.com" xr:uid="{00000000-0004-0000-0000-000034000000}"/>
    <hyperlink ref="A58" r:id="rId54" display="aarontoth@geotab.com" xr:uid="{00000000-0004-0000-0000-000035000000}"/>
    <hyperlink ref="A60" r:id="rId55" display="aarontoth@geotab.com" xr:uid="{00000000-0004-0000-0000-000036000000}"/>
    <hyperlink ref="A62" r:id="rId56" display="aarontoth@geotab.com" xr:uid="{00000000-0004-0000-0000-000037000000}"/>
    <hyperlink ref="A64" r:id="rId57" display="aarontoth@geotab.com" xr:uid="{00000000-0004-0000-0000-000038000000}"/>
  </hyperlinks>
  <pageMargins left="0.7" right="0.7" top="0.75" bottom="0.75" header="0.3" footer="0.3"/>
  <pageSetup fitToHeight="100" orientation="portrait" r:id="rId58"/>
  <legacyDrawing r:id="rId5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J32"/>
  <sheetViews>
    <sheetView topLeftCell="A2" workbookViewId="0">
      <selection activeCell="A28" sqref="A28"/>
    </sheetView>
  </sheetViews>
  <sheetFormatPr defaultRowHeight="12.75" x14ac:dyDescent="0.2"/>
  <cols>
    <col min="1" max="7" width="30" customWidth="1"/>
    <col min="8" max="10" width="30" style="8" customWidth="1"/>
  </cols>
  <sheetData>
    <row r="1" spans="1:10" s="6" customFormat="1" x14ac:dyDescent="0.2">
      <c r="A1" s="7" t="s">
        <v>8</v>
      </c>
      <c r="B1" s="7" t="s">
        <v>9</v>
      </c>
      <c r="C1" s="7" t="s">
        <v>10</v>
      </c>
      <c r="D1" s="7" t="s">
        <v>11</v>
      </c>
      <c r="E1" s="7" t="s">
        <v>12</v>
      </c>
      <c r="F1" s="7" t="s">
        <v>52</v>
      </c>
      <c r="G1" s="7" t="s">
        <v>118</v>
      </c>
      <c r="H1" s="7" t="s">
        <v>132</v>
      </c>
      <c r="I1" s="7" t="s">
        <v>148</v>
      </c>
      <c r="J1" s="7" t="s">
        <v>163</v>
      </c>
    </row>
    <row r="2" spans="1:10" x14ac:dyDescent="0.2">
      <c r="A2" s="8" t="s">
        <v>13</v>
      </c>
      <c r="B2" s="8" t="s">
        <v>18</v>
      </c>
      <c r="C2" s="8" t="s">
        <v>19</v>
      </c>
      <c r="D2" s="8" t="s">
        <v>20</v>
      </c>
      <c r="E2" s="8" t="s">
        <v>21</v>
      </c>
      <c r="F2" s="8" t="s">
        <v>53</v>
      </c>
      <c r="G2" s="8" t="s">
        <v>119</v>
      </c>
      <c r="H2" s="8" t="s">
        <v>133</v>
      </c>
      <c r="I2" s="8" t="s">
        <v>149</v>
      </c>
      <c r="J2" s="8" t="s">
        <v>164</v>
      </c>
    </row>
    <row r="3" spans="1:10" x14ac:dyDescent="0.2">
      <c r="A3" s="8" t="s">
        <v>74</v>
      </c>
      <c r="B3" s="8" t="s">
        <v>78</v>
      </c>
      <c r="C3" s="8" t="s">
        <v>79</v>
      </c>
      <c r="D3" s="8" t="s">
        <v>80</v>
      </c>
      <c r="E3" s="8" t="s">
        <v>81</v>
      </c>
      <c r="F3" s="8" t="s">
        <v>82</v>
      </c>
      <c r="G3" s="8" t="s">
        <v>124</v>
      </c>
      <c r="H3" s="8" t="s">
        <v>141</v>
      </c>
      <c r="I3" s="8" t="s">
        <v>150</v>
      </c>
      <c r="J3" s="8" t="s">
        <v>165</v>
      </c>
    </row>
    <row r="4" spans="1:10" x14ac:dyDescent="0.2">
      <c r="A4" s="8" t="s">
        <v>77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125</v>
      </c>
      <c r="H4" s="8" t="s">
        <v>142</v>
      </c>
      <c r="I4" s="8" t="s">
        <v>151</v>
      </c>
      <c r="J4" s="8" t="s">
        <v>166</v>
      </c>
    </row>
    <row r="5" spans="1:10" x14ac:dyDescent="0.2">
      <c r="A5" s="8" t="s">
        <v>64</v>
      </c>
      <c r="B5" s="8" t="s">
        <v>88</v>
      </c>
      <c r="C5" s="8" t="s">
        <v>89</v>
      </c>
      <c r="D5" s="8" t="s">
        <v>90</v>
      </c>
      <c r="E5" s="8" t="s">
        <v>91</v>
      </c>
      <c r="F5" s="8" t="s">
        <v>92</v>
      </c>
      <c r="G5" s="8" t="s">
        <v>126</v>
      </c>
      <c r="H5" s="8" t="s">
        <v>143</v>
      </c>
      <c r="I5" s="8" t="s">
        <v>152</v>
      </c>
      <c r="J5" s="8" t="s">
        <v>167</v>
      </c>
    </row>
    <row r="6" spans="1:10" x14ac:dyDescent="0.2">
      <c r="A6" s="8" t="s">
        <v>65</v>
      </c>
      <c r="B6" s="8" t="s">
        <v>93</v>
      </c>
      <c r="C6" s="8" t="s">
        <v>94</v>
      </c>
      <c r="D6" s="8" t="s">
        <v>95</v>
      </c>
      <c r="E6" s="8" t="s">
        <v>96</v>
      </c>
      <c r="F6" s="8" t="s">
        <v>97</v>
      </c>
      <c r="G6" s="8" t="s">
        <v>127</v>
      </c>
      <c r="H6" s="8" t="s">
        <v>144</v>
      </c>
      <c r="I6" s="8" t="s">
        <v>153</v>
      </c>
      <c r="J6" s="8" t="s">
        <v>168</v>
      </c>
    </row>
    <row r="7" spans="1:10" x14ac:dyDescent="0.2">
      <c r="A7" s="8" t="s">
        <v>66</v>
      </c>
      <c r="B7" s="8" t="s">
        <v>98</v>
      </c>
      <c r="C7" s="8" t="s">
        <v>99</v>
      </c>
      <c r="D7" s="8" t="s">
        <v>100</v>
      </c>
      <c r="E7" s="8" t="s">
        <v>101</v>
      </c>
      <c r="F7" s="8" t="s">
        <v>102</v>
      </c>
      <c r="G7" s="8" t="s">
        <v>128</v>
      </c>
      <c r="H7" s="8" t="s">
        <v>145</v>
      </c>
      <c r="I7" s="8" t="s">
        <v>154</v>
      </c>
      <c r="J7" s="8" t="s">
        <v>169</v>
      </c>
    </row>
    <row r="8" spans="1:10" x14ac:dyDescent="0.2">
      <c r="A8" s="8" t="s">
        <v>67</v>
      </c>
      <c r="B8" s="8" t="s">
        <v>103</v>
      </c>
      <c r="C8" s="8" t="s">
        <v>104</v>
      </c>
      <c r="D8" s="8" t="s">
        <v>105</v>
      </c>
      <c r="E8" s="8" t="s">
        <v>106</v>
      </c>
      <c r="F8" s="8" t="s">
        <v>107</v>
      </c>
      <c r="G8" s="8" t="s">
        <v>129</v>
      </c>
      <c r="H8" s="8" t="s">
        <v>146</v>
      </c>
      <c r="I8" s="8" t="s">
        <v>155</v>
      </c>
      <c r="J8" s="8" t="s">
        <v>170</v>
      </c>
    </row>
    <row r="9" spans="1:10" x14ac:dyDescent="0.2">
      <c r="A9" s="8" t="s">
        <v>68</v>
      </c>
      <c r="B9" s="8" t="s">
        <v>108</v>
      </c>
      <c r="C9" s="8" t="s">
        <v>109</v>
      </c>
      <c r="D9" s="8" t="s">
        <v>110</v>
      </c>
      <c r="E9" s="8" t="s">
        <v>111</v>
      </c>
      <c r="F9" s="8" t="s">
        <v>112</v>
      </c>
      <c r="G9" s="8" t="s">
        <v>130</v>
      </c>
      <c r="H9" s="8" t="s">
        <v>147</v>
      </c>
      <c r="I9" s="8" t="s">
        <v>156</v>
      </c>
      <c r="J9" s="8" t="s">
        <v>171</v>
      </c>
    </row>
    <row r="10" spans="1:10" x14ac:dyDescent="0.2">
      <c r="A10" s="8" t="s">
        <v>17</v>
      </c>
      <c r="B10" s="8" t="s">
        <v>22</v>
      </c>
      <c r="C10" s="8" t="s">
        <v>23</v>
      </c>
      <c r="D10" s="8" t="s">
        <v>24</v>
      </c>
      <c r="E10" s="8" t="s">
        <v>25</v>
      </c>
      <c r="F10" s="8" t="s">
        <v>54</v>
      </c>
      <c r="G10" s="8" t="s">
        <v>120</v>
      </c>
      <c r="H10" s="8" t="s">
        <v>134</v>
      </c>
      <c r="I10" s="8" t="s">
        <v>157</v>
      </c>
      <c r="J10" s="8" t="s">
        <v>172</v>
      </c>
    </row>
    <row r="11" spans="1:10" x14ac:dyDescent="0.2">
      <c r="A11" s="8" t="s">
        <v>14</v>
      </c>
      <c r="B11" s="8" t="s">
        <v>26</v>
      </c>
      <c r="C11" s="8" t="s">
        <v>27</v>
      </c>
      <c r="D11" s="8" t="s">
        <v>28</v>
      </c>
      <c r="E11" s="8" t="s">
        <v>29</v>
      </c>
      <c r="F11" s="8" t="s">
        <v>55</v>
      </c>
      <c r="G11" s="8" t="s">
        <v>123</v>
      </c>
      <c r="H11" s="8" t="s">
        <v>135</v>
      </c>
      <c r="I11" s="8" t="s">
        <v>161</v>
      </c>
      <c r="J11" s="8" t="s">
        <v>173</v>
      </c>
    </row>
    <row r="12" spans="1:10" x14ac:dyDescent="0.2">
      <c r="A12" s="8" t="s">
        <v>15</v>
      </c>
      <c r="B12" s="8" t="s">
        <v>30</v>
      </c>
      <c r="C12" s="8" t="s">
        <v>31</v>
      </c>
      <c r="D12" s="8" t="s">
        <v>32</v>
      </c>
      <c r="E12" s="8" t="s">
        <v>33</v>
      </c>
      <c r="F12" s="8" t="s">
        <v>56</v>
      </c>
      <c r="G12" s="8" t="s">
        <v>31</v>
      </c>
      <c r="H12" s="8" t="s">
        <v>136</v>
      </c>
      <c r="I12" s="8" t="s">
        <v>158</v>
      </c>
      <c r="J12" s="8" t="s">
        <v>174</v>
      </c>
    </row>
    <row r="13" spans="1:10" x14ac:dyDescent="0.2">
      <c r="A13" s="8" t="s">
        <v>16</v>
      </c>
      <c r="B13" s="8" t="s">
        <v>34</v>
      </c>
      <c r="C13" s="8" t="s">
        <v>35</v>
      </c>
      <c r="D13" s="8" t="s">
        <v>36</v>
      </c>
      <c r="E13" s="8" t="s">
        <v>37</v>
      </c>
      <c r="F13" s="8" t="s">
        <v>57</v>
      </c>
      <c r="G13" s="8" t="s">
        <v>35</v>
      </c>
      <c r="H13" s="8" t="s">
        <v>137</v>
      </c>
      <c r="I13" s="8" t="s">
        <v>159</v>
      </c>
      <c r="J13" s="8" t="s">
        <v>175</v>
      </c>
    </row>
    <row r="14" spans="1:10" x14ac:dyDescent="0.2">
      <c r="A14" s="9" t="s">
        <v>40</v>
      </c>
      <c r="B14" s="9" t="s">
        <v>41</v>
      </c>
      <c r="C14" s="9" t="s">
        <v>42</v>
      </c>
      <c r="D14" s="9" t="s">
        <v>43</v>
      </c>
      <c r="E14" s="9" t="s">
        <v>44</v>
      </c>
      <c r="F14" s="8" t="s">
        <v>58</v>
      </c>
      <c r="G14" s="8" t="s">
        <v>121</v>
      </c>
      <c r="H14" s="8" t="s">
        <v>138</v>
      </c>
      <c r="I14" s="8" t="s">
        <v>121</v>
      </c>
      <c r="J14" s="8" t="s">
        <v>176</v>
      </c>
    </row>
    <row r="15" spans="1:10" x14ac:dyDescent="0.2">
      <c r="A15" s="9" t="s">
        <v>45</v>
      </c>
      <c r="B15" s="9" t="s">
        <v>46</v>
      </c>
      <c r="C15" s="9" t="s">
        <v>47</v>
      </c>
      <c r="D15" s="9" t="s">
        <v>48</v>
      </c>
      <c r="E15" s="9" t="s">
        <v>49</v>
      </c>
      <c r="F15" s="8" t="s">
        <v>59</v>
      </c>
      <c r="G15" s="8" t="s">
        <v>122</v>
      </c>
      <c r="H15" s="8" t="s">
        <v>139</v>
      </c>
      <c r="I15" s="8" t="s">
        <v>162</v>
      </c>
      <c r="J15" s="8" t="s">
        <v>177</v>
      </c>
    </row>
    <row r="16" spans="1:10" ht="25.5" x14ac:dyDescent="0.2">
      <c r="A16" s="8" t="s">
        <v>76</v>
      </c>
      <c r="B16" s="8" t="s">
        <v>113</v>
      </c>
      <c r="C16" s="8" t="s">
        <v>114</v>
      </c>
      <c r="D16" s="8" t="s">
        <v>115</v>
      </c>
      <c r="E16" s="8" t="s">
        <v>116</v>
      </c>
      <c r="F16" s="8" t="s">
        <v>117</v>
      </c>
      <c r="G16" s="8" t="s">
        <v>131</v>
      </c>
      <c r="H16" s="8" t="s">
        <v>140</v>
      </c>
      <c r="I16" s="8" t="s">
        <v>160</v>
      </c>
      <c r="J16" s="8" t="s">
        <v>178</v>
      </c>
    </row>
    <row r="17" spans="1:1" ht="153" x14ac:dyDescent="0.2">
      <c r="A17" s="8" t="s">
        <v>286</v>
      </c>
    </row>
    <row r="18" spans="1:1" x14ac:dyDescent="0.2">
      <c r="A18" s="8" t="s">
        <v>281</v>
      </c>
    </row>
    <row r="19" spans="1:1" x14ac:dyDescent="0.2">
      <c r="A19" s="8" t="s">
        <v>282</v>
      </c>
    </row>
    <row r="20" spans="1:1" x14ac:dyDescent="0.2">
      <c r="A20" s="8" t="s">
        <v>283</v>
      </c>
    </row>
    <row r="21" spans="1:1" x14ac:dyDescent="0.2">
      <c r="A21" s="8" t="s">
        <v>284</v>
      </c>
    </row>
    <row r="22" spans="1:1" x14ac:dyDescent="0.2">
      <c r="A22" s="8" t="s">
        <v>285</v>
      </c>
    </row>
    <row r="23" spans="1:1" x14ac:dyDescent="0.2">
      <c r="A23" s="8" t="s">
        <v>276</v>
      </c>
    </row>
    <row r="24" spans="1:1" x14ac:dyDescent="0.2">
      <c r="A24" s="8" t="s">
        <v>279</v>
      </c>
    </row>
    <row r="25" spans="1:1" x14ac:dyDescent="0.2">
      <c r="A25" s="8" t="s">
        <v>280</v>
      </c>
    </row>
    <row r="26" spans="1:1" x14ac:dyDescent="0.2">
      <c r="A26" s="8" t="s">
        <v>277</v>
      </c>
    </row>
    <row r="27" spans="1:1" x14ac:dyDescent="0.2">
      <c r="A27" s="8" t="s">
        <v>278</v>
      </c>
    </row>
    <row r="28" spans="1:1" x14ac:dyDescent="0.2">
      <c r="A28" s="8" t="s">
        <v>287</v>
      </c>
    </row>
    <row r="29" spans="1:1" x14ac:dyDescent="0.2">
      <c r="A29" s="8" t="s">
        <v>288</v>
      </c>
    </row>
    <row r="30" spans="1:1" x14ac:dyDescent="0.2">
      <c r="A30" s="8" t="s">
        <v>289</v>
      </c>
    </row>
    <row r="31" spans="1:1" x14ac:dyDescent="0.2">
      <c r="A31" s="8" t="s">
        <v>290</v>
      </c>
    </row>
    <row r="32" spans="1:1" x14ac:dyDescent="0.2">
      <c r="A32" s="8" t="s">
        <v>291</v>
      </c>
    </row>
  </sheetData>
  <conditionalFormatting sqref="A18:A22">
    <cfRule type="containsText" dxfId="93" priority="1" operator="containsText" text="ALERT">
      <formula>NOT(ISERROR(SEARCH("ALERT",A18)))</formula>
    </cfRule>
    <cfRule type="containsText" dxfId="92" priority="2" operator="containsText" text="OK">
      <formula>NOT(ISERROR(SEARCH("OK",A18)))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Picture</vt:lpstr>
      <vt:lpstr>Report</vt:lpstr>
      <vt:lpstr>Summary</vt:lpstr>
      <vt:lpstr>Approaching Limit</vt:lpstr>
      <vt:lpstr>Data</vt:lpstr>
      <vt:lpstr>Languages</vt:lpstr>
      <vt:lpstr>ALERT</vt:lpstr>
      <vt:lpstr>AllData</vt:lpstr>
      <vt:lpstr>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Aakash Dubey</cp:lastModifiedBy>
  <dcterms:created xsi:type="dcterms:W3CDTF">2009-05-21T13:20:04Z</dcterms:created>
  <dcterms:modified xsi:type="dcterms:W3CDTF">2020-11-19T21:03:48Z</dcterms:modified>
</cp:coreProperties>
</file>