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C:\Git\Checkmate\Geotab.Checkmate.Database.Upgrade\src\DefaultReports9000\Generic\"/>
    </mc:Choice>
  </mc:AlternateContent>
  <xr:revisionPtr revIDLastSave="0" documentId="13_ncr:1_{7D595F51-625F-4501-BA1A-52F59BA4B8A5}" xr6:coauthVersionLast="47" xr6:coauthVersionMax="47" xr10:uidLastSave="{00000000-0000-0000-0000-000000000000}"/>
  <bookViews>
    <workbookView xWindow="-28920" yWindow="-6540" windowWidth="29040" windowHeight="15840" activeTab="1" xr2:uid="{00000000-000D-0000-FFFF-FFFF00000000}"/>
  </bookViews>
  <sheets>
    <sheet name="Summary" sheetId="10" r:id="rId1"/>
    <sheet name="Details" sheetId="11" r:id="rId2"/>
    <sheet name="Report" sheetId="3" state="hidden" r:id="rId3"/>
    <sheet name="Graph" sheetId="12" state="hidden" r:id="rId4"/>
    <sheet name="Count" sheetId="8" state="hidden" r:id="rId5"/>
    <sheet name="Data" sheetId="1" state="hidden" r:id="rId6"/>
    <sheet name="Languages" sheetId="9" state="hidden" r:id="rId7"/>
  </sheets>
  <definedNames>
    <definedName name="_xlnm._FilterDatabase" localSheetId="2" hidden="1">Report!$A$11:$P$152</definedName>
    <definedName name="AllData">Report!$A$11:$P$152</definedName>
    <definedName name="Slicer_Date">#N/A</definedName>
  </definedNames>
  <calcPr calcId="191029" forceFullCalc="1"/>
  <pivotCaches>
    <pivotCache cacheId="21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9" i="10" l="1"/>
  <c r="B9" i="11"/>
  <c r="B9" i="3"/>
  <c r="B9" i="12"/>
  <c r="T11" i="8" l="1"/>
  <c r="T10" i="8"/>
  <c r="B4" i="8" s="1"/>
  <c r="T13" i="8" l="1"/>
  <c r="A7" i="12"/>
  <c r="B6" i="12"/>
  <c r="A6" i="12"/>
  <c r="B5" i="12"/>
  <c r="A5" i="12"/>
  <c r="A4" i="12"/>
  <c r="A2" i="12"/>
  <c r="C1" i="12"/>
  <c r="T14" i="8" l="1"/>
  <c r="B7" i="12"/>
  <c r="A13" i="3"/>
  <c r="B13" i="3"/>
  <c r="C13" i="3"/>
  <c r="I13" i="3"/>
  <c r="J13" i="3"/>
  <c r="K13" i="3"/>
  <c r="M13" i="3" s="1"/>
  <c r="L13" i="3"/>
  <c r="P13" i="3"/>
  <c r="A14" i="3"/>
  <c r="B14" i="3"/>
  <c r="C14" i="3"/>
  <c r="I14" i="3"/>
  <c r="J14" i="3"/>
  <c r="K14" i="3"/>
  <c r="M14" i="3" s="1"/>
  <c r="O14" i="3" s="1"/>
  <c r="L14" i="3"/>
  <c r="P14" i="3"/>
  <c r="A15" i="3"/>
  <c r="B15" i="3"/>
  <c r="C15" i="3"/>
  <c r="I15" i="3"/>
  <c r="J15" i="3"/>
  <c r="K15" i="3"/>
  <c r="M15" i="3" s="1"/>
  <c r="O15" i="3" s="1"/>
  <c r="L15" i="3"/>
  <c r="P15" i="3"/>
  <c r="A16" i="3"/>
  <c r="B16" i="3"/>
  <c r="C16" i="3"/>
  <c r="I16" i="3"/>
  <c r="J16" i="3"/>
  <c r="K16" i="3"/>
  <c r="M16" i="3" s="1"/>
  <c r="O16" i="3" s="1"/>
  <c r="L16" i="3"/>
  <c r="P16" i="3"/>
  <c r="A17" i="3"/>
  <c r="B17" i="3"/>
  <c r="C17" i="3"/>
  <c r="I17" i="3"/>
  <c r="J17" i="3"/>
  <c r="K17" i="3"/>
  <c r="M17" i="3" s="1"/>
  <c r="O17" i="3" s="1"/>
  <c r="L17" i="3"/>
  <c r="P17" i="3"/>
  <c r="A18" i="3"/>
  <c r="B18" i="3"/>
  <c r="C18" i="3"/>
  <c r="I18" i="3"/>
  <c r="J18" i="3"/>
  <c r="K18" i="3"/>
  <c r="M18" i="3" s="1"/>
  <c r="O18" i="3" s="1"/>
  <c r="L18" i="3"/>
  <c r="P18" i="3"/>
  <c r="A19" i="3"/>
  <c r="B19" i="3"/>
  <c r="C19" i="3"/>
  <c r="I19" i="3"/>
  <c r="J19" i="3"/>
  <c r="K19" i="3"/>
  <c r="M19" i="3" s="1"/>
  <c r="O19" i="3" s="1"/>
  <c r="L19" i="3"/>
  <c r="P19" i="3"/>
  <c r="A20" i="3"/>
  <c r="B20" i="3"/>
  <c r="C20" i="3"/>
  <c r="I20" i="3"/>
  <c r="J20" i="3"/>
  <c r="K20" i="3"/>
  <c r="M20" i="3" s="1"/>
  <c r="O20" i="3" s="1"/>
  <c r="L20" i="3"/>
  <c r="P20" i="3"/>
  <c r="A21" i="3"/>
  <c r="B21" i="3"/>
  <c r="C21" i="3"/>
  <c r="I21" i="3"/>
  <c r="J21" i="3"/>
  <c r="K21" i="3"/>
  <c r="M21" i="3" s="1"/>
  <c r="O21" i="3" s="1"/>
  <c r="L21" i="3"/>
  <c r="P21" i="3"/>
  <c r="A22" i="3"/>
  <c r="B22" i="3"/>
  <c r="C22" i="3"/>
  <c r="I22" i="3"/>
  <c r="J22" i="3"/>
  <c r="K22" i="3"/>
  <c r="M22" i="3" s="1"/>
  <c r="O22" i="3" s="1"/>
  <c r="L22" i="3"/>
  <c r="P22" i="3"/>
  <c r="A23" i="3"/>
  <c r="B23" i="3"/>
  <c r="C23" i="3"/>
  <c r="I23" i="3"/>
  <c r="J23" i="3"/>
  <c r="K23" i="3"/>
  <c r="M23" i="3" s="1"/>
  <c r="O23" i="3" s="1"/>
  <c r="L23" i="3"/>
  <c r="P23" i="3"/>
  <c r="A24" i="3"/>
  <c r="B24" i="3"/>
  <c r="C24" i="3"/>
  <c r="I24" i="3"/>
  <c r="J24" i="3"/>
  <c r="K24" i="3"/>
  <c r="M24" i="3" s="1"/>
  <c r="O24" i="3" s="1"/>
  <c r="L24" i="3"/>
  <c r="P24" i="3"/>
  <c r="A25" i="3"/>
  <c r="B25" i="3"/>
  <c r="C25" i="3"/>
  <c r="I25" i="3"/>
  <c r="J25" i="3"/>
  <c r="K25" i="3"/>
  <c r="M25" i="3" s="1"/>
  <c r="O25" i="3" s="1"/>
  <c r="L25" i="3"/>
  <c r="P25" i="3"/>
  <c r="A26" i="3"/>
  <c r="B26" i="3"/>
  <c r="C26" i="3"/>
  <c r="I26" i="3"/>
  <c r="J26" i="3"/>
  <c r="K26" i="3"/>
  <c r="M26" i="3" s="1"/>
  <c r="O26" i="3" s="1"/>
  <c r="L26" i="3"/>
  <c r="P26" i="3"/>
  <c r="A27" i="3"/>
  <c r="B27" i="3"/>
  <c r="C27" i="3"/>
  <c r="I27" i="3"/>
  <c r="J27" i="3"/>
  <c r="K27" i="3"/>
  <c r="M27" i="3" s="1"/>
  <c r="O27" i="3" s="1"/>
  <c r="L27" i="3"/>
  <c r="P27" i="3"/>
  <c r="A28" i="3"/>
  <c r="B28" i="3"/>
  <c r="C28" i="3"/>
  <c r="I28" i="3"/>
  <c r="J28" i="3"/>
  <c r="K28" i="3"/>
  <c r="M28" i="3" s="1"/>
  <c r="O28" i="3" s="1"/>
  <c r="L28" i="3"/>
  <c r="P28" i="3"/>
  <c r="A29" i="3"/>
  <c r="B29" i="3"/>
  <c r="C29" i="3"/>
  <c r="I29" i="3"/>
  <c r="J29" i="3"/>
  <c r="K29" i="3"/>
  <c r="M29" i="3" s="1"/>
  <c r="O29" i="3" s="1"/>
  <c r="L29" i="3"/>
  <c r="P29" i="3"/>
  <c r="A30" i="3"/>
  <c r="B30" i="3"/>
  <c r="C30" i="3"/>
  <c r="I30" i="3"/>
  <c r="J30" i="3"/>
  <c r="K30" i="3"/>
  <c r="M30" i="3" s="1"/>
  <c r="O30" i="3" s="1"/>
  <c r="L30" i="3"/>
  <c r="P30" i="3"/>
  <c r="A31" i="3"/>
  <c r="B31" i="3"/>
  <c r="C31" i="3"/>
  <c r="I31" i="3"/>
  <c r="J31" i="3"/>
  <c r="K31" i="3"/>
  <c r="M31" i="3" s="1"/>
  <c r="O31" i="3" s="1"/>
  <c r="L31" i="3"/>
  <c r="P31" i="3"/>
  <c r="A32" i="3"/>
  <c r="B32" i="3"/>
  <c r="C32" i="3"/>
  <c r="I32" i="3"/>
  <c r="J32" i="3"/>
  <c r="K32" i="3"/>
  <c r="M32" i="3" s="1"/>
  <c r="O32" i="3" s="1"/>
  <c r="L32" i="3"/>
  <c r="P32" i="3"/>
  <c r="A33" i="3"/>
  <c r="B33" i="3"/>
  <c r="C33" i="3"/>
  <c r="I33" i="3"/>
  <c r="J33" i="3"/>
  <c r="K33" i="3"/>
  <c r="M33" i="3" s="1"/>
  <c r="O33" i="3" s="1"/>
  <c r="L33" i="3"/>
  <c r="P33" i="3"/>
  <c r="A34" i="3"/>
  <c r="B34" i="3"/>
  <c r="C34" i="3"/>
  <c r="I34" i="3"/>
  <c r="J34" i="3"/>
  <c r="K34" i="3"/>
  <c r="M34" i="3" s="1"/>
  <c r="O34" i="3" s="1"/>
  <c r="L34" i="3"/>
  <c r="P34" i="3"/>
  <c r="A35" i="3"/>
  <c r="B35" i="3"/>
  <c r="C35" i="3"/>
  <c r="I35" i="3"/>
  <c r="J35" i="3"/>
  <c r="K35" i="3"/>
  <c r="M35" i="3" s="1"/>
  <c r="O35" i="3" s="1"/>
  <c r="L35" i="3"/>
  <c r="P35" i="3"/>
  <c r="A36" i="3"/>
  <c r="B36" i="3"/>
  <c r="C36" i="3"/>
  <c r="I36" i="3"/>
  <c r="J36" i="3"/>
  <c r="K36" i="3"/>
  <c r="M36" i="3" s="1"/>
  <c r="O36" i="3" s="1"/>
  <c r="L36" i="3"/>
  <c r="P36" i="3"/>
  <c r="A37" i="3"/>
  <c r="B37" i="3"/>
  <c r="C37" i="3"/>
  <c r="I37" i="3"/>
  <c r="J37" i="3"/>
  <c r="K37" i="3"/>
  <c r="M37" i="3" s="1"/>
  <c r="O37" i="3" s="1"/>
  <c r="L37" i="3"/>
  <c r="P37" i="3"/>
  <c r="A38" i="3"/>
  <c r="B38" i="3"/>
  <c r="C38" i="3"/>
  <c r="I38" i="3"/>
  <c r="J38" i="3"/>
  <c r="K38" i="3"/>
  <c r="M38" i="3" s="1"/>
  <c r="O38" i="3" s="1"/>
  <c r="L38" i="3"/>
  <c r="P38" i="3"/>
  <c r="A39" i="3"/>
  <c r="B39" i="3"/>
  <c r="C39" i="3"/>
  <c r="I39" i="3"/>
  <c r="J39" i="3"/>
  <c r="K39" i="3"/>
  <c r="M39" i="3" s="1"/>
  <c r="O39" i="3" s="1"/>
  <c r="L39" i="3"/>
  <c r="P39" i="3"/>
  <c r="A40" i="3"/>
  <c r="B40" i="3"/>
  <c r="C40" i="3"/>
  <c r="I40" i="3"/>
  <c r="J40" i="3"/>
  <c r="K40" i="3"/>
  <c r="M40" i="3" s="1"/>
  <c r="O40" i="3" s="1"/>
  <c r="L40" i="3"/>
  <c r="P40" i="3"/>
  <c r="A41" i="3"/>
  <c r="B41" i="3"/>
  <c r="C41" i="3"/>
  <c r="I41" i="3"/>
  <c r="J41" i="3"/>
  <c r="K41" i="3"/>
  <c r="M41" i="3" s="1"/>
  <c r="O41" i="3" s="1"/>
  <c r="L41" i="3"/>
  <c r="P41" i="3"/>
  <c r="A42" i="3"/>
  <c r="B42" i="3"/>
  <c r="C42" i="3"/>
  <c r="I42" i="3"/>
  <c r="J42" i="3"/>
  <c r="K42" i="3"/>
  <c r="M42" i="3" s="1"/>
  <c r="O42" i="3" s="1"/>
  <c r="L42" i="3"/>
  <c r="P42" i="3"/>
  <c r="A43" i="3"/>
  <c r="B43" i="3"/>
  <c r="C43" i="3"/>
  <c r="I43" i="3"/>
  <c r="J43" i="3"/>
  <c r="K43" i="3"/>
  <c r="M43" i="3" s="1"/>
  <c r="O43" i="3" s="1"/>
  <c r="L43" i="3"/>
  <c r="P43" i="3"/>
  <c r="A44" i="3"/>
  <c r="B44" i="3"/>
  <c r="C44" i="3"/>
  <c r="I44" i="3"/>
  <c r="J44" i="3"/>
  <c r="K44" i="3"/>
  <c r="M44" i="3" s="1"/>
  <c r="O44" i="3" s="1"/>
  <c r="L44" i="3"/>
  <c r="P44" i="3"/>
  <c r="A45" i="3"/>
  <c r="B45" i="3"/>
  <c r="C45" i="3"/>
  <c r="I45" i="3"/>
  <c r="J45" i="3"/>
  <c r="K45" i="3"/>
  <c r="M45" i="3" s="1"/>
  <c r="O45" i="3" s="1"/>
  <c r="L45" i="3"/>
  <c r="P45" i="3"/>
  <c r="A46" i="3"/>
  <c r="B46" i="3"/>
  <c r="C46" i="3"/>
  <c r="I46" i="3"/>
  <c r="J46" i="3"/>
  <c r="K46" i="3"/>
  <c r="M46" i="3" s="1"/>
  <c r="O46" i="3" s="1"/>
  <c r="L46" i="3"/>
  <c r="P46" i="3"/>
  <c r="A47" i="3"/>
  <c r="B47" i="3"/>
  <c r="C47" i="3"/>
  <c r="I47" i="3"/>
  <c r="J47" i="3"/>
  <c r="K47" i="3"/>
  <c r="M47" i="3" s="1"/>
  <c r="O47" i="3" s="1"/>
  <c r="L47" i="3"/>
  <c r="P47" i="3"/>
  <c r="A48" i="3"/>
  <c r="B48" i="3"/>
  <c r="C48" i="3"/>
  <c r="I48" i="3"/>
  <c r="J48" i="3"/>
  <c r="K48" i="3"/>
  <c r="M48" i="3" s="1"/>
  <c r="O48" i="3" s="1"/>
  <c r="L48" i="3"/>
  <c r="P48" i="3"/>
  <c r="A49" i="3"/>
  <c r="B49" i="3"/>
  <c r="C49" i="3"/>
  <c r="I49" i="3"/>
  <c r="J49" i="3"/>
  <c r="K49" i="3"/>
  <c r="M49" i="3" s="1"/>
  <c r="O49" i="3" s="1"/>
  <c r="L49" i="3"/>
  <c r="P49" i="3"/>
  <c r="A50" i="3"/>
  <c r="B50" i="3"/>
  <c r="C50" i="3"/>
  <c r="I50" i="3"/>
  <c r="J50" i="3"/>
  <c r="K50" i="3"/>
  <c r="M50" i="3" s="1"/>
  <c r="O50" i="3" s="1"/>
  <c r="L50" i="3"/>
  <c r="P50" i="3"/>
  <c r="A51" i="3"/>
  <c r="B51" i="3"/>
  <c r="C51" i="3"/>
  <c r="I51" i="3"/>
  <c r="J51" i="3"/>
  <c r="K51" i="3"/>
  <c r="M51" i="3" s="1"/>
  <c r="O51" i="3" s="1"/>
  <c r="L51" i="3"/>
  <c r="P51" i="3"/>
  <c r="A52" i="3"/>
  <c r="B52" i="3"/>
  <c r="C52" i="3"/>
  <c r="I52" i="3"/>
  <c r="J52" i="3"/>
  <c r="K52" i="3"/>
  <c r="M52" i="3" s="1"/>
  <c r="O52" i="3" s="1"/>
  <c r="L52" i="3"/>
  <c r="P52" i="3"/>
  <c r="A53" i="3"/>
  <c r="B53" i="3"/>
  <c r="C53" i="3"/>
  <c r="I53" i="3"/>
  <c r="J53" i="3"/>
  <c r="K53" i="3"/>
  <c r="M53" i="3" s="1"/>
  <c r="O53" i="3" s="1"/>
  <c r="L53" i="3"/>
  <c r="P53" i="3"/>
  <c r="A54" i="3"/>
  <c r="B54" i="3"/>
  <c r="C54" i="3"/>
  <c r="I54" i="3"/>
  <c r="J54" i="3"/>
  <c r="K54" i="3"/>
  <c r="M54" i="3" s="1"/>
  <c r="O54" i="3" s="1"/>
  <c r="L54" i="3"/>
  <c r="P54" i="3"/>
  <c r="A55" i="3"/>
  <c r="B55" i="3"/>
  <c r="C55" i="3"/>
  <c r="I55" i="3"/>
  <c r="J55" i="3"/>
  <c r="K55" i="3"/>
  <c r="M55" i="3" s="1"/>
  <c r="O55" i="3" s="1"/>
  <c r="L55" i="3"/>
  <c r="P55" i="3"/>
  <c r="A56" i="3"/>
  <c r="B56" i="3"/>
  <c r="C56" i="3"/>
  <c r="I56" i="3"/>
  <c r="J56" i="3"/>
  <c r="K56" i="3"/>
  <c r="M56" i="3" s="1"/>
  <c r="O56" i="3" s="1"/>
  <c r="L56" i="3"/>
  <c r="P56" i="3"/>
  <c r="A57" i="3"/>
  <c r="B57" i="3"/>
  <c r="C57" i="3"/>
  <c r="I57" i="3"/>
  <c r="J57" i="3"/>
  <c r="K57" i="3"/>
  <c r="M57" i="3" s="1"/>
  <c r="O57" i="3" s="1"/>
  <c r="L57" i="3"/>
  <c r="P57" i="3"/>
  <c r="A58" i="3"/>
  <c r="B58" i="3"/>
  <c r="C58" i="3"/>
  <c r="I58" i="3"/>
  <c r="J58" i="3"/>
  <c r="K58" i="3"/>
  <c r="M58" i="3" s="1"/>
  <c r="O58" i="3" s="1"/>
  <c r="L58" i="3"/>
  <c r="P58" i="3"/>
  <c r="A59" i="3"/>
  <c r="B59" i="3"/>
  <c r="C59" i="3"/>
  <c r="I59" i="3"/>
  <c r="J59" i="3"/>
  <c r="K59" i="3"/>
  <c r="M59" i="3" s="1"/>
  <c r="O59" i="3" s="1"/>
  <c r="L59" i="3"/>
  <c r="P59" i="3"/>
  <c r="A60" i="3"/>
  <c r="B60" i="3"/>
  <c r="C60" i="3"/>
  <c r="I60" i="3"/>
  <c r="J60" i="3"/>
  <c r="K60" i="3"/>
  <c r="M60" i="3" s="1"/>
  <c r="O60" i="3" s="1"/>
  <c r="L60" i="3"/>
  <c r="P60" i="3"/>
  <c r="A61" i="3"/>
  <c r="B61" i="3"/>
  <c r="C61" i="3"/>
  <c r="I61" i="3"/>
  <c r="J61" i="3"/>
  <c r="K61" i="3"/>
  <c r="M61" i="3" s="1"/>
  <c r="O61" i="3" s="1"/>
  <c r="L61" i="3"/>
  <c r="P61" i="3"/>
  <c r="A62" i="3"/>
  <c r="B62" i="3"/>
  <c r="C62" i="3"/>
  <c r="I62" i="3"/>
  <c r="J62" i="3"/>
  <c r="K62" i="3"/>
  <c r="M62" i="3" s="1"/>
  <c r="O62" i="3" s="1"/>
  <c r="L62" i="3"/>
  <c r="P62" i="3"/>
  <c r="A63" i="3"/>
  <c r="B63" i="3"/>
  <c r="C63" i="3"/>
  <c r="I63" i="3"/>
  <c r="J63" i="3"/>
  <c r="K63" i="3"/>
  <c r="M63" i="3" s="1"/>
  <c r="O63" i="3" s="1"/>
  <c r="L63" i="3"/>
  <c r="P63" i="3"/>
  <c r="A64" i="3"/>
  <c r="B64" i="3"/>
  <c r="C64" i="3"/>
  <c r="I64" i="3"/>
  <c r="J64" i="3"/>
  <c r="K64" i="3"/>
  <c r="M64" i="3" s="1"/>
  <c r="O64" i="3" s="1"/>
  <c r="L64" i="3"/>
  <c r="P64" i="3"/>
  <c r="A65" i="3"/>
  <c r="B65" i="3"/>
  <c r="C65" i="3"/>
  <c r="I65" i="3"/>
  <c r="J65" i="3"/>
  <c r="K65" i="3"/>
  <c r="M65" i="3" s="1"/>
  <c r="O65" i="3" s="1"/>
  <c r="L65" i="3"/>
  <c r="P65" i="3"/>
  <c r="A66" i="3"/>
  <c r="B66" i="3"/>
  <c r="C66" i="3"/>
  <c r="I66" i="3"/>
  <c r="J66" i="3"/>
  <c r="K66" i="3"/>
  <c r="M66" i="3" s="1"/>
  <c r="O66" i="3" s="1"/>
  <c r="L66" i="3"/>
  <c r="P66" i="3"/>
  <c r="A67" i="3"/>
  <c r="B67" i="3"/>
  <c r="C67" i="3"/>
  <c r="I67" i="3"/>
  <c r="J67" i="3"/>
  <c r="K67" i="3"/>
  <c r="M67" i="3" s="1"/>
  <c r="O67" i="3" s="1"/>
  <c r="L67" i="3"/>
  <c r="P67" i="3"/>
  <c r="A68" i="3"/>
  <c r="B68" i="3"/>
  <c r="C68" i="3"/>
  <c r="I68" i="3"/>
  <c r="J68" i="3"/>
  <c r="K68" i="3"/>
  <c r="M68" i="3" s="1"/>
  <c r="O68" i="3" s="1"/>
  <c r="L68" i="3"/>
  <c r="P68" i="3"/>
  <c r="A69" i="3"/>
  <c r="B69" i="3"/>
  <c r="C69" i="3"/>
  <c r="I69" i="3"/>
  <c r="J69" i="3"/>
  <c r="K69" i="3"/>
  <c r="M69" i="3" s="1"/>
  <c r="O69" i="3" s="1"/>
  <c r="L69" i="3"/>
  <c r="P69" i="3"/>
  <c r="A70" i="3"/>
  <c r="B70" i="3"/>
  <c r="C70" i="3"/>
  <c r="I70" i="3"/>
  <c r="J70" i="3"/>
  <c r="K70" i="3"/>
  <c r="M70" i="3" s="1"/>
  <c r="O70" i="3" s="1"/>
  <c r="L70" i="3"/>
  <c r="P70" i="3"/>
  <c r="A71" i="3"/>
  <c r="B71" i="3"/>
  <c r="C71" i="3"/>
  <c r="I71" i="3"/>
  <c r="J71" i="3"/>
  <c r="K71" i="3"/>
  <c r="M71" i="3" s="1"/>
  <c r="O71" i="3" s="1"/>
  <c r="L71" i="3"/>
  <c r="P71" i="3"/>
  <c r="A72" i="3"/>
  <c r="B72" i="3"/>
  <c r="C72" i="3"/>
  <c r="I72" i="3"/>
  <c r="J72" i="3"/>
  <c r="K72" i="3"/>
  <c r="M72" i="3" s="1"/>
  <c r="O72" i="3" s="1"/>
  <c r="L72" i="3"/>
  <c r="P72" i="3"/>
  <c r="A73" i="3"/>
  <c r="B73" i="3"/>
  <c r="C73" i="3"/>
  <c r="I73" i="3"/>
  <c r="J73" i="3"/>
  <c r="K73" i="3"/>
  <c r="M73" i="3" s="1"/>
  <c r="O73" i="3" s="1"/>
  <c r="L73" i="3"/>
  <c r="P73" i="3"/>
  <c r="A74" i="3"/>
  <c r="B74" i="3"/>
  <c r="C74" i="3"/>
  <c r="I74" i="3"/>
  <c r="J74" i="3"/>
  <c r="K74" i="3"/>
  <c r="M74" i="3" s="1"/>
  <c r="O74" i="3" s="1"/>
  <c r="L74" i="3"/>
  <c r="P74" i="3"/>
  <c r="A75" i="3"/>
  <c r="B75" i="3"/>
  <c r="C75" i="3"/>
  <c r="I75" i="3"/>
  <c r="J75" i="3"/>
  <c r="K75" i="3"/>
  <c r="M75" i="3" s="1"/>
  <c r="O75" i="3" s="1"/>
  <c r="L75" i="3"/>
  <c r="P75" i="3"/>
  <c r="A76" i="3"/>
  <c r="B76" i="3"/>
  <c r="C76" i="3"/>
  <c r="I76" i="3"/>
  <c r="J76" i="3"/>
  <c r="K76" i="3"/>
  <c r="M76" i="3" s="1"/>
  <c r="O76" i="3" s="1"/>
  <c r="L76" i="3"/>
  <c r="P76" i="3"/>
  <c r="A77" i="3"/>
  <c r="B77" i="3"/>
  <c r="C77" i="3"/>
  <c r="I77" i="3"/>
  <c r="J77" i="3"/>
  <c r="K77" i="3"/>
  <c r="M77" i="3" s="1"/>
  <c r="O77" i="3" s="1"/>
  <c r="L77" i="3"/>
  <c r="P77" i="3"/>
  <c r="A78" i="3"/>
  <c r="B78" i="3"/>
  <c r="C78" i="3"/>
  <c r="I78" i="3"/>
  <c r="J78" i="3"/>
  <c r="K78" i="3"/>
  <c r="M78" i="3" s="1"/>
  <c r="O78" i="3" s="1"/>
  <c r="L78" i="3"/>
  <c r="P78" i="3"/>
  <c r="A79" i="3"/>
  <c r="B79" i="3"/>
  <c r="C79" i="3"/>
  <c r="I79" i="3"/>
  <c r="J79" i="3"/>
  <c r="K79" i="3"/>
  <c r="M79" i="3" s="1"/>
  <c r="O79" i="3" s="1"/>
  <c r="L79" i="3"/>
  <c r="P79" i="3"/>
  <c r="A80" i="3"/>
  <c r="B80" i="3"/>
  <c r="C80" i="3"/>
  <c r="I80" i="3"/>
  <c r="J80" i="3"/>
  <c r="K80" i="3"/>
  <c r="M80" i="3" s="1"/>
  <c r="O80" i="3" s="1"/>
  <c r="L80" i="3"/>
  <c r="P80" i="3"/>
  <c r="A81" i="3"/>
  <c r="B81" i="3"/>
  <c r="C81" i="3"/>
  <c r="I81" i="3"/>
  <c r="J81" i="3"/>
  <c r="K81" i="3"/>
  <c r="M81" i="3" s="1"/>
  <c r="O81" i="3" s="1"/>
  <c r="L81" i="3"/>
  <c r="P81" i="3"/>
  <c r="A82" i="3"/>
  <c r="B82" i="3"/>
  <c r="C82" i="3"/>
  <c r="I82" i="3"/>
  <c r="J82" i="3"/>
  <c r="K82" i="3"/>
  <c r="M82" i="3" s="1"/>
  <c r="O82" i="3" s="1"/>
  <c r="L82" i="3"/>
  <c r="P82" i="3"/>
  <c r="A83" i="3"/>
  <c r="B83" i="3"/>
  <c r="C83" i="3"/>
  <c r="I83" i="3"/>
  <c r="J83" i="3"/>
  <c r="K83" i="3"/>
  <c r="M83" i="3" s="1"/>
  <c r="O83" i="3" s="1"/>
  <c r="L83" i="3"/>
  <c r="P83" i="3"/>
  <c r="A84" i="3"/>
  <c r="B84" i="3"/>
  <c r="C84" i="3"/>
  <c r="I84" i="3"/>
  <c r="J84" i="3"/>
  <c r="K84" i="3"/>
  <c r="M84" i="3" s="1"/>
  <c r="O84" i="3" s="1"/>
  <c r="L84" i="3"/>
  <c r="P84" i="3"/>
  <c r="A85" i="3"/>
  <c r="B85" i="3"/>
  <c r="C85" i="3"/>
  <c r="I85" i="3"/>
  <c r="J85" i="3"/>
  <c r="K85" i="3"/>
  <c r="M85" i="3" s="1"/>
  <c r="O85" i="3" s="1"/>
  <c r="L85" i="3"/>
  <c r="P85" i="3"/>
  <c r="A86" i="3"/>
  <c r="B86" i="3"/>
  <c r="C86" i="3"/>
  <c r="I86" i="3"/>
  <c r="J86" i="3"/>
  <c r="K86" i="3"/>
  <c r="M86" i="3" s="1"/>
  <c r="O86" i="3" s="1"/>
  <c r="L86" i="3"/>
  <c r="P86" i="3"/>
  <c r="A87" i="3"/>
  <c r="B87" i="3"/>
  <c r="C87" i="3"/>
  <c r="I87" i="3"/>
  <c r="J87" i="3"/>
  <c r="K87" i="3"/>
  <c r="M87" i="3" s="1"/>
  <c r="O87" i="3" s="1"/>
  <c r="L87" i="3"/>
  <c r="P87" i="3"/>
  <c r="A88" i="3"/>
  <c r="B88" i="3"/>
  <c r="C88" i="3"/>
  <c r="I88" i="3"/>
  <c r="J88" i="3"/>
  <c r="K88" i="3"/>
  <c r="M88" i="3" s="1"/>
  <c r="O88" i="3" s="1"/>
  <c r="L88" i="3"/>
  <c r="P88" i="3"/>
  <c r="A89" i="3"/>
  <c r="B89" i="3"/>
  <c r="C89" i="3"/>
  <c r="I89" i="3"/>
  <c r="J89" i="3"/>
  <c r="K89" i="3"/>
  <c r="M89" i="3" s="1"/>
  <c r="O89" i="3" s="1"/>
  <c r="L89" i="3"/>
  <c r="P89" i="3"/>
  <c r="A90" i="3"/>
  <c r="B90" i="3"/>
  <c r="C90" i="3"/>
  <c r="I90" i="3"/>
  <c r="J90" i="3"/>
  <c r="K90" i="3"/>
  <c r="M90" i="3" s="1"/>
  <c r="O90" i="3" s="1"/>
  <c r="L90" i="3"/>
  <c r="P90" i="3"/>
  <c r="A91" i="3"/>
  <c r="B91" i="3"/>
  <c r="C91" i="3"/>
  <c r="I91" i="3"/>
  <c r="J91" i="3"/>
  <c r="K91" i="3"/>
  <c r="M91" i="3" s="1"/>
  <c r="O91" i="3" s="1"/>
  <c r="L91" i="3"/>
  <c r="P91" i="3"/>
  <c r="A92" i="3"/>
  <c r="B92" i="3"/>
  <c r="C92" i="3"/>
  <c r="I92" i="3"/>
  <c r="J92" i="3"/>
  <c r="K92" i="3"/>
  <c r="M92" i="3" s="1"/>
  <c r="O92" i="3" s="1"/>
  <c r="L92" i="3"/>
  <c r="P92" i="3"/>
  <c r="A93" i="3"/>
  <c r="B93" i="3"/>
  <c r="C93" i="3"/>
  <c r="I93" i="3"/>
  <c r="J93" i="3"/>
  <c r="K93" i="3"/>
  <c r="M93" i="3" s="1"/>
  <c r="O93" i="3" s="1"/>
  <c r="L93" i="3"/>
  <c r="P93" i="3"/>
  <c r="A94" i="3"/>
  <c r="B94" i="3"/>
  <c r="C94" i="3"/>
  <c r="I94" i="3"/>
  <c r="J94" i="3"/>
  <c r="K94" i="3"/>
  <c r="M94" i="3" s="1"/>
  <c r="O94" i="3" s="1"/>
  <c r="L94" i="3"/>
  <c r="P94" i="3"/>
  <c r="A95" i="3"/>
  <c r="B95" i="3"/>
  <c r="C95" i="3"/>
  <c r="I95" i="3"/>
  <c r="J95" i="3"/>
  <c r="K95" i="3"/>
  <c r="M95" i="3" s="1"/>
  <c r="O95" i="3" s="1"/>
  <c r="L95" i="3"/>
  <c r="P95" i="3"/>
  <c r="A96" i="3"/>
  <c r="B96" i="3"/>
  <c r="C96" i="3"/>
  <c r="I96" i="3"/>
  <c r="J96" i="3"/>
  <c r="K96" i="3"/>
  <c r="M96" i="3" s="1"/>
  <c r="O96" i="3" s="1"/>
  <c r="L96" i="3"/>
  <c r="P96" i="3"/>
  <c r="A97" i="3"/>
  <c r="B97" i="3"/>
  <c r="C97" i="3"/>
  <c r="I97" i="3"/>
  <c r="J97" i="3"/>
  <c r="K97" i="3"/>
  <c r="M97" i="3" s="1"/>
  <c r="O97" i="3" s="1"/>
  <c r="L97" i="3"/>
  <c r="P97" i="3"/>
  <c r="A98" i="3"/>
  <c r="B98" i="3"/>
  <c r="C98" i="3"/>
  <c r="I98" i="3"/>
  <c r="J98" i="3"/>
  <c r="K98" i="3"/>
  <c r="M98" i="3" s="1"/>
  <c r="O98" i="3" s="1"/>
  <c r="L98" i="3"/>
  <c r="P98" i="3"/>
  <c r="A99" i="3"/>
  <c r="B99" i="3"/>
  <c r="C99" i="3"/>
  <c r="I99" i="3"/>
  <c r="J99" i="3"/>
  <c r="K99" i="3"/>
  <c r="M99" i="3" s="1"/>
  <c r="O99" i="3" s="1"/>
  <c r="L99" i="3"/>
  <c r="P99" i="3"/>
  <c r="A100" i="3"/>
  <c r="B100" i="3"/>
  <c r="C100" i="3"/>
  <c r="I100" i="3"/>
  <c r="J100" i="3"/>
  <c r="K100" i="3"/>
  <c r="M100" i="3" s="1"/>
  <c r="O100" i="3" s="1"/>
  <c r="L100" i="3"/>
  <c r="P100" i="3"/>
  <c r="A101" i="3"/>
  <c r="B101" i="3"/>
  <c r="C101" i="3"/>
  <c r="I101" i="3"/>
  <c r="J101" i="3"/>
  <c r="K101" i="3"/>
  <c r="M101" i="3" s="1"/>
  <c r="O101" i="3" s="1"/>
  <c r="L101" i="3"/>
  <c r="P101" i="3"/>
  <c r="A102" i="3"/>
  <c r="B102" i="3"/>
  <c r="C102" i="3"/>
  <c r="I102" i="3"/>
  <c r="J102" i="3"/>
  <c r="K102" i="3"/>
  <c r="M102" i="3" s="1"/>
  <c r="O102" i="3" s="1"/>
  <c r="L102" i="3"/>
  <c r="P102" i="3"/>
  <c r="A103" i="3"/>
  <c r="B103" i="3"/>
  <c r="C103" i="3"/>
  <c r="I103" i="3"/>
  <c r="J103" i="3"/>
  <c r="K103" i="3"/>
  <c r="M103" i="3" s="1"/>
  <c r="O103" i="3" s="1"/>
  <c r="L103" i="3"/>
  <c r="P103" i="3"/>
  <c r="A104" i="3"/>
  <c r="B104" i="3"/>
  <c r="C104" i="3"/>
  <c r="I104" i="3"/>
  <c r="J104" i="3"/>
  <c r="K104" i="3"/>
  <c r="M104" i="3" s="1"/>
  <c r="O104" i="3" s="1"/>
  <c r="L104" i="3"/>
  <c r="P104" i="3"/>
  <c r="A105" i="3"/>
  <c r="B105" i="3"/>
  <c r="C105" i="3"/>
  <c r="I105" i="3"/>
  <c r="J105" i="3"/>
  <c r="K105" i="3"/>
  <c r="M105" i="3" s="1"/>
  <c r="O105" i="3" s="1"/>
  <c r="L105" i="3"/>
  <c r="P105" i="3"/>
  <c r="A106" i="3"/>
  <c r="B106" i="3"/>
  <c r="C106" i="3"/>
  <c r="I106" i="3"/>
  <c r="J106" i="3"/>
  <c r="K106" i="3"/>
  <c r="M106" i="3" s="1"/>
  <c r="O106" i="3" s="1"/>
  <c r="L106" i="3"/>
  <c r="P106" i="3"/>
  <c r="A107" i="3"/>
  <c r="B107" i="3"/>
  <c r="C107" i="3"/>
  <c r="I107" i="3"/>
  <c r="J107" i="3"/>
  <c r="K107" i="3"/>
  <c r="M107" i="3" s="1"/>
  <c r="O107" i="3" s="1"/>
  <c r="L107" i="3"/>
  <c r="P107" i="3"/>
  <c r="A108" i="3"/>
  <c r="B108" i="3"/>
  <c r="C108" i="3"/>
  <c r="I108" i="3"/>
  <c r="J108" i="3"/>
  <c r="K108" i="3"/>
  <c r="M108" i="3" s="1"/>
  <c r="O108" i="3" s="1"/>
  <c r="L108" i="3"/>
  <c r="P108" i="3"/>
  <c r="A109" i="3"/>
  <c r="B109" i="3"/>
  <c r="C109" i="3"/>
  <c r="I109" i="3"/>
  <c r="J109" i="3"/>
  <c r="K109" i="3"/>
  <c r="M109" i="3" s="1"/>
  <c r="L109" i="3"/>
  <c r="P109" i="3"/>
  <c r="A110" i="3"/>
  <c r="B110" i="3"/>
  <c r="C110" i="3"/>
  <c r="I110" i="3"/>
  <c r="J110" i="3"/>
  <c r="K110" i="3"/>
  <c r="M110" i="3" s="1"/>
  <c r="O110" i="3" s="1"/>
  <c r="L110" i="3"/>
  <c r="P110" i="3"/>
  <c r="A111" i="3"/>
  <c r="B111" i="3"/>
  <c r="C111" i="3"/>
  <c r="I111" i="3"/>
  <c r="J111" i="3"/>
  <c r="K111" i="3"/>
  <c r="M111" i="3" s="1"/>
  <c r="O111" i="3" s="1"/>
  <c r="L111" i="3"/>
  <c r="P111" i="3"/>
  <c r="A112" i="3"/>
  <c r="B112" i="3"/>
  <c r="C112" i="3"/>
  <c r="I112" i="3"/>
  <c r="J112" i="3"/>
  <c r="K112" i="3"/>
  <c r="M112" i="3" s="1"/>
  <c r="O112" i="3" s="1"/>
  <c r="L112" i="3"/>
  <c r="P112" i="3"/>
  <c r="A113" i="3"/>
  <c r="B113" i="3"/>
  <c r="C113" i="3"/>
  <c r="I113" i="3"/>
  <c r="J113" i="3"/>
  <c r="K113" i="3"/>
  <c r="M113" i="3" s="1"/>
  <c r="O113" i="3" s="1"/>
  <c r="L113" i="3"/>
  <c r="P113" i="3"/>
  <c r="A114" i="3"/>
  <c r="B114" i="3"/>
  <c r="C114" i="3"/>
  <c r="I114" i="3"/>
  <c r="J114" i="3"/>
  <c r="K114" i="3"/>
  <c r="M114" i="3" s="1"/>
  <c r="O114" i="3" s="1"/>
  <c r="L114" i="3"/>
  <c r="P114" i="3"/>
  <c r="A115" i="3"/>
  <c r="B115" i="3"/>
  <c r="C115" i="3"/>
  <c r="I115" i="3"/>
  <c r="J115" i="3"/>
  <c r="K115" i="3"/>
  <c r="M115" i="3" s="1"/>
  <c r="O115" i="3" s="1"/>
  <c r="L115" i="3"/>
  <c r="P115" i="3"/>
  <c r="A116" i="3"/>
  <c r="B116" i="3"/>
  <c r="C116" i="3"/>
  <c r="I116" i="3"/>
  <c r="J116" i="3"/>
  <c r="K116" i="3"/>
  <c r="M116" i="3" s="1"/>
  <c r="O116" i="3" s="1"/>
  <c r="L116" i="3"/>
  <c r="P116" i="3"/>
  <c r="A117" i="3"/>
  <c r="B117" i="3"/>
  <c r="C117" i="3"/>
  <c r="I117" i="3"/>
  <c r="J117" i="3"/>
  <c r="K117" i="3"/>
  <c r="M117" i="3" s="1"/>
  <c r="O117" i="3" s="1"/>
  <c r="L117" i="3"/>
  <c r="P117" i="3"/>
  <c r="A118" i="3"/>
  <c r="B118" i="3"/>
  <c r="C118" i="3"/>
  <c r="I118" i="3"/>
  <c r="J118" i="3"/>
  <c r="K118" i="3"/>
  <c r="M118" i="3" s="1"/>
  <c r="O118" i="3" s="1"/>
  <c r="L118" i="3"/>
  <c r="P118" i="3"/>
  <c r="A119" i="3"/>
  <c r="B119" i="3"/>
  <c r="C119" i="3"/>
  <c r="I119" i="3"/>
  <c r="J119" i="3"/>
  <c r="K119" i="3"/>
  <c r="M119" i="3" s="1"/>
  <c r="O119" i="3" s="1"/>
  <c r="L119" i="3"/>
  <c r="P119" i="3"/>
  <c r="A120" i="3"/>
  <c r="B120" i="3"/>
  <c r="C120" i="3"/>
  <c r="I120" i="3"/>
  <c r="J120" i="3"/>
  <c r="K120" i="3"/>
  <c r="M120" i="3" s="1"/>
  <c r="O120" i="3" s="1"/>
  <c r="L120" i="3"/>
  <c r="P120" i="3"/>
  <c r="A121" i="3"/>
  <c r="B121" i="3"/>
  <c r="C121" i="3"/>
  <c r="I121" i="3"/>
  <c r="J121" i="3"/>
  <c r="K121" i="3"/>
  <c r="M121" i="3" s="1"/>
  <c r="O121" i="3" s="1"/>
  <c r="L121" i="3"/>
  <c r="P121" i="3"/>
  <c r="A122" i="3"/>
  <c r="B122" i="3"/>
  <c r="C122" i="3"/>
  <c r="I122" i="3"/>
  <c r="J122" i="3"/>
  <c r="K122" i="3"/>
  <c r="M122" i="3" s="1"/>
  <c r="O122" i="3" s="1"/>
  <c r="L122" i="3"/>
  <c r="P122" i="3"/>
  <c r="A123" i="3"/>
  <c r="B123" i="3"/>
  <c r="C123" i="3"/>
  <c r="I123" i="3"/>
  <c r="J123" i="3"/>
  <c r="K123" i="3"/>
  <c r="M123" i="3" s="1"/>
  <c r="O123" i="3" s="1"/>
  <c r="L123" i="3"/>
  <c r="P123" i="3"/>
  <c r="A124" i="3"/>
  <c r="B124" i="3"/>
  <c r="C124" i="3"/>
  <c r="I124" i="3"/>
  <c r="J124" i="3"/>
  <c r="K124" i="3"/>
  <c r="M124" i="3" s="1"/>
  <c r="O124" i="3" s="1"/>
  <c r="L124" i="3"/>
  <c r="P124" i="3"/>
  <c r="A125" i="3"/>
  <c r="B125" i="3"/>
  <c r="C125" i="3"/>
  <c r="I125" i="3"/>
  <c r="J125" i="3"/>
  <c r="K125" i="3"/>
  <c r="M125" i="3" s="1"/>
  <c r="O125" i="3" s="1"/>
  <c r="L125" i="3"/>
  <c r="P125" i="3"/>
  <c r="A126" i="3"/>
  <c r="B126" i="3"/>
  <c r="C126" i="3"/>
  <c r="I126" i="3"/>
  <c r="J126" i="3"/>
  <c r="K126" i="3"/>
  <c r="M126" i="3" s="1"/>
  <c r="O126" i="3" s="1"/>
  <c r="L126" i="3"/>
  <c r="P126" i="3"/>
  <c r="A127" i="3"/>
  <c r="B127" i="3"/>
  <c r="C127" i="3"/>
  <c r="I127" i="3"/>
  <c r="J127" i="3"/>
  <c r="K127" i="3"/>
  <c r="M127" i="3" s="1"/>
  <c r="O127" i="3" s="1"/>
  <c r="L127" i="3"/>
  <c r="P127" i="3"/>
  <c r="A128" i="3"/>
  <c r="B128" i="3"/>
  <c r="C128" i="3"/>
  <c r="I128" i="3"/>
  <c r="J128" i="3"/>
  <c r="K128" i="3"/>
  <c r="M128" i="3" s="1"/>
  <c r="L128" i="3"/>
  <c r="P128" i="3"/>
  <c r="A129" i="3"/>
  <c r="B129" i="3"/>
  <c r="C129" i="3"/>
  <c r="I129" i="3"/>
  <c r="J129" i="3"/>
  <c r="K129" i="3"/>
  <c r="M129" i="3" s="1"/>
  <c r="O129" i="3" s="1"/>
  <c r="L129" i="3"/>
  <c r="P129" i="3"/>
  <c r="A130" i="3"/>
  <c r="B130" i="3"/>
  <c r="C130" i="3"/>
  <c r="I130" i="3"/>
  <c r="J130" i="3"/>
  <c r="K130" i="3"/>
  <c r="M130" i="3" s="1"/>
  <c r="O130" i="3" s="1"/>
  <c r="L130" i="3"/>
  <c r="P130" i="3"/>
  <c r="A131" i="3"/>
  <c r="B131" i="3"/>
  <c r="C131" i="3"/>
  <c r="I131" i="3"/>
  <c r="J131" i="3"/>
  <c r="K131" i="3"/>
  <c r="M131" i="3" s="1"/>
  <c r="O131" i="3" s="1"/>
  <c r="L131" i="3"/>
  <c r="P131" i="3"/>
  <c r="A132" i="3"/>
  <c r="B132" i="3"/>
  <c r="C132" i="3"/>
  <c r="I132" i="3"/>
  <c r="J132" i="3"/>
  <c r="K132" i="3"/>
  <c r="M132" i="3" s="1"/>
  <c r="O132" i="3" s="1"/>
  <c r="L132" i="3"/>
  <c r="P132" i="3"/>
  <c r="A133" i="3"/>
  <c r="B133" i="3"/>
  <c r="C133" i="3"/>
  <c r="I133" i="3"/>
  <c r="J133" i="3"/>
  <c r="K133" i="3"/>
  <c r="M133" i="3" s="1"/>
  <c r="O133" i="3" s="1"/>
  <c r="L133" i="3"/>
  <c r="P133" i="3"/>
  <c r="A134" i="3"/>
  <c r="B134" i="3"/>
  <c r="C134" i="3"/>
  <c r="I134" i="3"/>
  <c r="J134" i="3"/>
  <c r="K134" i="3"/>
  <c r="M134" i="3" s="1"/>
  <c r="O134" i="3" s="1"/>
  <c r="L134" i="3"/>
  <c r="P134" i="3"/>
  <c r="A135" i="3"/>
  <c r="B135" i="3"/>
  <c r="C135" i="3"/>
  <c r="I135" i="3"/>
  <c r="J135" i="3"/>
  <c r="K135" i="3"/>
  <c r="M135" i="3" s="1"/>
  <c r="O135" i="3" s="1"/>
  <c r="L135" i="3"/>
  <c r="P135" i="3"/>
  <c r="A136" i="3"/>
  <c r="B136" i="3"/>
  <c r="C136" i="3"/>
  <c r="I136" i="3"/>
  <c r="J136" i="3"/>
  <c r="K136" i="3"/>
  <c r="M136" i="3" s="1"/>
  <c r="O136" i="3" s="1"/>
  <c r="L136" i="3"/>
  <c r="P136" i="3"/>
  <c r="A137" i="3"/>
  <c r="B137" i="3"/>
  <c r="C137" i="3"/>
  <c r="I137" i="3"/>
  <c r="J137" i="3"/>
  <c r="K137" i="3"/>
  <c r="M137" i="3" s="1"/>
  <c r="O137" i="3" s="1"/>
  <c r="L137" i="3"/>
  <c r="P137" i="3"/>
  <c r="A138" i="3"/>
  <c r="B138" i="3"/>
  <c r="C138" i="3"/>
  <c r="I138" i="3"/>
  <c r="J138" i="3"/>
  <c r="K138" i="3"/>
  <c r="M138" i="3" s="1"/>
  <c r="O138" i="3" s="1"/>
  <c r="L138" i="3"/>
  <c r="P138" i="3"/>
  <c r="A139" i="3"/>
  <c r="B139" i="3"/>
  <c r="C139" i="3"/>
  <c r="I139" i="3"/>
  <c r="J139" i="3"/>
  <c r="K139" i="3"/>
  <c r="M139" i="3" s="1"/>
  <c r="O139" i="3" s="1"/>
  <c r="L139" i="3"/>
  <c r="P139" i="3"/>
  <c r="A140" i="3"/>
  <c r="B140" i="3"/>
  <c r="C140" i="3"/>
  <c r="I140" i="3"/>
  <c r="J140" i="3"/>
  <c r="K140" i="3"/>
  <c r="M140" i="3" s="1"/>
  <c r="O140" i="3" s="1"/>
  <c r="L140" i="3"/>
  <c r="P140" i="3"/>
  <c r="A141" i="3"/>
  <c r="B141" i="3"/>
  <c r="C141" i="3"/>
  <c r="I141" i="3"/>
  <c r="J141" i="3"/>
  <c r="K141" i="3"/>
  <c r="M141" i="3" s="1"/>
  <c r="O141" i="3" s="1"/>
  <c r="L141" i="3"/>
  <c r="P141" i="3"/>
  <c r="A142" i="3"/>
  <c r="B142" i="3"/>
  <c r="C142" i="3"/>
  <c r="I142" i="3"/>
  <c r="J142" i="3"/>
  <c r="K142" i="3"/>
  <c r="M142" i="3" s="1"/>
  <c r="O142" i="3" s="1"/>
  <c r="L142" i="3"/>
  <c r="P142" i="3"/>
  <c r="A143" i="3"/>
  <c r="B143" i="3"/>
  <c r="C143" i="3"/>
  <c r="I143" i="3"/>
  <c r="J143" i="3"/>
  <c r="K143" i="3"/>
  <c r="M143" i="3" s="1"/>
  <c r="O143" i="3" s="1"/>
  <c r="L143" i="3"/>
  <c r="P143" i="3"/>
  <c r="A144" i="3"/>
  <c r="B144" i="3"/>
  <c r="C144" i="3"/>
  <c r="I144" i="3"/>
  <c r="J144" i="3"/>
  <c r="K144" i="3"/>
  <c r="M144" i="3" s="1"/>
  <c r="O144" i="3" s="1"/>
  <c r="L144" i="3"/>
  <c r="P144" i="3"/>
  <c r="A145" i="3"/>
  <c r="B145" i="3"/>
  <c r="C145" i="3"/>
  <c r="I145" i="3"/>
  <c r="J145" i="3"/>
  <c r="K145" i="3"/>
  <c r="M145" i="3" s="1"/>
  <c r="O145" i="3" s="1"/>
  <c r="L145" i="3"/>
  <c r="P145" i="3"/>
  <c r="A146" i="3"/>
  <c r="B146" i="3"/>
  <c r="C146" i="3"/>
  <c r="I146" i="3"/>
  <c r="J146" i="3"/>
  <c r="K146" i="3"/>
  <c r="M146" i="3" s="1"/>
  <c r="O146" i="3" s="1"/>
  <c r="L146" i="3"/>
  <c r="P146" i="3"/>
  <c r="A147" i="3"/>
  <c r="B147" i="3"/>
  <c r="C147" i="3"/>
  <c r="I147" i="3"/>
  <c r="J147" i="3"/>
  <c r="K147" i="3"/>
  <c r="M147" i="3" s="1"/>
  <c r="O147" i="3" s="1"/>
  <c r="L147" i="3"/>
  <c r="P147" i="3"/>
  <c r="A148" i="3"/>
  <c r="B148" i="3"/>
  <c r="C148" i="3"/>
  <c r="I148" i="3"/>
  <c r="J148" i="3"/>
  <c r="K148" i="3"/>
  <c r="M148" i="3" s="1"/>
  <c r="O148" i="3" s="1"/>
  <c r="L148" i="3"/>
  <c r="P148" i="3"/>
  <c r="A149" i="3"/>
  <c r="B149" i="3"/>
  <c r="C149" i="3"/>
  <c r="I149" i="3"/>
  <c r="J149" i="3"/>
  <c r="K149" i="3"/>
  <c r="M149" i="3" s="1"/>
  <c r="O149" i="3" s="1"/>
  <c r="L149" i="3"/>
  <c r="P149" i="3"/>
  <c r="A150" i="3"/>
  <c r="B150" i="3"/>
  <c r="C150" i="3"/>
  <c r="I150" i="3"/>
  <c r="J150" i="3"/>
  <c r="K150" i="3"/>
  <c r="M150" i="3" s="1"/>
  <c r="O150" i="3" s="1"/>
  <c r="L150" i="3"/>
  <c r="P150" i="3"/>
  <c r="A151" i="3"/>
  <c r="B151" i="3"/>
  <c r="C151" i="3"/>
  <c r="I151" i="3"/>
  <c r="J151" i="3"/>
  <c r="K151" i="3"/>
  <c r="M151" i="3" s="1"/>
  <c r="O151" i="3" s="1"/>
  <c r="L151" i="3"/>
  <c r="P151" i="3"/>
  <c r="A152" i="3"/>
  <c r="B152" i="3"/>
  <c r="C152" i="3"/>
  <c r="I152" i="3"/>
  <c r="J152" i="3"/>
  <c r="K152" i="3"/>
  <c r="M152" i="3" s="1"/>
  <c r="O152" i="3" s="1"/>
  <c r="L152" i="3"/>
  <c r="P152" i="3"/>
  <c r="O13" i="3" l="1"/>
  <c r="N13" i="3" s="1"/>
  <c r="N128" i="3"/>
  <c r="O128" i="3"/>
  <c r="N109" i="3"/>
  <c r="O109" i="3"/>
  <c r="N93" i="3"/>
  <c r="N51" i="3"/>
  <c r="N84" i="3"/>
  <c r="N59" i="3"/>
  <c r="N121" i="3"/>
  <c r="N87" i="3"/>
  <c r="N83" i="3"/>
  <c r="N137" i="3"/>
  <c r="D148" i="3"/>
  <c r="E148" i="3" s="1"/>
  <c r="D147" i="3"/>
  <c r="N53" i="3"/>
  <c r="N50" i="3"/>
  <c r="D75" i="3"/>
  <c r="D74" i="3"/>
  <c r="D67" i="3"/>
  <c r="E67" i="3" s="1"/>
  <c r="D34" i="3"/>
  <c r="E34" i="3" s="1"/>
  <c r="D25" i="3"/>
  <c r="N68" i="3"/>
  <c r="N145" i="3"/>
  <c r="N141" i="3"/>
  <c r="N138" i="3"/>
  <c r="D137" i="3"/>
  <c r="E137" i="3" s="1"/>
  <c r="D112" i="3"/>
  <c r="E112" i="3" s="1"/>
  <c r="D59" i="3"/>
  <c r="E59" i="3" s="1"/>
  <c r="D53" i="3"/>
  <c r="E53" i="3" s="1"/>
  <c r="D45" i="3"/>
  <c r="E45" i="3" s="1"/>
  <c r="N98" i="3"/>
  <c r="N76" i="3"/>
  <c r="D129" i="3"/>
  <c r="E129" i="3" s="1"/>
  <c r="D128" i="3"/>
  <c r="E128" i="3" s="1"/>
  <c r="N108" i="3"/>
  <c r="N107" i="3"/>
  <c r="N106" i="3"/>
  <c r="N101" i="3"/>
  <c r="N71" i="3"/>
  <c r="D50" i="3"/>
  <c r="N18" i="3"/>
  <c r="D119" i="3"/>
  <c r="E119" i="3" s="1"/>
  <c r="D83" i="3"/>
  <c r="E83" i="3" s="1"/>
  <c r="D42" i="3"/>
  <c r="D28" i="3"/>
  <c r="E28" i="3" s="1"/>
  <c r="N129" i="3"/>
  <c r="N122" i="3"/>
  <c r="D39" i="3"/>
  <c r="E39" i="3" s="1"/>
  <c r="D35" i="3"/>
  <c r="E35" i="3" s="1"/>
  <c r="N130" i="3"/>
  <c r="N67" i="3"/>
  <c r="D27" i="3"/>
  <c r="E27" i="3" s="1"/>
  <c r="D133" i="3"/>
  <c r="N115" i="3"/>
  <c r="D93" i="3"/>
  <c r="E93" i="3" s="1"/>
  <c r="N82" i="3"/>
  <c r="N79" i="3"/>
  <c r="N95" i="3"/>
  <c r="N94" i="3"/>
  <c r="D91" i="3"/>
  <c r="E91" i="3" s="1"/>
  <c r="D89" i="3"/>
  <c r="E89" i="3" s="1"/>
  <c r="N66" i="3"/>
  <c r="N63" i="3"/>
  <c r="D58" i="3"/>
  <c r="E58" i="3" s="1"/>
  <c r="D57" i="3"/>
  <c r="D26" i="3"/>
  <c r="E26" i="3" s="1"/>
  <c r="D144" i="3"/>
  <c r="E144" i="3" s="1"/>
  <c r="D107" i="3"/>
  <c r="E107" i="3" s="1"/>
  <c r="D97" i="3"/>
  <c r="E97" i="3" s="1"/>
  <c r="D85" i="3"/>
  <c r="E85" i="3" s="1"/>
  <c r="D73" i="3"/>
  <c r="E73" i="3" s="1"/>
  <c r="D51" i="3"/>
  <c r="D134" i="3"/>
  <c r="D143" i="3"/>
  <c r="E143" i="3" s="1"/>
  <c r="D113" i="3"/>
  <c r="E113" i="3" s="1"/>
  <c r="D101" i="3"/>
  <c r="E101" i="3" s="1"/>
  <c r="D96" i="3"/>
  <c r="E96" i="3" s="1"/>
  <c r="D37" i="3"/>
  <c r="N21" i="3"/>
  <c r="D19" i="3"/>
  <c r="D18" i="3"/>
  <c r="N152" i="3"/>
  <c r="D121" i="3"/>
  <c r="E121" i="3" s="1"/>
  <c r="D98" i="3"/>
  <c r="D47" i="3"/>
  <c r="E47" i="3" s="1"/>
  <c r="D44" i="3"/>
  <c r="N42" i="3"/>
  <c r="N151" i="3"/>
  <c r="N58" i="3"/>
  <c r="N26" i="3"/>
  <c r="N146" i="3"/>
  <c r="N140" i="3"/>
  <c r="N114" i="3"/>
  <c r="D92" i="3"/>
  <c r="E92" i="3" s="1"/>
  <c r="D76" i="3"/>
  <c r="E76" i="3" s="1"/>
  <c r="D29" i="3"/>
  <c r="E29" i="3" s="1"/>
  <c r="D120" i="3"/>
  <c r="E120" i="3" s="1"/>
  <c r="N113" i="3"/>
  <c r="N92" i="3"/>
  <c r="N90" i="3"/>
  <c r="D77" i="3"/>
  <c r="D69" i="3"/>
  <c r="D68" i="3"/>
  <c r="D61" i="3"/>
  <c r="E61" i="3" s="1"/>
  <c r="D60" i="3"/>
  <c r="E60" i="3" s="1"/>
  <c r="N45" i="3"/>
  <c r="D43" i="3"/>
  <c r="N37" i="3"/>
  <c r="D32" i="3"/>
  <c r="E32" i="3" s="1"/>
  <c r="D30" i="3"/>
  <c r="D21" i="3"/>
  <c r="E21" i="3" s="1"/>
  <c r="D145" i="3"/>
  <c r="E145" i="3" s="1"/>
  <c r="D114" i="3"/>
  <c r="E114" i="3" s="1"/>
  <c r="N120" i="3"/>
  <c r="D110" i="3"/>
  <c r="E110" i="3" s="1"/>
  <c r="N136" i="3"/>
  <c r="D136" i="3"/>
  <c r="E136" i="3" s="1"/>
  <c r="D94" i="3"/>
  <c r="E94" i="3" s="1"/>
  <c r="D88" i="3"/>
  <c r="D82" i="3"/>
  <c r="E82" i="3" s="1"/>
  <c r="D66" i="3"/>
  <c r="E66" i="3" s="1"/>
  <c r="N44" i="3"/>
  <c r="N29" i="3"/>
  <c r="D20" i="3"/>
  <c r="E20" i="3" s="1"/>
  <c r="D151" i="3"/>
  <c r="D130" i="3"/>
  <c r="D152" i="3"/>
  <c r="E152" i="3" s="1"/>
  <c r="D142" i="3"/>
  <c r="E142" i="3" s="1"/>
  <c r="D141" i="3"/>
  <c r="D127" i="3"/>
  <c r="E127" i="3" s="1"/>
  <c r="D125" i="3"/>
  <c r="E125" i="3" s="1"/>
  <c r="D123" i="3"/>
  <c r="E123" i="3" s="1"/>
  <c r="D118" i="3"/>
  <c r="E118" i="3" s="1"/>
  <c r="D105" i="3"/>
  <c r="E105" i="3" s="1"/>
  <c r="N103" i="3"/>
  <c r="N99" i="3"/>
  <c r="D87" i="3"/>
  <c r="E87" i="3" s="1"/>
  <c r="D71" i="3"/>
  <c r="E71" i="3" s="1"/>
  <c r="D15" i="3"/>
  <c r="E15" i="3" s="1"/>
  <c r="D150" i="3"/>
  <c r="D139" i="3"/>
  <c r="N123" i="3"/>
  <c r="D99" i="3"/>
  <c r="E99" i="3" s="1"/>
  <c r="N144" i="3"/>
  <c r="N134" i="3"/>
  <c r="N85" i="3"/>
  <c r="N69" i="3"/>
  <c r="D52" i="3"/>
  <c r="E52" i="3" s="1"/>
  <c r="D36" i="3"/>
  <c r="N126" i="3"/>
  <c r="N149" i="3"/>
  <c r="N127" i="3"/>
  <c r="N147" i="3"/>
  <c r="N139" i="3"/>
  <c r="N142" i="3"/>
  <c r="D138" i="3"/>
  <c r="E138" i="3" s="1"/>
  <c r="N135" i="3"/>
  <c r="D122" i="3"/>
  <c r="E122" i="3" s="1"/>
  <c r="N119" i="3"/>
  <c r="N117" i="3"/>
  <c r="N116" i="3"/>
  <c r="N112" i="3"/>
  <c r="N133" i="3"/>
  <c r="N150" i="3"/>
  <c r="D135" i="3"/>
  <c r="E135" i="3" s="1"/>
  <c r="D126" i="3"/>
  <c r="E126" i="3" s="1"/>
  <c r="N124" i="3"/>
  <c r="D115" i="3"/>
  <c r="E115" i="3" s="1"/>
  <c r="N104" i="3"/>
  <c r="D80" i="3"/>
  <c r="E80" i="3" s="1"/>
  <c r="D81" i="3"/>
  <c r="E81" i="3" s="1"/>
  <c r="N74" i="3"/>
  <c r="N61" i="3"/>
  <c r="D40" i="3"/>
  <c r="E40" i="3" s="1"/>
  <c r="D41" i="3"/>
  <c r="E41" i="3" s="1"/>
  <c r="N110" i="3"/>
  <c r="N62" i="3"/>
  <c r="N41" i="3"/>
  <c r="D132" i="3"/>
  <c r="E132" i="3" s="1"/>
  <c r="D109" i="3"/>
  <c r="E109" i="3" s="1"/>
  <c r="D106" i="3"/>
  <c r="E106" i="3" s="1"/>
  <c r="D103" i="3"/>
  <c r="E103" i="3" s="1"/>
  <c r="D104" i="3"/>
  <c r="E104" i="3" s="1"/>
  <c r="N77" i="3"/>
  <c r="N78" i="3"/>
  <c r="N60" i="3"/>
  <c r="N73" i="3"/>
  <c r="D146" i="3"/>
  <c r="E146" i="3" s="1"/>
  <c r="D140" i="3"/>
  <c r="E140" i="3" s="1"/>
  <c r="N132" i="3"/>
  <c r="N131" i="3"/>
  <c r="D117" i="3"/>
  <c r="E117" i="3" s="1"/>
  <c r="D111" i="3"/>
  <c r="E111" i="3" s="1"/>
  <c r="N100" i="3"/>
  <c r="N72" i="3"/>
  <c r="N33" i="3"/>
  <c r="D102" i="3"/>
  <c r="E102" i="3" s="1"/>
  <c r="D131" i="3"/>
  <c r="E131" i="3" s="1"/>
  <c r="D116" i="3"/>
  <c r="E116" i="3" s="1"/>
  <c r="N111" i="3"/>
  <c r="N97" i="3"/>
  <c r="N88" i="3"/>
  <c r="D48" i="3"/>
  <c r="E48" i="3" s="1"/>
  <c r="D49" i="3"/>
  <c r="E49" i="3" s="1"/>
  <c r="N36" i="3"/>
  <c r="D16" i="3"/>
  <c r="E16" i="3" s="1"/>
  <c r="D17" i="3"/>
  <c r="E17" i="3" s="1"/>
  <c r="D149" i="3"/>
  <c r="E149" i="3" s="1"/>
  <c r="D124" i="3"/>
  <c r="E124" i="3" s="1"/>
  <c r="N96" i="3"/>
  <c r="D64" i="3"/>
  <c r="E64" i="3" s="1"/>
  <c r="D65" i="3"/>
  <c r="E65" i="3" s="1"/>
  <c r="N49" i="3"/>
  <c r="N17" i="3"/>
  <c r="N81" i="3"/>
  <c r="N65" i="3"/>
  <c r="D38" i="3"/>
  <c r="E38" i="3" s="1"/>
  <c r="N32" i="3"/>
  <c r="N31" i="3"/>
  <c r="N30" i="3"/>
  <c r="N102" i="3"/>
  <c r="D86" i="3"/>
  <c r="E86" i="3" s="1"/>
  <c r="D84" i="3"/>
  <c r="D70" i="3"/>
  <c r="E70" i="3" s="1"/>
  <c r="D46" i="3"/>
  <c r="N40" i="3"/>
  <c r="N39" i="3"/>
  <c r="N38" i="3"/>
  <c r="D33" i="3"/>
  <c r="E33" i="3" s="1"/>
  <c r="N20" i="3"/>
  <c r="D14" i="3"/>
  <c r="E14" i="3" s="1"/>
  <c r="D108" i="3"/>
  <c r="D90" i="3"/>
  <c r="N86" i="3"/>
  <c r="N80" i="3"/>
  <c r="D79" i="3"/>
  <c r="N70" i="3"/>
  <c r="N64" i="3"/>
  <c r="D63" i="3"/>
  <c r="D56" i="3"/>
  <c r="D55" i="3"/>
  <c r="E55" i="3" s="1"/>
  <c r="N35" i="3"/>
  <c r="D24" i="3"/>
  <c r="D23" i="3"/>
  <c r="E23" i="3" s="1"/>
  <c r="D95" i="3"/>
  <c r="E95" i="3" s="1"/>
  <c r="D54" i="3"/>
  <c r="N48" i="3"/>
  <c r="N46" i="3"/>
  <c r="N28" i="3"/>
  <c r="D22" i="3"/>
  <c r="E22" i="3" s="1"/>
  <c r="N16" i="3"/>
  <c r="N15" i="3"/>
  <c r="N14" i="3"/>
  <c r="D100" i="3"/>
  <c r="E100" i="3" s="1"/>
  <c r="D72" i="3"/>
  <c r="E72" i="3" s="1"/>
  <c r="D31" i="3"/>
  <c r="D78" i="3"/>
  <c r="E78" i="3" s="1"/>
  <c r="D62" i="3"/>
  <c r="N56" i="3"/>
  <c r="N55" i="3"/>
  <c r="N54" i="3"/>
  <c r="N24" i="3"/>
  <c r="N23" i="3"/>
  <c r="N22" i="3"/>
  <c r="C1" i="3"/>
  <c r="C1" i="10"/>
  <c r="C1" i="11"/>
  <c r="G78" i="3" l="1"/>
  <c r="F78" i="3"/>
  <c r="H78" i="3" s="1"/>
  <c r="G65" i="3"/>
  <c r="F65" i="3"/>
  <c r="H65" i="3" s="1"/>
  <c r="G89" i="3"/>
  <c r="F89" i="3"/>
  <c r="H89" i="3" s="1"/>
  <c r="G49" i="3"/>
  <c r="F49" i="3"/>
  <c r="H49" i="3" s="1"/>
  <c r="G140" i="3"/>
  <c r="F140" i="3"/>
  <c r="H140" i="3" s="1"/>
  <c r="G135" i="3"/>
  <c r="F135" i="3"/>
  <c r="H135" i="3" s="1"/>
  <c r="G87" i="3"/>
  <c r="F87" i="3"/>
  <c r="H87" i="3" s="1"/>
  <c r="G114" i="3"/>
  <c r="F114" i="3"/>
  <c r="H114" i="3" s="1"/>
  <c r="G113" i="3"/>
  <c r="F113" i="3"/>
  <c r="H113" i="3" s="1"/>
  <c r="G91" i="3"/>
  <c r="F91" i="3"/>
  <c r="H91" i="3" s="1"/>
  <c r="G28" i="3"/>
  <c r="F28" i="3"/>
  <c r="H28" i="3" s="1"/>
  <c r="G72" i="3"/>
  <c r="F72" i="3"/>
  <c r="H72" i="3" s="1"/>
  <c r="G48" i="3"/>
  <c r="F48" i="3"/>
  <c r="H48" i="3" s="1"/>
  <c r="G81" i="3"/>
  <c r="F81" i="3"/>
  <c r="H81" i="3" s="1"/>
  <c r="G142" i="3"/>
  <c r="F142" i="3"/>
  <c r="H142" i="3" s="1"/>
  <c r="G82" i="3"/>
  <c r="F82" i="3"/>
  <c r="H82" i="3" s="1"/>
  <c r="G145" i="3"/>
  <c r="F145" i="3"/>
  <c r="H145" i="3" s="1"/>
  <c r="G61" i="3"/>
  <c r="F61" i="3"/>
  <c r="H61" i="3" s="1"/>
  <c r="G120" i="3"/>
  <c r="F120" i="3"/>
  <c r="H120" i="3" s="1"/>
  <c r="G143" i="3"/>
  <c r="F143" i="3"/>
  <c r="H143" i="3" s="1"/>
  <c r="G144" i="3"/>
  <c r="F144" i="3"/>
  <c r="H144" i="3" s="1"/>
  <c r="G59" i="3"/>
  <c r="F59" i="3"/>
  <c r="H59" i="3" s="1"/>
  <c r="G34" i="3"/>
  <c r="F34" i="3"/>
  <c r="H34" i="3" s="1"/>
  <c r="G22" i="3"/>
  <c r="F22" i="3"/>
  <c r="H22" i="3" s="1"/>
  <c r="G40" i="3"/>
  <c r="F40" i="3"/>
  <c r="H40" i="3" s="1"/>
  <c r="G100" i="3"/>
  <c r="F100" i="3"/>
  <c r="H100" i="3" s="1"/>
  <c r="G146" i="3"/>
  <c r="F146" i="3"/>
  <c r="H146" i="3" s="1"/>
  <c r="G29" i="3"/>
  <c r="F29" i="3"/>
  <c r="H29" i="3" s="1"/>
  <c r="G26" i="3"/>
  <c r="F26" i="3"/>
  <c r="H26" i="3" s="1"/>
  <c r="G83" i="3"/>
  <c r="F83" i="3"/>
  <c r="H83" i="3" s="1"/>
  <c r="G112" i="3"/>
  <c r="F112" i="3"/>
  <c r="H112" i="3" s="1"/>
  <c r="G67" i="3"/>
  <c r="F67" i="3"/>
  <c r="H67" i="3" s="1"/>
  <c r="G38" i="3"/>
  <c r="F38" i="3"/>
  <c r="H38" i="3" s="1"/>
  <c r="G80" i="3"/>
  <c r="F80" i="3"/>
  <c r="H80" i="3" s="1"/>
  <c r="G14" i="3"/>
  <c r="F14" i="3"/>
  <c r="H14" i="3" s="1"/>
  <c r="G149" i="3"/>
  <c r="F149" i="3"/>
  <c r="H149" i="3" s="1"/>
  <c r="G103" i="3"/>
  <c r="F103" i="3"/>
  <c r="H103" i="3" s="1"/>
  <c r="G105" i="3"/>
  <c r="F105" i="3"/>
  <c r="H105" i="3" s="1"/>
  <c r="G128" i="3"/>
  <c r="F128" i="3"/>
  <c r="H128" i="3" s="1"/>
  <c r="G138" i="3"/>
  <c r="F138" i="3"/>
  <c r="H138" i="3" s="1"/>
  <c r="G21" i="3"/>
  <c r="F21" i="3"/>
  <c r="H21" i="3" s="1"/>
  <c r="G111" i="3"/>
  <c r="F111" i="3"/>
  <c r="H111" i="3" s="1"/>
  <c r="G94" i="3"/>
  <c r="F94" i="3"/>
  <c r="H94" i="3" s="1"/>
  <c r="G76" i="3"/>
  <c r="F76" i="3"/>
  <c r="H76" i="3" s="1"/>
  <c r="G119" i="3"/>
  <c r="F119" i="3"/>
  <c r="H119" i="3" s="1"/>
  <c r="G137" i="3"/>
  <c r="F137" i="3"/>
  <c r="H137" i="3" s="1"/>
  <c r="G95" i="3"/>
  <c r="F95" i="3"/>
  <c r="H95" i="3" s="1"/>
  <c r="G117" i="3"/>
  <c r="F117" i="3"/>
  <c r="H117" i="3" s="1"/>
  <c r="G106" i="3"/>
  <c r="F106" i="3"/>
  <c r="H106" i="3" s="1"/>
  <c r="G32" i="3"/>
  <c r="F32" i="3"/>
  <c r="H32" i="3" s="1"/>
  <c r="G73" i="3"/>
  <c r="F73" i="3"/>
  <c r="H73" i="3" s="1"/>
  <c r="G132" i="3"/>
  <c r="F132" i="3"/>
  <c r="H132" i="3" s="1"/>
  <c r="G125" i="3"/>
  <c r="F125" i="3"/>
  <c r="H125" i="3" s="1"/>
  <c r="G124" i="3"/>
  <c r="F124" i="3"/>
  <c r="H124" i="3" s="1"/>
  <c r="G104" i="3"/>
  <c r="F104" i="3"/>
  <c r="H104" i="3" s="1"/>
  <c r="G99" i="3"/>
  <c r="F99" i="3"/>
  <c r="H99" i="3" s="1"/>
  <c r="G152" i="3"/>
  <c r="F152" i="3"/>
  <c r="H152" i="3" s="1"/>
  <c r="G70" i="3"/>
  <c r="F70" i="3"/>
  <c r="H70" i="3" s="1"/>
  <c r="G17" i="3"/>
  <c r="F17" i="3"/>
  <c r="H17" i="3" s="1"/>
  <c r="G118" i="3"/>
  <c r="F118" i="3"/>
  <c r="H118" i="3" s="1"/>
  <c r="G136" i="3"/>
  <c r="F136" i="3"/>
  <c r="H136" i="3" s="1"/>
  <c r="G92" i="3"/>
  <c r="F92" i="3"/>
  <c r="H92" i="3" s="1"/>
  <c r="G58" i="3"/>
  <c r="F58" i="3"/>
  <c r="H58" i="3" s="1"/>
  <c r="G35" i="3"/>
  <c r="F35" i="3"/>
  <c r="H35" i="3" s="1"/>
  <c r="G129" i="3"/>
  <c r="F129" i="3"/>
  <c r="H129" i="3" s="1"/>
  <c r="G23" i="3"/>
  <c r="F23" i="3"/>
  <c r="H23" i="3" s="1"/>
  <c r="G33" i="3"/>
  <c r="F33" i="3"/>
  <c r="H33" i="3" s="1"/>
  <c r="G86" i="3"/>
  <c r="F86" i="3"/>
  <c r="H86" i="3" s="1"/>
  <c r="G16" i="3"/>
  <c r="F16" i="3"/>
  <c r="H16" i="3" s="1"/>
  <c r="G116" i="3"/>
  <c r="F116" i="3"/>
  <c r="H116" i="3" s="1"/>
  <c r="G109" i="3"/>
  <c r="F109" i="3"/>
  <c r="H109" i="3" s="1"/>
  <c r="G41" i="3"/>
  <c r="F41" i="3"/>
  <c r="H41" i="3" s="1"/>
  <c r="G115" i="3"/>
  <c r="F115" i="3"/>
  <c r="H115" i="3" s="1"/>
  <c r="G52" i="3"/>
  <c r="F52" i="3"/>
  <c r="H52" i="3" s="1"/>
  <c r="G123" i="3"/>
  <c r="F123" i="3"/>
  <c r="H123" i="3" s="1"/>
  <c r="G20" i="3"/>
  <c r="F20" i="3"/>
  <c r="H20" i="3" s="1"/>
  <c r="G93" i="3"/>
  <c r="F93" i="3"/>
  <c r="H93" i="3" s="1"/>
  <c r="G39" i="3"/>
  <c r="F39" i="3"/>
  <c r="H39" i="3" s="1"/>
  <c r="G131" i="3"/>
  <c r="F131" i="3"/>
  <c r="H131" i="3" s="1"/>
  <c r="G15" i="3"/>
  <c r="F15" i="3"/>
  <c r="H15" i="3" s="1"/>
  <c r="G110" i="3"/>
  <c r="F110" i="3"/>
  <c r="H110" i="3" s="1"/>
  <c r="G96" i="3"/>
  <c r="F96" i="3"/>
  <c r="H96" i="3" s="1"/>
  <c r="G71" i="3"/>
  <c r="F71" i="3"/>
  <c r="H71" i="3" s="1"/>
  <c r="G101" i="3"/>
  <c r="F101" i="3"/>
  <c r="H101" i="3" s="1"/>
  <c r="G45" i="3"/>
  <c r="F45" i="3"/>
  <c r="H45" i="3" s="1"/>
  <c r="G47" i="3"/>
  <c r="F47" i="3"/>
  <c r="H47" i="3" s="1"/>
  <c r="G85" i="3"/>
  <c r="F85" i="3"/>
  <c r="H85" i="3" s="1"/>
  <c r="G102" i="3"/>
  <c r="F102" i="3"/>
  <c r="H102" i="3" s="1"/>
  <c r="G126" i="3"/>
  <c r="F126" i="3"/>
  <c r="H126" i="3" s="1"/>
  <c r="G127" i="3"/>
  <c r="F127" i="3"/>
  <c r="H127" i="3" s="1"/>
  <c r="G97" i="3"/>
  <c r="F97" i="3"/>
  <c r="H97" i="3" s="1"/>
  <c r="G55" i="3"/>
  <c r="F55" i="3"/>
  <c r="H55" i="3" s="1"/>
  <c r="G64" i="3"/>
  <c r="F64" i="3"/>
  <c r="H64" i="3" s="1"/>
  <c r="G122" i="3"/>
  <c r="F122" i="3"/>
  <c r="H122" i="3" s="1"/>
  <c r="G66" i="3"/>
  <c r="F66" i="3"/>
  <c r="H66" i="3" s="1"/>
  <c r="G60" i="3"/>
  <c r="F60" i="3"/>
  <c r="H60" i="3" s="1"/>
  <c r="G121" i="3"/>
  <c r="F121" i="3"/>
  <c r="H121" i="3" s="1"/>
  <c r="G107" i="3"/>
  <c r="F107" i="3"/>
  <c r="H107" i="3" s="1"/>
  <c r="G27" i="3"/>
  <c r="F27" i="3"/>
  <c r="H27" i="3" s="1"/>
  <c r="G53" i="3"/>
  <c r="F53" i="3"/>
  <c r="H53" i="3" s="1"/>
  <c r="G148" i="3"/>
  <c r="F148" i="3"/>
  <c r="H148" i="3" s="1"/>
  <c r="N148" i="3"/>
  <c r="N75" i="3"/>
  <c r="N125" i="3"/>
  <c r="N34" i="3"/>
  <c r="N47" i="3"/>
  <c r="N91" i="3"/>
  <c r="N27" i="3"/>
  <c r="N25" i="3"/>
  <c r="N57" i="3"/>
  <c r="N43" i="3"/>
  <c r="N19" i="3"/>
  <c r="N118" i="3"/>
  <c r="N52" i="3"/>
  <c r="N143" i="3"/>
  <c r="N89" i="3"/>
  <c r="N105" i="3"/>
  <c r="E17" i="8" l="1"/>
  <c r="C17" i="8"/>
  <c r="A2" i="3"/>
  <c r="A2" i="11"/>
  <c r="A2" i="10"/>
  <c r="A7" i="11" l="1"/>
  <c r="B6" i="11"/>
  <c r="A6" i="11"/>
  <c r="B5" i="11"/>
  <c r="A5" i="11"/>
  <c r="A4" i="11"/>
  <c r="B7" i="11" l="1"/>
  <c r="I12" i="3"/>
  <c r="J12" i="3"/>
  <c r="A7" i="10" l="1"/>
  <c r="B6" i="10"/>
  <c r="A6" i="10"/>
  <c r="B5" i="10"/>
  <c r="A5" i="10"/>
  <c r="A4" i="10"/>
  <c r="B7" i="10" l="1"/>
  <c r="P12" i="3" l="1"/>
  <c r="A12" i="3" l="1"/>
  <c r="E134" i="3" l="1"/>
  <c r="G134" i="3" s="1"/>
  <c r="E54" i="3"/>
  <c r="E69" i="3"/>
  <c r="G69" i="3" s="1"/>
  <c r="E75" i="3"/>
  <c r="E57" i="3"/>
  <c r="F57" i="3" s="1"/>
  <c r="H57" i="3" s="1"/>
  <c r="E63" i="3"/>
  <c r="E43" i="3"/>
  <c r="G43" i="3" s="1"/>
  <c r="E51" i="3"/>
  <c r="E31" i="3"/>
  <c r="F31" i="3" s="1"/>
  <c r="H31" i="3" s="1"/>
  <c r="E37" i="3"/>
  <c r="E19" i="3"/>
  <c r="F19" i="3" s="1"/>
  <c r="H19" i="3" s="1"/>
  <c r="E25" i="3"/>
  <c r="D12" i="3"/>
  <c r="D13" i="3"/>
  <c r="E13" i="3" s="1"/>
  <c r="E68" i="3"/>
  <c r="E77" i="3"/>
  <c r="E18" i="3"/>
  <c r="E62" i="3"/>
  <c r="E79" i="3"/>
  <c r="E36" i="3"/>
  <c r="E42" i="3"/>
  <c r="E151" i="3"/>
  <c r="E44" i="3"/>
  <c r="E46" i="3"/>
  <c r="E74" i="3"/>
  <c r="E98" i="3"/>
  <c r="E139" i="3"/>
  <c r="E84" i="3"/>
  <c r="E150" i="3"/>
  <c r="E30" i="3"/>
  <c r="E133" i="3"/>
  <c r="E50" i="3"/>
  <c r="E141" i="3"/>
  <c r="E24" i="3"/>
  <c r="E56" i="3"/>
  <c r="E147" i="3"/>
  <c r="E130" i="3"/>
  <c r="E90" i="3"/>
  <c r="E88" i="3"/>
  <c r="E108" i="3"/>
  <c r="L12" i="3"/>
  <c r="K12" i="3"/>
  <c r="M12" i="3" s="1"/>
  <c r="O12" i="3" s="1"/>
  <c r="C12" i="3"/>
  <c r="B12" i="3"/>
  <c r="B6" i="3"/>
  <c r="B5" i="3"/>
  <c r="F134" i="3" l="1"/>
  <c r="H134" i="3" s="1"/>
  <c r="G54" i="3"/>
  <c r="F54" i="3"/>
  <c r="H54" i="3" s="1"/>
  <c r="G57" i="3"/>
  <c r="F69" i="3"/>
  <c r="H69" i="3" s="1"/>
  <c r="G75" i="3"/>
  <c r="F75" i="3"/>
  <c r="H75" i="3" s="1"/>
  <c r="G63" i="3"/>
  <c r="F63" i="3"/>
  <c r="H63" i="3" s="1"/>
  <c r="F43" i="3"/>
  <c r="H43" i="3" s="1"/>
  <c r="F51" i="3"/>
  <c r="H51" i="3" s="1"/>
  <c r="G51" i="3"/>
  <c r="G31" i="3"/>
  <c r="G37" i="3"/>
  <c r="F37" i="3"/>
  <c r="H37" i="3" s="1"/>
  <c r="G19" i="3"/>
  <c r="G25" i="3"/>
  <c r="F25" i="3"/>
  <c r="H25" i="3" s="1"/>
  <c r="G147" i="3"/>
  <c r="F147" i="3"/>
  <c r="H147" i="3" s="1"/>
  <c r="G84" i="3"/>
  <c r="F84" i="3"/>
  <c r="H84" i="3" s="1"/>
  <c r="G36" i="3"/>
  <c r="F36" i="3"/>
  <c r="H36" i="3" s="1"/>
  <c r="G139" i="3"/>
  <c r="F139" i="3"/>
  <c r="H139" i="3" s="1"/>
  <c r="G79" i="3"/>
  <c r="F79" i="3"/>
  <c r="H79" i="3" s="1"/>
  <c r="G24" i="3"/>
  <c r="F24" i="3"/>
  <c r="H24" i="3" s="1"/>
  <c r="G98" i="3"/>
  <c r="F98" i="3"/>
  <c r="H98" i="3" s="1"/>
  <c r="G62" i="3"/>
  <c r="F62" i="3"/>
  <c r="H62" i="3" s="1"/>
  <c r="G141" i="3"/>
  <c r="F141" i="3"/>
  <c r="H141" i="3" s="1"/>
  <c r="G74" i="3"/>
  <c r="F74" i="3"/>
  <c r="H74" i="3" s="1"/>
  <c r="G18" i="3"/>
  <c r="F18" i="3"/>
  <c r="H18" i="3" s="1"/>
  <c r="G108" i="3"/>
  <c r="F108" i="3"/>
  <c r="H108" i="3" s="1"/>
  <c r="G50" i="3"/>
  <c r="F50" i="3"/>
  <c r="H50" i="3" s="1"/>
  <c r="G46" i="3"/>
  <c r="F46" i="3"/>
  <c r="H46" i="3" s="1"/>
  <c r="G77" i="3"/>
  <c r="F77" i="3"/>
  <c r="H77" i="3" s="1"/>
  <c r="G88" i="3"/>
  <c r="F88" i="3"/>
  <c r="H88" i="3" s="1"/>
  <c r="G133" i="3"/>
  <c r="F133" i="3"/>
  <c r="H133" i="3" s="1"/>
  <c r="G44" i="3"/>
  <c r="F44" i="3"/>
  <c r="H44" i="3" s="1"/>
  <c r="G68" i="3"/>
  <c r="F68" i="3"/>
  <c r="H68" i="3" s="1"/>
  <c r="G56" i="3"/>
  <c r="F56" i="3"/>
  <c r="H56" i="3" s="1"/>
  <c r="G90" i="3"/>
  <c r="F90" i="3"/>
  <c r="H90" i="3" s="1"/>
  <c r="G30" i="3"/>
  <c r="F30" i="3"/>
  <c r="H30" i="3" s="1"/>
  <c r="G151" i="3"/>
  <c r="F151" i="3"/>
  <c r="H151" i="3" s="1"/>
  <c r="G13" i="3"/>
  <c r="F13" i="3"/>
  <c r="H13" i="3" s="1"/>
  <c r="G130" i="3"/>
  <c r="F130" i="3"/>
  <c r="H130" i="3" s="1"/>
  <c r="G150" i="3"/>
  <c r="F150" i="3"/>
  <c r="H150" i="3" s="1"/>
  <c r="G42" i="3"/>
  <c r="F42" i="3"/>
  <c r="H42" i="3" s="1"/>
  <c r="B7" i="3"/>
  <c r="E12" i="3" l="1"/>
  <c r="N12" i="3"/>
  <c r="G12" i="3" l="1"/>
  <c r="F12" i="3"/>
  <c r="H1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A1" authorId="0" shapeId="0" xr:uid="{00000000-0006-0000-0500-000001000000}">
      <text>
        <r>
          <rPr>
            <sz val="10"/>
            <rFont val="Arial"/>
            <family val="2"/>
          </rPr>
          <t>HosLog.22</t>
        </r>
      </text>
    </comment>
  </commentList>
</comments>
</file>

<file path=xl/sharedStrings.xml><?xml version="1.0" encoding="utf-8"?>
<sst xmlns="http://schemas.openxmlformats.org/spreadsheetml/2006/main" count="1740" uniqueCount="727">
  <si>
    <t>FromDate</t>
  </si>
  <si>
    <t>ToDate</t>
  </si>
  <si>
    <t>RunDate</t>
  </si>
  <si>
    <t>CompanyName</t>
  </si>
  <si>
    <t>DistanceUnit</t>
  </si>
  <si>
    <t>km</t>
  </si>
  <si>
    <t>SpeedUnit</t>
  </si>
  <si>
    <t>km/h</t>
  </si>
  <si>
    <t>SendReport</t>
  </si>
  <si>
    <t>LastModifiedUser</t>
  </si>
  <si>
    <t>ON</t>
  </si>
  <si>
    <t>OFF</t>
  </si>
  <si>
    <t>D</t>
  </si>
  <si>
    <t>Status</t>
  </si>
  <si>
    <t>Longitude</t>
  </si>
  <si>
    <t>Latitude</t>
  </si>
  <si>
    <t>Distance</t>
  </si>
  <si>
    <t>DutyStatusDateTime</t>
  </si>
  <si>
    <t>DutyStatusStatus</t>
  </si>
  <si>
    <t>.StatusLog.Device.DeviceName</t>
  </si>
  <si>
    <t>.StatusLog.Device.DeviceGroup</t>
  </si>
  <si>
    <t>.StatusLog.Driver.UserName</t>
  </si>
  <si>
    <t>DutyStatusVerifyDateTime</t>
  </si>
  <si>
    <t>English</t>
  </si>
  <si>
    <t>French</t>
  </si>
  <si>
    <t>Spanish</t>
  </si>
  <si>
    <t>German</t>
  </si>
  <si>
    <t>Japanese</t>
  </si>
  <si>
    <t>**Driver</t>
  </si>
  <si>
    <t>**Status</t>
  </si>
  <si>
    <t>**Device</t>
  </si>
  <si>
    <t>**Trailers</t>
  </si>
  <si>
    <t>**Longitude</t>
  </si>
  <si>
    <t>**Latitude</t>
  </si>
  <si>
    <t>**Address</t>
  </si>
  <si>
    <t>**Odometer</t>
  </si>
  <si>
    <t>**Distance</t>
  </si>
  <si>
    <t>**Duty Status Logs</t>
  </si>
  <si>
    <t>**Created</t>
  </si>
  <si>
    <t>**From</t>
  </si>
  <si>
    <t>**To</t>
  </si>
  <si>
    <t>**Distance Unit</t>
  </si>
  <si>
    <t>**Summary</t>
  </si>
  <si>
    <t>Date</t>
  </si>
  <si>
    <t>**Date</t>
  </si>
  <si>
    <t>**Verify Date</t>
  </si>
  <si>
    <t>**Edit Date</t>
  </si>
  <si>
    <t>Conductor</t>
  </si>
  <si>
    <t>Fahrer</t>
  </si>
  <si>
    <t>ドライバー</t>
  </si>
  <si>
    <t>Fecha</t>
  </si>
  <si>
    <t>Datum</t>
  </si>
  <si>
    <t>データ</t>
  </si>
  <si>
    <t>Estado</t>
  </si>
  <si>
    <t>ステータス</t>
  </si>
  <si>
    <t>Dispositif</t>
  </si>
  <si>
    <t>Dispositivo</t>
  </si>
  <si>
    <t>Gerät</t>
  </si>
  <si>
    <t>デバイス</t>
  </si>
  <si>
    <t>Co-chauffeurs</t>
  </si>
  <si>
    <t>Beifahrer</t>
  </si>
  <si>
    <t>Remolques</t>
  </si>
  <si>
    <t>Anhänger</t>
  </si>
  <si>
    <t>トレーラー</t>
  </si>
  <si>
    <t>Longitud</t>
  </si>
  <si>
    <t>Längengrad</t>
  </si>
  <si>
    <t>経度</t>
  </si>
  <si>
    <t>Latitud</t>
  </si>
  <si>
    <t>Breitengrad</t>
  </si>
  <si>
    <t>緯度</t>
  </si>
  <si>
    <t>Adresse</t>
  </si>
  <si>
    <t>Dirección</t>
  </si>
  <si>
    <t>住所</t>
  </si>
  <si>
    <t>Odomètre</t>
  </si>
  <si>
    <t>Odómetro</t>
  </si>
  <si>
    <t>Kilometerstand</t>
  </si>
  <si>
    <t>オドメータ</t>
  </si>
  <si>
    <t>Distancia</t>
  </si>
  <si>
    <t>Entfernung</t>
  </si>
  <si>
    <t>距離</t>
  </si>
  <si>
    <t>Date de vérification</t>
  </si>
  <si>
    <t>Fecha de verificación</t>
  </si>
  <si>
    <t>Verifizierungsdatum</t>
  </si>
  <si>
    <t>確認日</t>
  </si>
  <si>
    <t>Date de modification</t>
  </si>
  <si>
    <t>Bearbeitungsdatum</t>
  </si>
  <si>
    <t>Registres de l'état des tâches</t>
  </si>
  <si>
    <t>Registros de estado de HOS</t>
  </si>
  <si>
    <t>Lenkzeitprotokoll</t>
  </si>
  <si>
    <t>職務ステータスログ</t>
  </si>
  <si>
    <t>Sommaire</t>
  </si>
  <si>
    <t>Resumen</t>
  </si>
  <si>
    <t>Zusammenfassung</t>
  </si>
  <si>
    <t>Créé</t>
  </si>
  <si>
    <t>Creado</t>
  </si>
  <si>
    <t>Angelegt</t>
  </si>
  <si>
    <t>作成済</t>
  </si>
  <si>
    <t>De</t>
  </si>
  <si>
    <t>Von</t>
  </si>
  <si>
    <t>Para</t>
  </si>
  <si>
    <t>Unité de distance</t>
  </si>
  <si>
    <t>Unidad de distancia</t>
  </si>
  <si>
    <t>Entfernungseinheit</t>
  </si>
  <si>
    <t>距離の単位</t>
  </si>
  <si>
    <t>Language</t>
  </si>
  <si>
    <t>en</t>
  </si>
  <si>
    <t>**First Name</t>
  </si>
  <si>
    <t>Prénom</t>
  </si>
  <si>
    <t>Nombre</t>
  </si>
  <si>
    <t>Vorname</t>
  </si>
  <si>
    <t>ファーストネー</t>
  </si>
  <si>
    <t>**Last Name</t>
  </si>
  <si>
    <t>Nom de famille</t>
  </si>
  <si>
    <t>Apellido</t>
  </si>
  <si>
    <t>Nachname</t>
  </si>
  <si>
    <t>ラストネーム</t>
  </si>
  <si>
    <t>.StatusLog.Driver.UserFirstName</t>
  </si>
  <si>
    <t>.StatusLog.Driver.UserLastName</t>
  </si>
  <si>
    <t>**Log Origin</t>
  </si>
  <si>
    <t>Origine du Journal</t>
  </si>
  <si>
    <t>Origen del Registro</t>
  </si>
  <si>
    <t>Protokollherkunft</t>
  </si>
  <si>
    <t>ログの起源</t>
  </si>
  <si>
    <t>SB</t>
  </si>
  <si>
    <t>Driver A</t>
  </si>
  <si>
    <t>Driver B</t>
  </si>
  <si>
    <t>AdverseWeather</t>
  </si>
  <si>
    <t>INT_D</t>
  </si>
  <si>
    <t>YM</t>
  </si>
  <si>
    <t>Flag for not considered logs</t>
  </si>
  <si>
    <t>Polish</t>
  </si>
  <si>
    <t>Portuguese-Brazil</t>
  </si>
  <si>
    <t>Dutch</t>
  </si>
  <si>
    <t>Italian</t>
  </si>
  <si>
    <t>Simplified Chinese</t>
  </si>
  <si>
    <t>Kierowca</t>
  </si>
  <si>
    <t>Motorista</t>
  </si>
  <si>
    <t>Chauffeur</t>
  </si>
  <si>
    <t>Conducente</t>
  </si>
  <si>
    <t>驾驶员</t>
  </si>
  <si>
    <t>Data</t>
  </si>
  <si>
    <t>日期</t>
  </si>
  <si>
    <t>Stato</t>
  </si>
  <si>
    <t>状态</t>
  </si>
  <si>
    <t>Apparaat</t>
  </si>
  <si>
    <t>设备</t>
  </si>
  <si>
    <t>**Co-drivers</t>
  </si>
  <si>
    <t>Tweede chauffeurs</t>
  </si>
  <si>
    <t>Secondi conducenti</t>
  </si>
  <si>
    <t>副驾驶</t>
  </si>
  <si>
    <t>Przyczepy</t>
  </si>
  <si>
    <t>Reboques</t>
  </si>
  <si>
    <t>Aanhangers</t>
  </si>
  <si>
    <t>Rimorchi</t>
  </si>
  <si>
    <t>拖车</t>
  </si>
  <si>
    <t>Lengtegraad</t>
  </si>
  <si>
    <t>Longitudine</t>
  </si>
  <si>
    <t>经度</t>
  </si>
  <si>
    <t>Breedtegraad</t>
  </si>
  <si>
    <t>Latitudine</t>
  </si>
  <si>
    <t>纬度</t>
  </si>
  <si>
    <t>Adres</t>
  </si>
  <si>
    <t>Endereço</t>
  </si>
  <si>
    <t>Indirizzo</t>
  </si>
  <si>
    <t>地址</t>
  </si>
  <si>
    <t>Licznik kilometrów</t>
  </si>
  <si>
    <t>Hodômetro</t>
  </si>
  <si>
    <t>Kilometerteller</t>
  </si>
  <si>
    <t>Contachilometri</t>
  </si>
  <si>
    <t>里程表</t>
  </si>
  <si>
    <t>**Duration</t>
  </si>
  <si>
    <t>Dauer</t>
  </si>
  <si>
    <t>期間</t>
  </si>
  <si>
    <t>Czas trwania</t>
  </si>
  <si>
    <t>时长</t>
  </si>
  <si>
    <t>Distância</t>
  </si>
  <si>
    <t>Afstand</t>
  </si>
  <si>
    <t>Distanza</t>
  </si>
  <si>
    <t>距离</t>
  </si>
  <si>
    <t>Data weryfikacji</t>
  </si>
  <si>
    <t>Verificar data</t>
  </si>
  <si>
    <t>Datum verifiëren</t>
  </si>
  <si>
    <t>Verificare data</t>
  </si>
  <si>
    <t>验证日期</t>
  </si>
  <si>
    <t>Data edycji</t>
  </si>
  <si>
    <t>编辑日期</t>
  </si>
  <si>
    <t>Dzienniki statusów dyzurów</t>
  </si>
  <si>
    <t>Registros de status de serviço</t>
  </si>
  <si>
    <t>Logboeken dienststatus</t>
  </si>
  <si>
    <t>Registri di stato in servizio</t>
  </si>
  <si>
    <t>任务状态日志</t>
  </si>
  <si>
    <t>Podsumowanie</t>
  </si>
  <si>
    <t>Resumo</t>
  </si>
  <si>
    <t>Overzicht</t>
  </si>
  <si>
    <t>Riassunto</t>
  </si>
  <si>
    <t>汇总</t>
  </si>
  <si>
    <t>Utworzono</t>
  </si>
  <si>
    <t>Criado em</t>
  </si>
  <si>
    <t>Aangemaakt</t>
  </si>
  <si>
    <t>Creato</t>
  </si>
  <si>
    <t>创建日期</t>
  </si>
  <si>
    <t>Od</t>
  </si>
  <si>
    <t>Van</t>
  </si>
  <si>
    <t>Da</t>
  </si>
  <si>
    <t>自</t>
  </si>
  <si>
    <t>Do</t>
  </si>
  <si>
    <t>A</t>
  </si>
  <si>
    <t>至</t>
  </si>
  <si>
    <t>Jednostka odleglosci</t>
  </si>
  <si>
    <t>Unidade de distância</t>
  </si>
  <si>
    <t>Afstandseenheid</t>
  </si>
  <si>
    <t>Unità di distanza</t>
  </si>
  <si>
    <t>距离单位</t>
  </si>
  <si>
    <t>Imie</t>
  </si>
  <si>
    <t>Nome</t>
  </si>
  <si>
    <t>Voornaam</t>
  </si>
  <si>
    <t>名字</t>
  </si>
  <si>
    <t>Nazwisko</t>
  </si>
  <si>
    <t>Sobrenome</t>
  </si>
  <si>
    <t>Achternaam</t>
  </si>
  <si>
    <t>Cognome</t>
  </si>
  <si>
    <t>姓氏</t>
  </si>
  <si>
    <t>Powstanie dziennika</t>
  </si>
  <si>
    <t>Origem do registro</t>
  </si>
  <si>
    <t>Oorsprong logboek</t>
  </si>
  <si>
    <t>Origine del registro</t>
  </si>
  <si>
    <t>日志来源</t>
  </si>
  <si>
    <t>**Shipments</t>
  </si>
  <si>
    <t>Expéditions</t>
  </si>
  <si>
    <t>Envíos</t>
  </si>
  <si>
    <t>Lieferungen</t>
  </si>
  <si>
    <t>出荷物</t>
  </si>
  <si>
    <t>Wysyłki</t>
  </si>
  <si>
    <t>Zendingen</t>
  </si>
  <si>
    <t>Spedizioni</t>
  </si>
  <si>
    <t>发运</t>
  </si>
  <si>
    <t>**Time Zone</t>
  </si>
  <si>
    <t>Fuseau horaire</t>
  </si>
  <si>
    <t>Huso horario</t>
  </si>
  <si>
    <t>Zeitzone</t>
  </si>
  <si>
    <t>タイムゾーン</t>
  </si>
  <si>
    <t>Strefa czasowa</t>
  </si>
  <si>
    <t>Zona horária</t>
  </si>
  <si>
    <t>Tijdzone</t>
  </si>
  <si>
    <t>Fuso orario</t>
  </si>
  <si>
    <t>时区</t>
  </si>
  <si>
    <t>**Vehicle</t>
  </si>
  <si>
    <t>**Verified</t>
  </si>
  <si>
    <t>**Unverified</t>
  </si>
  <si>
    <t>**Total</t>
  </si>
  <si>
    <t>**Days</t>
  </si>
  <si>
    <t>Language Translation</t>
  </si>
  <si>
    <t>**Tolerance</t>
  </si>
  <si>
    <t>**Count of Unverified Logs</t>
  </si>
  <si>
    <t>**Check</t>
  </si>
  <si>
    <t>**Log Date and Time</t>
  </si>
  <si>
    <t>**Unverified Logs</t>
  </si>
  <si>
    <t>**Grace Days</t>
  </si>
  <si>
    <t>Verify</t>
  </si>
  <si>
    <t>Driver A Total</t>
  </si>
  <si>
    <t>Driver B Total</t>
  </si>
  <si>
    <t>ABC Company</t>
  </si>
  <si>
    <t>From:</t>
  </si>
  <si>
    <t>To:</t>
  </si>
  <si>
    <t>Unverified Days</t>
  </si>
  <si>
    <t>Unverified Logs Count</t>
  </si>
  <si>
    <t>Include</t>
  </si>
  <si>
    <t xml:space="preserve"> Unverified Days </t>
  </si>
  <si>
    <t>Unverified Dates</t>
  </si>
  <si>
    <t>Verified Days</t>
  </si>
  <si>
    <t>Chart Title</t>
  </si>
  <si>
    <t>**Number of Drivers</t>
  </si>
  <si>
    <t>Driver C</t>
  </si>
  <si>
    <t>Driver D</t>
  </si>
  <si>
    <t>Driver E</t>
  </si>
  <si>
    <t>Driver F</t>
  </si>
  <si>
    <t>Driver G</t>
  </si>
  <si>
    <t>Driver H</t>
  </si>
  <si>
    <t>Driver J</t>
  </si>
  <si>
    <t>Driver K</t>
  </si>
  <si>
    <t>Driver L</t>
  </si>
  <si>
    <t>Driver C Total</t>
  </si>
  <si>
    <t>Driver D Total</t>
  </si>
  <si>
    <t>Driver E Total</t>
  </si>
  <si>
    <t>Driver G Total</t>
  </si>
  <si>
    <t>Driver H Total</t>
  </si>
  <si>
    <t>Driver J Total</t>
  </si>
  <si>
    <t>Driver K Total</t>
  </si>
  <si>
    <t>Driver L Total</t>
  </si>
  <si>
    <t>Vehicle C</t>
  </si>
  <si>
    <t>ABC Vehicles</t>
  </si>
  <si>
    <t>FirstName C</t>
  </si>
  <si>
    <t>LastName C</t>
  </si>
  <si>
    <t>Vehicle D</t>
  </si>
  <si>
    <t>FirstName D</t>
  </si>
  <si>
    <t>LastName D</t>
  </si>
  <si>
    <t>Vehicle E</t>
  </si>
  <si>
    <t>FirstName E</t>
  </si>
  <si>
    <t>LastName E</t>
  </si>
  <si>
    <t>Vehicle F</t>
  </si>
  <si>
    <t>FirstName F</t>
  </si>
  <si>
    <t>LastName F</t>
  </si>
  <si>
    <t>Vehicle G</t>
  </si>
  <si>
    <t>FirstName G</t>
  </si>
  <si>
    <t>LastName G</t>
  </si>
  <si>
    <t>Vehicle H</t>
  </si>
  <si>
    <t>FirstName H</t>
  </si>
  <si>
    <t>LastName H</t>
  </si>
  <si>
    <t>Vehicle J</t>
  </si>
  <si>
    <t>FirstName J</t>
  </si>
  <si>
    <t>LastName J</t>
  </si>
  <si>
    <t>Vehicle K</t>
  </si>
  <si>
    <t>FirstName K</t>
  </si>
  <si>
    <t>LastName K</t>
  </si>
  <si>
    <t>Vehicle L</t>
  </si>
  <si>
    <t>FirstName L</t>
  </si>
  <si>
    <t>LastName L</t>
  </si>
  <si>
    <t>Vehicle M</t>
  </si>
  <si>
    <t>FirstName M</t>
  </si>
  <si>
    <t>LastName M</t>
  </si>
  <si>
    <t>Driver M</t>
  </si>
  <si>
    <t>Vehicle A</t>
  </si>
  <si>
    <t>FirstName A</t>
  </si>
  <si>
    <t>LastName A</t>
  </si>
  <si>
    <t>Vehicle B</t>
  </si>
  <si>
    <t>FirstName B</t>
  </si>
  <si>
    <t>LastName B</t>
  </si>
  <si>
    <t>Driver M Total</t>
  </si>
  <si>
    <t>**Filter Options</t>
  </si>
  <si>
    <t>System</t>
  </si>
  <si>
    <t>**Grace</t>
  </si>
  <si>
    <t>Days</t>
  </si>
  <si>
    <t>TimeZone</t>
  </si>
  <si>
    <t>America/New_York</t>
  </si>
  <si>
    <t>Thai</t>
  </si>
  <si>
    <t>Indonesian</t>
  </si>
  <si>
    <t>Czech</t>
  </si>
  <si>
    <t>Swedish</t>
  </si>
  <si>
    <t>Fiches journalières non vérifiées</t>
  </si>
  <si>
    <t>Registros sin verificar</t>
  </si>
  <si>
    <t>Nicht verifizierte Protokolle</t>
  </si>
  <si>
    <t>未確認ログ</t>
  </si>
  <si>
    <t>Niezweryfikowane dzienniki</t>
  </si>
  <si>
    <t>Logs não verificados</t>
  </si>
  <si>
    <t>Niet-geverifieerde logboekregistraties</t>
  </si>
  <si>
    <t>Log non verificati</t>
  </si>
  <si>
    <t>未验证日志</t>
  </si>
  <si>
    <t>บันทึกที่ยังไม่ได้ยืนยัน</t>
  </si>
  <si>
    <t>Log yang Belum Diverifikasi</t>
  </si>
  <si>
    <t>Neověřené protokoly</t>
  </si>
  <si>
    <t>Ej verifierade loggar</t>
  </si>
  <si>
    <t>Tolérance</t>
  </si>
  <si>
    <t>Tolerancia</t>
  </si>
  <si>
    <t>Toleranz</t>
  </si>
  <si>
    <t>公差</t>
  </si>
  <si>
    <t>Tolerancja</t>
  </si>
  <si>
    <t>Tolerância</t>
  </si>
  <si>
    <t>Tolerantie</t>
  </si>
  <si>
    <t>Tolleranza</t>
  </si>
  <si>
    <t>容差</t>
  </si>
  <si>
    <t>ความคลาดเคลื่อน</t>
  </si>
  <si>
    <t>Toleransi</t>
  </si>
  <si>
    <t>Tolerance</t>
  </si>
  <si>
    <t>Tolerans</t>
  </si>
  <si>
    <t>Nombre de fiches journalières non vérifiées</t>
  </si>
  <si>
    <t>Recuento de registros sin verificar</t>
  </si>
  <si>
    <t>Anzahl nicht verifizierter Protokolle</t>
  </si>
  <si>
    <t>未確認ログの数</t>
  </si>
  <si>
    <t>Liczba niezweryfikowanych dzienników</t>
  </si>
  <si>
    <t>Contagem de logs não verificados</t>
  </si>
  <si>
    <t>Aantal niet-geverifieerde logboekregistraties</t>
  </si>
  <si>
    <t>Conteggio dei log non verificati</t>
  </si>
  <si>
    <t>未验证日志计数</t>
  </si>
  <si>
    <t>จำนวนบันทึกที่ยังไม่ได้ยืนยัน</t>
  </si>
  <si>
    <t>Hitungan Log yang Belum Diverifikasi</t>
  </si>
  <si>
    <t>Počet neověřených protokolů</t>
  </si>
  <si>
    <t>Antal ej verifierade loggar</t>
  </si>
  <si>
    <t>Vérifier</t>
  </si>
  <si>
    <t>Revisión</t>
  </si>
  <si>
    <t>Überprüfen</t>
  </si>
  <si>
    <t>確認</t>
  </si>
  <si>
    <t>Sprawdź</t>
  </si>
  <si>
    <t>Verificar</t>
  </si>
  <si>
    <t>Controleer</t>
  </si>
  <si>
    <t>Verifica</t>
  </si>
  <si>
    <t>检查</t>
  </si>
  <si>
    <t>ตรวจสอบ</t>
  </si>
  <si>
    <t>Periksa</t>
  </si>
  <si>
    <t>Zkontrolovat</t>
  </si>
  <si>
    <t>Kontrollera</t>
  </si>
  <si>
    <t>**Not Considered</t>
  </si>
  <si>
    <t>Non pris en compte</t>
  </si>
  <si>
    <t>Sin considerar</t>
  </si>
  <si>
    <t>Nicht berücksichtigt</t>
  </si>
  <si>
    <t>考慮されません</t>
  </si>
  <si>
    <t>Nie uwzględniono</t>
  </si>
  <si>
    <t>Não considerado</t>
  </si>
  <si>
    <t>Niet meegerekend</t>
  </si>
  <si>
    <t>Non considerato</t>
  </si>
  <si>
    <t>未考虑</t>
  </si>
  <si>
    <t>ไม่ได้พิจารณา</t>
  </si>
  <si>
    <t>Tidak Dipertimbangkan</t>
  </si>
  <si>
    <t>Není posuzováno</t>
  </si>
  <si>
    <t>Inte övervägt</t>
  </si>
  <si>
    <t>Délai de grâce</t>
  </si>
  <si>
    <t>Días de gracia</t>
  </si>
  <si>
    <t>Kulanztage</t>
  </si>
  <si>
    <t>猶予日数</t>
  </si>
  <si>
    <t>Dni prolongaty</t>
  </si>
  <si>
    <t>Dias de tolerância</t>
  </si>
  <si>
    <t>Tolerantiedagen</t>
  </si>
  <si>
    <t>Giorni di tolleranza</t>
  </si>
  <si>
    <t>宽限期</t>
  </si>
  <si>
    <t>จำนวนวันที่ผ่อนผัน</t>
  </si>
  <si>
    <t>Waktu Tenggang</t>
  </si>
  <si>
    <t>Dny odkladu</t>
  </si>
  <si>
    <t>Respitdagar</t>
  </si>
  <si>
    <t>Date et heure de la fiche journalière</t>
  </si>
  <si>
    <t>Fecha y hora de registro</t>
  </si>
  <si>
    <t>Protokolldatum und -uhrzeit</t>
  </si>
  <si>
    <t>ログ日時</t>
  </si>
  <si>
    <t>Data i godzina dziennika</t>
  </si>
  <si>
    <t>Data e hora do log</t>
  </si>
  <si>
    <t>Datum en tijd van logboekregistratie</t>
  </si>
  <si>
    <t>Data e ora del log</t>
  </si>
  <si>
    <t>日志日期和时间</t>
  </si>
  <si>
    <t>วันที่และเวลาบันทึก</t>
  </si>
  <si>
    <t>Tanggal dan Waktu Log</t>
  </si>
  <si>
    <t>Datum a čas protokolu</t>
  </si>
  <si>
    <t>Loggdatum och -tid</t>
  </si>
  <si>
    <t>**Days with Unverified Logs</t>
  </si>
  <si>
    <t>Jours avec fiches journalières non vérifiées</t>
  </si>
  <si>
    <t>Días con registros sin verificar</t>
  </si>
  <si>
    <t>Tage mit nicht verifizierten Protokollen</t>
  </si>
  <si>
    <t>未確認ログのある日数</t>
  </si>
  <si>
    <t>Dni z niezweryfikowanymi dziennikami</t>
  </si>
  <si>
    <t>Dias com logs não verificados</t>
  </si>
  <si>
    <t>Dagen met niet-geverifieerde logboekregistraties</t>
  </si>
  <si>
    <t>Giorni con log non verificati</t>
  </si>
  <si>
    <t>包含未验证日志的天数</t>
  </si>
  <si>
    <t>จำนวนวันที่มีบันทึกที่ยังไม่ได้ยืนยัน</t>
  </si>
  <si>
    <t>Hari dengan Log yang Belum Diverifikasi</t>
  </si>
  <si>
    <t>Dny s neověřenými protokoly</t>
  </si>
  <si>
    <t>Dagar med ej verifierade loggar</t>
  </si>
  <si>
    <t>Options de filtre</t>
  </si>
  <si>
    <t>Opciones de filtro</t>
  </si>
  <si>
    <t>Filteroptionen</t>
  </si>
  <si>
    <t>フィルターオプション</t>
  </si>
  <si>
    <t>Opcje filtrowania</t>
  </si>
  <si>
    <t>Opções de filtro</t>
  </si>
  <si>
    <t>Filteropties</t>
  </si>
  <si>
    <t>Opzioni filtro</t>
  </si>
  <si>
    <t>筛选器选项</t>
  </si>
  <si>
    <t>ตัวเลือกตัวกรอง</t>
  </si>
  <si>
    <t>Opsi Filter</t>
  </si>
  <si>
    <t>Možnosti filtru</t>
  </si>
  <si>
    <t>Filteralternativ</t>
  </si>
  <si>
    <t>**Total pending days to be verified</t>
  </si>
  <si>
    <t>Nombre total de jours en attente de vérification</t>
  </si>
  <si>
    <t>Total de días pendientes por verificar</t>
  </si>
  <si>
    <t>Zur Verifizierung ausstehende Tage gesamt</t>
  </si>
  <si>
    <t>総検証保留日数</t>
  </si>
  <si>
    <t>Łączna liczba dni do weryfikacji</t>
  </si>
  <si>
    <t>Total de dias pendentes a serem verificados</t>
  </si>
  <si>
    <t>Totaal aantal dagen dat nog moet worden geverifieerd</t>
  </si>
  <si>
    <t>Totale giorni in sospeso da verificare</t>
  </si>
  <si>
    <t>待验证的总待决天数</t>
  </si>
  <si>
    <t>จำนวนวันรวมที่รอการยืนยัน</t>
  </si>
  <si>
    <t>Total hari menunggu verifikasi</t>
  </si>
  <si>
    <t>Celkový počet nevyřízených dní k ověření</t>
  </si>
  <si>
    <t>Totalt antal dagar som väntar på verifiering</t>
  </si>
  <si>
    <t>**Pending days to be verified</t>
  </si>
  <si>
    <t>Jours en attente de vérification</t>
  </si>
  <si>
    <t>Días pendientes por verificar</t>
  </si>
  <si>
    <t>Zur Verifizierung ausstehende Tage</t>
  </si>
  <si>
    <t>検証保留日数</t>
  </si>
  <si>
    <t>Dni do weryfikacji</t>
  </si>
  <si>
    <t>Dias pendentes a serem verificados</t>
  </si>
  <si>
    <t>Nog te verifiëren dagen in behandeling</t>
  </si>
  <si>
    <t>Giorni in sospeso da verificare</t>
  </si>
  <si>
    <t>待验证的待决天数</t>
  </si>
  <si>
    <t>จำนวนวันที่รอการยืนยัน</t>
  </si>
  <si>
    <t>Hari menunggu verifikasi</t>
  </si>
  <si>
    <t>Nevyřízené dny k ověření</t>
  </si>
  <si>
    <t>Dagar som väntar på verifiering</t>
  </si>
  <si>
    <t>Nombre de chauffeurs</t>
  </si>
  <si>
    <t>Cantidad de conductores</t>
  </si>
  <si>
    <t>Anzahl Fahrer</t>
  </si>
  <si>
    <t>運転手の数</t>
  </si>
  <si>
    <t>Liczba kierowców</t>
  </si>
  <si>
    <t>Número de motoristas</t>
  </si>
  <si>
    <t>Aantal bestuurders</t>
  </si>
  <si>
    <t>Numero di conducenti</t>
  </si>
  <si>
    <t>驾驶员数量</t>
  </si>
  <si>
    <t>จำนวนผู้ขับ</t>
  </si>
  <si>
    <t>Jumlah Pengemudi</t>
  </si>
  <si>
    <t>Počet řidičů</t>
  </si>
  <si>
    <t>Antal förare</t>
  </si>
  <si>
    <t>Days with Unverified Logs</t>
  </si>
  <si>
    <t>NA</t>
  </si>
  <si>
    <t>Driver F Total</t>
  </si>
  <si>
    <t>(All)</t>
  </si>
  <si>
    <t>ผู้ขับ</t>
  </si>
  <si>
    <t>Pengemudi</t>
  </si>
  <si>
    <t>Řidič</t>
  </si>
  <si>
    <t>Förare</t>
  </si>
  <si>
    <t>วันที่</t>
  </si>
  <si>
    <t>Tanggal</t>
  </si>
  <si>
    <t>Statut</t>
  </si>
  <si>
    <t>สถานะ</t>
  </si>
  <si>
    <t>Stav</t>
  </si>
  <si>
    <t>Urządzenie</t>
  </si>
  <si>
    <t>อุปกรณ์</t>
  </si>
  <si>
    <t>Perangkat</t>
  </si>
  <si>
    <t>Zařízení</t>
  </si>
  <si>
    <t>Enhet</t>
  </si>
  <si>
    <t>Co-Conductores</t>
  </si>
  <si>
    <t>二次ドライバー</t>
  </si>
  <si>
    <t>Kierowcy towarzyszący</t>
  </si>
  <si>
    <t>Motoristas ajudantes</t>
  </si>
  <si>
    <t>ผู้ช่วยคนขับ</t>
  </si>
  <si>
    <t>Pendamping pengemudi</t>
  </si>
  <si>
    <t>Spolujezdci</t>
  </si>
  <si>
    <t>Andreförare</t>
  </si>
  <si>
    <t>Remorques</t>
  </si>
  <si>
    <t>รถเทรลเลอร์</t>
  </si>
  <si>
    <t>Trailer</t>
  </si>
  <si>
    <t>Přívěsy</t>
  </si>
  <si>
    <t>Trailers</t>
  </si>
  <si>
    <t>Długość geograficzna</t>
  </si>
  <si>
    <t>ลองจิจูด</t>
  </si>
  <si>
    <t>Garis Bujur</t>
  </si>
  <si>
    <t>Zeměpisná délka</t>
  </si>
  <si>
    <t>Szerokość geograficzna</t>
  </si>
  <si>
    <t>ละติจูด</t>
  </si>
  <si>
    <t>Garis Lintang</t>
  </si>
  <si>
    <t>Zeměpisná šířka</t>
  </si>
  <si>
    <t>ที่อยู่</t>
  </si>
  <si>
    <t>Alamat</t>
  </si>
  <si>
    <t>Adresa</t>
  </si>
  <si>
    <t>Adress</t>
  </si>
  <si>
    <t>มาตรระยะทาง</t>
  </si>
  <si>
    <t>Odometer</t>
  </si>
  <si>
    <t>Počítadlo ujetých kilometrů</t>
  </si>
  <si>
    <t>Mätarställning</t>
  </si>
  <si>
    <t>Durée</t>
  </si>
  <si>
    <t>Duración</t>
  </si>
  <si>
    <t>Duração</t>
  </si>
  <si>
    <t>Duur</t>
  </si>
  <si>
    <t>Durata</t>
  </si>
  <si>
    <t>ระยะเวลา</t>
  </si>
  <si>
    <t>Durasi</t>
  </si>
  <si>
    <t>Doba trvání</t>
  </si>
  <si>
    <t>Varaktighet</t>
  </si>
  <si>
    <t>Odległość</t>
  </si>
  <si>
    <t>ระยะทาง</t>
  </si>
  <si>
    <t>Jarak</t>
  </si>
  <si>
    <t>Vzdálenost</t>
  </si>
  <si>
    <t>Distans</t>
  </si>
  <si>
    <t>วันที่ยืนยัน</t>
  </si>
  <si>
    <t>Tanggal Verifikasi</t>
  </si>
  <si>
    <t>Ověřit datum</t>
  </si>
  <si>
    <t>Verifieringsdatum</t>
  </si>
  <si>
    <t>Fecha de la edición</t>
  </si>
  <si>
    <t>日付の編集</t>
  </si>
  <si>
    <t>Data de edição</t>
  </si>
  <si>
    <t>Bewerkingsdatum</t>
  </si>
  <si>
    <t>Data di modifica</t>
  </si>
  <si>
    <t>วันที่แก้ไข</t>
  </si>
  <si>
    <t>Tanggal edit</t>
  </si>
  <si>
    <t>Datum úpravy</t>
  </si>
  <si>
    <t>Redigera datum</t>
  </si>
  <si>
    <t>บันทึกสถานะงาน</t>
  </si>
  <si>
    <t>Log Status Tugas</t>
  </si>
  <si>
    <t>Protokoly služebního stavu</t>
  </si>
  <si>
    <t>Arbetstidsstatusloggar</t>
  </si>
  <si>
    <t>サマリー</t>
  </si>
  <si>
    <t>สรุป</t>
  </si>
  <si>
    <t>Ringkasan</t>
  </si>
  <si>
    <t>Shrnutí</t>
  </si>
  <si>
    <t>Summering</t>
  </si>
  <si>
    <t>สร้างแล้ว</t>
  </si>
  <si>
    <t>Dibuat</t>
  </si>
  <si>
    <t>Vytvořeno</t>
  </si>
  <si>
    <t>Skapad</t>
  </si>
  <si>
    <t>Desde</t>
  </si>
  <si>
    <t>停車時刻</t>
  </si>
  <si>
    <t>จาก</t>
  </si>
  <si>
    <t>Dari</t>
  </si>
  <si>
    <t>Från</t>
  </si>
  <si>
    <t>À</t>
  </si>
  <si>
    <t>Hasta</t>
  </si>
  <si>
    <t>Bis</t>
  </si>
  <si>
    <t>発車時刻</t>
  </si>
  <si>
    <t>Tot</t>
  </si>
  <si>
    <t>ถึง</t>
  </si>
  <si>
    <t>Hingga</t>
  </si>
  <si>
    <t>Do/pro</t>
  </si>
  <si>
    <t>Till</t>
  </si>
  <si>
    <t>หน่วยระยะทาง</t>
  </si>
  <si>
    <t>Satuan Jarak</t>
  </si>
  <si>
    <t>Jednotka vzdálenosti</t>
  </si>
  <si>
    <t>Distansenhet</t>
  </si>
  <si>
    <t>ชื่อ</t>
  </si>
  <si>
    <t>Nama Depan</t>
  </si>
  <si>
    <t>Křestní jméno</t>
  </si>
  <si>
    <t>Förnamn</t>
  </si>
  <si>
    <t>นามสกุล</t>
  </si>
  <si>
    <t>Nama belakang</t>
  </si>
  <si>
    <t>Příjmení</t>
  </si>
  <si>
    <t>Efternamn</t>
  </si>
  <si>
    <t>แหล่งที่มาของบันทึก</t>
  </si>
  <si>
    <t>Asal Log</t>
  </si>
  <si>
    <t>Původ protokolu</t>
  </si>
  <si>
    <t>Loggursprung</t>
  </si>
  <si>
    <t>Carregamentos</t>
  </si>
  <si>
    <t>สินค้าขนส่ง</t>
  </si>
  <si>
    <t>Pengiriman</t>
  </si>
  <si>
    <t>Zásilky</t>
  </si>
  <si>
    <t>Transporter</t>
  </si>
  <si>
    <t>โซนเวลา</t>
  </si>
  <si>
    <t>Zona Waktu</t>
  </si>
  <si>
    <t>Časové pásmo</t>
  </si>
  <si>
    <t>Tidszon</t>
  </si>
  <si>
    <t>Véhicule</t>
  </si>
  <si>
    <t>Vehículo</t>
  </si>
  <si>
    <t>Fahrzeug</t>
  </si>
  <si>
    <t>車両</t>
  </si>
  <si>
    <t>Pojazd</t>
  </si>
  <si>
    <t>Veículo</t>
  </si>
  <si>
    <t>Voertuig</t>
  </si>
  <si>
    <t>Veicolo</t>
  </si>
  <si>
    <t>车辆</t>
  </si>
  <si>
    <t>รถ</t>
  </si>
  <si>
    <t>Kendaraan</t>
  </si>
  <si>
    <t>Vozidlo</t>
  </si>
  <si>
    <t>Fordon</t>
  </si>
  <si>
    <t>Vérifié</t>
  </si>
  <si>
    <t>Verificado</t>
  </si>
  <si>
    <t>Verifizierte</t>
  </si>
  <si>
    <t>検証された</t>
  </si>
  <si>
    <t>Zweryfikowano</t>
  </si>
  <si>
    <t>Geverifieerd</t>
  </si>
  <si>
    <t>Verificato</t>
  </si>
  <si>
    <t>已确认</t>
  </si>
  <si>
    <t>ตรวจสอบแล้ว</t>
  </si>
  <si>
    <t>Diverifikasi</t>
  </si>
  <si>
    <t>Ověřeno</t>
  </si>
  <si>
    <t>Verifierad</t>
  </si>
  <si>
    <t>Non vérifié</t>
  </si>
  <si>
    <t>Sin verificar</t>
  </si>
  <si>
    <t>Ungeprüft</t>
  </si>
  <si>
    <t>未確認</t>
  </si>
  <si>
    <t>Niezweryfikowane</t>
  </si>
  <si>
    <t>Não verificado</t>
  </si>
  <si>
    <t>Niet geverifieerd</t>
  </si>
  <si>
    <t>Non verificato</t>
  </si>
  <si>
    <t>未验证</t>
  </si>
  <si>
    <t>ยังไม่ได้ยืนยัน</t>
  </si>
  <si>
    <t>Belum diverifikasi</t>
  </si>
  <si>
    <t>Neověřeno</t>
  </si>
  <si>
    <t>Ej verifierad</t>
  </si>
  <si>
    <t>Total</t>
  </si>
  <si>
    <t>合計</t>
  </si>
  <si>
    <t>Całkowita</t>
  </si>
  <si>
    <t>Totaal</t>
  </si>
  <si>
    <t>Totale</t>
  </si>
  <si>
    <t>总计</t>
  </si>
  <si>
    <t>ผลรวม</t>
  </si>
  <si>
    <t>Celkem</t>
  </si>
  <si>
    <t>Totalt</t>
  </si>
  <si>
    <t>Jours</t>
  </si>
  <si>
    <t>Días</t>
  </si>
  <si>
    <t>Tage</t>
  </si>
  <si>
    <t>日</t>
  </si>
  <si>
    <t>Dni</t>
  </si>
  <si>
    <t>Dias</t>
  </si>
  <si>
    <t>Dagen</t>
  </si>
  <si>
    <t>Giorni</t>
  </si>
  <si>
    <t>天</t>
  </si>
  <si>
    <t>วัน</t>
  </si>
  <si>
    <t>Hari</t>
  </si>
  <si>
    <t>Dny</t>
  </si>
  <si>
    <t>Dagar</t>
  </si>
  <si>
    <t>Grace</t>
  </si>
  <si>
    <t>Turkish</t>
  </si>
  <si>
    <t>Sürücü</t>
  </si>
  <si>
    <t>Tarih</t>
  </si>
  <si>
    <t>Durum</t>
  </si>
  <si>
    <t>Aygıt</t>
  </si>
  <si>
    <t>Yardımcı sürücüler</t>
  </si>
  <si>
    <t>Treylerler</t>
  </si>
  <si>
    <t>Boylam</t>
  </si>
  <si>
    <t>Enlem</t>
  </si>
  <si>
    <t>Kilometre Sayacı</t>
  </si>
  <si>
    <t>Süre</t>
  </si>
  <si>
    <t>Mesafe</t>
  </si>
  <si>
    <t>Tarihi Doğrula</t>
  </si>
  <si>
    <t>Tarihi Düzenle</t>
  </si>
  <si>
    <t>Görev Durumu Kayıtları</t>
  </si>
  <si>
    <t>Özet</t>
  </si>
  <si>
    <t>Oluşturuldu</t>
  </si>
  <si>
    <t>Gönderen</t>
  </si>
  <si>
    <t>Alıcı</t>
  </si>
  <si>
    <t>Mesafe Birimi</t>
  </si>
  <si>
    <t>Ad</t>
  </si>
  <si>
    <t>Soyadı</t>
  </si>
  <si>
    <t>Kayıt Kaynağı</t>
  </si>
  <si>
    <t>Yükler</t>
  </si>
  <si>
    <t>Saat Dilimi</t>
  </si>
  <si>
    <t>Araç</t>
  </si>
  <si>
    <t>Doğrulandı</t>
  </si>
  <si>
    <t>Doğrulanmamış</t>
  </si>
  <si>
    <t>Doğrulanmamış Kayıtlar</t>
  </si>
  <si>
    <t>Toplam</t>
  </si>
  <si>
    <t>Gün</t>
  </si>
  <si>
    <t>Doğrulanmamış Kayıtların Sayısı</t>
  </si>
  <si>
    <t>Kontrol et</t>
  </si>
  <si>
    <t>Dikkate Alınmadı</t>
  </si>
  <si>
    <t>Mühlet Günü</t>
  </si>
  <si>
    <t>Kayıt Tarihi ve Saati</t>
  </si>
  <si>
    <t>Doğrulanmamış Kayıtların Olduğu Gün Sayısı</t>
  </si>
  <si>
    <t>Filtre Seçenekleri</t>
  </si>
  <si>
    <t>Mühlet</t>
  </si>
  <si>
    <t>Doğrulama bekleyen toplam gün sayısı</t>
  </si>
  <si>
    <t>Doğrulama için bekleyen günler</t>
  </si>
  <si>
    <t>Sürücü Sayısı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</si>
</sst>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dd/mm/yyyy\ h:mm:ss\ AM/PM"/>
    <numFmt numFmtId="169" formatCode="[$-409]0;[$-409]\-0;[$-409];@"/>
    <numFmt numFmtId="170" formatCode="[$-409]mmm\ dd\,\ yyyy"/>
    <numFmt numFmtId="171" formatCode="[$-409]mmm\ dd\,\ yyyy\ h:mm:ss\ AM/PM"/>
    <numFmt numFmtId="172" formatCode="[$-409]m/d/yy\ h:mm"/>
    <numFmt numFmtId="173" formatCode="[$-F800]dddd\,\ mmmm\ dd\,\ yyyy"/>
    <numFmt numFmtId="174" formatCode="[$-409]mmm\ dd"/>
  </numFmts>
  <fonts count="31" x14ac:knownFonts="1">
    <font>
      <sz val="10"/>
      <name val="Arial"/>
      <family val="2"/>
    </font>
    <font>
      <b/>
      <sz val="7"/>
      <color indexed="8"/>
      <name val="Tahoma"/>
      <family val="2"/>
    </font>
    <font>
      <sz val="8"/>
      <color indexed="8"/>
      <name val="Tahoma"/>
      <family val="2"/>
    </font>
    <font>
      <sz val="10"/>
      <name val="Arial"/>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sz val="12"/>
      <color theme="0" tint="-0.34998626667073579"/>
      <name val="Segoe UI"/>
      <family val="2"/>
    </font>
    <font>
      <b/>
      <sz val="8"/>
      <color theme="1"/>
      <name val="Tahoma"/>
      <family val="2"/>
    </font>
    <font>
      <b/>
      <sz val="10"/>
      <name val="Arial"/>
      <family val="2"/>
    </font>
    <font>
      <sz val="10"/>
      <name val="Segoe UI"/>
      <family val="2"/>
    </font>
    <font>
      <sz val="11"/>
      <name val="Segoe UI"/>
      <family val="2"/>
    </font>
    <font>
      <sz val="18"/>
      <color theme="0"/>
      <name val="Segoe UI"/>
      <family val="2"/>
    </font>
    <font>
      <b/>
      <sz val="18"/>
      <color theme="0"/>
      <name val="Segoe UI"/>
      <family val="2"/>
    </font>
    <font>
      <sz val="12"/>
      <color theme="0"/>
      <name val="Segoe UI"/>
      <family val="2"/>
    </font>
    <font>
      <sz val="11"/>
      <color theme="0"/>
      <name val="Segoe UI"/>
      <family val="2"/>
    </font>
    <font>
      <sz val="12"/>
      <name val="Segoe UI"/>
      <family val="2"/>
    </font>
    <font>
      <sz val="72"/>
      <name val="Segoe UI"/>
      <family val="2"/>
    </font>
    <font>
      <b/>
      <sz val="12"/>
      <name val="Segoe UI"/>
      <family val="2"/>
    </font>
    <font>
      <b/>
      <sz val="12"/>
      <color theme="0"/>
      <name val="Segoe UI"/>
      <family val="2"/>
    </font>
    <font>
      <sz val="8"/>
      <name val="Arial"/>
      <family val="2"/>
    </font>
    <font>
      <sz val="16"/>
      <color theme="3"/>
      <name val="Segoe UI"/>
      <family val="2"/>
    </font>
    <font>
      <b/>
      <sz val="12"/>
      <color theme="4" tint="0.79998168889431442"/>
      <name val="Segoe UI"/>
      <family val="2"/>
    </font>
    <font>
      <b/>
      <sz val="10"/>
      <color theme="4" tint="0.79998168889431442"/>
      <name val="Segoe UI"/>
      <family val="2"/>
    </font>
    <font>
      <sz val="10"/>
      <color theme="4" tint="0.79998168889431442"/>
      <name val="Segoe UI"/>
      <family val="2"/>
    </font>
    <font>
      <sz val="11"/>
      <name val="Segoe UI"/>
    </font>
    <font>
      <b/>
      <sz val="12"/>
      <name val="Segoe UI"/>
    </font>
  </fonts>
  <fills count="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3"/>
        <bgColor indexed="64"/>
      </patternFill>
    </fill>
    <fill>
      <patternFill patternType="solid">
        <fgColor theme="4"/>
        <bgColor indexed="64"/>
      </patternFill>
    </fill>
    <fill>
      <patternFill patternType="solid">
        <fgColor theme="5" tint="0.59999389629810485"/>
        <bgColor indexed="64"/>
      </patternFill>
    </fill>
  </fills>
  <borders count="11">
    <border>
      <left/>
      <right/>
      <top/>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medium">
        <color theme="4"/>
      </left>
      <right/>
      <top style="medium">
        <color theme="4"/>
      </top>
      <bottom/>
      <diagonal/>
    </border>
    <border>
      <left/>
      <right style="medium">
        <color theme="4"/>
      </right>
      <top style="medium">
        <color theme="4"/>
      </top>
      <bottom/>
      <diagonal/>
    </border>
    <border>
      <left style="medium">
        <color theme="4"/>
      </left>
      <right/>
      <top/>
      <bottom style="medium">
        <color theme="4"/>
      </bottom>
      <diagonal/>
    </border>
    <border>
      <left/>
      <right style="medium">
        <color theme="4"/>
      </right>
      <top/>
      <bottom style="medium">
        <color theme="4"/>
      </bottom>
      <diagonal/>
    </border>
    <border>
      <left style="medium">
        <color theme="4"/>
      </left>
      <right/>
      <top/>
      <bottom/>
      <diagonal/>
    </border>
    <border>
      <left/>
      <right style="medium">
        <color theme="4"/>
      </right>
      <top/>
      <bottom/>
      <diagonal/>
    </border>
    <border>
      <left/>
      <right/>
      <top style="medium">
        <color theme="4"/>
      </top>
      <bottom/>
      <diagonal/>
    </border>
    <border>
      <left/>
      <right/>
      <top/>
      <bottom style="medium">
        <color theme="4"/>
      </bottom>
      <diagonal/>
    </border>
  </borders>
  <cellStyleXfs count="21">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167" fontId="3"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0" fontId="6" fillId="10" borderId="0" applyNumberFormat="0"/>
    <xf numFmtId="0" fontId="7" fillId="0" borderId="0" applyNumberFormat="0" applyAlignment="0"/>
    <xf numFmtId="0" fontId="8" fillId="10" borderId="0" applyNumberFormat="0"/>
    <xf numFmtId="170" fontId="4" fillId="10" borderId="0"/>
    <xf numFmtId="0" fontId="9" fillId="0" borderId="0" applyNumberFormat="0"/>
    <xf numFmtId="0" fontId="10" fillId="0" borderId="0" applyNumberFormat="0"/>
    <xf numFmtId="0" fontId="11" fillId="0" borderId="0" applyNumberFormat="0" applyFill="0" applyBorder="0" applyAlignment="0" applyProtection="0">
      <alignment horizontal="right"/>
    </xf>
    <xf numFmtId="0" fontId="9" fillId="0" borderId="0" applyNumberFormat="0"/>
  </cellStyleXfs>
  <cellXfs count="98">
    <xf numFmtId="0" fontId="0" fillId="0" borderId="0" xfId="0"/>
    <xf numFmtId="0" fontId="1" fillId="9" borderId="1" xfId="0" applyFont="1" applyFill="1" applyBorder="1" applyAlignment="1">
      <alignment horizontal="center" wrapText="1"/>
    </xf>
    <xf numFmtId="0" fontId="2" fillId="0" borderId="0" xfId="0" applyFont="1" applyAlignment="1">
      <alignment horizontal="left"/>
    </xf>
    <xf numFmtId="168" fontId="2" fillId="0" borderId="0" xfId="0" applyNumberFormat="1" applyFont="1" applyAlignment="1">
      <alignment horizontal="left"/>
    </xf>
    <xf numFmtId="0" fontId="12" fillId="0" borderId="0" xfId="0" applyFont="1"/>
    <xf numFmtId="172" fontId="0" fillId="0" borderId="0" xfId="0" applyNumberFormat="1"/>
    <xf numFmtId="0" fontId="13" fillId="0" borderId="0" xfId="0" applyFont="1"/>
    <xf numFmtId="0" fontId="14" fillId="0" borderId="0" xfId="0" applyFont="1"/>
    <xf numFmtId="168" fontId="14" fillId="0" borderId="0" xfId="0" applyNumberFormat="1" applyFont="1"/>
    <xf numFmtId="170" fontId="15" fillId="0" borderId="0" xfId="14" applyNumberFormat="1" applyFont="1" applyAlignment="1">
      <alignment horizontal="left"/>
    </xf>
    <xf numFmtId="1" fontId="15" fillId="0" borderId="0" xfId="14" applyNumberFormat="1" applyFont="1" applyAlignment="1">
      <alignment horizontal="left"/>
    </xf>
    <xf numFmtId="0" fontId="15" fillId="0" borderId="0" xfId="14" applyFont="1"/>
    <xf numFmtId="171" fontId="15" fillId="0" borderId="0" xfId="14" applyNumberFormat="1" applyFont="1" applyAlignment="1">
      <alignment horizontal="left"/>
    </xf>
    <xf numFmtId="169" fontId="15" fillId="0" borderId="0" xfId="14" applyNumberFormat="1" applyFont="1" applyAlignment="1">
      <alignment horizontal="left"/>
    </xf>
    <xf numFmtId="0" fontId="17" fillId="0" borderId="0" xfId="13" applyFont="1" applyFill="1"/>
    <xf numFmtId="170" fontId="15" fillId="0" borderId="0" xfId="14" applyNumberFormat="1" applyFont="1" applyAlignment="1"/>
    <xf numFmtId="0" fontId="15" fillId="0" borderId="0" xfId="20" applyFont="1" applyFill="1" applyBorder="1" applyAlignment="1">
      <alignment horizontal="center" vertical="center"/>
    </xf>
    <xf numFmtId="1" fontId="15" fillId="0" borderId="0" xfId="20" applyNumberFormat="1" applyFont="1" applyFill="1" applyBorder="1" applyAlignment="1">
      <alignment horizontal="center" vertical="center"/>
    </xf>
    <xf numFmtId="0" fontId="14" fillId="0" borderId="0" xfId="0" applyFont="1" applyFill="1"/>
    <xf numFmtId="0" fontId="15" fillId="0" borderId="0" xfId="19" applyFont="1" applyAlignment="1"/>
    <xf numFmtId="0" fontId="13" fillId="0" borderId="0" xfId="0" applyFont="1" applyAlignment="1">
      <alignment wrapText="1"/>
    </xf>
    <xf numFmtId="0" fontId="0" fillId="0" borderId="0" xfId="0" applyAlignment="1">
      <alignment wrapText="1"/>
    </xf>
    <xf numFmtId="0" fontId="14" fillId="0" borderId="0" xfId="0" applyFont="1" applyAlignment="1">
      <alignment vertical="center"/>
    </xf>
    <xf numFmtId="0" fontId="14" fillId="0" borderId="0" xfId="0" applyFont="1" applyAlignment="1">
      <alignment horizontal="center" vertical="center"/>
    </xf>
    <xf numFmtId="170" fontId="15" fillId="0" borderId="0" xfId="14" applyNumberFormat="1" applyFont="1" applyAlignment="1">
      <alignment horizontal="center" vertical="center"/>
    </xf>
    <xf numFmtId="0" fontId="14" fillId="0" borderId="0" xfId="0" applyFont="1" applyFill="1" applyAlignment="1">
      <alignment vertical="center"/>
    </xf>
    <xf numFmtId="0" fontId="0" fillId="0" borderId="0" xfId="0" applyAlignment="1">
      <alignment vertical="center"/>
    </xf>
    <xf numFmtId="0" fontId="0" fillId="0" borderId="0" xfId="0" applyAlignment="1">
      <alignment horizontal="center" vertical="center"/>
    </xf>
    <xf numFmtId="0" fontId="15" fillId="0" borderId="0" xfId="0" applyFont="1" applyAlignment="1">
      <alignment vertical="center"/>
    </xf>
    <xf numFmtId="0" fontId="15" fillId="12" borderId="2" xfId="20" applyFont="1" applyFill="1" applyBorder="1" applyAlignment="1">
      <alignment horizontal="center" vertical="center"/>
    </xf>
    <xf numFmtId="0" fontId="18" fillId="11" borderId="0" xfId="19" applyFont="1" applyFill="1" applyAlignment="1">
      <alignment horizontal="left"/>
    </xf>
    <xf numFmtId="1" fontId="18" fillId="11" borderId="0" xfId="19" applyNumberFormat="1" applyFont="1" applyFill="1" applyAlignment="1">
      <alignment horizontal="left"/>
    </xf>
    <xf numFmtId="170" fontId="15" fillId="12" borderId="2" xfId="20" applyNumberFormat="1" applyFont="1" applyFill="1" applyBorder="1" applyAlignment="1">
      <alignment horizontal="center" vertical="center"/>
    </xf>
    <xf numFmtId="1" fontId="15" fillId="12" borderId="2" xfId="20" applyNumberFormat="1" applyFont="1" applyFill="1" applyBorder="1" applyAlignment="1">
      <alignment horizontal="center" vertical="center"/>
    </xf>
    <xf numFmtId="0" fontId="0" fillId="0" borderId="0" xfId="0" applyAlignment="1">
      <alignment horizontal="center"/>
    </xf>
    <xf numFmtId="170" fontId="15" fillId="0" borderId="0" xfId="14" applyNumberFormat="1" applyFont="1" applyFill="1" applyAlignment="1">
      <alignment horizontal="center" vertical="center"/>
    </xf>
    <xf numFmtId="0" fontId="14" fillId="0" borderId="0" xfId="0" applyFont="1" applyFill="1" applyAlignment="1">
      <alignment horizontal="center" vertical="center"/>
    </xf>
    <xf numFmtId="170" fontId="18" fillId="11" borderId="0" xfId="14" applyNumberFormat="1" applyFont="1" applyFill="1" applyAlignment="1">
      <alignment horizontal="center"/>
    </xf>
    <xf numFmtId="0" fontId="22" fillId="0" borderId="0" xfId="0" applyFont="1" applyAlignment="1">
      <alignment vertical="center"/>
    </xf>
    <xf numFmtId="0" fontId="17" fillId="0" borderId="0" xfId="13" applyFont="1" applyFill="1" applyAlignment="1">
      <alignment horizontal="left"/>
    </xf>
    <xf numFmtId="0" fontId="14" fillId="0" borderId="0" xfId="0" applyFont="1" applyAlignment="1">
      <alignment horizontal="left"/>
    </xf>
    <xf numFmtId="168" fontId="14" fillId="0" borderId="0" xfId="0" applyNumberFormat="1" applyFont="1" applyAlignment="1">
      <alignment horizontal="left"/>
    </xf>
    <xf numFmtId="0" fontId="16" fillId="11" borderId="0" xfId="13" applyFont="1" applyFill="1"/>
    <xf numFmtId="0" fontId="17" fillId="11" borderId="0" xfId="13" applyFont="1" applyFill="1"/>
    <xf numFmtId="0" fontId="25" fillId="0" borderId="0" xfId="13" applyFont="1" applyFill="1" applyAlignment="1">
      <alignment vertical="center"/>
    </xf>
    <xf numFmtId="0" fontId="17" fillId="11" borderId="0" xfId="13" applyFont="1" applyFill="1" applyAlignment="1">
      <alignment horizontal="left"/>
    </xf>
    <xf numFmtId="1" fontId="14" fillId="0" borderId="0" xfId="0" applyNumberFormat="1" applyFont="1" applyAlignment="1">
      <alignment horizontal="left" vertical="center"/>
    </xf>
    <xf numFmtId="0" fontId="14" fillId="0" borderId="0" xfId="0" applyFont="1" applyAlignment="1">
      <alignment horizontal="left" vertical="center"/>
    </xf>
    <xf numFmtId="1" fontId="15" fillId="0" borderId="0" xfId="14" applyNumberFormat="1" applyFont="1" applyAlignment="1">
      <alignment horizontal="left" vertical="center"/>
    </xf>
    <xf numFmtId="170" fontId="15" fillId="0" borderId="0" xfId="14" applyNumberFormat="1" applyFont="1" applyAlignment="1">
      <alignment horizontal="left" vertical="center"/>
    </xf>
    <xf numFmtId="0" fontId="15" fillId="0" borderId="0" xfId="14" applyFont="1" applyAlignment="1">
      <alignment horizontal="left" vertical="center"/>
    </xf>
    <xf numFmtId="168" fontId="14" fillId="0" borderId="0" xfId="0" applyNumberFormat="1" applyFont="1" applyAlignment="1">
      <alignment horizontal="left" vertical="center"/>
    </xf>
    <xf numFmtId="2" fontId="18" fillId="11" borderId="0" xfId="19" applyNumberFormat="1" applyFont="1" applyFill="1" applyAlignment="1">
      <alignment horizontal="left"/>
    </xf>
    <xf numFmtId="0" fontId="18" fillId="11" borderId="0" xfId="19" applyFont="1" applyFill="1" applyAlignment="1"/>
    <xf numFmtId="0" fontId="23" fillId="11" borderId="0" xfId="15" applyFont="1" applyFill="1" applyAlignment="1"/>
    <xf numFmtId="2" fontId="14" fillId="0" borderId="0" xfId="0" applyNumberFormat="1" applyFont="1" applyAlignment="1">
      <alignment horizontal="left" vertical="center"/>
    </xf>
    <xf numFmtId="2" fontId="15" fillId="0" borderId="0" xfId="14" applyNumberFormat="1" applyFont="1" applyAlignment="1">
      <alignment horizontal="left" vertical="center"/>
    </xf>
    <xf numFmtId="0" fontId="19" fillId="13" borderId="2" xfId="20" applyFont="1" applyFill="1" applyBorder="1" applyAlignment="1">
      <alignment horizontal="center" vertical="center"/>
    </xf>
    <xf numFmtId="174" fontId="15" fillId="0" borderId="0" xfId="14" applyNumberFormat="1" applyFont="1" applyAlignment="1">
      <alignment horizontal="left"/>
    </xf>
    <xf numFmtId="174" fontId="17" fillId="11" borderId="0" xfId="13" applyNumberFormat="1" applyFont="1" applyFill="1" applyAlignment="1">
      <alignment horizontal="left"/>
    </xf>
    <xf numFmtId="174" fontId="17" fillId="0" borderId="0" xfId="13" applyNumberFormat="1" applyFont="1" applyFill="1" applyAlignment="1">
      <alignment horizontal="left"/>
    </xf>
    <xf numFmtId="174" fontId="14" fillId="0" borderId="0" xfId="0" applyNumberFormat="1" applyFont="1" applyAlignment="1">
      <alignment horizontal="left"/>
    </xf>
    <xf numFmtId="174" fontId="18" fillId="11" borderId="0" xfId="19" applyNumberFormat="1" applyFont="1" applyFill="1" applyAlignment="1">
      <alignment horizontal="left"/>
    </xf>
    <xf numFmtId="0" fontId="17" fillId="11" borderId="0" xfId="13" applyFont="1" applyFill="1" applyAlignment="1">
      <alignment horizontal="center"/>
    </xf>
    <xf numFmtId="0" fontId="17" fillId="0" borderId="0" xfId="13" applyFont="1" applyFill="1" applyAlignment="1">
      <alignment horizontal="center"/>
    </xf>
    <xf numFmtId="0" fontId="20" fillId="0" borderId="0" xfId="0" applyFont="1" applyAlignment="1">
      <alignment horizontal="center" vertical="center" wrapText="1"/>
    </xf>
    <xf numFmtId="0" fontId="19" fillId="13" borderId="2" xfId="20" applyFont="1" applyFill="1" applyBorder="1" applyAlignment="1">
      <alignment horizontal="center" vertical="center"/>
    </xf>
    <xf numFmtId="0" fontId="29" fillId="0" borderId="0" xfId="0" pivotButton="1" applyFont="1"/>
    <xf numFmtId="0" fontId="29" fillId="0" borderId="0" xfId="0" applyFont="1"/>
    <xf numFmtId="0" fontId="29" fillId="0" borderId="0" xfId="0" applyNumberFormat="1" applyFont="1" applyAlignment="1">
      <alignment horizontal="center"/>
    </xf>
    <xf numFmtId="0" fontId="30" fillId="0" borderId="0" xfId="0" pivotButton="1" applyFont="1"/>
    <xf numFmtId="0" fontId="29" fillId="0" borderId="0" xfId="0" applyFont="1" applyAlignment="1">
      <alignment horizontal="center"/>
    </xf>
    <xf numFmtId="174" fontId="29" fillId="0" borderId="0" xfId="0" applyNumberFormat="1" applyFont="1" applyAlignment="1">
      <alignment horizontal="center"/>
    </xf>
    <xf numFmtId="0" fontId="30" fillId="0" borderId="0" xfId="0" applyFont="1" applyAlignment="1">
      <alignment horizontal="center"/>
    </xf>
    <xf numFmtId="173" fontId="29" fillId="0" borderId="0" xfId="0" applyNumberFormat="1" applyFont="1" applyAlignment="1">
      <alignment horizontal="left"/>
    </xf>
    <xf numFmtId="174" fontId="29" fillId="0" borderId="0" xfId="0" applyNumberFormat="1" applyFont="1" applyAlignment="1">
      <alignment horizontal="left"/>
    </xf>
    <xf numFmtId="0" fontId="19" fillId="13" borderId="2" xfId="20" applyFont="1" applyFill="1" applyBorder="1" applyAlignment="1">
      <alignment horizontal="center" vertical="center"/>
    </xf>
    <xf numFmtId="0" fontId="27" fillId="14" borderId="3" xfId="0" applyFont="1" applyFill="1" applyBorder="1" applyAlignment="1">
      <alignment horizontal="center" vertical="center"/>
    </xf>
    <xf numFmtId="0" fontId="27" fillId="14" borderId="5" xfId="0" applyFont="1" applyFill="1" applyBorder="1" applyAlignment="1">
      <alignment horizontal="center" vertical="center"/>
    </xf>
    <xf numFmtId="170" fontId="28" fillId="14" borderId="4" xfId="20" applyNumberFormat="1" applyFont="1" applyFill="1" applyBorder="1" applyAlignment="1">
      <alignment horizontal="center" vertical="center"/>
    </xf>
    <xf numFmtId="170" fontId="28" fillId="14" borderId="6" xfId="20" applyNumberFormat="1" applyFont="1" applyFill="1" applyBorder="1" applyAlignment="1">
      <alignment horizontal="center" vertical="center"/>
    </xf>
    <xf numFmtId="0" fontId="26" fillId="14" borderId="3" xfId="0" applyFont="1" applyFill="1" applyBorder="1" applyAlignment="1">
      <alignment horizontal="center" vertical="center"/>
    </xf>
    <xf numFmtId="0" fontId="26" fillId="14" borderId="9" xfId="0" applyFont="1" applyFill="1" applyBorder="1" applyAlignment="1">
      <alignment horizontal="center" vertical="center"/>
    </xf>
    <xf numFmtId="0" fontId="26" fillId="14" borderId="4" xfId="0" applyFont="1" applyFill="1" applyBorder="1" applyAlignment="1">
      <alignment horizontal="center" vertical="center"/>
    </xf>
    <xf numFmtId="0" fontId="26" fillId="14" borderId="5" xfId="0" applyFont="1" applyFill="1" applyBorder="1" applyAlignment="1">
      <alignment horizontal="center" vertical="center"/>
    </xf>
    <xf numFmtId="0" fontId="26" fillId="14" borderId="10" xfId="0" applyFont="1" applyFill="1" applyBorder="1" applyAlignment="1">
      <alignment horizontal="center" vertical="center"/>
    </xf>
    <xf numFmtId="0" fontId="26" fillId="14" borderId="6" xfId="0" applyFont="1" applyFill="1" applyBorder="1" applyAlignment="1">
      <alignment horizontal="center" vertical="center"/>
    </xf>
    <xf numFmtId="0" fontId="21" fillId="15" borderId="3" xfId="0" applyFont="1" applyFill="1" applyBorder="1" applyAlignment="1">
      <alignment horizontal="center" vertical="center"/>
    </xf>
    <xf numFmtId="0" fontId="21" fillId="15" borderId="9" xfId="0" applyFont="1" applyFill="1" applyBorder="1" applyAlignment="1">
      <alignment horizontal="center" vertical="center"/>
    </xf>
    <xf numFmtId="0" fontId="21" fillId="15" borderId="4"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0" xfId="0" applyFont="1" applyFill="1" applyAlignment="1">
      <alignment horizontal="center" vertical="center"/>
    </xf>
    <xf numFmtId="0" fontId="21" fillId="15" borderId="8" xfId="0" applyFont="1" applyFill="1" applyBorder="1" applyAlignment="1">
      <alignment horizontal="center" vertical="center"/>
    </xf>
    <xf numFmtId="0" fontId="21" fillId="15" borderId="5" xfId="0" applyFont="1" applyFill="1" applyBorder="1" applyAlignment="1">
      <alignment horizontal="center" vertical="center"/>
    </xf>
    <xf numFmtId="0" fontId="21" fillId="15" borderId="10" xfId="0" applyFont="1" applyFill="1" applyBorder="1" applyAlignment="1">
      <alignment horizontal="center" vertical="center"/>
    </xf>
    <xf numFmtId="0" fontId="21" fillId="15" borderId="6" xfId="0" applyFont="1" applyFill="1" applyBorder="1" applyAlignment="1">
      <alignment horizontal="center" vertical="center"/>
    </xf>
    <xf numFmtId="0" fontId="27" fillId="14" borderId="9" xfId="0" applyFont="1" applyFill="1" applyBorder="1" applyAlignment="1">
      <alignment horizontal="center" vertical="center"/>
    </xf>
    <xf numFmtId="0" fontId="27" fillId="14" borderId="10" xfId="0" applyFont="1" applyFill="1" applyBorder="1" applyAlignment="1">
      <alignment horizontal="center" vertical="center"/>
    </xf>
  </cellXfs>
  <cellStyles count="21">
    <cellStyle name="20% - Accent1" xfId="1" builtinId="30" customBuiltin="1"/>
    <cellStyle name="20% - Accent2" xfId="2" builtinId="34" customBuiltin="1"/>
    <cellStyle name="20% - Accent3" xfId="3" builtinId="38" customBuiltin="1"/>
    <cellStyle name="20% - Accent4" xfId="4" builtinId="42" customBuiltin="1"/>
    <cellStyle name="40% - Accent3" xfId="5" builtinId="39" customBuiltin="1"/>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Geotab Report Field Name" xfId="20" xr:uid="{00000000-0005-0000-0000-00000C000000}"/>
    <cellStyle name="Heading" xfId="13" xr:uid="{00000000-0005-0000-0000-00000D000000}"/>
    <cellStyle name="Normal" xfId="0" builtinId="0" customBuiltin="1"/>
    <cellStyle name="Report Body" xfId="14" xr:uid="{00000000-0005-0000-0000-00000F000000}"/>
    <cellStyle name="Report Column Header" xfId="15" xr:uid="{00000000-0005-0000-0000-000010000000}"/>
    <cellStyle name="Report Creation DateTime" xfId="16" xr:uid="{00000000-0005-0000-0000-000011000000}"/>
    <cellStyle name="Report Field Name" xfId="17" xr:uid="{00000000-0005-0000-0000-000012000000}"/>
    <cellStyle name="Report Name" xfId="18" xr:uid="{00000000-0005-0000-0000-000013000000}"/>
    <cellStyle name="StandardReportHeading" xfId="19" xr:uid="{00000000-0005-0000-0000-000014000000}"/>
  </cellStyles>
  <dxfs count="90">
    <dxf>
      <fill>
        <patternFill>
          <bgColor theme="4" tint="0.59996337778862885"/>
        </patternFill>
      </fill>
    </dxf>
    <dxf>
      <alignment horizontal="left"/>
    </dxf>
    <dxf>
      <alignment horizontal="center"/>
    </dxf>
    <dxf>
      <font>
        <b/>
      </font>
    </dxf>
    <dxf>
      <font>
        <b/>
      </font>
    </dxf>
    <dxf>
      <font>
        <b/>
      </font>
    </dxf>
    <dxf>
      <font>
        <b/>
      </font>
    </dxf>
    <dxf>
      <font>
        <b/>
      </font>
    </dxf>
    <dxf>
      <font>
        <sz val="12"/>
      </font>
    </dxf>
    <dxf>
      <font>
        <sz val="12"/>
      </font>
    </dxf>
    <dxf>
      <font>
        <sz val="12"/>
      </font>
    </dxf>
    <dxf>
      <font>
        <sz val="12"/>
      </font>
    </dxf>
    <dxf>
      <font>
        <sz val="12"/>
      </font>
    </dxf>
    <dxf>
      <alignment horizontal="center"/>
    </dxf>
    <dxf>
      <font>
        <sz val="11"/>
      </font>
    </dxf>
    <dxf>
      <font>
        <sz val="11"/>
      </font>
    </dxf>
    <dxf>
      <font>
        <sz val="11"/>
      </font>
    </dxf>
    <dxf>
      <font>
        <name val="Segoe UI"/>
      </font>
    </dxf>
    <dxf>
      <font>
        <name val="Segoe UI"/>
      </font>
    </dxf>
    <dxf>
      <font>
        <name val="Segoe UI"/>
      </font>
    </dxf>
    <dxf>
      <font>
        <name val="Segoe UI"/>
      </font>
    </dxf>
    <dxf>
      <alignment horizontal="center"/>
    </dxf>
    <dxf>
      <alignment horizontal="center"/>
    </dxf>
    <dxf>
      <alignment horizontal="center"/>
    </dxf>
    <dxf>
      <alignment horizontal="center"/>
    </dxf>
    <dxf>
      <alignment horizontal="center"/>
    </dxf>
    <dxf>
      <font>
        <color theme="0" tint="-0.34998626667073579"/>
      </font>
    </dxf>
    <dxf>
      <font>
        <color theme="0" tint="-0.34998626667073579"/>
      </font>
    </dxf>
    <dxf>
      <font>
        <color theme="0" tint="-0.34998626667073579"/>
      </font>
    </dxf>
    <dxf>
      <alignment horizontal="left"/>
    </dxf>
    <dxf>
      <font>
        <b/>
      </font>
    </dxf>
    <dxf>
      <font>
        <b/>
      </font>
    </dxf>
    <dxf>
      <font>
        <b/>
      </font>
    </dxf>
    <dxf>
      <font>
        <b/>
      </font>
    </dxf>
    <dxf>
      <font>
        <b/>
      </font>
    </dxf>
    <dxf>
      <font>
        <sz val="12"/>
      </font>
    </dxf>
    <dxf>
      <font>
        <sz val="12"/>
      </font>
    </dxf>
    <dxf>
      <font>
        <sz val="12"/>
      </font>
    </dxf>
    <dxf>
      <font>
        <sz val="12"/>
      </font>
    </dxf>
    <dxf>
      <font>
        <sz val="12"/>
      </font>
    </dxf>
    <dxf>
      <alignment horizontal="center"/>
    </dxf>
    <dxf>
      <font>
        <sz val="11"/>
      </font>
    </dxf>
    <dxf>
      <font>
        <sz val="11"/>
      </font>
    </dxf>
    <dxf>
      <font>
        <sz val="11"/>
      </font>
    </dxf>
    <dxf>
      <font>
        <name val="Segoe UI"/>
      </font>
    </dxf>
    <dxf>
      <font>
        <name val="Segoe UI"/>
      </font>
    </dxf>
    <dxf>
      <font>
        <name val="Segoe UI"/>
      </font>
    </dxf>
    <dxf>
      <font>
        <name val="Segoe UI"/>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sz val="12"/>
      </font>
    </dxf>
    <dxf>
      <font>
        <sz val="12"/>
      </font>
    </dxf>
    <dxf>
      <font>
        <sz val="12"/>
      </font>
    </dxf>
    <dxf>
      <font>
        <sz val="12"/>
      </font>
    </dxf>
    <dxf>
      <font>
        <sz val="11"/>
      </font>
    </dxf>
    <dxf>
      <font>
        <sz val="11"/>
      </font>
    </dxf>
    <dxf>
      <font>
        <sz val="11"/>
      </font>
    </dxf>
    <dxf>
      <font>
        <name val="Segoe UI"/>
      </font>
    </dxf>
    <dxf>
      <font>
        <name val="Segoe UI"/>
      </font>
    </dxf>
    <dxf>
      <font>
        <name val="Segoe UI"/>
      </font>
    </dxf>
    <dxf>
      <font>
        <name val="Segoe UI"/>
      </font>
    </dxf>
    <dxf>
      <alignment horizontal="center"/>
    </dxf>
    <dxf>
      <alignment horizontal="center"/>
    </dxf>
    <dxf>
      <alignment horizontal="center"/>
    </dxf>
    <dxf>
      <alignment horizontal="center"/>
    </dxf>
    <dxf>
      <alignment horizontal="center"/>
    </dxf>
    <dxf>
      <font>
        <color theme="0"/>
      </font>
      <border>
        <left style="thin">
          <color theme="4" tint="0.79998168889431442"/>
        </left>
        <right style="thin">
          <color theme="4" tint="0.79998168889431442"/>
        </right>
        <top style="thin">
          <color theme="4" tint="0.79998168889431442"/>
        </top>
        <bottom style="thin">
          <color theme="4" tint="0.79998168889431442"/>
        </bottom>
        <vertical/>
        <horizontal/>
      </border>
    </dxf>
    <dxf>
      <font>
        <color theme="5" tint="0.59996337778862885"/>
      </font>
      <fill>
        <patternFill>
          <bgColor theme="5" tint="0.59996337778862885"/>
        </patternFill>
      </fill>
      <border>
        <left style="thin">
          <color theme="5"/>
        </left>
        <right style="thin">
          <color theme="5"/>
        </right>
        <top style="thin">
          <color theme="5"/>
        </top>
        <bottom style="thin">
          <color theme="5"/>
        </bottom>
        <vertical/>
        <horizontal/>
      </border>
    </dxf>
    <dxf>
      <font>
        <color theme="4" tint="0.59996337778862885"/>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theme="5" tint="0.79992065187536243"/>
          <bgColor theme="0" tint="-4.9989318521683403E-2"/>
        </patternFill>
      </fill>
      <border>
        <bottom style="thin">
          <color theme="4"/>
        </bottom>
      </border>
    </dxf>
    <dxf>
      <fill>
        <patternFill patternType="solid">
          <fgColor theme="5" tint="0.79995117038483843"/>
          <bgColor theme="0" tint="-4.9989318521683403E-2"/>
        </patternFill>
      </fill>
      <border>
        <bottom style="thin">
          <color theme="4"/>
        </bottom>
      </border>
    </dxf>
    <dxf>
      <font>
        <b/>
        <i val="0"/>
        <color theme="1"/>
      </font>
      <fill>
        <patternFill>
          <bgColor theme="0" tint="-0.14996795556505021"/>
        </patternFill>
      </fill>
      <border>
        <top style="thin">
          <color theme="4"/>
        </top>
        <bottom style="thin">
          <color theme="4"/>
        </bottom>
      </border>
    </dxf>
    <dxf>
      <fill>
        <patternFill>
          <bgColor theme="0" tint="-4.9989318521683403E-2"/>
        </patternFill>
      </fill>
      <border>
        <bottom style="thin">
          <color theme="4" tint="0.79998168889431442"/>
        </bottom>
        <vertical/>
      </border>
    </dxf>
    <dxf>
      <fill>
        <patternFill>
          <bgColor theme="0" tint="-4.9989318521683403E-2"/>
        </patternFill>
      </fill>
      <border>
        <bottom style="thin">
          <color theme="4" tint="0.79998168889431442"/>
        </bottom>
      </border>
    </dxf>
    <dxf>
      <font>
        <b/>
        <i val="0"/>
        <color theme="1"/>
      </font>
      <fill>
        <patternFill patternType="solid">
          <fgColor theme="5" tint="0.79985961485641044"/>
          <bgColor theme="0" tint="-4.9989318521683403E-2"/>
        </patternFill>
      </fill>
      <border>
        <top style="thin">
          <color theme="2" tint="0.59996337778862885"/>
        </top>
        <bottom style="thin">
          <color theme="2" tint="0.59996337778862885"/>
        </bottom>
      </border>
    </dxf>
    <dxf>
      <font>
        <b/>
        <i val="0"/>
        <color theme="0"/>
      </font>
      <fill>
        <patternFill patternType="solid">
          <fgColor theme="5" tint="0.79985961485641044"/>
          <bgColor theme="2"/>
        </patternFill>
      </fill>
      <border>
        <bottom style="thin">
          <color theme="4"/>
        </bottom>
      </border>
    </dxf>
    <dxf>
      <font>
        <color auto="1"/>
      </font>
    </dxf>
  </dxfs>
  <tableStyles count="2" defaultTableStyle="TableStyleMedium9" defaultPivotStyle="PivotStyleLight16">
    <tableStyle name="PivotStyleLightCustom" table="0" count="8" xr9:uid="{00000000-0011-0000-FFFF-FFFF00000000}">
      <tableStyleElement type="wholeTable" dxfId="89"/>
      <tableStyleElement type="headerRow" dxfId="88"/>
      <tableStyleElement type="totalRow" dxfId="87"/>
      <tableStyleElement type="firstRowStripe" dxfId="86"/>
      <tableStyleElement type="secondRowStripe" dxfId="85"/>
      <tableStyleElement type="firstSubtotalRow" dxfId="84"/>
      <tableStyleElement type="pageFieldLabels" dxfId="83"/>
      <tableStyleElement type="pageFieldValues" dxfId="82"/>
    </tableStyle>
    <tableStyle name="SlicerStyleDark1 2" pivot="0" table="0" count="10" xr9:uid="{00000000-0011-0000-FFFF-FFFF01000000}">
      <tableStyleElement type="wholeTable" dxfId="81"/>
      <tableStyleElement type="headerRow" dxfId="80"/>
    </tableStyle>
  </tableStyles>
  <colors>
    <mruColors>
      <color rgb="FF99CC99"/>
      <color rgb="FF999999"/>
      <color rgb="FF25477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2"/>
            </patternFill>
          </fill>
          <border>
            <left style="thin">
              <color theme="4"/>
            </left>
            <right style="thin">
              <color theme="4"/>
            </right>
            <top style="thin">
              <color theme="4"/>
            </top>
            <bottom style="thin">
              <color theme="4"/>
            </bottom>
            <vertical/>
            <horizontal/>
          </border>
        </dxf>
        <dxf>
          <font>
            <strike/>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trike/>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[ELD Unverified Logs_40_-2008.xlsx]Graph!PivotTable2</c:name>
    <c:fmtId val="4"/>
  </c:pivotSource>
  <c:chart>
    <c:title>
      <c:tx>
        <c:strRef>
          <c:f>Count!$T$14</c:f>
          <c:strCache>
            <c:ptCount val="1"/>
            <c:pt idx="0">
              <c:v>8 **Pending days to be verified</c:v>
            </c:pt>
          </c:strCache>
        </c:strRef>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ysClr val="windowText" lastClr="000000"/>
              </a:solidFill>
              <a:latin typeface="Segoe UI" panose="020B0502040204020203" pitchFamily="34" charset="0"/>
              <a:ea typeface="+mj-ea"/>
              <a:cs typeface="Segoe UI" panose="020B0502040204020203" pitchFamily="34" charset="0"/>
            </a:defRPr>
          </a:pPr>
          <a:endParaRPr lang="en-US"/>
        </a:p>
      </c:txPr>
    </c:title>
    <c:autoTitleDeleted val="0"/>
    <c:pivotFmts>
      <c:pivotFmt>
        <c:idx val="0"/>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4">
                <a:lumMod val="75000"/>
              </a:schemeClr>
            </a:solidFill>
            <a:round/>
          </a:ln>
          <a:effectLst/>
        </c:spPr>
        <c:marker>
          <c:symbol val="circle"/>
          <c:size val="6"/>
          <c:spPr>
            <a:solidFill>
              <a:schemeClr val="accent4">
                <a:lumMod val="60000"/>
                <a:lumOff val="40000"/>
              </a:schemeClr>
            </a:solidFill>
            <a:ln w="15875">
              <a:solidFill>
                <a:schemeClr val="accent4">
                  <a:lumMod val="75000"/>
                </a:schemeClr>
              </a:solidFill>
              <a:round/>
            </a:ln>
            <a:effectLst/>
          </c:spPr>
        </c:marker>
      </c:pivotFmt>
      <c:pivotFmt>
        <c:idx val="2"/>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4">
                <a:lumMod val="75000"/>
              </a:schemeClr>
            </a:solidFill>
            <a:round/>
          </a:ln>
          <a:effectLst/>
        </c:spPr>
        <c:marker>
          <c:symbol val="circle"/>
          <c:size val="6"/>
          <c:spPr>
            <a:solidFill>
              <a:schemeClr val="accent4">
                <a:lumMod val="60000"/>
                <a:lumOff val="40000"/>
              </a:schemeClr>
            </a:solidFill>
            <a:ln w="15875">
              <a:solidFill>
                <a:schemeClr val="accent4">
                  <a:lumMod val="75000"/>
                </a:schemeClr>
              </a:solidFill>
              <a:round/>
            </a:ln>
            <a:effectLst/>
          </c:spPr>
        </c:marker>
      </c:pivotFmt>
      <c:pivotFmt>
        <c:idx val="4"/>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4">
                <a:lumMod val="75000"/>
              </a:schemeClr>
            </a:solidFill>
            <a:round/>
          </a:ln>
          <a:effectLst/>
        </c:spPr>
        <c:marker>
          <c:symbol val="circle"/>
          <c:size val="6"/>
          <c:spPr>
            <a:solidFill>
              <a:schemeClr val="accent4">
                <a:lumMod val="60000"/>
                <a:lumOff val="40000"/>
              </a:schemeClr>
            </a:solidFill>
            <a:ln w="15875">
              <a:solidFill>
                <a:schemeClr val="accent4">
                  <a:lumMod val="75000"/>
                </a:schemeClr>
              </a:solidFill>
              <a:round/>
            </a:ln>
            <a:effectLst/>
          </c:spPr>
        </c:marker>
      </c:pivotFmt>
      <c:pivotFmt>
        <c:idx val="6"/>
        <c:spPr>
          <a:solidFill>
            <a:schemeClr val="accent5">
              <a:lumMod val="40000"/>
              <a:lumOff val="60000"/>
            </a:schemeClr>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5">
                <a:lumMod val="75000"/>
              </a:schemeClr>
            </a:solidFill>
            <a:round/>
          </a:ln>
          <a:effectLst/>
        </c:spPr>
        <c:marker>
          <c:symbol val="circle"/>
          <c:size val="6"/>
          <c:spPr>
            <a:solidFill>
              <a:schemeClr val="accent5">
                <a:lumMod val="60000"/>
                <a:lumOff val="40000"/>
              </a:schemeClr>
            </a:solidFill>
            <a:ln w="15875">
              <a:solidFill>
                <a:schemeClr val="accent5">
                  <a:lumMod val="75000"/>
                </a:schemeClr>
              </a:solidFill>
              <a:round/>
            </a:ln>
            <a:effectLst/>
          </c:spPr>
        </c:marker>
      </c:pivotFmt>
      <c:pivotFmt>
        <c:idx val="8"/>
        <c:spPr>
          <a:solidFill>
            <a:schemeClr val="accent5">
              <a:lumMod val="40000"/>
              <a:lumOff val="60000"/>
            </a:schemeClr>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5">
                <a:lumMod val="75000"/>
              </a:schemeClr>
            </a:solidFill>
            <a:round/>
          </a:ln>
          <a:effectLst/>
        </c:spPr>
        <c:marker>
          <c:symbol val="circle"/>
          <c:size val="6"/>
          <c:spPr>
            <a:solidFill>
              <a:schemeClr val="accent5">
                <a:lumMod val="60000"/>
                <a:lumOff val="40000"/>
              </a:schemeClr>
            </a:solidFill>
            <a:ln w="15875">
              <a:solidFill>
                <a:schemeClr val="accent5">
                  <a:lumMod val="75000"/>
                </a:schemeClr>
              </a:solidFill>
              <a:round/>
            </a:ln>
            <a:effectLst/>
          </c:spPr>
        </c:marker>
      </c:pivotFmt>
      <c:pivotFmt>
        <c:idx val="10"/>
        <c:spPr>
          <a:solidFill>
            <a:schemeClr val="accent5">
              <a:lumMod val="40000"/>
              <a:lumOff val="60000"/>
            </a:schemeClr>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5">
                <a:lumMod val="75000"/>
              </a:schemeClr>
            </a:solidFill>
            <a:round/>
          </a:ln>
          <a:effectLst/>
        </c:spPr>
        <c:marker>
          <c:symbol val="circle"/>
          <c:size val="6"/>
          <c:spPr>
            <a:solidFill>
              <a:schemeClr val="accent5">
                <a:lumMod val="60000"/>
                <a:lumOff val="40000"/>
              </a:schemeClr>
            </a:solidFill>
            <a:ln w="15875">
              <a:solidFill>
                <a:schemeClr val="accent5">
                  <a:lumMod val="75000"/>
                </a:schemeClr>
              </a:solidFill>
              <a:round/>
            </a:ln>
            <a:effectLst/>
          </c:spPr>
        </c:marker>
      </c:pivotFmt>
      <c:pivotFmt>
        <c:idx val="12"/>
        <c:spPr>
          <a:solidFill>
            <a:schemeClr val="accent5">
              <a:lumMod val="40000"/>
              <a:lumOff val="60000"/>
            </a:schemeClr>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5">
                <a:lumMod val="75000"/>
              </a:schemeClr>
            </a:solidFill>
            <a:round/>
          </a:ln>
          <a:effectLst/>
        </c:spPr>
        <c:marker>
          <c:symbol val="circle"/>
          <c:size val="6"/>
          <c:spPr>
            <a:solidFill>
              <a:schemeClr val="accent5">
                <a:lumMod val="60000"/>
                <a:lumOff val="40000"/>
              </a:schemeClr>
            </a:solidFill>
            <a:ln w="15875">
              <a:solidFill>
                <a:schemeClr val="accent5">
                  <a:lumMod val="75000"/>
                </a:schemeClr>
              </a:solidFill>
              <a:round/>
            </a:ln>
            <a:effectLst/>
          </c:spPr>
        </c:marker>
      </c:pivotFmt>
      <c:pivotFmt>
        <c:idx val="14"/>
        <c:spPr>
          <a:solidFill>
            <a:schemeClr val="accent5">
              <a:lumMod val="40000"/>
              <a:lumOff val="60000"/>
            </a:schemeClr>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5">
                <a:lumMod val="75000"/>
              </a:schemeClr>
            </a:solidFill>
            <a:round/>
          </a:ln>
          <a:effectLst/>
        </c:spPr>
        <c:marker>
          <c:symbol val="circle"/>
          <c:size val="6"/>
          <c:spPr>
            <a:solidFill>
              <a:schemeClr val="accent5">
                <a:lumMod val="60000"/>
                <a:lumOff val="40000"/>
              </a:schemeClr>
            </a:solidFill>
            <a:ln w="15875">
              <a:solidFill>
                <a:schemeClr val="accent5">
                  <a:lumMod val="75000"/>
                </a:schemeClr>
              </a:solidFill>
              <a:round/>
            </a:ln>
            <a:effectLst/>
          </c:spPr>
        </c:marker>
      </c:pivotFmt>
      <c:pivotFmt>
        <c:idx val="16"/>
        <c:spPr>
          <a:solidFill>
            <a:schemeClr val="accent4">
              <a:lumMod val="60000"/>
              <a:lumOff val="40000"/>
            </a:schemeClr>
          </a:solidFill>
          <a:ln>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solidFill>
              <a:schemeClr val="accent4">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a:solidFill>
              <a:schemeClr val="accen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40000"/>
              <a:lumOff val="60000"/>
            </a:schemeClr>
          </a:solidFill>
          <a:ln>
            <a:solidFill>
              <a:schemeClr val="accent2"/>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Count!$T$15</c:f>
              <c:strCache>
                <c:ptCount val="1"/>
                <c:pt idx="0">
                  <c:v>**Verified</c:v>
                </c:pt>
              </c:strCache>
            </c:strRef>
          </c:tx>
          <c:spPr>
            <a:solidFill>
              <a:schemeClr val="accent2">
                <a:lumMod val="40000"/>
                <a:lumOff val="60000"/>
              </a:schemeClr>
            </a:solidFill>
            <a:ln>
              <a:solidFill>
                <a:schemeClr val="accent2"/>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Count!$T$15</c:f>
              <c:strCache>
                <c:ptCount val="15"/>
                <c:pt idx="0">
                  <c:v>Jul 01</c:v>
                </c:pt>
                <c:pt idx="1">
                  <c:v>Jul 03</c:v>
                </c:pt>
                <c:pt idx="2">
                  <c:v>Jul 05</c:v>
                </c:pt>
                <c:pt idx="3">
                  <c:v>Jul 07</c:v>
                </c:pt>
                <c:pt idx="4">
                  <c:v>Jul 08</c:v>
                </c:pt>
                <c:pt idx="5">
                  <c:v>Jul 11</c:v>
                </c:pt>
                <c:pt idx="6">
                  <c:v>Jul 12</c:v>
                </c:pt>
                <c:pt idx="7">
                  <c:v>Jul 13</c:v>
                </c:pt>
                <c:pt idx="8">
                  <c:v>Jul 14</c:v>
                </c:pt>
                <c:pt idx="9">
                  <c:v>Jul 15</c:v>
                </c:pt>
                <c:pt idx="10">
                  <c:v>Jul 16</c:v>
                </c:pt>
                <c:pt idx="11">
                  <c:v>Jul 17</c:v>
                </c:pt>
                <c:pt idx="12">
                  <c:v>Jul 18</c:v>
                </c:pt>
                <c:pt idx="13">
                  <c:v>Jul 19</c:v>
                </c:pt>
                <c:pt idx="14">
                  <c:v>Jul 20</c:v>
                </c:pt>
              </c:strCache>
            </c:strRef>
          </c:cat>
          <c:val>
            <c:numRef>
              <c:f>Count!$T$15</c:f>
              <c:numCache>
                <c:formatCode>General</c:formatCode>
                <c:ptCount val="15"/>
                <c:pt idx="0">
                  <c:v>2</c:v>
                </c:pt>
                <c:pt idx="1">
                  <c:v>0</c:v>
                </c:pt>
                <c:pt idx="2">
                  <c:v>1</c:v>
                </c:pt>
                <c:pt idx="3">
                  <c:v>1</c:v>
                </c:pt>
                <c:pt idx="4">
                  <c:v>1</c:v>
                </c:pt>
                <c:pt idx="5">
                  <c:v>0</c:v>
                </c:pt>
                <c:pt idx="6">
                  <c:v>0</c:v>
                </c:pt>
                <c:pt idx="7">
                  <c:v>1</c:v>
                </c:pt>
                <c:pt idx="8">
                  <c:v>0</c:v>
                </c:pt>
                <c:pt idx="9">
                  <c:v>2</c:v>
                </c:pt>
                <c:pt idx="10">
                  <c:v>1</c:v>
                </c:pt>
                <c:pt idx="11">
                  <c:v>1</c:v>
                </c:pt>
                <c:pt idx="12">
                  <c:v>0</c:v>
                </c:pt>
                <c:pt idx="13">
                  <c:v>0</c:v>
                </c:pt>
                <c:pt idx="14">
                  <c:v>0</c:v>
                </c:pt>
              </c:numCache>
            </c:numRef>
          </c:val>
          <c:extLst>
            <c:ext xmlns:c16="http://schemas.microsoft.com/office/drawing/2014/chart" uri="{C3380CC4-5D6E-409C-BE32-E72D297353CC}">
              <c16:uniqueId val="{00000008-221F-4B47-86E4-3633145496BF}"/>
            </c:ext>
          </c:extLst>
        </c:ser>
        <c:ser>
          <c:idx val="1"/>
          <c:order val="1"/>
          <c:tx>
            <c:strRef>
              <c:f>Count!$T$15</c:f>
              <c:strCache>
                <c:ptCount val="1"/>
                <c:pt idx="0">
                  <c:v>**Unverified</c:v>
                </c:pt>
              </c:strCache>
            </c:strRef>
          </c:tx>
          <c:spPr>
            <a:solidFill>
              <a:schemeClr val="accent1">
                <a:lumMod val="40000"/>
                <a:lumOff val="60000"/>
              </a:schemeClr>
            </a:solidFill>
            <a:ln>
              <a:solidFill>
                <a:schemeClr val="accent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Count!$T$15</c:f>
              <c:strCache>
                <c:ptCount val="15"/>
                <c:pt idx="0">
                  <c:v>Jul 01</c:v>
                </c:pt>
                <c:pt idx="1">
                  <c:v>Jul 03</c:v>
                </c:pt>
                <c:pt idx="2">
                  <c:v>Jul 05</c:v>
                </c:pt>
                <c:pt idx="3">
                  <c:v>Jul 07</c:v>
                </c:pt>
                <c:pt idx="4">
                  <c:v>Jul 08</c:v>
                </c:pt>
                <c:pt idx="5">
                  <c:v>Jul 11</c:v>
                </c:pt>
                <c:pt idx="6">
                  <c:v>Jul 12</c:v>
                </c:pt>
                <c:pt idx="7">
                  <c:v>Jul 13</c:v>
                </c:pt>
                <c:pt idx="8">
                  <c:v>Jul 14</c:v>
                </c:pt>
                <c:pt idx="9">
                  <c:v>Jul 15</c:v>
                </c:pt>
                <c:pt idx="10">
                  <c:v>Jul 16</c:v>
                </c:pt>
                <c:pt idx="11">
                  <c:v>Jul 17</c:v>
                </c:pt>
                <c:pt idx="12">
                  <c:v>Jul 18</c:v>
                </c:pt>
                <c:pt idx="13">
                  <c:v>Jul 19</c:v>
                </c:pt>
                <c:pt idx="14">
                  <c:v>Jul 20</c:v>
                </c:pt>
              </c:strCache>
            </c:strRef>
          </c:cat>
          <c:val>
            <c:numRef>
              <c:f>Count!$T$15</c:f>
              <c:numCache>
                <c:formatCode>General</c:formatCode>
                <c:ptCount val="15"/>
                <c:pt idx="0">
                  <c:v>1</c:v>
                </c:pt>
                <c:pt idx="1">
                  <c:v>1</c:v>
                </c:pt>
                <c:pt idx="2">
                  <c:v>0</c:v>
                </c:pt>
                <c:pt idx="3">
                  <c:v>1</c:v>
                </c:pt>
                <c:pt idx="4">
                  <c:v>0</c:v>
                </c:pt>
                <c:pt idx="5">
                  <c:v>1</c:v>
                </c:pt>
                <c:pt idx="6">
                  <c:v>2</c:v>
                </c:pt>
                <c:pt idx="7">
                  <c:v>0</c:v>
                </c:pt>
                <c:pt idx="8">
                  <c:v>2</c:v>
                </c:pt>
                <c:pt idx="9">
                  <c:v>0</c:v>
                </c:pt>
                <c:pt idx="10">
                  <c:v>2</c:v>
                </c:pt>
                <c:pt idx="11">
                  <c:v>0</c:v>
                </c:pt>
                <c:pt idx="12">
                  <c:v>1</c:v>
                </c:pt>
                <c:pt idx="13">
                  <c:v>3</c:v>
                </c:pt>
                <c:pt idx="14">
                  <c:v>4</c:v>
                </c:pt>
              </c:numCache>
            </c:numRef>
          </c:val>
          <c:extLst>
            <c:ext xmlns:c16="http://schemas.microsoft.com/office/drawing/2014/chart" uri="{C3380CC4-5D6E-409C-BE32-E72D297353CC}">
              <c16:uniqueId val="{00000009-221F-4B47-86E4-3633145496BF}"/>
            </c:ext>
          </c:extLst>
        </c:ser>
        <c:dLbls>
          <c:showLegendKey val="0"/>
          <c:showVal val="1"/>
          <c:showCatName val="0"/>
          <c:showSerName val="0"/>
          <c:showPercent val="0"/>
          <c:showBubbleSize val="0"/>
        </c:dLbls>
        <c:gapWidth val="10"/>
        <c:overlap val="100"/>
        <c:axId val="-1997172432"/>
        <c:axId val="-1997176784"/>
      </c:barChart>
      <c:catAx>
        <c:axId val="-1997172432"/>
        <c:scaling>
          <c:orientation val="minMax"/>
        </c:scaling>
        <c:delete val="0"/>
        <c:axPos val="b"/>
        <c:numFmt formatCode="General" sourceLinked="1"/>
        <c:majorTickMark val="out"/>
        <c:minorTickMark val="none"/>
        <c:tickLblPos val="nextTo"/>
        <c:spPr>
          <a:noFill/>
          <a:ln w="9525" cap="flat" cmpd="sng" algn="ctr">
            <a:solidFill>
              <a:schemeClr val="tx1">
                <a:alpha val="30000"/>
              </a:schemeClr>
            </a:solidFill>
            <a:round/>
          </a:ln>
          <a:effectLst/>
        </c:spPr>
        <c:txPr>
          <a:bodyPr rot="2700000" spcFirstLastPara="1" vertOverflow="ellipsis" wrap="square" anchor="ctr" anchorCtr="1"/>
          <a:lstStyle/>
          <a:p>
            <a:pPr>
              <a:defRPr sz="900" b="0" i="0" u="none" strike="noStrike" kern="1200" cap="none" spc="0" normalizeH="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997176784"/>
        <c:crosses val="autoZero"/>
        <c:auto val="1"/>
        <c:lblAlgn val="ctr"/>
        <c:lblOffset val="100"/>
        <c:noMultiLvlLbl val="0"/>
      </c:catAx>
      <c:valAx>
        <c:axId val="-1997176784"/>
        <c:scaling>
          <c:orientation val="minMax"/>
        </c:scaling>
        <c:delete val="1"/>
        <c:axPos val="l"/>
        <c:title>
          <c:tx>
            <c:strRef>
              <c:f>Count!$T$15</c:f>
              <c:strCache>
                <c:ptCount val="1"/>
                <c:pt idx="0">
                  <c:v>**Number of Drivers</c:v>
                </c:pt>
              </c:strCache>
            </c:strRef>
          </c:tx>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0" sourceLinked="0"/>
        <c:majorTickMark val="none"/>
        <c:minorTickMark val="none"/>
        <c:tickLblPos val="nextTo"/>
        <c:crossAx val="-1997172432"/>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chart>
  <c:spPr>
    <a:noFill/>
    <a:ln w="9525" cap="flat" cmpd="sng" algn="ctr">
      <a:noFill/>
      <a:round/>
    </a:ln>
    <a:effectLst/>
  </c:spPr>
  <c:txPr>
    <a:bodyPr/>
    <a:lstStyle/>
    <a:p>
      <a:pPr>
        <a:defRPr>
          <a:solidFill>
            <a:sysClr val="windowText" lastClr="000000"/>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36</xdr:col>
      <xdr:colOff>295275</xdr:colOff>
      <xdr:row>13</xdr:row>
      <xdr:rowOff>104775</xdr:rowOff>
    </xdr:from>
    <xdr:to>
      <xdr:col>45</xdr:col>
      <xdr:colOff>295275</xdr:colOff>
      <xdr:row>26</xdr:row>
      <xdr:rowOff>123825</xdr:rowOff>
    </xdr:to>
    <xdr:graphicFrame macro="">
      <xdr:nvGraphicFramePr>
        <xdr:cNvPr id="3" name="Chart 2">
          <a:extLst>
            <a:ext uri="{FF2B5EF4-FFF2-40B4-BE49-F238E27FC236}">
              <a16:creationId xmlns:a16="http://schemas.microsoft.com/office/drawing/2014/main" id="{52D4BC7F-B141-44F7-892B-8D70B77DA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xdr:row>
      <xdr:rowOff>219074</xdr:rowOff>
    </xdr:from>
    <xdr:to>
      <xdr:col>18</xdr:col>
      <xdr:colOff>571500</xdr:colOff>
      <xdr:row>8</xdr:row>
      <xdr:rowOff>3174</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3025C0AE-2F16-4878-AD45-1AC0EBD8758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143500" y="866774"/>
              <a:ext cx="971550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3</xdr:row>
      <xdr:rowOff>19050</xdr:rowOff>
    </xdr:from>
    <xdr:to>
      <xdr:col>5</xdr:col>
      <xdr:colOff>104775</xdr:colOff>
      <xdr:row>4</xdr:row>
      <xdr:rowOff>9525</xdr:rowOff>
    </xdr:to>
    <xdr:sp macro="" textlink="Count!T16">
      <xdr:nvSpPr>
        <xdr:cNvPr id="2" name="TextBox 1">
          <a:extLst>
            <a:ext uri="{FF2B5EF4-FFF2-40B4-BE49-F238E27FC236}">
              <a16:creationId xmlns:a16="http://schemas.microsoft.com/office/drawing/2014/main" id="{3DD374E9-C058-441A-B2F4-11B658BC8C13}"/>
            </a:ext>
          </a:extLst>
        </xdr:cNvPr>
        <xdr:cNvSpPr txBox="1"/>
      </xdr:nvSpPr>
      <xdr:spPr>
        <a:xfrm>
          <a:off x="5172075" y="885825"/>
          <a:ext cx="13716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A2AAFEA-6122-430D-8BC0-DAD76EB85C23}" type="TxLink">
            <a:rPr lang="en-US" sz="1200" b="1" i="0" u="none" strike="noStrike">
              <a:solidFill>
                <a:srgbClr val="000000"/>
              </a:solidFill>
              <a:latin typeface="Segoe UI" panose="020B0502040204020203" pitchFamily="34" charset="0"/>
              <a:cs typeface="Segoe UI" panose="020B0502040204020203" pitchFamily="34" charset="0"/>
            </a:rPr>
            <a:pPr algn="l"/>
            <a:t>**Date</a:t>
          </a:fld>
          <a:endParaRPr lang="en-US" sz="1200" b="1" i="0" u="none" strike="noStrike">
            <a:solidFill>
              <a:srgbClr val="000000"/>
            </a:solidFill>
            <a:latin typeface="Segoe UI" panose="020B0502040204020203" pitchFamily="34" charset="0"/>
            <a:cs typeface="Segoe UI" panose="020B0502040204020203" pitchFamily="34" charset="0"/>
          </a:endParaRPr>
        </a:p>
      </xdr:txBody>
    </xdr:sp>
    <xdr:clientData/>
  </xdr:twoCellAnchor>
  <xdr:twoCellAnchor>
    <xdr:from>
      <xdr:col>15</xdr:col>
      <xdr:colOff>9525</xdr:colOff>
      <xdr:row>3</xdr:row>
      <xdr:rowOff>38100</xdr:rowOff>
    </xdr:from>
    <xdr:to>
      <xdr:col>17</xdr:col>
      <xdr:colOff>495300</xdr:colOff>
      <xdr:row>3</xdr:row>
      <xdr:rowOff>209550</xdr:rowOff>
    </xdr:to>
    <xdr:sp macro="" textlink="Count!T17">
      <xdr:nvSpPr>
        <xdr:cNvPr id="5" name="TextBox 4">
          <a:extLst>
            <a:ext uri="{FF2B5EF4-FFF2-40B4-BE49-F238E27FC236}">
              <a16:creationId xmlns:a16="http://schemas.microsoft.com/office/drawing/2014/main" id="{846E02F9-5DE4-413C-9685-4D566BB99099}"/>
            </a:ext>
          </a:extLst>
        </xdr:cNvPr>
        <xdr:cNvSpPr txBox="1"/>
      </xdr:nvSpPr>
      <xdr:spPr>
        <a:xfrm>
          <a:off x="12468225" y="904875"/>
          <a:ext cx="1704975" cy="17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077A71E-C3C1-4E7A-987F-B2990977E785}" type="TxLink">
            <a:rPr lang="en-US" sz="1200" b="1" i="0" u="none" strike="noStrike">
              <a:solidFill>
                <a:srgbClr val="000000"/>
              </a:solidFill>
              <a:latin typeface="Segoe UI" panose="020B0502040204020203" pitchFamily="34" charset="0"/>
              <a:cs typeface="Segoe UI" panose="020B0502040204020203" pitchFamily="34" charset="0"/>
            </a:rPr>
            <a:pPr algn="r"/>
            <a:t>**Filter Options</a:t>
          </a:fld>
          <a:endParaRPr lang="en-US" sz="1200" b="1">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vin Buchaly" refreshedDate="44686.504855324078" missingItemsLimit="0" createdVersion="4" refreshedVersion="7" recordCount="141" xr:uid="{00000000-000A-0000-FFFF-FFFF09000000}">
  <cacheSource type="worksheet">
    <worksheetSource name="AllData"/>
  </cacheSource>
  <cacheFields count="16">
    <cacheField name="**Driver" numFmtId="0">
      <sharedItems count="12">
        <s v="Driver C"/>
        <s v="Driver D"/>
        <s v="Driver E"/>
        <s v="Driver F"/>
        <s v="Driver G"/>
        <s v="Driver H"/>
        <s v="Driver J"/>
        <s v="Driver K"/>
        <s v="Driver L"/>
        <s v="Driver M"/>
        <s v="Driver A"/>
        <s v="Driver B"/>
      </sharedItems>
    </cacheField>
    <cacheField name="**First Name" numFmtId="0">
      <sharedItems count="12">
        <s v="FirstName C"/>
        <s v="FirstName D"/>
        <s v="FirstName E"/>
        <s v="FirstName F"/>
        <s v="FirstName G"/>
        <s v="FirstName H"/>
        <s v="FirstName J"/>
        <s v="FirstName K"/>
        <s v="FirstName L"/>
        <s v="FirstName M"/>
        <s v="FirstName A"/>
        <s v="FirstName B"/>
      </sharedItems>
    </cacheField>
    <cacheField name="**Last Name" numFmtId="0">
      <sharedItems count="12">
        <s v="LastName C"/>
        <s v="LastName D"/>
        <s v="LastName E"/>
        <s v="LastName F"/>
        <s v="LastName G"/>
        <s v="LastName H"/>
        <s v="LastName J"/>
        <s v="LastName K"/>
        <s v="LastName L"/>
        <s v="LastName M"/>
        <s v="LastName A"/>
        <s v="LastName B"/>
      </sharedItems>
    </cacheField>
    <cacheField name="Include" numFmtId="1">
      <sharedItems/>
    </cacheField>
    <cacheField name="Unverified Logs Count" numFmtId="1">
      <sharedItems containsMixedTypes="1" containsNumber="1" containsInteger="1" minValue="0" maxValue="4"/>
    </cacheField>
    <cacheField name="Unverified Days" numFmtId="1">
      <sharedItems containsSemiMixedTypes="0" containsString="0" containsNumber="1" containsInteger="1" minValue="0" maxValue="1" count="2">
        <n v="1"/>
        <n v="0"/>
      </sharedItems>
    </cacheField>
    <cacheField name="Verified Days" numFmtId="1">
      <sharedItems containsSemiMixedTypes="0" containsString="0" containsNumber="1" containsInteger="1" minValue="0" maxValue="1"/>
    </cacheField>
    <cacheField name="Unverified Dates" numFmtId="170">
      <sharedItems containsDate="1" containsMixedTypes="1" minDate="2020-07-01T00:00:00" maxDate="2020-07-21T00:00:00" count="11">
        <d v="2020-07-19T00:00:00"/>
        <s v="NA"/>
        <d v="2020-07-14T00:00:00"/>
        <d v="2020-07-20T00:00:00"/>
        <d v="2020-07-16T00:00:00"/>
        <d v="2020-07-12T00:00:00"/>
        <d v="2020-07-01T00:00:00"/>
        <d v="2020-07-03T00:00:00"/>
        <d v="2020-07-07T00:00:00"/>
        <d v="2020-07-11T00:00:00"/>
        <d v="2020-07-18T00:00:00"/>
      </sharedItems>
    </cacheField>
    <cacheField name="Date" numFmtId="174">
      <sharedItems containsSemiMixedTypes="0" containsNonDate="0" containsDate="1" containsString="0" minDate="2020-07-01T00:00:00" maxDate="2020-07-21T00:00:00" count="15">
        <d v="2020-07-19T00:00:00"/>
        <d v="2020-07-14T00:00:00"/>
        <d v="2020-07-20T00:00:00"/>
        <d v="2020-07-16T00:00:00"/>
        <d v="2020-07-07T00:00:00"/>
        <d v="2020-07-01T00:00:00"/>
        <d v="2020-07-12T00:00:00"/>
        <d v="2020-07-08T00:00:00"/>
        <d v="2020-07-03T00:00:00"/>
        <d v="2020-07-05T00:00:00"/>
        <d v="2020-07-11T00:00:00"/>
        <d v="2020-07-13T00:00:00"/>
        <d v="2020-07-15T00:00:00"/>
        <d v="2020-07-17T00:00:00"/>
        <d v="2020-07-18T00:00:00"/>
      </sharedItems>
    </cacheField>
    <cacheField name="**Log Date and Time" numFmtId="171">
      <sharedItems containsSemiMixedTypes="0" containsNonDate="0" containsDate="1" containsString="0" minDate="2020-07-01T00:20:09" maxDate="2020-07-20T16:49:29"/>
    </cacheField>
    <cacheField name="**Status" numFmtId="169">
      <sharedItems/>
    </cacheField>
    <cacheField name="**Vehicle" numFmtId="169">
      <sharedItems/>
    </cacheField>
    <cacheField name="Flag for not considered logs" numFmtId="2">
      <sharedItems/>
    </cacheField>
    <cacheField name="Verify" numFmtId="1">
      <sharedItems containsSemiMixedTypes="0" containsString="0" containsNumber="1" containsInteger="1" minValue="0" maxValue="1"/>
    </cacheField>
    <cacheField name="**Check" numFmtId="1">
      <sharedItems containsMixedTypes="1" containsNumber="1" containsInteger="1" minValue="0" maxValue="1" count="3">
        <n v="0"/>
        <n v="1"/>
        <s v="Not Considered"/>
      </sharedItems>
    </cacheField>
    <cacheField name="**Verify Date" numFmtId="171">
      <sharedItems containsDate="1" containsMixedTypes="1" minDate="2016-07-25T11:05:35" maxDate="2020-07-25T11:05:44"/>
    </cacheField>
  </cacheFields>
  <extLst>
    <ext xmlns:x14="http://schemas.microsoft.com/office/spreadsheetml/2009/9/main" uri="{725AE2AE-9491-48be-B2B4-4EB974FC3084}">
      <x14:pivotCacheDefinition pivotCacheId="320959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x v="0"/>
    <x v="0"/>
    <x v="0"/>
    <b v="1"/>
    <n v="2"/>
    <x v="0"/>
    <n v="0"/>
    <x v="0"/>
    <x v="0"/>
    <d v="2020-07-19T00:20:09"/>
    <s v="D"/>
    <s v="Vehicle C"/>
    <b v="1"/>
    <n v="1"/>
    <x v="0"/>
    <d v="2020-07-25T11:05:44"/>
  </r>
  <r>
    <x v="0"/>
    <x v="0"/>
    <x v="0"/>
    <b v="0"/>
    <s v="NA"/>
    <x v="1"/>
    <n v="0"/>
    <x v="1"/>
    <x v="0"/>
    <d v="2020-07-19T01:20:38"/>
    <s v="ON"/>
    <s v="Vehicle C"/>
    <b v="1"/>
    <n v="1"/>
    <x v="0"/>
    <d v="2020-07-25T11:05:44"/>
  </r>
  <r>
    <x v="0"/>
    <x v="0"/>
    <x v="0"/>
    <b v="0"/>
    <s v="NA"/>
    <x v="1"/>
    <n v="0"/>
    <x v="1"/>
    <x v="0"/>
    <d v="2020-07-19T13:31:04"/>
    <s v="D"/>
    <s v="Vehicle C"/>
    <b v="1"/>
    <n v="1"/>
    <x v="0"/>
    <d v="2020-07-25T11:05:44"/>
  </r>
  <r>
    <x v="0"/>
    <x v="0"/>
    <x v="0"/>
    <b v="0"/>
    <s v="NA"/>
    <x v="1"/>
    <n v="0"/>
    <x v="1"/>
    <x v="0"/>
    <d v="2020-07-19T13:34:18"/>
    <s v="OFF"/>
    <s v="Vehicle C"/>
    <b v="1"/>
    <n v="1"/>
    <x v="0"/>
    <d v="2020-07-25T11:05:44"/>
  </r>
  <r>
    <x v="0"/>
    <x v="0"/>
    <x v="0"/>
    <b v="0"/>
    <s v="NA"/>
    <x v="1"/>
    <n v="0"/>
    <x v="1"/>
    <x v="0"/>
    <d v="2020-07-19T14:08:50"/>
    <s v="D"/>
    <s v="Vehicle C"/>
    <b v="1"/>
    <n v="0"/>
    <x v="1"/>
    <s v=""/>
  </r>
  <r>
    <x v="0"/>
    <x v="0"/>
    <x v="0"/>
    <b v="0"/>
    <s v="NA"/>
    <x v="1"/>
    <n v="0"/>
    <x v="1"/>
    <x v="0"/>
    <d v="2020-07-19T16:49:29"/>
    <s v="SB"/>
    <s v="Vehicle C"/>
    <b v="1"/>
    <n v="0"/>
    <x v="1"/>
    <s v=""/>
  </r>
  <r>
    <x v="1"/>
    <x v="1"/>
    <x v="1"/>
    <b v="1"/>
    <n v="2"/>
    <x v="0"/>
    <n v="0"/>
    <x v="2"/>
    <x v="1"/>
    <d v="2020-07-14T00:20:09"/>
    <s v="D"/>
    <s v="Vehicle D"/>
    <b v="1"/>
    <n v="1"/>
    <x v="0"/>
    <d v="2020-07-25T11:05:44"/>
  </r>
  <r>
    <x v="1"/>
    <x v="1"/>
    <x v="1"/>
    <b v="0"/>
    <s v="NA"/>
    <x v="1"/>
    <n v="0"/>
    <x v="1"/>
    <x v="1"/>
    <d v="2020-07-14T01:20:38"/>
    <s v="ON"/>
    <s v="Vehicle D"/>
    <b v="1"/>
    <n v="1"/>
    <x v="0"/>
    <d v="2020-07-25T11:05:44"/>
  </r>
  <r>
    <x v="1"/>
    <x v="1"/>
    <x v="1"/>
    <b v="0"/>
    <s v="NA"/>
    <x v="1"/>
    <n v="0"/>
    <x v="1"/>
    <x v="1"/>
    <d v="2020-07-14T13:31:04"/>
    <s v="D"/>
    <s v="Vehicle D"/>
    <b v="1"/>
    <n v="1"/>
    <x v="0"/>
    <d v="2020-07-25T11:05:44"/>
  </r>
  <r>
    <x v="1"/>
    <x v="1"/>
    <x v="1"/>
    <b v="0"/>
    <s v="NA"/>
    <x v="1"/>
    <n v="0"/>
    <x v="1"/>
    <x v="1"/>
    <d v="2020-07-14T13:34:18"/>
    <s v="OFF"/>
    <s v="Vehicle D"/>
    <b v="1"/>
    <n v="1"/>
    <x v="0"/>
    <d v="2020-07-25T11:05:44"/>
  </r>
  <r>
    <x v="1"/>
    <x v="1"/>
    <x v="1"/>
    <b v="0"/>
    <s v="NA"/>
    <x v="1"/>
    <n v="0"/>
    <x v="1"/>
    <x v="1"/>
    <d v="2020-07-14T14:08:50"/>
    <s v="D"/>
    <s v="Vehicle D"/>
    <b v="1"/>
    <n v="0"/>
    <x v="1"/>
    <s v=""/>
  </r>
  <r>
    <x v="1"/>
    <x v="1"/>
    <x v="1"/>
    <b v="0"/>
    <s v="NA"/>
    <x v="1"/>
    <n v="0"/>
    <x v="1"/>
    <x v="1"/>
    <d v="2020-07-14T16:49:29"/>
    <s v="SB"/>
    <s v="Vehicle D"/>
    <b v="1"/>
    <n v="0"/>
    <x v="1"/>
    <s v=""/>
  </r>
  <r>
    <x v="2"/>
    <x v="2"/>
    <x v="2"/>
    <b v="1"/>
    <n v="2"/>
    <x v="0"/>
    <n v="0"/>
    <x v="3"/>
    <x v="2"/>
    <d v="2020-07-20T00:20:09"/>
    <s v="D"/>
    <s v="Vehicle E"/>
    <b v="1"/>
    <n v="1"/>
    <x v="0"/>
    <d v="2020-07-25T11:05:44"/>
  </r>
  <r>
    <x v="2"/>
    <x v="2"/>
    <x v="2"/>
    <b v="0"/>
    <s v="NA"/>
    <x v="1"/>
    <n v="0"/>
    <x v="1"/>
    <x v="2"/>
    <d v="2020-07-20T01:20:38"/>
    <s v="ON"/>
    <s v="Vehicle E"/>
    <b v="1"/>
    <n v="1"/>
    <x v="0"/>
    <d v="2020-07-25T11:05:44"/>
  </r>
  <r>
    <x v="2"/>
    <x v="2"/>
    <x v="2"/>
    <b v="0"/>
    <s v="NA"/>
    <x v="1"/>
    <n v="0"/>
    <x v="1"/>
    <x v="2"/>
    <d v="2020-07-20T13:31:04"/>
    <s v="D"/>
    <s v="Vehicle E"/>
    <b v="1"/>
    <n v="1"/>
    <x v="0"/>
    <d v="2020-07-25T11:05:44"/>
  </r>
  <r>
    <x v="2"/>
    <x v="2"/>
    <x v="2"/>
    <b v="0"/>
    <s v="NA"/>
    <x v="1"/>
    <n v="0"/>
    <x v="1"/>
    <x v="2"/>
    <d v="2020-07-20T13:34:18"/>
    <s v="OFF"/>
    <s v="Vehicle E"/>
    <b v="1"/>
    <n v="1"/>
    <x v="0"/>
    <d v="2020-07-25T11:05:44"/>
  </r>
  <r>
    <x v="2"/>
    <x v="2"/>
    <x v="2"/>
    <b v="0"/>
    <s v="NA"/>
    <x v="1"/>
    <n v="0"/>
    <x v="1"/>
    <x v="2"/>
    <d v="2020-07-20T14:08:50"/>
    <s v="D"/>
    <s v="Vehicle E"/>
    <b v="1"/>
    <n v="0"/>
    <x v="1"/>
    <s v=""/>
  </r>
  <r>
    <x v="2"/>
    <x v="2"/>
    <x v="2"/>
    <b v="0"/>
    <s v="NA"/>
    <x v="1"/>
    <n v="0"/>
    <x v="1"/>
    <x v="2"/>
    <d v="2020-07-20T16:49:29"/>
    <s v="SB"/>
    <s v="Vehicle E"/>
    <b v="1"/>
    <n v="0"/>
    <x v="1"/>
    <s v=""/>
  </r>
  <r>
    <x v="3"/>
    <x v="3"/>
    <x v="3"/>
    <b v="1"/>
    <n v="0"/>
    <x v="1"/>
    <n v="1"/>
    <x v="1"/>
    <x v="3"/>
    <d v="2020-07-16T00:20:09"/>
    <s v="D"/>
    <s v="Vehicle F"/>
    <b v="1"/>
    <n v="1"/>
    <x v="0"/>
    <d v="2020-07-25T11:05:44"/>
  </r>
  <r>
    <x v="3"/>
    <x v="3"/>
    <x v="3"/>
    <b v="0"/>
    <s v="NA"/>
    <x v="1"/>
    <n v="0"/>
    <x v="1"/>
    <x v="3"/>
    <d v="2020-07-16T01:20:38"/>
    <s v="ON"/>
    <s v="Vehicle F"/>
    <b v="1"/>
    <n v="1"/>
    <x v="0"/>
    <d v="2020-07-25T11:05:44"/>
  </r>
  <r>
    <x v="3"/>
    <x v="3"/>
    <x v="3"/>
    <b v="0"/>
    <s v="NA"/>
    <x v="1"/>
    <n v="0"/>
    <x v="1"/>
    <x v="3"/>
    <d v="2020-07-16T13:31:04"/>
    <s v="D"/>
    <s v="Vehicle F"/>
    <b v="1"/>
    <n v="1"/>
    <x v="0"/>
    <d v="2020-07-25T11:05:44"/>
  </r>
  <r>
    <x v="3"/>
    <x v="3"/>
    <x v="3"/>
    <b v="0"/>
    <s v="NA"/>
    <x v="1"/>
    <n v="0"/>
    <x v="1"/>
    <x v="3"/>
    <d v="2020-07-16T13:34:18"/>
    <s v="OFF"/>
    <s v="Vehicle F"/>
    <b v="1"/>
    <n v="1"/>
    <x v="0"/>
    <d v="2020-07-25T11:05:44"/>
  </r>
  <r>
    <x v="3"/>
    <x v="3"/>
    <x v="3"/>
    <b v="0"/>
    <s v="NA"/>
    <x v="1"/>
    <n v="0"/>
    <x v="1"/>
    <x v="3"/>
    <d v="2020-07-16T14:08:50"/>
    <s v="D"/>
    <s v="Vehicle F"/>
    <b v="1"/>
    <n v="1"/>
    <x v="0"/>
    <d v="2020-07-25T11:05:44"/>
  </r>
  <r>
    <x v="3"/>
    <x v="3"/>
    <x v="3"/>
    <b v="0"/>
    <s v="NA"/>
    <x v="1"/>
    <n v="0"/>
    <x v="1"/>
    <x v="3"/>
    <d v="2020-07-16T16:49:29"/>
    <s v="SB"/>
    <s v="Vehicle F"/>
    <b v="1"/>
    <n v="1"/>
    <x v="0"/>
    <d v="2020-07-25T11:05:44"/>
  </r>
  <r>
    <x v="4"/>
    <x v="4"/>
    <x v="4"/>
    <b v="1"/>
    <n v="2"/>
    <x v="0"/>
    <n v="0"/>
    <x v="0"/>
    <x v="0"/>
    <d v="2020-07-19T00:20:09"/>
    <s v="D"/>
    <s v="Vehicle G"/>
    <b v="1"/>
    <n v="1"/>
    <x v="0"/>
    <d v="2020-07-25T11:05:44"/>
  </r>
  <r>
    <x v="4"/>
    <x v="4"/>
    <x v="4"/>
    <b v="0"/>
    <s v="NA"/>
    <x v="1"/>
    <n v="0"/>
    <x v="1"/>
    <x v="0"/>
    <d v="2020-07-19T01:20:38"/>
    <s v="ON"/>
    <s v="Vehicle G"/>
    <b v="1"/>
    <n v="1"/>
    <x v="0"/>
    <d v="2020-07-25T11:05:44"/>
  </r>
  <r>
    <x v="4"/>
    <x v="4"/>
    <x v="4"/>
    <b v="0"/>
    <s v="NA"/>
    <x v="1"/>
    <n v="0"/>
    <x v="1"/>
    <x v="0"/>
    <d v="2020-07-19T13:31:04"/>
    <s v="D"/>
    <s v="Vehicle G"/>
    <b v="1"/>
    <n v="1"/>
    <x v="0"/>
    <d v="2020-07-25T11:05:44"/>
  </r>
  <r>
    <x v="4"/>
    <x v="4"/>
    <x v="4"/>
    <b v="0"/>
    <s v="NA"/>
    <x v="1"/>
    <n v="0"/>
    <x v="1"/>
    <x v="0"/>
    <d v="2020-07-19T13:34:18"/>
    <s v="OFF"/>
    <s v="Vehicle G"/>
    <b v="1"/>
    <n v="1"/>
    <x v="0"/>
    <d v="2020-07-25T11:05:44"/>
  </r>
  <r>
    <x v="4"/>
    <x v="4"/>
    <x v="4"/>
    <b v="0"/>
    <s v="NA"/>
    <x v="1"/>
    <n v="0"/>
    <x v="1"/>
    <x v="0"/>
    <d v="2020-07-19T14:08:50"/>
    <s v="D"/>
    <s v="Vehicle G"/>
    <b v="1"/>
    <n v="0"/>
    <x v="1"/>
    <s v=""/>
  </r>
  <r>
    <x v="4"/>
    <x v="4"/>
    <x v="4"/>
    <b v="0"/>
    <s v="NA"/>
    <x v="1"/>
    <n v="0"/>
    <x v="1"/>
    <x v="0"/>
    <d v="2020-07-19T16:49:29"/>
    <s v="SB"/>
    <s v="Vehicle G"/>
    <b v="1"/>
    <n v="0"/>
    <x v="1"/>
    <s v=""/>
  </r>
  <r>
    <x v="5"/>
    <x v="5"/>
    <x v="5"/>
    <b v="1"/>
    <n v="0"/>
    <x v="1"/>
    <n v="1"/>
    <x v="1"/>
    <x v="4"/>
    <d v="2020-07-07T14:08:50"/>
    <s v="D"/>
    <s v="Vehicle H"/>
    <b v="1"/>
    <n v="1"/>
    <x v="0"/>
    <d v="2020-07-25T11:05:44"/>
  </r>
  <r>
    <x v="5"/>
    <x v="5"/>
    <x v="5"/>
    <b v="0"/>
    <s v="NA"/>
    <x v="1"/>
    <n v="0"/>
    <x v="1"/>
    <x v="4"/>
    <d v="2020-07-07T16:49:29"/>
    <s v="ON"/>
    <s v="Vehicle H"/>
    <b v="1"/>
    <n v="1"/>
    <x v="0"/>
    <d v="2020-07-25T11:05:44"/>
  </r>
  <r>
    <x v="5"/>
    <x v="5"/>
    <x v="5"/>
    <b v="1"/>
    <n v="2"/>
    <x v="0"/>
    <n v="0"/>
    <x v="4"/>
    <x v="3"/>
    <d v="2020-07-16T14:08:50"/>
    <s v="D"/>
    <s v="Vehicle H"/>
    <b v="1"/>
    <n v="0"/>
    <x v="1"/>
    <s v=""/>
  </r>
  <r>
    <x v="5"/>
    <x v="5"/>
    <x v="5"/>
    <b v="0"/>
    <s v="NA"/>
    <x v="1"/>
    <n v="0"/>
    <x v="1"/>
    <x v="3"/>
    <d v="2020-07-16T16:49:29"/>
    <s v="OFF"/>
    <s v="Vehicle H"/>
    <b v="1"/>
    <n v="0"/>
    <x v="1"/>
    <s v=""/>
  </r>
  <r>
    <x v="5"/>
    <x v="5"/>
    <x v="5"/>
    <b v="1"/>
    <n v="4"/>
    <x v="0"/>
    <n v="0"/>
    <x v="3"/>
    <x v="2"/>
    <d v="2020-07-20T01:20:38"/>
    <s v="D"/>
    <s v="Vehicle H"/>
    <b v="1"/>
    <n v="0"/>
    <x v="1"/>
    <s v=""/>
  </r>
  <r>
    <x v="5"/>
    <x v="5"/>
    <x v="5"/>
    <b v="0"/>
    <s v="NA"/>
    <x v="1"/>
    <n v="0"/>
    <x v="1"/>
    <x v="2"/>
    <d v="2020-07-20T04:20:38"/>
    <s v="SB"/>
    <s v="Vehicle H"/>
    <b v="1"/>
    <n v="0"/>
    <x v="1"/>
    <s v=""/>
  </r>
  <r>
    <x v="5"/>
    <x v="5"/>
    <x v="5"/>
    <b v="0"/>
    <s v="NA"/>
    <x v="1"/>
    <n v="0"/>
    <x v="1"/>
    <x v="2"/>
    <d v="2020-07-20T13:20:38"/>
    <s v="D"/>
    <s v="Vehicle H"/>
    <b v="1"/>
    <n v="0"/>
    <x v="1"/>
    <s v=""/>
  </r>
  <r>
    <x v="5"/>
    <x v="5"/>
    <x v="5"/>
    <b v="0"/>
    <s v="NA"/>
    <x v="1"/>
    <n v="0"/>
    <x v="1"/>
    <x v="2"/>
    <d v="2020-07-20T16:20:38"/>
    <s v="SB"/>
    <s v="Vehicle H"/>
    <b v="1"/>
    <n v="0"/>
    <x v="1"/>
    <s v=""/>
  </r>
  <r>
    <x v="6"/>
    <x v="6"/>
    <x v="6"/>
    <b v="1"/>
    <n v="0"/>
    <x v="1"/>
    <n v="1"/>
    <x v="1"/>
    <x v="5"/>
    <d v="2020-07-01T00:20:09"/>
    <s v="D"/>
    <s v="Vehicle J"/>
    <b v="1"/>
    <n v="1"/>
    <x v="0"/>
    <d v="2020-07-25T11:05:44"/>
  </r>
  <r>
    <x v="6"/>
    <x v="6"/>
    <x v="6"/>
    <b v="0"/>
    <s v="NA"/>
    <x v="1"/>
    <n v="0"/>
    <x v="1"/>
    <x v="5"/>
    <d v="2020-07-01T01:20:38"/>
    <s v="ON"/>
    <s v="Vehicle J"/>
    <b v="1"/>
    <n v="1"/>
    <x v="0"/>
    <d v="2020-07-25T11:05:44"/>
  </r>
  <r>
    <x v="6"/>
    <x v="6"/>
    <x v="6"/>
    <b v="0"/>
    <s v="NA"/>
    <x v="1"/>
    <n v="0"/>
    <x v="1"/>
    <x v="5"/>
    <d v="2020-07-01T13:31:04"/>
    <s v="D"/>
    <s v="Vehicle J"/>
    <b v="1"/>
    <n v="1"/>
    <x v="0"/>
    <d v="2020-07-25T11:05:44"/>
  </r>
  <r>
    <x v="6"/>
    <x v="6"/>
    <x v="6"/>
    <b v="0"/>
    <s v="NA"/>
    <x v="1"/>
    <n v="0"/>
    <x v="1"/>
    <x v="5"/>
    <d v="2020-07-01T13:34:18"/>
    <s v="OFF"/>
    <s v="Vehicle J"/>
    <b v="1"/>
    <n v="1"/>
    <x v="0"/>
    <d v="2020-07-25T11:05:44"/>
  </r>
  <r>
    <x v="6"/>
    <x v="6"/>
    <x v="6"/>
    <b v="1"/>
    <n v="2"/>
    <x v="0"/>
    <n v="0"/>
    <x v="0"/>
    <x v="0"/>
    <d v="2020-07-19T14:08:50"/>
    <s v="D"/>
    <s v="Vehicle J"/>
    <b v="1"/>
    <n v="0"/>
    <x v="1"/>
    <s v=""/>
  </r>
  <r>
    <x v="6"/>
    <x v="6"/>
    <x v="6"/>
    <b v="0"/>
    <s v="NA"/>
    <x v="1"/>
    <n v="0"/>
    <x v="1"/>
    <x v="0"/>
    <d v="2020-07-19T16:49:29"/>
    <s v="SB"/>
    <s v="Vehicle J"/>
    <b v="1"/>
    <n v="0"/>
    <x v="1"/>
    <s v=""/>
  </r>
  <r>
    <x v="7"/>
    <x v="7"/>
    <x v="7"/>
    <b v="1"/>
    <n v="2"/>
    <x v="0"/>
    <n v="0"/>
    <x v="5"/>
    <x v="6"/>
    <d v="2020-07-12T00:20:09"/>
    <s v="D"/>
    <s v="Vehicle K"/>
    <b v="1"/>
    <n v="1"/>
    <x v="0"/>
    <d v="2020-07-25T11:05:44"/>
  </r>
  <r>
    <x v="7"/>
    <x v="7"/>
    <x v="7"/>
    <b v="0"/>
    <s v="NA"/>
    <x v="1"/>
    <n v="0"/>
    <x v="1"/>
    <x v="6"/>
    <d v="2020-07-12T01:20:38"/>
    <s v="ON"/>
    <s v="Vehicle K"/>
    <b v="1"/>
    <n v="1"/>
    <x v="0"/>
    <d v="2020-07-25T11:05:44"/>
  </r>
  <r>
    <x v="7"/>
    <x v="7"/>
    <x v="7"/>
    <b v="0"/>
    <s v="NA"/>
    <x v="1"/>
    <n v="0"/>
    <x v="1"/>
    <x v="6"/>
    <d v="2020-07-12T13:31:04"/>
    <s v="D"/>
    <s v="Vehicle K"/>
    <b v="1"/>
    <n v="1"/>
    <x v="0"/>
    <d v="2020-07-25T11:05:44"/>
  </r>
  <r>
    <x v="7"/>
    <x v="7"/>
    <x v="7"/>
    <b v="0"/>
    <s v="NA"/>
    <x v="1"/>
    <n v="0"/>
    <x v="1"/>
    <x v="6"/>
    <d v="2020-07-12T13:34:18"/>
    <s v="OFF"/>
    <s v="Vehicle K"/>
    <b v="1"/>
    <n v="1"/>
    <x v="0"/>
    <d v="2020-07-25T11:05:44"/>
  </r>
  <r>
    <x v="7"/>
    <x v="7"/>
    <x v="7"/>
    <b v="0"/>
    <s v="NA"/>
    <x v="1"/>
    <n v="0"/>
    <x v="1"/>
    <x v="6"/>
    <d v="2020-07-12T14:08:50"/>
    <s v="D"/>
    <s v="Vehicle K"/>
    <b v="1"/>
    <n v="0"/>
    <x v="1"/>
    <s v=""/>
  </r>
  <r>
    <x v="7"/>
    <x v="7"/>
    <x v="7"/>
    <b v="0"/>
    <s v="NA"/>
    <x v="1"/>
    <n v="0"/>
    <x v="1"/>
    <x v="6"/>
    <d v="2020-07-12T16:49:29"/>
    <s v="SB"/>
    <s v="Vehicle K"/>
    <b v="1"/>
    <n v="0"/>
    <x v="1"/>
    <s v=""/>
  </r>
  <r>
    <x v="8"/>
    <x v="8"/>
    <x v="8"/>
    <b v="1"/>
    <n v="2"/>
    <x v="0"/>
    <n v="0"/>
    <x v="3"/>
    <x v="2"/>
    <d v="2020-07-20T00:20:09"/>
    <s v="D"/>
    <s v="Vehicle L"/>
    <b v="1"/>
    <n v="1"/>
    <x v="0"/>
    <d v="2020-07-25T11:05:44"/>
  </r>
  <r>
    <x v="8"/>
    <x v="8"/>
    <x v="8"/>
    <b v="0"/>
    <s v="NA"/>
    <x v="1"/>
    <n v="0"/>
    <x v="1"/>
    <x v="2"/>
    <d v="2020-07-20T01:20:38"/>
    <s v="ON"/>
    <s v="Vehicle L"/>
    <b v="1"/>
    <n v="1"/>
    <x v="0"/>
    <d v="2020-07-25T11:05:44"/>
  </r>
  <r>
    <x v="8"/>
    <x v="8"/>
    <x v="8"/>
    <b v="0"/>
    <s v="NA"/>
    <x v="1"/>
    <n v="0"/>
    <x v="1"/>
    <x v="2"/>
    <d v="2020-07-20T13:31:04"/>
    <s v="D"/>
    <s v="Vehicle L"/>
    <b v="1"/>
    <n v="1"/>
    <x v="0"/>
    <d v="2020-07-25T11:05:44"/>
  </r>
  <r>
    <x v="8"/>
    <x v="8"/>
    <x v="8"/>
    <b v="0"/>
    <s v="NA"/>
    <x v="1"/>
    <n v="0"/>
    <x v="1"/>
    <x v="2"/>
    <d v="2020-07-20T13:34:18"/>
    <s v="OFF"/>
    <s v="Vehicle L"/>
    <b v="1"/>
    <n v="1"/>
    <x v="0"/>
    <d v="2020-07-25T11:05:44"/>
  </r>
  <r>
    <x v="8"/>
    <x v="8"/>
    <x v="8"/>
    <b v="0"/>
    <s v="NA"/>
    <x v="1"/>
    <n v="0"/>
    <x v="1"/>
    <x v="2"/>
    <d v="2020-07-20T14:08:50"/>
    <s v="D"/>
    <s v="Vehicle L"/>
    <b v="1"/>
    <n v="0"/>
    <x v="1"/>
    <s v=""/>
  </r>
  <r>
    <x v="8"/>
    <x v="8"/>
    <x v="8"/>
    <b v="0"/>
    <s v="NA"/>
    <x v="1"/>
    <n v="0"/>
    <x v="1"/>
    <x v="2"/>
    <d v="2020-07-20T16:49:29"/>
    <s v="SB"/>
    <s v="Vehicle L"/>
    <b v="1"/>
    <n v="0"/>
    <x v="1"/>
    <s v=""/>
  </r>
  <r>
    <x v="9"/>
    <x v="9"/>
    <x v="9"/>
    <b v="1"/>
    <n v="1"/>
    <x v="0"/>
    <n v="0"/>
    <x v="6"/>
    <x v="5"/>
    <d v="2020-07-01T00:20:09"/>
    <s v="D"/>
    <s v="Vehicle M"/>
    <b v="1"/>
    <n v="1"/>
    <x v="0"/>
    <d v="2020-07-25T11:05:44"/>
  </r>
  <r>
    <x v="9"/>
    <x v="9"/>
    <x v="9"/>
    <b v="0"/>
    <s v="NA"/>
    <x v="1"/>
    <n v="0"/>
    <x v="1"/>
    <x v="5"/>
    <d v="2020-07-01T01:20:38"/>
    <s v="ON"/>
    <s v="Vehicle M"/>
    <b v="1"/>
    <n v="1"/>
    <x v="0"/>
    <d v="2020-07-25T11:05:44"/>
  </r>
  <r>
    <x v="9"/>
    <x v="9"/>
    <x v="9"/>
    <b v="0"/>
    <s v="NA"/>
    <x v="1"/>
    <n v="0"/>
    <x v="1"/>
    <x v="5"/>
    <d v="2020-07-01T13:31:04"/>
    <s v="D"/>
    <s v="Vehicle M"/>
    <b v="1"/>
    <n v="1"/>
    <x v="0"/>
    <d v="2020-07-25T11:05:44"/>
  </r>
  <r>
    <x v="9"/>
    <x v="9"/>
    <x v="9"/>
    <b v="0"/>
    <s v="NA"/>
    <x v="1"/>
    <n v="0"/>
    <x v="1"/>
    <x v="5"/>
    <d v="2020-07-01T13:34:18"/>
    <s v="OFF"/>
    <s v="Vehicle M"/>
    <b v="1"/>
    <n v="1"/>
    <x v="0"/>
    <d v="2020-07-25T11:05:44"/>
  </r>
  <r>
    <x v="9"/>
    <x v="9"/>
    <x v="9"/>
    <b v="0"/>
    <s v="NA"/>
    <x v="1"/>
    <n v="0"/>
    <x v="1"/>
    <x v="5"/>
    <d v="2020-07-01T14:08:50"/>
    <s v="D"/>
    <s v="Vehicle M"/>
    <b v="1"/>
    <n v="1"/>
    <x v="0"/>
    <d v="2020-07-25T11:05:44"/>
  </r>
  <r>
    <x v="9"/>
    <x v="9"/>
    <x v="9"/>
    <b v="0"/>
    <s v="NA"/>
    <x v="1"/>
    <n v="0"/>
    <x v="1"/>
    <x v="5"/>
    <d v="2020-07-01T16:49:29"/>
    <s v="SB"/>
    <s v="Vehicle M"/>
    <b v="1"/>
    <n v="0"/>
    <x v="1"/>
    <s v=""/>
  </r>
  <r>
    <x v="10"/>
    <x v="10"/>
    <x v="10"/>
    <b v="1"/>
    <n v="0"/>
    <x v="1"/>
    <n v="1"/>
    <x v="1"/>
    <x v="7"/>
    <d v="2020-07-08T13:54:56"/>
    <s v="OFF"/>
    <s v="Vehicle A"/>
    <b v="1"/>
    <n v="1"/>
    <x v="0"/>
    <d v="2020-07-25T11:05:44"/>
  </r>
  <r>
    <x v="10"/>
    <x v="10"/>
    <x v="10"/>
    <b v="0"/>
    <s v="NA"/>
    <x v="1"/>
    <n v="0"/>
    <x v="1"/>
    <x v="7"/>
    <d v="2020-07-08T14:29:10"/>
    <s v="D"/>
    <s v="Vehicle A"/>
    <b v="1"/>
    <n v="1"/>
    <x v="0"/>
    <d v="2020-07-25T11:05:44"/>
  </r>
  <r>
    <x v="10"/>
    <x v="10"/>
    <x v="10"/>
    <b v="0"/>
    <s v="NA"/>
    <x v="1"/>
    <n v="0"/>
    <x v="1"/>
    <x v="7"/>
    <d v="2020-07-08T18:37:39"/>
    <s v="SB"/>
    <s v="Vehicle A"/>
    <b v="1"/>
    <n v="1"/>
    <x v="0"/>
    <d v="2020-07-25T11:05:44"/>
  </r>
  <r>
    <x v="10"/>
    <x v="10"/>
    <x v="10"/>
    <b v="1"/>
    <n v="1"/>
    <x v="0"/>
    <n v="0"/>
    <x v="7"/>
    <x v="8"/>
    <d v="2020-07-03T20:58:50"/>
    <s v="D"/>
    <s v="Vehicle A"/>
    <b v="1"/>
    <n v="1"/>
    <x v="0"/>
    <d v="2020-07-25T11:05:44"/>
  </r>
  <r>
    <x v="10"/>
    <x v="10"/>
    <x v="10"/>
    <b v="0"/>
    <s v="NA"/>
    <x v="1"/>
    <n v="0"/>
    <x v="1"/>
    <x v="8"/>
    <d v="2020-07-03T22:05:20"/>
    <s v="OFF"/>
    <s v="Vehicle A"/>
    <b v="1"/>
    <n v="0"/>
    <x v="1"/>
    <s v=""/>
  </r>
  <r>
    <x v="10"/>
    <x v="10"/>
    <x v="10"/>
    <b v="1"/>
    <n v="0"/>
    <x v="1"/>
    <n v="1"/>
    <x v="1"/>
    <x v="9"/>
    <d v="2020-07-05T10:36:19"/>
    <s v="D"/>
    <s v="Vehicle A"/>
    <b v="1"/>
    <n v="1"/>
    <x v="0"/>
    <d v="2020-07-25T11:05:44"/>
  </r>
  <r>
    <x v="10"/>
    <x v="10"/>
    <x v="10"/>
    <b v="0"/>
    <s v="NA"/>
    <x v="1"/>
    <n v="0"/>
    <x v="1"/>
    <x v="9"/>
    <d v="2020-07-05T10:36:26"/>
    <s v="D"/>
    <s v="Vehicle A"/>
    <b v="1"/>
    <n v="1"/>
    <x v="0"/>
    <d v="2020-07-25T11:05:44"/>
  </r>
  <r>
    <x v="10"/>
    <x v="10"/>
    <x v="10"/>
    <b v="0"/>
    <s v="NA"/>
    <x v="1"/>
    <n v="0"/>
    <x v="1"/>
    <x v="9"/>
    <d v="2020-07-05T10:36:45"/>
    <s v="OFF"/>
    <s v="Vehicle A"/>
    <b v="1"/>
    <n v="1"/>
    <x v="0"/>
    <d v="2020-07-25T11:05:44"/>
  </r>
  <r>
    <x v="10"/>
    <x v="10"/>
    <x v="10"/>
    <b v="0"/>
    <s v="NA"/>
    <x v="1"/>
    <n v="0"/>
    <x v="1"/>
    <x v="9"/>
    <d v="2020-07-05T10:52:22"/>
    <s v="D"/>
    <s v="Vehicle A"/>
    <b v="1"/>
    <n v="1"/>
    <x v="0"/>
    <d v="2020-07-25T11:05:44"/>
  </r>
  <r>
    <x v="10"/>
    <x v="10"/>
    <x v="10"/>
    <b v="0"/>
    <s v="NA"/>
    <x v="1"/>
    <n v="0"/>
    <x v="1"/>
    <x v="9"/>
    <d v="2020-07-05T10:55:06"/>
    <s v="OFF"/>
    <s v="Vehicle A"/>
    <b v="1"/>
    <n v="1"/>
    <x v="0"/>
    <d v="2020-07-25T11:05:44"/>
  </r>
  <r>
    <x v="10"/>
    <x v="10"/>
    <x v="10"/>
    <b v="1"/>
    <n v="1"/>
    <x v="0"/>
    <n v="0"/>
    <x v="8"/>
    <x v="4"/>
    <d v="2020-07-07T11:14:05"/>
    <s v="D"/>
    <s v="Vehicle A"/>
    <b v="1"/>
    <n v="1"/>
    <x v="0"/>
    <d v="2020-07-25T11:05:44"/>
  </r>
  <r>
    <x v="10"/>
    <x v="10"/>
    <x v="10"/>
    <b v="0"/>
    <s v="NA"/>
    <x v="1"/>
    <n v="0"/>
    <x v="1"/>
    <x v="4"/>
    <d v="2020-07-07T11:26:01"/>
    <s v="ON"/>
    <s v="Vehicle A"/>
    <b v="1"/>
    <n v="1"/>
    <x v="0"/>
    <d v="2020-07-25T11:05:44"/>
  </r>
  <r>
    <x v="10"/>
    <x v="10"/>
    <x v="10"/>
    <b v="0"/>
    <s v="NA"/>
    <x v="1"/>
    <n v="0"/>
    <x v="1"/>
    <x v="4"/>
    <d v="2020-07-07T11:51:32"/>
    <s v="D"/>
    <s v="Vehicle A"/>
    <b v="1"/>
    <n v="0"/>
    <x v="1"/>
    <s v=""/>
  </r>
  <r>
    <x v="10"/>
    <x v="10"/>
    <x v="10"/>
    <b v="0"/>
    <s v="NA"/>
    <x v="1"/>
    <n v="0"/>
    <x v="1"/>
    <x v="4"/>
    <d v="2020-07-07T14:33:37"/>
    <s v="OFF"/>
    <s v="Vehicle A"/>
    <b v="1"/>
    <n v="1"/>
    <x v="0"/>
    <d v="2020-07-25T11:05:44"/>
  </r>
  <r>
    <x v="10"/>
    <x v="10"/>
    <x v="10"/>
    <b v="1"/>
    <n v="1"/>
    <x v="0"/>
    <n v="0"/>
    <x v="9"/>
    <x v="10"/>
    <d v="2020-07-11T16:09:49"/>
    <s v="D"/>
    <s v="Vehicle A"/>
    <b v="1"/>
    <n v="1"/>
    <x v="0"/>
    <d v="2020-07-25T11:05:44"/>
  </r>
  <r>
    <x v="10"/>
    <x v="10"/>
    <x v="10"/>
    <b v="0"/>
    <s v="NA"/>
    <x v="1"/>
    <n v="0"/>
    <x v="1"/>
    <x v="10"/>
    <d v="2020-07-11T18:26:12"/>
    <s v="SB"/>
    <s v="Vehicle A"/>
    <b v="1"/>
    <n v="0"/>
    <x v="1"/>
    <s v=""/>
  </r>
  <r>
    <x v="10"/>
    <x v="10"/>
    <x v="10"/>
    <b v="1"/>
    <n v="1"/>
    <x v="0"/>
    <n v="0"/>
    <x v="5"/>
    <x v="6"/>
    <d v="2020-07-12T02:34:33"/>
    <s v="ON"/>
    <s v="Vehicle A"/>
    <b v="1"/>
    <n v="1"/>
    <x v="0"/>
    <d v="2020-07-25T11:05:44"/>
  </r>
  <r>
    <x v="10"/>
    <x v="10"/>
    <x v="10"/>
    <b v="0"/>
    <s v="NA"/>
    <x v="1"/>
    <n v="0"/>
    <x v="1"/>
    <x v="6"/>
    <d v="2020-07-12T02:37:24"/>
    <s v="D"/>
    <s v="Vehicle A"/>
    <b v="1"/>
    <n v="1"/>
    <x v="0"/>
    <d v="2020-07-25T11:05:44"/>
  </r>
  <r>
    <x v="10"/>
    <x v="10"/>
    <x v="10"/>
    <b v="0"/>
    <s v="NA"/>
    <x v="1"/>
    <n v="0"/>
    <x v="1"/>
    <x v="6"/>
    <d v="2020-07-12T05:45:04"/>
    <s v="OFF"/>
    <s v="Vehicle A"/>
    <b v="1"/>
    <n v="1"/>
    <x v="0"/>
    <d v="2020-07-25T11:05:44"/>
  </r>
  <r>
    <x v="10"/>
    <x v="10"/>
    <x v="10"/>
    <b v="0"/>
    <s v="NA"/>
    <x v="1"/>
    <n v="0"/>
    <x v="1"/>
    <x v="6"/>
    <d v="2020-07-12T06:43:37"/>
    <s v="D"/>
    <s v="Vehicle A"/>
    <b v="1"/>
    <n v="0"/>
    <x v="1"/>
    <s v=""/>
  </r>
  <r>
    <x v="10"/>
    <x v="10"/>
    <x v="10"/>
    <b v="0"/>
    <s v="NA"/>
    <x v="1"/>
    <n v="0"/>
    <x v="1"/>
    <x v="6"/>
    <d v="2020-07-12T07:12:14"/>
    <s v="SB"/>
    <s v="Vehicle A"/>
    <b v="1"/>
    <n v="1"/>
    <x v="0"/>
    <d v="2020-07-25T11:05:44"/>
  </r>
  <r>
    <x v="10"/>
    <x v="10"/>
    <x v="10"/>
    <b v="0"/>
    <s v="NA"/>
    <x v="1"/>
    <n v="0"/>
    <x v="1"/>
    <x v="6"/>
    <d v="2020-07-12T13:00:34"/>
    <s v="ON"/>
    <s v="Vehicle A"/>
    <b v="1"/>
    <n v="1"/>
    <x v="0"/>
    <d v="2020-07-25T11:05:44"/>
  </r>
  <r>
    <x v="10"/>
    <x v="10"/>
    <x v="10"/>
    <b v="0"/>
    <s v="NA"/>
    <x v="1"/>
    <n v="0"/>
    <x v="1"/>
    <x v="6"/>
    <d v="2020-07-12T13:07:54"/>
    <s v="D"/>
    <s v="Vehicle A"/>
    <b v="1"/>
    <n v="1"/>
    <x v="0"/>
    <d v="2020-07-25T11:05:44"/>
  </r>
  <r>
    <x v="10"/>
    <x v="10"/>
    <x v="10"/>
    <b v="0"/>
    <s v="NA"/>
    <x v="1"/>
    <n v="0"/>
    <x v="1"/>
    <x v="6"/>
    <d v="2020-07-12T13:59:43"/>
    <s v="SB"/>
    <s v="Vehicle A"/>
    <b v="1"/>
    <n v="1"/>
    <x v="0"/>
    <d v="2020-07-25T11:05:44"/>
  </r>
  <r>
    <x v="10"/>
    <x v="10"/>
    <x v="10"/>
    <b v="1"/>
    <n v="0"/>
    <x v="1"/>
    <n v="1"/>
    <x v="1"/>
    <x v="11"/>
    <d v="2020-07-13T04:13:46"/>
    <s v="ON"/>
    <s v="Vehicle A"/>
    <b v="1"/>
    <n v="1"/>
    <x v="0"/>
    <d v="2020-07-25T11:05:44"/>
  </r>
  <r>
    <x v="10"/>
    <x v="10"/>
    <x v="10"/>
    <b v="0"/>
    <s v="NA"/>
    <x v="1"/>
    <n v="0"/>
    <x v="1"/>
    <x v="11"/>
    <d v="2020-07-13T04:21:48"/>
    <s v="D"/>
    <s v="Vehicle A"/>
    <b v="1"/>
    <n v="1"/>
    <x v="0"/>
    <d v="2020-07-25T11:05:44"/>
  </r>
  <r>
    <x v="10"/>
    <x v="10"/>
    <x v="10"/>
    <b v="0"/>
    <s v="NA"/>
    <x v="1"/>
    <n v="0"/>
    <x v="1"/>
    <x v="11"/>
    <d v="2020-07-13T07:02:17"/>
    <s v="OFF"/>
    <s v="Vehicle A"/>
    <b v="1"/>
    <n v="1"/>
    <x v="0"/>
    <d v="2020-07-25T11:05:44"/>
  </r>
  <r>
    <x v="10"/>
    <x v="10"/>
    <x v="10"/>
    <b v="0"/>
    <s v="NA"/>
    <x v="1"/>
    <n v="0"/>
    <x v="1"/>
    <x v="11"/>
    <d v="2020-07-13T17:57:21"/>
    <s v="D"/>
    <s v="Vehicle A"/>
    <b v="1"/>
    <n v="1"/>
    <x v="0"/>
    <d v="2020-07-25T11:05:44"/>
  </r>
  <r>
    <x v="10"/>
    <x v="10"/>
    <x v="10"/>
    <b v="0"/>
    <s v="NA"/>
    <x v="1"/>
    <n v="0"/>
    <x v="1"/>
    <x v="11"/>
    <d v="2020-07-13T19:34:00"/>
    <s v="OFF"/>
    <s v="Vehicle A"/>
    <b v="1"/>
    <n v="1"/>
    <x v="0"/>
    <d v="2020-07-25T11:05:44"/>
  </r>
  <r>
    <x v="10"/>
    <x v="10"/>
    <x v="10"/>
    <b v="0"/>
    <s v="NA"/>
    <x v="1"/>
    <n v="0"/>
    <x v="1"/>
    <x v="11"/>
    <d v="2020-07-13T20:00:42"/>
    <s v="D"/>
    <s v="Vehicle A"/>
    <b v="1"/>
    <n v="1"/>
    <x v="0"/>
    <d v="2020-07-25T11:05:44"/>
  </r>
  <r>
    <x v="10"/>
    <x v="10"/>
    <x v="10"/>
    <b v="0"/>
    <s v="NA"/>
    <x v="1"/>
    <n v="0"/>
    <x v="1"/>
    <x v="11"/>
    <d v="2020-07-13T21:49:03"/>
    <s v="OFF"/>
    <s v="Vehicle A"/>
    <b v="1"/>
    <n v="1"/>
    <x v="0"/>
    <d v="2020-07-25T11:05:44"/>
  </r>
  <r>
    <x v="10"/>
    <x v="10"/>
    <x v="10"/>
    <b v="0"/>
    <s v="NA"/>
    <x v="1"/>
    <n v="0"/>
    <x v="1"/>
    <x v="11"/>
    <d v="2020-07-13T22:15:01"/>
    <s v="D"/>
    <s v="Vehicle A"/>
    <b v="1"/>
    <n v="1"/>
    <x v="0"/>
    <d v="2020-07-25T11:05:44"/>
  </r>
  <r>
    <x v="10"/>
    <x v="10"/>
    <x v="10"/>
    <b v="0"/>
    <s v="NA"/>
    <x v="1"/>
    <n v="0"/>
    <x v="1"/>
    <x v="11"/>
    <d v="2020-07-13T22:20:27"/>
    <s v="ON"/>
    <s v="Vehicle A"/>
    <b v="1"/>
    <n v="1"/>
    <x v="0"/>
    <d v="2020-07-25T11:05:44"/>
  </r>
  <r>
    <x v="10"/>
    <x v="10"/>
    <x v="10"/>
    <b v="0"/>
    <s v="NA"/>
    <x v="1"/>
    <n v="0"/>
    <x v="1"/>
    <x v="11"/>
    <d v="2020-07-13T22:21:36"/>
    <s v="OFF"/>
    <s v="Vehicle A"/>
    <b v="1"/>
    <n v="1"/>
    <x v="0"/>
    <d v="2020-07-25T11:05:44"/>
  </r>
  <r>
    <x v="10"/>
    <x v="10"/>
    <x v="10"/>
    <b v="1"/>
    <n v="3"/>
    <x v="0"/>
    <n v="0"/>
    <x v="2"/>
    <x v="1"/>
    <d v="2020-07-14T00:20:30"/>
    <s v="D"/>
    <s v="Vehicle A"/>
    <b v="1"/>
    <n v="1"/>
    <x v="0"/>
    <d v="2020-07-25T11:05:44"/>
  </r>
  <r>
    <x v="10"/>
    <x v="10"/>
    <x v="10"/>
    <b v="0"/>
    <s v="NA"/>
    <x v="1"/>
    <n v="0"/>
    <x v="1"/>
    <x v="1"/>
    <d v="2020-07-14T00:27:30"/>
    <s v="AdverseWeather"/>
    <s v="Vehicle A"/>
    <b v="0"/>
    <n v="0"/>
    <x v="2"/>
    <d v="2020-07-25T11:05:44"/>
  </r>
  <r>
    <x v="10"/>
    <x v="10"/>
    <x v="10"/>
    <b v="0"/>
    <s v="NA"/>
    <x v="1"/>
    <n v="0"/>
    <x v="1"/>
    <x v="1"/>
    <d v="2020-07-14T00:36:24"/>
    <s v="D"/>
    <s v="Vehicle A"/>
    <b v="1"/>
    <n v="1"/>
    <x v="0"/>
    <d v="2020-07-25T11:05:44"/>
  </r>
  <r>
    <x v="10"/>
    <x v="10"/>
    <x v="10"/>
    <b v="0"/>
    <s v="NA"/>
    <x v="1"/>
    <n v="0"/>
    <x v="1"/>
    <x v="1"/>
    <d v="2020-07-14T01:47:51"/>
    <s v="INT_D"/>
    <s v="Vehicle A"/>
    <b v="0"/>
    <n v="0"/>
    <x v="2"/>
    <d v="2020-07-25T11:05:44"/>
  </r>
  <r>
    <x v="10"/>
    <x v="10"/>
    <x v="10"/>
    <b v="0"/>
    <s v="NA"/>
    <x v="1"/>
    <n v="0"/>
    <x v="1"/>
    <x v="1"/>
    <d v="2020-07-14T01:54:40"/>
    <s v="OFF"/>
    <s v="Vehicle A"/>
    <b v="1"/>
    <n v="1"/>
    <x v="0"/>
    <d v="2020-07-25T11:05:44"/>
  </r>
  <r>
    <x v="10"/>
    <x v="10"/>
    <x v="10"/>
    <b v="0"/>
    <s v="NA"/>
    <x v="1"/>
    <n v="0"/>
    <x v="1"/>
    <x v="1"/>
    <d v="2020-07-14T02:33:45"/>
    <s v="ON"/>
    <s v="Vehicle A"/>
    <b v="1"/>
    <n v="1"/>
    <x v="0"/>
    <d v="2020-07-25T11:05:44"/>
  </r>
  <r>
    <x v="10"/>
    <x v="10"/>
    <x v="10"/>
    <b v="0"/>
    <s v="NA"/>
    <x v="1"/>
    <n v="0"/>
    <x v="1"/>
    <x v="1"/>
    <d v="2020-07-14T02:39:24"/>
    <s v="SB"/>
    <s v="Vehicle A"/>
    <b v="1"/>
    <n v="1"/>
    <x v="0"/>
    <d v="2020-07-25T11:05:44"/>
  </r>
  <r>
    <x v="10"/>
    <x v="10"/>
    <x v="10"/>
    <b v="0"/>
    <s v="NA"/>
    <x v="1"/>
    <n v="0"/>
    <x v="1"/>
    <x v="1"/>
    <d v="2020-07-14T02:46:15"/>
    <s v="YM"/>
    <s v="Vehicle A"/>
    <b v="1"/>
    <n v="0"/>
    <x v="1"/>
    <s v=""/>
  </r>
  <r>
    <x v="10"/>
    <x v="10"/>
    <x v="10"/>
    <b v="0"/>
    <s v="NA"/>
    <x v="1"/>
    <n v="0"/>
    <x v="1"/>
    <x v="1"/>
    <d v="2020-07-14T03:05:26"/>
    <s v="D"/>
    <s v="Vehicle A"/>
    <b v="1"/>
    <n v="0"/>
    <x v="1"/>
    <s v=""/>
  </r>
  <r>
    <x v="10"/>
    <x v="10"/>
    <x v="10"/>
    <b v="0"/>
    <s v="NA"/>
    <x v="1"/>
    <n v="0"/>
    <x v="1"/>
    <x v="1"/>
    <d v="2020-07-14T03:19:37"/>
    <s v="ON"/>
    <s v="Vehicle A"/>
    <b v="1"/>
    <n v="1"/>
    <x v="0"/>
    <d v="2020-07-25T11:05:44"/>
  </r>
  <r>
    <x v="10"/>
    <x v="10"/>
    <x v="10"/>
    <b v="0"/>
    <s v="NA"/>
    <x v="1"/>
    <n v="0"/>
    <x v="1"/>
    <x v="1"/>
    <d v="2020-07-14T03:25:39"/>
    <s v="D"/>
    <s v="Vehicle A"/>
    <b v="1"/>
    <n v="1"/>
    <x v="0"/>
    <d v="2020-07-25T11:05:44"/>
  </r>
  <r>
    <x v="10"/>
    <x v="10"/>
    <x v="10"/>
    <b v="0"/>
    <s v="NA"/>
    <x v="1"/>
    <n v="0"/>
    <x v="1"/>
    <x v="1"/>
    <d v="2020-07-14T04:39:22"/>
    <s v="OFF"/>
    <s v="Vehicle A"/>
    <b v="1"/>
    <n v="1"/>
    <x v="0"/>
    <d v="2020-07-25T11:05:44"/>
  </r>
  <r>
    <x v="10"/>
    <x v="10"/>
    <x v="10"/>
    <b v="0"/>
    <s v="NA"/>
    <x v="1"/>
    <n v="0"/>
    <x v="1"/>
    <x v="1"/>
    <d v="2020-07-14T05:06:49"/>
    <s v="D"/>
    <s v="Vehicle A"/>
    <b v="1"/>
    <n v="1"/>
    <x v="0"/>
    <d v="2020-07-25T11:05:44"/>
  </r>
  <r>
    <x v="10"/>
    <x v="10"/>
    <x v="10"/>
    <b v="0"/>
    <s v="NA"/>
    <x v="1"/>
    <n v="0"/>
    <x v="1"/>
    <x v="1"/>
    <d v="2020-07-14T06:55:33"/>
    <s v="OFF"/>
    <s v="Vehicle A"/>
    <b v="1"/>
    <n v="1"/>
    <x v="0"/>
    <d v="2020-07-25T11:05:44"/>
  </r>
  <r>
    <x v="10"/>
    <x v="10"/>
    <x v="10"/>
    <b v="0"/>
    <s v="NA"/>
    <x v="1"/>
    <n v="0"/>
    <x v="1"/>
    <x v="1"/>
    <d v="2020-07-14T08:04:38"/>
    <s v="SB"/>
    <s v="Vehicle A"/>
    <b v="1"/>
    <n v="1"/>
    <x v="0"/>
    <d v="2020-07-25T11:05:44"/>
  </r>
  <r>
    <x v="10"/>
    <x v="10"/>
    <x v="10"/>
    <b v="0"/>
    <s v="NA"/>
    <x v="1"/>
    <n v="0"/>
    <x v="1"/>
    <x v="1"/>
    <d v="2020-07-14T18:32:33"/>
    <s v="D"/>
    <s v="Vehicle A"/>
    <b v="1"/>
    <n v="1"/>
    <x v="0"/>
    <d v="2020-07-25T11:05:44"/>
  </r>
  <r>
    <x v="10"/>
    <x v="10"/>
    <x v="10"/>
    <b v="0"/>
    <s v="NA"/>
    <x v="1"/>
    <n v="0"/>
    <x v="1"/>
    <x v="1"/>
    <d v="2020-07-14T20:07:46"/>
    <s v="ON"/>
    <s v="Vehicle A"/>
    <b v="1"/>
    <n v="1"/>
    <x v="0"/>
    <d v="2020-07-25T11:05:44"/>
  </r>
  <r>
    <x v="10"/>
    <x v="10"/>
    <x v="10"/>
    <b v="0"/>
    <s v="NA"/>
    <x v="1"/>
    <n v="0"/>
    <x v="1"/>
    <x v="1"/>
    <d v="2020-07-14T20:15:05"/>
    <s v="OFF"/>
    <s v="Vehicle A"/>
    <b v="1"/>
    <n v="1"/>
    <x v="0"/>
    <d v="2020-07-25T11:05:44"/>
  </r>
  <r>
    <x v="10"/>
    <x v="10"/>
    <x v="10"/>
    <b v="0"/>
    <s v="NA"/>
    <x v="1"/>
    <n v="0"/>
    <x v="1"/>
    <x v="1"/>
    <d v="2020-07-14T20:18:20"/>
    <s v="D"/>
    <s v="Vehicle A"/>
    <b v="1"/>
    <n v="1"/>
    <x v="0"/>
    <d v="2020-07-25T11:05:44"/>
  </r>
  <r>
    <x v="10"/>
    <x v="10"/>
    <x v="10"/>
    <b v="0"/>
    <s v="NA"/>
    <x v="1"/>
    <n v="0"/>
    <x v="1"/>
    <x v="1"/>
    <d v="2020-07-14T20:20:00"/>
    <s v="ON"/>
    <s v="Vehicle A"/>
    <b v="1"/>
    <n v="0"/>
    <x v="1"/>
    <s v=""/>
  </r>
  <r>
    <x v="10"/>
    <x v="10"/>
    <x v="10"/>
    <b v="0"/>
    <s v="NA"/>
    <x v="1"/>
    <n v="0"/>
    <x v="1"/>
    <x v="1"/>
    <d v="2020-07-14T20:28:04"/>
    <s v="AdverseWeather"/>
    <s v="Vehicle A"/>
    <b v="0"/>
    <n v="0"/>
    <x v="2"/>
    <s v=""/>
  </r>
  <r>
    <x v="10"/>
    <x v="10"/>
    <x v="10"/>
    <b v="0"/>
    <s v="NA"/>
    <x v="1"/>
    <n v="0"/>
    <x v="1"/>
    <x v="1"/>
    <d v="2020-07-14T21:33:17"/>
    <s v="D"/>
    <s v="Vehicle A"/>
    <b v="1"/>
    <n v="1"/>
    <x v="0"/>
    <d v="2020-07-25T11:05:44"/>
  </r>
  <r>
    <x v="10"/>
    <x v="10"/>
    <x v="10"/>
    <b v="1"/>
    <n v="0"/>
    <x v="1"/>
    <n v="1"/>
    <x v="1"/>
    <x v="12"/>
    <d v="2020-07-15T09:28:42"/>
    <s v="INT_D"/>
    <s v="Vehicle A"/>
    <b v="0"/>
    <n v="0"/>
    <x v="2"/>
    <s v=""/>
  </r>
  <r>
    <x v="10"/>
    <x v="10"/>
    <x v="10"/>
    <b v="0"/>
    <s v="NA"/>
    <x v="1"/>
    <n v="0"/>
    <x v="1"/>
    <x v="12"/>
    <d v="2020-07-15T09:42:30"/>
    <s v="OFF"/>
    <s v="Vehicle A"/>
    <b v="1"/>
    <n v="1"/>
    <x v="0"/>
    <d v="2020-07-25T11:05:44"/>
  </r>
  <r>
    <x v="10"/>
    <x v="10"/>
    <x v="10"/>
    <b v="0"/>
    <s v="NA"/>
    <x v="1"/>
    <n v="0"/>
    <x v="1"/>
    <x v="12"/>
    <d v="2020-07-15T11:05:18"/>
    <s v="ON"/>
    <s v="Vehicle A"/>
    <b v="1"/>
    <n v="1"/>
    <x v="0"/>
    <d v="2020-07-25T11:05:44"/>
  </r>
  <r>
    <x v="11"/>
    <x v="11"/>
    <x v="11"/>
    <b v="1"/>
    <n v="0"/>
    <x v="1"/>
    <n v="1"/>
    <x v="1"/>
    <x v="12"/>
    <d v="2020-07-15T12:04:50"/>
    <s v="SB"/>
    <s v="Vehicle B"/>
    <b v="1"/>
    <n v="1"/>
    <x v="0"/>
    <d v="2020-07-25T11:05:44"/>
  </r>
  <r>
    <x v="11"/>
    <x v="11"/>
    <x v="11"/>
    <b v="0"/>
    <s v="NA"/>
    <x v="1"/>
    <n v="0"/>
    <x v="1"/>
    <x v="12"/>
    <d v="2020-07-15T12:54:31"/>
    <s v="YM"/>
    <s v="Vehicle B"/>
    <b v="1"/>
    <n v="1"/>
    <x v="0"/>
    <d v="2020-07-25T11:05:44"/>
  </r>
  <r>
    <x v="11"/>
    <x v="11"/>
    <x v="11"/>
    <b v="0"/>
    <s v="NA"/>
    <x v="1"/>
    <n v="0"/>
    <x v="1"/>
    <x v="12"/>
    <d v="2020-07-15T13:19:38"/>
    <s v="D"/>
    <s v="Vehicle B"/>
    <b v="1"/>
    <n v="1"/>
    <x v="0"/>
    <d v="2020-07-25T11:05:44"/>
  </r>
  <r>
    <x v="11"/>
    <x v="11"/>
    <x v="11"/>
    <b v="0"/>
    <s v="NA"/>
    <x v="1"/>
    <n v="0"/>
    <x v="1"/>
    <x v="12"/>
    <d v="2020-07-15T13:23:57"/>
    <s v="OFF"/>
    <s v="Vehicle B"/>
    <b v="1"/>
    <n v="1"/>
    <x v="0"/>
    <d v="2020-07-25T11:05:44"/>
  </r>
  <r>
    <x v="11"/>
    <x v="11"/>
    <x v="11"/>
    <b v="0"/>
    <s v="NA"/>
    <x v="1"/>
    <n v="0"/>
    <x v="1"/>
    <x v="12"/>
    <d v="2020-07-15T13:41:25"/>
    <s v="D"/>
    <s v="Vehicle B"/>
    <b v="1"/>
    <n v="1"/>
    <x v="0"/>
    <d v="2020-07-25T11:05:44"/>
  </r>
  <r>
    <x v="11"/>
    <x v="11"/>
    <x v="11"/>
    <b v="0"/>
    <s v="NA"/>
    <x v="1"/>
    <n v="0"/>
    <x v="1"/>
    <x v="12"/>
    <d v="2020-07-15T14:19:13"/>
    <s v="ON"/>
    <s v="Vehicle B"/>
    <b v="1"/>
    <n v="1"/>
    <x v="0"/>
    <d v="2020-07-25T11:05:44"/>
  </r>
  <r>
    <x v="11"/>
    <x v="11"/>
    <x v="11"/>
    <b v="1"/>
    <n v="1"/>
    <x v="0"/>
    <n v="0"/>
    <x v="4"/>
    <x v="3"/>
    <d v="2020-07-16T07:53:38"/>
    <s v="D"/>
    <s v="Vehicle B"/>
    <b v="1"/>
    <n v="1"/>
    <x v="0"/>
    <d v="2020-07-25T11:05:44"/>
  </r>
  <r>
    <x v="11"/>
    <x v="11"/>
    <x v="11"/>
    <b v="0"/>
    <s v="NA"/>
    <x v="1"/>
    <n v="0"/>
    <x v="1"/>
    <x v="3"/>
    <d v="2020-07-16T08:44:36"/>
    <s v="OFF"/>
    <s v="Vehicle B"/>
    <b v="1"/>
    <n v="0"/>
    <x v="1"/>
    <s v=""/>
  </r>
  <r>
    <x v="11"/>
    <x v="11"/>
    <x v="11"/>
    <b v="1"/>
    <n v="0"/>
    <x v="1"/>
    <n v="1"/>
    <x v="1"/>
    <x v="13"/>
    <d v="2020-07-17T17:43:31"/>
    <s v="ON"/>
    <s v="Vehicle B"/>
    <b v="1"/>
    <n v="1"/>
    <x v="0"/>
    <d v="2020-07-25T11:05:44"/>
  </r>
  <r>
    <x v="11"/>
    <x v="11"/>
    <x v="11"/>
    <b v="0"/>
    <s v="NA"/>
    <x v="1"/>
    <n v="0"/>
    <x v="1"/>
    <x v="13"/>
    <d v="2020-07-17T17:46:36"/>
    <s v="D"/>
    <s v="Vehicle B"/>
    <b v="1"/>
    <n v="1"/>
    <x v="0"/>
    <d v="2020-07-25T11:05:44"/>
  </r>
  <r>
    <x v="11"/>
    <x v="11"/>
    <x v="11"/>
    <b v="0"/>
    <s v="NA"/>
    <x v="1"/>
    <n v="0"/>
    <x v="1"/>
    <x v="13"/>
    <d v="2020-07-17T18:21:01"/>
    <s v="ON"/>
    <s v="Vehicle B"/>
    <b v="1"/>
    <n v="1"/>
    <x v="0"/>
    <d v="2020-07-25T11:05:44"/>
  </r>
  <r>
    <x v="11"/>
    <x v="11"/>
    <x v="11"/>
    <b v="0"/>
    <s v="NA"/>
    <x v="1"/>
    <n v="0"/>
    <x v="1"/>
    <x v="13"/>
    <d v="2020-07-17T18:37:00"/>
    <s v="D"/>
    <s v="Vehicle B"/>
    <b v="1"/>
    <n v="1"/>
    <x v="0"/>
    <d v="2020-07-25T11:05:44"/>
  </r>
  <r>
    <x v="11"/>
    <x v="11"/>
    <x v="11"/>
    <b v="0"/>
    <s v="NA"/>
    <x v="1"/>
    <n v="0"/>
    <x v="1"/>
    <x v="13"/>
    <d v="2020-07-17T18:57:57"/>
    <s v="OFF"/>
    <s v="Vehicle B"/>
    <b v="1"/>
    <n v="1"/>
    <x v="0"/>
    <d v="2016-07-25T11:05:36"/>
  </r>
  <r>
    <x v="11"/>
    <x v="11"/>
    <x v="11"/>
    <b v="0"/>
    <s v="NA"/>
    <x v="1"/>
    <n v="0"/>
    <x v="1"/>
    <x v="13"/>
    <d v="2020-07-17T23:35:20"/>
    <s v="D"/>
    <s v="Vehicle B"/>
    <b v="1"/>
    <n v="1"/>
    <x v="0"/>
    <d v="2016-07-25T11:05:36"/>
  </r>
  <r>
    <x v="11"/>
    <x v="11"/>
    <x v="11"/>
    <b v="1"/>
    <n v="1"/>
    <x v="0"/>
    <n v="0"/>
    <x v="10"/>
    <x v="14"/>
    <d v="2020-07-18T23:55:50"/>
    <s v="OFF"/>
    <s v="Vehicle B"/>
    <b v="1"/>
    <n v="0"/>
    <x v="1"/>
    <s v=""/>
  </r>
  <r>
    <x v="11"/>
    <x v="11"/>
    <x v="11"/>
    <b v="0"/>
    <s v="NA"/>
    <x v="1"/>
    <n v="0"/>
    <x v="1"/>
    <x v="14"/>
    <d v="2020-07-18T00:20:13"/>
    <s v="D"/>
    <s v="Vehicle B"/>
    <b v="1"/>
    <n v="1"/>
    <x v="0"/>
    <d v="2016-07-25T11:05:36"/>
  </r>
  <r>
    <x v="11"/>
    <x v="11"/>
    <x v="11"/>
    <b v="0"/>
    <s v="NA"/>
    <x v="1"/>
    <n v="0"/>
    <x v="1"/>
    <x v="14"/>
    <d v="2020-07-18T02:32:58"/>
    <s v="ON"/>
    <s v="Vehicle B"/>
    <b v="1"/>
    <n v="1"/>
    <x v="0"/>
    <d v="2016-07-25T11:05:35"/>
  </r>
  <r>
    <x v="11"/>
    <x v="11"/>
    <x v="11"/>
    <b v="1"/>
    <n v="0"/>
    <x v="1"/>
    <n v="1"/>
    <x v="1"/>
    <x v="5"/>
    <d v="2020-07-01T02:43:45"/>
    <s v="OFF"/>
    <s v="Vehicle B"/>
    <b v="1"/>
    <n v="1"/>
    <x v="0"/>
    <d v="2016-07-25T11:05:35"/>
  </r>
  <r>
    <x v="11"/>
    <x v="11"/>
    <x v="11"/>
    <b v="1"/>
    <n v="1"/>
    <x v="0"/>
    <n v="0"/>
    <x v="3"/>
    <x v="2"/>
    <d v="2020-07-20T02:55:56"/>
    <s v="D"/>
    <s v="Vehicle B"/>
    <b v="1"/>
    <n v="0"/>
    <x v="1"/>
    <s v=""/>
  </r>
  <r>
    <x v="11"/>
    <x v="11"/>
    <x v="11"/>
    <b v="0"/>
    <s v="NA"/>
    <x v="1"/>
    <n v="0"/>
    <x v="1"/>
    <x v="2"/>
    <d v="2020-07-20T06:33:51"/>
    <s v="OFF"/>
    <s v="Vehicle B"/>
    <b v="1"/>
    <n v="1"/>
    <x v="0"/>
    <d v="2016-07-25T11:05: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213" applyNumberFormats="0" applyBorderFormats="0" applyFontFormats="0" applyPatternFormats="0" applyAlignmentFormats="0" applyWidthHeightFormats="1" dataCaption="Data" grandTotalCaption="Days" updatedVersion="7" minRefreshableVersion="3" showDrill="0" showMemberPropertyTips="0" rowGrandTotals="0" itemPrintTitles="1" createdVersion="4" indent="0" compact="0" compactData="0" chartFormat="2">
  <location ref="A11:S24" firstHeaderRow="1" firstDataRow="2" firstDataCol="3"/>
  <pivotFields count="16">
    <pivotField axis="axisRow" compact="0" outline="0" showAll="0" sortType="descending" defaultSubtotal="0">
      <items count="12">
        <item x="10"/>
        <item x="11"/>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outline="0" showAll="0" defaultSubtotal="0">
      <items count="12">
        <item x="10"/>
        <item x="11"/>
        <item x="0"/>
        <item x="1"/>
        <item x="2"/>
        <item x="3"/>
        <item x="4"/>
        <item x="5"/>
        <item x="6"/>
        <item x="7"/>
        <item x="8"/>
        <item x="9"/>
      </items>
    </pivotField>
    <pivotField axis="axisRow" compact="0" outline="0" showAll="0" defaultSubtotal="0">
      <items count="12">
        <item x="10"/>
        <item x="11"/>
        <item x="0"/>
        <item x="1"/>
        <item x="2"/>
        <item x="3"/>
        <item x="4"/>
        <item x="5"/>
        <item x="6"/>
        <item x="7"/>
        <item x="8"/>
        <item x="9"/>
      </items>
    </pivotField>
    <pivotField compact="0" outline="0" subtotalTop="0" showAll="0" defaultSubtotal="0"/>
    <pivotField compact="0" outline="0" subtotalTop="0" showAll="0" defaultSubtotal="0"/>
    <pivotField dataField="1" compact="0" numFmtId="1" outline="0" subtotalTop="0" showAll="0" defaultSubtotal="0"/>
    <pivotField compact="0" numFmtId="1" outline="0" subtotalTop="0" showAll="0" defaultSubtotal="0"/>
    <pivotField compact="0" outline="0" subtotalTop="0" showAll="0" defaultSubtotal="0"/>
    <pivotField axis="axisCol" compact="0" numFmtId="174" outline="0" subtotalTop="0" showAll="0" sortType="ascending" defaultSubtotal="0">
      <items count="15">
        <item x="5"/>
        <item x="8"/>
        <item x="9"/>
        <item x="4"/>
        <item x="7"/>
        <item x="10"/>
        <item x="6"/>
        <item x="11"/>
        <item x="1"/>
        <item x="12"/>
        <item x="3"/>
        <item x="13"/>
        <item x="14"/>
        <item x="0"/>
        <item x="2"/>
      </items>
    </pivotField>
    <pivotField compact="0" numFmtId="171"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s>
  <rowFields count="3">
    <field x="0"/>
    <field x="1"/>
    <field x="2"/>
  </rowFields>
  <rowItems count="12">
    <i>
      <x/>
      <x/>
      <x/>
    </i>
    <i>
      <x v="1"/>
      <x v="1"/>
      <x v="1"/>
    </i>
    <i>
      <x v="7"/>
      <x v="7"/>
      <x v="7"/>
    </i>
    <i>
      <x v="9"/>
      <x v="9"/>
      <x v="9"/>
    </i>
    <i>
      <x v="6"/>
      <x v="6"/>
      <x v="6"/>
    </i>
    <i>
      <x v="3"/>
      <x v="3"/>
      <x v="3"/>
    </i>
    <i>
      <x v="8"/>
      <x v="8"/>
      <x v="8"/>
    </i>
    <i>
      <x v="4"/>
      <x v="4"/>
      <x v="4"/>
    </i>
    <i>
      <x v="2"/>
      <x v="2"/>
      <x v="2"/>
    </i>
    <i>
      <x v="10"/>
      <x v="10"/>
      <x v="10"/>
    </i>
    <i>
      <x v="11"/>
      <x v="11"/>
      <x v="11"/>
    </i>
    <i>
      <x v="5"/>
      <x v="5"/>
      <x v="5"/>
    </i>
  </rowItems>
  <colFields count="1">
    <field x="8"/>
  </colFields>
  <colItems count="16">
    <i>
      <x/>
    </i>
    <i>
      <x v="1"/>
    </i>
    <i>
      <x v="2"/>
    </i>
    <i>
      <x v="3"/>
    </i>
    <i>
      <x v="4"/>
    </i>
    <i>
      <x v="5"/>
    </i>
    <i>
      <x v="6"/>
    </i>
    <i>
      <x v="7"/>
    </i>
    <i>
      <x v="8"/>
    </i>
    <i>
      <x v="9"/>
    </i>
    <i>
      <x v="10"/>
    </i>
    <i>
      <x v="11"/>
    </i>
    <i>
      <x v="12"/>
    </i>
    <i>
      <x v="13"/>
    </i>
    <i>
      <x v="14"/>
    </i>
    <i t="grand">
      <x/>
    </i>
  </colItems>
  <dataFields count="1">
    <dataField name=" Unverified Days " fld="5" baseField="0" baseItem="0"/>
  </dataFields>
  <formats count="24">
    <format dxfId="76">
      <pivotArea dataOnly="0" labelOnly="1" outline="0" axis="axisValues" fieldPosition="0"/>
    </format>
    <format dxfId="75">
      <pivotArea dataOnly="0" labelOnly="1" outline="0" axis="axisValues" fieldPosition="0"/>
    </format>
    <format dxfId="74">
      <pivotArea outline="0" collapsedLevelsAreSubtotals="1" fieldPosition="0"/>
    </format>
    <format dxfId="73">
      <pivotArea dataOnly="0" labelOnly="1" outline="0" axis="axisValues"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grandRow="1" outline="0" fieldPosition="0"/>
    </format>
    <format dxfId="64">
      <pivotArea dataOnly="0" labelOnly="1" outline="0" axis="axisValues" fieldPosition="0"/>
    </format>
    <format dxfId="63">
      <pivotArea field="0" type="button" dataOnly="0" labelOnly="1" outline="0" axis="axisRow" fieldPosition="0"/>
    </format>
    <format dxfId="62">
      <pivotArea field="1" type="button" dataOnly="0" labelOnly="1" outline="0" axis="axisRow" fieldPosition="1"/>
    </format>
    <format dxfId="61">
      <pivotArea field="2" type="button" dataOnly="0" labelOnly="1" outline="0" axis="axisRow" fieldPosition="2"/>
    </format>
    <format dxfId="60">
      <pivotArea field="0" type="button" dataOnly="0" labelOnly="1" outline="0" axis="axisRow" fieldPosition="0"/>
    </format>
    <format dxfId="59">
      <pivotArea field="1" type="button" dataOnly="0" labelOnly="1" outline="0" axis="axisRow" fieldPosition="1"/>
    </format>
    <format dxfId="58">
      <pivotArea field="2" type="button" dataOnly="0" labelOnly="1" outline="0" axis="axisRow" fieldPosition="2"/>
    </format>
    <format dxfId="57">
      <pivotArea dataOnly="0" outline="0" fieldPosition="0">
        <references count="1">
          <reference field="4294967294" count="1">
            <x v="0"/>
          </reference>
        </references>
      </pivotArea>
    </format>
    <format dxfId="56">
      <pivotArea outline="0" collapsedLevelsAreSubtotals="1" fieldPosition="0"/>
    </format>
    <format dxfId="55">
      <pivotArea type="topRight" dataOnly="0" labelOnly="1" outline="0" fieldPosition="0"/>
    </format>
    <format dxfId="54">
      <pivotArea dataOnly="0" labelOnly="1" grandCol="1" outline="0" fieldPosition="0"/>
    </format>
    <format dxfId="53">
      <pivotArea dataOnly="0" outline="0" fieldPosition="0">
        <references count="1">
          <reference field="8" count="0"/>
        </references>
      </pivotArea>
    </format>
  </formats>
  <conditionalFormats count="3">
    <conditionalFormat scope="field" priority="3">
      <pivotAreas count="1">
        <pivotArea outline="0" collapsedLevelsAreSubtotals="1" fieldPosition="0">
          <references count="3">
            <reference field="4294967294" count="1" selected="0">
              <x v="0"/>
            </reference>
            <reference field="2" count="0" selected="0"/>
            <reference field="8" count="0" selected="0"/>
          </references>
        </pivotArea>
      </pivotAreas>
    </conditionalFormat>
    <conditionalFormat scope="field" type="all" priority="2">
      <pivotAreas count="1">
        <pivotArea outline="0" collapsedLevelsAreSubtotals="1" fieldPosition="0">
          <references count="3">
            <reference field="4294967294" count="1" selected="0">
              <x v="0"/>
            </reference>
            <reference field="2" count="0" selected="0"/>
            <reference field="8" count="0" selected="0"/>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chartFormats count="1">
    <chartFormat chart="0" format="9" series="1">
      <pivotArea type="data" outline="0" fieldPosition="0"/>
    </chartFormat>
  </chartFormats>
  <pivotTableStyleInfo name="PivotStyleLightCustom"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13" applyNumberFormats="0" applyBorderFormats="0" applyFontFormats="0" applyPatternFormats="0" applyAlignmentFormats="0" applyWidthHeightFormats="1" dataCaption="Data" updatedVersion="7" minRefreshableVersion="3" showDrill="0" showMemberPropertyTips="0" rowGrandTotals="0" colGrandTotals="0" itemPrintTitles="1" createdVersion="4" indent="0" compact="0" compactData="0" chartFormat="2">
  <location ref="A13:E55" firstHeaderRow="1" firstDataRow="1" firstDataCol="4" rowPageCount="1" colPageCount="1"/>
  <pivotFields count="16">
    <pivotField axis="axisRow" compact="0" outline="0" subtotalTop="0" showAll="0">
      <items count="13">
        <item x="10"/>
        <item x="11"/>
        <item x="0"/>
        <item x="1"/>
        <item x="2"/>
        <item x="3"/>
        <item x="4"/>
        <item x="5"/>
        <item x="6"/>
        <item x="7"/>
        <item x="8"/>
        <item x="9"/>
        <item t="default"/>
      </items>
      <extLst>
        <ext xmlns:x14="http://schemas.microsoft.com/office/spreadsheetml/2009/9/main" uri="{2946ED86-A175-432a-8AC1-64E0C546D7DE}">
          <x14:pivotField fillDownLabels="1"/>
        </ext>
      </extLst>
    </pivotField>
    <pivotField axis="axisRow" compact="0" outline="0" subtotalTop="0" showAll="0" defaultSubtotal="0">
      <items count="12">
        <item x="10"/>
        <item x="11"/>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subtotalTop="0" showAll="0" defaultSubtotal="0">
      <items count="12">
        <item x="10"/>
        <item x="11"/>
        <item x="0"/>
        <item x="1"/>
        <item x="2"/>
        <item x="3"/>
        <item x="4"/>
        <item x="5"/>
        <item x="6"/>
        <item x="7"/>
        <item x="8"/>
        <item x="9"/>
      </items>
      <extLst>
        <ext xmlns:x14="http://schemas.microsoft.com/office/spreadsheetml/2009/9/main" uri="{2946ED86-A175-432a-8AC1-64E0C546D7DE}">
          <x14:pivotField fillDownLabels="1"/>
        </ext>
      </extLst>
    </pivotField>
    <pivotField compact="0" outline="0" subtotalTop="0" multipleItemSelectionAllowed="1" showAll="0"/>
    <pivotField compact="0" outline="0" subtotalTop="0" showAll="0"/>
    <pivotField axis="axisPage" dataField="1" compact="0" numFmtId="1" outline="0" subtotalTop="0" showAll="0">
      <items count="3">
        <item x="1"/>
        <item x="0"/>
        <item t="default"/>
      </items>
    </pivotField>
    <pivotField compact="0" numFmtId="1" outline="0" subtotalTop="0" showAll="0"/>
    <pivotField axis="axisRow" compact="0" numFmtId="173" outline="0" subtotalTop="0" showAll="0" sortType="ascending">
      <items count="12">
        <item x="1"/>
        <item x="6"/>
        <item x="7"/>
        <item x="8"/>
        <item x="9"/>
        <item x="5"/>
        <item x="2"/>
        <item x="4"/>
        <item x="10"/>
        <item x="0"/>
        <item x="3"/>
        <item t="default"/>
      </items>
    </pivotField>
    <pivotField compact="0" numFmtId="174" outline="0" subtotalTop="0" showAll="0"/>
    <pivotField compact="0" numFmtId="171" outline="0" subtotalTop="0" showAll="0"/>
    <pivotField compact="0" outline="0" subtotalTop="0" showAll="0"/>
    <pivotField compact="0" outline="0" subtotalTop="0" showAll="0"/>
    <pivotField compact="0" outline="0" subtotalTop="0" showAll="0"/>
    <pivotField compact="0" numFmtId="1" outline="0" subtotalTop="0" showAll="0"/>
    <pivotField name="**Days Unverified" compact="0" outline="0" subtotalTop="0" showAll="0">
      <items count="4">
        <item x="0"/>
        <item x="1"/>
        <item x="2"/>
        <item t="default"/>
      </items>
    </pivotField>
    <pivotField compact="0" outline="0" subtotalTop="0" showAll="0"/>
  </pivotFields>
  <rowFields count="4">
    <field x="0"/>
    <field x="1"/>
    <field x="2"/>
    <field x="7"/>
  </rowFields>
  <rowItems count="42">
    <i>
      <x/>
      <x/>
      <x/>
      <x/>
    </i>
    <i r="3">
      <x v="2"/>
    </i>
    <i r="3">
      <x v="3"/>
    </i>
    <i r="3">
      <x v="4"/>
    </i>
    <i r="3">
      <x v="5"/>
    </i>
    <i r="3">
      <x v="6"/>
    </i>
    <i t="default">
      <x/>
    </i>
    <i>
      <x v="1"/>
      <x v="1"/>
      <x v="1"/>
      <x/>
    </i>
    <i r="3">
      <x v="7"/>
    </i>
    <i r="3">
      <x v="8"/>
    </i>
    <i r="3">
      <x v="10"/>
    </i>
    <i t="default">
      <x v="1"/>
    </i>
    <i>
      <x v="2"/>
      <x v="2"/>
      <x v="2"/>
      <x/>
    </i>
    <i r="3">
      <x v="9"/>
    </i>
    <i t="default">
      <x v="2"/>
    </i>
    <i>
      <x v="3"/>
      <x v="3"/>
      <x v="3"/>
      <x/>
    </i>
    <i r="3">
      <x v="6"/>
    </i>
    <i t="default">
      <x v="3"/>
    </i>
    <i>
      <x v="4"/>
      <x v="4"/>
      <x v="4"/>
      <x/>
    </i>
    <i r="3">
      <x v="10"/>
    </i>
    <i t="default">
      <x v="4"/>
    </i>
    <i>
      <x v="5"/>
      <x v="5"/>
      <x v="5"/>
      <x/>
    </i>
    <i t="default">
      <x v="5"/>
    </i>
    <i>
      <x v="6"/>
      <x v="6"/>
      <x v="6"/>
      <x/>
    </i>
    <i r="3">
      <x v="9"/>
    </i>
    <i t="default">
      <x v="6"/>
    </i>
    <i>
      <x v="7"/>
      <x v="7"/>
      <x v="7"/>
      <x/>
    </i>
    <i r="3">
      <x v="7"/>
    </i>
    <i r="3">
      <x v="10"/>
    </i>
    <i t="default">
      <x v="7"/>
    </i>
    <i>
      <x v="8"/>
      <x v="8"/>
      <x v="8"/>
      <x/>
    </i>
    <i r="3">
      <x v="9"/>
    </i>
    <i t="default">
      <x v="8"/>
    </i>
    <i>
      <x v="9"/>
      <x v="9"/>
      <x v="9"/>
      <x/>
    </i>
    <i r="3">
      <x v="5"/>
    </i>
    <i t="default">
      <x v="9"/>
    </i>
    <i>
      <x v="10"/>
      <x v="10"/>
      <x v="10"/>
      <x/>
    </i>
    <i r="3">
      <x v="10"/>
    </i>
    <i t="default">
      <x v="10"/>
    </i>
    <i>
      <x v="11"/>
      <x v="11"/>
      <x v="11"/>
      <x/>
    </i>
    <i r="3">
      <x v="1"/>
    </i>
    <i t="default">
      <x v="11"/>
    </i>
  </rowItems>
  <colItems count="1">
    <i/>
  </colItems>
  <pageFields count="1">
    <pageField fld="5" hier="-1"/>
  </pageFields>
  <dataFields count="1">
    <dataField name=" Unverified Days " fld="5" baseField="0" baseItem="0"/>
  </dataFields>
  <formats count="24">
    <format dxfId="52">
      <pivotArea dataOnly="0" labelOnly="1" outline="0" axis="axisValues" fieldPosition="0"/>
    </format>
    <format dxfId="51">
      <pivotArea dataOnly="0" labelOnly="1" outline="0" axis="axisValues"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grandRow="1" outline="0" fieldPosition="0"/>
    </format>
    <format dxfId="40">
      <pivotArea field="14" type="button" dataOnly="0" labelOnly="1" outline="0"/>
    </format>
    <format dxfId="39">
      <pivotArea field="0" type="button" dataOnly="0" labelOnly="1" outline="0" axis="axisRow" fieldPosition="0"/>
    </format>
    <format dxfId="38">
      <pivotArea field="1" type="button" dataOnly="0" labelOnly="1" outline="0" axis="axisRow" fieldPosition="1"/>
    </format>
    <format dxfId="37">
      <pivotArea field="2" type="button" dataOnly="0" labelOnly="1" outline="0" axis="axisRow" fieldPosition="2"/>
    </format>
    <format dxfId="36">
      <pivotArea field="14" type="button" dataOnly="0" labelOnly="1" outline="0"/>
    </format>
    <format dxfId="35">
      <pivotArea dataOnly="0" labelOnly="1" outline="0" axis="axisValues" fieldPosition="0"/>
    </format>
    <format dxfId="34">
      <pivotArea field="0" type="button" dataOnly="0" labelOnly="1" outline="0" axis="axisRow" fieldPosition="0"/>
    </format>
    <format dxfId="33">
      <pivotArea field="1" type="button" dataOnly="0" labelOnly="1" outline="0" axis="axisRow" fieldPosition="1"/>
    </format>
    <format dxfId="32">
      <pivotArea field="2" type="button" dataOnly="0" labelOnly="1" outline="0" axis="axisRow" fieldPosition="2"/>
    </format>
    <format dxfId="31">
      <pivotArea field="14" type="button" dataOnly="0" labelOnly="1" outline="0"/>
    </format>
    <format dxfId="30">
      <pivotArea dataOnly="0" labelOnly="1" outline="0" axis="axisValues" fieldPosition="0"/>
    </format>
    <format dxfId="29">
      <pivotArea dataOnly="0" labelOnly="1" outline="0" fieldPosition="0">
        <references count="1">
          <reference field="7" count="0"/>
        </references>
      </pivotArea>
    </format>
  </formats>
  <chartFormats count="1">
    <chartFormat chart="0" format="9" series="1">
      <pivotArea type="data" outline="0" fieldPosition="0"/>
    </chartFormat>
  </chartFormats>
  <pivotTableStyleInfo name="PivotStyleLightCustom" showRowHeaders="0" showColHeaders="1" showRowStripes="1" showColStripes="0" showLastColumn="1"/>
  <filters count="1">
    <filter fld="14" type="captionEqual" evalOrder="-1" id="3" stringValue1="1">
      <autoFilter ref="A1">
        <filterColumn colId="0">
          <filters>
            <filter val="1"/>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213" applyNumberFormats="0" applyBorderFormats="0" applyFontFormats="0" applyPatternFormats="0" applyAlignmentFormats="0" applyWidthHeightFormats="1" dataCaption="Data" updatedVersion="7" minRefreshableVersion="3" showDrill="0" showMemberPropertyTips="0" rowGrandTotals="0" colGrandTotals="0" itemPrintTitles="1" createdVersion="4" indent="0" compact="0" compactData="0" chartFormat="5">
  <location ref="A11:C26" firstHeaderRow="0" firstDataRow="1" firstDataCol="1"/>
  <pivotFields count="16">
    <pivotField compact="0" outline="0" subtotalTop="0" showAll="0">
      <items count="13">
        <item x="10"/>
        <item x="11"/>
        <item x="0"/>
        <item x="1"/>
        <item x="2"/>
        <item x="3"/>
        <item x="4"/>
        <item x="5"/>
        <item x="6"/>
        <item x="7"/>
        <item x="8"/>
        <item x="9"/>
        <item t="default"/>
      </items>
      <extLst>
        <ext xmlns:x14="http://schemas.microsoft.com/office/spreadsheetml/2009/9/main" uri="{2946ED86-A175-432a-8AC1-64E0C546D7DE}">
          <x14:pivotField fillDownLabels="1"/>
        </ext>
      </extLst>
    </pivotField>
    <pivotField compact="0" outline="0" subtotalTop="0" showAll="0" defaultSubtotal="0">
      <items count="12">
        <item x="10"/>
        <item x="11"/>
        <item x="0"/>
        <item x="1"/>
        <item x="2"/>
        <item x="3"/>
        <item x="4"/>
        <item x="5"/>
        <item x="6"/>
        <item x="7"/>
        <item x="8"/>
        <item x="9"/>
      </items>
      <extLst>
        <ext xmlns:x14="http://schemas.microsoft.com/office/spreadsheetml/2009/9/main" uri="{2946ED86-A175-432a-8AC1-64E0C546D7DE}">
          <x14:pivotField fillDownLabels="1"/>
        </ext>
      </extLst>
    </pivotField>
    <pivotField compact="0" outline="0" subtotalTop="0" showAll="0" defaultSubtotal="0">
      <items count="12">
        <item x="10"/>
        <item x="11"/>
        <item x="0"/>
        <item x="1"/>
        <item x="2"/>
        <item x="3"/>
        <item x="4"/>
        <item x="5"/>
        <item x="6"/>
        <item x="7"/>
        <item x="8"/>
        <item x="9"/>
      </items>
      <extLst>
        <ext xmlns:x14="http://schemas.microsoft.com/office/spreadsheetml/2009/9/main" uri="{2946ED86-A175-432a-8AC1-64E0C546D7DE}">
          <x14:pivotField fillDownLabels="1"/>
        </ext>
      </extLst>
    </pivotField>
    <pivotField compact="0" outline="0" subtotalTop="0" multipleItemSelectionAllowed="1" showAll="0"/>
    <pivotField compact="0" outline="0" subtotalTop="0" showAll="0"/>
    <pivotField dataField="1" compact="0" numFmtId="1" outline="0" subtotalTop="0" showAll="0"/>
    <pivotField dataField="1" compact="0" numFmtId="1" outline="0" subtotalTop="0" showAll="0"/>
    <pivotField compact="0" numFmtId="173" outline="0" subtotalTop="0" showAll="0" sortType="ascending"/>
    <pivotField axis="axisRow" compact="0" numFmtId="174" outline="0" subtotalTop="0" showAll="0" sortType="ascending">
      <items count="16">
        <item x="5"/>
        <item x="8"/>
        <item x="9"/>
        <item x="4"/>
        <item x="7"/>
        <item x="10"/>
        <item x="6"/>
        <item x="11"/>
        <item x="1"/>
        <item x="12"/>
        <item x="3"/>
        <item x="13"/>
        <item x="14"/>
        <item x="0"/>
        <item x="2"/>
        <item t="default"/>
      </items>
    </pivotField>
    <pivotField compact="0" numFmtId="171" outline="0" subtotalTop="0" showAll="0"/>
    <pivotField compact="0" outline="0" subtotalTop="0" showAll="0"/>
    <pivotField compact="0" outline="0" subtotalTop="0" showAll="0"/>
    <pivotField compact="0" outline="0" subtotalTop="0" showAll="0"/>
    <pivotField compact="0" numFmtId="1" outline="0" subtotalTop="0" showAll="0"/>
    <pivotField name="**Days Unverified" compact="0" outline="0" subtotalTop="0" showAll="0">
      <items count="4">
        <item x="0"/>
        <item x="1"/>
        <item x="2"/>
        <item t="default"/>
      </items>
    </pivotField>
    <pivotField compact="0" outline="0" subtotalTop="0" showAll="0"/>
  </pivotFields>
  <rowFields count="1">
    <field x="8"/>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Verified" fld="6" baseField="0" baseItem="0"/>
    <dataField name="**Unverified" fld="5" baseField="0" baseItem="0"/>
  </dataFields>
  <formats count="25">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grandRow="1" outline="0" fieldPosition="0"/>
    </format>
    <format dxfId="13">
      <pivotArea field="14" type="button" dataOnly="0" labelOnly="1" outline="0"/>
    </format>
    <format dxfId="12">
      <pivotArea field="0" type="button" dataOnly="0" labelOnly="1" outline="0"/>
    </format>
    <format dxfId="11">
      <pivotArea field="1" type="button" dataOnly="0" labelOnly="1" outline="0"/>
    </format>
    <format dxfId="10">
      <pivotArea field="2" type="button" dataOnly="0" labelOnly="1" outline="0"/>
    </format>
    <format dxfId="9">
      <pivotArea field="14" type="button" dataOnly="0" labelOnly="1" outline="0"/>
    </format>
    <format dxfId="8">
      <pivotArea dataOnly="0" labelOnly="1" outline="0" axis="axisValues" fieldPosition="0"/>
    </format>
    <format dxfId="7">
      <pivotArea field="0" type="button" dataOnly="0" labelOnly="1" outline="0"/>
    </format>
    <format dxfId="6">
      <pivotArea field="1" type="button" dataOnly="0" labelOnly="1" outline="0"/>
    </format>
    <format dxfId="5">
      <pivotArea field="2" type="button" dataOnly="0" labelOnly="1" outline="0"/>
    </format>
    <format dxfId="4">
      <pivotArea field="14" type="button" dataOnly="0" labelOnly="1" outline="0"/>
    </format>
    <format dxfId="3">
      <pivotArea dataOnly="0" labelOnly="1" outline="0" axis="axisValues" fieldPosition="0"/>
    </format>
    <format dxfId="2">
      <pivotArea dataOnly="0" outline="0" fieldPosition="0">
        <references count="1">
          <reference field="4294967294" count="2">
            <x v="0"/>
            <x v="1"/>
          </reference>
        </references>
      </pivotArea>
    </format>
    <format dxfId="1">
      <pivotArea dataOnly="0" labelOnly="1" outline="0" fieldPosition="0">
        <references count="1">
          <reference field="8" count="0"/>
        </references>
      </pivotArea>
    </format>
  </formats>
  <chartFormats count="5">
    <chartFormat chart="0" format="9" series="1">
      <pivotArea type="data" outline="0" fieldPosition="0"/>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4" format="24" series="1">
      <pivotArea type="data" outline="0" fieldPosition="0">
        <references count="1">
          <reference field="4294967294" count="1" selected="0">
            <x v="1"/>
          </reference>
        </references>
      </pivotArea>
    </chartFormat>
    <chartFormat chart="4" format="25" series="1">
      <pivotArea type="data" outline="0" fieldPosition="0">
        <references count="1">
          <reference field="4294967294" count="1" selected="0">
            <x v="0"/>
          </reference>
        </references>
      </pivotArea>
    </chartFormat>
  </chartFormats>
  <pivotTableStyleInfo name="PivotStyleLightCustom" showRowHeaders="0" showColHeaders="1" showRowStripes="1" showColStripes="0" showLastColumn="1"/>
  <filters count="1">
    <filter fld="14" type="captionEqual" evalOrder="-1" id="3" stringValue1="1">
      <autoFilter ref="A1">
        <filterColumn colId="0">
          <filters>
            <filter val="1"/>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10" name="PivotTable2"/>
  </pivotTables>
  <data>
    <tabular pivotCacheId="320959220">
      <items count="15">
        <i x="5" s="1"/>
        <i x="8" s="1"/>
        <i x="9" s="1"/>
        <i x="4" s="1"/>
        <i x="7" s="1"/>
        <i x="10" s="1"/>
        <i x="6" s="1"/>
        <i x="11" s="1"/>
        <i x="1" s="1"/>
        <i x="12" s="1"/>
        <i x="3" s="1"/>
        <i x="13" s="1"/>
        <i x="1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columnCount="15" style="SlicerStyleDark1 2" rowHeight="365760"/>
</slicers>
</file>

<file path=xl/theme/theme1.xml><?xml version="1.0" encoding="utf-8"?>
<a:theme xmlns:a="http://schemas.openxmlformats.org/drawingml/2006/main" name="Office Theme">
  <a:themeElements>
    <a:clrScheme name="Primary">
      <a:dk1>
        <a:sysClr val="windowText" lastClr="000000"/>
      </a:dk1>
      <a:lt1>
        <a:sysClr val="window" lastClr="FFFFFF"/>
      </a:lt1>
      <a:dk2>
        <a:srgbClr val="00B0F0"/>
      </a:dk2>
      <a:lt2>
        <a:srgbClr val="25477B"/>
      </a:lt2>
      <a:accent1>
        <a:srgbClr val="696A6C"/>
      </a:accent1>
      <a:accent2>
        <a:srgbClr val="92D050"/>
      </a:accent2>
      <a:accent3>
        <a:srgbClr val="FAD201"/>
      </a:accent3>
      <a:accent4>
        <a:srgbClr val="F7941E"/>
      </a:accent4>
      <a:accent5>
        <a:srgbClr val="FF0000"/>
      </a:accent5>
      <a:accent6>
        <a:srgbClr val="B95FE1"/>
      </a:accent6>
      <a:hlink>
        <a:srgbClr val="00B0F0"/>
      </a:hlink>
      <a:folHlink>
        <a:srgbClr val="0082E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zoomScaleNormal="100" workbookViewId="0">
      <pane ySplit="12" topLeftCell="A13" activePane="bottomLeft" state="frozen"/>
      <selection pane="bottomLeft"/>
    </sheetView>
  </sheetViews>
  <sheetFormatPr defaultColWidth="9.1796875" defaultRowHeight="12.5" x14ac:dyDescent="0.25"/>
  <cols>
    <col min="1" max="1" width="25.7265625" style="26" customWidth="1"/>
    <col min="2" max="3" width="25.7265625" style="27" customWidth="1"/>
    <col min="4" max="19" width="9.1796875" style="27" customWidth="1"/>
    <col min="20" max="24" width="9.1796875" style="27"/>
    <col min="25" max="16384" width="9.1796875" style="26"/>
  </cols>
  <sheetData>
    <row r="1" spans="1:35" s="43" customFormat="1" ht="25.5" customHeight="1" x14ac:dyDescent="0.65">
      <c r="A1" s="42" t="s">
        <v>256</v>
      </c>
      <c r="C1" s="37">
        <f>Data!B2</f>
        <v>44032.083333333336</v>
      </c>
      <c r="D1" s="63"/>
      <c r="E1" s="63"/>
      <c r="F1" s="63"/>
      <c r="G1" s="63"/>
      <c r="H1" s="63"/>
      <c r="I1" s="63"/>
      <c r="J1" s="63"/>
      <c r="K1" s="63"/>
      <c r="L1" s="63"/>
      <c r="M1" s="63"/>
      <c r="N1" s="63"/>
      <c r="O1" s="63"/>
      <c r="P1" s="63"/>
      <c r="Q1" s="63"/>
      <c r="R1" s="63"/>
      <c r="S1" s="63"/>
      <c r="T1" s="63"/>
      <c r="U1" s="63"/>
      <c r="V1" s="63"/>
      <c r="W1" s="63"/>
      <c r="X1" s="63"/>
    </row>
    <row r="2" spans="1:35" s="14" customFormat="1" ht="25.5" customHeight="1" x14ac:dyDescent="0.65">
      <c r="A2" s="44" t="str">
        <f>Data!B1</f>
        <v>ABC Company</v>
      </c>
      <c r="D2" s="64"/>
      <c r="E2" s="64"/>
      <c r="F2" s="64"/>
      <c r="G2" s="64"/>
      <c r="H2" s="64"/>
      <c r="I2" s="64"/>
      <c r="J2" s="64"/>
      <c r="K2" s="64"/>
      <c r="L2" s="64"/>
      <c r="M2" s="64"/>
      <c r="N2" s="64"/>
      <c r="O2" s="64"/>
      <c r="P2" s="64"/>
      <c r="Q2" s="64"/>
      <c r="R2" s="64"/>
      <c r="S2" s="64"/>
      <c r="T2" s="64"/>
      <c r="U2" s="64"/>
      <c r="V2" s="64"/>
      <c r="W2" s="64"/>
      <c r="X2" s="64"/>
    </row>
    <row r="3" spans="1:35" s="22" customFormat="1" ht="17.5" customHeight="1" x14ac:dyDescent="0.25">
      <c r="B3" s="23"/>
      <c r="C3" s="23"/>
      <c r="D3" s="23"/>
      <c r="E3" s="23"/>
      <c r="F3" s="23"/>
      <c r="G3" s="23"/>
      <c r="H3" s="23"/>
      <c r="I3" s="23"/>
      <c r="J3" s="23"/>
      <c r="K3" s="23"/>
      <c r="L3" s="23"/>
      <c r="M3" s="23"/>
      <c r="N3" s="23"/>
      <c r="O3" s="23"/>
      <c r="P3" s="23"/>
      <c r="Q3" s="23"/>
      <c r="R3" s="23"/>
      <c r="S3" s="23"/>
      <c r="T3" s="23"/>
      <c r="U3" s="23"/>
      <c r="V3" s="23"/>
      <c r="W3" s="23"/>
      <c r="X3" s="23"/>
    </row>
    <row r="4" spans="1:35" s="22" customFormat="1" ht="17.5" customHeight="1" x14ac:dyDescent="0.25">
      <c r="A4" s="76" t="str">
        <f>Report!A4</f>
        <v>**Date</v>
      </c>
      <c r="B4" s="76"/>
      <c r="C4" s="23"/>
      <c r="D4" s="24"/>
      <c r="E4" s="23"/>
      <c r="F4" s="23"/>
      <c r="G4" s="23"/>
      <c r="H4" s="23"/>
      <c r="I4" s="23"/>
      <c r="J4" s="23"/>
      <c r="K4" s="23"/>
      <c r="L4" s="23"/>
      <c r="M4" s="23"/>
      <c r="N4" s="23"/>
      <c r="O4" s="23"/>
      <c r="P4" s="23"/>
      <c r="Q4" s="23"/>
      <c r="R4" s="23"/>
      <c r="S4" s="23"/>
      <c r="T4" s="23"/>
      <c r="U4" s="23"/>
      <c r="V4" s="23"/>
      <c r="W4" s="23"/>
      <c r="X4" s="23"/>
    </row>
    <row r="5" spans="1:35" s="22" customFormat="1" ht="17.5" customHeight="1" x14ac:dyDescent="0.25">
      <c r="A5" s="29" t="str">
        <f>Report!A5</f>
        <v>**From</v>
      </c>
      <c r="B5" s="32">
        <f>Data!B3</f>
        <v>44013</v>
      </c>
      <c r="C5" s="23"/>
      <c r="D5" s="24"/>
      <c r="E5" s="23"/>
      <c r="F5" s="23"/>
      <c r="G5" s="23"/>
      <c r="H5" s="23"/>
      <c r="I5" s="23"/>
      <c r="J5" s="23"/>
      <c r="K5" s="23"/>
      <c r="L5" s="23"/>
      <c r="M5" s="23"/>
      <c r="N5" s="23"/>
      <c r="O5" s="23"/>
      <c r="P5" s="23"/>
      <c r="Q5" s="23"/>
      <c r="R5" s="23"/>
      <c r="S5" s="23"/>
      <c r="T5" s="23"/>
      <c r="U5" s="65"/>
      <c r="V5" s="23"/>
      <c r="W5" s="23"/>
      <c r="X5" s="23"/>
    </row>
    <row r="6" spans="1:35" s="22" customFormat="1" ht="17.5" customHeight="1" x14ac:dyDescent="0.25">
      <c r="A6" s="29" t="str">
        <f>Report!A6</f>
        <v>**To</v>
      </c>
      <c r="B6" s="32">
        <f>Data!B4</f>
        <v>44032</v>
      </c>
      <c r="C6" s="23"/>
      <c r="D6" s="24"/>
      <c r="E6" s="23"/>
      <c r="F6" s="23"/>
      <c r="G6" s="23"/>
      <c r="H6" s="23"/>
      <c r="I6" s="23"/>
      <c r="J6" s="23"/>
      <c r="K6" s="23"/>
      <c r="L6" s="23"/>
      <c r="M6" s="23"/>
      <c r="N6" s="23"/>
      <c r="O6" s="23"/>
      <c r="P6" s="23"/>
      <c r="Q6" s="23"/>
      <c r="R6" s="23"/>
      <c r="S6" s="23"/>
      <c r="T6" s="23"/>
      <c r="U6" s="65"/>
      <c r="V6" s="23"/>
      <c r="W6" s="23"/>
      <c r="X6" s="23"/>
    </row>
    <row r="7" spans="1:35" s="22" customFormat="1" ht="17.5" customHeight="1" x14ac:dyDescent="0.25">
      <c r="A7" s="29" t="str">
        <f>Report!A7</f>
        <v>**Days</v>
      </c>
      <c r="B7" s="33">
        <f>B6-B5</f>
        <v>19</v>
      </c>
      <c r="C7" s="23"/>
      <c r="D7" s="24"/>
      <c r="E7" s="23"/>
      <c r="F7" s="23"/>
      <c r="G7" s="23"/>
      <c r="H7" s="23"/>
      <c r="I7" s="23"/>
      <c r="J7" s="23"/>
      <c r="K7" s="23"/>
      <c r="L7" s="23"/>
      <c r="M7" s="65"/>
      <c r="N7" s="23"/>
      <c r="O7" s="23"/>
      <c r="P7" s="23"/>
      <c r="Q7" s="23"/>
      <c r="R7" s="23"/>
      <c r="S7" s="23"/>
      <c r="T7" s="23"/>
      <c r="U7" s="23"/>
      <c r="V7" s="23"/>
      <c r="W7" s="23"/>
      <c r="X7" s="23"/>
    </row>
    <row r="8" spans="1:35" s="22" customFormat="1" ht="17.5" customHeight="1" x14ac:dyDescent="0.25">
      <c r="A8" s="16"/>
      <c r="B8" s="17"/>
      <c r="C8" s="23"/>
      <c r="D8" s="24"/>
      <c r="E8" s="23"/>
    </row>
    <row r="9" spans="1:35" s="22" customFormat="1" ht="17.5" customHeight="1" x14ac:dyDescent="0.25">
      <c r="A9" s="66" t="s">
        <v>236</v>
      </c>
      <c r="B9" s="29" t="str">
        <f>Data!B5</f>
        <v>America/New_York</v>
      </c>
      <c r="C9" s="23"/>
      <c r="D9" s="24"/>
      <c r="E9" s="23"/>
    </row>
    <row r="10" spans="1:35" s="25" customFormat="1" ht="17.5" customHeight="1" x14ac:dyDescent="0.25">
      <c r="A10" s="16"/>
      <c r="B10" s="17"/>
      <c r="C10" s="23"/>
      <c r="D10" s="35"/>
      <c r="E10" s="36"/>
      <c r="F10" s="36"/>
      <c r="G10" s="36"/>
      <c r="H10" s="36"/>
      <c r="I10" s="36"/>
      <c r="J10" s="36"/>
      <c r="K10" s="36"/>
      <c r="L10" s="36"/>
      <c r="M10" s="36"/>
      <c r="N10" s="36"/>
      <c r="O10" s="36"/>
      <c r="P10" s="36"/>
      <c r="Q10" s="36"/>
      <c r="R10" s="36"/>
      <c r="S10" s="36"/>
      <c r="T10" s="36"/>
      <c r="U10" s="36"/>
      <c r="V10" s="36"/>
      <c r="W10" s="36"/>
      <c r="X10" s="36"/>
    </row>
    <row r="11" spans="1:35" s="38" customFormat="1" ht="17.5" hidden="1" x14ac:dyDescent="0.45">
      <c r="A11" s="67" t="s">
        <v>267</v>
      </c>
      <c r="B11" s="68"/>
      <c r="C11" s="68"/>
      <c r="D11" s="67" t="s">
        <v>43</v>
      </c>
      <c r="E11" s="71"/>
      <c r="F11" s="71"/>
      <c r="G11" s="71"/>
      <c r="H11" s="71"/>
      <c r="I11" s="71"/>
      <c r="J11" s="71"/>
      <c r="K11" s="71"/>
      <c r="L11" s="71"/>
      <c r="M11" s="71"/>
      <c r="N11" s="71"/>
      <c r="O11" s="71"/>
      <c r="P11" s="71"/>
      <c r="Q11" s="71"/>
      <c r="R11" s="71"/>
      <c r="S11" s="71"/>
      <c r="T11" s="34"/>
      <c r="U11" s="34"/>
      <c r="V11" s="34"/>
      <c r="W11" s="34"/>
      <c r="X11" s="34"/>
      <c r="Y11"/>
      <c r="Z11"/>
      <c r="AA11"/>
      <c r="AB11"/>
      <c r="AC11"/>
      <c r="AD11"/>
      <c r="AE11"/>
      <c r="AF11"/>
      <c r="AG11"/>
      <c r="AH11"/>
      <c r="AI11"/>
    </row>
    <row r="12" spans="1:35" s="28" customFormat="1" ht="17.5" x14ac:dyDescent="0.45">
      <c r="A12" s="70" t="s">
        <v>28</v>
      </c>
      <c r="B12" s="70" t="s">
        <v>106</v>
      </c>
      <c r="C12" s="70" t="s">
        <v>111</v>
      </c>
      <c r="D12" s="72">
        <v>44013</v>
      </c>
      <c r="E12" s="72">
        <v>44015</v>
      </c>
      <c r="F12" s="72">
        <v>44017</v>
      </c>
      <c r="G12" s="72">
        <v>44019</v>
      </c>
      <c r="H12" s="72">
        <v>44020</v>
      </c>
      <c r="I12" s="72">
        <v>44023</v>
      </c>
      <c r="J12" s="72">
        <v>44024</v>
      </c>
      <c r="K12" s="72">
        <v>44025</v>
      </c>
      <c r="L12" s="72">
        <v>44026</v>
      </c>
      <c r="M12" s="72">
        <v>44027</v>
      </c>
      <c r="N12" s="72">
        <v>44028</v>
      </c>
      <c r="O12" s="72">
        <v>44029</v>
      </c>
      <c r="P12" s="72">
        <v>44030</v>
      </c>
      <c r="Q12" s="72">
        <v>44031</v>
      </c>
      <c r="R12" s="72">
        <v>44032</v>
      </c>
      <c r="S12" s="72" t="s">
        <v>331</v>
      </c>
      <c r="T12" s="34"/>
      <c r="U12" s="34"/>
      <c r="V12" s="34"/>
      <c r="W12" s="34"/>
      <c r="X12" s="34"/>
      <c r="Y12"/>
      <c r="Z12"/>
      <c r="AA12"/>
      <c r="AB12"/>
      <c r="AC12"/>
      <c r="AD12"/>
      <c r="AE12"/>
      <c r="AF12"/>
      <c r="AG12"/>
      <c r="AH12"/>
      <c r="AI12"/>
    </row>
    <row r="13" spans="1:35" s="28" customFormat="1" ht="16.5" x14ac:dyDescent="0.45">
      <c r="A13" s="68" t="s">
        <v>124</v>
      </c>
      <c r="B13" s="68" t="s">
        <v>322</v>
      </c>
      <c r="C13" s="68" t="s">
        <v>323</v>
      </c>
      <c r="D13" s="69"/>
      <c r="E13" s="69">
        <v>1</v>
      </c>
      <c r="F13" s="69">
        <v>0</v>
      </c>
      <c r="G13" s="69">
        <v>1</v>
      </c>
      <c r="H13" s="69">
        <v>0</v>
      </c>
      <c r="I13" s="69">
        <v>1</v>
      </c>
      <c r="J13" s="69">
        <v>1</v>
      </c>
      <c r="K13" s="69">
        <v>0</v>
      </c>
      <c r="L13" s="69">
        <v>1</v>
      </c>
      <c r="M13" s="69">
        <v>0</v>
      </c>
      <c r="N13" s="69"/>
      <c r="O13" s="69"/>
      <c r="P13" s="69"/>
      <c r="Q13" s="69"/>
      <c r="R13" s="69"/>
      <c r="S13" s="69">
        <v>5</v>
      </c>
      <c r="T13" s="34"/>
      <c r="U13" s="34"/>
      <c r="V13" s="34"/>
      <c r="W13" s="34"/>
      <c r="X13" s="34"/>
      <c r="Y13"/>
      <c r="Z13"/>
      <c r="AA13"/>
      <c r="AB13"/>
      <c r="AC13"/>
      <c r="AD13"/>
      <c r="AE13"/>
      <c r="AF13"/>
      <c r="AG13"/>
      <c r="AH13"/>
      <c r="AI13"/>
    </row>
    <row r="14" spans="1:35" s="28" customFormat="1" ht="16.5" x14ac:dyDescent="0.45">
      <c r="A14" s="68" t="s">
        <v>125</v>
      </c>
      <c r="B14" s="68" t="s">
        <v>325</v>
      </c>
      <c r="C14" s="68" t="s">
        <v>326</v>
      </c>
      <c r="D14" s="69">
        <v>0</v>
      </c>
      <c r="E14" s="69"/>
      <c r="F14" s="69"/>
      <c r="G14" s="69"/>
      <c r="H14" s="69"/>
      <c r="I14" s="69"/>
      <c r="J14" s="69"/>
      <c r="K14" s="69"/>
      <c r="L14" s="69"/>
      <c r="M14" s="69">
        <v>0</v>
      </c>
      <c r="N14" s="69">
        <v>1</v>
      </c>
      <c r="O14" s="69">
        <v>0</v>
      </c>
      <c r="P14" s="69">
        <v>1</v>
      </c>
      <c r="Q14" s="69"/>
      <c r="R14" s="69">
        <v>1</v>
      </c>
      <c r="S14" s="69">
        <v>3</v>
      </c>
      <c r="T14" s="34"/>
      <c r="U14" s="34"/>
      <c r="V14" s="34"/>
      <c r="W14" s="34"/>
      <c r="X14" s="34"/>
      <c r="Y14"/>
      <c r="Z14"/>
      <c r="AA14"/>
      <c r="AB14"/>
      <c r="AC14"/>
      <c r="AD14"/>
      <c r="AE14"/>
      <c r="AF14"/>
      <c r="AG14"/>
      <c r="AH14"/>
      <c r="AI14"/>
    </row>
    <row r="15" spans="1:35" s="28" customFormat="1" ht="16.5" x14ac:dyDescent="0.45">
      <c r="A15" s="68" t="s">
        <v>277</v>
      </c>
      <c r="B15" s="68" t="s">
        <v>306</v>
      </c>
      <c r="C15" s="68" t="s">
        <v>307</v>
      </c>
      <c r="D15" s="69"/>
      <c r="E15" s="69"/>
      <c r="F15" s="69"/>
      <c r="G15" s="69">
        <v>0</v>
      </c>
      <c r="H15" s="69"/>
      <c r="I15" s="69"/>
      <c r="J15" s="69"/>
      <c r="K15" s="69"/>
      <c r="L15" s="69"/>
      <c r="M15" s="69"/>
      <c r="N15" s="69">
        <v>1</v>
      </c>
      <c r="O15" s="69"/>
      <c r="P15" s="69"/>
      <c r="Q15" s="69"/>
      <c r="R15" s="69">
        <v>1</v>
      </c>
      <c r="S15" s="69">
        <v>2</v>
      </c>
      <c r="T15" s="34"/>
      <c r="U15" s="34"/>
      <c r="V15" s="34"/>
      <c r="W15" s="34"/>
      <c r="X15" s="34"/>
      <c r="Y15"/>
      <c r="Z15"/>
      <c r="AA15"/>
      <c r="AB15"/>
      <c r="AC15"/>
      <c r="AD15"/>
      <c r="AE15"/>
      <c r="AF15"/>
      <c r="AG15"/>
      <c r="AH15"/>
      <c r="AI15"/>
    </row>
    <row r="16" spans="1:35" s="28" customFormat="1" ht="16.5" x14ac:dyDescent="0.45">
      <c r="A16" s="68" t="s">
        <v>279</v>
      </c>
      <c r="B16" s="68" t="s">
        <v>312</v>
      </c>
      <c r="C16" s="68" t="s">
        <v>313</v>
      </c>
      <c r="D16" s="69"/>
      <c r="E16" s="69"/>
      <c r="F16" s="69"/>
      <c r="G16" s="69"/>
      <c r="H16" s="69"/>
      <c r="I16" s="69"/>
      <c r="J16" s="69">
        <v>1</v>
      </c>
      <c r="K16" s="69"/>
      <c r="L16" s="69"/>
      <c r="M16" s="69"/>
      <c r="N16" s="69"/>
      <c r="O16" s="69"/>
      <c r="P16" s="69"/>
      <c r="Q16" s="69"/>
      <c r="R16" s="69"/>
      <c r="S16" s="69">
        <v>1</v>
      </c>
      <c r="T16" s="34"/>
      <c r="U16" s="34"/>
      <c r="V16" s="34"/>
      <c r="W16" s="34"/>
      <c r="X16" s="34"/>
      <c r="Y16"/>
      <c r="Z16"/>
      <c r="AA16"/>
      <c r="AB16"/>
      <c r="AC16"/>
      <c r="AD16"/>
      <c r="AE16"/>
      <c r="AF16"/>
      <c r="AG16"/>
      <c r="AH16"/>
      <c r="AI16"/>
    </row>
    <row r="17" spans="1:35" s="28" customFormat="1" ht="16.5" x14ac:dyDescent="0.45">
      <c r="A17" s="68" t="s">
        <v>276</v>
      </c>
      <c r="B17" s="68" t="s">
        <v>303</v>
      </c>
      <c r="C17" s="68" t="s">
        <v>304</v>
      </c>
      <c r="D17" s="69"/>
      <c r="E17" s="69"/>
      <c r="F17" s="69"/>
      <c r="G17" s="69"/>
      <c r="H17" s="69"/>
      <c r="I17" s="69"/>
      <c r="J17" s="69"/>
      <c r="K17" s="69"/>
      <c r="L17" s="69"/>
      <c r="M17" s="69"/>
      <c r="N17" s="69"/>
      <c r="O17" s="69"/>
      <c r="P17" s="69"/>
      <c r="Q17" s="69">
        <v>1</v>
      </c>
      <c r="R17" s="69"/>
      <c r="S17" s="69">
        <v>1</v>
      </c>
      <c r="T17" s="34"/>
      <c r="U17" s="34"/>
      <c r="V17" s="34"/>
      <c r="W17" s="34"/>
      <c r="X17" s="34"/>
      <c r="Y17"/>
      <c r="Z17"/>
      <c r="AA17"/>
      <c r="AB17"/>
      <c r="AC17"/>
      <c r="AD17"/>
      <c r="AE17"/>
      <c r="AF17"/>
      <c r="AG17"/>
      <c r="AH17"/>
      <c r="AI17"/>
    </row>
    <row r="18" spans="1:35" s="28" customFormat="1" ht="16.5" x14ac:dyDescent="0.45">
      <c r="A18" s="68" t="s">
        <v>273</v>
      </c>
      <c r="B18" s="68" t="s">
        <v>294</v>
      </c>
      <c r="C18" s="68" t="s">
        <v>295</v>
      </c>
      <c r="D18" s="69"/>
      <c r="E18" s="69"/>
      <c r="F18" s="69"/>
      <c r="G18" s="69"/>
      <c r="H18" s="69"/>
      <c r="I18" s="69"/>
      <c r="J18" s="69"/>
      <c r="K18" s="69"/>
      <c r="L18" s="69">
        <v>1</v>
      </c>
      <c r="M18" s="69"/>
      <c r="N18" s="69"/>
      <c r="O18" s="69"/>
      <c r="P18" s="69"/>
      <c r="Q18" s="69"/>
      <c r="R18" s="69"/>
      <c r="S18" s="69">
        <v>1</v>
      </c>
      <c r="T18" s="34"/>
      <c r="U18" s="34"/>
      <c r="V18" s="34"/>
      <c r="W18" s="34"/>
      <c r="X18" s="34"/>
      <c r="Y18"/>
      <c r="Z18"/>
      <c r="AA18"/>
      <c r="AB18"/>
      <c r="AC18"/>
      <c r="AD18"/>
      <c r="AE18"/>
      <c r="AF18"/>
      <c r="AG18"/>
      <c r="AH18"/>
      <c r="AI18"/>
    </row>
    <row r="19" spans="1:35" s="28" customFormat="1" ht="16.5" x14ac:dyDescent="0.45">
      <c r="A19" s="68" t="s">
        <v>278</v>
      </c>
      <c r="B19" s="68" t="s">
        <v>309</v>
      </c>
      <c r="C19" s="68" t="s">
        <v>310</v>
      </c>
      <c r="D19" s="69">
        <v>0</v>
      </c>
      <c r="E19" s="69"/>
      <c r="F19" s="69"/>
      <c r="G19" s="69"/>
      <c r="H19" s="69"/>
      <c r="I19" s="69"/>
      <c r="J19" s="69"/>
      <c r="K19" s="69"/>
      <c r="L19" s="69"/>
      <c r="M19" s="69"/>
      <c r="N19" s="69"/>
      <c r="O19" s="69"/>
      <c r="P19" s="69"/>
      <c r="Q19" s="69">
        <v>1</v>
      </c>
      <c r="R19" s="69"/>
      <c r="S19" s="69">
        <v>1</v>
      </c>
      <c r="T19" s="34"/>
      <c r="U19" s="34"/>
      <c r="V19" s="34"/>
      <c r="W19" s="34"/>
      <c r="X19" s="34"/>
      <c r="Y19"/>
      <c r="Z19"/>
      <c r="AA19"/>
      <c r="AB19"/>
      <c r="AC19"/>
      <c r="AD19"/>
      <c r="AE19"/>
      <c r="AF19"/>
      <c r="AG19"/>
      <c r="AH19"/>
      <c r="AI19"/>
    </row>
    <row r="20" spans="1:35" s="28" customFormat="1" ht="16.5" x14ac:dyDescent="0.45">
      <c r="A20" s="68" t="s">
        <v>274</v>
      </c>
      <c r="B20" s="68" t="s">
        <v>297</v>
      </c>
      <c r="C20" s="68" t="s">
        <v>298</v>
      </c>
      <c r="D20" s="69"/>
      <c r="E20" s="69"/>
      <c r="F20" s="69"/>
      <c r="G20" s="69"/>
      <c r="H20" s="69"/>
      <c r="I20" s="69"/>
      <c r="J20" s="69"/>
      <c r="K20" s="69"/>
      <c r="L20" s="69"/>
      <c r="M20" s="69"/>
      <c r="N20" s="69"/>
      <c r="O20" s="69"/>
      <c r="P20" s="69"/>
      <c r="Q20" s="69"/>
      <c r="R20" s="69">
        <v>1</v>
      </c>
      <c r="S20" s="69">
        <v>1</v>
      </c>
      <c r="T20" s="34"/>
      <c r="U20" s="34"/>
      <c r="V20" s="34"/>
      <c r="W20" s="34"/>
      <c r="X20" s="34"/>
      <c r="Y20"/>
      <c r="Z20"/>
      <c r="AA20"/>
      <c r="AB20"/>
      <c r="AC20"/>
      <c r="AD20"/>
      <c r="AE20"/>
      <c r="AF20"/>
      <c r="AG20"/>
      <c r="AH20"/>
      <c r="AI20"/>
    </row>
    <row r="21" spans="1:35" s="28" customFormat="1" ht="16.5" x14ac:dyDescent="0.45">
      <c r="A21" s="68" t="s">
        <v>272</v>
      </c>
      <c r="B21" s="68" t="s">
        <v>291</v>
      </c>
      <c r="C21" s="68" t="s">
        <v>292</v>
      </c>
      <c r="D21" s="69"/>
      <c r="E21" s="69"/>
      <c r="F21" s="69"/>
      <c r="G21" s="69"/>
      <c r="H21" s="69"/>
      <c r="I21" s="69"/>
      <c r="J21" s="69"/>
      <c r="K21" s="69"/>
      <c r="L21" s="69"/>
      <c r="M21" s="69"/>
      <c r="N21" s="69"/>
      <c r="O21" s="69"/>
      <c r="P21" s="69"/>
      <c r="Q21" s="69">
        <v>1</v>
      </c>
      <c r="R21" s="69"/>
      <c r="S21" s="69">
        <v>1</v>
      </c>
      <c r="T21" s="34"/>
      <c r="U21" s="34"/>
      <c r="V21" s="34"/>
      <c r="W21" s="34"/>
      <c r="X21" s="34"/>
      <c r="Y21"/>
      <c r="Z21"/>
      <c r="AA21"/>
      <c r="AB21"/>
      <c r="AC21"/>
      <c r="AD21"/>
      <c r="AE21"/>
      <c r="AF21"/>
      <c r="AG21"/>
      <c r="AH21"/>
      <c r="AI21"/>
    </row>
    <row r="22" spans="1:35" s="28" customFormat="1" ht="16.5" x14ac:dyDescent="0.45">
      <c r="A22" s="68" t="s">
        <v>280</v>
      </c>
      <c r="B22" s="68" t="s">
        <v>315</v>
      </c>
      <c r="C22" s="68" t="s">
        <v>316</v>
      </c>
      <c r="D22" s="69"/>
      <c r="E22" s="69"/>
      <c r="F22" s="69"/>
      <c r="G22" s="69"/>
      <c r="H22" s="69"/>
      <c r="I22" s="69"/>
      <c r="J22" s="69"/>
      <c r="K22" s="69"/>
      <c r="L22" s="69"/>
      <c r="M22" s="69"/>
      <c r="N22" s="69"/>
      <c r="O22" s="69"/>
      <c r="P22" s="69"/>
      <c r="Q22" s="69"/>
      <c r="R22" s="69">
        <v>1</v>
      </c>
      <c r="S22" s="69">
        <v>1</v>
      </c>
      <c r="T22" s="34"/>
      <c r="U22" s="34"/>
      <c r="V22" s="34"/>
      <c r="W22" s="34"/>
      <c r="X22" s="34"/>
      <c r="Y22"/>
      <c r="Z22"/>
      <c r="AA22"/>
      <c r="AB22"/>
      <c r="AC22"/>
      <c r="AD22"/>
      <c r="AE22"/>
      <c r="AF22"/>
      <c r="AG22"/>
      <c r="AH22"/>
      <c r="AI22"/>
    </row>
    <row r="23" spans="1:35" s="28" customFormat="1" ht="16.5" x14ac:dyDescent="0.45">
      <c r="A23" s="68" t="s">
        <v>320</v>
      </c>
      <c r="B23" s="68" t="s">
        <v>318</v>
      </c>
      <c r="C23" s="68" t="s">
        <v>319</v>
      </c>
      <c r="D23" s="69">
        <v>1</v>
      </c>
      <c r="E23" s="69"/>
      <c r="F23" s="69"/>
      <c r="G23" s="69"/>
      <c r="H23" s="69"/>
      <c r="I23" s="69"/>
      <c r="J23" s="69"/>
      <c r="K23" s="69"/>
      <c r="L23" s="69"/>
      <c r="M23" s="69"/>
      <c r="N23" s="69"/>
      <c r="O23" s="69"/>
      <c r="P23" s="69"/>
      <c r="Q23" s="69"/>
      <c r="R23" s="69"/>
      <c r="S23" s="69">
        <v>1</v>
      </c>
      <c r="T23" s="34"/>
      <c r="U23" s="34"/>
      <c r="V23" s="34"/>
      <c r="W23" s="34"/>
      <c r="X23" s="34"/>
      <c r="Y23"/>
      <c r="Z23"/>
      <c r="AA23"/>
      <c r="AB23"/>
      <c r="AC23"/>
      <c r="AD23"/>
      <c r="AE23"/>
      <c r="AF23"/>
      <c r="AG23"/>
      <c r="AH23"/>
      <c r="AI23"/>
    </row>
    <row r="24" spans="1:35" s="28" customFormat="1" ht="16.5" x14ac:dyDescent="0.45">
      <c r="A24" s="68" t="s">
        <v>275</v>
      </c>
      <c r="B24" s="68" t="s">
        <v>300</v>
      </c>
      <c r="C24" s="68" t="s">
        <v>301</v>
      </c>
      <c r="D24" s="69"/>
      <c r="E24" s="69"/>
      <c r="F24" s="69"/>
      <c r="G24" s="69"/>
      <c r="H24" s="69"/>
      <c r="I24" s="69"/>
      <c r="J24" s="69"/>
      <c r="K24" s="69"/>
      <c r="L24" s="69"/>
      <c r="M24" s="69"/>
      <c r="N24" s="69">
        <v>0</v>
      </c>
      <c r="O24" s="69"/>
      <c r="P24" s="69"/>
      <c r="Q24" s="69"/>
      <c r="R24" s="69"/>
      <c r="S24" s="69">
        <v>0</v>
      </c>
      <c r="T24" s="34"/>
      <c r="U24" s="34"/>
      <c r="V24" s="34"/>
      <c r="W24" s="34"/>
      <c r="X24" s="34"/>
      <c r="Y24"/>
      <c r="Z24"/>
      <c r="AA24"/>
      <c r="AB24"/>
      <c r="AC24"/>
      <c r="AD24"/>
      <c r="AE24"/>
      <c r="AF24"/>
      <c r="AG24"/>
      <c r="AH24"/>
      <c r="AI24"/>
    </row>
    <row r="25" spans="1:35" s="28" customFormat="1" ht="16.5" customHeight="1" x14ac:dyDescent="0.25">
      <c r="A25"/>
      <c r="B25"/>
      <c r="C25"/>
      <c r="D25" s="34"/>
      <c r="E25" s="34"/>
      <c r="F25" s="34"/>
      <c r="G25" s="34"/>
      <c r="H25" s="34"/>
      <c r="I25" s="34"/>
      <c r="J25" s="34"/>
      <c r="K25" s="34"/>
      <c r="L25" s="34"/>
      <c r="M25" s="34"/>
      <c r="N25" s="34"/>
      <c r="O25" s="34"/>
      <c r="P25" s="34"/>
      <c r="Q25" s="34"/>
      <c r="R25" s="34"/>
      <c r="S25" s="34"/>
      <c r="T25" s="34"/>
      <c r="U25" s="34"/>
      <c r="V25" s="34"/>
      <c r="W25" s="34"/>
      <c r="X25" s="34"/>
      <c r="Y25"/>
      <c r="Z25"/>
      <c r="AA25"/>
      <c r="AB25"/>
      <c r="AC25"/>
      <c r="AD25"/>
      <c r="AE25"/>
      <c r="AF25"/>
      <c r="AG25"/>
      <c r="AH25"/>
      <c r="AI25"/>
    </row>
    <row r="26" spans="1:35" s="28" customFormat="1" ht="16.5" customHeight="1" x14ac:dyDescent="0.25">
      <c r="A26"/>
      <c r="B26"/>
      <c r="C26"/>
      <c r="D26" s="34"/>
      <c r="E26" s="34"/>
      <c r="F26" s="34"/>
      <c r="G26" s="34"/>
      <c r="H26" s="34"/>
      <c r="I26" s="34"/>
      <c r="J26" s="34"/>
      <c r="K26" s="34"/>
      <c r="L26" s="34"/>
      <c r="M26" s="34"/>
      <c r="N26" s="34"/>
      <c r="O26" s="34"/>
      <c r="P26" s="34"/>
      <c r="Q26" s="34"/>
      <c r="R26" s="34"/>
      <c r="S26" s="34"/>
      <c r="T26" s="34"/>
      <c r="U26" s="34"/>
      <c r="V26" s="34"/>
      <c r="W26" s="34"/>
      <c r="X26" s="34"/>
      <c r="Y26"/>
      <c r="Z26"/>
      <c r="AA26"/>
      <c r="AB26"/>
      <c r="AC26"/>
      <c r="AD26"/>
      <c r="AE26"/>
      <c r="AF26"/>
      <c r="AG26"/>
      <c r="AH26"/>
      <c r="AI26"/>
    </row>
  </sheetData>
  <mergeCells count="1">
    <mergeCell ref="A4:B4"/>
  </mergeCells>
  <conditionalFormatting pivot="1" sqref="D13:R24">
    <cfRule type="cellIs" dxfId="79" priority="3" operator="equal">
      <formula>1</formula>
    </cfRule>
  </conditionalFormatting>
  <conditionalFormatting pivot="1" sqref="D13:R24">
    <cfRule type="aboveAverage" dxfId="78" priority="2" aboveAverage="0"/>
  </conditionalFormatting>
  <conditionalFormatting pivot="1" sqref="D13:S24">
    <cfRule type="containsBlanks" dxfId="77" priority="1">
      <formula>LEN(TRIM(D13))=0</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abSelected="1" zoomScaleNormal="100" workbookViewId="0">
      <pane ySplit="13" topLeftCell="A14" activePane="bottomLeft" state="frozen"/>
      <selection pane="bottomLeft"/>
    </sheetView>
  </sheetViews>
  <sheetFormatPr defaultColWidth="9.1796875" defaultRowHeight="12.5" x14ac:dyDescent="0.25"/>
  <cols>
    <col min="1" max="1" width="25.7265625" style="26" customWidth="1"/>
    <col min="2" max="3" width="25.7265625" style="27" customWidth="1"/>
    <col min="4" max="4" width="40.7265625" style="27" customWidth="1"/>
    <col min="5" max="5" width="25.54296875" style="27" bestFit="1" customWidth="1"/>
    <col min="6" max="6" width="32.26953125" style="26" bestFit="1" customWidth="1"/>
    <col min="7" max="16384" width="9.1796875" style="26"/>
  </cols>
  <sheetData>
    <row r="1" spans="1:6" s="43" customFormat="1" ht="25.5" customHeight="1" x14ac:dyDescent="0.65">
      <c r="A1" s="42" t="s">
        <v>256</v>
      </c>
      <c r="C1" s="37">
        <f>Data!B2</f>
        <v>44032.083333333336</v>
      </c>
    </row>
    <row r="2" spans="1:6" s="14" customFormat="1" ht="25.5" customHeight="1" x14ac:dyDescent="0.65">
      <c r="A2" s="44" t="str">
        <f>Data!B1</f>
        <v>ABC Company</v>
      </c>
    </row>
    <row r="3" spans="1:6" s="22" customFormat="1" ht="17.5" customHeight="1" x14ac:dyDescent="0.25">
      <c r="B3" s="23"/>
      <c r="C3" s="23"/>
      <c r="D3" s="23"/>
      <c r="E3" s="23"/>
    </row>
    <row r="4" spans="1:6" s="22" customFormat="1" ht="17.5" customHeight="1" x14ac:dyDescent="0.25">
      <c r="A4" s="76" t="str">
        <f>Report!A4</f>
        <v>**Date</v>
      </c>
      <c r="B4" s="76"/>
      <c r="C4" s="23"/>
      <c r="D4" s="24"/>
      <c r="E4" s="23"/>
    </row>
    <row r="5" spans="1:6" s="22" customFormat="1" ht="17.5" customHeight="1" x14ac:dyDescent="0.25">
      <c r="A5" s="29" t="str">
        <f>Report!A5</f>
        <v>**From</v>
      </c>
      <c r="B5" s="32">
        <f>Data!B3</f>
        <v>44013</v>
      </c>
      <c r="C5" s="23"/>
      <c r="D5" s="24"/>
      <c r="E5" s="23"/>
    </row>
    <row r="6" spans="1:6" s="22" customFormat="1" ht="17.5" customHeight="1" x14ac:dyDescent="0.25">
      <c r="A6" s="29" t="str">
        <f>Report!A6</f>
        <v>**To</v>
      </c>
      <c r="B6" s="32">
        <f>Data!B4</f>
        <v>44032</v>
      </c>
      <c r="C6" s="23"/>
      <c r="D6" s="24"/>
      <c r="E6" s="23"/>
    </row>
    <row r="7" spans="1:6" s="22" customFormat="1" ht="17.5" customHeight="1" x14ac:dyDescent="0.25">
      <c r="A7" s="29" t="str">
        <f>Report!A7</f>
        <v>**Days</v>
      </c>
      <c r="B7" s="33">
        <f>B6-B5</f>
        <v>19</v>
      </c>
      <c r="C7" s="23"/>
      <c r="D7" s="24"/>
      <c r="E7" s="23"/>
    </row>
    <row r="8" spans="1:6" s="22" customFormat="1" ht="17.5" customHeight="1" x14ac:dyDescent="0.25">
      <c r="A8" s="16"/>
      <c r="B8" s="17"/>
      <c r="C8" s="23"/>
      <c r="D8" s="24"/>
      <c r="E8" s="23"/>
    </row>
    <row r="9" spans="1:6" s="22" customFormat="1" ht="17.5" customHeight="1" x14ac:dyDescent="0.25">
      <c r="A9" s="66" t="s">
        <v>236</v>
      </c>
      <c r="B9" s="29" t="str">
        <f>Data!B5</f>
        <v>America/New_York</v>
      </c>
      <c r="C9" s="23"/>
      <c r="D9" s="24"/>
      <c r="E9" s="23"/>
    </row>
    <row r="10" spans="1:6" s="22" customFormat="1" ht="17.5" customHeight="1" x14ac:dyDescent="0.25">
      <c r="A10" s="23"/>
      <c r="B10" s="23"/>
      <c r="C10" s="23"/>
      <c r="D10" s="24"/>
      <c r="E10" s="23"/>
    </row>
    <row r="11" spans="1:6" s="25" customFormat="1" ht="17.5" hidden="1" customHeight="1" x14ac:dyDescent="0.45">
      <c r="A11" s="67" t="s">
        <v>264</v>
      </c>
      <c r="B11" s="68" t="s">
        <v>501</v>
      </c>
      <c r="C11" s="23"/>
      <c r="D11" s="35"/>
      <c r="E11" s="36"/>
    </row>
    <row r="12" spans="1:6" s="25" customFormat="1" ht="17.5" hidden="1" customHeight="1" x14ac:dyDescent="0.25">
      <c r="A12" s="16"/>
      <c r="B12" s="17"/>
      <c r="C12" s="23"/>
      <c r="D12" s="35"/>
      <c r="E12" s="36"/>
    </row>
    <row r="13" spans="1:6" s="38" customFormat="1" ht="17.5" x14ac:dyDescent="0.45">
      <c r="A13" s="70" t="s">
        <v>28</v>
      </c>
      <c r="B13" s="70" t="s">
        <v>106</v>
      </c>
      <c r="C13" s="70" t="s">
        <v>111</v>
      </c>
      <c r="D13" s="67" t="s">
        <v>268</v>
      </c>
      <c r="E13" s="73" t="s">
        <v>267</v>
      </c>
      <c r="F13"/>
    </row>
    <row r="14" spans="1:6" s="28" customFormat="1" ht="16.5" x14ac:dyDescent="0.45">
      <c r="A14" s="68" t="s">
        <v>124</v>
      </c>
      <c r="B14" s="68" t="s">
        <v>322</v>
      </c>
      <c r="C14" s="68" t="s">
        <v>323</v>
      </c>
      <c r="D14" s="74" t="s">
        <v>499</v>
      </c>
      <c r="E14" s="69">
        <v>0</v>
      </c>
      <c r="F14"/>
    </row>
    <row r="15" spans="1:6" s="28" customFormat="1" ht="16.5" x14ac:dyDescent="0.45">
      <c r="A15" s="68" t="s">
        <v>124</v>
      </c>
      <c r="B15" s="68" t="s">
        <v>322</v>
      </c>
      <c r="C15" s="68" t="s">
        <v>323</v>
      </c>
      <c r="D15" s="74">
        <v>44015</v>
      </c>
      <c r="E15" s="69">
        <v>1</v>
      </c>
      <c r="F15"/>
    </row>
    <row r="16" spans="1:6" s="28" customFormat="1" ht="16.5" customHeight="1" x14ac:dyDescent="0.45">
      <c r="A16" s="68" t="s">
        <v>124</v>
      </c>
      <c r="B16" s="68" t="s">
        <v>322</v>
      </c>
      <c r="C16" s="68" t="s">
        <v>323</v>
      </c>
      <c r="D16" s="74">
        <v>44019</v>
      </c>
      <c r="E16" s="69">
        <v>1</v>
      </c>
      <c r="F16"/>
    </row>
    <row r="17" spans="1:6" s="28" customFormat="1" ht="16.5" customHeight="1" x14ac:dyDescent="0.45">
      <c r="A17" s="68" t="s">
        <v>124</v>
      </c>
      <c r="B17" s="68" t="s">
        <v>322</v>
      </c>
      <c r="C17" s="68" t="s">
        <v>323</v>
      </c>
      <c r="D17" s="74">
        <v>44023</v>
      </c>
      <c r="E17" s="69">
        <v>1</v>
      </c>
      <c r="F17"/>
    </row>
    <row r="18" spans="1:6" s="28" customFormat="1" ht="16.5" customHeight="1" x14ac:dyDescent="0.45">
      <c r="A18" s="68" t="s">
        <v>124</v>
      </c>
      <c r="B18" s="68" t="s">
        <v>322</v>
      </c>
      <c r="C18" s="68" t="s">
        <v>323</v>
      </c>
      <c r="D18" s="74">
        <v>44024</v>
      </c>
      <c r="E18" s="69">
        <v>1</v>
      </c>
      <c r="F18"/>
    </row>
    <row r="19" spans="1:6" s="28" customFormat="1" ht="16.5" customHeight="1" x14ac:dyDescent="0.45">
      <c r="A19" s="68" t="s">
        <v>124</v>
      </c>
      <c r="B19" s="68" t="s">
        <v>322</v>
      </c>
      <c r="C19" s="68" t="s">
        <v>323</v>
      </c>
      <c r="D19" s="74">
        <v>44026</v>
      </c>
      <c r="E19" s="69">
        <v>1</v>
      </c>
      <c r="F19"/>
    </row>
    <row r="20" spans="1:6" s="28" customFormat="1" ht="16.5" customHeight="1" x14ac:dyDescent="0.45">
      <c r="A20" s="68" t="s">
        <v>259</v>
      </c>
      <c r="B20" s="68"/>
      <c r="C20" s="68"/>
      <c r="D20" s="68"/>
      <c r="E20" s="69">
        <v>5</v>
      </c>
      <c r="F20"/>
    </row>
    <row r="21" spans="1:6" s="28" customFormat="1" ht="16.5" customHeight="1" x14ac:dyDescent="0.45">
      <c r="A21" s="68" t="s">
        <v>125</v>
      </c>
      <c r="B21" s="68" t="s">
        <v>325</v>
      </c>
      <c r="C21" s="68" t="s">
        <v>326</v>
      </c>
      <c r="D21" s="74" t="s">
        <v>499</v>
      </c>
      <c r="E21" s="69">
        <v>0</v>
      </c>
      <c r="F21"/>
    </row>
    <row r="22" spans="1:6" s="28" customFormat="1" ht="16.5" customHeight="1" x14ac:dyDescent="0.45">
      <c r="A22" s="68" t="s">
        <v>125</v>
      </c>
      <c r="B22" s="68" t="s">
        <v>325</v>
      </c>
      <c r="C22" s="68" t="s">
        <v>326</v>
      </c>
      <c r="D22" s="74">
        <v>44028</v>
      </c>
      <c r="E22" s="69">
        <v>1</v>
      </c>
      <c r="F22"/>
    </row>
    <row r="23" spans="1:6" s="28" customFormat="1" ht="16.5" customHeight="1" x14ac:dyDescent="0.45">
      <c r="A23" s="68" t="s">
        <v>125</v>
      </c>
      <c r="B23" s="68" t="s">
        <v>325</v>
      </c>
      <c r="C23" s="68" t="s">
        <v>326</v>
      </c>
      <c r="D23" s="74">
        <v>44030</v>
      </c>
      <c r="E23" s="69">
        <v>1</v>
      </c>
      <c r="F23"/>
    </row>
    <row r="24" spans="1:6" s="28" customFormat="1" ht="16.5" customHeight="1" x14ac:dyDescent="0.45">
      <c r="A24" s="68" t="s">
        <v>125</v>
      </c>
      <c r="B24" s="68" t="s">
        <v>325</v>
      </c>
      <c r="C24" s="68" t="s">
        <v>326</v>
      </c>
      <c r="D24" s="74">
        <v>44032</v>
      </c>
      <c r="E24" s="69">
        <v>1</v>
      </c>
      <c r="F24"/>
    </row>
    <row r="25" spans="1:6" s="28" customFormat="1" ht="16.5" customHeight="1" x14ac:dyDescent="0.45">
      <c r="A25" s="68" t="s">
        <v>260</v>
      </c>
      <c r="B25" s="68"/>
      <c r="C25" s="68"/>
      <c r="D25" s="68"/>
      <c r="E25" s="69">
        <v>3</v>
      </c>
      <c r="F25"/>
    </row>
    <row r="26" spans="1:6" s="28" customFormat="1" ht="16.5" customHeight="1" x14ac:dyDescent="0.45">
      <c r="A26" s="68" t="s">
        <v>272</v>
      </c>
      <c r="B26" s="68" t="s">
        <v>291</v>
      </c>
      <c r="C26" s="68" t="s">
        <v>292</v>
      </c>
      <c r="D26" s="74" t="s">
        <v>499</v>
      </c>
      <c r="E26" s="69">
        <v>0</v>
      </c>
      <c r="F26"/>
    </row>
    <row r="27" spans="1:6" s="28" customFormat="1" ht="16.5" customHeight="1" x14ac:dyDescent="0.45">
      <c r="A27" s="68" t="s">
        <v>272</v>
      </c>
      <c r="B27" s="68" t="s">
        <v>291</v>
      </c>
      <c r="C27" s="68" t="s">
        <v>292</v>
      </c>
      <c r="D27" s="74">
        <v>44031</v>
      </c>
      <c r="E27" s="69">
        <v>1</v>
      </c>
      <c r="F27"/>
    </row>
    <row r="28" spans="1:6" s="28" customFormat="1" ht="16.5" customHeight="1" x14ac:dyDescent="0.45">
      <c r="A28" s="68" t="s">
        <v>281</v>
      </c>
      <c r="B28" s="68"/>
      <c r="C28" s="68"/>
      <c r="D28" s="68"/>
      <c r="E28" s="69">
        <v>1</v>
      </c>
      <c r="F28"/>
    </row>
    <row r="29" spans="1:6" s="28" customFormat="1" ht="16.5" customHeight="1" x14ac:dyDescent="0.45">
      <c r="A29" s="68" t="s">
        <v>273</v>
      </c>
      <c r="B29" s="68" t="s">
        <v>294</v>
      </c>
      <c r="C29" s="68" t="s">
        <v>295</v>
      </c>
      <c r="D29" s="74" t="s">
        <v>499</v>
      </c>
      <c r="E29" s="69">
        <v>0</v>
      </c>
      <c r="F29"/>
    </row>
    <row r="30" spans="1:6" s="28" customFormat="1" ht="16.5" customHeight="1" x14ac:dyDescent="0.45">
      <c r="A30" s="68" t="s">
        <v>273</v>
      </c>
      <c r="B30" s="68" t="s">
        <v>294</v>
      </c>
      <c r="C30" s="68" t="s">
        <v>295</v>
      </c>
      <c r="D30" s="74">
        <v>44026</v>
      </c>
      <c r="E30" s="69">
        <v>1</v>
      </c>
      <c r="F30"/>
    </row>
    <row r="31" spans="1:6" s="28" customFormat="1" ht="16.5" customHeight="1" x14ac:dyDescent="0.45">
      <c r="A31" s="68" t="s">
        <v>282</v>
      </c>
      <c r="B31" s="68"/>
      <c r="C31" s="68"/>
      <c r="D31" s="68"/>
      <c r="E31" s="69">
        <v>1</v>
      </c>
      <c r="F31"/>
    </row>
    <row r="32" spans="1:6" s="28" customFormat="1" ht="16.5" customHeight="1" x14ac:dyDescent="0.45">
      <c r="A32" s="68" t="s">
        <v>274</v>
      </c>
      <c r="B32" s="68" t="s">
        <v>297</v>
      </c>
      <c r="C32" s="68" t="s">
        <v>298</v>
      </c>
      <c r="D32" s="74" t="s">
        <v>499</v>
      </c>
      <c r="E32" s="69">
        <v>0</v>
      </c>
      <c r="F32"/>
    </row>
    <row r="33" spans="1:6" s="28" customFormat="1" ht="16.5" customHeight="1" x14ac:dyDescent="0.45">
      <c r="A33" s="68" t="s">
        <v>274</v>
      </c>
      <c r="B33" s="68" t="s">
        <v>297</v>
      </c>
      <c r="C33" s="68" t="s">
        <v>298</v>
      </c>
      <c r="D33" s="74">
        <v>44032</v>
      </c>
      <c r="E33" s="69">
        <v>1</v>
      </c>
      <c r="F33"/>
    </row>
    <row r="34" spans="1:6" s="28" customFormat="1" ht="16.5" customHeight="1" x14ac:dyDescent="0.45">
      <c r="A34" s="68" t="s">
        <v>283</v>
      </c>
      <c r="B34" s="68"/>
      <c r="C34" s="68"/>
      <c r="D34" s="68"/>
      <c r="E34" s="69">
        <v>1</v>
      </c>
      <c r="F34"/>
    </row>
    <row r="35" spans="1:6" s="28" customFormat="1" ht="16.5" customHeight="1" x14ac:dyDescent="0.45">
      <c r="A35" s="68" t="s">
        <v>275</v>
      </c>
      <c r="B35" s="68" t="s">
        <v>300</v>
      </c>
      <c r="C35" s="68" t="s">
        <v>301</v>
      </c>
      <c r="D35" s="74" t="s">
        <v>499</v>
      </c>
      <c r="E35" s="69">
        <v>0</v>
      </c>
      <c r="F35"/>
    </row>
    <row r="36" spans="1:6" s="28" customFormat="1" ht="16.5" customHeight="1" x14ac:dyDescent="0.45">
      <c r="A36" s="68" t="s">
        <v>500</v>
      </c>
      <c r="B36" s="68"/>
      <c r="C36" s="68"/>
      <c r="D36" s="68"/>
      <c r="E36" s="69">
        <v>0</v>
      </c>
      <c r="F36"/>
    </row>
    <row r="37" spans="1:6" s="28" customFormat="1" ht="16.5" customHeight="1" x14ac:dyDescent="0.45">
      <c r="A37" s="68" t="s">
        <v>276</v>
      </c>
      <c r="B37" s="68" t="s">
        <v>303</v>
      </c>
      <c r="C37" s="68" t="s">
        <v>304</v>
      </c>
      <c r="D37" s="74" t="s">
        <v>499</v>
      </c>
      <c r="E37" s="69">
        <v>0</v>
      </c>
      <c r="F37"/>
    </row>
    <row r="38" spans="1:6" s="28" customFormat="1" ht="16.5" customHeight="1" x14ac:dyDescent="0.45">
      <c r="A38" s="68" t="s">
        <v>276</v>
      </c>
      <c r="B38" s="68" t="s">
        <v>303</v>
      </c>
      <c r="C38" s="68" t="s">
        <v>304</v>
      </c>
      <c r="D38" s="74">
        <v>44031</v>
      </c>
      <c r="E38" s="69">
        <v>1</v>
      </c>
      <c r="F38"/>
    </row>
    <row r="39" spans="1:6" s="28" customFormat="1" ht="16.5" customHeight="1" x14ac:dyDescent="0.45">
      <c r="A39" s="68" t="s">
        <v>284</v>
      </c>
      <c r="B39" s="68"/>
      <c r="C39" s="68"/>
      <c r="D39" s="68"/>
      <c r="E39" s="69">
        <v>1</v>
      </c>
      <c r="F39"/>
    </row>
    <row r="40" spans="1:6" s="28" customFormat="1" ht="16.5" customHeight="1" x14ac:dyDescent="0.45">
      <c r="A40" s="68" t="s">
        <v>277</v>
      </c>
      <c r="B40" s="68" t="s">
        <v>306</v>
      </c>
      <c r="C40" s="68" t="s">
        <v>307</v>
      </c>
      <c r="D40" s="74" t="s">
        <v>499</v>
      </c>
      <c r="E40" s="69">
        <v>0</v>
      </c>
      <c r="F40"/>
    </row>
    <row r="41" spans="1:6" s="28" customFormat="1" ht="16.5" customHeight="1" x14ac:dyDescent="0.45">
      <c r="A41" s="68" t="s">
        <v>277</v>
      </c>
      <c r="B41" s="68" t="s">
        <v>306</v>
      </c>
      <c r="C41" s="68" t="s">
        <v>307</v>
      </c>
      <c r="D41" s="74">
        <v>44028</v>
      </c>
      <c r="E41" s="69">
        <v>1</v>
      </c>
      <c r="F41"/>
    </row>
    <row r="42" spans="1:6" s="28" customFormat="1" ht="16.5" customHeight="1" x14ac:dyDescent="0.45">
      <c r="A42" s="68" t="s">
        <v>277</v>
      </c>
      <c r="B42" s="68" t="s">
        <v>306</v>
      </c>
      <c r="C42" s="68" t="s">
        <v>307</v>
      </c>
      <c r="D42" s="74">
        <v>44032</v>
      </c>
      <c r="E42" s="69">
        <v>1</v>
      </c>
      <c r="F42"/>
    </row>
    <row r="43" spans="1:6" s="28" customFormat="1" ht="16.5" customHeight="1" x14ac:dyDescent="0.45">
      <c r="A43" s="68" t="s">
        <v>285</v>
      </c>
      <c r="B43" s="68"/>
      <c r="C43" s="68"/>
      <c r="D43" s="68"/>
      <c r="E43" s="69">
        <v>2</v>
      </c>
      <c r="F43"/>
    </row>
    <row r="44" spans="1:6" s="28" customFormat="1" ht="16.5" customHeight="1" x14ac:dyDescent="0.45">
      <c r="A44" s="68" t="s">
        <v>278</v>
      </c>
      <c r="B44" s="68" t="s">
        <v>309</v>
      </c>
      <c r="C44" s="68" t="s">
        <v>310</v>
      </c>
      <c r="D44" s="74" t="s">
        <v>499</v>
      </c>
      <c r="E44" s="69">
        <v>0</v>
      </c>
      <c r="F44"/>
    </row>
    <row r="45" spans="1:6" ht="16.5" x14ac:dyDescent="0.45">
      <c r="A45" s="68" t="s">
        <v>278</v>
      </c>
      <c r="B45" s="68" t="s">
        <v>309</v>
      </c>
      <c r="C45" s="68" t="s">
        <v>310</v>
      </c>
      <c r="D45" s="74">
        <v>44031</v>
      </c>
      <c r="E45" s="69">
        <v>1</v>
      </c>
    </row>
    <row r="46" spans="1:6" ht="16.5" x14ac:dyDescent="0.45">
      <c r="A46" s="68" t="s">
        <v>286</v>
      </c>
      <c r="B46" s="68"/>
      <c r="C46" s="68"/>
      <c r="D46" s="68"/>
      <c r="E46" s="69">
        <v>1</v>
      </c>
    </row>
    <row r="47" spans="1:6" ht="16.5" x14ac:dyDescent="0.45">
      <c r="A47" s="68" t="s">
        <v>279</v>
      </c>
      <c r="B47" s="68" t="s">
        <v>312</v>
      </c>
      <c r="C47" s="68" t="s">
        <v>313</v>
      </c>
      <c r="D47" s="74" t="s">
        <v>499</v>
      </c>
      <c r="E47" s="69">
        <v>0</v>
      </c>
    </row>
    <row r="48" spans="1:6" ht="16.5" x14ac:dyDescent="0.45">
      <c r="A48" s="68" t="s">
        <v>279</v>
      </c>
      <c r="B48" s="68" t="s">
        <v>312</v>
      </c>
      <c r="C48" s="68" t="s">
        <v>313</v>
      </c>
      <c r="D48" s="74">
        <v>44024</v>
      </c>
      <c r="E48" s="69">
        <v>1</v>
      </c>
    </row>
    <row r="49" spans="1:5" ht="16.5" x14ac:dyDescent="0.45">
      <c r="A49" s="68" t="s">
        <v>287</v>
      </c>
      <c r="B49" s="68"/>
      <c r="C49" s="68"/>
      <c r="D49" s="68"/>
      <c r="E49" s="69">
        <v>1</v>
      </c>
    </row>
    <row r="50" spans="1:5" ht="16.5" x14ac:dyDescent="0.45">
      <c r="A50" s="68" t="s">
        <v>280</v>
      </c>
      <c r="B50" s="68" t="s">
        <v>315</v>
      </c>
      <c r="C50" s="68" t="s">
        <v>316</v>
      </c>
      <c r="D50" s="74" t="s">
        <v>499</v>
      </c>
      <c r="E50" s="69">
        <v>0</v>
      </c>
    </row>
    <row r="51" spans="1:5" ht="16.5" x14ac:dyDescent="0.45">
      <c r="A51" s="68" t="s">
        <v>280</v>
      </c>
      <c r="B51" s="68" t="s">
        <v>315</v>
      </c>
      <c r="C51" s="68" t="s">
        <v>316</v>
      </c>
      <c r="D51" s="74">
        <v>44032</v>
      </c>
      <c r="E51" s="69">
        <v>1</v>
      </c>
    </row>
    <row r="52" spans="1:5" ht="16.5" x14ac:dyDescent="0.45">
      <c r="A52" s="68" t="s">
        <v>288</v>
      </c>
      <c r="B52" s="68"/>
      <c r="C52" s="68"/>
      <c r="D52" s="68"/>
      <c r="E52" s="69">
        <v>1</v>
      </c>
    </row>
    <row r="53" spans="1:5" ht="16.5" x14ac:dyDescent="0.45">
      <c r="A53" s="68" t="s">
        <v>320</v>
      </c>
      <c r="B53" s="68" t="s">
        <v>318</v>
      </c>
      <c r="C53" s="68" t="s">
        <v>319</v>
      </c>
      <c r="D53" s="74" t="s">
        <v>499</v>
      </c>
      <c r="E53" s="69">
        <v>0</v>
      </c>
    </row>
    <row r="54" spans="1:5" ht="16.5" x14ac:dyDescent="0.45">
      <c r="A54" s="68" t="s">
        <v>320</v>
      </c>
      <c r="B54" s="68" t="s">
        <v>318</v>
      </c>
      <c r="C54" s="68" t="s">
        <v>319</v>
      </c>
      <c r="D54" s="74">
        <v>44013</v>
      </c>
      <c r="E54" s="69">
        <v>1</v>
      </c>
    </row>
    <row r="55" spans="1:5" ht="16.5" x14ac:dyDescent="0.45">
      <c r="A55" s="68" t="s">
        <v>327</v>
      </c>
      <c r="B55" s="68"/>
      <c r="C55" s="68"/>
      <c r="D55" s="68"/>
      <c r="E55" s="69">
        <v>1</v>
      </c>
    </row>
  </sheetData>
  <mergeCells count="1">
    <mergeCell ref="A4:B4"/>
  </mergeCell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52"/>
  <sheetViews>
    <sheetView showGridLines="0" workbookViewId="0">
      <pane ySplit="11" topLeftCell="A133" activePane="bottomLeft" state="frozen"/>
      <selection pane="bottomLeft"/>
    </sheetView>
  </sheetViews>
  <sheetFormatPr defaultColWidth="9.26953125" defaultRowHeight="16" x14ac:dyDescent="0.45"/>
  <cols>
    <col min="1" max="1" width="25.7265625" style="7" customWidth="1"/>
    <col min="2" max="3" width="25.7265625" style="8" customWidth="1"/>
    <col min="4" max="7" width="25.7265625" style="8" hidden="1" customWidth="1"/>
    <col min="8" max="8" width="20.26953125" style="8" hidden="1" customWidth="1"/>
    <col min="9" max="9" width="10.1796875" style="61" hidden="1" customWidth="1"/>
    <col min="10" max="10" width="25.7265625" style="8" customWidth="1"/>
    <col min="11" max="11" width="16.7265625" style="41" bestFit="1" customWidth="1"/>
    <col min="12" max="12" width="25.7265625" style="8" customWidth="1"/>
    <col min="13" max="13" width="31.7265625" style="55" hidden="1" customWidth="1"/>
    <col min="14" max="14" width="9.453125" style="46" hidden="1" customWidth="1"/>
    <col min="15" max="15" width="13.54296875" style="51" hidden="1" customWidth="1"/>
    <col min="16" max="16" width="31.26953125" style="8" customWidth="1"/>
    <col min="17" max="27" width="9.1796875" style="7" customWidth="1"/>
    <col min="28" max="31" width="9.26953125" style="7"/>
    <col min="32" max="32" width="9.26953125" style="7" customWidth="1"/>
    <col min="33" max="16384" width="9.26953125" style="7"/>
  </cols>
  <sheetData>
    <row r="1" spans="1:36" s="43" customFormat="1" ht="25.5" customHeight="1" x14ac:dyDescent="0.65">
      <c r="A1" s="42" t="s">
        <v>256</v>
      </c>
      <c r="C1" s="37">
        <f>Data!B2</f>
        <v>44032.083333333336</v>
      </c>
      <c r="I1" s="59"/>
      <c r="M1" s="45"/>
      <c r="N1" s="45"/>
      <c r="O1" s="45"/>
    </row>
    <row r="2" spans="1:36" s="14" customFormat="1" ht="25.5" customHeight="1" x14ac:dyDescent="0.65">
      <c r="A2" s="44" t="str">
        <f>Data!B1</f>
        <v>ABC Company</v>
      </c>
      <c r="I2" s="60"/>
      <c r="M2" s="39"/>
      <c r="N2" s="39"/>
      <c r="O2" s="39"/>
    </row>
    <row r="3" spans="1:36" ht="17.5" customHeight="1" x14ac:dyDescent="0.45">
      <c r="B3" s="7"/>
      <c r="C3" s="7"/>
      <c r="D3" s="7"/>
      <c r="E3" s="7"/>
      <c r="F3" s="7"/>
      <c r="G3" s="7"/>
      <c r="H3" s="7"/>
      <c r="J3" s="7"/>
      <c r="K3" s="40"/>
      <c r="L3" s="7"/>
      <c r="O3" s="47"/>
      <c r="P3" s="7"/>
    </row>
    <row r="4" spans="1:36" ht="17.5" customHeight="1" x14ac:dyDescent="0.45">
      <c r="A4" s="76" t="s">
        <v>44</v>
      </c>
      <c r="B4" s="76"/>
      <c r="C4" s="15"/>
      <c r="D4" s="15"/>
      <c r="E4" s="15"/>
      <c r="F4" s="15"/>
      <c r="G4" s="15"/>
      <c r="H4" s="15"/>
      <c r="I4" s="58"/>
      <c r="J4" s="15"/>
      <c r="K4" s="9"/>
      <c r="L4" s="7"/>
      <c r="O4" s="47"/>
      <c r="P4" s="7"/>
    </row>
    <row r="5" spans="1:36" ht="17.5" customHeight="1" x14ac:dyDescent="0.45">
      <c r="A5" s="29" t="s">
        <v>39</v>
      </c>
      <c r="B5" s="32">
        <f>Data!B3</f>
        <v>44013</v>
      </c>
      <c r="C5" s="15"/>
      <c r="D5" s="15"/>
      <c r="E5" s="15"/>
      <c r="F5" s="15"/>
      <c r="G5" s="15"/>
      <c r="H5" s="15"/>
      <c r="I5" s="58"/>
      <c r="J5" s="15"/>
      <c r="K5" s="9"/>
      <c r="M5" s="56"/>
      <c r="N5" s="48"/>
      <c r="O5" s="49"/>
      <c r="P5" s="9"/>
    </row>
    <row r="6" spans="1:36" ht="17.5" customHeight="1" x14ac:dyDescent="0.45">
      <c r="A6" s="29" t="s">
        <v>40</v>
      </c>
      <c r="B6" s="32">
        <f>Data!B4</f>
        <v>44032</v>
      </c>
      <c r="C6" s="15"/>
      <c r="D6" s="15"/>
      <c r="E6" s="15"/>
      <c r="F6" s="15"/>
      <c r="G6" s="15"/>
      <c r="H6" s="15"/>
      <c r="I6" s="58"/>
      <c r="J6" s="15"/>
      <c r="K6" s="9"/>
      <c r="L6" s="11"/>
      <c r="M6" s="56"/>
      <c r="N6" s="48"/>
      <c r="O6" s="50"/>
    </row>
    <row r="7" spans="1:36" ht="17.5" customHeight="1" x14ac:dyDescent="0.45">
      <c r="A7" s="29" t="s">
        <v>250</v>
      </c>
      <c r="B7" s="33">
        <f>B6-B5</f>
        <v>19</v>
      </c>
      <c r="C7" s="15"/>
      <c r="D7" s="15"/>
      <c r="E7" s="15"/>
      <c r="F7" s="15"/>
      <c r="G7" s="15"/>
      <c r="H7" s="15"/>
      <c r="I7" s="58"/>
      <c r="J7" s="15"/>
      <c r="K7" s="9"/>
      <c r="L7" s="11"/>
      <c r="M7" s="56"/>
      <c r="N7" s="48"/>
      <c r="O7" s="50"/>
    </row>
    <row r="8" spans="1:36" s="22" customFormat="1" ht="17.5" customHeight="1" x14ac:dyDescent="0.25">
      <c r="A8" s="16"/>
      <c r="B8" s="17"/>
      <c r="C8" s="23"/>
      <c r="D8" s="24"/>
      <c r="E8" s="23"/>
    </row>
    <row r="9" spans="1:36" s="22" customFormat="1" ht="17.5" customHeight="1" x14ac:dyDescent="0.25">
      <c r="A9" s="66" t="s">
        <v>236</v>
      </c>
      <c r="B9" s="29" t="str">
        <f>Data!B5</f>
        <v>America/New_York</v>
      </c>
      <c r="C9" s="23"/>
      <c r="D9" s="24"/>
      <c r="E9" s="23"/>
    </row>
    <row r="10" spans="1:36" ht="17.5" customHeight="1" x14ac:dyDescent="0.45">
      <c r="A10" s="19"/>
      <c r="B10" s="9"/>
      <c r="C10" s="9"/>
      <c r="D10" s="9"/>
      <c r="E10" s="9"/>
      <c r="F10" s="9"/>
      <c r="G10" s="9"/>
      <c r="H10" s="9"/>
      <c r="I10" s="58"/>
      <c r="J10" s="9"/>
      <c r="K10" s="9"/>
      <c r="L10" s="11"/>
      <c r="M10" s="56"/>
      <c r="N10" s="48"/>
      <c r="O10" s="50"/>
      <c r="P10" s="11"/>
    </row>
    <row r="11" spans="1:36" s="54" customFormat="1" ht="17.25" customHeight="1" x14ac:dyDescent="0.45">
      <c r="A11" s="30" t="s">
        <v>28</v>
      </c>
      <c r="B11" s="30" t="s">
        <v>106</v>
      </c>
      <c r="C11" s="30" t="s">
        <v>111</v>
      </c>
      <c r="D11" s="31" t="s">
        <v>266</v>
      </c>
      <c r="E11" s="31" t="s">
        <v>265</v>
      </c>
      <c r="F11" s="31" t="s">
        <v>264</v>
      </c>
      <c r="G11" s="31" t="s">
        <v>269</v>
      </c>
      <c r="H11" s="31" t="s">
        <v>268</v>
      </c>
      <c r="I11" s="62" t="s">
        <v>43</v>
      </c>
      <c r="J11" s="30" t="s">
        <v>255</v>
      </c>
      <c r="K11" s="30" t="s">
        <v>29</v>
      </c>
      <c r="L11" s="30" t="s">
        <v>246</v>
      </c>
      <c r="M11" s="52" t="s">
        <v>129</v>
      </c>
      <c r="N11" s="31" t="s">
        <v>258</v>
      </c>
      <c r="O11" s="30" t="s">
        <v>254</v>
      </c>
      <c r="P11" s="53" t="s">
        <v>45</v>
      </c>
    </row>
    <row r="12" spans="1:36" ht="16.5" customHeight="1" x14ac:dyDescent="0.45">
      <c r="A12" s="11" t="str">
        <f>Data!G12</f>
        <v>Driver C</v>
      </c>
      <c r="B12" s="11" t="str">
        <f>Data!E12</f>
        <v>FirstName C</v>
      </c>
      <c r="C12" s="11" t="str">
        <f>Data!F12</f>
        <v>LastName C</v>
      </c>
      <c r="D12" s="10" t="b">
        <f>IF(OR(A12&lt;&gt;A11, I12&lt;&gt;I11), TRUE, FALSE)</f>
        <v>1</v>
      </c>
      <c r="E12" s="10">
        <f t="shared" ref="E12:E43" si="0">IF(D12,SUMIFS(O:O,A:A,A12,I:I, I12),"NA")</f>
        <v>2</v>
      </c>
      <c r="F12" s="10">
        <f>IF(ISNUMBER(E12), IF(E12&gt;=1, 1, 0), 0)</f>
        <v>1</v>
      </c>
      <c r="G12" s="10">
        <f>IF(ISNUMBER(E12), IF(E12&gt;=1, 0, 1), 0)</f>
        <v>0</v>
      </c>
      <c r="H12" s="9">
        <f>IF(AND(F12=1,ISNUMBER(SEARCH("consider",O12))=FALSE),I12,"NA")</f>
        <v>44031</v>
      </c>
      <c r="I12" s="58">
        <f>INT(Data!A12)</f>
        <v>44031</v>
      </c>
      <c r="J12" s="12">
        <f>Data!A12</f>
        <v>44031.013993055552</v>
      </c>
      <c r="K12" s="13" t="str">
        <f>Data!B12</f>
        <v>D</v>
      </c>
      <c r="L12" s="13" t="str">
        <f>Data!C12</f>
        <v>Vehicle C</v>
      </c>
      <c r="M12" s="56" t="b">
        <f>IF(OR(K12="D",K12="ON",K12="OFF",K12="SB",K12="YM",K12="PC"), TRUE, FALSE)</f>
        <v>1</v>
      </c>
      <c r="N12" s="48">
        <f>IF(M12=FALSE, 0, IF(O12=0, 1, 0))</f>
        <v>1</v>
      </c>
      <c r="O12" s="48">
        <f t="shared" ref="O12:O75" si="1">IF(M12=FALSE,"Not Considered",IF(AND(M12,P12&lt;&gt;""),0,1))</f>
        <v>0</v>
      </c>
      <c r="P12" s="12">
        <f>IF(Data!H12=0,"",Data!H12)</f>
        <v>44037.462314814817</v>
      </c>
    </row>
    <row r="13" spans="1:36" ht="16.5" customHeight="1" x14ac:dyDescent="0.45">
      <c r="A13" s="11" t="str">
        <f>Data!G13</f>
        <v>Driver C</v>
      </c>
      <c r="B13" s="11" t="str">
        <f>Data!E13</f>
        <v>FirstName C</v>
      </c>
      <c r="C13" s="11" t="str">
        <f>Data!F13</f>
        <v>LastName C</v>
      </c>
      <c r="D13" s="10" t="b">
        <f t="shared" ref="D13:D76" si="2">IF(OR(A13&lt;&gt;A12, I13&lt;&gt;I12), TRUE, FALSE)</f>
        <v>0</v>
      </c>
      <c r="E13" s="10" t="str">
        <f t="shared" si="0"/>
        <v>NA</v>
      </c>
      <c r="F13" s="10">
        <f t="shared" ref="F13:F76" si="3">IF(ISNUMBER(E13), IF(E13&gt;=1, 1, 0), 0)</f>
        <v>0</v>
      </c>
      <c r="G13" s="10">
        <f t="shared" ref="G13:G76" si="4">IF(ISNUMBER(E13), IF(E13&gt;=1, 0, 1), 0)</f>
        <v>0</v>
      </c>
      <c r="H13" s="9" t="str">
        <f t="shared" ref="H13:H76" si="5">IF(AND(F13=1,ISNUMBER(SEARCH("consider",O13))=FALSE),I13,"NA")</f>
        <v>NA</v>
      </c>
      <c r="I13" s="58">
        <f>INT(Data!A13)</f>
        <v>44031</v>
      </c>
      <c r="J13" s="12">
        <f>Data!A13</f>
        <v>44031.055995370371</v>
      </c>
      <c r="K13" s="13" t="str">
        <f>Data!B13</f>
        <v>ON</v>
      </c>
      <c r="L13" s="13" t="str">
        <f>Data!C13</f>
        <v>Vehicle C</v>
      </c>
      <c r="M13" s="56" t="b">
        <f t="shared" ref="M13:M76" si="6">IF(OR(K13="D",K13="ON",K13="OFF",K13="SB",K13="YM",K13="PC"), TRUE, FALSE)</f>
        <v>1</v>
      </c>
      <c r="N13" s="48">
        <f t="shared" ref="N13:N76" si="7">IF(M13=FALSE, 0, IF(O13=0, 1, 0))</f>
        <v>1</v>
      </c>
      <c r="O13" s="48">
        <f t="shared" si="1"/>
        <v>0</v>
      </c>
      <c r="P13" s="12">
        <f>IF(Data!H13=0,"",Data!H13)</f>
        <v>44037.462314814817</v>
      </c>
    </row>
    <row r="14" spans="1:36" ht="16.5" customHeight="1" x14ac:dyDescent="0.45">
      <c r="A14" s="11" t="str">
        <f>Data!G14</f>
        <v>Driver C</v>
      </c>
      <c r="B14" s="11" t="str">
        <f>Data!E14</f>
        <v>FirstName C</v>
      </c>
      <c r="C14" s="11" t="str">
        <f>Data!F14</f>
        <v>LastName C</v>
      </c>
      <c r="D14" s="10" t="b">
        <f t="shared" si="2"/>
        <v>0</v>
      </c>
      <c r="E14" s="10" t="str">
        <f t="shared" si="0"/>
        <v>NA</v>
      </c>
      <c r="F14" s="10">
        <f t="shared" si="3"/>
        <v>0</v>
      </c>
      <c r="G14" s="10">
        <f t="shared" si="4"/>
        <v>0</v>
      </c>
      <c r="H14" s="9" t="str">
        <f t="shared" si="5"/>
        <v>NA</v>
      </c>
      <c r="I14" s="58">
        <f>INT(Data!A14)</f>
        <v>44031</v>
      </c>
      <c r="J14" s="12">
        <f>Data!A14</f>
        <v>44031.563240740739</v>
      </c>
      <c r="K14" s="13" t="str">
        <f>Data!B14</f>
        <v>D</v>
      </c>
      <c r="L14" s="13" t="str">
        <f>Data!C14</f>
        <v>Vehicle C</v>
      </c>
      <c r="M14" s="56" t="b">
        <f t="shared" si="6"/>
        <v>1</v>
      </c>
      <c r="N14" s="48">
        <f t="shared" si="7"/>
        <v>1</v>
      </c>
      <c r="O14" s="48">
        <f t="shared" si="1"/>
        <v>0</v>
      </c>
      <c r="P14" s="12">
        <f>IF(Data!H14=0,"",Data!H14)</f>
        <v>44037.462314814817</v>
      </c>
      <c r="S14"/>
      <c r="T14"/>
      <c r="U14"/>
      <c r="V14"/>
      <c r="W14"/>
      <c r="X14"/>
      <c r="Y14"/>
      <c r="Z14"/>
      <c r="AA14"/>
      <c r="AB14"/>
      <c r="AC14"/>
      <c r="AD14"/>
      <c r="AE14"/>
      <c r="AF14"/>
      <c r="AG14"/>
      <c r="AH14"/>
      <c r="AI14"/>
      <c r="AJ14"/>
    </row>
    <row r="15" spans="1:36" ht="16.5" customHeight="1" x14ac:dyDescent="0.45">
      <c r="A15" s="11" t="str">
        <f>Data!G15</f>
        <v>Driver C</v>
      </c>
      <c r="B15" s="11" t="str">
        <f>Data!E15</f>
        <v>FirstName C</v>
      </c>
      <c r="C15" s="11" t="str">
        <f>Data!F15</f>
        <v>LastName C</v>
      </c>
      <c r="D15" s="10" t="b">
        <f t="shared" si="2"/>
        <v>0</v>
      </c>
      <c r="E15" s="10" t="str">
        <f t="shared" si="0"/>
        <v>NA</v>
      </c>
      <c r="F15" s="10">
        <f t="shared" si="3"/>
        <v>0</v>
      </c>
      <c r="G15" s="10">
        <f t="shared" si="4"/>
        <v>0</v>
      </c>
      <c r="H15" s="9" t="str">
        <f t="shared" si="5"/>
        <v>NA</v>
      </c>
      <c r="I15" s="58">
        <f>INT(Data!A15)</f>
        <v>44031</v>
      </c>
      <c r="J15" s="12">
        <f>Data!A15</f>
        <v>44031.565486111111</v>
      </c>
      <c r="K15" s="13" t="str">
        <f>Data!B15</f>
        <v>OFF</v>
      </c>
      <c r="L15" s="13" t="str">
        <f>Data!C15</f>
        <v>Vehicle C</v>
      </c>
      <c r="M15" s="56" t="b">
        <f t="shared" si="6"/>
        <v>1</v>
      </c>
      <c r="N15" s="48">
        <f t="shared" si="7"/>
        <v>1</v>
      </c>
      <c r="O15" s="48">
        <f t="shared" si="1"/>
        <v>0</v>
      </c>
      <c r="P15" s="12">
        <f>IF(Data!H15=0,"",Data!H15)</f>
        <v>44037.462314814817</v>
      </c>
      <c r="S15"/>
      <c r="T15"/>
      <c r="U15"/>
      <c r="V15"/>
      <c r="W15"/>
      <c r="X15"/>
      <c r="Y15"/>
      <c r="Z15"/>
      <c r="AA15"/>
      <c r="AB15"/>
      <c r="AC15"/>
      <c r="AD15"/>
      <c r="AE15"/>
      <c r="AF15"/>
      <c r="AG15"/>
      <c r="AH15"/>
      <c r="AI15"/>
      <c r="AJ15"/>
    </row>
    <row r="16" spans="1:36" ht="16.5" customHeight="1" x14ac:dyDescent="0.45">
      <c r="A16" s="11" t="str">
        <f>Data!G16</f>
        <v>Driver C</v>
      </c>
      <c r="B16" s="11" t="str">
        <f>Data!E16</f>
        <v>FirstName C</v>
      </c>
      <c r="C16" s="11" t="str">
        <f>Data!F16</f>
        <v>LastName C</v>
      </c>
      <c r="D16" s="10" t="b">
        <f t="shared" si="2"/>
        <v>0</v>
      </c>
      <c r="E16" s="10" t="str">
        <f t="shared" si="0"/>
        <v>NA</v>
      </c>
      <c r="F16" s="10">
        <f t="shared" si="3"/>
        <v>0</v>
      </c>
      <c r="G16" s="10">
        <f t="shared" si="4"/>
        <v>0</v>
      </c>
      <c r="H16" s="9" t="str">
        <f t="shared" si="5"/>
        <v>NA</v>
      </c>
      <c r="I16" s="58">
        <f>INT(Data!A16)</f>
        <v>44031</v>
      </c>
      <c r="J16" s="12">
        <f>Data!A16</f>
        <v>44031.589467592596</v>
      </c>
      <c r="K16" s="13" t="str">
        <f>Data!B16</f>
        <v>D</v>
      </c>
      <c r="L16" s="13" t="str">
        <f>Data!C16</f>
        <v>Vehicle C</v>
      </c>
      <c r="M16" s="56" t="b">
        <f t="shared" si="6"/>
        <v>1</v>
      </c>
      <c r="N16" s="48">
        <f t="shared" si="7"/>
        <v>0</v>
      </c>
      <c r="O16" s="48">
        <f t="shared" si="1"/>
        <v>1</v>
      </c>
      <c r="P16" s="12" t="str">
        <f>IF(Data!H16=0,"",Data!H16)</f>
        <v/>
      </c>
      <c r="S16"/>
      <c r="T16"/>
      <c r="U16"/>
      <c r="V16"/>
      <c r="W16"/>
      <c r="X16"/>
      <c r="Y16"/>
      <c r="Z16"/>
      <c r="AA16"/>
      <c r="AB16"/>
      <c r="AC16"/>
      <c r="AD16"/>
      <c r="AE16"/>
      <c r="AF16"/>
      <c r="AG16"/>
      <c r="AH16"/>
      <c r="AI16"/>
      <c r="AJ16"/>
    </row>
    <row r="17" spans="1:36" ht="16.5" customHeight="1" x14ac:dyDescent="0.45">
      <c r="A17" s="11" t="str">
        <f>Data!G17</f>
        <v>Driver C</v>
      </c>
      <c r="B17" s="11" t="str">
        <f>Data!E17</f>
        <v>FirstName C</v>
      </c>
      <c r="C17" s="11" t="str">
        <f>Data!F17</f>
        <v>LastName C</v>
      </c>
      <c r="D17" s="10" t="b">
        <f t="shared" si="2"/>
        <v>0</v>
      </c>
      <c r="E17" s="10" t="str">
        <f t="shared" si="0"/>
        <v>NA</v>
      </c>
      <c r="F17" s="10">
        <f t="shared" si="3"/>
        <v>0</v>
      </c>
      <c r="G17" s="10">
        <f t="shared" si="4"/>
        <v>0</v>
      </c>
      <c r="H17" s="9" t="str">
        <f t="shared" si="5"/>
        <v>NA</v>
      </c>
      <c r="I17" s="58">
        <f>INT(Data!A17)</f>
        <v>44031</v>
      </c>
      <c r="J17" s="12">
        <f>Data!A17</f>
        <v>44031.70103009259</v>
      </c>
      <c r="K17" s="13" t="str">
        <f>Data!B17</f>
        <v>SB</v>
      </c>
      <c r="L17" s="13" t="str">
        <f>Data!C17</f>
        <v>Vehicle C</v>
      </c>
      <c r="M17" s="56" t="b">
        <f t="shared" si="6"/>
        <v>1</v>
      </c>
      <c r="N17" s="48">
        <f t="shared" si="7"/>
        <v>0</v>
      </c>
      <c r="O17" s="48">
        <f t="shared" si="1"/>
        <v>1</v>
      </c>
      <c r="P17" s="12" t="str">
        <f>IF(Data!H17=0,"",Data!H17)</f>
        <v/>
      </c>
      <c r="S17"/>
      <c r="T17"/>
      <c r="U17"/>
      <c r="V17"/>
      <c r="W17"/>
      <c r="X17"/>
      <c r="Y17"/>
      <c r="Z17"/>
      <c r="AA17"/>
      <c r="AB17"/>
      <c r="AC17"/>
      <c r="AD17"/>
      <c r="AE17"/>
      <c r="AF17"/>
      <c r="AG17"/>
      <c r="AH17"/>
      <c r="AI17"/>
      <c r="AJ17"/>
    </row>
    <row r="18" spans="1:36" ht="16.5" customHeight="1" x14ac:dyDescent="0.45">
      <c r="A18" s="11" t="str">
        <f>Data!G18</f>
        <v>Driver D</v>
      </c>
      <c r="B18" s="11" t="str">
        <f>Data!E18</f>
        <v>FirstName D</v>
      </c>
      <c r="C18" s="11" t="str">
        <f>Data!F18</f>
        <v>LastName D</v>
      </c>
      <c r="D18" s="10" t="b">
        <f t="shared" si="2"/>
        <v>1</v>
      </c>
      <c r="E18" s="10">
        <f t="shared" si="0"/>
        <v>2</v>
      </c>
      <c r="F18" s="10">
        <f t="shared" si="3"/>
        <v>1</v>
      </c>
      <c r="G18" s="10">
        <f t="shared" si="4"/>
        <v>0</v>
      </c>
      <c r="H18" s="9">
        <f t="shared" si="5"/>
        <v>44026</v>
      </c>
      <c r="I18" s="58">
        <f>INT(Data!A18)</f>
        <v>44026</v>
      </c>
      <c r="J18" s="12">
        <f>Data!A18</f>
        <v>44026.013993055552</v>
      </c>
      <c r="K18" s="13" t="str">
        <f>Data!B18</f>
        <v>D</v>
      </c>
      <c r="L18" s="13" t="str">
        <f>Data!C18</f>
        <v>Vehicle D</v>
      </c>
      <c r="M18" s="56" t="b">
        <f t="shared" si="6"/>
        <v>1</v>
      </c>
      <c r="N18" s="48">
        <f t="shared" si="7"/>
        <v>1</v>
      </c>
      <c r="O18" s="48">
        <f t="shared" si="1"/>
        <v>0</v>
      </c>
      <c r="P18" s="12">
        <f>IF(Data!H18=0,"",Data!H18)</f>
        <v>44037.462314814817</v>
      </c>
      <c r="S18"/>
      <c r="T18"/>
      <c r="U18"/>
      <c r="V18"/>
      <c r="W18"/>
      <c r="X18"/>
      <c r="Y18"/>
      <c r="Z18"/>
      <c r="AA18"/>
      <c r="AB18"/>
      <c r="AC18"/>
      <c r="AD18"/>
      <c r="AE18"/>
      <c r="AF18"/>
      <c r="AG18"/>
      <c r="AH18"/>
      <c r="AI18"/>
      <c r="AJ18"/>
    </row>
    <row r="19" spans="1:36" ht="16.5" customHeight="1" x14ac:dyDescent="0.45">
      <c r="A19" s="11" t="str">
        <f>Data!G19</f>
        <v>Driver D</v>
      </c>
      <c r="B19" s="11" t="str">
        <f>Data!E19</f>
        <v>FirstName D</v>
      </c>
      <c r="C19" s="11" t="str">
        <f>Data!F19</f>
        <v>LastName D</v>
      </c>
      <c r="D19" s="10" t="b">
        <f t="shared" si="2"/>
        <v>0</v>
      </c>
      <c r="E19" s="10" t="str">
        <f t="shared" si="0"/>
        <v>NA</v>
      </c>
      <c r="F19" s="10">
        <f t="shared" si="3"/>
        <v>0</v>
      </c>
      <c r="G19" s="10">
        <f t="shared" si="4"/>
        <v>0</v>
      </c>
      <c r="H19" s="9" t="str">
        <f t="shared" si="5"/>
        <v>NA</v>
      </c>
      <c r="I19" s="58">
        <f>INT(Data!A19)</f>
        <v>44026</v>
      </c>
      <c r="J19" s="12">
        <f>Data!A19</f>
        <v>44026.055995370371</v>
      </c>
      <c r="K19" s="13" t="str">
        <f>Data!B19</f>
        <v>ON</v>
      </c>
      <c r="L19" s="13" t="str">
        <f>Data!C19</f>
        <v>Vehicle D</v>
      </c>
      <c r="M19" s="56" t="b">
        <f t="shared" si="6"/>
        <v>1</v>
      </c>
      <c r="N19" s="48">
        <f t="shared" si="7"/>
        <v>1</v>
      </c>
      <c r="O19" s="48">
        <f t="shared" si="1"/>
        <v>0</v>
      </c>
      <c r="P19" s="12">
        <f>IF(Data!H19=0,"",Data!H19)</f>
        <v>44037.462314814817</v>
      </c>
      <c r="S19"/>
      <c r="T19"/>
      <c r="U19"/>
      <c r="V19"/>
      <c r="W19"/>
      <c r="X19"/>
      <c r="Y19"/>
      <c r="Z19"/>
      <c r="AA19"/>
      <c r="AB19"/>
      <c r="AC19"/>
      <c r="AD19"/>
      <c r="AE19"/>
      <c r="AF19"/>
      <c r="AG19"/>
      <c r="AH19"/>
      <c r="AI19"/>
      <c r="AJ19"/>
    </row>
    <row r="20" spans="1:36" ht="16.5" customHeight="1" x14ac:dyDescent="0.45">
      <c r="A20" s="11" t="str">
        <f>Data!G20</f>
        <v>Driver D</v>
      </c>
      <c r="B20" s="11" t="str">
        <f>Data!E20</f>
        <v>FirstName D</v>
      </c>
      <c r="C20" s="11" t="str">
        <f>Data!F20</f>
        <v>LastName D</v>
      </c>
      <c r="D20" s="10" t="b">
        <f t="shared" si="2"/>
        <v>0</v>
      </c>
      <c r="E20" s="10" t="str">
        <f t="shared" si="0"/>
        <v>NA</v>
      </c>
      <c r="F20" s="10">
        <f t="shared" si="3"/>
        <v>0</v>
      </c>
      <c r="G20" s="10">
        <f t="shared" si="4"/>
        <v>0</v>
      </c>
      <c r="H20" s="9" t="str">
        <f t="shared" si="5"/>
        <v>NA</v>
      </c>
      <c r="I20" s="58">
        <f>INT(Data!A20)</f>
        <v>44026</v>
      </c>
      <c r="J20" s="12">
        <f>Data!A20</f>
        <v>44026.563240740739</v>
      </c>
      <c r="K20" s="13" t="str">
        <f>Data!B20</f>
        <v>D</v>
      </c>
      <c r="L20" s="13" t="str">
        <f>Data!C20</f>
        <v>Vehicle D</v>
      </c>
      <c r="M20" s="56" t="b">
        <f t="shared" si="6"/>
        <v>1</v>
      </c>
      <c r="N20" s="48">
        <f t="shared" si="7"/>
        <v>1</v>
      </c>
      <c r="O20" s="48">
        <f t="shared" si="1"/>
        <v>0</v>
      </c>
      <c r="P20" s="12">
        <f>IF(Data!H20=0,"",Data!H20)</f>
        <v>44037.462314814817</v>
      </c>
      <c r="S20"/>
      <c r="T20"/>
      <c r="U20"/>
      <c r="V20"/>
      <c r="W20"/>
      <c r="X20"/>
      <c r="Y20"/>
      <c r="Z20"/>
      <c r="AA20"/>
      <c r="AB20"/>
      <c r="AC20"/>
      <c r="AD20"/>
      <c r="AE20"/>
      <c r="AF20"/>
      <c r="AG20"/>
      <c r="AH20"/>
      <c r="AI20"/>
      <c r="AJ20"/>
    </row>
    <row r="21" spans="1:36" ht="16.5" x14ac:dyDescent="0.45">
      <c r="A21" s="11" t="str">
        <f>Data!G21</f>
        <v>Driver D</v>
      </c>
      <c r="B21" s="11" t="str">
        <f>Data!E21</f>
        <v>FirstName D</v>
      </c>
      <c r="C21" s="11" t="str">
        <f>Data!F21</f>
        <v>LastName D</v>
      </c>
      <c r="D21" s="10" t="b">
        <f t="shared" si="2"/>
        <v>0</v>
      </c>
      <c r="E21" s="10" t="str">
        <f t="shared" si="0"/>
        <v>NA</v>
      </c>
      <c r="F21" s="10">
        <f t="shared" si="3"/>
        <v>0</v>
      </c>
      <c r="G21" s="10">
        <f t="shared" si="4"/>
        <v>0</v>
      </c>
      <c r="H21" s="9" t="str">
        <f t="shared" si="5"/>
        <v>NA</v>
      </c>
      <c r="I21" s="58">
        <f>INT(Data!A21)</f>
        <v>44026</v>
      </c>
      <c r="J21" s="12">
        <f>Data!A21</f>
        <v>44026.565486111111</v>
      </c>
      <c r="K21" s="13" t="str">
        <f>Data!B21</f>
        <v>OFF</v>
      </c>
      <c r="L21" s="13" t="str">
        <f>Data!C21</f>
        <v>Vehicle D</v>
      </c>
      <c r="M21" s="56" t="b">
        <f t="shared" si="6"/>
        <v>1</v>
      </c>
      <c r="N21" s="48">
        <f t="shared" si="7"/>
        <v>1</v>
      </c>
      <c r="O21" s="48">
        <f t="shared" si="1"/>
        <v>0</v>
      </c>
      <c r="P21" s="12">
        <f>IF(Data!H21=0,"",Data!H21)</f>
        <v>44037.462314814817</v>
      </c>
      <c r="S21"/>
      <c r="T21"/>
      <c r="U21"/>
      <c r="V21"/>
      <c r="W21"/>
      <c r="X21"/>
      <c r="Y21"/>
      <c r="Z21"/>
      <c r="AA21"/>
      <c r="AB21"/>
      <c r="AC21"/>
      <c r="AD21"/>
      <c r="AE21"/>
      <c r="AF21"/>
      <c r="AG21"/>
      <c r="AH21"/>
      <c r="AI21"/>
      <c r="AJ21"/>
    </row>
    <row r="22" spans="1:36" ht="16.5" x14ac:dyDescent="0.45">
      <c r="A22" s="11" t="str">
        <f>Data!G22</f>
        <v>Driver D</v>
      </c>
      <c r="B22" s="11" t="str">
        <f>Data!E22</f>
        <v>FirstName D</v>
      </c>
      <c r="C22" s="11" t="str">
        <f>Data!F22</f>
        <v>LastName D</v>
      </c>
      <c r="D22" s="10" t="b">
        <f t="shared" si="2"/>
        <v>0</v>
      </c>
      <c r="E22" s="10" t="str">
        <f t="shared" si="0"/>
        <v>NA</v>
      </c>
      <c r="F22" s="10">
        <f t="shared" si="3"/>
        <v>0</v>
      </c>
      <c r="G22" s="10">
        <f t="shared" si="4"/>
        <v>0</v>
      </c>
      <c r="H22" s="9" t="str">
        <f t="shared" si="5"/>
        <v>NA</v>
      </c>
      <c r="I22" s="58">
        <f>INT(Data!A22)</f>
        <v>44026</v>
      </c>
      <c r="J22" s="12">
        <f>Data!A22</f>
        <v>44026.589467592596</v>
      </c>
      <c r="K22" s="13" t="str">
        <f>Data!B22</f>
        <v>D</v>
      </c>
      <c r="L22" s="13" t="str">
        <f>Data!C22</f>
        <v>Vehicle D</v>
      </c>
      <c r="M22" s="56" t="b">
        <f t="shared" si="6"/>
        <v>1</v>
      </c>
      <c r="N22" s="48">
        <f t="shared" si="7"/>
        <v>0</v>
      </c>
      <c r="O22" s="48">
        <f t="shared" si="1"/>
        <v>1</v>
      </c>
      <c r="P22" s="12" t="str">
        <f>IF(Data!H22=0,"",Data!H22)</f>
        <v/>
      </c>
      <c r="S22"/>
      <c r="T22"/>
      <c r="U22"/>
      <c r="V22"/>
      <c r="W22"/>
      <c r="X22"/>
      <c r="Y22"/>
      <c r="Z22"/>
      <c r="AA22"/>
      <c r="AB22"/>
      <c r="AC22"/>
      <c r="AD22"/>
      <c r="AE22"/>
      <c r="AF22"/>
      <c r="AG22"/>
      <c r="AH22"/>
      <c r="AI22"/>
      <c r="AJ22"/>
    </row>
    <row r="23" spans="1:36" ht="16.5" x14ac:dyDescent="0.45">
      <c r="A23" s="11" t="str">
        <f>Data!G23</f>
        <v>Driver D</v>
      </c>
      <c r="B23" s="11" t="str">
        <f>Data!E23</f>
        <v>FirstName D</v>
      </c>
      <c r="C23" s="11" t="str">
        <f>Data!F23</f>
        <v>LastName D</v>
      </c>
      <c r="D23" s="10" t="b">
        <f t="shared" si="2"/>
        <v>0</v>
      </c>
      <c r="E23" s="10" t="str">
        <f t="shared" si="0"/>
        <v>NA</v>
      </c>
      <c r="F23" s="10">
        <f t="shared" si="3"/>
        <v>0</v>
      </c>
      <c r="G23" s="10">
        <f t="shared" si="4"/>
        <v>0</v>
      </c>
      <c r="H23" s="9" t="str">
        <f t="shared" si="5"/>
        <v>NA</v>
      </c>
      <c r="I23" s="58">
        <f>INT(Data!A23)</f>
        <v>44026</v>
      </c>
      <c r="J23" s="12">
        <f>Data!A23</f>
        <v>44026.70103009259</v>
      </c>
      <c r="K23" s="13" t="str">
        <f>Data!B23</f>
        <v>SB</v>
      </c>
      <c r="L23" s="13" t="str">
        <f>Data!C23</f>
        <v>Vehicle D</v>
      </c>
      <c r="M23" s="56" t="b">
        <f t="shared" si="6"/>
        <v>1</v>
      </c>
      <c r="N23" s="48">
        <f t="shared" si="7"/>
        <v>0</v>
      </c>
      <c r="O23" s="48">
        <f t="shared" si="1"/>
        <v>1</v>
      </c>
      <c r="P23" s="12" t="str">
        <f>IF(Data!H23=0,"",Data!H23)</f>
        <v/>
      </c>
      <c r="S23"/>
      <c r="T23"/>
      <c r="U23"/>
    </row>
    <row r="24" spans="1:36" ht="16.5" x14ac:dyDescent="0.45">
      <c r="A24" s="11" t="str">
        <f>Data!G24</f>
        <v>Driver E</v>
      </c>
      <c r="B24" s="11" t="str">
        <f>Data!E24</f>
        <v>FirstName E</v>
      </c>
      <c r="C24" s="11" t="str">
        <f>Data!F24</f>
        <v>LastName E</v>
      </c>
      <c r="D24" s="10" t="b">
        <f t="shared" si="2"/>
        <v>1</v>
      </c>
      <c r="E24" s="10">
        <f t="shared" si="0"/>
        <v>2</v>
      </c>
      <c r="F24" s="10">
        <f t="shared" si="3"/>
        <v>1</v>
      </c>
      <c r="G24" s="10">
        <f t="shared" si="4"/>
        <v>0</v>
      </c>
      <c r="H24" s="9">
        <f t="shared" si="5"/>
        <v>44032</v>
      </c>
      <c r="I24" s="58">
        <f>INT(Data!A24)</f>
        <v>44032</v>
      </c>
      <c r="J24" s="12">
        <f>Data!A24</f>
        <v>44032.013993055552</v>
      </c>
      <c r="K24" s="13" t="str">
        <f>Data!B24</f>
        <v>D</v>
      </c>
      <c r="L24" s="13" t="str">
        <f>Data!C24</f>
        <v>Vehicle E</v>
      </c>
      <c r="M24" s="56" t="b">
        <f t="shared" si="6"/>
        <v>1</v>
      </c>
      <c r="N24" s="48">
        <f t="shared" si="7"/>
        <v>1</v>
      </c>
      <c r="O24" s="48">
        <f t="shared" si="1"/>
        <v>0</v>
      </c>
      <c r="P24" s="12">
        <f>IF(Data!H24=0,"",Data!H24)</f>
        <v>44037.462314814817</v>
      </c>
      <c r="S24"/>
      <c r="T24"/>
      <c r="U24"/>
    </row>
    <row r="25" spans="1:36" ht="16.5" x14ac:dyDescent="0.45">
      <c r="A25" s="11" t="str">
        <f>Data!G25</f>
        <v>Driver E</v>
      </c>
      <c r="B25" s="11" t="str">
        <f>Data!E25</f>
        <v>FirstName E</v>
      </c>
      <c r="C25" s="11" t="str">
        <f>Data!F25</f>
        <v>LastName E</v>
      </c>
      <c r="D25" s="10" t="b">
        <f t="shared" si="2"/>
        <v>0</v>
      </c>
      <c r="E25" s="10" t="str">
        <f t="shared" si="0"/>
        <v>NA</v>
      </c>
      <c r="F25" s="10">
        <f t="shared" si="3"/>
        <v>0</v>
      </c>
      <c r="G25" s="10">
        <f t="shared" si="4"/>
        <v>0</v>
      </c>
      <c r="H25" s="9" t="str">
        <f t="shared" si="5"/>
        <v>NA</v>
      </c>
      <c r="I25" s="58">
        <f>INT(Data!A25)</f>
        <v>44032</v>
      </c>
      <c r="J25" s="12">
        <f>Data!A25</f>
        <v>44032.055995370371</v>
      </c>
      <c r="K25" s="13" t="str">
        <f>Data!B25</f>
        <v>ON</v>
      </c>
      <c r="L25" s="13" t="str">
        <f>Data!C25</f>
        <v>Vehicle E</v>
      </c>
      <c r="M25" s="56" t="b">
        <f t="shared" si="6"/>
        <v>1</v>
      </c>
      <c r="N25" s="48">
        <f t="shared" si="7"/>
        <v>1</v>
      </c>
      <c r="O25" s="48">
        <f t="shared" si="1"/>
        <v>0</v>
      </c>
      <c r="P25" s="12">
        <f>IF(Data!H25=0,"",Data!H25)</f>
        <v>44037.462314814817</v>
      </c>
      <c r="S25"/>
      <c r="T25"/>
      <c r="U25"/>
    </row>
    <row r="26" spans="1:36" ht="16.5" x14ac:dyDescent="0.45">
      <c r="A26" s="11" t="str">
        <f>Data!G26</f>
        <v>Driver E</v>
      </c>
      <c r="B26" s="11" t="str">
        <f>Data!E26</f>
        <v>FirstName E</v>
      </c>
      <c r="C26" s="11" t="str">
        <f>Data!F26</f>
        <v>LastName E</v>
      </c>
      <c r="D26" s="10" t="b">
        <f t="shared" si="2"/>
        <v>0</v>
      </c>
      <c r="E26" s="10" t="str">
        <f t="shared" si="0"/>
        <v>NA</v>
      </c>
      <c r="F26" s="10">
        <f t="shared" si="3"/>
        <v>0</v>
      </c>
      <c r="G26" s="10">
        <f t="shared" si="4"/>
        <v>0</v>
      </c>
      <c r="H26" s="9" t="str">
        <f t="shared" si="5"/>
        <v>NA</v>
      </c>
      <c r="I26" s="58">
        <f>INT(Data!A26)</f>
        <v>44032</v>
      </c>
      <c r="J26" s="12">
        <f>Data!A26</f>
        <v>44032.563240740739</v>
      </c>
      <c r="K26" s="13" t="str">
        <f>Data!B26</f>
        <v>D</v>
      </c>
      <c r="L26" s="13" t="str">
        <f>Data!C26</f>
        <v>Vehicle E</v>
      </c>
      <c r="M26" s="56" t="b">
        <f t="shared" si="6"/>
        <v>1</v>
      </c>
      <c r="N26" s="48">
        <f t="shared" si="7"/>
        <v>1</v>
      </c>
      <c r="O26" s="48">
        <f t="shared" si="1"/>
        <v>0</v>
      </c>
      <c r="P26" s="12">
        <f>IF(Data!H26=0,"",Data!H26)</f>
        <v>44037.462314814817</v>
      </c>
      <c r="S26"/>
      <c r="T26"/>
      <c r="U26"/>
    </row>
    <row r="27" spans="1:36" ht="16.5" x14ac:dyDescent="0.45">
      <c r="A27" s="11" t="str">
        <f>Data!G27</f>
        <v>Driver E</v>
      </c>
      <c r="B27" s="11" t="str">
        <f>Data!E27</f>
        <v>FirstName E</v>
      </c>
      <c r="C27" s="11" t="str">
        <f>Data!F27</f>
        <v>LastName E</v>
      </c>
      <c r="D27" s="10" t="b">
        <f t="shared" si="2"/>
        <v>0</v>
      </c>
      <c r="E27" s="10" t="str">
        <f t="shared" si="0"/>
        <v>NA</v>
      </c>
      <c r="F27" s="10">
        <f t="shared" si="3"/>
        <v>0</v>
      </c>
      <c r="G27" s="10">
        <f t="shared" si="4"/>
        <v>0</v>
      </c>
      <c r="H27" s="9" t="str">
        <f t="shared" si="5"/>
        <v>NA</v>
      </c>
      <c r="I27" s="58">
        <f>INT(Data!A27)</f>
        <v>44032</v>
      </c>
      <c r="J27" s="12">
        <f>Data!A27</f>
        <v>44032.565486111111</v>
      </c>
      <c r="K27" s="13" t="str">
        <f>Data!B27</f>
        <v>OFF</v>
      </c>
      <c r="L27" s="13" t="str">
        <f>Data!C27</f>
        <v>Vehicle E</v>
      </c>
      <c r="M27" s="56" t="b">
        <f t="shared" si="6"/>
        <v>1</v>
      </c>
      <c r="N27" s="48">
        <f t="shared" si="7"/>
        <v>1</v>
      </c>
      <c r="O27" s="48">
        <f t="shared" si="1"/>
        <v>0</v>
      </c>
      <c r="P27" s="12">
        <f>IF(Data!H27=0,"",Data!H27)</f>
        <v>44037.462314814817</v>
      </c>
      <c r="S27"/>
      <c r="T27"/>
      <c r="U27"/>
    </row>
    <row r="28" spans="1:36" ht="16.5" x14ac:dyDescent="0.45">
      <c r="A28" s="11" t="str">
        <f>Data!G28</f>
        <v>Driver E</v>
      </c>
      <c r="B28" s="11" t="str">
        <f>Data!E28</f>
        <v>FirstName E</v>
      </c>
      <c r="C28" s="11" t="str">
        <f>Data!F28</f>
        <v>LastName E</v>
      </c>
      <c r="D28" s="10" t="b">
        <f t="shared" si="2"/>
        <v>0</v>
      </c>
      <c r="E28" s="10" t="str">
        <f t="shared" si="0"/>
        <v>NA</v>
      </c>
      <c r="F28" s="10">
        <f t="shared" si="3"/>
        <v>0</v>
      </c>
      <c r="G28" s="10">
        <f t="shared" si="4"/>
        <v>0</v>
      </c>
      <c r="H28" s="9" t="str">
        <f t="shared" si="5"/>
        <v>NA</v>
      </c>
      <c r="I28" s="58">
        <f>INT(Data!A28)</f>
        <v>44032</v>
      </c>
      <c r="J28" s="12">
        <f>Data!A28</f>
        <v>44032.589467592596</v>
      </c>
      <c r="K28" s="13" t="str">
        <f>Data!B28</f>
        <v>D</v>
      </c>
      <c r="L28" s="13" t="str">
        <f>Data!C28</f>
        <v>Vehicle E</v>
      </c>
      <c r="M28" s="56" t="b">
        <f t="shared" si="6"/>
        <v>1</v>
      </c>
      <c r="N28" s="48">
        <f t="shared" si="7"/>
        <v>0</v>
      </c>
      <c r="O28" s="48">
        <f t="shared" si="1"/>
        <v>1</v>
      </c>
      <c r="P28" s="12" t="str">
        <f>IF(Data!H28=0,"",Data!H28)</f>
        <v/>
      </c>
      <c r="S28"/>
      <c r="T28"/>
      <c r="U28"/>
    </row>
    <row r="29" spans="1:36" ht="16.5" x14ac:dyDescent="0.45">
      <c r="A29" s="11" t="str">
        <f>Data!G29</f>
        <v>Driver E</v>
      </c>
      <c r="B29" s="11" t="str">
        <f>Data!E29</f>
        <v>FirstName E</v>
      </c>
      <c r="C29" s="11" t="str">
        <f>Data!F29</f>
        <v>LastName E</v>
      </c>
      <c r="D29" s="10" t="b">
        <f t="shared" si="2"/>
        <v>0</v>
      </c>
      <c r="E29" s="10" t="str">
        <f t="shared" si="0"/>
        <v>NA</v>
      </c>
      <c r="F29" s="10">
        <f t="shared" si="3"/>
        <v>0</v>
      </c>
      <c r="G29" s="10">
        <f t="shared" si="4"/>
        <v>0</v>
      </c>
      <c r="H29" s="9" t="str">
        <f t="shared" si="5"/>
        <v>NA</v>
      </c>
      <c r="I29" s="58">
        <f>INT(Data!A29)</f>
        <v>44032</v>
      </c>
      <c r="J29" s="12">
        <f>Data!A29</f>
        <v>44032.70103009259</v>
      </c>
      <c r="K29" s="13" t="str">
        <f>Data!B29</f>
        <v>SB</v>
      </c>
      <c r="L29" s="13" t="str">
        <f>Data!C29</f>
        <v>Vehicle E</v>
      </c>
      <c r="M29" s="56" t="b">
        <f t="shared" si="6"/>
        <v>1</v>
      </c>
      <c r="N29" s="48">
        <f t="shared" si="7"/>
        <v>0</v>
      </c>
      <c r="O29" s="48">
        <f t="shared" si="1"/>
        <v>1</v>
      </c>
      <c r="P29" s="12" t="str">
        <f>IF(Data!H29=0,"",Data!H29)</f>
        <v/>
      </c>
      <c r="S29"/>
      <c r="T29"/>
      <c r="U29"/>
    </row>
    <row r="30" spans="1:36" ht="16.5" x14ac:dyDescent="0.45">
      <c r="A30" s="11" t="str">
        <f>Data!G30</f>
        <v>Driver F</v>
      </c>
      <c r="B30" s="11" t="str">
        <f>Data!E30</f>
        <v>FirstName F</v>
      </c>
      <c r="C30" s="11" t="str">
        <f>Data!F30</f>
        <v>LastName F</v>
      </c>
      <c r="D30" s="10" t="b">
        <f t="shared" si="2"/>
        <v>1</v>
      </c>
      <c r="E30" s="10">
        <f t="shared" si="0"/>
        <v>0</v>
      </c>
      <c r="F30" s="10">
        <f t="shared" si="3"/>
        <v>0</v>
      </c>
      <c r="G30" s="10">
        <f t="shared" si="4"/>
        <v>1</v>
      </c>
      <c r="H30" s="9" t="str">
        <f t="shared" si="5"/>
        <v>NA</v>
      </c>
      <c r="I30" s="58">
        <f>INT(Data!A30)</f>
        <v>44028</v>
      </c>
      <c r="J30" s="12">
        <f>Data!A30</f>
        <v>44028.013993055552</v>
      </c>
      <c r="K30" s="13" t="str">
        <f>Data!B30</f>
        <v>D</v>
      </c>
      <c r="L30" s="13" t="str">
        <f>Data!C30</f>
        <v>Vehicle F</v>
      </c>
      <c r="M30" s="56" t="b">
        <f t="shared" si="6"/>
        <v>1</v>
      </c>
      <c r="N30" s="48">
        <f t="shared" si="7"/>
        <v>1</v>
      </c>
      <c r="O30" s="48">
        <f t="shared" si="1"/>
        <v>0</v>
      </c>
      <c r="P30" s="12">
        <f>IF(Data!H30=0,"",Data!H30)</f>
        <v>44037.462314814817</v>
      </c>
      <c r="S30"/>
      <c r="T30"/>
      <c r="U30"/>
    </row>
    <row r="31" spans="1:36" ht="16.5" x14ac:dyDescent="0.45">
      <c r="A31" s="11" t="str">
        <f>Data!G31</f>
        <v>Driver F</v>
      </c>
      <c r="B31" s="11" t="str">
        <f>Data!E31</f>
        <v>FirstName F</v>
      </c>
      <c r="C31" s="11" t="str">
        <f>Data!F31</f>
        <v>LastName F</v>
      </c>
      <c r="D31" s="10" t="b">
        <f t="shared" si="2"/>
        <v>0</v>
      </c>
      <c r="E31" s="10" t="str">
        <f t="shared" si="0"/>
        <v>NA</v>
      </c>
      <c r="F31" s="10">
        <f t="shared" si="3"/>
        <v>0</v>
      </c>
      <c r="G31" s="10">
        <f t="shared" si="4"/>
        <v>0</v>
      </c>
      <c r="H31" s="9" t="str">
        <f t="shared" si="5"/>
        <v>NA</v>
      </c>
      <c r="I31" s="58">
        <f>INT(Data!A31)</f>
        <v>44028</v>
      </c>
      <c r="J31" s="12">
        <f>Data!A31</f>
        <v>44028.055995370371</v>
      </c>
      <c r="K31" s="13" t="str">
        <f>Data!B31</f>
        <v>ON</v>
      </c>
      <c r="L31" s="13" t="str">
        <f>Data!C31</f>
        <v>Vehicle F</v>
      </c>
      <c r="M31" s="56" t="b">
        <f t="shared" si="6"/>
        <v>1</v>
      </c>
      <c r="N31" s="48">
        <f t="shared" si="7"/>
        <v>1</v>
      </c>
      <c r="O31" s="48">
        <f t="shared" si="1"/>
        <v>0</v>
      </c>
      <c r="P31" s="12">
        <f>IF(Data!H31=0,"",Data!H31)</f>
        <v>44037.462314814817</v>
      </c>
      <c r="S31"/>
      <c r="T31"/>
      <c r="U31"/>
    </row>
    <row r="32" spans="1:36" ht="16.5" x14ac:dyDescent="0.45">
      <c r="A32" s="11" t="str">
        <f>Data!G32</f>
        <v>Driver F</v>
      </c>
      <c r="B32" s="11" t="str">
        <f>Data!E32</f>
        <v>FirstName F</v>
      </c>
      <c r="C32" s="11" t="str">
        <f>Data!F32</f>
        <v>LastName F</v>
      </c>
      <c r="D32" s="10" t="b">
        <f t="shared" si="2"/>
        <v>0</v>
      </c>
      <c r="E32" s="10" t="str">
        <f t="shared" si="0"/>
        <v>NA</v>
      </c>
      <c r="F32" s="10">
        <f t="shared" si="3"/>
        <v>0</v>
      </c>
      <c r="G32" s="10">
        <f t="shared" si="4"/>
        <v>0</v>
      </c>
      <c r="H32" s="9" t="str">
        <f t="shared" si="5"/>
        <v>NA</v>
      </c>
      <c r="I32" s="58">
        <f>INT(Data!A32)</f>
        <v>44028</v>
      </c>
      <c r="J32" s="12">
        <f>Data!A32</f>
        <v>44028.563240740739</v>
      </c>
      <c r="K32" s="13" t="str">
        <f>Data!B32</f>
        <v>D</v>
      </c>
      <c r="L32" s="13" t="str">
        <f>Data!C32</f>
        <v>Vehicle F</v>
      </c>
      <c r="M32" s="56" t="b">
        <f t="shared" si="6"/>
        <v>1</v>
      </c>
      <c r="N32" s="48">
        <f t="shared" si="7"/>
        <v>1</v>
      </c>
      <c r="O32" s="48">
        <f t="shared" si="1"/>
        <v>0</v>
      </c>
      <c r="P32" s="12">
        <f>IF(Data!H32=0,"",Data!H32)</f>
        <v>44037.462314814817</v>
      </c>
    </row>
    <row r="33" spans="1:16" ht="16.5" x14ac:dyDescent="0.45">
      <c r="A33" s="11" t="str">
        <f>Data!G33</f>
        <v>Driver F</v>
      </c>
      <c r="B33" s="11" t="str">
        <f>Data!E33</f>
        <v>FirstName F</v>
      </c>
      <c r="C33" s="11" t="str">
        <f>Data!F33</f>
        <v>LastName F</v>
      </c>
      <c r="D33" s="10" t="b">
        <f t="shared" si="2"/>
        <v>0</v>
      </c>
      <c r="E33" s="10" t="str">
        <f t="shared" si="0"/>
        <v>NA</v>
      </c>
      <c r="F33" s="10">
        <f t="shared" si="3"/>
        <v>0</v>
      </c>
      <c r="G33" s="10">
        <f t="shared" si="4"/>
        <v>0</v>
      </c>
      <c r="H33" s="9" t="str">
        <f t="shared" si="5"/>
        <v>NA</v>
      </c>
      <c r="I33" s="58">
        <f>INT(Data!A33)</f>
        <v>44028</v>
      </c>
      <c r="J33" s="12">
        <f>Data!A33</f>
        <v>44028.565486111111</v>
      </c>
      <c r="K33" s="13" t="str">
        <f>Data!B33</f>
        <v>OFF</v>
      </c>
      <c r="L33" s="13" t="str">
        <f>Data!C33</f>
        <v>Vehicle F</v>
      </c>
      <c r="M33" s="56" t="b">
        <f t="shared" si="6"/>
        <v>1</v>
      </c>
      <c r="N33" s="48">
        <f t="shared" si="7"/>
        <v>1</v>
      </c>
      <c r="O33" s="48">
        <f t="shared" si="1"/>
        <v>0</v>
      </c>
      <c r="P33" s="12">
        <f>IF(Data!H33=0,"",Data!H33)</f>
        <v>44037.462314814817</v>
      </c>
    </row>
    <row r="34" spans="1:16" ht="16.5" x14ac:dyDescent="0.45">
      <c r="A34" s="11" t="str">
        <f>Data!G34</f>
        <v>Driver F</v>
      </c>
      <c r="B34" s="11" t="str">
        <f>Data!E34</f>
        <v>FirstName F</v>
      </c>
      <c r="C34" s="11" t="str">
        <f>Data!F34</f>
        <v>LastName F</v>
      </c>
      <c r="D34" s="10" t="b">
        <f t="shared" si="2"/>
        <v>0</v>
      </c>
      <c r="E34" s="10" t="str">
        <f t="shared" si="0"/>
        <v>NA</v>
      </c>
      <c r="F34" s="10">
        <f t="shared" si="3"/>
        <v>0</v>
      </c>
      <c r="G34" s="10">
        <f t="shared" si="4"/>
        <v>0</v>
      </c>
      <c r="H34" s="9" t="str">
        <f t="shared" si="5"/>
        <v>NA</v>
      </c>
      <c r="I34" s="58">
        <f>INT(Data!A34)</f>
        <v>44028</v>
      </c>
      <c r="J34" s="12">
        <f>Data!A34</f>
        <v>44028.589467592596</v>
      </c>
      <c r="K34" s="13" t="str">
        <f>Data!B34</f>
        <v>D</v>
      </c>
      <c r="L34" s="13" t="str">
        <f>Data!C34</f>
        <v>Vehicle F</v>
      </c>
      <c r="M34" s="56" t="b">
        <f t="shared" si="6"/>
        <v>1</v>
      </c>
      <c r="N34" s="48">
        <f t="shared" si="7"/>
        <v>1</v>
      </c>
      <c r="O34" s="48">
        <f t="shared" si="1"/>
        <v>0</v>
      </c>
      <c r="P34" s="12">
        <f>IF(Data!H34=0,"",Data!H34)</f>
        <v>44037.462314814817</v>
      </c>
    </row>
    <row r="35" spans="1:16" ht="16.5" x14ac:dyDescent="0.45">
      <c r="A35" s="11" t="str">
        <f>Data!G35</f>
        <v>Driver F</v>
      </c>
      <c r="B35" s="11" t="str">
        <f>Data!E35</f>
        <v>FirstName F</v>
      </c>
      <c r="C35" s="11" t="str">
        <f>Data!F35</f>
        <v>LastName F</v>
      </c>
      <c r="D35" s="10" t="b">
        <f t="shared" si="2"/>
        <v>0</v>
      </c>
      <c r="E35" s="10" t="str">
        <f t="shared" si="0"/>
        <v>NA</v>
      </c>
      <c r="F35" s="10">
        <f t="shared" si="3"/>
        <v>0</v>
      </c>
      <c r="G35" s="10">
        <f t="shared" si="4"/>
        <v>0</v>
      </c>
      <c r="H35" s="9" t="str">
        <f t="shared" si="5"/>
        <v>NA</v>
      </c>
      <c r="I35" s="58">
        <f>INT(Data!A35)</f>
        <v>44028</v>
      </c>
      <c r="J35" s="12">
        <f>Data!A35</f>
        <v>44028.70103009259</v>
      </c>
      <c r="K35" s="13" t="str">
        <f>Data!B35</f>
        <v>SB</v>
      </c>
      <c r="L35" s="13" t="str">
        <f>Data!C35</f>
        <v>Vehicle F</v>
      </c>
      <c r="M35" s="56" t="b">
        <f t="shared" si="6"/>
        <v>1</v>
      </c>
      <c r="N35" s="48">
        <f t="shared" si="7"/>
        <v>1</v>
      </c>
      <c r="O35" s="48">
        <f t="shared" si="1"/>
        <v>0</v>
      </c>
      <c r="P35" s="12">
        <f>IF(Data!H35=0,"",Data!H35)</f>
        <v>44037.462314814817</v>
      </c>
    </row>
    <row r="36" spans="1:16" ht="16.5" x14ac:dyDescent="0.45">
      <c r="A36" s="11" t="str">
        <f>Data!G36</f>
        <v>Driver G</v>
      </c>
      <c r="B36" s="11" t="str">
        <f>Data!E36</f>
        <v>FirstName G</v>
      </c>
      <c r="C36" s="11" t="str">
        <f>Data!F36</f>
        <v>LastName G</v>
      </c>
      <c r="D36" s="10" t="b">
        <f t="shared" si="2"/>
        <v>1</v>
      </c>
      <c r="E36" s="10">
        <f t="shared" si="0"/>
        <v>2</v>
      </c>
      <c r="F36" s="10">
        <f t="shared" si="3"/>
        <v>1</v>
      </c>
      <c r="G36" s="10">
        <f t="shared" si="4"/>
        <v>0</v>
      </c>
      <c r="H36" s="9">
        <f t="shared" si="5"/>
        <v>44031</v>
      </c>
      <c r="I36" s="58">
        <f>INT(Data!A36)</f>
        <v>44031</v>
      </c>
      <c r="J36" s="12">
        <f>Data!A36</f>
        <v>44031.013993055552</v>
      </c>
      <c r="K36" s="13" t="str">
        <f>Data!B36</f>
        <v>D</v>
      </c>
      <c r="L36" s="13" t="str">
        <f>Data!C36</f>
        <v>Vehicle G</v>
      </c>
      <c r="M36" s="56" t="b">
        <f t="shared" si="6"/>
        <v>1</v>
      </c>
      <c r="N36" s="48">
        <f t="shared" si="7"/>
        <v>1</v>
      </c>
      <c r="O36" s="48">
        <f t="shared" si="1"/>
        <v>0</v>
      </c>
      <c r="P36" s="12">
        <f>IF(Data!H36=0,"",Data!H36)</f>
        <v>44037.462314814817</v>
      </c>
    </row>
    <row r="37" spans="1:16" ht="16.5" x14ac:dyDescent="0.45">
      <c r="A37" s="11" t="str">
        <f>Data!G37</f>
        <v>Driver G</v>
      </c>
      <c r="B37" s="11" t="str">
        <f>Data!E37</f>
        <v>FirstName G</v>
      </c>
      <c r="C37" s="11" t="str">
        <f>Data!F37</f>
        <v>LastName G</v>
      </c>
      <c r="D37" s="10" t="b">
        <f t="shared" si="2"/>
        <v>0</v>
      </c>
      <c r="E37" s="10" t="str">
        <f t="shared" si="0"/>
        <v>NA</v>
      </c>
      <c r="F37" s="10">
        <f t="shared" si="3"/>
        <v>0</v>
      </c>
      <c r="G37" s="10">
        <f t="shared" si="4"/>
        <v>0</v>
      </c>
      <c r="H37" s="9" t="str">
        <f t="shared" si="5"/>
        <v>NA</v>
      </c>
      <c r="I37" s="58">
        <f>INT(Data!A37)</f>
        <v>44031</v>
      </c>
      <c r="J37" s="12">
        <f>Data!A37</f>
        <v>44031.055995370371</v>
      </c>
      <c r="K37" s="13" t="str">
        <f>Data!B37</f>
        <v>ON</v>
      </c>
      <c r="L37" s="13" t="str">
        <f>Data!C37</f>
        <v>Vehicle G</v>
      </c>
      <c r="M37" s="56" t="b">
        <f t="shared" si="6"/>
        <v>1</v>
      </c>
      <c r="N37" s="48">
        <f t="shared" si="7"/>
        <v>1</v>
      </c>
      <c r="O37" s="48">
        <f t="shared" si="1"/>
        <v>0</v>
      </c>
      <c r="P37" s="12">
        <f>IF(Data!H37=0,"",Data!H37)</f>
        <v>44037.462314814817</v>
      </c>
    </row>
    <row r="38" spans="1:16" ht="16.5" x14ac:dyDescent="0.45">
      <c r="A38" s="11" t="str">
        <f>Data!G38</f>
        <v>Driver G</v>
      </c>
      <c r="B38" s="11" t="str">
        <f>Data!E38</f>
        <v>FirstName G</v>
      </c>
      <c r="C38" s="11" t="str">
        <f>Data!F38</f>
        <v>LastName G</v>
      </c>
      <c r="D38" s="10" t="b">
        <f t="shared" si="2"/>
        <v>0</v>
      </c>
      <c r="E38" s="10" t="str">
        <f t="shared" si="0"/>
        <v>NA</v>
      </c>
      <c r="F38" s="10">
        <f t="shared" si="3"/>
        <v>0</v>
      </c>
      <c r="G38" s="10">
        <f t="shared" si="4"/>
        <v>0</v>
      </c>
      <c r="H38" s="9" t="str">
        <f t="shared" si="5"/>
        <v>NA</v>
      </c>
      <c r="I38" s="58">
        <f>INT(Data!A38)</f>
        <v>44031</v>
      </c>
      <c r="J38" s="12">
        <f>Data!A38</f>
        <v>44031.563240740739</v>
      </c>
      <c r="K38" s="13" t="str">
        <f>Data!B38</f>
        <v>D</v>
      </c>
      <c r="L38" s="13" t="str">
        <f>Data!C38</f>
        <v>Vehicle G</v>
      </c>
      <c r="M38" s="56" t="b">
        <f t="shared" si="6"/>
        <v>1</v>
      </c>
      <c r="N38" s="48">
        <f t="shared" si="7"/>
        <v>1</v>
      </c>
      <c r="O38" s="48">
        <f t="shared" si="1"/>
        <v>0</v>
      </c>
      <c r="P38" s="12">
        <f>IF(Data!H38=0,"",Data!H38)</f>
        <v>44037.462314814817</v>
      </c>
    </row>
    <row r="39" spans="1:16" ht="16.5" x14ac:dyDescent="0.45">
      <c r="A39" s="11" t="str">
        <f>Data!G39</f>
        <v>Driver G</v>
      </c>
      <c r="B39" s="11" t="str">
        <f>Data!E39</f>
        <v>FirstName G</v>
      </c>
      <c r="C39" s="11" t="str">
        <f>Data!F39</f>
        <v>LastName G</v>
      </c>
      <c r="D39" s="10" t="b">
        <f t="shared" si="2"/>
        <v>0</v>
      </c>
      <c r="E39" s="10" t="str">
        <f t="shared" si="0"/>
        <v>NA</v>
      </c>
      <c r="F39" s="10">
        <f t="shared" si="3"/>
        <v>0</v>
      </c>
      <c r="G39" s="10">
        <f t="shared" si="4"/>
        <v>0</v>
      </c>
      <c r="H39" s="9" t="str">
        <f t="shared" si="5"/>
        <v>NA</v>
      </c>
      <c r="I39" s="58">
        <f>INT(Data!A39)</f>
        <v>44031</v>
      </c>
      <c r="J39" s="12">
        <f>Data!A39</f>
        <v>44031.565486111111</v>
      </c>
      <c r="K39" s="13" t="str">
        <f>Data!B39</f>
        <v>OFF</v>
      </c>
      <c r="L39" s="13" t="str">
        <f>Data!C39</f>
        <v>Vehicle G</v>
      </c>
      <c r="M39" s="56" t="b">
        <f t="shared" si="6"/>
        <v>1</v>
      </c>
      <c r="N39" s="48">
        <f t="shared" si="7"/>
        <v>1</v>
      </c>
      <c r="O39" s="48">
        <f t="shared" si="1"/>
        <v>0</v>
      </c>
      <c r="P39" s="12">
        <f>IF(Data!H39=0,"",Data!H39)</f>
        <v>44037.462314814817</v>
      </c>
    </row>
    <row r="40" spans="1:16" ht="16.5" x14ac:dyDescent="0.45">
      <c r="A40" s="11" t="str">
        <f>Data!G40</f>
        <v>Driver G</v>
      </c>
      <c r="B40" s="11" t="str">
        <f>Data!E40</f>
        <v>FirstName G</v>
      </c>
      <c r="C40" s="11" t="str">
        <f>Data!F40</f>
        <v>LastName G</v>
      </c>
      <c r="D40" s="10" t="b">
        <f t="shared" si="2"/>
        <v>0</v>
      </c>
      <c r="E40" s="10" t="str">
        <f t="shared" si="0"/>
        <v>NA</v>
      </c>
      <c r="F40" s="10">
        <f t="shared" si="3"/>
        <v>0</v>
      </c>
      <c r="G40" s="10">
        <f t="shared" si="4"/>
        <v>0</v>
      </c>
      <c r="H40" s="9" t="str">
        <f t="shared" si="5"/>
        <v>NA</v>
      </c>
      <c r="I40" s="58">
        <f>INT(Data!A40)</f>
        <v>44031</v>
      </c>
      <c r="J40" s="12">
        <f>Data!A40</f>
        <v>44031.589467592596</v>
      </c>
      <c r="K40" s="13" t="str">
        <f>Data!B40</f>
        <v>D</v>
      </c>
      <c r="L40" s="13" t="str">
        <f>Data!C40</f>
        <v>Vehicle G</v>
      </c>
      <c r="M40" s="56" t="b">
        <f t="shared" si="6"/>
        <v>1</v>
      </c>
      <c r="N40" s="48">
        <f t="shared" si="7"/>
        <v>0</v>
      </c>
      <c r="O40" s="48">
        <f t="shared" si="1"/>
        <v>1</v>
      </c>
      <c r="P40" s="12" t="str">
        <f>IF(Data!H40=0,"",Data!H40)</f>
        <v/>
      </c>
    </row>
    <row r="41" spans="1:16" ht="16.5" x14ac:dyDescent="0.45">
      <c r="A41" s="11" t="str">
        <f>Data!G41</f>
        <v>Driver G</v>
      </c>
      <c r="B41" s="11" t="str">
        <f>Data!E41</f>
        <v>FirstName G</v>
      </c>
      <c r="C41" s="11" t="str">
        <f>Data!F41</f>
        <v>LastName G</v>
      </c>
      <c r="D41" s="10" t="b">
        <f t="shared" si="2"/>
        <v>0</v>
      </c>
      <c r="E41" s="10" t="str">
        <f t="shared" si="0"/>
        <v>NA</v>
      </c>
      <c r="F41" s="10">
        <f t="shared" si="3"/>
        <v>0</v>
      </c>
      <c r="G41" s="10">
        <f t="shared" si="4"/>
        <v>0</v>
      </c>
      <c r="H41" s="9" t="str">
        <f t="shared" si="5"/>
        <v>NA</v>
      </c>
      <c r="I41" s="58">
        <f>INT(Data!A41)</f>
        <v>44031</v>
      </c>
      <c r="J41" s="12">
        <f>Data!A41</f>
        <v>44031.70103009259</v>
      </c>
      <c r="K41" s="13" t="str">
        <f>Data!B41</f>
        <v>SB</v>
      </c>
      <c r="L41" s="13" t="str">
        <f>Data!C41</f>
        <v>Vehicle G</v>
      </c>
      <c r="M41" s="56" t="b">
        <f t="shared" si="6"/>
        <v>1</v>
      </c>
      <c r="N41" s="48">
        <f t="shared" si="7"/>
        <v>0</v>
      </c>
      <c r="O41" s="48">
        <f t="shared" si="1"/>
        <v>1</v>
      </c>
      <c r="P41" s="12" t="str">
        <f>IF(Data!H41=0,"",Data!H41)</f>
        <v/>
      </c>
    </row>
    <row r="42" spans="1:16" ht="16.5" x14ac:dyDescent="0.45">
      <c r="A42" s="11" t="str">
        <f>Data!G42</f>
        <v>Driver H</v>
      </c>
      <c r="B42" s="11" t="str">
        <f>Data!E42</f>
        <v>FirstName H</v>
      </c>
      <c r="C42" s="11" t="str">
        <f>Data!F42</f>
        <v>LastName H</v>
      </c>
      <c r="D42" s="10" t="b">
        <f t="shared" si="2"/>
        <v>1</v>
      </c>
      <c r="E42" s="10">
        <f t="shared" si="0"/>
        <v>0</v>
      </c>
      <c r="F42" s="10">
        <f t="shared" si="3"/>
        <v>0</v>
      </c>
      <c r="G42" s="10">
        <f t="shared" si="4"/>
        <v>1</v>
      </c>
      <c r="H42" s="9" t="str">
        <f t="shared" si="5"/>
        <v>NA</v>
      </c>
      <c r="I42" s="58">
        <f>INT(Data!A42)</f>
        <v>44019</v>
      </c>
      <c r="J42" s="12">
        <f>Data!A42</f>
        <v>44019.589467592596</v>
      </c>
      <c r="K42" s="13" t="str">
        <f>Data!B42</f>
        <v>D</v>
      </c>
      <c r="L42" s="13" t="str">
        <f>Data!C42</f>
        <v>Vehicle H</v>
      </c>
      <c r="M42" s="56" t="b">
        <f t="shared" si="6"/>
        <v>1</v>
      </c>
      <c r="N42" s="48">
        <f t="shared" si="7"/>
        <v>1</v>
      </c>
      <c r="O42" s="48">
        <f t="shared" si="1"/>
        <v>0</v>
      </c>
      <c r="P42" s="12">
        <f>IF(Data!H42=0,"",Data!H42)</f>
        <v>44037.462314814817</v>
      </c>
    </row>
    <row r="43" spans="1:16" ht="16.5" x14ac:dyDescent="0.45">
      <c r="A43" s="11" t="str">
        <f>Data!G43</f>
        <v>Driver H</v>
      </c>
      <c r="B43" s="11" t="str">
        <f>Data!E43</f>
        <v>FirstName H</v>
      </c>
      <c r="C43" s="11" t="str">
        <f>Data!F43</f>
        <v>LastName H</v>
      </c>
      <c r="D43" s="10" t="b">
        <f t="shared" si="2"/>
        <v>0</v>
      </c>
      <c r="E43" s="10" t="str">
        <f t="shared" si="0"/>
        <v>NA</v>
      </c>
      <c r="F43" s="10">
        <f t="shared" si="3"/>
        <v>0</v>
      </c>
      <c r="G43" s="10">
        <f t="shared" si="4"/>
        <v>0</v>
      </c>
      <c r="H43" s="9" t="str">
        <f t="shared" si="5"/>
        <v>NA</v>
      </c>
      <c r="I43" s="58">
        <f>INT(Data!A43)</f>
        <v>44019</v>
      </c>
      <c r="J43" s="12">
        <f>Data!A43</f>
        <v>44019.70103009259</v>
      </c>
      <c r="K43" s="13" t="str">
        <f>Data!B43</f>
        <v>ON</v>
      </c>
      <c r="L43" s="13" t="str">
        <f>Data!C43</f>
        <v>Vehicle H</v>
      </c>
      <c r="M43" s="56" t="b">
        <f t="shared" si="6"/>
        <v>1</v>
      </c>
      <c r="N43" s="48">
        <f t="shared" si="7"/>
        <v>1</v>
      </c>
      <c r="O43" s="48">
        <f t="shared" si="1"/>
        <v>0</v>
      </c>
      <c r="P43" s="12">
        <f>IF(Data!H43=0,"",Data!H43)</f>
        <v>44037.462314814817</v>
      </c>
    </row>
    <row r="44" spans="1:16" ht="16.5" x14ac:dyDescent="0.45">
      <c r="A44" s="11" t="str">
        <f>Data!G44</f>
        <v>Driver H</v>
      </c>
      <c r="B44" s="11" t="str">
        <f>Data!E44</f>
        <v>FirstName H</v>
      </c>
      <c r="C44" s="11" t="str">
        <f>Data!F44</f>
        <v>LastName H</v>
      </c>
      <c r="D44" s="10" t="b">
        <f t="shared" si="2"/>
        <v>1</v>
      </c>
      <c r="E44" s="10">
        <f t="shared" ref="E44:E75" si="8">IF(D44,SUMIFS(O:O,A:A,A44,I:I, I44),"NA")</f>
        <v>2</v>
      </c>
      <c r="F44" s="10">
        <f t="shared" si="3"/>
        <v>1</v>
      </c>
      <c r="G44" s="10">
        <f t="shared" si="4"/>
        <v>0</v>
      </c>
      <c r="H44" s="9">
        <f t="shared" si="5"/>
        <v>44028</v>
      </c>
      <c r="I44" s="58">
        <f>INT(Data!A44)</f>
        <v>44028</v>
      </c>
      <c r="J44" s="12">
        <f>Data!A44</f>
        <v>44028.589467592596</v>
      </c>
      <c r="K44" s="13" t="str">
        <f>Data!B44</f>
        <v>D</v>
      </c>
      <c r="L44" s="13" t="str">
        <f>Data!C44</f>
        <v>Vehicle H</v>
      </c>
      <c r="M44" s="56" t="b">
        <f t="shared" si="6"/>
        <v>1</v>
      </c>
      <c r="N44" s="48">
        <f t="shared" si="7"/>
        <v>0</v>
      </c>
      <c r="O44" s="48">
        <f t="shared" si="1"/>
        <v>1</v>
      </c>
      <c r="P44" s="12" t="str">
        <f>IF(Data!H44=0,"",Data!H44)</f>
        <v/>
      </c>
    </row>
    <row r="45" spans="1:16" ht="16.5" x14ac:dyDescent="0.45">
      <c r="A45" s="11" t="str">
        <f>Data!G45</f>
        <v>Driver H</v>
      </c>
      <c r="B45" s="11" t="str">
        <f>Data!E45</f>
        <v>FirstName H</v>
      </c>
      <c r="C45" s="11" t="str">
        <f>Data!F45</f>
        <v>LastName H</v>
      </c>
      <c r="D45" s="10" t="b">
        <f t="shared" si="2"/>
        <v>0</v>
      </c>
      <c r="E45" s="10" t="str">
        <f t="shared" si="8"/>
        <v>NA</v>
      </c>
      <c r="F45" s="10">
        <f t="shared" si="3"/>
        <v>0</v>
      </c>
      <c r="G45" s="10">
        <f t="shared" si="4"/>
        <v>0</v>
      </c>
      <c r="H45" s="9" t="str">
        <f t="shared" si="5"/>
        <v>NA</v>
      </c>
      <c r="I45" s="58">
        <f>INT(Data!A45)</f>
        <v>44028</v>
      </c>
      <c r="J45" s="12">
        <f>Data!A45</f>
        <v>44028.70103009259</v>
      </c>
      <c r="K45" s="13" t="str">
        <f>Data!B45</f>
        <v>OFF</v>
      </c>
      <c r="L45" s="13" t="str">
        <f>Data!C45</f>
        <v>Vehicle H</v>
      </c>
      <c r="M45" s="56" t="b">
        <f t="shared" si="6"/>
        <v>1</v>
      </c>
      <c r="N45" s="48">
        <f t="shared" si="7"/>
        <v>0</v>
      </c>
      <c r="O45" s="48">
        <f t="shared" si="1"/>
        <v>1</v>
      </c>
      <c r="P45" s="12" t="str">
        <f>IF(Data!H45=0,"",Data!H45)</f>
        <v/>
      </c>
    </row>
    <row r="46" spans="1:16" ht="16.5" x14ac:dyDescent="0.45">
      <c r="A46" s="11" t="str">
        <f>Data!G46</f>
        <v>Driver H</v>
      </c>
      <c r="B46" s="11" t="str">
        <f>Data!E46</f>
        <v>FirstName H</v>
      </c>
      <c r="C46" s="11" t="str">
        <f>Data!F46</f>
        <v>LastName H</v>
      </c>
      <c r="D46" s="10" t="b">
        <f t="shared" si="2"/>
        <v>1</v>
      </c>
      <c r="E46" s="10">
        <f t="shared" si="8"/>
        <v>4</v>
      </c>
      <c r="F46" s="10">
        <f t="shared" si="3"/>
        <v>1</v>
      </c>
      <c r="G46" s="10">
        <f t="shared" si="4"/>
        <v>0</v>
      </c>
      <c r="H46" s="9">
        <f t="shared" si="5"/>
        <v>44032</v>
      </c>
      <c r="I46" s="58">
        <f>INT(Data!A46)</f>
        <v>44032</v>
      </c>
      <c r="J46" s="12">
        <f>Data!A46</f>
        <v>44032.055995370371</v>
      </c>
      <c r="K46" s="13" t="str">
        <f>Data!B46</f>
        <v>D</v>
      </c>
      <c r="L46" s="13" t="str">
        <f>Data!C46</f>
        <v>Vehicle H</v>
      </c>
      <c r="M46" s="56" t="b">
        <f t="shared" si="6"/>
        <v>1</v>
      </c>
      <c r="N46" s="48">
        <f t="shared" si="7"/>
        <v>0</v>
      </c>
      <c r="O46" s="48">
        <f t="shared" si="1"/>
        <v>1</v>
      </c>
      <c r="P46" s="12" t="str">
        <f>IF(Data!H46=0,"",Data!H46)</f>
        <v/>
      </c>
    </row>
    <row r="47" spans="1:16" ht="16.5" x14ac:dyDescent="0.45">
      <c r="A47" s="11" t="str">
        <f>Data!G47</f>
        <v>Driver H</v>
      </c>
      <c r="B47" s="11" t="str">
        <f>Data!E47</f>
        <v>FirstName H</v>
      </c>
      <c r="C47" s="11" t="str">
        <f>Data!F47</f>
        <v>LastName H</v>
      </c>
      <c r="D47" s="10" t="b">
        <f t="shared" si="2"/>
        <v>0</v>
      </c>
      <c r="E47" s="10" t="str">
        <f t="shared" si="8"/>
        <v>NA</v>
      </c>
      <c r="F47" s="10">
        <f t="shared" si="3"/>
        <v>0</v>
      </c>
      <c r="G47" s="10">
        <f t="shared" si="4"/>
        <v>0</v>
      </c>
      <c r="H47" s="9" t="str">
        <f t="shared" si="5"/>
        <v>NA</v>
      </c>
      <c r="I47" s="58">
        <f>INT(Data!A47)</f>
        <v>44032</v>
      </c>
      <c r="J47" s="12">
        <f>Data!A47</f>
        <v>44032.180995370371</v>
      </c>
      <c r="K47" s="13" t="str">
        <f>Data!B47</f>
        <v>SB</v>
      </c>
      <c r="L47" s="13" t="str">
        <f>Data!C47</f>
        <v>Vehicle H</v>
      </c>
      <c r="M47" s="56" t="b">
        <f t="shared" si="6"/>
        <v>1</v>
      </c>
      <c r="N47" s="48">
        <f t="shared" si="7"/>
        <v>0</v>
      </c>
      <c r="O47" s="48">
        <f t="shared" si="1"/>
        <v>1</v>
      </c>
      <c r="P47" s="12" t="str">
        <f>IF(Data!H47=0,"",Data!H47)</f>
        <v/>
      </c>
    </row>
    <row r="48" spans="1:16" ht="16.5" x14ac:dyDescent="0.45">
      <c r="A48" s="11" t="str">
        <f>Data!G48</f>
        <v>Driver H</v>
      </c>
      <c r="B48" s="11" t="str">
        <f>Data!E48</f>
        <v>FirstName H</v>
      </c>
      <c r="C48" s="11" t="str">
        <f>Data!F48</f>
        <v>LastName H</v>
      </c>
      <c r="D48" s="10" t="b">
        <f t="shared" si="2"/>
        <v>0</v>
      </c>
      <c r="E48" s="10" t="str">
        <f t="shared" si="8"/>
        <v>NA</v>
      </c>
      <c r="F48" s="10">
        <f t="shared" si="3"/>
        <v>0</v>
      </c>
      <c r="G48" s="10">
        <f t="shared" si="4"/>
        <v>0</v>
      </c>
      <c r="H48" s="9" t="str">
        <f t="shared" si="5"/>
        <v>NA</v>
      </c>
      <c r="I48" s="58">
        <f>INT(Data!A48)</f>
        <v>44032</v>
      </c>
      <c r="J48" s="12">
        <f>Data!A48</f>
        <v>44032.555995370371</v>
      </c>
      <c r="K48" s="13" t="str">
        <f>Data!B48</f>
        <v>D</v>
      </c>
      <c r="L48" s="13" t="str">
        <f>Data!C48</f>
        <v>Vehicle H</v>
      </c>
      <c r="M48" s="56" t="b">
        <f t="shared" si="6"/>
        <v>1</v>
      </c>
      <c r="N48" s="48">
        <f t="shared" si="7"/>
        <v>0</v>
      </c>
      <c r="O48" s="48">
        <f t="shared" si="1"/>
        <v>1</v>
      </c>
      <c r="P48" s="12" t="str">
        <f>IF(Data!H48=0,"",Data!H48)</f>
        <v/>
      </c>
    </row>
    <row r="49" spans="1:16" ht="16.5" x14ac:dyDescent="0.45">
      <c r="A49" s="11" t="str">
        <f>Data!G49</f>
        <v>Driver H</v>
      </c>
      <c r="B49" s="11" t="str">
        <f>Data!E49</f>
        <v>FirstName H</v>
      </c>
      <c r="C49" s="11" t="str">
        <f>Data!F49</f>
        <v>LastName H</v>
      </c>
      <c r="D49" s="10" t="b">
        <f t="shared" si="2"/>
        <v>0</v>
      </c>
      <c r="E49" s="10" t="str">
        <f t="shared" si="8"/>
        <v>NA</v>
      </c>
      <c r="F49" s="10">
        <f t="shared" si="3"/>
        <v>0</v>
      </c>
      <c r="G49" s="10">
        <f t="shared" si="4"/>
        <v>0</v>
      </c>
      <c r="H49" s="9" t="str">
        <f t="shared" si="5"/>
        <v>NA</v>
      </c>
      <c r="I49" s="58">
        <f>INT(Data!A49)</f>
        <v>44032</v>
      </c>
      <c r="J49" s="12">
        <f>Data!A49</f>
        <v>44032.680995370371</v>
      </c>
      <c r="K49" s="13" t="str">
        <f>Data!B49</f>
        <v>SB</v>
      </c>
      <c r="L49" s="13" t="str">
        <f>Data!C49</f>
        <v>Vehicle H</v>
      </c>
      <c r="M49" s="56" t="b">
        <f t="shared" si="6"/>
        <v>1</v>
      </c>
      <c r="N49" s="48">
        <f t="shared" si="7"/>
        <v>0</v>
      </c>
      <c r="O49" s="48">
        <f t="shared" si="1"/>
        <v>1</v>
      </c>
      <c r="P49" s="12" t="str">
        <f>IF(Data!H49=0,"",Data!H49)</f>
        <v/>
      </c>
    </row>
    <row r="50" spans="1:16" ht="16.5" x14ac:dyDescent="0.45">
      <c r="A50" s="11" t="str">
        <f>Data!G50</f>
        <v>Driver J</v>
      </c>
      <c r="B50" s="11" t="str">
        <f>Data!E50</f>
        <v>FirstName J</v>
      </c>
      <c r="C50" s="11" t="str">
        <f>Data!F50</f>
        <v>LastName J</v>
      </c>
      <c r="D50" s="10" t="b">
        <f t="shared" si="2"/>
        <v>1</v>
      </c>
      <c r="E50" s="10">
        <f t="shared" si="8"/>
        <v>0</v>
      </c>
      <c r="F50" s="10">
        <f t="shared" si="3"/>
        <v>0</v>
      </c>
      <c r="G50" s="10">
        <f t="shared" si="4"/>
        <v>1</v>
      </c>
      <c r="H50" s="9" t="str">
        <f t="shared" si="5"/>
        <v>NA</v>
      </c>
      <c r="I50" s="58">
        <f>INT(Data!A50)</f>
        <v>44013</v>
      </c>
      <c r="J50" s="12">
        <f>Data!A50</f>
        <v>44013.013993055552</v>
      </c>
      <c r="K50" s="13" t="str">
        <f>Data!B50</f>
        <v>D</v>
      </c>
      <c r="L50" s="13" t="str">
        <f>Data!C50</f>
        <v>Vehicle J</v>
      </c>
      <c r="M50" s="56" t="b">
        <f t="shared" si="6"/>
        <v>1</v>
      </c>
      <c r="N50" s="48">
        <f t="shared" si="7"/>
        <v>1</v>
      </c>
      <c r="O50" s="48">
        <f t="shared" si="1"/>
        <v>0</v>
      </c>
      <c r="P50" s="12">
        <f>IF(Data!H50=0,"",Data!H50)</f>
        <v>44037.462314814817</v>
      </c>
    </row>
    <row r="51" spans="1:16" ht="16.5" x14ac:dyDescent="0.45">
      <c r="A51" s="11" t="str">
        <f>Data!G51</f>
        <v>Driver J</v>
      </c>
      <c r="B51" s="11" t="str">
        <f>Data!E51</f>
        <v>FirstName J</v>
      </c>
      <c r="C51" s="11" t="str">
        <f>Data!F51</f>
        <v>LastName J</v>
      </c>
      <c r="D51" s="10" t="b">
        <f t="shared" si="2"/>
        <v>0</v>
      </c>
      <c r="E51" s="10" t="str">
        <f t="shared" si="8"/>
        <v>NA</v>
      </c>
      <c r="F51" s="10">
        <f t="shared" si="3"/>
        <v>0</v>
      </c>
      <c r="G51" s="10">
        <f t="shared" si="4"/>
        <v>0</v>
      </c>
      <c r="H51" s="9" t="str">
        <f t="shared" si="5"/>
        <v>NA</v>
      </c>
      <c r="I51" s="58">
        <f>INT(Data!A51)</f>
        <v>44013</v>
      </c>
      <c r="J51" s="12">
        <f>Data!A51</f>
        <v>44013.055995370371</v>
      </c>
      <c r="K51" s="13" t="str">
        <f>Data!B51</f>
        <v>ON</v>
      </c>
      <c r="L51" s="13" t="str">
        <f>Data!C51</f>
        <v>Vehicle J</v>
      </c>
      <c r="M51" s="56" t="b">
        <f t="shared" si="6"/>
        <v>1</v>
      </c>
      <c r="N51" s="48">
        <f t="shared" si="7"/>
        <v>1</v>
      </c>
      <c r="O51" s="48">
        <f t="shared" si="1"/>
        <v>0</v>
      </c>
      <c r="P51" s="12">
        <f>IF(Data!H51=0,"",Data!H51)</f>
        <v>44037.462314814817</v>
      </c>
    </row>
    <row r="52" spans="1:16" ht="16.5" x14ac:dyDescent="0.45">
      <c r="A52" s="11" t="str">
        <f>Data!G52</f>
        <v>Driver J</v>
      </c>
      <c r="B52" s="11" t="str">
        <f>Data!E52</f>
        <v>FirstName J</v>
      </c>
      <c r="C52" s="11" t="str">
        <f>Data!F52</f>
        <v>LastName J</v>
      </c>
      <c r="D52" s="10" t="b">
        <f t="shared" si="2"/>
        <v>0</v>
      </c>
      <c r="E52" s="10" t="str">
        <f t="shared" si="8"/>
        <v>NA</v>
      </c>
      <c r="F52" s="10">
        <f t="shared" si="3"/>
        <v>0</v>
      </c>
      <c r="G52" s="10">
        <f t="shared" si="4"/>
        <v>0</v>
      </c>
      <c r="H52" s="9" t="str">
        <f t="shared" si="5"/>
        <v>NA</v>
      </c>
      <c r="I52" s="58">
        <f>INT(Data!A52)</f>
        <v>44013</v>
      </c>
      <c r="J52" s="12">
        <f>Data!A52</f>
        <v>44013.563240740739</v>
      </c>
      <c r="K52" s="13" t="str">
        <f>Data!B52</f>
        <v>D</v>
      </c>
      <c r="L52" s="13" t="str">
        <f>Data!C52</f>
        <v>Vehicle J</v>
      </c>
      <c r="M52" s="56" t="b">
        <f t="shared" si="6"/>
        <v>1</v>
      </c>
      <c r="N52" s="48">
        <f t="shared" si="7"/>
        <v>1</v>
      </c>
      <c r="O52" s="48">
        <f t="shared" si="1"/>
        <v>0</v>
      </c>
      <c r="P52" s="12">
        <f>IF(Data!H52=0,"",Data!H52)</f>
        <v>44037.462314814817</v>
      </c>
    </row>
    <row r="53" spans="1:16" ht="16.5" x14ac:dyDescent="0.45">
      <c r="A53" s="11" t="str">
        <f>Data!G53</f>
        <v>Driver J</v>
      </c>
      <c r="B53" s="11" t="str">
        <f>Data!E53</f>
        <v>FirstName J</v>
      </c>
      <c r="C53" s="11" t="str">
        <f>Data!F53</f>
        <v>LastName J</v>
      </c>
      <c r="D53" s="10" t="b">
        <f t="shared" si="2"/>
        <v>0</v>
      </c>
      <c r="E53" s="10" t="str">
        <f t="shared" si="8"/>
        <v>NA</v>
      </c>
      <c r="F53" s="10">
        <f t="shared" si="3"/>
        <v>0</v>
      </c>
      <c r="G53" s="10">
        <f t="shared" si="4"/>
        <v>0</v>
      </c>
      <c r="H53" s="9" t="str">
        <f t="shared" si="5"/>
        <v>NA</v>
      </c>
      <c r="I53" s="58">
        <f>INT(Data!A53)</f>
        <v>44013</v>
      </c>
      <c r="J53" s="12">
        <f>Data!A53</f>
        <v>44013.565486111111</v>
      </c>
      <c r="K53" s="13" t="str">
        <f>Data!B53</f>
        <v>OFF</v>
      </c>
      <c r="L53" s="13" t="str">
        <f>Data!C53</f>
        <v>Vehicle J</v>
      </c>
      <c r="M53" s="56" t="b">
        <f t="shared" si="6"/>
        <v>1</v>
      </c>
      <c r="N53" s="48">
        <f t="shared" si="7"/>
        <v>1</v>
      </c>
      <c r="O53" s="48">
        <f t="shared" si="1"/>
        <v>0</v>
      </c>
      <c r="P53" s="12">
        <f>IF(Data!H53=0,"",Data!H53)</f>
        <v>44037.462314814817</v>
      </c>
    </row>
    <row r="54" spans="1:16" ht="16.5" x14ac:dyDescent="0.45">
      <c r="A54" s="11" t="str">
        <f>Data!G54</f>
        <v>Driver J</v>
      </c>
      <c r="B54" s="11" t="str">
        <f>Data!E54</f>
        <v>FirstName J</v>
      </c>
      <c r="C54" s="11" t="str">
        <f>Data!F54</f>
        <v>LastName J</v>
      </c>
      <c r="D54" s="10" t="b">
        <f t="shared" si="2"/>
        <v>1</v>
      </c>
      <c r="E54" s="10">
        <f t="shared" si="8"/>
        <v>2</v>
      </c>
      <c r="F54" s="10">
        <f t="shared" si="3"/>
        <v>1</v>
      </c>
      <c r="G54" s="10">
        <f t="shared" si="4"/>
        <v>0</v>
      </c>
      <c r="H54" s="9">
        <f t="shared" si="5"/>
        <v>44031</v>
      </c>
      <c r="I54" s="58">
        <f>INT(Data!A54)</f>
        <v>44031</v>
      </c>
      <c r="J54" s="12">
        <f>Data!A54</f>
        <v>44031.589467592596</v>
      </c>
      <c r="K54" s="13" t="str">
        <f>Data!B54</f>
        <v>D</v>
      </c>
      <c r="L54" s="13" t="str">
        <f>Data!C54</f>
        <v>Vehicle J</v>
      </c>
      <c r="M54" s="56" t="b">
        <f t="shared" si="6"/>
        <v>1</v>
      </c>
      <c r="N54" s="48">
        <f t="shared" si="7"/>
        <v>0</v>
      </c>
      <c r="O54" s="48">
        <f t="shared" si="1"/>
        <v>1</v>
      </c>
      <c r="P54" s="12" t="str">
        <f>IF(Data!H54=0,"",Data!H54)</f>
        <v/>
      </c>
    </row>
    <row r="55" spans="1:16" ht="16.5" x14ac:dyDescent="0.45">
      <c r="A55" s="11" t="str">
        <f>Data!G55</f>
        <v>Driver J</v>
      </c>
      <c r="B55" s="11" t="str">
        <f>Data!E55</f>
        <v>FirstName J</v>
      </c>
      <c r="C55" s="11" t="str">
        <f>Data!F55</f>
        <v>LastName J</v>
      </c>
      <c r="D55" s="10" t="b">
        <f t="shared" si="2"/>
        <v>0</v>
      </c>
      <c r="E55" s="10" t="str">
        <f t="shared" si="8"/>
        <v>NA</v>
      </c>
      <c r="F55" s="10">
        <f t="shared" si="3"/>
        <v>0</v>
      </c>
      <c r="G55" s="10">
        <f t="shared" si="4"/>
        <v>0</v>
      </c>
      <c r="H55" s="9" t="str">
        <f t="shared" si="5"/>
        <v>NA</v>
      </c>
      <c r="I55" s="58">
        <f>INT(Data!A55)</f>
        <v>44031</v>
      </c>
      <c r="J55" s="12">
        <f>Data!A55</f>
        <v>44031.70103009259</v>
      </c>
      <c r="K55" s="13" t="str">
        <f>Data!B55</f>
        <v>SB</v>
      </c>
      <c r="L55" s="13" t="str">
        <f>Data!C55</f>
        <v>Vehicle J</v>
      </c>
      <c r="M55" s="56" t="b">
        <f t="shared" si="6"/>
        <v>1</v>
      </c>
      <c r="N55" s="48">
        <f t="shared" si="7"/>
        <v>0</v>
      </c>
      <c r="O55" s="48">
        <f t="shared" si="1"/>
        <v>1</v>
      </c>
      <c r="P55" s="12" t="str">
        <f>IF(Data!H55=0,"",Data!H55)</f>
        <v/>
      </c>
    </row>
    <row r="56" spans="1:16" ht="16.5" x14ac:dyDescent="0.45">
      <c r="A56" s="11" t="str">
        <f>Data!G56</f>
        <v>Driver K</v>
      </c>
      <c r="B56" s="11" t="str">
        <f>Data!E56</f>
        <v>FirstName K</v>
      </c>
      <c r="C56" s="11" t="str">
        <f>Data!F56</f>
        <v>LastName K</v>
      </c>
      <c r="D56" s="10" t="b">
        <f t="shared" si="2"/>
        <v>1</v>
      </c>
      <c r="E56" s="10">
        <f t="shared" si="8"/>
        <v>2</v>
      </c>
      <c r="F56" s="10">
        <f t="shared" si="3"/>
        <v>1</v>
      </c>
      <c r="G56" s="10">
        <f t="shared" si="4"/>
        <v>0</v>
      </c>
      <c r="H56" s="9">
        <f t="shared" si="5"/>
        <v>44024</v>
      </c>
      <c r="I56" s="58">
        <f>INT(Data!A56)</f>
        <v>44024</v>
      </c>
      <c r="J56" s="12">
        <f>Data!A56</f>
        <v>44024.013993055552</v>
      </c>
      <c r="K56" s="13" t="str">
        <f>Data!B56</f>
        <v>D</v>
      </c>
      <c r="L56" s="13" t="str">
        <f>Data!C56</f>
        <v>Vehicle K</v>
      </c>
      <c r="M56" s="56" t="b">
        <f t="shared" si="6"/>
        <v>1</v>
      </c>
      <c r="N56" s="48">
        <f t="shared" si="7"/>
        <v>1</v>
      </c>
      <c r="O56" s="48">
        <f t="shared" si="1"/>
        <v>0</v>
      </c>
      <c r="P56" s="12">
        <f>IF(Data!H56=0,"",Data!H56)</f>
        <v>44037.462314814817</v>
      </c>
    </row>
    <row r="57" spans="1:16" ht="16.5" x14ac:dyDescent="0.45">
      <c r="A57" s="11" t="str">
        <f>Data!G57</f>
        <v>Driver K</v>
      </c>
      <c r="B57" s="11" t="str">
        <f>Data!E57</f>
        <v>FirstName K</v>
      </c>
      <c r="C57" s="11" t="str">
        <f>Data!F57</f>
        <v>LastName K</v>
      </c>
      <c r="D57" s="10" t="b">
        <f t="shared" si="2"/>
        <v>0</v>
      </c>
      <c r="E57" s="10" t="str">
        <f t="shared" si="8"/>
        <v>NA</v>
      </c>
      <c r="F57" s="10">
        <f t="shared" si="3"/>
        <v>0</v>
      </c>
      <c r="G57" s="10">
        <f t="shared" si="4"/>
        <v>0</v>
      </c>
      <c r="H57" s="9" t="str">
        <f t="shared" si="5"/>
        <v>NA</v>
      </c>
      <c r="I57" s="58">
        <f>INT(Data!A57)</f>
        <v>44024</v>
      </c>
      <c r="J57" s="12">
        <f>Data!A57</f>
        <v>44024.055995370371</v>
      </c>
      <c r="K57" s="13" t="str">
        <f>Data!B57</f>
        <v>ON</v>
      </c>
      <c r="L57" s="13" t="str">
        <f>Data!C57</f>
        <v>Vehicle K</v>
      </c>
      <c r="M57" s="56" t="b">
        <f t="shared" si="6"/>
        <v>1</v>
      </c>
      <c r="N57" s="48">
        <f t="shared" si="7"/>
        <v>1</v>
      </c>
      <c r="O57" s="48">
        <f t="shared" si="1"/>
        <v>0</v>
      </c>
      <c r="P57" s="12">
        <f>IF(Data!H57=0,"",Data!H57)</f>
        <v>44037.462314814817</v>
      </c>
    </row>
    <row r="58" spans="1:16" ht="16.5" x14ac:dyDescent="0.45">
      <c r="A58" s="11" t="str">
        <f>Data!G58</f>
        <v>Driver K</v>
      </c>
      <c r="B58" s="11" t="str">
        <f>Data!E58</f>
        <v>FirstName K</v>
      </c>
      <c r="C58" s="11" t="str">
        <f>Data!F58</f>
        <v>LastName K</v>
      </c>
      <c r="D58" s="10" t="b">
        <f t="shared" si="2"/>
        <v>0</v>
      </c>
      <c r="E58" s="10" t="str">
        <f t="shared" si="8"/>
        <v>NA</v>
      </c>
      <c r="F58" s="10">
        <f t="shared" si="3"/>
        <v>0</v>
      </c>
      <c r="G58" s="10">
        <f t="shared" si="4"/>
        <v>0</v>
      </c>
      <c r="H58" s="9" t="str">
        <f t="shared" si="5"/>
        <v>NA</v>
      </c>
      <c r="I58" s="58">
        <f>INT(Data!A58)</f>
        <v>44024</v>
      </c>
      <c r="J58" s="12">
        <f>Data!A58</f>
        <v>44024.563240740739</v>
      </c>
      <c r="K58" s="13" t="str">
        <f>Data!B58</f>
        <v>D</v>
      </c>
      <c r="L58" s="13" t="str">
        <f>Data!C58</f>
        <v>Vehicle K</v>
      </c>
      <c r="M58" s="56" t="b">
        <f t="shared" si="6"/>
        <v>1</v>
      </c>
      <c r="N58" s="48">
        <f t="shared" si="7"/>
        <v>1</v>
      </c>
      <c r="O58" s="48">
        <f t="shared" si="1"/>
        <v>0</v>
      </c>
      <c r="P58" s="12">
        <f>IF(Data!H58=0,"",Data!H58)</f>
        <v>44037.462314814817</v>
      </c>
    </row>
    <row r="59" spans="1:16" ht="16.5" x14ac:dyDescent="0.45">
      <c r="A59" s="11" t="str">
        <f>Data!G59</f>
        <v>Driver K</v>
      </c>
      <c r="B59" s="11" t="str">
        <f>Data!E59</f>
        <v>FirstName K</v>
      </c>
      <c r="C59" s="11" t="str">
        <f>Data!F59</f>
        <v>LastName K</v>
      </c>
      <c r="D59" s="10" t="b">
        <f t="shared" si="2"/>
        <v>0</v>
      </c>
      <c r="E59" s="10" t="str">
        <f t="shared" si="8"/>
        <v>NA</v>
      </c>
      <c r="F59" s="10">
        <f t="shared" si="3"/>
        <v>0</v>
      </c>
      <c r="G59" s="10">
        <f t="shared" si="4"/>
        <v>0</v>
      </c>
      <c r="H59" s="9" t="str">
        <f t="shared" si="5"/>
        <v>NA</v>
      </c>
      <c r="I59" s="58">
        <f>INT(Data!A59)</f>
        <v>44024</v>
      </c>
      <c r="J59" s="12">
        <f>Data!A59</f>
        <v>44024.565486111111</v>
      </c>
      <c r="K59" s="13" t="str">
        <f>Data!B59</f>
        <v>OFF</v>
      </c>
      <c r="L59" s="13" t="str">
        <f>Data!C59</f>
        <v>Vehicle K</v>
      </c>
      <c r="M59" s="56" t="b">
        <f t="shared" si="6"/>
        <v>1</v>
      </c>
      <c r="N59" s="48">
        <f t="shared" si="7"/>
        <v>1</v>
      </c>
      <c r="O59" s="48">
        <f t="shared" si="1"/>
        <v>0</v>
      </c>
      <c r="P59" s="12">
        <f>IF(Data!H59=0,"",Data!H59)</f>
        <v>44037.462314814817</v>
      </c>
    </row>
    <row r="60" spans="1:16" ht="16.5" x14ac:dyDescent="0.45">
      <c r="A60" s="11" t="str">
        <f>Data!G60</f>
        <v>Driver K</v>
      </c>
      <c r="B60" s="11" t="str">
        <f>Data!E60</f>
        <v>FirstName K</v>
      </c>
      <c r="C60" s="11" t="str">
        <f>Data!F60</f>
        <v>LastName K</v>
      </c>
      <c r="D60" s="10" t="b">
        <f t="shared" si="2"/>
        <v>0</v>
      </c>
      <c r="E60" s="10" t="str">
        <f t="shared" si="8"/>
        <v>NA</v>
      </c>
      <c r="F60" s="10">
        <f t="shared" si="3"/>
        <v>0</v>
      </c>
      <c r="G60" s="10">
        <f t="shared" si="4"/>
        <v>0</v>
      </c>
      <c r="H60" s="9" t="str">
        <f t="shared" si="5"/>
        <v>NA</v>
      </c>
      <c r="I60" s="58">
        <f>INT(Data!A60)</f>
        <v>44024</v>
      </c>
      <c r="J60" s="12">
        <f>Data!A60</f>
        <v>44024.589467592596</v>
      </c>
      <c r="K60" s="13" t="str">
        <f>Data!B60</f>
        <v>D</v>
      </c>
      <c r="L60" s="13" t="str">
        <f>Data!C60</f>
        <v>Vehicle K</v>
      </c>
      <c r="M60" s="56" t="b">
        <f t="shared" si="6"/>
        <v>1</v>
      </c>
      <c r="N60" s="48">
        <f t="shared" si="7"/>
        <v>0</v>
      </c>
      <c r="O60" s="48">
        <f t="shared" si="1"/>
        <v>1</v>
      </c>
      <c r="P60" s="12" t="str">
        <f>IF(Data!H60=0,"",Data!H60)</f>
        <v/>
      </c>
    </row>
    <row r="61" spans="1:16" ht="16.5" x14ac:dyDescent="0.45">
      <c r="A61" s="11" t="str">
        <f>Data!G61</f>
        <v>Driver K</v>
      </c>
      <c r="B61" s="11" t="str">
        <f>Data!E61</f>
        <v>FirstName K</v>
      </c>
      <c r="C61" s="11" t="str">
        <f>Data!F61</f>
        <v>LastName K</v>
      </c>
      <c r="D61" s="10" t="b">
        <f t="shared" si="2"/>
        <v>0</v>
      </c>
      <c r="E61" s="10" t="str">
        <f t="shared" si="8"/>
        <v>NA</v>
      </c>
      <c r="F61" s="10">
        <f t="shared" si="3"/>
        <v>0</v>
      </c>
      <c r="G61" s="10">
        <f t="shared" si="4"/>
        <v>0</v>
      </c>
      <c r="H61" s="9" t="str">
        <f t="shared" si="5"/>
        <v>NA</v>
      </c>
      <c r="I61" s="58">
        <f>INT(Data!A61)</f>
        <v>44024</v>
      </c>
      <c r="J61" s="12">
        <f>Data!A61</f>
        <v>44024.70103009259</v>
      </c>
      <c r="K61" s="13" t="str">
        <f>Data!B61</f>
        <v>SB</v>
      </c>
      <c r="L61" s="13" t="str">
        <f>Data!C61</f>
        <v>Vehicle K</v>
      </c>
      <c r="M61" s="56" t="b">
        <f t="shared" si="6"/>
        <v>1</v>
      </c>
      <c r="N61" s="48">
        <f t="shared" si="7"/>
        <v>0</v>
      </c>
      <c r="O61" s="48">
        <f t="shared" si="1"/>
        <v>1</v>
      </c>
      <c r="P61" s="12" t="str">
        <f>IF(Data!H61=0,"",Data!H61)</f>
        <v/>
      </c>
    </row>
    <row r="62" spans="1:16" ht="16.5" x14ac:dyDescent="0.45">
      <c r="A62" s="11" t="str">
        <f>Data!G62</f>
        <v>Driver L</v>
      </c>
      <c r="B62" s="11" t="str">
        <f>Data!E62</f>
        <v>FirstName L</v>
      </c>
      <c r="C62" s="11" t="str">
        <f>Data!F62</f>
        <v>LastName L</v>
      </c>
      <c r="D62" s="10" t="b">
        <f t="shared" si="2"/>
        <v>1</v>
      </c>
      <c r="E62" s="10">
        <f t="shared" si="8"/>
        <v>2</v>
      </c>
      <c r="F62" s="10">
        <f t="shared" si="3"/>
        <v>1</v>
      </c>
      <c r="G62" s="10">
        <f t="shared" si="4"/>
        <v>0</v>
      </c>
      <c r="H62" s="9">
        <f t="shared" si="5"/>
        <v>44032</v>
      </c>
      <c r="I62" s="58">
        <f>INT(Data!A62)</f>
        <v>44032</v>
      </c>
      <c r="J62" s="12">
        <f>Data!A62</f>
        <v>44032.013993055552</v>
      </c>
      <c r="K62" s="13" t="str">
        <f>Data!B62</f>
        <v>D</v>
      </c>
      <c r="L62" s="13" t="str">
        <f>Data!C62</f>
        <v>Vehicle L</v>
      </c>
      <c r="M62" s="56" t="b">
        <f t="shared" si="6"/>
        <v>1</v>
      </c>
      <c r="N62" s="48">
        <f t="shared" si="7"/>
        <v>1</v>
      </c>
      <c r="O62" s="48">
        <f t="shared" si="1"/>
        <v>0</v>
      </c>
      <c r="P62" s="12">
        <f>IF(Data!H62=0,"",Data!H62)</f>
        <v>44037.462314814817</v>
      </c>
    </row>
    <row r="63" spans="1:16" ht="16.5" x14ac:dyDescent="0.45">
      <c r="A63" s="11" t="str">
        <f>Data!G63</f>
        <v>Driver L</v>
      </c>
      <c r="B63" s="11" t="str">
        <f>Data!E63</f>
        <v>FirstName L</v>
      </c>
      <c r="C63" s="11" t="str">
        <f>Data!F63</f>
        <v>LastName L</v>
      </c>
      <c r="D63" s="10" t="b">
        <f t="shared" si="2"/>
        <v>0</v>
      </c>
      <c r="E63" s="10" t="str">
        <f t="shared" si="8"/>
        <v>NA</v>
      </c>
      <c r="F63" s="10">
        <f t="shared" si="3"/>
        <v>0</v>
      </c>
      <c r="G63" s="10">
        <f t="shared" si="4"/>
        <v>0</v>
      </c>
      <c r="H63" s="9" t="str">
        <f t="shared" si="5"/>
        <v>NA</v>
      </c>
      <c r="I63" s="58">
        <f>INT(Data!A63)</f>
        <v>44032</v>
      </c>
      <c r="J63" s="12">
        <f>Data!A63</f>
        <v>44032.055995370371</v>
      </c>
      <c r="K63" s="13" t="str">
        <f>Data!B63</f>
        <v>ON</v>
      </c>
      <c r="L63" s="13" t="str">
        <f>Data!C63</f>
        <v>Vehicle L</v>
      </c>
      <c r="M63" s="56" t="b">
        <f t="shared" si="6"/>
        <v>1</v>
      </c>
      <c r="N63" s="48">
        <f t="shared" si="7"/>
        <v>1</v>
      </c>
      <c r="O63" s="48">
        <f t="shared" si="1"/>
        <v>0</v>
      </c>
      <c r="P63" s="12">
        <f>IF(Data!H63=0,"",Data!H63)</f>
        <v>44037.462314814817</v>
      </c>
    </row>
    <row r="64" spans="1:16" ht="16.5" x14ac:dyDescent="0.45">
      <c r="A64" s="11" t="str">
        <f>Data!G64</f>
        <v>Driver L</v>
      </c>
      <c r="B64" s="11" t="str">
        <f>Data!E64</f>
        <v>FirstName L</v>
      </c>
      <c r="C64" s="11" t="str">
        <f>Data!F64</f>
        <v>LastName L</v>
      </c>
      <c r="D64" s="10" t="b">
        <f t="shared" si="2"/>
        <v>0</v>
      </c>
      <c r="E64" s="10" t="str">
        <f t="shared" si="8"/>
        <v>NA</v>
      </c>
      <c r="F64" s="10">
        <f t="shared" si="3"/>
        <v>0</v>
      </c>
      <c r="G64" s="10">
        <f t="shared" si="4"/>
        <v>0</v>
      </c>
      <c r="H64" s="9" t="str">
        <f t="shared" si="5"/>
        <v>NA</v>
      </c>
      <c r="I64" s="58">
        <f>INT(Data!A64)</f>
        <v>44032</v>
      </c>
      <c r="J64" s="12">
        <f>Data!A64</f>
        <v>44032.563240740739</v>
      </c>
      <c r="K64" s="13" t="str">
        <f>Data!B64</f>
        <v>D</v>
      </c>
      <c r="L64" s="13" t="str">
        <f>Data!C64</f>
        <v>Vehicle L</v>
      </c>
      <c r="M64" s="56" t="b">
        <f t="shared" si="6"/>
        <v>1</v>
      </c>
      <c r="N64" s="48">
        <f t="shared" si="7"/>
        <v>1</v>
      </c>
      <c r="O64" s="48">
        <f t="shared" si="1"/>
        <v>0</v>
      </c>
      <c r="P64" s="12">
        <f>IF(Data!H64=0,"",Data!H64)</f>
        <v>44037.462314814817</v>
      </c>
    </row>
    <row r="65" spans="1:16" ht="16.5" x14ac:dyDescent="0.45">
      <c r="A65" s="11" t="str">
        <f>Data!G65</f>
        <v>Driver L</v>
      </c>
      <c r="B65" s="11" t="str">
        <f>Data!E65</f>
        <v>FirstName L</v>
      </c>
      <c r="C65" s="11" t="str">
        <f>Data!F65</f>
        <v>LastName L</v>
      </c>
      <c r="D65" s="10" t="b">
        <f t="shared" si="2"/>
        <v>0</v>
      </c>
      <c r="E65" s="10" t="str">
        <f t="shared" si="8"/>
        <v>NA</v>
      </c>
      <c r="F65" s="10">
        <f t="shared" si="3"/>
        <v>0</v>
      </c>
      <c r="G65" s="10">
        <f t="shared" si="4"/>
        <v>0</v>
      </c>
      <c r="H65" s="9" t="str">
        <f t="shared" si="5"/>
        <v>NA</v>
      </c>
      <c r="I65" s="58">
        <f>INT(Data!A65)</f>
        <v>44032</v>
      </c>
      <c r="J65" s="12">
        <f>Data!A65</f>
        <v>44032.565486111111</v>
      </c>
      <c r="K65" s="13" t="str">
        <f>Data!B65</f>
        <v>OFF</v>
      </c>
      <c r="L65" s="13" t="str">
        <f>Data!C65</f>
        <v>Vehicle L</v>
      </c>
      <c r="M65" s="56" t="b">
        <f t="shared" si="6"/>
        <v>1</v>
      </c>
      <c r="N65" s="48">
        <f t="shared" si="7"/>
        <v>1</v>
      </c>
      <c r="O65" s="48">
        <f t="shared" si="1"/>
        <v>0</v>
      </c>
      <c r="P65" s="12">
        <f>IF(Data!H65=0,"",Data!H65)</f>
        <v>44037.462314814817</v>
      </c>
    </row>
    <row r="66" spans="1:16" ht="16.5" x14ac:dyDescent="0.45">
      <c r="A66" s="11" t="str">
        <f>Data!G66</f>
        <v>Driver L</v>
      </c>
      <c r="B66" s="11" t="str">
        <f>Data!E66</f>
        <v>FirstName L</v>
      </c>
      <c r="C66" s="11" t="str">
        <f>Data!F66</f>
        <v>LastName L</v>
      </c>
      <c r="D66" s="10" t="b">
        <f t="shared" si="2"/>
        <v>0</v>
      </c>
      <c r="E66" s="10" t="str">
        <f t="shared" si="8"/>
        <v>NA</v>
      </c>
      <c r="F66" s="10">
        <f t="shared" si="3"/>
        <v>0</v>
      </c>
      <c r="G66" s="10">
        <f t="shared" si="4"/>
        <v>0</v>
      </c>
      <c r="H66" s="9" t="str">
        <f t="shared" si="5"/>
        <v>NA</v>
      </c>
      <c r="I66" s="58">
        <f>INT(Data!A66)</f>
        <v>44032</v>
      </c>
      <c r="J66" s="12">
        <f>Data!A66</f>
        <v>44032.589467592596</v>
      </c>
      <c r="K66" s="13" t="str">
        <f>Data!B66</f>
        <v>D</v>
      </c>
      <c r="L66" s="13" t="str">
        <f>Data!C66</f>
        <v>Vehicle L</v>
      </c>
      <c r="M66" s="56" t="b">
        <f t="shared" si="6"/>
        <v>1</v>
      </c>
      <c r="N66" s="48">
        <f t="shared" si="7"/>
        <v>0</v>
      </c>
      <c r="O66" s="48">
        <f t="shared" si="1"/>
        <v>1</v>
      </c>
      <c r="P66" s="12" t="str">
        <f>IF(Data!H66=0,"",Data!H66)</f>
        <v/>
      </c>
    </row>
    <row r="67" spans="1:16" ht="16.5" x14ac:dyDescent="0.45">
      <c r="A67" s="11" t="str">
        <f>Data!G67</f>
        <v>Driver L</v>
      </c>
      <c r="B67" s="11" t="str">
        <f>Data!E67</f>
        <v>FirstName L</v>
      </c>
      <c r="C67" s="11" t="str">
        <f>Data!F67</f>
        <v>LastName L</v>
      </c>
      <c r="D67" s="10" t="b">
        <f t="shared" si="2"/>
        <v>0</v>
      </c>
      <c r="E67" s="10" t="str">
        <f t="shared" si="8"/>
        <v>NA</v>
      </c>
      <c r="F67" s="10">
        <f t="shared" si="3"/>
        <v>0</v>
      </c>
      <c r="G67" s="10">
        <f t="shared" si="4"/>
        <v>0</v>
      </c>
      <c r="H67" s="9" t="str">
        <f t="shared" si="5"/>
        <v>NA</v>
      </c>
      <c r="I67" s="58">
        <f>INT(Data!A67)</f>
        <v>44032</v>
      </c>
      <c r="J67" s="12">
        <f>Data!A67</f>
        <v>44032.70103009259</v>
      </c>
      <c r="K67" s="13" t="str">
        <f>Data!B67</f>
        <v>SB</v>
      </c>
      <c r="L67" s="13" t="str">
        <f>Data!C67</f>
        <v>Vehicle L</v>
      </c>
      <c r="M67" s="56" t="b">
        <f t="shared" si="6"/>
        <v>1</v>
      </c>
      <c r="N67" s="48">
        <f t="shared" si="7"/>
        <v>0</v>
      </c>
      <c r="O67" s="48">
        <f t="shared" si="1"/>
        <v>1</v>
      </c>
      <c r="P67" s="12" t="str">
        <f>IF(Data!H67=0,"",Data!H67)</f>
        <v/>
      </c>
    </row>
    <row r="68" spans="1:16" ht="16.5" x14ac:dyDescent="0.45">
      <c r="A68" s="11" t="str">
        <f>Data!G68</f>
        <v>Driver M</v>
      </c>
      <c r="B68" s="11" t="str">
        <f>Data!E68</f>
        <v>FirstName M</v>
      </c>
      <c r="C68" s="11" t="str">
        <f>Data!F68</f>
        <v>LastName M</v>
      </c>
      <c r="D68" s="10" t="b">
        <f t="shared" si="2"/>
        <v>1</v>
      </c>
      <c r="E68" s="10">
        <f t="shared" si="8"/>
        <v>1</v>
      </c>
      <c r="F68" s="10">
        <f t="shared" si="3"/>
        <v>1</v>
      </c>
      <c r="G68" s="10">
        <f t="shared" si="4"/>
        <v>0</v>
      </c>
      <c r="H68" s="9">
        <f t="shared" si="5"/>
        <v>44013</v>
      </c>
      <c r="I68" s="58">
        <f>INT(Data!A68)</f>
        <v>44013</v>
      </c>
      <c r="J68" s="12">
        <f>Data!A68</f>
        <v>44013.013993055552</v>
      </c>
      <c r="K68" s="13" t="str">
        <f>Data!B68</f>
        <v>D</v>
      </c>
      <c r="L68" s="13" t="str">
        <f>Data!C68</f>
        <v>Vehicle M</v>
      </c>
      <c r="M68" s="56" t="b">
        <f t="shared" si="6"/>
        <v>1</v>
      </c>
      <c r="N68" s="48">
        <f t="shared" si="7"/>
        <v>1</v>
      </c>
      <c r="O68" s="48">
        <f t="shared" si="1"/>
        <v>0</v>
      </c>
      <c r="P68" s="12">
        <f>IF(Data!H68=0,"",Data!H68)</f>
        <v>44037.462314814817</v>
      </c>
    </row>
    <row r="69" spans="1:16" ht="16.5" x14ac:dyDescent="0.45">
      <c r="A69" s="11" t="str">
        <f>Data!G69</f>
        <v>Driver M</v>
      </c>
      <c r="B69" s="11" t="str">
        <f>Data!E69</f>
        <v>FirstName M</v>
      </c>
      <c r="C69" s="11" t="str">
        <f>Data!F69</f>
        <v>LastName M</v>
      </c>
      <c r="D69" s="10" t="b">
        <f t="shared" si="2"/>
        <v>0</v>
      </c>
      <c r="E69" s="10" t="str">
        <f t="shared" si="8"/>
        <v>NA</v>
      </c>
      <c r="F69" s="10">
        <f t="shared" si="3"/>
        <v>0</v>
      </c>
      <c r="G69" s="10">
        <f t="shared" si="4"/>
        <v>0</v>
      </c>
      <c r="H69" s="9" t="str">
        <f t="shared" si="5"/>
        <v>NA</v>
      </c>
      <c r="I69" s="58">
        <f>INT(Data!A69)</f>
        <v>44013</v>
      </c>
      <c r="J69" s="12">
        <f>Data!A69</f>
        <v>44013.055995370371</v>
      </c>
      <c r="K69" s="13" t="str">
        <f>Data!B69</f>
        <v>ON</v>
      </c>
      <c r="L69" s="13" t="str">
        <f>Data!C69</f>
        <v>Vehicle M</v>
      </c>
      <c r="M69" s="56" t="b">
        <f t="shared" si="6"/>
        <v>1</v>
      </c>
      <c r="N69" s="48">
        <f t="shared" si="7"/>
        <v>1</v>
      </c>
      <c r="O69" s="48">
        <f t="shared" si="1"/>
        <v>0</v>
      </c>
      <c r="P69" s="12">
        <f>IF(Data!H69=0,"",Data!H69)</f>
        <v>44037.462314814817</v>
      </c>
    </row>
    <row r="70" spans="1:16" ht="16.5" x14ac:dyDescent="0.45">
      <c r="A70" s="11" t="str">
        <f>Data!G70</f>
        <v>Driver M</v>
      </c>
      <c r="B70" s="11" t="str">
        <f>Data!E70</f>
        <v>FirstName M</v>
      </c>
      <c r="C70" s="11" t="str">
        <f>Data!F70</f>
        <v>LastName M</v>
      </c>
      <c r="D70" s="10" t="b">
        <f t="shared" si="2"/>
        <v>0</v>
      </c>
      <c r="E70" s="10" t="str">
        <f t="shared" si="8"/>
        <v>NA</v>
      </c>
      <c r="F70" s="10">
        <f t="shared" si="3"/>
        <v>0</v>
      </c>
      <c r="G70" s="10">
        <f t="shared" si="4"/>
        <v>0</v>
      </c>
      <c r="H70" s="9" t="str">
        <f t="shared" si="5"/>
        <v>NA</v>
      </c>
      <c r="I70" s="58">
        <f>INT(Data!A70)</f>
        <v>44013</v>
      </c>
      <c r="J70" s="12">
        <f>Data!A70</f>
        <v>44013.563240740739</v>
      </c>
      <c r="K70" s="13" t="str">
        <f>Data!B70</f>
        <v>D</v>
      </c>
      <c r="L70" s="13" t="str">
        <f>Data!C70</f>
        <v>Vehicle M</v>
      </c>
      <c r="M70" s="56" t="b">
        <f t="shared" si="6"/>
        <v>1</v>
      </c>
      <c r="N70" s="48">
        <f t="shared" si="7"/>
        <v>1</v>
      </c>
      <c r="O70" s="48">
        <f t="shared" si="1"/>
        <v>0</v>
      </c>
      <c r="P70" s="12">
        <f>IF(Data!H70=0,"",Data!H70)</f>
        <v>44037.462314814817</v>
      </c>
    </row>
    <row r="71" spans="1:16" ht="16.5" x14ac:dyDescent="0.45">
      <c r="A71" s="11" t="str">
        <f>Data!G71</f>
        <v>Driver M</v>
      </c>
      <c r="B71" s="11" t="str">
        <f>Data!E71</f>
        <v>FirstName M</v>
      </c>
      <c r="C71" s="11" t="str">
        <f>Data!F71</f>
        <v>LastName M</v>
      </c>
      <c r="D71" s="10" t="b">
        <f t="shared" si="2"/>
        <v>0</v>
      </c>
      <c r="E71" s="10" t="str">
        <f t="shared" si="8"/>
        <v>NA</v>
      </c>
      <c r="F71" s="10">
        <f t="shared" si="3"/>
        <v>0</v>
      </c>
      <c r="G71" s="10">
        <f t="shared" si="4"/>
        <v>0</v>
      </c>
      <c r="H71" s="9" t="str">
        <f t="shared" si="5"/>
        <v>NA</v>
      </c>
      <c r="I71" s="58">
        <f>INT(Data!A71)</f>
        <v>44013</v>
      </c>
      <c r="J71" s="12">
        <f>Data!A71</f>
        <v>44013.565486111111</v>
      </c>
      <c r="K71" s="13" t="str">
        <f>Data!B71</f>
        <v>OFF</v>
      </c>
      <c r="L71" s="13" t="str">
        <f>Data!C71</f>
        <v>Vehicle M</v>
      </c>
      <c r="M71" s="56" t="b">
        <f t="shared" si="6"/>
        <v>1</v>
      </c>
      <c r="N71" s="48">
        <f t="shared" si="7"/>
        <v>1</v>
      </c>
      <c r="O71" s="48">
        <f t="shared" si="1"/>
        <v>0</v>
      </c>
      <c r="P71" s="12">
        <f>IF(Data!H71=0,"",Data!H71)</f>
        <v>44037.462314814817</v>
      </c>
    </row>
    <row r="72" spans="1:16" ht="16.5" x14ac:dyDescent="0.45">
      <c r="A72" s="11" t="str">
        <f>Data!G72</f>
        <v>Driver M</v>
      </c>
      <c r="B72" s="11" t="str">
        <f>Data!E72</f>
        <v>FirstName M</v>
      </c>
      <c r="C72" s="11" t="str">
        <f>Data!F72</f>
        <v>LastName M</v>
      </c>
      <c r="D72" s="10" t="b">
        <f t="shared" si="2"/>
        <v>0</v>
      </c>
      <c r="E72" s="10" t="str">
        <f t="shared" si="8"/>
        <v>NA</v>
      </c>
      <c r="F72" s="10">
        <f t="shared" si="3"/>
        <v>0</v>
      </c>
      <c r="G72" s="10">
        <f t="shared" si="4"/>
        <v>0</v>
      </c>
      <c r="H72" s="9" t="str">
        <f t="shared" si="5"/>
        <v>NA</v>
      </c>
      <c r="I72" s="58">
        <f>INT(Data!A72)</f>
        <v>44013</v>
      </c>
      <c r="J72" s="12">
        <f>Data!A72</f>
        <v>44013.589467592596</v>
      </c>
      <c r="K72" s="13" t="str">
        <f>Data!B72</f>
        <v>D</v>
      </c>
      <c r="L72" s="13" t="str">
        <f>Data!C72</f>
        <v>Vehicle M</v>
      </c>
      <c r="M72" s="56" t="b">
        <f t="shared" si="6"/>
        <v>1</v>
      </c>
      <c r="N72" s="48">
        <f t="shared" si="7"/>
        <v>1</v>
      </c>
      <c r="O72" s="48">
        <f t="shared" si="1"/>
        <v>0</v>
      </c>
      <c r="P72" s="12">
        <f>IF(Data!H72=0,"",Data!H72)</f>
        <v>44037.462314814817</v>
      </c>
    </row>
    <row r="73" spans="1:16" ht="16.5" x14ac:dyDescent="0.45">
      <c r="A73" s="11" t="str">
        <f>Data!G73</f>
        <v>Driver M</v>
      </c>
      <c r="B73" s="11" t="str">
        <f>Data!E73</f>
        <v>FirstName M</v>
      </c>
      <c r="C73" s="11" t="str">
        <f>Data!F73</f>
        <v>LastName M</v>
      </c>
      <c r="D73" s="10" t="b">
        <f t="shared" si="2"/>
        <v>0</v>
      </c>
      <c r="E73" s="10" t="str">
        <f t="shared" si="8"/>
        <v>NA</v>
      </c>
      <c r="F73" s="10">
        <f t="shared" si="3"/>
        <v>0</v>
      </c>
      <c r="G73" s="10">
        <f t="shared" si="4"/>
        <v>0</v>
      </c>
      <c r="H73" s="9" t="str">
        <f t="shared" si="5"/>
        <v>NA</v>
      </c>
      <c r="I73" s="58">
        <f>INT(Data!A73)</f>
        <v>44013</v>
      </c>
      <c r="J73" s="12">
        <f>Data!A73</f>
        <v>44013.70103009259</v>
      </c>
      <c r="K73" s="13" t="str">
        <f>Data!B73</f>
        <v>SB</v>
      </c>
      <c r="L73" s="13" t="str">
        <f>Data!C73</f>
        <v>Vehicle M</v>
      </c>
      <c r="M73" s="56" t="b">
        <f t="shared" si="6"/>
        <v>1</v>
      </c>
      <c r="N73" s="48">
        <f t="shared" si="7"/>
        <v>0</v>
      </c>
      <c r="O73" s="48">
        <f t="shared" si="1"/>
        <v>1</v>
      </c>
      <c r="P73" s="12" t="str">
        <f>IF(Data!H73=0,"",Data!H73)</f>
        <v/>
      </c>
    </row>
    <row r="74" spans="1:16" ht="16.5" x14ac:dyDescent="0.45">
      <c r="A74" s="11" t="str">
        <f>Data!G74</f>
        <v>Driver A</v>
      </c>
      <c r="B74" s="11" t="str">
        <f>Data!E74</f>
        <v>FirstName A</v>
      </c>
      <c r="C74" s="11" t="str">
        <f>Data!F74</f>
        <v>LastName A</v>
      </c>
      <c r="D74" s="10" t="b">
        <f t="shared" si="2"/>
        <v>1</v>
      </c>
      <c r="E74" s="10">
        <f t="shared" si="8"/>
        <v>0</v>
      </c>
      <c r="F74" s="10">
        <f t="shared" si="3"/>
        <v>0</v>
      </c>
      <c r="G74" s="10">
        <f t="shared" si="4"/>
        <v>1</v>
      </c>
      <c r="H74" s="9" t="str">
        <f t="shared" si="5"/>
        <v>NA</v>
      </c>
      <c r="I74" s="58">
        <f>INT(Data!A74)</f>
        <v>44020</v>
      </c>
      <c r="J74" s="12">
        <f>Data!A74</f>
        <v>44020.579814814817</v>
      </c>
      <c r="K74" s="13" t="str">
        <f>Data!B74</f>
        <v>OFF</v>
      </c>
      <c r="L74" s="13" t="str">
        <f>Data!C74</f>
        <v>Vehicle A</v>
      </c>
      <c r="M74" s="56" t="b">
        <f t="shared" si="6"/>
        <v>1</v>
      </c>
      <c r="N74" s="48">
        <f t="shared" si="7"/>
        <v>1</v>
      </c>
      <c r="O74" s="48">
        <f t="shared" si="1"/>
        <v>0</v>
      </c>
      <c r="P74" s="12">
        <f>IF(Data!H74=0,"",Data!H74)</f>
        <v>44037.462314814817</v>
      </c>
    </row>
    <row r="75" spans="1:16" ht="16.5" x14ac:dyDescent="0.45">
      <c r="A75" s="11" t="str">
        <f>Data!G75</f>
        <v>Driver A</v>
      </c>
      <c r="B75" s="11" t="str">
        <f>Data!E75</f>
        <v>FirstName A</v>
      </c>
      <c r="C75" s="11" t="str">
        <f>Data!F75</f>
        <v>LastName A</v>
      </c>
      <c r="D75" s="10" t="b">
        <f t="shared" si="2"/>
        <v>0</v>
      </c>
      <c r="E75" s="10" t="str">
        <f t="shared" si="8"/>
        <v>NA</v>
      </c>
      <c r="F75" s="10">
        <f t="shared" si="3"/>
        <v>0</v>
      </c>
      <c r="G75" s="10">
        <f t="shared" si="4"/>
        <v>0</v>
      </c>
      <c r="H75" s="9" t="str">
        <f t="shared" si="5"/>
        <v>NA</v>
      </c>
      <c r="I75" s="58">
        <f>INT(Data!A75)</f>
        <v>44020</v>
      </c>
      <c r="J75" s="12">
        <f>Data!A75</f>
        <v>44020.603587962964</v>
      </c>
      <c r="K75" s="13" t="str">
        <f>Data!B75</f>
        <v>D</v>
      </c>
      <c r="L75" s="13" t="str">
        <f>Data!C75</f>
        <v>Vehicle A</v>
      </c>
      <c r="M75" s="56" t="b">
        <f t="shared" si="6"/>
        <v>1</v>
      </c>
      <c r="N75" s="48">
        <f t="shared" si="7"/>
        <v>1</v>
      </c>
      <c r="O75" s="48">
        <f t="shared" si="1"/>
        <v>0</v>
      </c>
      <c r="P75" s="12">
        <f>IF(Data!H75=0,"",Data!H75)</f>
        <v>44037.462314814817</v>
      </c>
    </row>
    <row r="76" spans="1:16" ht="16.5" x14ac:dyDescent="0.45">
      <c r="A76" s="11" t="str">
        <f>Data!G76</f>
        <v>Driver A</v>
      </c>
      <c r="B76" s="11" t="str">
        <f>Data!E76</f>
        <v>FirstName A</v>
      </c>
      <c r="C76" s="11" t="str">
        <f>Data!F76</f>
        <v>LastName A</v>
      </c>
      <c r="D76" s="10" t="b">
        <f t="shared" si="2"/>
        <v>0</v>
      </c>
      <c r="E76" s="10" t="str">
        <f t="shared" ref="E76:E107" si="9">IF(D76,SUMIFS(O:O,A:A,A76,I:I, I76),"NA")</f>
        <v>NA</v>
      </c>
      <c r="F76" s="10">
        <f t="shared" si="3"/>
        <v>0</v>
      </c>
      <c r="G76" s="10">
        <f t="shared" si="4"/>
        <v>0</v>
      </c>
      <c r="H76" s="9" t="str">
        <f t="shared" si="5"/>
        <v>NA</v>
      </c>
      <c r="I76" s="58">
        <f>INT(Data!A76)</f>
        <v>44020</v>
      </c>
      <c r="J76" s="12">
        <f>Data!A76</f>
        <v>44020.776145833333</v>
      </c>
      <c r="K76" s="13" t="str">
        <f>Data!B76</f>
        <v>SB</v>
      </c>
      <c r="L76" s="13" t="str">
        <f>Data!C76</f>
        <v>Vehicle A</v>
      </c>
      <c r="M76" s="56" t="b">
        <f t="shared" si="6"/>
        <v>1</v>
      </c>
      <c r="N76" s="48">
        <f t="shared" si="7"/>
        <v>1</v>
      </c>
      <c r="O76" s="48">
        <f t="shared" ref="O76:O139" si="10">IF(M76=FALSE,"Not Considered",IF(AND(M76,P76&lt;&gt;""),0,1))</f>
        <v>0</v>
      </c>
      <c r="P76" s="12">
        <f>IF(Data!H76=0,"",Data!H76)</f>
        <v>44037.462314814817</v>
      </c>
    </row>
    <row r="77" spans="1:16" ht="16.5" x14ac:dyDescent="0.45">
      <c r="A77" s="11" t="str">
        <f>Data!G77</f>
        <v>Driver A</v>
      </c>
      <c r="B77" s="11" t="str">
        <f>Data!E77</f>
        <v>FirstName A</v>
      </c>
      <c r="C77" s="11" t="str">
        <f>Data!F77</f>
        <v>LastName A</v>
      </c>
      <c r="D77" s="10" t="b">
        <f t="shared" ref="D77:D140" si="11">IF(OR(A77&lt;&gt;A76, I77&lt;&gt;I76), TRUE, FALSE)</f>
        <v>1</v>
      </c>
      <c r="E77" s="10">
        <f t="shared" si="9"/>
        <v>1</v>
      </c>
      <c r="F77" s="10">
        <f t="shared" ref="F77:F140" si="12">IF(ISNUMBER(E77), IF(E77&gt;=1, 1, 0), 0)</f>
        <v>1</v>
      </c>
      <c r="G77" s="10">
        <f t="shared" ref="G77:G140" si="13">IF(ISNUMBER(E77), IF(E77&gt;=1, 0, 1), 0)</f>
        <v>0</v>
      </c>
      <c r="H77" s="9">
        <f t="shared" ref="H77:H140" si="14">IF(AND(F77=1,ISNUMBER(SEARCH("consider",O77))=FALSE),I77,"NA")</f>
        <v>44015</v>
      </c>
      <c r="I77" s="58">
        <f>INT(Data!A77)</f>
        <v>44015</v>
      </c>
      <c r="J77" s="12">
        <f>Data!A77</f>
        <v>44015.874189814815</v>
      </c>
      <c r="K77" s="13" t="str">
        <f>Data!B77</f>
        <v>D</v>
      </c>
      <c r="L77" s="13" t="str">
        <f>Data!C77</f>
        <v>Vehicle A</v>
      </c>
      <c r="M77" s="56" t="b">
        <f t="shared" ref="M77:M140" si="15">IF(OR(K77="D",K77="ON",K77="OFF",K77="SB",K77="YM",K77="PC"), TRUE, FALSE)</f>
        <v>1</v>
      </c>
      <c r="N77" s="48">
        <f t="shared" ref="N77:N140" si="16">IF(M77=FALSE, 0, IF(O77=0, 1, 0))</f>
        <v>1</v>
      </c>
      <c r="O77" s="48">
        <f t="shared" si="10"/>
        <v>0</v>
      </c>
      <c r="P77" s="12">
        <f>IF(Data!H77=0,"",Data!H77)</f>
        <v>44037.462314814817</v>
      </c>
    </row>
    <row r="78" spans="1:16" ht="16.5" x14ac:dyDescent="0.45">
      <c r="A78" s="11" t="str">
        <f>Data!G78</f>
        <v>Driver A</v>
      </c>
      <c r="B78" s="11" t="str">
        <f>Data!E78</f>
        <v>FirstName A</v>
      </c>
      <c r="C78" s="11" t="str">
        <f>Data!F78</f>
        <v>LastName A</v>
      </c>
      <c r="D78" s="10" t="b">
        <f t="shared" si="11"/>
        <v>0</v>
      </c>
      <c r="E78" s="10" t="str">
        <f t="shared" si="9"/>
        <v>NA</v>
      </c>
      <c r="F78" s="10">
        <f t="shared" si="12"/>
        <v>0</v>
      </c>
      <c r="G78" s="10">
        <f t="shared" si="13"/>
        <v>0</v>
      </c>
      <c r="H78" s="9" t="str">
        <f t="shared" si="14"/>
        <v>NA</v>
      </c>
      <c r="I78" s="58">
        <f>INT(Data!A78)</f>
        <v>44015</v>
      </c>
      <c r="J78" s="12">
        <f>Data!A78</f>
        <v>44015.920370370368</v>
      </c>
      <c r="K78" s="13" t="str">
        <f>Data!B78</f>
        <v>OFF</v>
      </c>
      <c r="L78" s="13" t="str">
        <f>Data!C78</f>
        <v>Vehicle A</v>
      </c>
      <c r="M78" s="56" t="b">
        <f t="shared" si="15"/>
        <v>1</v>
      </c>
      <c r="N78" s="48">
        <f t="shared" si="16"/>
        <v>0</v>
      </c>
      <c r="O78" s="48">
        <f t="shared" si="10"/>
        <v>1</v>
      </c>
      <c r="P78" s="12" t="str">
        <f>IF(Data!H78=0,"",Data!H78)</f>
        <v/>
      </c>
    </row>
    <row r="79" spans="1:16" ht="16.5" x14ac:dyDescent="0.45">
      <c r="A79" s="11" t="str">
        <f>Data!G79</f>
        <v>Driver A</v>
      </c>
      <c r="B79" s="11" t="str">
        <f>Data!E79</f>
        <v>FirstName A</v>
      </c>
      <c r="C79" s="11" t="str">
        <f>Data!F79</f>
        <v>LastName A</v>
      </c>
      <c r="D79" s="10" t="b">
        <f t="shared" si="11"/>
        <v>1</v>
      </c>
      <c r="E79" s="10">
        <f t="shared" si="9"/>
        <v>0</v>
      </c>
      <c r="F79" s="10">
        <f t="shared" si="12"/>
        <v>0</v>
      </c>
      <c r="G79" s="10">
        <f t="shared" si="13"/>
        <v>1</v>
      </c>
      <c r="H79" s="9" t="str">
        <f t="shared" si="14"/>
        <v>NA</v>
      </c>
      <c r="I79" s="58">
        <f>INT(Data!A79)</f>
        <v>44017</v>
      </c>
      <c r="J79" s="12">
        <f>Data!A79</f>
        <v>44017.441886574074</v>
      </c>
      <c r="K79" s="13" t="str">
        <f>Data!B79</f>
        <v>D</v>
      </c>
      <c r="L79" s="13" t="str">
        <f>Data!C79</f>
        <v>Vehicle A</v>
      </c>
      <c r="M79" s="56" t="b">
        <f t="shared" si="15"/>
        <v>1</v>
      </c>
      <c r="N79" s="48">
        <f t="shared" si="16"/>
        <v>1</v>
      </c>
      <c r="O79" s="48">
        <f t="shared" si="10"/>
        <v>0</v>
      </c>
      <c r="P79" s="12">
        <f>IF(Data!H79=0,"",Data!H79)</f>
        <v>44037.462314814817</v>
      </c>
    </row>
    <row r="80" spans="1:16" ht="16.5" x14ac:dyDescent="0.45">
      <c r="A80" s="11" t="str">
        <f>Data!G80</f>
        <v>Driver A</v>
      </c>
      <c r="B80" s="11" t="str">
        <f>Data!E80</f>
        <v>FirstName A</v>
      </c>
      <c r="C80" s="11" t="str">
        <f>Data!F80</f>
        <v>LastName A</v>
      </c>
      <c r="D80" s="10" t="b">
        <f t="shared" si="11"/>
        <v>0</v>
      </c>
      <c r="E80" s="10" t="str">
        <f t="shared" si="9"/>
        <v>NA</v>
      </c>
      <c r="F80" s="10">
        <f t="shared" si="12"/>
        <v>0</v>
      </c>
      <c r="G80" s="10">
        <f t="shared" si="13"/>
        <v>0</v>
      </c>
      <c r="H80" s="9" t="str">
        <f t="shared" si="14"/>
        <v>NA</v>
      </c>
      <c r="I80" s="58">
        <f>INT(Data!A80)</f>
        <v>44017</v>
      </c>
      <c r="J80" s="12">
        <f>Data!A80</f>
        <v>44017.441967592589</v>
      </c>
      <c r="K80" s="13" t="str">
        <f>Data!B80</f>
        <v>D</v>
      </c>
      <c r="L80" s="13" t="str">
        <f>Data!C80</f>
        <v>Vehicle A</v>
      </c>
      <c r="M80" s="56" t="b">
        <f t="shared" si="15"/>
        <v>1</v>
      </c>
      <c r="N80" s="48">
        <f t="shared" si="16"/>
        <v>1</v>
      </c>
      <c r="O80" s="48">
        <f t="shared" si="10"/>
        <v>0</v>
      </c>
      <c r="P80" s="12">
        <f>IF(Data!H80=0,"",Data!H80)</f>
        <v>44037.462314814817</v>
      </c>
    </row>
    <row r="81" spans="1:16" ht="16.5" x14ac:dyDescent="0.45">
      <c r="A81" s="11" t="str">
        <f>Data!G81</f>
        <v>Driver A</v>
      </c>
      <c r="B81" s="11" t="str">
        <f>Data!E81</f>
        <v>FirstName A</v>
      </c>
      <c r="C81" s="11" t="str">
        <f>Data!F81</f>
        <v>LastName A</v>
      </c>
      <c r="D81" s="10" t="b">
        <f t="shared" si="11"/>
        <v>0</v>
      </c>
      <c r="E81" s="10" t="str">
        <f t="shared" si="9"/>
        <v>NA</v>
      </c>
      <c r="F81" s="10">
        <f t="shared" si="12"/>
        <v>0</v>
      </c>
      <c r="G81" s="10">
        <f t="shared" si="13"/>
        <v>0</v>
      </c>
      <c r="H81" s="9" t="str">
        <f t="shared" si="14"/>
        <v>NA</v>
      </c>
      <c r="I81" s="58">
        <f>INT(Data!A81)</f>
        <v>44017</v>
      </c>
      <c r="J81" s="12">
        <f>Data!A81</f>
        <v>44017.442187499997</v>
      </c>
      <c r="K81" s="13" t="str">
        <f>Data!B81</f>
        <v>OFF</v>
      </c>
      <c r="L81" s="13" t="str">
        <f>Data!C81</f>
        <v>Vehicle A</v>
      </c>
      <c r="M81" s="56" t="b">
        <f t="shared" si="15"/>
        <v>1</v>
      </c>
      <c r="N81" s="48">
        <f t="shared" si="16"/>
        <v>1</v>
      </c>
      <c r="O81" s="48">
        <f t="shared" si="10"/>
        <v>0</v>
      </c>
      <c r="P81" s="12">
        <f>IF(Data!H81=0,"",Data!H81)</f>
        <v>44037.462314814817</v>
      </c>
    </row>
    <row r="82" spans="1:16" ht="16.5" x14ac:dyDescent="0.45">
      <c r="A82" s="11" t="str">
        <f>Data!G82</f>
        <v>Driver A</v>
      </c>
      <c r="B82" s="11" t="str">
        <f>Data!E82</f>
        <v>FirstName A</v>
      </c>
      <c r="C82" s="11" t="str">
        <f>Data!F82</f>
        <v>LastName A</v>
      </c>
      <c r="D82" s="10" t="b">
        <f t="shared" si="11"/>
        <v>0</v>
      </c>
      <c r="E82" s="10" t="str">
        <f t="shared" si="9"/>
        <v>NA</v>
      </c>
      <c r="F82" s="10">
        <f t="shared" si="12"/>
        <v>0</v>
      </c>
      <c r="G82" s="10">
        <f t="shared" si="13"/>
        <v>0</v>
      </c>
      <c r="H82" s="9" t="str">
        <f t="shared" si="14"/>
        <v>NA</v>
      </c>
      <c r="I82" s="58">
        <f>INT(Data!A82)</f>
        <v>44017</v>
      </c>
      <c r="J82" s="12">
        <f>Data!A82</f>
        <v>44017.453032407408</v>
      </c>
      <c r="K82" s="13" t="str">
        <f>Data!B82</f>
        <v>D</v>
      </c>
      <c r="L82" s="13" t="str">
        <f>Data!C82</f>
        <v>Vehicle A</v>
      </c>
      <c r="M82" s="56" t="b">
        <f t="shared" si="15"/>
        <v>1</v>
      </c>
      <c r="N82" s="48">
        <f t="shared" si="16"/>
        <v>1</v>
      </c>
      <c r="O82" s="48">
        <f t="shared" si="10"/>
        <v>0</v>
      </c>
      <c r="P82" s="12">
        <f>IF(Data!H82=0,"",Data!H82)</f>
        <v>44037.462314814817</v>
      </c>
    </row>
    <row r="83" spans="1:16" ht="16.5" x14ac:dyDescent="0.45">
      <c r="A83" s="11" t="str">
        <f>Data!G83</f>
        <v>Driver A</v>
      </c>
      <c r="B83" s="11" t="str">
        <f>Data!E83</f>
        <v>FirstName A</v>
      </c>
      <c r="C83" s="11" t="str">
        <f>Data!F83</f>
        <v>LastName A</v>
      </c>
      <c r="D83" s="10" t="b">
        <f t="shared" si="11"/>
        <v>0</v>
      </c>
      <c r="E83" s="10" t="str">
        <f t="shared" si="9"/>
        <v>NA</v>
      </c>
      <c r="F83" s="10">
        <f t="shared" si="12"/>
        <v>0</v>
      </c>
      <c r="G83" s="10">
        <f t="shared" si="13"/>
        <v>0</v>
      </c>
      <c r="H83" s="9" t="str">
        <f t="shared" si="14"/>
        <v>NA</v>
      </c>
      <c r="I83" s="58">
        <f>INT(Data!A83)</f>
        <v>44017</v>
      </c>
      <c r="J83" s="12">
        <f>Data!A83</f>
        <v>44017.454930555556</v>
      </c>
      <c r="K83" s="13" t="str">
        <f>Data!B83</f>
        <v>OFF</v>
      </c>
      <c r="L83" s="13" t="str">
        <f>Data!C83</f>
        <v>Vehicle A</v>
      </c>
      <c r="M83" s="56" t="b">
        <f t="shared" si="15"/>
        <v>1</v>
      </c>
      <c r="N83" s="48">
        <f t="shared" si="16"/>
        <v>1</v>
      </c>
      <c r="O83" s="48">
        <f t="shared" si="10"/>
        <v>0</v>
      </c>
      <c r="P83" s="12">
        <f>IF(Data!H83=0,"",Data!H83)</f>
        <v>44037.462314814817</v>
      </c>
    </row>
    <row r="84" spans="1:16" ht="16.5" x14ac:dyDescent="0.45">
      <c r="A84" s="11" t="str">
        <f>Data!G84</f>
        <v>Driver A</v>
      </c>
      <c r="B84" s="11" t="str">
        <f>Data!E84</f>
        <v>FirstName A</v>
      </c>
      <c r="C84" s="11" t="str">
        <f>Data!F84</f>
        <v>LastName A</v>
      </c>
      <c r="D84" s="10" t="b">
        <f t="shared" si="11"/>
        <v>1</v>
      </c>
      <c r="E84" s="10">
        <f t="shared" si="9"/>
        <v>1</v>
      </c>
      <c r="F84" s="10">
        <f t="shared" si="12"/>
        <v>1</v>
      </c>
      <c r="G84" s="10">
        <f t="shared" si="13"/>
        <v>0</v>
      </c>
      <c r="H84" s="9">
        <f t="shared" si="14"/>
        <v>44019</v>
      </c>
      <c r="I84" s="58">
        <f>INT(Data!A84)</f>
        <v>44019</v>
      </c>
      <c r="J84" s="12">
        <f>Data!A84</f>
        <v>44019.468113425923</v>
      </c>
      <c r="K84" s="13" t="str">
        <f>Data!B84</f>
        <v>D</v>
      </c>
      <c r="L84" s="13" t="str">
        <f>Data!C84</f>
        <v>Vehicle A</v>
      </c>
      <c r="M84" s="56" t="b">
        <f t="shared" si="15"/>
        <v>1</v>
      </c>
      <c r="N84" s="48">
        <f t="shared" si="16"/>
        <v>1</v>
      </c>
      <c r="O84" s="48">
        <f t="shared" si="10"/>
        <v>0</v>
      </c>
      <c r="P84" s="12">
        <f>IF(Data!H84=0,"",Data!H84)</f>
        <v>44037.462314814817</v>
      </c>
    </row>
    <row r="85" spans="1:16" ht="16.5" x14ac:dyDescent="0.45">
      <c r="A85" s="11" t="str">
        <f>Data!G85</f>
        <v>Driver A</v>
      </c>
      <c r="B85" s="11" t="str">
        <f>Data!E85</f>
        <v>FirstName A</v>
      </c>
      <c r="C85" s="11" t="str">
        <f>Data!F85</f>
        <v>LastName A</v>
      </c>
      <c r="D85" s="10" t="b">
        <f t="shared" si="11"/>
        <v>0</v>
      </c>
      <c r="E85" s="10" t="str">
        <f t="shared" si="9"/>
        <v>NA</v>
      </c>
      <c r="F85" s="10">
        <f t="shared" si="12"/>
        <v>0</v>
      </c>
      <c r="G85" s="10">
        <f t="shared" si="13"/>
        <v>0</v>
      </c>
      <c r="H85" s="9" t="str">
        <f t="shared" si="14"/>
        <v>NA</v>
      </c>
      <c r="I85" s="58">
        <f>INT(Data!A85)</f>
        <v>44019</v>
      </c>
      <c r="J85" s="12">
        <f>Data!A85</f>
        <v>44019.476400462961</v>
      </c>
      <c r="K85" s="13" t="str">
        <f>Data!B85</f>
        <v>ON</v>
      </c>
      <c r="L85" s="13" t="str">
        <f>Data!C85</f>
        <v>Vehicle A</v>
      </c>
      <c r="M85" s="56" t="b">
        <f t="shared" si="15"/>
        <v>1</v>
      </c>
      <c r="N85" s="48">
        <f t="shared" si="16"/>
        <v>1</v>
      </c>
      <c r="O85" s="48">
        <f t="shared" si="10"/>
        <v>0</v>
      </c>
      <c r="P85" s="12">
        <f>IF(Data!H85=0,"",Data!H85)</f>
        <v>44037.462314814817</v>
      </c>
    </row>
    <row r="86" spans="1:16" ht="16.5" x14ac:dyDescent="0.45">
      <c r="A86" s="11" t="str">
        <f>Data!G86</f>
        <v>Driver A</v>
      </c>
      <c r="B86" s="11" t="str">
        <f>Data!E86</f>
        <v>FirstName A</v>
      </c>
      <c r="C86" s="11" t="str">
        <f>Data!F86</f>
        <v>LastName A</v>
      </c>
      <c r="D86" s="10" t="b">
        <f t="shared" si="11"/>
        <v>0</v>
      </c>
      <c r="E86" s="10" t="str">
        <f t="shared" si="9"/>
        <v>NA</v>
      </c>
      <c r="F86" s="10">
        <f t="shared" si="12"/>
        <v>0</v>
      </c>
      <c r="G86" s="10">
        <f t="shared" si="13"/>
        <v>0</v>
      </c>
      <c r="H86" s="9" t="str">
        <f t="shared" si="14"/>
        <v>NA</v>
      </c>
      <c r="I86" s="58">
        <f>INT(Data!A86)</f>
        <v>44019</v>
      </c>
      <c r="J86" s="12">
        <f>Data!A86</f>
        <v>44019.494120370371</v>
      </c>
      <c r="K86" s="13" t="str">
        <f>Data!B86</f>
        <v>D</v>
      </c>
      <c r="L86" s="13" t="str">
        <f>Data!C86</f>
        <v>Vehicle A</v>
      </c>
      <c r="M86" s="56" t="b">
        <f t="shared" si="15"/>
        <v>1</v>
      </c>
      <c r="N86" s="48">
        <f t="shared" si="16"/>
        <v>0</v>
      </c>
      <c r="O86" s="48">
        <f t="shared" si="10"/>
        <v>1</v>
      </c>
      <c r="P86" s="12" t="str">
        <f>IF(Data!H86=0,"",Data!H86)</f>
        <v/>
      </c>
    </row>
    <row r="87" spans="1:16" ht="16.5" x14ac:dyDescent="0.45">
      <c r="A87" s="11" t="str">
        <f>Data!G87</f>
        <v>Driver A</v>
      </c>
      <c r="B87" s="11" t="str">
        <f>Data!E87</f>
        <v>FirstName A</v>
      </c>
      <c r="C87" s="11" t="str">
        <f>Data!F87</f>
        <v>LastName A</v>
      </c>
      <c r="D87" s="10" t="b">
        <f t="shared" si="11"/>
        <v>0</v>
      </c>
      <c r="E87" s="10" t="str">
        <f t="shared" si="9"/>
        <v>NA</v>
      </c>
      <c r="F87" s="10">
        <f t="shared" si="12"/>
        <v>0</v>
      </c>
      <c r="G87" s="10">
        <f t="shared" si="13"/>
        <v>0</v>
      </c>
      <c r="H87" s="9" t="str">
        <f t="shared" si="14"/>
        <v>NA</v>
      </c>
      <c r="I87" s="58">
        <f>INT(Data!A87)</f>
        <v>44019</v>
      </c>
      <c r="J87" s="12">
        <f>Data!A87</f>
        <v>44019.606678240743</v>
      </c>
      <c r="K87" s="13" t="str">
        <f>Data!B87</f>
        <v>OFF</v>
      </c>
      <c r="L87" s="13" t="str">
        <f>Data!C87</f>
        <v>Vehicle A</v>
      </c>
      <c r="M87" s="56" t="b">
        <f t="shared" si="15"/>
        <v>1</v>
      </c>
      <c r="N87" s="48">
        <f t="shared" si="16"/>
        <v>1</v>
      </c>
      <c r="O87" s="48">
        <f t="shared" si="10"/>
        <v>0</v>
      </c>
      <c r="P87" s="12">
        <f>IF(Data!H87=0,"",Data!H87)</f>
        <v>44037.462314814817</v>
      </c>
    </row>
    <row r="88" spans="1:16" ht="16.5" x14ac:dyDescent="0.45">
      <c r="A88" s="11" t="str">
        <f>Data!G88</f>
        <v>Driver A</v>
      </c>
      <c r="B88" s="11" t="str">
        <f>Data!E88</f>
        <v>FirstName A</v>
      </c>
      <c r="C88" s="11" t="str">
        <f>Data!F88</f>
        <v>LastName A</v>
      </c>
      <c r="D88" s="10" t="b">
        <f t="shared" si="11"/>
        <v>1</v>
      </c>
      <c r="E88" s="10">
        <f t="shared" si="9"/>
        <v>1</v>
      </c>
      <c r="F88" s="10">
        <f t="shared" si="12"/>
        <v>1</v>
      </c>
      <c r="G88" s="10">
        <f t="shared" si="13"/>
        <v>0</v>
      </c>
      <c r="H88" s="9">
        <f t="shared" si="14"/>
        <v>44023</v>
      </c>
      <c r="I88" s="58">
        <f>INT(Data!A88)</f>
        <v>44023</v>
      </c>
      <c r="J88" s="12">
        <f>Data!A88</f>
        <v>44023.673483796294</v>
      </c>
      <c r="K88" s="13" t="str">
        <f>Data!B88</f>
        <v>D</v>
      </c>
      <c r="L88" s="13" t="str">
        <f>Data!C88</f>
        <v>Vehicle A</v>
      </c>
      <c r="M88" s="56" t="b">
        <f t="shared" si="15"/>
        <v>1</v>
      </c>
      <c r="N88" s="48">
        <f t="shared" si="16"/>
        <v>1</v>
      </c>
      <c r="O88" s="48">
        <f t="shared" si="10"/>
        <v>0</v>
      </c>
      <c r="P88" s="12">
        <f>IF(Data!H88=0,"",Data!H88)</f>
        <v>44037.462314814817</v>
      </c>
    </row>
    <row r="89" spans="1:16" ht="16.5" x14ac:dyDescent="0.45">
      <c r="A89" s="11" t="str">
        <f>Data!G89</f>
        <v>Driver A</v>
      </c>
      <c r="B89" s="11" t="str">
        <f>Data!E89</f>
        <v>FirstName A</v>
      </c>
      <c r="C89" s="11" t="str">
        <f>Data!F89</f>
        <v>LastName A</v>
      </c>
      <c r="D89" s="10" t="b">
        <f t="shared" si="11"/>
        <v>0</v>
      </c>
      <c r="E89" s="10" t="str">
        <f t="shared" si="9"/>
        <v>NA</v>
      </c>
      <c r="F89" s="10">
        <f t="shared" si="12"/>
        <v>0</v>
      </c>
      <c r="G89" s="10">
        <f t="shared" si="13"/>
        <v>0</v>
      </c>
      <c r="H89" s="9" t="str">
        <f t="shared" si="14"/>
        <v>NA</v>
      </c>
      <c r="I89" s="58">
        <f>INT(Data!A89)</f>
        <v>44023</v>
      </c>
      <c r="J89" s="12">
        <f>Data!A89</f>
        <v>44023.768194444441</v>
      </c>
      <c r="K89" s="13" t="str">
        <f>Data!B89</f>
        <v>SB</v>
      </c>
      <c r="L89" s="13" t="str">
        <f>Data!C89</f>
        <v>Vehicle A</v>
      </c>
      <c r="M89" s="56" t="b">
        <f t="shared" si="15"/>
        <v>1</v>
      </c>
      <c r="N89" s="48">
        <f t="shared" si="16"/>
        <v>0</v>
      </c>
      <c r="O89" s="48">
        <f t="shared" si="10"/>
        <v>1</v>
      </c>
      <c r="P89" s="12" t="str">
        <f>IF(Data!H89=0,"",Data!H89)</f>
        <v/>
      </c>
    </row>
    <row r="90" spans="1:16" ht="16.5" x14ac:dyDescent="0.45">
      <c r="A90" s="11" t="str">
        <f>Data!G90</f>
        <v>Driver A</v>
      </c>
      <c r="B90" s="11" t="str">
        <f>Data!E90</f>
        <v>FirstName A</v>
      </c>
      <c r="C90" s="11" t="str">
        <f>Data!F90</f>
        <v>LastName A</v>
      </c>
      <c r="D90" s="10" t="b">
        <f t="shared" si="11"/>
        <v>1</v>
      </c>
      <c r="E90" s="10">
        <f t="shared" si="9"/>
        <v>1</v>
      </c>
      <c r="F90" s="10">
        <f t="shared" si="12"/>
        <v>1</v>
      </c>
      <c r="G90" s="10">
        <f t="shared" si="13"/>
        <v>0</v>
      </c>
      <c r="H90" s="9">
        <f t="shared" si="14"/>
        <v>44024</v>
      </c>
      <c r="I90" s="58">
        <f>INT(Data!A90)</f>
        <v>44024</v>
      </c>
      <c r="J90" s="12">
        <f>Data!A90</f>
        <v>44024.10732638889</v>
      </c>
      <c r="K90" s="13" t="str">
        <f>Data!B90</f>
        <v>ON</v>
      </c>
      <c r="L90" s="13" t="str">
        <f>Data!C90</f>
        <v>Vehicle A</v>
      </c>
      <c r="M90" s="56" t="b">
        <f t="shared" si="15"/>
        <v>1</v>
      </c>
      <c r="N90" s="48">
        <f t="shared" si="16"/>
        <v>1</v>
      </c>
      <c r="O90" s="48">
        <f t="shared" si="10"/>
        <v>0</v>
      </c>
      <c r="P90" s="12">
        <f>IF(Data!H90=0,"",Data!H90)</f>
        <v>44037.462314814817</v>
      </c>
    </row>
    <row r="91" spans="1:16" ht="16.5" x14ac:dyDescent="0.45">
      <c r="A91" s="11" t="str">
        <f>Data!G91</f>
        <v>Driver A</v>
      </c>
      <c r="B91" s="11" t="str">
        <f>Data!E91</f>
        <v>FirstName A</v>
      </c>
      <c r="C91" s="11" t="str">
        <f>Data!F91</f>
        <v>LastName A</v>
      </c>
      <c r="D91" s="10" t="b">
        <f t="shared" si="11"/>
        <v>0</v>
      </c>
      <c r="E91" s="10" t="str">
        <f t="shared" si="9"/>
        <v>NA</v>
      </c>
      <c r="F91" s="10">
        <f t="shared" si="12"/>
        <v>0</v>
      </c>
      <c r="G91" s="10">
        <f t="shared" si="13"/>
        <v>0</v>
      </c>
      <c r="H91" s="9" t="str">
        <f t="shared" si="14"/>
        <v>NA</v>
      </c>
      <c r="I91" s="58">
        <f>INT(Data!A91)</f>
        <v>44024</v>
      </c>
      <c r="J91" s="12">
        <f>Data!A91</f>
        <v>44024.109305555554</v>
      </c>
      <c r="K91" s="13" t="str">
        <f>Data!B91</f>
        <v>D</v>
      </c>
      <c r="L91" s="13" t="str">
        <f>Data!C91</f>
        <v>Vehicle A</v>
      </c>
      <c r="M91" s="56" t="b">
        <f t="shared" si="15"/>
        <v>1</v>
      </c>
      <c r="N91" s="48">
        <f t="shared" si="16"/>
        <v>1</v>
      </c>
      <c r="O91" s="48">
        <f t="shared" si="10"/>
        <v>0</v>
      </c>
      <c r="P91" s="12">
        <f>IF(Data!H91=0,"",Data!H91)</f>
        <v>44037.462314814817</v>
      </c>
    </row>
    <row r="92" spans="1:16" ht="16.5" x14ac:dyDescent="0.45">
      <c r="A92" s="11" t="str">
        <f>Data!G92</f>
        <v>Driver A</v>
      </c>
      <c r="B92" s="11" t="str">
        <f>Data!E92</f>
        <v>FirstName A</v>
      </c>
      <c r="C92" s="11" t="str">
        <f>Data!F92</f>
        <v>LastName A</v>
      </c>
      <c r="D92" s="10" t="b">
        <f t="shared" si="11"/>
        <v>0</v>
      </c>
      <c r="E92" s="10" t="str">
        <f t="shared" si="9"/>
        <v>NA</v>
      </c>
      <c r="F92" s="10">
        <f t="shared" si="12"/>
        <v>0</v>
      </c>
      <c r="G92" s="10">
        <f t="shared" si="13"/>
        <v>0</v>
      </c>
      <c r="H92" s="9" t="str">
        <f t="shared" si="14"/>
        <v>NA</v>
      </c>
      <c r="I92" s="58">
        <f>INT(Data!A92)</f>
        <v>44024</v>
      </c>
      <c r="J92" s="12">
        <f>Data!A92</f>
        <v>44024.239629629628</v>
      </c>
      <c r="K92" s="13" t="str">
        <f>Data!B92</f>
        <v>OFF</v>
      </c>
      <c r="L92" s="13" t="str">
        <f>Data!C92</f>
        <v>Vehicle A</v>
      </c>
      <c r="M92" s="56" t="b">
        <f t="shared" si="15"/>
        <v>1</v>
      </c>
      <c r="N92" s="48">
        <f t="shared" si="16"/>
        <v>1</v>
      </c>
      <c r="O92" s="48">
        <f t="shared" si="10"/>
        <v>0</v>
      </c>
      <c r="P92" s="12">
        <f>IF(Data!H92=0,"",Data!H92)</f>
        <v>44037.462314814817</v>
      </c>
    </row>
    <row r="93" spans="1:16" ht="16.5" x14ac:dyDescent="0.45">
      <c r="A93" s="11" t="str">
        <f>Data!G93</f>
        <v>Driver A</v>
      </c>
      <c r="B93" s="11" t="str">
        <f>Data!E93</f>
        <v>FirstName A</v>
      </c>
      <c r="C93" s="11" t="str">
        <f>Data!F93</f>
        <v>LastName A</v>
      </c>
      <c r="D93" s="10" t="b">
        <f t="shared" si="11"/>
        <v>0</v>
      </c>
      <c r="E93" s="10" t="str">
        <f t="shared" si="9"/>
        <v>NA</v>
      </c>
      <c r="F93" s="10">
        <f t="shared" si="12"/>
        <v>0</v>
      </c>
      <c r="G93" s="10">
        <f t="shared" si="13"/>
        <v>0</v>
      </c>
      <c r="H93" s="9" t="str">
        <f t="shared" si="14"/>
        <v>NA</v>
      </c>
      <c r="I93" s="58">
        <f>INT(Data!A93)</f>
        <v>44024</v>
      </c>
      <c r="J93" s="12">
        <f>Data!A93</f>
        <v>44024.280289351853</v>
      </c>
      <c r="K93" s="13" t="str">
        <f>Data!B93</f>
        <v>D</v>
      </c>
      <c r="L93" s="13" t="str">
        <f>Data!C93</f>
        <v>Vehicle A</v>
      </c>
      <c r="M93" s="56" t="b">
        <f t="shared" si="15"/>
        <v>1</v>
      </c>
      <c r="N93" s="48">
        <f t="shared" si="16"/>
        <v>0</v>
      </c>
      <c r="O93" s="48">
        <f t="shared" si="10"/>
        <v>1</v>
      </c>
      <c r="P93" s="12" t="str">
        <f>IF(Data!H93=0,"",Data!H93)</f>
        <v/>
      </c>
    </row>
    <row r="94" spans="1:16" ht="16.5" x14ac:dyDescent="0.45">
      <c r="A94" s="11" t="str">
        <f>Data!G94</f>
        <v>Driver A</v>
      </c>
      <c r="B94" s="11" t="str">
        <f>Data!E94</f>
        <v>FirstName A</v>
      </c>
      <c r="C94" s="11" t="str">
        <f>Data!F94</f>
        <v>LastName A</v>
      </c>
      <c r="D94" s="10" t="b">
        <f t="shared" si="11"/>
        <v>0</v>
      </c>
      <c r="E94" s="10" t="str">
        <f t="shared" si="9"/>
        <v>NA</v>
      </c>
      <c r="F94" s="10">
        <f t="shared" si="12"/>
        <v>0</v>
      </c>
      <c r="G94" s="10">
        <f t="shared" si="13"/>
        <v>0</v>
      </c>
      <c r="H94" s="9" t="str">
        <f t="shared" si="14"/>
        <v>NA</v>
      </c>
      <c r="I94" s="58">
        <f>INT(Data!A94)</f>
        <v>44024</v>
      </c>
      <c r="J94" s="12">
        <f>Data!A94</f>
        <v>44024.300162037034</v>
      </c>
      <c r="K94" s="13" t="str">
        <f>Data!B94</f>
        <v>SB</v>
      </c>
      <c r="L94" s="13" t="str">
        <f>Data!C94</f>
        <v>Vehicle A</v>
      </c>
      <c r="M94" s="56" t="b">
        <f t="shared" si="15"/>
        <v>1</v>
      </c>
      <c r="N94" s="48">
        <f t="shared" si="16"/>
        <v>1</v>
      </c>
      <c r="O94" s="48">
        <f t="shared" si="10"/>
        <v>0</v>
      </c>
      <c r="P94" s="12">
        <f>IF(Data!H94=0,"",Data!H94)</f>
        <v>44037.462314814817</v>
      </c>
    </row>
    <row r="95" spans="1:16" ht="16.5" x14ac:dyDescent="0.45">
      <c r="A95" s="11" t="str">
        <f>Data!G95</f>
        <v>Driver A</v>
      </c>
      <c r="B95" s="11" t="str">
        <f>Data!E95</f>
        <v>FirstName A</v>
      </c>
      <c r="C95" s="11" t="str">
        <f>Data!F95</f>
        <v>LastName A</v>
      </c>
      <c r="D95" s="10" t="b">
        <f t="shared" si="11"/>
        <v>0</v>
      </c>
      <c r="E95" s="10" t="str">
        <f t="shared" si="9"/>
        <v>NA</v>
      </c>
      <c r="F95" s="10">
        <f t="shared" si="12"/>
        <v>0</v>
      </c>
      <c r="G95" s="10">
        <f t="shared" si="13"/>
        <v>0</v>
      </c>
      <c r="H95" s="9" t="str">
        <f t="shared" si="14"/>
        <v>NA</v>
      </c>
      <c r="I95" s="58">
        <f>INT(Data!A95)</f>
        <v>44024</v>
      </c>
      <c r="J95" s="12">
        <f>Data!A95</f>
        <v>44024.542060185187</v>
      </c>
      <c r="K95" s="13" t="str">
        <f>Data!B95</f>
        <v>ON</v>
      </c>
      <c r="L95" s="13" t="str">
        <f>Data!C95</f>
        <v>Vehicle A</v>
      </c>
      <c r="M95" s="56" t="b">
        <f t="shared" si="15"/>
        <v>1</v>
      </c>
      <c r="N95" s="48">
        <f t="shared" si="16"/>
        <v>1</v>
      </c>
      <c r="O95" s="48">
        <f t="shared" si="10"/>
        <v>0</v>
      </c>
      <c r="P95" s="12">
        <f>IF(Data!H95=0,"",Data!H95)</f>
        <v>44037.462314814817</v>
      </c>
    </row>
    <row r="96" spans="1:16" ht="16.5" x14ac:dyDescent="0.45">
      <c r="A96" s="11" t="str">
        <f>Data!G96</f>
        <v>Driver A</v>
      </c>
      <c r="B96" s="11" t="str">
        <f>Data!E96</f>
        <v>FirstName A</v>
      </c>
      <c r="C96" s="11" t="str">
        <f>Data!F96</f>
        <v>LastName A</v>
      </c>
      <c r="D96" s="10" t="b">
        <f t="shared" si="11"/>
        <v>0</v>
      </c>
      <c r="E96" s="10" t="str">
        <f t="shared" si="9"/>
        <v>NA</v>
      </c>
      <c r="F96" s="10">
        <f t="shared" si="12"/>
        <v>0</v>
      </c>
      <c r="G96" s="10">
        <f t="shared" si="13"/>
        <v>0</v>
      </c>
      <c r="H96" s="9" t="str">
        <f t="shared" si="14"/>
        <v>NA</v>
      </c>
      <c r="I96" s="58">
        <f>INT(Data!A96)</f>
        <v>44024</v>
      </c>
      <c r="J96" s="12">
        <f>Data!A96</f>
        <v>44024.547152777777</v>
      </c>
      <c r="K96" s="13" t="str">
        <f>Data!B96</f>
        <v>D</v>
      </c>
      <c r="L96" s="13" t="str">
        <f>Data!C96</f>
        <v>Vehicle A</v>
      </c>
      <c r="M96" s="56" t="b">
        <f t="shared" si="15"/>
        <v>1</v>
      </c>
      <c r="N96" s="48">
        <f t="shared" si="16"/>
        <v>1</v>
      </c>
      <c r="O96" s="48">
        <f t="shared" si="10"/>
        <v>0</v>
      </c>
      <c r="P96" s="12">
        <f>IF(Data!H96=0,"",Data!H96)</f>
        <v>44037.462314814817</v>
      </c>
    </row>
    <row r="97" spans="1:16" ht="16.5" x14ac:dyDescent="0.45">
      <c r="A97" s="11" t="str">
        <f>Data!G97</f>
        <v>Driver A</v>
      </c>
      <c r="B97" s="11" t="str">
        <f>Data!E97</f>
        <v>FirstName A</v>
      </c>
      <c r="C97" s="11" t="str">
        <f>Data!F97</f>
        <v>LastName A</v>
      </c>
      <c r="D97" s="10" t="b">
        <f t="shared" si="11"/>
        <v>0</v>
      </c>
      <c r="E97" s="10" t="str">
        <f t="shared" si="9"/>
        <v>NA</v>
      </c>
      <c r="F97" s="10">
        <f t="shared" si="12"/>
        <v>0</v>
      </c>
      <c r="G97" s="10">
        <f t="shared" si="13"/>
        <v>0</v>
      </c>
      <c r="H97" s="9" t="str">
        <f t="shared" si="14"/>
        <v>NA</v>
      </c>
      <c r="I97" s="58">
        <f>INT(Data!A97)</f>
        <v>44024</v>
      </c>
      <c r="J97" s="12">
        <f>Data!A97</f>
        <v>44024.583136574074</v>
      </c>
      <c r="K97" s="13" t="str">
        <f>Data!B97</f>
        <v>SB</v>
      </c>
      <c r="L97" s="13" t="str">
        <f>Data!C97</f>
        <v>Vehicle A</v>
      </c>
      <c r="M97" s="56" t="b">
        <f t="shared" si="15"/>
        <v>1</v>
      </c>
      <c r="N97" s="48">
        <f t="shared" si="16"/>
        <v>1</v>
      </c>
      <c r="O97" s="48">
        <f t="shared" si="10"/>
        <v>0</v>
      </c>
      <c r="P97" s="12">
        <f>IF(Data!H97=0,"",Data!H97)</f>
        <v>44037.462314814817</v>
      </c>
    </row>
    <row r="98" spans="1:16" ht="16.5" x14ac:dyDescent="0.45">
      <c r="A98" s="11" t="str">
        <f>Data!G98</f>
        <v>Driver A</v>
      </c>
      <c r="B98" s="11" t="str">
        <f>Data!E98</f>
        <v>FirstName A</v>
      </c>
      <c r="C98" s="11" t="str">
        <f>Data!F98</f>
        <v>LastName A</v>
      </c>
      <c r="D98" s="10" t="b">
        <f t="shared" si="11"/>
        <v>1</v>
      </c>
      <c r="E98" s="10">
        <f t="shared" si="9"/>
        <v>0</v>
      </c>
      <c r="F98" s="10">
        <f t="shared" si="12"/>
        <v>0</v>
      </c>
      <c r="G98" s="10">
        <f t="shared" si="13"/>
        <v>1</v>
      </c>
      <c r="H98" s="9" t="str">
        <f t="shared" si="14"/>
        <v>NA</v>
      </c>
      <c r="I98" s="58">
        <f>INT(Data!A98)</f>
        <v>44025</v>
      </c>
      <c r="J98" s="12">
        <f>Data!A98</f>
        <v>44025.176226851851</v>
      </c>
      <c r="K98" s="13" t="str">
        <f>Data!B98</f>
        <v>ON</v>
      </c>
      <c r="L98" s="13" t="str">
        <f>Data!C98</f>
        <v>Vehicle A</v>
      </c>
      <c r="M98" s="56" t="b">
        <f t="shared" si="15"/>
        <v>1</v>
      </c>
      <c r="N98" s="48">
        <f t="shared" si="16"/>
        <v>1</v>
      </c>
      <c r="O98" s="48">
        <f t="shared" si="10"/>
        <v>0</v>
      </c>
      <c r="P98" s="12">
        <f>IF(Data!H98=0,"",Data!H98)</f>
        <v>44037.462314814817</v>
      </c>
    </row>
    <row r="99" spans="1:16" ht="16.5" x14ac:dyDescent="0.45">
      <c r="A99" s="11" t="str">
        <f>Data!G99</f>
        <v>Driver A</v>
      </c>
      <c r="B99" s="11" t="str">
        <f>Data!E99</f>
        <v>FirstName A</v>
      </c>
      <c r="C99" s="11" t="str">
        <f>Data!F99</f>
        <v>LastName A</v>
      </c>
      <c r="D99" s="10" t="b">
        <f t="shared" si="11"/>
        <v>0</v>
      </c>
      <c r="E99" s="10" t="str">
        <f t="shared" si="9"/>
        <v>NA</v>
      </c>
      <c r="F99" s="10">
        <f t="shared" si="12"/>
        <v>0</v>
      </c>
      <c r="G99" s="10">
        <f t="shared" si="13"/>
        <v>0</v>
      </c>
      <c r="H99" s="9" t="str">
        <f t="shared" si="14"/>
        <v>NA</v>
      </c>
      <c r="I99" s="58">
        <f>INT(Data!A99)</f>
        <v>44025</v>
      </c>
      <c r="J99" s="12">
        <f>Data!A99</f>
        <v>44025.181805555556</v>
      </c>
      <c r="K99" s="13" t="str">
        <f>Data!B99</f>
        <v>D</v>
      </c>
      <c r="L99" s="13" t="str">
        <f>Data!C99</f>
        <v>Vehicle A</v>
      </c>
      <c r="M99" s="56" t="b">
        <f t="shared" si="15"/>
        <v>1</v>
      </c>
      <c r="N99" s="48">
        <f t="shared" si="16"/>
        <v>1</v>
      </c>
      <c r="O99" s="48">
        <f t="shared" si="10"/>
        <v>0</v>
      </c>
      <c r="P99" s="12">
        <f>IF(Data!H99=0,"",Data!H99)</f>
        <v>44037.462314814817</v>
      </c>
    </row>
    <row r="100" spans="1:16" ht="16.5" x14ac:dyDescent="0.45">
      <c r="A100" s="11" t="str">
        <f>Data!G100</f>
        <v>Driver A</v>
      </c>
      <c r="B100" s="11" t="str">
        <f>Data!E100</f>
        <v>FirstName A</v>
      </c>
      <c r="C100" s="11" t="str">
        <f>Data!F100</f>
        <v>LastName A</v>
      </c>
      <c r="D100" s="10" t="b">
        <f t="shared" si="11"/>
        <v>0</v>
      </c>
      <c r="E100" s="10" t="str">
        <f t="shared" si="9"/>
        <v>NA</v>
      </c>
      <c r="F100" s="10">
        <f t="shared" si="12"/>
        <v>0</v>
      </c>
      <c r="G100" s="10">
        <f t="shared" si="13"/>
        <v>0</v>
      </c>
      <c r="H100" s="9" t="str">
        <f t="shared" si="14"/>
        <v>NA</v>
      </c>
      <c r="I100" s="58">
        <f>INT(Data!A100)</f>
        <v>44025</v>
      </c>
      <c r="J100" s="12">
        <f>Data!A100</f>
        <v>44025.293252314812</v>
      </c>
      <c r="K100" s="13" t="str">
        <f>Data!B100</f>
        <v>OFF</v>
      </c>
      <c r="L100" s="13" t="str">
        <f>Data!C100</f>
        <v>Vehicle A</v>
      </c>
      <c r="M100" s="56" t="b">
        <f t="shared" si="15"/>
        <v>1</v>
      </c>
      <c r="N100" s="48">
        <f t="shared" si="16"/>
        <v>1</v>
      </c>
      <c r="O100" s="48">
        <f t="shared" si="10"/>
        <v>0</v>
      </c>
      <c r="P100" s="12">
        <f>IF(Data!H100=0,"",Data!H100)</f>
        <v>44037.462314814817</v>
      </c>
    </row>
    <row r="101" spans="1:16" ht="16.5" x14ac:dyDescent="0.45">
      <c r="A101" s="11" t="str">
        <f>Data!G101</f>
        <v>Driver A</v>
      </c>
      <c r="B101" s="11" t="str">
        <f>Data!E101</f>
        <v>FirstName A</v>
      </c>
      <c r="C101" s="11" t="str">
        <f>Data!F101</f>
        <v>LastName A</v>
      </c>
      <c r="D101" s="10" t="b">
        <f t="shared" si="11"/>
        <v>0</v>
      </c>
      <c r="E101" s="10" t="str">
        <f t="shared" si="9"/>
        <v>NA</v>
      </c>
      <c r="F101" s="10">
        <f t="shared" si="12"/>
        <v>0</v>
      </c>
      <c r="G101" s="10">
        <f t="shared" si="13"/>
        <v>0</v>
      </c>
      <c r="H101" s="9" t="str">
        <f t="shared" si="14"/>
        <v>NA</v>
      </c>
      <c r="I101" s="58">
        <f>INT(Data!A101)</f>
        <v>44025</v>
      </c>
      <c r="J101" s="12">
        <f>Data!A101</f>
        <v>44025.748159722221</v>
      </c>
      <c r="K101" s="13" t="str">
        <f>Data!B101</f>
        <v>D</v>
      </c>
      <c r="L101" s="13" t="str">
        <f>Data!C101</f>
        <v>Vehicle A</v>
      </c>
      <c r="M101" s="56" t="b">
        <f t="shared" si="15"/>
        <v>1</v>
      </c>
      <c r="N101" s="48">
        <f t="shared" si="16"/>
        <v>1</v>
      </c>
      <c r="O101" s="48">
        <f t="shared" si="10"/>
        <v>0</v>
      </c>
      <c r="P101" s="12">
        <f>IF(Data!H101=0,"",Data!H101)</f>
        <v>44037.462314814817</v>
      </c>
    </row>
    <row r="102" spans="1:16" ht="16.5" x14ac:dyDescent="0.45">
      <c r="A102" s="11" t="str">
        <f>Data!G102</f>
        <v>Driver A</v>
      </c>
      <c r="B102" s="11" t="str">
        <f>Data!E102</f>
        <v>FirstName A</v>
      </c>
      <c r="C102" s="11" t="str">
        <f>Data!F102</f>
        <v>LastName A</v>
      </c>
      <c r="D102" s="10" t="b">
        <f t="shared" si="11"/>
        <v>0</v>
      </c>
      <c r="E102" s="10" t="str">
        <f t="shared" si="9"/>
        <v>NA</v>
      </c>
      <c r="F102" s="10">
        <f t="shared" si="12"/>
        <v>0</v>
      </c>
      <c r="G102" s="10">
        <f t="shared" si="13"/>
        <v>0</v>
      </c>
      <c r="H102" s="9" t="str">
        <f t="shared" si="14"/>
        <v>NA</v>
      </c>
      <c r="I102" s="58">
        <f>INT(Data!A102)</f>
        <v>44025</v>
      </c>
      <c r="J102" s="12">
        <f>Data!A102</f>
        <v>44025.81527777778</v>
      </c>
      <c r="K102" s="13" t="str">
        <f>Data!B102</f>
        <v>OFF</v>
      </c>
      <c r="L102" s="13" t="str">
        <f>Data!C102</f>
        <v>Vehicle A</v>
      </c>
      <c r="M102" s="56" t="b">
        <f t="shared" si="15"/>
        <v>1</v>
      </c>
      <c r="N102" s="48">
        <f t="shared" si="16"/>
        <v>1</v>
      </c>
      <c r="O102" s="48">
        <f t="shared" si="10"/>
        <v>0</v>
      </c>
      <c r="P102" s="12">
        <f>IF(Data!H102=0,"",Data!H102)</f>
        <v>44037.462314814817</v>
      </c>
    </row>
    <row r="103" spans="1:16" ht="16.5" x14ac:dyDescent="0.45">
      <c r="A103" s="11" t="str">
        <f>Data!G103</f>
        <v>Driver A</v>
      </c>
      <c r="B103" s="11" t="str">
        <f>Data!E103</f>
        <v>FirstName A</v>
      </c>
      <c r="C103" s="11" t="str">
        <f>Data!F103</f>
        <v>LastName A</v>
      </c>
      <c r="D103" s="10" t="b">
        <f t="shared" si="11"/>
        <v>0</v>
      </c>
      <c r="E103" s="10" t="str">
        <f t="shared" si="9"/>
        <v>NA</v>
      </c>
      <c r="F103" s="10">
        <f t="shared" si="12"/>
        <v>0</v>
      </c>
      <c r="G103" s="10">
        <f t="shared" si="13"/>
        <v>0</v>
      </c>
      <c r="H103" s="9" t="str">
        <f t="shared" si="14"/>
        <v>NA</v>
      </c>
      <c r="I103" s="58">
        <f>INT(Data!A103)</f>
        <v>44025</v>
      </c>
      <c r="J103" s="12">
        <f>Data!A103</f>
        <v>44025.833819444444</v>
      </c>
      <c r="K103" s="13" t="str">
        <f>Data!B103</f>
        <v>D</v>
      </c>
      <c r="L103" s="13" t="str">
        <f>Data!C103</f>
        <v>Vehicle A</v>
      </c>
      <c r="M103" s="56" t="b">
        <f t="shared" si="15"/>
        <v>1</v>
      </c>
      <c r="N103" s="48">
        <f t="shared" si="16"/>
        <v>1</v>
      </c>
      <c r="O103" s="48">
        <f t="shared" si="10"/>
        <v>0</v>
      </c>
      <c r="P103" s="12">
        <f>IF(Data!H103=0,"",Data!H103)</f>
        <v>44037.462314814817</v>
      </c>
    </row>
    <row r="104" spans="1:16" ht="16.5" x14ac:dyDescent="0.45">
      <c r="A104" s="11" t="str">
        <f>Data!G104</f>
        <v>Driver A</v>
      </c>
      <c r="B104" s="11" t="str">
        <f>Data!E104</f>
        <v>FirstName A</v>
      </c>
      <c r="C104" s="11" t="str">
        <f>Data!F104</f>
        <v>LastName A</v>
      </c>
      <c r="D104" s="10" t="b">
        <f t="shared" si="11"/>
        <v>0</v>
      </c>
      <c r="E104" s="10" t="str">
        <f t="shared" si="9"/>
        <v>NA</v>
      </c>
      <c r="F104" s="10">
        <f t="shared" si="12"/>
        <v>0</v>
      </c>
      <c r="G104" s="10">
        <f t="shared" si="13"/>
        <v>0</v>
      </c>
      <c r="H104" s="9" t="str">
        <f t="shared" si="14"/>
        <v>NA</v>
      </c>
      <c r="I104" s="58">
        <f>INT(Data!A104)</f>
        <v>44025</v>
      </c>
      <c r="J104" s="12">
        <f>Data!A104</f>
        <v>44025.909062500003</v>
      </c>
      <c r="K104" s="13" t="str">
        <f>Data!B104</f>
        <v>OFF</v>
      </c>
      <c r="L104" s="13" t="str">
        <f>Data!C104</f>
        <v>Vehicle A</v>
      </c>
      <c r="M104" s="56" t="b">
        <f t="shared" si="15"/>
        <v>1</v>
      </c>
      <c r="N104" s="48">
        <f t="shared" si="16"/>
        <v>1</v>
      </c>
      <c r="O104" s="48">
        <f t="shared" si="10"/>
        <v>0</v>
      </c>
      <c r="P104" s="12">
        <f>IF(Data!H104=0,"",Data!H104)</f>
        <v>44037.462314814817</v>
      </c>
    </row>
    <row r="105" spans="1:16" ht="16.5" x14ac:dyDescent="0.45">
      <c r="A105" s="11" t="str">
        <f>Data!G105</f>
        <v>Driver A</v>
      </c>
      <c r="B105" s="11" t="str">
        <f>Data!E105</f>
        <v>FirstName A</v>
      </c>
      <c r="C105" s="11" t="str">
        <f>Data!F105</f>
        <v>LastName A</v>
      </c>
      <c r="D105" s="10" t="b">
        <f t="shared" si="11"/>
        <v>0</v>
      </c>
      <c r="E105" s="10" t="str">
        <f t="shared" si="9"/>
        <v>NA</v>
      </c>
      <c r="F105" s="10">
        <f t="shared" si="12"/>
        <v>0</v>
      </c>
      <c r="G105" s="10">
        <f t="shared" si="13"/>
        <v>0</v>
      </c>
      <c r="H105" s="9" t="str">
        <f t="shared" si="14"/>
        <v>NA</v>
      </c>
      <c r="I105" s="58">
        <f>INT(Data!A105)</f>
        <v>44025</v>
      </c>
      <c r="J105" s="12">
        <f>Data!A105</f>
        <v>44025.927094907405</v>
      </c>
      <c r="K105" s="13" t="str">
        <f>Data!B105</f>
        <v>D</v>
      </c>
      <c r="L105" s="13" t="str">
        <f>Data!C105</f>
        <v>Vehicle A</v>
      </c>
      <c r="M105" s="56" t="b">
        <f t="shared" si="15"/>
        <v>1</v>
      </c>
      <c r="N105" s="48">
        <f t="shared" si="16"/>
        <v>1</v>
      </c>
      <c r="O105" s="48">
        <f t="shared" si="10"/>
        <v>0</v>
      </c>
      <c r="P105" s="12">
        <f>IF(Data!H105=0,"",Data!H105)</f>
        <v>44037.462314814817</v>
      </c>
    </row>
    <row r="106" spans="1:16" ht="16.5" x14ac:dyDescent="0.45">
      <c r="A106" s="11" t="str">
        <f>Data!G106</f>
        <v>Driver A</v>
      </c>
      <c r="B106" s="11" t="str">
        <f>Data!E106</f>
        <v>FirstName A</v>
      </c>
      <c r="C106" s="11" t="str">
        <f>Data!F106</f>
        <v>LastName A</v>
      </c>
      <c r="D106" s="10" t="b">
        <f t="shared" si="11"/>
        <v>0</v>
      </c>
      <c r="E106" s="10" t="str">
        <f t="shared" si="9"/>
        <v>NA</v>
      </c>
      <c r="F106" s="10">
        <f t="shared" si="12"/>
        <v>0</v>
      </c>
      <c r="G106" s="10">
        <f t="shared" si="13"/>
        <v>0</v>
      </c>
      <c r="H106" s="9" t="str">
        <f t="shared" si="14"/>
        <v>NA</v>
      </c>
      <c r="I106" s="58">
        <f>INT(Data!A106)</f>
        <v>44025</v>
      </c>
      <c r="J106" s="12">
        <f>Data!A106</f>
        <v>44025.930868055555</v>
      </c>
      <c r="K106" s="13" t="str">
        <f>Data!B106</f>
        <v>ON</v>
      </c>
      <c r="L106" s="13" t="str">
        <f>Data!C106</f>
        <v>Vehicle A</v>
      </c>
      <c r="M106" s="56" t="b">
        <f t="shared" si="15"/>
        <v>1</v>
      </c>
      <c r="N106" s="48">
        <f t="shared" si="16"/>
        <v>1</v>
      </c>
      <c r="O106" s="48">
        <f t="shared" si="10"/>
        <v>0</v>
      </c>
      <c r="P106" s="12">
        <f>IF(Data!H106=0,"",Data!H106)</f>
        <v>44037.462314814817</v>
      </c>
    </row>
    <row r="107" spans="1:16" ht="16.5" x14ac:dyDescent="0.45">
      <c r="A107" s="11" t="str">
        <f>Data!G107</f>
        <v>Driver A</v>
      </c>
      <c r="B107" s="11" t="str">
        <f>Data!E107</f>
        <v>FirstName A</v>
      </c>
      <c r="C107" s="11" t="str">
        <f>Data!F107</f>
        <v>LastName A</v>
      </c>
      <c r="D107" s="10" t="b">
        <f t="shared" si="11"/>
        <v>0</v>
      </c>
      <c r="E107" s="10" t="str">
        <f t="shared" si="9"/>
        <v>NA</v>
      </c>
      <c r="F107" s="10">
        <f t="shared" si="12"/>
        <v>0</v>
      </c>
      <c r="G107" s="10">
        <f t="shared" si="13"/>
        <v>0</v>
      </c>
      <c r="H107" s="9" t="str">
        <f t="shared" si="14"/>
        <v>NA</v>
      </c>
      <c r="I107" s="58">
        <f>INT(Data!A107)</f>
        <v>44025</v>
      </c>
      <c r="J107" s="12">
        <f>Data!A107</f>
        <v>44025.931666666664</v>
      </c>
      <c r="K107" s="13" t="str">
        <f>Data!B107</f>
        <v>OFF</v>
      </c>
      <c r="L107" s="13" t="str">
        <f>Data!C107</f>
        <v>Vehicle A</v>
      </c>
      <c r="M107" s="56" t="b">
        <f t="shared" si="15"/>
        <v>1</v>
      </c>
      <c r="N107" s="48">
        <f t="shared" si="16"/>
        <v>1</v>
      </c>
      <c r="O107" s="48">
        <f t="shared" si="10"/>
        <v>0</v>
      </c>
      <c r="P107" s="12">
        <f>IF(Data!H107=0,"",Data!H107)</f>
        <v>44037.462314814817</v>
      </c>
    </row>
    <row r="108" spans="1:16" ht="16.5" x14ac:dyDescent="0.45">
      <c r="A108" s="11" t="str">
        <f>Data!G108</f>
        <v>Driver A</v>
      </c>
      <c r="B108" s="11" t="str">
        <f>Data!E108</f>
        <v>FirstName A</v>
      </c>
      <c r="C108" s="11" t="str">
        <f>Data!F108</f>
        <v>LastName A</v>
      </c>
      <c r="D108" s="10" t="b">
        <f t="shared" si="11"/>
        <v>1</v>
      </c>
      <c r="E108" s="10">
        <f t="shared" ref="E108:E139" si="17">IF(D108,SUMIFS(O:O,A:A,A108,I:I, I108),"NA")</f>
        <v>3</v>
      </c>
      <c r="F108" s="10">
        <f t="shared" si="12"/>
        <v>1</v>
      </c>
      <c r="G108" s="10">
        <f t="shared" si="13"/>
        <v>0</v>
      </c>
      <c r="H108" s="9">
        <f t="shared" si="14"/>
        <v>44026</v>
      </c>
      <c r="I108" s="58">
        <f>INT(Data!A108)</f>
        <v>44026</v>
      </c>
      <c r="J108" s="12">
        <f>Data!A108</f>
        <v>44026.014236111114</v>
      </c>
      <c r="K108" s="13" t="str">
        <f>Data!B108</f>
        <v>D</v>
      </c>
      <c r="L108" s="13" t="str">
        <f>Data!C108</f>
        <v>Vehicle A</v>
      </c>
      <c r="M108" s="56" t="b">
        <f t="shared" si="15"/>
        <v>1</v>
      </c>
      <c r="N108" s="48">
        <f t="shared" si="16"/>
        <v>1</v>
      </c>
      <c r="O108" s="48">
        <f t="shared" si="10"/>
        <v>0</v>
      </c>
      <c r="P108" s="12">
        <f>IF(Data!H108=0,"",Data!H108)</f>
        <v>44037.462314814817</v>
      </c>
    </row>
    <row r="109" spans="1:16" ht="16.5" x14ac:dyDescent="0.45">
      <c r="A109" s="11" t="str">
        <f>Data!G109</f>
        <v>Driver A</v>
      </c>
      <c r="B109" s="11" t="str">
        <f>Data!E109</f>
        <v>FirstName A</v>
      </c>
      <c r="C109" s="11" t="str">
        <f>Data!F109</f>
        <v>LastName A</v>
      </c>
      <c r="D109" s="10" t="b">
        <f t="shared" si="11"/>
        <v>0</v>
      </c>
      <c r="E109" s="10" t="str">
        <f t="shared" si="17"/>
        <v>NA</v>
      </c>
      <c r="F109" s="10">
        <f t="shared" si="12"/>
        <v>0</v>
      </c>
      <c r="G109" s="10">
        <f t="shared" si="13"/>
        <v>0</v>
      </c>
      <c r="H109" s="9" t="str">
        <f t="shared" si="14"/>
        <v>NA</v>
      </c>
      <c r="I109" s="58">
        <f>INT(Data!A109)</f>
        <v>44026</v>
      </c>
      <c r="J109" s="12">
        <f>Data!A109</f>
        <v>44026.019097222219</v>
      </c>
      <c r="K109" s="13" t="str">
        <f>Data!B109</f>
        <v>AdverseWeather</v>
      </c>
      <c r="L109" s="13" t="str">
        <f>Data!C109</f>
        <v>Vehicle A</v>
      </c>
      <c r="M109" s="56" t="b">
        <f t="shared" si="15"/>
        <v>0</v>
      </c>
      <c r="N109" s="48">
        <f t="shared" si="16"/>
        <v>0</v>
      </c>
      <c r="O109" s="48" t="str">
        <f t="shared" si="10"/>
        <v>Not Considered</v>
      </c>
      <c r="P109" s="12">
        <f>IF(Data!H109=0,"",Data!H109)</f>
        <v>44037.462314814817</v>
      </c>
    </row>
    <row r="110" spans="1:16" ht="16.5" x14ac:dyDescent="0.45">
      <c r="A110" s="11" t="str">
        <f>Data!G110</f>
        <v>Driver A</v>
      </c>
      <c r="B110" s="11" t="str">
        <f>Data!E110</f>
        <v>FirstName A</v>
      </c>
      <c r="C110" s="11" t="str">
        <f>Data!F110</f>
        <v>LastName A</v>
      </c>
      <c r="D110" s="10" t="b">
        <f t="shared" si="11"/>
        <v>0</v>
      </c>
      <c r="E110" s="10" t="str">
        <f t="shared" si="17"/>
        <v>NA</v>
      </c>
      <c r="F110" s="10">
        <f t="shared" si="12"/>
        <v>0</v>
      </c>
      <c r="G110" s="10">
        <f t="shared" si="13"/>
        <v>0</v>
      </c>
      <c r="H110" s="9" t="str">
        <f t="shared" si="14"/>
        <v>NA</v>
      </c>
      <c r="I110" s="58">
        <f>INT(Data!A110)</f>
        <v>44026</v>
      </c>
      <c r="J110" s="12">
        <f>Data!A110</f>
        <v>44026.025277777779</v>
      </c>
      <c r="K110" s="13" t="str">
        <f>Data!B110</f>
        <v>D</v>
      </c>
      <c r="L110" s="13" t="str">
        <f>Data!C110</f>
        <v>Vehicle A</v>
      </c>
      <c r="M110" s="56" t="b">
        <f t="shared" si="15"/>
        <v>1</v>
      </c>
      <c r="N110" s="48">
        <f t="shared" si="16"/>
        <v>1</v>
      </c>
      <c r="O110" s="48">
        <f t="shared" si="10"/>
        <v>0</v>
      </c>
      <c r="P110" s="12">
        <f>IF(Data!H110=0,"",Data!H110)</f>
        <v>44037.462314814817</v>
      </c>
    </row>
    <row r="111" spans="1:16" ht="16.5" x14ac:dyDescent="0.45">
      <c r="A111" s="11" t="str">
        <f>Data!G111</f>
        <v>Driver A</v>
      </c>
      <c r="B111" s="11" t="str">
        <f>Data!E111</f>
        <v>FirstName A</v>
      </c>
      <c r="C111" s="11" t="str">
        <f>Data!F111</f>
        <v>LastName A</v>
      </c>
      <c r="D111" s="10" t="b">
        <f t="shared" si="11"/>
        <v>0</v>
      </c>
      <c r="E111" s="10" t="str">
        <f t="shared" si="17"/>
        <v>NA</v>
      </c>
      <c r="F111" s="10">
        <f t="shared" si="12"/>
        <v>0</v>
      </c>
      <c r="G111" s="10">
        <f t="shared" si="13"/>
        <v>0</v>
      </c>
      <c r="H111" s="9" t="str">
        <f t="shared" si="14"/>
        <v>NA</v>
      </c>
      <c r="I111" s="58">
        <f>INT(Data!A111)</f>
        <v>44026</v>
      </c>
      <c r="J111" s="12">
        <f>Data!A111</f>
        <v>44026.074895833335</v>
      </c>
      <c r="K111" s="13" t="str">
        <f>Data!B111</f>
        <v>INT_D</v>
      </c>
      <c r="L111" s="13" t="str">
        <f>Data!C111</f>
        <v>Vehicle A</v>
      </c>
      <c r="M111" s="56" t="b">
        <f t="shared" si="15"/>
        <v>0</v>
      </c>
      <c r="N111" s="48">
        <f t="shared" si="16"/>
        <v>0</v>
      </c>
      <c r="O111" s="48" t="str">
        <f t="shared" si="10"/>
        <v>Not Considered</v>
      </c>
      <c r="P111" s="12">
        <f>IF(Data!H111=0,"",Data!H111)</f>
        <v>44037.462314814817</v>
      </c>
    </row>
    <row r="112" spans="1:16" ht="16.5" x14ac:dyDescent="0.45">
      <c r="A112" s="11" t="str">
        <f>Data!G112</f>
        <v>Driver A</v>
      </c>
      <c r="B112" s="11" t="str">
        <f>Data!E112</f>
        <v>FirstName A</v>
      </c>
      <c r="C112" s="11" t="str">
        <f>Data!F112</f>
        <v>LastName A</v>
      </c>
      <c r="D112" s="10" t="b">
        <f t="shared" si="11"/>
        <v>0</v>
      </c>
      <c r="E112" s="10" t="str">
        <f t="shared" si="17"/>
        <v>NA</v>
      </c>
      <c r="F112" s="10">
        <f t="shared" si="12"/>
        <v>0</v>
      </c>
      <c r="G112" s="10">
        <f t="shared" si="13"/>
        <v>0</v>
      </c>
      <c r="H112" s="9" t="str">
        <f t="shared" si="14"/>
        <v>NA</v>
      </c>
      <c r="I112" s="58">
        <f>INT(Data!A112)</f>
        <v>44026</v>
      </c>
      <c r="J112" s="12">
        <f>Data!A112</f>
        <v>44026.079629629632</v>
      </c>
      <c r="K112" s="13" t="str">
        <f>Data!B112</f>
        <v>OFF</v>
      </c>
      <c r="L112" s="13" t="str">
        <f>Data!C112</f>
        <v>Vehicle A</v>
      </c>
      <c r="M112" s="56" t="b">
        <f t="shared" si="15"/>
        <v>1</v>
      </c>
      <c r="N112" s="48">
        <f t="shared" si="16"/>
        <v>1</v>
      </c>
      <c r="O112" s="48">
        <f t="shared" si="10"/>
        <v>0</v>
      </c>
      <c r="P112" s="12">
        <f>IF(Data!H112=0,"",Data!H112)</f>
        <v>44037.462314814817</v>
      </c>
    </row>
    <row r="113" spans="1:16" ht="16.5" x14ac:dyDescent="0.45">
      <c r="A113" s="11" t="str">
        <f>Data!G113</f>
        <v>Driver A</v>
      </c>
      <c r="B113" s="11" t="str">
        <f>Data!E113</f>
        <v>FirstName A</v>
      </c>
      <c r="C113" s="11" t="str">
        <f>Data!F113</f>
        <v>LastName A</v>
      </c>
      <c r="D113" s="10" t="b">
        <f t="shared" si="11"/>
        <v>0</v>
      </c>
      <c r="E113" s="10" t="str">
        <f t="shared" si="17"/>
        <v>NA</v>
      </c>
      <c r="F113" s="10">
        <f t="shared" si="12"/>
        <v>0</v>
      </c>
      <c r="G113" s="10">
        <f t="shared" si="13"/>
        <v>0</v>
      </c>
      <c r="H113" s="9" t="str">
        <f t="shared" si="14"/>
        <v>NA</v>
      </c>
      <c r="I113" s="58">
        <f>INT(Data!A113)</f>
        <v>44026</v>
      </c>
      <c r="J113" s="12">
        <f>Data!A113</f>
        <v>44026.106770833336</v>
      </c>
      <c r="K113" s="13" t="str">
        <f>Data!B113</f>
        <v>ON</v>
      </c>
      <c r="L113" s="13" t="str">
        <f>Data!C113</f>
        <v>Vehicle A</v>
      </c>
      <c r="M113" s="56" t="b">
        <f t="shared" si="15"/>
        <v>1</v>
      </c>
      <c r="N113" s="48">
        <f t="shared" si="16"/>
        <v>1</v>
      </c>
      <c r="O113" s="48">
        <f t="shared" si="10"/>
        <v>0</v>
      </c>
      <c r="P113" s="12">
        <f>IF(Data!H113=0,"",Data!H113)</f>
        <v>44037.462314814817</v>
      </c>
    </row>
    <row r="114" spans="1:16" ht="16.5" x14ac:dyDescent="0.45">
      <c r="A114" s="11" t="str">
        <f>Data!G114</f>
        <v>Driver A</v>
      </c>
      <c r="B114" s="11" t="str">
        <f>Data!E114</f>
        <v>FirstName A</v>
      </c>
      <c r="C114" s="11" t="str">
        <f>Data!F114</f>
        <v>LastName A</v>
      </c>
      <c r="D114" s="10" t="b">
        <f t="shared" si="11"/>
        <v>0</v>
      </c>
      <c r="E114" s="10" t="str">
        <f t="shared" si="17"/>
        <v>NA</v>
      </c>
      <c r="F114" s="10">
        <f t="shared" si="12"/>
        <v>0</v>
      </c>
      <c r="G114" s="10">
        <f t="shared" si="13"/>
        <v>0</v>
      </c>
      <c r="H114" s="9" t="str">
        <f t="shared" si="14"/>
        <v>NA</v>
      </c>
      <c r="I114" s="58">
        <f>INT(Data!A114)</f>
        <v>44026</v>
      </c>
      <c r="J114" s="12">
        <f>Data!A114</f>
        <v>44026.110694444447</v>
      </c>
      <c r="K114" s="13" t="str">
        <f>Data!B114</f>
        <v>SB</v>
      </c>
      <c r="L114" s="13" t="str">
        <f>Data!C114</f>
        <v>Vehicle A</v>
      </c>
      <c r="M114" s="56" t="b">
        <f t="shared" si="15"/>
        <v>1</v>
      </c>
      <c r="N114" s="48">
        <f t="shared" si="16"/>
        <v>1</v>
      </c>
      <c r="O114" s="48">
        <f t="shared" si="10"/>
        <v>0</v>
      </c>
      <c r="P114" s="12">
        <f>IF(Data!H114=0,"",Data!H114)</f>
        <v>44037.462314814817</v>
      </c>
    </row>
    <row r="115" spans="1:16" ht="16.5" x14ac:dyDescent="0.45">
      <c r="A115" s="11" t="str">
        <f>Data!G115</f>
        <v>Driver A</v>
      </c>
      <c r="B115" s="11" t="str">
        <f>Data!E115</f>
        <v>FirstName A</v>
      </c>
      <c r="C115" s="11" t="str">
        <f>Data!F115</f>
        <v>LastName A</v>
      </c>
      <c r="D115" s="10" t="b">
        <f t="shared" si="11"/>
        <v>0</v>
      </c>
      <c r="E115" s="10" t="str">
        <f t="shared" si="17"/>
        <v>NA</v>
      </c>
      <c r="F115" s="10">
        <f t="shared" si="12"/>
        <v>0</v>
      </c>
      <c r="G115" s="10">
        <f t="shared" si="13"/>
        <v>0</v>
      </c>
      <c r="H115" s="9" t="str">
        <f t="shared" si="14"/>
        <v>NA</v>
      </c>
      <c r="I115" s="58">
        <f>INT(Data!A115)</f>
        <v>44026</v>
      </c>
      <c r="J115" s="12">
        <f>Data!A115</f>
        <v>44026.115451388891</v>
      </c>
      <c r="K115" s="13" t="str">
        <f>Data!B115</f>
        <v>YM</v>
      </c>
      <c r="L115" s="13" t="str">
        <f>Data!C115</f>
        <v>Vehicle A</v>
      </c>
      <c r="M115" s="56" t="b">
        <f t="shared" si="15"/>
        <v>1</v>
      </c>
      <c r="N115" s="48">
        <f t="shared" si="16"/>
        <v>0</v>
      </c>
      <c r="O115" s="48">
        <f t="shared" si="10"/>
        <v>1</v>
      </c>
      <c r="P115" s="12" t="str">
        <f>IF(Data!H115=0,"",Data!H115)</f>
        <v/>
      </c>
    </row>
    <row r="116" spans="1:16" ht="16.5" x14ac:dyDescent="0.45">
      <c r="A116" s="11" t="str">
        <f>Data!G116</f>
        <v>Driver A</v>
      </c>
      <c r="B116" s="11" t="str">
        <f>Data!E116</f>
        <v>FirstName A</v>
      </c>
      <c r="C116" s="11" t="str">
        <f>Data!F116</f>
        <v>LastName A</v>
      </c>
      <c r="D116" s="10" t="b">
        <f t="shared" si="11"/>
        <v>0</v>
      </c>
      <c r="E116" s="10" t="str">
        <f t="shared" si="17"/>
        <v>NA</v>
      </c>
      <c r="F116" s="10">
        <f t="shared" si="12"/>
        <v>0</v>
      </c>
      <c r="G116" s="10">
        <f t="shared" si="13"/>
        <v>0</v>
      </c>
      <c r="H116" s="9" t="str">
        <f t="shared" si="14"/>
        <v>NA</v>
      </c>
      <c r="I116" s="58">
        <f>INT(Data!A116)</f>
        <v>44026</v>
      </c>
      <c r="J116" s="12">
        <f>Data!A116</f>
        <v>44026.12877314815</v>
      </c>
      <c r="K116" s="13" t="str">
        <f>Data!B116</f>
        <v>D</v>
      </c>
      <c r="L116" s="13" t="str">
        <f>Data!C116</f>
        <v>Vehicle A</v>
      </c>
      <c r="M116" s="56" t="b">
        <f t="shared" si="15"/>
        <v>1</v>
      </c>
      <c r="N116" s="48">
        <f t="shared" si="16"/>
        <v>0</v>
      </c>
      <c r="O116" s="48">
        <f t="shared" si="10"/>
        <v>1</v>
      </c>
      <c r="P116" s="12" t="str">
        <f>IF(Data!H116=0,"",Data!H116)</f>
        <v/>
      </c>
    </row>
    <row r="117" spans="1:16" ht="16.5" x14ac:dyDescent="0.45">
      <c r="A117" s="11" t="str">
        <f>Data!G117</f>
        <v>Driver A</v>
      </c>
      <c r="B117" s="11" t="str">
        <f>Data!E117</f>
        <v>FirstName A</v>
      </c>
      <c r="C117" s="11" t="str">
        <f>Data!F117</f>
        <v>LastName A</v>
      </c>
      <c r="D117" s="10" t="b">
        <f t="shared" si="11"/>
        <v>0</v>
      </c>
      <c r="E117" s="10" t="str">
        <f t="shared" si="17"/>
        <v>NA</v>
      </c>
      <c r="F117" s="10">
        <f t="shared" si="12"/>
        <v>0</v>
      </c>
      <c r="G117" s="10">
        <f t="shared" si="13"/>
        <v>0</v>
      </c>
      <c r="H117" s="9" t="str">
        <f t="shared" si="14"/>
        <v>NA</v>
      </c>
      <c r="I117" s="58">
        <f>INT(Data!A117)</f>
        <v>44026</v>
      </c>
      <c r="J117" s="12">
        <f>Data!A117</f>
        <v>44026.138622685183</v>
      </c>
      <c r="K117" s="13" t="str">
        <f>Data!B117</f>
        <v>ON</v>
      </c>
      <c r="L117" s="13" t="str">
        <f>Data!C117</f>
        <v>Vehicle A</v>
      </c>
      <c r="M117" s="56" t="b">
        <f t="shared" si="15"/>
        <v>1</v>
      </c>
      <c r="N117" s="48">
        <f t="shared" si="16"/>
        <v>1</v>
      </c>
      <c r="O117" s="48">
        <f t="shared" si="10"/>
        <v>0</v>
      </c>
      <c r="P117" s="12">
        <f>IF(Data!H117=0,"",Data!H117)</f>
        <v>44037.462314814817</v>
      </c>
    </row>
    <row r="118" spans="1:16" ht="16.5" x14ac:dyDescent="0.45">
      <c r="A118" s="11" t="str">
        <f>Data!G118</f>
        <v>Driver A</v>
      </c>
      <c r="B118" s="11" t="str">
        <f>Data!E118</f>
        <v>FirstName A</v>
      </c>
      <c r="C118" s="11" t="str">
        <f>Data!F118</f>
        <v>LastName A</v>
      </c>
      <c r="D118" s="10" t="b">
        <f t="shared" si="11"/>
        <v>0</v>
      </c>
      <c r="E118" s="10" t="str">
        <f t="shared" si="17"/>
        <v>NA</v>
      </c>
      <c r="F118" s="10">
        <f t="shared" si="12"/>
        <v>0</v>
      </c>
      <c r="G118" s="10">
        <f t="shared" si="13"/>
        <v>0</v>
      </c>
      <c r="H118" s="9" t="str">
        <f t="shared" si="14"/>
        <v>NA</v>
      </c>
      <c r="I118" s="58">
        <f>INT(Data!A118)</f>
        <v>44026</v>
      </c>
      <c r="J118" s="12">
        <f>Data!A118</f>
        <v>44026.142812500002</v>
      </c>
      <c r="K118" s="13" t="str">
        <f>Data!B118</f>
        <v>D</v>
      </c>
      <c r="L118" s="13" t="str">
        <f>Data!C118</f>
        <v>Vehicle A</v>
      </c>
      <c r="M118" s="56" t="b">
        <f t="shared" si="15"/>
        <v>1</v>
      </c>
      <c r="N118" s="48">
        <f t="shared" si="16"/>
        <v>1</v>
      </c>
      <c r="O118" s="48">
        <f t="shared" si="10"/>
        <v>0</v>
      </c>
      <c r="P118" s="12">
        <f>IF(Data!H118=0,"",Data!H118)</f>
        <v>44037.462314814817</v>
      </c>
    </row>
    <row r="119" spans="1:16" ht="16.5" x14ac:dyDescent="0.45">
      <c r="A119" s="11" t="str">
        <f>Data!G119</f>
        <v>Driver A</v>
      </c>
      <c r="B119" s="11" t="str">
        <f>Data!E119</f>
        <v>FirstName A</v>
      </c>
      <c r="C119" s="11" t="str">
        <f>Data!F119</f>
        <v>LastName A</v>
      </c>
      <c r="D119" s="10" t="b">
        <f t="shared" si="11"/>
        <v>0</v>
      </c>
      <c r="E119" s="10" t="str">
        <f t="shared" si="17"/>
        <v>NA</v>
      </c>
      <c r="F119" s="10">
        <f t="shared" si="12"/>
        <v>0</v>
      </c>
      <c r="G119" s="10">
        <f t="shared" si="13"/>
        <v>0</v>
      </c>
      <c r="H119" s="9" t="str">
        <f t="shared" si="14"/>
        <v>NA</v>
      </c>
      <c r="I119" s="58">
        <f>INT(Data!A119)</f>
        <v>44026</v>
      </c>
      <c r="J119" s="12">
        <f>Data!A119</f>
        <v>44026.194004629629</v>
      </c>
      <c r="K119" s="13" t="str">
        <f>Data!B119</f>
        <v>OFF</v>
      </c>
      <c r="L119" s="13" t="str">
        <f>Data!C119</f>
        <v>Vehicle A</v>
      </c>
      <c r="M119" s="56" t="b">
        <f t="shared" si="15"/>
        <v>1</v>
      </c>
      <c r="N119" s="48">
        <f t="shared" si="16"/>
        <v>1</v>
      </c>
      <c r="O119" s="48">
        <f t="shared" si="10"/>
        <v>0</v>
      </c>
      <c r="P119" s="12">
        <f>IF(Data!H119=0,"",Data!H119)</f>
        <v>44037.462314814817</v>
      </c>
    </row>
    <row r="120" spans="1:16" ht="16.5" x14ac:dyDescent="0.45">
      <c r="A120" s="11" t="str">
        <f>Data!G120</f>
        <v>Driver A</v>
      </c>
      <c r="B120" s="11" t="str">
        <f>Data!E120</f>
        <v>FirstName A</v>
      </c>
      <c r="C120" s="11" t="str">
        <f>Data!F120</f>
        <v>LastName A</v>
      </c>
      <c r="D120" s="10" t="b">
        <f t="shared" si="11"/>
        <v>0</v>
      </c>
      <c r="E120" s="10" t="str">
        <f t="shared" si="17"/>
        <v>NA</v>
      </c>
      <c r="F120" s="10">
        <f t="shared" si="12"/>
        <v>0</v>
      </c>
      <c r="G120" s="10">
        <f t="shared" si="13"/>
        <v>0</v>
      </c>
      <c r="H120" s="9" t="str">
        <f t="shared" si="14"/>
        <v>NA</v>
      </c>
      <c r="I120" s="58">
        <f>INT(Data!A120)</f>
        <v>44026</v>
      </c>
      <c r="J120" s="12">
        <f>Data!A120</f>
        <v>44026.213067129633</v>
      </c>
      <c r="K120" s="13" t="str">
        <f>Data!B120</f>
        <v>D</v>
      </c>
      <c r="L120" s="13" t="str">
        <f>Data!C120</f>
        <v>Vehicle A</v>
      </c>
      <c r="M120" s="56" t="b">
        <f t="shared" si="15"/>
        <v>1</v>
      </c>
      <c r="N120" s="48">
        <f t="shared" si="16"/>
        <v>1</v>
      </c>
      <c r="O120" s="48">
        <f t="shared" si="10"/>
        <v>0</v>
      </c>
      <c r="P120" s="12">
        <f>IF(Data!H120=0,"",Data!H120)</f>
        <v>44037.462314814817</v>
      </c>
    </row>
    <row r="121" spans="1:16" ht="16.5" x14ac:dyDescent="0.45">
      <c r="A121" s="11" t="str">
        <f>Data!G121</f>
        <v>Driver A</v>
      </c>
      <c r="B121" s="11" t="str">
        <f>Data!E121</f>
        <v>FirstName A</v>
      </c>
      <c r="C121" s="11" t="str">
        <f>Data!F121</f>
        <v>LastName A</v>
      </c>
      <c r="D121" s="10" t="b">
        <f t="shared" si="11"/>
        <v>0</v>
      </c>
      <c r="E121" s="10" t="str">
        <f t="shared" si="17"/>
        <v>NA</v>
      </c>
      <c r="F121" s="10">
        <f t="shared" si="12"/>
        <v>0</v>
      </c>
      <c r="G121" s="10">
        <f t="shared" si="13"/>
        <v>0</v>
      </c>
      <c r="H121" s="9" t="str">
        <f t="shared" si="14"/>
        <v>NA</v>
      </c>
      <c r="I121" s="58">
        <f>INT(Data!A121)</f>
        <v>44026</v>
      </c>
      <c r="J121" s="12">
        <f>Data!A121</f>
        <v>44026.288576388892</v>
      </c>
      <c r="K121" s="13" t="str">
        <f>Data!B121</f>
        <v>OFF</v>
      </c>
      <c r="L121" s="13" t="str">
        <f>Data!C121</f>
        <v>Vehicle A</v>
      </c>
      <c r="M121" s="56" t="b">
        <f t="shared" si="15"/>
        <v>1</v>
      </c>
      <c r="N121" s="48">
        <f t="shared" si="16"/>
        <v>1</v>
      </c>
      <c r="O121" s="48">
        <f t="shared" si="10"/>
        <v>0</v>
      </c>
      <c r="P121" s="12">
        <f>IF(Data!H121=0,"",Data!H121)</f>
        <v>44037.462314814817</v>
      </c>
    </row>
    <row r="122" spans="1:16" ht="16.5" x14ac:dyDescent="0.45">
      <c r="A122" s="11" t="str">
        <f>Data!G122</f>
        <v>Driver A</v>
      </c>
      <c r="B122" s="11" t="str">
        <f>Data!E122</f>
        <v>FirstName A</v>
      </c>
      <c r="C122" s="11" t="str">
        <f>Data!F122</f>
        <v>LastName A</v>
      </c>
      <c r="D122" s="10" t="b">
        <f t="shared" si="11"/>
        <v>0</v>
      </c>
      <c r="E122" s="10" t="str">
        <f t="shared" si="17"/>
        <v>NA</v>
      </c>
      <c r="F122" s="10">
        <f t="shared" si="12"/>
        <v>0</v>
      </c>
      <c r="G122" s="10">
        <f t="shared" si="13"/>
        <v>0</v>
      </c>
      <c r="H122" s="9" t="str">
        <f t="shared" si="14"/>
        <v>NA</v>
      </c>
      <c r="I122" s="58">
        <f>INT(Data!A122)</f>
        <v>44026</v>
      </c>
      <c r="J122" s="12">
        <f>Data!A122</f>
        <v>44026.336550925924</v>
      </c>
      <c r="K122" s="13" t="str">
        <f>Data!B122</f>
        <v>SB</v>
      </c>
      <c r="L122" s="13" t="str">
        <f>Data!C122</f>
        <v>Vehicle A</v>
      </c>
      <c r="M122" s="56" t="b">
        <f t="shared" si="15"/>
        <v>1</v>
      </c>
      <c r="N122" s="48">
        <f t="shared" si="16"/>
        <v>1</v>
      </c>
      <c r="O122" s="48">
        <f t="shared" si="10"/>
        <v>0</v>
      </c>
      <c r="P122" s="12">
        <f>IF(Data!H122=0,"",Data!H122)</f>
        <v>44037.462314814817</v>
      </c>
    </row>
    <row r="123" spans="1:16" ht="16.5" x14ac:dyDescent="0.45">
      <c r="A123" s="11" t="str">
        <f>Data!G123</f>
        <v>Driver A</v>
      </c>
      <c r="B123" s="11" t="str">
        <f>Data!E123</f>
        <v>FirstName A</v>
      </c>
      <c r="C123" s="11" t="str">
        <f>Data!F123</f>
        <v>LastName A</v>
      </c>
      <c r="D123" s="10" t="b">
        <f t="shared" si="11"/>
        <v>0</v>
      </c>
      <c r="E123" s="10" t="str">
        <f t="shared" si="17"/>
        <v>NA</v>
      </c>
      <c r="F123" s="10">
        <f t="shared" si="12"/>
        <v>0</v>
      </c>
      <c r="G123" s="10">
        <f t="shared" si="13"/>
        <v>0</v>
      </c>
      <c r="H123" s="9" t="str">
        <f t="shared" si="14"/>
        <v>NA</v>
      </c>
      <c r="I123" s="58">
        <f>INT(Data!A123)</f>
        <v>44026</v>
      </c>
      <c r="J123" s="12">
        <f>Data!A123</f>
        <v>44026.772604166668</v>
      </c>
      <c r="K123" s="13" t="str">
        <f>Data!B123</f>
        <v>D</v>
      </c>
      <c r="L123" s="13" t="str">
        <f>Data!C123</f>
        <v>Vehicle A</v>
      </c>
      <c r="M123" s="56" t="b">
        <f t="shared" si="15"/>
        <v>1</v>
      </c>
      <c r="N123" s="48">
        <f t="shared" si="16"/>
        <v>1</v>
      </c>
      <c r="O123" s="48">
        <f t="shared" si="10"/>
        <v>0</v>
      </c>
      <c r="P123" s="12">
        <f>IF(Data!H123=0,"",Data!H123)</f>
        <v>44037.462314814817</v>
      </c>
    </row>
    <row r="124" spans="1:16" ht="16.5" x14ac:dyDescent="0.45">
      <c r="A124" s="11" t="str">
        <f>Data!G124</f>
        <v>Driver A</v>
      </c>
      <c r="B124" s="11" t="str">
        <f>Data!E124</f>
        <v>FirstName A</v>
      </c>
      <c r="C124" s="11" t="str">
        <f>Data!F124</f>
        <v>LastName A</v>
      </c>
      <c r="D124" s="10" t="b">
        <f t="shared" si="11"/>
        <v>0</v>
      </c>
      <c r="E124" s="10" t="str">
        <f t="shared" si="17"/>
        <v>NA</v>
      </c>
      <c r="F124" s="10">
        <f t="shared" si="12"/>
        <v>0</v>
      </c>
      <c r="G124" s="10">
        <f t="shared" si="13"/>
        <v>0</v>
      </c>
      <c r="H124" s="9" t="str">
        <f t="shared" si="14"/>
        <v>NA</v>
      </c>
      <c r="I124" s="58">
        <f>INT(Data!A124)</f>
        <v>44026</v>
      </c>
      <c r="J124" s="12">
        <f>Data!A124</f>
        <v>44026.838726851849</v>
      </c>
      <c r="K124" s="13" t="str">
        <f>Data!B124</f>
        <v>ON</v>
      </c>
      <c r="L124" s="13" t="str">
        <f>Data!C124</f>
        <v>Vehicle A</v>
      </c>
      <c r="M124" s="56" t="b">
        <f t="shared" si="15"/>
        <v>1</v>
      </c>
      <c r="N124" s="48">
        <f t="shared" si="16"/>
        <v>1</v>
      </c>
      <c r="O124" s="48">
        <f t="shared" si="10"/>
        <v>0</v>
      </c>
      <c r="P124" s="12">
        <f>IF(Data!H124=0,"",Data!H124)</f>
        <v>44037.462314814817</v>
      </c>
    </row>
    <row r="125" spans="1:16" ht="16.5" x14ac:dyDescent="0.45">
      <c r="A125" s="11" t="str">
        <f>Data!G125</f>
        <v>Driver A</v>
      </c>
      <c r="B125" s="11" t="str">
        <f>Data!E125</f>
        <v>FirstName A</v>
      </c>
      <c r="C125" s="11" t="str">
        <f>Data!F125</f>
        <v>LastName A</v>
      </c>
      <c r="D125" s="10" t="b">
        <f t="shared" si="11"/>
        <v>0</v>
      </c>
      <c r="E125" s="10" t="str">
        <f t="shared" si="17"/>
        <v>NA</v>
      </c>
      <c r="F125" s="10">
        <f t="shared" si="12"/>
        <v>0</v>
      </c>
      <c r="G125" s="10">
        <f t="shared" si="13"/>
        <v>0</v>
      </c>
      <c r="H125" s="9" t="str">
        <f t="shared" si="14"/>
        <v>NA</v>
      </c>
      <c r="I125" s="58">
        <f>INT(Data!A125)</f>
        <v>44026</v>
      </c>
      <c r="J125" s="12">
        <f>Data!A125</f>
        <v>44026.843807870369</v>
      </c>
      <c r="K125" s="13" t="str">
        <f>Data!B125</f>
        <v>OFF</v>
      </c>
      <c r="L125" s="13" t="str">
        <f>Data!C125</f>
        <v>Vehicle A</v>
      </c>
      <c r="M125" s="56" t="b">
        <f t="shared" si="15"/>
        <v>1</v>
      </c>
      <c r="N125" s="48">
        <f t="shared" si="16"/>
        <v>1</v>
      </c>
      <c r="O125" s="48">
        <f t="shared" si="10"/>
        <v>0</v>
      </c>
      <c r="P125" s="12">
        <f>IF(Data!H125=0,"",Data!H125)</f>
        <v>44037.462314814817</v>
      </c>
    </row>
    <row r="126" spans="1:16" ht="16.5" x14ac:dyDescent="0.45">
      <c r="A126" s="11" t="str">
        <f>Data!G126</f>
        <v>Driver A</v>
      </c>
      <c r="B126" s="11" t="str">
        <f>Data!E126</f>
        <v>FirstName A</v>
      </c>
      <c r="C126" s="11" t="str">
        <f>Data!F126</f>
        <v>LastName A</v>
      </c>
      <c r="D126" s="10" t="b">
        <f t="shared" si="11"/>
        <v>0</v>
      </c>
      <c r="E126" s="10" t="str">
        <f t="shared" si="17"/>
        <v>NA</v>
      </c>
      <c r="F126" s="10">
        <f t="shared" si="12"/>
        <v>0</v>
      </c>
      <c r="G126" s="10">
        <f t="shared" si="13"/>
        <v>0</v>
      </c>
      <c r="H126" s="9" t="str">
        <f t="shared" si="14"/>
        <v>NA</v>
      </c>
      <c r="I126" s="58">
        <f>INT(Data!A126)</f>
        <v>44026</v>
      </c>
      <c r="J126" s="12">
        <f>Data!A126</f>
        <v>44026.846064814818</v>
      </c>
      <c r="K126" s="13" t="str">
        <f>Data!B126</f>
        <v>D</v>
      </c>
      <c r="L126" s="13" t="str">
        <f>Data!C126</f>
        <v>Vehicle A</v>
      </c>
      <c r="M126" s="56" t="b">
        <f t="shared" si="15"/>
        <v>1</v>
      </c>
      <c r="N126" s="48">
        <f t="shared" si="16"/>
        <v>1</v>
      </c>
      <c r="O126" s="48">
        <f t="shared" si="10"/>
        <v>0</v>
      </c>
      <c r="P126" s="12">
        <f>IF(Data!H126=0,"",Data!H126)</f>
        <v>44037.462314814817</v>
      </c>
    </row>
    <row r="127" spans="1:16" ht="16.5" x14ac:dyDescent="0.45">
      <c r="A127" s="11" t="str">
        <f>Data!G127</f>
        <v>Driver A</v>
      </c>
      <c r="B127" s="11" t="str">
        <f>Data!E127</f>
        <v>FirstName A</v>
      </c>
      <c r="C127" s="11" t="str">
        <f>Data!F127</f>
        <v>LastName A</v>
      </c>
      <c r="D127" s="10" t="b">
        <f t="shared" si="11"/>
        <v>0</v>
      </c>
      <c r="E127" s="10" t="str">
        <f t="shared" si="17"/>
        <v>NA</v>
      </c>
      <c r="F127" s="10">
        <f t="shared" si="12"/>
        <v>0</v>
      </c>
      <c r="G127" s="10">
        <f t="shared" si="13"/>
        <v>0</v>
      </c>
      <c r="H127" s="9" t="str">
        <f t="shared" si="14"/>
        <v>NA</v>
      </c>
      <c r="I127" s="58">
        <f>INT(Data!A127)</f>
        <v>44026</v>
      </c>
      <c r="J127" s="12">
        <f>Data!A127</f>
        <v>44026.847222222219</v>
      </c>
      <c r="K127" s="13" t="str">
        <f>Data!B127</f>
        <v>ON</v>
      </c>
      <c r="L127" s="13" t="str">
        <f>Data!C127</f>
        <v>Vehicle A</v>
      </c>
      <c r="M127" s="56" t="b">
        <f t="shared" si="15"/>
        <v>1</v>
      </c>
      <c r="N127" s="48">
        <f t="shared" si="16"/>
        <v>0</v>
      </c>
      <c r="O127" s="48">
        <f t="shared" si="10"/>
        <v>1</v>
      </c>
      <c r="P127" s="12" t="str">
        <f>IF(Data!H127=0,"",Data!H127)</f>
        <v/>
      </c>
    </row>
    <row r="128" spans="1:16" ht="16.5" x14ac:dyDescent="0.45">
      <c r="A128" s="11" t="str">
        <f>Data!G128</f>
        <v>Driver A</v>
      </c>
      <c r="B128" s="11" t="str">
        <f>Data!E128</f>
        <v>FirstName A</v>
      </c>
      <c r="C128" s="11" t="str">
        <f>Data!F128</f>
        <v>LastName A</v>
      </c>
      <c r="D128" s="10" t="b">
        <f t="shared" si="11"/>
        <v>0</v>
      </c>
      <c r="E128" s="10" t="str">
        <f t="shared" si="17"/>
        <v>NA</v>
      </c>
      <c r="F128" s="10">
        <f t="shared" si="12"/>
        <v>0</v>
      </c>
      <c r="G128" s="10">
        <f t="shared" si="13"/>
        <v>0</v>
      </c>
      <c r="H128" s="9" t="str">
        <f t="shared" si="14"/>
        <v>NA</v>
      </c>
      <c r="I128" s="58">
        <f>INT(Data!A128)</f>
        <v>44026</v>
      </c>
      <c r="J128" s="12">
        <f>Data!A128</f>
        <v>44026.852824074071</v>
      </c>
      <c r="K128" s="13" t="str">
        <f>Data!B128</f>
        <v>AdverseWeather</v>
      </c>
      <c r="L128" s="13" t="str">
        <f>Data!C128</f>
        <v>Vehicle A</v>
      </c>
      <c r="M128" s="56" t="b">
        <f t="shared" si="15"/>
        <v>0</v>
      </c>
      <c r="N128" s="48">
        <f t="shared" si="16"/>
        <v>0</v>
      </c>
      <c r="O128" s="48" t="str">
        <f t="shared" si="10"/>
        <v>Not Considered</v>
      </c>
      <c r="P128" s="12" t="str">
        <f>IF(Data!H128=0,"",Data!H128)</f>
        <v/>
      </c>
    </row>
    <row r="129" spans="1:16" ht="16.5" x14ac:dyDescent="0.45">
      <c r="A129" s="11" t="str">
        <f>Data!G129</f>
        <v>Driver A</v>
      </c>
      <c r="B129" s="11" t="str">
        <f>Data!E129</f>
        <v>FirstName A</v>
      </c>
      <c r="C129" s="11" t="str">
        <f>Data!F129</f>
        <v>LastName A</v>
      </c>
      <c r="D129" s="10" t="b">
        <f t="shared" si="11"/>
        <v>0</v>
      </c>
      <c r="E129" s="10" t="str">
        <f t="shared" si="17"/>
        <v>NA</v>
      </c>
      <c r="F129" s="10">
        <f t="shared" si="12"/>
        <v>0</v>
      </c>
      <c r="G129" s="10">
        <f t="shared" si="13"/>
        <v>0</v>
      </c>
      <c r="H129" s="9" t="str">
        <f t="shared" si="14"/>
        <v>NA</v>
      </c>
      <c r="I129" s="58">
        <f>INT(Data!A129)</f>
        <v>44026</v>
      </c>
      <c r="J129" s="12">
        <f>Data!A129</f>
        <v>44026.898113425923</v>
      </c>
      <c r="K129" s="13" t="str">
        <f>Data!B129</f>
        <v>D</v>
      </c>
      <c r="L129" s="13" t="str">
        <f>Data!C129</f>
        <v>Vehicle A</v>
      </c>
      <c r="M129" s="56" t="b">
        <f t="shared" si="15"/>
        <v>1</v>
      </c>
      <c r="N129" s="48">
        <f t="shared" si="16"/>
        <v>1</v>
      </c>
      <c r="O129" s="48">
        <f t="shared" si="10"/>
        <v>0</v>
      </c>
      <c r="P129" s="12">
        <f>IF(Data!H129=0,"",Data!H129)</f>
        <v>44037.462314814817</v>
      </c>
    </row>
    <row r="130" spans="1:16" ht="16.5" x14ac:dyDescent="0.45">
      <c r="A130" s="11" t="str">
        <f>Data!G130</f>
        <v>Driver A</v>
      </c>
      <c r="B130" s="11" t="str">
        <f>Data!E130</f>
        <v>FirstName A</v>
      </c>
      <c r="C130" s="11" t="str">
        <f>Data!F130</f>
        <v>LastName A</v>
      </c>
      <c r="D130" s="10" t="b">
        <f t="shared" si="11"/>
        <v>1</v>
      </c>
      <c r="E130" s="10">
        <f t="shared" si="17"/>
        <v>0</v>
      </c>
      <c r="F130" s="10">
        <f t="shared" si="12"/>
        <v>0</v>
      </c>
      <c r="G130" s="10">
        <f t="shared" si="13"/>
        <v>1</v>
      </c>
      <c r="H130" s="9" t="str">
        <f t="shared" si="14"/>
        <v>NA</v>
      </c>
      <c r="I130" s="58">
        <f>INT(Data!A130)</f>
        <v>44027</v>
      </c>
      <c r="J130" s="12">
        <f>Data!A130</f>
        <v>44027.394930555558</v>
      </c>
      <c r="K130" s="13" t="str">
        <f>Data!B130</f>
        <v>INT_D</v>
      </c>
      <c r="L130" s="13" t="str">
        <f>Data!C130</f>
        <v>Vehicle A</v>
      </c>
      <c r="M130" s="56" t="b">
        <f t="shared" si="15"/>
        <v>0</v>
      </c>
      <c r="N130" s="48">
        <f t="shared" si="16"/>
        <v>0</v>
      </c>
      <c r="O130" s="48" t="str">
        <f t="shared" si="10"/>
        <v>Not Considered</v>
      </c>
      <c r="P130" s="12" t="str">
        <f>IF(Data!H130=0,"",Data!H130)</f>
        <v/>
      </c>
    </row>
    <row r="131" spans="1:16" ht="16.5" x14ac:dyDescent="0.45">
      <c r="A131" s="11" t="str">
        <f>Data!G131</f>
        <v>Driver A</v>
      </c>
      <c r="B131" s="11" t="str">
        <f>Data!E131</f>
        <v>FirstName A</v>
      </c>
      <c r="C131" s="11" t="str">
        <f>Data!F131</f>
        <v>LastName A</v>
      </c>
      <c r="D131" s="10" t="b">
        <f t="shared" si="11"/>
        <v>0</v>
      </c>
      <c r="E131" s="10" t="str">
        <f t="shared" si="17"/>
        <v>NA</v>
      </c>
      <c r="F131" s="10">
        <f t="shared" si="12"/>
        <v>0</v>
      </c>
      <c r="G131" s="10">
        <f t="shared" si="13"/>
        <v>0</v>
      </c>
      <c r="H131" s="9" t="str">
        <f t="shared" si="14"/>
        <v>NA</v>
      </c>
      <c r="I131" s="58">
        <f>INT(Data!A131)</f>
        <v>44027</v>
      </c>
      <c r="J131" s="12">
        <f>Data!A131</f>
        <v>44027.404513888891</v>
      </c>
      <c r="K131" s="13" t="str">
        <f>Data!B131</f>
        <v>OFF</v>
      </c>
      <c r="L131" s="13" t="str">
        <f>Data!C131</f>
        <v>Vehicle A</v>
      </c>
      <c r="M131" s="56" t="b">
        <f t="shared" si="15"/>
        <v>1</v>
      </c>
      <c r="N131" s="48">
        <f t="shared" si="16"/>
        <v>1</v>
      </c>
      <c r="O131" s="48">
        <f t="shared" si="10"/>
        <v>0</v>
      </c>
      <c r="P131" s="12">
        <f>IF(Data!H131=0,"",Data!H131)</f>
        <v>44037.462314814817</v>
      </c>
    </row>
    <row r="132" spans="1:16" ht="16.5" x14ac:dyDescent="0.45">
      <c r="A132" s="11" t="str">
        <f>Data!G132</f>
        <v>Driver A</v>
      </c>
      <c r="B132" s="11" t="str">
        <f>Data!E132</f>
        <v>FirstName A</v>
      </c>
      <c r="C132" s="11" t="str">
        <f>Data!F132</f>
        <v>LastName A</v>
      </c>
      <c r="D132" s="10" t="b">
        <f t="shared" si="11"/>
        <v>0</v>
      </c>
      <c r="E132" s="10" t="str">
        <f t="shared" si="17"/>
        <v>NA</v>
      </c>
      <c r="F132" s="10">
        <f t="shared" si="12"/>
        <v>0</v>
      </c>
      <c r="G132" s="10">
        <f t="shared" si="13"/>
        <v>0</v>
      </c>
      <c r="H132" s="9" t="str">
        <f t="shared" si="14"/>
        <v>NA</v>
      </c>
      <c r="I132" s="58">
        <f>INT(Data!A132)</f>
        <v>44027</v>
      </c>
      <c r="J132" s="12">
        <f>Data!A132</f>
        <v>44027.462013888886</v>
      </c>
      <c r="K132" s="13" t="str">
        <f>Data!B132</f>
        <v>ON</v>
      </c>
      <c r="L132" s="13" t="str">
        <f>Data!C132</f>
        <v>Vehicle A</v>
      </c>
      <c r="M132" s="56" t="b">
        <f t="shared" si="15"/>
        <v>1</v>
      </c>
      <c r="N132" s="48">
        <f t="shared" si="16"/>
        <v>1</v>
      </c>
      <c r="O132" s="48">
        <f t="shared" si="10"/>
        <v>0</v>
      </c>
      <c r="P132" s="12">
        <f>IF(Data!H132=0,"",Data!H132)</f>
        <v>44037.462314814817</v>
      </c>
    </row>
    <row r="133" spans="1:16" ht="16.5" x14ac:dyDescent="0.45">
      <c r="A133" s="11" t="str">
        <f>Data!G133</f>
        <v>Driver B</v>
      </c>
      <c r="B133" s="11" t="str">
        <f>Data!E133</f>
        <v>FirstName B</v>
      </c>
      <c r="C133" s="11" t="str">
        <f>Data!F133</f>
        <v>LastName B</v>
      </c>
      <c r="D133" s="10" t="b">
        <f t="shared" si="11"/>
        <v>1</v>
      </c>
      <c r="E133" s="10">
        <f t="shared" si="17"/>
        <v>0</v>
      </c>
      <c r="F133" s="10">
        <f t="shared" si="12"/>
        <v>0</v>
      </c>
      <c r="G133" s="10">
        <f t="shared" si="13"/>
        <v>1</v>
      </c>
      <c r="H133" s="9" t="str">
        <f t="shared" si="14"/>
        <v>NA</v>
      </c>
      <c r="I133" s="58">
        <f>INT(Data!A133)</f>
        <v>44027</v>
      </c>
      <c r="J133" s="12">
        <f>Data!A133</f>
        <v>44027.50335648148</v>
      </c>
      <c r="K133" s="13" t="str">
        <f>Data!B133</f>
        <v>SB</v>
      </c>
      <c r="L133" s="13" t="str">
        <f>Data!C133</f>
        <v>Vehicle B</v>
      </c>
      <c r="M133" s="56" t="b">
        <f t="shared" si="15"/>
        <v>1</v>
      </c>
      <c r="N133" s="48">
        <f t="shared" si="16"/>
        <v>1</v>
      </c>
      <c r="O133" s="48">
        <f t="shared" si="10"/>
        <v>0</v>
      </c>
      <c r="P133" s="12">
        <f>IF(Data!H133=0,"",Data!H133)</f>
        <v>44037.462314814817</v>
      </c>
    </row>
    <row r="134" spans="1:16" ht="16.5" x14ac:dyDescent="0.45">
      <c r="A134" s="11" t="str">
        <f>Data!G134</f>
        <v>Driver B</v>
      </c>
      <c r="B134" s="11" t="str">
        <f>Data!E134</f>
        <v>FirstName B</v>
      </c>
      <c r="C134" s="11" t="str">
        <f>Data!F134</f>
        <v>LastName B</v>
      </c>
      <c r="D134" s="10" t="b">
        <f t="shared" si="11"/>
        <v>0</v>
      </c>
      <c r="E134" s="10" t="str">
        <f t="shared" si="17"/>
        <v>NA</v>
      </c>
      <c r="F134" s="10">
        <f t="shared" si="12"/>
        <v>0</v>
      </c>
      <c r="G134" s="10">
        <f t="shared" si="13"/>
        <v>0</v>
      </c>
      <c r="H134" s="9" t="str">
        <f t="shared" si="14"/>
        <v>NA</v>
      </c>
      <c r="I134" s="58">
        <f>INT(Data!A134)</f>
        <v>44027</v>
      </c>
      <c r="J134" s="12">
        <f>Data!A134</f>
        <v>44027.537858796299</v>
      </c>
      <c r="K134" s="13" t="str">
        <f>Data!B134</f>
        <v>YM</v>
      </c>
      <c r="L134" s="13" t="str">
        <f>Data!C134</f>
        <v>Vehicle B</v>
      </c>
      <c r="M134" s="56" t="b">
        <f t="shared" si="15"/>
        <v>1</v>
      </c>
      <c r="N134" s="48">
        <f t="shared" si="16"/>
        <v>1</v>
      </c>
      <c r="O134" s="48">
        <f t="shared" si="10"/>
        <v>0</v>
      </c>
      <c r="P134" s="12">
        <f>IF(Data!H134=0,"",Data!H134)</f>
        <v>44037.462314814817</v>
      </c>
    </row>
    <row r="135" spans="1:16" ht="16.5" x14ac:dyDescent="0.45">
      <c r="A135" s="11" t="str">
        <f>Data!G135</f>
        <v>Driver B</v>
      </c>
      <c r="B135" s="11" t="str">
        <f>Data!E135</f>
        <v>FirstName B</v>
      </c>
      <c r="C135" s="11" t="str">
        <f>Data!F135</f>
        <v>LastName B</v>
      </c>
      <c r="D135" s="10" t="b">
        <f t="shared" si="11"/>
        <v>0</v>
      </c>
      <c r="E135" s="10" t="str">
        <f t="shared" si="17"/>
        <v>NA</v>
      </c>
      <c r="F135" s="10">
        <f t="shared" si="12"/>
        <v>0</v>
      </c>
      <c r="G135" s="10">
        <f t="shared" si="13"/>
        <v>0</v>
      </c>
      <c r="H135" s="9" t="str">
        <f t="shared" si="14"/>
        <v>NA</v>
      </c>
      <c r="I135" s="58">
        <f>INT(Data!A135)</f>
        <v>44027</v>
      </c>
      <c r="J135" s="12">
        <f>Data!A135</f>
        <v>44027.555300925924</v>
      </c>
      <c r="K135" s="13" t="str">
        <f>Data!B135</f>
        <v>D</v>
      </c>
      <c r="L135" s="13" t="str">
        <f>Data!C135</f>
        <v>Vehicle B</v>
      </c>
      <c r="M135" s="56" t="b">
        <f t="shared" si="15"/>
        <v>1</v>
      </c>
      <c r="N135" s="48">
        <f t="shared" si="16"/>
        <v>1</v>
      </c>
      <c r="O135" s="48">
        <f t="shared" si="10"/>
        <v>0</v>
      </c>
      <c r="P135" s="12">
        <f>IF(Data!H135=0,"",Data!H135)</f>
        <v>44037.462314814817</v>
      </c>
    </row>
    <row r="136" spans="1:16" ht="16.5" x14ac:dyDescent="0.45">
      <c r="A136" s="11" t="str">
        <f>Data!G136</f>
        <v>Driver B</v>
      </c>
      <c r="B136" s="11" t="str">
        <f>Data!E136</f>
        <v>FirstName B</v>
      </c>
      <c r="C136" s="11" t="str">
        <f>Data!F136</f>
        <v>LastName B</v>
      </c>
      <c r="D136" s="10" t="b">
        <f t="shared" si="11"/>
        <v>0</v>
      </c>
      <c r="E136" s="10" t="str">
        <f t="shared" si="17"/>
        <v>NA</v>
      </c>
      <c r="F136" s="10">
        <f t="shared" si="12"/>
        <v>0</v>
      </c>
      <c r="G136" s="10">
        <f t="shared" si="13"/>
        <v>0</v>
      </c>
      <c r="H136" s="9" t="str">
        <f t="shared" si="14"/>
        <v>NA</v>
      </c>
      <c r="I136" s="58">
        <f>INT(Data!A136)</f>
        <v>44027</v>
      </c>
      <c r="J136" s="12">
        <f>Data!A136</f>
        <v>44027.558298611111</v>
      </c>
      <c r="K136" s="13" t="str">
        <f>Data!B136</f>
        <v>OFF</v>
      </c>
      <c r="L136" s="13" t="str">
        <f>Data!C136</f>
        <v>Vehicle B</v>
      </c>
      <c r="M136" s="56" t="b">
        <f t="shared" si="15"/>
        <v>1</v>
      </c>
      <c r="N136" s="48">
        <f t="shared" si="16"/>
        <v>1</v>
      </c>
      <c r="O136" s="48">
        <f t="shared" si="10"/>
        <v>0</v>
      </c>
      <c r="P136" s="12">
        <f>IF(Data!H136=0,"",Data!H136)</f>
        <v>44037.462314814817</v>
      </c>
    </row>
    <row r="137" spans="1:16" ht="16.5" x14ac:dyDescent="0.45">
      <c r="A137" s="11" t="str">
        <f>Data!G137</f>
        <v>Driver B</v>
      </c>
      <c r="B137" s="11" t="str">
        <f>Data!E137</f>
        <v>FirstName B</v>
      </c>
      <c r="C137" s="11" t="str">
        <f>Data!F137</f>
        <v>LastName B</v>
      </c>
      <c r="D137" s="10" t="b">
        <f t="shared" si="11"/>
        <v>0</v>
      </c>
      <c r="E137" s="10" t="str">
        <f t="shared" si="17"/>
        <v>NA</v>
      </c>
      <c r="F137" s="10">
        <f t="shared" si="12"/>
        <v>0</v>
      </c>
      <c r="G137" s="10">
        <f t="shared" si="13"/>
        <v>0</v>
      </c>
      <c r="H137" s="9" t="str">
        <f t="shared" si="14"/>
        <v>NA</v>
      </c>
      <c r="I137" s="58">
        <f>INT(Data!A137)</f>
        <v>44027</v>
      </c>
      <c r="J137" s="12">
        <f>Data!A137</f>
        <v>44027.570428240739</v>
      </c>
      <c r="K137" s="13" t="str">
        <f>Data!B137</f>
        <v>D</v>
      </c>
      <c r="L137" s="13" t="str">
        <f>Data!C137</f>
        <v>Vehicle B</v>
      </c>
      <c r="M137" s="56" t="b">
        <f t="shared" si="15"/>
        <v>1</v>
      </c>
      <c r="N137" s="48">
        <f t="shared" si="16"/>
        <v>1</v>
      </c>
      <c r="O137" s="48">
        <f t="shared" si="10"/>
        <v>0</v>
      </c>
      <c r="P137" s="12">
        <f>IF(Data!H137=0,"",Data!H137)</f>
        <v>44037.462314814817</v>
      </c>
    </row>
    <row r="138" spans="1:16" ht="16.5" x14ac:dyDescent="0.45">
      <c r="A138" s="11" t="str">
        <f>Data!G138</f>
        <v>Driver B</v>
      </c>
      <c r="B138" s="11" t="str">
        <f>Data!E138</f>
        <v>FirstName B</v>
      </c>
      <c r="C138" s="11" t="str">
        <f>Data!F138</f>
        <v>LastName B</v>
      </c>
      <c r="D138" s="10" t="b">
        <f t="shared" si="11"/>
        <v>0</v>
      </c>
      <c r="E138" s="10" t="str">
        <f t="shared" si="17"/>
        <v>NA</v>
      </c>
      <c r="F138" s="10">
        <f t="shared" si="12"/>
        <v>0</v>
      </c>
      <c r="G138" s="10">
        <f t="shared" si="13"/>
        <v>0</v>
      </c>
      <c r="H138" s="9" t="str">
        <f t="shared" si="14"/>
        <v>NA</v>
      </c>
      <c r="I138" s="58">
        <f>INT(Data!A138)</f>
        <v>44027</v>
      </c>
      <c r="J138" s="12">
        <f>Data!A138</f>
        <v>44027.596678240741</v>
      </c>
      <c r="K138" s="13" t="str">
        <f>Data!B138</f>
        <v>ON</v>
      </c>
      <c r="L138" s="13" t="str">
        <f>Data!C138</f>
        <v>Vehicle B</v>
      </c>
      <c r="M138" s="56" t="b">
        <f t="shared" si="15"/>
        <v>1</v>
      </c>
      <c r="N138" s="48">
        <f t="shared" si="16"/>
        <v>1</v>
      </c>
      <c r="O138" s="48">
        <f t="shared" si="10"/>
        <v>0</v>
      </c>
      <c r="P138" s="12">
        <f>IF(Data!H138=0,"",Data!H138)</f>
        <v>44037.462314814817</v>
      </c>
    </row>
    <row r="139" spans="1:16" ht="16.5" x14ac:dyDescent="0.45">
      <c r="A139" s="11" t="str">
        <f>Data!G139</f>
        <v>Driver B</v>
      </c>
      <c r="B139" s="11" t="str">
        <f>Data!E139</f>
        <v>FirstName B</v>
      </c>
      <c r="C139" s="11" t="str">
        <f>Data!F139</f>
        <v>LastName B</v>
      </c>
      <c r="D139" s="10" t="b">
        <f t="shared" si="11"/>
        <v>1</v>
      </c>
      <c r="E139" s="10">
        <f t="shared" si="17"/>
        <v>1</v>
      </c>
      <c r="F139" s="10">
        <f t="shared" si="12"/>
        <v>1</v>
      </c>
      <c r="G139" s="10">
        <f t="shared" si="13"/>
        <v>0</v>
      </c>
      <c r="H139" s="9">
        <f t="shared" si="14"/>
        <v>44028</v>
      </c>
      <c r="I139" s="58">
        <f>INT(Data!A139)</f>
        <v>44028</v>
      </c>
      <c r="J139" s="12">
        <f>Data!A139</f>
        <v>44028.328912037039</v>
      </c>
      <c r="K139" s="13" t="str">
        <f>Data!B139</f>
        <v>D</v>
      </c>
      <c r="L139" s="13" t="str">
        <f>Data!C139</f>
        <v>Vehicle B</v>
      </c>
      <c r="M139" s="56" t="b">
        <f t="shared" si="15"/>
        <v>1</v>
      </c>
      <c r="N139" s="48">
        <f t="shared" si="16"/>
        <v>1</v>
      </c>
      <c r="O139" s="48">
        <f t="shared" si="10"/>
        <v>0</v>
      </c>
      <c r="P139" s="12">
        <f>IF(Data!H139=0,"",Data!H139)</f>
        <v>44037.462314814817</v>
      </c>
    </row>
    <row r="140" spans="1:16" ht="16.5" x14ac:dyDescent="0.45">
      <c r="A140" s="11" t="str">
        <f>Data!G140</f>
        <v>Driver B</v>
      </c>
      <c r="B140" s="11" t="str">
        <f>Data!E140</f>
        <v>FirstName B</v>
      </c>
      <c r="C140" s="11" t="str">
        <f>Data!F140</f>
        <v>LastName B</v>
      </c>
      <c r="D140" s="10" t="b">
        <f t="shared" si="11"/>
        <v>0</v>
      </c>
      <c r="E140" s="10" t="str">
        <f t="shared" ref="E140:E152" si="18">IF(D140,SUMIFS(O:O,A:A,A140,I:I, I140),"NA")</f>
        <v>NA</v>
      </c>
      <c r="F140" s="10">
        <f t="shared" si="12"/>
        <v>0</v>
      </c>
      <c r="G140" s="10">
        <f t="shared" si="13"/>
        <v>0</v>
      </c>
      <c r="H140" s="9" t="str">
        <f t="shared" si="14"/>
        <v>NA</v>
      </c>
      <c r="I140" s="58">
        <f>INT(Data!A140)</f>
        <v>44028</v>
      </c>
      <c r="J140" s="12">
        <f>Data!A140</f>
        <v>44028.364305555559</v>
      </c>
      <c r="K140" s="13" t="str">
        <f>Data!B140</f>
        <v>OFF</v>
      </c>
      <c r="L140" s="13" t="str">
        <f>Data!C140</f>
        <v>Vehicle B</v>
      </c>
      <c r="M140" s="56" t="b">
        <f t="shared" si="15"/>
        <v>1</v>
      </c>
      <c r="N140" s="48">
        <f t="shared" si="16"/>
        <v>0</v>
      </c>
      <c r="O140" s="48">
        <f t="shared" ref="O140:O152" si="19">IF(M140=FALSE,"Not Considered",IF(AND(M140,P140&lt;&gt;""),0,1))</f>
        <v>1</v>
      </c>
      <c r="P140" s="12" t="str">
        <f>IF(Data!H140=0,"",Data!H140)</f>
        <v/>
      </c>
    </row>
    <row r="141" spans="1:16" ht="16.5" x14ac:dyDescent="0.45">
      <c r="A141" s="11" t="str">
        <f>Data!G141</f>
        <v>Driver B</v>
      </c>
      <c r="B141" s="11" t="str">
        <f>Data!E141</f>
        <v>FirstName B</v>
      </c>
      <c r="C141" s="11" t="str">
        <f>Data!F141</f>
        <v>LastName B</v>
      </c>
      <c r="D141" s="10" t="b">
        <f t="shared" ref="D141:D152" si="20">IF(OR(A141&lt;&gt;A140, I141&lt;&gt;I140), TRUE, FALSE)</f>
        <v>1</v>
      </c>
      <c r="E141" s="10">
        <f t="shared" si="18"/>
        <v>0</v>
      </c>
      <c r="F141" s="10">
        <f t="shared" ref="F141:F152" si="21">IF(ISNUMBER(E141), IF(E141&gt;=1, 1, 0), 0)</f>
        <v>0</v>
      </c>
      <c r="G141" s="10">
        <f t="shared" ref="G141:G152" si="22">IF(ISNUMBER(E141), IF(E141&gt;=1, 0, 1), 0)</f>
        <v>1</v>
      </c>
      <c r="H141" s="9" t="str">
        <f t="shared" ref="H141:H152" si="23">IF(AND(F141=1,ISNUMBER(SEARCH("consider",O141))=FALSE),I141,"NA")</f>
        <v>NA</v>
      </c>
      <c r="I141" s="58">
        <f>INT(Data!A141)</f>
        <v>44029</v>
      </c>
      <c r="J141" s="12">
        <f>Data!A141</f>
        <v>44029.738553240742</v>
      </c>
      <c r="K141" s="13" t="str">
        <f>Data!B141</f>
        <v>ON</v>
      </c>
      <c r="L141" s="13" t="str">
        <f>Data!C141</f>
        <v>Vehicle B</v>
      </c>
      <c r="M141" s="56" t="b">
        <f t="shared" ref="M141:M152" si="24">IF(OR(K141="D",K141="ON",K141="OFF",K141="SB",K141="YM",K141="PC"), TRUE, FALSE)</f>
        <v>1</v>
      </c>
      <c r="N141" s="48">
        <f t="shared" ref="N141:N152" si="25">IF(M141=FALSE, 0, IF(O141=0, 1, 0))</f>
        <v>1</v>
      </c>
      <c r="O141" s="48">
        <f t="shared" si="19"/>
        <v>0</v>
      </c>
      <c r="P141" s="12">
        <f>IF(Data!H141=0,"",Data!H141)</f>
        <v>44037.462314814817</v>
      </c>
    </row>
    <row r="142" spans="1:16" ht="16.5" x14ac:dyDescent="0.45">
      <c r="A142" s="11" t="str">
        <f>Data!G142</f>
        <v>Driver B</v>
      </c>
      <c r="B142" s="11" t="str">
        <f>Data!E142</f>
        <v>FirstName B</v>
      </c>
      <c r="C142" s="11" t="str">
        <f>Data!F142</f>
        <v>LastName B</v>
      </c>
      <c r="D142" s="10" t="b">
        <f t="shared" si="20"/>
        <v>0</v>
      </c>
      <c r="E142" s="10" t="str">
        <f t="shared" si="18"/>
        <v>NA</v>
      </c>
      <c r="F142" s="10">
        <f t="shared" si="21"/>
        <v>0</v>
      </c>
      <c r="G142" s="10">
        <f t="shared" si="22"/>
        <v>0</v>
      </c>
      <c r="H142" s="9" t="str">
        <f t="shared" si="23"/>
        <v>NA</v>
      </c>
      <c r="I142" s="58">
        <f>INT(Data!A142)</f>
        <v>44029</v>
      </c>
      <c r="J142" s="12">
        <f>Data!A142</f>
        <v>44029.740694444445</v>
      </c>
      <c r="K142" s="13" t="str">
        <f>Data!B142</f>
        <v>D</v>
      </c>
      <c r="L142" s="13" t="str">
        <f>Data!C142</f>
        <v>Vehicle B</v>
      </c>
      <c r="M142" s="56" t="b">
        <f t="shared" si="24"/>
        <v>1</v>
      </c>
      <c r="N142" s="48">
        <f t="shared" si="25"/>
        <v>1</v>
      </c>
      <c r="O142" s="48">
        <f t="shared" si="19"/>
        <v>0</v>
      </c>
      <c r="P142" s="12">
        <f>IF(Data!H142=0,"",Data!H142)</f>
        <v>44037.462314814817</v>
      </c>
    </row>
    <row r="143" spans="1:16" ht="16.5" x14ac:dyDescent="0.45">
      <c r="A143" s="11" t="str">
        <f>Data!G143</f>
        <v>Driver B</v>
      </c>
      <c r="B143" s="11" t="str">
        <f>Data!E143</f>
        <v>FirstName B</v>
      </c>
      <c r="C143" s="11" t="str">
        <f>Data!F143</f>
        <v>LastName B</v>
      </c>
      <c r="D143" s="10" t="b">
        <f t="shared" si="20"/>
        <v>0</v>
      </c>
      <c r="E143" s="10" t="str">
        <f t="shared" si="18"/>
        <v>NA</v>
      </c>
      <c r="F143" s="10">
        <f t="shared" si="21"/>
        <v>0</v>
      </c>
      <c r="G143" s="10">
        <f t="shared" si="22"/>
        <v>0</v>
      </c>
      <c r="H143" s="9" t="str">
        <f t="shared" si="23"/>
        <v>NA</v>
      </c>
      <c r="I143" s="58">
        <f>INT(Data!A143)</f>
        <v>44029</v>
      </c>
      <c r="J143" s="12">
        <f>Data!A143</f>
        <v>44029.764594907407</v>
      </c>
      <c r="K143" s="13" t="str">
        <f>Data!B143</f>
        <v>ON</v>
      </c>
      <c r="L143" s="13" t="str">
        <f>Data!C143</f>
        <v>Vehicle B</v>
      </c>
      <c r="M143" s="56" t="b">
        <f t="shared" si="24"/>
        <v>1</v>
      </c>
      <c r="N143" s="48">
        <f t="shared" si="25"/>
        <v>1</v>
      </c>
      <c r="O143" s="48">
        <f t="shared" si="19"/>
        <v>0</v>
      </c>
      <c r="P143" s="12">
        <f>IF(Data!H143=0,"",Data!H143)</f>
        <v>44037.462314814817</v>
      </c>
    </row>
    <row r="144" spans="1:16" ht="16.5" x14ac:dyDescent="0.45">
      <c r="A144" s="11" t="str">
        <f>Data!G144</f>
        <v>Driver B</v>
      </c>
      <c r="B144" s="11" t="str">
        <f>Data!E144</f>
        <v>FirstName B</v>
      </c>
      <c r="C144" s="11" t="str">
        <f>Data!F144</f>
        <v>LastName B</v>
      </c>
      <c r="D144" s="10" t="b">
        <f t="shared" si="20"/>
        <v>0</v>
      </c>
      <c r="E144" s="10" t="str">
        <f t="shared" si="18"/>
        <v>NA</v>
      </c>
      <c r="F144" s="10">
        <f t="shared" si="21"/>
        <v>0</v>
      </c>
      <c r="G144" s="10">
        <f t="shared" si="22"/>
        <v>0</v>
      </c>
      <c r="H144" s="9" t="str">
        <f t="shared" si="23"/>
        <v>NA</v>
      </c>
      <c r="I144" s="58">
        <f>INT(Data!A144)</f>
        <v>44029</v>
      </c>
      <c r="J144" s="12">
        <f>Data!A144</f>
        <v>44029.775694444441</v>
      </c>
      <c r="K144" s="13" t="str">
        <f>Data!B144</f>
        <v>D</v>
      </c>
      <c r="L144" s="13" t="str">
        <f>Data!C144</f>
        <v>Vehicle B</v>
      </c>
      <c r="M144" s="56" t="b">
        <f t="shared" si="24"/>
        <v>1</v>
      </c>
      <c r="N144" s="48">
        <f t="shared" si="25"/>
        <v>1</v>
      </c>
      <c r="O144" s="48">
        <f t="shared" si="19"/>
        <v>0</v>
      </c>
      <c r="P144" s="12">
        <f>IF(Data!H144=0,"",Data!H144)</f>
        <v>44037.462314814817</v>
      </c>
    </row>
    <row r="145" spans="1:16" ht="16.5" x14ac:dyDescent="0.45">
      <c r="A145" s="11" t="str">
        <f>Data!G145</f>
        <v>Driver B</v>
      </c>
      <c r="B145" s="11" t="str">
        <f>Data!E145</f>
        <v>FirstName B</v>
      </c>
      <c r="C145" s="11" t="str">
        <f>Data!F145</f>
        <v>LastName B</v>
      </c>
      <c r="D145" s="10" t="b">
        <f t="shared" si="20"/>
        <v>0</v>
      </c>
      <c r="E145" s="10" t="str">
        <f t="shared" si="18"/>
        <v>NA</v>
      </c>
      <c r="F145" s="10">
        <f t="shared" si="21"/>
        <v>0</v>
      </c>
      <c r="G145" s="10">
        <f t="shared" si="22"/>
        <v>0</v>
      </c>
      <c r="H145" s="9" t="str">
        <f t="shared" si="23"/>
        <v>NA</v>
      </c>
      <c r="I145" s="58">
        <f>INT(Data!A145)</f>
        <v>44029</v>
      </c>
      <c r="J145" s="12">
        <f>Data!A145</f>
        <v>44029.790243055555</v>
      </c>
      <c r="K145" s="13" t="str">
        <f>Data!B145</f>
        <v>OFF</v>
      </c>
      <c r="L145" s="13" t="str">
        <f>Data!C145</f>
        <v>Vehicle B</v>
      </c>
      <c r="M145" s="56" t="b">
        <f t="shared" si="24"/>
        <v>1</v>
      </c>
      <c r="N145" s="48">
        <f t="shared" si="25"/>
        <v>1</v>
      </c>
      <c r="O145" s="48">
        <f t="shared" si="19"/>
        <v>0</v>
      </c>
      <c r="P145" s="12">
        <f>IF(Data!H145=0,"",Data!H145)</f>
        <v>42576.462222222224</v>
      </c>
    </row>
    <row r="146" spans="1:16" ht="16.5" x14ac:dyDescent="0.45">
      <c r="A146" s="11" t="str">
        <f>Data!G146</f>
        <v>Driver B</v>
      </c>
      <c r="B146" s="11" t="str">
        <f>Data!E146</f>
        <v>FirstName B</v>
      </c>
      <c r="C146" s="11" t="str">
        <f>Data!F146</f>
        <v>LastName B</v>
      </c>
      <c r="D146" s="10" t="b">
        <f t="shared" si="20"/>
        <v>0</v>
      </c>
      <c r="E146" s="10" t="str">
        <f t="shared" si="18"/>
        <v>NA</v>
      </c>
      <c r="F146" s="10">
        <f t="shared" si="21"/>
        <v>0</v>
      </c>
      <c r="G146" s="10">
        <f t="shared" si="22"/>
        <v>0</v>
      </c>
      <c r="H146" s="9" t="str">
        <f t="shared" si="23"/>
        <v>NA</v>
      </c>
      <c r="I146" s="58">
        <f>INT(Data!A146)</f>
        <v>44029</v>
      </c>
      <c r="J146" s="12">
        <f>Data!A146</f>
        <v>44029.982870370368</v>
      </c>
      <c r="K146" s="13" t="str">
        <f>Data!B146</f>
        <v>D</v>
      </c>
      <c r="L146" s="13" t="str">
        <f>Data!C146</f>
        <v>Vehicle B</v>
      </c>
      <c r="M146" s="56" t="b">
        <f t="shared" si="24"/>
        <v>1</v>
      </c>
      <c r="N146" s="48">
        <f t="shared" si="25"/>
        <v>1</v>
      </c>
      <c r="O146" s="48">
        <f t="shared" si="19"/>
        <v>0</v>
      </c>
      <c r="P146" s="12">
        <f>IF(Data!H146=0,"",Data!H146)</f>
        <v>42576.462222222224</v>
      </c>
    </row>
    <row r="147" spans="1:16" ht="16.5" x14ac:dyDescent="0.45">
      <c r="A147" s="11" t="str">
        <f>Data!G147</f>
        <v>Driver B</v>
      </c>
      <c r="B147" s="11" t="str">
        <f>Data!E147</f>
        <v>FirstName B</v>
      </c>
      <c r="C147" s="11" t="str">
        <f>Data!F147</f>
        <v>LastName B</v>
      </c>
      <c r="D147" s="10" t="b">
        <f t="shared" si="20"/>
        <v>1</v>
      </c>
      <c r="E147" s="10">
        <f t="shared" si="18"/>
        <v>1</v>
      </c>
      <c r="F147" s="10">
        <f t="shared" si="21"/>
        <v>1</v>
      </c>
      <c r="G147" s="10">
        <f t="shared" si="22"/>
        <v>0</v>
      </c>
      <c r="H147" s="9">
        <f t="shared" si="23"/>
        <v>44030</v>
      </c>
      <c r="I147" s="58">
        <f>INT(Data!A147)</f>
        <v>44030</v>
      </c>
      <c r="J147" s="12">
        <f>Data!A147</f>
        <v>44030.997106481482</v>
      </c>
      <c r="K147" s="13" t="str">
        <f>Data!B147</f>
        <v>OFF</v>
      </c>
      <c r="L147" s="13" t="str">
        <f>Data!C147</f>
        <v>Vehicle B</v>
      </c>
      <c r="M147" s="56" t="b">
        <f t="shared" si="24"/>
        <v>1</v>
      </c>
      <c r="N147" s="48">
        <f t="shared" si="25"/>
        <v>0</v>
      </c>
      <c r="O147" s="48">
        <f t="shared" si="19"/>
        <v>1</v>
      </c>
      <c r="P147" s="12" t="str">
        <f>IF(Data!H147=0,"",Data!H147)</f>
        <v/>
      </c>
    </row>
    <row r="148" spans="1:16" ht="16.5" x14ac:dyDescent="0.45">
      <c r="A148" s="11" t="str">
        <f>Data!G148</f>
        <v>Driver B</v>
      </c>
      <c r="B148" s="11" t="str">
        <f>Data!E148</f>
        <v>FirstName B</v>
      </c>
      <c r="C148" s="11" t="str">
        <f>Data!F148</f>
        <v>LastName B</v>
      </c>
      <c r="D148" s="10" t="b">
        <f t="shared" si="20"/>
        <v>0</v>
      </c>
      <c r="E148" s="10" t="str">
        <f t="shared" si="18"/>
        <v>NA</v>
      </c>
      <c r="F148" s="10">
        <f t="shared" si="21"/>
        <v>0</v>
      </c>
      <c r="G148" s="10">
        <f t="shared" si="22"/>
        <v>0</v>
      </c>
      <c r="H148" s="9" t="str">
        <f t="shared" si="23"/>
        <v>NA</v>
      </c>
      <c r="I148" s="58">
        <f>INT(Data!A148)</f>
        <v>44030</v>
      </c>
      <c r="J148" s="12">
        <f>Data!A148</f>
        <v>44030.014039351852</v>
      </c>
      <c r="K148" s="13" t="str">
        <f>Data!B148</f>
        <v>D</v>
      </c>
      <c r="L148" s="13" t="str">
        <f>Data!C148</f>
        <v>Vehicle B</v>
      </c>
      <c r="M148" s="56" t="b">
        <f t="shared" si="24"/>
        <v>1</v>
      </c>
      <c r="N148" s="48">
        <f t="shared" si="25"/>
        <v>1</v>
      </c>
      <c r="O148" s="48">
        <f t="shared" si="19"/>
        <v>0</v>
      </c>
      <c r="P148" s="12">
        <f>IF(Data!H148=0,"",Data!H148)</f>
        <v>42576.462222222224</v>
      </c>
    </row>
    <row r="149" spans="1:16" ht="16.5" x14ac:dyDescent="0.45">
      <c r="A149" s="11" t="str">
        <f>Data!G149</f>
        <v>Driver B</v>
      </c>
      <c r="B149" s="11" t="str">
        <f>Data!E149</f>
        <v>FirstName B</v>
      </c>
      <c r="C149" s="11" t="str">
        <f>Data!F149</f>
        <v>LastName B</v>
      </c>
      <c r="D149" s="10" t="b">
        <f t="shared" si="20"/>
        <v>0</v>
      </c>
      <c r="E149" s="10" t="str">
        <f t="shared" si="18"/>
        <v>NA</v>
      </c>
      <c r="F149" s="10">
        <f t="shared" si="21"/>
        <v>0</v>
      </c>
      <c r="G149" s="10">
        <f t="shared" si="22"/>
        <v>0</v>
      </c>
      <c r="H149" s="9" t="str">
        <f t="shared" si="23"/>
        <v>NA</v>
      </c>
      <c r="I149" s="58">
        <f>INT(Data!A149)</f>
        <v>44030</v>
      </c>
      <c r="J149" s="12">
        <f>Data!A149</f>
        <v>44030.106226851851</v>
      </c>
      <c r="K149" s="13" t="str">
        <f>Data!B149</f>
        <v>ON</v>
      </c>
      <c r="L149" s="13" t="str">
        <f>Data!C149</f>
        <v>Vehicle B</v>
      </c>
      <c r="M149" s="56" t="b">
        <f t="shared" si="24"/>
        <v>1</v>
      </c>
      <c r="N149" s="48">
        <f t="shared" si="25"/>
        <v>1</v>
      </c>
      <c r="O149" s="48">
        <f t="shared" si="19"/>
        <v>0</v>
      </c>
      <c r="P149" s="12">
        <f>IF(Data!H149=0,"",Data!H149)</f>
        <v>42576.462210648147</v>
      </c>
    </row>
    <row r="150" spans="1:16" ht="16.5" x14ac:dyDescent="0.45">
      <c r="A150" s="11" t="str">
        <f>Data!G150</f>
        <v>Driver B</v>
      </c>
      <c r="B150" s="11" t="str">
        <f>Data!E150</f>
        <v>FirstName B</v>
      </c>
      <c r="C150" s="11" t="str">
        <f>Data!F150</f>
        <v>LastName B</v>
      </c>
      <c r="D150" s="10" t="b">
        <f t="shared" si="20"/>
        <v>1</v>
      </c>
      <c r="E150" s="10">
        <f t="shared" si="18"/>
        <v>0</v>
      </c>
      <c r="F150" s="10">
        <f t="shared" si="21"/>
        <v>0</v>
      </c>
      <c r="G150" s="10">
        <f t="shared" si="22"/>
        <v>1</v>
      </c>
      <c r="H150" s="9" t="str">
        <f t="shared" si="23"/>
        <v>NA</v>
      </c>
      <c r="I150" s="58">
        <f>INT(Data!A150)</f>
        <v>44013</v>
      </c>
      <c r="J150" s="12">
        <f>Data!A150</f>
        <v>44013.113715277781</v>
      </c>
      <c r="K150" s="13" t="str">
        <f>Data!B150</f>
        <v>OFF</v>
      </c>
      <c r="L150" s="13" t="str">
        <f>Data!C150</f>
        <v>Vehicle B</v>
      </c>
      <c r="M150" s="56" t="b">
        <f t="shared" si="24"/>
        <v>1</v>
      </c>
      <c r="N150" s="48">
        <f t="shared" si="25"/>
        <v>1</v>
      </c>
      <c r="O150" s="48">
        <f t="shared" si="19"/>
        <v>0</v>
      </c>
      <c r="P150" s="12">
        <f>IF(Data!H150=0,"",Data!H150)</f>
        <v>42576.462210648147</v>
      </c>
    </row>
    <row r="151" spans="1:16" ht="16.5" x14ac:dyDescent="0.45">
      <c r="A151" s="11" t="str">
        <f>Data!G151</f>
        <v>Driver B</v>
      </c>
      <c r="B151" s="11" t="str">
        <f>Data!E151</f>
        <v>FirstName B</v>
      </c>
      <c r="C151" s="11" t="str">
        <f>Data!F151</f>
        <v>LastName B</v>
      </c>
      <c r="D151" s="10" t="b">
        <f t="shared" si="20"/>
        <v>1</v>
      </c>
      <c r="E151" s="10">
        <f t="shared" si="18"/>
        <v>1</v>
      </c>
      <c r="F151" s="10">
        <f t="shared" si="21"/>
        <v>1</v>
      </c>
      <c r="G151" s="10">
        <f t="shared" si="22"/>
        <v>0</v>
      </c>
      <c r="H151" s="9">
        <f t="shared" si="23"/>
        <v>44032</v>
      </c>
      <c r="I151" s="58">
        <f>INT(Data!A151)</f>
        <v>44032</v>
      </c>
      <c r="J151" s="12">
        <f>Data!A151</f>
        <v>44032.122175925928</v>
      </c>
      <c r="K151" s="13" t="str">
        <f>Data!B151</f>
        <v>D</v>
      </c>
      <c r="L151" s="13" t="str">
        <f>Data!C151</f>
        <v>Vehicle B</v>
      </c>
      <c r="M151" s="56" t="b">
        <f t="shared" si="24"/>
        <v>1</v>
      </c>
      <c r="N151" s="48">
        <f t="shared" si="25"/>
        <v>0</v>
      </c>
      <c r="O151" s="48">
        <f t="shared" si="19"/>
        <v>1</v>
      </c>
      <c r="P151" s="12" t="str">
        <f>IF(Data!H151=0,"",Data!H151)</f>
        <v/>
      </c>
    </row>
    <row r="152" spans="1:16" ht="16.5" x14ac:dyDescent="0.45">
      <c r="A152" s="11" t="str">
        <f>Data!G152</f>
        <v>Driver B</v>
      </c>
      <c r="B152" s="11" t="str">
        <f>Data!E152</f>
        <v>FirstName B</v>
      </c>
      <c r="C152" s="11" t="str">
        <f>Data!F152</f>
        <v>LastName B</v>
      </c>
      <c r="D152" s="10" t="b">
        <f t="shared" si="20"/>
        <v>0</v>
      </c>
      <c r="E152" s="10" t="str">
        <f t="shared" si="18"/>
        <v>NA</v>
      </c>
      <c r="F152" s="10">
        <f t="shared" si="21"/>
        <v>0</v>
      </c>
      <c r="G152" s="10">
        <f t="shared" si="22"/>
        <v>0</v>
      </c>
      <c r="H152" s="9" t="str">
        <f t="shared" si="23"/>
        <v>NA</v>
      </c>
      <c r="I152" s="58">
        <f>INT(Data!A152)</f>
        <v>44032</v>
      </c>
      <c r="J152" s="12">
        <f>Data!A152</f>
        <v>44032.273506944446</v>
      </c>
      <c r="K152" s="13" t="str">
        <f>Data!B152</f>
        <v>OFF</v>
      </c>
      <c r="L152" s="13" t="str">
        <f>Data!C152</f>
        <v>Vehicle B</v>
      </c>
      <c r="M152" s="56" t="b">
        <f t="shared" si="24"/>
        <v>1</v>
      </c>
      <c r="N152" s="48">
        <f t="shared" si="25"/>
        <v>1</v>
      </c>
      <c r="O152" s="48">
        <f t="shared" si="19"/>
        <v>0</v>
      </c>
      <c r="P152" s="12">
        <f>IF(Data!H152=0,"",Data!H152)</f>
        <v>42576.462210648147</v>
      </c>
    </row>
  </sheetData>
  <autoFilter ref="A11:P152" xr:uid="{00000000-0009-0000-0000-000002000000}"/>
  <mergeCells count="1">
    <mergeCell ref="A4:B4"/>
  </mergeCells>
  <conditionalFormatting sqref="A11:C11 F11:L11">
    <cfRule type="expression" dxfId="28" priority="13">
      <formula>$K11=TRUE</formula>
    </cfRule>
  </conditionalFormatting>
  <conditionalFormatting sqref="D11">
    <cfRule type="expression" dxfId="27" priority="3">
      <formula>$K11=TRUE</formula>
    </cfRule>
  </conditionalFormatting>
  <conditionalFormatting sqref="E11">
    <cfRule type="expression" dxfId="26" priority="2">
      <formula>$K11=TRUE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showGridLines="0" zoomScaleNormal="100" workbookViewId="0">
      <pane ySplit="11" topLeftCell="A12" activePane="bottomLeft" state="frozen"/>
      <selection pane="bottomLeft"/>
    </sheetView>
  </sheetViews>
  <sheetFormatPr defaultColWidth="9.1796875" defaultRowHeight="12.5" x14ac:dyDescent="0.25"/>
  <cols>
    <col min="1" max="1" width="25.7265625" style="26" customWidth="1"/>
    <col min="2" max="5" width="25.7265625" style="27" customWidth="1"/>
    <col min="6" max="6" width="25.7265625" style="26" customWidth="1"/>
    <col min="7" max="16384" width="9.1796875" style="26"/>
  </cols>
  <sheetData>
    <row r="1" spans="1:6" s="43" customFormat="1" ht="25.5" customHeight="1" x14ac:dyDescent="0.65">
      <c r="A1" s="42" t="s">
        <v>256</v>
      </c>
      <c r="C1" s="37">
        <f>Data!B2</f>
        <v>44032.083333333336</v>
      </c>
    </row>
    <row r="2" spans="1:6" s="14" customFormat="1" ht="25.5" customHeight="1" x14ac:dyDescent="0.65">
      <c r="A2" s="44" t="str">
        <f>Data!B1</f>
        <v>ABC Company</v>
      </c>
    </row>
    <row r="3" spans="1:6" s="22" customFormat="1" ht="17.5" customHeight="1" x14ac:dyDescent="0.25">
      <c r="B3" s="23"/>
      <c r="C3" s="23"/>
      <c r="D3" s="23"/>
      <c r="E3" s="23"/>
    </row>
    <row r="4" spans="1:6" s="22" customFormat="1" ht="17.5" customHeight="1" x14ac:dyDescent="0.25">
      <c r="A4" s="76" t="str">
        <f>Report!A4</f>
        <v>**Date</v>
      </c>
      <c r="B4" s="76"/>
      <c r="C4" s="23"/>
    </row>
    <row r="5" spans="1:6" s="22" customFormat="1" ht="17.5" customHeight="1" x14ac:dyDescent="0.25">
      <c r="A5" s="29" t="str">
        <f>Report!A5</f>
        <v>**From</v>
      </c>
      <c r="B5" s="32">
        <f>Data!B3</f>
        <v>44013</v>
      </c>
      <c r="C5" s="23"/>
    </row>
    <row r="6" spans="1:6" s="22" customFormat="1" ht="17.5" customHeight="1" x14ac:dyDescent="0.25">
      <c r="A6" s="29" t="str">
        <f>Report!A6</f>
        <v>**To</v>
      </c>
      <c r="B6" s="32">
        <f>Data!B4</f>
        <v>44032</v>
      </c>
      <c r="C6" s="23"/>
    </row>
    <row r="7" spans="1:6" s="22" customFormat="1" ht="17.5" customHeight="1" x14ac:dyDescent="0.25">
      <c r="A7" s="29" t="str">
        <f>Report!A7</f>
        <v>**Days</v>
      </c>
      <c r="B7" s="33">
        <f>B6-B5</f>
        <v>19</v>
      </c>
      <c r="C7" s="23"/>
    </row>
    <row r="8" spans="1:6" s="22" customFormat="1" ht="17.5" customHeight="1" x14ac:dyDescent="0.25">
      <c r="A8" s="16"/>
      <c r="B8" s="17"/>
      <c r="C8" s="23"/>
      <c r="D8" s="24"/>
      <c r="E8" s="23"/>
    </row>
    <row r="9" spans="1:6" s="22" customFormat="1" ht="17.5" customHeight="1" x14ac:dyDescent="0.25">
      <c r="A9" s="57" t="s">
        <v>236</v>
      </c>
      <c r="B9" s="29" t="str">
        <f>Data!B5</f>
        <v>America/New_York</v>
      </c>
      <c r="C9" s="23"/>
      <c r="D9" s="24"/>
      <c r="E9" s="23"/>
    </row>
    <row r="10" spans="1:6" s="25" customFormat="1" ht="17.5" customHeight="1" x14ac:dyDescent="0.25">
      <c r="A10" s="16"/>
      <c r="B10" s="17"/>
      <c r="C10" s="23"/>
      <c r="D10" s="35"/>
      <c r="E10" s="36"/>
    </row>
    <row r="11" spans="1:6" s="38" customFormat="1" ht="17.5" x14ac:dyDescent="0.45">
      <c r="A11" s="67" t="s">
        <v>43</v>
      </c>
      <c r="B11" s="71" t="s">
        <v>247</v>
      </c>
      <c r="C11" s="71" t="s">
        <v>248</v>
      </c>
      <c r="D11"/>
      <c r="E11"/>
      <c r="F11"/>
    </row>
    <row r="12" spans="1:6" s="28" customFormat="1" ht="16.5" x14ac:dyDescent="0.45">
      <c r="A12" s="75">
        <v>44013</v>
      </c>
      <c r="B12" s="69">
        <v>2</v>
      </c>
      <c r="C12" s="69">
        <v>1</v>
      </c>
      <c r="D12"/>
      <c r="E12"/>
      <c r="F12"/>
    </row>
    <row r="13" spans="1:6" s="28" customFormat="1" ht="16.5" x14ac:dyDescent="0.45">
      <c r="A13" s="75">
        <v>44015</v>
      </c>
      <c r="B13" s="69">
        <v>0</v>
      </c>
      <c r="C13" s="69">
        <v>1</v>
      </c>
      <c r="D13"/>
      <c r="E13"/>
      <c r="F13"/>
    </row>
    <row r="14" spans="1:6" s="28" customFormat="1" ht="16.5" x14ac:dyDescent="0.45">
      <c r="A14" s="75">
        <v>44017</v>
      </c>
      <c r="B14" s="69">
        <v>1</v>
      </c>
      <c r="C14" s="69">
        <v>0</v>
      </c>
      <c r="D14"/>
      <c r="E14"/>
      <c r="F14"/>
    </row>
    <row r="15" spans="1:6" s="28" customFormat="1" ht="16.5" x14ac:dyDescent="0.45">
      <c r="A15" s="75">
        <v>44019</v>
      </c>
      <c r="B15" s="69">
        <v>1</v>
      </c>
      <c r="C15" s="69">
        <v>1</v>
      </c>
      <c r="D15"/>
      <c r="E15"/>
      <c r="F15"/>
    </row>
    <row r="16" spans="1:6" s="28" customFormat="1" ht="16.5" x14ac:dyDescent="0.45">
      <c r="A16" s="75">
        <v>44020</v>
      </c>
      <c r="B16" s="69">
        <v>1</v>
      </c>
      <c r="C16" s="69">
        <v>0</v>
      </c>
      <c r="D16"/>
      <c r="E16"/>
      <c r="F16"/>
    </row>
    <row r="17" spans="1:6" s="28" customFormat="1" ht="16.5" x14ac:dyDescent="0.45">
      <c r="A17" s="75">
        <v>44023</v>
      </c>
      <c r="B17" s="69">
        <v>0</v>
      </c>
      <c r="C17" s="69">
        <v>1</v>
      </c>
      <c r="D17"/>
      <c r="E17"/>
      <c r="F17"/>
    </row>
    <row r="18" spans="1:6" s="28" customFormat="1" ht="16.5" x14ac:dyDescent="0.45">
      <c r="A18" s="75">
        <v>44024</v>
      </c>
      <c r="B18" s="69">
        <v>0</v>
      </c>
      <c r="C18" s="69">
        <v>2</v>
      </c>
      <c r="D18"/>
      <c r="E18"/>
      <c r="F18"/>
    </row>
    <row r="19" spans="1:6" s="28" customFormat="1" ht="16.5" x14ac:dyDescent="0.45">
      <c r="A19" s="75">
        <v>44025</v>
      </c>
      <c r="B19" s="69">
        <v>1</v>
      </c>
      <c r="C19" s="69">
        <v>0</v>
      </c>
      <c r="D19"/>
      <c r="E19"/>
      <c r="F19"/>
    </row>
    <row r="20" spans="1:6" s="28" customFormat="1" ht="16.5" x14ac:dyDescent="0.45">
      <c r="A20" s="75">
        <v>44026</v>
      </c>
      <c r="B20" s="69">
        <v>0</v>
      </c>
      <c r="C20" s="69">
        <v>2</v>
      </c>
      <c r="D20"/>
      <c r="E20"/>
      <c r="F20"/>
    </row>
    <row r="21" spans="1:6" s="28" customFormat="1" ht="16.5" x14ac:dyDescent="0.45">
      <c r="A21" s="75">
        <v>44027</v>
      </c>
      <c r="B21" s="69">
        <v>2</v>
      </c>
      <c r="C21" s="69">
        <v>0</v>
      </c>
      <c r="D21"/>
      <c r="E21"/>
      <c r="F21"/>
    </row>
    <row r="22" spans="1:6" s="28" customFormat="1" ht="16.5" x14ac:dyDescent="0.45">
      <c r="A22" s="75">
        <v>44028</v>
      </c>
      <c r="B22" s="69">
        <v>1</v>
      </c>
      <c r="C22" s="69">
        <v>2</v>
      </c>
      <c r="D22"/>
      <c r="E22"/>
      <c r="F22"/>
    </row>
    <row r="23" spans="1:6" s="28" customFormat="1" ht="16.5" x14ac:dyDescent="0.45">
      <c r="A23" s="75">
        <v>44029</v>
      </c>
      <c r="B23" s="69">
        <v>1</v>
      </c>
      <c r="C23" s="69">
        <v>0</v>
      </c>
      <c r="D23"/>
      <c r="E23"/>
      <c r="F23"/>
    </row>
    <row r="24" spans="1:6" s="28" customFormat="1" ht="16.5" x14ac:dyDescent="0.45">
      <c r="A24" s="75">
        <v>44030</v>
      </c>
      <c r="B24" s="69">
        <v>0</v>
      </c>
      <c r="C24" s="69">
        <v>1</v>
      </c>
      <c r="D24"/>
      <c r="E24"/>
      <c r="F24"/>
    </row>
    <row r="25" spans="1:6" s="28" customFormat="1" ht="16.5" x14ac:dyDescent="0.45">
      <c r="A25" s="75">
        <v>44031</v>
      </c>
      <c r="B25" s="69">
        <v>0</v>
      </c>
      <c r="C25" s="69">
        <v>3</v>
      </c>
      <c r="D25"/>
      <c r="E25"/>
      <c r="F25"/>
    </row>
    <row r="26" spans="1:6" s="28" customFormat="1" ht="16.5" x14ac:dyDescent="0.45">
      <c r="A26" s="75">
        <v>44032</v>
      </c>
      <c r="B26" s="69">
        <v>0</v>
      </c>
      <c r="C26" s="69">
        <v>4</v>
      </c>
      <c r="D26"/>
      <c r="E26"/>
      <c r="F26"/>
    </row>
    <row r="27" spans="1:6" s="28" customFormat="1" ht="16.5" customHeight="1" x14ac:dyDescent="0.25">
      <c r="A27"/>
      <c r="B27"/>
      <c r="C27"/>
      <c r="D27"/>
      <c r="E27"/>
      <c r="F27"/>
    </row>
    <row r="28" spans="1:6" s="28" customFormat="1" ht="16.5" customHeight="1" x14ac:dyDescent="0.25">
      <c r="A28"/>
      <c r="B28"/>
      <c r="C28"/>
      <c r="D28"/>
      <c r="E28"/>
      <c r="F28"/>
    </row>
    <row r="29" spans="1:6" s="28" customFormat="1" ht="16.5" customHeight="1" x14ac:dyDescent="0.25">
      <c r="A29"/>
      <c r="B29"/>
      <c r="C29"/>
      <c r="D29"/>
      <c r="E29"/>
      <c r="F29"/>
    </row>
  </sheetData>
  <mergeCells count="1">
    <mergeCell ref="A4:B4"/>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33"/>
  <sheetViews>
    <sheetView showGridLines="0" workbookViewId="0"/>
  </sheetViews>
  <sheetFormatPr defaultRowHeight="12.5" x14ac:dyDescent="0.25"/>
  <cols>
    <col min="1" max="1" width="2.7265625" customWidth="1"/>
    <col min="2" max="2" width="5.7265625" customWidth="1"/>
    <col min="3" max="3" width="12.7265625" customWidth="1"/>
    <col min="4" max="4" width="5.7265625" customWidth="1"/>
    <col min="5" max="5" width="12.7265625" customWidth="1"/>
    <col min="18" max="18" width="9.1796875" customWidth="1"/>
    <col min="19" max="19" width="9.1796875" hidden="1" customWidth="1"/>
    <col min="20" max="20" width="31.54296875" hidden="1" customWidth="1"/>
    <col min="21" max="21" width="11.453125" customWidth="1"/>
    <col min="22" max="23" width="9.1796875" customWidth="1"/>
  </cols>
  <sheetData>
    <row r="1" spans="2:20" ht="2.5" customHeight="1" thickBot="1" x14ac:dyDescent="0.3"/>
    <row r="2" spans="2:20" ht="14.25" customHeight="1" x14ac:dyDescent="0.45">
      <c r="B2" s="81" t="s">
        <v>498</v>
      </c>
      <c r="C2" s="82"/>
      <c r="D2" s="82"/>
      <c r="E2" s="83"/>
      <c r="T2" s="7" t="s">
        <v>251</v>
      </c>
    </row>
    <row r="3" spans="2:20" ht="13.5" customHeight="1" thickBot="1" x14ac:dyDescent="0.5">
      <c r="B3" s="84"/>
      <c r="C3" s="85"/>
      <c r="D3" s="85"/>
      <c r="E3" s="86"/>
      <c r="T3" s="7" t="s">
        <v>249</v>
      </c>
    </row>
    <row r="4" spans="2:20" ht="12.75" customHeight="1" x14ac:dyDescent="0.45">
      <c r="B4" s="87">
        <f>T10</f>
        <v>8</v>
      </c>
      <c r="C4" s="88"/>
      <c r="D4" s="88"/>
      <c r="E4" s="89"/>
      <c r="T4" s="7" t="s">
        <v>247</v>
      </c>
    </row>
    <row r="5" spans="2:20" ht="12.75" customHeight="1" x14ac:dyDescent="0.45">
      <c r="B5" s="90"/>
      <c r="C5" s="91"/>
      <c r="D5" s="91"/>
      <c r="E5" s="92"/>
      <c r="T5" s="7" t="s">
        <v>248</v>
      </c>
    </row>
    <row r="6" spans="2:20" ht="12.75" customHeight="1" x14ac:dyDescent="0.45">
      <c r="B6" s="90"/>
      <c r="C6" s="91"/>
      <c r="D6" s="91"/>
      <c r="E6" s="92"/>
      <c r="T6" s="18" t="s">
        <v>390</v>
      </c>
    </row>
    <row r="7" spans="2:20" ht="12.75" customHeight="1" x14ac:dyDescent="0.45">
      <c r="B7" s="90"/>
      <c r="C7" s="91"/>
      <c r="D7" s="91"/>
      <c r="E7" s="92"/>
      <c r="T7" s="7" t="s">
        <v>330</v>
      </c>
    </row>
    <row r="8" spans="2:20" ht="12.75" customHeight="1" x14ac:dyDescent="0.25">
      <c r="B8" s="90"/>
      <c r="C8" s="91"/>
      <c r="D8" s="91"/>
      <c r="E8" s="92"/>
      <c r="T8" t="s">
        <v>253</v>
      </c>
    </row>
    <row r="9" spans="2:20" ht="12.75" customHeight="1" x14ac:dyDescent="0.25">
      <c r="B9" s="90"/>
      <c r="C9" s="91"/>
      <c r="D9" s="91"/>
      <c r="E9" s="92"/>
      <c r="T9" t="s">
        <v>471</v>
      </c>
    </row>
    <row r="10" spans="2:20" ht="12.75" customHeight="1" x14ac:dyDescent="0.25">
      <c r="B10" s="90"/>
      <c r="C10" s="91"/>
      <c r="D10" s="91"/>
      <c r="E10" s="92"/>
      <c r="T10">
        <f>COUNTA(Graph!B12:B49)-COUNTIF(Graph!B12:B49, "=0")</f>
        <v>8</v>
      </c>
    </row>
    <row r="11" spans="2:20" ht="12.75" customHeight="1" x14ac:dyDescent="0.25">
      <c r="B11" s="90"/>
      <c r="C11" s="91"/>
      <c r="D11" s="91"/>
      <c r="E11" s="92"/>
      <c r="T11">
        <f>COUNTA(Graph!B12:B49)</f>
        <v>15</v>
      </c>
    </row>
    <row r="12" spans="2:20" ht="12.75" customHeight="1" x14ac:dyDescent="0.25">
      <c r="B12" s="90"/>
      <c r="C12" s="91"/>
      <c r="D12" s="91"/>
      <c r="E12" s="92"/>
      <c r="T12" t="s">
        <v>457</v>
      </c>
    </row>
    <row r="13" spans="2:20" ht="12.75" customHeight="1" x14ac:dyDescent="0.25">
      <c r="B13" s="90"/>
      <c r="C13" s="91"/>
      <c r="D13" s="91"/>
      <c r="E13" s="92"/>
      <c r="T13" t="str">
        <f>Count!T10&amp;" "&amp;Count!T9</f>
        <v>8 **Pending days to be verified</v>
      </c>
    </row>
    <row r="14" spans="2:20" ht="12.75" customHeight="1" x14ac:dyDescent="0.25">
      <c r="B14" s="90"/>
      <c r="C14" s="91"/>
      <c r="D14" s="91"/>
      <c r="E14" s="92"/>
      <c r="S14" t="s">
        <v>270</v>
      </c>
      <c r="T14" t="str">
        <f>IF(Count!T10=Count!T11, T12, T13)</f>
        <v>8 **Pending days to be verified</v>
      </c>
    </row>
    <row r="15" spans="2:20" ht="12.75" customHeight="1" x14ac:dyDescent="0.25">
      <c r="B15" s="90"/>
      <c r="C15" s="91"/>
      <c r="D15" s="91"/>
      <c r="E15" s="92"/>
      <c r="T15" t="s">
        <v>271</v>
      </c>
    </row>
    <row r="16" spans="2:20" ht="13.5" customHeight="1" thickBot="1" x14ac:dyDescent="0.3">
      <c r="B16" s="93"/>
      <c r="C16" s="94"/>
      <c r="D16" s="94"/>
      <c r="E16" s="95"/>
      <c r="T16" t="s">
        <v>44</v>
      </c>
    </row>
    <row r="17" spans="2:20" ht="12.75" customHeight="1" x14ac:dyDescent="0.25">
      <c r="B17" s="77" t="s">
        <v>262</v>
      </c>
      <c r="C17" s="79">
        <f>Data!B3</f>
        <v>44013</v>
      </c>
      <c r="D17" s="96" t="s">
        <v>263</v>
      </c>
      <c r="E17" s="79">
        <f>Data!B4</f>
        <v>44032</v>
      </c>
      <c r="T17" t="s">
        <v>328</v>
      </c>
    </row>
    <row r="18" spans="2:20" ht="13.5" customHeight="1" thickBot="1" x14ac:dyDescent="0.3">
      <c r="B18" s="78"/>
      <c r="C18" s="80"/>
      <c r="D18" s="97"/>
      <c r="E18" s="80"/>
    </row>
    <row r="24" spans="2:20" ht="15" customHeight="1" x14ac:dyDescent="0.25"/>
    <row r="25" spans="2:20" ht="15" customHeight="1" x14ac:dyDescent="0.25"/>
    <row r="26" spans="2:20" ht="15" customHeight="1" x14ac:dyDescent="0.25"/>
    <row r="27" spans="2:20" ht="15" customHeight="1" x14ac:dyDescent="0.25"/>
    <row r="28" spans="2:20" ht="15" customHeight="1" x14ac:dyDescent="0.25"/>
    <row r="29" spans="2:20" ht="15" customHeight="1" x14ac:dyDescent="0.25"/>
    <row r="30" spans="2:20" ht="15" customHeight="1" x14ac:dyDescent="0.25"/>
    <row r="31" spans="2:20" ht="15" customHeight="1" x14ac:dyDescent="0.25"/>
    <row r="33" ht="12.75" customHeight="1" x14ac:dyDescent="0.25"/>
  </sheetData>
  <mergeCells count="6">
    <mergeCell ref="B17:B18"/>
    <mergeCell ref="C17:C18"/>
    <mergeCell ref="B2:E3"/>
    <mergeCell ref="B4:E16"/>
    <mergeCell ref="D17:D18"/>
    <mergeCell ref="E17:E18"/>
  </mergeCells>
  <conditionalFormatting sqref="B4:E16">
    <cfRule type="cellIs" dxfId="0" priority="1" operator="greater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52"/>
  <sheetViews>
    <sheetView workbookViewId="0">
      <pane ySplit="11" topLeftCell="A12" activePane="bottomLeft" state="frozen"/>
      <selection pane="bottomLeft"/>
    </sheetView>
  </sheetViews>
  <sheetFormatPr defaultRowHeight="12.5" x14ac:dyDescent="0.25"/>
  <cols>
    <col min="1" max="2" width="22.26953125" customWidth="1"/>
    <col min="3" max="3" width="17.7265625" customWidth="1"/>
    <col min="4" max="6" width="18.7265625" customWidth="1"/>
    <col min="7" max="7" width="23" customWidth="1"/>
    <col min="8" max="8" width="21.26953125" customWidth="1"/>
  </cols>
  <sheetData>
    <row r="1" spans="1:8" x14ac:dyDescent="0.25">
      <c r="A1" s="4" t="s">
        <v>3</v>
      </c>
      <c r="B1" s="3" t="s">
        <v>261</v>
      </c>
      <c r="D1" s="5"/>
      <c r="E1" s="5"/>
      <c r="F1" s="5"/>
    </row>
    <row r="2" spans="1:8" x14ac:dyDescent="0.25">
      <c r="A2" s="4" t="s">
        <v>2</v>
      </c>
      <c r="B2" s="3">
        <v>44032.083333333336</v>
      </c>
    </row>
    <row r="3" spans="1:8" x14ac:dyDescent="0.25">
      <c r="A3" s="4" t="s">
        <v>0</v>
      </c>
      <c r="B3" s="3">
        <v>44013</v>
      </c>
    </row>
    <row r="4" spans="1:8" x14ac:dyDescent="0.25">
      <c r="A4" s="4" t="s">
        <v>1</v>
      </c>
      <c r="B4" s="3">
        <v>44032</v>
      </c>
    </row>
    <row r="5" spans="1:8" x14ac:dyDescent="0.25">
      <c r="A5" s="4" t="s">
        <v>332</v>
      </c>
      <c r="B5" s="3" t="s">
        <v>333</v>
      </c>
    </row>
    <row r="6" spans="1:8" x14ac:dyDescent="0.25">
      <c r="A6" s="4" t="s">
        <v>4</v>
      </c>
      <c r="B6" s="3" t="s">
        <v>5</v>
      </c>
    </row>
    <row r="7" spans="1:8" x14ac:dyDescent="0.25">
      <c r="A7" s="4" t="s">
        <v>6</v>
      </c>
      <c r="B7" s="3" t="s">
        <v>7</v>
      </c>
    </row>
    <row r="8" spans="1:8" x14ac:dyDescent="0.25">
      <c r="A8" s="4" t="s">
        <v>8</v>
      </c>
      <c r="B8" s="3" t="b">
        <v>1</v>
      </c>
    </row>
    <row r="9" spans="1:8" x14ac:dyDescent="0.25">
      <c r="A9" s="4" t="s">
        <v>9</v>
      </c>
      <c r="B9" s="3" t="s">
        <v>329</v>
      </c>
    </row>
    <row r="10" spans="1:8" x14ac:dyDescent="0.25">
      <c r="A10" s="4" t="s">
        <v>104</v>
      </c>
      <c r="B10" s="3" t="s">
        <v>105</v>
      </c>
    </row>
    <row r="11" spans="1:8" ht="26.25" customHeight="1" thickBot="1" x14ac:dyDescent="0.3">
      <c r="A11" s="1" t="s">
        <v>17</v>
      </c>
      <c r="B11" s="1" t="s">
        <v>18</v>
      </c>
      <c r="C11" s="1" t="s">
        <v>19</v>
      </c>
      <c r="D11" s="1" t="s">
        <v>20</v>
      </c>
      <c r="E11" s="1" t="s">
        <v>116</v>
      </c>
      <c r="F11" s="1" t="s">
        <v>117</v>
      </c>
      <c r="G11" s="1" t="s">
        <v>21</v>
      </c>
      <c r="H11" s="1" t="s">
        <v>22</v>
      </c>
    </row>
    <row r="12" spans="1:8" x14ac:dyDescent="0.25">
      <c r="A12" s="3">
        <v>44031.013993055552</v>
      </c>
      <c r="B12" s="3" t="s">
        <v>12</v>
      </c>
      <c r="C12" s="2" t="s">
        <v>289</v>
      </c>
      <c r="D12" s="2" t="s">
        <v>290</v>
      </c>
      <c r="E12" s="2" t="s">
        <v>291</v>
      </c>
      <c r="F12" s="2" t="s">
        <v>292</v>
      </c>
      <c r="G12" s="2" t="s">
        <v>272</v>
      </c>
      <c r="H12" s="3">
        <v>44037.462314814817</v>
      </c>
    </row>
    <row r="13" spans="1:8" x14ac:dyDescent="0.25">
      <c r="A13" s="3">
        <v>44031.055995370371</v>
      </c>
      <c r="B13" s="3" t="s">
        <v>10</v>
      </c>
      <c r="C13" s="2" t="s">
        <v>289</v>
      </c>
      <c r="D13" s="2" t="s">
        <v>290</v>
      </c>
      <c r="E13" s="2" t="s">
        <v>291</v>
      </c>
      <c r="F13" s="2" t="s">
        <v>292</v>
      </c>
      <c r="G13" s="2" t="s">
        <v>272</v>
      </c>
      <c r="H13" s="3">
        <v>44037.462314814817</v>
      </c>
    </row>
    <row r="14" spans="1:8" x14ac:dyDescent="0.25">
      <c r="A14" s="3">
        <v>44031.563240740739</v>
      </c>
      <c r="B14" s="3" t="s">
        <v>12</v>
      </c>
      <c r="C14" s="2" t="s">
        <v>289</v>
      </c>
      <c r="D14" s="2" t="s">
        <v>290</v>
      </c>
      <c r="E14" s="2" t="s">
        <v>291</v>
      </c>
      <c r="F14" s="2" t="s">
        <v>292</v>
      </c>
      <c r="G14" s="2" t="s">
        <v>272</v>
      </c>
      <c r="H14" s="3">
        <v>44037.462314814817</v>
      </c>
    </row>
    <row r="15" spans="1:8" x14ac:dyDescent="0.25">
      <c r="A15" s="3">
        <v>44031.565486111111</v>
      </c>
      <c r="B15" s="3" t="s">
        <v>11</v>
      </c>
      <c r="C15" s="2" t="s">
        <v>289</v>
      </c>
      <c r="D15" s="2" t="s">
        <v>290</v>
      </c>
      <c r="E15" s="2" t="s">
        <v>291</v>
      </c>
      <c r="F15" s="2" t="s">
        <v>292</v>
      </c>
      <c r="G15" s="2" t="s">
        <v>272</v>
      </c>
      <c r="H15" s="3">
        <v>44037.462314814817</v>
      </c>
    </row>
    <row r="16" spans="1:8" x14ac:dyDescent="0.25">
      <c r="A16" s="3">
        <v>44031.589467592596</v>
      </c>
      <c r="B16" s="3" t="s">
        <v>12</v>
      </c>
      <c r="C16" s="2" t="s">
        <v>289</v>
      </c>
      <c r="D16" s="2" t="s">
        <v>290</v>
      </c>
      <c r="E16" s="2" t="s">
        <v>291</v>
      </c>
      <c r="F16" s="2" t="s">
        <v>292</v>
      </c>
      <c r="G16" s="2" t="s">
        <v>272</v>
      </c>
      <c r="H16" s="3"/>
    </row>
    <row r="17" spans="1:8" x14ac:dyDescent="0.25">
      <c r="A17" s="3">
        <v>44031.70103009259</v>
      </c>
      <c r="B17" s="3" t="s">
        <v>123</v>
      </c>
      <c r="C17" s="2" t="s">
        <v>289</v>
      </c>
      <c r="D17" s="2" t="s">
        <v>290</v>
      </c>
      <c r="E17" s="2" t="s">
        <v>291</v>
      </c>
      <c r="F17" s="2" t="s">
        <v>292</v>
      </c>
      <c r="G17" s="2" t="s">
        <v>272</v>
      </c>
      <c r="H17" s="3"/>
    </row>
    <row r="18" spans="1:8" x14ac:dyDescent="0.25">
      <c r="A18" s="3">
        <v>44026.013993055552</v>
      </c>
      <c r="B18" s="3" t="s">
        <v>12</v>
      </c>
      <c r="C18" s="2" t="s">
        <v>293</v>
      </c>
      <c r="D18" s="2" t="s">
        <v>290</v>
      </c>
      <c r="E18" s="2" t="s">
        <v>294</v>
      </c>
      <c r="F18" s="2" t="s">
        <v>295</v>
      </c>
      <c r="G18" s="2" t="s">
        <v>273</v>
      </c>
      <c r="H18" s="3">
        <v>44037.462314814817</v>
      </c>
    </row>
    <row r="19" spans="1:8" x14ac:dyDescent="0.25">
      <c r="A19" s="3">
        <v>44026.055995370371</v>
      </c>
      <c r="B19" s="3" t="s">
        <v>10</v>
      </c>
      <c r="C19" s="2" t="s">
        <v>293</v>
      </c>
      <c r="D19" s="2" t="s">
        <v>290</v>
      </c>
      <c r="E19" s="2" t="s">
        <v>294</v>
      </c>
      <c r="F19" s="2" t="s">
        <v>295</v>
      </c>
      <c r="G19" s="2" t="s">
        <v>273</v>
      </c>
      <c r="H19" s="3">
        <v>44037.462314814817</v>
      </c>
    </row>
    <row r="20" spans="1:8" x14ac:dyDescent="0.25">
      <c r="A20" s="3">
        <v>44026.563240740739</v>
      </c>
      <c r="B20" s="3" t="s">
        <v>12</v>
      </c>
      <c r="C20" s="2" t="s">
        <v>293</v>
      </c>
      <c r="D20" s="2" t="s">
        <v>290</v>
      </c>
      <c r="E20" s="2" t="s">
        <v>294</v>
      </c>
      <c r="F20" s="2" t="s">
        <v>295</v>
      </c>
      <c r="G20" s="2" t="s">
        <v>273</v>
      </c>
      <c r="H20" s="3">
        <v>44037.462314814817</v>
      </c>
    </row>
    <row r="21" spans="1:8" x14ac:dyDescent="0.25">
      <c r="A21" s="3">
        <v>44026.565486111111</v>
      </c>
      <c r="B21" s="3" t="s">
        <v>11</v>
      </c>
      <c r="C21" s="2" t="s">
        <v>293</v>
      </c>
      <c r="D21" s="2" t="s">
        <v>290</v>
      </c>
      <c r="E21" s="2" t="s">
        <v>294</v>
      </c>
      <c r="F21" s="2" t="s">
        <v>295</v>
      </c>
      <c r="G21" s="2" t="s">
        <v>273</v>
      </c>
      <c r="H21" s="3">
        <v>44037.462314814817</v>
      </c>
    </row>
    <row r="22" spans="1:8" x14ac:dyDescent="0.25">
      <c r="A22" s="3">
        <v>44026.589467592596</v>
      </c>
      <c r="B22" s="3" t="s">
        <v>12</v>
      </c>
      <c r="C22" s="2" t="s">
        <v>293</v>
      </c>
      <c r="D22" s="2" t="s">
        <v>290</v>
      </c>
      <c r="E22" s="2" t="s">
        <v>294</v>
      </c>
      <c r="F22" s="2" t="s">
        <v>295</v>
      </c>
      <c r="G22" s="2" t="s">
        <v>273</v>
      </c>
      <c r="H22" s="3"/>
    </row>
    <row r="23" spans="1:8" x14ac:dyDescent="0.25">
      <c r="A23" s="3">
        <v>44026.70103009259</v>
      </c>
      <c r="B23" s="3" t="s">
        <v>123</v>
      </c>
      <c r="C23" s="2" t="s">
        <v>293</v>
      </c>
      <c r="D23" s="2" t="s">
        <v>290</v>
      </c>
      <c r="E23" s="2" t="s">
        <v>294</v>
      </c>
      <c r="F23" s="2" t="s">
        <v>295</v>
      </c>
      <c r="G23" s="2" t="s">
        <v>273</v>
      </c>
      <c r="H23" s="3"/>
    </row>
    <row r="24" spans="1:8" x14ac:dyDescent="0.25">
      <c r="A24" s="3">
        <v>44032.013993055552</v>
      </c>
      <c r="B24" s="3" t="s">
        <v>12</v>
      </c>
      <c r="C24" s="2" t="s">
        <v>296</v>
      </c>
      <c r="D24" s="2" t="s">
        <v>290</v>
      </c>
      <c r="E24" s="2" t="s">
        <v>297</v>
      </c>
      <c r="F24" s="2" t="s">
        <v>298</v>
      </c>
      <c r="G24" s="2" t="s">
        <v>274</v>
      </c>
      <c r="H24" s="3">
        <v>44037.462314814817</v>
      </c>
    </row>
    <row r="25" spans="1:8" x14ac:dyDescent="0.25">
      <c r="A25" s="3">
        <v>44032.055995370371</v>
      </c>
      <c r="B25" s="3" t="s">
        <v>10</v>
      </c>
      <c r="C25" s="2" t="s">
        <v>296</v>
      </c>
      <c r="D25" s="2" t="s">
        <v>290</v>
      </c>
      <c r="E25" s="2" t="s">
        <v>297</v>
      </c>
      <c r="F25" s="2" t="s">
        <v>298</v>
      </c>
      <c r="G25" s="2" t="s">
        <v>274</v>
      </c>
      <c r="H25" s="3">
        <v>44037.462314814817</v>
      </c>
    </row>
    <row r="26" spans="1:8" x14ac:dyDescent="0.25">
      <c r="A26" s="3">
        <v>44032.563240740739</v>
      </c>
      <c r="B26" s="3" t="s">
        <v>12</v>
      </c>
      <c r="C26" s="2" t="s">
        <v>296</v>
      </c>
      <c r="D26" s="2" t="s">
        <v>290</v>
      </c>
      <c r="E26" s="2" t="s">
        <v>297</v>
      </c>
      <c r="F26" s="2" t="s">
        <v>298</v>
      </c>
      <c r="G26" s="2" t="s">
        <v>274</v>
      </c>
      <c r="H26" s="3">
        <v>44037.462314814817</v>
      </c>
    </row>
    <row r="27" spans="1:8" x14ac:dyDescent="0.25">
      <c r="A27" s="3">
        <v>44032.565486111111</v>
      </c>
      <c r="B27" s="3" t="s">
        <v>11</v>
      </c>
      <c r="C27" s="2" t="s">
        <v>296</v>
      </c>
      <c r="D27" s="2" t="s">
        <v>290</v>
      </c>
      <c r="E27" s="2" t="s">
        <v>297</v>
      </c>
      <c r="F27" s="2" t="s">
        <v>298</v>
      </c>
      <c r="G27" s="2" t="s">
        <v>274</v>
      </c>
      <c r="H27" s="3">
        <v>44037.462314814817</v>
      </c>
    </row>
    <row r="28" spans="1:8" x14ac:dyDescent="0.25">
      <c r="A28" s="3">
        <v>44032.589467592596</v>
      </c>
      <c r="B28" s="3" t="s">
        <v>12</v>
      </c>
      <c r="C28" s="2" t="s">
        <v>296</v>
      </c>
      <c r="D28" s="2" t="s">
        <v>290</v>
      </c>
      <c r="E28" s="2" t="s">
        <v>297</v>
      </c>
      <c r="F28" s="2" t="s">
        <v>298</v>
      </c>
      <c r="G28" s="2" t="s">
        <v>274</v>
      </c>
      <c r="H28" s="3"/>
    </row>
    <row r="29" spans="1:8" x14ac:dyDescent="0.25">
      <c r="A29" s="3">
        <v>44032.70103009259</v>
      </c>
      <c r="B29" s="3" t="s">
        <v>123</v>
      </c>
      <c r="C29" s="2" t="s">
        <v>296</v>
      </c>
      <c r="D29" s="2" t="s">
        <v>290</v>
      </c>
      <c r="E29" s="2" t="s">
        <v>297</v>
      </c>
      <c r="F29" s="2" t="s">
        <v>298</v>
      </c>
      <c r="G29" s="2" t="s">
        <v>274</v>
      </c>
      <c r="H29" s="3"/>
    </row>
    <row r="30" spans="1:8" x14ac:dyDescent="0.25">
      <c r="A30" s="3">
        <v>44028.013993055552</v>
      </c>
      <c r="B30" s="3" t="s">
        <v>12</v>
      </c>
      <c r="C30" s="2" t="s">
        <v>299</v>
      </c>
      <c r="D30" s="2" t="s">
        <v>290</v>
      </c>
      <c r="E30" s="2" t="s">
        <v>300</v>
      </c>
      <c r="F30" s="2" t="s">
        <v>301</v>
      </c>
      <c r="G30" s="2" t="s">
        <v>275</v>
      </c>
      <c r="H30" s="3">
        <v>44037.462314814817</v>
      </c>
    </row>
    <row r="31" spans="1:8" x14ac:dyDescent="0.25">
      <c r="A31" s="3">
        <v>44028.055995370371</v>
      </c>
      <c r="B31" s="3" t="s">
        <v>10</v>
      </c>
      <c r="C31" s="2" t="s">
        <v>299</v>
      </c>
      <c r="D31" s="2" t="s">
        <v>290</v>
      </c>
      <c r="E31" s="2" t="s">
        <v>300</v>
      </c>
      <c r="F31" s="2" t="s">
        <v>301</v>
      </c>
      <c r="G31" s="2" t="s">
        <v>275</v>
      </c>
      <c r="H31" s="3">
        <v>44037.462314814817</v>
      </c>
    </row>
    <row r="32" spans="1:8" x14ac:dyDescent="0.25">
      <c r="A32" s="3">
        <v>44028.563240740739</v>
      </c>
      <c r="B32" s="3" t="s">
        <v>12</v>
      </c>
      <c r="C32" s="2" t="s">
        <v>299</v>
      </c>
      <c r="D32" s="2" t="s">
        <v>290</v>
      </c>
      <c r="E32" s="2" t="s">
        <v>300</v>
      </c>
      <c r="F32" s="2" t="s">
        <v>301</v>
      </c>
      <c r="G32" s="2" t="s">
        <v>275</v>
      </c>
      <c r="H32" s="3">
        <v>44037.462314814817</v>
      </c>
    </row>
    <row r="33" spans="1:8" x14ac:dyDescent="0.25">
      <c r="A33" s="3">
        <v>44028.565486111111</v>
      </c>
      <c r="B33" s="3" t="s">
        <v>11</v>
      </c>
      <c r="C33" s="2" t="s">
        <v>299</v>
      </c>
      <c r="D33" s="2" t="s">
        <v>290</v>
      </c>
      <c r="E33" s="2" t="s">
        <v>300</v>
      </c>
      <c r="F33" s="2" t="s">
        <v>301</v>
      </c>
      <c r="G33" s="2" t="s">
        <v>275</v>
      </c>
      <c r="H33" s="3">
        <v>44037.462314814817</v>
      </c>
    </row>
    <row r="34" spans="1:8" x14ac:dyDescent="0.25">
      <c r="A34" s="3">
        <v>44028.589467592596</v>
      </c>
      <c r="B34" s="3" t="s">
        <v>12</v>
      </c>
      <c r="C34" s="2" t="s">
        <v>299</v>
      </c>
      <c r="D34" s="2" t="s">
        <v>290</v>
      </c>
      <c r="E34" s="2" t="s">
        <v>300</v>
      </c>
      <c r="F34" s="2" t="s">
        <v>301</v>
      </c>
      <c r="G34" s="2" t="s">
        <v>275</v>
      </c>
      <c r="H34" s="3">
        <v>44037.462314814817</v>
      </c>
    </row>
    <row r="35" spans="1:8" x14ac:dyDescent="0.25">
      <c r="A35" s="3">
        <v>44028.70103009259</v>
      </c>
      <c r="B35" s="3" t="s">
        <v>123</v>
      </c>
      <c r="C35" s="2" t="s">
        <v>299</v>
      </c>
      <c r="D35" s="2" t="s">
        <v>290</v>
      </c>
      <c r="E35" s="2" t="s">
        <v>300</v>
      </c>
      <c r="F35" s="2" t="s">
        <v>301</v>
      </c>
      <c r="G35" s="2" t="s">
        <v>275</v>
      </c>
      <c r="H35" s="3">
        <v>44037.462314814817</v>
      </c>
    </row>
    <row r="36" spans="1:8" x14ac:dyDescent="0.25">
      <c r="A36" s="3">
        <v>44031.013993055552</v>
      </c>
      <c r="B36" s="3" t="s">
        <v>12</v>
      </c>
      <c r="C36" s="2" t="s">
        <v>302</v>
      </c>
      <c r="D36" s="2" t="s">
        <v>290</v>
      </c>
      <c r="E36" s="2" t="s">
        <v>303</v>
      </c>
      <c r="F36" s="2" t="s">
        <v>304</v>
      </c>
      <c r="G36" s="2" t="s">
        <v>276</v>
      </c>
      <c r="H36" s="3">
        <v>44037.462314814817</v>
      </c>
    </row>
    <row r="37" spans="1:8" x14ac:dyDescent="0.25">
      <c r="A37" s="3">
        <v>44031.055995370371</v>
      </c>
      <c r="B37" s="3" t="s">
        <v>10</v>
      </c>
      <c r="C37" s="2" t="s">
        <v>302</v>
      </c>
      <c r="D37" s="2" t="s">
        <v>290</v>
      </c>
      <c r="E37" s="2" t="s">
        <v>303</v>
      </c>
      <c r="F37" s="2" t="s">
        <v>304</v>
      </c>
      <c r="G37" s="2" t="s">
        <v>276</v>
      </c>
      <c r="H37" s="3">
        <v>44037.462314814817</v>
      </c>
    </row>
    <row r="38" spans="1:8" x14ac:dyDescent="0.25">
      <c r="A38" s="3">
        <v>44031.563240740739</v>
      </c>
      <c r="B38" s="3" t="s">
        <v>12</v>
      </c>
      <c r="C38" s="2" t="s">
        <v>302</v>
      </c>
      <c r="D38" s="2" t="s">
        <v>290</v>
      </c>
      <c r="E38" s="2" t="s">
        <v>303</v>
      </c>
      <c r="F38" s="2" t="s">
        <v>304</v>
      </c>
      <c r="G38" s="2" t="s">
        <v>276</v>
      </c>
      <c r="H38" s="3">
        <v>44037.462314814817</v>
      </c>
    </row>
    <row r="39" spans="1:8" x14ac:dyDescent="0.25">
      <c r="A39" s="3">
        <v>44031.565486111111</v>
      </c>
      <c r="B39" s="3" t="s">
        <v>11</v>
      </c>
      <c r="C39" s="2" t="s">
        <v>302</v>
      </c>
      <c r="D39" s="2" t="s">
        <v>290</v>
      </c>
      <c r="E39" s="2" t="s">
        <v>303</v>
      </c>
      <c r="F39" s="2" t="s">
        <v>304</v>
      </c>
      <c r="G39" s="2" t="s">
        <v>276</v>
      </c>
      <c r="H39" s="3">
        <v>44037.462314814817</v>
      </c>
    </row>
    <row r="40" spans="1:8" x14ac:dyDescent="0.25">
      <c r="A40" s="3">
        <v>44031.589467592596</v>
      </c>
      <c r="B40" s="3" t="s">
        <v>12</v>
      </c>
      <c r="C40" s="2" t="s">
        <v>302</v>
      </c>
      <c r="D40" s="2" t="s">
        <v>290</v>
      </c>
      <c r="E40" s="2" t="s">
        <v>303</v>
      </c>
      <c r="F40" s="2" t="s">
        <v>304</v>
      </c>
      <c r="G40" s="2" t="s">
        <v>276</v>
      </c>
      <c r="H40" s="3"/>
    </row>
    <row r="41" spans="1:8" x14ac:dyDescent="0.25">
      <c r="A41" s="3">
        <v>44031.70103009259</v>
      </c>
      <c r="B41" s="3" t="s">
        <v>123</v>
      </c>
      <c r="C41" s="2" t="s">
        <v>302</v>
      </c>
      <c r="D41" s="2" t="s">
        <v>290</v>
      </c>
      <c r="E41" s="2" t="s">
        <v>303</v>
      </c>
      <c r="F41" s="2" t="s">
        <v>304</v>
      </c>
      <c r="G41" s="2" t="s">
        <v>276</v>
      </c>
      <c r="H41" s="3"/>
    </row>
    <row r="42" spans="1:8" x14ac:dyDescent="0.25">
      <c r="A42" s="3">
        <v>44019.589467592596</v>
      </c>
      <c r="B42" s="3" t="s">
        <v>12</v>
      </c>
      <c r="C42" s="2" t="s">
        <v>305</v>
      </c>
      <c r="D42" s="2" t="s">
        <v>290</v>
      </c>
      <c r="E42" s="2" t="s">
        <v>306</v>
      </c>
      <c r="F42" s="2" t="s">
        <v>307</v>
      </c>
      <c r="G42" s="2" t="s">
        <v>277</v>
      </c>
      <c r="H42" s="3">
        <v>44037.462314814817</v>
      </c>
    </row>
    <row r="43" spans="1:8" x14ac:dyDescent="0.25">
      <c r="A43" s="3">
        <v>44019.70103009259</v>
      </c>
      <c r="B43" s="3" t="s">
        <v>10</v>
      </c>
      <c r="C43" s="2" t="s">
        <v>305</v>
      </c>
      <c r="D43" s="2" t="s">
        <v>290</v>
      </c>
      <c r="E43" s="2" t="s">
        <v>306</v>
      </c>
      <c r="F43" s="2" t="s">
        <v>307</v>
      </c>
      <c r="G43" s="2" t="s">
        <v>277</v>
      </c>
      <c r="H43" s="3">
        <v>44037.462314814817</v>
      </c>
    </row>
    <row r="44" spans="1:8" x14ac:dyDescent="0.25">
      <c r="A44" s="3">
        <v>44028.589467592596</v>
      </c>
      <c r="B44" s="3" t="s">
        <v>12</v>
      </c>
      <c r="C44" s="2" t="s">
        <v>305</v>
      </c>
      <c r="D44" s="2" t="s">
        <v>290</v>
      </c>
      <c r="E44" s="2" t="s">
        <v>306</v>
      </c>
      <c r="F44" s="2" t="s">
        <v>307</v>
      </c>
      <c r="G44" s="2" t="s">
        <v>277</v>
      </c>
      <c r="H44" s="3"/>
    </row>
    <row r="45" spans="1:8" x14ac:dyDescent="0.25">
      <c r="A45" s="3">
        <v>44028.70103009259</v>
      </c>
      <c r="B45" s="3" t="s">
        <v>11</v>
      </c>
      <c r="C45" s="2" t="s">
        <v>305</v>
      </c>
      <c r="D45" s="2" t="s">
        <v>290</v>
      </c>
      <c r="E45" s="2" t="s">
        <v>306</v>
      </c>
      <c r="F45" s="2" t="s">
        <v>307</v>
      </c>
      <c r="G45" s="2" t="s">
        <v>277</v>
      </c>
      <c r="H45" s="3"/>
    </row>
    <row r="46" spans="1:8" x14ac:dyDescent="0.25">
      <c r="A46" s="3">
        <v>44032.055995370371</v>
      </c>
      <c r="B46" s="3" t="s">
        <v>12</v>
      </c>
      <c r="C46" s="2" t="s">
        <v>305</v>
      </c>
      <c r="D46" s="2" t="s">
        <v>290</v>
      </c>
      <c r="E46" s="2" t="s">
        <v>306</v>
      </c>
      <c r="F46" s="2" t="s">
        <v>307</v>
      </c>
      <c r="G46" s="2" t="s">
        <v>277</v>
      </c>
      <c r="H46" s="3"/>
    </row>
    <row r="47" spans="1:8" x14ac:dyDescent="0.25">
      <c r="A47" s="3">
        <v>44032.180995370371</v>
      </c>
      <c r="B47" s="3" t="s">
        <v>123</v>
      </c>
      <c r="C47" s="2" t="s">
        <v>305</v>
      </c>
      <c r="D47" s="2" t="s">
        <v>290</v>
      </c>
      <c r="E47" s="2" t="s">
        <v>306</v>
      </c>
      <c r="F47" s="2" t="s">
        <v>307</v>
      </c>
      <c r="G47" s="2" t="s">
        <v>277</v>
      </c>
      <c r="H47" s="3"/>
    </row>
    <row r="48" spans="1:8" x14ac:dyDescent="0.25">
      <c r="A48" s="3">
        <v>44032.555995370371</v>
      </c>
      <c r="B48" s="3" t="s">
        <v>12</v>
      </c>
      <c r="C48" s="2" t="s">
        <v>305</v>
      </c>
      <c r="D48" s="2" t="s">
        <v>290</v>
      </c>
      <c r="E48" s="2" t="s">
        <v>306</v>
      </c>
      <c r="F48" s="2" t="s">
        <v>307</v>
      </c>
      <c r="G48" s="2" t="s">
        <v>277</v>
      </c>
      <c r="H48" s="3"/>
    </row>
    <row r="49" spans="1:8" x14ac:dyDescent="0.25">
      <c r="A49" s="3">
        <v>44032.680995370371</v>
      </c>
      <c r="B49" s="3" t="s">
        <v>123</v>
      </c>
      <c r="C49" s="2" t="s">
        <v>305</v>
      </c>
      <c r="D49" s="2" t="s">
        <v>290</v>
      </c>
      <c r="E49" s="2" t="s">
        <v>306</v>
      </c>
      <c r="F49" s="2" t="s">
        <v>307</v>
      </c>
      <c r="G49" s="2" t="s">
        <v>277</v>
      </c>
      <c r="H49" s="3"/>
    </row>
    <row r="50" spans="1:8" x14ac:dyDescent="0.25">
      <c r="A50" s="3">
        <v>44013.013993055552</v>
      </c>
      <c r="B50" s="3" t="s">
        <v>12</v>
      </c>
      <c r="C50" s="2" t="s">
        <v>308</v>
      </c>
      <c r="D50" s="2" t="s">
        <v>290</v>
      </c>
      <c r="E50" s="2" t="s">
        <v>309</v>
      </c>
      <c r="F50" s="2" t="s">
        <v>310</v>
      </c>
      <c r="G50" s="2" t="s">
        <v>278</v>
      </c>
      <c r="H50" s="3">
        <v>44037.462314814817</v>
      </c>
    </row>
    <row r="51" spans="1:8" x14ac:dyDescent="0.25">
      <c r="A51" s="3">
        <v>44013.055995370371</v>
      </c>
      <c r="B51" s="3" t="s">
        <v>10</v>
      </c>
      <c r="C51" s="2" t="s">
        <v>308</v>
      </c>
      <c r="D51" s="2" t="s">
        <v>290</v>
      </c>
      <c r="E51" s="2" t="s">
        <v>309</v>
      </c>
      <c r="F51" s="2" t="s">
        <v>310</v>
      </c>
      <c r="G51" s="2" t="s">
        <v>278</v>
      </c>
      <c r="H51" s="3">
        <v>44037.462314814817</v>
      </c>
    </row>
    <row r="52" spans="1:8" x14ac:dyDescent="0.25">
      <c r="A52" s="3">
        <v>44013.563240740739</v>
      </c>
      <c r="B52" s="3" t="s">
        <v>12</v>
      </c>
      <c r="C52" s="2" t="s">
        <v>308</v>
      </c>
      <c r="D52" s="2" t="s">
        <v>290</v>
      </c>
      <c r="E52" s="2" t="s">
        <v>309</v>
      </c>
      <c r="F52" s="2" t="s">
        <v>310</v>
      </c>
      <c r="G52" s="2" t="s">
        <v>278</v>
      </c>
      <c r="H52" s="3">
        <v>44037.462314814817</v>
      </c>
    </row>
    <row r="53" spans="1:8" x14ac:dyDescent="0.25">
      <c r="A53" s="3">
        <v>44013.565486111111</v>
      </c>
      <c r="B53" s="3" t="s">
        <v>11</v>
      </c>
      <c r="C53" s="2" t="s">
        <v>308</v>
      </c>
      <c r="D53" s="2" t="s">
        <v>290</v>
      </c>
      <c r="E53" s="2" t="s">
        <v>309</v>
      </c>
      <c r="F53" s="2" t="s">
        <v>310</v>
      </c>
      <c r="G53" s="2" t="s">
        <v>278</v>
      </c>
      <c r="H53" s="3">
        <v>44037.462314814817</v>
      </c>
    </row>
    <row r="54" spans="1:8" x14ac:dyDescent="0.25">
      <c r="A54" s="3">
        <v>44031.589467592596</v>
      </c>
      <c r="B54" s="3" t="s">
        <v>12</v>
      </c>
      <c r="C54" s="2" t="s">
        <v>308</v>
      </c>
      <c r="D54" s="2" t="s">
        <v>290</v>
      </c>
      <c r="E54" s="2" t="s">
        <v>309</v>
      </c>
      <c r="F54" s="2" t="s">
        <v>310</v>
      </c>
      <c r="G54" s="2" t="s">
        <v>278</v>
      </c>
      <c r="H54" s="3"/>
    </row>
    <row r="55" spans="1:8" x14ac:dyDescent="0.25">
      <c r="A55" s="3">
        <v>44031.70103009259</v>
      </c>
      <c r="B55" s="3" t="s">
        <v>123</v>
      </c>
      <c r="C55" s="2" t="s">
        <v>308</v>
      </c>
      <c r="D55" s="2" t="s">
        <v>290</v>
      </c>
      <c r="E55" s="2" t="s">
        <v>309</v>
      </c>
      <c r="F55" s="2" t="s">
        <v>310</v>
      </c>
      <c r="G55" s="2" t="s">
        <v>278</v>
      </c>
      <c r="H55" s="3"/>
    </row>
    <row r="56" spans="1:8" x14ac:dyDescent="0.25">
      <c r="A56" s="3">
        <v>44024.013993055552</v>
      </c>
      <c r="B56" s="3" t="s">
        <v>12</v>
      </c>
      <c r="C56" s="2" t="s">
        <v>311</v>
      </c>
      <c r="D56" s="2" t="s">
        <v>290</v>
      </c>
      <c r="E56" s="2" t="s">
        <v>312</v>
      </c>
      <c r="F56" s="2" t="s">
        <v>313</v>
      </c>
      <c r="G56" s="2" t="s">
        <v>279</v>
      </c>
      <c r="H56" s="3">
        <v>44037.462314814817</v>
      </c>
    </row>
    <row r="57" spans="1:8" x14ac:dyDescent="0.25">
      <c r="A57" s="3">
        <v>44024.055995370371</v>
      </c>
      <c r="B57" s="3" t="s">
        <v>10</v>
      </c>
      <c r="C57" s="2" t="s">
        <v>311</v>
      </c>
      <c r="D57" s="2" t="s">
        <v>290</v>
      </c>
      <c r="E57" s="2" t="s">
        <v>312</v>
      </c>
      <c r="F57" s="2" t="s">
        <v>313</v>
      </c>
      <c r="G57" s="2" t="s">
        <v>279</v>
      </c>
      <c r="H57" s="3">
        <v>44037.462314814817</v>
      </c>
    </row>
    <row r="58" spans="1:8" x14ac:dyDescent="0.25">
      <c r="A58" s="3">
        <v>44024.563240740739</v>
      </c>
      <c r="B58" s="3" t="s">
        <v>12</v>
      </c>
      <c r="C58" s="2" t="s">
        <v>311</v>
      </c>
      <c r="D58" s="2" t="s">
        <v>290</v>
      </c>
      <c r="E58" s="2" t="s">
        <v>312</v>
      </c>
      <c r="F58" s="2" t="s">
        <v>313</v>
      </c>
      <c r="G58" s="2" t="s">
        <v>279</v>
      </c>
      <c r="H58" s="3">
        <v>44037.462314814817</v>
      </c>
    </row>
    <row r="59" spans="1:8" x14ac:dyDescent="0.25">
      <c r="A59" s="3">
        <v>44024.565486111111</v>
      </c>
      <c r="B59" s="3" t="s">
        <v>11</v>
      </c>
      <c r="C59" s="2" t="s">
        <v>311</v>
      </c>
      <c r="D59" s="2" t="s">
        <v>290</v>
      </c>
      <c r="E59" s="2" t="s">
        <v>312</v>
      </c>
      <c r="F59" s="2" t="s">
        <v>313</v>
      </c>
      <c r="G59" s="2" t="s">
        <v>279</v>
      </c>
      <c r="H59" s="3">
        <v>44037.462314814817</v>
      </c>
    </row>
    <row r="60" spans="1:8" x14ac:dyDescent="0.25">
      <c r="A60" s="3">
        <v>44024.589467592596</v>
      </c>
      <c r="B60" s="3" t="s">
        <v>12</v>
      </c>
      <c r="C60" s="2" t="s">
        <v>311</v>
      </c>
      <c r="D60" s="2" t="s">
        <v>290</v>
      </c>
      <c r="E60" s="2" t="s">
        <v>312</v>
      </c>
      <c r="F60" s="2" t="s">
        <v>313</v>
      </c>
      <c r="G60" s="2" t="s">
        <v>279</v>
      </c>
      <c r="H60" s="3"/>
    </row>
    <row r="61" spans="1:8" x14ac:dyDescent="0.25">
      <c r="A61" s="3">
        <v>44024.70103009259</v>
      </c>
      <c r="B61" s="3" t="s">
        <v>123</v>
      </c>
      <c r="C61" s="2" t="s">
        <v>311</v>
      </c>
      <c r="D61" s="2" t="s">
        <v>290</v>
      </c>
      <c r="E61" s="2" t="s">
        <v>312</v>
      </c>
      <c r="F61" s="2" t="s">
        <v>313</v>
      </c>
      <c r="G61" s="2" t="s">
        <v>279</v>
      </c>
      <c r="H61" s="3"/>
    </row>
    <row r="62" spans="1:8" x14ac:dyDescent="0.25">
      <c r="A62" s="3">
        <v>44032.013993055552</v>
      </c>
      <c r="B62" s="3" t="s">
        <v>12</v>
      </c>
      <c r="C62" s="2" t="s">
        <v>314</v>
      </c>
      <c r="D62" s="2" t="s">
        <v>290</v>
      </c>
      <c r="E62" s="2" t="s">
        <v>315</v>
      </c>
      <c r="F62" s="2" t="s">
        <v>316</v>
      </c>
      <c r="G62" s="2" t="s">
        <v>280</v>
      </c>
      <c r="H62" s="3">
        <v>44037.462314814817</v>
      </c>
    </row>
    <row r="63" spans="1:8" x14ac:dyDescent="0.25">
      <c r="A63" s="3">
        <v>44032.055995370371</v>
      </c>
      <c r="B63" s="3" t="s">
        <v>10</v>
      </c>
      <c r="C63" s="2" t="s">
        <v>314</v>
      </c>
      <c r="D63" s="2" t="s">
        <v>290</v>
      </c>
      <c r="E63" s="2" t="s">
        <v>315</v>
      </c>
      <c r="F63" s="2" t="s">
        <v>316</v>
      </c>
      <c r="G63" s="2" t="s">
        <v>280</v>
      </c>
      <c r="H63" s="3">
        <v>44037.462314814817</v>
      </c>
    </row>
    <row r="64" spans="1:8" x14ac:dyDescent="0.25">
      <c r="A64" s="3">
        <v>44032.563240740739</v>
      </c>
      <c r="B64" s="3" t="s">
        <v>12</v>
      </c>
      <c r="C64" s="2" t="s">
        <v>314</v>
      </c>
      <c r="D64" s="2" t="s">
        <v>290</v>
      </c>
      <c r="E64" s="2" t="s">
        <v>315</v>
      </c>
      <c r="F64" s="2" t="s">
        <v>316</v>
      </c>
      <c r="G64" s="2" t="s">
        <v>280</v>
      </c>
      <c r="H64" s="3">
        <v>44037.462314814817</v>
      </c>
    </row>
    <row r="65" spans="1:8" x14ac:dyDescent="0.25">
      <c r="A65" s="3">
        <v>44032.565486111111</v>
      </c>
      <c r="B65" s="3" t="s">
        <v>11</v>
      </c>
      <c r="C65" s="2" t="s">
        <v>314</v>
      </c>
      <c r="D65" s="2" t="s">
        <v>290</v>
      </c>
      <c r="E65" s="2" t="s">
        <v>315</v>
      </c>
      <c r="F65" s="2" t="s">
        <v>316</v>
      </c>
      <c r="G65" s="2" t="s">
        <v>280</v>
      </c>
      <c r="H65" s="3">
        <v>44037.462314814817</v>
      </c>
    </row>
    <row r="66" spans="1:8" x14ac:dyDescent="0.25">
      <c r="A66" s="3">
        <v>44032.589467592596</v>
      </c>
      <c r="B66" s="3" t="s">
        <v>12</v>
      </c>
      <c r="C66" s="2" t="s">
        <v>314</v>
      </c>
      <c r="D66" s="2" t="s">
        <v>290</v>
      </c>
      <c r="E66" s="2" t="s">
        <v>315</v>
      </c>
      <c r="F66" s="2" t="s">
        <v>316</v>
      </c>
      <c r="G66" s="2" t="s">
        <v>280</v>
      </c>
      <c r="H66" s="3"/>
    </row>
    <row r="67" spans="1:8" x14ac:dyDescent="0.25">
      <c r="A67" s="3">
        <v>44032.70103009259</v>
      </c>
      <c r="B67" s="3" t="s">
        <v>123</v>
      </c>
      <c r="C67" s="2" t="s">
        <v>314</v>
      </c>
      <c r="D67" s="2" t="s">
        <v>290</v>
      </c>
      <c r="E67" s="2" t="s">
        <v>315</v>
      </c>
      <c r="F67" s="2" t="s">
        <v>316</v>
      </c>
      <c r="G67" s="2" t="s">
        <v>280</v>
      </c>
      <c r="H67" s="3"/>
    </row>
    <row r="68" spans="1:8" x14ac:dyDescent="0.25">
      <c r="A68" s="3">
        <v>44013.013993055552</v>
      </c>
      <c r="B68" s="3" t="s">
        <v>12</v>
      </c>
      <c r="C68" s="2" t="s">
        <v>317</v>
      </c>
      <c r="D68" s="2" t="s">
        <v>290</v>
      </c>
      <c r="E68" s="2" t="s">
        <v>318</v>
      </c>
      <c r="F68" s="2" t="s">
        <v>319</v>
      </c>
      <c r="G68" s="2" t="s">
        <v>320</v>
      </c>
      <c r="H68" s="3">
        <v>44037.462314814817</v>
      </c>
    </row>
    <row r="69" spans="1:8" x14ac:dyDescent="0.25">
      <c r="A69" s="3">
        <v>44013.055995370371</v>
      </c>
      <c r="B69" s="3" t="s">
        <v>10</v>
      </c>
      <c r="C69" s="2" t="s">
        <v>317</v>
      </c>
      <c r="D69" s="2" t="s">
        <v>290</v>
      </c>
      <c r="E69" s="2" t="s">
        <v>318</v>
      </c>
      <c r="F69" s="2" t="s">
        <v>319</v>
      </c>
      <c r="G69" s="2" t="s">
        <v>320</v>
      </c>
      <c r="H69" s="3">
        <v>44037.462314814817</v>
      </c>
    </row>
    <row r="70" spans="1:8" x14ac:dyDescent="0.25">
      <c r="A70" s="3">
        <v>44013.563240740739</v>
      </c>
      <c r="B70" s="3" t="s">
        <v>12</v>
      </c>
      <c r="C70" s="2" t="s">
        <v>317</v>
      </c>
      <c r="D70" s="2" t="s">
        <v>290</v>
      </c>
      <c r="E70" s="2" t="s">
        <v>318</v>
      </c>
      <c r="F70" s="2" t="s">
        <v>319</v>
      </c>
      <c r="G70" s="2" t="s">
        <v>320</v>
      </c>
      <c r="H70" s="3">
        <v>44037.462314814817</v>
      </c>
    </row>
    <row r="71" spans="1:8" x14ac:dyDescent="0.25">
      <c r="A71" s="3">
        <v>44013.565486111111</v>
      </c>
      <c r="B71" s="3" t="s">
        <v>11</v>
      </c>
      <c r="C71" s="2" t="s">
        <v>317</v>
      </c>
      <c r="D71" s="2" t="s">
        <v>290</v>
      </c>
      <c r="E71" s="2" t="s">
        <v>318</v>
      </c>
      <c r="F71" s="2" t="s">
        <v>319</v>
      </c>
      <c r="G71" s="2" t="s">
        <v>320</v>
      </c>
      <c r="H71" s="3">
        <v>44037.462314814817</v>
      </c>
    </row>
    <row r="72" spans="1:8" x14ac:dyDescent="0.25">
      <c r="A72" s="3">
        <v>44013.589467592596</v>
      </c>
      <c r="B72" s="3" t="s">
        <v>12</v>
      </c>
      <c r="C72" s="2" t="s">
        <v>317</v>
      </c>
      <c r="D72" s="2" t="s">
        <v>290</v>
      </c>
      <c r="E72" s="2" t="s">
        <v>318</v>
      </c>
      <c r="F72" s="2" t="s">
        <v>319</v>
      </c>
      <c r="G72" s="2" t="s">
        <v>320</v>
      </c>
      <c r="H72" s="3">
        <v>44037.462314814817</v>
      </c>
    </row>
    <row r="73" spans="1:8" x14ac:dyDescent="0.25">
      <c r="A73" s="3">
        <v>44013.70103009259</v>
      </c>
      <c r="B73" s="3" t="s">
        <v>123</v>
      </c>
      <c r="C73" s="2" t="s">
        <v>317</v>
      </c>
      <c r="D73" s="2" t="s">
        <v>290</v>
      </c>
      <c r="E73" s="2" t="s">
        <v>318</v>
      </c>
      <c r="F73" s="2" t="s">
        <v>319</v>
      </c>
      <c r="G73" s="2" t="s">
        <v>320</v>
      </c>
      <c r="H73" s="3"/>
    </row>
    <row r="74" spans="1:8" x14ac:dyDescent="0.25">
      <c r="A74" s="3">
        <v>44020.579814814817</v>
      </c>
      <c r="B74" s="3" t="s">
        <v>11</v>
      </c>
      <c r="C74" s="2" t="s">
        <v>321</v>
      </c>
      <c r="D74" s="2" t="s">
        <v>290</v>
      </c>
      <c r="E74" s="2" t="s">
        <v>322</v>
      </c>
      <c r="F74" s="2" t="s">
        <v>323</v>
      </c>
      <c r="G74" s="2" t="s">
        <v>124</v>
      </c>
      <c r="H74" s="3">
        <v>44037.462314814817</v>
      </c>
    </row>
    <row r="75" spans="1:8" x14ac:dyDescent="0.25">
      <c r="A75" s="3">
        <v>44020.603587962964</v>
      </c>
      <c r="B75" s="3" t="s">
        <v>12</v>
      </c>
      <c r="C75" s="2" t="s">
        <v>321</v>
      </c>
      <c r="D75" s="2" t="s">
        <v>290</v>
      </c>
      <c r="E75" s="2" t="s">
        <v>322</v>
      </c>
      <c r="F75" s="2" t="s">
        <v>323</v>
      </c>
      <c r="G75" s="2" t="s">
        <v>124</v>
      </c>
      <c r="H75" s="3">
        <v>44037.462314814817</v>
      </c>
    </row>
    <row r="76" spans="1:8" x14ac:dyDescent="0.25">
      <c r="A76" s="3">
        <v>44020.776145833333</v>
      </c>
      <c r="B76" s="3" t="s">
        <v>123</v>
      </c>
      <c r="C76" s="2" t="s">
        <v>321</v>
      </c>
      <c r="D76" s="2" t="s">
        <v>290</v>
      </c>
      <c r="E76" s="2" t="s">
        <v>322</v>
      </c>
      <c r="F76" s="2" t="s">
        <v>323</v>
      </c>
      <c r="G76" s="2" t="s">
        <v>124</v>
      </c>
      <c r="H76" s="3">
        <v>44037.462314814817</v>
      </c>
    </row>
    <row r="77" spans="1:8" x14ac:dyDescent="0.25">
      <c r="A77" s="3">
        <v>44015.874189814815</v>
      </c>
      <c r="B77" s="3" t="s">
        <v>12</v>
      </c>
      <c r="C77" s="2" t="s">
        <v>321</v>
      </c>
      <c r="D77" s="2" t="s">
        <v>290</v>
      </c>
      <c r="E77" s="2" t="s">
        <v>322</v>
      </c>
      <c r="F77" s="2" t="s">
        <v>323</v>
      </c>
      <c r="G77" s="2" t="s">
        <v>124</v>
      </c>
      <c r="H77" s="3">
        <v>44037.462314814817</v>
      </c>
    </row>
    <row r="78" spans="1:8" x14ac:dyDescent="0.25">
      <c r="A78" s="3">
        <v>44015.920370370368</v>
      </c>
      <c r="B78" s="3" t="s">
        <v>11</v>
      </c>
      <c r="C78" s="2" t="s">
        <v>321</v>
      </c>
      <c r="D78" s="2" t="s">
        <v>290</v>
      </c>
      <c r="E78" s="2" t="s">
        <v>322</v>
      </c>
      <c r="F78" s="2" t="s">
        <v>323</v>
      </c>
      <c r="G78" s="2" t="s">
        <v>124</v>
      </c>
      <c r="H78" s="3"/>
    </row>
    <row r="79" spans="1:8" x14ac:dyDescent="0.25">
      <c r="A79" s="3">
        <v>44017.441886574074</v>
      </c>
      <c r="B79" s="3" t="s">
        <v>12</v>
      </c>
      <c r="C79" s="2" t="s">
        <v>321</v>
      </c>
      <c r="D79" s="2" t="s">
        <v>290</v>
      </c>
      <c r="E79" s="2" t="s">
        <v>322</v>
      </c>
      <c r="F79" s="2" t="s">
        <v>323</v>
      </c>
      <c r="G79" s="2" t="s">
        <v>124</v>
      </c>
      <c r="H79" s="3">
        <v>44037.462314814817</v>
      </c>
    </row>
    <row r="80" spans="1:8" x14ac:dyDescent="0.25">
      <c r="A80" s="3">
        <v>44017.441967592589</v>
      </c>
      <c r="B80" s="3" t="s">
        <v>12</v>
      </c>
      <c r="C80" s="2" t="s">
        <v>321</v>
      </c>
      <c r="D80" s="2" t="s">
        <v>290</v>
      </c>
      <c r="E80" s="2" t="s">
        <v>322</v>
      </c>
      <c r="F80" s="2" t="s">
        <v>323</v>
      </c>
      <c r="G80" s="2" t="s">
        <v>124</v>
      </c>
      <c r="H80" s="3">
        <v>44037.462314814817</v>
      </c>
    </row>
    <row r="81" spans="1:8" x14ac:dyDescent="0.25">
      <c r="A81" s="3">
        <v>44017.442187499997</v>
      </c>
      <c r="B81" s="3" t="s">
        <v>11</v>
      </c>
      <c r="C81" s="2" t="s">
        <v>321</v>
      </c>
      <c r="D81" s="2" t="s">
        <v>290</v>
      </c>
      <c r="E81" s="2" t="s">
        <v>322</v>
      </c>
      <c r="F81" s="2" t="s">
        <v>323</v>
      </c>
      <c r="G81" s="2" t="s">
        <v>124</v>
      </c>
      <c r="H81" s="3">
        <v>44037.462314814817</v>
      </c>
    </row>
    <row r="82" spans="1:8" x14ac:dyDescent="0.25">
      <c r="A82" s="3">
        <v>44017.453032407408</v>
      </c>
      <c r="B82" s="3" t="s">
        <v>12</v>
      </c>
      <c r="C82" s="2" t="s">
        <v>321</v>
      </c>
      <c r="D82" s="2" t="s">
        <v>290</v>
      </c>
      <c r="E82" s="2" t="s">
        <v>322</v>
      </c>
      <c r="F82" s="2" t="s">
        <v>323</v>
      </c>
      <c r="G82" s="2" t="s">
        <v>124</v>
      </c>
      <c r="H82" s="3">
        <v>44037.462314814817</v>
      </c>
    </row>
    <row r="83" spans="1:8" x14ac:dyDescent="0.25">
      <c r="A83" s="3">
        <v>44017.454930555556</v>
      </c>
      <c r="B83" s="3" t="s">
        <v>11</v>
      </c>
      <c r="C83" s="2" t="s">
        <v>321</v>
      </c>
      <c r="D83" s="2" t="s">
        <v>290</v>
      </c>
      <c r="E83" s="2" t="s">
        <v>322</v>
      </c>
      <c r="F83" s="2" t="s">
        <v>323</v>
      </c>
      <c r="G83" s="2" t="s">
        <v>124</v>
      </c>
      <c r="H83" s="3">
        <v>44037.462314814817</v>
      </c>
    </row>
    <row r="84" spans="1:8" x14ac:dyDescent="0.25">
      <c r="A84" s="3">
        <v>44019.468113425923</v>
      </c>
      <c r="B84" s="3" t="s">
        <v>12</v>
      </c>
      <c r="C84" s="2" t="s">
        <v>321</v>
      </c>
      <c r="D84" s="2" t="s">
        <v>290</v>
      </c>
      <c r="E84" s="2" t="s">
        <v>322</v>
      </c>
      <c r="F84" s="2" t="s">
        <v>323</v>
      </c>
      <c r="G84" s="2" t="s">
        <v>124</v>
      </c>
      <c r="H84" s="3">
        <v>44037.462314814817</v>
      </c>
    </row>
    <row r="85" spans="1:8" x14ac:dyDescent="0.25">
      <c r="A85" s="3">
        <v>44019.476400462961</v>
      </c>
      <c r="B85" s="3" t="s">
        <v>10</v>
      </c>
      <c r="C85" s="2" t="s">
        <v>321</v>
      </c>
      <c r="D85" s="2" t="s">
        <v>290</v>
      </c>
      <c r="E85" s="2" t="s">
        <v>322</v>
      </c>
      <c r="F85" s="2" t="s">
        <v>323</v>
      </c>
      <c r="G85" s="2" t="s">
        <v>124</v>
      </c>
      <c r="H85" s="3">
        <v>44037.462314814817</v>
      </c>
    </row>
    <row r="86" spans="1:8" x14ac:dyDescent="0.25">
      <c r="A86" s="3">
        <v>44019.494120370371</v>
      </c>
      <c r="B86" s="3" t="s">
        <v>12</v>
      </c>
      <c r="C86" s="2" t="s">
        <v>321</v>
      </c>
      <c r="D86" s="2" t="s">
        <v>290</v>
      </c>
      <c r="E86" s="2" t="s">
        <v>322</v>
      </c>
      <c r="F86" s="2" t="s">
        <v>323</v>
      </c>
      <c r="G86" s="2" t="s">
        <v>124</v>
      </c>
      <c r="H86" s="3"/>
    </row>
    <row r="87" spans="1:8" x14ac:dyDescent="0.25">
      <c r="A87" s="3">
        <v>44019.606678240743</v>
      </c>
      <c r="B87" s="3" t="s">
        <v>11</v>
      </c>
      <c r="C87" s="2" t="s">
        <v>321</v>
      </c>
      <c r="D87" s="2" t="s">
        <v>290</v>
      </c>
      <c r="E87" s="2" t="s">
        <v>322</v>
      </c>
      <c r="F87" s="2" t="s">
        <v>323</v>
      </c>
      <c r="G87" s="2" t="s">
        <v>124</v>
      </c>
      <c r="H87" s="3">
        <v>44037.462314814817</v>
      </c>
    </row>
    <row r="88" spans="1:8" x14ac:dyDescent="0.25">
      <c r="A88" s="3">
        <v>44023.673483796294</v>
      </c>
      <c r="B88" s="3" t="s">
        <v>12</v>
      </c>
      <c r="C88" s="2" t="s">
        <v>321</v>
      </c>
      <c r="D88" s="2" t="s">
        <v>290</v>
      </c>
      <c r="E88" s="2" t="s">
        <v>322</v>
      </c>
      <c r="F88" s="2" t="s">
        <v>323</v>
      </c>
      <c r="G88" s="2" t="s">
        <v>124</v>
      </c>
      <c r="H88" s="3">
        <v>44037.462314814817</v>
      </c>
    </row>
    <row r="89" spans="1:8" x14ac:dyDescent="0.25">
      <c r="A89" s="3">
        <v>44023.768194444441</v>
      </c>
      <c r="B89" s="3" t="s">
        <v>123</v>
      </c>
      <c r="C89" s="2" t="s">
        <v>321</v>
      </c>
      <c r="D89" s="2" t="s">
        <v>290</v>
      </c>
      <c r="E89" s="2" t="s">
        <v>322</v>
      </c>
      <c r="F89" s="2" t="s">
        <v>323</v>
      </c>
      <c r="G89" s="2" t="s">
        <v>124</v>
      </c>
      <c r="H89" s="3"/>
    </row>
    <row r="90" spans="1:8" x14ac:dyDescent="0.25">
      <c r="A90" s="3">
        <v>44024.10732638889</v>
      </c>
      <c r="B90" s="3" t="s">
        <v>10</v>
      </c>
      <c r="C90" s="2" t="s">
        <v>321</v>
      </c>
      <c r="D90" s="2" t="s">
        <v>290</v>
      </c>
      <c r="E90" s="2" t="s">
        <v>322</v>
      </c>
      <c r="F90" s="2" t="s">
        <v>323</v>
      </c>
      <c r="G90" s="2" t="s">
        <v>124</v>
      </c>
      <c r="H90" s="3">
        <v>44037.462314814817</v>
      </c>
    </row>
    <row r="91" spans="1:8" x14ac:dyDescent="0.25">
      <c r="A91" s="3">
        <v>44024.109305555554</v>
      </c>
      <c r="B91" s="3" t="s">
        <v>12</v>
      </c>
      <c r="C91" s="2" t="s">
        <v>321</v>
      </c>
      <c r="D91" s="2" t="s">
        <v>290</v>
      </c>
      <c r="E91" s="2" t="s">
        <v>322</v>
      </c>
      <c r="F91" s="2" t="s">
        <v>323</v>
      </c>
      <c r="G91" s="2" t="s">
        <v>124</v>
      </c>
      <c r="H91" s="3">
        <v>44037.462314814817</v>
      </c>
    </row>
    <row r="92" spans="1:8" x14ac:dyDescent="0.25">
      <c r="A92" s="3">
        <v>44024.239629629628</v>
      </c>
      <c r="B92" s="3" t="s">
        <v>11</v>
      </c>
      <c r="C92" s="2" t="s">
        <v>321</v>
      </c>
      <c r="D92" s="2" t="s">
        <v>290</v>
      </c>
      <c r="E92" s="2" t="s">
        <v>322</v>
      </c>
      <c r="F92" s="2" t="s">
        <v>323</v>
      </c>
      <c r="G92" s="2" t="s">
        <v>124</v>
      </c>
      <c r="H92" s="3">
        <v>44037.462314814817</v>
      </c>
    </row>
    <row r="93" spans="1:8" x14ac:dyDescent="0.25">
      <c r="A93" s="3">
        <v>44024.280289351853</v>
      </c>
      <c r="B93" s="3" t="s">
        <v>12</v>
      </c>
      <c r="C93" s="2" t="s">
        <v>321</v>
      </c>
      <c r="D93" s="2" t="s">
        <v>290</v>
      </c>
      <c r="E93" s="2" t="s">
        <v>322</v>
      </c>
      <c r="F93" s="2" t="s">
        <v>323</v>
      </c>
      <c r="G93" s="2" t="s">
        <v>124</v>
      </c>
      <c r="H93" s="3"/>
    </row>
    <row r="94" spans="1:8" x14ac:dyDescent="0.25">
      <c r="A94" s="3">
        <v>44024.300162037034</v>
      </c>
      <c r="B94" s="3" t="s">
        <v>123</v>
      </c>
      <c r="C94" s="2" t="s">
        <v>321</v>
      </c>
      <c r="D94" s="2" t="s">
        <v>290</v>
      </c>
      <c r="E94" s="2" t="s">
        <v>322</v>
      </c>
      <c r="F94" s="2" t="s">
        <v>323</v>
      </c>
      <c r="G94" s="2" t="s">
        <v>124</v>
      </c>
      <c r="H94" s="3">
        <v>44037.462314814817</v>
      </c>
    </row>
    <row r="95" spans="1:8" x14ac:dyDescent="0.25">
      <c r="A95" s="3">
        <v>44024.542060185187</v>
      </c>
      <c r="B95" s="3" t="s">
        <v>10</v>
      </c>
      <c r="C95" s="2" t="s">
        <v>321</v>
      </c>
      <c r="D95" s="2" t="s">
        <v>290</v>
      </c>
      <c r="E95" s="2" t="s">
        <v>322</v>
      </c>
      <c r="F95" s="2" t="s">
        <v>323</v>
      </c>
      <c r="G95" s="2" t="s">
        <v>124</v>
      </c>
      <c r="H95" s="3">
        <v>44037.462314814817</v>
      </c>
    </row>
    <row r="96" spans="1:8" x14ac:dyDescent="0.25">
      <c r="A96" s="3">
        <v>44024.547152777777</v>
      </c>
      <c r="B96" s="3" t="s">
        <v>12</v>
      </c>
      <c r="C96" s="2" t="s">
        <v>321</v>
      </c>
      <c r="D96" s="2" t="s">
        <v>290</v>
      </c>
      <c r="E96" s="2" t="s">
        <v>322</v>
      </c>
      <c r="F96" s="2" t="s">
        <v>323</v>
      </c>
      <c r="G96" s="2" t="s">
        <v>124</v>
      </c>
      <c r="H96" s="3">
        <v>44037.462314814817</v>
      </c>
    </row>
    <row r="97" spans="1:8" x14ac:dyDescent="0.25">
      <c r="A97" s="3">
        <v>44024.583136574074</v>
      </c>
      <c r="B97" s="3" t="s">
        <v>123</v>
      </c>
      <c r="C97" s="2" t="s">
        <v>321</v>
      </c>
      <c r="D97" s="2" t="s">
        <v>290</v>
      </c>
      <c r="E97" s="2" t="s">
        <v>322</v>
      </c>
      <c r="F97" s="2" t="s">
        <v>323</v>
      </c>
      <c r="G97" s="2" t="s">
        <v>124</v>
      </c>
      <c r="H97" s="3">
        <v>44037.462314814817</v>
      </c>
    </row>
    <row r="98" spans="1:8" x14ac:dyDescent="0.25">
      <c r="A98" s="3">
        <v>44025.176226851851</v>
      </c>
      <c r="B98" s="3" t="s">
        <v>10</v>
      </c>
      <c r="C98" s="2" t="s">
        <v>321</v>
      </c>
      <c r="D98" s="2" t="s">
        <v>290</v>
      </c>
      <c r="E98" s="2" t="s">
        <v>322</v>
      </c>
      <c r="F98" s="2" t="s">
        <v>323</v>
      </c>
      <c r="G98" s="2" t="s">
        <v>124</v>
      </c>
      <c r="H98" s="3">
        <v>44037.462314814817</v>
      </c>
    </row>
    <row r="99" spans="1:8" x14ac:dyDescent="0.25">
      <c r="A99" s="3">
        <v>44025.181805555556</v>
      </c>
      <c r="B99" s="3" t="s">
        <v>12</v>
      </c>
      <c r="C99" s="2" t="s">
        <v>321</v>
      </c>
      <c r="D99" s="2" t="s">
        <v>290</v>
      </c>
      <c r="E99" s="2" t="s">
        <v>322</v>
      </c>
      <c r="F99" s="2" t="s">
        <v>323</v>
      </c>
      <c r="G99" s="2" t="s">
        <v>124</v>
      </c>
      <c r="H99" s="3">
        <v>44037.462314814817</v>
      </c>
    </row>
    <row r="100" spans="1:8" x14ac:dyDescent="0.25">
      <c r="A100" s="3">
        <v>44025.293252314812</v>
      </c>
      <c r="B100" s="3" t="s">
        <v>11</v>
      </c>
      <c r="C100" s="2" t="s">
        <v>321</v>
      </c>
      <c r="D100" s="2" t="s">
        <v>290</v>
      </c>
      <c r="E100" s="2" t="s">
        <v>322</v>
      </c>
      <c r="F100" s="2" t="s">
        <v>323</v>
      </c>
      <c r="G100" s="2" t="s">
        <v>124</v>
      </c>
      <c r="H100" s="3">
        <v>44037.462314814817</v>
      </c>
    </row>
    <row r="101" spans="1:8" x14ac:dyDescent="0.25">
      <c r="A101" s="3">
        <v>44025.748159722221</v>
      </c>
      <c r="B101" s="3" t="s">
        <v>12</v>
      </c>
      <c r="C101" s="2" t="s">
        <v>321</v>
      </c>
      <c r="D101" s="2" t="s">
        <v>290</v>
      </c>
      <c r="E101" s="2" t="s">
        <v>322</v>
      </c>
      <c r="F101" s="2" t="s">
        <v>323</v>
      </c>
      <c r="G101" s="2" t="s">
        <v>124</v>
      </c>
      <c r="H101" s="3">
        <v>44037.462314814817</v>
      </c>
    </row>
    <row r="102" spans="1:8" x14ac:dyDescent="0.25">
      <c r="A102" s="3">
        <v>44025.81527777778</v>
      </c>
      <c r="B102" s="3" t="s">
        <v>11</v>
      </c>
      <c r="C102" s="2" t="s">
        <v>321</v>
      </c>
      <c r="D102" s="2" t="s">
        <v>290</v>
      </c>
      <c r="E102" s="2" t="s">
        <v>322</v>
      </c>
      <c r="F102" s="2" t="s">
        <v>323</v>
      </c>
      <c r="G102" s="2" t="s">
        <v>124</v>
      </c>
      <c r="H102" s="3">
        <v>44037.462314814817</v>
      </c>
    </row>
    <row r="103" spans="1:8" x14ac:dyDescent="0.25">
      <c r="A103" s="3">
        <v>44025.833819444444</v>
      </c>
      <c r="B103" s="3" t="s">
        <v>12</v>
      </c>
      <c r="C103" s="2" t="s">
        <v>321</v>
      </c>
      <c r="D103" s="2" t="s">
        <v>290</v>
      </c>
      <c r="E103" s="2" t="s">
        <v>322</v>
      </c>
      <c r="F103" s="2" t="s">
        <v>323</v>
      </c>
      <c r="G103" s="2" t="s">
        <v>124</v>
      </c>
      <c r="H103" s="3">
        <v>44037.462314814817</v>
      </c>
    </row>
    <row r="104" spans="1:8" x14ac:dyDescent="0.25">
      <c r="A104" s="3">
        <v>44025.909062500003</v>
      </c>
      <c r="B104" s="3" t="s">
        <v>11</v>
      </c>
      <c r="C104" s="2" t="s">
        <v>321</v>
      </c>
      <c r="D104" s="2" t="s">
        <v>290</v>
      </c>
      <c r="E104" s="2" t="s">
        <v>322</v>
      </c>
      <c r="F104" s="2" t="s">
        <v>323</v>
      </c>
      <c r="G104" s="2" t="s">
        <v>124</v>
      </c>
      <c r="H104" s="3">
        <v>44037.462314814817</v>
      </c>
    </row>
    <row r="105" spans="1:8" x14ac:dyDescent="0.25">
      <c r="A105" s="3">
        <v>44025.927094907405</v>
      </c>
      <c r="B105" s="3" t="s">
        <v>12</v>
      </c>
      <c r="C105" s="2" t="s">
        <v>321</v>
      </c>
      <c r="D105" s="2" t="s">
        <v>290</v>
      </c>
      <c r="E105" s="2" t="s">
        <v>322</v>
      </c>
      <c r="F105" s="2" t="s">
        <v>323</v>
      </c>
      <c r="G105" s="2" t="s">
        <v>124</v>
      </c>
      <c r="H105" s="3">
        <v>44037.462314814817</v>
      </c>
    </row>
    <row r="106" spans="1:8" x14ac:dyDescent="0.25">
      <c r="A106" s="3">
        <v>44025.930868055555</v>
      </c>
      <c r="B106" s="3" t="s">
        <v>10</v>
      </c>
      <c r="C106" s="2" t="s">
        <v>321</v>
      </c>
      <c r="D106" s="2" t="s">
        <v>290</v>
      </c>
      <c r="E106" s="2" t="s">
        <v>322</v>
      </c>
      <c r="F106" s="2" t="s">
        <v>323</v>
      </c>
      <c r="G106" s="2" t="s">
        <v>124</v>
      </c>
      <c r="H106" s="3">
        <v>44037.462314814817</v>
      </c>
    </row>
    <row r="107" spans="1:8" x14ac:dyDescent="0.25">
      <c r="A107" s="3">
        <v>44025.931666666664</v>
      </c>
      <c r="B107" s="3" t="s">
        <v>11</v>
      </c>
      <c r="C107" s="2" t="s">
        <v>321</v>
      </c>
      <c r="D107" s="2" t="s">
        <v>290</v>
      </c>
      <c r="E107" s="2" t="s">
        <v>322</v>
      </c>
      <c r="F107" s="2" t="s">
        <v>323</v>
      </c>
      <c r="G107" s="2" t="s">
        <v>124</v>
      </c>
      <c r="H107" s="3">
        <v>44037.462314814817</v>
      </c>
    </row>
    <row r="108" spans="1:8" x14ac:dyDescent="0.25">
      <c r="A108" s="3">
        <v>44026.014236111114</v>
      </c>
      <c r="B108" s="3" t="s">
        <v>12</v>
      </c>
      <c r="C108" s="2" t="s">
        <v>321</v>
      </c>
      <c r="D108" s="2" t="s">
        <v>290</v>
      </c>
      <c r="E108" s="2" t="s">
        <v>322</v>
      </c>
      <c r="F108" s="2" t="s">
        <v>323</v>
      </c>
      <c r="G108" s="2" t="s">
        <v>124</v>
      </c>
      <c r="H108" s="3">
        <v>44037.462314814817</v>
      </c>
    </row>
    <row r="109" spans="1:8" x14ac:dyDescent="0.25">
      <c r="A109" s="3">
        <v>44026.019097222219</v>
      </c>
      <c r="B109" s="3" t="s">
        <v>126</v>
      </c>
      <c r="C109" s="2" t="s">
        <v>321</v>
      </c>
      <c r="D109" s="2" t="s">
        <v>290</v>
      </c>
      <c r="E109" s="2" t="s">
        <v>322</v>
      </c>
      <c r="F109" s="2" t="s">
        <v>323</v>
      </c>
      <c r="G109" s="2" t="s">
        <v>124</v>
      </c>
      <c r="H109" s="3">
        <v>44037.462314814817</v>
      </c>
    </row>
    <row r="110" spans="1:8" x14ac:dyDescent="0.25">
      <c r="A110" s="3">
        <v>44026.025277777779</v>
      </c>
      <c r="B110" s="3" t="s">
        <v>12</v>
      </c>
      <c r="C110" s="2" t="s">
        <v>321</v>
      </c>
      <c r="D110" s="2" t="s">
        <v>290</v>
      </c>
      <c r="E110" s="2" t="s">
        <v>322</v>
      </c>
      <c r="F110" s="2" t="s">
        <v>323</v>
      </c>
      <c r="G110" s="2" t="s">
        <v>124</v>
      </c>
      <c r="H110" s="3">
        <v>44037.462314814817</v>
      </c>
    </row>
    <row r="111" spans="1:8" x14ac:dyDescent="0.25">
      <c r="A111" s="3">
        <v>44026.074895833335</v>
      </c>
      <c r="B111" s="3" t="s">
        <v>127</v>
      </c>
      <c r="C111" s="2" t="s">
        <v>321</v>
      </c>
      <c r="D111" s="2" t="s">
        <v>290</v>
      </c>
      <c r="E111" s="2" t="s">
        <v>322</v>
      </c>
      <c r="F111" s="2" t="s">
        <v>323</v>
      </c>
      <c r="G111" s="2" t="s">
        <v>124</v>
      </c>
      <c r="H111" s="3">
        <v>44037.462314814817</v>
      </c>
    </row>
    <row r="112" spans="1:8" x14ac:dyDescent="0.25">
      <c r="A112" s="3">
        <v>44026.079629629632</v>
      </c>
      <c r="B112" s="3" t="s">
        <v>11</v>
      </c>
      <c r="C112" s="2" t="s">
        <v>321</v>
      </c>
      <c r="D112" s="2" t="s">
        <v>290</v>
      </c>
      <c r="E112" s="2" t="s">
        <v>322</v>
      </c>
      <c r="F112" s="2" t="s">
        <v>323</v>
      </c>
      <c r="G112" s="2" t="s">
        <v>124</v>
      </c>
      <c r="H112" s="3">
        <v>44037.462314814817</v>
      </c>
    </row>
    <row r="113" spans="1:8" x14ac:dyDescent="0.25">
      <c r="A113" s="3">
        <v>44026.106770833336</v>
      </c>
      <c r="B113" s="3" t="s">
        <v>10</v>
      </c>
      <c r="C113" s="2" t="s">
        <v>321</v>
      </c>
      <c r="D113" s="2" t="s">
        <v>290</v>
      </c>
      <c r="E113" s="2" t="s">
        <v>322</v>
      </c>
      <c r="F113" s="2" t="s">
        <v>323</v>
      </c>
      <c r="G113" s="2" t="s">
        <v>124</v>
      </c>
      <c r="H113" s="3">
        <v>44037.462314814817</v>
      </c>
    </row>
    <row r="114" spans="1:8" x14ac:dyDescent="0.25">
      <c r="A114" s="3">
        <v>44026.110694444447</v>
      </c>
      <c r="B114" s="3" t="s">
        <v>123</v>
      </c>
      <c r="C114" s="2" t="s">
        <v>321</v>
      </c>
      <c r="D114" s="2" t="s">
        <v>290</v>
      </c>
      <c r="E114" s="2" t="s">
        <v>322</v>
      </c>
      <c r="F114" s="2" t="s">
        <v>323</v>
      </c>
      <c r="G114" s="2" t="s">
        <v>124</v>
      </c>
      <c r="H114" s="3">
        <v>44037.462314814817</v>
      </c>
    </row>
    <row r="115" spans="1:8" x14ac:dyDescent="0.25">
      <c r="A115" s="3">
        <v>44026.115451388891</v>
      </c>
      <c r="B115" s="3" t="s">
        <v>128</v>
      </c>
      <c r="C115" s="2" t="s">
        <v>321</v>
      </c>
      <c r="D115" s="2" t="s">
        <v>290</v>
      </c>
      <c r="E115" s="2" t="s">
        <v>322</v>
      </c>
      <c r="F115" s="2" t="s">
        <v>323</v>
      </c>
      <c r="G115" s="2" t="s">
        <v>124</v>
      </c>
      <c r="H115" s="3"/>
    </row>
    <row r="116" spans="1:8" x14ac:dyDescent="0.25">
      <c r="A116" s="3">
        <v>44026.12877314815</v>
      </c>
      <c r="B116" s="3" t="s">
        <v>12</v>
      </c>
      <c r="C116" s="2" t="s">
        <v>321</v>
      </c>
      <c r="D116" s="2" t="s">
        <v>290</v>
      </c>
      <c r="E116" s="2" t="s">
        <v>322</v>
      </c>
      <c r="F116" s="2" t="s">
        <v>323</v>
      </c>
      <c r="G116" s="2" t="s">
        <v>124</v>
      </c>
      <c r="H116" s="3"/>
    </row>
    <row r="117" spans="1:8" x14ac:dyDescent="0.25">
      <c r="A117" s="3">
        <v>44026.138622685183</v>
      </c>
      <c r="B117" s="3" t="s">
        <v>10</v>
      </c>
      <c r="C117" s="2" t="s">
        <v>321</v>
      </c>
      <c r="D117" s="2" t="s">
        <v>290</v>
      </c>
      <c r="E117" s="2" t="s">
        <v>322</v>
      </c>
      <c r="F117" s="2" t="s">
        <v>323</v>
      </c>
      <c r="G117" s="2" t="s">
        <v>124</v>
      </c>
      <c r="H117" s="3">
        <v>44037.462314814817</v>
      </c>
    </row>
    <row r="118" spans="1:8" x14ac:dyDescent="0.25">
      <c r="A118" s="3">
        <v>44026.142812500002</v>
      </c>
      <c r="B118" s="3" t="s">
        <v>12</v>
      </c>
      <c r="C118" s="2" t="s">
        <v>321</v>
      </c>
      <c r="D118" s="2" t="s">
        <v>290</v>
      </c>
      <c r="E118" s="2" t="s">
        <v>322</v>
      </c>
      <c r="F118" s="2" t="s">
        <v>323</v>
      </c>
      <c r="G118" s="2" t="s">
        <v>124</v>
      </c>
      <c r="H118" s="3">
        <v>44037.462314814817</v>
      </c>
    </row>
    <row r="119" spans="1:8" x14ac:dyDescent="0.25">
      <c r="A119" s="3">
        <v>44026.194004629629</v>
      </c>
      <c r="B119" s="3" t="s">
        <v>11</v>
      </c>
      <c r="C119" s="2" t="s">
        <v>321</v>
      </c>
      <c r="D119" s="2" t="s">
        <v>290</v>
      </c>
      <c r="E119" s="2" t="s">
        <v>322</v>
      </c>
      <c r="F119" s="2" t="s">
        <v>323</v>
      </c>
      <c r="G119" s="2" t="s">
        <v>124</v>
      </c>
      <c r="H119" s="3">
        <v>44037.462314814817</v>
      </c>
    </row>
    <row r="120" spans="1:8" x14ac:dyDescent="0.25">
      <c r="A120" s="3">
        <v>44026.213067129633</v>
      </c>
      <c r="B120" s="3" t="s">
        <v>12</v>
      </c>
      <c r="C120" s="2" t="s">
        <v>321</v>
      </c>
      <c r="D120" s="2" t="s">
        <v>290</v>
      </c>
      <c r="E120" s="2" t="s">
        <v>322</v>
      </c>
      <c r="F120" s="2" t="s">
        <v>323</v>
      </c>
      <c r="G120" s="2" t="s">
        <v>124</v>
      </c>
      <c r="H120" s="3">
        <v>44037.462314814817</v>
      </c>
    </row>
    <row r="121" spans="1:8" x14ac:dyDescent="0.25">
      <c r="A121" s="3">
        <v>44026.288576388892</v>
      </c>
      <c r="B121" s="3" t="s">
        <v>11</v>
      </c>
      <c r="C121" s="2" t="s">
        <v>321</v>
      </c>
      <c r="D121" s="2" t="s">
        <v>290</v>
      </c>
      <c r="E121" s="2" t="s">
        <v>322</v>
      </c>
      <c r="F121" s="2" t="s">
        <v>323</v>
      </c>
      <c r="G121" s="2" t="s">
        <v>124</v>
      </c>
      <c r="H121" s="3">
        <v>44037.462314814817</v>
      </c>
    </row>
    <row r="122" spans="1:8" x14ac:dyDescent="0.25">
      <c r="A122" s="3">
        <v>44026.336550925924</v>
      </c>
      <c r="B122" s="3" t="s">
        <v>123</v>
      </c>
      <c r="C122" s="2" t="s">
        <v>321</v>
      </c>
      <c r="D122" s="2" t="s">
        <v>290</v>
      </c>
      <c r="E122" s="2" t="s">
        <v>322</v>
      </c>
      <c r="F122" s="2" t="s">
        <v>323</v>
      </c>
      <c r="G122" s="2" t="s">
        <v>124</v>
      </c>
      <c r="H122" s="3">
        <v>44037.462314814817</v>
      </c>
    </row>
    <row r="123" spans="1:8" x14ac:dyDescent="0.25">
      <c r="A123" s="3">
        <v>44026.772604166668</v>
      </c>
      <c r="B123" s="3" t="s">
        <v>12</v>
      </c>
      <c r="C123" s="2" t="s">
        <v>321</v>
      </c>
      <c r="D123" s="2" t="s">
        <v>290</v>
      </c>
      <c r="E123" s="2" t="s">
        <v>322</v>
      </c>
      <c r="F123" s="2" t="s">
        <v>323</v>
      </c>
      <c r="G123" s="2" t="s">
        <v>124</v>
      </c>
      <c r="H123" s="3">
        <v>44037.462314814817</v>
      </c>
    </row>
    <row r="124" spans="1:8" x14ac:dyDescent="0.25">
      <c r="A124" s="3">
        <v>44026.838726851849</v>
      </c>
      <c r="B124" s="3" t="s">
        <v>10</v>
      </c>
      <c r="C124" s="2" t="s">
        <v>321</v>
      </c>
      <c r="D124" s="2" t="s">
        <v>290</v>
      </c>
      <c r="E124" s="2" t="s">
        <v>322</v>
      </c>
      <c r="F124" s="2" t="s">
        <v>323</v>
      </c>
      <c r="G124" s="2" t="s">
        <v>124</v>
      </c>
      <c r="H124" s="3">
        <v>44037.462314814817</v>
      </c>
    </row>
    <row r="125" spans="1:8" x14ac:dyDescent="0.25">
      <c r="A125" s="3">
        <v>44026.843807870369</v>
      </c>
      <c r="B125" s="3" t="s">
        <v>11</v>
      </c>
      <c r="C125" s="2" t="s">
        <v>321</v>
      </c>
      <c r="D125" s="2" t="s">
        <v>290</v>
      </c>
      <c r="E125" s="2" t="s">
        <v>322</v>
      </c>
      <c r="F125" s="2" t="s">
        <v>323</v>
      </c>
      <c r="G125" s="2" t="s">
        <v>124</v>
      </c>
      <c r="H125" s="3">
        <v>44037.462314814817</v>
      </c>
    </row>
    <row r="126" spans="1:8" x14ac:dyDescent="0.25">
      <c r="A126" s="3">
        <v>44026.846064814818</v>
      </c>
      <c r="B126" s="3" t="s">
        <v>12</v>
      </c>
      <c r="C126" s="2" t="s">
        <v>321</v>
      </c>
      <c r="D126" s="2" t="s">
        <v>290</v>
      </c>
      <c r="E126" s="2" t="s">
        <v>322</v>
      </c>
      <c r="F126" s="2" t="s">
        <v>323</v>
      </c>
      <c r="G126" s="2" t="s">
        <v>124</v>
      </c>
      <c r="H126" s="3">
        <v>44037.462314814817</v>
      </c>
    </row>
    <row r="127" spans="1:8" x14ac:dyDescent="0.25">
      <c r="A127" s="3">
        <v>44026.847222222219</v>
      </c>
      <c r="B127" s="3" t="s">
        <v>10</v>
      </c>
      <c r="C127" s="2" t="s">
        <v>321</v>
      </c>
      <c r="D127" s="2" t="s">
        <v>290</v>
      </c>
      <c r="E127" s="2" t="s">
        <v>322</v>
      </c>
      <c r="F127" s="2" t="s">
        <v>323</v>
      </c>
      <c r="G127" s="2" t="s">
        <v>124</v>
      </c>
      <c r="H127" s="3"/>
    </row>
    <row r="128" spans="1:8" x14ac:dyDescent="0.25">
      <c r="A128" s="3">
        <v>44026.852824074071</v>
      </c>
      <c r="B128" s="3" t="s">
        <v>126</v>
      </c>
      <c r="C128" s="2" t="s">
        <v>321</v>
      </c>
      <c r="D128" s="2" t="s">
        <v>290</v>
      </c>
      <c r="E128" s="2" t="s">
        <v>322</v>
      </c>
      <c r="F128" s="2" t="s">
        <v>323</v>
      </c>
      <c r="G128" s="2" t="s">
        <v>124</v>
      </c>
      <c r="H128" s="3"/>
    </row>
    <row r="129" spans="1:8" x14ac:dyDescent="0.25">
      <c r="A129" s="3">
        <v>44026.898113425923</v>
      </c>
      <c r="B129" s="3" t="s">
        <v>12</v>
      </c>
      <c r="C129" s="2" t="s">
        <v>321</v>
      </c>
      <c r="D129" s="2" t="s">
        <v>290</v>
      </c>
      <c r="E129" s="2" t="s">
        <v>322</v>
      </c>
      <c r="F129" s="2" t="s">
        <v>323</v>
      </c>
      <c r="G129" s="2" t="s">
        <v>124</v>
      </c>
      <c r="H129" s="3">
        <v>44037.462314814817</v>
      </c>
    </row>
    <row r="130" spans="1:8" x14ac:dyDescent="0.25">
      <c r="A130" s="3">
        <v>44027.394930555558</v>
      </c>
      <c r="B130" s="3" t="s">
        <v>127</v>
      </c>
      <c r="C130" s="2" t="s">
        <v>321</v>
      </c>
      <c r="D130" s="2" t="s">
        <v>290</v>
      </c>
      <c r="E130" s="2" t="s">
        <v>322</v>
      </c>
      <c r="F130" s="2" t="s">
        <v>323</v>
      </c>
      <c r="G130" s="2" t="s">
        <v>124</v>
      </c>
      <c r="H130" s="3"/>
    </row>
    <row r="131" spans="1:8" x14ac:dyDescent="0.25">
      <c r="A131" s="3">
        <v>44027.404513888891</v>
      </c>
      <c r="B131" s="3" t="s">
        <v>11</v>
      </c>
      <c r="C131" s="2" t="s">
        <v>321</v>
      </c>
      <c r="D131" s="2" t="s">
        <v>290</v>
      </c>
      <c r="E131" s="2" t="s">
        <v>322</v>
      </c>
      <c r="F131" s="2" t="s">
        <v>323</v>
      </c>
      <c r="G131" s="2" t="s">
        <v>124</v>
      </c>
      <c r="H131" s="3">
        <v>44037.462314814817</v>
      </c>
    </row>
    <row r="132" spans="1:8" x14ac:dyDescent="0.25">
      <c r="A132" s="3">
        <v>44027.462013888886</v>
      </c>
      <c r="B132" s="3" t="s">
        <v>10</v>
      </c>
      <c r="C132" s="2" t="s">
        <v>321</v>
      </c>
      <c r="D132" s="2" t="s">
        <v>290</v>
      </c>
      <c r="E132" s="2" t="s">
        <v>322</v>
      </c>
      <c r="F132" s="2" t="s">
        <v>323</v>
      </c>
      <c r="G132" s="2" t="s">
        <v>124</v>
      </c>
      <c r="H132" s="3">
        <v>44037.462314814817</v>
      </c>
    </row>
    <row r="133" spans="1:8" x14ac:dyDescent="0.25">
      <c r="A133" s="3">
        <v>44027.50335648148</v>
      </c>
      <c r="B133" s="3" t="s">
        <v>123</v>
      </c>
      <c r="C133" s="2" t="s">
        <v>324</v>
      </c>
      <c r="D133" s="2" t="s">
        <v>290</v>
      </c>
      <c r="E133" s="2" t="s">
        <v>325</v>
      </c>
      <c r="F133" s="2" t="s">
        <v>326</v>
      </c>
      <c r="G133" s="2" t="s">
        <v>125</v>
      </c>
      <c r="H133" s="3">
        <v>44037.462314814817</v>
      </c>
    </row>
    <row r="134" spans="1:8" x14ac:dyDescent="0.25">
      <c r="A134" s="3">
        <v>44027.537858796299</v>
      </c>
      <c r="B134" s="3" t="s">
        <v>128</v>
      </c>
      <c r="C134" s="2" t="s">
        <v>324</v>
      </c>
      <c r="D134" s="2" t="s">
        <v>290</v>
      </c>
      <c r="E134" s="2" t="s">
        <v>325</v>
      </c>
      <c r="F134" s="2" t="s">
        <v>326</v>
      </c>
      <c r="G134" s="2" t="s">
        <v>125</v>
      </c>
      <c r="H134" s="3">
        <v>44037.462314814817</v>
      </c>
    </row>
    <row r="135" spans="1:8" x14ac:dyDescent="0.25">
      <c r="A135" s="3">
        <v>44027.555300925924</v>
      </c>
      <c r="B135" s="3" t="s">
        <v>12</v>
      </c>
      <c r="C135" s="2" t="s">
        <v>324</v>
      </c>
      <c r="D135" s="2" t="s">
        <v>290</v>
      </c>
      <c r="E135" s="2" t="s">
        <v>325</v>
      </c>
      <c r="F135" s="2" t="s">
        <v>326</v>
      </c>
      <c r="G135" s="2" t="s">
        <v>125</v>
      </c>
      <c r="H135" s="3">
        <v>44037.462314814817</v>
      </c>
    </row>
    <row r="136" spans="1:8" x14ac:dyDescent="0.25">
      <c r="A136" s="3">
        <v>44027.558298611111</v>
      </c>
      <c r="B136" s="3" t="s">
        <v>11</v>
      </c>
      <c r="C136" s="2" t="s">
        <v>324</v>
      </c>
      <c r="D136" s="2" t="s">
        <v>290</v>
      </c>
      <c r="E136" s="2" t="s">
        <v>325</v>
      </c>
      <c r="F136" s="2" t="s">
        <v>326</v>
      </c>
      <c r="G136" s="2" t="s">
        <v>125</v>
      </c>
      <c r="H136" s="3">
        <v>44037.462314814817</v>
      </c>
    </row>
    <row r="137" spans="1:8" x14ac:dyDescent="0.25">
      <c r="A137" s="3">
        <v>44027.570428240739</v>
      </c>
      <c r="B137" s="3" t="s">
        <v>12</v>
      </c>
      <c r="C137" s="2" t="s">
        <v>324</v>
      </c>
      <c r="D137" s="2" t="s">
        <v>290</v>
      </c>
      <c r="E137" s="2" t="s">
        <v>325</v>
      </c>
      <c r="F137" s="2" t="s">
        <v>326</v>
      </c>
      <c r="G137" s="2" t="s">
        <v>125</v>
      </c>
      <c r="H137" s="3">
        <v>44037.462314814817</v>
      </c>
    </row>
    <row r="138" spans="1:8" x14ac:dyDescent="0.25">
      <c r="A138" s="3">
        <v>44027.596678240741</v>
      </c>
      <c r="B138" s="3" t="s">
        <v>10</v>
      </c>
      <c r="C138" s="2" t="s">
        <v>324</v>
      </c>
      <c r="D138" s="2" t="s">
        <v>290</v>
      </c>
      <c r="E138" s="2" t="s">
        <v>325</v>
      </c>
      <c r="F138" s="2" t="s">
        <v>326</v>
      </c>
      <c r="G138" s="2" t="s">
        <v>125</v>
      </c>
      <c r="H138" s="3">
        <v>44037.462314814817</v>
      </c>
    </row>
    <row r="139" spans="1:8" x14ac:dyDescent="0.25">
      <c r="A139" s="3">
        <v>44028.328912037039</v>
      </c>
      <c r="B139" s="3" t="s">
        <v>12</v>
      </c>
      <c r="C139" s="2" t="s">
        <v>324</v>
      </c>
      <c r="D139" s="2" t="s">
        <v>290</v>
      </c>
      <c r="E139" s="2" t="s">
        <v>325</v>
      </c>
      <c r="F139" s="2" t="s">
        <v>326</v>
      </c>
      <c r="G139" s="2" t="s">
        <v>125</v>
      </c>
      <c r="H139" s="3">
        <v>44037.462314814817</v>
      </c>
    </row>
    <row r="140" spans="1:8" x14ac:dyDescent="0.25">
      <c r="A140" s="3">
        <v>44028.364305555559</v>
      </c>
      <c r="B140" s="3" t="s">
        <v>11</v>
      </c>
      <c r="C140" s="2" t="s">
        <v>324</v>
      </c>
      <c r="D140" s="2" t="s">
        <v>290</v>
      </c>
      <c r="E140" s="2" t="s">
        <v>325</v>
      </c>
      <c r="F140" s="2" t="s">
        <v>326</v>
      </c>
      <c r="G140" s="2" t="s">
        <v>125</v>
      </c>
      <c r="H140" s="3"/>
    </row>
    <row r="141" spans="1:8" x14ac:dyDescent="0.25">
      <c r="A141" s="3">
        <v>44029.738553240742</v>
      </c>
      <c r="B141" s="3" t="s">
        <v>10</v>
      </c>
      <c r="C141" s="2" t="s">
        <v>324</v>
      </c>
      <c r="D141" s="2" t="s">
        <v>290</v>
      </c>
      <c r="E141" s="2" t="s">
        <v>325</v>
      </c>
      <c r="F141" s="2" t="s">
        <v>326</v>
      </c>
      <c r="G141" s="2" t="s">
        <v>125</v>
      </c>
      <c r="H141" s="3">
        <v>44037.462314814817</v>
      </c>
    </row>
    <row r="142" spans="1:8" x14ac:dyDescent="0.25">
      <c r="A142" s="3">
        <v>44029.740694444445</v>
      </c>
      <c r="B142" s="3" t="s">
        <v>12</v>
      </c>
      <c r="C142" s="2" t="s">
        <v>324</v>
      </c>
      <c r="D142" s="2" t="s">
        <v>290</v>
      </c>
      <c r="E142" s="2" t="s">
        <v>325</v>
      </c>
      <c r="F142" s="2" t="s">
        <v>326</v>
      </c>
      <c r="G142" s="2" t="s">
        <v>125</v>
      </c>
      <c r="H142" s="3">
        <v>44037.462314814817</v>
      </c>
    </row>
    <row r="143" spans="1:8" x14ac:dyDescent="0.25">
      <c r="A143" s="3">
        <v>44029.764594907407</v>
      </c>
      <c r="B143" s="3" t="s">
        <v>10</v>
      </c>
      <c r="C143" s="2" t="s">
        <v>324</v>
      </c>
      <c r="D143" s="2" t="s">
        <v>290</v>
      </c>
      <c r="E143" s="2" t="s">
        <v>325</v>
      </c>
      <c r="F143" s="2" t="s">
        <v>326</v>
      </c>
      <c r="G143" s="2" t="s">
        <v>125</v>
      </c>
      <c r="H143" s="3">
        <v>44037.462314814817</v>
      </c>
    </row>
    <row r="144" spans="1:8" x14ac:dyDescent="0.25">
      <c r="A144" s="3">
        <v>44029.775694444441</v>
      </c>
      <c r="B144" s="3" t="s">
        <v>12</v>
      </c>
      <c r="C144" s="2" t="s">
        <v>324</v>
      </c>
      <c r="D144" s="2" t="s">
        <v>290</v>
      </c>
      <c r="E144" s="2" t="s">
        <v>325</v>
      </c>
      <c r="F144" s="2" t="s">
        <v>326</v>
      </c>
      <c r="G144" s="2" t="s">
        <v>125</v>
      </c>
      <c r="H144" s="3">
        <v>44037.462314814817</v>
      </c>
    </row>
    <row r="145" spans="1:8" x14ac:dyDescent="0.25">
      <c r="A145" s="3">
        <v>44029.790243055555</v>
      </c>
      <c r="B145" s="3" t="s">
        <v>11</v>
      </c>
      <c r="C145" s="2" t="s">
        <v>324</v>
      </c>
      <c r="D145" s="2" t="s">
        <v>290</v>
      </c>
      <c r="E145" s="2" t="s">
        <v>325</v>
      </c>
      <c r="F145" s="2" t="s">
        <v>326</v>
      </c>
      <c r="G145" s="2" t="s">
        <v>125</v>
      </c>
      <c r="H145" s="3">
        <v>42576.462222222224</v>
      </c>
    </row>
    <row r="146" spans="1:8" x14ac:dyDescent="0.25">
      <c r="A146" s="3">
        <v>44029.982870370368</v>
      </c>
      <c r="B146" s="3" t="s">
        <v>12</v>
      </c>
      <c r="C146" s="2" t="s">
        <v>324</v>
      </c>
      <c r="D146" s="2" t="s">
        <v>290</v>
      </c>
      <c r="E146" s="2" t="s">
        <v>325</v>
      </c>
      <c r="F146" s="2" t="s">
        <v>326</v>
      </c>
      <c r="G146" s="2" t="s">
        <v>125</v>
      </c>
      <c r="H146" s="3">
        <v>42576.462222222224</v>
      </c>
    </row>
    <row r="147" spans="1:8" x14ac:dyDescent="0.25">
      <c r="A147" s="3">
        <v>44030.997106481482</v>
      </c>
      <c r="B147" s="3" t="s">
        <v>11</v>
      </c>
      <c r="C147" s="2" t="s">
        <v>324</v>
      </c>
      <c r="D147" s="2" t="s">
        <v>290</v>
      </c>
      <c r="E147" s="2" t="s">
        <v>325</v>
      </c>
      <c r="F147" s="2" t="s">
        <v>326</v>
      </c>
      <c r="G147" s="2" t="s">
        <v>125</v>
      </c>
      <c r="H147" s="3"/>
    </row>
    <row r="148" spans="1:8" x14ac:dyDescent="0.25">
      <c r="A148" s="3">
        <v>44030.014039351852</v>
      </c>
      <c r="B148" s="3" t="s">
        <v>12</v>
      </c>
      <c r="C148" s="2" t="s">
        <v>324</v>
      </c>
      <c r="D148" s="2" t="s">
        <v>290</v>
      </c>
      <c r="E148" s="2" t="s">
        <v>325</v>
      </c>
      <c r="F148" s="2" t="s">
        <v>326</v>
      </c>
      <c r="G148" s="2" t="s">
        <v>125</v>
      </c>
      <c r="H148" s="3">
        <v>42576.462222222224</v>
      </c>
    </row>
    <row r="149" spans="1:8" x14ac:dyDescent="0.25">
      <c r="A149" s="3">
        <v>44030.106226851851</v>
      </c>
      <c r="B149" s="3" t="s">
        <v>10</v>
      </c>
      <c r="C149" s="2" t="s">
        <v>324</v>
      </c>
      <c r="D149" s="2" t="s">
        <v>290</v>
      </c>
      <c r="E149" s="2" t="s">
        <v>325</v>
      </c>
      <c r="F149" s="2" t="s">
        <v>326</v>
      </c>
      <c r="G149" s="2" t="s">
        <v>125</v>
      </c>
      <c r="H149" s="3">
        <v>42576.462210648147</v>
      </c>
    </row>
    <row r="150" spans="1:8" x14ac:dyDescent="0.25">
      <c r="A150" s="3">
        <v>44013.113715277781</v>
      </c>
      <c r="B150" s="3" t="s">
        <v>11</v>
      </c>
      <c r="C150" s="2" t="s">
        <v>324</v>
      </c>
      <c r="D150" s="2" t="s">
        <v>290</v>
      </c>
      <c r="E150" s="2" t="s">
        <v>325</v>
      </c>
      <c r="F150" s="2" t="s">
        <v>326</v>
      </c>
      <c r="G150" s="2" t="s">
        <v>125</v>
      </c>
      <c r="H150" s="3">
        <v>42576.462210648147</v>
      </c>
    </row>
    <row r="151" spans="1:8" x14ac:dyDescent="0.25">
      <c r="A151" s="3">
        <v>44032.122175925928</v>
      </c>
      <c r="B151" s="3" t="s">
        <v>12</v>
      </c>
      <c r="C151" s="2" t="s">
        <v>324</v>
      </c>
      <c r="D151" s="2" t="s">
        <v>290</v>
      </c>
      <c r="E151" s="2" t="s">
        <v>325</v>
      </c>
      <c r="F151" s="2" t="s">
        <v>326</v>
      </c>
      <c r="G151" s="2" t="s">
        <v>125</v>
      </c>
      <c r="H151" s="3"/>
    </row>
    <row r="152" spans="1:8" x14ac:dyDescent="0.25">
      <c r="A152" s="3">
        <v>44032.273506944446</v>
      </c>
      <c r="B152" s="3" t="s">
        <v>11</v>
      </c>
      <c r="C152" s="2" t="s">
        <v>324</v>
      </c>
      <c r="D152" s="2" t="s">
        <v>290</v>
      </c>
      <c r="E152" s="2" t="s">
        <v>325</v>
      </c>
      <c r="F152" s="2" t="s">
        <v>326</v>
      </c>
      <c r="G152" s="2" t="s">
        <v>125</v>
      </c>
      <c r="H152" s="3">
        <v>42576.462210648147</v>
      </c>
    </row>
  </sheetData>
  <phoneticPr fontId="24" type="noConversion"/>
  <pageMargins left="0.7" right="0.7" top="0.75" bottom="0.75" header="0.3" footer="0.3"/>
  <pageSetup fitToHeight="10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4"/>
  <sheetViews>
    <sheetView workbookViewId="0"/>
  </sheetViews>
  <sheetFormatPr defaultRowHeight="12.5" x14ac:dyDescent="0.25"/>
  <cols>
    <col min="1" max="7" width="30" customWidth="1"/>
    <col min="8" max="8" width="21" bestFit="1" customWidth="1"/>
    <col min="9" max="10" width="30" style="21" customWidth="1"/>
    <col min="11" max="15" width="30" customWidth="1"/>
  </cols>
  <sheetData>
    <row r="1" spans="1:15" s="6" customFormat="1" ht="13" x14ac:dyDescent="0.3">
      <c r="A1" s="6" t="s">
        <v>23</v>
      </c>
      <c r="B1" s="6" t="s">
        <v>24</v>
      </c>
      <c r="C1" s="6" t="s">
        <v>25</v>
      </c>
      <c r="D1" s="6" t="s">
        <v>26</v>
      </c>
      <c r="E1" s="6" t="s">
        <v>27</v>
      </c>
      <c r="F1" s="6" t="s">
        <v>130</v>
      </c>
      <c r="G1" s="6" t="s">
        <v>131</v>
      </c>
      <c r="H1" s="6" t="s">
        <v>132</v>
      </c>
      <c r="I1" s="20" t="s">
        <v>133</v>
      </c>
      <c r="J1" s="20" t="s">
        <v>134</v>
      </c>
      <c r="K1" s="6" t="s">
        <v>334</v>
      </c>
      <c r="L1" s="6" t="s">
        <v>335</v>
      </c>
      <c r="M1" s="6" t="s">
        <v>336</v>
      </c>
      <c r="N1" s="6" t="s">
        <v>337</v>
      </c>
      <c r="O1" s="6" t="s">
        <v>685</v>
      </c>
    </row>
    <row r="2" spans="1:15" x14ac:dyDescent="0.25">
      <c r="A2" t="s">
        <v>28</v>
      </c>
      <c r="B2" t="s">
        <v>137</v>
      </c>
      <c r="C2" t="s">
        <v>47</v>
      </c>
      <c r="D2" t="s">
        <v>48</v>
      </c>
      <c r="E2" t="s">
        <v>49</v>
      </c>
      <c r="F2" t="s">
        <v>135</v>
      </c>
      <c r="G2" t="s">
        <v>136</v>
      </c>
      <c r="H2" t="s">
        <v>137</v>
      </c>
      <c r="I2" s="21" t="s">
        <v>138</v>
      </c>
      <c r="J2" s="21" t="s">
        <v>139</v>
      </c>
      <c r="K2" t="s">
        <v>502</v>
      </c>
      <c r="L2" t="s">
        <v>503</v>
      </c>
      <c r="M2" t="s">
        <v>504</v>
      </c>
      <c r="N2" t="s">
        <v>505</v>
      </c>
      <c r="O2" t="s">
        <v>686</v>
      </c>
    </row>
    <row r="3" spans="1:15" x14ac:dyDescent="0.25">
      <c r="A3" t="s">
        <v>44</v>
      </c>
      <c r="B3" t="s">
        <v>43</v>
      </c>
      <c r="C3" t="s">
        <v>50</v>
      </c>
      <c r="D3" t="s">
        <v>51</v>
      </c>
      <c r="E3" t="s">
        <v>52</v>
      </c>
      <c r="F3" t="s">
        <v>140</v>
      </c>
      <c r="G3" t="s">
        <v>140</v>
      </c>
      <c r="H3" t="s">
        <v>51</v>
      </c>
      <c r="I3" s="21" t="s">
        <v>140</v>
      </c>
      <c r="J3" s="21" t="s">
        <v>141</v>
      </c>
      <c r="K3" t="s">
        <v>506</v>
      </c>
      <c r="L3" t="s">
        <v>507</v>
      </c>
      <c r="M3" t="s">
        <v>51</v>
      </c>
      <c r="N3" t="s">
        <v>51</v>
      </c>
      <c r="O3" t="s">
        <v>687</v>
      </c>
    </row>
    <row r="4" spans="1:15" x14ac:dyDescent="0.25">
      <c r="A4" t="s">
        <v>29</v>
      </c>
      <c r="B4" t="s">
        <v>508</v>
      </c>
      <c r="C4" t="s">
        <v>53</v>
      </c>
      <c r="D4" t="s">
        <v>13</v>
      </c>
      <c r="E4" t="s">
        <v>54</v>
      </c>
      <c r="F4" t="s">
        <v>13</v>
      </c>
      <c r="G4" t="s">
        <v>13</v>
      </c>
      <c r="H4" t="s">
        <v>13</v>
      </c>
      <c r="I4" s="21" t="s">
        <v>142</v>
      </c>
      <c r="J4" s="21" t="s">
        <v>143</v>
      </c>
      <c r="K4" t="s">
        <v>509</v>
      </c>
      <c r="L4" t="s">
        <v>13</v>
      </c>
      <c r="M4" t="s">
        <v>510</v>
      </c>
      <c r="N4" t="s">
        <v>13</v>
      </c>
      <c r="O4" t="s">
        <v>688</v>
      </c>
    </row>
    <row r="5" spans="1:15" x14ac:dyDescent="0.25">
      <c r="A5" t="s">
        <v>30</v>
      </c>
      <c r="B5" t="s">
        <v>55</v>
      </c>
      <c r="C5" t="s">
        <v>56</v>
      </c>
      <c r="D5" t="s">
        <v>57</v>
      </c>
      <c r="E5" t="s">
        <v>58</v>
      </c>
      <c r="F5" t="s">
        <v>511</v>
      </c>
      <c r="G5" t="s">
        <v>56</v>
      </c>
      <c r="H5" t="s">
        <v>144</v>
      </c>
      <c r="I5" s="21" t="s">
        <v>56</v>
      </c>
      <c r="J5" s="21" t="s">
        <v>145</v>
      </c>
      <c r="K5" t="s">
        <v>512</v>
      </c>
      <c r="L5" t="s">
        <v>513</v>
      </c>
      <c r="M5" t="s">
        <v>514</v>
      </c>
      <c r="N5" t="s">
        <v>515</v>
      </c>
      <c r="O5" t="s">
        <v>689</v>
      </c>
    </row>
    <row r="6" spans="1:15" x14ac:dyDescent="0.25">
      <c r="A6" t="s">
        <v>146</v>
      </c>
      <c r="B6" t="s">
        <v>59</v>
      </c>
      <c r="C6" t="s">
        <v>516</v>
      </c>
      <c r="D6" t="s">
        <v>60</v>
      </c>
      <c r="E6" t="s">
        <v>517</v>
      </c>
      <c r="F6" t="s">
        <v>518</v>
      </c>
      <c r="G6" t="s">
        <v>519</v>
      </c>
      <c r="H6" t="s">
        <v>147</v>
      </c>
      <c r="I6" s="21" t="s">
        <v>148</v>
      </c>
      <c r="J6" s="21" t="s">
        <v>149</v>
      </c>
      <c r="K6" t="s">
        <v>520</v>
      </c>
      <c r="L6" t="s">
        <v>521</v>
      </c>
      <c r="M6" t="s">
        <v>522</v>
      </c>
      <c r="N6" t="s">
        <v>523</v>
      </c>
      <c r="O6" t="s">
        <v>690</v>
      </c>
    </row>
    <row r="7" spans="1:15" x14ac:dyDescent="0.25">
      <c r="A7" t="s">
        <v>31</v>
      </c>
      <c r="B7" t="s">
        <v>524</v>
      </c>
      <c r="C7" t="s">
        <v>61</v>
      </c>
      <c r="D7" t="s">
        <v>62</v>
      </c>
      <c r="E7" t="s">
        <v>63</v>
      </c>
      <c r="F7" t="s">
        <v>150</v>
      </c>
      <c r="G7" t="s">
        <v>151</v>
      </c>
      <c r="H7" t="s">
        <v>152</v>
      </c>
      <c r="I7" s="21" t="s">
        <v>153</v>
      </c>
      <c r="J7" s="21" t="s">
        <v>154</v>
      </c>
      <c r="K7" t="s">
        <v>525</v>
      </c>
      <c r="L7" t="s">
        <v>526</v>
      </c>
      <c r="M7" t="s">
        <v>527</v>
      </c>
      <c r="N7" t="s">
        <v>528</v>
      </c>
      <c r="O7" t="s">
        <v>691</v>
      </c>
    </row>
    <row r="8" spans="1:15" x14ac:dyDescent="0.25">
      <c r="A8" t="s">
        <v>32</v>
      </c>
      <c r="B8" t="s">
        <v>14</v>
      </c>
      <c r="C8" t="s">
        <v>64</v>
      </c>
      <c r="D8" t="s">
        <v>65</v>
      </c>
      <c r="E8" t="s">
        <v>66</v>
      </c>
      <c r="F8" t="s">
        <v>529</v>
      </c>
      <c r="G8" t="s">
        <v>14</v>
      </c>
      <c r="H8" t="s">
        <v>155</v>
      </c>
      <c r="I8" s="21" t="s">
        <v>156</v>
      </c>
      <c r="J8" s="21" t="s">
        <v>157</v>
      </c>
      <c r="K8" t="s">
        <v>530</v>
      </c>
      <c r="L8" t="s">
        <v>531</v>
      </c>
      <c r="M8" t="s">
        <v>532</v>
      </c>
      <c r="N8" t="s">
        <v>64</v>
      </c>
      <c r="O8" t="s">
        <v>692</v>
      </c>
    </row>
    <row r="9" spans="1:15" x14ac:dyDescent="0.25">
      <c r="A9" t="s">
        <v>33</v>
      </c>
      <c r="B9" t="s">
        <v>15</v>
      </c>
      <c r="C9" t="s">
        <v>67</v>
      </c>
      <c r="D9" t="s">
        <v>68</v>
      </c>
      <c r="E9" t="s">
        <v>69</v>
      </c>
      <c r="F9" t="s">
        <v>533</v>
      </c>
      <c r="G9" t="s">
        <v>15</v>
      </c>
      <c r="H9" t="s">
        <v>158</v>
      </c>
      <c r="I9" s="21" t="s">
        <v>159</v>
      </c>
      <c r="J9" s="21" t="s">
        <v>160</v>
      </c>
      <c r="K9" t="s">
        <v>534</v>
      </c>
      <c r="L9" t="s">
        <v>535</v>
      </c>
      <c r="M9" t="s">
        <v>536</v>
      </c>
      <c r="N9" t="s">
        <v>67</v>
      </c>
      <c r="O9" t="s">
        <v>693</v>
      </c>
    </row>
    <row r="10" spans="1:15" x14ac:dyDescent="0.25">
      <c r="A10" t="s">
        <v>34</v>
      </c>
      <c r="B10" t="s">
        <v>70</v>
      </c>
      <c r="C10" t="s">
        <v>71</v>
      </c>
      <c r="D10" t="s">
        <v>70</v>
      </c>
      <c r="E10" t="s">
        <v>72</v>
      </c>
      <c r="F10" t="s">
        <v>161</v>
      </c>
      <c r="G10" t="s">
        <v>162</v>
      </c>
      <c r="H10" t="s">
        <v>161</v>
      </c>
      <c r="I10" s="21" t="s">
        <v>163</v>
      </c>
      <c r="J10" s="21" t="s">
        <v>164</v>
      </c>
      <c r="K10" t="s">
        <v>537</v>
      </c>
      <c r="L10" t="s">
        <v>538</v>
      </c>
      <c r="M10" t="s">
        <v>539</v>
      </c>
      <c r="N10" t="s">
        <v>540</v>
      </c>
      <c r="O10" t="s">
        <v>161</v>
      </c>
    </row>
    <row r="11" spans="1:15" x14ac:dyDescent="0.25">
      <c r="A11" t="s">
        <v>35</v>
      </c>
      <c r="B11" t="s">
        <v>73</v>
      </c>
      <c r="C11" t="s">
        <v>74</v>
      </c>
      <c r="D11" t="s">
        <v>75</v>
      </c>
      <c r="E11" t="s">
        <v>76</v>
      </c>
      <c r="F11" t="s">
        <v>165</v>
      </c>
      <c r="G11" t="s">
        <v>166</v>
      </c>
      <c r="H11" t="s">
        <v>167</v>
      </c>
      <c r="I11" s="21" t="s">
        <v>168</v>
      </c>
      <c r="J11" s="21" t="s">
        <v>169</v>
      </c>
      <c r="K11" t="s">
        <v>541</v>
      </c>
      <c r="L11" t="s">
        <v>542</v>
      </c>
      <c r="M11" t="s">
        <v>543</v>
      </c>
      <c r="N11" t="s">
        <v>544</v>
      </c>
      <c r="O11" t="s">
        <v>694</v>
      </c>
    </row>
    <row r="12" spans="1:15" x14ac:dyDescent="0.25">
      <c r="A12" t="s">
        <v>170</v>
      </c>
      <c r="B12" t="s">
        <v>545</v>
      </c>
      <c r="C12" t="s">
        <v>546</v>
      </c>
      <c r="D12" t="s">
        <v>171</v>
      </c>
      <c r="E12" t="s">
        <v>172</v>
      </c>
      <c r="F12" t="s">
        <v>173</v>
      </c>
      <c r="G12" t="s">
        <v>547</v>
      </c>
      <c r="H12" s="21" t="s">
        <v>548</v>
      </c>
      <c r="I12" s="21" t="s">
        <v>549</v>
      </c>
      <c r="J12" s="21" t="s">
        <v>174</v>
      </c>
      <c r="K12" t="s">
        <v>550</v>
      </c>
      <c r="L12" t="s">
        <v>551</v>
      </c>
      <c r="M12" t="s">
        <v>552</v>
      </c>
      <c r="N12" t="s">
        <v>553</v>
      </c>
      <c r="O12" t="s">
        <v>695</v>
      </c>
    </row>
    <row r="13" spans="1:15" x14ac:dyDescent="0.25">
      <c r="A13" t="s">
        <v>36</v>
      </c>
      <c r="B13" t="s">
        <v>16</v>
      </c>
      <c r="C13" t="s">
        <v>77</v>
      </c>
      <c r="D13" t="s">
        <v>78</v>
      </c>
      <c r="E13" t="s">
        <v>79</v>
      </c>
      <c r="F13" t="s">
        <v>554</v>
      </c>
      <c r="G13" t="s">
        <v>175</v>
      </c>
      <c r="H13" t="s">
        <v>176</v>
      </c>
      <c r="I13" s="21" t="s">
        <v>177</v>
      </c>
      <c r="J13" s="21" t="s">
        <v>178</v>
      </c>
      <c r="K13" t="s">
        <v>555</v>
      </c>
      <c r="L13" t="s">
        <v>556</v>
      </c>
      <c r="M13" t="s">
        <v>557</v>
      </c>
      <c r="N13" t="s">
        <v>558</v>
      </c>
      <c r="O13" t="s">
        <v>696</v>
      </c>
    </row>
    <row r="14" spans="1:15" x14ac:dyDescent="0.25">
      <c r="A14" t="s">
        <v>45</v>
      </c>
      <c r="B14" t="s">
        <v>80</v>
      </c>
      <c r="C14" t="s">
        <v>81</v>
      </c>
      <c r="D14" t="s">
        <v>82</v>
      </c>
      <c r="E14" t="s">
        <v>83</v>
      </c>
      <c r="F14" t="s">
        <v>179</v>
      </c>
      <c r="G14" t="s">
        <v>180</v>
      </c>
      <c r="H14" t="s">
        <v>181</v>
      </c>
      <c r="I14" s="21" t="s">
        <v>182</v>
      </c>
      <c r="J14" s="21" t="s">
        <v>183</v>
      </c>
      <c r="K14" t="s">
        <v>559</v>
      </c>
      <c r="L14" t="s">
        <v>560</v>
      </c>
      <c r="M14" t="s">
        <v>561</v>
      </c>
      <c r="N14" t="s">
        <v>562</v>
      </c>
      <c r="O14" t="s">
        <v>697</v>
      </c>
    </row>
    <row r="15" spans="1:15" x14ac:dyDescent="0.25">
      <c r="A15" t="s">
        <v>46</v>
      </c>
      <c r="B15" t="s">
        <v>84</v>
      </c>
      <c r="C15" t="s">
        <v>563</v>
      </c>
      <c r="D15" t="s">
        <v>85</v>
      </c>
      <c r="E15" t="s">
        <v>564</v>
      </c>
      <c r="F15" t="s">
        <v>184</v>
      </c>
      <c r="G15" t="s">
        <v>565</v>
      </c>
      <c r="H15" t="s">
        <v>566</v>
      </c>
      <c r="I15" s="21" t="s">
        <v>567</v>
      </c>
      <c r="J15" s="21" t="s">
        <v>185</v>
      </c>
      <c r="K15" t="s">
        <v>568</v>
      </c>
      <c r="L15" t="s">
        <v>569</v>
      </c>
      <c r="M15" t="s">
        <v>570</v>
      </c>
      <c r="N15" t="s">
        <v>571</v>
      </c>
      <c r="O15" t="s">
        <v>698</v>
      </c>
    </row>
    <row r="16" spans="1:15" x14ac:dyDescent="0.25">
      <c r="A16" t="s">
        <v>37</v>
      </c>
      <c r="B16" t="s">
        <v>86</v>
      </c>
      <c r="C16" t="s">
        <v>87</v>
      </c>
      <c r="D16" t="s">
        <v>88</v>
      </c>
      <c r="E16" t="s">
        <v>89</v>
      </c>
      <c r="F16" t="s">
        <v>186</v>
      </c>
      <c r="G16" t="s">
        <v>187</v>
      </c>
      <c r="H16" t="s">
        <v>188</v>
      </c>
      <c r="I16" s="21" t="s">
        <v>189</v>
      </c>
      <c r="J16" s="21" t="s">
        <v>190</v>
      </c>
      <c r="K16" t="s">
        <v>572</v>
      </c>
      <c r="L16" t="s">
        <v>573</v>
      </c>
      <c r="M16" t="s">
        <v>574</v>
      </c>
      <c r="N16" t="s">
        <v>575</v>
      </c>
      <c r="O16" t="s">
        <v>699</v>
      </c>
    </row>
    <row r="17" spans="1:15" x14ac:dyDescent="0.25">
      <c r="A17" t="s">
        <v>42</v>
      </c>
      <c r="B17" t="s">
        <v>90</v>
      </c>
      <c r="C17" t="s">
        <v>91</v>
      </c>
      <c r="D17" t="s">
        <v>92</v>
      </c>
      <c r="E17" t="s">
        <v>576</v>
      </c>
      <c r="F17" t="s">
        <v>191</v>
      </c>
      <c r="G17" t="s">
        <v>192</v>
      </c>
      <c r="H17" t="s">
        <v>193</v>
      </c>
      <c r="I17" s="21" t="s">
        <v>194</v>
      </c>
      <c r="J17" s="21" t="s">
        <v>195</v>
      </c>
      <c r="K17" t="s">
        <v>577</v>
      </c>
      <c r="L17" t="s">
        <v>578</v>
      </c>
      <c r="M17" t="s">
        <v>579</v>
      </c>
      <c r="N17" t="s">
        <v>580</v>
      </c>
      <c r="O17" t="s">
        <v>700</v>
      </c>
    </row>
    <row r="18" spans="1:15" x14ac:dyDescent="0.25">
      <c r="A18" t="s">
        <v>38</v>
      </c>
      <c r="B18" t="s">
        <v>93</v>
      </c>
      <c r="C18" t="s">
        <v>94</v>
      </c>
      <c r="D18" t="s">
        <v>95</v>
      </c>
      <c r="E18" t="s">
        <v>96</v>
      </c>
      <c r="F18" t="s">
        <v>196</v>
      </c>
      <c r="G18" t="s">
        <v>197</v>
      </c>
      <c r="H18" t="s">
        <v>198</v>
      </c>
      <c r="I18" s="21" t="s">
        <v>199</v>
      </c>
      <c r="J18" s="21" t="s">
        <v>200</v>
      </c>
      <c r="K18" t="s">
        <v>581</v>
      </c>
      <c r="L18" t="s">
        <v>582</v>
      </c>
      <c r="M18" t="s">
        <v>583</v>
      </c>
      <c r="N18" t="s">
        <v>584</v>
      </c>
      <c r="O18" t="s">
        <v>701</v>
      </c>
    </row>
    <row r="19" spans="1:15" x14ac:dyDescent="0.25">
      <c r="A19" t="s">
        <v>39</v>
      </c>
      <c r="B19" t="s">
        <v>97</v>
      </c>
      <c r="C19" t="s">
        <v>585</v>
      </c>
      <c r="D19" t="s">
        <v>98</v>
      </c>
      <c r="E19" t="s">
        <v>586</v>
      </c>
      <c r="F19" t="s">
        <v>201</v>
      </c>
      <c r="G19" t="s">
        <v>97</v>
      </c>
      <c r="H19" t="s">
        <v>202</v>
      </c>
      <c r="I19" s="21" t="s">
        <v>203</v>
      </c>
      <c r="J19" s="21" t="s">
        <v>204</v>
      </c>
      <c r="K19" t="s">
        <v>587</v>
      </c>
      <c r="L19" t="s">
        <v>588</v>
      </c>
      <c r="M19" t="s">
        <v>201</v>
      </c>
      <c r="N19" t="s">
        <v>589</v>
      </c>
      <c r="O19" t="s">
        <v>702</v>
      </c>
    </row>
    <row r="20" spans="1:15" x14ac:dyDescent="0.25">
      <c r="A20" t="s">
        <v>40</v>
      </c>
      <c r="B20" t="s">
        <v>590</v>
      </c>
      <c r="C20" t="s">
        <v>591</v>
      </c>
      <c r="D20" t="s">
        <v>592</v>
      </c>
      <c r="E20" t="s">
        <v>593</v>
      </c>
      <c r="F20" t="s">
        <v>205</v>
      </c>
      <c r="G20" t="s">
        <v>99</v>
      </c>
      <c r="H20" t="s">
        <v>594</v>
      </c>
      <c r="I20" s="21" t="s">
        <v>206</v>
      </c>
      <c r="J20" s="21" t="s">
        <v>207</v>
      </c>
      <c r="K20" t="s">
        <v>595</v>
      </c>
      <c r="L20" t="s">
        <v>596</v>
      </c>
      <c r="M20" t="s">
        <v>597</v>
      </c>
      <c r="N20" t="s">
        <v>598</v>
      </c>
      <c r="O20" t="s">
        <v>703</v>
      </c>
    </row>
    <row r="21" spans="1:15" x14ac:dyDescent="0.25">
      <c r="A21" t="s">
        <v>41</v>
      </c>
      <c r="B21" t="s">
        <v>100</v>
      </c>
      <c r="C21" t="s">
        <v>101</v>
      </c>
      <c r="D21" t="s">
        <v>102</v>
      </c>
      <c r="E21" t="s">
        <v>103</v>
      </c>
      <c r="F21" t="s">
        <v>208</v>
      </c>
      <c r="G21" t="s">
        <v>209</v>
      </c>
      <c r="H21" t="s">
        <v>210</v>
      </c>
      <c r="I21" s="21" t="s">
        <v>211</v>
      </c>
      <c r="J21" s="21" t="s">
        <v>212</v>
      </c>
      <c r="K21" t="s">
        <v>599</v>
      </c>
      <c r="L21" t="s">
        <v>600</v>
      </c>
      <c r="M21" t="s">
        <v>601</v>
      </c>
      <c r="N21" t="s">
        <v>602</v>
      </c>
      <c r="O21" t="s">
        <v>704</v>
      </c>
    </row>
    <row r="22" spans="1:15" x14ac:dyDescent="0.25">
      <c r="A22" t="s">
        <v>106</v>
      </c>
      <c r="B22" t="s">
        <v>107</v>
      </c>
      <c r="C22" t="s">
        <v>108</v>
      </c>
      <c r="D22" t="s">
        <v>109</v>
      </c>
      <c r="E22" t="s">
        <v>110</v>
      </c>
      <c r="F22" t="s">
        <v>213</v>
      </c>
      <c r="G22" t="s">
        <v>214</v>
      </c>
      <c r="H22" t="s">
        <v>215</v>
      </c>
      <c r="I22" s="21" t="s">
        <v>214</v>
      </c>
      <c r="J22" s="21" t="s">
        <v>216</v>
      </c>
      <c r="K22" t="s">
        <v>603</v>
      </c>
      <c r="L22" t="s">
        <v>604</v>
      </c>
      <c r="M22" t="s">
        <v>605</v>
      </c>
      <c r="N22" t="s">
        <v>606</v>
      </c>
      <c r="O22" t="s">
        <v>705</v>
      </c>
    </row>
    <row r="23" spans="1:15" x14ac:dyDescent="0.25">
      <c r="A23" t="s">
        <v>111</v>
      </c>
      <c r="B23" t="s">
        <v>112</v>
      </c>
      <c r="C23" t="s">
        <v>113</v>
      </c>
      <c r="D23" t="s">
        <v>114</v>
      </c>
      <c r="E23" t="s">
        <v>115</v>
      </c>
      <c r="F23" t="s">
        <v>217</v>
      </c>
      <c r="G23" t="s">
        <v>218</v>
      </c>
      <c r="H23" t="s">
        <v>219</v>
      </c>
      <c r="I23" s="21" t="s">
        <v>220</v>
      </c>
      <c r="J23" s="21" t="s">
        <v>221</v>
      </c>
      <c r="K23" t="s">
        <v>607</v>
      </c>
      <c r="L23" t="s">
        <v>608</v>
      </c>
      <c r="M23" t="s">
        <v>609</v>
      </c>
      <c r="N23" t="s">
        <v>610</v>
      </c>
      <c r="O23" t="s">
        <v>706</v>
      </c>
    </row>
    <row r="24" spans="1:15" x14ac:dyDescent="0.25">
      <c r="A24" t="s">
        <v>118</v>
      </c>
      <c r="B24" t="s">
        <v>119</v>
      </c>
      <c r="C24" t="s">
        <v>120</v>
      </c>
      <c r="D24" t="s">
        <v>121</v>
      </c>
      <c r="E24" t="s">
        <v>122</v>
      </c>
      <c r="F24" t="s">
        <v>222</v>
      </c>
      <c r="G24" t="s">
        <v>223</v>
      </c>
      <c r="H24" t="s">
        <v>224</v>
      </c>
      <c r="I24" s="21" t="s">
        <v>225</v>
      </c>
      <c r="J24" s="21" t="s">
        <v>226</v>
      </c>
      <c r="K24" t="s">
        <v>611</v>
      </c>
      <c r="L24" t="s">
        <v>612</v>
      </c>
      <c r="M24" t="s">
        <v>613</v>
      </c>
      <c r="N24" t="s">
        <v>614</v>
      </c>
      <c r="O24" t="s">
        <v>707</v>
      </c>
    </row>
    <row r="25" spans="1:15" x14ac:dyDescent="0.25">
      <c r="A25" t="s">
        <v>227</v>
      </c>
      <c r="B25" t="s">
        <v>228</v>
      </c>
      <c r="C25" t="s">
        <v>229</v>
      </c>
      <c r="D25" t="s">
        <v>230</v>
      </c>
      <c r="E25" t="s">
        <v>231</v>
      </c>
      <c r="F25" t="s">
        <v>232</v>
      </c>
      <c r="G25" t="s">
        <v>615</v>
      </c>
      <c r="H25" t="s">
        <v>233</v>
      </c>
      <c r="I25" s="21" t="s">
        <v>234</v>
      </c>
      <c r="J25" s="21" t="s">
        <v>235</v>
      </c>
      <c r="K25" t="s">
        <v>616</v>
      </c>
      <c r="L25" t="s">
        <v>617</v>
      </c>
      <c r="M25" t="s">
        <v>618</v>
      </c>
      <c r="N25" t="s">
        <v>619</v>
      </c>
      <c r="O25" t="s">
        <v>708</v>
      </c>
    </row>
    <row r="26" spans="1:15" x14ac:dyDescent="0.25">
      <c r="A26" t="s">
        <v>236</v>
      </c>
      <c r="B26" t="s">
        <v>237</v>
      </c>
      <c r="C26" t="s">
        <v>238</v>
      </c>
      <c r="D26" t="s">
        <v>239</v>
      </c>
      <c r="E26" t="s">
        <v>240</v>
      </c>
      <c r="F26" t="s">
        <v>241</v>
      </c>
      <c r="G26" t="s">
        <v>242</v>
      </c>
      <c r="H26" t="s">
        <v>243</v>
      </c>
      <c r="I26" s="21" t="s">
        <v>244</v>
      </c>
      <c r="J26" s="21" t="s">
        <v>245</v>
      </c>
      <c r="K26" t="s">
        <v>620</v>
      </c>
      <c r="L26" t="s">
        <v>621</v>
      </c>
      <c r="M26" t="s">
        <v>622</v>
      </c>
      <c r="N26" t="s">
        <v>623</v>
      </c>
      <c r="O26" t="s">
        <v>709</v>
      </c>
    </row>
    <row r="27" spans="1:15" x14ac:dyDescent="0.25">
      <c r="A27" t="s">
        <v>246</v>
      </c>
      <c r="B27" t="s">
        <v>624</v>
      </c>
      <c r="C27" t="s">
        <v>625</v>
      </c>
      <c r="D27" t="s">
        <v>626</v>
      </c>
      <c r="E27" t="s">
        <v>627</v>
      </c>
      <c r="F27" t="s">
        <v>628</v>
      </c>
      <c r="G27" t="s">
        <v>629</v>
      </c>
      <c r="H27" t="s">
        <v>630</v>
      </c>
      <c r="I27" t="s">
        <v>631</v>
      </c>
      <c r="J27" t="s">
        <v>632</v>
      </c>
      <c r="K27" t="s">
        <v>633</v>
      </c>
      <c r="L27" t="s">
        <v>634</v>
      </c>
      <c r="M27" t="s">
        <v>635</v>
      </c>
      <c r="N27" t="s">
        <v>636</v>
      </c>
      <c r="O27" t="s">
        <v>710</v>
      </c>
    </row>
    <row r="28" spans="1:15" x14ac:dyDescent="0.25">
      <c r="A28" t="s">
        <v>247</v>
      </c>
      <c r="B28" t="s">
        <v>637</v>
      </c>
      <c r="C28" t="s">
        <v>638</v>
      </c>
      <c r="D28" t="s">
        <v>639</v>
      </c>
      <c r="E28" t="s">
        <v>640</v>
      </c>
      <c r="F28" t="s">
        <v>641</v>
      </c>
      <c r="G28" t="s">
        <v>638</v>
      </c>
      <c r="H28" t="s">
        <v>642</v>
      </c>
      <c r="I28" t="s">
        <v>643</v>
      </c>
      <c r="J28" t="s">
        <v>644</v>
      </c>
      <c r="K28" t="s">
        <v>645</v>
      </c>
      <c r="L28" t="s">
        <v>646</v>
      </c>
      <c r="M28" t="s">
        <v>647</v>
      </c>
      <c r="N28" t="s">
        <v>648</v>
      </c>
      <c r="O28" t="s">
        <v>711</v>
      </c>
    </row>
    <row r="29" spans="1:15" x14ac:dyDescent="0.25">
      <c r="A29" t="s">
        <v>248</v>
      </c>
      <c r="B29" t="s">
        <v>649</v>
      </c>
      <c r="C29" t="s">
        <v>650</v>
      </c>
      <c r="D29" t="s">
        <v>651</v>
      </c>
      <c r="E29" t="s">
        <v>652</v>
      </c>
      <c r="F29" t="s">
        <v>653</v>
      </c>
      <c r="G29" t="s">
        <v>654</v>
      </c>
      <c r="H29" t="s">
        <v>655</v>
      </c>
      <c r="I29" t="s">
        <v>656</v>
      </c>
      <c r="J29" t="s">
        <v>657</v>
      </c>
      <c r="K29" t="s">
        <v>658</v>
      </c>
      <c r="L29" t="s">
        <v>659</v>
      </c>
      <c r="M29" t="s">
        <v>660</v>
      </c>
      <c r="N29" t="s">
        <v>661</v>
      </c>
      <c r="O29" t="s">
        <v>712</v>
      </c>
    </row>
    <row r="30" spans="1:15" x14ac:dyDescent="0.25">
      <c r="A30" t="s">
        <v>256</v>
      </c>
      <c r="B30" t="s">
        <v>338</v>
      </c>
      <c r="C30" t="s">
        <v>339</v>
      </c>
      <c r="D30" t="s">
        <v>340</v>
      </c>
      <c r="E30" t="s">
        <v>341</v>
      </c>
      <c r="F30" t="s">
        <v>342</v>
      </c>
      <c r="G30" t="s">
        <v>343</v>
      </c>
      <c r="H30" t="s">
        <v>344</v>
      </c>
      <c r="I30" s="21" t="s">
        <v>345</v>
      </c>
      <c r="J30" s="21" t="s">
        <v>346</v>
      </c>
      <c r="K30" t="s">
        <v>347</v>
      </c>
      <c r="L30" t="s">
        <v>348</v>
      </c>
      <c r="M30" t="s">
        <v>349</v>
      </c>
      <c r="N30" t="s">
        <v>350</v>
      </c>
      <c r="O30" t="s">
        <v>713</v>
      </c>
    </row>
    <row r="31" spans="1:15" x14ac:dyDescent="0.25">
      <c r="A31" t="s">
        <v>249</v>
      </c>
      <c r="B31" t="s">
        <v>662</v>
      </c>
      <c r="C31" t="s">
        <v>662</v>
      </c>
      <c r="D31" t="s">
        <v>662</v>
      </c>
      <c r="E31" t="s">
        <v>663</v>
      </c>
      <c r="F31" t="s">
        <v>664</v>
      </c>
      <c r="G31" t="s">
        <v>662</v>
      </c>
      <c r="H31" t="s">
        <v>665</v>
      </c>
      <c r="I31" t="s">
        <v>666</v>
      </c>
      <c r="J31" t="s">
        <v>667</v>
      </c>
      <c r="K31" t="s">
        <v>668</v>
      </c>
      <c r="L31" t="s">
        <v>662</v>
      </c>
      <c r="M31" t="s">
        <v>669</v>
      </c>
      <c r="N31" t="s">
        <v>670</v>
      </c>
      <c r="O31" t="s">
        <v>714</v>
      </c>
    </row>
    <row r="32" spans="1:15" x14ac:dyDescent="0.25">
      <c r="A32" t="s">
        <v>250</v>
      </c>
      <c r="B32" t="s">
        <v>671</v>
      </c>
      <c r="C32" t="s">
        <v>672</v>
      </c>
      <c r="D32" t="s">
        <v>673</v>
      </c>
      <c r="E32" t="s">
        <v>674</v>
      </c>
      <c r="F32" t="s">
        <v>675</v>
      </c>
      <c r="G32" t="s">
        <v>676</v>
      </c>
      <c r="H32" t="s">
        <v>677</v>
      </c>
      <c r="I32" t="s">
        <v>678</v>
      </c>
      <c r="J32" t="s">
        <v>679</v>
      </c>
      <c r="K32" t="s">
        <v>680</v>
      </c>
      <c r="L32" t="s">
        <v>681</v>
      </c>
      <c r="M32" t="s">
        <v>682</v>
      </c>
      <c r="N32" t="s">
        <v>683</v>
      </c>
      <c r="O32" t="s">
        <v>715</v>
      </c>
    </row>
    <row r="33" spans="1:15" x14ac:dyDescent="0.25">
      <c r="A33" t="s">
        <v>252</v>
      </c>
      <c r="B33" t="s">
        <v>351</v>
      </c>
      <c r="C33" t="s">
        <v>352</v>
      </c>
      <c r="D33" t="s">
        <v>353</v>
      </c>
      <c r="E33" t="s">
        <v>354</v>
      </c>
      <c r="F33" t="s">
        <v>355</v>
      </c>
      <c r="G33" t="s">
        <v>356</v>
      </c>
      <c r="H33" t="s">
        <v>357</v>
      </c>
      <c r="I33" s="21" t="s">
        <v>358</v>
      </c>
      <c r="J33" s="21" t="s">
        <v>359</v>
      </c>
      <c r="K33" t="s">
        <v>360</v>
      </c>
      <c r="L33" t="s">
        <v>361</v>
      </c>
      <c r="M33" t="s">
        <v>362</v>
      </c>
      <c r="N33" t="s">
        <v>363</v>
      </c>
      <c r="O33" t="s">
        <v>363</v>
      </c>
    </row>
    <row r="34" spans="1:15" x14ac:dyDescent="0.25">
      <c r="A34" t="s">
        <v>253</v>
      </c>
      <c r="B34" t="s">
        <v>364</v>
      </c>
      <c r="C34" t="s">
        <v>365</v>
      </c>
      <c r="D34" t="s">
        <v>366</v>
      </c>
      <c r="E34" t="s">
        <v>367</v>
      </c>
      <c r="F34" t="s">
        <v>368</v>
      </c>
      <c r="G34" t="s">
        <v>369</v>
      </c>
      <c r="H34" t="s">
        <v>370</v>
      </c>
      <c r="I34" s="21" t="s">
        <v>371</v>
      </c>
      <c r="J34" s="21" t="s">
        <v>372</v>
      </c>
      <c r="K34" t="s">
        <v>373</v>
      </c>
      <c r="L34" t="s">
        <v>374</v>
      </c>
      <c r="M34" t="s">
        <v>375</v>
      </c>
      <c r="N34" t="s">
        <v>376</v>
      </c>
      <c r="O34" t="s">
        <v>716</v>
      </c>
    </row>
    <row r="35" spans="1:15" x14ac:dyDescent="0.25">
      <c r="A35" t="s">
        <v>254</v>
      </c>
      <c r="B35" t="s">
        <v>377</v>
      </c>
      <c r="C35" t="s">
        <v>378</v>
      </c>
      <c r="D35" t="s">
        <v>379</v>
      </c>
      <c r="E35" t="s">
        <v>380</v>
      </c>
      <c r="F35" t="s">
        <v>381</v>
      </c>
      <c r="G35" t="s">
        <v>382</v>
      </c>
      <c r="H35" t="s">
        <v>383</v>
      </c>
      <c r="I35" s="21" t="s">
        <v>384</v>
      </c>
      <c r="J35" s="21" t="s">
        <v>385</v>
      </c>
      <c r="K35" t="s">
        <v>386</v>
      </c>
      <c r="L35" t="s">
        <v>387</v>
      </c>
      <c r="M35" t="s">
        <v>388</v>
      </c>
      <c r="N35" t="s">
        <v>389</v>
      </c>
      <c r="O35" t="s">
        <v>717</v>
      </c>
    </row>
    <row r="36" spans="1:15" x14ac:dyDescent="0.25">
      <c r="A36" t="s">
        <v>390</v>
      </c>
      <c r="B36" t="s">
        <v>391</v>
      </c>
      <c r="C36" t="s">
        <v>392</v>
      </c>
      <c r="D36" t="s">
        <v>393</v>
      </c>
      <c r="E36" t="s">
        <v>394</v>
      </c>
      <c r="F36" t="s">
        <v>395</v>
      </c>
      <c r="G36" t="s">
        <v>396</v>
      </c>
      <c r="H36" t="s">
        <v>397</v>
      </c>
      <c r="I36" s="21" t="s">
        <v>398</v>
      </c>
      <c r="J36" s="21" t="s">
        <v>399</v>
      </c>
      <c r="K36" t="s">
        <v>400</v>
      </c>
      <c r="L36" t="s">
        <v>401</v>
      </c>
      <c r="M36" t="s">
        <v>402</v>
      </c>
      <c r="N36" t="s">
        <v>403</v>
      </c>
      <c r="O36" t="s">
        <v>718</v>
      </c>
    </row>
    <row r="37" spans="1:15" x14ac:dyDescent="0.25">
      <c r="A37" t="s">
        <v>257</v>
      </c>
      <c r="B37" t="s">
        <v>404</v>
      </c>
      <c r="C37" t="s">
        <v>405</v>
      </c>
      <c r="D37" t="s">
        <v>406</v>
      </c>
      <c r="E37" t="s">
        <v>407</v>
      </c>
      <c r="F37" t="s">
        <v>408</v>
      </c>
      <c r="G37" t="s">
        <v>409</v>
      </c>
      <c r="H37" t="s">
        <v>410</v>
      </c>
      <c r="I37" s="21" t="s">
        <v>411</v>
      </c>
      <c r="J37" s="21" t="s">
        <v>412</v>
      </c>
      <c r="K37" t="s">
        <v>413</v>
      </c>
      <c r="L37" t="s">
        <v>414</v>
      </c>
      <c r="M37" t="s">
        <v>415</v>
      </c>
      <c r="N37" t="s">
        <v>416</v>
      </c>
      <c r="O37" t="s">
        <v>719</v>
      </c>
    </row>
    <row r="38" spans="1:15" x14ac:dyDescent="0.25">
      <c r="A38" t="s">
        <v>255</v>
      </c>
      <c r="B38" t="s">
        <v>417</v>
      </c>
      <c r="C38" t="s">
        <v>418</v>
      </c>
      <c r="D38" t="s">
        <v>419</v>
      </c>
      <c r="E38" t="s">
        <v>420</v>
      </c>
      <c r="F38" t="s">
        <v>421</v>
      </c>
      <c r="G38" t="s">
        <v>422</v>
      </c>
      <c r="H38" t="s">
        <v>423</v>
      </c>
      <c r="I38" s="21" t="s">
        <v>424</v>
      </c>
      <c r="J38" s="21" t="s">
        <v>425</v>
      </c>
      <c r="K38" t="s">
        <v>426</v>
      </c>
      <c r="L38" t="s">
        <v>427</v>
      </c>
      <c r="M38" t="s">
        <v>428</v>
      </c>
      <c r="N38" t="s">
        <v>429</v>
      </c>
      <c r="O38" t="s">
        <v>720</v>
      </c>
    </row>
    <row r="39" spans="1:15" x14ac:dyDescent="0.25">
      <c r="A39" t="s">
        <v>430</v>
      </c>
      <c r="B39" t="s">
        <v>431</v>
      </c>
      <c r="C39" t="s">
        <v>432</v>
      </c>
      <c r="D39" t="s">
        <v>433</v>
      </c>
      <c r="E39" t="s">
        <v>434</v>
      </c>
      <c r="F39" t="s">
        <v>435</v>
      </c>
      <c r="G39" t="s">
        <v>436</v>
      </c>
      <c r="H39" t="s">
        <v>437</v>
      </c>
      <c r="I39" s="21" t="s">
        <v>438</v>
      </c>
      <c r="J39" s="21" t="s">
        <v>439</v>
      </c>
      <c r="K39" t="s">
        <v>440</v>
      </c>
      <c r="L39" t="s">
        <v>441</v>
      </c>
      <c r="M39" t="s">
        <v>442</v>
      </c>
      <c r="N39" t="s">
        <v>443</v>
      </c>
      <c r="O39" t="s">
        <v>721</v>
      </c>
    </row>
    <row r="40" spans="1:15" x14ac:dyDescent="0.25">
      <c r="A40" t="s">
        <v>328</v>
      </c>
      <c r="B40" t="s">
        <v>444</v>
      </c>
      <c r="C40" t="s">
        <v>445</v>
      </c>
      <c r="D40" t="s">
        <v>446</v>
      </c>
      <c r="E40" t="s">
        <v>447</v>
      </c>
      <c r="F40" t="s">
        <v>448</v>
      </c>
      <c r="G40" t="s">
        <v>449</v>
      </c>
      <c r="H40" t="s">
        <v>450</v>
      </c>
      <c r="I40" s="21" t="s">
        <v>451</v>
      </c>
      <c r="J40" s="21" t="s">
        <v>452</v>
      </c>
      <c r="K40" t="s">
        <v>453</v>
      </c>
      <c r="L40" t="s">
        <v>454</v>
      </c>
      <c r="M40" t="s">
        <v>455</v>
      </c>
      <c r="N40" t="s">
        <v>456</v>
      </c>
      <c r="O40" t="s">
        <v>722</v>
      </c>
    </row>
    <row r="41" spans="1:15" x14ac:dyDescent="0.25">
      <c r="A41" t="s">
        <v>330</v>
      </c>
      <c r="B41" t="s">
        <v>684</v>
      </c>
      <c r="C41" t="s">
        <v>684</v>
      </c>
      <c r="D41" t="s">
        <v>684</v>
      </c>
      <c r="E41" t="s">
        <v>684</v>
      </c>
      <c r="F41" t="s">
        <v>684</v>
      </c>
      <c r="G41" t="s">
        <v>684</v>
      </c>
      <c r="H41" t="s">
        <v>684</v>
      </c>
      <c r="I41" t="s">
        <v>684</v>
      </c>
      <c r="J41" t="s">
        <v>684</v>
      </c>
      <c r="K41" t="s">
        <v>684</v>
      </c>
      <c r="L41" t="s">
        <v>684</v>
      </c>
      <c r="M41" t="s">
        <v>684</v>
      </c>
      <c r="N41" t="s">
        <v>684</v>
      </c>
      <c r="O41" t="s">
        <v>723</v>
      </c>
    </row>
    <row r="42" spans="1:15" ht="25" x14ac:dyDescent="0.25">
      <c r="A42" t="s">
        <v>457</v>
      </c>
      <c r="B42" t="s">
        <v>458</v>
      </c>
      <c r="C42" t="s">
        <v>459</v>
      </c>
      <c r="D42" t="s">
        <v>460</v>
      </c>
      <c r="E42" t="s">
        <v>461</v>
      </c>
      <c r="F42" t="s">
        <v>462</v>
      </c>
      <c r="G42" t="s">
        <v>463</v>
      </c>
      <c r="H42" t="s">
        <v>464</v>
      </c>
      <c r="I42" s="21" t="s">
        <v>465</v>
      </c>
      <c r="J42" s="21" t="s">
        <v>466</v>
      </c>
      <c r="K42" t="s">
        <v>467</v>
      </c>
      <c r="L42" t="s">
        <v>468</v>
      </c>
      <c r="M42" t="s">
        <v>469</v>
      </c>
      <c r="N42" t="s">
        <v>470</v>
      </c>
      <c r="O42" t="s">
        <v>724</v>
      </c>
    </row>
    <row r="43" spans="1:15" x14ac:dyDescent="0.25">
      <c r="A43" t="s">
        <v>471</v>
      </c>
      <c r="B43" t="s">
        <v>472</v>
      </c>
      <c r="C43" t="s">
        <v>473</v>
      </c>
      <c r="D43" t="s">
        <v>474</v>
      </c>
      <c r="E43" t="s">
        <v>475</v>
      </c>
      <c r="F43" t="s">
        <v>476</v>
      </c>
      <c r="G43" t="s">
        <v>477</v>
      </c>
      <c r="H43" t="s">
        <v>478</v>
      </c>
      <c r="I43" s="21" t="s">
        <v>479</v>
      </c>
      <c r="J43" s="21" t="s">
        <v>480</v>
      </c>
      <c r="K43" t="s">
        <v>481</v>
      </c>
      <c r="L43" t="s">
        <v>482</v>
      </c>
      <c r="M43" t="s">
        <v>483</v>
      </c>
      <c r="N43" t="s">
        <v>484</v>
      </c>
      <c r="O43" t="s">
        <v>725</v>
      </c>
    </row>
    <row r="44" spans="1:15" x14ac:dyDescent="0.25">
      <c r="A44" t="s">
        <v>271</v>
      </c>
      <c r="B44" t="s">
        <v>485</v>
      </c>
      <c r="C44" t="s">
        <v>486</v>
      </c>
      <c r="D44" t="s">
        <v>487</v>
      </c>
      <c r="E44" t="s">
        <v>488</v>
      </c>
      <c r="F44" t="s">
        <v>489</v>
      </c>
      <c r="G44" t="s">
        <v>490</v>
      </c>
      <c r="H44" t="s">
        <v>491</v>
      </c>
      <c r="I44" s="21" t="s">
        <v>492</v>
      </c>
      <c r="J44" s="21" t="s">
        <v>493</v>
      </c>
      <c r="K44" t="s">
        <v>494</v>
      </c>
      <c r="L44" t="s">
        <v>495</v>
      </c>
      <c r="M44" t="s">
        <v>496</v>
      </c>
      <c r="N44" t="s">
        <v>497</v>
      </c>
      <c r="O44" t="s">
        <v>726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Summary</vt:lpstr>
      <vt:lpstr>Details</vt:lpstr>
      <vt:lpstr>Report</vt:lpstr>
      <vt:lpstr>Graph</vt:lpstr>
      <vt:lpstr>Count</vt:lpstr>
      <vt:lpstr>Data</vt:lpstr>
      <vt:lpstr>Languages</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Dubey</dc:creator>
  <cp:lastModifiedBy>Kevin Buchaly</cp:lastModifiedBy>
  <dcterms:created xsi:type="dcterms:W3CDTF">2009-05-21T13:20:04Z</dcterms:created>
  <dcterms:modified xsi:type="dcterms:W3CDTF">2022-05-05T16:07:16Z</dcterms:modified>
</cp:coreProperties>
</file>