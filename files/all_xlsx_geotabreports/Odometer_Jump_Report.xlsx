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kashdubey\My Drive\MyG Reporting\Global reporting task force\Odometer Jump report\"/>
    </mc:Choice>
  </mc:AlternateContent>
  <xr:revisionPtr revIDLastSave="0" documentId="13_ncr:1_{83957149-0E13-48C5-AC21-6D6D11976ABF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Languages" sheetId="4" state="hidden" r:id="rId1"/>
    <sheet name="Data" sheetId="1" state="hidden" r:id="rId2"/>
    <sheet name="Report" sheetId="2" r:id="rId3"/>
    <sheet name="Processor" sheetId="5" state="hidden" r:id="rId4"/>
    <sheet name="Summary" sheetId="3" r:id="rId5"/>
  </sheets>
  <definedNames>
    <definedName name="_xlnm._FilterDatabase" localSheetId="2" hidden="1">Report!$A$12:$R$12</definedName>
    <definedName name="AllData">Report!$A$12:$R$49</definedName>
    <definedName name="Picture">INDIRECT(Processor!$F$20)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" i="2" l="1"/>
  <c r="J15" i="2" s="1"/>
  <c r="J16" i="2" s="1"/>
  <c r="J17" i="2" s="1"/>
  <c r="J18" i="2" s="1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13" i="2"/>
  <c r="A28" i="5"/>
  <c r="F22" i="5" l="1"/>
  <c r="F20" i="5" s="1"/>
  <c r="B10" i="5"/>
  <c r="A20" i="5" s="1"/>
  <c r="B9" i="5"/>
  <c r="B6" i="5"/>
  <c r="B5" i="5"/>
  <c r="A2" i="5"/>
  <c r="C1" i="5"/>
  <c r="B10" i="2"/>
  <c r="B9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13" i="2"/>
  <c r="B10" i="3"/>
  <c r="B9" i="3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D13" i="2"/>
  <c r="C13" i="2"/>
  <c r="A15" i="5" l="1"/>
  <c r="A25" i="5"/>
  <c r="B7" i="5"/>
  <c r="F45" i="2"/>
  <c r="F37" i="2"/>
  <c r="F21" i="2"/>
  <c r="F22" i="2" s="1"/>
  <c r="F46" i="2"/>
  <c r="F47" i="2" s="1"/>
  <c r="F38" i="2"/>
  <c r="F39" i="2" s="1"/>
  <c r="F30" i="2"/>
  <c r="F27" i="2"/>
  <c r="F42" i="2"/>
  <c r="F43" i="2" s="1"/>
  <c r="F41" i="2"/>
  <c r="F31" i="2"/>
  <c r="F32" i="2" s="1"/>
  <c r="G32" i="2" s="1"/>
  <c r="F26" i="2"/>
  <c r="F49" i="2"/>
  <c r="F17" i="2"/>
  <c r="F18" i="2" s="1"/>
  <c r="F16" i="2"/>
  <c r="F34" i="2"/>
  <c r="F35" i="2" s="1"/>
  <c r="F33" i="2"/>
  <c r="G38" i="2" l="1"/>
  <c r="G46" i="2"/>
  <c r="G42" i="2"/>
  <c r="G27" i="2"/>
  <c r="F28" i="2"/>
  <c r="G17" i="2"/>
  <c r="G34" i="2"/>
  <c r="G31" i="2"/>
  <c r="G33" i="2"/>
  <c r="F19" i="2"/>
  <c r="F20" i="2" s="1"/>
  <c r="G21" i="2" s="1"/>
  <c r="G18" i="2"/>
  <c r="F44" i="2"/>
  <c r="G43" i="2"/>
  <c r="F23" i="2"/>
  <c r="G22" i="2"/>
  <c r="F40" i="2"/>
  <c r="G39" i="2"/>
  <c r="F48" i="2"/>
  <c r="G47" i="2"/>
  <c r="F36" i="2"/>
  <c r="G35" i="2"/>
  <c r="F29" i="2" l="1"/>
  <c r="G28" i="2"/>
  <c r="G44" i="2"/>
  <c r="G45" i="2"/>
  <c r="G40" i="2"/>
  <c r="G41" i="2"/>
  <c r="G48" i="2"/>
  <c r="G49" i="2"/>
  <c r="F24" i="2"/>
  <c r="G23" i="2"/>
  <c r="G36" i="2"/>
  <c r="G37" i="2"/>
  <c r="G19" i="2"/>
  <c r="G20" i="2"/>
  <c r="G29" i="2" l="1"/>
  <c r="G30" i="2"/>
  <c r="F25" i="2"/>
  <c r="G24" i="2"/>
  <c r="G25" i="2" l="1"/>
  <c r="G26" i="2"/>
  <c r="B6" i="3" l="1"/>
  <c r="B5" i="3"/>
  <c r="A2" i="3"/>
  <c r="C1" i="3"/>
  <c r="E13" i="2"/>
  <c r="B13" i="2"/>
  <c r="A13" i="2"/>
  <c r="B6" i="2"/>
  <c r="B5" i="2"/>
  <c r="A2" i="2"/>
  <c r="C1" i="2"/>
  <c r="K13" i="2" l="1"/>
  <c r="K14" i="2" s="1"/>
  <c r="K15" i="2" s="1"/>
  <c r="K16" i="2" s="1"/>
  <c r="K17" i="2" s="1"/>
  <c r="F13" i="2"/>
  <c r="G13" i="2" s="1"/>
  <c r="H13" i="2"/>
  <c r="B7" i="3"/>
  <c r="B7" i="2"/>
  <c r="K18" i="2" l="1"/>
  <c r="L17" i="2"/>
  <c r="L13" i="2"/>
  <c r="M13" i="2" s="1"/>
  <c r="N13" i="2" s="1"/>
  <c r="F14" i="2"/>
  <c r="M17" i="2" l="1"/>
  <c r="N17" i="2" s="1"/>
  <c r="K19" i="2"/>
  <c r="L18" i="2"/>
  <c r="O13" i="2"/>
  <c r="P13" i="2" s="1"/>
  <c r="I13" i="2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F15" i="2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G14" i="2"/>
  <c r="L14" i="2" s="1"/>
  <c r="O17" i="2" l="1"/>
  <c r="P17" i="2" s="1"/>
  <c r="M18" i="2"/>
  <c r="N18" i="2" s="1"/>
  <c r="K20" i="2"/>
  <c r="L19" i="2"/>
  <c r="M14" i="2"/>
  <c r="N14" i="2" s="1"/>
  <c r="G16" i="2"/>
  <c r="L16" i="2" s="1"/>
  <c r="G15" i="2"/>
  <c r="L15" i="2" s="1"/>
  <c r="O18" i="2" l="1"/>
  <c r="P18" i="2" s="1"/>
  <c r="M19" i="2"/>
  <c r="N19" i="2" s="1"/>
  <c r="K21" i="2"/>
  <c r="L20" i="2"/>
  <c r="O14" i="2"/>
  <c r="P14" i="2" s="1"/>
  <c r="M15" i="2"/>
  <c r="N15" i="2" s="1"/>
  <c r="M16" i="2"/>
  <c r="N16" i="2" s="1"/>
  <c r="M20" i="2" l="1"/>
  <c r="N20" i="2" s="1"/>
  <c r="K22" i="2"/>
  <c r="L21" i="2"/>
  <c r="O19" i="2"/>
  <c r="P19" i="2" s="1"/>
  <c r="O16" i="2"/>
  <c r="P16" i="2" s="1"/>
  <c r="O15" i="2"/>
  <c r="P15" i="2" s="1"/>
  <c r="M21" i="2" l="1"/>
  <c r="N21" i="2" s="1"/>
  <c r="K23" i="2"/>
  <c r="L22" i="2"/>
  <c r="O20" i="2"/>
  <c r="P20" i="2" s="1"/>
  <c r="M22" i="2" l="1"/>
  <c r="N22" i="2" s="1"/>
  <c r="K24" i="2"/>
  <c r="L23" i="2"/>
  <c r="O21" i="2"/>
  <c r="P21" i="2" s="1"/>
  <c r="M23" i="2" l="1"/>
  <c r="N23" i="2" s="1"/>
  <c r="K25" i="2"/>
  <c r="L24" i="2"/>
  <c r="O22" i="2"/>
  <c r="P22" i="2" s="1"/>
  <c r="O23" i="2" l="1"/>
  <c r="P23" i="2" s="1"/>
  <c r="M24" i="2"/>
  <c r="N24" i="2" s="1"/>
  <c r="K26" i="2"/>
  <c r="L25" i="2"/>
  <c r="K27" i="2" l="1"/>
  <c r="L26" i="2"/>
  <c r="O24" i="2"/>
  <c r="P24" i="2" s="1"/>
  <c r="M25" i="2"/>
  <c r="N25" i="2" s="1"/>
  <c r="O25" i="2" l="1"/>
  <c r="P25" i="2" s="1"/>
  <c r="M26" i="2"/>
  <c r="N26" i="2" s="1"/>
  <c r="K28" i="2"/>
  <c r="L27" i="2"/>
  <c r="M27" i="2" l="1"/>
  <c r="N27" i="2" s="1"/>
  <c r="K29" i="2"/>
  <c r="L28" i="2"/>
  <c r="O26" i="2"/>
  <c r="P26" i="2" s="1"/>
  <c r="M28" i="2" l="1"/>
  <c r="N28" i="2" s="1"/>
  <c r="K30" i="2"/>
  <c r="L29" i="2"/>
  <c r="O27" i="2"/>
  <c r="P27" i="2" s="1"/>
  <c r="O28" i="2" l="1"/>
  <c r="P28" i="2" s="1"/>
  <c r="K31" i="2"/>
  <c r="L30" i="2"/>
  <c r="M29" i="2"/>
  <c r="N29" i="2" s="1"/>
  <c r="O29" i="2" l="1"/>
  <c r="P29" i="2" s="1"/>
  <c r="M30" i="2"/>
  <c r="N30" i="2" s="1"/>
  <c r="K32" i="2"/>
  <c r="L31" i="2"/>
  <c r="M31" i="2" l="1"/>
  <c r="N31" i="2" s="1"/>
  <c r="O30" i="2"/>
  <c r="P30" i="2" s="1"/>
  <c r="K33" i="2"/>
  <c r="L32" i="2"/>
  <c r="K34" i="2" l="1"/>
  <c r="L33" i="2"/>
  <c r="M32" i="2"/>
  <c r="N32" i="2" s="1"/>
  <c r="O31" i="2"/>
  <c r="P31" i="2" s="1"/>
  <c r="O32" i="2" l="1"/>
  <c r="P32" i="2" s="1"/>
  <c r="M33" i="2"/>
  <c r="N33" i="2" s="1"/>
  <c r="K35" i="2"/>
  <c r="L34" i="2"/>
  <c r="K36" i="2" l="1"/>
  <c r="L35" i="2"/>
  <c r="O33" i="2"/>
  <c r="P33" i="2" s="1"/>
  <c r="M34" i="2"/>
  <c r="N34" i="2" s="1"/>
  <c r="K37" i="2" l="1"/>
  <c r="L36" i="2"/>
  <c r="O34" i="2"/>
  <c r="P34" i="2" s="1"/>
  <c r="M35" i="2"/>
  <c r="N35" i="2" s="1"/>
  <c r="O35" i="2" l="1"/>
  <c r="P35" i="2" s="1"/>
  <c r="K38" i="2"/>
  <c r="L37" i="2"/>
  <c r="M36" i="2"/>
  <c r="N36" i="2" s="1"/>
  <c r="M37" i="2" l="1"/>
  <c r="N37" i="2" s="1"/>
  <c r="O36" i="2"/>
  <c r="P36" i="2" s="1"/>
  <c r="K39" i="2"/>
  <c r="L38" i="2"/>
  <c r="K40" i="2" l="1"/>
  <c r="L39" i="2"/>
  <c r="O37" i="2"/>
  <c r="P37" i="2" s="1"/>
  <c r="M38" i="2"/>
  <c r="N38" i="2" s="1"/>
  <c r="M39" i="2" l="1"/>
  <c r="N39" i="2" s="1"/>
  <c r="K41" i="2"/>
  <c r="L40" i="2"/>
  <c r="O38" i="2"/>
  <c r="P38" i="2" s="1"/>
  <c r="M40" i="2" l="1"/>
  <c r="N40" i="2" s="1"/>
  <c r="O39" i="2"/>
  <c r="P39" i="2" s="1"/>
  <c r="K42" i="2"/>
  <c r="L41" i="2"/>
  <c r="M41" i="2" l="1"/>
  <c r="N41" i="2" s="1"/>
  <c r="K43" i="2"/>
  <c r="L42" i="2"/>
  <c r="O40" i="2"/>
  <c r="P40" i="2" s="1"/>
  <c r="O41" i="2" l="1"/>
  <c r="P41" i="2" s="1"/>
  <c r="K44" i="2"/>
  <c r="L43" i="2"/>
  <c r="M42" i="2"/>
  <c r="N42" i="2" s="1"/>
  <c r="O42" i="2" l="1"/>
  <c r="P42" i="2" s="1"/>
  <c r="M43" i="2"/>
  <c r="N43" i="2" s="1"/>
  <c r="K45" i="2"/>
  <c r="L44" i="2"/>
  <c r="M44" i="2" l="1"/>
  <c r="N44" i="2" s="1"/>
  <c r="K46" i="2"/>
  <c r="L45" i="2"/>
  <c r="O43" i="2"/>
  <c r="P43" i="2" s="1"/>
  <c r="O44" i="2" l="1"/>
  <c r="P44" i="2" s="1"/>
  <c r="M45" i="2"/>
  <c r="N45" i="2" s="1"/>
  <c r="K47" i="2"/>
  <c r="L46" i="2"/>
  <c r="K48" i="2" l="1"/>
  <c r="L47" i="2"/>
  <c r="M46" i="2"/>
  <c r="N46" i="2" s="1"/>
  <c r="O45" i="2"/>
  <c r="P45" i="2" s="1"/>
  <c r="K49" i="2" l="1"/>
  <c r="L48" i="2"/>
  <c r="O46" i="2"/>
  <c r="P46" i="2" s="1"/>
  <c r="M47" i="2"/>
  <c r="N47" i="2" s="1"/>
  <c r="M48" i="2" l="1"/>
  <c r="N48" i="2" s="1"/>
  <c r="L49" i="2"/>
  <c r="O47" i="2"/>
  <c r="P47" i="2" s="1"/>
  <c r="M49" i="2" l="1"/>
  <c r="N49" i="2" s="1"/>
  <c r="O48" i="2"/>
  <c r="P48" i="2" s="1"/>
  <c r="O49" i="2" l="1"/>
  <c r="P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EngineStatus.24</t>
        </r>
      </text>
    </comment>
  </commentList>
</comments>
</file>

<file path=xl/sharedStrings.xml><?xml version="1.0" encoding="utf-8"?>
<sst xmlns="http://schemas.openxmlformats.org/spreadsheetml/2006/main" count="468" uniqueCount="227">
  <si>
    <t>Description</t>
  </si>
  <si>
    <t>StatusDataDateTime</t>
  </si>
  <si>
    <t>Source</t>
  </si>
  <si>
    <t>RunDate</t>
  </si>
  <si>
    <t>FromDate</t>
  </si>
  <si>
    <t>ToDate</t>
  </si>
  <si>
    <t>CompanyName</t>
  </si>
  <si>
    <t>SendReport</t>
  </si>
  <si>
    <t>LastModifiedUser</t>
  </si>
  <si>
    <t>English</t>
  </si>
  <si>
    <t>French</t>
  </si>
  <si>
    <t>Spanish</t>
  </si>
  <si>
    <t>German</t>
  </si>
  <si>
    <t>Japanese</t>
  </si>
  <si>
    <t>**Device</t>
  </si>
  <si>
    <t>**Device Group</t>
  </si>
  <si>
    <t>**Description</t>
  </si>
  <si>
    <t>**Source</t>
  </si>
  <si>
    <t>**Controller</t>
  </si>
  <si>
    <t>**Value</t>
  </si>
  <si>
    <t>**Engine Status Report</t>
  </si>
  <si>
    <t>**Created</t>
  </si>
  <si>
    <t>**From</t>
  </si>
  <si>
    <t>**To</t>
  </si>
  <si>
    <t>Date</t>
  </si>
  <si>
    <t>**Date</t>
  </si>
  <si>
    <t>Dispositif</t>
  </si>
  <si>
    <t>Dispositivo</t>
  </si>
  <si>
    <t>Gerät</t>
  </si>
  <si>
    <t>デバイス</t>
  </si>
  <si>
    <t>Groupe de dispositifs</t>
  </si>
  <si>
    <t>Grupo de dispositivos</t>
  </si>
  <si>
    <t>Gerätegruppe</t>
  </si>
  <si>
    <t>デバイスグループ</t>
  </si>
  <si>
    <t>Fecha</t>
  </si>
  <si>
    <t>Datum</t>
  </si>
  <si>
    <t>データ</t>
  </si>
  <si>
    <t>Descripción</t>
  </si>
  <si>
    <t>Beschreibung</t>
  </si>
  <si>
    <t>説明を入力してください</t>
  </si>
  <si>
    <t>Fuente</t>
  </si>
  <si>
    <t>Quelle</t>
  </si>
  <si>
    <t>ソース</t>
  </si>
  <si>
    <t>Contrôleur du moteur</t>
  </si>
  <si>
    <t>Controlador de motor</t>
  </si>
  <si>
    <t>Motorsteuerung</t>
  </si>
  <si>
    <t>コントローラー</t>
  </si>
  <si>
    <t>Valeur</t>
  </si>
  <si>
    <t>Valor</t>
  </si>
  <si>
    <t>Wert</t>
  </si>
  <si>
    <t>値</t>
  </si>
  <si>
    <t>Rapport d’état du moteur</t>
  </si>
  <si>
    <t>Reporte de estado del motor</t>
  </si>
  <si>
    <t>Bericht Motorstatus</t>
  </si>
  <si>
    <t>エンジン状態レポート</t>
  </si>
  <si>
    <t>Créé</t>
  </si>
  <si>
    <t>Creado</t>
  </si>
  <si>
    <t>Angelegt</t>
  </si>
  <si>
    <t>作成済</t>
  </si>
  <si>
    <t>Von</t>
  </si>
  <si>
    <t>Language</t>
  </si>
  <si>
    <t>en</t>
  </si>
  <si>
    <t>Polish</t>
  </si>
  <si>
    <t>Data</t>
  </si>
  <si>
    <t>Opis</t>
  </si>
  <si>
    <t>Zródlo</t>
  </si>
  <si>
    <t>Kontroler</t>
  </si>
  <si>
    <t>Wartosc</t>
  </si>
  <si>
    <t>Raport stanu silnika</t>
  </si>
  <si>
    <t>Utworzono</t>
  </si>
  <si>
    <t>Od</t>
  </si>
  <si>
    <t>Do</t>
  </si>
  <si>
    <t>Urzadzenie</t>
  </si>
  <si>
    <t>Grupa urzadzen</t>
  </si>
  <si>
    <t>Portuguese-Brazil</t>
  </si>
  <si>
    <t>Grupo de dispositivo</t>
  </si>
  <si>
    <t>Descrição</t>
  </si>
  <si>
    <t>Fonte</t>
  </si>
  <si>
    <t>Controlador</t>
  </si>
  <si>
    <t>Relatório do status do motor</t>
  </si>
  <si>
    <t>Criado em</t>
  </si>
  <si>
    <t>Dutch</t>
  </si>
  <si>
    <t>Apparaat</t>
  </si>
  <si>
    <t>Apparaatgroep</t>
  </si>
  <si>
    <t>Omschrijving</t>
  </si>
  <si>
    <t>Bron</t>
  </si>
  <si>
    <t>Controller</t>
  </si>
  <si>
    <t>Waarde</t>
  </si>
  <si>
    <t>Rapport Motorstatus</t>
  </si>
  <si>
    <t>Aangemaakt</t>
  </si>
  <si>
    <t>Van</t>
  </si>
  <si>
    <t>Italian</t>
  </si>
  <si>
    <t>Descrizione</t>
  </si>
  <si>
    <t>Sorgente</t>
  </si>
  <si>
    <t>Valore</t>
  </si>
  <si>
    <t>Gruppo di dispositivi</t>
  </si>
  <si>
    <t>Report di stato del motore</t>
  </si>
  <si>
    <t>Creato</t>
  </si>
  <si>
    <t>设备</t>
  </si>
  <si>
    <t>设备的组名</t>
  </si>
  <si>
    <t>控制器</t>
  </si>
  <si>
    <t>发动机状态报告</t>
  </si>
  <si>
    <t>创建日期</t>
  </si>
  <si>
    <t>自</t>
  </si>
  <si>
    <t>至</t>
  </si>
  <si>
    <t>Simplified Chinese</t>
  </si>
  <si>
    <t>日期</t>
  </si>
  <si>
    <t>描述</t>
  </si>
  <si>
    <t>来源</t>
  </si>
  <si>
    <t>值</t>
  </si>
  <si>
    <t>TimeZone</t>
  </si>
  <si>
    <t>America/New_York</t>
  </si>
  <si>
    <t>**Time Zone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</si>
  <si>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</si>
  <si>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</si>
  <si>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</si>
  <si>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</si>
  <si>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</si>
  <si>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</si>
  <si>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</si>
  <si>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</si>
  <si>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</si>
  <si>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Thai</t>
  </si>
  <si>
    <t>อุปกรณ์</t>
  </si>
  <si>
    <t>กลุ่มอุปกรณ์</t>
  </si>
  <si>
    <t>วันที่</t>
  </si>
  <si>
    <t>คำอธิบาย</t>
  </si>
  <si>
    <t>แหล่ง</t>
  </si>
  <si>
    <t>ตัวควบคุม</t>
  </si>
  <si>
    <t>ค่า</t>
  </si>
  <si>
    <t>รายงานสถานะเครื่องยนต์</t>
  </si>
  <si>
    <t>สร้างแล้ว</t>
  </si>
  <si>
    <t>จาก</t>
  </si>
  <si>
    <t>ถึง</t>
  </si>
  <si>
    <t>โซนเวลา</t>
  </si>
  <si>
    <t>Du</t>
  </si>
  <si>
    <t>Desde</t>
  </si>
  <si>
    <t>開始日</t>
  </si>
  <si>
    <t>Dal</t>
  </si>
  <si>
    <t>Au</t>
  </si>
  <si>
    <t>Hasta</t>
  </si>
  <si>
    <t>Bis</t>
  </si>
  <si>
    <t>終了日</t>
  </si>
  <si>
    <t>Até</t>
  </si>
  <si>
    <t>Tot</t>
  </si>
  <si>
    <t>Al</t>
  </si>
  <si>
    <t>Indonesian</t>
  </si>
  <si>
    <t>Perangkat</t>
  </si>
  <si>
    <t>Grup Perangkat</t>
  </si>
  <si>
    <t>Tanggal</t>
  </si>
  <si>
    <t>Deskripsi</t>
  </si>
  <si>
    <t>Sumber</t>
  </si>
  <si>
    <t>Pengontrol</t>
  </si>
  <si>
    <t>Nilai</t>
  </si>
  <si>
    <t>Laporan Status Mesin</t>
  </si>
  <si>
    <t>Dibuat</t>
  </si>
  <si>
    <t>Dari</t>
  </si>
  <si>
    <t>Hingga</t>
  </si>
  <si>
    <t>Zona Waktu</t>
  </si>
  <si>
    <t>Czech</t>
  </si>
  <si>
    <t>Swedish</t>
  </si>
  <si>
    <t>Zařízení</t>
  </si>
  <si>
    <t>Enhet</t>
  </si>
  <si>
    <t>Skupina zařízení</t>
  </si>
  <si>
    <t>Enhetsgrupp</t>
  </si>
  <si>
    <t>Popis</t>
  </si>
  <si>
    <t>Beskrivning</t>
  </si>
  <si>
    <t>Zdroj</t>
  </si>
  <si>
    <t>Källa</t>
  </si>
  <si>
    <t>Ovladač</t>
  </si>
  <si>
    <t>Kontrollant</t>
  </si>
  <si>
    <t>Hodnota</t>
  </si>
  <si>
    <t>Värde</t>
  </si>
  <si>
    <t>Výkaz o stavu motoru</t>
  </si>
  <si>
    <t>Motorstatusrapport</t>
  </si>
  <si>
    <t>Vytvořeno</t>
  </si>
  <si>
    <t>Skapad</t>
  </si>
  <si>
    <t>Från</t>
  </si>
  <si>
    <t>Do/pro</t>
  </si>
  <si>
    <t>Till</t>
  </si>
  <si>
    <t>Časové pásmo</t>
  </si>
  <si>
    <t>Tidszon</t>
  </si>
  <si>
    <t>**&lt;No User&gt;</t>
  </si>
  <si>
    <t>.StatusData.Device.DeviceName</t>
  </si>
  <si>
    <t>.StatusData.Device.DeviceId</t>
  </si>
  <si>
    <t>.StatusData.Device.DeviceGroup</t>
  </si>
  <si>
    <t>.StatusData.Diagnostic.DiagnosticName</t>
  </si>
  <si>
    <t>StatusDataRecordDisplayData</t>
  </si>
  <si>
    <t>StatusDataRecordUnitOfMeasureName</t>
  </si>
  <si>
    <t>b1</t>
  </si>
  <si>
    <t>km</t>
  </si>
  <si>
    <t>Device power change (1 = powered)</t>
  </si>
  <si>
    <t>Template Company Name</t>
  </si>
  <si>
    <t>**Odometer Jump Report</t>
  </si>
  <si>
    <t>**Days</t>
  </si>
  <si>
    <t>DistanceUnit</t>
  </si>
  <si>
    <t>SpeedUnit</t>
  </si>
  <si>
    <t>km/h</t>
  </si>
  <si>
    <t>**Distance Unit</t>
  </si>
  <si>
    <t>**Time</t>
  </si>
  <si>
    <t>Last Known Odometer</t>
  </si>
  <si>
    <t>Odometer Jump</t>
  </si>
  <si>
    <t>Template Vehicle 1</t>
  </si>
  <si>
    <t xml:space="preserve"> Template Group 1</t>
  </si>
  <si>
    <t>Odometer</t>
  </si>
  <si>
    <t>**Units</t>
  </si>
  <si>
    <t>Last Log Unplugged</t>
  </si>
  <si>
    <t>Mileage Jump</t>
  </si>
  <si>
    <t>**Jump Value</t>
  </si>
  <si>
    <t>Include?</t>
  </si>
  <si>
    <t>Flag</t>
  </si>
  <si>
    <t>**Unplug Time</t>
  </si>
  <si>
    <t>**Plug Time</t>
  </si>
  <si>
    <t>**Start Odometer</t>
  </si>
  <si>
    <t>**End Odometer</t>
  </si>
  <si>
    <t>Sum of Mileage Jump</t>
  </si>
  <si>
    <t>None</t>
  </si>
  <si>
    <t>Translations</t>
  </si>
  <si>
    <t>**Odometer Jump Value</t>
  </si>
  <si>
    <t>C</t>
  </si>
  <si>
    <t>û</t>
  </si>
  <si>
    <t>**No Odometer Jump Events Found</t>
  </si>
  <si>
    <t>**There seems to be a Problem with data in this report. Contact your Administrator.</t>
  </si>
  <si>
    <t>Number of entries</t>
  </si>
  <si>
    <t>**Vehicle and Unplug Record</t>
  </si>
  <si>
    <t>Picture Formula</t>
  </si>
  <si>
    <t>126.14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</si>
</sst>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mmm\ dd\,\ yyyy"/>
    <numFmt numFmtId="170" formatCode="dd/mm/yyyy\ h:mm:ss\ AM/PM"/>
    <numFmt numFmtId="171" formatCode="[$-409]h:mm:ss\ AM/PM"/>
    <numFmt numFmtId="172" formatCode="mmm\ dd\,\ yyyy"/>
    <numFmt numFmtId="173" formatCode="mmm\ dd\,\ yyyy\ h:mm:ss\ AM/PM"/>
    <numFmt numFmtId="174" formatCode="mmm\ dd\,\ h:mm"/>
  </numFmts>
  <fonts count="25" x14ac:knownFonts="1">
    <font>
      <sz val="10"/>
      <name val="Arial"/>
      <family val="2"/>
    </font>
    <font>
      <b/>
      <sz val="7"/>
      <color indexed="8"/>
      <name val="Tahoma"/>
      <family val="2"/>
    </font>
    <font>
      <sz val="10"/>
      <name val="Arial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  <font>
      <sz val="11"/>
      <name val="Segoe UI"/>
      <family val="2"/>
    </font>
    <font>
      <sz val="11"/>
      <color theme="0" tint="-0.34998626667073579"/>
      <name val="Segoe UI"/>
      <family val="2"/>
    </font>
    <font>
      <sz val="12"/>
      <name val="Segoe UI"/>
      <family val="2"/>
    </font>
    <font>
      <sz val="18"/>
      <color theme="0"/>
      <name val="Segoe UI"/>
      <family val="2"/>
    </font>
    <font>
      <sz val="12"/>
      <color theme="0"/>
      <name val="Segoe UI"/>
      <family val="2"/>
    </font>
    <font>
      <sz val="16"/>
      <color theme="3"/>
      <name val="Segoe UI"/>
      <family val="2"/>
    </font>
    <font>
      <sz val="10"/>
      <name val="Wingdings"/>
      <charset val="2"/>
    </font>
    <font>
      <sz val="72"/>
      <name val="Wingdings"/>
      <charset val="2"/>
    </font>
    <font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10" borderId="0" applyNumberFormat="0"/>
    <xf numFmtId="0" fontId="4" fillId="0" borderId="0"/>
    <xf numFmtId="0" fontId="7" fillId="0" borderId="0" applyNumberFormat="0" applyAlignment="0"/>
    <xf numFmtId="0" fontId="8" fillId="10" borderId="0" applyNumberFormat="0"/>
    <xf numFmtId="169" fontId="4" fillId="10" borderId="0"/>
    <xf numFmtId="0" fontId="9" fillId="0" borderId="0" applyNumberFormat="0"/>
    <xf numFmtId="0" fontId="10" fillId="0" borderId="0" applyNumberFormat="0"/>
    <xf numFmtId="0" fontId="11" fillId="0" borderId="0" applyNumberFormat="0" applyFill="0" applyBorder="0" applyAlignment="0" applyProtection="0">
      <alignment horizontal="right"/>
    </xf>
    <xf numFmtId="0" fontId="9" fillId="0" borderId="0" applyNumberFormat="0"/>
    <xf numFmtId="0" fontId="7" fillId="0" borderId="0" applyNumberFormat="0" applyAlignment="0"/>
  </cellStyleXfs>
  <cellXfs count="67">
    <xf numFmtId="0" fontId="0" fillId="0" borderId="0" xfId="0"/>
    <xf numFmtId="0" fontId="1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/>
    <xf numFmtId="168" fontId="16" fillId="0" borderId="0" xfId="0" applyNumberFormat="1" applyFont="1"/>
    <xf numFmtId="0" fontId="18" fillId="0" borderId="0" xfId="0" applyFont="1"/>
    <xf numFmtId="0" fontId="16" fillId="0" borderId="0" xfId="15" applyFont="1"/>
    <xf numFmtId="0" fontId="14" fillId="11" borderId="0" xfId="16" applyFont="1" applyFill="1"/>
    <xf numFmtId="169" fontId="16" fillId="0" borderId="0" xfId="15" applyNumberFormat="1" applyFont="1" applyAlignment="1"/>
    <xf numFmtId="0" fontId="19" fillId="11" borderId="0" xfId="13" applyFont="1" applyFill="1" applyAlignment="1">
      <alignment vertical="top"/>
    </xf>
    <xf numFmtId="0" fontId="19" fillId="11" borderId="0" xfId="13" applyFont="1" applyFill="1"/>
    <xf numFmtId="169" fontId="20" fillId="11" borderId="0" xfId="15" applyNumberFormat="1" applyFont="1" applyFill="1" applyAlignment="1">
      <alignment horizontal="center"/>
    </xf>
    <xf numFmtId="2" fontId="19" fillId="11" borderId="0" xfId="13" applyNumberFormat="1" applyFont="1" applyFill="1" applyAlignment="1">
      <alignment horizontal="center"/>
    </xf>
    <xf numFmtId="10" fontId="19" fillId="11" borderId="0" xfId="13" applyNumberFormat="1" applyFont="1" applyFill="1" applyAlignment="1">
      <alignment horizontal="center"/>
    </xf>
    <xf numFmtId="0" fontId="21" fillId="0" borderId="0" xfId="0" applyFont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21" fillId="0" borderId="0" xfId="0" applyFont="1" applyFill="1"/>
    <xf numFmtId="0" fontId="16" fillId="0" borderId="0" xfId="0" applyFont="1" applyFill="1"/>
    <xf numFmtId="0" fontId="16" fillId="0" borderId="0" xfId="20" applyFont="1" applyFill="1" applyAlignment="1"/>
    <xf numFmtId="169" fontId="16" fillId="0" borderId="0" xfId="15" applyNumberFormat="1" applyFont="1" applyFill="1" applyAlignment="1"/>
    <xf numFmtId="169" fontId="16" fillId="0" borderId="2" xfId="21" applyNumberFormat="1" applyFont="1" applyFill="1" applyBorder="1" applyAlignment="1">
      <alignment horizontal="center" vertical="center"/>
    </xf>
    <xf numFmtId="1" fontId="16" fillId="0" borderId="2" xfId="21" applyNumberFormat="1" applyFont="1" applyFill="1" applyBorder="1" applyAlignment="1">
      <alignment horizontal="center" vertical="center"/>
    </xf>
    <xf numFmtId="0" fontId="16" fillId="0" borderId="0" xfId="21" applyFont="1" applyFill="1" applyBorder="1" applyAlignment="1">
      <alignment horizontal="center" vertical="center"/>
    </xf>
    <xf numFmtId="1" fontId="16" fillId="0" borderId="0" xfId="21" applyNumberFormat="1" applyFont="1" applyFill="1" applyBorder="1" applyAlignment="1">
      <alignment horizontal="center" vertical="center"/>
    </xf>
    <xf numFmtId="0" fontId="17" fillId="0" borderId="0" xfId="20" applyFont="1" applyFill="1" applyAlignment="1"/>
    <xf numFmtId="0" fontId="16" fillId="0" borderId="0" xfId="15" applyNumberFormat="1" applyFont="1" applyFill="1" applyAlignment="1"/>
    <xf numFmtId="0" fontId="15" fillId="12" borderId="2" xfId="21" applyFont="1" applyFill="1" applyBorder="1" applyAlignment="1">
      <alignment horizontal="center" vertical="center"/>
    </xf>
    <xf numFmtId="170" fontId="3" fillId="0" borderId="0" xfId="0" applyNumberFormat="1" applyFont="1" applyAlignment="1">
      <alignment horizontal="left"/>
    </xf>
    <xf numFmtId="0" fontId="16" fillId="13" borderId="2" xfId="21" applyFont="1" applyFill="1" applyBorder="1" applyAlignment="1">
      <alignment horizontal="center" vertical="center"/>
    </xf>
    <xf numFmtId="0" fontId="20" fillId="11" borderId="0" xfId="20" applyFont="1" applyFill="1" applyAlignment="1"/>
    <xf numFmtId="0" fontId="20" fillId="11" borderId="0" xfId="20" applyFont="1" applyFill="1" applyAlignment="1">
      <alignment horizontal="center"/>
    </xf>
    <xf numFmtId="172" fontId="16" fillId="0" borderId="0" xfId="15" applyNumberFormat="1" applyFont="1" applyAlignment="1">
      <alignment horizontal="center"/>
    </xf>
    <xf numFmtId="171" fontId="16" fillId="0" borderId="0" xfId="15" applyNumberFormat="1" applyFont="1" applyAlignment="1">
      <alignment horizontal="center"/>
    </xf>
    <xf numFmtId="0" fontId="20" fillId="11" borderId="0" xfId="22" applyFont="1" applyFill="1"/>
    <xf numFmtId="1" fontId="16" fillId="0" borderId="0" xfId="22" applyNumberFormat="1" applyFont="1" applyAlignment="1">
      <alignment horizontal="left"/>
    </xf>
    <xf numFmtId="173" fontId="20" fillId="11" borderId="0" xfId="22" applyNumberFormat="1" applyFont="1" applyFill="1"/>
    <xf numFmtId="173" fontId="16" fillId="0" borderId="0" xfId="22" applyNumberFormat="1" applyFont="1" applyAlignment="1">
      <alignment horizontal="left"/>
    </xf>
    <xf numFmtId="0" fontId="15" fillId="12" borderId="2" xfId="2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23" fillId="0" borderId="0" xfId="0" applyFont="1" applyAlignment="1">
      <alignment horizontal="center" vertical="top"/>
    </xf>
    <xf numFmtId="0" fontId="0" fillId="0" borderId="0" xfId="0" pivotButton="1"/>
    <xf numFmtId="1" fontId="16" fillId="0" borderId="0" xfId="0" applyNumberFormat="1" applyFont="1"/>
    <xf numFmtId="174" fontId="16" fillId="0" borderId="0" xfId="0" applyNumberFormat="1" applyFont="1"/>
    <xf numFmtId="2" fontId="16" fillId="0" borderId="0" xfId="0" applyNumberFormat="1" applyFont="1"/>
    <xf numFmtId="2" fontId="16" fillId="0" borderId="0" xfId="22" applyNumberFormat="1" applyFont="1" applyAlignment="1">
      <alignment horizontal="left"/>
    </xf>
    <xf numFmtId="2" fontId="19" fillId="11" borderId="0" xfId="13" applyNumberFormat="1" applyFont="1" applyFill="1"/>
    <xf numFmtId="2" fontId="16" fillId="0" borderId="0" xfId="0" applyNumberFormat="1" applyFont="1" applyFill="1"/>
    <xf numFmtId="2" fontId="20" fillId="11" borderId="0" xfId="22" applyNumberFormat="1" applyFont="1" applyFill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4" fillId="0" borderId="0" xfId="0" pivotButton="1" applyFont="1"/>
    <xf numFmtId="0" fontId="24" fillId="0" borderId="0" xfId="0" applyFont="1"/>
    <xf numFmtId="1" fontId="24" fillId="0" borderId="0" xfId="0" applyNumberFormat="1" applyFont="1"/>
    <xf numFmtId="174" fontId="24" fillId="0" borderId="0" xfId="0" applyNumberFormat="1" applyFont="1"/>
    <xf numFmtId="2" fontId="24" fillId="0" borderId="0" xfId="0" applyNumberFormat="1" applyFont="1"/>
    <xf numFmtId="173" fontId="24" fillId="0" borderId="0" xfId="0" applyNumberFormat="1" applyFont="1"/>
    <xf numFmtId="0" fontId="15" fillId="12" borderId="2" xfId="21" applyFont="1" applyFill="1" applyBorder="1" applyAlignment="1">
      <alignment horizontal="center" vertical="center"/>
    </xf>
  </cellXfs>
  <cellStyles count="2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Body" xfId="22" xr:uid="{1E5CDBAD-E525-4E2C-888F-A175B6458EAA}"/>
    <cellStyle name="Geotab Report Field Name" xfId="21" xr:uid="{00000000-0005-0000-0000-00000C000000}"/>
    <cellStyle name="Heading" xfId="13" xr:uid="{00000000-0005-0000-0000-00000D000000}"/>
    <cellStyle name="Normal" xfId="0" builtinId="0" customBuiltin="1"/>
    <cellStyle name="Normal 2 2" xfId="14" xr:uid="{00000000-0005-0000-0000-00000F000000}"/>
    <cellStyle name="Report Body" xfId="15" xr:uid="{00000000-0005-0000-0000-000010000000}"/>
    <cellStyle name="Report Column Header" xfId="16" xr:uid="{00000000-0005-0000-0000-000011000000}"/>
    <cellStyle name="Report Creation DateTime" xfId="17" xr:uid="{00000000-0005-0000-0000-000012000000}"/>
    <cellStyle name="Report Field Name" xfId="18" xr:uid="{00000000-0005-0000-0000-000013000000}"/>
    <cellStyle name="Report Name" xfId="19" xr:uid="{00000000-0005-0000-0000-000014000000}"/>
    <cellStyle name="StandardReportHeading" xfId="20" xr:uid="{00000000-0005-0000-0000-000015000000}"/>
  </cellStyles>
  <dxfs count="49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2" formatCode="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2" formatCode="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>
          <bgColor theme="2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2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8"/>
        </patternFill>
      </fill>
    </dxf>
    <dxf>
      <font>
        <b/>
        <i val="0"/>
        <color theme="1"/>
      </font>
      <fill>
        <patternFill patternType="solid">
          <fgColor theme="5" tint="0.79985961485641044"/>
          <bgColor theme="0" tint="-4.9989318521683403E-2"/>
        </patternFill>
      </fill>
      <border>
        <top style="thin">
          <color theme="5" tint="0.39997558519241921"/>
        </top>
      </border>
    </dxf>
    <dxf>
      <font>
        <b/>
        <i val="0"/>
        <color theme="1"/>
      </font>
      <fill>
        <patternFill patternType="solid">
          <fgColor theme="5" tint="0.79989013336588644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color theme="3"/>
      </font>
    </dxf>
  </dxfs>
  <tableStyles count="2" defaultTableStyle="TableStyleMedium9" defaultPivotStyle="PivotStyleLightCustom 2">
    <tableStyle name="PivotStyleLightCustom" table="0" count="12" xr9:uid="{00000000-0011-0000-FFFF-FFFF00000000}">
      <tableStyleElement type="wholeTable" dxfId="48"/>
      <tableStyleElement type="headerRow" dxfId="47"/>
      <tableStyleElement type="totalRow" dxfId="46"/>
      <tableStyleElement type="secondRowStripe" dxfId="45"/>
      <tableStyleElement type="firstColumnStripe" dxfId="44"/>
      <tableStyleElement type="firstSubtotalColumn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  <tableStyle name="PivotStyleLightCustom 2" table="0" count="3" xr9:uid="{00000000-0011-0000-FFFF-FFFF01000000}">
      <tableStyleElement type="header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[Odometer Jump Report 20221027.xlsx]Processor!PivotTable1</c:name>
    <c:fmtId val="0"/>
  </c:pivotSource>
  <c:chart>
    <c:title>
      <c:tx>
        <c:strRef>
          <c:f>Processor!$A$1</c:f>
          <c:strCache>
            <c:ptCount val="1"/>
            <c:pt idx="0">
              <c:v>**Odometer Jump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Processor!$A$20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Processor!$A$20</c:f>
              <c:multiLvlStrCache>
                <c:ptCount val="1"/>
                <c:lvl>
                  <c:pt idx="0">
                    <c:v>Jul 06, 6:00</c:v>
                  </c:pt>
                </c:lvl>
                <c:lvl>
                  <c:pt idx="0">
                    <c:v>Template Vehicle 1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Processor!$A$20</c:f>
              <c:numCache>
                <c:formatCode>0.00</c:formatCode>
                <c:ptCount val="1"/>
                <c:pt idx="0">
                  <c:v>126.13831300000311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3-49B2-BB91-3AF6787A79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2013616"/>
        <c:axId val="582010704"/>
      </c:barChart>
      <c:catAx>
        <c:axId val="58201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582010704"/>
        <c:crosses val="autoZero"/>
        <c:auto val="1"/>
        <c:lblAlgn val="ctr"/>
        <c:lblOffset val="100"/>
        <c:noMultiLvlLbl val="0"/>
      </c:catAx>
      <c:valAx>
        <c:axId val="5820107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strRef>
              <c:f>Processor!$A$20</c:f>
              <c:strCache>
                <c:ptCount val="1"/>
                <c:pt idx="0">
                  <c:v>**Odometer Jump Value (km)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58201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371551"/>
        <c:axId val="832369471"/>
      </c:barChart>
      <c:catAx>
        <c:axId val="832371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69471"/>
        <c:crosses val="autoZero"/>
        <c:auto val="1"/>
        <c:lblAlgn val="ctr"/>
        <c:lblOffset val="100"/>
        <c:noMultiLvlLbl val="0"/>
      </c:catAx>
      <c:valAx>
        <c:axId val="8323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7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13</xdr:row>
      <xdr:rowOff>95250</xdr:rowOff>
    </xdr:from>
    <xdr:to>
      <xdr:col>0</xdr:col>
      <xdr:colOff>5312092</xdr:colOff>
      <xdr:row>13</xdr:row>
      <xdr:rowOff>2747010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D93A8-5658-5392-623B-338506250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14</xdr:row>
      <xdr:rowOff>1200149</xdr:rowOff>
    </xdr:from>
    <xdr:to>
      <xdr:col>0</xdr:col>
      <xdr:colOff>5191125</xdr:colOff>
      <xdr:row>14</xdr:row>
      <xdr:rowOff>1971674</xdr:rowOff>
    </xdr:to>
    <xdr:sp macro="" textlink="$A$25">
      <xdr:nvSpPr>
        <xdr:cNvPr id="3" name="TextBox 2">
          <a:extLst>
            <a:ext uri="{FF2B5EF4-FFF2-40B4-BE49-F238E27FC236}">
              <a16:creationId xmlns:a16="http://schemas.microsoft.com/office/drawing/2014/main" id="{A17B0E8F-1018-43D0-90C9-F9E3ABCE3FE7}"/>
            </a:ext>
          </a:extLst>
        </xdr:cNvPr>
        <xdr:cNvSpPr txBox="1"/>
      </xdr:nvSpPr>
      <xdr:spPr>
        <a:xfrm>
          <a:off x="161925" y="6867524"/>
          <a:ext cx="5029200" cy="771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C2B821E-91EF-45F3-889E-C70472FA70B7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**There seems to be a Problem with data in this report. Contact your Administrator.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1705207</xdr:colOff>
      <xdr:row>13</xdr:row>
      <xdr:rowOff>2456288</xdr:rowOff>
    </xdr:from>
    <xdr:to>
      <xdr:col>0</xdr:col>
      <xdr:colOff>3781657</xdr:colOff>
      <xdr:row>13</xdr:row>
      <xdr:rowOff>2629829</xdr:rowOff>
    </xdr:to>
    <xdr:sp macro="" textlink="$A$18">
      <xdr:nvSpPr>
        <xdr:cNvPr id="4" name="TextBox 3">
          <a:extLst>
            <a:ext uri="{FF2B5EF4-FFF2-40B4-BE49-F238E27FC236}">
              <a16:creationId xmlns:a16="http://schemas.microsoft.com/office/drawing/2014/main" id="{93B1FFC4-BB0B-4B08-89D8-DE52A500E024}"/>
            </a:ext>
          </a:extLst>
        </xdr:cNvPr>
        <xdr:cNvSpPr txBox="1"/>
      </xdr:nvSpPr>
      <xdr:spPr>
        <a:xfrm>
          <a:off x="1705207" y="5453178"/>
          <a:ext cx="2076450" cy="1735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BE5E4C-88CF-4974-BF00-0B2813F884EA}" type="TxLink">
            <a:rPr lang="en-US" sz="800" b="0" i="0" u="none" strike="noStrike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**Vehicle and Unplug Record</a:t>
          </a:fld>
          <a:endParaRPr lang="en-US" sz="800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9</xdr:row>
          <xdr:rowOff>0</xdr:rowOff>
        </xdr:from>
        <xdr:to>
          <xdr:col>17</xdr:col>
          <xdr:colOff>276225</xdr:colOff>
          <xdr:row>21</xdr:row>
          <xdr:rowOff>123825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7513E28-23BD-9DD8-EF64-9A496CBC0B04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Picture" spid="_x0000_s307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1277600" y="2181225"/>
              <a:ext cx="5381625" cy="2667000"/>
            </a:xfrm>
            <a:prstGeom prst="rect">
              <a:avLst/>
            </a:prstGeom>
            <a:ln>
              <a:noFill/>
            </a:ln>
          </xdr:spPr>
        </xdr:pic>
        <xdr:clientData/>
      </xdr:twoCellAnchor>
    </mc:Choice>
    <mc:Fallback/>
  </mc:AlternateContent>
  <xdr:twoCellAnchor>
    <xdr:from>
      <xdr:col>8</xdr:col>
      <xdr:colOff>352424</xdr:colOff>
      <xdr:row>8</xdr:row>
      <xdr:rowOff>180975</xdr:rowOff>
    </xdr:from>
    <xdr:to>
      <xdr:col>17</xdr:col>
      <xdr:colOff>352424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C2E159-899E-9821-8C12-7514CACB5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4861.425625231481" missingItemsLimit="0" createdVersion="4" refreshedVersion="8" recordCount="37" xr:uid="{00000000-000A-0000-FFFF-FFFF73060000}">
  <cacheSource type="worksheet">
    <worksheetSource name="AllData"/>
  </cacheSource>
  <cacheFields count="18">
    <cacheField name="**Device" numFmtId="0">
      <sharedItems count="1">
        <s v="Template Vehicle 1"/>
      </sharedItems>
    </cacheField>
    <cacheField name="**Device Group" numFmtId="0">
      <sharedItems/>
    </cacheField>
    <cacheField name="**Date" numFmtId="172">
      <sharedItems containsSemiMixedTypes="0" containsNonDate="0" containsDate="1" containsString="0" minDate="2022-07-06T00:00:00" maxDate="2022-07-08T00:00:00"/>
    </cacheField>
    <cacheField name="**Time" numFmtId="171">
      <sharedItems containsSemiMixedTypes="0" containsNonDate="0" containsDate="1" containsString="0" minDate="1899-12-30T05:23:00" maxDate="1899-12-30T20:38:35"/>
    </cacheField>
    <cacheField name="**Description" numFmtId="0">
      <sharedItems count="2">
        <s v="Odometer"/>
        <s v="Device power change (1 = powered)"/>
      </sharedItems>
    </cacheField>
    <cacheField name="Last Known Odometer" numFmtId="1">
      <sharedItems containsSemiMixedTypes="0" containsString="0" containsNumber="1" minValue="131676.59272300001" maxValue="131820.12942400001"/>
    </cacheField>
    <cacheField name="Odometer Jump" numFmtId="2">
      <sharedItems containsSemiMixedTypes="0" containsString="0" containsNumber="1" minValue="0" maxValue="126.13831300000311"/>
    </cacheField>
    <cacheField name="**Start Odometer" numFmtId="1">
      <sharedItems containsSemiMixedTypes="0" containsString="0" containsNumber="1" minValue="0" maxValue="131679.07820700001" count="2">
        <n v="0"/>
        <n v="131679.07820700001"/>
      </sharedItems>
    </cacheField>
    <cacheField name="**End Odometer" numFmtId="1">
      <sharedItems containsSemiMixedTypes="0" containsString="0" containsNumber="1" minValue="0" maxValue="131805.21652000002" count="2">
        <n v="0"/>
        <n v="131805.21652000002"/>
      </sharedItems>
    </cacheField>
    <cacheField name="**Unplug Time" numFmtId="173">
      <sharedItems containsDate="1" containsMixedTypes="1" minDate="2022-07-06T06:00:12" maxDate="2022-07-06T06:00:12" count="2">
        <s v=""/>
        <d v="2022-07-06T06:00:12"/>
      </sharedItems>
    </cacheField>
    <cacheField name="**Plug Time" numFmtId="173">
      <sharedItems containsDate="1" containsMixedTypes="1" minDate="2022-07-07T12:48:14" maxDate="2022-07-07T12:48:14" count="2">
        <s v=""/>
        <d v="2022-07-07T12:48:14"/>
      </sharedItems>
    </cacheField>
    <cacheField name="Last Log Unplugged" numFmtId="1">
      <sharedItems/>
    </cacheField>
    <cacheField name="Mileage Jump" numFmtId="0">
      <sharedItems containsSemiMixedTypes="0" containsString="0" containsNumber="1" minValue="0" maxValue="126.13831300000311"/>
    </cacheField>
    <cacheField name="**Jump Value" numFmtId="1">
      <sharedItems count="2">
        <s v=". km"/>
        <s v="126.14 km"/>
      </sharedItems>
    </cacheField>
    <cacheField name="Include?" numFmtId="1">
      <sharedItems/>
    </cacheField>
    <cacheField name="Flag" numFmtId="1">
      <sharedItems containsSemiMixedTypes="0" containsString="0" containsNumber="1" containsInteger="1" minValue="0" maxValue="1" count="2">
        <n v="0"/>
        <n v="1"/>
      </sharedItems>
    </cacheField>
    <cacheField name="**Value" numFmtId="1">
      <sharedItems containsSemiMixedTypes="0" containsString="0" containsNumber="1" minValue="0" maxValue="131820.12942400001"/>
    </cacheField>
    <cacheField name="**Uni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 Template Group 1"/>
    <d v="2022-07-06T00:00:00"/>
    <d v="1899-12-30T05:23:00"/>
    <x v="0"/>
    <n v="131676.59272300001"/>
    <n v="0"/>
    <x v="0"/>
    <x v="0"/>
    <x v="0"/>
    <x v="0"/>
    <s v=""/>
    <n v="0"/>
    <x v="0"/>
    <b v="0"/>
    <x v="0"/>
    <n v="131676.59272300001"/>
    <s v="km"/>
  </r>
  <r>
    <x v="0"/>
    <s v=" Template Group 1"/>
    <d v="2022-07-06T00:00:00"/>
    <d v="1899-12-30T05:26:29"/>
    <x v="0"/>
    <n v="131677.83546500001"/>
    <n v="1.2427420000021812"/>
    <x v="0"/>
    <x v="0"/>
    <x v="0"/>
    <x v="0"/>
    <s v=""/>
    <n v="0"/>
    <x v="0"/>
    <b v="0"/>
    <x v="0"/>
    <n v="131677.83546500001"/>
    <s v="km"/>
  </r>
  <r>
    <x v="0"/>
    <s v=" Template Group 1"/>
    <d v="2022-07-06T00:00:00"/>
    <d v="1899-12-30T05:27:29"/>
    <x v="0"/>
    <n v="131678.456836"/>
    <n v="0.62137099998653866"/>
    <x v="0"/>
    <x v="0"/>
    <x v="0"/>
    <x v="0"/>
    <s v=""/>
    <n v="0"/>
    <x v="0"/>
    <b v="0"/>
    <x v="0"/>
    <n v="131678.456836"/>
    <s v="km"/>
  </r>
  <r>
    <x v="0"/>
    <s v=" Template Group 1"/>
    <d v="2022-07-06T00:00:00"/>
    <d v="1899-12-30T05:28:19"/>
    <x v="0"/>
    <n v="131679.07820700001"/>
    <n v="0.62137100001564249"/>
    <x v="0"/>
    <x v="0"/>
    <x v="0"/>
    <x v="0"/>
    <s v=""/>
    <n v="0"/>
    <x v="0"/>
    <b v="0"/>
    <x v="0"/>
    <n v="131679.07820700001"/>
    <s v="km"/>
  </r>
  <r>
    <x v="0"/>
    <s v=" Template Group 1"/>
    <d v="2022-07-06T00:00:00"/>
    <d v="1899-12-30T05:28:57"/>
    <x v="0"/>
    <n v="131679.07820700001"/>
    <n v="0"/>
    <x v="0"/>
    <x v="0"/>
    <x v="0"/>
    <x v="0"/>
    <s v=""/>
    <n v="0"/>
    <x v="0"/>
    <b v="0"/>
    <x v="0"/>
    <n v="131679.07820700001"/>
    <s v="km"/>
  </r>
  <r>
    <x v="0"/>
    <s v=" Template Group 1"/>
    <d v="2022-07-06T00:00:00"/>
    <d v="1899-12-30T05:59:51"/>
    <x v="0"/>
    <n v="131679.07820700001"/>
    <n v="0"/>
    <x v="0"/>
    <x v="0"/>
    <x v="0"/>
    <x v="0"/>
    <s v=""/>
    <n v="0"/>
    <x v="0"/>
    <b v="0"/>
    <x v="0"/>
    <n v="131679.07820700001"/>
    <s v="km"/>
  </r>
  <r>
    <x v="0"/>
    <s v=" Template Group 1"/>
    <d v="2022-07-06T00:00:00"/>
    <d v="1899-12-30T06:00:12"/>
    <x v="1"/>
    <n v="131679.07820700001"/>
    <n v="0"/>
    <x v="1"/>
    <x v="0"/>
    <x v="1"/>
    <x v="0"/>
    <s v=""/>
    <n v="0"/>
    <x v="0"/>
    <b v="0"/>
    <x v="0"/>
    <n v="0"/>
    <s v="None"/>
  </r>
  <r>
    <x v="0"/>
    <s v=" Template Group 1"/>
    <d v="2022-07-07T00:00:00"/>
    <d v="1899-12-30T12:48:14"/>
    <x v="1"/>
    <n v="131679.07820700001"/>
    <n v="0"/>
    <x v="1"/>
    <x v="1"/>
    <x v="1"/>
    <x v="1"/>
    <b v="0"/>
    <n v="0"/>
    <x v="0"/>
    <b v="0"/>
    <x v="0"/>
    <n v="1"/>
    <s v="None"/>
  </r>
  <r>
    <x v="0"/>
    <s v=" Template Group 1"/>
    <d v="2022-07-07T00:00:00"/>
    <d v="1899-12-30T15:35:45"/>
    <x v="0"/>
    <n v="131805.21652000002"/>
    <n v="126.13831300000311"/>
    <x v="1"/>
    <x v="1"/>
    <x v="1"/>
    <x v="1"/>
    <b v="1"/>
    <n v="126.13831300000311"/>
    <x v="1"/>
    <b v="1"/>
    <x v="1"/>
    <n v="131805.21652000002"/>
    <s v="km"/>
  </r>
  <r>
    <x v="0"/>
    <s v=" Template Group 1"/>
    <d v="2022-07-07T00:00:00"/>
    <d v="1899-12-30T15:37:25"/>
    <x v="0"/>
    <n v="131805.837891"/>
    <n v="0.62137099998653866"/>
    <x v="1"/>
    <x v="1"/>
    <x v="1"/>
    <x v="1"/>
    <b v="0"/>
    <n v="0"/>
    <x v="0"/>
    <b v="0"/>
    <x v="0"/>
    <n v="131805.837891"/>
    <s v="km"/>
  </r>
  <r>
    <x v="0"/>
    <s v=" Template Group 1"/>
    <d v="2022-07-07T00:00:00"/>
    <d v="1899-12-30T15:38:10"/>
    <x v="0"/>
    <n v="131806.45926199999"/>
    <n v="0.62137099998653866"/>
    <x v="1"/>
    <x v="1"/>
    <x v="1"/>
    <x v="1"/>
    <b v="0"/>
    <n v="0"/>
    <x v="0"/>
    <b v="0"/>
    <x v="0"/>
    <n v="131806.45926199999"/>
    <s v="km"/>
  </r>
  <r>
    <x v="0"/>
    <s v=" Template Group 1"/>
    <d v="2022-07-07T00:00:00"/>
    <d v="1899-12-30T15:38:55"/>
    <x v="0"/>
    <n v="131807.08063300001"/>
    <n v="0.62137100001564249"/>
    <x v="1"/>
    <x v="1"/>
    <x v="1"/>
    <x v="1"/>
    <b v="0"/>
    <n v="0"/>
    <x v="0"/>
    <b v="0"/>
    <x v="0"/>
    <n v="131807.08063300001"/>
    <s v="km"/>
  </r>
  <r>
    <x v="0"/>
    <s v=" Template Group 1"/>
    <d v="2022-07-07T00:00:00"/>
    <d v="1899-12-30T15:39:39"/>
    <x v="0"/>
    <n v="131807.70200399999"/>
    <n v="0.62137099998653866"/>
    <x v="1"/>
    <x v="1"/>
    <x v="1"/>
    <x v="1"/>
    <b v="0"/>
    <n v="0"/>
    <x v="0"/>
    <b v="0"/>
    <x v="0"/>
    <n v="131807.70200399999"/>
    <s v="km"/>
  </r>
  <r>
    <x v="0"/>
    <s v=" Template Group 1"/>
    <d v="2022-07-07T00:00:00"/>
    <d v="1899-12-30T15:40:14"/>
    <x v="0"/>
    <n v="131808.32337500001"/>
    <n v="0.62137100001564249"/>
    <x v="1"/>
    <x v="1"/>
    <x v="1"/>
    <x v="1"/>
    <b v="0"/>
    <n v="0"/>
    <x v="0"/>
    <b v="0"/>
    <x v="0"/>
    <n v="131808.32337500001"/>
    <s v="km"/>
  </r>
  <r>
    <x v="0"/>
    <s v=" Template Group 1"/>
    <d v="2022-07-07T00:00:00"/>
    <d v="1899-12-30T15:40:54"/>
    <x v="0"/>
    <n v="131808.94474599999"/>
    <n v="0.62137099998653866"/>
    <x v="1"/>
    <x v="1"/>
    <x v="1"/>
    <x v="1"/>
    <b v="0"/>
    <n v="0"/>
    <x v="0"/>
    <b v="0"/>
    <x v="0"/>
    <n v="131808.94474599999"/>
    <s v="km"/>
  </r>
  <r>
    <x v="0"/>
    <s v=" Template Group 1"/>
    <d v="2022-07-07T00:00:00"/>
    <d v="1899-12-30T15:41:34"/>
    <x v="0"/>
    <n v="131809.56611700001"/>
    <n v="0.62137100001564249"/>
    <x v="1"/>
    <x v="1"/>
    <x v="1"/>
    <x v="1"/>
    <b v="0"/>
    <n v="0"/>
    <x v="0"/>
    <b v="0"/>
    <x v="0"/>
    <n v="131809.56611700001"/>
    <s v="km"/>
  </r>
  <r>
    <x v="0"/>
    <s v=" Template Group 1"/>
    <d v="2022-07-07T00:00:00"/>
    <d v="1899-12-30T15:42:14"/>
    <x v="0"/>
    <n v="131810.187488"/>
    <n v="0.62137099998653866"/>
    <x v="1"/>
    <x v="1"/>
    <x v="1"/>
    <x v="1"/>
    <b v="0"/>
    <n v="0"/>
    <x v="0"/>
    <b v="0"/>
    <x v="0"/>
    <n v="131810.187488"/>
    <s v="km"/>
  </r>
  <r>
    <x v="0"/>
    <s v=" Template Group 1"/>
    <d v="2022-07-07T00:00:00"/>
    <d v="1899-12-30T15:42:49"/>
    <x v="0"/>
    <n v="131810.80885900001"/>
    <n v="0.62137100001564249"/>
    <x v="1"/>
    <x v="1"/>
    <x v="1"/>
    <x v="1"/>
    <b v="0"/>
    <n v="0"/>
    <x v="0"/>
    <b v="0"/>
    <x v="0"/>
    <n v="131810.80885900001"/>
    <s v="km"/>
  </r>
  <r>
    <x v="0"/>
    <s v=" Template Group 1"/>
    <d v="2022-07-07T00:00:00"/>
    <d v="1899-12-30T15:43:24"/>
    <x v="0"/>
    <n v="131811.43023"/>
    <n v="0.62137099998653866"/>
    <x v="1"/>
    <x v="1"/>
    <x v="1"/>
    <x v="1"/>
    <b v="0"/>
    <n v="0"/>
    <x v="0"/>
    <b v="0"/>
    <x v="0"/>
    <n v="131811.43023"/>
    <s v="km"/>
  </r>
  <r>
    <x v="0"/>
    <s v=" Template Group 1"/>
    <d v="2022-07-07T00:00:00"/>
    <d v="1899-12-30T15:43:59"/>
    <x v="0"/>
    <n v="131812.05160100001"/>
    <n v="0.62137100001564249"/>
    <x v="1"/>
    <x v="1"/>
    <x v="1"/>
    <x v="1"/>
    <b v="0"/>
    <n v="0"/>
    <x v="0"/>
    <b v="0"/>
    <x v="0"/>
    <n v="131812.05160100001"/>
    <s v="km"/>
  </r>
  <r>
    <x v="0"/>
    <s v=" Template Group 1"/>
    <d v="2022-07-07T00:00:00"/>
    <d v="1899-12-30T15:44:34"/>
    <x v="0"/>
    <n v="131812.672972"/>
    <n v="0.62137099998653866"/>
    <x v="1"/>
    <x v="1"/>
    <x v="1"/>
    <x v="1"/>
    <b v="0"/>
    <n v="0"/>
    <x v="0"/>
    <b v="0"/>
    <x v="0"/>
    <n v="131812.672972"/>
    <s v="km"/>
  </r>
  <r>
    <x v="0"/>
    <s v=" Template Group 1"/>
    <d v="2022-07-07T00:00:00"/>
    <d v="1899-12-30T15:45:09"/>
    <x v="0"/>
    <n v="131813.29434300002"/>
    <n v="0.62137100001564249"/>
    <x v="1"/>
    <x v="1"/>
    <x v="1"/>
    <x v="1"/>
    <b v="0"/>
    <n v="0"/>
    <x v="0"/>
    <b v="0"/>
    <x v="0"/>
    <n v="131813.29434300002"/>
    <s v="km"/>
  </r>
  <r>
    <x v="0"/>
    <s v=" Template Group 1"/>
    <d v="2022-07-07T00:00:00"/>
    <d v="1899-12-30T15:46:19"/>
    <x v="0"/>
    <n v="131814.53708499999"/>
    <n v="1.2427419999730773"/>
    <x v="1"/>
    <x v="1"/>
    <x v="1"/>
    <x v="1"/>
    <b v="0"/>
    <n v="0"/>
    <x v="0"/>
    <b v="0"/>
    <x v="0"/>
    <n v="131814.53708499999"/>
    <s v="km"/>
  </r>
  <r>
    <x v="0"/>
    <s v=" Template Group 1"/>
    <d v="2022-07-07T00:00:00"/>
    <d v="1899-12-30T15:47:04"/>
    <x v="0"/>
    <n v="131815.158456"/>
    <n v="0.62137100001564249"/>
    <x v="1"/>
    <x v="1"/>
    <x v="1"/>
    <x v="1"/>
    <b v="0"/>
    <n v="0"/>
    <x v="0"/>
    <b v="0"/>
    <x v="0"/>
    <n v="131815.158456"/>
    <s v="km"/>
  </r>
  <r>
    <x v="0"/>
    <s v=" Template Group 1"/>
    <d v="2022-07-07T00:00:00"/>
    <d v="1899-12-30T15:47:54"/>
    <x v="0"/>
    <n v="131815.77982699999"/>
    <n v="0.62137099998653866"/>
    <x v="1"/>
    <x v="1"/>
    <x v="1"/>
    <x v="1"/>
    <b v="0"/>
    <n v="0"/>
    <x v="0"/>
    <b v="0"/>
    <x v="0"/>
    <n v="131815.77982699999"/>
    <s v="km"/>
  </r>
  <r>
    <x v="0"/>
    <s v=" Template Group 1"/>
    <d v="2022-07-07T00:00:00"/>
    <d v="1899-12-30T15:48:24"/>
    <x v="0"/>
    <n v="131816.40119800001"/>
    <n v="0.62137100001564249"/>
    <x v="1"/>
    <x v="1"/>
    <x v="1"/>
    <x v="1"/>
    <b v="0"/>
    <n v="0"/>
    <x v="0"/>
    <b v="0"/>
    <x v="0"/>
    <n v="131816.40119800001"/>
    <s v="km"/>
  </r>
  <r>
    <x v="0"/>
    <s v=" Template Group 1"/>
    <d v="2022-07-07T00:00:00"/>
    <d v="1899-12-30T15:49:04"/>
    <x v="0"/>
    <n v="131817.02256899999"/>
    <n v="0.62137099998653866"/>
    <x v="1"/>
    <x v="1"/>
    <x v="1"/>
    <x v="1"/>
    <b v="0"/>
    <n v="0"/>
    <x v="0"/>
    <b v="0"/>
    <x v="0"/>
    <n v="131817.02256899999"/>
    <s v="km"/>
  </r>
  <r>
    <x v="0"/>
    <s v=" Template Group 1"/>
    <d v="2022-07-07T00:00:00"/>
    <d v="1899-12-30T15:50:04"/>
    <x v="0"/>
    <n v="131817.64394000001"/>
    <n v="0.62137100001564249"/>
    <x v="1"/>
    <x v="1"/>
    <x v="1"/>
    <x v="1"/>
    <b v="0"/>
    <n v="0"/>
    <x v="0"/>
    <b v="0"/>
    <x v="0"/>
    <n v="131817.64394000001"/>
    <s v="km"/>
  </r>
  <r>
    <x v="0"/>
    <s v=" Template Group 1"/>
    <d v="2022-07-07T00:00:00"/>
    <d v="1899-12-30T15:51:34"/>
    <x v="0"/>
    <n v="131818.265311"/>
    <n v="0.62137099998653866"/>
    <x v="1"/>
    <x v="1"/>
    <x v="1"/>
    <x v="1"/>
    <b v="0"/>
    <n v="0"/>
    <x v="0"/>
    <b v="0"/>
    <x v="0"/>
    <n v="131818.265311"/>
    <s v="km"/>
  </r>
  <r>
    <x v="0"/>
    <s v=" Template Group 1"/>
    <d v="2022-07-07T00:00:00"/>
    <d v="1899-12-30T15:52:34"/>
    <x v="0"/>
    <n v="131818.88668200001"/>
    <n v="0.62137100001564249"/>
    <x v="1"/>
    <x v="1"/>
    <x v="1"/>
    <x v="1"/>
    <b v="0"/>
    <n v="0"/>
    <x v="0"/>
    <b v="0"/>
    <x v="0"/>
    <n v="131818.88668200001"/>
    <s v="km"/>
  </r>
  <r>
    <x v="0"/>
    <s v=" Template Group 1"/>
    <d v="2022-07-07T00:00:00"/>
    <d v="1899-12-30T15:54:49"/>
    <x v="0"/>
    <n v="131819.508053"/>
    <n v="0.62137099998653866"/>
    <x v="1"/>
    <x v="1"/>
    <x v="1"/>
    <x v="1"/>
    <b v="0"/>
    <n v="0"/>
    <x v="0"/>
    <b v="0"/>
    <x v="0"/>
    <n v="131819.508053"/>
    <s v="km"/>
  </r>
  <r>
    <x v="0"/>
    <s v=" Template Group 1"/>
    <d v="2022-07-07T00:00:00"/>
    <d v="1899-12-30T15:57:34"/>
    <x v="0"/>
    <n v="131820.12942400001"/>
    <n v="0.62137100001564249"/>
    <x v="1"/>
    <x v="1"/>
    <x v="1"/>
    <x v="1"/>
    <b v="0"/>
    <n v="0"/>
    <x v="0"/>
    <b v="0"/>
    <x v="0"/>
    <n v="131820.12942400001"/>
    <s v="km"/>
  </r>
  <r>
    <x v="0"/>
    <s v=" Template Group 1"/>
    <d v="2022-07-07T00:00:00"/>
    <d v="1899-12-30T15:59:44"/>
    <x v="0"/>
    <n v="131820.12942400001"/>
    <n v="0"/>
    <x v="1"/>
    <x v="1"/>
    <x v="1"/>
    <x v="1"/>
    <b v="0"/>
    <n v="0"/>
    <x v="0"/>
    <b v="0"/>
    <x v="0"/>
    <n v="131820.12942400001"/>
    <s v="km"/>
  </r>
  <r>
    <x v="0"/>
    <s v=" Template Group 1"/>
    <d v="2022-07-07T00:00:00"/>
    <d v="1899-12-30T18:56:20"/>
    <x v="0"/>
    <n v="131820.12942400001"/>
    <n v="0"/>
    <x v="1"/>
    <x v="1"/>
    <x v="1"/>
    <x v="1"/>
    <b v="0"/>
    <n v="0"/>
    <x v="0"/>
    <b v="0"/>
    <x v="0"/>
    <n v="131820.12942400001"/>
    <s v="km"/>
  </r>
  <r>
    <x v="0"/>
    <s v=" Template Group 1"/>
    <d v="2022-07-07T00:00:00"/>
    <d v="1899-12-30T18:57:02"/>
    <x v="0"/>
    <n v="131820.12942400001"/>
    <n v="0"/>
    <x v="1"/>
    <x v="1"/>
    <x v="1"/>
    <x v="1"/>
    <b v="0"/>
    <n v="0"/>
    <x v="0"/>
    <b v="0"/>
    <x v="0"/>
    <n v="131820.12942400001"/>
    <s v="km"/>
  </r>
  <r>
    <x v="0"/>
    <s v=" Template Group 1"/>
    <d v="2022-07-07T00:00:00"/>
    <d v="1899-12-30T20:37:24"/>
    <x v="0"/>
    <n v="131820.12942400001"/>
    <n v="0"/>
    <x v="1"/>
    <x v="1"/>
    <x v="1"/>
    <x v="1"/>
    <b v="0"/>
    <n v="0"/>
    <x v="0"/>
    <b v="0"/>
    <x v="0"/>
    <n v="131820.12942400001"/>
    <s v="km"/>
  </r>
  <r>
    <x v="0"/>
    <s v=" Template Group 1"/>
    <d v="2022-07-07T00:00:00"/>
    <d v="1899-12-30T20:38:35"/>
    <x v="0"/>
    <n v="131820.12942400001"/>
    <n v="0"/>
    <x v="1"/>
    <x v="1"/>
    <x v="1"/>
    <x v="1"/>
    <b v="0"/>
    <n v="0"/>
    <x v="0"/>
    <b v="0"/>
    <x v="0"/>
    <n v="131820.12942400001"/>
    <s v="k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B53E4-4CA1-479B-BB0A-1DEF7DBF2BBA}" name="PivotTable1" cacheId="10" dataOnRows="1" applyNumberFormats="0" applyBorderFormats="0" applyFontFormats="0" applyPatternFormats="0" applyAlignmentFormats="0" applyWidthHeightFormats="1" dataCaption="Data" updatedVersion="8" minRefreshableVersion="3" showDrill="0" showMemberPropertyTips="0" rowGrandTotals="0" itemPrintTitles="1" createdVersion="4" indent="0" compact="0" compactData="0" chartFormat="1">
  <location ref="D24:G25" firstHeaderRow="1" firstDataRow="1" firstDataCol="3"/>
  <pivotFields count="18">
    <pivotField axis="axisRow" compact="0" outline="0" showAll="0" defaultSubtotal="0">
      <items count="1">
        <item x="0"/>
      </items>
    </pivotField>
    <pivotField compact="0" outline="0" showAll="0"/>
    <pivotField compact="0" numFmtId="172" outline="0" showAll="0"/>
    <pivotField compact="0" numFmtId="17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 defaultSubtotal="0"/>
    <pivotField compact="0" numFmtId="1" outline="0" showAll="0" defaultSubtotal="0"/>
    <pivotField axis="axisRow" compact="0" numFmtId="174" outline="0" showAll="0" defaultSubtotal="0">
      <items count="2">
        <item x="1"/>
        <item x="0"/>
      </items>
    </pivotField>
    <pivotField compact="0" numFmtId="173" outline="0" showAll="0" defaultSubtotal="0"/>
    <pivotField compact="0" outline="0" showAll="0"/>
    <pivotField dataField="1" compact="0" numFmtId="1" outline="0" showAll="0"/>
    <pivotField compact="0" outline="0" showAll="0"/>
    <pivotField compact="0" outline="0" showAll="0"/>
    <pivotField axis="axisRow" compact="0" numFmtId="1" outline="0" showAll="0" defaultSubtotal="0">
      <items count="2">
        <item x="0"/>
        <item x="1"/>
      </items>
    </pivotField>
    <pivotField compact="0" numFmtId="1" outline="0" showAll="0"/>
    <pivotField compact="0" outline="0" showAll="0"/>
  </pivotFields>
  <rowFields count="3">
    <field x="15"/>
    <field x="0"/>
    <field x="9"/>
  </rowFields>
  <rowItems count="1">
    <i>
      <x v="1"/>
      <x/>
      <x/>
    </i>
  </rowItems>
  <colItems count="1">
    <i/>
  </colItems>
  <dataFields count="1">
    <dataField name="Sum of Mileage Jump" fld="12" baseField="9" baseItem="1" numFmtId="2"/>
  </dataFields>
  <formats count="9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type="topRight" dataOnly="0" labelOnly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type="topRight" dataOnly="0" labelOnly="1" outline="0" fieldPosition="0"/>
    </format>
    <format dxfId="2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Custom 2" showRowHeaders="0" showColHeaders="1" showRowStripes="1" showColStripes="0" showLastColumn="1"/>
  <filters count="1">
    <filter fld="15" type="captionEqual" evalOrder="-1" id="1" stringValue1="1">
      <autoFilter ref="A1">
        <filterColumn colId="0">
          <customFilters>
            <customFilter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C5225-6620-4463-98BB-D2F5BC644F86}" name="PivotTable2" cacheId="1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4" indent="0" compact="0" compactData="0" multipleFieldFilters="0">
  <location ref="A29:A31" firstHeaderRow="1" firstDataRow="1" firstDataCol="1"/>
  <pivotFields count="18">
    <pivotField compact="0" outline="0" showAll="0" defaultSubtotal="0"/>
    <pivotField compact="0" outline="0" showAll="0" defaultSubtotal="0"/>
    <pivotField compact="0" numFmtId="172" outline="0" showAll="0" defaultSubtotal="0"/>
    <pivotField compact="0" numFmtId="171" outline="0" showAll="0" defaultSubtotal="0"/>
    <pivotField axis="axisRow" compact="0" outline="0" showAll="0" sortType="ascending" defaultSubtotal="0">
      <items count="2">
        <item x="1"/>
        <item x="0"/>
      </items>
    </pivotField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7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" outline="0" showAll="0" defaultSubtotal="0"/>
    <pivotField compact="0" numFmtId="1" outline="0" showAll="0" defaultSubtotal="0"/>
    <pivotField compact="0" outline="0" showAll="0" defaultSubtotal="0"/>
  </pivotFields>
  <rowFields count="1">
    <field x="4"/>
  </rowFields>
  <rowItems count="2">
    <i>
      <x/>
    </i>
    <i>
      <x v="1"/>
    </i>
  </rowItems>
  <colItems count="1">
    <i/>
  </colItems>
  <pivotTableStyleInfo name="PivotStyleLightCustom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10" dataOnRows="1" applyNumberFormats="0" applyBorderFormats="0" applyFontFormats="0" applyPatternFormats="0" applyAlignmentFormats="0" applyWidthHeightFormats="1" dataCaption="Data" updatedVersion="8" minRefreshableVersion="3" showDrill="0" showMemberPropertyTips="0" rowGrandTotals="0" itemPrintTitles="1" createdVersion="4" indent="0" compact="0" compactData="0">
  <location ref="A12:G13" firstHeaderRow="1" firstDataRow="1" firstDataCol="7"/>
  <pivotFields count="18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numFmtId="172" outline="0" showAll="0"/>
    <pivotField compact="0" numFmtId="171" outline="0" showAll="0"/>
    <pivotField compact="0" outline="0" showAll="0"/>
    <pivotField compact="0" numFmtId="1" outline="0" showAll="0"/>
    <pivotField compact="0" numFmtId="1" outline="0" showAll="0"/>
    <pivotField axis="axisRow" compact="0" numFmtId="1" outline="0" showAll="0" defaultSubtotal="0">
      <items count="2">
        <item x="0"/>
        <item x="1"/>
      </items>
    </pivotField>
    <pivotField axis="axisRow" compact="0" numFmtId="1" outline="0" showAll="0" defaultSubtotal="0">
      <items count="2">
        <item x="0"/>
        <item x="1"/>
      </items>
    </pivotField>
    <pivotField axis="axisRow" compact="0" numFmtId="173" outline="0" showAll="0" defaultSubtotal="0">
      <items count="2">
        <item x="1"/>
        <item x="0"/>
      </items>
    </pivotField>
    <pivotField axis="axisRow" compact="0" numFmtId="173" outline="0" showAll="0" defaultSubtotal="0">
      <items count="2">
        <item x="0"/>
        <item x="1"/>
      </items>
    </pivotField>
    <pivotField compact="0" outline="0" showAll="0"/>
    <pivotField compact="0" numFmtId="1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compact="0" numFmtId="1" outline="0" showAll="0" defaultSubtotal="0">
      <items count="2">
        <item x="0"/>
        <item x="1"/>
      </items>
    </pivotField>
    <pivotField compact="0" numFmtId="1" outline="0" showAll="0"/>
    <pivotField compact="0" outline="0" showAll="0"/>
  </pivotFields>
  <rowFields count="7">
    <field x="0"/>
    <field x="9"/>
    <field x="7"/>
    <field x="10"/>
    <field x="8"/>
    <field x="15"/>
    <field x="13"/>
  </rowFields>
  <rowItems count="1">
    <i>
      <x/>
      <x/>
      <x v="1"/>
      <x v="1"/>
      <x v="1"/>
      <x v="1"/>
      <x v="1"/>
    </i>
  </rowItems>
  <colItems count="1">
    <i/>
  </colItems>
  <formats count="8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type="topRight" dataOnly="0" labelOnly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type="topRight" dataOnly="0" labelOnly="1" outline="0" fieldPosition="0"/>
    </format>
  </formats>
  <pivotTableStyleInfo name="PivotStyleLightCustom 2" showRowHeaders="0" showColHeaders="1" showRowStripes="1" showColStripes="0" showLastColumn="1"/>
  <filters count="1">
    <filter fld="15" type="captionEqual" evalOrder="-1" id="1" stringValue1="1">
      <autoFilter ref="A1">
        <filterColumn colId="0">
          <customFilters>
            <customFilter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23213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workbookViewId="0"/>
  </sheetViews>
  <sheetFormatPr defaultRowHeight="12.75" x14ac:dyDescent="0.2"/>
  <cols>
    <col min="1" max="1" width="30" style="45" customWidth="1"/>
    <col min="2" max="8" width="30" customWidth="1"/>
    <col min="9" max="10" width="30" style="7" customWidth="1"/>
    <col min="11" max="12" width="30" customWidth="1"/>
  </cols>
  <sheetData>
    <row r="1" spans="1:14" s="5" customFormat="1" x14ac:dyDescent="0.2">
      <c r="A1" s="46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62</v>
      </c>
      <c r="G1" s="5" t="s">
        <v>74</v>
      </c>
      <c r="H1" s="5" t="s">
        <v>81</v>
      </c>
      <c r="I1" s="6" t="s">
        <v>91</v>
      </c>
      <c r="J1" s="6" t="s">
        <v>105</v>
      </c>
      <c r="K1" s="5" t="s">
        <v>122</v>
      </c>
      <c r="L1" s="5" t="s">
        <v>146</v>
      </c>
      <c r="M1" s="6" t="s">
        <v>159</v>
      </c>
      <c r="N1" s="6" t="s">
        <v>160</v>
      </c>
    </row>
    <row r="2" spans="1:14" x14ac:dyDescent="0.2">
      <c r="A2" s="45" t="s">
        <v>14</v>
      </c>
      <c r="B2" t="s">
        <v>26</v>
      </c>
      <c r="C2" t="s">
        <v>27</v>
      </c>
      <c r="D2" t="s">
        <v>28</v>
      </c>
      <c r="E2" t="s">
        <v>29</v>
      </c>
      <c r="F2" t="s">
        <v>72</v>
      </c>
      <c r="G2" t="s">
        <v>27</v>
      </c>
      <c r="H2" t="s">
        <v>82</v>
      </c>
      <c r="I2" s="7" t="s">
        <v>27</v>
      </c>
      <c r="J2" s="7" t="s">
        <v>98</v>
      </c>
      <c r="K2" t="s">
        <v>123</v>
      </c>
      <c r="L2" t="s">
        <v>147</v>
      </c>
      <c r="M2" t="s">
        <v>161</v>
      </c>
      <c r="N2" t="s">
        <v>162</v>
      </c>
    </row>
    <row r="3" spans="1:14" x14ac:dyDescent="0.2">
      <c r="A3" s="45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73</v>
      </c>
      <c r="G3" t="s">
        <v>75</v>
      </c>
      <c r="H3" t="s">
        <v>83</v>
      </c>
      <c r="I3" s="7" t="s">
        <v>95</v>
      </c>
      <c r="J3" s="7" t="s">
        <v>99</v>
      </c>
      <c r="K3" t="s">
        <v>124</v>
      </c>
      <c r="L3" t="s">
        <v>148</v>
      </c>
      <c r="M3" t="s">
        <v>163</v>
      </c>
      <c r="N3" t="s">
        <v>164</v>
      </c>
    </row>
    <row r="4" spans="1:14" x14ac:dyDescent="0.2">
      <c r="A4" s="45" t="s">
        <v>25</v>
      </c>
      <c r="B4" t="s">
        <v>24</v>
      </c>
      <c r="C4" t="s">
        <v>34</v>
      </c>
      <c r="D4" t="s">
        <v>35</v>
      </c>
      <c r="E4" t="s">
        <v>36</v>
      </c>
      <c r="F4" t="s">
        <v>63</v>
      </c>
      <c r="G4" t="s">
        <v>63</v>
      </c>
      <c r="H4" t="s">
        <v>35</v>
      </c>
      <c r="I4" s="7" t="s">
        <v>63</v>
      </c>
      <c r="J4" s="7" t="s">
        <v>106</v>
      </c>
      <c r="K4" t="s">
        <v>125</v>
      </c>
      <c r="L4" t="s">
        <v>149</v>
      </c>
      <c r="M4" t="s">
        <v>35</v>
      </c>
      <c r="N4" t="s">
        <v>35</v>
      </c>
    </row>
    <row r="5" spans="1:14" x14ac:dyDescent="0.2">
      <c r="A5" s="45" t="s">
        <v>16</v>
      </c>
      <c r="B5" t="s">
        <v>0</v>
      </c>
      <c r="C5" t="s">
        <v>37</v>
      </c>
      <c r="D5" t="s">
        <v>38</v>
      </c>
      <c r="E5" t="s">
        <v>39</v>
      </c>
      <c r="F5" t="s">
        <v>64</v>
      </c>
      <c r="G5" t="s">
        <v>76</v>
      </c>
      <c r="H5" t="s">
        <v>84</v>
      </c>
      <c r="I5" s="7" t="s">
        <v>92</v>
      </c>
      <c r="J5" s="7" t="s">
        <v>107</v>
      </c>
      <c r="K5" t="s">
        <v>126</v>
      </c>
      <c r="L5" t="s">
        <v>150</v>
      </c>
      <c r="M5" t="s">
        <v>165</v>
      </c>
      <c r="N5" t="s">
        <v>166</v>
      </c>
    </row>
    <row r="6" spans="1:14" x14ac:dyDescent="0.2">
      <c r="A6" s="45" t="s">
        <v>17</v>
      </c>
      <c r="B6" t="s">
        <v>2</v>
      </c>
      <c r="C6" t="s">
        <v>40</v>
      </c>
      <c r="D6" t="s">
        <v>41</v>
      </c>
      <c r="E6" t="s">
        <v>42</v>
      </c>
      <c r="F6" t="s">
        <v>65</v>
      </c>
      <c r="G6" t="s">
        <v>77</v>
      </c>
      <c r="H6" t="s">
        <v>85</v>
      </c>
      <c r="I6" s="7" t="s">
        <v>93</v>
      </c>
      <c r="J6" s="7" t="s">
        <v>108</v>
      </c>
      <c r="K6" t="s">
        <v>127</v>
      </c>
      <c r="L6" t="s">
        <v>151</v>
      </c>
      <c r="M6" t="s">
        <v>167</v>
      </c>
      <c r="N6" t="s">
        <v>168</v>
      </c>
    </row>
    <row r="7" spans="1:14" x14ac:dyDescent="0.2">
      <c r="A7" s="45" t="s">
        <v>18</v>
      </c>
      <c r="B7" t="s">
        <v>43</v>
      </c>
      <c r="C7" t="s">
        <v>44</v>
      </c>
      <c r="D7" t="s">
        <v>45</v>
      </c>
      <c r="E7" t="s">
        <v>46</v>
      </c>
      <c r="F7" t="s">
        <v>66</v>
      </c>
      <c r="G7" t="s">
        <v>78</v>
      </c>
      <c r="H7" t="s">
        <v>86</v>
      </c>
      <c r="I7" s="7" t="s">
        <v>86</v>
      </c>
      <c r="J7" s="7" t="s">
        <v>100</v>
      </c>
      <c r="K7" t="s">
        <v>128</v>
      </c>
      <c r="L7" t="s">
        <v>152</v>
      </c>
      <c r="M7" t="s">
        <v>169</v>
      </c>
      <c r="N7" t="s">
        <v>170</v>
      </c>
    </row>
    <row r="8" spans="1:14" x14ac:dyDescent="0.2">
      <c r="A8" s="45" t="s">
        <v>19</v>
      </c>
      <c r="B8" t="s">
        <v>47</v>
      </c>
      <c r="C8" t="s">
        <v>48</v>
      </c>
      <c r="D8" t="s">
        <v>49</v>
      </c>
      <c r="E8" t="s">
        <v>50</v>
      </c>
      <c r="F8" t="s">
        <v>67</v>
      </c>
      <c r="G8" t="s">
        <v>48</v>
      </c>
      <c r="H8" t="s">
        <v>87</v>
      </c>
      <c r="I8" s="7" t="s">
        <v>94</v>
      </c>
      <c r="J8" s="7" t="s">
        <v>109</v>
      </c>
      <c r="K8" t="s">
        <v>129</v>
      </c>
      <c r="L8" t="s">
        <v>153</v>
      </c>
      <c r="M8" t="s">
        <v>171</v>
      </c>
      <c r="N8" t="s">
        <v>172</v>
      </c>
    </row>
    <row r="9" spans="1:14" x14ac:dyDescent="0.2">
      <c r="A9" s="45" t="s">
        <v>20</v>
      </c>
      <c r="B9" t="s">
        <v>51</v>
      </c>
      <c r="C9" t="s">
        <v>52</v>
      </c>
      <c r="D9" t="s">
        <v>53</v>
      </c>
      <c r="E9" t="s">
        <v>54</v>
      </c>
      <c r="F9" t="s">
        <v>68</v>
      </c>
      <c r="G9" t="s">
        <v>79</v>
      </c>
      <c r="H9" t="s">
        <v>88</v>
      </c>
      <c r="I9" s="7" t="s">
        <v>96</v>
      </c>
      <c r="J9" s="7" t="s">
        <v>101</v>
      </c>
      <c r="K9" t="s">
        <v>130</v>
      </c>
      <c r="L9" t="s">
        <v>154</v>
      </c>
      <c r="M9" t="s">
        <v>173</v>
      </c>
      <c r="N9" t="s">
        <v>174</v>
      </c>
    </row>
    <row r="10" spans="1:14" x14ac:dyDescent="0.2">
      <c r="A10" s="45" t="s">
        <v>21</v>
      </c>
      <c r="B10" t="s">
        <v>55</v>
      </c>
      <c r="C10" t="s">
        <v>56</v>
      </c>
      <c r="D10" t="s">
        <v>57</v>
      </c>
      <c r="E10" t="s">
        <v>58</v>
      </c>
      <c r="F10" t="s">
        <v>69</v>
      </c>
      <c r="G10" t="s">
        <v>80</v>
      </c>
      <c r="H10" t="s">
        <v>89</v>
      </c>
      <c r="I10" s="7" t="s">
        <v>97</v>
      </c>
      <c r="J10" s="7" t="s">
        <v>102</v>
      </c>
      <c r="K10" t="s">
        <v>131</v>
      </c>
      <c r="L10" t="s">
        <v>155</v>
      </c>
      <c r="M10" t="s">
        <v>175</v>
      </c>
      <c r="N10" t="s">
        <v>176</v>
      </c>
    </row>
    <row r="11" spans="1:14" x14ac:dyDescent="0.2">
      <c r="A11" s="45" t="s">
        <v>22</v>
      </c>
      <c r="B11" t="s">
        <v>135</v>
      </c>
      <c r="C11" t="s">
        <v>136</v>
      </c>
      <c r="D11" t="s">
        <v>59</v>
      </c>
      <c r="E11" t="s">
        <v>137</v>
      </c>
      <c r="F11" t="s">
        <v>70</v>
      </c>
      <c r="G11" s="7" t="s">
        <v>136</v>
      </c>
      <c r="H11" s="7" t="s">
        <v>90</v>
      </c>
      <c r="I11" s="7" t="s">
        <v>138</v>
      </c>
      <c r="J11" s="7" t="s">
        <v>103</v>
      </c>
      <c r="K11" s="7" t="s">
        <v>132</v>
      </c>
      <c r="L11" t="s">
        <v>156</v>
      </c>
      <c r="M11" t="s">
        <v>70</v>
      </c>
      <c r="N11" t="s">
        <v>177</v>
      </c>
    </row>
    <row r="12" spans="1:14" x14ac:dyDescent="0.2">
      <c r="A12" s="45" t="s">
        <v>23</v>
      </c>
      <c r="B12" t="s">
        <v>139</v>
      </c>
      <c r="C12" t="s">
        <v>140</v>
      </c>
      <c r="D12" t="s">
        <v>141</v>
      </c>
      <c r="E12" t="s">
        <v>142</v>
      </c>
      <c r="F12" t="s">
        <v>71</v>
      </c>
      <c r="G12" s="7" t="s">
        <v>143</v>
      </c>
      <c r="H12" s="7" t="s">
        <v>144</v>
      </c>
      <c r="I12" s="7" t="s">
        <v>145</v>
      </c>
      <c r="J12" s="7" t="s">
        <v>104</v>
      </c>
      <c r="K12" s="7" t="s">
        <v>133</v>
      </c>
      <c r="L12" t="s">
        <v>157</v>
      </c>
      <c r="M12" t="s">
        <v>178</v>
      </c>
      <c r="N12" t="s">
        <v>179</v>
      </c>
    </row>
    <row r="13" spans="1:14" x14ac:dyDescent="0.2">
      <c r="A13" s="45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s="7" t="s">
        <v>120</v>
      </c>
      <c r="J13" s="7" t="s">
        <v>121</v>
      </c>
      <c r="K13" t="s">
        <v>134</v>
      </c>
      <c r="L13" t="s">
        <v>158</v>
      </c>
      <c r="M13" t="s">
        <v>180</v>
      </c>
      <c r="N13" t="s">
        <v>181</v>
      </c>
    </row>
    <row r="14" spans="1:14" x14ac:dyDescent="0.2">
      <c r="A14" s="45" t="s">
        <v>211</v>
      </c>
    </row>
    <row r="15" spans="1:14" x14ac:dyDescent="0.2">
      <c r="A15" s="45" t="s">
        <v>213</v>
      </c>
    </row>
    <row r="16" spans="1:14" x14ac:dyDescent="0.2">
      <c r="A16" s="45" t="s">
        <v>212</v>
      </c>
    </row>
    <row r="17" spans="1:1" x14ac:dyDescent="0.2">
      <c r="A17" s="45" t="s">
        <v>214</v>
      </c>
    </row>
    <row r="18" spans="1:1" x14ac:dyDescent="0.2">
      <c r="A18" s="45" t="s">
        <v>208</v>
      </c>
    </row>
    <row r="19" spans="1:1" x14ac:dyDescent="0.2">
      <c r="A19" s="45" t="s">
        <v>193</v>
      </c>
    </row>
    <row r="20" spans="1:1" x14ac:dyDescent="0.2">
      <c r="A20" s="45" t="s">
        <v>198</v>
      </c>
    </row>
    <row r="21" spans="1:1" x14ac:dyDescent="0.2">
      <c r="A21" s="45" t="s">
        <v>194</v>
      </c>
    </row>
    <row r="22" spans="1:1" x14ac:dyDescent="0.2">
      <c r="A22" s="45" t="s">
        <v>199</v>
      </c>
    </row>
    <row r="23" spans="1:1" x14ac:dyDescent="0.2">
      <c r="A23" s="45" t="s">
        <v>224</v>
      </c>
    </row>
    <row r="24" spans="1:1" ht="25.5" x14ac:dyDescent="0.2">
      <c r="A24" s="45" t="s">
        <v>221</v>
      </c>
    </row>
    <row r="25" spans="1:1" ht="38.25" x14ac:dyDescent="0.2">
      <c r="A25" s="45" t="s">
        <v>222</v>
      </c>
    </row>
    <row r="26" spans="1:1" x14ac:dyDescent="0.2">
      <c r="A26" s="45" t="s">
        <v>218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8"/>
  <sheetViews>
    <sheetView workbookViewId="0">
      <pane ySplit="11" topLeftCell="A12" activePane="bottomLeft" state="frozen"/>
      <selection pane="bottomLeft"/>
    </sheetView>
  </sheetViews>
  <sheetFormatPr defaultRowHeight="12.75" x14ac:dyDescent="0.2"/>
  <cols>
    <col min="1" max="1" width="35.5703125" customWidth="1"/>
    <col min="2" max="2" width="18.5703125" customWidth="1"/>
    <col min="3" max="3" width="13.85546875" customWidth="1"/>
    <col min="4" max="4" width="19" customWidth="1"/>
    <col min="5" max="5" width="25" customWidth="1"/>
    <col min="6" max="6" width="14" customWidth="1"/>
    <col min="7" max="7" width="19" customWidth="1"/>
  </cols>
  <sheetData>
    <row r="1" spans="1:7" x14ac:dyDescent="0.2">
      <c r="A1" s="4" t="s">
        <v>6</v>
      </c>
      <c r="B1" s="34" t="s">
        <v>192</v>
      </c>
    </row>
    <row r="2" spans="1:7" x14ac:dyDescent="0.2">
      <c r="A2" s="4" t="s">
        <v>3</v>
      </c>
      <c r="B2" s="3">
        <v>44819.490901886573</v>
      </c>
    </row>
    <row r="3" spans="1:7" x14ac:dyDescent="0.2">
      <c r="A3" s="4" t="s">
        <v>4</v>
      </c>
      <c r="B3" s="3">
        <v>44747</v>
      </c>
    </row>
    <row r="4" spans="1:7" x14ac:dyDescent="0.2">
      <c r="A4" s="4" t="s">
        <v>5</v>
      </c>
      <c r="B4" s="3">
        <v>44752.999988425923</v>
      </c>
    </row>
    <row r="5" spans="1:7" x14ac:dyDescent="0.2">
      <c r="A5" s="4" t="s">
        <v>110</v>
      </c>
      <c r="B5" s="3" t="s">
        <v>111</v>
      </c>
    </row>
    <row r="6" spans="1:7" x14ac:dyDescent="0.2">
      <c r="A6" s="4" t="s">
        <v>195</v>
      </c>
      <c r="B6" s="34" t="s">
        <v>190</v>
      </c>
    </row>
    <row r="7" spans="1:7" x14ac:dyDescent="0.2">
      <c r="A7" s="4" t="s">
        <v>196</v>
      </c>
      <c r="B7" s="34" t="s">
        <v>197</v>
      </c>
    </row>
    <row r="8" spans="1:7" x14ac:dyDescent="0.2">
      <c r="A8" s="4" t="s">
        <v>7</v>
      </c>
      <c r="B8" s="3" t="b">
        <v>1</v>
      </c>
    </row>
    <row r="9" spans="1:7" x14ac:dyDescent="0.2">
      <c r="A9" s="4" t="s">
        <v>8</v>
      </c>
      <c r="B9" s="3" t="s">
        <v>182</v>
      </c>
    </row>
    <row r="10" spans="1:7" x14ac:dyDescent="0.2">
      <c r="A10" s="4" t="s">
        <v>60</v>
      </c>
      <c r="B10" s="3" t="s">
        <v>61</v>
      </c>
    </row>
    <row r="11" spans="1:7" ht="19.5" thickBot="1" x14ac:dyDescent="0.25">
      <c r="A11" s="1" t="s">
        <v>183</v>
      </c>
      <c r="B11" s="1" t="s">
        <v>184</v>
      </c>
      <c r="C11" s="1" t="s">
        <v>185</v>
      </c>
      <c r="D11" s="1" t="s">
        <v>1</v>
      </c>
      <c r="E11" s="1" t="s">
        <v>186</v>
      </c>
      <c r="F11" s="1" t="s">
        <v>187</v>
      </c>
      <c r="G11" s="1" t="s">
        <v>188</v>
      </c>
    </row>
    <row r="12" spans="1:7" x14ac:dyDescent="0.2">
      <c r="A12" s="2" t="s">
        <v>202</v>
      </c>
      <c r="B12" s="2" t="s">
        <v>189</v>
      </c>
      <c r="C12" s="2" t="s">
        <v>203</v>
      </c>
      <c r="D12" s="3">
        <v>44748.224308449076</v>
      </c>
      <c r="E12" s="2" t="s">
        <v>204</v>
      </c>
      <c r="F12" s="2">
        <v>131676.59272300001</v>
      </c>
      <c r="G12" s="2" t="s">
        <v>190</v>
      </c>
    </row>
    <row r="13" spans="1:7" x14ac:dyDescent="0.2">
      <c r="A13" s="2" t="s">
        <v>202</v>
      </c>
      <c r="B13" s="2" t="s">
        <v>189</v>
      </c>
      <c r="C13" s="2" t="s">
        <v>203</v>
      </c>
      <c r="D13" s="3">
        <v>44748.226726655092</v>
      </c>
      <c r="E13" s="2" t="s">
        <v>204</v>
      </c>
      <c r="F13" s="2">
        <v>131677.83546500001</v>
      </c>
      <c r="G13" s="2" t="s">
        <v>190</v>
      </c>
    </row>
    <row r="14" spans="1:7" x14ac:dyDescent="0.2">
      <c r="A14" s="2" t="s">
        <v>202</v>
      </c>
      <c r="B14" s="2" t="s">
        <v>189</v>
      </c>
      <c r="C14" s="2" t="s">
        <v>203</v>
      </c>
      <c r="D14" s="3">
        <v>44748.227421331016</v>
      </c>
      <c r="E14" s="2" t="s">
        <v>204</v>
      </c>
      <c r="F14" s="2">
        <v>131678.456836</v>
      </c>
      <c r="G14" s="2" t="s">
        <v>190</v>
      </c>
    </row>
    <row r="15" spans="1:7" x14ac:dyDescent="0.2">
      <c r="A15" s="2" t="s">
        <v>202</v>
      </c>
      <c r="B15" s="2" t="s">
        <v>189</v>
      </c>
      <c r="C15" s="2" t="s">
        <v>203</v>
      </c>
      <c r="D15" s="3">
        <v>44748.228000196759</v>
      </c>
      <c r="E15" s="2" t="s">
        <v>204</v>
      </c>
      <c r="F15" s="2">
        <v>131679.07820700001</v>
      </c>
      <c r="G15" s="2" t="s">
        <v>190</v>
      </c>
    </row>
    <row r="16" spans="1:7" x14ac:dyDescent="0.2">
      <c r="A16" s="2" t="s">
        <v>202</v>
      </c>
      <c r="B16" s="2" t="s">
        <v>189</v>
      </c>
      <c r="C16" s="2" t="s">
        <v>203</v>
      </c>
      <c r="D16" s="3">
        <v>44748.228432291668</v>
      </c>
      <c r="E16" s="2" t="s">
        <v>204</v>
      </c>
      <c r="F16" s="2">
        <v>131679.07820700001</v>
      </c>
      <c r="G16" s="2" t="s">
        <v>190</v>
      </c>
    </row>
    <row r="17" spans="1:7" x14ac:dyDescent="0.2">
      <c r="A17" s="2" t="s">
        <v>202</v>
      </c>
      <c r="B17" s="2" t="s">
        <v>189</v>
      </c>
      <c r="C17" s="2" t="s">
        <v>203</v>
      </c>
      <c r="D17" s="3">
        <v>44748.249895914349</v>
      </c>
      <c r="E17" s="2" t="s">
        <v>204</v>
      </c>
      <c r="F17" s="2">
        <v>131679.07820700001</v>
      </c>
      <c r="G17" s="2" t="s">
        <v>190</v>
      </c>
    </row>
    <row r="18" spans="1:7" x14ac:dyDescent="0.2">
      <c r="A18" s="2" t="s">
        <v>202</v>
      </c>
      <c r="B18" s="2" t="s">
        <v>189</v>
      </c>
      <c r="C18" s="2" t="s">
        <v>203</v>
      </c>
      <c r="D18" s="3">
        <v>44748.250138888892</v>
      </c>
      <c r="E18" s="2" t="s">
        <v>191</v>
      </c>
      <c r="F18" s="2">
        <v>0</v>
      </c>
      <c r="G18" s="2" t="s">
        <v>216</v>
      </c>
    </row>
    <row r="19" spans="1:7" x14ac:dyDescent="0.2">
      <c r="A19" s="2" t="s">
        <v>202</v>
      </c>
      <c r="B19" s="2" t="s">
        <v>189</v>
      </c>
      <c r="C19" s="2" t="s">
        <v>203</v>
      </c>
      <c r="D19" s="3">
        <v>44749.533495370371</v>
      </c>
      <c r="E19" s="2" t="s">
        <v>191</v>
      </c>
      <c r="F19" s="2">
        <v>1</v>
      </c>
      <c r="G19" s="2" t="s">
        <v>216</v>
      </c>
    </row>
    <row r="20" spans="1:7" x14ac:dyDescent="0.2">
      <c r="A20" s="2" t="s">
        <v>202</v>
      </c>
      <c r="B20" s="2" t="s">
        <v>189</v>
      </c>
      <c r="C20" s="2" t="s">
        <v>203</v>
      </c>
      <c r="D20" s="3">
        <v>44749.649820752318</v>
      </c>
      <c r="E20" s="2" t="s">
        <v>204</v>
      </c>
      <c r="F20" s="2">
        <v>131805.21652000002</v>
      </c>
      <c r="G20" s="2" t="s">
        <v>190</v>
      </c>
    </row>
    <row r="21" spans="1:7" x14ac:dyDescent="0.2">
      <c r="A21" s="2" t="s">
        <v>202</v>
      </c>
      <c r="B21" s="2" t="s">
        <v>189</v>
      </c>
      <c r="C21" s="2" t="s">
        <v>203</v>
      </c>
      <c r="D21" s="3">
        <v>44749.650978090278</v>
      </c>
      <c r="E21" s="2" t="s">
        <v>204</v>
      </c>
      <c r="F21" s="2">
        <v>131805.837891</v>
      </c>
      <c r="G21" s="2" t="s">
        <v>190</v>
      </c>
    </row>
    <row r="22" spans="1:7" x14ac:dyDescent="0.2">
      <c r="A22" s="2" t="s">
        <v>202</v>
      </c>
      <c r="B22" s="2" t="s">
        <v>189</v>
      </c>
      <c r="C22" s="2" t="s">
        <v>203</v>
      </c>
      <c r="D22" s="3">
        <v>44749.651498923609</v>
      </c>
      <c r="E22" s="2" t="s">
        <v>204</v>
      </c>
      <c r="F22" s="2">
        <v>131806.45926199999</v>
      </c>
      <c r="G22" s="2" t="s">
        <v>190</v>
      </c>
    </row>
    <row r="23" spans="1:7" x14ac:dyDescent="0.2">
      <c r="A23" s="2" t="s">
        <v>202</v>
      </c>
      <c r="B23" s="2" t="s">
        <v>189</v>
      </c>
      <c r="C23" s="2" t="s">
        <v>203</v>
      </c>
      <c r="D23" s="3">
        <v>44749.652019676025</v>
      </c>
      <c r="E23" s="2" t="s">
        <v>204</v>
      </c>
      <c r="F23" s="2">
        <v>131807.08063300001</v>
      </c>
      <c r="G23" s="2" t="s">
        <v>190</v>
      </c>
    </row>
    <row r="24" spans="1:7" x14ac:dyDescent="0.2">
      <c r="A24" s="2" t="s">
        <v>202</v>
      </c>
      <c r="B24" s="2" t="s">
        <v>189</v>
      </c>
      <c r="C24" s="2" t="s">
        <v>203</v>
      </c>
      <c r="D24" s="3">
        <v>44749.652540474533</v>
      </c>
      <c r="E24" s="2" t="s">
        <v>204</v>
      </c>
      <c r="F24" s="2">
        <v>131807.70200399999</v>
      </c>
      <c r="G24" s="2" t="s">
        <v>190</v>
      </c>
    </row>
    <row r="25" spans="1:7" x14ac:dyDescent="0.2">
      <c r="A25" s="2" t="s">
        <v>202</v>
      </c>
      <c r="B25" s="2" t="s">
        <v>189</v>
      </c>
      <c r="C25" s="2" t="s">
        <v>203</v>
      </c>
      <c r="D25" s="3">
        <v>44749.652945451387</v>
      </c>
      <c r="E25" s="2" t="s">
        <v>204</v>
      </c>
      <c r="F25" s="2">
        <v>131808.32337500001</v>
      </c>
      <c r="G25" s="2" t="s">
        <v>190</v>
      </c>
    </row>
    <row r="26" spans="1:7" x14ac:dyDescent="0.2">
      <c r="A26" s="2" t="s">
        <v>202</v>
      </c>
      <c r="B26" s="2" t="s">
        <v>189</v>
      </c>
      <c r="C26" s="2" t="s">
        <v>203</v>
      </c>
      <c r="D26" s="3">
        <v>44749.65340841435</v>
      </c>
      <c r="E26" s="2" t="s">
        <v>204</v>
      </c>
      <c r="F26" s="2">
        <v>131808.94474599999</v>
      </c>
      <c r="G26" s="2" t="s">
        <v>190</v>
      </c>
    </row>
    <row r="27" spans="1:7" x14ac:dyDescent="0.2">
      <c r="A27" s="2" t="s">
        <v>202</v>
      </c>
      <c r="B27" s="2" t="s">
        <v>189</v>
      </c>
      <c r="C27" s="2" t="s">
        <v>203</v>
      </c>
      <c r="D27" s="3">
        <v>44749.653871296294</v>
      </c>
      <c r="E27" s="2" t="s">
        <v>204</v>
      </c>
      <c r="F27" s="2">
        <v>131809.56611700001</v>
      </c>
      <c r="G27" s="2" t="s">
        <v>190</v>
      </c>
    </row>
    <row r="28" spans="1:7" x14ac:dyDescent="0.2">
      <c r="A28" s="2" t="s">
        <v>202</v>
      </c>
      <c r="B28" s="2" t="s">
        <v>189</v>
      </c>
      <c r="C28" s="2" t="s">
        <v>203</v>
      </c>
      <c r="D28" s="3">
        <v>44749.654334224535</v>
      </c>
      <c r="E28" s="2" t="s">
        <v>204</v>
      </c>
      <c r="F28" s="2">
        <v>131810.187488</v>
      </c>
      <c r="G28" s="2" t="s">
        <v>190</v>
      </c>
    </row>
    <row r="29" spans="1:7" x14ac:dyDescent="0.2">
      <c r="A29" s="2" t="s">
        <v>202</v>
      </c>
      <c r="B29" s="2" t="s">
        <v>189</v>
      </c>
      <c r="C29" s="2" t="s">
        <v>203</v>
      </c>
      <c r="D29" s="3">
        <v>44749.65473923611</v>
      </c>
      <c r="E29" s="2" t="s">
        <v>204</v>
      </c>
      <c r="F29" s="2">
        <v>131810.80885900001</v>
      </c>
      <c r="G29" s="2" t="s">
        <v>190</v>
      </c>
    </row>
    <row r="30" spans="1:7" x14ac:dyDescent="0.2">
      <c r="A30" s="2" t="s">
        <v>202</v>
      </c>
      <c r="B30" s="2" t="s">
        <v>189</v>
      </c>
      <c r="C30" s="2" t="s">
        <v>203</v>
      </c>
      <c r="D30" s="3">
        <v>44749.655144293982</v>
      </c>
      <c r="E30" s="2" t="s">
        <v>204</v>
      </c>
      <c r="F30" s="2">
        <v>131811.43023</v>
      </c>
      <c r="G30" s="2" t="s">
        <v>190</v>
      </c>
    </row>
    <row r="31" spans="1:7" x14ac:dyDescent="0.2">
      <c r="A31" s="2" t="s">
        <v>202</v>
      </c>
      <c r="B31" s="2" t="s">
        <v>189</v>
      </c>
      <c r="C31" s="2" t="s">
        <v>203</v>
      </c>
      <c r="D31" s="3">
        <v>44749.655549270836</v>
      </c>
      <c r="E31" s="2" t="s">
        <v>204</v>
      </c>
      <c r="F31" s="2">
        <v>131812.05160100001</v>
      </c>
      <c r="G31" s="2" t="s">
        <v>190</v>
      </c>
    </row>
    <row r="32" spans="1:7" x14ac:dyDescent="0.2">
      <c r="A32" s="2" t="s">
        <v>202</v>
      </c>
      <c r="B32" s="2" t="s">
        <v>189</v>
      </c>
      <c r="C32" s="2" t="s">
        <v>203</v>
      </c>
      <c r="D32" s="3">
        <v>44749.655954317132</v>
      </c>
      <c r="E32" s="2" t="s">
        <v>204</v>
      </c>
      <c r="F32" s="2">
        <v>131812.672972</v>
      </c>
      <c r="G32" s="2" t="s">
        <v>190</v>
      </c>
    </row>
    <row r="33" spans="1:7" x14ac:dyDescent="0.2">
      <c r="A33" s="2" t="s">
        <v>202</v>
      </c>
      <c r="B33" s="2" t="s">
        <v>189</v>
      </c>
      <c r="C33" s="2" t="s">
        <v>203</v>
      </c>
      <c r="D33" s="3">
        <v>44749.656359340275</v>
      </c>
      <c r="E33" s="2" t="s">
        <v>204</v>
      </c>
      <c r="F33" s="2">
        <v>131813.29434300002</v>
      </c>
      <c r="G33" s="2" t="s">
        <v>190</v>
      </c>
    </row>
    <row r="34" spans="1:7" x14ac:dyDescent="0.2">
      <c r="A34" s="2" t="s">
        <v>202</v>
      </c>
      <c r="B34" s="2" t="s">
        <v>189</v>
      </c>
      <c r="C34" s="2" t="s">
        <v>203</v>
      </c>
      <c r="D34" s="3">
        <v>44749.657169409722</v>
      </c>
      <c r="E34" s="2" t="s">
        <v>204</v>
      </c>
      <c r="F34" s="2">
        <v>131814.53708499999</v>
      </c>
      <c r="G34" s="2" t="s">
        <v>190</v>
      </c>
    </row>
    <row r="35" spans="1:7" x14ac:dyDescent="0.2">
      <c r="A35" s="2" t="s">
        <v>202</v>
      </c>
      <c r="B35" s="2" t="s">
        <v>189</v>
      </c>
      <c r="C35" s="2" t="s">
        <v>203</v>
      </c>
      <c r="D35" s="3">
        <v>44749.657690162036</v>
      </c>
      <c r="E35" s="2" t="s">
        <v>204</v>
      </c>
      <c r="F35" s="2">
        <v>131815.158456</v>
      </c>
      <c r="G35" s="2" t="s">
        <v>190</v>
      </c>
    </row>
    <row r="36" spans="1:7" x14ac:dyDescent="0.2">
      <c r="A36" s="2" t="s">
        <v>202</v>
      </c>
      <c r="B36" s="2" t="s">
        <v>189</v>
      </c>
      <c r="C36" s="2" t="s">
        <v>203</v>
      </c>
      <c r="D36" s="3">
        <v>44749.658268784726</v>
      </c>
      <c r="E36" s="2" t="s">
        <v>204</v>
      </c>
      <c r="F36" s="2">
        <v>131815.77982699999</v>
      </c>
      <c r="G36" s="2" t="s">
        <v>190</v>
      </c>
    </row>
    <row r="37" spans="1:7" x14ac:dyDescent="0.2">
      <c r="A37" s="2" t="s">
        <v>202</v>
      </c>
      <c r="B37" s="2" t="s">
        <v>189</v>
      </c>
      <c r="C37" s="2" t="s">
        <v>203</v>
      </c>
      <c r="D37" s="3">
        <v>44749.6586159375</v>
      </c>
      <c r="E37" s="2" t="s">
        <v>204</v>
      </c>
      <c r="F37" s="2">
        <v>131816.40119800001</v>
      </c>
      <c r="G37" s="2" t="s">
        <v>190</v>
      </c>
    </row>
    <row r="38" spans="1:7" x14ac:dyDescent="0.2">
      <c r="A38" s="2" t="s">
        <v>202</v>
      </c>
      <c r="B38" s="2" t="s">
        <v>189</v>
      </c>
      <c r="C38" s="2" t="s">
        <v>203</v>
      </c>
      <c r="D38" s="3">
        <v>44749.659078854165</v>
      </c>
      <c r="E38" s="2" t="s">
        <v>204</v>
      </c>
      <c r="F38" s="2">
        <v>131817.02256899999</v>
      </c>
      <c r="G38" s="2" t="s">
        <v>190</v>
      </c>
    </row>
    <row r="39" spans="1:7" x14ac:dyDescent="0.2">
      <c r="A39" s="2" t="s">
        <v>202</v>
      </c>
      <c r="B39" s="2" t="s">
        <v>189</v>
      </c>
      <c r="C39" s="2" t="s">
        <v>203</v>
      </c>
      <c r="D39" s="3">
        <v>44749.65977322917</v>
      </c>
      <c r="E39" s="2" t="s">
        <v>204</v>
      </c>
      <c r="F39" s="2">
        <v>131817.64394000001</v>
      </c>
      <c r="G39" s="2" t="s">
        <v>190</v>
      </c>
    </row>
    <row r="40" spans="1:7" x14ac:dyDescent="0.2">
      <c r="A40" s="2" t="s">
        <v>202</v>
      </c>
      <c r="B40" s="2" t="s">
        <v>189</v>
      </c>
      <c r="C40" s="2" t="s">
        <v>203</v>
      </c>
      <c r="D40" s="3">
        <v>44749.660814780094</v>
      </c>
      <c r="E40" s="2" t="s">
        <v>204</v>
      </c>
      <c r="F40" s="2">
        <v>131818.265311</v>
      </c>
      <c r="G40" s="2" t="s">
        <v>190</v>
      </c>
    </row>
    <row r="41" spans="1:7" x14ac:dyDescent="0.2">
      <c r="A41" s="2" t="s">
        <v>202</v>
      </c>
      <c r="B41" s="2" t="s">
        <v>189</v>
      </c>
      <c r="C41" s="2" t="s">
        <v>203</v>
      </c>
      <c r="D41" s="3">
        <v>44749.661509108795</v>
      </c>
      <c r="E41" s="2" t="s">
        <v>204</v>
      </c>
      <c r="F41" s="2">
        <v>131818.88668200001</v>
      </c>
      <c r="G41" s="2" t="s">
        <v>190</v>
      </c>
    </row>
    <row r="42" spans="1:7" x14ac:dyDescent="0.2">
      <c r="A42" s="2" t="s">
        <v>202</v>
      </c>
      <c r="B42" s="2" t="s">
        <v>189</v>
      </c>
      <c r="C42" s="2" t="s">
        <v>203</v>
      </c>
      <c r="D42" s="3">
        <v>44749.66307141204</v>
      </c>
      <c r="E42" s="2" t="s">
        <v>204</v>
      </c>
      <c r="F42" s="2">
        <v>131819.508053</v>
      </c>
      <c r="G42" s="2" t="s">
        <v>190</v>
      </c>
    </row>
    <row r="43" spans="1:7" x14ac:dyDescent="0.2">
      <c r="A43" s="2" t="s">
        <v>202</v>
      </c>
      <c r="B43" s="2" t="s">
        <v>189</v>
      </c>
      <c r="C43" s="2" t="s">
        <v>203</v>
      </c>
      <c r="D43" s="3">
        <v>44749.664981018519</v>
      </c>
      <c r="E43" s="2" t="s">
        <v>204</v>
      </c>
      <c r="F43" s="2">
        <v>131820.12942400001</v>
      </c>
      <c r="G43" s="2" t="s">
        <v>190</v>
      </c>
    </row>
    <row r="44" spans="1:7" x14ac:dyDescent="0.2">
      <c r="A44" s="2" t="s">
        <v>202</v>
      </c>
      <c r="B44" s="2" t="s">
        <v>189</v>
      </c>
      <c r="C44" s="2" t="s">
        <v>203</v>
      </c>
      <c r="D44" s="3">
        <v>44749.666487037037</v>
      </c>
      <c r="E44" s="2" t="s">
        <v>204</v>
      </c>
      <c r="F44" s="2">
        <v>131820.12942400001</v>
      </c>
      <c r="G44" s="2" t="s">
        <v>190</v>
      </c>
    </row>
    <row r="45" spans="1:7" x14ac:dyDescent="0.2">
      <c r="A45" s="2" t="s">
        <v>202</v>
      </c>
      <c r="B45" s="2" t="s">
        <v>189</v>
      </c>
      <c r="C45" s="2" t="s">
        <v>203</v>
      </c>
      <c r="D45" s="3">
        <v>44749.789119988425</v>
      </c>
      <c r="E45" s="2" t="s">
        <v>204</v>
      </c>
      <c r="F45" s="2">
        <v>131820.12942400001</v>
      </c>
      <c r="G45" s="2" t="s">
        <v>190</v>
      </c>
    </row>
    <row r="46" spans="1:7" x14ac:dyDescent="0.2">
      <c r="A46" s="2" t="s">
        <v>202</v>
      </c>
      <c r="B46" s="2" t="s">
        <v>189</v>
      </c>
      <c r="C46" s="2" t="s">
        <v>203</v>
      </c>
      <c r="D46" s="3">
        <v>44749.789607060186</v>
      </c>
      <c r="E46" s="2" t="s">
        <v>204</v>
      </c>
      <c r="F46" s="2">
        <v>131820.12942400001</v>
      </c>
      <c r="G46" s="2" t="s">
        <v>190</v>
      </c>
    </row>
    <row r="47" spans="1:7" x14ac:dyDescent="0.2">
      <c r="A47" s="2" t="s">
        <v>202</v>
      </c>
      <c r="B47" s="2" t="s">
        <v>189</v>
      </c>
      <c r="C47" s="2" t="s">
        <v>203</v>
      </c>
      <c r="D47" s="3">
        <v>44749.85930034722</v>
      </c>
      <c r="E47" s="2" t="s">
        <v>204</v>
      </c>
      <c r="F47" s="2">
        <v>131820.12942400001</v>
      </c>
      <c r="G47" s="2" t="s">
        <v>190</v>
      </c>
    </row>
    <row r="48" spans="1:7" x14ac:dyDescent="0.2">
      <c r="A48" s="2" t="s">
        <v>202</v>
      </c>
      <c r="B48" s="2" t="s">
        <v>189</v>
      </c>
      <c r="C48" s="2" t="s">
        <v>203</v>
      </c>
      <c r="D48" s="3">
        <v>44749.860128587963</v>
      </c>
      <c r="E48" s="2" t="s">
        <v>204</v>
      </c>
      <c r="F48" s="2">
        <v>131820.12942400001</v>
      </c>
      <c r="G48" s="2" t="s">
        <v>190</v>
      </c>
    </row>
  </sheetData>
  <pageMargins left="0.75" right="0.75" top="1" bottom="1" header="0.5" footer="0.5"/>
  <pageSetup fitToHeight="100" orientation="landscape" horizontalDpi="300" verticalDpi="30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showGridLines="0" workbookViewId="0">
      <pane ySplit="12" topLeftCell="A13" activePane="bottomLeft" state="frozen"/>
      <selection activeCell="G12" sqref="G12"/>
      <selection pane="bottomLeft"/>
    </sheetView>
  </sheetViews>
  <sheetFormatPr defaultColWidth="9.140625" defaultRowHeight="16.5" x14ac:dyDescent="0.3"/>
  <cols>
    <col min="1" max="2" width="25.7109375" style="8" customWidth="1"/>
    <col min="3" max="4" width="15.7109375" style="8" customWidth="1"/>
    <col min="5" max="5" width="30.140625" style="8" customWidth="1"/>
    <col min="6" max="6" width="15.7109375" style="8" customWidth="1"/>
    <col min="7" max="7" width="15.7109375" style="51" customWidth="1"/>
    <col min="8" max="9" width="15.7109375" style="8" customWidth="1"/>
    <col min="10" max="11" width="25.7109375" style="8" customWidth="1"/>
    <col min="12" max="13" width="9.140625" style="8" customWidth="1"/>
    <col min="14" max="14" width="43.7109375" style="8" customWidth="1"/>
    <col min="15" max="16" width="9.140625" style="8" customWidth="1"/>
    <col min="17" max="17" width="15.7109375" style="8" customWidth="1"/>
    <col min="18" max="18" width="9.140625" style="8" customWidth="1"/>
    <col min="19" max="16384" width="9.140625" style="8"/>
  </cols>
  <sheetData>
    <row r="1" spans="1:18" s="15" customFormat="1" ht="25.5" customHeight="1" x14ac:dyDescent="0.45">
      <c r="A1" s="14" t="s">
        <v>193</v>
      </c>
      <c r="C1" s="16">
        <f>Data!B2</f>
        <v>44819.490901886573</v>
      </c>
      <c r="D1" s="16"/>
      <c r="G1" s="53"/>
    </row>
    <row r="2" spans="1:18" s="24" customFormat="1" ht="25.5" customHeight="1" x14ac:dyDescent="0.5">
      <c r="A2" s="23" t="str">
        <f>Data!B1</f>
        <v>Template Company Name</v>
      </c>
      <c r="G2" s="54"/>
    </row>
    <row r="3" spans="1:18" s="24" customFormat="1" ht="17.25" customHeight="1" x14ac:dyDescent="0.3">
      <c r="A3" s="25"/>
      <c r="C3" s="26"/>
      <c r="D3" s="26"/>
      <c r="G3" s="54"/>
    </row>
    <row r="4" spans="1:18" ht="17.45" customHeight="1" x14ac:dyDescent="0.3">
      <c r="A4" s="66" t="s">
        <v>25</v>
      </c>
      <c r="B4" s="66"/>
      <c r="C4" s="13"/>
      <c r="D4" s="13"/>
    </row>
    <row r="5" spans="1:18" s="24" customFormat="1" ht="17.45" customHeight="1" x14ac:dyDescent="0.3">
      <c r="A5" s="35" t="s">
        <v>22</v>
      </c>
      <c r="B5" s="27">
        <f>Data!B3</f>
        <v>44747</v>
      </c>
      <c r="C5" s="26"/>
      <c r="D5" s="26"/>
      <c r="G5" s="54"/>
    </row>
    <row r="6" spans="1:18" s="24" customFormat="1" ht="17.45" customHeight="1" x14ac:dyDescent="0.3">
      <c r="A6" s="35" t="s">
        <v>23</v>
      </c>
      <c r="B6" s="27">
        <f>Data!B4</f>
        <v>44752.999988425923</v>
      </c>
      <c r="C6" s="26"/>
      <c r="D6" s="26"/>
      <c r="G6" s="54"/>
    </row>
    <row r="7" spans="1:18" s="24" customFormat="1" ht="17.45" customHeight="1" x14ac:dyDescent="0.3">
      <c r="A7" s="35" t="s">
        <v>194</v>
      </c>
      <c r="B7" s="28">
        <f>B6-B5</f>
        <v>5.9999884259232203</v>
      </c>
      <c r="C7" s="26"/>
      <c r="D7" s="26"/>
      <c r="G7" s="54"/>
    </row>
    <row r="8" spans="1:18" s="24" customFormat="1" ht="17.45" customHeight="1" x14ac:dyDescent="0.3">
      <c r="A8" s="29"/>
      <c r="B8" s="30"/>
      <c r="C8" s="26"/>
      <c r="G8" s="54"/>
    </row>
    <row r="9" spans="1:18" ht="17.45" customHeight="1" x14ac:dyDescent="0.3">
      <c r="A9" s="33" t="s">
        <v>112</v>
      </c>
      <c r="B9" s="27" t="str">
        <f>Data!B5</f>
        <v>America/New_York</v>
      </c>
      <c r="C9" s="13"/>
    </row>
    <row r="10" spans="1:18" ht="17.45" customHeight="1" x14ac:dyDescent="0.3">
      <c r="A10" s="33" t="s">
        <v>198</v>
      </c>
      <c r="B10" s="27" t="str">
        <f>Data!B6</f>
        <v>km</v>
      </c>
      <c r="C10" s="13"/>
    </row>
    <row r="11" spans="1:18" s="24" customFormat="1" ht="17.45" customHeight="1" x14ac:dyDescent="0.3">
      <c r="G11" s="54"/>
    </row>
    <row r="12" spans="1:18" s="12" customFormat="1" ht="17.45" customHeight="1" x14ac:dyDescent="0.3">
      <c r="A12" s="36" t="s">
        <v>14</v>
      </c>
      <c r="B12" s="36" t="s">
        <v>15</v>
      </c>
      <c r="C12" s="37" t="s">
        <v>25</v>
      </c>
      <c r="D12" s="37" t="s">
        <v>199</v>
      </c>
      <c r="E12" s="36" t="s">
        <v>16</v>
      </c>
      <c r="F12" s="40" t="s">
        <v>200</v>
      </c>
      <c r="G12" s="55" t="s">
        <v>201</v>
      </c>
      <c r="H12" s="40" t="s">
        <v>213</v>
      </c>
      <c r="I12" s="40" t="s">
        <v>214</v>
      </c>
      <c r="J12" s="42" t="s">
        <v>211</v>
      </c>
      <c r="K12" s="42" t="s">
        <v>212</v>
      </c>
      <c r="L12" s="40" t="s">
        <v>206</v>
      </c>
      <c r="M12" s="40" t="s">
        <v>207</v>
      </c>
      <c r="N12" s="40" t="s">
        <v>208</v>
      </c>
      <c r="O12" s="40" t="s">
        <v>209</v>
      </c>
      <c r="P12" s="40" t="s">
        <v>210</v>
      </c>
      <c r="Q12" s="36" t="s">
        <v>19</v>
      </c>
      <c r="R12" s="40" t="s">
        <v>205</v>
      </c>
    </row>
    <row r="13" spans="1:18" x14ac:dyDescent="0.3">
      <c r="A13" s="11" t="str">
        <f>Data!A12</f>
        <v>Template Vehicle 1</v>
      </c>
      <c r="B13" s="11" t="str">
        <f>Data!C12</f>
        <v xml:space="preserve"> Template Group 1</v>
      </c>
      <c r="C13" s="38">
        <f>INT(Data!D12)</f>
        <v>44748</v>
      </c>
      <c r="D13" s="39">
        <f>MOD(Data!D12, 1)</f>
        <v>0.22430844907648861</v>
      </c>
      <c r="E13" s="11" t="str">
        <f>Data!E12</f>
        <v>Odometer</v>
      </c>
      <c r="F13" s="41">
        <f t="shared" ref="F13:F44" si="0">IF(E13="Odometer",Q13,IF(A12=A13,F12,0))</f>
        <v>131676.59272300001</v>
      </c>
      <c r="G13" s="52">
        <f>IF(OR(F13=0,F12=0),0,IFERROR(F13-F12,0))</f>
        <v>0</v>
      </c>
      <c r="H13" s="41">
        <f t="shared" ref="H13:H44" si="1">IF(AND(ISNUMBER(SEARCH("Device power",E13)),Q13=0),F13,IF(A12&lt;&gt;A13,0,H12))</f>
        <v>0</v>
      </c>
      <c r="I13" s="41">
        <f t="shared" ref="I13:I44" si="2">IF(AND(ISNUMBER(SEARCH("Device power",E13)),Q13=1),F14,IF(A12&lt;&gt;A13,0,I12))</f>
        <v>0</v>
      </c>
      <c r="J13" s="43" t="str">
        <f>IF(AND(ISNUMBER(SEARCH("Device power",E13)),Q13=0),Data!D12,IF(A12&lt;&gt;A13,"",J12))</f>
        <v/>
      </c>
      <c r="K13" s="43" t="str">
        <f>IF(AND(ISNUMBER(SEARCH("Device power",E13)),Q13=1),Data!D12,IF(A12&lt;&gt;A13,"",K12))</f>
        <v/>
      </c>
      <c r="L13" s="41" t="str">
        <f t="shared" ref="L13:L44" si="3">IFERROR(IF(AND(ISNUMBER(SEARCH("Device power",E12)),A12=A13,E13="Odometer",F12&lt;&gt;0,G13&lt;&gt;0,(K13-J13)&gt;0.000694444444444444),TRUE,FALSE),"")</f>
        <v/>
      </c>
      <c r="M13" s="41">
        <f t="shared" ref="M13:M44" si="4">IF(L13=TRUE,G13,0)</f>
        <v>0</v>
      </c>
      <c r="N13" s="41" t="str">
        <f t="shared" ref="N13:N20" si="5">CONCATENATE(TEXT(M13, "#.##"), " ", $B$10)</f>
        <v>. km</v>
      </c>
      <c r="O13" s="41" t="b">
        <f>IF($B$10="km", IF(M13&lt;10,FALSE,TRUE), IF(M13&lt;6,FALSE,TRUE))</f>
        <v>0</v>
      </c>
      <c r="P13" s="41">
        <f t="shared" ref="P13:P44" si="6">IF(AND(L13, O13), 1, 0)</f>
        <v>0</v>
      </c>
      <c r="Q13" s="41">
        <f>Data!F12</f>
        <v>131676.59272300001</v>
      </c>
      <c r="R13" s="11" t="str">
        <f>Data!G12</f>
        <v>km</v>
      </c>
    </row>
    <row r="14" spans="1:18" x14ac:dyDescent="0.3">
      <c r="A14" s="11" t="str">
        <f>Data!A13</f>
        <v>Template Vehicle 1</v>
      </c>
      <c r="B14" s="11" t="str">
        <f>Data!C13</f>
        <v xml:space="preserve"> Template Group 1</v>
      </c>
      <c r="C14" s="38">
        <f>INT(Data!D13)</f>
        <v>44748</v>
      </c>
      <c r="D14" s="39">
        <f>MOD(Data!D13, 1)</f>
        <v>0.22672665509162471</v>
      </c>
      <c r="E14" s="11" t="str">
        <f>Data!E13</f>
        <v>Odometer</v>
      </c>
      <c r="F14" s="41">
        <f t="shared" si="0"/>
        <v>131677.83546500001</v>
      </c>
      <c r="G14" s="52">
        <f t="shared" ref="G14:G49" si="7">IF(OR(F14=0,F13=0),0,IFERROR(F14-F13,0))</f>
        <v>1.2427420000021812</v>
      </c>
      <c r="H14" s="41">
        <f t="shared" si="1"/>
        <v>0</v>
      </c>
      <c r="I14" s="41">
        <f t="shared" si="2"/>
        <v>0</v>
      </c>
      <c r="J14" s="43" t="str">
        <f>IF(AND(ISNUMBER(SEARCH("Device power",E14)),Q14=0),Data!D13,IF(A13&lt;&gt;A14,"",J13))</f>
        <v/>
      </c>
      <c r="K14" s="43" t="str">
        <f>IF(AND(ISNUMBER(SEARCH("Device power",E14)),Q14=1),Data!D13,IF(A13&lt;&gt;A14,"",K13))</f>
        <v/>
      </c>
      <c r="L14" s="41" t="str">
        <f t="shared" si="3"/>
        <v/>
      </c>
      <c r="M14" s="41">
        <f t="shared" si="4"/>
        <v>0</v>
      </c>
      <c r="N14" s="41" t="str">
        <f t="shared" si="5"/>
        <v>. km</v>
      </c>
      <c r="O14" s="41" t="b">
        <f t="shared" ref="O14:O49" si="8">IF($B$10="km", IF(M14&lt;10,FALSE,TRUE), IF(M14&lt;6,FALSE,TRUE))</f>
        <v>0</v>
      </c>
      <c r="P14" s="41">
        <f t="shared" si="6"/>
        <v>0</v>
      </c>
      <c r="Q14" s="41">
        <f>Data!F13</f>
        <v>131677.83546500001</v>
      </c>
      <c r="R14" s="11" t="str">
        <f>Data!G13</f>
        <v>km</v>
      </c>
    </row>
    <row r="15" spans="1:18" x14ac:dyDescent="0.3">
      <c r="A15" s="11" t="str">
        <f>Data!A14</f>
        <v>Template Vehicle 1</v>
      </c>
      <c r="B15" s="11" t="str">
        <f>Data!C14</f>
        <v xml:space="preserve"> Template Group 1</v>
      </c>
      <c r="C15" s="38">
        <f>INT(Data!D14)</f>
        <v>44748</v>
      </c>
      <c r="D15" s="39">
        <f>MOD(Data!D14, 1)</f>
        <v>0.22742133101564832</v>
      </c>
      <c r="E15" s="11" t="str">
        <f>Data!E14</f>
        <v>Odometer</v>
      </c>
      <c r="F15" s="41">
        <f t="shared" si="0"/>
        <v>131678.456836</v>
      </c>
      <c r="G15" s="52">
        <f t="shared" si="7"/>
        <v>0.62137099998653866</v>
      </c>
      <c r="H15" s="41">
        <f t="shared" si="1"/>
        <v>0</v>
      </c>
      <c r="I15" s="41">
        <f t="shared" si="2"/>
        <v>0</v>
      </c>
      <c r="J15" s="43" t="str">
        <f>IF(AND(ISNUMBER(SEARCH("Device power",E15)),Q15=0),Data!D14,IF(A14&lt;&gt;A15,"",J14))</f>
        <v/>
      </c>
      <c r="K15" s="43" t="str">
        <f>IF(AND(ISNUMBER(SEARCH("Device power",E15)),Q15=1),Data!D14,IF(A14&lt;&gt;A15,"",K14))</f>
        <v/>
      </c>
      <c r="L15" s="41" t="str">
        <f t="shared" si="3"/>
        <v/>
      </c>
      <c r="M15" s="41">
        <f t="shared" si="4"/>
        <v>0</v>
      </c>
      <c r="N15" s="41" t="str">
        <f t="shared" si="5"/>
        <v>. km</v>
      </c>
      <c r="O15" s="41" t="b">
        <f t="shared" si="8"/>
        <v>0</v>
      </c>
      <c r="P15" s="41">
        <f t="shared" si="6"/>
        <v>0</v>
      </c>
      <c r="Q15" s="41">
        <f>Data!F14</f>
        <v>131678.456836</v>
      </c>
      <c r="R15" s="11" t="str">
        <f>Data!G14</f>
        <v>km</v>
      </c>
    </row>
    <row r="16" spans="1:18" x14ac:dyDescent="0.3">
      <c r="A16" s="11" t="str">
        <f>Data!A15</f>
        <v>Template Vehicle 1</v>
      </c>
      <c r="B16" s="11" t="str">
        <f>Data!C15</f>
        <v xml:space="preserve"> Template Group 1</v>
      </c>
      <c r="C16" s="38">
        <f>INT(Data!D15)</f>
        <v>44748</v>
      </c>
      <c r="D16" s="39">
        <f>MOD(Data!D15, 1)</f>
        <v>0.22800019675923977</v>
      </c>
      <c r="E16" s="11" t="str">
        <f>Data!E15</f>
        <v>Odometer</v>
      </c>
      <c r="F16" s="41">
        <f t="shared" si="0"/>
        <v>131679.07820700001</v>
      </c>
      <c r="G16" s="52">
        <f t="shared" si="7"/>
        <v>0.62137100001564249</v>
      </c>
      <c r="H16" s="41">
        <f t="shared" si="1"/>
        <v>0</v>
      </c>
      <c r="I16" s="41">
        <f t="shared" si="2"/>
        <v>0</v>
      </c>
      <c r="J16" s="43" t="str">
        <f>IF(AND(ISNUMBER(SEARCH("Device power",E16)),Q16=0),Data!D15,IF(A15&lt;&gt;A16,"",J15))</f>
        <v/>
      </c>
      <c r="K16" s="43" t="str">
        <f>IF(AND(ISNUMBER(SEARCH("Device power",E16)),Q16=1),Data!D15,IF(A15&lt;&gt;A16,"",K15))</f>
        <v/>
      </c>
      <c r="L16" s="41" t="str">
        <f t="shared" si="3"/>
        <v/>
      </c>
      <c r="M16" s="41">
        <f t="shared" si="4"/>
        <v>0</v>
      </c>
      <c r="N16" s="41" t="str">
        <f t="shared" si="5"/>
        <v>. km</v>
      </c>
      <c r="O16" s="41" t="b">
        <f t="shared" si="8"/>
        <v>0</v>
      </c>
      <c r="P16" s="41">
        <f t="shared" si="6"/>
        <v>0</v>
      </c>
      <c r="Q16" s="41">
        <f>Data!F15</f>
        <v>131679.07820700001</v>
      </c>
      <c r="R16" s="11" t="str">
        <f>Data!G15</f>
        <v>km</v>
      </c>
    </row>
    <row r="17" spans="1:18" x14ac:dyDescent="0.3">
      <c r="A17" s="11" t="str">
        <f>Data!A16</f>
        <v>Template Vehicle 1</v>
      </c>
      <c r="B17" s="11" t="str">
        <f>Data!C16</f>
        <v xml:space="preserve"> Template Group 1</v>
      </c>
      <c r="C17" s="38">
        <f>INT(Data!D16)</f>
        <v>44748</v>
      </c>
      <c r="D17" s="39">
        <f>MOD(Data!D16, 1)</f>
        <v>0.22843229166755918</v>
      </c>
      <c r="E17" s="11" t="str">
        <f>Data!E16</f>
        <v>Odometer</v>
      </c>
      <c r="F17" s="41">
        <f t="shared" si="0"/>
        <v>131679.07820700001</v>
      </c>
      <c r="G17" s="52">
        <f t="shared" si="7"/>
        <v>0</v>
      </c>
      <c r="H17" s="41">
        <f t="shared" si="1"/>
        <v>0</v>
      </c>
      <c r="I17" s="41">
        <f t="shared" si="2"/>
        <v>0</v>
      </c>
      <c r="J17" s="43" t="str">
        <f>IF(AND(ISNUMBER(SEARCH("Device power",E17)),Q17=0),Data!D16,IF(A16&lt;&gt;A17,"",J16))</f>
        <v/>
      </c>
      <c r="K17" s="43" t="str">
        <f>IF(AND(ISNUMBER(SEARCH("Device power",E17)),Q17=1),Data!D16,IF(A16&lt;&gt;A17,"",K16))</f>
        <v/>
      </c>
      <c r="L17" s="41" t="str">
        <f t="shared" si="3"/>
        <v/>
      </c>
      <c r="M17" s="41">
        <f t="shared" si="4"/>
        <v>0</v>
      </c>
      <c r="N17" s="41" t="str">
        <f t="shared" si="5"/>
        <v>. km</v>
      </c>
      <c r="O17" s="41" t="b">
        <f t="shared" si="8"/>
        <v>0</v>
      </c>
      <c r="P17" s="41">
        <f t="shared" si="6"/>
        <v>0</v>
      </c>
      <c r="Q17" s="41">
        <f>Data!F16</f>
        <v>131679.07820700001</v>
      </c>
      <c r="R17" s="11" t="str">
        <f>Data!G16</f>
        <v>km</v>
      </c>
    </row>
    <row r="18" spans="1:18" x14ac:dyDescent="0.3">
      <c r="A18" s="11" t="str">
        <f>Data!A17</f>
        <v>Template Vehicle 1</v>
      </c>
      <c r="B18" s="11" t="str">
        <f>Data!C17</f>
        <v xml:space="preserve"> Template Group 1</v>
      </c>
      <c r="C18" s="38">
        <f>INT(Data!D17)</f>
        <v>44748</v>
      </c>
      <c r="D18" s="39">
        <f>MOD(Data!D17, 1)</f>
        <v>0.24989591434859904</v>
      </c>
      <c r="E18" s="11" t="str">
        <f>Data!E17</f>
        <v>Odometer</v>
      </c>
      <c r="F18" s="41">
        <f t="shared" si="0"/>
        <v>131679.07820700001</v>
      </c>
      <c r="G18" s="52">
        <f t="shared" si="7"/>
        <v>0</v>
      </c>
      <c r="H18" s="41">
        <f t="shared" si="1"/>
        <v>0</v>
      </c>
      <c r="I18" s="41">
        <f t="shared" si="2"/>
        <v>0</v>
      </c>
      <c r="J18" s="43" t="str">
        <f>IF(AND(ISNUMBER(SEARCH("Device power",E18)),Q18=0),Data!D17,IF(A17&lt;&gt;A18,"",J17))</f>
        <v/>
      </c>
      <c r="K18" s="43" t="str">
        <f>IF(AND(ISNUMBER(SEARCH("Device power",E18)),Q18=1),Data!D17,IF(A17&lt;&gt;A18,"",K17))</f>
        <v/>
      </c>
      <c r="L18" s="41" t="str">
        <f t="shared" si="3"/>
        <v/>
      </c>
      <c r="M18" s="41">
        <f t="shared" si="4"/>
        <v>0</v>
      </c>
      <c r="N18" s="41" t="str">
        <f t="shared" si="5"/>
        <v>. km</v>
      </c>
      <c r="O18" s="41" t="b">
        <f t="shared" si="8"/>
        <v>0</v>
      </c>
      <c r="P18" s="41">
        <f t="shared" si="6"/>
        <v>0</v>
      </c>
      <c r="Q18" s="41">
        <f>Data!F17</f>
        <v>131679.07820700001</v>
      </c>
      <c r="R18" s="11" t="str">
        <f>Data!G17</f>
        <v>km</v>
      </c>
    </row>
    <row r="19" spans="1:18" x14ac:dyDescent="0.3">
      <c r="A19" s="11" t="str">
        <f>Data!A18</f>
        <v>Template Vehicle 1</v>
      </c>
      <c r="B19" s="11" t="str">
        <f>Data!C18</f>
        <v xml:space="preserve"> Template Group 1</v>
      </c>
      <c r="C19" s="38">
        <f>INT(Data!D18)</f>
        <v>44748</v>
      </c>
      <c r="D19" s="39">
        <f>MOD(Data!D18, 1)</f>
        <v>0.250138888892252</v>
      </c>
      <c r="E19" s="11" t="str">
        <f>Data!E18</f>
        <v>Device power change (1 = powered)</v>
      </c>
      <c r="F19" s="41">
        <f t="shared" si="0"/>
        <v>131679.07820700001</v>
      </c>
      <c r="G19" s="52">
        <f t="shared" si="7"/>
        <v>0</v>
      </c>
      <c r="H19" s="41">
        <f t="shared" si="1"/>
        <v>131679.07820700001</v>
      </c>
      <c r="I19" s="41">
        <f t="shared" si="2"/>
        <v>0</v>
      </c>
      <c r="J19" s="43">
        <f>IF(AND(ISNUMBER(SEARCH("Device power",E19)),Q19=0),Data!D18,IF(A18&lt;&gt;A19,"",J18))</f>
        <v>44748.250138888892</v>
      </c>
      <c r="K19" s="43" t="str">
        <f>IF(AND(ISNUMBER(SEARCH("Device power",E19)),Q19=1),Data!D18,IF(A18&lt;&gt;A19,"",K18))</f>
        <v/>
      </c>
      <c r="L19" s="41" t="str">
        <f t="shared" si="3"/>
        <v/>
      </c>
      <c r="M19" s="41">
        <f t="shared" si="4"/>
        <v>0</v>
      </c>
      <c r="N19" s="41" t="str">
        <f t="shared" si="5"/>
        <v>. km</v>
      </c>
      <c r="O19" s="41" t="b">
        <f t="shared" si="8"/>
        <v>0</v>
      </c>
      <c r="P19" s="41">
        <f t="shared" si="6"/>
        <v>0</v>
      </c>
      <c r="Q19" s="41">
        <f>Data!F18</f>
        <v>0</v>
      </c>
      <c r="R19" s="11" t="str">
        <f>Data!G18</f>
        <v>None</v>
      </c>
    </row>
    <row r="20" spans="1:18" x14ac:dyDescent="0.3">
      <c r="A20" s="11" t="str">
        <f>Data!A19</f>
        <v>Template Vehicle 1</v>
      </c>
      <c r="B20" s="11" t="str">
        <f>Data!C19</f>
        <v xml:space="preserve"> Template Group 1</v>
      </c>
      <c r="C20" s="38">
        <f>INT(Data!D19)</f>
        <v>44749</v>
      </c>
      <c r="D20" s="39">
        <f>MOD(Data!D19, 1)</f>
        <v>0.53349537037138361</v>
      </c>
      <c r="E20" s="11" t="str">
        <f>Data!E19</f>
        <v>Device power change (1 = powered)</v>
      </c>
      <c r="F20" s="41">
        <f t="shared" si="0"/>
        <v>131679.07820700001</v>
      </c>
      <c r="G20" s="52">
        <f t="shared" si="7"/>
        <v>0</v>
      </c>
      <c r="H20" s="41">
        <f t="shared" si="1"/>
        <v>131679.07820700001</v>
      </c>
      <c r="I20" s="41">
        <f t="shared" si="2"/>
        <v>131805.21652000002</v>
      </c>
      <c r="J20" s="43">
        <f>IF(AND(ISNUMBER(SEARCH("Device power",E20)),Q20=0),Data!D19,IF(A19&lt;&gt;A20,"",J19))</f>
        <v>44748.250138888892</v>
      </c>
      <c r="K20" s="43">
        <f>IF(AND(ISNUMBER(SEARCH("Device power",E20)),Q20=1),Data!D19,IF(A19&lt;&gt;A20,"",K19))</f>
        <v>44749.533495370371</v>
      </c>
      <c r="L20" s="41" t="b">
        <f t="shared" si="3"/>
        <v>0</v>
      </c>
      <c r="M20" s="41">
        <f t="shared" si="4"/>
        <v>0</v>
      </c>
      <c r="N20" s="41" t="str">
        <f t="shared" si="5"/>
        <v>. km</v>
      </c>
      <c r="O20" s="41" t="b">
        <f t="shared" si="8"/>
        <v>0</v>
      </c>
      <c r="P20" s="41">
        <f t="shared" si="6"/>
        <v>0</v>
      </c>
      <c r="Q20" s="41">
        <f>Data!F19</f>
        <v>1</v>
      </c>
      <c r="R20" s="11" t="str">
        <f>Data!G19</f>
        <v>None</v>
      </c>
    </row>
    <row r="21" spans="1:18" x14ac:dyDescent="0.3">
      <c r="A21" s="11" t="str">
        <f>Data!A20</f>
        <v>Template Vehicle 1</v>
      </c>
      <c r="B21" s="11" t="str">
        <f>Data!C20</f>
        <v xml:space="preserve"> Template Group 1</v>
      </c>
      <c r="C21" s="38">
        <f>INT(Data!D20)</f>
        <v>44749</v>
      </c>
      <c r="D21" s="39">
        <f>MOD(Data!D20, 1)</f>
        <v>0.64982075231819181</v>
      </c>
      <c r="E21" s="11" t="str">
        <f>Data!E20</f>
        <v>Odometer</v>
      </c>
      <c r="F21" s="41">
        <f t="shared" si="0"/>
        <v>131805.21652000002</v>
      </c>
      <c r="G21" s="52">
        <f t="shared" si="7"/>
        <v>126.13831300000311</v>
      </c>
      <c r="H21" s="41">
        <f t="shared" si="1"/>
        <v>131679.07820700001</v>
      </c>
      <c r="I21" s="41">
        <f t="shared" si="2"/>
        <v>131805.21652000002</v>
      </c>
      <c r="J21" s="43">
        <f>IF(AND(ISNUMBER(SEARCH("Device power",E21)),Q21=0),Data!D20,IF(A20&lt;&gt;A21,"",J20))</f>
        <v>44748.250138888892</v>
      </c>
      <c r="K21" s="43">
        <f>IF(AND(ISNUMBER(SEARCH("Device power",E21)),Q21=1),Data!D20,IF(A20&lt;&gt;A21,"",K20))</f>
        <v>44749.533495370371</v>
      </c>
      <c r="L21" s="41" t="b">
        <f t="shared" si="3"/>
        <v>1</v>
      </c>
      <c r="M21" s="52">
        <f t="shared" si="4"/>
        <v>126.13831300000311</v>
      </c>
      <c r="N21" s="41" t="str">
        <f>CONCATENATE(TEXT(M21, "#.##"), " ", $B$10)</f>
        <v>126.14 km</v>
      </c>
      <c r="O21" s="41" t="b">
        <f t="shared" si="8"/>
        <v>1</v>
      </c>
      <c r="P21" s="41">
        <f t="shared" si="6"/>
        <v>1</v>
      </c>
      <c r="Q21" s="41">
        <f>Data!F20</f>
        <v>131805.21652000002</v>
      </c>
      <c r="R21" s="11" t="str">
        <f>Data!G20</f>
        <v>km</v>
      </c>
    </row>
    <row r="22" spans="1:18" x14ac:dyDescent="0.3">
      <c r="A22" s="11" t="str">
        <f>Data!A21</f>
        <v>Template Vehicle 1</v>
      </c>
      <c r="B22" s="11" t="str">
        <f>Data!C21</f>
        <v xml:space="preserve"> Template Group 1</v>
      </c>
      <c r="C22" s="38">
        <f>INT(Data!D21)</f>
        <v>44749</v>
      </c>
      <c r="D22" s="39">
        <f>MOD(Data!D21, 1)</f>
        <v>0.65097809027793119</v>
      </c>
      <c r="E22" s="11" t="str">
        <f>Data!E21</f>
        <v>Odometer</v>
      </c>
      <c r="F22" s="41">
        <f t="shared" si="0"/>
        <v>131805.837891</v>
      </c>
      <c r="G22" s="52">
        <f t="shared" si="7"/>
        <v>0.62137099998653866</v>
      </c>
      <c r="H22" s="41">
        <f t="shared" si="1"/>
        <v>131679.07820700001</v>
      </c>
      <c r="I22" s="41">
        <f t="shared" si="2"/>
        <v>131805.21652000002</v>
      </c>
      <c r="J22" s="43">
        <f>IF(AND(ISNUMBER(SEARCH("Device power",E22)),Q22=0),Data!D21,IF(A21&lt;&gt;A22,"",J21))</f>
        <v>44748.250138888892</v>
      </c>
      <c r="K22" s="43">
        <f>IF(AND(ISNUMBER(SEARCH("Device power",E22)),Q22=1),Data!D21,IF(A21&lt;&gt;A22,"",K21))</f>
        <v>44749.533495370371</v>
      </c>
      <c r="L22" s="41" t="b">
        <f t="shared" si="3"/>
        <v>0</v>
      </c>
      <c r="M22" s="41">
        <f t="shared" si="4"/>
        <v>0</v>
      </c>
      <c r="N22" s="41" t="str">
        <f t="shared" ref="N22:N49" si="9">CONCATENATE(TEXT(M22, "#.##"), " ", $B$10)</f>
        <v>. km</v>
      </c>
      <c r="O22" s="41" t="b">
        <f t="shared" si="8"/>
        <v>0</v>
      </c>
      <c r="P22" s="41">
        <f t="shared" si="6"/>
        <v>0</v>
      </c>
      <c r="Q22" s="41">
        <f>Data!F21</f>
        <v>131805.837891</v>
      </c>
      <c r="R22" s="11" t="str">
        <f>Data!G21</f>
        <v>km</v>
      </c>
    </row>
    <row r="23" spans="1:18" x14ac:dyDescent="0.3">
      <c r="A23" s="11" t="str">
        <f>Data!A22</f>
        <v>Template Vehicle 1</v>
      </c>
      <c r="B23" s="11" t="str">
        <f>Data!C22</f>
        <v xml:space="preserve"> Template Group 1</v>
      </c>
      <c r="C23" s="38">
        <f>INT(Data!D22)</f>
        <v>44749</v>
      </c>
      <c r="D23" s="39">
        <f>MOD(Data!D22, 1)</f>
        <v>0.65149892360932427</v>
      </c>
      <c r="E23" s="11" t="str">
        <f>Data!E22</f>
        <v>Odometer</v>
      </c>
      <c r="F23" s="41">
        <f t="shared" si="0"/>
        <v>131806.45926199999</v>
      </c>
      <c r="G23" s="52">
        <f t="shared" si="7"/>
        <v>0.62137099998653866</v>
      </c>
      <c r="H23" s="41">
        <f t="shared" si="1"/>
        <v>131679.07820700001</v>
      </c>
      <c r="I23" s="41">
        <f t="shared" si="2"/>
        <v>131805.21652000002</v>
      </c>
      <c r="J23" s="43">
        <f>IF(AND(ISNUMBER(SEARCH("Device power",E23)),Q23=0),Data!D22,IF(A22&lt;&gt;A23,"",J22))</f>
        <v>44748.250138888892</v>
      </c>
      <c r="K23" s="43">
        <f>IF(AND(ISNUMBER(SEARCH("Device power",E23)),Q23=1),Data!D22,IF(A22&lt;&gt;A23,"",K22))</f>
        <v>44749.533495370371</v>
      </c>
      <c r="L23" s="41" t="b">
        <f t="shared" si="3"/>
        <v>0</v>
      </c>
      <c r="M23" s="41">
        <f t="shared" si="4"/>
        <v>0</v>
      </c>
      <c r="N23" s="41" t="str">
        <f t="shared" si="9"/>
        <v>. km</v>
      </c>
      <c r="O23" s="41" t="b">
        <f t="shared" si="8"/>
        <v>0</v>
      </c>
      <c r="P23" s="41">
        <f t="shared" si="6"/>
        <v>0</v>
      </c>
      <c r="Q23" s="41">
        <f>Data!F22</f>
        <v>131806.45926199999</v>
      </c>
      <c r="R23" s="11" t="str">
        <f>Data!G22</f>
        <v>km</v>
      </c>
    </row>
    <row r="24" spans="1:18" x14ac:dyDescent="0.3">
      <c r="A24" s="11" t="str">
        <f>Data!A23</f>
        <v>Template Vehicle 1</v>
      </c>
      <c r="B24" s="11" t="str">
        <f>Data!C23</f>
        <v xml:space="preserve"> Template Group 1</v>
      </c>
      <c r="C24" s="38">
        <f>INT(Data!D23)</f>
        <v>44749</v>
      </c>
      <c r="D24" s="39">
        <f>MOD(Data!D23, 1)</f>
        <v>0.65201967602479272</v>
      </c>
      <c r="E24" s="11" t="str">
        <f>Data!E23</f>
        <v>Odometer</v>
      </c>
      <c r="F24" s="41">
        <f t="shared" si="0"/>
        <v>131807.08063300001</v>
      </c>
      <c r="G24" s="52">
        <f t="shared" si="7"/>
        <v>0.62137100001564249</v>
      </c>
      <c r="H24" s="41">
        <f t="shared" si="1"/>
        <v>131679.07820700001</v>
      </c>
      <c r="I24" s="41">
        <f t="shared" si="2"/>
        <v>131805.21652000002</v>
      </c>
      <c r="J24" s="43">
        <f>IF(AND(ISNUMBER(SEARCH("Device power",E24)),Q24=0),Data!D23,IF(A23&lt;&gt;A24,"",J23))</f>
        <v>44748.250138888892</v>
      </c>
      <c r="K24" s="43">
        <f>IF(AND(ISNUMBER(SEARCH("Device power",E24)),Q24=1),Data!D23,IF(A23&lt;&gt;A24,"",K23))</f>
        <v>44749.533495370371</v>
      </c>
      <c r="L24" s="41" t="b">
        <f t="shared" si="3"/>
        <v>0</v>
      </c>
      <c r="M24" s="41">
        <f t="shared" si="4"/>
        <v>0</v>
      </c>
      <c r="N24" s="41" t="str">
        <f t="shared" si="9"/>
        <v>. km</v>
      </c>
      <c r="O24" s="41" t="b">
        <f t="shared" si="8"/>
        <v>0</v>
      </c>
      <c r="P24" s="41">
        <f t="shared" si="6"/>
        <v>0</v>
      </c>
      <c r="Q24" s="41">
        <f>Data!F23</f>
        <v>131807.08063300001</v>
      </c>
      <c r="R24" s="11" t="str">
        <f>Data!G23</f>
        <v>km</v>
      </c>
    </row>
    <row r="25" spans="1:18" x14ac:dyDescent="0.3">
      <c r="A25" s="11" t="str">
        <f>Data!A24</f>
        <v>Template Vehicle 1</v>
      </c>
      <c r="B25" s="11" t="str">
        <f>Data!C24</f>
        <v xml:space="preserve"> Template Group 1</v>
      </c>
      <c r="C25" s="38">
        <f>INT(Data!D24)</f>
        <v>44749</v>
      </c>
      <c r="D25" s="39">
        <f>MOD(Data!D24, 1)</f>
        <v>0.65254047453345265</v>
      </c>
      <c r="E25" s="11" t="str">
        <f>Data!E24</f>
        <v>Odometer</v>
      </c>
      <c r="F25" s="41">
        <f t="shared" si="0"/>
        <v>131807.70200399999</v>
      </c>
      <c r="G25" s="52">
        <f t="shared" si="7"/>
        <v>0.62137099998653866</v>
      </c>
      <c r="H25" s="41">
        <f t="shared" si="1"/>
        <v>131679.07820700001</v>
      </c>
      <c r="I25" s="41">
        <f t="shared" si="2"/>
        <v>131805.21652000002</v>
      </c>
      <c r="J25" s="43">
        <f>IF(AND(ISNUMBER(SEARCH("Device power",E25)),Q25=0),Data!D24,IF(A24&lt;&gt;A25,"",J24))</f>
        <v>44748.250138888892</v>
      </c>
      <c r="K25" s="43">
        <f>IF(AND(ISNUMBER(SEARCH("Device power",E25)),Q25=1),Data!D24,IF(A24&lt;&gt;A25,"",K24))</f>
        <v>44749.533495370371</v>
      </c>
      <c r="L25" s="41" t="b">
        <f t="shared" si="3"/>
        <v>0</v>
      </c>
      <c r="M25" s="41">
        <f t="shared" si="4"/>
        <v>0</v>
      </c>
      <c r="N25" s="41" t="str">
        <f t="shared" si="9"/>
        <v>. km</v>
      </c>
      <c r="O25" s="41" t="b">
        <f t="shared" si="8"/>
        <v>0</v>
      </c>
      <c r="P25" s="41">
        <f t="shared" si="6"/>
        <v>0</v>
      </c>
      <c r="Q25" s="41">
        <f>Data!F24</f>
        <v>131807.70200399999</v>
      </c>
      <c r="R25" s="11" t="str">
        <f>Data!G24</f>
        <v>km</v>
      </c>
    </row>
    <row r="26" spans="1:18" x14ac:dyDescent="0.3">
      <c r="A26" s="11" t="str">
        <f>Data!A25</f>
        <v>Template Vehicle 1</v>
      </c>
      <c r="B26" s="11" t="str">
        <f>Data!C25</f>
        <v xml:space="preserve"> Template Group 1</v>
      </c>
      <c r="C26" s="38">
        <f>INT(Data!D25)</f>
        <v>44749</v>
      </c>
      <c r="D26" s="39">
        <f>MOD(Data!D25, 1)</f>
        <v>0.65294545138749527</v>
      </c>
      <c r="E26" s="11" t="str">
        <f>Data!E25</f>
        <v>Odometer</v>
      </c>
      <c r="F26" s="41">
        <f t="shared" si="0"/>
        <v>131808.32337500001</v>
      </c>
      <c r="G26" s="52">
        <f t="shared" si="7"/>
        <v>0.62137100001564249</v>
      </c>
      <c r="H26" s="41">
        <f t="shared" si="1"/>
        <v>131679.07820700001</v>
      </c>
      <c r="I26" s="41">
        <f t="shared" si="2"/>
        <v>131805.21652000002</v>
      </c>
      <c r="J26" s="43">
        <f>IF(AND(ISNUMBER(SEARCH("Device power",E26)),Q26=0),Data!D25,IF(A25&lt;&gt;A26,"",J25))</f>
        <v>44748.250138888892</v>
      </c>
      <c r="K26" s="43">
        <f>IF(AND(ISNUMBER(SEARCH("Device power",E26)),Q26=1),Data!D25,IF(A25&lt;&gt;A26,"",K25))</f>
        <v>44749.533495370371</v>
      </c>
      <c r="L26" s="41" t="b">
        <f t="shared" si="3"/>
        <v>0</v>
      </c>
      <c r="M26" s="41">
        <f t="shared" si="4"/>
        <v>0</v>
      </c>
      <c r="N26" s="41" t="str">
        <f t="shared" si="9"/>
        <v>. km</v>
      </c>
      <c r="O26" s="41" t="b">
        <f t="shared" si="8"/>
        <v>0</v>
      </c>
      <c r="P26" s="41">
        <f t="shared" si="6"/>
        <v>0</v>
      </c>
      <c r="Q26" s="41">
        <f>Data!F25</f>
        <v>131808.32337500001</v>
      </c>
      <c r="R26" s="11" t="str">
        <f>Data!G25</f>
        <v>km</v>
      </c>
    </row>
    <row r="27" spans="1:18" x14ac:dyDescent="0.3">
      <c r="A27" s="11" t="str">
        <f>Data!A26</f>
        <v>Template Vehicle 1</v>
      </c>
      <c r="B27" s="11" t="str">
        <f>Data!C26</f>
        <v xml:space="preserve"> Template Group 1</v>
      </c>
      <c r="C27" s="38">
        <f>INT(Data!D26)</f>
        <v>44749</v>
      </c>
      <c r="D27" s="39">
        <f>MOD(Data!D26, 1)</f>
        <v>0.653408414349542</v>
      </c>
      <c r="E27" s="11" t="str">
        <f>Data!E26</f>
        <v>Odometer</v>
      </c>
      <c r="F27" s="41">
        <f t="shared" si="0"/>
        <v>131808.94474599999</v>
      </c>
      <c r="G27" s="52">
        <f t="shared" si="7"/>
        <v>0.62137099998653866</v>
      </c>
      <c r="H27" s="41">
        <f t="shared" si="1"/>
        <v>131679.07820700001</v>
      </c>
      <c r="I27" s="41">
        <f t="shared" si="2"/>
        <v>131805.21652000002</v>
      </c>
      <c r="J27" s="43">
        <f>IF(AND(ISNUMBER(SEARCH("Device power",E27)),Q27=0),Data!D26,IF(A26&lt;&gt;A27,"",J26))</f>
        <v>44748.250138888892</v>
      </c>
      <c r="K27" s="43">
        <f>IF(AND(ISNUMBER(SEARCH("Device power",E27)),Q27=1),Data!D26,IF(A26&lt;&gt;A27,"",K26))</f>
        <v>44749.533495370371</v>
      </c>
      <c r="L27" s="41" t="b">
        <f t="shared" si="3"/>
        <v>0</v>
      </c>
      <c r="M27" s="41">
        <f t="shared" si="4"/>
        <v>0</v>
      </c>
      <c r="N27" s="41" t="str">
        <f t="shared" si="9"/>
        <v>. km</v>
      </c>
      <c r="O27" s="41" t="b">
        <f t="shared" si="8"/>
        <v>0</v>
      </c>
      <c r="P27" s="41">
        <f t="shared" si="6"/>
        <v>0</v>
      </c>
      <c r="Q27" s="41">
        <f>Data!F26</f>
        <v>131808.94474599999</v>
      </c>
      <c r="R27" s="11" t="str">
        <f>Data!G26</f>
        <v>km</v>
      </c>
    </row>
    <row r="28" spans="1:18" x14ac:dyDescent="0.3">
      <c r="A28" s="11" t="str">
        <f>Data!A27</f>
        <v>Template Vehicle 1</v>
      </c>
      <c r="B28" s="11" t="str">
        <f>Data!C27</f>
        <v xml:space="preserve"> Template Group 1</v>
      </c>
      <c r="C28" s="38">
        <f>INT(Data!D27)</f>
        <v>44749</v>
      </c>
      <c r="D28" s="39">
        <f>MOD(Data!D27, 1)</f>
        <v>0.6538712962938007</v>
      </c>
      <c r="E28" s="11" t="str">
        <f>Data!E27</f>
        <v>Odometer</v>
      </c>
      <c r="F28" s="41">
        <f t="shared" si="0"/>
        <v>131809.56611700001</v>
      </c>
      <c r="G28" s="52">
        <f t="shared" si="7"/>
        <v>0.62137100001564249</v>
      </c>
      <c r="H28" s="41">
        <f t="shared" si="1"/>
        <v>131679.07820700001</v>
      </c>
      <c r="I28" s="41">
        <f t="shared" si="2"/>
        <v>131805.21652000002</v>
      </c>
      <c r="J28" s="43">
        <f>IF(AND(ISNUMBER(SEARCH("Device power",E28)),Q28=0),Data!D27,IF(A27&lt;&gt;A28,"",J27))</f>
        <v>44748.250138888892</v>
      </c>
      <c r="K28" s="43">
        <f>IF(AND(ISNUMBER(SEARCH("Device power",E28)),Q28=1),Data!D27,IF(A27&lt;&gt;A28,"",K27))</f>
        <v>44749.533495370371</v>
      </c>
      <c r="L28" s="41" t="b">
        <f t="shared" si="3"/>
        <v>0</v>
      </c>
      <c r="M28" s="41">
        <f t="shared" si="4"/>
        <v>0</v>
      </c>
      <c r="N28" s="41" t="str">
        <f t="shared" si="9"/>
        <v>. km</v>
      </c>
      <c r="O28" s="41" t="b">
        <f t="shared" si="8"/>
        <v>0</v>
      </c>
      <c r="P28" s="41">
        <f t="shared" si="6"/>
        <v>0</v>
      </c>
      <c r="Q28" s="41">
        <f>Data!F27</f>
        <v>131809.56611700001</v>
      </c>
      <c r="R28" s="11" t="str">
        <f>Data!G27</f>
        <v>km</v>
      </c>
    </row>
    <row r="29" spans="1:18" x14ac:dyDescent="0.3">
      <c r="A29" s="11" t="str">
        <f>Data!A28</f>
        <v>Template Vehicle 1</v>
      </c>
      <c r="B29" s="11" t="str">
        <f>Data!C28</f>
        <v xml:space="preserve"> Template Group 1</v>
      </c>
      <c r="C29" s="38">
        <f>INT(Data!D28)</f>
        <v>44749</v>
      </c>
      <c r="D29" s="39">
        <f>MOD(Data!D28, 1)</f>
        <v>0.65433422453497769</v>
      </c>
      <c r="E29" s="11" t="str">
        <f>Data!E28</f>
        <v>Odometer</v>
      </c>
      <c r="F29" s="41">
        <f t="shared" si="0"/>
        <v>131810.187488</v>
      </c>
      <c r="G29" s="52">
        <f t="shared" si="7"/>
        <v>0.62137099998653866</v>
      </c>
      <c r="H29" s="41">
        <f t="shared" si="1"/>
        <v>131679.07820700001</v>
      </c>
      <c r="I29" s="41">
        <f t="shared" si="2"/>
        <v>131805.21652000002</v>
      </c>
      <c r="J29" s="43">
        <f>IF(AND(ISNUMBER(SEARCH("Device power",E29)),Q29=0),Data!D28,IF(A28&lt;&gt;A29,"",J28))</f>
        <v>44748.250138888892</v>
      </c>
      <c r="K29" s="43">
        <f>IF(AND(ISNUMBER(SEARCH("Device power",E29)),Q29=1),Data!D28,IF(A28&lt;&gt;A29,"",K28))</f>
        <v>44749.533495370371</v>
      </c>
      <c r="L29" s="41" t="b">
        <f t="shared" si="3"/>
        <v>0</v>
      </c>
      <c r="M29" s="41">
        <f t="shared" si="4"/>
        <v>0</v>
      </c>
      <c r="N29" s="41" t="str">
        <f t="shared" si="9"/>
        <v>. km</v>
      </c>
      <c r="O29" s="41" t="b">
        <f t="shared" si="8"/>
        <v>0</v>
      </c>
      <c r="P29" s="41">
        <f t="shared" si="6"/>
        <v>0</v>
      </c>
      <c r="Q29" s="41">
        <f>Data!F28</f>
        <v>131810.187488</v>
      </c>
      <c r="R29" s="11" t="str">
        <f>Data!G28</f>
        <v>km</v>
      </c>
    </row>
    <row r="30" spans="1:18" x14ac:dyDescent="0.3">
      <c r="A30" s="11" t="str">
        <f>Data!A29</f>
        <v>Template Vehicle 1</v>
      </c>
      <c r="B30" s="11" t="str">
        <f>Data!C29</f>
        <v xml:space="preserve"> Template Group 1</v>
      </c>
      <c r="C30" s="38">
        <f>INT(Data!D29)</f>
        <v>44749</v>
      </c>
      <c r="D30" s="39">
        <f>MOD(Data!D29, 1)</f>
        <v>0.65473923610989004</v>
      </c>
      <c r="E30" s="11" t="str">
        <f>Data!E29</f>
        <v>Odometer</v>
      </c>
      <c r="F30" s="41">
        <f t="shared" si="0"/>
        <v>131810.80885900001</v>
      </c>
      <c r="G30" s="52">
        <f t="shared" si="7"/>
        <v>0.62137100001564249</v>
      </c>
      <c r="H30" s="41">
        <f t="shared" si="1"/>
        <v>131679.07820700001</v>
      </c>
      <c r="I30" s="41">
        <f t="shared" si="2"/>
        <v>131805.21652000002</v>
      </c>
      <c r="J30" s="43">
        <f>IF(AND(ISNUMBER(SEARCH("Device power",E30)),Q30=0),Data!D29,IF(A29&lt;&gt;A30,"",J29))</f>
        <v>44748.250138888892</v>
      </c>
      <c r="K30" s="43">
        <f>IF(AND(ISNUMBER(SEARCH("Device power",E30)),Q30=1),Data!D29,IF(A29&lt;&gt;A30,"",K29))</f>
        <v>44749.533495370371</v>
      </c>
      <c r="L30" s="41" t="b">
        <f t="shared" si="3"/>
        <v>0</v>
      </c>
      <c r="M30" s="41">
        <f t="shared" si="4"/>
        <v>0</v>
      </c>
      <c r="N30" s="41" t="str">
        <f t="shared" si="9"/>
        <v>. km</v>
      </c>
      <c r="O30" s="41" t="b">
        <f t="shared" si="8"/>
        <v>0</v>
      </c>
      <c r="P30" s="41">
        <f t="shared" si="6"/>
        <v>0</v>
      </c>
      <c r="Q30" s="41">
        <f>Data!F29</f>
        <v>131810.80885900001</v>
      </c>
      <c r="R30" s="11" t="str">
        <f>Data!G29</f>
        <v>km</v>
      </c>
    </row>
    <row r="31" spans="1:18" x14ac:dyDescent="0.3">
      <c r="A31" s="11" t="str">
        <f>Data!A30</f>
        <v>Template Vehicle 1</v>
      </c>
      <c r="B31" s="11" t="str">
        <f>Data!C30</f>
        <v xml:space="preserve"> Template Group 1</v>
      </c>
      <c r="C31" s="38">
        <f>INT(Data!D30)</f>
        <v>44749</v>
      </c>
      <c r="D31" s="39">
        <f>MOD(Data!D30, 1)</f>
        <v>0.65514429398172069</v>
      </c>
      <c r="E31" s="11" t="str">
        <f>Data!E30</f>
        <v>Odometer</v>
      </c>
      <c r="F31" s="41">
        <f t="shared" si="0"/>
        <v>131811.43023</v>
      </c>
      <c r="G31" s="52">
        <f t="shared" si="7"/>
        <v>0.62137099998653866</v>
      </c>
      <c r="H31" s="41">
        <f t="shared" si="1"/>
        <v>131679.07820700001</v>
      </c>
      <c r="I31" s="41">
        <f t="shared" si="2"/>
        <v>131805.21652000002</v>
      </c>
      <c r="J31" s="43">
        <f>IF(AND(ISNUMBER(SEARCH("Device power",E31)),Q31=0),Data!D30,IF(A30&lt;&gt;A31,"",J30))</f>
        <v>44748.250138888892</v>
      </c>
      <c r="K31" s="43">
        <f>IF(AND(ISNUMBER(SEARCH("Device power",E31)),Q31=1),Data!D30,IF(A30&lt;&gt;A31,"",K30))</f>
        <v>44749.533495370371</v>
      </c>
      <c r="L31" s="41" t="b">
        <f t="shared" si="3"/>
        <v>0</v>
      </c>
      <c r="M31" s="41">
        <f t="shared" si="4"/>
        <v>0</v>
      </c>
      <c r="N31" s="41" t="str">
        <f t="shared" si="9"/>
        <v>. km</v>
      </c>
      <c r="O31" s="41" t="b">
        <f t="shared" si="8"/>
        <v>0</v>
      </c>
      <c r="P31" s="41">
        <f t="shared" si="6"/>
        <v>0</v>
      </c>
      <c r="Q31" s="41">
        <f>Data!F30</f>
        <v>131811.43023</v>
      </c>
      <c r="R31" s="11" t="str">
        <f>Data!G30</f>
        <v>km</v>
      </c>
    </row>
    <row r="32" spans="1:18" x14ac:dyDescent="0.3">
      <c r="A32" s="11" t="str">
        <f>Data!A31</f>
        <v>Template Vehicle 1</v>
      </c>
      <c r="B32" s="11" t="str">
        <f>Data!C31</f>
        <v xml:space="preserve"> Template Group 1</v>
      </c>
      <c r="C32" s="38">
        <f>INT(Data!D31)</f>
        <v>44749</v>
      </c>
      <c r="D32" s="39">
        <f>MOD(Data!D31, 1)</f>
        <v>0.65554927083576331</v>
      </c>
      <c r="E32" s="11" t="str">
        <f>Data!E31</f>
        <v>Odometer</v>
      </c>
      <c r="F32" s="41">
        <f t="shared" si="0"/>
        <v>131812.05160100001</v>
      </c>
      <c r="G32" s="52">
        <f t="shared" si="7"/>
        <v>0.62137100001564249</v>
      </c>
      <c r="H32" s="41">
        <f t="shared" si="1"/>
        <v>131679.07820700001</v>
      </c>
      <c r="I32" s="41">
        <f t="shared" si="2"/>
        <v>131805.21652000002</v>
      </c>
      <c r="J32" s="43">
        <f>IF(AND(ISNUMBER(SEARCH("Device power",E32)),Q32=0),Data!D31,IF(A31&lt;&gt;A32,"",J31))</f>
        <v>44748.250138888892</v>
      </c>
      <c r="K32" s="43">
        <f>IF(AND(ISNUMBER(SEARCH("Device power",E32)),Q32=1),Data!D31,IF(A31&lt;&gt;A32,"",K31))</f>
        <v>44749.533495370371</v>
      </c>
      <c r="L32" s="41" t="b">
        <f t="shared" si="3"/>
        <v>0</v>
      </c>
      <c r="M32" s="41">
        <f t="shared" si="4"/>
        <v>0</v>
      </c>
      <c r="N32" s="41" t="str">
        <f t="shared" si="9"/>
        <v>. km</v>
      </c>
      <c r="O32" s="41" t="b">
        <f t="shared" si="8"/>
        <v>0</v>
      </c>
      <c r="P32" s="41">
        <f t="shared" si="6"/>
        <v>0</v>
      </c>
      <c r="Q32" s="41">
        <f>Data!F31</f>
        <v>131812.05160100001</v>
      </c>
      <c r="R32" s="11" t="str">
        <f>Data!G31</f>
        <v>km</v>
      </c>
    </row>
    <row r="33" spans="1:18" x14ac:dyDescent="0.3">
      <c r="A33" s="11" t="str">
        <f>Data!A32</f>
        <v>Template Vehicle 1</v>
      </c>
      <c r="B33" s="11" t="str">
        <f>Data!C32</f>
        <v xml:space="preserve"> Template Group 1</v>
      </c>
      <c r="C33" s="38">
        <f>INT(Data!D32)</f>
        <v>44749</v>
      </c>
      <c r="D33" s="39">
        <f>MOD(Data!D32, 1)</f>
        <v>0.65595431713154539</v>
      </c>
      <c r="E33" s="11" t="str">
        <f>Data!E32</f>
        <v>Odometer</v>
      </c>
      <c r="F33" s="41">
        <f t="shared" si="0"/>
        <v>131812.672972</v>
      </c>
      <c r="G33" s="52">
        <f t="shared" si="7"/>
        <v>0.62137099998653866</v>
      </c>
      <c r="H33" s="41">
        <f t="shared" si="1"/>
        <v>131679.07820700001</v>
      </c>
      <c r="I33" s="41">
        <f t="shared" si="2"/>
        <v>131805.21652000002</v>
      </c>
      <c r="J33" s="43">
        <f>IF(AND(ISNUMBER(SEARCH("Device power",E33)),Q33=0),Data!D32,IF(A32&lt;&gt;A33,"",J32))</f>
        <v>44748.250138888892</v>
      </c>
      <c r="K33" s="43">
        <f>IF(AND(ISNUMBER(SEARCH("Device power",E33)),Q33=1),Data!D32,IF(A32&lt;&gt;A33,"",K32))</f>
        <v>44749.533495370371</v>
      </c>
      <c r="L33" s="41" t="b">
        <f t="shared" si="3"/>
        <v>0</v>
      </c>
      <c r="M33" s="41">
        <f t="shared" si="4"/>
        <v>0</v>
      </c>
      <c r="N33" s="41" t="str">
        <f t="shared" si="9"/>
        <v>. km</v>
      </c>
      <c r="O33" s="41" t="b">
        <f t="shared" si="8"/>
        <v>0</v>
      </c>
      <c r="P33" s="41">
        <f t="shared" si="6"/>
        <v>0</v>
      </c>
      <c r="Q33" s="41">
        <f>Data!F32</f>
        <v>131812.672972</v>
      </c>
      <c r="R33" s="11" t="str">
        <f>Data!G32</f>
        <v>km</v>
      </c>
    </row>
    <row r="34" spans="1:18" x14ac:dyDescent="0.3">
      <c r="A34" s="11" t="str">
        <f>Data!A33</f>
        <v>Template Vehicle 1</v>
      </c>
      <c r="B34" s="11" t="str">
        <f>Data!C33</f>
        <v xml:space="preserve"> Template Group 1</v>
      </c>
      <c r="C34" s="38">
        <f>INT(Data!D33)</f>
        <v>44749</v>
      </c>
      <c r="D34" s="39">
        <f>MOD(Data!D33, 1)</f>
        <v>0.65635934027523035</v>
      </c>
      <c r="E34" s="11" t="str">
        <f>Data!E33</f>
        <v>Odometer</v>
      </c>
      <c r="F34" s="41">
        <f t="shared" si="0"/>
        <v>131813.29434300002</v>
      </c>
      <c r="G34" s="52">
        <f t="shared" si="7"/>
        <v>0.62137100001564249</v>
      </c>
      <c r="H34" s="41">
        <f t="shared" si="1"/>
        <v>131679.07820700001</v>
      </c>
      <c r="I34" s="41">
        <f t="shared" si="2"/>
        <v>131805.21652000002</v>
      </c>
      <c r="J34" s="43">
        <f>IF(AND(ISNUMBER(SEARCH("Device power",E34)),Q34=0),Data!D33,IF(A33&lt;&gt;A34,"",J33))</f>
        <v>44748.250138888892</v>
      </c>
      <c r="K34" s="43">
        <f>IF(AND(ISNUMBER(SEARCH("Device power",E34)),Q34=1),Data!D33,IF(A33&lt;&gt;A34,"",K33))</f>
        <v>44749.533495370371</v>
      </c>
      <c r="L34" s="41" t="b">
        <f t="shared" si="3"/>
        <v>0</v>
      </c>
      <c r="M34" s="41">
        <f t="shared" si="4"/>
        <v>0</v>
      </c>
      <c r="N34" s="41" t="str">
        <f t="shared" si="9"/>
        <v>. km</v>
      </c>
      <c r="O34" s="41" t="b">
        <f t="shared" si="8"/>
        <v>0</v>
      </c>
      <c r="P34" s="41">
        <f t="shared" si="6"/>
        <v>0</v>
      </c>
      <c r="Q34" s="41">
        <f>Data!F33</f>
        <v>131813.29434300002</v>
      </c>
      <c r="R34" s="11" t="str">
        <f>Data!G33</f>
        <v>km</v>
      </c>
    </row>
    <row r="35" spans="1:18" x14ac:dyDescent="0.3">
      <c r="A35" s="11" t="str">
        <f>Data!A34</f>
        <v>Template Vehicle 1</v>
      </c>
      <c r="B35" s="11" t="str">
        <f>Data!C34</f>
        <v xml:space="preserve"> Template Group 1</v>
      </c>
      <c r="C35" s="38">
        <f>INT(Data!D34)</f>
        <v>44749</v>
      </c>
      <c r="D35" s="39">
        <f>MOD(Data!D34, 1)</f>
        <v>0.65716940972197335</v>
      </c>
      <c r="E35" s="11" t="str">
        <f>Data!E34</f>
        <v>Odometer</v>
      </c>
      <c r="F35" s="41">
        <f t="shared" si="0"/>
        <v>131814.53708499999</v>
      </c>
      <c r="G35" s="52">
        <f t="shared" si="7"/>
        <v>1.2427419999730773</v>
      </c>
      <c r="H35" s="41">
        <f t="shared" si="1"/>
        <v>131679.07820700001</v>
      </c>
      <c r="I35" s="41">
        <f t="shared" si="2"/>
        <v>131805.21652000002</v>
      </c>
      <c r="J35" s="43">
        <f>IF(AND(ISNUMBER(SEARCH("Device power",E35)),Q35=0),Data!D34,IF(A34&lt;&gt;A35,"",J34))</f>
        <v>44748.250138888892</v>
      </c>
      <c r="K35" s="43">
        <f>IF(AND(ISNUMBER(SEARCH("Device power",E35)),Q35=1),Data!D34,IF(A34&lt;&gt;A35,"",K34))</f>
        <v>44749.533495370371</v>
      </c>
      <c r="L35" s="41" t="b">
        <f t="shared" si="3"/>
        <v>0</v>
      </c>
      <c r="M35" s="41">
        <f t="shared" si="4"/>
        <v>0</v>
      </c>
      <c r="N35" s="41" t="str">
        <f t="shared" si="9"/>
        <v>. km</v>
      </c>
      <c r="O35" s="41" t="b">
        <f t="shared" si="8"/>
        <v>0</v>
      </c>
      <c r="P35" s="41">
        <f t="shared" si="6"/>
        <v>0</v>
      </c>
      <c r="Q35" s="41">
        <f>Data!F34</f>
        <v>131814.53708499999</v>
      </c>
      <c r="R35" s="11" t="str">
        <f>Data!G34</f>
        <v>km</v>
      </c>
    </row>
    <row r="36" spans="1:18" x14ac:dyDescent="0.3">
      <c r="A36" s="11" t="str">
        <f>Data!A35</f>
        <v>Template Vehicle 1</v>
      </c>
      <c r="B36" s="11" t="str">
        <f>Data!C35</f>
        <v xml:space="preserve"> Template Group 1</v>
      </c>
      <c r="C36" s="38">
        <f>INT(Data!D35)</f>
        <v>44749</v>
      </c>
      <c r="D36" s="39">
        <f>MOD(Data!D35, 1)</f>
        <v>0.6576901620355784</v>
      </c>
      <c r="E36" s="11" t="str">
        <f>Data!E35</f>
        <v>Odometer</v>
      </c>
      <c r="F36" s="41">
        <f t="shared" si="0"/>
        <v>131815.158456</v>
      </c>
      <c r="G36" s="52">
        <f t="shared" si="7"/>
        <v>0.62137100001564249</v>
      </c>
      <c r="H36" s="41">
        <f t="shared" si="1"/>
        <v>131679.07820700001</v>
      </c>
      <c r="I36" s="41">
        <f t="shared" si="2"/>
        <v>131805.21652000002</v>
      </c>
      <c r="J36" s="43">
        <f>IF(AND(ISNUMBER(SEARCH("Device power",E36)),Q36=0),Data!D35,IF(A35&lt;&gt;A36,"",J35))</f>
        <v>44748.250138888892</v>
      </c>
      <c r="K36" s="43">
        <f>IF(AND(ISNUMBER(SEARCH("Device power",E36)),Q36=1),Data!D35,IF(A35&lt;&gt;A36,"",K35))</f>
        <v>44749.533495370371</v>
      </c>
      <c r="L36" s="41" t="b">
        <f t="shared" si="3"/>
        <v>0</v>
      </c>
      <c r="M36" s="41">
        <f t="shared" si="4"/>
        <v>0</v>
      </c>
      <c r="N36" s="41" t="str">
        <f t="shared" si="9"/>
        <v>. km</v>
      </c>
      <c r="O36" s="41" t="b">
        <f t="shared" si="8"/>
        <v>0</v>
      </c>
      <c r="P36" s="41">
        <f t="shared" si="6"/>
        <v>0</v>
      </c>
      <c r="Q36" s="41">
        <f>Data!F35</f>
        <v>131815.158456</v>
      </c>
      <c r="R36" s="11" t="str">
        <f>Data!G35</f>
        <v>km</v>
      </c>
    </row>
    <row r="37" spans="1:18" x14ac:dyDescent="0.3">
      <c r="A37" s="11" t="str">
        <f>Data!A36</f>
        <v>Template Vehicle 1</v>
      </c>
      <c r="B37" s="11" t="str">
        <f>Data!C36</f>
        <v xml:space="preserve"> Template Group 1</v>
      </c>
      <c r="C37" s="38">
        <f>INT(Data!D36)</f>
        <v>44749</v>
      </c>
      <c r="D37" s="39">
        <f>MOD(Data!D36, 1)</f>
        <v>0.65826878472580574</v>
      </c>
      <c r="E37" s="11" t="str">
        <f>Data!E36</f>
        <v>Odometer</v>
      </c>
      <c r="F37" s="41">
        <f t="shared" si="0"/>
        <v>131815.77982699999</v>
      </c>
      <c r="G37" s="52">
        <f t="shared" si="7"/>
        <v>0.62137099998653866</v>
      </c>
      <c r="H37" s="41">
        <f t="shared" si="1"/>
        <v>131679.07820700001</v>
      </c>
      <c r="I37" s="41">
        <f t="shared" si="2"/>
        <v>131805.21652000002</v>
      </c>
      <c r="J37" s="43">
        <f>IF(AND(ISNUMBER(SEARCH("Device power",E37)),Q37=0),Data!D36,IF(A36&lt;&gt;A37,"",J36))</f>
        <v>44748.250138888892</v>
      </c>
      <c r="K37" s="43">
        <f>IF(AND(ISNUMBER(SEARCH("Device power",E37)),Q37=1),Data!D36,IF(A36&lt;&gt;A37,"",K36))</f>
        <v>44749.533495370371</v>
      </c>
      <c r="L37" s="41" t="b">
        <f t="shared" si="3"/>
        <v>0</v>
      </c>
      <c r="M37" s="41">
        <f t="shared" si="4"/>
        <v>0</v>
      </c>
      <c r="N37" s="41" t="str">
        <f t="shared" si="9"/>
        <v>. km</v>
      </c>
      <c r="O37" s="41" t="b">
        <f t="shared" si="8"/>
        <v>0</v>
      </c>
      <c r="P37" s="41">
        <f t="shared" si="6"/>
        <v>0</v>
      </c>
      <c r="Q37" s="41">
        <f>Data!F36</f>
        <v>131815.77982699999</v>
      </c>
      <c r="R37" s="11" t="str">
        <f>Data!G36</f>
        <v>km</v>
      </c>
    </row>
    <row r="38" spans="1:18" x14ac:dyDescent="0.3">
      <c r="A38" s="11" t="str">
        <f>Data!A37</f>
        <v>Template Vehicle 1</v>
      </c>
      <c r="B38" s="11" t="str">
        <f>Data!C37</f>
        <v xml:space="preserve"> Template Group 1</v>
      </c>
      <c r="C38" s="38">
        <f>INT(Data!D37)</f>
        <v>44749</v>
      </c>
      <c r="D38" s="39">
        <f>MOD(Data!D37, 1)</f>
        <v>0.65861593750014435</v>
      </c>
      <c r="E38" s="11" t="str">
        <f>Data!E37</f>
        <v>Odometer</v>
      </c>
      <c r="F38" s="41">
        <f t="shared" si="0"/>
        <v>131816.40119800001</v>
      </c>
      <c r="G38" s="52">
        <f t="shared" si="7"/>
        <v>0.62137100001564249</v>
      </c>
      <c r="H38" s="41">
        <f t="shared" si="1"/>
        <v>131679.07820700001</v>
      </c>
      <c r="I38" s="41">
        <f t="shared" si="2"/>
        <v>131805.21652000002</v>
      </c>
      <c r="J38" s="43">
        <f>IF(AND(ISNUMBER(SEARCH("Device power",E38)),Q38=0),Data!D37,IF(A37&lt;&gt;A38,"",J37))</f>
        <v>44748.250138888892</v>
      </c>
      <c r="K38" s="43">
        <f>IF(AND(ISNUMBER(SEARCH("Device power",E38)),Q38=1),Data!D37,IF(A37&lt;&gt;A38,"",K37))</f>
        <v>44749.533495370371</v>
      </c>
      <c r="L38" s="41" t="b">
        <f t="shared" si="3"/>
        <v>0</v>
      </c>
      <c r="M38" s="41">
        <f t="shared" si="4"/>
        <v>0</v>
      </c>
      <c r="N38" s="41" t="str">
        <f t="shared" si="9"/>
        <v>. km</v>
      </c>
      <c r="O38" s="41" t="b">
        <f t="shared" si="8"/>
        <v>0</v>
      </c>
      <c r="P38" s="41">
        <f t="shared" si="6"/>
        <v>0</v>
      </c>
      <c r="Q38" s="41">
        <f>Data!F37</f>
        <v>131816.40119800001</v>
      </c>
      <c r="R38" s="11" t="str">
        <f>Data!G37</f>
        <v>km</v>
      </c>
    </row>
    <row r="39" spans="1:18" x14ac:dyDescent="0.3">
      <c r="A39" s="11" t="str">
        <f>Data!A38</f>
        <v>Template Vehicle 1</v>
      </c>
      <c r="B39" s="11" t="str">
        <f>Data!C38</f>
        <v xml:space="preserve"> Template Group 1</v>
      </c>
      <c r="C39" s="38">
        <f>INT(Data!D38)</f>
        <v>44749</v>
      </c>
      <c r="D39" s="39">
        <f>MOD(Data!D38, 1)</f>
        <v>0.65907885416527279</v>
      </c>
      <c r="E39" s="11" t="str">
        <f>Data!E38</f>
        <v>Odometer</v>
      </c>
      <c r="F39" s="41">
        <f t="shared" si="0"/>
        <v>131817.02256899999</v>
      </c>
      <c r="G39" s="52">
        <f t="shared" si="7"/>
        <v>0.62137099998653866</v>
      </c>
      <c r="H39" s="41">
        <f t="shared" si="1"/>
        <v>131679.07820700001</v>
      </c>
      <c r="I39" s="41">
        <f t="shared" si="2"/>
        <v>131805.21652000002</v>
      </c>
      <c r="J39" s="43">
        <f>IF(AND(ISNUMBER(SEARCH("Device power",E39)),Q39=0),Data!D38,IF(A38&lt;&gt;A39,"",J38))</f>
        <v>44748.250138888892</v>
      </c>
      <c r="K39" s="43">
        <f>IF(AND(ISNUMBER(SEARCH("Device power",E39)),Q39=1),Data!D38,IF(A38&lt;&gt;A39,"",K38))</f>
        <v>44749.533495370371</v>
      </c>
      <c r="L39" s="41" t="b">
        <f t="shared" si="3"/>
        <v>0</v>
      </c>
      <c r="M39" s="41">
        <f t="shared" si="4"/>
        <v>0</v>
      </c>
      <c r="N39" s="41" t="str">
        <f t="shared" si="9"/>
        <v>. km</v>
      </c>
      <c r="O39" s="41" t="b">
        <f t="shared" si="8"/>
        <v>0</v>
      </c>
      <c r="P39" s="41">
        <f t="shared" si="6"/>
        <v>0</v>
      </c>
      <c r="Q39" s="41">
        <f>Data!F38</f>
        <v>131817.02256899999</v>
      </c>
      <c r="R39" s="11" t="str">
        <f>Data!G38</f>
        <v>km</v>
      </c>
    </row>
    <row r="40" spans="1:18" x14ac:dyDescent="0.3">
      <c r="A40" s="11" t="str">
        <f>Data!A39</f>
        <v>Template Vehicle 1</v>
      </c>
      <c r="B40" s="11" t="str">
        <f>Data!C39</f>
        <v xml:space="preserve"> Template Group 1</v>
      </c>
      <c r="C40" s="38">
        <f>INT(Data!D39)</f>
        <v>44749</v>
      </c>
      <c r="D40" s="39">
        <f>MOD(Data!D39, 1)</f>
        <v>0.65977322917024139</v>
      </c>
      <c r="E40" s="11" t="str">
        <f>Data!E39</f>
        <v>Odometer</v>
      </c>
      <c r="F40" s="41">
        <f t="shared" si="0"/>
        <v>131817.64394000001</v>
      </c>
      <c r="G40" s="52">
        <f t="shared" si="7"/>
        <v>0.62137100001564249</v>
      </c>
      <c r="H40" s="41">
        <f t="shared" si="1"/>
        <v>131679.07820700001</v>
      </c>
      <c r="I40" s="41">
        <f t="shared" si="2"/>
        <v>131805.21652000002</v>
      </c>
      <c r="J40" s="43">
        <f>IF(AND(ISNUMBER(SEARCH("Device power",E40)),Q40=0),Data!D39,IF(A39&lt;&gt;A40,"",J39))</f>
        <v>44748.250138888892</v>
      </c>
      <c r="K40" s="43">
        <f>IF(AND(ISNUMBER(SEARCH("Device power",E40)),Q40=1),Data!D39,IF(A39&lt;&gt;A40,"",K39))</f>
        <v>44749.533495370371</v>
      </c>
      <c r="L40" s="41" t="b">
        <f t="shared" si="3"/>
        <v>0</v>
      </c>
      <c r="M40" s="41">
        <f t="shared" si="4"/>
        <v>0</v>
      </c>
      <c r="N40" s="41" t="str">
        <f t="shared" si="9"/>
        <v>. km</v>
      </c>
      <c r="O40" s="41" t="b">
        <f t="shared" si="8"/>
        <v>0</v>
      </c>
      <c r="P40" s="41">
        <f t="shared" si="6"/>
        <v>0</v>
      </c>
      <c r="Q40" s="41">
        <f>Data!F39</f>
        <v>131817.64394000001</v>
      </c>
      <c r="R40" s="11" t="str">
        <f>Data!G39</f>
        <v>km</v>
      </c>
    </row>
    <row r="41" spans="1:18" x14ac:dyDescent="0.3">
      <c r="A41" s="11" t="str">
        <f>Data!A40</f>
        <v>Template Vehicle 1</v>
      </c>
      <c r="B41" s="11" t="str">
        <f>Data!C40</f>
        <v xml:space="preserve"> Template Group 1</v>
      </c>
      <c r="C41" s="38">
        <f>INT(Data!D40)</f>
        <v>44749</v>
      </c>
      <c r="D41" s="39">
        <f>MOD(Data!D40, 1)</f>
        <v>0.66081478009436978</v>
      </c>
      <c r="E41" s="11" t="str">
        <f>Data!E40</f>
        <v>Odometer</v>
      </c>
      <c r="F41" s="41">
        <f t="shared" si="0"/>
        <v>131818.265311</v>
      </c>
      <c r="G41" s="52">
        <f t="shared" si="7"/>
        <v>0.62137099998653866</v>
      </c>
      <c r="H41" s="41">
        <f t="shared" si="1"/>
        <v>131679.07820700001</v>
      </c>
      <c r="I41" s="41">
        <f t="shared" si="2"/>
        <v>131805.21652000002</v>
      </c>
      <c r="J41" s="43">
        <f>IF(AND(ISNUMBER(SEARCH("Device power",E41)),Q41=0),Data!D40,IF(A40&lt;&gt;A41,"",J40))</f>
        <v>44748.250138888892</v>
      </c>
      <c r="K41" s="43">
        <f>IF(AND(ISNUMBER(SEARCH("Device power",E41)),Q41=1),Data!D40,IF(A40&lt;&gt;A41,"",K40))</f>
        <v>44749.533495370371</v>
      </c>
      <c r="L41" s="41" t="b">
        <f t="shared" si="3"/>
        <v>0</v>
      </c>
      <c r="M41" s="41">
        <f t="shared" si="4"/>
        <v>0</v>
      </c>
      <c r="N41" s="41" t="str">
        <f t="shared" si="9"/>
        <v>. km</v>
      </c>
      <c r="O41" s="41" t="b">
        <f t="shared" si="8"/>
        <v>0</v>
      </c>
      <c r="P41" s="41">
        <f t="shared" si="6"/>
        <v>0</v>
      </c>
      <c r="Q41" s="41">
        <f>Data!F40</f>
        <v>131818.265311</v>
      </c>
      <c r="R41" s="11" t="str">
        <f>Data!G40</f>
        <v>km</v>
      </c>
    </row>
    <row r="42" spans="1:18" x14ac:dyDescent="0.3">
      <c r="A42" s="11" t="str">
        <f>Data!A41</f>
        <v>Template Vehicle 1</v>
      </c>
      <c r="B42" s="11" t="str">
        <f>Data!C41</f>
        <v xml:space="preserve"> Template Group 1</v>
      </c>
      <c r="C42" s="38">
        <f>INT(Data!D41)</f>
        <v>44749</v>
      </c>
      <c r="D42" s="39">
        <f>MOD(Data!D41, 1)</f>
        <v>0.66150910879514413</v>
      </c>
      <c r="E42" s="11" t="str">
        <f>Data!E41</f>
        <v>Odometer</v>
      </c>
      <c r="F42" s="41">
        <f t="shared" si="0"/>
        <v>131818.88668200001</v>
      </c>
      <c r="G42" s="52">
        <f t="shared" si="7"/>
        <v>0.62137100001564249</v>
      </c>
      <c r="H42" s="41">
        <f t="shared" si="1"/>
        <v>131679.07820700001</v>
      </c>
      <c r="I42" s="41">
        <f t="shared" si="2"/>
        <v>131805.21652000002</v>
      </c>
      <c r="J42" s="43">
        <f>IF(AND(ISNUMBER(SEARCH("Device power",E42)),Q42=0),Data!D41,IF(A41&lt;&gt;A42,"",J41))</f>
        <v>44748.250138888892</v>
      </c>
      <c r="K42" s="43">
        <f>IF(AND(ISNUMBER(SEARCH("Device power",E42)),Q42=1),Data!D41,IF(A41&lt;&gt;A42,"",K41))</f>
        <v>44749.533495370371</v>
      </c>
      <c r="L42" s="41" t="b">
        <f t="shared" si="3"/>
        <v>0</v>
      </c>
      <c r="M42" s="41">
        <f t="shared" si="4"/>
        <v>0</v>
      </c>
      <c r="N42" s="41" t="str">
        <f t="shared" si="9"/>
        <v>. km</v>
      </c>
      <c r="O42" s="41" t="b">
        <f t="shared" si="8"/>
        <v>0</v>
      </c>
      <c r="P42" s="41">
        <f t="shared" si="6"/>
        <v>0</v>
      </c>
      <c r="Q42" s="41">
        <f>Data!F41</f>
        <v>131818.88668200001</v>
      </c>
      <c r="R42" s="11" t="str">
        <f>Data!G41</f>
        <v>km</v>
      </c>
    </row>
    <row r="43" spans="1:18" x14ac:dyDescent="0.3">
      <c r="A43" s="11" t="str">
        <f>Data!A42</f>
        <v>Template Vehicle 1</v>
      </c>
      <c r="B43" s="11" t="str">
        <f>Data!C42</f>
        <v xml:space="preserve"> Template Group 1</v>
      </c>
      <c r="C43" s="38">
        <f>INT(Data!D42)</f>
        <v>44749</v>
      </c>
      <c r="D43" s="39">
        <f>MOD(Data!D42, 1)</f>
        <v>0.66307141204015352</v>
      </c>
      <c r="E43" s="11" t="str">
        <f>Data!E42</f>
        <v>Odometer</v>
      </c>
      <c r="F43" s="41">
        <f t="shared" si="0"/>
        <v>131819.508053</v>
      </c>
      <c r="G43" s="52">
        <f t="shared" si="7"/>
        <v>0.62137099998653866</v>
      </c>
      <c r="H43" s="41">
        <f t="shared" si="1"/>
        <v>131679.07820700001</v>
      </c>
      <c r="I43" s="41">
        <f t="shared" si="2"/>
        <v>131805.21652000002</v>
      </c>
      <c r="J43" s="43">
        <f>IF(AND(ISNUMBER(SEARCH("Device power",E43)),Q43=0),Data!D42,IF(A42&lt;&gt;A43,"",J42))</f>
        <v>44748.250138888892</v>
      </c>
      <c r="K43" s="43">
        <f>IF(AND(ISNUMBER(SEARCH("Device power",E43)),Q43=1),Data!D42,IF(A42&lt;&gt;A43,"",K42))</f>
        <v>44749.533495370371</v>
      </c>
      <c r="L43" s="41" t="b">
        <f t="shared" si="3"/>
        <v>0</v>
      </c>
      <c r="M43" s="41">
        <f t="shared" si="4"/>
        <v>0</v>
      </c>
      <c r="N43" s="41" t="str">
        <f t="shared" si="9"/>
        <v>. km</v>
      </c>
      <c r="O43" s="41" t="b">
        <f t="shared" si="8"/>
        <v>0</v>
      </c>
      <c r="P43" s="41">
        <f t="shared" si="6"/>
        <v>0</v>
      </c>
      <c r="Q43" s="41">
        <f>Data!F42</f>
        <v>131819.508053</v>
      </c>
      <c r="R43" s="11" t="str">
        <f>Data!G42</f>
        <v>km</v>
      </c>
    </row>
    <row r="44" spans="1:18" x14ac:dyDescent="0.3">
      <c r="A44" s="11" t="str">
        <f>Data!A43</f>
        <v>Template Vehicle 1</v>
      </c>
      <c r="B44" s="11" t="str">
        <f>Data!C43</f>
        <v xml:space="preserve"> Template Group 1</v>
      </c>
      <c r="C44" s="38">
        <f>INT(Data!D43)</f>
        <v>44749</v>
      </c>
      <c r="D44" s="39">
        <f>MOD(Data!D43, 1)</f>
        <v>0.66498101851902902</v>
      </c>
      <c r="E44" s="11" t="str">
        <f>Data!E43</f>
        <v>Odometer</v>
      </c>
      <c r="F44" s="41">
        <f t="shared" si="0"/>
        <v>131820.12942400001</v>
      </c>
      <c r="G44" s="52">
        <f t="shared" si="7"/>
        <v>0.62137100001564249</v>
      </c>
      <c r="H44" s="41">
        <f t="shared" si="1"/>
        <v>131679.07820700001</v>
      </c>
      <c r="I44" s="41">
        <f t="shared" si="2"/>
        <v>131805.21652000002</v>
      </c>
      <c r="J44" s="43">
        <f>IF(AND(ISNUMBER(SEARCH("Device power",E44)),Q44=0),Data!D43,IF(A43&lt;&gt;A44,"",J43))</f>
        <v>44748.250138888892</v>
      </c>
      <c r="K44" s="43">
        <f>IF(AND(ISNUMBER(SEARCH("Device power",E44)),Q44=1),Data!D43,IF(A43&lt;&gt;A44,"",K43))</f>
        <v>44749.533495370371</v>
      </c>
      <c r="L44" s="41" t="b">
        <f t="shared" si="3"/>
        <v>0</v>
      </c>
      <c r="M44" s="41">
        <f t="shared" si="4"/>
        <v>0</v>
      </c>
      <c r="N44" s="41" t="str">
        <f t="shared" si="9"/>
        <v>. km</v>
      </c>
      <c r="O44" s="41" t="b">
        <f t="shared" si="8"/>
        <v>0</v>
      </c>
      <c r="P44" s="41">
        <f t="shared" si="6"/>
        <v>0</v>
      </c>
      <c r="Q44" s="41">
        <f>Data!F43</f>
        <v>131820.12942400001</v>
      </c>
      <c r="R44" s="11" t="str">
        <f>Data!G43</f>
        <v>km</v>
      </c>
    </row>
    <row r="45" spans="1:18" x14ac:dyDescent="0.3">
      <c r="A45" s="11" t="str">
        <f>Data!A44</f>
        <v>Template Vehicle 1</v>
      </c>
      <c r="B45" s="11" t="str">
        <f>Data!C44</f>
        <v xml:space="preserve"> Template Group 1</v>
      </c>
      <c r="C45" s="38">
        <f>INT(Data!D44)</f>
        <v>44749</v>
      </c>
      <c r="D45" s="39">
        <f>MOD(Data!D44, 1)</f>
        <v>0.66648703703685896</v>
      </c>
      <c r="E45" s="11" t="str">
        <f>Data!E44</f>
        <v>Odometer</v>
      </c>
      <c r="F45" s="41">
        <f t="shared" ref="F45:F49" si="10">IF(E45="Odometer",Q45,IF(A44=A45,F44,0))</f>
        <v>131820.12942400001</v>
      </c>
      <c r="G45" s="52">
        <f t="shared" si="7"/>
        <v>0</v>
      </c>
      <c r="H45" s="41">
        <f t="shared" ref="H45:H49" si="11">IF(AND(ISNUMBER(SEARCH("Device power",E45)),Q45=0),F45,IF(A44&lt;&gt;A45,0,H44))</f>
        <v>131679.07820700001</v>
      </c>
      <c r="I45" s="41">
        <f t="shared" ref="I45:I48" si="12">IF(AND(ISNUMBER(SEARCH("Device power",E45)),Q45=1),F46,IF(A44&lt;&gt;A45,0,I44))</f>
        <v>131805.21652000002</v>
      </c>
      <c r="J45" s="43">
        <f>IF(AND(ISNUMBER(SEARCH("Device power",E45)),Q45=0),Data!D44,IF(A44&lt;&gt;A45,"",J44))</f>
        <v>44748.250138888892</v>
      </c>
      <c r="K45" s="43">
        <f>IF(AND(ISNUMBER(SEARCH("Device power",E45)),Q45=1),Data!D44,IF(A44&lt;&gt;A45,"",K44))</f>
        <v>44749.533495370371</v>
      </c>
      <c r="L45" s="41" t="b">
        <f t="shared" ref="L45:L49" si="13">IFERROR(IF(AND(ISNUMBER(SEARCH("Device power",E44)),A44=A45,E45="Odometer",F44&lt;&gt;0,G45&lt;&gt;0,(K45-J45)&gt;0.000694444444444444),TRUE,FALSE),"")</f>
        <v>0</v>
      </c>
      <c r="M45" s="41">
        <f t="shared" ref="M45:M49" si="14">IF(L45=TRUE,G45,0)</f>
        <v>0</v>
      </c>
      <c r="N45" s="41" t="str">
        <f t="shared" si="9"/>
        <v>. km</v>
      </c>
      <c r="O45" s="41" t="b">
        <f t="shared" si="8"/>
        <v>0</v>
      </c>
      <c r="P45" s="41">
        <f t="shared" ref="P45:P49" si="15">IF(AND(L45, O45), 1, 0)</f>
        <v>0</v>
      </c>
      <c r="Q45" s="41">
        <f>Data!F44</f>
        <v>131820.12942400001</v>
      </c>
      <c r="R45" s="11" t="str">
        <f>Data!G44</f>
        <v>km</v>
      </c>
    </row>
    <row r="46" spans="1:18" x14ac:dyDescent="0.3">
      <c r="A46" s="11" t="str">
        <f>Data!A45</f>
        <v>Template Vehicle 1</v>
      </c>
      <c r="B46" s="11" t="str">
        <f>Data!C45</f>
        <v xml:space="preserve"> Template Group 1</v>
      </c>
      <c r="C46" s="38">
        <f>INT(Data!D45)</f>
        <v>44749</v>
      </c>
      <c r="D46" s="39">
        <f>MOD(Data!D45, 1)</f>
        <v>0.78911998842522735</v>
      </c>
      <c r="E46" s="11" t="str">
        <f>Data!E45</f>
        <v>Odometer</v>
      </c>
      <c r="F46" s="41">
        <f t="shared" si="10"/>
        <v>131820.12942400001</v>
      </c>
      <c r="G46" s="52">
        <f t="shared" si="7"/>
        <v>0</v>
      </c>
      <c r="H46" s="41">
        <f t="shared" si="11"/>
        <v>131679.07820700001</v>
      </c>
      <c r="I46" s="41">
        <f t="shared" si="12"/>
        <v>131805.21652000002</v>
      </c>
      <c r="J46" s="43">
        <f>IF(AND(ISNUMBER(SEARCH("Device power",E46)),Q46=0),Data!D45,IF(A45&lt;&gt;A46,"",J45))</f>
        <v>44748.250138888892</v>
      </c>
      <c r="K46" s="43">
        <f>IF(AND(ISNUMBER(SEARCH("Device power",E46)),Q46=1),Data!D45,IF(A45&lt;&gt;A46,"",K45))</f>
        <v>44749.533495370371</v>
      </c>
      <c r="L46" s="41" t="b">
        <f t="shared" si="13"/>
        <v>0</v>
      </c>
      <c r="M46" s="41">
        <f t="shared" si="14"/>
        <v>0</v>
      </c>
      <c r="N46" s="41" t="str">
        <f t="shared" si="9"/>
        <v>. km</v>
      </c>
      <c r="O46" s="41" t="b">
        <f t="shared" si="8"/>
        <v>0</v>
      </c>
      <c r="P46" s="41">
        <f t="shared" si="15"/>
        <v>0</v>
      </c>
      <c r="Q46" s="41">
        <f>Data!F45</f>
        <v>131820.12942400001</v>
      </c>
      <c r="R46" s="11" t="str">
        <f>Data!G45</f>
        <v>km</v>
      </c>
    </row>
    <row r="47" spans="1:18" x14ac:dyDescent="0.3">
      <c r="A47" s="11" t="str">
        <f>Data!A46</f>
        <v>Template Vehicle 1</v>
      </c>
      <c r="B47" s="11" t="str">
        <f>Data!C46</f>
        <v xml:space="preserve"> Template Group 1</v>
      </c>
      <c r="C47" s="38">
        <f>INT(Data!D46)</f>
        <v>44749</v>
      </c>
      <c r="D47" s="39">
        <f>MOD(Data!D46, 1)</f>
        <v>0.78960706018551718</v>
      </c>
      <c r="E47" s="11" t="str">
        <f>Data!E46</f>
        <v>Odometer</v>
      </c>
      <c r="F47" s="41">
        <f t="shared" si="10"/>
        <v>131820.12942400001</v>
      </c>
      <c r="G47" s="52">
        <f t="shared" si="7"/>
        <v>0</v>
      </c>
      <c r="H47" s="41">
        <f t="shared" si="11"/>
        <v>131679.07820700001</v>
      </c>
      <c r="I47" s="41">
        <f t="shared" si="12"/>
        <v>131805.21652000002</v>
      </c>
      <c r="J47" s="43">
        <f>IF(AND(ISNUMBER(SEARCH("Device power",E47)),Q47=0),Data!D46,IF(A46&lt;&gt;A47,"",J46))</f>
        <v>44748.250138888892</v>
      </c>
      <c r="K47" s="43">
        <f>IF(AND(ISNUMBER(SEARCH("Device power",E47)),Q47=1),Data!D46,IF(A46&lt;&gt;A47,"",K46))</f>
        <v>44749.533495370371</v>
      </c>
      <c r="L47" s="41" t="b">
        <f t="shared" si="13"/>
        <v>0</v>
      </c>
      <c r="M47" s="41">
        <f t="shared" si="14"/>
        <v>0</v>
      </c>
      <c r="N47" s="41" t="str">
        <f t="shared" si="9"/>
        <v>. km</v>
      </c>
      <c r="O47" s="41" t="b">
        <f t="shared" si="8"/>
        <v>0</v>
      </c>
      <c r="P47" s="41">
        <f t="shared" si="15"/>
        <v>0</v>
      </c>
      <c r="Q47" s="41">
        <f>Data!F46</f>
        <v>131820.12942400001</v>
      </c>
      <c r="R47" s="11" t="str">
        <f>Data!G46</f>
        <v>km</v>
      </c>
    </row>
    <row r="48" spans="1:18" x14ac:dyDescent="0.3">
      <c r="A48" s="11" t="str">
        <f>Data!A47</f>
        <v>Template Vehicle 1</v>
      </c>
      <c r="B48" s="11" t="str">
        <f>Data!C47</f>
        <v xml:space="preserve"> Template Group 1</v>
      </c>
      <c r="C48" s="38">
        <f>INT(Data!D47)</f>
        <v>44749</v>
      </c>
      <c r="D48" s="39">
        <f>MOD(Data!D47, 1)</f>
        <v>0.85930034721968696</v>
      </c>
      <c r="E48" s="11" t="str">
        <f>Data!E47</f>
        <v>Odometer</v>
      </c>
      <c r="F48" s="41">
        <f t="shared" si="10"/>
        <v>131820.12942400001</v>
      </c>
      <c r="G48" s="52">
        <f t="shared" si="7"/>
        <v>0</v>
      </c>
      <c r="H48" s="41">
        <f t="shared" si="11"/>
        <v>131679.07820700001</v>
      </c>
      <c r="I48" s="41">
        <f t="shared" si="12"/>
        <v>131805.21652000002</v>
      </c>
      <c r="J48" s="43">
        <f>IF(AND(ISNUMBER(SEARCH("Device power",E48)),Q48=0),Data!D47,IF(A47&lt;&gt;A48,"",J47))</f>
        <v>44748.250138888892</v>
      </c>
      <c r="K48" s="43">
        <f>IF(AND(ISNUMBER(SEARCH("Device power",E48)),Q48=1),Data!D47,IF(A47&lt;&gt;A48,"",K47))</f>
        <v>44749.533495370371</v>
      </c>
      <c r="L48" s="41" t="b">
        <f t="shared" si="13"/>
        <v>0</v>
      </c>
      <c r="M48" s="41">
        <f t="shared" si="14"/>
        <v>0</v>
      </c>
      <c r="N48" s="41" t="str">
        <f t="shared" si="9"/>
        <v>. km</v>
      </c>
      <c r="O48" s="41" t="b">
        <f t="shared" si="8"/>
        <v>0</v>
      </c>
      <c r="P48" s="41">
        <f t="shared" si="15"/>
        <v>0</v>
      </c>
      <c r="Q48" s="41">
        <f>Data!F47</f>
        <v>131820.12942400001</v>
      </c>
      <c r="R48" s="11" t="str">
        <f>Data!G47</f>
        <v>km</v>
      </c>
    </row>
    <row r="49" spans="1:18" x14ac:dyDescent="0.3">
      <c r="A49" s="11" t="str">
        <f>Data!A48</f>
        <v>Template Vehicle 1</v>
      </c>
      <c r="B49" s="11" t="str">
        <f>Data!C48</f>
        <v xml:space="preserve"> Template Group 1</v>
      </c>
      <c r="C49" s="38">
        <f>INT(Data!D48)</f>
        <v>44749</v>
      </c>
      <c r="D49" s="39">
        <f>MOD(Data!D48, 1)</f>
        <v>0.86012858796311775</v>
      </c>
      <c r="E49" s="11" t="str">
        <f>Data!E48</f>
        <v>Odometer</v>
      </c>
      <c r="F49" s="41">
        <f t="shared" si="10"/>
        <v>131820.12942400001</v>
      </c>
      <c r="G49" s="52">
        <f t="shared" si="7"/>
        <v>0</v>
      </c>
      <c r="H49" s="41">
        <f t="shared" si="11"/>
        <v>131679.07820700001</v>
      </c>
      <c r="I49" s="41">
        <f>IF(AND(ISNUMBER(SEARCH("Device power",E49)),Q49=1),#REF!,IF(A48&lt;&gt;A49,0,I48))</f>
        <v>131805.21652000002</v>
      </c>
      <c r="J49" s="43">
        <f>IF(AND(ISNUMBER(SEARCH("Device power",E49)),Q49=0),Data!D48,IF(A48&lt;&gt;A49,"",J48))</f>
        <v>44748.250138888892</v>
      </c>
      <c r="K49" s="43">
        <f>IF(AND(ISNUMBER(SEARCH("Device power",E49)),Q49=1),Data!D48,IF(A48&lt;&gt;A49,"",K48))</f>
        <v>44749.533495370371</v>
      </c>
      <c r="L49" s="41" t="b">
        <f t="shared" si="13"/>
        <v>0</v>
      </c>
      <c r="M49" s="41">
        <f t="shared" si="14"/>
        <v>0</v>
      </c>
      <c r="N49" s="41" t="str">
        <f t="shared" si="9"/>
        <v>. km</v>
      </c>
      <c r="O49" s="41" t="b">
        <f t="shared" si="8"/>
        <v>0</v>
      </c>
      <c r="P49" s="41">
        <f t="shared" si="15"/>
        <v>0</v>
      </c>
      <c r="Q49" s="41">
        <f>Data!F48</f>
        <v>131820.12942400001</v>
      </c>
      <c r="R49" s="11" t="str">
        <f>Data!G48</f>
        <v>km</v>
      </c>
    </row>
    <row r="50" spans="1:18" x14ac:dyDescent="0.3">
      <c r="C50" s="9"/>
      <c r="D50" s="9"/>
    </row>
  </sheetData>
  <autoFilter ref="A12:R12" xr:uid="{00000000-0009-0000-0000-000001000000}"/>
  <mergeCells count="1">
    <mergeCell ref="A4:B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AD4C-CCBA-401A-92F2-9588ACA3B4F7}">
  <dimension ref="A1:L31"/>
  <sheetViews>
    <sheetView showGridLines="0" zoomScaleNormal="100" workbookViewId="0"/>
  </sheetViews>
  <sheetFormatPr defaultRowHeight="12.75" x14ac:dyDescent="0.2"/>
  <cols>
    <col min="1" max="1" width="80.7109375" customWidth="1"/>
    <col min="2" max="2" width="25.7109375" customWidth="1"/>
    <col min="3" max="3" width="15.7109375" customWidth="1"/>
    <col min="4" max="4" width="7.7109375" bestFit="1" customWidth="1"/>
    <col min="5" max="5" width="19.42578125" bestFit="1" customWidth="1"/>
    <col min="6" max="6" width="25" bestFit="1" customWidth="1"/>
    <col min="7" max="7" width="21.42578125" bestFit="1" customWidth="1"/>
    <col min="8" max="10" width="9.140625" customWidth="1"/>
  </cols>
  <sheetData>
    <row r="1" spans="1:12" s="15" customFormat="1" ht="25.5" customHeight="1" x14ac:dyDescent="0.45">
      <c r="A1" s="14" t="s">
        <v>193</v>
      </c>
      <c r="C1" s="16">
        <f>Data!B2</f>
        <v>44819.490901886573</v>
      </c>
      <c r="H1" s="16"/>
      <c r="J1" s="16"/>
      <c r="K1" s="17"/>
      <c r="L1" s="18"/>
    </row>
    <row r="2" spans="1:12" s="8" customFormat="1" ht="25.5" customHeight="1" x14ac:dyDescent="0.5">
      <c r="A2" s="19" t="str">
        <f>Data!B1</f>
        <v>Template Company Name</v>
      </c>
      <c r="H2" s="20"/>
      <c r="I2" s="20"/>
      <c r="J2" s="20"/>
      <c r="K2" s="21"/>
      <c r="L2" s="22"/>
    </row>
    <row r="3" spans="1:12" s="24" customFormat="1" ht="17.45" customHeight="1" x14ac:dyDescent="0.3">
      <c r="A3" s="31"/>
    </row>
    <row r="4" spans="1:12" s="8" customFormat="1" ht="17.45" customHeight="1" x14ac:dyDescent="0.3">
      <c r="A4" s="66" t="s">
        <v>25</v>
      </c>
      <c r="B4" s="66"/>
      <c r="C4" s="13"/>
    </row>
    <row r="5" spans="1:12" s="24" customFormat="1" ht="17.45" customHeight="1" x14ac:dyDescent="0.3">
      <c r="A5" s="35" t="s">
        <v>22</v>
      </c>
      <c r="B5" s="27">
        <f>Data!B3</f>
        <v>44747</v>
      </c>
      <c r="C5" s="26"/>
    </row>
    <row r="6" spans="1:12" s="24" customFormat="1" ht="17.45" customHeight="1" x14ac:dyDescent="0.3">
      <c r="A6" s="35" t="s">
        <v>23</v>
      </c>
      <c r="B6" s="27">
        <f>Data!B4</f>
        <v>44752.999988425923</v>
      </c>
      <c r="C6" s="26"/>
    </row>
    <row r="7" spans="1:12" s="24" customFormat="1" ht="17.45" customHeight="1" x14ac:dyDescent="0.3">
      <c r="A7" s="35" t="s">
        <v>194</v>
      </c>
      <c r="B7" s="28">
        <f>B6-B5</f>
        <v>5.9999884259232203</v>
      </c>
      <c r="C7" s="26"/>
    </row>
    <row r="8" spans="1:12" s="24" customFormat="1" ht="17.45" customHeight="1" x14ac:dyDescent="0.3">
      <c r="A8" s="29"/>
      <c r="B8" s="30"/>
      <c r="C8" s="26"/>
    </row>
    <row r="9" spans="1:12" s="8" customFormat="1" ht="17.45" customHeight="1" x14ac:dyDescent="0.3">
      <c r="A9" s="44" t="s">
        <v>112</v>
      </c>
      <c r="B9" s="27" t="str">
        <f>Data!B5</f>
        <v>America/New_York</v>
      </c>
      <c r="C9" s="13"/>
    </row>
    <row r="10" spans="1:12" s="8" customFormat="1" ht="17.45" customHeight="1" x14ac:dyDescent="0.3">
      <c r="A10" s="44" t="s">
        <v>198</v>
      </c>
      <c r="B10" s="27" t="str">
        <f>Data!B6</f>
        <v>km</v>
      </c>
      <c r="C10" s="13"/>
    </row>
    <row r="11" spans="1:12" s="24" customFormat="1" ht="17.45" customHeight="1" x14ac:dyDescent="0.3">
      <c r="C11" s="32"/>
    </row>
    <row r="12" spans="1:12" s="24" customFormat="1" ht="17.45" customHeight="1" x14ac:dyDescent="0.3">
      <c r="C12" s="32"/>
    </row>
    <row r="14" spans="1:12" ht="210" customHeight="1" x14ac:dyDescent="0.2"/>
    <row r="15" spans="1:12" ht="210" customHeight="1" x14ac:dyDescent="0.2">
      <c r="A15" s="47" t="str">
        <f>IF(A28, IF(F22=0,A21, A22), A22)</f>
        <v>û</v>
      </c>
    </row>
    <row r="17" spans="1:7" x14ac:dyDescent="0.2">
      <c r="A17" s="58" t="s">
        <v>217</v>
      </c>
    </row>
    <row r="18" spans="1:7" x14ac:dyDescent="0.2">
      <c r="A18" s="58" t="s">
        <v>224</v>
      </c>
    </row>
    <row r="19" spans="1:7" x14ac:dyDescent="0.2">
      <c r="A19" s="58" t="s">
        <v>218</v>
      </c>
    </row>
    <row r="20" spans="1:7" x14ac:dyDescent="0.2">
      <c r="A20" s="58" t="str">
        <f>CONCATENATE(A19, " (", B10, ")")</f>
        <v>**Odometer Jump Value (km)</v>
      </c>
      <c r="E20" s="57" t="s">
        <v>225</v>
      </c>
      <c r="F20" s="58" t="str">
        <f>IF(A28, IF(F22=0, "Processor!A15", "Processor!A14"), "Processor!A15")</f>
        <v>Processor!A14</v>
      </c>
    </row>
    <row r="21" spans="1:7" x14ac:dyDescent="0.2">
      <c r="A21" s="59" t="s">
        <v>219</v>
      </c>
    </row>
    <row r="22" spans="1:7" x14ac:dyDescent="0.2">
      <c r="A22" s="59" t="s">
        <v>220</v>
      </c>
      <c r="E22" s="57" t="s">
        <v>223</v>
      </c>
      <c r="F22" s="58">
        <f>IF(ISNUMBER(SEARCH("blank", D25)), 0, COUNTA(E25:E2801))</f>
        <v>1</v>
      </c>
    </row>
    <row r="23" spans="1:7" x14ac:dyDescent="0.2">
      <c r="A23" s="58" t="s">
        <v>221</v>
      </c>
    </row>
    <row r="24" spans="1:7" ht="16.5" x14ac:dyDescent="0.3">
      <c r="A24" s="58" t="s">
        <v>222</v>
      </c>
      <c r="D24" s="60" t="s">
        <v>210</v>
      </c>
      <c r="E24" s="60" t="s">
        <v>14</v>
      </c>
      <c r="F24" s="60" t="s">
        <v>211</v>
      </c>
      <c r="G24" s="61" t="s">
        <v>215</v>
      </c>
    </row>
    <row r="25" spans="1:7" ht="16.5" x14ac:dyDescent="0.3">
      <c r="A25" s="58" t="str">
        <f>IF(A28, IF(F22=0,A23, A24), A24)</f>
        <v>**There seems to be a Problem with data in this report. Contact your Administrator.</v>
      </c>
      <c r="D25" s="62">
        <v>1</v>
      </c>
      <c r="E25" s="61" t="s">
        <v>202</v>
      </c>
      <c r="F25" s="63">
        <v>44748.250138888892</v>
      </c>
      <c r="G25" s="64">
        <v>126.13831300000311</v>
      </c>
    </row>
    <row r="26" spans="1:7" ht="16.5" x14ac:dyDescent="0.3">
      <c r="A26" s="56"/>
      <c r="D26" s="49"/>
      <c r="E26" s="8"/>
      <c r="F26" s="50"/>
      <c r="G26" s="51"/>
    </row>
    <row r="27" spans="1:7" ht="16.5" x14ac:dyDescent="0.3">
      <c r="A27" s="56"/>
      <c r="D27" s="49"/>
      <c r="E27" s="8"/>
      <c r="F27" s="50"/>
      <c r="G27" s="51"/>
    </row>
    <row r="28" spans="1:7" x14ac:dyDescent="0.2">
      <c r="A28" s="58" t="b">
        <f>AND(A30="Device power change (1 = powered)", A31="Odometer", COUNTA(A30:A35)=2)</f>
        <v>1</v>
      </c>
    </row>
    <row r="29" spans="1:7" x14ac:dyDescent="0.2">
      <c r="A29" s="48" t="s">
        <v>16</v>
      </c>
    </row>
    <row r="30" spans="1:7" x14ac:dyDescent="0.2">
      <c r="A30" t="s">
        <v>191</v>
      </c>
    </row>
    <row r="31" spans="1:7" x14ac:dyDescent="0.2">
      <c r="A31" t="s">
        <v>204</v>
      </c>
    </row>
  </sheetData>
  <mergeCells count="1">
    <mergeCell ref="A4:B4"/>
  </mergeCell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2"/>
  <sheetViews>
    <sheetView showGridLines="0" tabSelected="1" workbookViewId="0"/>
  </sheetViews>
  <sheetFormatPr defaultColWidth="9.140625" defaultRowHeight="16.5" x14ac:dyDescent="0.3"/>
  <cols>
    <col min="1" max="5" width="25.7109375" style="8" customWidth="1"/>
    <col min="6" max="6" width="9.140625" style="8" hidden="1" customWidth="1"/>
    <col min="7" max="7" width="25.7109375" style="8" customWidth="1"/>
    <col min="8" max="13" width="9.140625" style="8" customWidth="1"/>
    <col min="14" max="16384" width="9.140625" style="8"/>
  </cols>
  <sheetData>
    <row r="1" spans="1:13" s="15" customFormat="1" ht="25.5" customHeight="1" x14ac:dyDescent="0.45">
      <c r="A1" s="14" t="s">
        <v>193</v>
      </c>
      <c r="C1" s="16">
        <f>Data!B2</f>
        <v>44819.490901886573</v>
      </c>
      <c r="H1" s="16"/>
      <c r="J1" s="16"/>
      <c r="K1" s="17"/>
      <c r="L1" s="18"/>
    </row>
    <row r="2" spans="1:13" ht="25.5" customHeight="1" x14ac:dyDescent="0.5">
      <c r="A2" s="19" t="str">
        <f>Data!B1</f>
        <v>Template Company Name</v>
      </c>
      <c r="H2" s="20"/>
      <c r="I2" s="20"/>
      <c r="J2" s="20"/>
      <c r="K2" s="21"/>
      <c r="L2" s="22"/>
    </row>
    <row r="3" spans="1:13" s="24" customFormat="1" ht="17.45" customHeight="1" x14ac:dyDescent="0.3">
      <c r="A3" s="31"/>
    </row>
    <row r="4" spans="1:13" ht="17.45" customHeight="1" x14ac:dyDescent="0.3">
      <c r="A4" s="66" t="s">
        <v>25</v>
      </c>
      <c r="B4" s="66"/>
      <c r="C4" s="13"/>
    </row>
    <row r="5" spans="1:13" s="24" customFormat="1" ht="17.45" customHeight="1" x14ac:dyDescent="0.3">
      <c r="A5" s="35" t="s">
        <v>22</v>
      </c>
      <c r="B5" s="27">
        <f>Data!B3</f>
        <v>44747</v>
      </c>
      <c r="C5" s="26"/>
    </row>
    <row r="6" spans="1:13" s="24" customFormat="1" ht="17.45" customHeight="1" x14ac:dyDescent="0.3">
      <c r="A6" s="35" t="s">
        <v>23</v>
      </c>
      <c r="B6" s="27">
        <f>Data!B4</f>
        <v>44752.999988425923</v>
      </c>
      <c r="C6" s="26"/>
    </row>
    <row r="7" spans="1:13" s="24" customFormat="1" ht="17.45" customHeight="1" x14ac:dyDescent="0.3">
      <c r="A7" s="35" t="s">
        <v>194</v>
      </c>
      <c r="B7" s="28">
        <f>B6-B5</f>
        <v>5.9999884259232203</v>
      </c>
      <c r="C7" s="26"/>
    </row>
    <row r="8" spans="1:13" s="24" customFormat="1" ht="17.45" customHeight="1" x14ac:dyDescent="0.3">
      <c r="A8" s="29"/>
      <c r="B8" s="30"/>
      <c r="C8" s="26"/>
    </row>
    <row r="9" spans="1:13" ht="17.45" customHeight="1" x14ac:dyDescent="0.3">
      <c r="A9" s="33" t="s">
        <v>112</v>
      </c>
      <c r="B9" s="27" t="str">
        <f>Data!B5</f>
        <v>America/New_York</v>
      </c>
      <c r="C9" s="13"/>
    </row>
    <row r="10" spans="1:13" ht="17.45" customHeight="1" x14ac:dyDescent="0.3">
      <c r="A10" s="33" t="s">
        <v>198</v>
      </c>
      <c r="B10" s="27" t="str">
        <f>Data!B6</f>
        <v>km</v>
      </c>
      <c r="C10" s="13"/>
    </row>
    <row r="11" spans="1:13" s="24" customFormat="1" ht="17.45" customHeight="1" x14ac:dyDescent="0.3">
      <c r="C11" s="32"/>
    </row>
    <row r="12" spans="1:13" x14ac:dyDescent="0.3">
      <c r="A12" s="60" t="s">
        <v>14</v>
      </c>
      <c r="B12" s="60" t="s">
        <v>211</v>
      </c>
      <c r="C12" s="60" t="s">
        <v>213</v>
      </c>
      <c r="D12" s="60" t="s">
        <v>212</v>
      </c>
      <c r="E12" s="60" t="s">
        <v>214</v>
      </c>
      <c r="F12" s="60" t="s">
        <v>210</v>
      </c>
      <c r="G12" s="60" t="s">
        <v>208</v>
      </c>
      <c r="H12"/>
      <c r="I12"/>
      <c r="J12"/>
      <c r="K12"/>
      <c r="L12"/>
      <c r="M12"/>
    </row>
    <row r="13" spans="1:13" s="10" customFormat="1" ht="17.25" x14ac:dyDescent="0.3">
      <c r="A13" s="61" t="s">
        <v>202</v>
      </c>
      <c r="B13" s="65">
        <v>44748.250138888892</v>
      </c>
      <c r="C13" s="62">
        <v>131679.07820700001</v>
      </c>
      <c r="D13" s="65">
        <v>44749.533495370371</v>
      </c>
      <c r="E13" s="62">
        <v>131805.21652000002</v>
      </c>
      <c r="F13" s="62">
        <v>1</v>
      </c>
      <c r="G13" s="61" t="s">
        <v>226</v>
      </c>
      <c r="H13"/>
      <c r="I13"/>
      <c r="J13"/>
      <c r="K13"/>
      <c r="L13"/>
      <c r="M13"/>
    </row>
    <row r="14" spans="1:13" x14ac:dyDescent="0.3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x14ac:dyDescent="0.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x14ac:dyDescent="0.3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 x14ac:dyDescent="0.3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x14ac:dyDescent="0.3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 x14ac:dyDescent="0.3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x14ac:dyDescent="0.3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x14ac:dyDescent="0.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3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3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3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3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3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3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3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3">
      <c r="A70"/>
      <c r="B70"/>
      <c r="C70"/>
      <c r="D70"/>
      <c r="E70"/>
      <c r="F70"/>
      <c r="G70"/>
      <c r="H70"/>
      <c r="I70"/>
      <c r="J70"/>
    </row>
    <row r="71" spans="1:13" x14ac:dyDescent="0.3">
      <c r="A71"/>
      <c r="B71"/>
      <c r="C71"/>
      <c r="D71"/>
      <c r="E71"/>
      <c r="F71"/>
      <c r="G71"/>
      <c r="H71"/>
      <c r="I71"/>
      <c r="J71"/>
    </row>
    <row r="72" spans="1:13" x14ac:dyDescent="0.3">
      <c r="A72"/>
      <c r="B72"/>
      <c r="C72"/>
      <c r="D72"/>
      <c r="E72"/>
      <c r="F72"/>
      <c r="G72"/>
      <c r="H72"/>
      <c r="I72"/>
      <c r="J72"/>
    </row>
    <row r="73" spans="1:13" x14ac:dyDescent="0.3">
      <c r="A73"/>
      <c r="B73"/>
      <c r="C73"/>
      <c r="D73"/>
      <c r="E73"/>
      <c r="F73"/>
      <c r="G73"/>
      <c r="H73"/>
      <c r="I73"/>
      <c r="J73"/>
    </row>
    <row r="74" spans="1:13" x14ac:dyDescent="0.3">
      <c r="A74"/>
      <c r="B74"/>
      <c r="C74"/>
      <c r="D74"/>
      <c r="E74"/>
      <c r="F74"/>
      <c r="G74"/>
      <c r="H74"/>
      <c r="I74"/>
      <c r="J74"/>
    </row>
    <row r="75" spans="1:13" x14ac:dyDescent="0.3">
      <c r="A75"/>
      <c r="B75"/>
      <c r="C75"/>
      <c r="D75"/>
      <c r="E75"/>
      <c r="F75"/>
      <c r="G75"/>
      <c r="H75"/>
      <c r="I75"/>
      <c r="J75"/>
    </row>
    <row r="76" spans="1:13" x14ac:dyDescent="0.3">
      <c r="A76"/>
      <c r="B76"/>
      <c r="C76"/>
      <c r="D76"/>
      <c r="E76"/>
      <c r="F76"/>
      <c r="G76"/>
      <c r="H76"/>
      <c r="I76"/>
      <c r="J76"/>
    </row>
    <row r="77" spans="1:13" x14ac:dyDescent="0.3">
      <c r="A77"/>
      <c r="B77"/>
      <c r="C77"/>
      <c r="D77"/>
      <c r="E77"/>
      <c r="F77"/>
      <c r="G77"/>
      <c r="H77"/>
      <c r="I77"/>
      <c r="J77"/>
    </row>
    <row r="78" spans="1:13" x14ac:dyDescent="0.3">
      <c r="A78"/>
      <c r="B78"/>
      <c r="C78"/>
      <c r="D78"/>
      <c r="E78"/>
      <c r="F78"/>
      <c r="G78"/>
      <c r="H78"/>
      <c r="I78"/>
      <c r="J78"/>
    </row>
    <row r="79" spans="1:13" x14ac:dyDescent="0.3">
      <c r="A79"/>
      <c r="B79"/>
      <c r="C79"/>
      <c r="D79"/>
      <c r="E79"/>
      <c r="F79"/>
      <c r="G79"/>
      <c r="H79"/>
      <c r="I79"/>
      <c r="J79"/>
    </row>
    <row r="80" spans="1:13" x14ac:dyDescent="0.3">
      <c r="A80"/>
      <c r="B80"/>
      <c r="C80"/>
      <c r="D80"/>
      <c r="E80"/>
      <c r="F80"/>
      <c r="G80"/>
      <c r="H80"/>
      <c r="I80"/>
      <c r="J80"/>
    </row>
    <row r="81" spans="1:10" x14ac:dyDescent="0.3">
      <c r="A81"/>
      <c r="B81"/>
      <c r="C81"/>
      <c r="D81"/>
      <c r="E81"/>
      <c r="F81"/>
      <c r="G81"/>
      <c r="H81"/>
      <c r="I81"/>
      <c r="J81"/>
    </row>
    <row r="82" spans="1:10" x14ac:dyDescent="0.3">
      <c r="A82"/>
      <c r="B82"/>
      <c r="C82"/>
      <c r="D82"/>
      <c r="E82"/>
      <c r="F82"/>
      <c r="G82"/>
      <c r="H82"/>
      <c r="I82"/>
      <c r="J82"/>
    </row>
    <row r="83" spans="1:10" x14ac:dyDescent="0.3">
      <c r="A83"/>
      <c r="B83"/>
      <c r="C83"/>
      <c r="D83"/>
      <c r="E83"/>
      <c r="F83"/>
      <c r="G83"/>
      <c r="H83"/>
      <c r="I83"/>
      <c r="J83"/>
    </row>
    <row r="84" spans="1:10" x14ac:dyDescent="0.3">
      <c r="A84"/>
      <c r="B84"/>
      <c r="C84"/>
      <c r="D84"/>
      <c r="E84"/>
      <c r="F84"/>
      <c r="G84"/>
      <c r="H84"/>
      <c r="I84"/>
      <c r="J84"/>
    </row>
    <row r="85" spans="1:10" x14ac:dyDescent="0.3">
      <c r="A85"/>
      <c r="B85"/>
      <c r="C85"/>
      <c r="D85"/>
      <c r="E85"/>
      <c r="F85"/>
      <c r="G85"/>
      <c r="H85"/>
      <c r="I85"/>
      <c r="J85"/>
    </row>
    <row r="86" spans="1:10" x14ac:dyDescent="0.3">
      <c r="A86"/>
      <c r="B86"/>
      <c r="C86"/>
      <c r="D86"/>
      <c r="E86"/>
      <c r="F86"/>
      <c r="G86"/>
      <c r="H86"/>
      <c r="I86"/>
      <c r="J86"/>
    </row>
    <row r="87" spans="1:10" x14ac:dyDescent="0.3">
      <c r="A87"/>
      <c r="B87"/>
      <c r="C87"/>
      <c r="D87"/>
      <c r="E87"/>
      <c r="F87"/>
      <c r="G87"/>
      <c r="H87"/>
      <c r="I87"/>
      <c r="J87"/>
    </row>
    <row r="88" spans="1:10" x14ac:dyDescent="0.3">
      <c r="A88"/>
      <c r="B88"/>
      <c r="C88"/>
      <c r="D88"/>
      <c r="E88"/>
      <c r="F88"/>
      <c r="G88"/>
      <c r="H88"/>
      <c r="I88"/>
      <c r="J88"/>
    </row>
    <row r="89" spans="1:10" x14ac:dyDescent="0.3">
      <c r="A89"/>
      <c r="B89"/>
      <c r="C89"/>
      <c r="D89"/>
      <c r="E89"/>
      <c r="F89"/>
      <c r="G89"/>
    </row>
    <row r="90" spans="1:10" x14ac:dyDescent="0.3">
      <c r="A90"/>
      <c r="B90"/>
      <c r="C90"/>
      <c r="D90"/>
      <c r="E90"/>
      <c r="F90"/>
      <c r="G90"/>
    </row>
    <row r="91" spans="1:10" x14ac:dyDescent="0.3">
      <c r="A91"/>
      <c r="B91"/>
      <c r="C91"/>
      <c r="D91"/>
      <c r="E91"/>
      <c r="F91"/>
      <c r="G91"/>
    </row>
    <row r="92" spans="1:10" x14ac:dyDescent="0.3">
      <c r="A92"/>
      <c r="B92"/>
      <c r="C92"/>
      <c r="D92"/>
      <c r="E92"/>
      <c r="F92"/>
      <c r="G92"/>
    </row>
    <row r="93" spans="1:10" x14ac:dyDescent="0.3">
      <c r="A93"/>
      <c r="B93"/>
      <c r="C93"/>
      <c r="D93"/>
      <c r="E93"/>
      <c r="F93"/>
      <c r="G93"/>
    </row>
    <row r="94" spans="1:10" x14ac:dyDescent="0.3">
      <c r="A94"/>
      <c r="B94"/>
      <c r="C94"/>
      <c r="D94"/>
      <c r="E94"/>
      <c r="F94"/>
      <c r="G94"/>
    </row>
    <row r="95" spans="1:10" x14ac:dyDescent="0.3">
      <c r="A95"/>
      <c r="B95"/>
      <c r="C95"/>
      <c r="D95"/>
      <c r="E95"/>
      <c r="F95"/>
      <c r="G95"/>
    </row>
    <row r="96" spans="1:10" x14ac:dyDescent="0.3">
      <c r="A96"/>
      <c r="B96"/>
      <c r="C96"/>
      <c r="D96"/>
      <c r="E96"/>
      <c r="F96"/>
      <c r="G96"/>
    </row>
    <row r="97" spans="1:7" x14ac:dyDescent="0.3">
      <c r="A97"/>
      <c r="B97"/>
      <c r="C97"/>
      <c r="D97"/>
      <c r="E97"/>
      <c r="F97"/>
      <c r="G97"/>
    </row>
    <row r="98" spans="1:7" x14ac:dyDescent="0.3">
      <c r="A98"/>
      <c r="B98"/>
      <c r="C98"/>
      <c r="D98"/>
      <c r="E98"/>
      <c r="F98"/>
      <c r="G98"/>
    </row>
    <row r="99" spans="1:7" x14ac:dyDescent="0.3">
      <c r="A99"/>
      <c r="B99"/>
      <c r="C99"/>
      <c r="D99"/>
      <c r="E99"/>
      <c r="F99"/>
      <c r="G99"/>
    </row>
    <row r="100" spans="1:7" x14ac:dyDescent="0.3">
      <c r="A100"/>
      <c r="B100"/>
      <c r="C100"/>
      <c r="D100"/>
      <c r="E100"/>
      <c r="F100"/>
      <c r="G100"/>
    </row>
    <row r="101" spans="1:7" x14ac:dyDescent="0.3">
      <c r="A101"/>
      <c r="B101"/>
      <c r="C101"/>
      <c r="D101"/>
      <c r="E101"/>
      <c r="F101"/>
      <c r="G101"/>
    </row>
    <row r="102" spans="1:7" x14ac:dyDescent="0.3">
      <c r="A102"/>
      <c r="B102"/>
      <c r="C102"/>
      <c r="D102"/>
      <c r="E102"/>
      <c r="F102"/>
      <c r="G102"/>
    </row>
    <row r="103" spans="1:7" x14ac:dyDescent="0.3">
      <c r="A103"/>
      <c r="B103"/>
      <c r="C103"/>
      <c r="D103"/>
      <c r="E103"/>
      <c r="F103"/>
      <c r="G103"/>
    </row>
    <row r="104" spans="1:7" x14ac:dyDescent="0.3">
      <c r="A104"/>
      <c r="B104"/>
      <c r="C104"/>
      <c r="D104"/>
      <c r="E104"/>
      <c r="F104"/>
      <c r="G104"/>
    </row>
    <row r="105" spans="1:7" x14ac:dyDescent="0.3">
      <c r="A105"/>
      <c r="B105"/>
      <c r="C105"/>
      <c r="D105"/>
      <c r="E105"/>
      <c r="F105"/>
      <c r="G105"/>
    </row>
    <row r="106" spans="1:7" x14ac:dyDescent="0.3">
      <c r="A106"/>
      <c r="B106"/>
      <c r="C106"/>
      <c r="D106"/>
      <c r="E106"/>
      <c r="F106"/>
      <c r="G106"/>
    </row>
    <row r="107" spans="1:7" x14ac:dyDescent="0.3">
      <c r="A107"/>
      <c r="B107"/>
      <c r="C107"/>
      <c r="D107"/>
      <c r="E107"/>
      <c r="F107"/>
      <c r="G107"/>
    </row>
    <row r="108" spans="1:7" x14ac:dyDescent="0.3">
      <c r="A108"/>
      <c r="B108"/>
      <c r="C108"/>
      <c r="D108"/>
      <c r="E108"/>
      <c r="F108"/>
      <c r="G108"/>
    </row>
    <row r="109" spans="1:7" x14ac:dyDescent="0.3">
      <c r="A109"/>
      <c r="B109"/>
      <c r="C109"/>
      <c r="D109"/>
      <c r="E109"/>
      <c r="F109"/>
      <c r="G109"/>
    </row>
    <row r="110" spans="1:7" x14ac:dyDescent="0.3">
      <c r="A110"/>
      <c r="B110"/>
      <c r="C110"/>
      <c r="D110"/>
      <c r="E110"/>
      <c r="F110"/>
      <c r="G110"/>
    </row>
    <row r="111" spans="1:7" x14ac:dyDescent="0.3">
      <c r="A111"/>
      <c r="B111"/>
      <c r="C111"/>
      <c r="D111"/>
      <c r="E111"/>
      <c r="F111"/>
      <c r="G111"/>
    </row>
    <row r="112" spans="1:7" x14ac:dyDescent="0.3">
      <c r="A112"/>
      <c r="B112"/>
      <c r="C112"/>
      <c r="D112"/>
      <c r="E112"/>
      <c r="F112"/>
      <c r="G112"/>
    </row>
    <row r="113" spans="1:7" x14ac:dyDescent="0.3">
      <c r="A113"/>
      <c r="B113"/>
      <c r="C113"/>
      <c r="D113"/>
      <c r="E113"/>
      <c r="F113"/>
      <c r="G113"/>
    </row>
    <row r="114" spans="1:7" x14ac:dyDescent="0.3">
      <c r="A114"/>
      <c r="B114"/>
      <c r="C114"/>
      <c r="D114"/>
      <c r="E114"/>
      <c r="F114"/>
      <c r="G114"/>
    </row>
    <row r="115" spans="1:7" x14ac:dyDescent="0.3">
      <c r="A115"/>
      <c r="B115"/>
      <c r="C115"/>
      <c r="D115"/>
      <c r="E115"/>
      <c r="F115"/>
      <c r="G115"/>
    </row>
    <row r="116" spans="1:7" x14ac:dyDescent="0.3">
      <c r="A116"/>
      <c r="B116"/>
      <c r="C116"/>
      <c r="D116"/>
      <c r="E116"/>
      <c r="F116"/>
      <c r="G116"/>
    </row>
    <row r="117" spans="1:7" x14ac:dyDescent="0.3">
      <c r="A117"/>
      <c r="B117"/>
      <c r="C117"/>
      <c r="D117"/>
      <c r="E117"/>
      <c r="F117"/>
      <c r="G117"/>
    </row>
    <row r="118" spans="1:7" x14ac:dyDescent="0.3">
      <c r="A118"/>
      <c r="B118"/>
      <c r="C118"/>
      <c r="D118"/>
      <c r="E118"/>
      <c r="F118"/>
      <c r="G118"/>
    </row>
    <row r="119" spans="1:7" x14ac:dyDescent="0.3">
      <c r="A119"/>
      <c r="B119"/>
      <c r="C119"/>
      <c r="D119"/>
      <c r="E119"/>
      <c r="F119"/>
      <c r="G119"/>
    </row>
    <row r="120" spans="1:7" x14ac:dyDescent="0.3">
      <c r="A120"/>
      <c r="B120"/>
      <c r="C120"/>
      <c r="D120"/>
      <c r="E120"/>
      <c r="F120"/>
      <c r="G120"/>
    </row>
    <row r="121" spans="1:7" x14ac:dyDescent="0.3">
      <c r="A121"/>
      <c r="B121"/>
      <c r="C121"/>
      <c r="D121"/>
      <c r="E121"/>
      <c r="F121"/>
      <c r="G121"/>
    </row>
    <row r="122" spans="1:7" x14ac:dyDescent="0.3">
      <c r="A122"/>
      <c r="B122"/>
      <c r="C122"/>
      <c r="D122"/>
      <c r="E122"/>
      <c r="F122"/>
      <c r="G122"/>
    </row>
    <row r="123" spans="1:7" x14ac:dyDescent="0.3">
      <c r="A123"/>
      <c r="B123"/>
      <c r="C123"/>
      <c r="D123"/>
      <c r="E123"/>
      <c r="F123"/>
      <c r="G123"/>
    </row>
    <row r="124" spans="1:7" x14ac:dyDescent="0.3">
      <c r="A124"/>
      <c r="B124"/>
      <c r="C124"/>
      <c r="D124"/>
      <c r="E124"/>
      <c r="F124"/>
      <c r="G124"/>
    </row>
    <row r="125" spans="1:7" x14ac:dyDescent="0.3">
      <c r="A125"/>
      <c r="B125"/>
      <c r="C125"/>
      <c r="D125"/>
      <c r="E125"/>
      <c r="F125"/>
      <c r="G125"/>
    </row>
    <row r="126" spans="1:7" x14ac:dyDescent="0.3">
      <c r="A126"/>
      <c r="B126"/>
      <c r="C126"/>
      <c r="D126"/>
      <c r="E126"/>
      <c r="F126"/>
      <c r="G126"/>
    </row>
    <row r="127" spans="1:7" x14ac:dyDescent="0.3">
      <c r="A127"/>
      <c r="B127"/>
      <c r="C127"/>
      <c r="D127"/>
      <c r="E127"/>
      <c r="F127"/>
      <c r="G127"/>
    </row>
    <row r="128" spans="1:7" x14ac:dyDescent="0.3">
      <c r="A128"/>
      <c r="B128"/>
      <c r="C128"/>
      <c r="D128"/>
      <c r="E128"/>
      <c r="F128"/>
      <c r="G128"/>
    </row>
    <row r="129" spans="1:7" x14ac:dyDescent="0.3">
      <c r="A129"/>
      <c r="B129"/>
      <c r="C129"/>
      <c r="D129"/>
      <c r="E129"/>
      <c r="F129"/>
      <c r="G129"/>
    </row>
    <row r="130" spans="1:7" x14ac:dyDescent="0.3">
      <c r="A130"/>
      <c r="B130"/>
      <c r="C130"/>
      <c r="D130"/>
      <c r="E130"/>
      <c r="F130"/>
      <c r="G130"/>
    </row>
    <row r="131" spans="1:7" x14ac:dyDescent="0.3">
      <c r="A131"/>
      <c r="B131"/>
      <c r="C131"/>
      <c r="D131"/>
      <c r="E131"/>
      <c r="F131"/>
      <c r="G131"/>
    </row>
    <row r="132" spans="1:7" x14ac:dyDescent="0.3">
      <c r="A132"/>
      <c r="B132"/>
      <c r="C132"/>
      <c r="D132"/>
      <c r="E132"/>
      <c r="F132"/>
      <c r="G132"/>
    </row>
    <row r="133" spans="1:7" x14ac:dyDescent="0.3">
      <c r="A133"/>
      <c r="B133"/>
      <c r="C133"/>
      <c r="D133"/>
      <c r="E133"/>
      <c r="F133"/>
      <c r="G133"/>
    </row>
    <row r="134" spans="1:7" x14ac:dyDescent="0.3">
      <c r="A134"/>
      <c r="B134"/>
      <c r="C134"/>
      <c r="D134"/>
      <c r="E134"/>
      <c r="F134"/>
      <c r="G134"/>
    </row>
    <row r="135" spans="1:7" x14ac:dyDescent="0.3">
      <c r="A135"/>
      <c r="B135"/>
      <c r="C135"/>
      <c r="D135"/>
      <c r="E135"/>
      <c r="F135"/>
      <c r="G135"/>
    </row>
    <row r="136" spans="1:7" x14ac:dyDescent="0.3">
      <c r="A136"/>
      <c r="B136"/>
      <c r="C136"/>
      <c r="D136"/>
      <c r="E136"/>
      <c r="F136"/>
      <c r="G136"/>
    </row>
    <row r="137" spans="1:7" x14ac:dyDescent="0.3">
      <c r="A137"/>
      <c r="B137"/>
      <c r="C137"/>
      <c r="D137"/>
      <c r="E137"/>
      <c r="F137"/>
      <c r="G137"/>
    </row>
    <row r="138" spans="1:7" x14ac:dyDescent="0.3">
      <c r="A138"/>
      <c r="B138"/>
      <c r="C138"/>
      <c r="D138"/>
      <c r="E138"/>
      <c r="F138"/>
      <c r="G138"/>
    </row>
    <row r="139" spans="1:7" x14ac:dyDescent="0.3">
      <c r="A139"/>
      <c r="B139"/>
      <c r="C139"/>
      <c r="D139"/>
      <c r="E139"/>
      <c r="F139"/>
      <c r="G139"/>
    </row>
    <row r="140" spans="1:7" x14ac:dyDescent="0.3">
      <c r="A140"/>
      <c r="B140"/>
      <c r="C140"/>
      <c r="D140"/>
      <c r="E140"/>
      <c r="F140"/>
      <c r="G140"/>
    </row>
    <row r="141" spans="1:7" x14ac:dyDescent="0.3">
      <c r="A141"/>
      <c r="B141"/>
      <c r="C141"/>
      <c r="D141"/>
      <c r="E141"/>
      <c r="F141"/>
      <c r="G141"/>
    </row>
    <row r="142" spans="1:7" x14ac:dyDescent="0.3">
      <c r="A142"/>
      <c r="B142"/>
      <c r="C142"/>
      <c r="D142"/>
      <c r="E142"/>
      <c r="F142"/>
      <c r="G142"/>
    </row>
    <row r="143" spans="1:7" x14ac:dyDescent="0.3">
      <c r="A143"/>
      <c r="B143"/>
      <c r="C143"/>
      <c r="D143"/>
      <c r="E143"/>
      <c r="F143"/>
      <c r="G143"/>
    </row>
    <row r="144" spans="1:7" x14ac:dyDescent="0.3">
      <c r="A144"/>
      <c r="B144"/>
      <c r="C144"/>
      <c r="D144"/>
      <c r="E144"/>
      <c r="F144"/>
      <c r="G144"/>
    </row>
    <row r="145" spans="1:7" x14ac:dyDescent="0.3">
      <c r="A145"/>
      <c r="B145"/>
      <c r="C145"/>
      <c r="D145"/>
      <c r="E145"/>
      <c r="F145"/>
      <c r="G145"/>
    </row>
    <row r="146" spans="1:7" x14ac:dyDescent="0.3">
      <c r="A146"/>
      <c r="B146"/>
      <c r="C146"/>
      <c r="D146"/>
      <c r="E146"/>
      <c r="F146"/>
      <c r="G146"/>
    </row>
    <row r="147" spans="1:7" x14ac:dyDescent="0.3">
      <c r="A147"/>
      <c r="B147"/>
      <c r="C147"/>
      <c r="D147"/>
      <c r="E147"/>
      <c r="F147"/>
      <c r="G147"/>
    </row>
    <row r="148" spans="1:7" x14ac:dyDescent="0.3">
      <c r="A148"/>
      <c r="B148"/>
      <c r="C148"/>
      <c r="D148"/>
      <c r="E148"/>
      <c r="F148"/>
      <c r="G148"/>
    </row>
    <row r="149" spans="1:7" x14ac:dyDescent="0.3">
      <c r="A149"/>
      <c r="B149"/>
      <c r="C149"/>
      <c r="D149"/>
      <c r="E149"/>
      <c r="F149"/>
      <c r="G149"/>
    </row>
    <row r="150" spans="1:7" x14ac:dyDescent="0.3">
      <c r="A150"/>
      <c r="B150"/>
      <c r="C150"/>
      <c r="D150"/>
      <c r="E150"/>
      <c r="F150"/>
      <c r="G150"/>
    </row>
    <row r="151" spans="1:7" x14ac:dyDescent="0.3">
      <c r="A151"/>
      <c r="B151"/>
      <c r="C151"/>
      <c r="D151"/>
      <c r="E151"/>
      <c r="F151"/>
      <c r="G151"/>
    </row>
    <row r="152" spans="1:7" x14ac:dyDescent="0.3">
      <c r="A152"/>
      <c r="B152"/>
      <c r="C152"/>
      <c r="D152"/>
      <c r="E152"/>
      <c r="F152"/>
      <c r="G152"/>
    </row>
    <row r="153" spans="1:7" x14ac:dyDescent="0.3">
      <c r="A153"/>
      <c r="B153"/>
      <c r="C153"/>
      <c r="D153"/>
      <c r="E153"/>
      <c r="F153"/>
      <c r="G153"/>
    </row>
    <row r="154" spans="1:7" x14ac:dyDescent="0.3">
      <c r="A154"/>
      <c r="B154"/>
      <c r="C154"/>
      <c r="D154"/>
      <c r="E154"/>
      <c r="F154"/>
      <c r="G154"/>
    </row>
    <row r="155" spans="1:7" x14ac:dyDescent="0.3">
      <c r="A155"/>
      <c r="B155"/>
      <c r="C155"/>
      <c r="D155"/>
      <c r="E155"/>
      <c r="F155"/>
      <c r="G155"/>
    </row>
    <row r="156" spans="1:7" x14ac:dyDescent="0.3">
      <c r="A156"/>
      <c r="B156"/>
      <c r="C156"/>
      <c r="D156"/>
      <c r="E156"/>
      <c r="F156"/>
      <c r="G156"/>
    </row>
    <row r="157" spans="1:7" x14ac:dyDescent="0.3">
      <c r="A157"/>
      <c r="B157"/>
      <c r="C157"/>
      <c r="D157"/>
      <c r="E157"/>
      <c r="F157"/>
      <c r="G157"/>
    </row>
    <row r="158" spans="1:7" x14ac:dyDescent="0.3">
      <c r="A158"/>
      <c r="B158"/>
      <c r="C158"/>
      <c r="D158"/>
      <c r="E158"/>
      <c r="F158"/>
      <c r="G158"/>
    </row>
    <row r="159" spans="1:7" x14ac:dyDescent="0.3">
      <c r="A159"/>
      <c r="B159"/>
      <c r="C159"/>
      <c r="D159"/>
      <c r="E159"/>
      <c r="F159"/>
      <c r="G159"/>
    </row>
    <row r="160" spans="1:7" x14ac:dyDescent="0.3">
      <c r="A160"/>
      <c r="B160"/>
      <c r="C160"/>
      <c r="D160"/>
      <c r="E160"/>
      <c r="F160"/>
      <c r="G160"/>
    </row>
    <row r="161" spans="1:7" x14ac:dyDescent="0.3">
      <c r="A161"/>
      <c r="B161"/>
      <c r="C161"/>
      <c r="D161"/>
      <c r="E161"/>
      <c r="F161"/>
      <c r="G161"/>
    </row>
    <row r="162" spans="1:7" x14ac:dyDescent="0.3">
      <c r="A162"/>
      <c r="B162"/>
      <c r="C162"/>
      <c r="D162"/>
      <c r="E162"/>
      <c r="F162"/>
      <c r="G162"/>
    </row>
    <row r="163" spans="1:7" x14ac:dyDescent="0.3">
      <c r="A163"/>
      <c r="B163"/>
      <c r="C163"/>
      <c r="D163"/>
      <c r="E163"/>
      <c r="F163"/>
      <c r="G163"/>
    </row>
    <row r="164" spans="1:7" x14ac:dyDescent="0.3">
      <c r="A164"/>
      <c r="B164"/>
      <c r="C164"/>
      <c r="D164"/>
      <c r="E164"/>
      <c r="F164"/>
      <c r="G164"/>
    </row>
    <row r="165" spans="1:7" x14ac:dyDescent="0.3">
      <c r="A165"/>
      <c r="B165"/>
      <c r="C165"/>
      <c r="D165"/>
      <c r="E165"/>
      <c r="F165"/>
      <c r="G165"/>
    </row>
    <row r="166" spans="1:7" x14ac:dyDescent="0.3">
      <c r="A166"/>
      <c r="B166"/>
      <c r="C166"/>
      <c r="D166"/>
      <c r="E166"/>
      <c r="F166"/>
      <c r="G166"/>
    </row>
    <row r="167" spans="1:7" x14ac:dyDescent="0.3">
      <c r="A167"/>
      <c r="B167"/>
      <c r="C167"/>
      <c r="D167"/>
      <c r="E167"/>
      <c r="F167"/>
      <c r="G167"/>
    </row>
    <row r="168" spans="1:7" x14ac:dyDescent="0.3">
      <c r="A168"/>
      <c r="B168"/>
      <c r="C168"/>
      <c r="D168"/>
      <c r="E168"/>
      <c r="F168"/>
      <c r="G168"/>
    </row>
    <row r="169" spans="1:7" x14ac:dyDescent="0.3">
      <c r="A169"/>
      <c r="B169"/>
      <c r="C169"/>
      <c r="D169"/>
      <c r="E169"/>
      <c r="F169"/>
      <c r="G169"/>
    </row>
    <row r="170" spans="1:7" x14ac:dyDescent="0.3">
      <c r="A170"/>
      <c r="B170"/>
      <c r="C170"/>
      <c r="D170"/>
      <c r="E170"/>
      <c r="F170"/>
      <c r="G170"/>
    </row>
    <row r="171" spans="1:7" x14ac:dyDescent="0.3">
      <c r="A171"/>
      <c r="B171"/>
      <c r="C171"/>
      <c r="D171"/>
      <c r="E171"/>
      <c r="F171"/>
      <c r="G171"/>
    </row>
    <row r="172" spans="1:7" x14ac:dyDescent="0.3">
      <c r="A172"/>
      <c r="B172"/>
      <c r="C172"/>
      <c r="D172"/>
      <c r="E172"/>
      <c r="F172"/>
      <c r="G172"/>
    </row>
  </sheetData>
  <mergeCells count="1">
    <mergeCell ref="A4:B4"/>
  </mergeCell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Languages</vt:lpstr>
      <vt:lpstr>Data</vt:lpstr>
      <vt:lpstr>Report</vt:lpstr>
      <vt:lpstr>Processor</vt:lpstr>
      <vt:lpstr>Summary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Aakash Dubey</cp:lastModifiedBy>
  <dcterms:created xsi:type="dcterms:W3CDTF">2009-12-18T16:48:08Z</dcterms:created>
  <dcterms:modified xsi:type="dcterms:W3CDTF">2022-10-27T14:13:03Z</dcterms:modified>
</cp:coreProperties>
</file>