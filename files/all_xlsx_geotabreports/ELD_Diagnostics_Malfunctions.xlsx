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kashdubey\Desktop\"/>
    </mc:Choice>
  </mc:AlternateContent>
  <xr:revisionPtr revIDLastSave="0" documentId="13_ncr:1_{0BD38A44-727F-445F-B27A-BE07191B8E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otal Count Graph" sheetId="7" r:id="rId1"/>
    <sheet name="Active" sheetId="11" r:id="rId2"/>
    <sheet name="Malfunctions" sheetId="12" r:id="rId3"/>
    <sheet name="Summary" sheetId="4" r:id="rId4"/>
    <sheet name="Data" sheetId="1" state="hidden" r:id="rId5"/>
    <sheet name="Report" sheetId="3" state="hidden" r:id="rId6"/>
    <sheet name="Languages" sheetId="5" state="hidden" r:id="rId7"/>
  </sheets>
  <definedNames>
    <definedName name="_xlnm._FilterDatabase" localSheetId="5" hidden="1">Report!$A$12:$Q$260</definedName>
    <definedName name="AllData">Report!$A$12:$Q$260</definedName>
  </definedNames>
  <calcPr calcId="191029"/>
  <pivotCaches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11" l="1"/>
  <c r="B6" i="11"/>
  <c r="B5" i="11"/>
  <c r="A2" i="11"/>
  <c r="C1" i="11"/>
  <c r="B9" i="12"/>
  <c r="B6" i="12"/>
  <c r="B5" i="12"/>
  <c r="A2" i="12"/>
  <c r="C1" i="12"/>
  <c r="B7" i="11" l="1"/>
  <c r="B7" i="12"/>
  <c r="B9" i="4" l="1"/>
  <c r="B6" i="4"/>
  <c r="B5" i="4"/>
  <c r="A2" i="4"/>
  <c r="C1" i="4"/>
  <c r="B7" i="4" l="1"/>
  <c r="B9" i="3" l="1"/>
  <c r="C25" i="3" l="1"/>
  <c r="C16" i="7" l="1"/>
  <c r="B16" i="7"/>
  <c r="Q260" i="3"/>
  <c r="P260" i="3"/>
  <c r="O260" i="3"/>
  <c r="N260" i="3"/>
  <c r="M260" i="3"/>
  <c r="I260" i="3"/>
  <c r="G260" i="3" s="1"/>
  <c r="L260" i="3" s="1"/>
  <c r="C260" i="3"/>
  <c r="D260" i="3" s="1"/>
  <c r="B260" i="3"/>
  <c r="A260" i="3"/>
  <c r="Q259" i="3"/>
  <c r="P259" i="3"/>
  <c r="O259" i="3"/>
  <c r="N259" i="3"/>
  <c r="M259" i="3"/>
  <c r="I259" i="3"/>
  <c r="G259" i="3" s="1"/>
  <c r="L259" i="3" s="1"/>
  <c r="C259" i="3"/>
  <c r="D259" i="3" s="1"/>
  <c r="B259" i="3"/>
  <c r="A259" i="3"/>
  <c r="Q258" i="3"/>
  <c r="P258" i="3"/>
  <c r="O258" i="3"/>
  <c r="N258" i="3"/>
  <c r="M258" i="3"/>
  <c r="I258" i="3"/>
  <c r="G258" i="3" s="1"/>
  <c r="L258" i="3" s="1"/>
  <c r="C258" i="3"/>
  <c r="D258" i="3" s="1"/>
  <c r="B258" i="3"/>
  <c r="A258" i="3"/>
  <c r="Q257" i="3"/>
  <c r="P257" i="3"/>
  <c r="O257" i="3"/>
  <c r="N257" i="3"/>
  <c r="M257" i="3"/>
  <c r="I257" i="3"/>
  <c r="G257" i="3" s="1"/>
  <c r="L257" i="3" s="1"/>
  <c r="C257" i="3"/>
  <c r="D257" i="3" s="1"/>
  <c r="B257" i="3"/>
  <c r="A257" i="3"/>
  <c r="Q256" i="3"/>
  <c r="P256" i="3"/>
  <c r="O256" i="3"/>
  <c r="N256" i="3"/>
  <c r="M256" i="3"/>
  <c r="I256" i="3"/>
  <c r="G256" i="3" s="1"/>
  <c r="L256" i="3" s="1"/>
  <c r="C256" i="3"/>
  <c r="D256" i="3" s="1"/>
  <c r="B256" i="3"/>
  <c r="A256" i="3"/>
  <c r="Q255" i="3"/>
  <c r="P255" i="3"/>
  <c r="O255" i="3"/>
  <c r="N255" i="3"/>
  <c r="M255" i="3"/>
  <c r="I255" i="3"/>
  <c r="G255" i="3" s="1"/>
  <c r="L255" i="3" s="1"/>
  <c r="C255" i="3"/>
  <c r="D255" i="3" s="1"/>
  <c r="B255" i="3"/>
  <c r="A255" i="3"/>
  <c r="Q254" i="3"/>
  <c r="P254" i="3"/>
  <c r="O254" i="3"/>
  <c r="N254" i="3"/>
  <c r="M254" i="3"/>
  <c r="I254" i="3"/>
  <c r="G254" i="3" s="1"/>
  <c r="L254" i="3" s="1"/>
  <c r="C254" i="3"/>
  <c r="D254" i="3" s="1"/>
  <c r="B254" i="3"/>
  <c r="A254" i="3"/>
  <c r="Q253" i="3"/>
  <c r="P253" i="3"/>
  <c r="O253" i="3"/>
  <c r="N253" i="3"/>
  <c r="M253" i="3"/>
  <c r="I253" i="3"/>
  <c r="G253" i="3" s="1"/>
  <c r="L253" i="3" s="1"/>
  <c r="C253" i="3"/>
  <c r="D253" i="3" s="1"/>
  <c r="B253" i="3"/>
  <c r="A253" i="3"/>
  <c r="Q252" i="3"/>
  <c r="P252" i="3"/>
  <c r="O252" i="3"/>
  <c r="N252" i="3"/>
  <c r="M252" i="3"/>
  <c r="I252" i="3"/>
  <c r="G252" i="3" s="1"/>
  <c r="L252" i="3" s="1"/>
  <c r="C252" i="3"/>
  <c r="D252" i="3" s="1"/>
  <c r="B252" i="3"/>
  <c r="A252" i="3"/>
  <c r="Q251" i="3"/>
  <c r="P251" i="3"/>
  <c r="O251" i="3"/>
  <c r="N251" i="3"/>
  <c r="M251" i="3"/>
  <c r="I251" i="3"/>
  <c r="G251" i="3" s="1"/>
  <c r="L251" i="3" s="1"/>
  <c r="C251" i="3"/>
  <c r="D251" i="3" s="1"/>
  <c r="B251" i="3"/>
  <c r="A251" i="3"/>
  <c r="Q250" i="3"/>
  <c r="P250" i="3"/>
  <c r="O250" i="3"/>
  <c r="N250" i="3"/>
  <c r="M250" i="3"/>
  <c r="I250" i="3"/>
  <c r="G250" i="3" s="1"/>
  <c r="L250" i="3" s="1"/>
  <c r="C250" i="3"/>
  <c r="D250" i="3" s="1"/>
  <c r="B250" i="3"/>
  <c r="A250" i="3"/>
  <c r="Q249" i="3"/>
  <c r="P249" i="3"/>
  <c r="O249" i="3"/>
  <c r="N249" i="3"/>
  <c r="M249" i="3"/>
  <c r="I249" i="3"/>
  <c r="G249" i="3" s="1"/>
  <c r="L249" i="3" s="1"/>
  <c r="C249" i="3"/>
  <c r="D249" i="3" s="1"/>
  <c r="B249" i="3"/>
  <c r="A249" i="3"/>
  <c r="Q248" i="3"/>
  <c r="P248" i="3"/>
  <c r="O248" i="3"/>
  <c r="N248" i="3"/>
  <c r="M248" i="3"/>
  <c r="I248" i="3"/>
  <c r="G248" i="3" s="1"/>
  <c r="L248" i="3" s="1"/>
  <c r="C248" i="3"/>
  <c r="D248" i="3" s="1"/>
  <c r="B248" i="3"/>
  <c r="A248" i="3"/>
  <c r="Q247" i="3"/>
  <c r="P247" i="3"/>
  <c r="O247" i="3"/>
  <c r="N247" i="3"/>
  <c r="M247" i="3"/>
  <c r="I247" i="3"/>
  <c r="G247" i="3" s="1"/>
  <c r="L247" i="3" s="1"/>
  <c r="C247" i="3"/>
  <c r="D247" i="3" s="1"/>
  <c r="B247" i="3"/>
  <c r="A247" i="3"/>
  <c r="Q246" i="3"/>
  <c r="P246" i="3"/>
  <c r="O246" i="3"/>
  <c r="N246" i="3"/>
  <c r="M246" i="3"/>
  <c r="I246" i="3"/>
  <c r="G246" i="3" s="1"/>
  <c r="L246" i="3" s="1"/>
  <c r="C246" i="3"/>
  <c r="D246" i="3" s="1"/>
  <c r="B246" i="3"/>
  <c r="A246" i="3"/>
  <c r="Q245" i="3"/>
  <c r="P245" i="3"/>
  <c r="O245" i="3"/>
  <c r="N245" i="3"/>
  <c r="M245" i="3"/>
  <c r="I245" i="3"/>
  <c r="G245" i="3" s="1"/>
  <c r="L245" i="3" s="1"/>
  <c r="C245" i="3"/>
  <c r="D245" i="3" s="1"/>
  <c r="B245" i="3"/>
  <c r="A245" i="3"/>
  <c r="Q244" i="3"/>
  <c r="P244" i="3"/>
  <c r="O244" i="3"/>
  <c r="N244" i="3"/>
  <c r="M244" i="3"/>
  <c r="I244" i="3"/>
  <c r="G244" i="3" s="1"/>
  <c r="L244" i="3" s="1"/>
  <c r="C244" i="3"/>
  <c r="D244" i="3" s="1"/>
  <c r="B244" i="3"/>
  <c r="A244" i="3"/>
  <c r="Q243" i="3"/>
  <c r="P243" i="3"/>
  <c r="O243" i="3"/>
  <c r="N243" i="3"/>
  <c r="M243" i="3"/>
  <c r="I243" i="3"/>
  <c r="G243" i="3" s="1"/>
  <c r="L243" i="3" s="1"/>
  <c r="C243" i="3"/>
  <c r="D243" i="3" s="1"/>
  <c r="B243" i="3"/>
  <c r="A243" i="3"/>
  <c r="Q242" i="3"/>
  <c r="P242" i="3"/>
  <c r="O242" i="3"/>
  <c r="N242" i="3"/>
  <c r="M242" i="3"/>
  <c r="I242" i="3"/>
  <c r="G242" i="3" s="1"/>
  <c r="L242" i="3" s="1"/>
  <c r="C242" i="3"/>
  <c r="D242" i="3" s="1"/>
  <c r="B242" i="3"/>
  <c r="A242" i="3"/>
  <c r="Q241" i="3"/>
  <c r="P241" i="3"/>
  <c r="O241" i="3"/>
  <c r="N241" i="3"/>
  <c r="M241" i="3"/>
  <c r="I241" i="3"/>
  <c r="G241" i="3" s="1"/>
  <c r="L241" i="3" s="1"/>
  <c r="C241" i="3"/>
  <c r="D241" i="3" s="1"/>
  <c r="B241" i="3"/>
  <c r="A241" i="3"/>
  <c r="Q240" i="3"/>
  <c r="P240" i="3"/>
  <c r="O240" i="3"/>
  <c r="N240" i="3"/>
  <c r="M240" i="3"/>
  <c r="I240" i="3"/>
  <c r="G240" i="3" s="1"/>
  <c r="L240" i="3" s="1"/>
  <c r="C240" i="3"/>
  <c r="D240" i="3" s="1"/>
  <c r="B240" i="3"/>
  <c r="A240" i="3"/>
  <c r="Q239" i="3"/>
  <c r="P239" i="3"/>
  <c r="O239" i="3"/>
  <c r="N239" i="3"/>
  <c r="M239" i="3"/>
  <c r="I239" i="3"/>
  <c r="G239" i="3" s="1"/>
  <c r="L239" i="3" s="1"/>
  <c r="C239" i="3"/>
  <c r="D239" i="3" s="1"/>
  <c r="B239" i="3"/>
  <c r="A239" i="3"/>
  <c r="Q238" i="3"/>
  <c r="P238" i="3"/>
  <c r="O238" i="3"/>
  <c r="N238" i="3"/>
  <c r="M238" i="3"/>
  <c r="I238" i="3"/>
  <c r="G238" i="3" s="1"/>
  <c r="L238" i="3" s="1"/>
  <c r="C238" i="3"/>
  <c r="D238" i="3" s="1"/>
  <c r="B238" i="3"/>
  <c r="A238" i="3"/>
  <c r="Q237" i="3"/>
  <c r="P237" i="3"/>
  <c r="O237" i="3"/>
  <c r="N237" i="3"/>
  <c r="M237" i="3"/>
  <c r="I237" i="3"/>
  <c r="G237" i="3" s="1"/>
  <c r="L237" i="3" s="1"/>
  <c r="C237" i="3"/>
  <c r="D237" i="3" s="1"/>
  <c r="B237" i="3"/>
  <c r="A237" i="3"/>
  <c r="Q236" i="3"/>
  <c r="P236" i="3"/>
  <c r="O236" i="3"/>
  <c r="N236" i="3"/>
  <c r="M236" i="3"/>
  <c r="I236" i="3"/>
  <c r="G236" i="3" s="1"/>
  <c r="L236" i="3" s="1"/>
  <c r="C236" i="3"/>
  <c r="D236" i="3" s="1"/>
  <c r="B236" i="3"/>
  <c r="A236" i="3"/>
  <c r="Q235" i="3"/>
  <c r="P235" i="3"/>
  <c r="O235" i="3"/>
  <c r="N235" i="3"/>
  <c r="M235" i="3"/>
  <c r="I235" i="3"/>
  <c r="G235" i="3" s="1"/>
  <c r="L235" i="3" s="1"/>
  <c r="C235" i="3"/>
  <c r="D235" i="3" s="1"/>
  <c r="B235" i="3"/>
  <c r="A235" i="3"/>
  <c r="Q234" i="3"/>
  <c r="P234" i="3"/>
  <c r="O234" i="3"/>
  <c r="N234" i="3"/>
  <c r="M234" i="3"/>
  <c r="I234" i="3"/>
  <c r="G234" i="3" s="1"/>
  <c r="L234" i="3" s="1"/>
  <c r="C234" i="3"/>
  <c r="D234" i="3" s="1"/>
  <c r="B234" i="3"/>
  <c r="A234" i="3"/>
  <c r="Q233" i="3"/>
  <c r="P233" i="3"/>
  <c r="O233" i="3"/>
  <c r="N233" i="3"/>
  <c r="M233" i="3"/>
  <c r="I233" i="3"/>
  <c r="G233" i="3" s="1"/>
  <c r="L233" i="3" s="1"/>
  <c r="C233" i="3"/>
  <c r="D233" i="3" s="1"/>
  <c r="B233" i="3"/>
  <c r="A233" i="3"/>
  <c r="Q232" i="3"/>
  <c r="P232" i="3"/>
  <c r="O232" i="3"/>
  <c r="N232" i="3"/>
  <c r="M232" i="3"/>
  <c r="I232" i="3"/>
  <c r="G232" i="3" s="1"/>
  <c r="L232" i="3" s="1"/>
  <c r="C232" i="3"/>
  <c r="D232" i="3" s="1"/>
  <c r="B232" i="3"/>
  <c r="A232" i="3"/>
  <c r="Q231" i="3"/>
  <c r="P231" i="3"/>
  <c r="O231" i="3"/>
  <c r="N231" i="3"/>
  <c r="M231" i="3"/>
  <c r="I231" i="3"/>
  <c r="G231" i="3" s="1"/>
  <c r="L231" i="3" s="1"/>
  <c r="C231" i="3"/>
  <c r="D231" i="3" s="1"/>
  <c r="B231" i="3"/>
  <c r="A231" i="3"/>
  <c r="Q230" i="3"/>
  <c r="P230" i="3"/>
  <c r="O230" i="3"/>
  <c r="N230" i="3"/>
  <c r="M230" i="3"/>
  <c r="I230" i="3"/>
  <c r="G230" i="3" s="1"/>
  <c r="L230" i="3" s="1"/>
  <c r="C230" i="3"/>
  <c r="D230" i="3" s="1"/>
  <c r="B230" i="3"/>
  <c r="A230" i="3"/>
  <c r="Q229" i="3"/>
  <c r="P229" i="3"/>
  <c r="O229" i="3"/>
  <c r="N229" i="3"/>
  <c r="M229" i="3"/>
  <c r="I229" i="3"/>
  <c r="G229" i="3" s="1"/>
  <c r="L229" i="3" s="1"/>
  <c r="C229" i="3"/>
  <c r="D229" i="3" s="1"/>
  <c r="B229" i="3"/>
  <c r="A229" i="3"/>
  <c r="Q228" i="3"/>
  <c r="P228" i="3"/>
  <c r="O228" i="3"/>
  <c r="N228" i="3"/>
  <c r="M228" i="3"/>
  <c r="I228" i="3"/>
  <c r="G228" i="3" s="1"/>
  <c r="L228" i="3" s="1"/>
  <c r="C228" i="3"/>
  <c r="D228" i="3" s="1"/>
  <c r="B228" i="3"/>
  <c r="A228" i="3"/>
  <c r="Q227" i="3"/>
  <c r="P227" i="3"/>
  <c r="O227" i="3"/>
  <c r="N227" i="3"/>
  <c r="M227" i="3"/>
  <c r="I227" i="3"/>
  <c r="G227" i="3" s="1"/>
  <c r="L227" i="3" s="1"/>
  <c r="C227" i="3"/>
  <c r="D227" i="3" s="1"/>
  <c r="B227" i="3"/>
  <c r="A227" i="3"/>
  <c r="Q226" i="3"/>
  <c r="P226" i="3"/>
  <c r="O226" i="3"/>
  <c r="N226" i="3"/>
  <c r="M226" i="3"/>
  <c r="I226" i="3"/>
  <c r="G226" i="3" s="1"/>
  <c r="L226" i="3" s="1"/>
  <c r="C226" i="3"/>
  <c r="D226" i="3" s="1"/>
  <c r="B226" i="3"/>
  <c r="A226" i="3"/>
  <c r="Q225" i="3"/>
  <c r="P225" i="3"/>
  <c r="O225" i="3"/>
  <c r="N225" i="3"/>
  <c r="M225" i="3"/>
  <c r="I225" i="3"/>
  <c r="G225" i="3" s="1"/>
  <c r="L225" i="3" s="1"/>
  <c r="C225" i="3"/>
  <c r="D225" i="3" s="1"/>
  <c r="B225" i="3"/>
  <c r="A225" i="3"/>
  <c r="Q224" i="3"/>
  <c r="P224" i="3"/>
  <c r="O224" i="3"/>
  <c r="N224" i="3"/>
  <c r="M224" i="3"/>
  <c r="I224" i="3"/>
  <c r="G224" i="3" s="1"/>
  <c r="L224" i="3" s="1"/>
  <c r="C224" i="3"/>
  <c r="D224" i="3" s="1"/>
  <c r="B224" i="3"/>
  <c r="A224" i="3"/>
  <c r="Q223" i="3"/>
  <c r="P223" i="3"/>
  <c r="O223" i="3"/>
  <c r="N223" i="3"/>
  <c r="M223" i="3"/>
  <c r="I223" i="3"/>
  <c r="G223" i="3" s="1"/>
  <c r="L223" i="3" s="1"/>
  <c r="C223" i="3"/>
  <c r="D223" i="3" s="1"/>
  <c r="B223" i="3"/>
  <c r="A223" i="3"/>
  <c r="Q222" i="3"/>
  <c r="P222" i="3"/>
  <c r="O222" i="3"/>
  <c r="N222" i="3"/>
  <c r="M222" i="3"/>
  <c r="I222" i="3"/>
  <c r="G222" i="3" s="1"/>
  <c r="L222" i="3" s="1"/>
  <c r="C222" i="3"/>
  <c r="D222" i="3" s="1"/>
  <c r="B222" i="3"/>
  <c r="A222" i="3"/>
  <c r="Q221" i="3"/>
  <c r="P221" i="3"/>
  <c r="O221" i="3"/>
  <c r="N221" i="3"/>
  <c r="M221" i="3"/>
  <c r="I221" i="3"/>
  <c r="G221" i="3" s="1"/>
  <c r="L221" i="3" s="1"/>
  <c r="C221" i="3"/>
  <c r="D221" i="3" s="1"/>
  <c r="B221" i="3"/>
  <c r="A221" i="3"/>
  <c r="Q220" i="3"/>
  <c r="P220" i="3"/>
  <c r="O220" i="3"/>
  <c r="N220" i="3"/>
  <c r="M220" i="3"/>
  <c r="I220" i="3"/>
  <c r="G220" i="3" s="1"/>
  <c r="L220" i="3" s="1"/>
  <c r="C220" i="3"/>
  <c r="D220" i="3" s="1"/>
  <c r="B220" i="3"/>
  <c r="A220" i="3"/>
  <c r="Q219" i="3"/>
  <c r="P219" i="3"/>
  <c r="O219" i="3"/>
  <c r="N219" i="3"/>
  <c r="M219" i="3"/>
  <c r="I219" i="3"/>
  <c r="G219" i="3" s="1"/>
  <c r="L219" i="3" s="1"/>
  <c r="C219" i="3"/>
  <c r="D219" i="3" s="1"/>
  <c r="B219" i="3"/>
  <c r="A219" i="3"/>
  <c r="Q218" i="3"/>
  <c r="P218" i="3"/>
  <c r="O218" i="3"/>
  <c r="N218" i="3"/>
  <c r="M218" i="3"/>
  <c r="I218" i="3"/>
  <c r="G218" i="3" s="1"/>
  <c r="L218" i="3" s="1"/>
  <c r="C218" i="3"/>
  <c r="D218" i="3" s="1"/>
  <c r="B218" i="3"/>
  <c r="A218" i="3"/>
  <c r="Q217" i="3"/>
  <c r="P217" i="3"/>
  <c r="O217" i="3"/>
  <c r="N217" i="3"/>
  <c r="M217" i="3"/>
  <c r="I217" i="3"/>
  <c r="G217" i="3" s="1"/>
  <c r="L217" i="3" s="1"/>
  <c r="C217" i="3"/>
  <c r="D217" i="3" s="1"/>
  <c r="B217" i="3"/>
  <c r="A217" i="3"/>
  <c r="Q216" i="3"/>
  <c r="P216" i="3"/>
  <c r="O216" i="3"/>
  <c r="N216" i="3"/>
  <c r="M216" i="3"/>
  <c r="I216" i="3"/>
  <c r="G216" i="3" s="1"/>
  <c r="L216" i="3" s="1"/>
  <c r="C216" i="3"/>
  <c r="D216" i="3" s="1"/>
  <c r="B216" i="3"/>
  <c r="A216" i="3"/>
  <c r="Q215" i="3"/>
  <c r="P215" i="3"/>
  <c r="O215" i="3"/>
  <c r="N215" i="3"/>
  <c r="M215" i="3"/>
  <c r="I215" i="3"/>
  <c r="G215" i="3" s="1"/>
  <c r="L215" i="3" s="1"/>
  <c r="C215" i="3"/>
  <c r="D215" i="3" s="1"/>
  <c r="B215" i="3"/>
  <c r="A215" i="3"/>
  <c r="Q214" i="3"/>
  <c r="P214" i="3"/>
  <c r="O214" i="3"/>
  <c r="N214" i="3"/>
  <c r="M214" i="3"/>
  <c r="I214" i="3"/>
  <c r="G214" i="3" s="1"/>
  <c r="L214" i="3" s="1"/>
  <c r="C214" i="3"/>
  <c r="D214" i="3" s="1"/>
  <c r="B214" i="3"/>
  <c r="A214" i="3"/>
  <c r="Q213" i="3"/>
  <c r="P213" i="3"/>
  <c r="O213" i="3"/>
  <c r="N213" i="3"/>
  <c r="M213" i="3"/>
  <c r="I213" i="3"/>
  <c r="G213" i="3" s="1"/>
  <c r="L213" i="3" s="1"/>
  <c r="C213" i="3"/>
  <c r="D213" i="3" s="1"/>
  <c r="B213" i="3"/>
  <c r="A213" i="3"/>
  <c r="Q212" i="3"/>
  <c r="P212" i="3"/>
  <c r="O212" i="3"/>
  <c r="N212" i="3"/>
  <c r="M212" i="3"/>
  <c r="I212" i="3"/>
  <c r="G212" i="3" s="1"/>
  <c r="L212" i="3" s="1"/>
  <c r="C212" i="3"/>
  <c r="D212" i="3" s="1"/>
  <c r="B212" i="3"/>
  <c r="A212" i="3"/>
  <c r="Q211" i="3"/>
  <c r="P211" i="3"/>
  <c r="O211" i="3"/>
  <c r="N211" i="3"/>
  <c r="M211" i="3"/>
  <c r="I211" i="3"/>
  <c r="G211" i="3" s="1"/>
  <c r="L211" i="3" s="1"/>
  <c r="C211" i="3"/>
  <c r="D211" i="3" s="1"/>
  <c r="B211" i="3"/>
  <c r="A211" i="3"/>
  <c r="Q210" i="3"/>
  <c r="P210" i="3"/>
  <c r="O210" i="3"/>
  <c r="N210" i="3"/>
  <c r="M210" i="3"/>
  <c r="I210" i="3"/>
  <c r="G210" i="3" s="1"/>
  <c r="L210" i="3" s="1"/>
  <c r="C210" i="3"/>
  <c r="D210" i="3" s="1"/>
  <c r="B210" i="3"/>
  <c r="A210" i="3"/>
  <c r="Q209" i="3"/>
  <c r="P209" i="3"/>
  <c r="O209" i="3"/>
  <c r="N209" i="3"/>
  <c r="M209" i="3"/>
  <c r="I209" i="3"/>
  <c r="G209" i="3" s="1"/>
  <c r="L209" i="3" s="1"/>
  <c r="C209" i="3"/>
  <c r="D209" i="3" s="1"/>
  <c r="B209" i="3"/>
  <c r="A209" i="3"/>
  <c r="Q208" i="3"/>
  <c r="P208" i="3"/>
  <c r="O208" i="3"/>
  <c r="N208" i="3"/>
  <c r="M208" i="3"/>
  <c r="I208" i="3"/>
  <c r="G208" i="3" s="1"/>
  <c r="L208" i="3" s="1"/>
  <c r="C208" i="3"/>
  <c r="D208" i="3" s="1"/>
  <c r="B208" i="3"/>
  <c r="A208" i="3"/>
  <c r="Q207" i="3"/>
  <c r="P207" i="3"/>
  <c r="O207" i="3"/>
  <c r="N207" i="3"/>
  <c r="M207" i="3"/>
  <c r="I207" i="3"/>
  <c r="G207" i="3" s="1"/>
  <c r="L207" i="3" s="1"/>
  <c r="C207" i="3"/>
  <c r="D207" i="3" s="1"/>
  <c r="B207" i="3"/>
  <c r="A207" i="3"/>
  <c r="Q206" i="3"/>
  <c r="P206" i="3"/>
  <c r="O206" i="3"/>
  <c r="N206" i="3"/>
  <c r="M206" i="3"/>
  <c r="I206" i="3"/>
  <c r="G206" i="3" s="1"/>
  <c r="L206" i="3" s="1"/>
  <c r="C206" i="3"/>
  <c r="D206" i="3" s="1"/>
  <c r="B206" i="3"/>
  <c r="A206" i="3"/>
  <c r="Q205" i="3"/>
  <c r="P205" i="3"/>
  <c r="O205" i="3"/>
  <c r="N205" i="3"/>
  <c r="M205" i="3"/>
  <c r="I205" i="3"/>
  <c r="G205" i="3" s="1"/>
  <c r="L205" i="3" s="1"/>
  <c r="C205" i="3"/>
  <c r="D205" i="3" s="1"/>
  <c r="B205" i="3"/>
  <c r="A205" i="3"/>
  <c r="Q204" i="3"/>
  <c r="P204" i="3"/>
  <c r="O204" i="3"/>
  <c r="N204" i="3"/>
  <c r="M204" i="3"/>
  <c r="I204" i="3"/>
  <c r="G204" i="3" s="1"/>
  <c r="L204" i="3" s="1"/>
  <c r="C204" i="3"/>
  <c r="D204" i="3" s="1"/>
  <c r="B204" i="3"/>
  <c r="A204" i="3"/>
  <c r="Q203" i="3"/>
  <c r="P203" i="3"/>
  <c r="O203" i="3"/>
  <c r="N203" i="3"/>
  <c r="M203" i="3"/>
  <c r="I203" i="3"/>
  <c r="G203" i="3" s="1"/>
  <c r="L203" i="3" s="1"/>
  <c r="C203" i="3"/>
  <c r="D203" i="3" s="1"/>
  <c r="B203" i="3"/>
  <c r="A203" i="3"/>
  <c r="Q202" i="3"/>
  <c r="P202" i="3"/>
  <c r="O202" i="3"/>
  <c r="N202" i="3"/>
  <c r="M202" i="3"/>
  <c r="I202" i="3"/>
  <c r="G202" i="3" s="1"/>
  <c r="L202" i="3" s="1"/>
  <c r="C202" i="3"/>
  <c r="D202" i="3" s="1"/>
  <c r="B202" i="3"/>
  <c r="A202" i="3"/>
  <c r="Q201" i="3"/>
  <c r="P201" i="3"/>
  <c r="O201" i="3"/>
  <c r="N201" i="3"/>
  <c r="M201" i="3"/>
  <c r="I201" i="3"/>
  <c r="G201" i="3" s="1"/>
  <c r="L201" i="3" s="1"/>
  <c r="C201" i="3"/>
  <c r="D201" i="3" s="1"/>
  <c r="B201" i="3"/>
  <c r="A201" i="3"/>
  <c r="Q200" i="3"/>
  <c r="P200" i="3"/>
  <c r="O200" i="3"/>
  <c r="N200" i="3"/>
  <c r="M200" i="3"/>
  <c r="I200" i="3"/>
  <c r="G200" i="3" s="1"/>
  <c r="L200" i="3" s="1"/>
  <c r="C200" i="3"/>
  <c r="D200" i="3" s="1"/>
  <c r="B200" i="3"/>
  <c r="A200" i="3"/>
  <c r="Q199" i="3"/>
  <c r="P199" i="3"/>
  <c r="O199" i="3"/>
  <c r="N199" i="3"/>
  <c r="M199" i="3"/>
  <c r="I199" i="3"/>
  <c r="G199" i="3" s="1"/>
  <c r="L199" i="3" s="1"/>
  <c r="C199" i="3"/>
  <c r="D199" i="3" s="1"/>
  <c r="B199" i="3"/>
  <c r="A199" i="3"/>
  <c r="Q198" i="3"/>
  <c r="P198" i="3"/>
  <c r="O198" i="3"/>
  <c r="N198" i="3"/>
  <c r="M198" i="3"/>
  <c r="I198" i="3"/>
  <c r="G198" i="3" s="1"/>
  <c r="L198" i="3" s="1"/>
  <c r="C198" i="3"/>
  <c r="D198" i="3" s="1"/>
  <c r="B198" i="3"/>
  <c r="A198" i="3"/>
  <c r="Q197" i="3"/>
  <c r="P197" i="3"/>
  <c r="O197" i="3"/>
  <c r="N197" i="3"/>
  <c r="M197" i="3"/>
  <c r="I197" i="3"/>
  <c r="G197" i="3" s="1"/>
  <c r="L197" i="3" s="1"/>
  <c r="C197" i="3"/>
  <c r="D197" i="3" s="1"/>
  <c r="B197" i="3"/>
  <c r="A197" i="3"/>
  <c r="Q196" i="3"/>
  <c r="P196" i="3"/>
  <c r="O196" i="3"/>
  <c r="N196" i="3"/>
  <c r="M196" i="3"/>
  <c r="I196" i="3"/>
  <c r="G196" i="3" s="1"/>
  <c r="L196" i="3" s="1"/>
  <c r="C196" i="3"/>
  <c r="D196" i="3" s="1"/>
  <c r="B196" i="3"/>
  <c r="A196" i="3"/>
  <c r="Q195" i="3"/>
  <c r="P195" i="3"/>
  <c r="O195" i="3"/>
  <c r="N195" i="3"/>
  <c r="M195" i="3"/>
  <c r="I195" i="3"/>
  <c r="G195" i="3" s="1"/>
  <c r="L195" i="3" s="1"/>
  <c r="C195" i="3"/>
  <c r="D195" i="3" s="1"/>
  <c r="B195" i="3"/>
  <c r="A195" i="3"/>
  <c r="Q194" i="3"/>
  <c r="P194" i="3"/>
  <c r="O194" i="3"/>
  <c r="N194" i="3"/>
  <c r="M194" i="3"/>
  <c r="I194" i="3"/>
  <c r="G194" i="3" s="1"/>
  <c r="L194" i="3" s="1"/>
  <c r="C194" i="3"/>
  <c r="D194" i="3" s="1"/>
  <c r="B194" i="3"/>
  <c r="A194" i="3"/>
  <c r="Q193" i="3"/>
  <c r="P193" i="3"/>
  <c r="O193" i="3"/>
  <c r="N193" i="3"/>
  <c r="M193" i="3"/>
  <c r="I193" i="3"/>
  <c r="G193" i="3" s="1"/>
  <c r="L193" i="3" s="1"/>
  <c r="C193" i="3"/>
  <c r="D193" i="3" s="1"/>
  <c r="B193" i="3"/>
  <c r="A193" i="3"/>
  <c r="Q192" i="3"/>
  <c r="P192" i="3"/>
  <c r="O192" i="3"/>
  <c r="N192" i="3"/>
  <c r="M192" i="3"/>
  <c r="I192" i="3"/>
  <c r="G192" i="3" s="1"/>
  <c r="L192" i="3" s="1"/>
  <c r="C192" i="3"/>
  <c r="D192" i="3" s="1"/>
  <c r="B192" i="3"/>
  <c r="A192" i="3"/>
  <c r="Q191" i="3"/>
  <c r="P191" i="3"/>
  <c r="O191" i="3"/>
  <c r="N191" i="3"/>
  <c r="M191" i="3"/>
  <c r="I191" i="3"/>
  <c r="G191" i="3" s="1"/>
  <c r="L191" i="3" s="1"/>
  <c r="C191" i="3"/>
  <c r="D191" i="3" s="1"/>
  <c r="B191" i="3"/>
  <c r="A191" i="3"/>
  <c r="Q190" i="3"/>
  <c r="P190" i="3"/>
  <c r="O190" i="3"/>
  <c r="N190" i="3"/>
  <c r="M190" i="3"/>
  <c r="I190" i="3"/>
  <c r="G190" i="3" s="1"/>
  <c r="L190" i="3" s="1"/>
  <c r="C190" i="3"/>
  <c r="D190" i="3" s="1"/>
  <c r="B190" i="3"/>
  <c r="A190" i="3"/>
  <c r="Q189" i="3"/>
  <c r="P189" i="3"/>
  <c r="O189" i="3"/>
  <c r="N189" i="3"/>
  <c r="M189" i="3"/>
  <c r="I189" i="3"/>
  <c r="G189" i="3" s="1"/>
  <c r="L189" i="3" s="1"/>
  <c r="C189" i="3"/>
  <c r="D189" i="3" s="1"/>
  <c r="B189" i="3"/>
  <c r="A189" i="3"/>
  <c r="Q188" i="3"/>
  <c r="P188" i="3"/>
  <c r="O188" i="3"/>
  <c r="N188" i="3"/>
  <c r="M188" i="3"/>
  <c r="I188" i="3"/>
  <c r="G188" i="3" s="1"/>
  <c r="L188" i="3" s="1"/>
  <c r="C188" i="3"/>
  <c r="D188" i="3" s="1"/>
  <c r="B188" i="3"/>
  <c r="A188" i="3"/>
  <c r="Q187" i="3"/>
  <c r="P187" i="3"/>
  <c r="O187" i="3"/>
  <c r="N187" i="3"/>
  <c r="M187" i="3"/>
  <c r="I187" i="3"/>
  <c r="G187" i="3" s="1"/>
  <c r="L187" i="3" s="1"/>
  <c r="C187" i="3"/>
  <c r="D187" i="3" s="1"/>
  <c r="B187" i="3"/>
  <c r="A187" i="3"/>
  <c r="Q186" i="3"/>
  <c r="P186" i="3"/>
  <c r="O186" i="3"/>
  <c r="N186" i="3"/>
  <c r="M186" i="3"/>
  <c r="I186" i="3"/>
  <c r="G186" i="3" s="1"/>
  <c r="L186" i="3" s="1"/>
  <c r="C186" i="3"/>
  <c r="D186" i="3" s="1"/>
  <c r="B186" i="3"/>
  <c r="A186" i="3"/>
  <c r="Q185" i="3"/>
  <c r="P185" i="3"/>
  <c r="O185" i="3"/>
  <c r="N185" i="3"/>
  <c r="M185" i="3"/>
  <c r="I185" i="3"/>
  <c r="G185" i="3" s="1"/>
  <c r="L185" i="3" s="1"/>
  <c r="C185" i="3"/>
  <c r="D185" i="3" s="1"/>
  <c r="B185" i="3"/>
  <c r="A185" i="3"/>
  <c r="Q184" i="3"/>
  <c r="P184" i="3"/>
  <c r="O184" i="3"/>
  <c r="N184" i="3"/>
  <c r="M184" i="3"/>
  <c r="I184" i="3"/>
  <c r="G184" i="3" s="1"/>
  <c r="L184" i="3" s="1"/>
  <c r="C184" i="3"/>
  <c r="D184" i="3" s="1"/>
  <c r="B184" i="3"/>
  <c r="A184" i="3"/>
  <c r="Q183" i="3"/>
  <c r="P183" i="3"/>
  <c r="O183" i="3"/>
  <c r="N183" i="3"/>
  <c r="M183" i="3"/>
  <c r="I183" i="3"/>
  <c r="G183" i="3" s="1"/>
  <c r="L183" i="3" s="1"/>
  <c r="C183" i="3"/>
  <c r="D183" i="3" s="1"/>
  <c r="B183" i="3"/>
  <c r="A183" i="3"/>
  <c r="Q182" i="3"/>
  <c r="P182" i="3"/>
  <c r="O182" i="3"/>
  <c r="N182" i="3"/>
  <c r="M182" i="3"/>
  <c r="I182" i="3"/>
  <c r="G182" i="3" s="1"/>
  <c r="L182" i="3" s="1"/>
  <c r="C182" i="3"/>
  <c r="D182" i="3" s="1"/>
  <c r="B182" i="3"/>
  <c r="A182" i="3"/>
  <c r="Q181" i="3"/>
  <c r="P181" i="3"/>
  <c r="O181" i="3"/>
  <c r="N181" i="3"/>
  <c r="M181" i="3"/>
  <c r="I181" i="3"/>
  <c r="G181" i="3" s="1"/>
  <c r="L181" i="3" s="1"/>
  <c r="C181" i="3"/>
  <c r="D181" i="3" s="1"/>
  <c r="B181" i="3"/>
  <c r="A181" i="3"/>
  <c r="Q180" i="3"/>
  <c r="P180" i="3"/>
  <c r="O180" i="3"/>
  <c r="N180" i="3"/>
  <c r="M180" i="3"/>
  <c r="I180" i="3"/>
  <c r="G180" i="3" s="1"/>
  <c r="L180" i="3" s="1"/>
  <c r="C180" i="3"/>
  <c r="D180" i="3" s="1"/>
  <c r="B180" i="3"/>
  <c r="A180" i="3"/>
  <c r="Q179" i="3"/>
  <c r="P179" i="3"/>
  <c r="O179" i="3"/>
  <c r="N179" i="3"/>
  <c r="M179" i="3"/>
  <c r="I179" i="3"/>
  <c r="G179" i="3" s="1"/>
  <c r="L179" i="3" s="1"/>
  <c r="C179" i="3"/>
  <c r="D179" i="3" s="1"/>
  <c r="B179" i="3"/>
  <c r="A179" i="3"/>
  <c r="Q178" i="3"/>
  <c r="P178" i="3"/>
  <c r="O178" i="3"/>
  <c r="N178" i="3"/>
  <c r="M178" i="3"/>
  <c r="I178" i="3"/>
  <c r="G178" i="3" s="1"/>
  <c r="L178" i="3" s="1"/>
  <c r="C178" i="3"/>
  <c r="D178" i="3" s="1"/>
  <c r="B178" i="3"/>
  <c r="A178" i="3"/>
  <c r="Q177" i="3"/>
  <c r="P177" i="3"/>
  <c r="O177" i="3"/>
  <c r="N177" i="3"/>
  <c r="M177" i="3"/>
  <c r="I177" i="3"/>
  <c r="G177" i="3" s="1"/>
  <c r="L177" i="3" s="1"/>
  <c r="C177" i="3"/>
  <c r="D177" i="3" s="1"/>
  <c r="B177" i="3"/>
  <c r="A177" i="3"/>
  <c r="Q176" i="3"/>
  <c r="P176" i="3"/>
  <c r="O176" i="3"/>
  <c r="N176" i="3"/>
  <c r="M176" i="3"/>
  <c r="I176" i="3"/>
  <c r="G176" i="3" s="1"/>
  <c r="L176" i="3" s="1"/>
  <c r="C176" i="3"/>
  <c r="D176" i="3" s="1"/>
  <c r="B176" i="3"/>
  <c r="A176" i="3"/>
  <c r="Q175" i="3"/>
  <c r="P175" i="3"/>
  <c r="O175" i="3"/>
  <c r="N175" i="3"/>
  <c r="M175" i="3"/>
  <c r="I175" i="3"/>
  <c r="G175" i="3" s="1"/>
  <c r="L175" i="3" s="1"/>
  <c r="C175" i="3"/>
  <c r="D175" i="3" s="1"/>
  <c r="B175" i="3"/>
  <c r="A175" i="3"/>
  <c r="Q174" i="3"/>
  <c r="P174" i="3"/>
  <c r="O174" i="3"/>
  <c r="N174" i="3"/>
  <c r="M174" i="3"/>
  <c r="I174" i="3"/>
  <c r="G174" i="3" s="1"/>
  <c r="L174" i="3" s="1"/>
  <c r="C174" i="3"/>
  <c r="D174" i="3" s="1"/>
  <c r="B174" i="3"/>
  <c r="A174" i="3"/>
  <c r="Q173" i="3"/>
  <c r="P173" i="3"/>
  <c r="O173" i="3"/>
  <c r="N173" i="3"/>
  <c r="M173" i="3"/>
  <c r="I173" i="3"/>
  <c r="G173" i="3" s="1"/>
  <c r="L173" i="3" s="1"/>
  <c r="C173" i="3"/>
  <c r="D173" i="3" s="1"/>
  <c r="B173" i="3"/>
  <c r="A173" i="3"/>
  <c r="Q172" i="3"/>
  <c r="P172" i="3"/>
  <c r="O172" i="3"/>
  <c r="N172" i="3"/>
  <c r="M172" i="3"/>
  <c r="I172" i="3"/>
  <c r="G172" i="3" s="1"/>
  <c r="L172" i="3" s="1"/>
  <c r="C172" i="3"/>
  <c r="D172" i="3" s="1"/>
  <c r="B172" i="3"/>
  <c r="A172" i="3"/>
  <c r="Q171" i="3"/>
  <c r="P171" i="3"/>
  <c r="O171" i="3"/>
  <c r="N171" i="3"/>
  <c r="M171" i="3"/>
  <c r="I171" i="3"/>
  <c r="G171" i="3" s="1"/>
  <c r="L171" i="3" s="1"/>
  <c r="C171" i="3"/>
  <c r="D171" i="3" s="1"/>
  <c r="B171" i="3"/>
  <c r="A171" i="3"/>
  <c r="Q170" i="3"/>
  <c r="P170" i="3"/>
  <c r="O170" i="3"/>
  <c r="N170" i="3"/>
  <c r="M170" i="3"/>
  <c r="I170" i="3"/>
  <c r="G170" i="3" s="1"/>
  <c r="L170" i="3" s="1"/>
  <c r="C170" i="3"/>
  <c r="D170" i="3" s="1"/>
  <c r="B170" i="3"/>
  <c r="A170" i="3"/>
  <c r="Q169" i="3"/>
  <c r="P169" i="3"/>
  <c r="O169" i="3"/>
  <c r="N169" i="3"/>
  <c r="M169" i="3"/>
  <c r="I169" i="3"/>
  <c r="G169" i="3" s="1"/>
  <c r="L169" i="3" s="1"/>
  <c r="C169" i="3"/>
  <c r="D169" i="3" s="1"/>
  <c r="B169" i="3"/>
  <c r="A169" i="3"/>
  <c r="Q168" i="3"/>
  <c r="P168" i="3"/>
  <c r="O168" i="3"/>
  <c r="N168" i="3"/>
  <c r="M168" i="3"/>
  <c r="I168" i="3"/>
  <c r="G168" i="3" s="1"/>
  <c r="L168" i="3" s="1"/>
  <c r="C168" i="3"/>
  <c r="D168" i="3" s="1"/>
  <c r="B168" i="3"/>
  <c r="A168" i="3"/>
  <c r="Q167" i="3"/>
  <c r="P167" i="3"/>
  <c r="O167" i="3"/>
  <c r="N167" i="3"/>
  <c r="M167" i="3"/>
  <c r="I167" i="3"/>
  <c r="G167" i="3" s="1"/>
  <c r="L167" i="3" s="1"/>
  <c r="C167" i="3"/>
  <c r="D167" i="3" s="1"/>
  <c r="B167" i="3"/>
  <c r="A167" i="3"/>
  <c r="Q166" i="3"/>
  <c r="P166" i="3"/>
  <c r="O166" i="3"/>
  <c r="N166" i="3"/>
  <c r="M166" i="3"/>
  <c r="I166" i="3"/>
  <c r="G166" i="3" s="1"/>
  <c r="L166" i="3" s="1"/>
  <c r="C166" i="3"/>
  <c r="D166" i="3" s="1"/>
  <c r="B166" i="3"/>
  <c r="A166" i="3"/>
  <c r="Q165" i="3"/>
  <c r="P165" i="3"/>
  <c r="O165" i="3"/>
  <c r="N165" i="3"/>
  <c r="M165" i="3"/>
  <c r="I165" i="3"/>
  <c r="G165" i="3" s="1"/>
  <c r="L165" i="3" s="1"/>
  <c r="C165" i="3"/>
  <c r="D165" i="3" s="1"/>
  <c r="B165" i="3"/>
  <c r="A165" i="3"/>
  <c r="Q164" i="3"/>
  <c r="P164" i="3"/>
  <c r="O164" i="3"/>
  <c r="N164" i="3"/>
  <c r="M164" i="3"/>
  <c r="I164" i="3"/>
  <c r="G164" i="3" s="1"/>
  <c r="L164" i="3" s="1"/>
  <c r="C164" i="3"/>
  <c r="D164" i="3" s="1"/>
  <c r="B164" i="3"/>
  <c r="A164" i="3"/>
  <c r="Q163" i="3"/>
  <c r="P163" i="3"/>
  <c r="O163" i="3"/>
  <c r="N163" i="3"/>
  <c r="M163" i="3"/>
  <c r="I163" i="3"/>
  <c r="G163" i="3" s="1"/>
  <c r="L163" i="3" s="1"/>
  <c r="C163" i="3"/>
  <c r="D163" i="3" s="1"/>
  <c r="B163" i="3"/>
  <c r="A163" i="3"/>
  <c r="Q162" i="3"/>
  <c r="P162" i="3"/>
  <c r="O162" i="3"/>
  <c r="N162" i="3"/>
  <c r="M162" i="3"/>
  <c r="I162" i="3"/>
  <c r="G162" i="3" s="1"/>
  <c r="L162" i="3" s="1"/>
  <c r="C162" i="3"/>
  <c r="D162" i="3" s="1"/>
  <c r="B162" i="3"/>
  <c r="A162" i="3"/>
  <c r="Q161" i="3"/>
  <c r="P161" i="3"/>
  <c r="O161" i="3"/>
  <c r="N161" i="3"/>
  <c r="M161" i="3"/>
  <c r="I161" i="3"/>
  <c r="G161" i="3" s="1"/>
  <c r="L161" i="3" s="1"/>
  <c r="C161" i="3"/>
  <c r="D161" i="3" s="1"/>
  <c r="B161" i="3"/>
  <c r="A161" i="3"/>
  <c r="Q160" i="3"/>
  <c r="P160" i="3"/>
  <c r="O160" i="3"/>
  <c r="N160" i="3"/>
  <c r="M160" i="3"/>
  <c r="I160" i="3"/>
  <c r="G160" i="3" s="1"/>
  <c r="L160" i="3" s="1"/>
  <c r="C160" i="3"/>
  <c r="D160" i="3" s="1"/>
  <c r="B160" i="3"/>
  <c r="A160" i="3"/>
  <c r="Q159" i="3"/>
  <c r="P159" i="3"/>
  <c r="O159" i="3"/>
  <c r="N159" i="3"/>
  <c r="M159" i="3"/>
  <c r="I159" i="3"/>
  <c r="G159" i="3" s="1"/>
  <c r="L159" i="3" s="1"/>
  <c r="C159" i="3"/>
  <c r="D159" i="3" s="1"/>
  <c r="B159" i="3"/>
  <c r="A159" i="3"/>
  <c r="Q158" i="3"/>
  <c r="P158" i="3"/>
  <c r="O158" i="3"/>
  <c r="N158" i="3"/>
  <c r="M158" i="3"/>
  <c r="I158" i="3"/>
  <c r="G158" i="3" s="1"/>
  <c r="L158" i="3" s="1"/>
  <c r="C158" i="3"/>
  <c r="D158" i="3" s="1"/>
  <c r="B158" i="3"/>
  <c r="A158" i="3"/>
  <c r="Q157" i="3"/>
  <c r="P157" i="3"/>
  <c r="O157" i="3"/>
  <c r="N157" i="3"/>
  <c r="M157" i="3"/>
  <c r="I157" i="3"/>
  <c r="G157" i="3" s="1"/>
  <c r="L157" i="3" s="1"/>
  <c r="C157" i="3"/>
  <c r="D157" i="3" s="1"/>
  <c r="B157" i="3"/>
  <c r="A157" i="3"/>
  <c r="Q156" i="3"/>
  <c r="P156" i="3"/>
  <c r="O156" i="3"/>
  <c r="N156" i="3"/>
  <c r="M156" i="3"/>
  <c r="I156" i="3"/>
  <c r="G156" i="3" s="1"/>
  <c r="L156" i="3" s="1"/>
  <c r="C156" i="3"/>
  <c r="D156" i="3" s="1"/>
  <c r="B156" i="3"/>
  <c r="A156" i="3"/>
  <c r="Q155" i="3"/>
  <c r="P155" i="3"/>
  <c r="O155" i="3"/>
  <c r="N155" i="3"/>
  <c r="M155" i="3"/>
  <c r="I155" i="3"/>
  <c r="G155" i="3" s="1"/>
  <c r="L155" i="3" s="1"/>
  <c r="C155" i="3"/>
  <c r="D155" i="3" s="1"/>
  <c r="B155" i="3"/>
  <c r="A155" i="3"/>
  <c r="Q154" i="3"/>
  <c r="P154" i="3"/>
  <c r="O154" i="3"/>
  <c r="N154" i="3"/>
  <c r="M154" i="3"/>
  <c r="I154" i="3"/>
  <c r="G154" i="3" s="1"/>
  <c r="L154" i="3" s="1"/>
  <c r="C154" i="3"/>
  <c r="D154" i="3" s="1"/>
  <c r="B154" i="3"/>
  <c r="A154" i="3"/>
  <c r="Q153" i="3"/>
  <c r="P153" i="3"/>
  <c r="O153" i="3"/>
  <c r="N153" i="3"/>
  <c r="M153" i="3"/>
  <c r="I153" i="3"/>
  <c r="G153" i="3" s="1"/>
  <c r="L153" i="3" s="1"/>
  <c r="C153" i="3"/>
  <c r="D153" i="3" s="1"/>
  <c r="B153" i="3"/>
  <c r="A153" i="3"/>
  <c r="Q152" i="3"/>
  <c r="P152" i="3"/>
  <c r="O152" i="3"/>
  <c r="N152" i="3"/>
  <c r="M152" i="3"/>
  <c r="I152" i="3"/>
  <c r="G152" i="3" s="1"/>
  <c r="L152" i="3" s="1"/>
  <c r="C152" i="3"/>
  <c r="D152" i="3" s="1"/>
  <c r="B152" i="3"/>
  <c r="A152" i="3"/>
  <c r="Q151" i="3"/>
  <c r="P151" i="3"/>
  <c r="O151" i="3"/>
  <c r="N151" i="3"/>
  <c r="M151" i="3"/>
  <c r="I151" i="3"/>
  <c r="G151" i="3" s="1"/>
  <c r="L151" i="3" s="1"/>
  <c r="C151" i="3"/>
  <c r="D151" i="3" s="1"/>
  <c r="B151" i="3"/>
  <c r="A151" i="3"/>
  <c r="Q150" i="3"/>
  <c r="P150" i="3"/>
  <c r="O150" i="3"/>
  <c r="N150" i="3"/>
  <c r="M150" i="3"/>
  <c r="I150" i="3"/>
  <c r="G150" i="3" s="1"/>
  <c r="L150" i="3" s="1"/>
  <c r="C150" i="3"/>
  <c r="D150" i="3" s="1"/>
  <c r="B150" i="3"/>
  <c r="A150" i="3"/>
  <c r="Q149" i="3"/>
  <c r="P149" i="3"/>
  <c r="O149" i="3"/>
  <c r="N149" i="3"/>
  <c r="M149" i="3"/>
  <c r="I149" i="3"/>
  <c r="G149" i="3" s="1"/>
  <c r="L149" i="3" s="1"/>
  <c r="C149" i="3"/>
  <c r="D149" i="3" s="1"/>
  <c r="B149" i="3"/>
  <c r="A149" i="3"/>
  <c r="Q148" i="3"/>
  <c r="P148" i="3"/>
  <c r="O148" i="3"/>
  <c r="N148" i="3"/>
  <c r="M148" i="3"/>
  <c r="I148" i="3"/>
  <c r="G148" i="3" s="1"/>
  <c r="L148" i="3" s="1"/>
  <c r="C148" i="3"/>
  <c r="D148" i="3" s="1"/>
  <c r="B148" i="3"/>
  <c r="A148" i="3"/>
  <c r="Q147" i="3"/>
  <c r="P147" i="3"/>
  <c r="O147" i="3"/>
  <c r="N147" i="3"/>
  <c r="M147" i="3"/>
  <c r="I147" i="3"/>
  <c r="G147" i="3" s="1"/>
  <c r="L147" i="3" s="1"/>
  <c r="C147" i="3"/>
  <c r="D147" i="3" s="1"/>
  <c r="B147" i="3"/>
  <c r="A147" i="3"/>
  <c r="Q146" i="3"/>
  <c r="P146" i="3"/>
  <c r="O146" i="3"/>
  <c r="N146" i="3"/>
  <c r="M146" i="3"/>
  <c r="I146" i="3"/>
  <c r="G146" i="3" s="1"/>
  <c r="L146" i="3" s="1"/>
  <c r="C146" i="3"/>
  <c r="D146" i="3" s="1"/>
  <c r="B146" i="3"/>
  <c r="A146" i="3"/>
  <c r="Q145" i="3"/>
  <c r="P145" i="3"/>
  <c r="O145" i="3"/>
  <c r="N145" i="3"/>
  <c r="M145" i="3"/>
  <c r="I145" i="3"/>
  <c r="G145" i="3" s="1"/>
  <c r="L145" i="3" s="1"/>
  <c r="C145" i="3"/>
  <c r="D145" i="3" s="1"/>
  <c r="B145" i="3"/>
  <c r="A145" i="3"/>
  <c r="Q144" i="3"/>
  <c r="P144" i="3"/>
  <c r="O144" i="3"/>
  <c r="N144" i="3"/>
  <c r="M144" i="3"/>
  <c r="I144" i="3"/>
  <c r="G144" i="3" s="1"/>
  <c r="L144" i="3" s="1"/>
  <c r="C144" i="3"/>
  <c r="D144" i="3" s="1"/>
  <c r="B144" i="3"/>
  <c r="A144" i="3"/>
  <c r="Q143" i="3"/>
  <c r="P143" i="3"/>
  <c r="O143" i="3"/>
  <c r="N143" i="3"/>
  <c r="M143" i="3"/>
  <c r="I143" i="3"/>
  <c r="G143" i="3" s="1"/>
  <c r="L143" i="3" s="1"/>
  <c r="C143" i="3"/>
  <c r="D143" i="3" s="1"/>
  <c r="B143" i="3"/>
  <c r="A143" i="3"/>
  <c r="Q142" i="3"/>
  <c r="P142" i="3"/>
  <c r="O142" i="3"/>
  <c r="N142" i="3"/>
  <c r="M142" i="3"/>
  <c r="I142" i="3"/>
  <c r="G142" i="3" s="1"/>
  <c r="L142" i="3" s="1"/>
  <c r="C142" i="3"/>
  <c r="D142" i="3" s="1"/>
  <c r="B142" i="3"/>
  <c r="A142" i="3"/>
  <c r="Q141" i="3"/>
  <c r="P141" i="3"/>
  <c r="O141" i="3"/>
  <c r="N141" i="3"/>
  <c r="M141" i="3"/>
  <c r="I141" i="3"/>
  <c r="G141" i="3" s="1"/>
  <c r="L141" i="3" s="1"/>
  <c r="C141" i="3"/>
  <c r="D141" i="3" s="1"/>
  <c r="B141" i="3"/>
  <c r="A141" i="3"/>
  <c r="Q140" i="3"/>
  <c r="P140" i="3"/>
  <c r="O140" i="3"/>
  <c r="N140" i="3"/>
  <c r="M140" i="3"/>
  <c r="I140" i="3"/>
  <c r="G140" i="3" s="1"/>
  <c r="L140" i="3" s="1"/>
  <c r="C140" i="3"/>
  <c r="D140" i="3" s="1"/>
  <c r="B140" i="3"/>
  <c r="A140" i="3"/>
  <c r="Q139" i="3"/>
  <c r="P139" i="3"/>
  <c r="O139" i="3"/>
  <c r="N139" i="3"/>
  <c r="M139" i="3"/>
  <c r="I139" i="3"/>
  <c r="G139" i="3" s="1"/>
  <c r="L139" i="3" s="1"/>
  <c r="C139" i="3"/>
  <c r="D139" i="3" s="1"/>
  <c r="B139" i="3"/>
  <c r="A139" i="3"/>
  <c r="Q138" i="3"/>
  <c r="P138" i="3"/>
  <c r="O138" i="3"/>
  <c r="N138" i="3"/>
  <c r="M138" i="3"/>
  <c r="I138" i="3"/>
  <c r="G138" i="3" s="1"/>
  <c r="L138" i="3" s="1"/>
  <c r="C138" i="3"/>
  <c r="D138" i="3" s="1"/>
  <c r="B138" i="3"/>
  <c r="A138" i="3"/>
  <c r="Q137" i="3"/>
  <c r="P137" i="3"/>
  <c r="O137" i="3"/>
  <c r="N137" i="3"/>
  <c r="M137" i="3"/>
  <c r="I137" i="3"/>
  <c r="G137" i="3" s="1"/>
  <c r="L137" i="3" s="1"/>
  <c r="C137" i="3"/>
  <c r="D137" i="3" s="1"/>
  <c r="B137" i="3"/>
  <c r="A137" i="3"/>
  <c r="Q136" i="3"/>
  <c r="P136" i="3"/>
  <c r="O136" i="3"/>
  <c r="N136" i="3"/>
  <c r="M136" i="3"/>
  <c r="I136" i="3"/>
  <c r="G136" i="3" s="1"/>
  <c r="L136" i="3" s="1"/>
  <c r="C136" i="3"/>
  <c r="D136" i="3" s="1"/>
  <c r="B136" i="3"/>
  <c r="A136" i="3"/>
  <c r="Q135" i="3"/>
  <c r="P135" i="3"/>
  <c r="O135" i="3"/>
  <c r="N135" i="3"/>
  <c r="M135" i="3"/>
  <c r="I135" i="3"/>
  <c r="G135" i="3" s="1"/>
  <c r="L135" i="3" s="1"/>
  <c r="C135" i="3"/>
  <c r="D135" i="3" s="1"/>
  <c r="B135" i="3"/>
  <c r="A135" i="3"/>
  <c r="Q134" i="3"/>
  <c r="P134" i="3"/>
  <c r="O134" i="3"/>
  <c r="N134" i="3"/>
  <c r="M134" i="3"/>
  <c r="I134" i="3"/>
  <c r="G134" i="3" s="1"/>
  <c r="L134" i="3" s="1"/>
  <c r="C134" i="3"/>
  <c r="D134" i="3" s="1"/>
  <c r="B134" i="3"/>
  <c r="A134" i="3"/>
  <c r="Q133" i="3"/>
  <c r="P133" i="3"/>
  <c r="O133" i="3"/>
  <c r="N133" i="3"/>
  <c r="M133" i="3"/>
  <c r="I133" i="3"/>
  <c r="G133" i="3" s="1"/>
  <c r="L133" i="3" s="1"/>
  <c r="C133" i="3"/>
  <c r="D133" i="3" s="1"/>
  <c r="B133" i="3"/>
  <c r="A133" i="3"/>
  <c r="Q132" i="3"/>
  <c r="P132" i="3"/>
  <c r="O132" i="3"/>
  <c r="N132" i="3"/>
  <c r="M132" i="3"/>
  <c r="I132" i="3"/>
  <c r="G132" i="3" s="1"/>
  <c r="L132" i="3" s="1"/>
  <c r="C132" i="3"/>
  <c r="D132" i="3" s="1"/>
  <c r="B132" i="3"/>
  <c r="A132" i="3"/>
  <c r="Q131" i="3"/>
  <c r="P131" i="3"/>
  <c r="O131" i="3"/>
  <c r="N131" i="3"/>
  <c r="M131" i="3"/>
  <c r="I131" i="3"/>
  <c r="G131" i="3" s="1"/>
  <c r="L131" i="3" s="1"/>
  <c r="C131" i="3"/>
  <c r="D131" i="3" s="1"/>
  <c r="B131" i="3"/>
  <c r="A131" i="3"/>
  <c r="Q130" i="3"/>
  <c r="P130" i="3"/>
  <c r="O130" i="3"/>
  <c r="N130" i="3"/>
  <c r="M130" i="3"/>
  <c r="I130" i="3"/>
  <c r="G130" i="3" s="1"/>
  <c r="L130" i="3" s="1"/>
  <c r="C130" i="3"/>
  <c r="D130" i="3" s="1"/>
  <c r="B130" i="3"/>
  <c r="A130" i="3"/>
  <c r="Q129" i="3"/>
  <c r="P129" i="3"/>
  <c r="O129" i="3"/>
  <c r="N129" i="3"/>
  <c r="M129" i="3"/>
  <c r="I129" i="3"/>
  <c r="G129" i="3" s="1"/>
  <c r="L129" i="3" s="1"/>
  <c r="C129" i="3"/>
  <c r="D129" i="3" s="1"/>
  <c r="B129" i="3"/>
  <c r="A129" i="3"/>
  <c r="Q128" i="3"/>
  <c r="P128" i="3"/>
  <c r="O128" i="3"/>
  <c r="N128" i="3"/>
  <c r="M128" i="3"/>
  <c r="I128" i="3"/>
  <c r="G128" i="3" s="1"/>
  <c r="L128" i="3" s="1"/>
  <c r="C128" i="3"/>
  <c r="D128" i="3" s="1"/>
  <c r="B128" i="3"/>
  <c r="A128" i="3"/>
  <c r="Q127" i="3"/>
  <c r="P127" i="3"/>
  <c r="O127" i="3"/>
  <c r="N127" i="3"/>
  <c r="M127" i="3"/>
  <c r="I127" i="3"/>
  <c r="G127" i="3" s="1"/>
  <c r="L127" i="3" s="1"/>
  <c r="C127" i="3"/>
  <c r="D127" i="3" s="1"/>
  <c r="B127" i="3"/>
  <c r="A127" i="3"/>
  <c r="Q126" i="3"/>
  <c r="P126" i="3"/>
  <c r="O126" i="3"/>
  <c r="N126" i="3"/>
  <c r="M126" i="3"/>
  <c r="I126" i="3"/>
  <c r="G126" i="3" s="1"/>
  <c r="L126" i="3" s="1"/>
  <c r="C126" i="3"/>
  <c r="D126" i="3" s="1"/>
  <c r="B126" i="3"/>
  <c r="A126" i="3"/>
  <c r="Q125" i="3"/>
  <c r="P125" i="3"/>
  <c r="O125" i="3"/>
  <c r="N125" i="3"/>
  <c r="M125" i="3"/>
  <c r="I125" i="3"/>
  <c r="G125" i="3" s="1"/>
  <c r="L125" i="3" s="1"/>
  <c r="C125" i="3"/>
  <c r="D125" i="3" s="1"/>
  <c r="B125" i="3"/>
  <c r="A125" i="3"/>
  <c r="Q124" i="3"/>
  <c r="P124" i="3"/>
  <c r="O124" i="3"/>
  <c r="N124" i="3"/>
  <c r="M124" i="3"/>
  <c r="I124" i="3"/>
  <c r="G124" i="3" s="1"/>
  <c r="L124" i="3" s="1"/>
  <c r="C124" i="3"/>
  <c r="D124" i="3" s="1"/>
  <c r="B124" i="3"/>
  <c r="A124" i="3"/>
  <c r="Q123" i="3"/>
  <c r="P123" i="3"/>
  <c r="O123" i="3"/>
  <c r="N123" i="3"/>
  <c r="M123" i="3"/>
  <c r="I123" i="3"/>
  <c r="G123" i="3" s="1"/>
  <c r="L123" i="3" s="1"/>
  <c r="C123" i="3"/>
  <c r="D123" i="3" s="1"/>
  <c r="B123" i="3"/>
  <c r="A123" i="3"/>
  <c r="Q122" i="3"/>
  <c r="P122" i="3"/>
  <c r="O122" i="3"/>
  <c r="N122" i="3"/>
  <c r="M122" i="3"/>
  <c r="I122" i="3"/>
  <c r="G122" i="3" s="1"/>
  <c r="L122" i="3" s="1"/>
  <c r="C122" i="3"/>
  <c r="D122" i="3" s="1"/>
  <c r="B122" i="3"/>
  <c r="A122" i="3"/>
  <c r="Q121" i="3"/>
  <c r="P121" i="3"/>
  <c r="O121" i="3"/>
  <c r="N121" i="3"/>
  <c r="M121" i="3"/>
  <c r="I121" i="3"/>
  <c r="G121" i="3" s="1"/>
  <c r="L121" i="3" s="1"/>
  <c r="C121" i="3"/>
  <c r="D121" i="3" s="1"/>
  <c r="B121" i="3"/>
  <c r="A121" i="3"/>
  <c r="Q120" i="3"/>
  <c r="P120" i="3"/>
  <c r="O120" i="3"/>
  <c r="N120" i="3"/>
  <c r="M120" i="3"/>
  <c r="I120" i="3"/>
  <c r="G120" i="3" s="1"/>
  <c r="L120" i="3" s="1"/>
  <c r="C120" i="3"/>
  <c r="D120" i="3" s="1"/>
  <c r="B120" i="3"/>
  <c r="A120" i="3"/>
  <c r="Q119" i="3"/>
  <c r="P119" i="3"/>
  <c r="O119" i="3"/>
  <c r="N119" i="3"/>
  <c r="M119" i="3"/>
  <c r="I119" i="3"/>
  <c r="G119" i="3" s="1"/>
  <c r="L119" i="3" s="1"/>
  <c r="C119" i="3"/>
  <c r="D119" i="3" s="1"/>
  <c r="B119" i="3"/>
  <c r="A119" i="3"/>
  <c r="Q118" i="3"/>
  <c r="P118" i="3"/>
  <c r="O118" i="3"/>
  <c r="N118" i="3"/>
  <c r="M118" i="3"/>
  <c r="I118" i="3"/>
  <c r="G118" i="3" s="1"/>
  <c r="L118" i="3" s="1"/>
  <c r="C118" i="3"/>
  <c r="D118" i="3" s="1"/>
  <c r="B118" i="3"/>
  <c r="A118" i="3"/>
  <c r="Q117" i="3"/>
  <c r="P117" i="3"/>
  <c r="O117" i="3"/>
  <c r="N117" i="3"/>
  <c r="M117" i="3"/>
  <c r="I117" i="3"/>
  <c r="G117" i="3" s="1"/>
  <c r="L117" i="3" s="1"/>
  <c r="C117" i="3"/>
  <c r="D117" i="3" s="1"/>
  <c r="B117" i="3"/>
  <c r="A117" i="3"/>
  <c r="Q116" i="3"/>
  <c r="P116" i="3"/>
  <c r="O116" i="3"/>
  <c r="N116" i="3"/>
  <c r="M116" i="3"/>
  <c r="I116" i="3"/>
  <c r="G116" i="3" s="1"/>
  <c r="L116" i="3" s="1"/>
  <c r="C116" i="3"/>
  <c r="D116" i="3" s="1"/>
  <c r="B116" i="3"/>
  <c r="A116" i="3"/>
  <c r="Q115" i="3"/>
  <c r="P115" i="3"/>
  <c r="O115" i="3"/>
  <c r="N115" i="3"/>
  <c r="M115" i="3"/>
  <c r="I115" i="3"/>
  <c r="G115" i="3" s="1"/>
  <c r="L115" i="3" s="1"/>
  <c r="C115" i="3"/>
  <c r="D115" i="3" s="1"/>
  <c r="B115" i="3"/>
  <c r="A115" i="3"/>
  <c r="Q114" i="3"/>
  <c r="P114" i="3"/>
  <c r="O114" i="3"/>
  <c r="N114" i="3"/>
  <c r="M114" i="3"/>
  <c r="I114" i="3"/>
  <c r="G114" i="3" s="1"/>
  <c r="L114" i="3" s="1"/>
  <c r="C114" i="3"/>
  <c r="D114" i="3" s="1"/>
  <c r="B114" i="3"/>
  <c r="A114" i="3"/>
  <c r="Q113" i="3"/>
  <c r="P113" i="3"/>
  <c r="O113" i="3"/>
  <c r="N113" i="3"/>
  <c r="M113" i="3"/>
  <c r="I113" i="3"/>
  <c r="G113" i="3" s="1"/>
  <c r="L113" i="3" s="1"/>
  <c r="C113" i="3"/>
  <c r="D113" i="3" s="1"/>
  <c r="B113" i="3"/>
  <c r="A113" i="3"/>
  <c r="Q112" i="3"/>
  <c r="P112" i="3"/>
  <c r="O112" i="3"/>
  <c r="N112" i="3"/>
  <c r="M112" i="3"/>
  <c r="I112" i="3"/>
  <c r="G112" i="3" s="1"/>
  <c r="L112" i="3" s="1"/>
  <c r="C112" i="3"/>
  <c r="D112" i="3" s="1"/>
  <c r="B112" i="3"/>
  <c r="A112" i="3"/>
  <c r="Q111" i="3"/>
  <c r="P111" i="3"/>
  <c r="O111" i="3"/>
  <c r="N111" i="3"/>
  <c r="M111" i="3"/>
  <c r="I111" i="3"/>
  <c r="G111" i="3" s="1"/>
  <c r="L111" i="3" s="1"/>
  <c r="C111" i="3"/>
  <c r="D111" i="3" s="1"/>
  <c r="B111" i="3"/>
  <c r="A111" i="3"/>
  <c r="Q110" i="3"/>
  <c r="P110" i="3"/>
  <c r="O110" i="3"/>
  <c r="N110" i="3"/>
  <c r="M110" i="3"/>
  <c r="I110" i="3"/>
  <c r="G110" i="3" s="1"/>
  <c r="L110" i="3" s="1"/>
  <c r="C110" i="3"/>
  <c r="D110" i="3" s="1"/>
  <c r="B110" i="3"/>
  <c r="A110" i="3"/>
  <c r="Q109" i="3"/>
  <c r="P109" i="3"/>
  <c r="O109" i="3"/>
  <c r="N109" i="3"/>
  <c r="M109" i="3"/>
  <c r="I109" i="3"/>
  <c r="G109" i="3" s="1"/>
  <c r="L109" i="3" s="1"/>
  <c r="C109" i="3"/>
  <c r="D109" i="3" s="1"/>
  <c r="B109" i="3"/>
  <c r="A109" i="3"/>
  <c r="Q108" i="3"/>
  <c r="P108" i="3"/>
  <c r="O108" i="3"/>
  <c r="N108" i="3"/>
  <c r="M108" i="3"/>
  <c r="I108" i="3"/>
  <c r="G108" i="3" s="1"/>
  <c r="L108" i="3" s="1"/>
  <c r="C108" i="3"/>
  <c r="D108" i="3" s="1"/>
  <c r="B108" i="3"/>
  <c r="A108" i="3"/>
  <c r="Q107" i="3"/>
  <c r="P107" i="3"/>
  <c r="O107" i="3"/>
  <c r="N107" i="3"/>
  <c r="M107" i="3"/>
  <c r="I107" i="3"/>
  <c r="G107" i="3" s="1"/>
  <c r="L107" i="3" s="1"/>
  <c r="C107" i="3"/>
  <c r="D107" i="3" s="1"/>
  <c r="B107" i="3"/>
  <c r="A107" i="3"/>
  <c r="Q106" i="3"/>
  <c r="P106" i="3"/>
  <c r="O106" i="3"/>
  <c r="N106" i="3"/>
  <c r="M106" i="3"/>
  <c r="I106" i="3"/>
  <c r="G106" i="3" s="1"/>
  <c r="L106" i="3" s="1"/>
  <c r="C106" i="3"/>
  <c r="D106" i="3" s="1"/>
  <c r="B106" i="3"/>
  <c r="A106" i="3"/>
  <c r="Q105" i="3"/>
  <c r="P105" i="3"/>
  <c r="O105" i="3"/>
  <c r="N105" i="3"/>
  <c r="M105" i="3"/>
  <c r="I105" i="3"/>
  <c r="G105" i="3" s="1"/>
  <c r="L105" i="3" s="1"/>
  <c r="C105" i="3"/>
  <c r="D105" i="3" s="1"/>
  <c r="B105" i="3"/>
  <c r="A105" i="3"/>
  <c r="Q104" i="3"/>
  <c r="P104" i="3"/>
  <c r="O104" i="3"/>
  <c r="N104" i="3"/>
  <c r="M104" i="3"/>
  <c r="I104" i="3"/>
  <c r="G104" i="3" s="1"/>
  <c r="L104" i="3" s="1"/>
  <c r="C104" i="3"/>
  <c r="D104" i="3" s="1"/>
  <c r="B104" i="3"/>
  <c r="A104" i="3"/>
  <c r="Q103" i="3"/>
  <c r="P103" i="3"/>
  <c r="O103" i="3"/>
  <c r="N103" i="3"/>
  <c r="M103" i="3"/>
  <c r="I103" i="3"/>
  <c r="G103" i="3" s="1"/>
  <c r="L103" i="3" s="1"/>
  <c r="C103" i="3"/>
  <c r="D103" i="3" s="1"/>
  <c r="B103" i="3"/>
  <c r="A103" i="3"/>
  <c r="Q102" i="3"/>
  <c r="P102" i="3"/>
  <c r="O102" i="3"/>
  <c r="N102" i="3"/>
  <c r="M102" i="3"/>
  <c r="I102" i="3"/>
  <c r="G102" i="3" s="1"/>
  <c r="L102" i="3" s="1"/>
  <c r="C102" i="3"/>
  <c r="D102" i="3" s="1"/>
  <c r="B102" i="3"/>
  <c r="A102" i="3"/>
  <c r="Q101" i="3"/>
  <c r="P101" i="3"/>
  <c r="O101" i="3"/>
  <c r="N101" i="3"/>
  <c r="M101" i="3"/>
  <c r="I101" i="3"/>
  <c r="G101" i="3" s="1"/>
  <c r="L101" i="3" s="1"/>
  <c r="C101" i="3"/>
  <c r="D101" i="3" s="1"/>
  <c r="B101" i="3"/>
  <c r="A101" i="3"/>
  <c r="Q100" i="3"/>
  <c r="P100" i="3"/>
  <c r="O100" i="3"/>
  <c r="N100" i="3"/>
  <c r="M100" i="3"/>
  <c r="I100" i="3"/>
  <c r="G100" i="3" s="1"/>
  <c r="L100" i="3" s="1"/>
  <c r="C100" i="3"/>
  <c r="D100" i="3" s="1"/>
  <c r="B100" i="3"/>
  <c r="A100" i="3"/>
  <c r="Q99" i="3"/>
  <c r="P99" i="3"/>
  <c r="O99" i="3"/>
  <c r="N99" i="3"/>
  <c r="M99" i="3"/>
  <c r="I99" i="3"/>
  <c r="G99" i="3" s="1"/>
  <c r="L99" i="3" s="1"/>
  <c r="C99" i="3"/>
  <c r="D99" i="3" s="1"/>
  <c r="B99" i="3"/>
  <c r="A99" i="3"/>
  <c r="Q98" i="3"/>
  <c r="P98" i="3"/>
  <c r="O98" i="3"/>
  <c r="N98" i="3"/>
  <c r="M98" i="3"/>
  <c r="I98" i="3"/>
  <c r="G98" i="3" s="1"/>
  <c r="L98" i="3" s="1"/>
  <c r="C98" i="3"/>
  <c r="D98" i="3" s="1"/>
  <c r="B98" i="3"/>
  <c r="A98" i="3"/>
  <c r="Q97" i="3"/>
  <c r="P97" i="3"/>
  <c r="O97" i="3"/>
  <c r="N97" i="3"/>
  <c r="M97" i="3"/>
  <c r="I97" i="3"/>
  <c r="G97" i="3" s="1"/>
  <c r="L97" i="3" s="1"/>
  <c r="C97" i="3"/>
  <c r="D97" i="3" s="1"/>
  <c r="B97" i="3"/>
  <c r="A97" i="3"/>
  <c r="Q96" i="3"/>
  <c r="P96" i="3"/>
  <c r="O96" i="3"/>
  <c r="N96" i="3"/>
  <c r="M96" i="3"/>
  <c r="I96" i="3"/>
  <c r="G96" i="3" s="1"/>
  <c r="L96" i="3" s="1"/>
  <c r="C96" i="3"/>
  <c r="D96" i="3" s="1"/>
  <c r="B96" i="3"/>
  <c r="A96" i="3"/>
  <c r="Q95" i="3"/>
  <c r="P95" i="3"/>
  <c r="O95" i="3"/>
  <c r="N95" i="3"/>
  <c r="M95" i="3"/>
  <c r="I95" i="3"/>
  <c r="G95" i="3" s="1"/>
  <c r="L95" i="3" s="1"/>
  <c r="C95" i="3"/>
  <c r="D95" i="3" s="1"/>
  <c r="B95" i="3"/>
  <c r="A95" i="3"/>
  <c r="Q94" i="3"/>
  <c r="P94" i="3"/>
  <c r="O94" i="3"/>
  <c r="N94" i="3"/>
  <c r="M94" i="3"/>
  <c r="I94" i="3"/>
  <c r="G94" i="3" s="1"/>
  <c r="L94" i="3" s="1"/>
  <c r="C94" i="3"/>
  <c r="D94" i="3" s="1"/>
  <c r="B94" i="3"/>
  <c r="A94" i="3"/>
  <c r="Q93" i="3"/>
  <c r="P93" i="3"/>
  <c r="O93" i="3"/>
  <c r="N93" i="3"/>
  <c r="M93" i="3"/>
  <c r="I93" i="3"/>
  <c r="G93" i="3" s="1"/>
  <c r="L93" i="3" s="1"/>
  <c r="C93" i="3"/>
  <c r="D93" i="3" s="1"/>
  <c r="B93" i="3"/>
  <c r="A93" i="3"/>
  <c r="Q92" i="3"/>
  <c r="P92" i="3"/>
  <c r="O92" i="3"/>
  <c r="N92" i="3"/>
  <c r="M92" i="3"/>
  <c r="I92" i="3"/>
  <c r="G92" i="3" s="1"/>
  <c r="L92" i="3" s="1"/>
  <c r="C92" i="3"/>
  <c r="D92" i="3" s="1"/>
  <c r="B92" i="3"/>
  <c r="A92" i="3"/>
  <c r="Q91" i="3"/>
  <c r="P91" i="3"/>
  <c r="O91" i="3"/>
  <c r="N91" i="3"/>
  <c r="M91" i="3"/>
  <c r="I91" i="3"/>
  <c r="G91" i="3" s="1"/>
  <c r="L91" i="3" s="1"/>
  <c r="C91" i="3"/>
  <c r="D91" i="3" s="1"/>
  <c r="B91" i="3"/>
  <c r="A91" i="3"/>
  <c r="Q90" i="3"/>
  <c r="P90" i="3"/>
  <c r="O90" i="3"/>
  <c r="N90" i="3"/>
  <c r="M90" i="3"/>
  <c r="I90" i="3"/>
  <c r="G90" i="3" s="1"/>
  <c r="L90" i="3" s="1"/>
  <c r="C90" i="3"/>
  <c r="D90" i="3" s="1"/>
  <c r="B90" i="3"/>
  <c r="A90" i="3"/>
  <c r="Q89" i="3"/>
  <c r="P89" i="3"/>
  <c r="O89" i="3"/>
  <c r="N89" i="3"/>
  <c r="M89" i="3"/>
  <c r="I89" i="3"/>
  <c r="G89" i="3" s="1"/>
  <c r="L89" i="3" s="1"/>
  <c r="C89" i="3"/>
  <c r="D89" i="3" s="1"/>
  <c r="B89" i="3"/>
  <c r="A89" i="3"/>
  <c r="Q88" i="3"/>
  <c r="P88" i="3"/>
  <c r="O88" i="3"/>
  <c r="N88" i="3"/>
  <c r="M88" i="3"/>
  <c r="I88" i="3"/>
  <c r="G88" i="3" s="1"/>
  <c r="L88" i="3" s="1"/>
  <c r="C88" i="3"/>
  <c r="D88" i="3" s="1"/>
  <c r="B88" i="3"/>
  <c r="A88" i="3"/>
  <c r="Q87" i="3"/>
  <c r="P87" i="3"/>
  <c r="O87" i="3"/>
  <c r="N87" i="3"/>
  <c r="M87" i="3"/>
  <c r="I87" i="3"/>
  <c r="G87" i="3" s="1"/>
  <c r="L87" i="3" s="1"/>
  <c r="C87" i="3"/>
  <c r="D87" i="3" s="1"/>
  <c r="B87" i="3"/>
  <c r="A87" i="3"/>
  <c r="Q86" i="3"/>
  <c r="P86" i="3"/>
  <c r="O86" i="3"/>
  <c r="N86" i="3"/>
  <c r="M86" i="3"/>
  <c r="I86" i="3"/>
  <c r="G86" i="3" s="1"/>
  <c r="L86" i="3" s="1"/>
  <c r="C86" i="3"/>
  <c r="D86" i="3" s="1"/>
  <c r="B86" i="3"/>
  <c r="A86" i="3"/>
  <c r="Q85" i="3"/>
  <c r="P85" i="3"/>
  <c r="O85" i="3"/>
  <c r="N85" i="3"/>
  <c r="M85" i="3"/>
  <c r="I85" i="3"/>
  <c r="G85" i="3" s="1"/>
  <c r="L85" i="3" s="1"/>
  <c r="C85" i="3"/>
  <c r="D85" i="3" s="1"/>
  <c r="B85" i="3"/>
  <c r="A85" i="3"/>
  <c r="Q84" i="3"/>
  <c r="P84" i="3"/>
  <c r="O84" i="3"/>
  <c r="N84" i="3"/>
  <c r="M84" i="3"/>
  <c r="I84" i="3"/>
  <c r="G84" i="3" s="1"/>
  <c r="L84" i="3" s="1"/>
  <c r="C84" i="3"/>
  <c r="D84" i="3" s="1"/>
  <c r="B84" i="3"/>
  <c r="A84" i="3"/>
  <c r="Q83" i="3"/>
  <c r="P83" i="3"/>
  <c r="O83" i="3"/>
  <c r="N83" i="3"/>
  <c r="M83" i="3"/>
  <c r="I83" i="3"/>
  <c r="G83" i="3" s="1"/>
  <c r="L83" i="3" s="1"/>
  <c r="C83" i="3"/>
  <c r="D83" i="3" s="1"/>
  <c r="B83" i="3"/>
  <c r="A83" i="3"/>
  <c r="Q82" i="3"/>
  <c r="P82" i="3"/>
  <c r="O82" i="3"/>
  <c r="N82" i="3"/>
  <c r="M82" i="3"/>
  <c r="I82" i="3"/>
  <c r="G82" i="3" s="1"/>
  <c r="L82" i="3" s="1"/>
  <c r="C82" i="3"/>
  <c r="D82" i="3" s="1"/>
  <c r="B82" i="3"/>
  <c r="A82" i="3"/>
  <c r="Q81" i="3"/>
  <c r="P81" i="3"/>
  <c r="O81" i="3"/>
  <c r="N81" i="3"/>
  <c r="M81" i="3"/>
  <c r="I81" i="3"/>
  <c r="G81" i="3" s="1"/>
  <c r="L81" i="3" s="1"/>
  <c r="C81" i="3"/>
  <c r="D81" i="3" s="1"/>
  <c r="B81" i="3"/>
  <c r="A81" i="3"/>
  <c r="Q80" i="3"/>
  <c r="P80" i="3"/>
  <c r="O80" i="3"/>
  <c r="N80" i="3"/>
  <c r="M80" i="3"/>
  <c r="I80" i="3"/>
  <c r="G80" i="3" s="1"/>
  <c r="L80" i="3" s="1"/>
  <c r="C80" i="3"/>
  <c r="D80" i="3" s="1"/>
  <c r="B80" i="3"/>
  <c r="A80" i="3"/>
  <c r="Q79" i="3"/>
  <c r="P79" i="3"/>
  <c r="O79" i="3"/>
  <c r="N79" i="3"/>
  <c r="M79" i="3"/>
  <c r="I79" i="3"/>
  <c r="G79" i="3" s="1"/>
  <c r="L79" i="3" s="1"/>
  <c r="C79" i="3"/>
  <c r="D79" i="3" s="1"/>
  <c r="B79" i="3"/>
  <c r="A79" i="3"/>
  <c r="Q78" i="3"/>
  <c r="P78" i="3"/>
  <c r="O78" i="3"/>
  <c r="N78" i="3"/>
  <c r="M78" i="3"/>
  <c r="I78" i="3"/>
  <c r="G78" i="3" s="1"/>
  <c r="L78" i="3" s="1"/>
  <c r="C78" i="3"/>
  <c r="D78" i="3" s="1"/>
  <c r="B78" i="3"/>
  <c r="A78" i="3"/>
  <c r="Q77" i="3"/>
  <c r="P77" i="3"/>
  <c r="O77" i="3"/>
  <c r="N77" i="3"/>
  <c r="M77" i="3"/>
  <c r="I77" i="3"/>
  <c r="G77" i="3" s="1"/>
  <c r="L77" i="3" s="1"/>
  <c r="C77" i="3"/>
  <c r="D77" i="3" s="1"/>
  <c r="B77" i="3"/>
  <c r="A77" i="3"/>
  <c r="Q76" i="3"/>
  <c r="P76" i="3"/>
  <c r="O76" i="3"/>
  <c r="N76" i="3"/>
  <c r="M76" i="3"/>
  <c r="I76" i="3"/>
  <c r="G76" i="3" s="1"/>
  <c r="L76" i="3" s="1"/>
  <c r="C76" i="3"/>
  <c r="D76" i="3" s="1"/>
  <c r="B76" i="3"/>
  <c r="A76" i="3"/>
  <c r="Q75" i="3"/>
  <c r="P75" i="3"/>
  <c r="O75" i="3"/>
  <c r="N75" i="3"/>
  <c r="M75" i="3"/>
  <c r="I75" i="3"/>
  <c r="G75" i="3" s="1"/>
  <c r="L75" i="3" s="1"/>
  <c r="C75" i="3"/>
  <c r="D75" i="3" s="1"/>
  <c r="B75" i="3"/>
  <c r="A75" i="3"/>
  <c r="Q74" i="3"/>
  <c r="P74" i="3"/>
  <c r="O74" i="3"/>
  <c r="N74" i="3"/>
  <c r="M74" i="3"/>
  <c r="I74" i="3"/>
  <c r="G74" i="3" s="1"/>
  <c r="L74" i="3" s="1"/>
  <c r="C74" i="3"/>
  <c r="D74" i="3" s="1"/>
  <c r="B74" i="3"/>
  <c r="A74" i="3"/>
  <c r="Q73" i="3"/>
  <c r="P73" i="3"/>
  <c r="O73" i="3"/>
  <c r="N73" i="3"/>
  <c r="M73" i="3"/>
  <c r="I73" i="3"/>
  <c r="G73" i="3" s="1"/>
  <c r="L73" i="3" s="1"/>
  <c r="C73" i="3"/>
  <c r="D73" i="3" s="1"/>
  <c r="B73" i="3"/>
  <c r="A73" i="3"/>
  <c r="Q72" i="3"/>
  <c r="P72" i="3"/>
  <c r="O72" i="3"/>
  <c r="N72" i="3"/>
  <c r="M72" i="3"/>
  <c r="I72" i="3"/>
  <c r="G72" i="3" s="1"/>
  <c r="L72" i="3" s="1"/>
  <c r="C72" i="3"/>
  <c r="D72" i="3" s="1"/>
  <c r="B72" i="3"/>
  <c r="A72" i="3"/>
  <c r="Q71" i="3"/>
  <c r="P71" i="3"/>
  <c r="O71" i="3"/>
  <c r="N71" i="3"/>
  <c r="M71" i="3"/>
  <c r="I71" i="3"/>
  <c r="G71" i="3" s="1"/>
  <c r="L71" i="3" s="1"/>
  <c r="C71" i="3"/>
  <c r="D71" i="3" s="1"/>
  <c r="B71" i="3"/>
  <c r="A71" i="3"/>
  <c r="Q70" i="3"/>
  <c r="P70" i="3"/>
  <c r="O70" i="3"/>
  <c r="N70" i="3"/>
  <c r="M70" i="3"/>
  <c r="I70" i="3"/>
  <c r="G70" i="3" s="1"/>
  <c r="L70" i="3" s="1"/>
  <c r="C70" i="3"/>
  <c r="D70" i="3" s="1"/>
  <c r="B70" i="3"/>
  <c r="A70" i="3"/>
  <c r="Q69" i="3"/>
  <c r="P69" i="3"/>
  <c r="O69" i="3"/>
  <c r="N69" i="3"/>
  <c r="M69" i="3"/>
  <c r="I69" i="3"/>
  <c r="G69" i="3" s="1"/>
  <c r="L69" i="3" s="1"/>
  <c r="C69" i="3"/>
  <c r="D69" i="3" s="1"/>
  <c r="B69" i="3"/>
  <c r="A69" i="3"/>
  <c r="Q68" i="3"/>
  <c r="P68" i="3"/>
  <c r="O68" i="3"/>
  <c r="N68" i="3"/>
  <c r="M68" i="3"/>
  <c r="I68" i="3"/>
  <c r="G68" i="3" s="1"/>
  <c r="L68" i="3" s="1"/>
  <c r="C68" i="3"/>
  <c r="D68" i="3" s="1"/>
  <c r="B68" i="3"/>
  <c r="A68" i="3"/>
  <c r="Q67" i="3"/>
  <c r="P67" i="3"/>
  <c r="O67" i="3"/>
  <c r="N67" i="3"/>
  <c r="M67" i="3"/>
  <c r="I67" i="3"/>
  <c r="G67" i="3" s="1"/>
  <c r="L67" i="3" s="1"/>
  <c r="C67" i="3"/>
  <c r="D67" i="3" s="1"/>
  <c r="B67" i="3"/>
  <c r="A67" i="3"/>
  <c r="Q66" i="3"/>
  <c r="P66" i="3"/>
  <c r="O66" i="3"/>
  <c r="N66" i="3"/>
  <c r="M66" i="3"/>
  <c r="I66" i="3"/>
  <c r="G66" i="3" s="1"/>
  <c r="L66" i="3" s="1"/>
  <c r="C66" i="3"/>
  <c r="D66" i="3" s="1"/>
  <c r="B66" i="3"/>
  <c r="A66" i="3"/>
  <c r="Q65" i="3"/>
  <c r="P65" i="3"/>
  <c r="O65" i="3"/>
  <c r="N65" i="3"/>
  <c r="M65" i="3"/>
  <c r="I65" i="3"/>
  <c r="G65" i="3" s="1"/>
  <c r="L65" i="3" s="1"/>
  <c r="C65" i="3"/>
  <c r="D65" i="3" s="1"/>
  <c r="B65" i="3"/>
  <c r="A65" i="3"/>
  <c r="Q64" i="3"/>
  <c r="P64" i="3"/>
  <c r="O64" i="3"/>
  <c r="N64" i="3"/>
  <c r="M64" i="3"/>
  <c r="I64" i="3"/>
  <c r="G64" i="3" s="1"/>
  <c r="L64" i="3" s="1"/>
  <c r="C64" i="3"/>
  <c r="D64" i="3" s="1"/>
  <c r="B64" i="3"/>
  <c r="A64" i="3"/>
  <c r="Q63" i="3"/>
  <c r="P63" i="3"/>
  <c r="O63" i="3"/>
  <c r="N63" i="3"/>
  <c r="M63" i="3"/>
  <c r="I63" i="3"/>
  <c r="G63" i="3" s="1"/>
  <c r="L63" i="3" s="1"/>
  <c r="C63" i="3"/>
  <c r="D63" i="3" s="1"/>
  <c r="B63" i="3"/>
  <c r="A63" i="3"/>
  <c r="Q62" i="3"/>
  <c r="P62" i="3"/>
  <c r="O62" i="3"/>
  <c r="N62" i="3"/>
  <c r="M62" i="3"/>
  <c r="I62" i="3"/>
  <c r="G62" i="3" s="1"/>
  <c r="L62" i="3" s="1"/>
  <c r="C62" i="3"/>
  <c r="D62" i="3" s="1"/>
  <c r="B62" i="3"/>
  <c r="A62" i="3"/>
  <c r="Q61" i="3"/>
  <c r="P61" i="3"/>
  <c r="O61" i="3"/>
  <c r="N61" i="3"/>
  <c r="M61" i="3"/>
  <c r="I61" i="3"/>
  <c r="G61" i="3" s="1"/>
  <c r="L61" i="3" s="1"/>
  <c r="C61" i="3"/>
  <c r="D61" i="3" s="1"/>
  <c r="B61" i="3"/>
  <c r="A61" i="3"/>
  <c r="Q60" i="3"/>
  <c r="P60" i="3"/>
  <c r="O60" i="3"/>
  <c r="N60" i="3"/>
  <c r="M60" i="3"/>
  <c r="I60" i="3"/>
  <c r="G60" i="3" s="1"/>
  <c r="L60" i="3" s="1"/>
  <c r="C60" i="3"/>
  <c r="D60" i="3" s="1"/>
  <c r="B60" i="3"/>
  <c r="A60" i="3"/>
  <c r="Q59" i="3"/>
  <c r="P59" i="3"/>
  <c r="O59" i="3"/>
  <c r="N59" i="3"/>
  <c r="M59" i="3"/>
  <c r="I59" i="3"/>
  <c r="G59" i="3" s="1"/>
  <c r="L59" i="3" s="1"/>
  <c r="C59" i="3"/>
  <c r="D59" i="3" s="1"/>
  <c r="B59" i="3"/>
  <c r="A59" i="3"/>
  <c r="Q58" i="3"/>
  <c r="P58" i="3"/>
  <c r="O58" i="3"/>
  <c r="N58" i="3"/>
  <c r="M58" i="3"/>
  <c r="I58" i="3"/>
  <c r="G58" i="3" s="1"/>
  <c r="L58" i="3" s="1"/>
  <c r="C58" i="3"/>
  <c r="D58" i="3" s="1"/>
  <c r="B58" i="3"/>
  <c r="A58" i="3"/>
  <c r="Q57" i="3"/>
  <c r="P57" i="3"/>
  <c r="O57" i="3"/>
  <c r="N57" i="3"/>
  <c r="M57" i="3"/>
  <c r="I57" i="3"/>
  <c r="G57" i="3" s="1"/>
  <c r="L57" i="3" s="1"/>
  <c r="C57" i="3"/>
  <c r="D57" i="3" s="1"/>
  <c r="B57" i="3"/>
  <c r="A57" i="3"/>
  <c r="Q56" i="3"/>
  <c r="P56" i="3"/>
  <c r="O56" i="3"/>
  <c r="N56" i="3"/>
  <c r="M56" i="3"/>
  <c r="I56" i="3"/>
  <c r="G56" i="3" s="1"/>
  <c r="L56" i="3" s="1"/>
  <c r="C56" i="3"/>
  <c r="D56" i="3" s="1"/>
  <c r="B56" i="3"/>
  <c r="A56" i="3"/>
  <c r="Q55" i="3"/>
  <c r="P55" i="3"/>
  <c r="O55" i="3"/>
  <c r="N55" i="3"/>
  <c r="M55" i="3"/>
  <c r="I55" i="3"/>
  <c r="G55" i="3" s="1"/>
  <c r="L55" i="3" s="1"/>
  <c r="C55" i="3"/>
  <c r="D55" i="3" s="1"/>
  <c r="B55" i="3"/>
  <c r="A55" i="3"/>
  <c r="Q54" i="3"/>
  <c r="P54" i="3"/>
  <c r="O54" i="3"/>
  <c r="N54" i="3"/>
  <c r="M54" i="3"/>
  <c r="I54" i="3"/>
  <c r="G54" i="3" s="1"/>
  <c r="L54" i="3" s="1"/>
  <c r="C54" i="3"/>
  <c r="D54" i="3" s="1"/>
  <c r="B54" i="3"/>
  <c r="A54" i="3"/>
  <c r="Q53" i="3"/>
  <c r="P53" i="3"/>
  <c r="O53" i="3"/>
  <c r="N53" i="3"/>
  <c r="M53" i="3"/>
  <c r="I53" i="3"/>
  <c r="G53" i="3" s="1"/>
  <c r="L53" i="3" s="1"/>
  <c r="C53" i="3"/>
  <c r="D53" i="3" s="1"/>
  <c r="B53" i="3"/>
  <c r="A53" i="3"/>
  <c r="Q52" i="3"/>
  <c r="P52" i="3"/>
  <c r="O52" i="3"/>
  <c r="N52" i="3"/>
  <c r="M52" i="3"/>
  <c r="I52" i="3"/>
  <c r="G52" i="3" s="1"/>
  <c r="L52" i="3" s="1"/>
  <c r="C52" i="3"/>
  <c r="D52" i="3" s="1"/>
  <c r="B52" i="3"/>
  <c r="A52" i="3"/>
  <c r="Q51" i="3"/>
  <c r="P51" i="3"/>
  <c r="O51" i="3"/>
  <c r="N51" i="3"/>
  <c r="M51" i="3"/>
  <c r="I51" i="3"/>
  <c r="G51" i="3" s="1"/>
  <c r="L51" i="3" s="1"/>
  <c r="C51" i="3"/>
  <c r="D51" i="3" s="1"/>
  <c r="B51" i="3"/>
  <c r="A51" i="3"/>
  <c r="Q50" i="3"/>
  <c r="P50" i="3"/>
  <c r="O50" i="3"/>
  <c r="N50" i="3"/>
  <c r="M50" i="3"/>
  <c r="I50" i="3"/>
  <c r="G50" i="3" s="1"/>
  <c r="L50" i="3" s="1"/>
  <c r="C50" i="3"/>
  <c r="D50" i="3" s="1"/>
  <c r="B50" i="3"/>
  <c r="A50" i="3"/>
  <c r="Q49" i="3"/>
  <c r="P49" i="3"/>
  <c r="O49" i="3"/>
  <c r="N49" i="3"/>
  <c r="M49" i="3"/>
  <c r="I49" i="3"/>
  <c r="G49" i="3" s="1"/>
  <c r="L49" i="3" s="1"/>
  <c r="C49" i="3"/>
  <c r="D49" i="3" s="1"/>
  <c r="B49" i="3"/>
  <c r="A49" i="3"/>
  <c r="Q48" i="3"/>
  <c r="P48" i="3"/>
  <c r="O48" i="3"/>
  <c r="N48" i="3"/>
  <c r="M48" i="3"/>
  <c r="I48" i="3"/>
  <c r="G48" i="3" s="1"/>
  <c r="L48" i="3" s="1"/>
  <c r="C48" i="3"/>
  <c r="D48" i="3" s="1"/>
  <c r="B48" i="3"/>
  <c r="A48" i="3"/>
  <c r="Q47" i="3"/>
  <c r="P47" i="3"/>
  <c r="O47" i="3"/>
  <c r="N47" i="3"/>
  <c r="M47" i="3"/>
  <c r="I47" i="3"/>
  <c r="G47" i="3" s="1"/>
  <c r="L47" i="3" s="1"/>
  <c r="C47" i="3"/>
  <c r="D47" i="3" s="1"/>
  <c r="B47" i="3"/>
  <c r="A47" i="3"/>
  <c r="Q46" i="3"/>
  <c r="P46" i="3"/>
  <c r="O46" i="3"/>
  <c r="N46" i="3"/>
  <c r="M46" i="3"/>
  <c r="I46" i="3"/>
  <c r="G46" i="3" s="1"/>
  <c r="L46" i="3" s="1"/>
  <c r="C46" i="3"/>
  <c r="D46" i="3" s="1"/>
  <c r="B46" i="3"/>
  <c r="A46" i="3"/>
  <c r="Q45" i="3"/>
  <c r="P45" i="3"/>
  <c r="O45" i="3"/>
  <c r="N45" i="3"/>
  <c r="M45" i="3"/>
  <c r="I45" i="3"/>
  <c r="G45" i="3" s="1"/>
  <c r="L45" i="3" s="1"/>
  <c r="C45" i="3"/>
  <c r="D45" i="3" s="1"/>
  <c r="B45" i="3"/>
  <c r="A45" i="3"/>
  <c r="Q44" i="3"/>
  <c r="P44" i="3"/>
  <c r="O44" i="3"/>
  <c r="N44" i="3"/>
  <c r="M44" i="3"/>
  <c r="I44" i="3"/>
  <c r="G44" i="3" s="1"/>
  <c r="L44" i="3" s="1"/>
  <c r="C44" i="3"/>
  <c r="D44" i="3" s="1"/>
  <c r="B44" i="3"/>
  <c r="A44" i="3"/>
  <c r="Q43" i="3"/>
  <c r="P43" i="3"/>
  <c r="O43" i="3"/>
  <c r="N43" i="3"/>
  <c r="M43" i="3"/>
  <c r="I43" i="3"/>
  <c r="G43" i="3" s="1"/>
  <c r="L43" i="3" s="1"/>
  <c r="C43" i="3"/>
  <c r="D43" i="3" s="1"/>
  <c r="B43" i="3"/>
  <c r="A43" i="3"/>
  <c r="Q42" i="3"/>
  <c r="P42" i="3"/>
  <c r="O42" i="3"/>
  <c r="N42" i="3"/>
  <c r="M42" i="3"/>
  <c r="I42" i="3"/>
  <c r="G42" i="3" s="1"/>
  <c r="L42" i="3" s="1"/>
  <c r="C42" i="3"/>
  <c r="D42" i="3" s="1"/>
  <c r="B42" i="3"/>
  <c r="A42" i="3"/>
  <c r="Q41" i="3"/>
  <c r="P41" i="3"/>
  <c r="O41" i="3"/>
  <c r="N41" i="3"/>
  <c r="M41" i="3"/>
  <c r="I41" i="3"/>
  <c r="G41" i="3" s="1"/>
  <c r="L41" i="3" s="1"/>
  <c r="C41" i="3"/>
  <c r="D41" i="3" s="1"/>
  <c r="B41" i="3"/>
  <c r="A41" i="3"/>
  <c r="Q40" i="3"/>
  <c r="P40" i="3"/>
  <c r="O40" i="3"/>
  <c r="N40" i="3"/>
  <c r="M40" i="3"/>
  <c r="I40" i="3"/>
  <c r="G40" i="3" s="1"/>
  <c r="L40" i="3" s="1"/>
  <c r="C40" i="3"/>
  <c r="D40" i="3" s="1"/>
  <c r="B40" i="3"/>
  <c r="A40" i="3"/>
  <c r="Q39" i="3"/>
  <c r="P39" i="3"/>
  <c r="O39" i="3"/>
  <c r="N39" i="3"/>
  <c r="M39" i="3"/>
  <c r="I39" i="3"/>
  <c r="G39" i="3" s="1"/>
  <c r="L39" i="3" s="1"/>
  <c r="C39" i="3"/>
  <c r="D39" i="3" s="1"/>
  <c r="B39" i="3"/>
  <c r="A39" i="3"/>
  <c r="Q38" i="3"/>
  <c r="P38" i="3"/>
  <c r="O38" i="3"/>
  <c r="N38" i="3"/>
  <c r="M38" i="3"/>
  <c r="I38" i="3"/>
  <c r="G38" i="3" s="1"/>
  <c r="L38" i="3" s="1"/>
  <c r="C38" i="3"/>
  <c r="D38" i="3" s="1"/>
  <c r="B38" i="3"/>
  <c r="A38" i="3"/>
  <c r="Q37" i="3"/>
  <c r="P37" i="3"/>
  <c r="O37" i="3"/>
  <c r="N37" i="3"/>
  <c r="M37" i="3"/>
  <c r="I37" i="3"/>
  <c r="G37" i="3" s="1"/>
  <c r="L37" i="3" s="1"/>
  <c r="C37" i="3"/>
  <c r="D37" i="3" s="1"/>
  <c r="B37" i="3"/>
  <c r="A37" i="3"/>
  <c r="Q36" i="3"/>
  <c r="P36" i="3"/>
  <c r="O36" i="3"/>
  <c r="N36" i="3"/>
  <c r="M36" i="3"/>
  <c r="I36" i="3"/>
  <c r="G36" i="3" s="1"/>
  <c r="L36" i="3" s="1"/>
  <c r="C36" i="3"/>
  <c r="D36" i="3" s="1"/>
  <c r="B36" i="3"/>
  <c r="A36" i="3"/>
  <c r="Q35" i="3"/>
  <c r="P35" i="3"/>
  <c r="O35" i="3"/>
  <c r="N35" i="3"/>
  <c r="M35" i="3"/>
  <c r="I35" i="3"/>
  <c r="G35" i="3" s="1"/>
  <c r="L35" i="3" s="1"/>
  <c r="C35" i="3"/>
  <c r="D35" i="3" s="1"/>
  <c r="B35" i="3"/>
  <c r="A35" i="3"/>
  <c r="Q34" i="3"/>
  <c r="P34" i="3"/>
  <c r="O34" i="3"/>
  <c r="N34" i="3"/>
  <c r="M34" i="3"/>
  <c r="I34" i="3"/>
  <c r="G34" i="3" s="1"/>
  <c r="L34" i="3" s="1"/>
  <c r="C34" i="3"/>
  <c r="D34" i="3" s="1"/>
  <c r="B34" i="3"/>
  <c r="A34" i="3"/>
  <c r="Q33" i="3"/>
  <c r="P33" i="3"/>
  <c r="O33" i="3"/>
  <c r="N33" i="3"/>
  <c r="M33" i="3"/>
  <c r="I33" i="3"/>
  <c r="G33" i="3" s="1"/>
  <c r="L33" i="3" s="1"/>
  <c r="C33" i="3"/>
  <c r="D33" i="3" s="1"/>
  <c r="B33" i="3"/>
  <c r="A33" i="3"/>
  <c r="Q32" i="3"/>
  <c r="P32" i="3"/>
  <c r="O32" i="3"/>
  <c r="N32" i="3"/>
  <c r="M32" i="3"/>
  <c r="I32" i="3"/>
  <c r="G32" i="3" s="1"/>
  <c r="L32" i="3" s="1"/>
  <c r="C32" i="3"/>
  <c r="D32" i="3" s="1"/>
  <c r="B32" i="3"/>
  <c r="A32" i="3"/>
  <c r="Q31" i="3"/>
  <c r="P31" i="3"/>
  <c r="O31" i="3"/>
  <c r="N31" i="3"/>
  <c r="M31" i="3"/>
  <c r="I31" i="3"/>
  <c r="G31" i="3" s="1"/>
  <c r="L31" i="3" s="1"/>
  <c r="C31" i="3"/>
  <c r="D31" i="3" s="1"/>
  <c r="B31" i="3"/>
  <c r="A31" i="3"/>
  <c r="Q30" i="3"/>
  <c r="P30" i="3"/>
  <c r="O30" i="3"/>
  <c r="N30" i="3"/>
  <c r="M30" i="3"/>
  <c r="I30" i="3"/>
  <c r="G30" i="3" s="1"/>
  <c r="L30" i="3" s="1"/>
  <c r="C30" i="3"/>
  <c r="D30" i="3" s="1"/>
  <c r="B30" i="3"/>
  <c r="A30" i="3"/>
  <c r="Q29" i="3"/>
  <c r="P29" i="3"/>
  <c r="O29" i="3"/>
  <c r="N29" i="3"/>
  <c r="M29" i="3"/>
  <c r="I29" i="3"/>
  <c r="G29" i="3" s="1"/>
  <c r="L29" i="3" s="1"/>
  <c r="C29" i="3"/>
  <c r="D29" i="3" s="1"/>
  <c r="B29" i="3"/>
  <c r="A29" i="3"/>
  <c r="Q28" i="3"/>
  <c r="P28" i="3"/>
  <c r="O28" i="3"/>
  <c r="N28" i="3"/>
  <c r="M28" i="3"/>
  <c r="I28" i="3"/>
  <c r="G28" i="3" s="1"/>
  <c r="L28" i="3" s="1"/>
  <c r="C28" i="3"/>
  <c r="D28" i="3" s="1"/>
  <c r="B28" i="3"/>
  <c r="A28" i="3"/>
  <c r="Q27" i="3"/>
  <c r="P27" i="3"/>
  <c r="O27" i="3"/>
  <c r="N27" i="3"/>
  <c r="M27" i="3"/>
  <c r="I27" i="3"/>
  <c r="G27" i="3" s="1"/>
  <c r="L27" i="3" s="1"/>
  <c r="C27" i="3"/>
  <c r="D27" i="3" s="1"/>
  <c r="B27" i="3"/>
  <c r="A27" i="3"/>
  <c r="Q26" i="3"/>
  <c r="P26" i="3"/>
  <c r="O26" i="3"/>
  <c r="N26" i="3"/>
  <c r="M26" i="3"/>
  <c r="I26" i="3"/>
  <c r="G26" i="3" s="1"/>
  <c r="L26" i="3" s="1"/>
  <c r="C26" i="3"/>
  <c r="D26" i="3" s="1"/>
  <c r="B26" i="3"/>
  <c r="A26" i="3"/>
  <c r="Q25" i="3"/>
  <c r="P25" i="3"/>
  <c r="O25" i="3"/>
  <c r="N25" i="3"/>
  <c r="M25" i="3"/>
  <c r="I25" i="3"/>
  <c r="G25" i="3" s="1"/>
  <c r="L25" i="3" s="1"/>
  <c r="D25" i="3"/>
  <c r="B25" i="3"/>
  <c r="A25" i="3"/>
  <c r="Q24" i="3"/>
  <c r="P24" i="3"/>
  <c r="O24" i="3"/>
  <c r="N24" i="3"/>
  <c r="M24" i="3"/>
  <c r="I24" i="3"/>
  <c r="G24" i="3" s="1"/>
  <c r="L24" i="3" s="1"/>
  <c r="C24" i="3"/>
  <c r="D24" i="3" s="1"/>
  <c r="B24" i="3"/>
  <c r="A24" i="3"/>
  <c r="Q23" i="3"/>
  <c r="P23" i="3"/>
  <c r="O23" i="3"/>
  <c r="N23" i="3"/>
  <c r="M23" i="3"/>
  <c r="I23" i="3"/>
  <c r="G23" i="3" s="1"/>
  <c r="L23" i="3" s="1"/>
  <c r="C23" i="3"/>
  <c r="D23" i="3" s="1"/>
  <c r="B23" i="3"/>
  <c r="A23" i="3"/>
  <c r="Q22" i="3"/>
  <c r="P22" i="3"/>
  <c r="O22" i="3"/>
  <c r="N22" i="3"/>
  <c r="M22" i="3"/>
  <c r="I22" i="3"/>
  <c r="G22" i="3" s="1"/>
  <c r="L22" i="3" s="1"/>
  <c r="C22" i="3"/>
  <c r="D22" i="3" s="1"/>
  <c r="B22" i="3"/>
  <c r="A22" i="3"/>
  <c r="Q21" i="3"/>
  <c r="P21" i="3"/>
  <c r="O21" i="3"/>
  <c r="N21" i="3"/>
  <c r="M21" i="3"/>
  <c r="I21" i="3"/>
  <c r="G21" i="3" s="1"/>
  <c r="L21" i="3" s="1"/>
  <c r="C21" i="3"/>
  <c r="D21" i="3" s="1"/>
  <c r="B21" i="3"/>
  <c r="A21" i="3"/>
  <c r="Q20" i="3"/>
  <c r="P20" i="3"/>
  <c r="O20" i="3"/>
  <c r="N20" i="3"/>
  <c r="M20" i="3"/>
  <c r="I20" i="3"/>
  <c r="G20" i="3" s="1"/>
  <c r="L20" i="3" s="1"/>
  <c r="C20" i="3"/>
  <c r="D20" i="3" s="1"/>
  <c r="B20" i="3"/>
  <c r="A20" i="3"/>
  <c r="Q19" i="3"/>
  <c r="P19" i="3"/>
  <c r="O19" i="3"/>
  <c r="N19" i="3"/>
  <c r="M19" i="3"/>
  <c r="I19" i="3"/>
  <c r="G19" i="3" s="1"/>
  <c r="L19" i="3" s="1"/>
  <c r="C19" i="3"/>
  <c r="D19" i="3" s="1"/>
  <c r="B19" i="3"/>
  <c r="A19" i="3"/>
  <c r="Q18" i="3"/>
  <c r="P18" i="3"/>
  <c r="O18" i="3"/>
  <c r="N18" i="3"/>
  <c r="M18" i="3"/>
  <c r="I18" i="3"/>
  <c r="G18" i="3" s="1"/>
  <c r="L18" i="3" s="1"/>
  <c r="C18" i="3"/>
  <c r="D18" i="3" s="1"/>
  <c r="B18" i="3"/>
  <c r="A18" i="3"/>
  <c r="Q17" i="3"/>
  <c r="P17" i="3"/>
  <c r="O17" i="3"/>
  <c r="N17" i="3"/>
  <c r="M17" i="3"/>
  <c r="I17" i="3"/>
  <c r="G17" i="3" s="1"/>
  <c r="L17" i="3" s="1"/>
  <c r="C17" i="3"/>
  <c r="D17" i="3" s="1"/>
  <c r="B17" i="3"/>
  <c r="A17" i="3"/>
  <c r="Q16" i="3"/>
  <c r="P16" i="3"/>
  <c r="O16" i="3"/>
  <c r="N16" i="3"/>
  <c r="M16" i="3"/>
  <c r="I16" i="3"/>
  <c r="G16" i="3" s="1"/>
  <c r="L16" i="3" s="1"/>
  <c r="C16" i="3"/>
  <c r="D16" i="3" s="1"/>
  <c r="B16" i="3"/>
  <c r="A16" i="3"/>
  <c r="Q15" i="3"/>
  <c r="P15" i="3"/>
  <c r="O15" i="3"/>
  <c r="N15" i="3"/>
  <c r="M15" i="3"/>
  <c r="I15" i="3"/>
  <c r="G15" i="3" s="1"/>
  <c r="L15" i="3" s="1"/>
  <c r="C15" i="3"/>
  <c r="D15" i="3" s="1"/>
  <c r="B15" i="3"/>
  <c r="A15" i="3"/>
  <c r="Q14" i="3"/>
  <c r="P14" i="3"/>
  <c r="O14" i="3"/>
  <c r="N14" i="3"/>
  <c r="M14" i="3"/>
  <c r="I14" i="3"/>
  <c r="G14" i="3" s="1"/>
  <c r="L14" i="3" s="1"/>
  <c r="C14" i="3"/>
  <c r="D14" i="3" s="1"/>
  <c r="B14" i="3"/>
  <c r="A14" i="3"/>
  <c r="Q13" i="3"/>
  <c r="P13" i="3"/>
  <c r="O13" i="3"/>
  <c r="N13" i="3"/>
  <c r="M13" i="3"/>
  <c r="I13" i="3"/>
  <c r="G13" i="3" s="1"/>
  <c r="L13" i="3" s="1"/>
  <c r="C13" i="3"/>
  <c r="D13" i="3" s="1"/>
  <c r="B13" i="3"/>
  <c r="A13" i="3"/>
  <c r="B6" i="3"/>
  <c r="B5" i="3"/>
  <c r="A2" i="3"/>
  <c r="C1" i="3"/>
  <c r="E158" i="3" l="1"/>
  <c r="E162" i="3"/>
  <c r="E174" i="3"/>
  <c r="E178" i="3"/>
  <c r="E182" i="3"/>
  <c r="E190" i="3"/>
  <c r="E202" i="3"/>
  <c r="E206" i="3"/>
  <c r="E154" i="3"/>
  <c r="E166" i="3"/>
  <c r="E170" i="3"/>
  <c r="E186" i="3"/>
  <c r="E194" i="3"/>
  <c r="E198" i="3"/>
  <c r="E130" i="3"/>
  <c r="E142" i="3"/>
  <c r="E146" i="3"/>
  <c r="E110" i="3"/>
  <c r="E114" i="3"/>
  <c r="E118" i="3"/>
  <c r="E122" i="3"/>
  <c r="E126" i="3"/>
  <c r="E134" i="3"/>
  <c r="E138" i="3"/>
  <c r="E150" i="3"/>
  <c r="E210" i="3"/>
  <c r="E214" i="3"/>
  <c r="E218" i="3"/>
  <c r="E222" i="3"/>
  <c r="E226" i="3"/>
  <c r="E230" i="3"/>
  <c r="E234" i="3"/>
  <c r="E14" i="3"/>
  <c r="E18" i="3"/>
  <c r="E22" i="3"/>
  <c r="E26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E86" i="3"/>
  <c r="E90" i="3"/>
  <c r="E94" i="3"/>
  <c r="E98" i="3"/>
  <c r="E102" i="3"/>
  <c r="E106" i="3"/>
  <c r="E238" i="3"/>
  <c r="E242" i="3"/>
  <c r="E246" i="3"/>
  <c r="E250" i="3"/>
  <c r="E254" i="3"/>
  <c r="E258" i="3"/>
  <c r="E15" i="3"/>
  <c r="E19" i="3"/>
  <c r="E23" i="3"/>
  <c r="E27" i="3"/>
  <c r="E31" i="3"/>
  <c r="E35" i="3"/>
  <c r="E39" i="3"/>
  <c r="E43" i="3"/>
  <c r="E47" i="3"/>
  <c r="E51" i="3"/>
  <c r="E55" i="3"/>
  <c r="E59" i="3"/>
  <c r="E63" i="3"/>
  <c r="E67" i="3"/>
  <c r="E71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E171" i="3"/>
  <c r="E175" i="3"/>
  <c r="E179" i="3"/>
  <c r="E183" i="3"/>
  <c r="E187" i="3"/>
  <c r="E191" i="3"/>
  <c r="E195" i="3"/>
  <c r="E199" i="3"/>
  <c r="E13" i="3"/>
  <c r="E17" i="3"/>
  <c r="E21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3" i="3"/>
  <c r="E157" i="3"/>
  <c r="E161" i="3"/>
  <c r="E165" i="3"/>
  <c r="E169" i="3"/>
  <c r="E173" i="3"/>
  <c r="E177" i="3"/>
  <c r="E181" i="3"/>
  <c r="E185" i="3"/>
  <c r="E189" i="3"/>
  <c r="E193" i="3"/>
  <c r="E197" i="3"/>
  <c r="E201" i="3"/>
  <c r="E205" i="3"/>
  <c r="E209" i="3"/>
  <c r="E213" i="3"/>
  <c r="E217" i="3"/>
  <c r="E221" i="3"/>
  <c r="E225" i="3"/>
  <c r="E229" i="3"/>
  <c r="E233" i="3"/>
  <c r="E237" i="3"/>
  <c r="E241" i="3"/>
  <c r="E245" i="3"/>
  <c r="E249" i="3"/>
  <c r="E253" i="3"/>
  <c r="E257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E88" i="3"/>
  <c r="E92" i="3"/>
  <c r="E96" i="3"/>
  <c r="E100" i="3"/>
  <c r="E104" i="3"/>
  <c r="E108" i="3"/>
  <c r="E112" i="3"/>
  <c r="E116" i="3"/>
  <c r="E120" i="3"/>
  <c r="E124" i="3"/>
  <c r="E128" i="3"/>
  <c r="E132" i="3"/>
  <c r="E136" i="3"/>
  <c r="E140" i="3"/>
  <c r="E144" i="3"/>
  <c r="E148" i="3"/>
  <c r="E152" i="3"/>
  <c r="E156" i="3"/>
  <c r="E160" i="3"/>
  <c r="E164" i="3"/>
  <c r="E168" i="3"/>
  <c r="E172" i="3"/>
  <c r="E176" i="3"/>
  <c r="E180" i="3"/>
  <c r="E184" i="3"/>
  <c r="E188" i="3"/>
  <c r="E192" i="3"/>
  <c r="E196" i="3"/>
  <c r="E200" i="3"/>
  <c r="E204" i="3"/>
  <c r="E208" i="3"/>
  <c r="E212" i="3"/>
  <c r="E216" i="3"/>
  <c r="E220" i="3"/>
  <c r="E224" i="3"/>
  <c r="E228" i="3"/>
  <c r="E232" i="3"/>
  <c r="E236" i="3"/>
  <c r="E240" i="3"/>
  <c r="E244" i="3"/>
  <c r="E248" i="3"/>
  <c r="E252" i="3"/>
  <c r="E256" i="3"/>
  <c r="E260" i="3"/>
  <c r="E203" i="3"/>
  <c r="E207" i="3"/>
  <c r="E211" i="3"/>
  <c r="E215" i="3"/>
  <c r="E219" i="3"/>
  <c r="E223" i="3"/>
  <c r="E227" i="3"/>
  <c r="E231" i="3"/>
  <c r="E235" i="3"/>
  <c r="E239" i="3"/>
  <c r="E243" i="3"/>
  <c r="E247" i="3"/>
  <c r="E251" i="3"/>
  <c r="E255" i="3"/>
  <c r="E259" i="3"/>
  <c r="B7" i="3"/>
  <c r="B10" i="3" l="1"/>
  <c r="F84" i="3"/>
  <c r="J84" i="3" l="1"/>
  <c r="F96" i="3"/>
  <c r="F33" i="3"/>
  <c r="F147" i="3"/>
  <c r="F137" i="3"/>
  <c r="F203" i="3"/>
  <c r="F34" i="3"/>
  <c r="F240" i="3"/>
  <c r="F192" i="3"/>
  <c r="F166" i="3"/>
  <c r="F55" i="3"/>
  <c r="F67" i="3"/>
  <c r="F148" i="3"/>
  <c r="F133" i="3"/>
  <c r="F244" i="3"/>
  <c r="F74" i="3"/>
  <c r="F169" i="3"/>
  <c r="F222" i="3"/>
  <c r="F136" i="3"/>
  <c r="F205" i="3"/>
  <c r="F62" i="3"/>
  <c r="F178" i="3"/>
  <c r="F164" i="3"/>
  <c r="F51" i="3"/>
  <c r="F201" i="3"/>
  <c r="F140" i="3"/>
  <c r="F208" i="3"/>
  <c r="F172" i="3"/>
  <c r="F215" i="3"/>
  <c r="F170" i="3"/>
  <c r="F17" i="3"/>
  <c r="F85" i="3"/>
  <c r="F14" i="3"/>
  <c r="F167" i="3"/>
  <c r="F183" i="3"/>
  <c r="F191" i="3"/>
  <c r="F76" i="3"/>
  <c r="F81" i="3"/>
  <c r="F242" i="3"/>
  <c r="F110" i="3"/>
  <c r="F145" i="3"/>
  <c r="F257" i="3"/>
  <c r="F27" i="3"/>
  <c r="F60" i="3"/>
  <c r="F16" i="3"/>
  <c r="F197" i="3"/>
  <c r="F93" i="3"/>
  <c r="F63" i="3"/>
  <c r="F25" i="3"/>
  <c r="F210" i="3"/>
  <c r="F45" i="3"/>
  <c r="F154" i="3"/>
  <c r="F108" i="3"/>
  <c r="F251" i="3"/>
  <c r="F252" i="3"/>
  <c r="F235" i="3"/>
  <c r="F90" i="3"/>
  <c r="F61" i="3"/>
  <c r="F13" i="3"/>
  <c r="F227" i="3"/>
  <c r="F113" i="3"/>
  <c r="F101" i="3"/>
  <c r="F204" i="3"/>
  <c r="F217" i="3"/>
  <c r="F248" i="3"/>
  <c r="F186" i="3"/>
  <c r="F15" i="3"/>
  <c r="F236" i="3"/>
  <c r="F250" i="3"/>
  <c r="F92" i="3"/>
  <c r="F247" i="3"/>
  <c r="F175" i="3"/>
  <c r="F35" i="3"/>
  <c r="F31" i="3"/>
  <c r="F39" i="3"/>
  <c r="F158" i="3"/>
  <c r="F259" i="3"/>
  <c r="F155" i="3"/>
  <c r="F223" i="3"/>
  <c r="F160" i="3"/>
  <c r="F220" i="3"/>
  <c r="F246" i="3"/>
  <c r="F70" i="3"/>
  <c r="F159" i="3"/>
  <c r="F135" i="3"/>
  <c r="F234" i="3"/>
  <c r="F225" i="3"/>
  <c r="F139" i="3"/>
  <c r="F86" i="3"/>
  <c r="F50" i="3"/>
  <c r="F28" i="3"/>
  <c r="F163" i="3"/>
  <c r="F87" i="3"/>
  <c r="F122" i="3"/>
  <c r="F21" i="3"/>
  <c r="F127" i="3"/>
  <c r="F157" i="3"/>
  <c r="F38" i="3"/>
  <c r="F56" i="3"/>
  <c r="F18" i="3"/>
  <c r="F228" i="3"/>
  <c r="F37" i="3"/>
  <c r="F132" i="3"/>
  <c r="F254" i="3"/>
  <c r="F226" i="3"/>
  <c r="F120" i="3"/>
  <c r="F43" i="3"/>
  <c r="F117" i="3"/>
  <c r="F89" i="3"/>
  <c r="F100" i="3"/>
  <c r="F216" i="3"/>
  <c r="F130" i="3"/>
  <c r="F19" i="3"/>
  <c r="F57" i="3"/>
  <c r="F146" i="3"/>
  <c r="F179" i="3"/>
  <c r="F161" i="3"/>
  <c r="F32" i="3"/>
  <c r="F198" i="3"/>
  <c r="F206" i="3"/>
  <c r="F189" i="3"/>
  <c r="F219" i="3"/>
  <c r="F173" i="3"/>
  <c r="F102" i="3"/>
  <c r="F165" i="3"/>
  <c r="F221" i="3"/>
  <c r="F80" i="3"/>
  <c r="F128" i="3"/>
  <c r="F239" i="3"/>
  <c r="F126" i="3"/>
  <c r="F54" i="3"/>
  <c r="F129" i="3"/>
  <c r="F82" i="3"/>
  <c r="F69" i="3"/>
  <c r="F249" i="3"/>
  <c r="F105" i="3"/>
  <c r="F177" i="3"/>
  <c r="F109" i="3"/>
  <c r="F243" i="3"/>
  <c r="F48" i="3"/>
  <c r="F213" i="3"/>
  <c r="F46" i="3"/>
  <c r="F233" i="3"/>
  <c r="F180" i="3"/>
  <c r="F238" i="3"/>
  <c r="F88" i="3"/>
  <c r="F91" i="3"/>
  <c r="F185" i="3"/>
  <c r="F153" i="3"/>
  <c r="F230" i="3"/>
  <c r="F125" i="3"/>
  <c r="F97" i="3"/>
  <c r="F144" i="3"/>
  <c r="F36" i="3"/>
  <c r="F53" i="3"/>
  <c r="F162" i="3"/>
  <c r="F256" i="3"/>
  <c r="F156" i="3"/>
  <c r="F152" i="3"/>
  <c r="F66" i="3"/>
  <c r="F20" i="3"/>
  <c r="F95" i="3"/>
  <c r="F68" i="3"/>
  <c r="F260" i="3"/>
  <c r="F104" i="3"/>
  <c r="F52" i="3"/>
  <c r="F207" i="3"/>
  <c r="F64" i="3"/>
  <c r="F71" i="3"/>
  <c r="F195" i="3"/>
  <c r="F107" i="3"/>
  <c r="F58" i="3"/>
  <c r="F94" i="3"/>
  <c r="F112" i="3"/>
  <c r="F47" i="3"/>
  <c r="F75" i="3"/>
  <c r="F134" i="3"/>
  <c r="F151" i="3"/>
  <c r="F59" i="3"/>
  <c r="F171" i="3"/>
  <c r="F241" i="3"/>
  <c r="F65" i="3"/>
  <c r="F121" i="3"/>
  <c r="F150" i="3"/>
  <c r="F111" i="3"/>
  <c r="F237" i="3"/>
  <c r="F209" i="3"/>
  <c r="F49" i="3"/>
  <c r="F187" i="3"/>
  <c r="F168" i="3"/>
  <c r="F116" i="3"/>
  <c r="F73" i="3"/>
  <c r="F224" i="3"/>
  <c r="F141" i="3"/>
  <c r="F123" i="3"/>
  <c r="F119" i="3"/>
  <c r="F42" i="3"/>
  <c r="F143" i="3"/>
  <c r="F77" i="3"/>
  <c r="F193" i="3"/>
  <c r="F253" i="3"/>
  <c r="F41" i="3"/>
  <c r="F99" i="3"/>
  <c r="F194" i="3"/>
  <c r="F176" i="3"/>
  <c r="F199" i="3"/>
  <c r="F44" i="3"/>
  <c r="F245" i="3"/>
  <c r="F200" i="3"/>
  <c r="F114" i="3"/>
  <c r="F196" i="3"/>
  <c r="F149" i="3"/>
  <c r="F232" i="3"/>
  <c r="F79" i="3"/>
  <c r="F23" i="3"/>
  <c r="F78" i="3"/>
  <c r="F211" i="3"/>
  <c r="F182" i="3"/>
  <c r="F29" i="3"/>
  <c r="F218" i="3"/>
  <c r="F214" i="3"/>
  <c r="F72" i="3"/>
  <c r="F131" i="3"/>
  <c r="F231" i="3"/>
  <c r="F103" i="3"/>
  <c r="F255" i="3"/>
  <c r="F142" i="3"/>
  <c r="F106" i="3"/>
  <c r="F22" i="3"/>
  <c r="F202" i="3"/>
  <c r="F212" i="3"/>
  <c r="F190" i="3"/>
  <c r="F98" i="3"/>
  <c r="F184" i="3"/>
  <c r="F229" i="3"/>
  <c r="F188" i="3"/>
  <c r="F83" i="3"/>
  <c r="F124" i="3"/>
  <c r="F26" i="3"/>
  <c r="F181" i="3"/>
  <c r="F40" i="3"/>
  <c r="F258" i="3"/>
  <c r="F138" i="3"/>
  <c r="F24" i="3"/>
  <c r="F115" i="3"/>
  <c r="F30" i="3"/>
  <c r="F118" i="3"/>
  <c r="F174" i="3"/>
  <c r="J75" i="3" l="1"/>
  <c r="J135" i="3"/>
  <c r="J14" i="3"/>
  <c r="J77" i="3"/>
  <c r="J162" i="3"/>
  <c r="J244" i="3"/>
  <c r="J43" i="3"/>
  <c r="J192" i="3"/>
  <c r="J92" i="3"/>
  <c r="J17" i="3"/>
  <c r="J212" i="3"/>
  <c r="J206" i="3"/>
  <c r="J197" i="3"/>
  <c r="J111" i="3"/>
  <c r="J95" i="3"/>
  <c r="J81" i="3"/>
  <c r="J42" i="3"/>
  <c r="J182" i="3"/>
  <c r="J218" i="3"/>
  <c r="J231" i="3"/>
  <c r="J126" i="3"/>
  <c r="J226" i="3"/>
  <c r="J114" i="3"/>
  <c r="J40" i="3"/>
  <c r="J119" i="3"/>
  <c r="J189" i="3"/>
  <c r="J34" i="3"/>
  <c r="J131" i="3"/>
  <c r="J170" i="3"/>
  <c r="J248" i="3"/>
  <c r="J72" i="3"/>
  <c r="J247" i="3"/>
  <c r="J70" i="3"/>
  <c r="J50" i="3"/>
  <c r="J97" i="3"/>
  <c r="J209" i="3"/>
  <c r="J179" i="3"/>
  <c r="J185" i="3"/>
  <c r="J136" i="3"/>
  <c r="J53" i="3"/>
  <c r="J221" i="3"/>
  <c r="J51" i="3"/>
  <c r="J108" i="3"/>
  <c r="J153" i="3"/>
  <c r="J190" i="3"/>
  <c r="J105" i="3"/>
  <c r="J19" i="3"/>
  <c r="J181" i="3"/>
  <c r="J172" i="3"/>
  <c r="J101" i="3"/>
  <c r="J196" i="3"/>
  <c r="J224" i="3"/>
  <c r="J178" i="3"/>
  <c r="J183" i="3"/>
  <c r="J228" i="3"/>
  <c r="J15" i="3"/>
  <c r="J166" i="3"/>
  <c r="J115" i="3"/>
  <c r="J62" i="3"/>
  <c r="J63" i="3"/>
  <c r="J152" i="3"/>
  <c r="J45" i="3"/>
  <c r="J149" i="3"/>
  <c r="J29" i="3"/>
  <c r="J35" i="3"/>
  <c r="J28" i="3"/>
  <c r="J184" i="3"/>
  <c r="J207" i="3"/>
  <c r="J223" i="3"/>
  <c r="J134" i="3"/>
  <c r="J137" i="3"/>
  <c r="J227" i="3"/>
  <c r="J22" i="3"/>
  <c r="J18" i="3"/>
  <c r="J25" i="3"/>
  <c r="J127" i="3"/>
  <c r="J91" i="3"/>
  <c r="J255" i="3"/>
  <c r="J174" i="3"/>
  <c r="J113" i="3"/>
  <c r="J122" i="3"/>
  <c r="J204" i="3"/>
  <c r="J176" i="3"/>
  <c r="J241" i="3"/>
  <c r="J60" i="3"/>
  <c r="J67" i="3"/>
  <c r="J141" i="3"/>
  <c r="J57" i="3"/>
  <c r="J23" i="3"/>
  <c r="J167" i="3"/>
  <c r="J104" i="3"/>
  <c r="J13" i="3"/>
  <c r="J191" i="3"/>
  <c r="J177" i="3"/>
  <c r="J139" i="3"/>
  <c r="J159" i="3"/>
  <c r="J69" i="3"/>
  <c r="J47" i="3"/>
  <c r="J243" i="3"/>
  <c r="J238" i="3"/>
  <c r="J86" i="3"/>
  <c r="J187" i="3"/>
  <c r="J37" i="3"/>
  <c r="J64" i="3"/>
  <c r="J246" i="3"/>
  <c r="J44" i="3"/>
  <c r="J165" i="3"/>
  <c r="J65" i="3"/>
  <c r="J130" i="3"/>
  <c r="J129" i="3"/>
  <c r="J180" i="3"/>
  <c r="J27" i="3"/>
  <c r="J59" i="3"/>
  <c r="J55" i="3"/>
  <c r="J188" i="3"/>
  <c r="J214" i="3"/>
  <c r="J146" i="3"/>
  <c r="J220" i="3"/>
  <c r="J157" i="3"/>
  <c r="J117" i="3"/>
  <c r="J242" i="3"/>
  <c r="J175" i="3"/>
  <c r="J250" i="3"/>
  <c r="J41" i="3"/>
  <c r="J259" i="3"/>
  <c r="J163" i="3"/>
  <c r="J245" i="3"/>
  <c r="J145" i="3"/>
  <c r="J46" i="3"/>
  <c r="J215" i="3"/>
  <c r="J140" i="3"/>
  <c r="J253" i="3"/>
  <c r="J26" i="3"/>
  <c r="J251" i="3"/>
  <c r="J93" i="3"/>
  <c r="J88" i="3"/>
  <c r="J79" i="3"/>
  <c r="J87" i="3"/>
  <c r="J74" i="3"/>
  <c r="J80" i="3"/>
  <c r="J107" i="3"/>
  <c r="J186" i="3"/>
  <c r="J123" i="3"/>
  <c r="J211" i="3"/>
  <c r="J258" i="3"/>
  <c r="J237" i="3"/>
  <c r="J249" i="3"/>
  <c r="J52" i="3"/>
  <c r="J98" i="3"/>
  <c r="J240" i="3"/>
  <c r="J205" i="3"/>
  <c r="J168" i="3"/>
  <c r="J201" i="3"/>
  <c r="J85" i="3"/>
  <c r="J78" i="3"/>
  <c r="J216" i="3"/>
  <c r="J161" i="3"/>
  <c r="J82" i="3"/>
  <c r="J225" i="3"/>
  <c r="J71" i="3"/>
  <c r="J48" i="3"/>
  <c r="J158" i="3"/>
  <c r="J30" i="3"/>
  <c r="J68" i="3"/>
  <c r="J219" i="3"/>
  <c r="J20" i="3"/>
  <c r="J38" i="3"/>
  <c r="J236" i="3"/>
  <c r="J160" i="3"/>
  <c r="J36" i="3"/>
  <c r="J194" i="3"/>
  <c r="J151" i="3"/>
  <c r="J164" i="3"/>
  <c r="J94" i="3"/>
  <c r="J232" i="3"/>
  <c r="J235" i="3"/>
  <c r="J32" i="3"/>
  <c r="J256" i="3"/>
  <c r="J202" i="3"/>
  <c r="J24" i="3"/>
  <c r="J257" i="3"/>
  <c r="J234" i="3"/>
  <c r="J128" i="3"/>
  <c r="J171" i="3"/>
  <c r="J110" i="3"/>
  <c r="J208" i="3"/>
  <c r="J103" i="3"/>
  <c r="J58" i="3"/>
  <c r="J133" i="3"/>
  <c r="J193" i="3"/>
  <c r="J229" i="3"/>
  <c r="J138" i="3"/>
  <c r="J33" i="3"/>
  <c r="J260" i="3"/>
  <c r="J125" i="3"/>
  <c r="J96" i="3"/>
  <c r="J195" i="3"/>
  <c r="J198" i="3"/>
  <c r="J213" i="3"/>
  <c r="J76" i="3"/>
  <c r="J56" i="3"/>
  <c r="J142" i="3"/>
  <c r="J173" i="3"/>
  <c r="J156" i="3"/>
  <c r="J217" i="3"/>
  <c r="J109" i="3"/>
  <c r="J21" i="3"/>
  <c r="J148" i="3"/>
  <c r="J66" i="3"/>
  <c r="J31" i="3"/>
  <c r="J203" i="3"/>
  <c r="J61" i="3"/>
  <c r="J118" i="3"/>
  <c r="J210" i="3"/>
  <c r="J132" i="3"/>
  <c r="J124" i="3"/>
  <c r="J54" i="3"/>
  <c r="J99" i="3"/>
  <c r="J73" i="3"/>
  <c r="J121" i="3"/>
  <c r="J222" i="3"/>
  <c r="J112" i="3"/>
  <c r="J147" i="3"/>
  <c r="J90" i="3"/>
  <c r="J39" i="3"/>
  <c r="J230" i="3"/>
  <c r="J169" i="3"/>
  <c r="J106" i="3"/>
  <c r="J49" i="3"/>
  <c r="J143" i="3"/>
  <c r="J239" i="3"/>
  <c r="J89" i="3"/>
  <c r="J155" i="3"/>
  <c r="J254" i="3"/>
  <c r="J83" i="3"/>
  <c r="J199" i="3"/>
  <c r="J233" i="3"/>
  <c r="J16" i="3"/>
  <c r="J200" i="3"/>
  <c r="J154" i="3"/>
  <c r="J144" i="3"/>
  <c r="J150" i="3"/>
  <c r="J120" i="3"/>
  <c r="J102" i="3"/>
  <c r="J252" i="3"/>
  <c r="J100" i="3"/>
  <c r="J116" i="3"/>
  <c r="H240" i="3"/>
  <c r="H256" i="3"/>
  <c r="H114" i="3"/>
  <c r="H202" i="3"/>
  <c r="H228" i="3"/>
  <c r="H259" i="3"/>
  <c r="H255" i="3"/>
  <c r="H194" i="3"/>
  <c r="H157" i="3"/>
  <c r="H206" i="3"/>
  <c r="H154" i="3"/>
  <c r="H254" i="3"/>
  <c r="H225" i="3" s="1"/>
  <c r="H196" i="3"/>
  <c r="H185" i="3"/>
  <c r="H120" i="3"/>
  <c r="H23" i="3"/>
  <c r="H132" i="3"/>
  <c r="H195" i="3"/>
  <c r="H232" i="3"/>
  <c r="H258" i="3"/>
  <c r="H257" i="3" s="1"/>
  <c r="H249" i="3"/>
  <c r="H192" i="3"/>
  <c r="H77" i="3"/>
  <c r="H71" i="3" s="1"/>
  <c r="H234" i="3"/>
  <c r="H229" i="3" s="1"/>
  <c r="H246" i="3"/>
  <c r="H241" i="3" s="1"/>
  <c r="H260" i="3"/>
  <c r="H207" i="3"/>
  <c r="H111" i="3"/>
  <c r="K255" i="3" l="1"/>
  <c r="K111" i="3"/>
  <c r="K192" i="3"/>
  <c r="K132" i="3"/>
  <c r="K240" i="3"/>
  <c r="K256" i="3"/>
  <c r="K120" i="3"/>
  <c r="K194" i="3"/>
  <c r="K246" i="3"/>
  <c r="K207" i="3"/>
  <c r="K206" i="3"/>
  <c r="K260" i="3"/>
  <c r="K157" i="3"/>
  <c r="K185" i="3"/>
  <c r="K258" i="3"/>
  <c r="K254" i="3"/>
  <c r="K234" i="3"/>
  <c r="K259" i="3"/>
  <c r="K23" i="3"/>
  <c r="K114" i="3"/>
  <c r="K77" i="3"/>
  <c r="K228" i="3"/>
  <c r="K232" i="3"/>
  <c r="K202" i="3"/>
  <c r="K154" i="3"/>
  <c r="K196" i="3"/>
  <c r="K225" i="3"/>
  <c r="K241" i="3"/>
  <c r="K249" i="3"/>
  <c r="K195" i="3"/>
  <c r="K71" i="3"/>
  <c r="K229" i="3"/>
  <c r="K257" i="3"/>
  <c r="H21" i="3"/>
  <c r="H177" i="3"/>
  <c r="H176" i="3"/>
  <c r="H230" i="3"/>
  <c r="H231" i="3"/>
  <c r="H218" i="3"/>
  <c r="H85" i="3"/>
  <c r="H84" i="3" s="1"/>
  <c r="H205" i="3"/>
  <c r="H118" i="3"/>
  <c r="H216" i="3"/>
  <c r="H113" i="3"/>
  <c r="H201" i="3"/>
  <c r="H107" i="3" s="1"/>
  <c r="H227" i="3"/>
  <c r="H131" i="3"/>
  <c r="H221" i="3"/>
  <c r="H146" i="3"/>
  <c r="H245" i="3"/>
  <c r="H253" i="3"/>
  <c r="H248" i="3"/>
  <c r="H191" i="3"/>
  <c r="H156" i="3"/>
  <c r="H193" i="3"/>
  <c r="H90" i="3"/>
  <c r="H168" i="3"/>
  <c r="H222" i="3"/>
  <c r="H247" i="3"/>
  <c r="H244" i="3"/>
  <c r="H99" i="3"/>
  <c r="H98" i="3" s="1"/>
  <c r="H40" i="3"/>
  <c r="H223" i="3"/>
  <c r="H212" i="3" s="1"/>
  <c r="H226" i="3"/>
  <c r="H136" i="3"/>
  <c r="K176" i="3" l="1"/>
  <c r="K193" i="3"/>
  <c r="K113" i="3"/>
  <c r="K201" i="3"/>
  <c r="K248" i="3"/>
  <c r="K223" i="3"/>
  <c r="K218" i="3"/>
  <c r="K99" i="3"/>
  <c r="K156" i="3"/>
  <c r="K226" i="3"/>
  <c r="K131" i="3"/>
  <c r="K222" i="3"/>
  <c r="K205" i="3"/>
  <c r="K85" i="3"/>
  <c r="K191" i="3"/>
  <c r="K231" i="3"/>
  <c r="K177" i="3"/>
  <c r="K227" i="3"/>
  <c r="K90" i="3"/>
  <c r="K107" i="3"/>
  <c r="K244" i="3"/>
  <c r="K118" i="3"/>
  <c r="K98" i="3"/>
  <c r="K84" i="3"/>
  <c r="K230" i="3"/>
  <c r="K212" i="3"/>
  <c r="K221" i="3"/>
  <c r="K21" i="3"/>
  <c r="K168" i="3"/>
  <c r="K245" i="3"/>
  <c r="K40" i="3"/>
  <c r="K247" i="3"/>
  <c r="K136" i="3"/>
  <c r="K253" i="3"/>
  <c r="K216" i="3"/>
  <c r="K146" i="3"/>
  <c r="H215" i="3"/>
  <c r="H233" i="3"/>
  <c r="H31" i="3"/>
  <c r="H187" i="3"/>
  <c r="H161" i="3"/>
  <c r="H252" i="3"/>
  <c r="H235" i="3"/>
  <c r="H135" i="3"/>
  <c r="H190" i="3"/>
  <c r="H55" i="3"/>
  <c r="H189" i="3"/>
  <c r="H83" i="3"/>
  <c r="H217" i="3"/>
  <c r="H211" i="3" s="1"/>
  <c r="H63" i="3"/>
  <c r="H224" i="3"/>
  <c r="H213" i="3" s="1"/>
  <c r="H28" i="3"/>
  <c r="H119" i="3"/>
  <c r="H220" i="3"/>
  <c r="H204" i="3" s="1"/>
  <c r="H106" i="3"/>
  <c r="H181" i="3"/>
  <c r="H165" i="3"/>
  <c r="H117" i="3"/>
  <c r="H15" i="3"/>
  <c r="H82" i="3"/>
  <c r="H89" i="3"/>
  <c r="H200" i="3"/>
  <c r="H214" i="3"/>
  <c r="H116" i="3"/>
  <c r="H203" i="3"/>
  <c r="H219" i="3"/>
  <c r="H210" i="3" s="1"/>
  <c r="H155" i="3"/>
  <c r="H76" i="3" s="1"/>
  <c r="H199" i="3"/>
  <c r="K200" i="3" l="1"/>
  <c r="K117" i="3"/>
  <c r="K165" i="3"/>
  <c r="K106" i="3"/>
  <c r="K28" i="3"/>
  <c r="K189" i="3"/>
  <c r="K235" i="3"/>
  <c r="K215" i="3"/>
  <c r="K224" i="3"/>
  <c r="K83" i="3"/>
  <c r="K220" i="3"/>
  <c r="K219" i="3"/>
  <c r="K217" i="3"/>
  <c r="K119" i="3"/>
  <c r="B7" i="1"/>
  <c r="B11" i="7"/>
  <c r="K31" i="3"/>
  <c r="K161" i="3"/>
  <c r="K233" i="3"/>
  <c r="K204" i="3"/>
  <c r="K55" i="3"/>
  <c r="K187" i="3"/>
  <c r="K116" i="3"/>
  <c r="K190" i="3"/>
  <c r="K135" i="3"/>
  <c r="K15" i="3"/>
  <c r="K181" i="3"/>
  <c r="K214" i="3"/>
  <c r="K63" i="3"/>
  <c r="K211" i="3"/>
  <c r="K252" i="3"/>
  <c r="K210" i="3"/>
  <c r="K203" i="3"/>
  <c r="K76" i="3"/>
  <c r="K155" i="3"/>
  <c r="K199" i="3"/>
  <c r="K82" i="3"/>
  <c r="K89" i="3"/>
  <c r="K213" i="3"/>
  <c r="H91" i="3"/>
  <c r="H153" i="3"/>
  <c r="H182" i="3"/>
  <c r="H251" i="3"/>
  <c r="H81" i="3"/>
  <c r="H46" i="3"/>
  <c r="H88" i="3"/>
  <c r="H179" i="3"/>
  <c r="H144" i="3"/>
  <c r="H44" i="3"/>
  <c r="H62" i="3"/>
  <c r="H97" i="3"/>
  <c r="H172" i="3"/>
  <c r="H53" i="3"/>
  <c r="H109" i="3"/>
  <c r="H173" i="3"/>
  <c r="H169" i="3"/>
  <c r="H183" i="3"/>
  <c r="H178" i="3" s="1"/>
  <c r="H54" i="3"/>
  <c r="H186" i="3"/>
  <c r="H209" i="3"/>
  <c r="H188" i="3"/>
  <c r="H149" i="3"/>
  <c r="H141" i="3"/>
  <c r="K149" i="3" l="1"/>
  <c r="K179" i="3"/>
  <c r="K153" i="3"/>
  <c r="K91" i="3"/>
  <c r="K173" i="3"/>
  <c r="K186" i="3"/>
  <c r="K46" i="3"/>
  <c r="K172" i="3"/>
  <c r="K54" i="3"/>
  <c r="K183" i="3"/>
  <c r="K141" i="3"/>
  <c r="K209" i="3"/>
  <c r="K97" i="3"/>
  <c r="K144" i="3"/>
  <c r="K109" i="3"/>
  <c r="K169" i="3"/>
  <c r="K188" i="3"/>
  <c r="K182" i="3"/>
  <c r="K251" i="3"/>
  <c r="K62" i="3"/>
  <c r="K88" i="3"/>
  <c r="K53" i="3"/>
  <c r="K81" i="3"/>
  <c r="K178" i="3"/>
  <c r="K44" i="3"/>
  <c r="H164" i="3"/>
  <c r="H208" i="3"/>
  <c r="H96" i="3"/>
  <c r="H70" i="3"/>
  <c r="H43" i="3"/>
  <c r="H80" i="3"/>
  <c r="H138" i="3"/>
  <c r="H110" i="3"/>
  <c r="H92" i="3" s="1"/>
  <c r="H150" i="3"/>
  <c r="H250" i="3"/>
  <c r="H87" i="3"/>
  <c r="H166" i="3"/>
  <c r="H52" i="3"/>
  <c r="H175" i="3"/>
  <c r="H22" i="3"/>
  <c r="H18" i="3" s="1"/>
  <c r="H45" i="3"/>
  <c r="H143" i="3"/>
  <c r="H105" i="3" s="1"/>
  <c r="H108" i="3"/>
  <c r="H121" i="3"/>
  <c r="H180" i="3"/>
  <c r="H174" i="3" s="1"/>
  <c r="H167" i="3"/>
  <c r="H159" i="3" s="1"/>
  <c r="H184" i="3"/>
  <c r="H66" i="3"/>
  <c r="H64" i="3" s="1"/>
  <c r="K184" i="3" l="1"/>
  <c r="K208" i="3"/>
  <c r="K18" i="3"/>
  <c r="K150" i="3"/>
  <c r="K167" i="3"/>
  <c r="K22" i="3"/>
  <c r="K180" i="3"/>
  <c r="K96" i="3"/>
  <c r="K164" i="3"/>
  <c r="K143" i="3"/>
  <c r="K52" i="3"/>
  <c r="K64" i="3"/>
  <c r="K110" i="3"/>
  <c r="K66" i="3"/>
  <c r="K108" i="3"/>
  <c r="K121" i="3"/>
  <c r="K138" i="3"/>
  <c r="K175" i="3"/>
  <c r="K105" i="3"/>
  <c r="K87" i="3"/>
  <c r="K92" i="3"/>
  <c r="K250" i="3"/>
  <c r="K45" i="3"/>
  <c r="K159" i="3"/>
  <c r="K80" i="3"/>
  <c r="K43" i="3"/>
  <c r="K166" i="3"/>
  <c r="K70" i="3"/>
  <c r="K174" i="3"/>
  <c r="H30" i="3"/>
  <c r="H104" i="3"/>
  <c r="H74" i="3"/>
  <c r="H171" i="3"/>
  <c r="H162" i="3" s="1"/>
  <c r="H42" i="3"/>
  <c r="H160" i="3"/>
  <c r="H32" i="3"/>
  <c r="H170" i="3"/>
  <c r="H33" i="3"/>
  <c r="H69" i="3"/>
  <c r="H243" i="3"/>
  <c r="H151" i="3"/>
  <c r="H103" i="3"/>
  <c r="H16" i="3"/>
  <c r="H14" i="3" s="1"/>
  <c r="H86" i="3"/>
  <c r="H73" i="3" s="1"/>
  <c r="H41" i="3"/>
  <c r="K42" i="3" l="1"/>
  <c r="K104" i="3"/>
  <c r="K171" i="3"/>
  <c r="K16" i="3"/>
  <c r="K32" i="3"/>
  <c r="K14" i="3"/>
  <c r="K30" i="3"/>
  <c r="K243" i="3"/>
  <c r="K86" i="3"/>
  <c r="K33" i="3"/>
  <c r="K162" i="3"/>
  <c r="K170" i="3"/>
  <c r="K160" i="3"/>
  <c r="K103" i="3"/>
  <c r="K151" i="3"/>
  <c r="K73" i="3"/>
  <c r="K69" i="3"/>
  <c r="K74" i="3"/>
  <c r="K41" i="3"/>
  <c r="H158" i="3"/>
  <c r="H72" i="3"/>
  <c r="H147" i="3"/>
  <c r="H29" i="3"/>
  <c r="H163" i="3"/>
  <c r="H36" i="3"/>
  <c r="H145" i="3"/>
  <c r="H102" i="3"/>
  <c r="H242" i="3"/>
  <c r="K29" i="3" l="1"/>
  <c r="K242" i="3"/>
  <c r="K158" i="3"/>
  <c r="K36" i="3"/>
  <c r="K145" i="3"/>
  <c r="K72" i="3"/>
  <c r="K163" i="3"/>
  <c r="K147" i="3"/>
  <c r="K102" i="3"/>
  <c r="H130" i="3"/>
  <c r="H134" i="3"/>
  <c r="H239" i="3"/>
  <c r="H142" i="3"/>
  <c r="H35" i="3"/>
  <c r="H34" i="3"/>
  <c r="H68" i="3"/>
  <c r="H152" i="3"/>
  <c r="K239" i="3" l="1"/>
  <c r="K35" i="3"/>
  <c r="K130" i="3"/>
  <c r="K134" i="3"/>
  <c r="K142" i="3"/>
  <c r="K68" i="3"/>
  <c r="K152" i="3"/>
  <c r="K34" i="3"/>
  <c r="H139" i="3"/>
  <c r="H238" i="3"/>
  <c r="H27" i="3"/>
  <c r="H75" i="3"/>
  <c r="H67" i="3"/>
  <c r="H127" i="3"/>
  <c r="H125" i="3" s="1"/>
  <c r="H148" i="3"/>
  <c r="K127" i="3" l="1"/>
  <c r="K238" i="3"/>
  <c r="K148" i="3"/>
  <c r="K75" i="3"/>
  <c r="K125" i="3"/>
  <c r="K139" i="3"/>
  <c r="K67" i="3"/>
  <c r="K27" i="3"/>
  <c r="H115" i="3"/>
  <c r="H133" i="3"/>
  <c r="H237" i="3"/>
  <c r="H140" i="3"/>
  <c r="H126" i="3"/>
  <c r="H236" i="3"/>
  <c r="H198" i="3"/>
  <c r="H197" i="3" s="1"/>
  <c r="H101" i="3" s="1"/>
  <c r="K197" i="3" l="1"/>
  <c r="K198" i="3"/>
  <c r="K236" i="3"/>
  <c r="K237" i="3"/>
  <c r="K101" i="3"/>
  <c r="K140" i="3"/>
  <c r="K133" i="3"/>
  <c r="K115" i="3"/>
  <c r="K126" i="3"/>
  <c r="H100" i="3"/>
  <c r="H95" i="3"/>
  <c r="H122" i="3"/>
  <c r="H137" i="3"/>
  <c r="H51" i="3"/>
  <c r="K100" i="3" l="1"/>
  <c r="K51" i="3"/>
  <c r="K122" i="3"/>
  <c r="K137" i="3"/>
  <c r="K95" i="3"/>
  <c r="H112" i="3"/>
  <c r="H93" i="3"/>
  <c r="H50" i="3"/>
  <c r="H94" i="3"/>
  <c r="H129" i="3"/>
  <c r="H128" i="3" s="1"/>
  <c r="H79" i="3"/>
  <c r="K112" i="3" l="1"/>
  <c r="K50" i="3"/>
  <c r="K129" i="3"/>
  <c r="K128" i="3"/>
  <c r="K94" i="3"/>
  <c r="K79" i="3"/>
  <c r="K93" i="3"/>
  <c r="H124" i="3"/>
  <c r="H123" i="3"/>
  <c r="H60" i="3"/>
  <c r="H78" i="3"/>
  <c r="H65" i="3"/>
  <c r="K124" i="3" l="1"/>
  <c r="K123" i="3"/>
  <c r="K60" i="3"/>
  <c r="K65" i="3"/>
  <c r="K78" i="3"/>
  <c r="H61" i="3"/>
  <c r="H59" i="3"/>
  <c r="H48" i="3"/>
  <c r="K61" i="3" l="1"/>
  <c r="K48" i="3"/>
  <c r="K59" i="3"/>
  <c r="H57" i="3"/>
  <c r="H58" i="3"/>
  <c r="H37" i="3"/>
  <c r="H56" i="3"/>
  <c r="K58" i="3" l="1"/>
  <c r="K37" i="3"/>
  <c r="K56" i="3"/>
  <c r="K57" i="3"/>
  <c r="H49" i="3"/>
  <c r="H24" i="3"/>
  <c r="H39" i="3"/>
  <c r="H47" i="3"/>
  <c r="K49" i="3" l="1"/>
  <c r="K39" i="3"/>
  <c r="K24" i="3"/>
  <c r="K47" i="3"/>
  <c r="H20" i="3"/>
  <c r="H13" i="3"/>
  <c r="H25" i="3"/>
  <c r="H38" i="3"/>
  <c r="K25" i="3" l="1"/>
  <c r="K13" i="3"/>
  <c r="K20" i="3"/>
  <c r="K38" i="3"/>
  <c r="H26" i="3"/>
  <c r="K26" i="3" l="1"/>
  <c r="H19" i="3"/>
  <c r="K19" i="3" l="1"/>
  <c r="H17" i="3"/>
  <c r="B4" i="7" l="1"/>
  <c r="K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HosLog.22</t>
        </r>
      </text>
    </comment>
  </commentList>
</comments>
</file>

<file path=xl/sharedStrings.xml><?xml version="1.0" encoding="utf-8"?>
<sst xmlns="http://schemas.openxmlformats.org/spreadsheetml/2006/main" count="3188" uniqueCount="538">
  <si>
    <t>Grand Total</t>
  </si>
  <si>
    <t>FromDate</t>
  </si>
  <si>
    <t>ToDate</t>
  </si>
  <si>
    <t>RunDate</t>
  </si>
  <si>
    <t>CompanyName</t>
  </si>
  <si>
    <t>DistanceUnit</t>
  </si>
  <si>
    <t>SpeedUnit</t>
  </si>
  <si>
    <t>SendReport</t>
  </si>
  <si>
    <t>LastModifiedUser</t>
  </si>
  <si>
    <t>Status</t>
  </si>
  <si>
    <t>Longitude</t>
  </si>
  <si>
    <t>Latitude</t>
  </si>
  <si>
    <t>Distance</t>
  </si>
  <si>
    <t>DutyStatusDateTime</t>
  </si>
  <si>
    <t>DutyStatusStatus</t>
  </si>
  <si>
    <t>.StatusLog.Device.DeviceName</t>
  </si>
  <si>
    <t>.StatusLog.Device.DeviceId</t>
  </si>
  <si>
    <t>.StatusLog.Device.DeviceGroup</t>
  </si>
  <si>
    <t>DutyStatusDetailOdometer</t>
  </si>
  <si>
    <t>DutyStatusDetailDistance</t>
  </si>
  <si>
    <t>DutyStatusDetailLongitude</t>
  </si>
  <si>
    <t>DutyStatusDetailLatitude</t>
  </si>
  <si>
    <t>DutyStatusLocation</t>
  </si>
  <si>
    <t>DutyStatusId</t>
  </si>
  <si>
    <t>English</t>
  </si>
  <si>
    <t>French</t>
  </si>
  <si>
    <t>Spanish</t>
  </si>
  <si>
    <t>German</t>
  </si>
  <si>
    <t>Japanese</t>
  </si>
  <si>
    <t>**Driver</t>
  </si>
  <si>
    <t>**Status</t>
  </si>
  <si>
    <t>**Device</t>
  </si>
  <si>
    <t>**Trailers</t>
  </si>
  <si>
    <t>**Longitude</t>
  </si>
  <si>
    <t>**Latitude</t>
  </si>
  <si>
    <t>**Address</t>
  </si>
  <si>
    <t>**Odometer</t>
  </si>
  <si>
    <t>**Distance</t>
  </si>
  <si>
    <t>**Duty Status Logs</t>
  </si>
  <si>
    <t>**Created</t>
  </si>
  <si>
    <t>**From</t>
  </si>
  <si>
    <t>**To</t>
  </si>
  <si>
    <t>**Distance Unit</t>
  </si>
  <si>
    <t>**Summary</t>
  </si>
  <si>
    <t>Date</t>
  </si>
  <si>
    <t>**Date</t>
  </si>
  <si>
    <t>**Verify Date</t>
  </si>
  <si>
    <t>**Edit Date</t>
  </si>
  <si>
    <t>Conducteur</t>
  </si>
  <si>
    <t>Conductor</t>
  </si>
  <si>
    <t>Fahrer</t>
  </si>
  <si>
    <t>ドライバー</t>
  </si>
  <si>
    <t>Fecha</t>
  </si>
  <si>
    <t>Datum</t>
  </si>
  <si>
    <t>データ</t>
  </si>
  <si>
    <t>État</t>
  </si>
  <si>
    <t>Estado</t>
  </si>
  <si>
    <t>ステータス</t>
  </si>
  <si>
    <t>Dispositif</t>
  </si>
  <si>
    <t>Dispositivo</t>
  </si>
  <si>
    <t>Gerät</t>
  </si>
  <si>
    <t>デバイス</t>
  </si>
  <si>
    <t>Co-chauffeurs</t>
  </si>
  <si>
    <t>Copiloto</t>
  </si>
  <si>
    <t>Beifahrer</t>
  </si>
  <si>
    <t>補助ドライバー</t>
  </si>
  <si>
    <t>Gros porteurs</t>
  </si>
  <si>
    <t>Remolques</t>
  </si>
  <si>
    <t>Anhänger</t>
  </si>
  <si>
    <t>トレーラー</t>
  </si>
  <si>
    <t>Longitud</t>
  </si>
  <si>
    <t>Längengrad</t>
  </si>
  <si>
    <t>経度</t>
  </si>
  <si>
    <t>Latitud</t>
  </si>
  <si>
    <t>Breitengrad</t>
  </si>
  <si>
    <t>緯度</t>
  </si>
  <si>
    <t>Adresse</t>
  </si>
  <si>
    <t>Dirección</t>
  </si>
  <si>
    <t>住所</t>
  </si>
  <si>
    <t>Odomètre</t>
  </si>
  <si>
    <t>Odómetro</t>
  </si>
  <si>
    <t>Kilometerstand</t>
  </si>
  <si>
    <t>オドメータ</t>
  </si>
  <si>
    <t>Distancia</t>
  </si>
  <si>
    <t>Entfernung</t>
  </si>
  <si>
    <t>距離</t>
  </si>
  <si>
    <t>Date de vérification</t>
  </si>
  <si>
    <t>Fecha de verificación</t>
  </si>
  <si>
    <t>Verifizierungsdatum</t>
  </si>
  <si>
    <t>確認日</t>
  </si>
  <si>
    <t>Date de modification</t>
  </si>
  <si>
    <t>Fecha de edición</t>
  </si>
  <si>
    <t>Bearbeitungsdatum</t>
  </si>
  <si>
    <t>編集日</t>
  </si>
  <si>
    <t>Registres de l'état des tâches</t>
  </si>
  <si>
    <t>Registros de estado de HOS</t>
  </si>
  <si>
    <t>Lenkzeitprotokoll</t>
  </si>
  <si>
    <t>職務ステータスログ</t>
  </si>
  <si>
    <t>Sommaire</t>
  </si>
  <si>
    <t>Resumen</t>
  </si>
  <si>
    <t>Zusammenfassung</t>
  </si>
  <si>
    <t>走行データ</t>
  </si>
  <si>
    <t>Créé</t>
  </si>
  <si>
    <t>Creado</t>
  </si>
  <si>
    <t>Angelegt</t>
  </si>
  <si>
    <t>作成済</t>
  </si>
  <si>
    <t>À partir de</t>
  </si>
  <si>
    <t>De</t>
  </si>
  <si>
    <t>Von</t>
  </si>
  <si>
    <t>から</t>
  </si>
  <si>
    <t>Pour</t>
  </si>
  <si>
    <t>Para</t>
  </si>
  <si>
    <t>An</t>
  </si>
  <si>
    <t>へ</t>
  </si>
  <si>
    <t>Unité de distance</t>
  </si>
  <si>
    <t>Unidad de distancia</t>
  </si>
  <si>
    <t>Entfernungseinheit</t>
  </si>
  <si>
    <t>距離の単位</t>
  </si>
  <si>
    <t>Language</t>
  </si>
  <si>
    <t>en</t>
  </si>
  <si>
    <t>DutyStatusOrigin</t>
  </si>
  <si>
    <t>Automatic</t>
  </si>
  <si>
    <t>**First Name</t>
  </si>
  <si>
    <t>Prénom</t>
  </si>
  <si>
    <t>Nombre</t>
  </si>
  <si>
    <t>Vorname</t>
  </si>
  <si>
    <t>ファーストネー</t>
  </si>
  <si>
    <t>**Last Name</t>
  </si>
  <si>
    <t>Nom de famille</t>
  </si>
  <si>
    <t>Apellido</t>
  </si>
  <si>
    <t>Nachname</t>
  </si>
  <si>
    <t>ラストネーム</t>
  </si>
  <si>
    <t>**Log Origin</t>
  </si>
  <si>
    <t>Origine du Journal</t>
  </si>
  <si>
    <t>Origen del Registro</t>
  </si>
  <si>
    <t>Protokollherkunft</t>
  </si>
  <si>
    <t>ログの起源</t>
  </si>
  <si>
    <t>Polish</t>
  </si>
  <si>
    <t>Kierowca</t>
  </si>
  <si>
    <t>Data</t>
  </si>
  <si>
    <t>Urzadzenie</t>
  </si>
  <si>
    <t>Wspólkierowcy</t>
  </si>
  <si>
    <t>Przyczepy</t>
  </si>
  <si>
    <t>Dlugosc geograficzna</t>
  </si>
  <si>
    <t>Szerokosc geograficzna</t>
  </si>
  <si>
    <t>Adres</t>
  </si>
  <si>
    <t>Licznik kilometrów</t>
  </si>
  <si>
    <t>Odleglosc</t>
  </si>
  <si>
    <t>Data weryfikacji</t>
  </si>
  <si>
    <t>Data edycji</t>
  </si>
  <si>
    <t>Dzienniki statusów dyzurów</t>
  </si>
  <si>
    <t>Podsumowanie</t>
  </si>
  <si>
    <t>Utworzono</t>
  </si>
  <si>
    <t>Od</t>
  </si>
  <si>
    <t>Do</t>
  </si>
  <si>
    <t>Jednostka odleglosci</t>
  </si>
  <si>
    <t>Imie</t>
  </si>
  <si>
    <t>Nazwisko</t>
  </si>
  <si>
    <t>Powstanie dziennika</t>
  </si>
  <si>
    <t>Portuguese-Brazil</t>
  </si>
  <si>
    <t>Motorista</t>
  </si>
  <si>
    <t>Reboques</t>
  </si>
  <si>
    <t>Endereço</t>
  </si>
  <si>
    <t>Velocímetro</t>
  </si>
  <si>
    <t>Distância</t>
  </si>
  <si>
    <t>Registros de status de serviço</t>
  </si>
  <si>
    <t>Resumo</t>
  </si>
  <si>
    <t>Nome</t>
  </si>
  <si>
    <t>Sobrenome</t>
  </si>
  <si>
    <t>Origem do registro</t>
  </si>
  <si>
    <t>Comotoristas</t>
  </si>
  <si>
    <t>Verificar data</t>
  </si>
  <si>
    <t>Editar data</t>
  </si>
  <si>
    <t>Criado em</t>
  </si>
  <si>
    <t>Unidade de distância</t>
  </si>
  <si>
    <t>DutyStatusState</t>
  </si>
  <si>
    <t>Dutch</t>
  </si>
  <si>
    <t>Chauffeur</t>
  </si>
  <si>
    <t>Apparaat</t>
  </si>
  <si>
    <t>Tweede chauffeurs</t>
  </si>
  <si>
    <t>Aanhangers</t>
  </si>
  <si>
    <t>Lengtegraad</t>
  </si>
  <si>
    <t>Breedtegraad</t>
  </si>
  <si>
    <t>Kilometerteller</t>
  </si>
  <si>
    <t>Afstand</t>
  </si>
  <si>
    <t>Datum verifiëren</t>
  </si>
  <si>
    <t>Datum bewerken</t>
  </si>
  <si>
    <t>Logboeken dienststatus</t>
  </si>
  <si>
    <t>Overzicht</t>
  </si>
  <si>
    <t>Aangemaakt</t>
  </si>
  <si>
    <t>Van</t>
  </si>
  <si>
    <t>Aan</t>
  </si>
  <si>
    <t>Afstandseenheid</t>
  </si>
  <si>
    <t>Voornaam</t>
  </si>
  <si>
    <t>Achternaam</t>
  </si>
  <si>
    <t>Oorsprong logboek</t>
  </si>
  <si>
    <t>Italian</t>
  </si>
  <si>
    <t>Conducente</t>
  </si>
  <si>
    <t>Stato</t>
  </si>
  <si>
    <t>Rimorchi</t>
  </si>
  <si>
    <t>Longitudine</t>
  </si>
  <si>
    <t>Latitudine</t>
  </si>
  <si>
    <t>Indirizzo</t>
  </si>
  <si>
    <t>Contachilometri</t>
  </si>
  <si>
    <t>Distanza</t>
  </si>
  <si>
    <t>Registri di stato in servizio</t>
  </si>
  <si>
    <t>Riassunto</t>
  </si>
  <si>
    <t>Da</t>
  </si>
  <si>
    <t>A</t>
  </si>
  <si>
    <t>**Co-drivers</t>
  </si>
  <si>
    <t>Secondi conducenti</t>
  </si>
  <si>
    <t>Verificare data</t>
  </si>
  <si>
    <t>Modificare data</t>
  </si>
  <si>
    <t>Creato</t>
  </si>
  <si>
    <t>Unità di distanza</t>
  </si>
  <si>
    <t>Cognome</t>
  </si>
  <si>
    <t>Origine del registro</t>
  </si>
  <si>
    <t>miles</t>
  </si>
  <si>
    <t>mph</t>
  </si>
  <si>
    <t>b1</t>
  </si>
  <si>
    <t>Active</t>
  </si>
  <si>
    <t>Entire Organization</t>
  </si>
  <si>
    <t>PowerCompliance</t>
  </si>
  <si>
    <t>b5</t>
  </si>
  <si>
    <t>UnidentifiedDrivingCompliance</t>
  </si>
  <si>
    <t>ABC Company</t>
  </si>
  <si>
    <t>DutyStatusMalfunctionType</t>
  </si>
  <si>
    <t>Malfunction</t>
  </si>
  <si>
    <t>Diagnostic</t>
  </si>
  <si>
    <t>aoh4J-CJ6OUaBo8pdKCJJIg</t>
  </si>
  <si>
    <t>b4E</t>
  </si>
  <si>
    <t>avmYnI22qr0qZRfUIMwwkSA</t>
  </si>
  <si>
    <t>b5F</t>
  </si>
  <si>
    <t>afd1eZVull0Si3h9x84B4hg</t>
  </si>
  <si>
    <t>a-TC4JBCcNEay-vthv-Twmg</t>
  </si>
  <si>
    <t>bE</t>
  </si>
  <si>
    <t>awhyQi7q9bEWE-gSwSMC2bw</t>
  </si>
  <si>
    <t>b3A</t>
  </si>
  <si>
    <t>akOw24xqhUkOcERFjlY4Bqg</t>
  </si>
  <si>
    <t>aalu5Rhyeake5hhB8Y-KB7g</t>
  </si>
  <si>
    <t>aElJszqzV20aS5BPxYBzgAw</t>
  </si>
  <si>
    <t>atueKbvDrxEy2R2vWqgLtQA</t>
  </si>
  <si>
    <t>ayysOa9-p00WyOLiQwZEeaA</t>
  </si>
  <si>
    <t>aq3Ejnj27O0yBFIIXCAY4Uw</t>
  </si>
  <si>
    <t>aN17WKQKekkKruoU-MEBbVg</t>
  </si>
  <si>
    <t>b60</t>
  </si>
  <si>
    <t>a-gcyFIqkn0-Ba92o-3eWIg</t>
  </si>
  <si>
    <t>afdAgwOSJhkKydXKwPzq0kA</t>
  </si>
  <si>
    <t>DataTransferCompliance</t>
  </si>
  <si>
    <t>b55</t>
  </si>
  <si>
    <t>aT3mLbaEgh0yN2lWYbbcjMg</t>
  </si>
  <si>
    <t>SystemDiagnosticClear</t>
  </si>
  <si>
    <t>alPU5niTJnEe3VdP8qk0lGQ</t>
  </si>
  <si>
    <t>ait2_MH36JEiThiThEX0NjA</t>
  </si>
  <si>
    <t>a_94fVcYbw0SURZdrJHcDdw</t>
  </si>
  <si>
    <t>SystemDiagnosticClearDriving</t>
  </si>
  <si>
    <t>aja8ewb2kUkG_zXM8lSqLsw</t>
  </si>
  <si>
    <t>aRIHGh27CV02GT7Ov5ULE9A</t>
  </si>
  <si>
    <t>NoDeviceId</t>
  </si>
  <si>
    <t>aaGECSqVXXUOXDFe8HQPrXA</t>
  </si>
  <si>
    <t>aaI3wBWOHSUKbNN51RGZs9Q</t>
  </si>
  <si>
    <t>abXLUz4PfBU6WB32LRmaLHg</t>
  </si>
  <si>
    <t>aiTucNzOhOEmiqbnCylrfng</t>
  </si>
  <si>
    <t>awjM6ad7bWkiN-yJMkiyqAQ</t>
  </si>
  <si>
    <t>aFpLfxvRl00ylVAEy9WqlWQ</t>
  </si>
  <si>
    <t>a4ZYwYcrA5E6gBYQJq7-hkA</t>
  </si>
  <si>
    <t>a8Rh-GQzrakCXy9JZOr0ccg</t>
  </si>
  <si>
    <t>aTNRRMcTzcUaXDeGlexLPeA</t>
  </si>
  <si>
    <t>arTty2yEfB02BdH4xFQXQTA</t>
  </si>
  <si>
    <t>b52</t>
  </si>
  <si>
    <t>aoChZ_ndLNUCj92qfSugQxQ</t>
  </si>
  <si>
    <t>aJ5F9BXFNS0CMMKdJwy69PQ</t>
  </si>
  <si>
    <t>aQKRCxk9AO0e3XnljaTWFYg</t>
  </si>
  <si>
    <t>al5mhfyfoXUGWfwEAhvA7vg</t>
  </si>
  <si>
    <t>aP2KHNXDO_E-Sy7mdQ9Df1g</t>
  </si>
  <si>
    <t>aa-sjC2_2DUqWBLK0cswaTA</t>
  </si>
  <si>
    <t>af2ejjaeaOEO2_lGPe6K8iA</t>
  </si>
  <si>
    <t>aSQTHcaWuJkqIQ2WRloHLqQ</t>
  </si>
  <si>
    <t>aywyPRzJ5gU-80bzo7_rZ2Q</t>
  </si>
  <si>
    <t>a-CEOO9iHFUC-WhUWB6R1Jw</t>
  </si>
  <si>
    <t>aeD8D4mm6E0CK2Z0XAz1ryA</t>
  </si>
  <si>
    <t>aP7zoZY9an0eQbIfO3wqLYA</t>
  </si>
  <si>
    <t>aN2cDDRqy4k6U50Wlv5Aa6g</t>
  </si>
  <si>
    <t>aSrZl2JwjuUKSj7qzK8Fk5A</t>
  </si>
  <si>
    <t>aTVPADGEUnkOYNcx7_WDnbw</t>
  </si>
  <si>
    <t>aPQhrA6vI5EaD1oLkUiQ5qw</t>
  </si>
  <si>
    <t>aLyTeq-ObSUu2j1rGc1AX3w</t>
  </si>
  <si>
    <t>aQP0wZrb_c0q_kRA3bRHkKg</t>
  </si>
  <si>
    <t>aZbShzT9p50u32doPbHCDCw</t>
  </si>
  <si>
    <t>acI6IMMMLs0SfCmgWdKGR9A</t>
  </si>
  <si>
    <t>aQdFESKHTnEao6v9s2_teTg</t>
  </si>
  <si>
    <t>aUHP4BN9qlkKGLm3QszmhiQ</t>
  </si>
  <si>
    <t>aK4x937D7aUqFYc5UK8Be-w</t>
  </si>
  <si>
    <t>aUM4NX6yOwkuh-cy3lA5ANg</t>
  </si>
  <si>
    <t>a5lNnHTRhRUuyhPaMYFrCdw</t>
  </si>
  <si>
    <t>b61</t>
  </si>
  <si>
    <t>aXollVZ-YrEqs-kIfBGLDyQ</t>
  </si>
  <si>
    <t>aVNogayLePUaq48UMRQn7Aw</t>
  </si>
  <si>
    <t>aWAb30gT05EyoecjNpZnt_Q</t>
  </si>
  <si>
    <t>aXSsuShXQd0Gl0FRGnr8VYQ</t>
  </si>
  <si>
    <t>a8izeX4ZgQEKE88qsA_tR9Q</t>
  </si>
  <si>
    <t>aYDUGQzxp00KP_RYXlkEUGA</t>
  </si>
  <si>
    <t>a9tbynuAjl0K9mxI5rF3xyg</t>
  </si>
  <si>
    <t>axn1Wl98FhkCfjDE29lXwPQ</t>
  </si>
  <si>
    <t>acEyzjHzpOUqrzgmuL74qEQ</t>
  </si>
  <si>
    <t>ahqQMA0LKHkOTIF4L1ejf7A</t>
  </si>
  <si>
    <t>aCopcuHHF_UWrmUaQ-asjgA</t>
  </si>
  <si>
    <t>aBl2dc7euS0-13W0OjzHBxQ</t>
  </si>
  <si>
    <t>aV-Q6-gq-KE-fqWLOkuDdGQ</t>
  </si>
  <si>
    <t>azMOYtvMHWUKEuqwV1rLk1g</t>
  </si>
  <si>
    <t>aW4vfmmx8LEa_I2lAKlVkaQ</t>
  </si>
  <si>
    <t>aDNEL7iIf3UCTqulErazJBQ</t>
  </si>
  <si>
    <t>aGjax0rDYmE6bAbbHQ6Q7RQ</t>
  </si>
  <si>
    <t>aZjY676UQMkuZip6Xby_A9w</t>
  </si>
  <si>
    <t>a32vG4MIsw0iNTQjOttgcLw</t>
  </si>
  <si>
    <t>a_QgBjEnLzk6tqqIjwmW2iQ</t>
  </si>
  <si>
    <t>aWf0zAJrKBESxdvctTBmpnw</t>
  </si>
  <si>
    <t>a1ZGbuAexwU-Qo9yDL7KMBQ</t>
  </si>
  <si>
    <t>asjazl2t4CkyRlDuewReewg</t>
  </si>
  <si>
    <t>awYgk8P2SW0yfsbayoAybZw</t>
  </si>
  <si>
    <t>aKva0TjWHnkWpVt9U-zHeHQ</t>
  </si>
  <si>
    <t>aTmxmgEaqkkymHn4oXkFVSg</t>
  </si>
  <si>
    <t>amGTAQzSrFEmeIHbSKlUcTA</t>
  </si>
  <si>
    <t>aTSOf4-IZfUyiz07iQoqesg</t>
  </si>
  <si>
    <t>aeg6vgaPNEkyuMSCdGkX7ZQ</t>
  </si>
  <si>
    <t>ao8ukA1F5IUyn6a3gC1EKpQ</t>
  </si>
  <si>
    <t>awfjm_b9gpkWzpf9o5AxE1w</t>
  </si>
  <si>
    <t>auWqFKG77CkOgIaSqsWnzZA</t>
  </si>
  <si>
    <t>ahgXK0BtJb0CfdSLP1mvIwA</t>
  </si>
  <si>
    <t>ax92z-1ZTuUm-7qiHddYwoA</t>
  </si>
  <si>
    <t>az1YkQ6Dn3kavy_ddweBr6A</t>
  </si>
  <si>
    <t>aViK4Q1Eq8EKnwszuAD4R_A</t>
  </si>
  <si>
    <t>a6qScDeQYUUqOx7gRBGOzPw</t>
  </si>
  <si>
    <t>azB-L-czxUU6aYd81-xfVaA</t>
  </si>
  <si>
    <t>awzx0-TqZPEiaLIIMrouOCQ</t>
  </si>
  <si>
    <t>a2xLNaHa_tU6uv2EeXb4Bfg</t>
  </si>
  <si>
    <t>b3C</t>
  </si>
  <si>
    <t>a1afZYuHcB06EcF_lm3QheQ</t>
  </si>
  <si>
    <t>aWIZtP9TfTUinjzPOmxUbXg</t>
  </si>
  <si>
    <t>aM0ARe-sAgkOaHSsmkdSJ5g</t>
  </si>
  <si>
    <t>aQcaXDOwCv06eQx5LhXg_GA</t>
  </si>
  <si>
    <t>ah_PuhP8lV062b5W9FxYzOA</t>
  </si>
  <si>
    <t>aB1sKkIlxDkuv8hTAq3DbTQ</t>
  </si>
  <si>
    <t>aAOKhykhzWkWJBh7WO9hgWQ</t>
  </si>
  <si>
    <t>aC1N6WqfBiUy0ZCbXCoSUlw</t>
  </si>
  <si>
    <t>aK7SKxY3xdUyreb9fpK7KCQ</t>
  </si>
  <si>
    <t>aBj8h1VzUMkqlPKlYoahG5g</t>
  </si>
  <si>
    <t>aQaAWykVuFUu2UXmYmf8I9A</t>
  </si>
  <si>
    <t>aRDyqJSXsWEa1lVUFGJjBOg</t>
  </si>
  <si>
    <t>aNuj6O8ulQkaNMONI6mBvqQ</t>
  </si>
  <si>
    <t>axbWGDkAv-0KOm4u65KmWsg</t>
  </si>
  <si>
    <t>aHPKPVyTfFEqWNO1hcA_K4Q</t>
  </si>
  <si>
    <t>azcm-XzupAUW7vRUSuAm38A</t>
  </si>
  <si>
    <t>areW52S9KbEq4PraprANO9g</t>
  </si>
  <si>
    <t>aWBqJp_QT6E250RMhz35j8w</t>
  </si>
  <si>
    <t>azR1uAu-l_0iqoKvQjOslpg</t>
  </si>
  <si>
    <t>aIl-qPYLes0qEydk_YhtqMA</t>
  </si>
  <si>
    <t>aX4WYJ651RUOOrxU1bUfPXQ</t>
  </si>
  <si>
    <t>aCpWDAnrLzk6rNl2y4cgbOg</t>
  </si>
  <si>
    <t>aZ8azi-4w0UqY9iXggfaGyg</t>
  </si>
  <si>
    <t>aTtLagMUbpkOdUHFqZU2KWw</t>
  </si>
  <si>
    <t>aUpD1lzpWpkWbSCYaVI91Fw</t>
  </si>
  <si>
    <t>aTJshrljya0KSSItwJBRWUQ</t>
  </si>
  <si>
    <t>aoEslCXR0nUiWAVcT3xveYw</t>
  </si>
  <si>
    <t>a4oW5XtwJbk-Tj2BkXnoTLQ</t>
  </si>
  <si>
    <t>ahZ1XDBu32EGgLIml6YZmzQ</t>
  </si>
  <si>
    <t>aC67nENmJJEWXSCit95AIog</t>
  </si>
  <si>
    <t>afuiWpWqcMUy_4h5kvEvGUQ</t>
  </si>
  <si>
    <t>ayS9kB64wdEmkcumk4XEzxw</t>
  </si>
  <si>
    <t>aaxeGIxtfjE2JnZ915303vw</t>
  </si>
  <si>
    <t>aKbcN79aVMUSK6k7AcOTDeA</t>
  </si>
  <si>
    <t>au9gXz0kDPkOH3clOUxm6-Q</t>
  </si>
  <si>
    <t>a7cvR3NubYkCPRyaLVp6e2Q</t>
  </si>
  <si>
    <t>a3Hm8gOL610K2ImB4IXqRaQ</t>
  </si>
  <si>
    <t>ayCbJUFsqGUuswAIoBSDDAg</t>
  </si>
  <si>
    <t>a0gPQE8KZ7EqiZmpPT63cNA</t>
  </si>
  <si>
    <t>avkMO88wg6kmYA_zQWc99ow</t>
  </si>
  <si>
    <t>b41</t>
  </si>
  <si>
    <t>aIJ5gJIVjAEKo-JPJ9XxEQQ</t>
  </si>
  <si>
    <t>aI2JoUgmkUk2Z5wK9TCZTRg</t>
  </si>
  <si>
    <t>ahyxFR8y3V0WZGDCCC1Jzng</t>
  </si>
  <si>
    <t>aywf6i-gt30utRsdpMp-HtA</t>
  </si>
  <si>
    <t>aijCGwi1LIEariVOnxuTAbQ</t>
  </si>
  <si>
    <t>anAJK0qLxnUGKcLso7W9EbA</t>
  </si>
  <si>
    <t>a6g3bLSmmokiDWvowBbQRWg</t>
  </si>
  <si>
    <t>a-8vl-0YMckS3uhDFBtEwYA</t>
  </si>
  <si>
    <t>anUxI6GAMokeiSXbqMQA5Dg</t>
  </si>
  <si>
    <t>aQH1I4Qs4GUmJniHcS7PGOg</t>
  </si>
  <si>
    <t>aYYSKXkbxOkGh527qF2V_Pw</t>
  </si>
  <si>
    <t>a0LjeTT5-7UOnAOciRbAbpw</t>
  </si>
  <si>
    <t>avsFVdpeEDEWQB2YidjOXFA</t>
  </si>
  <si>
    <t>aoXCRbWHHckO0UhJlP-q5VA</t>
  </si>
  <si>
    <t>a7t8W89zQbkqotHZhyK5RRA</t>
  </si>
  <si>
    <t>a06EGzltWhkSOx46L_1RCrg</t>
  </si>
  <si>
    <t>ac4TJEEzcskOxeSWSfLc5dg</t>
  </si>
  <si>
    <t>aXS64ZuQfQECk-PsMASReXA</t>
  </si>
  <si>
    <t>aNv0la46LQEyn35SDspZm_A</t>
  </si>
  <si>
    <t>abONs5bqQSUyx0L-5_JMkvg</t>
  </si>
  <si>
    <t>aw6Eb_sMb4UOp8q_fpATajA</t>
  </si>
  <si>
    <t>aArqQL8Ao70exyLsv9O_QNA</t>
  </si>
  <si>
    <t>a_QEwZKB_P0qx3rlo3WR9Zw</t>
  </si>
  <si>
    <t>aoYPwlVDA90exeY3qTIB43g</t>
  </si>
  <si>
    <t>aSDV51m2MUE2C2HFTvMPGNQ</t>
  </si>
  <si>
    <t>aaLtnYya0k0mIyvWeYXSlRg</t>
  </si>
  <si>
    <t>apIRntHmAmECqYHNBvJMWag</t>
  </si>
  <si>
    <t>a21Lh6If2bkC_lIWNY2SIyA</t>
  </si>
  <si>
    <t>a6He7VkOi6keWVG0_ZsqjBw</t>
  </si>
  <si>
    <t>aMngbUp1N5U2JjbJgka-FKg</t>
  </si>
  <si>
    <t>aUXpWy98_EkS-xHTWUA5IHw</t>
  </si>
  <si>
    <t>ab81N7H7nE0Gloq-Qs48xdw</t>
  </si>
  <si>
    <t>adZ8MNogvOUGvx9P3Yu4UsQ</t>
  </si>
  <si>
    <t>ajmIGWrUtD0CSo9jCpK4Ceg</t>
  </si>
  <si>
    <t>apqzFCa5C_Ua67iqyBhNoIA</t>
  </si>
  <si>
    <t>avx-5bhM0VUqwvRLDgPfIzA</t>
  </si>
  <si>
    <t>amH3JCE6vP0K0iNmS6pSrZQ</t>
  </si>
  <si>
    <t>atl_qNEZbhU67RVGdxfX0qw</t>
  </si>
  <si>
    <t>aseafjo9KFkWLeNSbzUUxWQ</t>
  </si>
  <si>
    <t>aPUfHsnXD7kaZa3U4o9XMoQ</t>
  </si>
  <si>
    <t>aimkpkg7H-EiBJDcxiO_jRQ</t>
  </si>
  <si>
    <t>aQsFIgpy_H0enpnrhQwRnig</t>
  </si>
  <si>
    <t>aCj-c4vrJDEiTPjn9d06QYQ</t>
  </si>
  <si>
    <t>aFrfblI0aOUO15O1_qohAeg</t>
  </si>
  <si>
    <t>a6kqVfBuUxEeQD7pvgShyow</t>
  </si>
  <si>
    <t>axHLE8bnGo0yQhFbvIavskg</t>
  </si>
  <si>
    <t>auGUSY9zudE2UILRMpKtuhw</t>
  </si>
  <si>
    <t>a0snBrjyU1UW3Dzj2i5huVQ</t>
  </si>
  <si>
    <t>asFnXyViNj0SsIn6XgUa5gg</t>
  </si>
  <si>
    <t>aGlFBdNBVEEGypIWbp0QEgQ</t>
  </si>
  <si>
    <t>a4OLHb6L3QEeRI_06FxeB9g</t>
  </si>
  <si>
    <t>a5q1RwCm_nEqAcGgNLHQx_A</t>
  </si>
  <si>
    <t>a63LeWJYuQE-h_jmnn_0kJg</t>
  </si>
  <si>
    <t>aLmjSmU_eJUirFyVYAJAmxA</t>
  </si>
  <si>
    <t>aBKX0Gf_o1U-0mbHRdqCgaw</t>
  </si>
  <si>
    <t>apjv4tVf-AUqf2QqDRu9SYA</t>
  </si>
  <si>
    <t>adbOcuDNLb0WsVpvp8wZngQ</t>
  </si>
  <si>
    <t>atY2GCcYbdESpediRCGnp8w</t>
  </si>
  <si>
    <t>awrW7EieVMUm9BT0XqKoh6A</t>
  </si>
  <si>
    <t>aKNGoO7TqUk6wDgl2hOByMw</t>
  </si>
  <si>
    <t>aHzlD2r6d2UCIl__k3y4J0Q</t>
  </si>
  <si>
    <t>a6L74YYgcwEu5fcd38ooUEw</t>
  </si>
  <si>
    <t>ahoDNfWbTVEKhYAfJf8oSwQ</t>
  </si>
  <si>
    <t>aZF8DJrW4-0SStNIjVLOJZQ</t>
  </si>
  <si>
    <t>a6vigBV5Bg0Sy8r-wpOD0LQ</t>
  </si>
  <si>
    <t>aQg0Yx-6KGUa6e5gETVV4yQ</t>
  </si>
  <si>
    <t>as7xEPJFb80aUbVZc2hcw2w</t>
  </si>
  <si>
    <t>a1aCi6f72mUe_SEY8p6giRw</t>
  </si>
  <si>
    <t>agnauCaLf6kG6Uk4ImRG9Mg</t>
  </si>
  <si>
    <t>aF7sBHMZ-UE-DiRjhagZVwg</t>
  </si>
  <si>
    <t>aEldBCAwxqUOQd5gjWXYoDQ</t>
  </si>
  <si>
    <t>ad9tpZpNwd0OgUkkolQm_jw</t>
  </si>
  <si>
    <t>adWQKMUAgukmTBqbLjhwSoQ</t>
  </si>
  <si>
    <t>ahv-LJVYwUkKv-KN8ZH5a5A</t>
  </si>
  <si>
    <t>akmXipAzVCUKKgRppdpqteQ</t>
  </si>
  <si>
    <t>aEr9HORvYlEC9zBkZ676VyA</t>
  </si>
  <si>
    <t>aOKRZ8SEo90SI9pfA7cbWWg</t>
  </si>
  <si>
    <t>atGHAs4UxFUmuOBHqixxhzA</t>
  </si>
  <si>
    <t>afde5DZip7EOi74XNL73rEw</t>
  </si>
  <si>
    <t>a59pA3tTJ_0quOTfy6l_Ghg</t>
  </si>
  <si>
    <t>aN_soy0AINkSY-nwmXou0rg</t>
  </si>
  <si>
    <t>aUgClH-UxJ02871EeXTK0Iw</t>
  </si>
  <si>
    <t>avHRG4bvQmkioJQyg8p6WiQ</t>
  </si>
  <si>
    <t>aN879cxgfCUeS9ZMzKk0aHg</t>
  </si>
  <si>
    <t>a9ti8na0WwEO0P2E0DmccCA</t>
  </si>
  <si>
    <t>a4WAS3-wbH0Cg3WJakylD1A</t>
  </si>
  <si>
    <t>aioHr-H-F-UWNbChk-5LXkw</t>
  </si>
  <si>
    <t>aajL9A65RTEKR16fbW_njLA</t>
  </si>
  <si>
    <t>aVs3i3d2TsEO35q5L-TCr6Q</t>
  </si>
  <si>
    <t>aavG2CMq6HEOE1WxPWFeIog</t>
  </si>
  <si>
    <t>ayczXSGnG4k67EJV-EKuQkg</t>
  </si>
  <si>
    <t>ax-yH_CEYXkqlnWmBcBcGEg</t>
  </si>
  <si>
    <t>abNuPq9iRbEqVl66BHVMJFQ</t>
  </si>
  <si>
    <t>ajFzHlE3nc0WfAmsJA8NE9A</t>
  </si>
  <si>
    <t>a-N2YBJL1bk2vcdAQ_Uy8RQ</t>
  </si>
  <si>
    <t>aNoDbXVfDOE64XQ52Ea-DQg</t>
  </si>
  <si>
    <t>aE5GxAYTow0ykYs4maiT3pQ</t>
  </si>
  <si>
    <t>aWbKDF2V6HEadtgog5vfSvw</t>
  </si>
  <si>
    <t>arfObmF9rJE-grxGQRzrO-g</t>
  </si>
  <si>
    <t>aRwLCTBenN0eEEFfNtZDo0g</t>
  </si>
  <si>
    <t>aMhnkE4JyYEi8RtobmBLf0Q</t>
  </si>
  <si>
    <t>aChvbGT9F00uoMQgjXT_-pw</t>
  </si>
  <si>
    <t>aqMxmcQxNnEmNRJH1uyU38Q</t>
  </si>
  <si>
    <t>aZsTxljqpmU-gnIkjaGEfVw</t>
  </si>
  <si>
    <t>ag43cWUQnx0GBrdS0ckmHgQ</t>
  </si>
  <si>
    <t>aEVqlA_S8bEGJcxEDH1p_DA</t>
  </si>
  <si>
    <t>Next Row</t>
  </si>
  <si>
    <t>Include</t>
  </si>
  <si>
    <t>Cleared</t>
  </si>
  <si>
    <t>TRUE</t>
  </si>
  <si>
    <t>Malf/Diag</t>
  </si>
  <si>
    <t xml:space="preserve">Type </t>
  </si>
  <si>
    <t>Vehicle 1</t>
  </si>
  <si>
    <t>Vehicle 2</t>
  </si>
  <si>
    <t>Vehicle 3</t>
  </si>
  <si>
    <t>Vehicle 4</t>
  </si>
  <si>
    <t>Vehicle 5</t>
  </si>
  <si>
    <t>Vehicle 6</t>
  </si>
  <si>
    <t>Vehicle 7</t>
  </si>
  <si>
    <t>Vehicle 8</t>
  </si>
  <si>
    <t>Vehicle 1 Total</t>
  </si>
  <si>
    <t>Vehicle 2 Total</t>
  </si>
  <si>
    <t>Vehicle 3 Total</t>
  </si>
  <si>
    <t>Vehicle 4 Total</t>
  </si>
  <si>
    <t>Vehicle 5 Total</t>
  </si>
  <si>
    <t>Vehicle 6 Total</t>
  </si>
  <si>
    <t>Vehicle 7 Total</t>
  </si>
  <si>
    <t>Vehicle 8 Total</t>
  </si>
  <si>
    <t>aMFQxkdjBy0mhCldGfPVehicle 8EQ</t>
  </si>
  <si>
    <t>aVehicle 8N1-YoSEUW-N6efb6wDrw</t>
  </si>
  <si>
    <t>aVehicle 8ZLrx64QEi4Y2YSqaVhMg</t>
  </si>
  <si>
    <t>aWlT9TzI5LEGWoKACVehicle 8Ad2g</t>
  </si>
  <si>
    <t>a2oDl_FbhnkaeVehicle 8ECcreu7Q</t>
  </si>
  <si>
    <t>aVehicle 8i09jisLkiS6bkX3f8a5A</t>
  </si>
  <si>
    <t>aI1Vehicle 8K9hg_06_LqfVY8g12w</t>
  </si>
  <si>
    <t>Vehicle 9</t>
  </si>
  <si>
    <t>Vehicle 10</t>
  </si>
  <si>
    <t>Vehicle 11</t>
  </si>
  <si>
    <t>Vehicle 9 Total</t>
  </si>
  <si>
    <t>Vehicle 10 Total</t>
  </si>
  <si>
    <t>Vehicle 11 Total</t>
  </si>
  <si>
    <t>Vehicle 12</t>
  </si>
  <si>
    <t>Vehicle 12 Total</t>
  </si>
  <si>
    <t>Long</t>
  </si>
  <si>
    <t>Lat</t>
  </si>
  <si>
    <t>Approximate Location</t>
  </si>
  <si>
    <t>mygproduct@geotab.com</t>
  </si>
  <si>
    <t>**Days</t>
  </si>
  <si>
    <t>**Total Row Count</t>
  </si>
  <si>
    <t>**Diagnostic &amp; Malfunction Events</t>
  </si>
  <si>
    <t>**Vehicle</t>
  </si>
  <si>
    <t>**Short Status</t>
  </si>
  <si>
    <t>**Vehicle &amp; Type</t>
  </si>
  <si>
    <t>**Clear</t>
  </si>
  <si>
    <t>**Type</t>
  </si>
  <si>
    <t>**Active Diagnostics</t>
  </si>
  <si>
    <t>**Active Malfunctions</t>
  </si>
  <si>
    <t xml:space="preserve">**Type </t>
  </si>
  <si>
    <t>**Count</t>
  </si>
  <si>
    <t>**Date (Last Instance)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</si>
</sst>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[$-409]_(&quot;$&quot;* #,##0_);[$-409]_(&quot;$&quot;* \(#,##0\);[$-409]_(&quot;$&quot;* &quot;-&quot;_);_(@_)"/>
    <numFmt numFmtId="165" formatCode="[$-409]_(* #,##0_);[$-409]_(* \(#,##0\);[$-409]_(* &quot;-&quot;_);_(@_)"/>
    <numFmt numFmtId="166" formatCode="[$-409]_(&quot;$&quot;* #,##0.00_);[$-409]_(&quot;$&quot;* \(#,##0.00\);[$-409]_(&quot;$&quot;* &quot;-&quot;??_);_(@_)"/>
    <numFmt numFmtId="167" formatCode="[$-409]_(* #,##0.00_);[$-409]_(* \(#,##0.00\);[$-409]_(* &quot;-&quot;??_);_(@_)"/>
    <numFmt numFmtId="168" formatCode="[$-409]dd/mm/yyyy\ h:mm:ss\ AM/PM"/>
    <numFmt numFmtId="169" formatCode="[$-409]0;[$-409]\-0;[$-409];@"/>
    <numFmt numFmtId="170" formatCode="[$-409]mmm\ dd\,\ yyyy"/>
    <numFmt numFmtId="171" formatCode="[$-409]mmm\ dd\,\ yyyy\ h:mm:ss\ AM/PM"/>
    <numFmt numFmtId="172" formatCode="[$-409]0.00000_ ;[$-409]\-0.00000\ "/>
    <numFmt numFmtId="173" formatCode="[$-409]0_ ;[$-409]\-0\ "/>
    <numFmt numFmtId="174" formatCode="[$-409]m/d/yy\ h:mm"/>
  </numFmts>
  <fonts count="3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7"/>
      <color indexed="8"/>
      <name val="Tahoma"/>
      <family val="2"/>
    </font>
    <font>
      <sz val="8"/>
      <color indexed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b/>
      <sz val="18"/>
      <color theme="1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8"/>
      <color theme="0"/>
      <name val="Segoe UI"/>
      <family val="2"/>
    </font>
    <font>
      <sz val="18"/>
      <color theme="0"/>
      <name val="Segoe UI"/>
      <family val="2"/>
    </font>
    <font>
      <sz val="16"/>
      <color theme="3"/>
      <name val="Segoe UI"/>
      <family val="2"/>
    </font>
    <font>
      <sz val="11"/>
      <color theme="0"/>
      <name val="Segoe UI"/>
      <family val="2"/>
    </font>
    <font>
      <sz val="11"/>
      <name val="Segoe UI"/>
      <family val="2"/>
    </font>
    <font>
      <sz val="10"/>
      <name val="Segoe UI"/>
      <family val="2"/>
    </font>
    <font>
      <sz val="12"/>
      <color theme="0"/>
      <name val="Segoe UI"/>
      <family val="2"/>
    </font>
    <font>
      <b/>
      <sz val="10"/>
      <color theme="1"/>
      <name val="Segoe UI"/>
      <family val="2"/>
    </font>
    <font>
      <sz val="48"/>
      <name val="Segoe UI"/>
      <family val="2"/>
    </font>
    <font>
      <b/>
      <sz val="14"/>
      <color theme="8" tint="-0.499984740745262"/>
      <name val="Segoe UI"/>
      <family val="2"/>
    </font>
    <font>
      <b/>
      <sz val="14"/>
      <color theme="6" tint="-0.499984740745262"/>
      <name val="Segoe UI"/>
      <family val="2"/>
    </font>
    <font>
      <sz val="12"/>
      <name val="Segoe UI"/>
      <family val="2"/>
    </font>
    <font>
      <sz val="12"/>
      <name val="Arial"/>
      <family val="2"/>
    </font>
    <font>
      <sz val="11"/>
      <name val="Segoe UI"/>
    </font>
    <font>
      <sz val="12"/>
      <name val="Segoe UI"/>
    </font>
  </fonts>
  <fills count="1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theme="3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/>
      <diagonal/>
    </border>
    <border>
      <left/>
      <right style="medium">
        <color theme="6" tint="-0.249977111117893"/>
      </right>
      <top style="medium">
        <color theme="6" tint="-0.249977111117893"/>
      </top>
      <bottom/>
      <diagonal/>
    </border>
    <border>
      <left style="medium">
        <color theme="6" tint="-0.249977111117893"/>
      </left>
      <right/>
      <top/>
      <bottom/>
      <diagonal/>
    </border>
    <border>
      <left/>
      <right style="medium">
        <color theme="6" tint="-0.249977111117893"/>
      </right>
      <top/>
      <bottom/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7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10" borderId="0" applyNumberFormat="0"/>
    <xf numFmtId="0" fontId="8" fillId="0" borderId="0" applyNumberFormat="0" applyAlignment="0"/>
    <xf numFmtId="0" fontId="9" fillId="10" borderId="0" applyNumberFormat="0"/>
    <xf numFmtId="170" fontId="5" fillId="10" borderId="0"/>
    <xf numFmtId="0" fontId="10" fillId="0" borderId="0" applyNumberFormat="0"/>
    <xf numFmtId="0" fontId="11" fillId="0" borderId="0" applyNumberFormat="0"/>
    <xf numFmtId="0" fontId="12" fillId="0" borderId="0" applyNumberFormat="0" applyFill="0" applyBorder="0" applyAlignment="0" applyProtection="0">
      <alignment horizontal="right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170" fontId="1" fillId="10" borderId="0"/>
    <xf numFmtId="0" fontId="10" fillId="0" borderId="0" applyNumberFormat="0"/>
  </cellStyleXfs>
  <cellXfs count="88">
    <xf numFmtId="0" fontId="0" fillId="0" borderId="0" xfId="0"/>
    <xf numFmtId="0" fontId="2" fillId="9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0" fontId="13" fillId="0" borderId="0" xfId="0" applyFont="1"/>
    <xf numFmtId="174" fontId="0" fillId="0" borderId="0" xfId="0" applyNumberFormat="1"/>
    <xf numFmtId="0" fontId="14" fillId="0" borderId="0" xfId="0" applyFont="1"/>
    <xf numFmtId="0" fontId="0" fillId="0" borderId="0" xfId="0" applyFont="1"/>
    <xf numFmtId="0" fontId="14" fillId="0" borderId="0" xfId="0" applyFont="1" applyAlignment="1">
      <alignment wrapText="1"/>
    </xf>
    <xf numFmtId="0" fontId="0" fillId="0" borderId="0" xfId="0" applyAlignment="1">
      <alignment wrapText="1"/>
    </xf>
    <xf numFmtId="0" fontId="15" fillId="10" borderId="0" xfId="13" applyFont="1"/>
    <xf numFmtId="0" fontId="16" fillId="0" borderId="0" xfId="0" applyFont="1"/>
    <xf numFmtId="170" fontId="17" fillId="0" borderId="0" xfId="14" applyNumberFormat="1" applyFont="1" applyAlignment="1">
      <alignment horizontal="left"/>
    </xf>
    <xf numFmtId="0" fontId="17" fillId="0" borderId="0" xfId="14" applyFont="1"/>
    <xf numFmtId="171" fontId="17" fillId="0" borderId="0" xfId="14" applyNumberFormat="1" applyFont="1" applyAlignment="1">
      <alignment horizontal="left"/>
    </xf>
    <xf numFmtId="169" fontId="17" fillId="0" borderId="0" xfId="14" applyNumberFormat="1" applyFont="1" applyAlignment="1">
      <alignment horizontal="left"/>
    </xf>
    <xf numFmtId="172" fontId="17" fillId="0" borderId="0" xfId="14" applyNumberFormat="1" applyFont="1" applyAlignment="1">
      <alignment horizontal="left"/>
    </xf>
    <xf numFmtId="173" fontId="17" fillId="0" borderId="0" xfId="14" applyNumberFormat="1" applyFont="1" applyAlignment="1">
      <alignment horizontal="left"/>
    </xf>
    <xf numFmtId="0" fontId="18" fillId="11" borderId="0" xfId="13" applyFont="1" applyFill="1"/>
    <xf numFmtId="168" fontId="16" fillId="0" borderId="0" xfId="0" applyNumberFormat="1" applyFont="1"/>
    <xf numFmtId="0" fontId="0" fillId="0" borderId="0" xfId="0"/>
    <xf numFmtId="0" fontId="2" fillId="9" borderId="1" xfId="0" applyFont="1" applyFill="1" applyBorder="1" applyAlignment="1">
      <alignment horizontal="center" wrapText="1"/>
    </xf>
    <xf numFmtId="168" fontId="16" fillId="0" borderId="0" xfId="0" applyNumberFormat="1" applyFont="1" applyAlignment="1"/>
    <xf numFmtId="170" fontId="21" fillId="11" borderId="0" xfId="14" applyNumberFormat="1" applyFont="1" applyFill="1" applyAlignment="1">
      <alignment horizontal="center"/>
    </xf>
    <xf numFmtId="0" fontId="22" fillId="0" borderId="0" xfId="26" applyFont="1" applyFill="1" applyBorder="1" applyAlignment="1">
      <alignment horizontal="center" vertical="center"/>
    </xf>
    <xf numFmtId="170" fontId="22" fillId="0" borderId="0" xfId="26" applyNumberFormat="1" applyFont="1" applyFill="1" applyBorder="1" applyAlignment="1">
      <alignment horizontal="center" vertical="center"/>
    </xf>
    <xf numFmtId="0" fontId="23" fillId="0" borderId="0" xfId="0" applyFont="1"/>
    <xf numFmtId="0" fontId="18" fillId="11" borderId="0" xfId="13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11" borderId="2" xfId="14" applyFont="1" applyFill="1" applyBorder="1" applyAlignment="1">
      <alignment horizontal="left" vertical="center" wrapText="1"/>
    </xf>
    <xf numFmtId="0" fontId="24" fillId="11" borderId="3" xfId="14" applyFont="1" applyFill="1" applyBorder="1" applyAlignment="1">
      <alignment horizontal="left" vertical="center" wrapText="1"/>
    </xf>
    <xf numFmtId="2" fontId="18" fillId="11" borderId="0" xfId="13" applyNumberFormat="1" applyFont="1" applyFill="1"/>
    <xf numFmtId="2" fontId="15" fillId="10" borderId="0" xfId="13" applyNumberFormat="1" applyFont="1"/>
    <xf numFmtId="2" fontId="16" fillId="0" borderId="0" xfId="0" applyNumberFormat="1" applyFont="1"/>
    <xf numFmtId="2" fontId="17" fillId="0" borderId="0" xfId="14" applyNumberFormat="1" applyFont="1" applyAlignment="1">
      <alignment horizontal="left"/>
    </xf>
    <xf numFmtId="2" fontId="17" fillId="0" borderId="0" xfId="14" applyNumberFormat="1" applyFont="1"/>
    <xf numFmtId="2" fontId="24" fillId="11" borderId="3" xfId="14" applyNumberFormat="1" applyFont="1" applyFill="1" applyBorder="1" applyAlignment="1">
      <alignment horizontal="left" vertical="center" wrapText="1"/>
    </xf>
    <xf numFmtId="171" fontId="0" fillId="0" borderId="0" xfId="0" applyNumberFormat="1"/>
    <xf numFmtId="171" fontId="23" fillId="0" borderId="0" xfId="0" applyNumberFormat="1" applyFont="1"/>
    <xf numFmtId="170" fontId="17" fillId="0" borderId="0" xfId="14" applyNumberFormat="1" applyFont="1" applyFill="1" applyAlignment="1">
      <alignment horizontal="left"/>
    </xf>
    <xf numFmtId="0" fontId="23" fillId="0" borderId="0" xfId="0" applyFont="1" applyFill="1"/>
    <xf numFmtId="0" fontId="23" fillId="0" borderId="0" xfId="0" applyFont="1" applyFill="1" applyAlignment="1">
      <alignment horizontal="center"/>
    </xf>
    <xf numFmtId="0" fontId="0" fillId="0" borderId="0" xfId="0" applyFill="1"/>
    <xf numFmtId="171" fontId="18" fillId="11" borderId="0" xfId="13" applyNumberFormat="1" applyFont="1" applyFill="1"/>
    <xf numFmtId="171" fontId="17" fillId="0" borderId="0" xfId="14" applyNumberFormat="1" applyFont="1" applyAlignment="1"/>
    <xf numFmtId="0" fontId="0" fillId="0" borderId="0" xfId="0" applyAlignment="1">
      <alignment horizontal="center"/>
    </xf>
    <xf numFmtId="171" fontId="17" fillId="0" borderId="0" xfId="14" applyNumberFormat="1" applyFont="1" applyFill="1" applyAlignment="1">
      <alignment horizontal="left"/>
    </xf>
    <xf numFmtId="0" fontId="16" fillId="0" borderId="0" xfId="0" applyFont="1" applyFill="1" applyAlignment="1">
      <alignment horizontal="center"/>
    </xf>
    <xf numFmtId="0" fontId="16" fillId="0" borderId="0" xfId="0" applyFont="1" applyFill="1"/>
    <xf numFmtId="0" fontId="22" fillId="0" borderId="0" xfId="0" applyFont="1" applyAlignment="1">
      <alignment horizontal="center"/>
    </xf>
    <xf numFmtId="0" fontId="22" fillId="0" borderId="0" xfId="0" applyFont="1"/>
    <xf numFmtId="0" fontId="30" fillId="0" borderId="0" xfId="0" applyFont="1"/>
    <xf numFmtId="0" fontId="29" fillId="0" borderId="0" xfId="0" applyFont="1"/>
    <xf numFmtId="0" fontId="19" fillId="11" borderId="0" xfId="13" applyFont="1" applyFill="1" applyAlignment="1">
      <alignment vertical="top"/>
    </xf>
    <xf numFmtId="171" fontId="22" fillId="0" borderId="0" xfId="0" applyNumberFormat="1" applyFont="1"/>
    <xf numFmtId="0" fontId="22" fillId="12" borderId="16" xfId="26" applyFont="1" applyFill="1" applyBorder="1" applyAlignment="1">
      <alignment horizontal="center" vertical="center"/>
    </xf>
    <xf numFmtId="170" fontId="22" fillId="12" borderId="16" xfId="26" applyNumberFormat="1" applyFont="1" applyFill="1" applyBorder="1" applyAlignment="1">
      <alignment horizontal="center" vertical="center"/>
    </xf>
    <xf numFmtId="1" fontId="22" fillId="12" borderId="16" xfId="26" applyNumberFormat="1" applyFont="1" applyFill="1" applyBorder="1" applyAlignment="1">
      <alignment horizontal="center" vertical="center"/>
    </xf>
    <xf numFmtId="0" fontId="21" fillId="18" borderId="16" xfId="26" applyFont="1" applyFill="1" applyBorder="1" applyAlignment="1">
      <alignment horizontal="center" vertical="center"/>
    </xf>
    <xf numFmtId="0" fontId="20" fillId="10" borderId="0" xfId="13" applyFont="1" applyAlignment="1"/>
    <xf numFmtId="0" fontId="21" fillId="18" borderId="16" xfId="26" applyFont="1" applyFill="1" applyBorder="1" applyAlignment="1">
      <alignment horizontal="center" vertical="center"/>
    </xf>
    <xf numFmtId="0" fontId="21" fillId="18" borderId="16" xfId="26" applyFont="1" applyFill="1" applyBorder="1" applyAlignment="1">
      <alignment horizontal="center" vertical="center"/>
    </xf>
    <xf numFmtId="0" fontId="22" fillId="12" borderId="19" xfId="26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8" fillId="14" borderId="5" xfId="0" applyFont="1" applyFill="1" applyBorder="1" applyAlignment="1">
      <alignment horizontal="center" vertical="center"/>
    </xf>
    <xf numFmtId="0" fontId="28" fillId="14" borderId="6" xfId="0" applyFont="1" applyFill="1" applyBorder="1" applyAlignment="1">
      <alignment horizontal="center" vertical="center"/>
    </xf>
    <xf numFmtId="0" fontId="28" fillId="14" borderId="7" xfId="0" applyFont="1" applyFill="1" applyBorder="1" applyAlignment="1">
      <alignment horizontal="center" vertical="center"/>
    </xf>
    <xf numFmtId="0" fontId="25" fillId="17" borderId="12" xfId="0" applyFont="1" applyFill="1" applyBorder="1" applyAlignment="1">
      <alignment horizontal="center" vertical="center"/>
    </xf>
    <xf numFmtId="0" fontId="25" fillId="17" borderId="14" xfId="0" applyFont="1" applyFill="1" applyBorder="1" applyAlignment="1">
      <alignment horizontal="center" vertical="center"/>
    </xf>
    <xf numFmtId="170" fontId="25" fillId="17" borderId="13" xfId="26" applyNumberFormat="1" applyFont="1" applyFill="1" applyBorder="1" applyAlignment="1">
      <alignment horizontal="center" vertical="center"/>
    </xf>
    <xf numFmtId="170" fontId="25" fillId="17" borderId="15" xfId="26" applyNumberFormat="1" applyFont="1" applyFill="1" applyBorder="1" applyAlignment="1">
      <alignment horizontal="center" vertical="center"/>
    </xf>
    <xf numFmtId="0" fontId="27" fillId="15" borderId="8" xfId="0" applyFont="1" applyFill="1" applyBorder="1" applyAlignment="1">
      <alignment horizontal="center" vertical="center"/>
    </xf>
    <xf numFmtId="0" fontId="27" fillId="15" borderId="9" xfId="0" applyFont="1" applyFill="1" applyBorder="1" applyAlignment="1">
      <alignment horizontal="center" vertical="center"/>
    </xf>
    <xf numFmtId="0" fontId="27" fillId="15" borderId="10" xfId="0" applyFont="1" applyFill="1" applyBorder="1" applyAlignment="1">
      <alignment horizontal="center" vertical="center"/>
    </xf>
    <xf numFmtId="0" fontId="27" fillId="15" borderId="11" xfId="0" applyFont="1" applyFill="1" applyBorder="1" applyAlignment="1">
      <alignment horizontal="center" vertical="center"/>
    </xf>
    <xf numFmtId="0" fontId="26" fillId="13" borderId="6" xfId="0" applyFont="1" applyFill="1" applyBorder="1" applyAlignment="1">
      <alignment horizontal="center" vertical="center"/>
    </xf>
    <xf numFmtId="0" fontId="26" fillId="13" borderId="7" xfId="0" applyFont="1" applyFill="1" applyBorder="1" applyAlignment="1">
      <alignment horizontal="center" vertical="center"/>
    </xf>
    <xf numFmtId="0" fontId="26" fillId="16" borderId="10" xfId="0" applyFont="1" applyFill="1" applyBorder="1" applyAlignment="1">
      <alignment horizontal="center" vertical="center"/>
    </xf>
    <xf numFmtId="0" fontId="26" fillId="16" borderId="11" xfId="0" applyFont="1" applyFill="1" applyBorder="1" applyAlignment="1">
      <alignment horizontal="center" vertical="center"/>
    </xf>
    <xf numFmtId="0" fontId="21" fillId="18" borderId="17" xfId="26" applyFont="1" applyFill="1" applyBorder="1" applyAlignment="1">
      <alignment horizontal="center" vertical="center"/>
    </xf>
    <xf numFmtId="0" fontId="21" fillId="18" borderId="18" xfId="26" applyFont="1" applyFill="1" applyBorder="1" applyAlignment="1">
      <alignment horizontal="center" vertical="center"/>
    </xf>
    <xf numFmtId="0" fontId="31" fillId="0" borderId="0" xfId="0" pivotButton="1" applyFont="1"/>
    <xf numFmtId="0" fontId="31" fillId="0" borderId="0" xfId="0" applyFont="1"/>
    <xf numFmtId="0" fontId="31" fillId="0" borderId="0" xfId="0" applyFont="1" applyAlignment="1">
      <alignment horizontal="center"/>
    </xf>
    <xf numFmtId="171" fontId="31" fillId="0" borderId="0" xfId="0" applyNumberFormat="1" applyFont="1"/>
    <xf numFmtId="0" fontId="31" fillId="0" borderId="0" xfId="0" applyNumberFormat="1" applyFont="1" applyAlignment="1">
      <alignment horizontal="center"/>
    </xf>
    <xf numFmtId="0" fontId="32" fillId="0" borderId="0" xfId="0" pivotButton="1" applyFont="1" applyAlignment="1">
      <alignment horizontal="center"/>
    </xf>
    <xf numFmtId="0" fontId="32" fillId="0" borderId="0" xfId="0" applyFont="1" applyAlignment="1">
      <alignment horizontal="center"/>
    </xf>
  </cellXfs>
  <cellStyles count="27">
    <cellStyle name="20% - Accent1" xfId="1" builtinId="30" customBuiltin="1"/>
    <cellStyle name="20% - Accent1 2" xfId="20" xr:uid="{00000000-0005-0000-0000-000001000000}"/>
    <cellStyle name="20% - Accent2" xfId="2" builtinId="34" customBuiltin="1"/>
    <cellStyle name="20% - Accent2 2" xfId="21" xr:uid="{00000000-0005-0000-0000-000003000000}"/>
    <cellStyle name="20% - Accent3" xfId="3" builtinId="38" customBuiltin="1"/>
    <cellStyle name="20% - Accent3 2" xfId="22" xr:uid="{00000000-0005-0000-0000-000005000000}"/>
    <cellStyle name="20% - Accent4" xfId="4" builtinId="42" customBuiltin="1"/>
    <cellStyle name="20% - Accent4 2" xfId="23" xr:uid="{00000000-0005-0000-0000-000007000000}"/>
    <cellStyle name="40% - Accent3" xfId="5" builtinId="39" customBuiltin="1"/>
    <cellStyle name="40% - Accent3 2" xfId="24" xr:uid="{00000000-0005-0000-0000-000009000000}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Geotab Report Field Name" xfId="26" xr:uid="{00000000-0005-0000-0000-000011000000}"/>
    <cellStyle name="Heading" xfId="13" xr:uid="{00000000-0005-0000-0000-000012000000}"/>
    <cellStyle name="Normal" xfId="0" builtinId="0" customBuiltin="1"/>
    <cellStyle name="Report Body" xfId="14" xr:uid="{00000000-0005-0000-0000-000014000000}"/>
    <cellStyle name="Report Column Header" xfId="15" xr:uid="{00000000-0005-0000-0000-000015000000}"/>
    <cellStyle name="Report Creation DateTime" xfId="16" xr:uid="{00000000-0005-0000-0000-000016000000}"/>
    <cellStyle name="Report Creation DateTime 2" xfId="25" xr:uid="{00000000-0005-0000-0000-000017000000}"/>
    <cellStyle name="Report Field Name" xfId="17" xr:uid="{00000000-0005-0000-0000-000018000000}"/>
    <cellStyle name="Report Name" xfId="18" xr:uid="{00000000-0005-0000-0000-000019000000}"/>
    <cellStyle name="StandardReportHeading" xfId="19" xr:uid="{00000000-0005-0000-0000-00001A000000}"/>
  </cellStyles>
  <dxfs count="86"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color theme="1"/>
      </font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4"/>
        </bottom>
      </border>
    </dxf>
    <dxf>
      <font>
        <color theme="1"/>
      </font>
      <fill>
        <patternFill patternType="solid">
          <fgColor theme="0"/>
          <bgColor theme="0" tint="-4.9989318521683403E-2"/>
        </patternFill>
      </fill>
      <border>
        <bottom style="thin">
          <color theme="4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0" tint="-0.14996795556505021"/>
        </patternFill>
      </fill>
      <border>
        <top style="thin">
          <color theme="4"/>
        </top>
        <bottom style="thin">
          <color theme="4"/>
        </bottom>
      </border>
    </dxf>
    <dxf>
      <font>
        <color theme="1"/>
      </font>
      <fill>
        <patternFill patternType="solid">
          <fgColor theme="0" tint="-0.14993743705557422"/>
          <bgColor theme="0" tint="-4.9989318521683403E-2"/>
        </patternFill>
      </fill>
    </dxf>
    <dxf>
      <fill>
        <patternFill patternType="solid">
          <fgColor theme="0" tint="-0.14990691854609822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ont>
        <color theme="1"/>
      </font>
      <fill>
        <patternFill>
          <fgColor theme="8"/>
          <bgColor theme="2" tint="0.7999816888943144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1"/>
      </font>
      <fill>
        <patternFill patternType="solid">
          <fgColor theme="5" tint="0.79982909634693444"/>
          <bgColor theme="0" tint="-4.9989318521683403E-2"/>
        </patternFill>
      </fill>
      <border>
        <top style="thin">
          <color theme="2" tint="0.59996337778862885"/>
        </top>
        <bottom style="thin">
          <color theme="2" tint="0.59996337778862885"/>
        </bottom>
      </border>
    </dxf>
    <dxf>
      <font>
        <b/>
        <i val="0"/>
        <color theme="0"/>
      </font>
      <fill>
        <patternFill patternType="solid">
          <fgColor auto="1"/>
          <bgColor theme="2"/>
        </patternFill>
      </fill>
      <border>
        <bottom style="thin">
          <color theme="4"/>
        </bottom>
      </border>
    </dxf>
    <dxf>
      <font>
        <color theme="3"/>
      </font>
    </dxf>
  </dxfs>
  <tableStyles count="1" defaultTableStyle="TableStyleMedium9" defaultPivotStyle="PivotStyleLight16">
    <tableStyle name="PivotStyleLightCustom" table="0" count="13" xr9:uid="{00000000-0011-0000-FFFF-FFFF00000000}">
      <tableStyleElement type="wholeTable" dxfId="85"/>
      <tableStyleElement type="headerRow" dxfId="84"/>
      <tableStyleElement type="totalRow" dxfId="83"/>
      <tableStyleElement type="firstRowStripe" dxfId="82"/>
      <tableStyleElement type="secondRowStripe" dxfId="81"/>
      <tableStyleElement type="firstColumnStripe" dxfId="80"/>
      <tableStyleElement type="firstSubtotalColumn" dxfId="79"/>
      <tableStyleElement type="firstSubtotalRow" dxfId="78"/>
      <tableStyleElement type="secondSubtotalRow" dxfId="77"/>
      <tableStyleElement type="firstRowSubheading" dxfId="76"/>
      <tableStyleElement type="secondRowSubheading" dxfId="75"/>
      <tableStyleElement type="pageFieldLabels" dxfId="74"/>
      <tableStyleElement type="pageFieldValues" dxfId="7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kash Dubey" refreshedDate="44011.798248148145" createdVersion="4" refreshedVersion="6" recordCount="248" xr:uid="{00000000-000A-0000-FFFF-FFFF41000000}">
  <cacheSource type="worksheet">
    <worksheetSource name="AllData"/>
  </cacheSource>
  <cacheFields count="17">
    <cacheField name="**Vehicle" numFmtId="0">
      <sharedItems count="12">
        <s v="Vehicle 1"/>
        <s v="Vehicle 2"/>
        <s v="Vehicle 3"/>
        <s v="Vehicle 4"/>
        <s v="Vehicle 5"/>
        <s v="Vehicle 6"/>
        <s v="Vehicle 7"/>
        <s v="Vehicle 8"/>
        <s v="Vehicle 9"/>
        <s v="Vehicle 10"/>
        <s v="Vehicle 11"/>
        <s v="Vehicle 12"/>
      </sharedItems>
    </cacheField>
    <cacheField name="**Date" numFmtId="171">
      <sharedItems containsSemiMixedTypes="0" containsNonDate="0" containsDate="1" containsString="0" minDate="2019-04-13T14:45:54" maxDate="2019-05-13T10:39:54" count="248">
        <d v="2019-04-13T14:45:54"/>
        <d v="2019-04-13T15:56:17"/>
        <d v="2019-04-13T19:41:09"/>
        <d v="2019-04-13T23:00:54"/>
        <d v="2019-04-14T09:35:26"/>
        <d v="2019-04-14T11:04:10"/>
        <d v="2019-04-15T05:49:48"/>
        <d v="2019-04-15T09:12:01"/>
        <d v="2019-04-15T09:35:41"/>
        <d v="2019-04-15T16:30:17"/>
        <d v="2019-04-15T18:22:16"/>
        <d v="2019-04-16T06:29:11"/>
        <d v="2019-04-16T07:12:58"/>
        <d v="2019-04-16T07:15:03"/>
        <d v="2019-04-16T10:29:59"/>
        <d v="2019-04-16T11:47:14"/>
        <d v="2019-04-16T11:48:27"/>
        <d v="2019-04-16T11:48:32"/>
        <d v="2019-04-16T13:01:33"/>
        <d v="2019-04-16T13:37:42"/>
        <d v="2019-04-16T14:05:56"/>
        <d v="2019-04-16T14:47:34"/>
        <d v="2019-04-16T16:05:14"/>
        <d v="2019-04-16T16:09:15"/>
        <d v="2019-04-17T05:51:27"/>
        <d v="2019-04-17T06:05:36"/>
        <d v="2019-04-17T07:02:58"/>
        <d v="2019-04-17T07:43:38"/>
        <d v="2019-04-17T07:51:28"/>
        <d v="2019-04-17T20:15:26"/>
        <d v="2019-04-17T20:21:54"/>
        <d v="2019-04-17T20:25:57"/>
        <d v="2019-04-17T20:35:58"/>
        <d v="2019-04-17T21:38:59"/>
        <d v="2019-04-18T06:30:17"/>
        <d v="2019-04-18T06:46:38"/>
        <d v="2019-04-18T06:51:54"/>
        <d v="2019-04-18T11:46:20"/>
        <d v="2019-04-18T11:46:33"/>
        <d v="2019-04-18T11:54:48"/>
        <d v="2019-04-18T11:55:16"/>
        <d v="2019-04-18T12:14:10"/>
        <d v="2019-04-18T12:14:37"/>
        <d v="2019-04-19T07:11:43"/>
        <d v="2019-04-19T13:15:20"/>
        <d v="2019-04-19T18:32:54"/>
        <d v="2019-04-20T00:07:00"/>
        <d v="2019-04-20T09:47:32"/>
        <d v="2019-04-20T17:59:38"/>
        <d v="2019-04-21T12:17:56"/>
        <d v="2019-04-21T12:42:41"/>
        <d v="2019-04-22T06:30:39"/>
        <d v="2019-04-22T07:19:42"/>
        <d v="2019-04-22T08:03:43"/>
        <d v="2019-04-22T08:29:41"/>
        <d v="2019-04-22T08:30:41"/>
        <d v="2019-04-22T09:16:36"/>
        <d v="2019-04-22T09:17:53"/>
        <d v="2019-04-22T12:29:44"/>
        <d v="2019-04-22T13:29:10"/>
        <d v="2019-04-22T13:29:25"/>
        <d v="2019-04-22T14:09:51"/>
        <d v="2019-04-22T14:16:04"/>
        <d v="2019-04-22T14:16:27"/>
        <d v="2019-04-23T05:39:38"/>
        <d v="2019-04-23T05:50:42"/>
        <d v="2019-04-23T06:04:35"/>
        <d v="2019-04-23T06:26:08"/>
        <d v="2019-04-23T09:23:23"/>
        <d v="2019-04-23T11:59:55"/>
        <d v="2019-04-23T12:17:53"/>
        <d v="2019-04-23T12:25:06"/>
        <d v="2019-04-23T12:28:11"/>
        <d v="2019-04-23T12:36:31"/>
        <d v="2019-04-23T12:36:53"/>
        <d v="2019-04-23T13:05:09"/>
        <d v="2019-04-23T13:05:55"/>
        <d v="2019-04-23T18:54:31"/>
        <d v="2019-04-24T08:49:43"/>
        <d v="2019-04-24T10:23:38"/>
        <d v="2019-04-24T13:24:52"/>
        <d v="2019-04-24T14:29:40"/>
        <d v="2019-04-25T06:34:39"/>
        <d v="2019-04-25T09:32:04"/>
        <d v="2019-04-25T09:33:06"/>
        <d v="2019-04-25T09:38:29"/>
        <d v="2019-04-25T09:38:42"/>
        <d v="2019-04-25T09:44:09"/>
        <d v="2019-04-25T09:44:31"/>
        <d v="2019-04-25T09:45:07"/>
        <d v="2019-04-25T09:45:40"/>
        <d v="2019-04-25T09:51:26"/>
        <d v="2019-04-25T09:52:30"/>
        <d v="2019-04-25T09:56:45"/>
        <d v="2019-04-25T09:57:11"/>
        <d v="2019-04-25T09:58:48"/>
        <d v="2019-04-25T09:59:05"/>
        <d v="2019-04-25T10:12:21"/>
        <d v="2019-04-25T13:33:53"/>
        <d v="2019-04-25T14:29:15"/>
        <d v="2019-04-25T15:09:34"/>
        <d v="2019-04-25T16:10:30"/>
        <d v="2019-04-26T06:01:52"/>
        <d v="2019-04-26T07:21:38"/>
        <d v="2019-04-26T07:29:39"/>
        <d v="2019-04-26T07:29:53"/>
        <d v="2019-04-26T08:11:24"/>
        <d v="2019-04-26T09:33:53"/>
        <d v="2019-04-26T13:35:16"/>
        <d v="2019-04-26T14:18:54"/>
        <d v="2019-04-26T14:41:40"/>
        <d v="2019-04-26T22:05:21"/>
        <d v="2019-04-27T08:51:28"/>
        <d v="2019-04-27T10:07:43"/>
        <d v="2019-04-27T18:21:59"/>
        <d v="2019-04-28T12:40:18"/>
        <d v="2019-04-29T07:09:23"/>
        <d v="2019-04-29T08:25:47"/>
        <d v="2019-04-29T08:45:49"/>
        <d v="2019-04-29T11:08:56"/>
        <d v="2019-04-29T14:22:28"/>
        <d v="2019-04-29T16:08:28"/>
        <d v="2019-04-29T18:24:49"/>
        <d v="2019-04-29T18:25:14"/>
        <d v="2019-04-30T06:54:59"/>
        <d v="2019-04-30T12:17:02"/>
        <d v="2019-04-30T14:22:42"/>
        <d v="2019-05-01T06:37:21"/>
        <d v="2019-05-01T12:17:03"/>
        <d v="2019-05-01T12:23:44"/>
        <d v="2019-05-01T12:46:47"/>
        <d v="2019-05-01T12:47:16"/>
        <d v="2019-05-01T13:23:17"/>
        <d v="2019-05-01T16:03:16"/>
        <d v="2019-05-02T06:12:08"/>
        <d v="2019-05-02T07:02:35"/>
        <d v="2019-05-02T08:54:11"/>
        <d v="2019-05-02T11:14:42"/>
        <d v="2019-05-02T13:23:43"/>
        <d v="2019-05-03T06:53:57"/>
        <d v="2019-05-03T08:00:48"/>
        <d v="2019-05-03T08:41:05"/>
        <d v="2019-05-03T08:46:02"/>
        <d v="2019-05-03T12:52:10"/>
        <d v="2019-05-03T12:52:11"/>
        <d v="2019-05-03T12:53:56"/>
        <d v="2019-05-03T13:18:13"/>
        <d v="2019-05-03T14:14:48"/>
        <d v="2019-05-04T04:25:13"/>
        <d v="2019-05-04T09:07:44"/>
        <d v="2019-05-04T09:46:23"/>
        <d v="2019-05-04T10:17:32"/>
        <d v="2019-05-04T13:22:59"/>
        <d v="2019-05-04T16:04:34"/>
        <d v="2019-05-04T16:56:51"/>
        <d v="2019-05-04T19:00:58"/>
        <d v="2019-05-04T21:42:14"/>
        <d v="2019-05-04T21:57:36"/>
        <d v="2019-05-05T08:24:09"/>
        <d v="2019-05-05T11:45:30"/>
        <d v="2019-05-05T18:01:02"/>
        <d v="2019-05-06T06:54:00"/>
        <d v="2019-05-06T09:37:59"/>
        <d v="2019-05-06T11:13:12"/>
        <d v="2019-05-06T14:09:51"/>
        <d v="2019-05-06T14:21:35"/>
        <d v="2019-05-06T16:20:21"/>
        <d v="2019-05-06T17:48:10"/>
        <d v="2019-05-06T23:14:31"/>
        <d v="2019-05-07T05:03:31"/>
        <d v="2019-05-07T06:28:17"/>
        <d v="2019-05-07T08:32:23"/>
        <d v="2019-05-07T10:48:46"/>
        <d v="2019-05-07T11:31:56"/>
        <d v="2019-05-07T16:21:19"/>
        <d v="2019-05-07T18:12:49"/>
        <d v="2019-05-07T23:12:55"/>
        <d v="2019-05-08T07:59:49"/>
        <d v="2019-05-08T08:40:27"/>
        <d v="2019-05-08T08:40:50"/>
        <d v="2019-05-08T08:40:53"/>
        <d v="2019-05-08T08:42:03"/>
        <d v="2019-05-08T08:43:23"/>
        <d v="2019-05-08T08:43:36"/>
        <d v="2019-05-08T08:49:56"/>
        <d v="2019-05-08T08:50:19"/>
        <d v="2019-05-08T08:55:29"/>
        <d v="2019-05-08T08:56:28"/>
        <d v="2019-05-08T08:57:05"/>
        <d v="2019-05-08T08:57:32"/>
        <d v="2019-05-08T08:58:13"/>
        <d v="2019-05-08T08:59:26"/>
        <d v="2019-05-08T09:21:17"/>
        <d v="2019-05-08T09:21:39"/>
        <d v="2019-05-08T09:33:20"/>
        <d v="2019-05-08T11:48:59"/>
        <d v="2019-05-08T11:49:30"/>
        <d v="2019-05-08T13:26:29"/>
        <d v="2019-05-08T14:41:22"/>
        <d v="2019-05-08T16:23:40"/>
        <d v="2019-05-08T17:50:28"/>
        <d v="2019-05-09T06:41:47"/>
        <d v="2019-05-09T06:41:48"/>
        <d v="2019-05-09T07:15:43"/>
        <d v="2019-05-09T08:57:22"/>
        <d v="2019-05-09T09:49:50"/>
        <d v="2019-05-09T10:06:49"/>
        <d v="2019-05-09T10:32:55"/>
        <d v="2019-05-09T10:33:11"/>
        <d v="2019-05-09T13:13:23"/>
        <d v="2019-05-09T16:22:27"/>
        <d v="2019-05-09T18:28:40"/>
        <d v="2019-05-10T05:53:49"/>
        <d v="2019-05-10T06:42:56"/>
        <d v="2019-05-10T06:56:14"/>
        <d v="2019-05-10T06:57:30"/>
        <d v="2019-05-10T07:01:10"/>
        <d v="2019-05-10T07:03:56"/>
        <d v="2019-05-10T07:25:38"/>
        <d v="2019-05-10T07:26:39"/>
        <d v="2019-05-10T08:10:51"/>
        <d v="2019-05-10T09:08:57"/>
        <d v="2019-05-10T15:03:51"/>
        <d v="2019-05-10T15:26:48"/>
        <d v="2019-05-10T15:26:56"/>
        <d v="2019-05-10T15:29:39"/>
        <d v="2019-05-10T15:29:55"/>
        <d v="2019-05-10T16:13:53"/>
        <d v="2019-05-10T17:19:11"/>
        <d v="2019-05-10T17:37:38"/>
        <d v="2019-05-10T17:37:55"/>
        <d v="2019-05-11T10:18:00"/>
        <d v="2019-05-11T14:33:15"/>
        <d v="2019-05-12T06:26:37"/>
        <d v="2019-05-12T06:47:50"/>
        <d v="2019-05-12T11:54:48"/>
        <d v="2019-05-12T12:46:07"/>
        <d v="2019-05-12T20:19:48"/>
        <d v="2019-05-12T20:19:57"/>
        <d v="2019-05-12T20:54:20"/>
        <d v="2019-05-12T20:54:31"/>
        <d v="2019-05-13T06:09:56"/>
        <d v="2019-05-13T06:40:15"/>
        <d v="2019-05-13T07:37:46"/>
        <d v="2019-05-13T08:14:41"/>
        <d v="2019-05-13T08:14:43"/>
        <d v="2019-05-13T09:12:19"/>
        <d v="2019-05-13T10:39:54"/>
      </sharedItems>
    </cacheField>
    <cacheField name="**Status" numFmtId="169">
      <sharedItems count="3">
        <s v="UnidentifiedDrivingCompliance"/>
        <s v="DataTransferCompliance"/>
        <s v="PowerCompliance"/>
      </sharedItems>
    </cacheField>
    <cacheField name="**Short Status" numFmtId="169">
      <sharedItems/>
    </cacheField>
    <cacheField name="**Vehicle &amp; Type" numFmtId="169">
      <sharedItems/>
    </cacheField>
    <cacheField name="Next Row" numFmtId="169">
      <sharedItems containsMixedTypes="1" containsNumber="1" containsInteger="1" minValue="1" maxValue="150"/>
    </cacheField>
    <cacheField name="Malf/Diag" numFmtId="169">
      <sharedItems count="2">
        <s v="Diagnostic"/>
        <s v="Malfunction"/>
      </sharedItems>
    </cacheField>
    <cacheField name="**Clear" numFmtId="169">
      <sharedItems count="2">
        <s v="Active"/>
        <s v="Cleared"/>
      </sharedItems>
    </cacheField>
    <cacheField name="**Type" numFmtId="169">
      <sharedItems count="4">
        <s v="Diagnostic"/>
        <s v="SystemDiagnosticClear"/>
        <s v="SystemDiagnosticClearDriving"/>
        <s v="Malfunction"/>
      </sharedItems>
    </cacheField>
    <cacheField name="Include" numFmtId="169">
      <sharedItems count="2">
        <b v="0"/>
        <b v="1"/>
      </sharedItems>
    </cacheField>
    <cacheField name="Active" numFmtId="169">
      <sharedItems count="2">
        <b v="1"/>
        <b v="0"/>
      </sharedItems>
    </cacheField>
    <cacheField name="Malfunction" numFmtId="169">
      <sharedItems count="2">
        <b v="0"/>
        <b v="1"/>
      </sharedItems>
    </cacheField>
    <cacheField name="**Longitude" numFmtId="172">
      <sharedItems/>
    </cacheField>
    <cacheField name="**Latitude" numFmtId="172">
      <sharedItems/>
    </cacheField>
    <cacheField name="**Address" numFmtId="169">
      <sharedItems/>
    </cacheField>
    <cacheField name="**Odometer" numFmtId="173">
      <sharedItems containsSemiMixedTypes="0" containsString="0" containsNumber="1" minValue="0" maxValue="119915.640625"/>
    </cacheField>
    <cacheField name="**Distance" numFmtId="2">
      <sharedItems containsSemiMixedTypes="0" containsString="0" containsNumber="1" minValue="-47889224" maxValue="106820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x v="0"/>
    <x v="0"/>
    <x v="0"/>
    <s v="Unidentified Driving"/>
    <s v="Vehicle 1 Unidentified Driving Diagnostic"/>
    <n v="7"/>
    <x v="0"/>
    <x v="0"/>
    <x v="0"/>
    <x v="0"/>
    <x v="0"/>
    <x v="0"/>
    <s v="Long"/>
    <s v="Lat"/>
    <s v="Approximate Location"/>
    <n v="12321.00390625"/>
    <n v="21.503171920776399"/>
  </r>
  <r>
    <x v="1"/>
    <x v="1"/>
    <x v="0"/>
    <s v="Unidentified Driving"/>
    <s v="Vehicle 2 Unidentified Driving Diagnostic"/>
    <n v="2"/>
    <x v="0"/>
    <x v="0"/>
    <x v="0"/>
    <x v="0"/>
    <x v="0"/>
    <x v="0"/>
    <s v="Long"/>
    <s v="Lat"/>
    <s v="Approximate Location"/>
    <n v="2990.02856445312"/>
    <n v="16.041061401367202"/>
  </r>
  <r>
    <x v="2"/>
    <x v="2"/>
    <x v="0"/>
    <s v="Unidentified Driving"/>
    <s v="Vehicle 3 Unidentified Driving Diagnostic"/>
    <n v="6"/>
    <x v="0"/>
    <x v="0"/>
    <x v="0"/>
    <x v="0"/>
    <x v="0"/>
    <x v="0"/>
    <s v="Long"/>
    <s v="Lat"/>
    <s v="Approximate Location"/>
    <n v="116631.1875"/>
    <n v="119.233680725098"/>
  </r>
  <r>
    <x v="1"/>
    <x v="3"/>
    <x v="0"/>
    <s v="Unidentified Driving"/>
    <s v="Vehicle 2 Unidentified Driving Diagnostic"/>
    <n v="76"/>
    <x v="0"/>
    <x v="0"/>
    <x v="0"/>
    <x v="0"/>
    <x v="0"/>
    <x v="0"/>
    <s v="Long"/>
    <s v="Lat"/>
    <s v="Approximate Location"/>
    <n v="3006.06958007812"/>
    <n v="153.68159484863301"/>
  </r>
  <r>
    <x v="3"/>
    <x v="4"/>
    <x v="0"/>
    <s v="Unidentified Driving"/>
    <s v="Vehicle 4 Unidentified Driving Diagnostic"/>
    <n v="2"/>
    <x v="0"/>
    <x v="0"/>
    <x v="0"/>
    <x v="0"/>
    <x v="0"/>
    <x v="0"/>
    <s v="Long"/>
    <s v="Lat"/>
    <s v="Approximate Location"/>
    <n v="60532.68359375"/>
    <n v="12.253440856933601"/>
  </r>
  <r>
    <x v="4"/>
    <x v="5"/>
    <x v="0"/>
    <s v="Unidentified Driving"/>
    <s v="Vehicle 5 Unidentified Driving Diagnostic"/>
    <n v="4"/>
    <x v="0"/>
    <x v="0"/>
    <x v="0"/>
    <x v="0"/>
    <x v="0"/>
    <x v="0"/>
    <s v="Long"/>
    <s v="Lat"/>
    <s v="Approximate Location"/>
    <n v="82226.671875"/>
    <n v="22.493638992309599"/>
  </r>
  <r>
    <x v="3"/>
    <x v="6"/>
    <x v="0"/>
    <s v="Unidentified Driving"/>
    <s v="Vehicle 4 Unidentified Driving Diagnostic"/>
    <n v="7"/>
    <x v="0"/>
    <x v="0"/>
    <x v="0"/>
    <x v="0"/>
    <x v="0"/>
    <x v="0"/>
    <s v="Long"/>
    <s v="Lat"/>
    <s v="Approximate Location"/>
    <n v="60544.93359375"/>
    <n v="28.796827316284201"/>
  </r>
  <r>
    <x v="0"/>
    <x v="7"/>
    <x v="0"/>
    <s v="Unidentified Driving"/>
    <s v="Vehicle 1 Unidentified Driving Diagnostic"/>
    <n v="4"/>
    <x v="0"/>
    <x v="0"/>
    <x v="0"/>
    <x v="0"/>
    <x v="0"/>
    <x v="0"/>
    <s v="Long"/>
    <s v="Lat"/>
    <s v="Approximate Location"/>
    <n v="12342.5068359375"/>
    <n v="33.1153564453125"/>
  </r>
  <r>
    <x v="2"/>
    <x v="8"/>
    <x v="0"/>
    <s v="Unidentified Driving"/>
    <s v="Vehicle 3 Unidentified Driving Diagnostic"/>
    <n v="2"/>
    <x v="0"/>
    <x v="0"/>
    <x v="0"/>
    <x v="0"/>
    <x v="0"/>
    <x v="0"/>
    <s v="Long"/>
    <s v="Lat"/>
    <s v="Approximate Location"/>
    <n v="116750.421875"/>
    <n v="19.6452732086182"/>
  </r>
  <r>
    <x v="4"/>
    <x v="9"/>
    <x v="0"/>
    <s v="Unidentified Driving"/>
    <s v="Vehicle 5 Unidentified Driving Diagnostic"/>
    <n v="150"/>
    <x v="0"/>
    <x v="0"/>
    <x v="0"/>
    <x v="0"/>
    <x v="0"/>
    <x v="0"/>
    <s v="Long"/>
    <s v="Lat"/>
    <s v="Approximate Location"/>
    <n v="82249.171875"/>
    <n v="5.7787523269653303"/>
  </r>
  <r>
    <x v="2"/>
    <x v="10"/>
    <x v="0"/>
    <s v="Unidentified Driving"/>
    <s v="Vehicle 3 Unidentified Driving Diagnostic"/>
    <e v="#N/A"/>
    <x v="0"/>
    <x v="0"/>
    <x v="0"/>
    <x v="1"/>
    <x v="0"/>
    <x v="0"/>
    <s v="Long"/>
    <s v="Lat"/>
    <s v="Approximate Location"/>
    <n v="116770.0703125"/>
    <n v="93.832023620605497"/>
  </r>
  <r>
    <x v="0"/>
    <x v="11"/>
    <x v="0"/>
    <s v="Unidentified Driving"/>
    <s v="Vehicle 1 Unidentified Driving Diagnostic"/>
    <n v="13"/>
    <x v="0"/>
    <x v="0"/>
    <x v="0"/>
    <x v="0"/>
    <x v="0"/>
    <x v="0"/>
    <s v="Long"/>
    <s v="Lat"/>
    <s v="Approximate Location"/>
    <n v="12375.6220703125"/>
    <n v="31.837818145751999"/>
  </r>
  <r>
    <x v="5"/>
    <x v="12"/>
    <x v="0"/>
    <s v="Unidentified Driving"/>
    <s v="Vehicle 6 Unidentified Driving Diagnostic"/>
    <n v="14"/>
    <x v="0"/>
    <x v="0"/>
    <x v="0"/>
    <x v="0"/>
    <x v="0"/>
    <x v="0"/>
    <s v="Long"/>
    <s v="Lat"/>
    <s v="Approximate Location"/>
    <n v="118435.0234375"/>
    <n v="5.5376601219177202"/>
  </r>
  <r>
    <x v="3"/>
    <x v="13"/>
    <x v="0"/>
    <s v="Unidentified Driving"/>
    <s v="Vehicle 4 Unidentified Driving Diagnostic"/>
    <n v="12"/>
    <x v="0"/>
    <x v="0"/>
    <x v="0"/>
    <x v="0"/>
    <x v="0"/>
    <x v="0"/>
    <s v="Long"/>
    <s v="Lat"/>
    <s v="Approximate Location"/>
    <n v="60573.73046875"/>
    <n v="15.5541648864746"/>
  </r>
  <r>
    <x v="6"/>
    <x v="14"/>
    <x v="1"/>
    <s v="Data Transfer"/>
    <s v="Vehicle 7 Data Transfer Diagnostic"/>
    <n v="7"/>
    <x v="0"/>
    <x v="1"/>
    <x v="1"/>
    <x v="0"/>
    <x v="1"/>
    <x v="0"/>
    <s v="Long"/>
    <s v="Lat"/>
    <s v="Approximate Location"/>
    <n v="16916.353515625"/>
    <n v="-38.535369873046903"/>
  </r>
  <r>
    <x v="4"/>
    <x v="15"/>
    <x v="1"/>
    <s v="Data Transfer"/>
    <s v="Vehicle 5 Data Transfer Diagnostic"/>
    <n v="128"/>
    <x v="0"/>
    <x v="1"/>
    <x v="1"/>
    <x v="0"/>
    <x v="1"/>
    <x v="0"/>
    <s v="Long"/>
    <s v="Lat"/>
    <s v="Approximate Location"/>
    <n v="82254.9453125"/>
    <n v="23.549968719482401"/>
  </r>
  <r>
    <x v="6"/>
    <x v="16"/>
    <x v="2"/>
    <s v="Power"/>
    <s v="Vehicle 7 Power Diagnostic"/>
    <n v="1"/>
    <x v="0"/>
    <x v="1"/>
    <x v="0"/>
    <x v="0"/>
    <x v="1"/>
    <x v="0"/>
    <s v="Long"/>
    <s v="Lat"/>
    <s v="Approximate Location"/>
    <n v="16877.818359375"/>
    <n v="0"/>
  </r>
  <r>
    <x v="6"/>
    <x v="17"/>
    <x v="2"/>
    <s v="Power"/>
    <s v="Vehicle 7 Power Diagnostic"/>
    <n v="78"/>
    <x v="0"/>
    <x v="1"/>
    <x v="2"/>
    <x v="0"/>
    <x v="1"/>
    <x v="0"/>
    <s v="Long"/>
    <s v="Lat"/>
    <s v="Approximate Location"/>
    <n v="16877.818359375"/>
    <n v="42.0228462219238"/>
  </r>
  <r>
    <x v="5"/>
    <x v="18"/>
    <x v="1"/>
    <s v="Data Transfer"/>
    <s v="Vehicle 6 Data Transfer Diagnostic"/>
    <n v="9"/>
    <x v="0"/>
    <x v="1"/>
    <x v="1"/>
    <x v="0"/>
    <x v="1"/>
    <x v="0"/>
    <s v="Long"/>
    <s v="Lat"/>
    <s v="Approximate Location"/>
    <n v="118440.5625"/>
    <n v="56.7386474609375"/>
  </r>
  <r>
    <x v="7"/>
    <x v="19"/>
    <x v="1"/>
    <s v="Data Transfer"/>
    <s v="Vehicle 8 Data Transfer Diagnostic"/>
    <n v="89"/>
    <x v="0"/>
    <x v="1"/>
    <x v="1"/>
    <x v="0"/>
    <x v="1"/>
    <x v="0"/>
    <s v="Long"/>
    <s v="Lat"/>
    <s v="Approximate Location"/>
    <n v="66902.6796875"/>
    <n v="94.453399658203097"/>
  </r>
  <r>
    <x v="8"/>
    <x v="20"/>
    <x v="1"/>
    <s v="Data Transfer"/>
    <s v="Vehicle 9 Data Transfer Diagnostic"/>
    <n v="12"/>
    <x v="0"/>
    <x v="1"/>
    <x v="1"/>
    <x v="0"/>
    <x v="1"/>
    <x v="0"/>
    <s v="Long"/>
    <s v="Lat"/>
    <s v="Approximate Location"/>
    <n v="0"/>
    <n v="0"/>
  </r>
  <r>
    <x v="6"/>
    <x v="21"/>
    <x v="1"/>
    <s v="Data Transfer"/>
    <s v="Vehicle 7 Data Transfer Diagnostic"/>
    <n v="1"/>
    <x v="0"/>
    <x v="1"/>
    <x v="1"/>
    <x v="0"/>
    <x v="1"/>
    <x v="0"/>
    <s v="Long"/>
    <s v="Lat"/>
    <s v="Approximate Location"/>
    <n v="16919.841796875"/>
    <n v="0"/>
  </r>
  <r>
    <x v="6"/>
    <x v="22"/>
    <x v="1"/>
    <s v="Data Transfer"/>
    <s v="Vehicle 7 Data Transfer Diagnostic"/>
    <n v="1"/>
    <x v="0"/>
    <x v="1"/>
    <x v="1"/>
    <x v="0"/>
    <x v="1"/>
    <x v="0"/>
    <s v="Long"/>
    <s v="Lat"/>
    <s v="Approximate Location"/>
    <n v="16919.841796875"/>
    <n v="0"/>
  </r>
  <r>
    <x v="6"/>
    <x v="23"/>
    <x v="1"/>
    <s v="Data Transfer"/>
    <s v="Vehicle 7 Data Transfer Diagnostic"/>
    <n v="5"/>
    <x v="0"/>
    <x v="1"/>
    <x v="1"/>
    <x v="0"/>
    <x v="1"/>
    <x v="0"/>
    <s v="Long"/>
    <s v="Lat"/>
    <s v="Approximate Location"/>
    <n v="16919.841796875"/>
    <n v="8.6515684127807599"/>
  </r>
  <r>
    <x v="0"/>
    <x v="24"/>
    <x v="0"/>
    <s v="Unidentified Driving"/>
    <s v="Vehicle 1 Unidentified Driving Diagnostic"/>
    <n v="11"/>
    <x v="0"/>
    <x v="0"/>
    <x v="0"/>
    <x v="0"/>
    <x v="0"/>
    <x v="0"/>
    <s v="Long"/>
    <s v="Lat"/>
    <s v="Approximate Location"/>
    <n v="12407.4599609375"/>
    <n v="37.942169189453097"/>
  </r>
  <r>
    <x v="3"/>
    <x v="25"/>
    <x v="0"/>
    <s v="Unidentified Driving"/>
    <s v="Vehicle 4 Unidentified Driving Diagnostic"/>
    <n v="9"/>
    <x v="0"/>
    <x v="0"/>
    <x v="0"/>
    <x v="0"/>
    <x v="0"/>
    <x v="0"/>
    <s v="Long"/>
    <s v="Lat"/>
    <s v="Approximate Location"/>
    <n v="60589.28515625"/>
    <n v="11.060407638549799"/>
  </r>
  <r>
    <x v="5"/>
    <x v="26"/>
    <x v="0"/>
    <s v="Unidentified Driving"/>
    <s v="Vehicle 6 Unidentified Driving Diagnostic"/>
    <n v="10"/>
    <x v="0"/>
    <x v="0"/>
    <x v="0"/>
    <x v="0"/>
    <x v="0"/>
    <x v="0"/>
    <s v="Long"/>
    <s v="Lat"/>
    <s v="Approximate Location"/>
    <n v="118497.3046875"/>
    <n v="12.854928016662599"/>
  </r>
  <r>
    <x v="5"/>
    <x v="27"/>
    <x v="1"/>
    <s v="Data Transfer"/>
    <s v="Vehicle 6 Data Transfer Diagnostic"/>
    <n v="31"/>
    <x v="0"/>
    <x v="1"/>
    <x v="1"/>
    <x v="0"/>
    <x v="1"/>
    <x v="0"/>
    <s v="Long"/>
    <s v="Lat"/>
    <s v="Approximate Location"/>
    <n v="118510.15625"/>
    <n v="56.599460601806598"/>
  </r>
  <r>
    <x v="6"/>
    <x v="28"/>
    <x v="1"/>
    <s v="Data Transfer"/>
    <s v="Vehicle 7 Data Transfer Diagnostic"/>
    <n v="1"/>
    <x v="0"/>
    <x v="1"/>
    <x v="1"/>
    <x v="0"/>
    <x v="1"/>
    <x v="0"/>
    <s v="Long"/>
    <s v="Lat"/>
    <s v="Approximate Location"/>
    <n v="16928.4921875"/>
    <n v="16.031377792358398"/>
  </r>
  <r>
    <x v="6"/>
    <x v="29"/>
    <x v="1"/>
    <s v="Data Transfer"/>
    <s v="Vehicle 7 Data Transfer Diagnostic"/>
    <n v="1"/>
    <x v="0"/>
    <x v="1"/>
    <x v="1"/>
    <x v="0"/>
    <x v="1"/>
    <x v="0"/>
    <s v="Long"/>
    <s v="Lat"/>
    <s v="Approximate Location"/>
    <n v="16944.5234375"/>
    <n v="0"/>
  </r>
  <r>
    <x v="6"/>
    <x v="30"/>
    <x v="1"/>
    <s v="Data Transfer"/>
    <s v="Vehicle 7 Data Transfer Diagnostic"/>
    <n v="1"/>
    <x v="0"/>
    <x v="1"/>
    <x v="1"/>
    <x v="0"/>
    <x v="1"/>
    <x v="0"/>
    <s v="Long"/>
    <s v="Lat"/>
    <s v="Approximate Location"/>
    <n v="16944.5234375"/>
    <n v="0"/>
  </r>
  <r>
    <x v="6"/>
    <x v="31"/>
    <x v="1"/>
    <s v="Data Transfer"/>
    <s v="Vehicle 7 Data Transfer Diagnostic"/>
    <n v="2"/>
    <x v="0"/>
    <x v="1"/>
    <x v="1"/>
    <x v="0"/>
    <x v="1"/>
    <x v="0"/>
    <s v="Long"/>
    <s v="Lat"/>
    <s v="Approximate Location"/>
    <n v="16944.5234375"/>
    <n v="0"/>
  </r>
  <r>
    <x v="8"/>
    <x v="32"/>
    <x v="1"/>
    <s v="Data Transfer"/>
    <s v="Vehicle 9 Data Transfer Diagnostic"/>
    <n v="17"/>
    <x v="0"/>
    <x v="1"/>
    <x v="1"/>
    <x v="0"/>
    <x v="1"/>
    <x v="0"/>
    <s v="Long"/>
    <s v="Lat"/>
    <s v="Approximate Location"/>
    <n v="309.43151855468801"/>
    <n v="0"/>
  </r>
  <r>
    <x v="6"/>
    <x v="33"/>
    <x v="1"/>
    <s v="Data Transfer"/>
    <s v="Vehicle 7 Data Transfer Diagnostic"/>
    <n v="17"/>
    <x v="0"/>
    <x v="1"/>
    <x v="1"/>
    <x v="0"/>
    <x v="1"/>
    <x v="0"/>
    <s v="Long"/>
    <s v="Lat"/>
    <s v="Approximate Location"/>
    <n v="16944.5234375"/>
    <n v="47.969860076904297"/>
  </r>
  <r>
    <x v="3"/>
    <x v="34"/>
    <x v="0"/>
    <s v="Unidentified Driving"/>
    <s v="Vehicle 4 Unidentified Driving Diagnostic"/>
    <n v="10"/>
    <x v="0"/>
    <x v="0"/>
    <x v="0"/>
    <x v="0"/>
    <x v="0"/>
    <x v="0"/>
    <s v="Long"/>
    <s v="Lat"/>
    <s v="Approximate Location"/>
    <n v="60600.34765625"/>
    <n v="13.3371114730835"/>
  </r>
  <r>
    <x v="0"/>
    <x v="35"/>
    <x v="0"/>
    <s v="Unidentified Driving"/>
    <s v="Vehicle 1 Unidentified Driving Diagnostic"/>
    <n v="12"/>
    <x v="0"/>
    <x v="0"/>
    <x v="0"/>
    <x v="0"/>
    <x v="0"/>
    <x v="0"/>
    <s v="Long"/>
    <s v="Lat"/>
    <s v="Approximate Location"/>
    <n v="12445.40234375"/>
    <n v="48.1699409484863"/>
  </r>
  <r>
    <x v="5"/>
    <x v="36"/>
    <x v="0"/>
    <s v="Unidentified Driving"/>
    <s v="Vehicle 6 Unidentified Driving Diagnostic"/>
    <n v="7"/>
    <x v="0"/>
    <x v="0"/>
    <x v="0"/>
    <x v="0"/>
    <x v="0"/>
    <x v="0"/>
    <s v="Long"/>
    <s v="Lat"/>
    <s v="Approximate Location"/>
    <n v="118566.7578125"/>
    <n v="14.813489913940399"/>
  </r>
  <r>
    <x v="2"/>
    <x v="37"/>
    <x v="2"/>
    <s v="Power"/>
    <s v="Vehicle 3 Power Diagnostic"/>
    <n v="1"/>
    <x v="0"/>
    <x v="1"/>
    <x v="0"/>
    <x v="0"/>
    <x v="1"/>
    <x v="0"/>
    <s v="Long"/>
    <s v="Lat"/>
    <s v="Approximate Location"/>
    <n v="116863.8984375"/>
    <n v="0"/>
  </r>
  <r>
    <x v="2"/>
    <x v="38"/>
    <x v="2"/>
    <s v="Power"/>
    <s v="Vehicle 3 Power Diagnostic"/>
    <n v="49"/>
    <x v="0"/>
    <x v="1"/>
    <x v="2"/>
    <x v="0"/>
    <x v="1"/>
    <x v="0"/>
    <s v="Long"/>
    <s v="Lat"/>
    <s v="Approximate Location"/>
    <n v="116863.8984375"/>
    <n v="266.20538330078102"/>
  </r>
  <r>
    <x v="5"/>
    <x v="39"/>
    <x v="2"/>
    <s v="Power"/>
    <s v="Vehicle 6 Power Diagnostic"/>
    <n v="1"/>
    <x v="0"/>
    <x v="1"/>
    <x v="0"/>
    <x v="0"/>
    <x v="1"/>
    <x v="0"/>
    <s v="Long"/>
    <s v="Lat"/>
    <s v="Approximate Location"/>
    <n v="118581.5703125"/>
    <n v="0"/>
  </r>
  <r>
    <x v="5"/>
    <x v="40"/>
    <x v="2"/>
    <s v="Power"/>
    <s v="Vehicle 6 Power Diagnostic"/>
    <n v="38"/>
    <x v="0"/>
    <x v="1"/>
    <x v="2"/>
    <x v="0"/>
    <x v="1"/>
    <x v="0"/>
    <s v="Long"/>
    <s v="Lat"/>
    <s v="Approximate Location"/>
    <n v="118581.5703125"/>
    <n v="52.215065002441399"/>
  </r>
  <r>
    <x v="4"/>
    <x v="41"/>
    <x v="2"/>
    <s v="Power"/>
    <s v="Vehicle 5 Power Diagnostic"/>
    <n v="1"/>
    <x v="0"/>
    <x v="1"/>
    <x v="0"/>
    <x v="0"/>
    <x v="1"/>
    <x v="0"/>
    <s v="Long"/>
    <s v="Lat"/>
    <s v="Approximate Location"/>
    <n v="82278.5"/>
    <n v="0"/>
  </r>
  <r>
    <x v="4"/>
    <x v="42"/>
    <x v="2"/>
    <s v="Power"/>
    <s v="Vehicle 5 Power Diagnostic"/>
    <n v="43"/>
    <x v="0"/>
    <x v="1"/>
    <x v="2"/>
    <x v="0"/>
    <x v="1"/>
    <x v="0"/>
    <s v="Long"/>
    <s v="Lat"/>
    <s v="Approximate Location"/>
    <n v="82278.5"/>
    <n v="65.308601379394503"/>
  </r>
  <r>
    <x v="5"/>
    <x v="43"/>
    <x v="0"/>
    <s v="Unidentified Driving"/>
    <s v="Vehicle 6 Unidentified Driving Diagnostic"/>
    <n v="2"/>
    <x v="0"/>
    <x v="0"/>
    <x v="0"/>
    <x v="0"/>
    <x v="0"/>
    <x v="0"/>
    <s v="Long"/>
    <s v="Lat"/>
    <s v="Approximate Location"/>
    <n v="118633.78125"/>
    <n v="49.988071441650398"/>
  </r>
  <r>
    <x v="3"/>
    <x v="44"/>
    <x v="0"/>
    <s v="Unidentified Driving"/>
    <s v="Vehicle 4 Unidentified Driving Diagnostic"/>
    <n v="2"/>
    <x v="0"/>
    <x v="0"/>
    <x v="0"/>
    <x v="0"/>
    <x v="0"/>
    <x v="0"/>
    <s v="Long"/>
    <s v="Lat"/>
    <s v="Approximate Location"/>
    <n v="60613.68359375"/>
    <n v="9.7778978347778303"/>
  </r>
  <r>
    <x v="5"/>
    <x v="45"/>
    <x v="0"/>
    <s v="Unidentified Driving"/>
    <s v="Vehicle 6 Unidentified Driving Diagnostic"/>
    <n v="3"/>
    <x v="0"/>
    <x v="0"/>
    <x v="0"/>
    <x v="0"/>
    <x v="0"/>
    <x v="0"/>
    <s v="Long"/>
    <s v="Lat"/>
    <s v="Approximate Location"/>
    <n v="118683.7734375"/>
    <n v="34.080966949462898"/>
  </r>
  <r>
    <x v="3"/>
    <x v="46"/>
    <x v="0"/>
    <s v="Unidentified Driving"/>
    <s v="Vehicle 4 Unidentified Driving Diagnostic"/>
    <n v="19"/>
    <x v="0"/>
    <x v="0"/>
    <x v="0"/>
    <x v="0"/>
    <x v="0"/>
    <x v="0"/>
    <s v="Long"/>
    <s v="Lat"/>
    <s v="Approximate Location"/>
    <n v="60623.4609375"/>
    <n v="44.897800445556598"/>
  </r>
  <r>
    <x v="0"/>
    <x v="47"/>
    <x v="0"/>
    <s v="Unidentified Driving"/>
    <s v="Vehicle 1 Unidentified Driving Diagnostic"/>
    <n v="19"/>
    <x v="0"/>
    <x v="0"/>
    <x v="0"/>
    <x v="0"/>
    <x v="0"/>
    <x v="0"/>
    <s v="Long"/>
    <s v="Lat"/>
    <s v="Approximate Location"/>
    <n v="12493.572265625"/>
    <n v="27.141494750976602"/>
  </r>
  <r>
    <x v="5"/>
    <x v="48"/>
    <x v="0"/>
    <s v="Unidentified Driving"/>
    <s v="Vehicle 6 Unidentified Driving Diagnostic"/>
    <n v="4"/>
    <x v="0"/>
    <x v="0"/>
    <x v="0"/>
    <x v="0"/>
    <x v="0"/>
    <x v="0"/>
    <s v="Long"/>
    <s v="Lat"/>
    <s v="Approximate Location"/>
    <n v="118717.8515625"/>
    <n v="69.543869018554702"/>
  </r>
  <r>
    <x v="8"/>
    <x v="49"/>
    <x v="1"/>
    <s v="Data Transfer"/>
    <s v="Vehicle 9 Data Transfer Diagnostic"/>
    <n v="14"/>
    <x v="0"/>
    <x v="1"/>
    <x v="1"/>
    <x v="0"/>
    <x v="1"/>
    <x v="0"/>
    <s v="Long"/>
    <s v="Lat"/>
    <s v="Approximate Location"/>
    <n v="0"/>
    <n v="0"/>
  </r>
  <r>
    <x v="6"/>
    <x v="50"/>
    <x v="1"/>
    <s v="Data Transfer"/>
    <s v="Vehicle 7 Data Transfer Diagnostic"/>
    <n v="83"/>
    <x v="0"/>
    <x v="1"/>
    <x v="1"/>
    <x v="0"/>
    <x v="1"/>
    <x v="0"/>
    <s v="Long"/>
    <s v="Lat"/>
    <s v="Approximate Location"/>
    <n v="16992.494140625"/>
    <n v="33.280296325683601"/>
  </r>
  <r>
    <x v="1"/>
    <x v="51"/>
    <x v="1"/>
    <s v="Data Transfer"/>
    <s v="Vehicle 2 Data Transfer Diagnostic"/>
    <n v="2"/>
    <x v="0"/>
    <x v="1"/>
    <x v="0"/>
    <x v="0"/>
    <x v="1"/>
    <x v="0"/>
    <s v="Long"/>
    <s v="Lat"/>
    <s v="Approximate Location"/>
    <n v="3159.75122070312"/>
    <n v="2.2872667312622101"/>
  </r>
  <r>
    <x v="5"/>
    <x v="52"/>
    <x v="0"/>
    <s v="Unidentified Driving"/>
    <s v="Vehicle 6 Unidentified Driving Diagnostic"/>
    <n v="58"/>
    <x v="0"/>
    <x v="0"/>
    <x v="0"/>
    <x v="0"/>
    <x v="0"/>
    <x v="0"/>
    <s v="Long"/>
    <s v="Lat"/>
    <s v="Approximate Location"/>
    <n v="118787.3984375"/>
    <n v="9.3354816436767596"/>
  </r>
  <r>
    <x v="1"/>
    <x v="53"/>
    <x v="1"/>
    <s v="Data Transfer"/>
    <s v="Vehicle 2 Data Transfer Diagnostic"/>
    <n v="118"/>
    <x v="0"/>
    <x v="1"/>
    <x v="1"/>
    <x v="0"/>
    <x v="1"/>
    <x v="0"/>
    <s v="Long"/>
    <s v="Lat"/>
    <s v="Approximate Location"/>
    <n v="3162.03857421875"/>
    <n v="34.972476959228501"/>
  </r>
  <r>
    <x v="0"/>
    <x v="54"/>
    <x v="2"/>
    <s v="Power"/>
    <s v="Vehicle 1 Power Diagnostic"/>
    <n v="1"/>
    <x v="0"/>
    <x v="1"/>
    <x v="0"/>
    <x v="0"/>
    <x v="1"/>
    <x v="0"/>
    <s v="Long"/>
    <s v="Lat"/>
    <s v="Approximate Location"/>
    <n v="12520.7138671875"/>
    <n v="0"/>
  </r>
  <r>
    <x v="0"/>
    <x v="55"/>
    <x v="2"/>
    <s v="Power"/>
    <s v="Vehicle 1 Power Diagnostic"/>
    <n v="34"/>
    <x v="0"/>
    <x v="1"/>
    <x v="1"/>
    <x v="0"/>
    <x v="1"/>
    <x v="0"/>
    <s v="Long"/>
    <s v="Lat"/>
    <s v="Approximate Location"/>
    <n v="12520.7138671875"/>
    <n v="19.7583618164062"/>
  </r>
  <r>
    <x v="7"/>
    <x v="56"/>
    <x v="2"/>
    <s v="Power"/>
    <s v="Vehicle 8 Power Diagnostic"/>
    <n v="1"/>
    <x v="0"/>
    <x v="1"/>
    <x v="0"/>
    <x v="0"/>
    <x v="1"/>
    <x v="0"/>
    <s v="Long"/>
    <s v="Lat"/>
    <s v="Approximate Location"/>
    <n v="66997.1328125"/>
    <n v="0"/>
  </r>
  <r>
    <x v="7"/>
    <x v="57"/>
    <x v="2"/>
    <s v="Power"/>
    <s v="Vehicle 8 Power Diagnostic"/>
    <n v="26"/>
    <x v="0"/>
    <x v="1"/>
    <x v="2"/>
    <x v="0"/>
    <x v="1"/>
    <x v="0"/>
    <s v="Long"/>
    <s v="Lat"/>
    <s v="Approximate Location"/>
    <n v="66997.1328125"/>
    <n v="24.849878311157202"/>
  </r>
  <r>
    <x v="5"/>
    <x v="58"/>
    <x v="1"/>
    <s v="Data Transfer"/>
    <s v="Vehicle 6 Data Transfer Diagnostic"/>
    <n v="6"/>
    <x v="0"/>
    <x v="1"/>
    <x v="1"/>
    <x v="0"/>
    <x v="1"/>
    <x v="0"/>
    <s v="Long"/>
    <s v="Lat"/>
    <s v="Approximate Location"/>
    <n v="118796.734375"/>
    <n v="0"/>
  </r>
  <r>
    <x v="9"/>
    <x v="59"/>
    <x v="2"/>
    <s v="Power"/>
    <s v="Vehicle 10 Power Diagnostic"/>
    <n v="1"/>
    <x v="0"/>
    <x v="1"/>
    <x v="0"/>
    <x v="0"/>
    <x v="1"/>
    <x v="0"/>
    <s v="Long"/>
    <s v="Lat"/>
    <s v="Approximate Location"/>
    <n v="93214.6328125"/>
    <n v="0"/>
  </r>
  <r>
    <x v="9"/>
    <x v="60"/>
    <x v="2"/>
    <s v="Power"/>
    <s v="Vehicle 10 Power Diagnostic"/>
    <n v="13"/>
    <x v="0"/>
    <x v="1"/>
    <x v="2"/>
    <x v="0"/>
    <x v="1"/>
    <x v="0"/>
    <s v="Long"/>
    <s v="Lat"/>
    <s v="Approximate Location"/>
    <n v="93214.6328125"/>
    <n v="0.34192338585853599"/>
  </r>
  <r>
    <x v="9"/>
    <x v="61"/>
    <x v="1"/>
    <s v="Data Transfer"/>
    <s v="Vehicle 10 Data Transfer Diagnostic"/>
    <n v="6"/>
    <x v="0"/>
    <x v="1"/>
    <x v="0"/>
    <x v="0"/>
    <x v="1"/>
    <x v="0"/>
    <s v="Long"/>
    <s v="Lat"/>
    <s v="Approximate Location"/>
    <n v="93214.9765625"/>
    <n v="2.5511810779571502"/>
  </r>
  <r>
    <x v="9"/>
    <x v="62"/>
    <x v="0"/>
    <s v="Unidentified Driving"/>
    <s v="Vehicle 10 Unidentified Driving Diagnostic"/>
    <n v="59"/>
    <x v="0"/>
    <x v="0"/>
    <x v="0"/>
    <x v="0"/>
    <x v="0"/>
    <x v="0"/>
    <s v="Long"/>
    <s v="Lat"/>
    <s v="Approximate Location"/>
    <n v="93217.5234375"/>
    <n v="4.31480169296265"/>
  </r>
  <r>
    <x v="8"/>
    <x v="63"/>
    <x v="1"/>
    <s v="Data Transfer"/>
    <s v="Vehicle 9 Data Transfer Diagnostic"/>
    <n v="79"/>
    <x v="0"/>
    <x v="1"/>
    <x v="1"/>
    <x v="0"/>
    <x v="1"/>
    <x v="0"/>
    <s v="Long"/>
    <s v="Lat"/>
    <s v="Approximate Location"/>
    <n v="0"/>
    <n v="0"/>
  </r>
  <r>
    <x v="5"/>
    <x v="64"/>
    <x v="1"/>
    <s v="Data Transfer"/>
    <s v="Vehicle 6 Data Transfer Diagnostic"/>
    <e v="#N/A"/>
    <x v="0"/>
    <x v="1"/>
    <x v="1"/>
    <x v="1"/>
    <x v="1"/>
    <x v="0"/>
    <s v="Long"/>
    <s v="Lat"/>
    <s v="Approximate Location"/>
    <n v="118796.734375"/>
    <n v="142.97503662109401"/>
  </r>
  <r>
    <x v="3"/>
    <x v="65"/>
    <x v="0"/>
    <s v="Unidentified Driving"/>
    <s v="Vehicle 4 Unidentified Driving Diagnostic"/>
    <n v="15"/>
    <x v="0"/>
    <x v="0"/>
    <x v="0"/>
    <x v="0"/>
    <x v="0"/>
    <x v="0"/>
    <s v="Long"/>
    <s v="Lat"/>
    <s v="Approximate Location"/>
    <n v="60668.359375"/>
    <n v="12.909608840942401"/>
  </r>
  <r>
    <x v="0"/>
    <x v="66"/>
    <x v="0"/>
    <s v="Unidentified Driving"/>
    <s v="Vehicle 1 Unidentified Driving Diagnostic"/>
    <n v="15"/>
    <x v="0"/>
    <x v="0"/>
    <x v="0"/>
    <x v="0"/>
    <x v="0"/>
    <x v="0"/>
    <s v="Long"/>
    <s v="Lat"/>
    <s v="Approximate Location"/>
    <n v="12540.4716796875"/>
    <n v="35.623210906982401"/>
  </r>
  <r>
    <x v="9"/>
    <x v="67"/>
    <x v="1"/>
    <s v="Data Transfer"/>
    <s v="Vehicle 10 Data Transfer Diagnostic"/>
    <n v="1"/>
    <x v="0"/>
    <x v="1"/>
    <x v="1"/>
    <x v="0"/>
    <x v="1"/>
    <x v="0"/>
    <s v="Long"/>
    <s v="Lat"/>
    <s v="Approximate Location"/>
    <n v="93221.8359375"/>
    <n v="6.5243978500366202"/>
  </r>
  <r>
    <x v="9"/>
    <x v="68"/>
    <x v="1"/>
    <s v="Data Transfer"/>
    <s v="Vehicle 10 Data Transfer Diagnostic"/>
    <n v="1"/>
    <x v="0"/>
    <x v="1"/>
    <x v="1"/>
    <x v="0"/>
    <x v="1"/>
    <x v="0"/>
    <s v="Long"/>
    <s v="Lat"/>
    <s v="Approximate Location"/>
    <n v="93228.3671875"/>
    <n v="0"/>
  </r>
  <r>
    <x v="9"/>
    <x v="69"/>
    <x v="1"/>
    <s v="Data Transfer"/>
    <s v="Vehicle 10 Data Transfer Diagnostic"/>
    <n v="1"/>
    <x v="0"/>
    <x v="1"/>
    <x v="1"/>
    <x v="0"/>
    <x v="1"/>
    <x v="0"/>
    <s v="Long"/>
    <s v="Lat"/>
    <s v="Approximate Location"/>
    <n v="93228.3671875"/>
    <n v="0"/>
  </r>
  <r>
    <x v="9"/>
    <x v="70"/>
    <x v="1"/>
    <s v="Data Transfer"/>
    <s v="Vehicle 10 Data Transfer Diagnostic"/>
    <n v="1"/>
    <x v="0"/>
    <x v="1"/>
    <x v="1"/>
    <x v="0"/>
    <x v="1"/>
    <x v="0"/>
    <s v="Long"/>
    <s v="Lat"/>
    <s v="Approximate Location"/>
    <n v="93228.3671875"/>
    <n v="0"/>
  </r>
  <r>
    <x v="9"/>
    <x v="71"/>
    <x v="1"/>
    <s v="Data Transfer"/>
    <s v="Vehicle 10 Data Transfer Diagnostic"/>
    <n v="1"/>
    <x v="0"/>
    <x v="1"/>
    <x v="1"/>
    <x v="0"/>
    <x v="1"/>
    <x v="0"/>
    <s v="Long"/>
    <s v="Lat"/>
    <s v="Approximate Location"/>
    <n v="93228.3671875"/>
    <n v="0"/>
  </r>
  <r>
    <x v="9"/>
    <x v="72"/>
    <x v="1"/>
    <s v="Data Transfer"/>
    <s v="Vehicle 10 Data Transfer Diagnostic"/>
    <n v="26"/>
    <x v="0"/>
    <x v="1"/>
    <x v="1"/>
    <x v="0"/>
    <x v="1"/>
    <x v="0"/>
    <s v="Long"/>
    <s v="Lat"/>
    <s v="Approximate Location"/>
    <n v="93228.3671875"/>
    <n v="-2.4854848161339799E-3"/>
  </r>
  <r>
    <x v="9"/>
    <x v="73"/>
    <x v="2"/>
    <s v="Power"/>
    <s v="Vehicle 10 Power Diagnostic"/>
    <n v="1"/>
    <x v="0"/>
    <x v="1"/>
    <x v="0"/>
    <x v="0"/>
    <x v="1"/>
    <x v="0"/>
    <s v="Long"/>
    <s v="Lat"/>
    <s v="Approximate Location"/>
    <n v="93228.359375"/>
    <n v="0"/>
  </r>
  <r>
    <x v="9"/>
    <x v="74"/>
    <x v="2"/>
    <s v="Power"/>
    <s v="Vehicle 10 Power Diagnostic"/>
    <n v="1"/>
    <x v="0"/>
    <x v="1"/>
    <x v="2"/>
    <x v="0"/>
    <x v="1"/>
    <x v="0"/>
    <s v="Long"/>
    <s v="Lat"/>
    <s v="Approximate Location"/>
    <n v="93228.359375"/>
    <n v="3.3404917716979998"/>
  </r>
  <r>
    <x v="9"/>
    <x v="75"/>
    <x v="2"/>
    <s v="Power"/>
    <s v="Vehicle 10 Power Diagnostic"/>
    <n v="1"/>
    <x v="0"/>
    <x v="1"/>
    <x v="0"/>
    <x v="0"/>
    <x v="1"/>
    <x v="0"/>
    <s v="Long"/>
    <s v="Lat"/>
    <s v="Approximate Location"/>
    <n v="93231.703125"/>
    <n v="0.16901297867298101"/>
  </r>
  <r>
    <x v="9"/>
    <x v="76"/>
    <x v="2"/>
    <s v="Power"/>
    <s v="Vehicle 10 Power Diagnostic"/>
    <n v="17"/>
    <x v="0"/>
    <x v="1"/>
    <x v="2"/>
    <x v="0"/>
    <x v="1"/>
    <x v="0"/>
    <s v="Long"/>
    <s v="Lat"/>
    <s v="Approximate Location"/>
    <n v="93231.8671875"/>
    <n v="8.1722745895385707"/>
  </r>
  <r>
    <x v="6"/>
    <x v="77"/>
    <x v="0"/>
    <s v="Unidentified Driving"/>
    <s v="Vehicle 7 Unidentified Driving Diagnostic"/>
    <n v="24"/>
    <x v="0"/>
    <x v="0"/>
    <x v="0"/>
    <x v="0"/>
    <x v="0"/>
    <x v="0"/>
    <s v="Long"/>
    <s v="Lat"/>
    <s v="Approximate Location"/>
    <n v="17025.7734375"/>
    <n v="11.3971910476685"/>
  </r>
  <r>
    <x v="5"/>
    <x v="78"/>
    <x v="2"/>
    <s v="Power"/>
    <s v="Vehicle 6 Power Diagnostic"/>
    <n v="25"/>
    <x v="0"/>
    <x v="1"/>
    <x v="0"/>
    <x v="0"/>
    <x v="1"/>
    <x v="0"/>
    <s v="Long"/>
    <s v="Lat"/>
    <s v="Approximate Location"/>
    <n v="118939.7109375"/>
    <n v="9.9419392645359005E-3"/>
  </r>
  <r>
    <x v="1"/>
    <x v="79"/>
    <x v="0"/>
    <s v="Unidentified Driving"/>
    <s v="Vehicle 2 Unidentified Driving Diagnostic"/>
    <n v="18"/>
    <x v="0"/>
    <x v="0"/>
    <x v="0"/>
    <x v="0"/>
    <x v="0"/>
    <x v="0"/>
    <s v="Long"/>
    <s v="Lat"/>
    <s v="Approximate Location"/>
    <n v="3197.01098632812"/>
    <n v="18.8735237121582"/>
  </r>
  <r>
    <x v="3"/>
    <x v="80"/>
    <x v="0"/>
    <s v="Unidentified Driving"/>
    <s v="Vehicle 4 Unidentified Driving Diagnostic"/>
    <n v="2"/>
    <x v="0"/>
    <x v="0"/>
    <x v="0"/>
    <x v="0"/>
    <x v="0"/>
    <x v="0"/>
    <s v="Long"/>
    <s v="Lat"/>
    <s v="Approximate Location"/>
    <n v="60681.26953125"/>
    <n v="6.6909251213073704"/>
  </r>
  <r>
    <x v="0"/>
    <x v="81"/>
    <x v="0"/>
    <s v="Unidentified Driving"/>
    <s v="Vehicle 1 Unidentified Driving Diagnostic"/>
    <n v="18"/>
    <x v="0"/>
    <x v="0"/>
    <x v="0"/>
    <x v="0"/>
    <x v="0"/>
    <x v="0"/>
    <s v="Long"/>
    <s v="Lat"/>
    <s v="Approximate Location"/>
    <n v="12576.0947265625"/>
    <n v="25.2724094390869"/>
  </r>
  <r>
    <x v="3"/>
    <x v="82"/>
    <x v="0"/>
    <s v="Unidentified Driving"/>
    <s v="Vehicle 4 Unidentified Driving Diagnostic"/>
    <n v="20"/>
    <x v="0"/>
    <x v="0"/>
    <x v="0"/>
    <x v="0"/>
    <x v="0"/>
    <x v="0"/>
    <s v="Long"/>
    <s v="Lat"/>
    <s v="Approximate Location"/>
    <n v="60687.9609375"/>
    <n v="20.6543788909912"/>
  </r>
  <r>
    <x v="7"/>
    <x v="83"/>
    <x v="2"/>
    <s v="Power"/>
    <s v="Vehicle 8 Power Diagnostic"/>
    <n v="1"/>
    <x v="0"/>
    <x v="1"/>
    <x v="0"/>
    <x v="0"/>
    <x v="1"/>
    <x v="0"/>
    <s v="Long"/>
    <s v="Lat"/>
    <s v="Approximate Location"/>
    <n v="67021.984375"/>
    <n v="0"/>
  </r>
  <r>
    <x v="7"/>
    <x v="84"/>
    <x v="2"/>
    <s v="Power"/>
    <s v="Vehicle 8 Power Diagnostic"/>
    <n v="106"/>
    <x v="0"/>
    <x v="1"/>
    <x v="2"/>
    <x v="0"/>
    <x v="1"/>
    <x v="0"/>
    <s v="Long"/>
    <s v="Lat"/>
    <s v="Approximate Location"/>
    <n v="67021.984375"/>
    <n v="28.583076477050799"/>
  </r>
  <r>
    <x v="4"/>
    <x v="85"/>
    <x v="2"/>
    <s v="Power"/>
    <s v="Vehicle 5 Power Diagnostic"/>
    <n v="1"/>
    <x v="0"/>
    <x v="1"/>
    <x v="0"/>
    <x v="0"/>
    <x v="1"/>
    <x v="0"/>
    <s v="Long"/>
    <s v="Lat"/>
    <s v="Approximate Location"/>
    <n v="82343.8046875"/>
    <n v="0"/>
  </r>
  <r>
    <x v="4"/>
    <x v="86"/>
    <x v="2"/>
    <s v="Power"/>
    <s v="Vehicle 5 Power Diagnostic"/>
    <n v="92"/>
    <x v="0"/>
    <x v="1"/>
    <x v="2"/>
    <x v="0"/>
    <x v="1"/>
    <x v="0"/>
    <s v="Long"/>
    <s v="Lat"/>
    <s v="Approximate Location"/>
    <n v="82343.8046875"/>
    <n v="71.020248413085895"/>
  </r>
  <r>
    <x v="2"/>
    <x v="87"/>
    <x v="2"/>
    <s v="Power"/>
    <s v="Vehicle 3 Power Diagnostic"/>
    <n v="1"/>
    <x v="0"/>
    <x v="1"/>
    <x v="0"/>
    <x v="0"/>
    <x v="1"/>
    <x v="0"/>
    <s v="Long"/>
    <s v="Lat"/>
    <s v="Approximate Location"/>
    <n v="117130.109375"/>
    <n v="9.9419392645359005E-3"/>
  </r>
  <r>
    <x v="2"/>
    <x v="88"/>
    <x v="2"/>
    <s v="Power"/>
    <s v="Vehicle 3 Power Diagnostic"/>
    <n v="96"/>
    <x v="0"/>
    <x v="1"/>
    <x v="2"/>
    <x v="0"/>
    <x v="1"/>
    <x v="0"/>
    <s v="Long"/>
    <s v="Lat"/>
    <s v="Approximate Location"/>
    <n v="117130.1171875"/>
    <n v="514.61468505859398"/>
  </r>
  <r>
    <x v="0"/>
    <x v="89"/>
    <x v="2"/>
    <s v="Power"/>
    <s v="Vehicle 1 Power Diagnostic"/>
    <n v="1"/>
    <x v="0"/>
    <x v="1"/>
    <x v="0"/>
    <x v="0"/>
    <x v="1"/>
    <x v="0"/>
    <s v="Long"/>
    <s v="Lat"/>
    <s v="Approximate Location"/>
    <n v="12601.3671875"/>
    <n v="0"/>
  </r>
  <r>
    <x v="0"/>
    <x v="90"/>
    <x v="2"/>
    <s v="Power"/>
    <s v="Vehicle 1 Power Diagnostic"/>
    <n v="1"/>
    <x v="0"/>
    <x v="1"/>
    <x v="2"/>
    <x v="0"/>
    <x v="1"/>
    <x v="0"/>
    <s v="Long"/>
    <s v="Lat"/>
    <s v="Approximate Location"/>
    <n v="12601.3671875"/>
    <n v="1.2427424080669899E-3"/>
  </r>
  <r>
    <x v="0"/>
    <x v="91"/>
    <x v="2"/>
    <s v="Power"/>
    <s v="Vehicle 1 Power Diagnostic"/>
    <n v="1"/>
    <x v="0"/>
    <x v="1"/>
    <x v="0"/>
    <x v="0"/>
    <x v="1"/>
    <x v="0"/>
    <s v="Long"/>
    <s v="Lat"/>
    <s v="Approximate Location"/>
    <n v="12601.3681640625"/>
    <n v="1.2427424080669899E-3"/>
  </r>
  <r>
    <x v="0"/>
    <x v="92"/>
    <x v="2"/>
    <s v="Power"/>
    <s v="Vehicle 1 Power Diagnostic"/>
    <n v="38"/>
    <x v="0"/>
    <x v="1"/>
    <x v="2"/>
    <x v="0"/>
    <x v="1"/>
    <x v="0"/>
    <s v="Long"/>
    <s v="Lat"/>
    <s v="Approximate Location"/>
    <n v="12601.3701171875"/>
    <n v="1.0066213607788099"/>
  </r>
  <r>
    <x v="9"/>
    <x v="93"/>
    <x v="2"/>
    <s v="Power"/>
    <s v="Vehicle 10 Power Diagnostic"/>
    <n v="1"/>
    <x v="0"/>
    <x v="1"/>
    <x v="0"/>
    <x v="0"/>
    <x v="1"/>
    <x v="0"/>
    <s v="Long"/>
    <s v="Lat"/>
    <s v="Approximate Location"/>
    <n v="93240.0390625"/>
    <n v="0"/>
  </r>
  <r>
    <x v="9"/>
    <x v="94"/>
    <x v="2"/>
    <s v="Power"/>
    <s v="Vehicle 10 Power Diagnostic"/>
    <n v="94"/>
    <x v="0"/>
    <x v="1"/>
    <x v="2"/>
    <x v="0"/>
    <x v="1"/>
    <x v="0"/>
    <s v="Long"/>
    <s v="Lat"/>
    <s v="Approximate Location"/>
    <n v="93240.0390625"/>
    <n v="2.4854848161339799E-3"/>
  </r>
  <r>
    <x v="6"/>
    <x v="95"/>
    <x v="2"/>
    <s v="Power"/>
    <s v="Vehicle 7 Power Diagnostic"/>
    <n v="1"/>
    <x v="0"/>
    <x v="1"/>
    <x v="0"/>
    <x v="0"/>
    <x v="1"/>
    <x v="0"/>
    <s v="Long"/>
    <s v="Lat"/>
    <s v="Approximate Location"/>
    <n v="17037.171875"/>
    <n v="0"/>
  </r>
  <r>
    <x v="6"/>
    <x v="96"/>
    <x v="2"/>
    <s v="Power"/>
    <s v="Vehicle 7 Power Diagnostic"/>
    <n v="26"/>
    <x v="0"/>
    <x v="1"/>
    <x v="2"/>
    <x v="0"/>
    <x v="1"/>
    <x v="0"/>
    <s v="Long"/>
    <s v="Lat"/>
    <s v="Approximate Location"/>
    <n v="17037.171875"/>
    <n v="1.7124991416931199"/>
  </r>
  <r>
    <x v="1"/>
    <x v="97"/>
    <x v="0"/>
    <s v="Unidentified Driving"/>
    <s v="Vehicle 2 Unidentified Driving Diagnostic"/>
    <n v="28"/>
    <x v="0"/>
    <x v="0"/>
    <x v="0"/>
    <x v="0"/>
    <x v="0"/>
    <x v="0"/>
    <s v="Long"/>
    <s v="Lat"/>
    <s v="Approximate Location"/>
    <n v="3215.88452148438"/>
    <n v="153.20945739746099"/>
  </r>
  <r>
    <x v="9"/>
    <x v="98"/>
    <x v="1"/>
    <s v="Data Transfer"/>
    <s v="Vehicle 10 Data Transfer Diagnostic"/>
    <e v="#N/A"/>
    <x v="0"/>
    <x v="1"/>
    <x v="1"/>
    <x v="1"/>
    <x v="1"/>
    <x v="0"/>
    <s v="Long"/>
    <s v="Lat"/>
    <s v="Approximate Location"/>
    <n v="93240.046875"/>
    <n v="0"/>
  </r>
  <r>
    <x v="0"/>
    <x v="99"/>
    <x v="0"/>
    <s v="Unidentified Driving"/>
    <s v="Vehicle 1 Unidentified Driving Diagnostic"/>
    <n v="10"/>
    <x v="0"/>
    <x v="0"/>
    <x v="0"/>
    <x v="0"/>
    <x v="0"/>
    <x v="0"/>
    <s v="Long"/>
    <s v="Lat"/>
    <s v="Approximate Location"/>
    <n v="12602.376953125"/>
    <n v="32.641872406005902"/>
  </r>
  <r>
    <x v="10"/>
    <x v="100"/>
    <x v="1"/>
    <s v="Data Transfer"/>
    <s v="Vehicle 11 Data Transfer Diagnostic"/>
    <n v="7"/>
    <x v="0"/>
    <x v="1"/>
    <x v="1"/>
    <x v="0"/>
    <x v="1"/>
    <x v="0"/>
    <s v="Long"/>
    <s v="Lat"/>
    <s v="Approximate Location"/>
    <n v="947.52984619140602"/>
    <n v="0"/>
  </r>
  <r>
    <x v="6"/>
    <x v="101"/>
    <x v="0"/>
    <s v="Unidentified Driving"/>
    <s v="Vehicle 7 Unidentified Driving Diagnostic"/>
    <e v="#N/A"/>
    <x v="0"/>
    <x v="0"/>
    <x v="0"/>
    <x v="1"/>
    <x v="0"/>
    <x v="0"/>
    <s v="Long"/>
    <s v="Lat"/>
    <s v="Approximate Location"/>
    <n v="17038.8828125"/>
    <n v="106.862182617188"/>
  </r>
  <r>
    <x v="3"/>
    <x v="102"/>
    <x v="0"/>
    <s v="Unidentified Driving"/>
    <s v="Vehicle 4 Unidentified Driving Diagnostic"/>
    <n v="10"/>
    <x v="0"/>
    <x v="0"/>
    <x v="0"/>
    <x v="0"/>
    <x v="0"/>
    <x v="0"/>
    <s v="Long"/>
    <s v="Lat"/>
    <s v="Approximate Location"/>
    <n v="60708.61328125"/>
    <n v="11.895530700683601"/>
  </r>
  <r>
    <x v="5"/>
    <x v="103"/>
    <x v="2"/>
    <s v="Power"/>
    <s v="Vehicle 6 Power Diagnostic"/>
    <n v="1"/>
    <x v="0"/>
    <x v="1"/>
    <x v="1"/>
    <x v="0"/>
    <x v="1"/>
    <x v="0"/>
    <s v="Long"/>
    <s v="Lat"/>
    <s v="Approximate Location"/>
    <n v="118939.71875"/>
    <n v="0"/>
  </r>
  <r>
    <x v="5"/>
    <x v="104"/>
    <x v="2"/>
    <s v="Power"/>
    <s v="Vehicle 6 Power Diagnostic"/>
    <n v="1"/>
    <x v="0"/>
    <x v="1"/>
    <x v="0"/>
    <x v="0"/>
    <x v="1"/>
    <x v="0"/>
    <s v="Long"/>
    <s v="Lat"/>
    <s v="Approximate Location"/>
    <n v="118939.71875"/>
    <n v="0"/>
  </r>
  <r>
    <x v="5"/>
    <x v="105"/>
    <x v="2"/>
    <s v="Power"/>
    <s v="Vehicle 6 Power Diagnostic"/>
    <n v="77"/>
    <x v="0"/>
    <x v="1"/>
    <x v="2"/>
    <x v="0"/>
    <x v="1"/>
    <x v="0"/>
    <s v="Long"/>
    <s v="Lat"/>
    <s v="Approximate Location"/>
    <n v="118939.71875"/>
    <n v="135.01153564453099"/>
  </r>
  <r>
    <x v="9"/>
    <x v="106"/>
    <x v="1"/>
    <s v="Data Transfer"/>
    <s v="Vehicle 10 Data Transfer Malfunction"/>
    <n v="12"/>
    <x v="1"/>
    <x v="0"/>
    <x v="3"/>
    <x v="0"/>
    <x v="0"/>
    <x v="1"/>
    <s v="Long"/>
    <s v="Lat"/>
    <s v="Approximate Location"/>
    <n v="93240.046875"/>
    <n v="17.025571823120099"/>
  </r>
  <r>
    <x v="10"/>
    <x v="107"/>
    <x v="1"/>
    <s v="Data Transfer"/>
    <s v="Vehicle 11 Data Transfer Diagnostic"/>
    <e v="#N/A"/>
    <x v="0"/>
    <x v="1"/>
    <x v="1"/>
    <x v="1"/>
    <x v="1"/>
    <x v="0"/>
    <s v="Long"/>
    <s v="Lat"/>
    <s v="Approximate Location"/>
    <n v="947.52984619140602"/>
    <n v="0"/>
  </r>
  <r>
    <x v="7"/>
    <x v="108"/>
    <x v="1"/>
    <s v="Data Transfer"/>
    <s v="Vehicle 8 Data Transfer Diagnostic"/>
    <n v="29"/>
    <x v="0"/>
    <x v="1"/>
    <x v="1"/>
    <x v="0"/>
    <x v="1"/>
    <x v="0"/>
    <s v="Long"/>
    <s v="Lat"/>
    <s v="Approximate Location"/>
    <n v="67050.5703125"/>
    <n v="119.303276062012"/>
  </r>
  <r>
    <x v="0"/>
    <x v="109"/>
    <x v="0"/>
    <s v="Unidentified Driving"/>
    <s v="Vehicle 1 Unidentified Driving Diagnostic"/>
    <n v="4"/>
    <x v="0"/>
    <x v="0"/>
    <x v="0"/>
    <x v="0"/>
    <x v="0"/>
    <x v="0"/>
    <s v="Long"/>
    <s v="Lat"/>
    <s v="Approximate Location"/>
    <n v="12635.0185546875"/>
    <n v="24.002326965331999"/>
  </r>
  <r>
    <x v="5"/>
    <x v="110"/>
    <x v="0"/>
    <s v="Unidentified Driving"/>
    <s v="Vehicle 6 Unidentified Driving Diagnostic"/>
    <n v="1"/>
    <x v="0"/>
    <x v="0"/>
    <x v="0"/>
    <x v="0"/>
    <x v="0"/>
    <x v="0"/>
    <s v="Long"/>
    <s v="Lat"/>
    <s v="Approximate Location"/>
    <n v="119074.7265625"/>
    <n v="36.1290092468262"/>
  </r>
  <r>
    <x v="5"/>
    <x v="111"/>
    <x v="0"/>
    <s v="Unidentified Driving"/>
    <s v="Vehicle 6 Unidentified Driving Diagnostic"/>
    <n v="4"/>
    <x v="0"/>
    <x v="0"/>
    <x v="0"/>
    <x v="0"/>
    <x v="0"/>
    <x v="0"/>
    <s v="Long"/>
    <s v="Lat"/>
    <s v="Approximate Location"/>
    <n v="119110.859375"/>
    <n v="32.907821655273402"/>
  </r>
  <r>
    <x v="3"/>
    <x v="112"/>
    <x v="0"/>
    <s v="Unidentified Driving"/>
    <s v="Vehicle 4 Unidentified Driving Diagnostic"/>
    <n v="2"/>
    <x v="0"/>
    <x v="0"/>
    <x v="0"/>
    <x v="0"/>
    <x v="0"/>
    <x v="0"/>
    <s v="Long"/>
    <s v="Lat"/>
    <s v="Approximate Location"/>
    <n v="60720.51171875"/>
    <n v="12.1888179779053"/>
  </r>
  <r>
    <x v="0"/>
    <x v="113"/>
    <x v="0"/>
    <s v="Unidentified Driving"/>
    <s v="Vehicle 1 Unidentified Driving Diagnostic"/>
    <n v="7"/>
    <x v="0"/>
    <x v="0"/>
    <x v="0"/>
    <x v="0"/>
    <x v="0"/>
    <x v="0"/>
    <s v="Long"/>
    <s v="Lat"/>
    <s v="Approximate Location"/>
    <n v="12659.0205078125"/>
    <n v="23.895452499389599"/>
  </r>
  <r>
    <x v="3"/>
    <x v="114"/>
    <x v="0"/>
    <s v="Unidentified Driving"/>
    <s v="Vehicle 4 Unidentified Driving Diagnostic"/>
    <n v="3"/>
    <x v="0"/>
    <x v="0"/>
    <x v="0"/>
    <x v="0"/>
    <x v="0"/>
    <x v="0"/>
    <s v="Long"/>
    <s v="Lat"/>
    <s v="Approximate Location"/>
    <n v="60732.69921875"/>
    <n v="35.418159484863303"/>
  </r>
  <r>
    <x v="5"/>
    <x v="115"/>
    <x v="0"/>
    <s v="Unidentified Driving"/>
    <s v="Vehicle 6 Unidentified Driving Diagnostic"/>
    <n v="1"/>
    <x v="0"/>
    <x v="0"/>
    <x v="0"/>
    <x v="0"/>
    <x v="0"/>
    <x v="0"/>
    <s v="Long"/>
    <s v="Lat"/>
    <s v="Approximate Location"/>
    <n v="119143.765625"/>
    <n v="17.7364196777344"/>
  </r>
  <r>
    <x v="5"/>
    <x v="116"/>
    <x v="0"/>
    <s v="Unidentified Driving"/>
    <s v="Vehicle 6 Unidentified Driving Diagnostic"/>
    <n v="8"/>
    <x v="0"/>
    <x v="0"/>
    <x v="0"/>
    <x v="0"/>
    <x v="0"/>
    <x v="0"/>
    <s v="Long"/>
    <s v="Lat"/>
    <s v="Approximate Location"/>
    <n v="119161.5"/>
    <n v="62.435379028320298"/>
  </r>
  <r>
    <x v="3"/>
    <x v="117"/>
    <x v="0"/>
    <s v="Unidentified Driving"/>
    <s v="Vehicle 4 Unidentified Driving Diagnostic"/>
    <n v="15"/>
    <x v="0"/>
    <x v="0"/>
    <x v="0"/>
    <x v="0"/>
    <x v="0"/>
    <x v="0"/>
    <s v="Long"/>
    <s v="Lat"/>
    <s v="Approximate Location"/>
    <n v="60768.1171875"/>
    <n v="21.5640659332275"/>
  </r>
  <r>
    <x v="9"/>
    <x v="118"/>
    <x v="1"/>
    <s v="Data Transfer"/>
    <s v="Vehicle 10 Data Transfer Malfunction"/>
    <n v="1"/>
    <x v="1"/>
    <x v="0"/>
    <x v="3"/>
    <x v="0"/>
    <x v="0"/>
    <x v="1"/>
    <s v="Long"/>
    <s v="Lat"/>
    <s v="Approximate Location"/>
    <n v="93257.0703125"/>
    <n v="0"/>
  </r>
  <r>
    <x v="9"/>
    <x v="119"/>
    <x v="1"/>
    <s v="Data Transfer"/>
    <s v="Vehicle 10 Data Transfer Malfunction"/>
    <e v="#N/A"/>
    <x v="1"/>
    <x v="0"/>
    <x v="3"/>
    <x v="1"/>
    <x v="0"/>
    <x v="1"/>
    <s v="Long"/>
    <s v="Lat"/>
    <s v="Approximate Location"/>
    <n v="93257.0703125"/>
    <n v="16.108427047729499"/>
  </r>
  <r>
    <x v="0"/>
    <x v="120"/>
    <x v="0"/>
    <s v="Unidentified Driving"/>
    <s v="Vehicle 1 Unidentified Driving Diagnostic"/>
    <n v="6"/>
    <x v="0"/>
    <x v="0"/>
    <x v="0"/>
    <x v="0"/>
    <x v="0"/>
    <x v="0"/>
    <s v="Long"/>
    <s v="Lat"/>
    <s v="Approximate Location"/>
    <n v="12682.916015625"/>
    <n v="31.514705657958999"/>
  </r>
  <r>
    <x v="9"/>
    <x v="121"/>
    <x v="0"/>
    <s v="Unidentified Driving"/>
    <s v="Vehicle 10 Unidentified Driving Diagnostic"/>
    <n v="24"/>
    <x v="0"/>
    <x v="0"/>
    <x v="0"/>
    <x v="0"/>
    <x v="0"/>
    <x v="0"/>
    <s v="Long"/>
    <s v="Lat"/>
    <s v="Approximate Location"/>
    <n v="93273.1796875"/>
    <n v="22.6676216125488"/>
  </r>
  <r>
    <x v="6"/>
    <x v="122"/>
    <x v="2"/>
    <s v="Power"/>
    <s v="Vehicle 7 Power Diagnostic"/>
    <n v="1"/>
    <x v="0"/>
    <x v="1"/>
    <x v="0"/>
    <x v="0"/>
    <x v="1"/>
    <x v="0"/>
    <s v="Long"/>
    <s v="Lat"/>
    <s v="Approximate Location"/>
    <n v="17145.74609375"/>
    <n v="0"/>
  </r>
  <r>
    <x v="6"/>
    <x v="123"/>
    <x v="2"/>
    <s v="Power"/>
    <s v="Vehicle 7 Power Diagnostic"/>
    <n v="69"/>
    <x v="0"/>
    <x v="1"/>
    <x v="2"/>
    <x v="0"/>
    <x v="1"/>
    <x v="0"/>
    <s v="Long"/>
    <s v="Lat"/>
    <s v="Approximate Location"/>
    <n v="17145.74609375"/>
    <n v="43.603118896484403"/>
  </r>
  <r>
    <x v="5"/>
    <x v="124"/>
    <x v="0"/>
    <s v="Unidentified Driving"/>
    <s v="Vehicle 6 Unidentified Driving Diagnostic"/>
    <n v="3"/>
    <x v="0"/>
    <x v="0"/>
    <x v="0"/>
    <x v="0"/>
    <x v="0"/>
    <x v="0"/>
    <s v="Long"/>
    <s v="Lat"/>
    <s v="Approximate Location"/>
    <n v="119223.9375"/>
    <n v="69.136245727539105"/>
  </r>
  <r>
    <x v="1"/>
    <x v="125"/>
    <x v="0"/>
    <s v="Unidentified Driving"/>
    <s v="Vehicle 2 Unidentified Driving Diagnostic"/>
    <n v="3"/>
    <x v="0"/>
    <x v="0"/>
    <x v="0"/>
    <x v="0"/>
    <x v="0"/>
    <x v="0"/>
    <s v="Long"/>
    <s v="Lat"/>
    <s v="Approximate Location"/>
    <n v="3369.09399414062"/>
    <n v="12.7066049575806"/>
  </r>
  <r>
    <x v="0"/>
    <x v="126"/>
    <x v="0"/>
    <s v="Unidentified Driving"/>
    <s v="Vehicle 1 Unidentified Driving Diagnostic"/>
    <n v="3"/>
    <x v="0"/>
    <x v="0"/>
    <x v="0"/>
    <x v="0"/>
    <x v="0"/>
    <x v="0"/>
    <s v="Long"/>
    <s v="Lat"/>
    <s v="Approximate Location"/>
    <n v="12714.4306640625"/>
    <n v="28.461286544799801"/>
  </r>
  <r>
    <x v="5"/>
    <x v="127"/>
    <x v="0"/>
    <s v="Unidentified Driving"/>
    <s v="Vehicle 6 Unidentified Driving Diagnostic"/>
    <n v="8"/>
    <x v="0"/>
    <x v="0"/>
    <x v="0"/>
    <x v="0"/>
    <x v="0"/>
    <x v="0"/>
    <s v="Long"/>
    <s v="Lat"/>
    <s v="Approximate Location"/>
    <n v="119293.0703125"/>
    <n v="74.425361633300795"/>
  </r>
  <r>
    <x v="1"/>
    <x v="128"/>
    <x v="0"/>
    <s v="Unidentified Driving"/>
    <s v="Vehicle 2 Unidentified Driving Diagnostic"/>
    <n v="8"/>
    <x v="0"/>
    <x v="0"/>
    <x v="0"/>
    <x v="0"/>
    <x v="0"/>
    <x v="0"/>
    <s v="Long"/>
    <s v="Lat"/>
    <s v="Approximate Location"/>
    <n v="3381.80053710938"/>
    <n v="29.251489639282202"/>
  </r>
  <r>
    <x v="0"/>
    <x v="129"/>
    <x v="0"/>
    <s v="Unidentified Driving"/>
    <s v="Vehicle 1 Unidentified Driving Diagnostic"/>
    <n v="5"/>
    <x v="0"/>
    <x v="0"/>
    <x v="0"/>
    <x v="0"/>
    <x v="0"/>
    <x v="0"/>
    <s v="Long"/>
    <s v="Lat"/>
    <s v="Approximate Location"/>
    <n v="12742.892578125"/>
    <n v="10.8640546798706"/>
  </r>
  <r>
    <x v="0"/>
    <x v="130"/>
    <x v="2"/>
    <s v="Power"/>
    <s v="Vehicle 1 Power Diagnostic"/>
    <n v="1"/>
    <x v="0"/>
    <x v="1"/>
    <x v="0"/>
    <x v="0"/>
    <x v="1"/>
    <x v="0"/>
    <s v="Long"/>
    <s v="Lat"/>
    <s v="Approximate Location"/>
    <n v="12753.755859375"/>
    <n v="1.2427424080669899E-3"/>
  </r>
  <r>
    <x v="0"/>
    <x v="131"/>
    <x v="2"/>
    <s v="Power"/>
    <s v="Vehicle 1 Power Diagnostic"/>
    <n v="55"/>
    <x v="0"/>
    <x v="1"/>
    <x v="2"/>
    <x v="0"/>
    <x v="1"/>
    <x v="0"/>
    <s v="Long"/>
    <s v="Lat"/>
    <s v="Approximate Location"/>
    <n v="12753.7578125"/>
    <n v="13.9497842788696"/>
  </r>
  <r>
    <x v="3"/>
    <x v="132"/>
    <x v="0"/>
    <s v="Unidentified Driving"/>
    <s v="Vehicle 4 Unidentified Driving Diagnostic"/>
    <n v="6"/>
    <x v="0"/>
    <x v="0"/>
    <x v="0"/>
    <x v="0"/>
    <x v="0"/>
    <x v="0"/>
    <s v="Long"/>
    <s v="Lat"/>
    <s v="Approximate Location"/>
    <n v="60789.6796875"/>
    <n v="8.9079780578613299"/>
  </r>
  <r>
    <x v="6"/>
    <x v="133"/>
    <x v="1"/>
    <s v="Data Transfer"/>
    <s v="Vehicle 7 Data Transfer Diagnostic"/>
    <n v="31"/>
    <x v="0"/>
    <x v="1"/>
    <x v="1"/>
    <x v="0"/>
    <x v="1"/>
    <x v="0"/>
    <s v="Long"/>
    <s v="Lat"/>
    <s v="Approximate Location"/>
    <n v="17189.349609375"/>
    <n v="158.94551086425801"/>
  </r>
  <r>
    <x v="0"/>
    <x v="134"/>
    <x v="0"/>
    <s v="Unidentified Driving"/>
    <s v="Vehicle 1 Unidentified Driving Diagnostic"/>
    <n v="13"/>
    <x v="0"/>
    <x v="0"/>
    <x v="0"/>
    <x v="0"/>
    <x v="0"/>
    <x v="0"/>
    <s v="Long"/>
    <s v="Lat"/>
    <s v="Approximate Location"/>
    <n v="12767.70703125"/>
    <n v="31.378004074096701"/>
  </r>
  <r>
    <x v="5"/>
    <x v="135"/>
    <x v="0"/>
    <s v="Unidentified Driving"/>
    <s v="Vehicle 6 Unidentified Driving Diagnostic"/>
    <n v="4"/>
    <x v="0"/>
    <x v="0"/>
    <x v="0"/>
    <x v="0"/>
    <x v="0"/>
    <x v="0"/>
    <s v="Long"/>
    <s v="Lat"/>
    <s v="Approximate Location"/>
    <n v="119367.5"/>
    <n v="47.214271545410199"/>
  </r>
  <r>
    <x v="1"/>
    <x v="136"/>
    <x v="0"/>
    <s v="Unidentified Driving"/>
    <s v="Vehicle 2 Unidentified Driving Diagnostic"/>
    <n v="4"/>
    <x v="0"/>
    <x v="0"/>
    <x v="0"/>
    <x v="0"/>
    <x v="0"/>
    <x v="0"/>
    <s v="Long"/>
    <s v="Lat"/>
    <s v="Approximate Location"/>
    <n v="3411.05200195312"/>
    <n v="37.808010101318402"/>
  </r>
  <r>
    <x v="7"/>
    <x v="137"/>
    <x v="1"/>
    <s v="Data Transfer"/>
    <s v="Vehicle 8 Data Transfer Diagnostic"/>
    <n v="14"/>
    <x v="0"/>
    <x v="1"/>
    <x v="1"/>
    <x v="0"/>
    <x v="1"/>
    <x v="0"/>
    <s v="Long"/>
    <s v="Lat"/>
    <s v="Approximate Location"/>
    <n v="67169.875"/>
    <n v="21.126621246337901"/>
  </r>
  <r>
    <x v="3"/>
    <x v="138"/>
    <x v="0"/>
    <s v="Unidentified Driving"/>
    <s v="Vehicle 4 Unidentified Driving Diagnostic"/>
    <n v="8"/>
    <x v="0"/>
    <x v="0"/>
    <x v="0"/>
    <x v="0"/>
    <x v="0"/>
    <x v="0"/>
    <s v="Long"/>
    <s v="Lat"/>
    <s v="Approximate Location"/>
    <n v="60798.58984375"/>
    <n v="9.9071426391601598"/>
  </r>
  <r>
    <x v="5"/>
    <x v="139"/>
    <x v="0"/>
    <s v="Unidentified Driving"/>
    <s v="Vehicle 6 Unidentified Driving Diagnostic"/>
    <n v="11"/>
    <x v="0"/>
    <x v="0"/>
    <x v="0"/>
    <x v="0"/>
    <x v="0"/>
    <x v="0"/>
    <s v="Long"/>
    <s v="Lat"/>
    <s v="Approximate Location"/>
    <n v="119414.7109375"/>
    <n v="68.380661010742202"/>
  </r>
  <r>
    <x v="1"/>
    <x v="140"/>
    <x v="0"/>
    <s v="Unidentified Driving"/>
    <s v="Vehicle 2 Unidentified Driving Diagnostic"/>
    <n v="8"/>
    <x v="0"/>
    <x v="0"/>
    <x v="0"/>
    <x v="0"/>
    <x v="0"/>
    <x v="0"/>
    <s v="Long"/>
    <s v="Lat"/>
    <s v="Approximate Location"/>
    <n v="3448.86010742188"/>
    <n v="57.640235900878899"/>
  </r>
  <r>
    <x v="11"/>
    <x v="141"/>
    <x v="1"/>
    <s v="Data Transfer"/>
    <s v="Vehicle 12 Data Transfer Diagnostic"/>
    <e v="#N/A"/>
    <x v="0"/>
    <x v="1"/>
    <x v="1"/>
    <x v="1"/>
    <x v="1"/>
    <x v="0"/>
    <s v="Long"/>
    <s v="Lat"/>
    <s v="Approximate Location"/>
    <n v="107497.21875"/>
    <n v="0"/>
  </r>
  <r>
    <x v="8"/>
    <x v="142"/>
    <x v="1"/>
    <s v="Data Transfer"/>
    <s v="Vehicle 9 Data Transfer Diagnostic"/>
    <n v="10"/>
    <x v="0"/>
    <x v="1"/>
    <x v="1"/>
    <x v="0"/>
    <x v="1"/>
    <x v="0"/>
    <s v="Long"/>
    <s v="Lat"/>
    <s v="Approximate Location"/>
    <n v="0"/>
    <n v="0"/>
  </r>
  <r>
    <x v="4"/>
    <x v="143"/>
    <x v="1"/>
    <s v="Data Transfer"/>
    <s v="Vehicle 5 Data Transfer Diagnostic"/>
    <n v="1"/>
    <x v="0"/>
    <x v="1"/>
    <x v="1"/>
    <x v="0"/>
    <x v="1"/>
    <x v="0"/>
    <s v="Long"/>
    <s v="Lat"/>
    <s v="Approximate Location"/>
    <n v="82414.828125"/>
    <n v="0"/>
  </r>
  <r>
    <x v="4"/>
    <x v="144"/>
    <x v="1"/>
    <s v="Data Transfer"/>
    <s v="Vehicle 5 Data Transfer Diagnostic"/>
    <e v="#N/A"/>
    <x v="0"/>
    <x v="1"/>
    <x v="1"/>
    <x v="1"/>
    <x v="1"/>
    <x v="0"/>
    <s v="Long"/>
    <s v="Lat"/>
    <s v="Approximate Location"/>
    <n v="82414.828125"/>
    <n v="23.537542343139599"/>
  </r>
  <r>
    <x v="9"/>
    <x v="145"/>
    <x v="0"/>
    <s v="Unidentified Driving"/>
    <s v="Vehicle 10 Unidentified Driving Diagnostic"/>
    <n v="4"/>
    <x v="0"/>
    <x v="0"/>
    <x v="0"/>
    <x v="0"/>
    <x v="0"/>
    <x v="0"/>
    <s v="Long"/>
    <s v="Lat"/>
    <s v="Approximate Location"/>
    <n v="93295.84375"/>
    <n v="15.2509355545044"/>
  </r>
  <r>
    <x v="3"/>
    <x v="146"/>
    <x v="0"/>
    <s v="Unidentified Driving"/>
    <s v="Vehicle 4 Unidentified Driving Diagnostic"/>
    <n v="8"/>
    <x v="0"/>
    <x v="0"/>
    <x v="0"/>
    <x v="0"/>
    <x v="0"/>
    <x v="0"/>
    <s v="Long"/>
    <s v="Lat"/>
    <s v="Approximate Location"/>
    <n v="60808.49609375"/>
    <n v="6.94433689117432"/>
  </r>
  <r>
    <x v="0"/>
    <x v="147"/>
    <x v="0"/>
    <s v="Unidentified Driving"/>
    <s v="Vehicle 1 Unidentified Driving Diagnostic"/>
    <n v="6"/>
    <x v="0"/>
    <x v="0"/>
    <x v="0"/>
    <x v="0"/>
    <x v="0"/>
    <x v="0"/>
    <s v="Long"/>
    <s v="Lat"/>
    <s v="Approximate Location"/>
    <n v="12799.0849609375"/>
    <n v="34.363071441650398"/>
  </r>
  <r>
    <x v="1"/>
    <x v="148"/>
    <x v="0"/>
    <s v="Unidentified Driving"/>
    <s v="Vehicle 2 Unidentified Driving Diagnostic"/>
    <n v="7"/>
    <x v="0"/>
    <x v="0"/>
    <x v="0"/>
    <x v="0"/>
    <x v="0"/>
    <x v="0"/>
    <s v="Long"/>
    <s v="Lat"/>
    <s v="Approximate Location"/>
    <n v="3506.50024414062"/>
    <n v="106.999954223633"/>
  </r>
  <r>
    <x v="9"/>
    <x v="149"/>
    <x v="0"/>
    <s v="Unidentified Driving"/>
    <s v="Vehicle 10 Unidentified Driving Diagnostic"/>
    <n v="9"/>
    <x v="0"/>
    <x v="0"/>
    <x v="0"/>
    <x v="0"/>
    <x v="0"/>
    <x v="0"/>
    <s v="Long"/>
    <s v="Lat"/>
    <s v="Approximate Location"/>
    <n v="93311.09375"/>
    <n v="109.271858215332"/>
  </r>
  <r>
    <x v="5"/>
    <x v="150"/>
    <x v="0"/>
    <s v="Unidentified Driving"/>
    <s v="Vehicle 6 Unidentified Driving Diagnostic"/>
    <n v="7"/>
    <x v="0"/>
    <x v="0"/>
    <x v="0"/>
    <x v="0"/>
    <x v="0"/>
    <x v="0"/>
    <s v="Long"/>
    <s v="Lat"/>
    <s v="Approximate Location"/>
    <n v="119483.09375"/>
    <n v="25.023860931396499"/>
  </r>
  <r>
    <x v="7"/>
    <x v="151"/>
    <x v="1"/>
    <s v="Data Transfer"/>
    <s v="Vehicle 8 Data Transfer Diagnostic"/>
    <n v="22"/>
    <x v="0"/>
    <x v="1"/>
    <x v="1"/>
    <x v="0"/>
    <x v="1"/>
    <x v="0"/>
    <s v="Long"/>
    <s v="Lat"/>
    <s v="Approximate Location"/>
    <n v="67191"/>
    <n v="1.24274241924286"/>
  </r>
  <r>
    <x v="8"/>
    <x v="152"/>
    <x v="1"/>
    <s v="Data Transfer"/>
    <s v="Vehicle 9 Data Transfer Diagnostic"/>
    <n v="65"/>
    <x v="0"/>
    <x v="1"/>
    <x v="1"/>
    <x v="0"/>
    <x v="1"/>
    <x v="0"/>
    <s v="Long"/>
    <s v="Lat"/>
    <s v="Approximate Location"/>
    <n v="0"/>
    <n v="0"/>
  </r>
  <r>
    <x v="0"/>
    <x v="153"/>
    <x v="0"/>
    <s v="Unidentified Driving"/>
    <s v="Vehicle 1 Unidentified Driving Diagnostic"/>
    <n v="12"/>
    <x v="0"/>
    <x v="0"/>
    <x v="0"/>
    <x v="0"/>
    <x v="0"/>
    <x v="0"/>
    <s v="Long"/>
    <s v="Lat"/>
    <s v="Approximate Location"/>
    <n v="12833.4482421875"/>
    <n v="15.5790195465088"/>
  </r>
  <r>
    <x v="3"/>
    <x v="154"/>
    <x v="0"/>
    <s v="Unidentified Driving"/>
    <s v="Vehicle 4 Unidentified Driving Diagnostic"/>
    <n v="2"/>
    <x v="0"/>
    <x v="0"/>
    <x v="0"/>
    <x v="0"/>
    <x v="0"/>
    <x v="0"/>
    <s v="Long"/>
    <s v="Lat"/>
    <s v="Approximate Location"/>
    <n v="60815.44140625"/>
    <n v="44.684154510497997"/>
  </r>
  <r>
    <x v="1"/>
    <x v="155"/>
    <x v="0"/>
    <s v="Unidentified Driving"/>
    <s v="Vehicle 2 Unidentified Driving Diagnostic"/>
    <n v="8"/>
    <x v="0"/>
    <x v="0"/>
    <x v="0"/>
    <x v="0"/>
    <x v="0"/>
    <x v="0"/>
    <s v="Long"/>
    <s v="Lat"/>
    <s v="Approximate Location"/>
    <n v="3613.50024414062"/>
    <n v="57.678878784179702"/>
  </r>
  <r>
    <x v="3"/>
    <x v="156"/>
    <x v="0"/>
    <s v="Unidentified Driving"/>
    <s v="Vehicle 4 Unidentified Driving Diagnostic"/>
    <n v="4"/>
    <x v="0"/>
    <x v="0"/>
    <x v="0"/>
    <x v="0"/>
    <x v="0"/>
    <x v="0"/>
    <s v="Long"/>
    <s v="Lat"/>
    <s v="Approximate Location"/>
    <n v="60860.125"/>
    <n v="27.176292419433601"/>
  </r>
  <r>
    <x v="5"/>
    <x v="157"/>
    <x v="0"/>
    <s v="Unidentified Driving"/>
    <s v="Vehicle 6 Unidentified Driving Diagnostic"/>
    <n v="4"/>
    <x v="0"/>
    <x v="0"/>
    <x v="0"/>
    <x v="0"/>
    <x v="0"/>
    <x v="0"/>
    <s v="Long"/>
    <s v="Lat"/>
    <s v="Approximate Location"/>
    <n v="119508.1171875"/>
    <n v="57.404758453369098"/>
  </r>
  <r>
    <x v="9"/>
    <x v="158"/>
    <x v="0"/>
    <s v="Unidentified Driving"/>
    <s v="Vehicle 10 Unidentified Driving Diagnostic"/>
    <n v="4"/>
    <x v="0"/>
    <x v="0"/>
    <x v="0"/>
    <x v="0"/>
    <x v="0"/>
    <x v="0"/>
    <s v="Long"/>
    <s v="Lat"/>
    <s v="Approximate Location"/>
    <n v="93420.3671875"/>
    <n v="20.261672973632798"/>
  </r>
  <r>
    <x v="4"/>
    <x v="159"/>
    <x v="0"/>
    <s v="Unidentified Driving"/>
    <s v="Vehicle 5 Unidentified Driving Diagnostic"/>
    <n v="7"/>
    <x v="0"/>
    <x v="0"/>
    <x v="0"/>
    <x v="0"/>
    <x v="0"/>
    <x v="0"/>
    <s v="Long"/>
    <s v="Lat"/>
    <s v="Approximate Location"/>
    <n v="82438.3671875"/>
    <n v="26.013084411621101"/>
  </r>
  <r>
    <x v="3"/>
    <x v="160"/>
    <x v="0"/>
    <s v="Unidentified Driving"/>
    <s v="Vehicle 4 Unidentified Driving Diagnostic"/>
    <n v="8"/>
    <x v="0"/>
    <x v="0"/>
    <x v="0"/>
    <x v="0"/>
    <x v="0"/>
    <x v="0"/>
    <s v="Long"/>
    <s v="Lat"/>
    <s v="Approximate Location"/>
    <n v="60887.30078125"/>
    <n v="43.157958984375"/>
  </r>
  <r>
    <x v="5"/>
    <x v="161"/>
    <x v="0"/>
    <s v="Unidentified Driving"/>
    <s v="Vehicle 6 Unidentified Driving Diagnostic"/>
    <n v="6"/>
    <x v="0"/>
    <x v="0"/>
    <x v="0"/>
    <x v="0"/>
    <x v="0"/>
    <x v="0"/>
    <s v="Long"/>
    <s v="Lat"/>
    <s v="Approximate Location"/>
    <n v="119565.5234375"/>
    <n v="24.934385299682599"/>
  </r>
  <r>
    <x v="9"/>
    <x v="162"/>
    <x v="0"/>
    <s v="Unidentified Driving"/>
    <s v="Vehicle 10 Unidentified Driving Diagnostic"/>
    <n v="7"/>
    <x v="0"/>
    <x v="0"/>
    <x v="0"/>
    <x v="0"/>
    <x v="0"/>
    <x v="0"/>
    <s v="Long"/>
    <s v="Lat"/>
    <s v="Approximate Location"/>
    <n v="93440.6328125"/>
    <n v="27.8970832824707"/>
  </r>
  <r>
    <x v="1"/>
    <x v="163"/>
    <x v="0"/>
    <s v="Unidentified Driving"/>
    <s v="Vehicle 2 Unidentified Driving Diagnostic"/>
    <n v="9"/>
    <x v="0"/>
    <x v="0"/>
    <x v="0"/>
    <x v="0"/>
    <x v="0"/>
    <x v="0"/>
    <s v="Long"/>
    <s v="Lat"/>
    <s v="Approximate Location"/>
    <n v="3671.17919921875"/>
    <n v="14.7346487045288"/>
  </r>
  <r>
    <x v="6"/>
    <x v="164"/>
    <x v="1"/>
    <s v="Data Transfer"/>
    <s v="Vehicle 7 Data Transfer Diagnostic"/>
    <n v="30"/>
    <x v="0"/>
    <x v="1"/>
    <x v="1"/>
    <x v="0"/>
    <x v="1"/>
    <x v="0"/>
    <s v="Long"/>
    <s v="Lat"/>
    <s v="Approximate Location"/>
    <n v="17348.294921875"/>
    <n v="53.277351379394503"/>
  </r>
  <r>
    <x v="0"/>
    <x v="165"/>
    <x v="0"/>
    <s v="Unidentified Driving"/>
    <s v="Vehicle 1 Unidentified Driving Diagnostic"/>
    <n v="5"/>
    <x v="0"/>
    <x v="0"/>
    <x v="0"/>
    <x v="0"/>
    <x v="0"/>
    <x v="0"/>
    <s v="Long"/>
    <s v="Lat"/>
    <s v="Approximate Location"/>
    <n v="12849.02734375"/>
    <n v="25.493618011474599"/>
  </r>
  <r>
    <x v="4"/>
    <x v="166"/>
    <x v="0"/>
    <s v="Unidentified Driving"/>
    <s v="Vehicle 5 Unidentified Driving Diagnostic"/>
    <n v="8"/>
    <x v="0"/>
    <x v="0"/>
    <x v="0"/>
    <x v="0"/>
    <x v="0"/>
    <x v="0"/>
    <s v="Long"/>
    <s v="Lat"/>
    <s v="Approximate Location"/>
    <n v="82464.375"/>
    <n v="12.8996667861938"/>
  </r>
  <r>
    <x v="5"/>
    <x v="167"/>
    <x v="0"/>
    <s v="Unidentified Driving"/>
    <s v="Vehicle 6 Unidentified Driving Diagnostic"/>
    <n v="8"/>
    <x v="0"/>
    <x v="0"/>
    <x v="0"/>
    <x v="0"/>
    <x v="0"/>
    <x v="0"/>
    <s v="Long"/>
    <s v="Lat"/>
    <s v="Approximate Location"/>
    <n v="119590.4609375"/>
    <n v="46.816593170166001"/>
  </r>
  <r>
    <x v="3"/>
    <x v="168"/>
    <x v="0"/>
    <s v="Unidentified Driving"/>
    <s v="Vehicle 4 Unidentified Driving Diagnostic"/>
    <n v="8"/>
    <x v="0"/>
    <x v="0"/>
    <x v="0"/>
    <x v="0"/>
    <x v="0"/>
    <x v="0"/>
    <s v="Long"/>
    <s v="Lat"/>
    <s v="Approximate Location"/>
    <n v="60930.4609375"/>
    <n v="14.003221511840801"/>
  </r>
  <r>
    <x v="9"/>
    <x v="169"/>
    <x v="0"/>
    <s v="Unidentified Driving"/>
    <s v="Vehicle 10 Unidentified Driving Diagnostic"/>
    <n v="28"/>
    <x v="0"/>
    <x v="0"/>
    <x v="0"/>
    <x v="0"/>
    <x v="0"/>
    <x v="0"/>
    <s v="Long"/>
    <s v="Lat"/>
    <s v="Approximate Location"/>
    <n v="93468.53125"/>
    <n v="25.908695220947301"/>
  </r>
  <r>
    <x v="0"/>
    <x v="170"/>
    <x v="0"/>
    <s v="Unidentified Driving"/>
    <s v="Vehicle 1 Unidentified Driving Diagnostic"/>
    <n v="28"/>
    <x v="0"/>
    <x v="0"/>
    <x v="0"/>
    <x v="0"/>
    <x v="0"/>
    <x v="0"/>
    <s v="Long"/>
    <s v="Lat"/>
    <s v="Approximate Location"/>
    <n v="12874.5205078125"/>
    <n v="29.640649795532202"/>
  </r>
  <r>
    <x v="1"/>
    <x v="171"/>
    <x v="1"/>
    <s v="Data Transfer"/>
    <s v="Vehicle 2 Data Transfer Diagnostic"/>
    <n v="24"/>
    <x v="0"/>
    <x v="1"/>
    <x v="1"/>
    <x v="0"/>
    <x v="1"/>
    <x v="0"/>
    <s v="Long"/>
    <s v="Lat"/>
    <s v="Approximate Location"/>
    <n v="3685.91381835938"/>
    <n v="6.8847150802612296"/>
  </r>
  <r>
    <x v="1"/>
    <x v="172"/>
    <x v="0"/>
    <s v="Unidentified Driving"/>
    <s v="Vehicle 2 Unidentified Driving Diagnostic"/>
    <e v="#N/A"/>
    <x v="0"/>
    <x v="0"/>
    <x v="0"/>
    <x v="1"/>
    <x v="0"/>
    <x v="0"/>
    <s v="Long"/>
    <s v="Lat"/>
    <s v="Approximate Location"/>
    <n v="3692.79858398438"/>
    <n v="17.5260925292969"/>
  </r>
  <r>
    <x v="7"/>
    <x v="173"/>
    <x v="1"/>
    <s v="Data Transfer"/>
    <s v="Vehicle 8 Data Transfer Diagnostic"/>
    <n v="4"/>
    <x v="0"/>
    <x v="1"/>
    <x v="0"/>
    <x v="0"/>
    <x v="1"/>
    <x v="0"/>
    <s v="Long"/>
    <s v="Lat"/>
    <s v="Approximate Location"/>
    <n v="67192.2421875"/>
    <n v="0.621371209621429"/>
  </r>
  <r>
    <x v="4"/>
    <x v="174"/>
    <x v="0"/>
    <s v="Unidentified Driving"/>
    <s v="Vehicle 5 Unidentified Driving Diagnostic"/>
    <n v="25"/>
    <x v="0"/>
    <x v="0"/>
    <x v="0"/>
    <x v="0"/>
    <x v="0"/>
    <x v="0"/>
    <s v="Long"/>
    <s v="Lat"/>
    <s v="Approximate Location"/>
    <n v="82477.2734375"/>
    <n v="6.2733640670776403"/>
  </r>
  <r>
    <x v="5"/>
    <x v="175"/>
    <x v="0"/>
    <s v="Unidentified Driving"/>
    <s v="Vehicle 6 Unidentified Driving Diagnostic"/>
    <n v="25"/>
    <x v="0"/>
    <x v="0"/>
    <x v="0"/>
    <x v="0"/>
    <x v="0"/>
    <x v="0"/>
    <s v="Long"/>
    <s v="Lat"/>
    <s v="Approximate Location"/>
    <n v="119637.2734375"/>
    <n v="42.243301391601598"/>
  </r>
  <r>
    <x v="3"/>
    <x v="176"/>
    <x v="0"/>
    <s v="Unidentified Driving"/>
    <s v="Vehicle 4 Unidentified Driving Diagnostic"/>
    <n v="33"/>
    <x v="0"/>
    <x v="0"/>
    <x v="0"/>
    <x v="0"/>
    <x v="0"/>
    <x v="0"/>
    <s v="Long"/>
    <s v="Lat"/>
    <s v="Approximate Location"/>
    <n v="60944.4609375"/>
    <n v="3.11182713508606"/>
  </r>
  <r>
    <x v="7"/>
    <x v="177"/>
    <x v="1"/>
    <s v="Data Transfer"/>
    <s v="Vehicle 8 Data Transfer Diagnostic"/>
    <n v="26"/>
    <x v="0"/>
    <x v="1"/>
    <x v="1"/>
    <x v="0"/>
    <x v="1"/>
    <x v="0"/>
    <s v="Long"/>
    <s v="Lat"/>
    <s v="Approximate Location"/>
    <n v="67192.859375"/>
    <n v="0"/>
  </r>
  <r>
    <x v="4"/>
    <x v="178"/>
    <x v="2"/>
    <s v="Power"/>
    <s v="Vehicle 5 Power Diagnostic"/>
    <n v="1"/>
    <x v="0"/>
    <x v="1"/>
    <x v="0"/>
    <x v="0"/>
    <x v="1"/>
    <x v="0"/>
    <s v="Long"/>
    <s v="Lat"/>
    <s v="Approximate Location"/>
    <n v="82483.546875"/>
    <n v="0"/>
  </r>
  <r>
    <x v="4"/>
    <x v="179"/>
    <x v="2"/>
    <s v="Power"/>
    <s v="Vehicle 5 Power Diagnostic"/>
    <e v="#N/A"/>
    <x v="0"/>
    <x v="1"/>
    <x v="2"/>
    <x v="1"/>
    <x v="1"/>
    <x v="0"/>
    <s v="Long"/>
    <s v="Lat"/>
    <s v="Approximate Location"/>
    <n v="82483.546875"/>
    <n v="3.9270660877227801"/>
  </r>
  <r>
    <x v="3"/>
    <x v="180"/>
    <x v="2"/>
    <s v="Power"/>
    <s v="Vehicle 4 Power Diagnostic"/>
    <n v="1"/>
    <x v="0"/>
    <x v="1"/>
    <x v="0"/>
    <x v="0"/>
    <x v="1"/>
    <x v="0"/>
    <s v="Long"/>
    <s v="Lat"/>
    <s v="Approximate Location"/>
    <n v="60947.57421875"/>
    <n v="0"/>
  </r>
  <r>
    <x v="3"/>
    <x v="181"/>
    <x v="2"/>
    <s v="Power"/>
    <s v="Vehicle 4 Power Diagnostic"/>
    <e v="#N/A"/>
    <x v="0"/>
    <x v="1"/>
    <x v="2"/>
    <x v="1"/>
    <x v="1"/>
    <x v="0"/>
    <s v="Long"/>
    <s v="Lat"/>
    <s v="Approximate Location"/>
    <n v="60947.57421875"/>
    <n v="11.194623947143601"/>
  </r>
  <r>
    <x v="5"/>
    <x v="182"/>
    <x v="2"/>
    <s v="Power"/>
    <s v="Vehicle 6 Power Diagnostic"/>
    <n v="1"/>
    <x v="0"/>
    <x v="1"/>
    <x v="0"/>
    <x v="0"/>
    <x v="1"/>
    <x v="0"/>
    <s v="Long"/>
    <s v="Lat"/>
    <s v="Approximate Location"/>
    <n v="119679.515625"/>
    <n v="0"/>
  </r>
  <r>
    <x v="5"/>
    <x v="183"/>
    <x v="2"/>
    <s v="Power"/>
    <s v="Vehicle 6 Power Diagnostic"/>
    <e v="#N/A"/>
    <x v="0"/>
    <x v="1"/>
    <x v="2"/>
    <x v="1"/>
    <x v="1"/>
    <x v="0"/>
    <s v="Long"/>
    <s v="Lat"/>
    <s v="Approximate Location"/>
    <n v="119679.515625"/>
    <n v="24.6758937835693"/>
  </r>
  <r>
    <x v="2"/>
    <x v="184"/>
    <x v="2"/>
    <s v="Power"/>
    <s v="Vehicle 3 Power Diagnostic"/>
    <n v="1"/>
    <x v="0"/>
    <x v="1"/>
    <x v="0"/>
    <x v="0"/>
    <x v="1"/>
    <x v="0"/>
    <s v="Long"/>
    <s v="Lat"/>
    <s v="Approximate Location"/>
    <n v="117644.7265625"/>
    <n v="0"/>
  </r>
  <r>
    <x v="2"/>
    <x v="185"/>
    <x v="2"/>
    <s v="Power"/>
    <s v="Vehicle 3 Power Diagnostic"/>
    <n v="38"/>
    <x v="0"/>
    <x v="1"/>
    <x v="2"/>
    <x v="0"/>
    <x v="1"/>
    <x v="0"/>
    <s v="Long"/>
    <s v="Lat"/>
    <s v="Approximate Location"/>
    <n v="117644.7265625"/>
    <n v="71.377418518066406"/>
  </r>
  <r>
    <x v="0"/>
    <x v="186"/>
    <x v="2"/>
    <s v="Power"/>
    <s v="Vehicle 1 Power Diagnostic"/>
    <n v="1"/>
    <x v="0"/>
    <x v="1"/>
    <x v="0"/>
    <x v="0"/>
    <x v="1"/>
    <x v="0"/>
    <s v="Long"/>
    <s v="Lat"/>
    <s v="Approximate Location"/>
    <n v="12904.1611328125"/>
    <n v="0"/>
  </r>
  <r>
    <x v="0"/>
    <x v="187"/>
    <x v="2"/>
    <s v="Power"/>
    <s v="Vehicle 1 Power Diagnostic"/>
    <n v="31"/>
    <x v="0"/>
    <x v="1"/>
    <x v="2"/>
    <x v="0"/>
    <x v="1"/>
    <x v="0"/>
    <s v="Long"/>
    <s v="Lat"/>
    <s v="Approximate Location"/>
    <n v="12904.1611328125"/>
    <n v="3.2112464904785201"/>
  </r>
  <r>
    <x v="9"/>
    <x v="188"/>
    <x v="2"/>
    <s v="Power"/>
    <s v="Vehicle 10 Power Diagnostic"/>
    <n v="1"/>
    <x v="0"/>
    <x v="1"/>
    <x v="0"/>
    <x v="0"/>
    <x v="1"/>
    <x v="0"/>
    <s v="Long"/>
    <s v="Lat"/>
    <s v="Approximate Location"/>
    <n v="93494.4375"/>
    <n v="0"/>
  </r>
  <r>
    <x v="9"/>
    <x v="189"/>
    <x v="2"/>
    <s v="Power"/>
    <s v="Vehicle 10 Power Diagnostic"/>
    <e v="#N/A"/>
    <x v="0"/>
    <x v="1"/>
    <x v="2"/>
    <x v="1"/>
    <x v="1"/>
    <x v="0"/>
    <s v="Long"/>
    <s v="Lat"/>
    <s v="Approximate Location"/>
    <n v="93494.4375"/>
    <n v="10.787004470825201"/>
  </r>
  <r>
    <x v="7"/>
    <x v="190"/>
    <x v="2"/>
    <s v="Power"/>
    <s v="Vehicle 8 Power Diagnostic"/>
    <n v="1"/>
    <x v="0"/>
    <x v="1"/>
    <x v="0"/>
    <x v="0"/>
    <x v="1"/>
    <x v="0"/>
    <s v="Long"/>
    <s v="Lat"/>
    <s v="Approximate Location"/>
    <n v="67192.859375"/>
    <n v="0"/>
  </r>
  <r>
    <x v="7"/>
    <x v="191"/>
    <x v="2"/>
    <s v="Power"/>
    <s v="Vehicle 8 Power Diagnostic"/>
    <n v="16"/>
    <x v="0"/>
    <x v="1"/>
    <x v="2"/>
    <x v="0"/>
    <x v="1"/>
    <x v="0"/>
    <s v="Long"/>
    <s v="Lat"/>
    <s v="Approximate Location"/>
    <n v="67192.859375"/>
    <n v="2.9605803489685099"/>
  </r>
  <r>
    <x v="6"/>
    <x v="192"/>
    <x v="2"/>
    <s v="Power"/>
    <s v="Vehicle 7 Power Diagnostic"/>
    <n v="1"/>
    <x v="0"/>
    <x v="1"/>
    <x v="0"/>
    <x v="0"/>
    <x v="1"/>
    <x v="0"/>
    <s v="Long"/>
    <s v="Lat"/>
    <s v="Approximate Location"/>
    <n v="17401.572265625"/>
    <n v="0"/>
  </r>
  <r>
    <x v="6"/>
    <x v="193"/>
    <x v="2"/>
    <s v="Power"/>
    <s v="Vehicle 7 Power Diagnostic"/>
    <e v="#N/A"/>
    <x v="0"/>
    <x v="1"/>
    <x v="2"/>
    <x v="1"/>
    <x v="1"/>
    <x v="0"/>
    <s v="Long"/>
    <s v="Lat"/>
    <s v="Approximate Location"/>
    <n v="17401.572265625"/>
    <n v="-0.27438759803772"/>
  </r>
  <r>
    <x v="6"/>
    <x v="194"/>
    <x v="1"/>
    <s v="Data Transfer"/>
    <s v="Vehicle 7 Data Transfer Diagnostic"/>
    <e v="#N/A"/>
    <x v="0"/>
    <x v="1"/>
    <x v="1"/>
    <x v="1"/>
    <x v="1"/>
    <x v="0"/>
    <s v="Long"/>
    <s v="Lat"/>
    <s v="Approximate Location"/>
    <n v="17401.296875"/>
    <n v="0"/>
  </r>
  <r>
    <x v="1"/>
    <x v="195"/>
    <x v="1"/>
    <s v="Data Transfer"/>
    <s v="Vehicle 2 Data Transfer Diagnostic"/>
    <n v="1"/>
    <x v="0"/>
    <x v="1"/>
    <x v="1"/>
    <x v="0"/>
    <x v="1"/>
    <x v="0"/>
    <s v="Long"/>
    <s v="Lat"/>
    <s v="Approximate Location"/>
    <n v="3710.32470703125"/>
    <n v="0"/>
  </r>
  <r>
    <x v="1"/>
    <x v="196"/>
    <x v="1"/>
    <s v="Data Transfer"/>
    <s v="Vehicle 2 Data Transfer Diagnostic"/>
    <n v="5"/>
    <x v="0"/>
    <x v="1"/>
    <x v="1"/>
    <x v="0"/>
    <x v="1"/>
    <x v="0"/>
    <s v="Long"/>
    <s v="Lat"/>
    <s v="Approximate Location"/>
    <n v="3710.32470703125"/>
    <n v="53.920055389404297"/>
  </r>
  <r>
    <x v="9"/>
    <x v="197"/>
    <x v="0"/>
    <s v="Unidentified Driving"/>
    <s v="Vehicle 10 Unidentified Driving Diagnostic"/>
    <n v="9"/>
    <x v="0"/>
    <x v="0"/>
    <x v="0"/>
    <x v="0"/>
    <x v="0"/>
    <x v="0"/>
    <s v="Long"/>
    <s v="Lat"/>
    <s v="Approximate Location"/>
    <n v="93505.2265625"/>
    <n v="23.194545745849599"/>
  </r>
  <r>
    <x v="0"/>
    <x v="198"/>
    <x v="0"/>
    <s v="Unidentified Driving"/>
    <s v="Vehicle 1 Unidentified Driving Diagnostic"/>
    <n v="6"/>
    <x v="0"/>
    <x v="0"/>
    <x v="0"/>
    <x v="0"/>
    <x v="0"/>
    <x v="0"/>
    <s v="Long"/>
    <s v="Lat"/>
    <s v="Approximate Location"/>
    <n v="12907.373046875"/>
    <n v="26.471656799316399"/>
  </r>
  <r>
    <x v="4"/>
    <x v="199"/>
    <x v="0"/>
    <s v="Unidentified Driving"/>
    <s v="Vehicle 5 Unidentified Driving Diagnostic"/>
    <n v="11"/>
    <x v="0"/>
    <x v="0"/>
    <x v="0"/>
    <x v="0"/>
    <x v="0"/>
    <x v="0"/>
    <s v="Long"/>
    <s v="Lat"/>
    <s v="Approximate Location"/>
    <n v="82487.4765625"/>
    <n v="11.025610923767101"/>
  </r>
  <r>
    <x v="5"/>
    <x v="200"/>
    <x v="0"/>
    <s v="Unidentified Driving"/>
    <s v="Vehicle 6 Unidentified Driving Diagnostic"/>
    <n v="11"/>
    <x v="0"/>
    <x v="0"/>
    <x v="0"/>
    <x v="0"/>
    <x v="0"/>
    <x v="0"/>
    <s v="Long"/>
    <s v="Lat"/>
    <s v="Approximate Location"/>
    <n v="119704.1953125"/>
    <n v="72.317665100097699"/>
  </r>
  <r>
    <x v="1"/>
    <x v="201"/>
    <x v="1"/>
    <s v="Data Transfer"/>
    <s v="Vehicle 2 Data Transfer Diagnostic"/>
    <n v="1"/>
    <x v="0"/>
    <x v="1"/>
    <x v="1"/>
    <x v="0"/>
    <x v="1"/>
    <x v="0"/>
    <s v="Long"/>
    <s v="Lat"/>
    <s v="Approximate Location"/>
    <n v="3764.24462890625"/>
    <n v="0"/>
  </r>
  <r>
    <x v="1"/>
    <x v="202"/>
    <x v="1"/>
    <s v="Data Transfer"/>
    <s v="Vehicle 2 Data Transfer Diagnostic"/>
    <n v="11"/>
    <x v="0"/>
    <x v="1"/>
    <x v="1"/>
    <x v="0"/>
    <x v="1"/>
    <x v="0"/>
    <s v="Long"/>
    <s v="Lat"/>
    <s v="Approximate Location"/>
    <n v="3764.24462890625"/>
    <n v="15.56565284729"/>
  </r>
  <r>
    <x v="7"/>
    <x v="203"/>
    <x v="1"/>
    <s v="Data Transfer"/>
    <s v="Vehicle 8 Data Transfer Diagnostic"/>
    <n v="2"/>
    <x v="0"/>
    <x v="1"/>
    <x v="1"/>
    <x v="0"/>
    <x v="1"/>
    <x v="0"/>
    <s v="Long"/>
    <s v="Lat"/>
    <s v="Approximate Location"/>
    <n v="67195.8203125"/>
    <n v="0"/>
  </r>
  <r>
    <x v="0"/>
    <x v="204"/>
    <x v="0"/>
    <s v="Unidentified Driving"/>
    <s v="Vehicle 1 Unidentified Driving Diagnostic"/>
    <n v="18"/>
    <x v="0"/>
    <x v="0"/>
    <x v="0"/>
    <x v="0"/>
    <x v="0"/>
    <x v="0"/>
    <s v="Long"/>
    <s v="Lat"/>
    <s v="Approximate Location"/>
    <n v="12933.8447265625"/>
    <n v="32.889244079589801"/>
  </r>
  <r>
    <x v="7"/>
    <x v="205"/>
    <x v="1"/>
    <s v="Data Transfer"/>
    <s v="Vehicle 8 Data Transfer Diagnostic"/>
    <n v="11"/>
    <x v="0"/>
    <x v="1"/>
    <x v="1"/>
    <x v="0"/>
    <x v="1"/>
    <x v="0"/>
    <s v="Long"/>
    <s v="Lat"/>
    <s v="Approximate Location"/>
    <n v="67195.8203125"/>
    <n v="0.15124677121639299"/>
  </r>
  <r>
    <x v="9"/>
    <x v="206"/>
    <x v="0"/>
    <s v="Unidentified Driving"/>
    <s v="Vehicle 10 Unidentified Driving Diagnostic"/>
    <n v="14"/>
    <x v="0"/>
    <x v="0"/>
    <x v="0"/>
    <x v="0"/>
    <x v="0"/>
    <x v="0"/>
    <s v="Long"/>
    <s v="Lat"/>
    <s v="Approximate Location"/>
    <n v="93528.421875"/>
    <n v="34.617832183837898"/>
  </r>
  <r>
    <x v="7"/>
    <x v="207"/>
    <x v="2"/>
    <s v="Power"/>
    <s v="Vehicle 8 Power Diagnostic"/>
    <n v="1"/>
    <x v="0"/>
    <x v="1"/>
    <x v="0"/>
    <x v="0"/>
    <x v="1"/>
    <x v="0"/>
    <s v="Long"/>
    <s v="Lat"/>
    <s v="Approximate Location"/>
    <n v="67195.9765625"/>
    <n v="0"/>
  </r>
  <r>
    <x v="7"/>
    <x v="208"/>
    <x v="2"/>
    <s v="Power"/>
    <s v="Vehicle 8 Power Diagnostic"/>
    <n v="6"/>
    <x v="0"/>
    <x v="1"/>
    <x v="2"/>
    <x v="0"/>
    <x v="1"/>
    <x v="0"/>
    <s v="Long"/>
    <s v="Lat"/>
    <s v="Approximate Location"/>
    <n v="67195.9765625"/>
    <n v="3.7282273769378702"/>
  </r>
  <r>
    <x v="3"/>
    <x v="209"/>
    <x v="0"/>
    <s v="Unidentified Driving"/>
    <s v="Vehicle 4 Unidentified Driving Diagnostic"/>
    <n v="3"/>
    <x v="0"/>
    <x v="0"/>
    <x v="0"/>
    <x v="0"/>
    <x v="0"/>
    <x v="0"/>
    <s v="Long"/>
    <s v="Lat"/>
    <s v="Approximate Location"/>
    <n v="60958.76953125"/>
    <n v="10.846655845642101"/>
  </r>
  <r>
    <x v="4"/>
    <x v="210"/>
    <x v="0"/>
    <s v="Unidentified Driving"/>
    <s v="Vehicle 5 Unidentified Driving Diagnostic"/>
    <n v="17"/>
    <x v="0"/>
    <x v="0"/>
    <x v="0"/>
    <x v="0"/>
    <x v="0"/>
    <x v="0"/>
    <s v="Long"/>
    <s v="Lat"/>
    <s v="Approximate Location"/>
    <n v="82498.5"/>
    <n v="12.983936309814499"/>
  </r>
  <r>
    <x v="5"/>
    <x v="211"/>
    <x v="0"/>
    <s v="Unidentified Driving"/>
    <s v="Vehicle 6 Unidentified Driving Diagnostic"/>
    <n v="21"/>
    <x v="0"/>
    <x v="0"/>
    <x v="0"/>
    <x v="0"/>
    <x v="0"/>
    <x v="0"/>
    <s v="Long"/>
    <s v="Lat"/>
    <s v="Approximate Location"/>
    <n v="119776.5078125"/>
    <n v="71.396530151367202"/>
  </r>
  <r>
    <x v="3"/>
    <x v="212"/>
    <x v="0"/>
    <s v="Unidentified Driving"/>
    <s v="Vehicle 4 Unidentified Driving Diagnostic"/>
    <n v="29"/>
    <x v="0"/>
    <x v="0"/>
    <x v="0"/>
    <x v="0"/>
    <x v="0"/>
    <x v="0"/>
    <s v="Long"/>
    <s v="Lat"/>
    <s v="Approximate Location"/>
    <n v="60969.6171875"/>
    <n v="14.451577186584499"/>
  </r>
  <r>
    <x v="1"/>
    <x v="213"/>
    <x v="1"/>
    <s v="Data Transfer"/>
    <s v="Vehicle 2 Data Transfer Diagnostic"/>
    <n v="34"/>
    <x v="0"/>
    <x v="1"/>
    <x v="1"/>
    <x v="0"/>
    <x v="1"/>
    <x v="0"/>
    <s v="Long"/>
    <s v="Lat"/>
    <s v="Approximate Location"/>
    <n v="3779.81030273438"/>
    <n v="64.979621887207003"/>
  </r>
  <r>
    <x v="7"/>
    <x v="214"/>
    <x v="2"/>
    <s v="Power"/>
    <s v="Vehicle 8 Power Diagnostic"/>
    <n v="1"/>
    <x v="0"/>
    <x v="1"/>
    <x v="0"/>
    <x v="0"/>
    <x v="1"/>
    <x v="0"/>
    <s v="Long"/>
    <s v="Lat"/>
    <s v="Approximate Location"/>
    <n v="67199.703125"/>
    <n v="0"/>
  </r>
  <r>
    <x v="7"/>
    <x v="215"/>
    <x v="2"/>
    <s v="Power"/>
    <s v="Vehicle 8 Power Diagnostic"/>
    <e v="#N/A"/>
    <x v="0"/>
    <x v="1"/>
    <x v="2"/>
    <x v="1"/>
    <x v="1"/>
    <x v="0"/>
    <s v="Long"/>
    <s v="Lat"/>
    <s v="Approximate Location"/>
    <n v="67199.703125"/>
    <n v="-4.9709696322679502E-3"/>
  </r>
  <r>
    <x v="7"/>
    <x v="216"/>
    <x v="1"/>
    <s v="Data Transfer"/>
    <s v="Vehicle 8 Data Transfer Diagnostic"/>
    <n v="5"/>
    <x v="0"/>
    <x v="1"/>
    <x v="1"/>
    <x v="0"/>
    <x v="1"/>
    <x v="0"/>
    <s v="Long"/>
    <s v="Lat"/>
    <s v="Approximate Location"/>
    <n v="67199.6953125"/>
    <n v="0.225578963756561"/>
  </r>
  <r>
    <x v="8"/>
    <x v="217"/>
    <x v="1"/>
    <s v="Data Transfer"/>
    <s v="Vehicle 9 Data Transfer Diagnostic"/>
    <n v="11"/>
    <x v="0"/>
    <x v="1"/>
    <x v="1"/>
    <x v="0"/>
    <x v="1"/>
    <x v="0"/>
    <s v="Long"/>
    <s v="Lat"/>
    <s v="Approximate Location"/>
    <n v="0"/>
    <n v="0"/>
  </r>
  <r>
    <x v="0"/>
    <x v="218"/>
    <x v="2"/>
    <s v="Power"/>
    <s v="Vehicle 1 Power Diagnostic"/>
    <n v="1"/>
    <x v="0"/>
    <x v="1"/>
    <x v="0"/>
    <x v="0"/>
    <x v="1"/>
    <x v="0"/>
    <s v="Long"/>
    <s v="Lat"/>
    <s v="Approximate Location"/>
    <n v="12966.7333984375"/>
    <n v="3.9091586950235101E-4"/>
  </r>
  <r>
    <x v="0"/>
    <x v="219"/>
    <x v="2"/>
    <s v="Power"/>
    <s v="Vehicle 1 Power Diagnostic"/>
    <e v="#N/A"/>
    <x v="0"/>
    <x v="1"/>
    <x v="2"/>
    <x v="1"/>
    <x v="1"/>
    <x v="0"/>
    <s v="Long"/>
    <s v="Lat"/>
    <s v="Approximate Location"/>
    <n v="12966.734375"/>
    <n v="3.9475681781768799"/>
  </r>
  <r>
    <x v="9"/>
    <x v="220"/>
    <x v="0"/>
    <s v="Unidentified Driving"/>
    <s v="Vehicle 10 Unidentified Driving Diagnostic"/>
    <n v="14"/>
    <x v="0"/>
    <x v="0"/>
    <x v="0"/>
    <x v="0"/>
    <x v="0"/>
    <x v="0"/>
    <s v="Long"/>
    <s v="Lat"/>
    <s v="Approximate Location"/>
    <n v="93563.0390625"/>
    <n v="10.6850996017456"/>
  </r>
  <r>
    <x v="7"/>
    <x v="221"/>
    <x v="1"/>
    <s v="Data Transfer"/>
    <s v="Vehicle 8 Data Transfer Diagnostic"/>
    <e v="#N/A"/>
    <x v="0"/>
    <x v="1"/>
    <x v="1"/>
    <x v="1"/>
    <x v="1"/>
    <x v="0"/>
    <s v="Long"/>
    <s v="Lat"/>
    <s v="Approximate Location"/>
    <n v="67199.921875"/>
    <n v="0"/>
  </r>
  <r>
    <x v="0"/>
    <x v="222"/>
    <x v="0"/>
    <s v="Unidentified Driving"/>
    <s v="Vehicle 1 Unidentified Driving Diagnostic"/>
    <n v="9"/>
    <x v="0"/>
    <x v="0"/>
    <x v="0"/>
    <x v="0"/>
    <x v="0"/>
    <x v="0"/>
    <s v="Long"/>
    <s v="Lat"/>
    <s v="Approximate Location"/>
    <n v="12970.681640625"/>
    <n v="19.042091369628899"/>
  </r>
  <r>
    <x v="2"/>
    <x v="223"/>
    <x v="2"/>
    <s v="Power"/>
    <s v="Vehicle 3 Power Diagnostic"/>
    <n v="1"/>
    <x v="0"/>
    <x v="1"/>
    <x v="0"/>
    <x v="0"/>
    <x v="1"/>
    <x v="0"/>
    <s v="Long"/>
    <s v="Lat"/>
    <s v="Approximate Location"/>
    <n v="117716.109375"/>
    <n v="5.1039446145296097E-2"/>
  </r>
  <r>
    <x v="2"/>
    <x v="224"/>
    <x v="2"/>
    <s v="Power"/>
    <s v="Vehicle 3 Power Diagnostic"/>
    <n v="1"/>
    <x v="0"/>
    <x v="1"/>
    <x v="2"/>
    <x v="0"/>
    <x v="1"/>
    <x v="0"/>
    <s v="Long"/>
    <s v="Lat"/>
    <s v="Approximate Location"/>
    <n v="117716.15625"/>
    <n v="1.31379723548889"/>
  </r>
  <r>
    <x v="2"/>
    <x v="225"/>
    <x v="2"/>
    <s v="Power"/>
    <s v="Vehicle 3 Power Diagnostic"/>
    <n v="1"/>
    <x v="0"/>
    <x v="1"/>
    <x v="0"/>
    <x v="0"/>
    <x v="1"/>
    <x v="0"/>
    <s v="Long"/>
    <s v="Lat"/>
    <s v="Approximate Location"/>
    <n v="117717.46875"/>
    <n v="6.4449600875377697E-2"/>
  </r>
  <r>
    <x v="2"/>
    <x v="226"/>
    <x v="2"/>
    <s v="Power"/>
    <s v="Vehicle 3 Power Diagnostic"/>
    <n v="3"/>
    <x v="0"/>
    <x v="1"/>
    <x v="2"/>
    <x v="0"/>
    <x v="1"/>
    <x v="0"/>
    <s v="Long"/>
    <s v="Lat"/>
    <s v="Approximate Location"/>
    <n v="117717.5390625"/>
    <n v="24.865364074706999"/>
  </r>
  <r>
    <x v="4"/>
    <x v="227"/>
    <x v="0"/>
    <s v="Unidentified Driving"/>
    <s v="Vehicle 5 Unidentified Driving Diagnostic"/>
    <e v="#N/A"/>
    <x v="0"/>
    <x v="0"/>
    <x v="0"/>
    <x v="1"/>
    <x v="0"/>
    <x v="0"/>
    <s v="Long"/>
    <s v="Lat"/>
    <s v="Approximate Location"/>
    <n v="82511.484375"/>
    <n v="0"/>
  </r>
  <r>
    <x v="8"/>
    <x v="228"/>
    <x v="1"/>
    <s v="Data Transfer"/>
    <s v="Vehicle 9 Data Transfer Diagnostic"/>
    <n v="5"/>
    <x v="0"/>
    <x v="1"/>
    <x v="1"/>
    <x v="0"/>
    <x v="1"/>
    <x v="0"/>
    <s v="Long"/>
    <s v="Lat"/>
    <s v="Approximate Location"/>
    <n v="0"/>
    <n v="0"/>
  </r>
  <r>
    <x v="2"/>
    <x v="229"/>
    <x v="2"/>
    <s v="Power"/>
    <s v="Vehicle 3 Power Diagnostic"/>
    <n v="1"/>
    <x v="0"/>
    <x v="1"/>
    <x v="0"/>
    <x v="0"/>
    <x v="1"/>
    <x v="0"/>
    <s v="Long"/>
    <s v="Lat"/>
    <s v="Approximate Location"/>
    <n v="117742.40625"/>
    <n v="0.14209385216236101"/>
  </r>
  <r>
    <x v="2"/>
    <x v="230"/>
    <x v="2"/>
    <s v="Power"/>
    <s v="Vehicle 3 Power Diagnostic"/>
    <n v="7"/>
    <x v="0"/>
    <x v="1"/>
    <x v="2"/>
    <x v="0"/>
    <x v="1"/>
    <x v="0"/>
    <s v="Long"/>
    <s v="Lat"/>
    <s v="Approximate Location"/>
    <n v="117742.546875"/>
    <n v="95.495361328125"/>
  </r>
  <r>
    <x v="0"/>
    <x v="231"/>
    <x v="0"/>
    <s v="Unidentified Driving"/>
    <s v="Vehicle 1 Unidentified Driving Diagnostic"/>
    <n v="4"/>
    <x v="0"/>
    <x v="0"/>
    <x v="0"/>
    <x v="0"/>
    <x v="0"/>
    <x v="0"/>
    <s v="Long"/>
    <s v="Lat"/>
    <s v="Approximate Location"/>
    <n v="12989.7236328125"/>
    <n v="53.951129913330099"/>
  </r>
  <r>
    <x v="5"/>
    <x v="232"/>
    <x v="0"/>
    <s v="Unidentified Driving"/>
    <s v="Vehicle 6 Unidentified Driving Diagnostic"/>
    <n v="4"/>
    <x v="0"/>
    <x v="0"/>
    <x v="0"/>
    <x v="0"/>
    <x v="0"/>
    <x v="0"/>
    <s v="Long"/>
    <s v="Lat"/>
    <s v="Approximate Location"/>
    <n v="119847.90625"/>
    <n v="27.5879096984863"/>
  </r>
  <r>
    <x v="8"/>
    <x v="233"/>
    <x v="1"/>
    <s v="Data Transfer"/>
    <s v="Vehicle 9 Data Transfer Diagnostic"/>
    <e v="#N/A"/>
    <x v="0"/>
    <x v="1"/>
    <x v="1"/>
    <x v="1"/>
    <x v="1"/>
    <x v="0"/>
    <s v="Long"/>
    <s v="Lat"/>
    <s v="Approximate Location"/>
    <n v="0"/>
    <n v="0"/>
  </r>
  <r>
    <x v="9"/>
    <x v="234"/>
    <x v="0"/>
    <s v="Unidentified Driving"/>
    <s v="Vehicle 10 Unidentified Driving Diagnostic"/>
    <n v="12"/>
    <x v="0"/>
    <x v="0"/>
    <x v="0"/>
    <x v="0"/>
    <x v="0"/>
    <x v="0"/>
    <s v="Long"/>
    <s v="Lat"/>
    <s v="Approximate Location"/>
    <n v="93573.71875"/>
    <n v="27.093183517456101"/>
  </r>
  <r>
    <x v="0"/>
    <x v="235"/>
    <x v="0"/>
    <s v="Unidentified Driving"/>
    <s v="Vehicle 1 Unidentified Driving Diagnostic"/>
    <n v="7"/>
    <x v="0"/>
    <x v="0"/>
    <x v="0"/>
    <x v="0"/>
    <x v="0"/>
    <x v="0"/>
    <s v="Long"/>
    <s v="Lat"/>
    <s v="Approximate Location"/>
    <n v="13043.6748046875"/>
    <n v="51.165256500244098"/>
  </r>
  <r>
    <x v="5"/>
    <x v="236"/>
    <x v="0"/>
    <s v="Unidentified Driving"/>
    <s v="Vehicle 6 Unidentified Driving Diagnostic"/>
    <n v="7"/>
    <x v="0"/>
    <x v="0"/>
    <x v="0"/>
    <x v="0"/>
    <x v="0"/>
    <x v="0"/>
    <s v="Long"/>
    <s v="Lat"/>
    <s v="Approximate Location"/>
    <n v="119875.4921875"/>
    <n v="40.147312164306598"/>
  </r>
  <r>
    <x v="2"/>
    <x v="237"/>
    <x v="2"/>
    <s v="Power"/>
    <s v="Vehicle 3 Power Diagnostic"/>
    <n v="1"/>
    <x v="0"/>
    <x v="1"/>
    <x v="0"/>
    <x v="0"/>
    <x v="1"/>
    <x v="0"/>
    <s v="Long"/>
    <s v="Lat"/>
    <s v="Approximate Location"/>
    <n v="117838.0390625"/>
    <n v="1.7769800499081601E-2"/>
  </r>
  <r>
    <x v="2"/>
    <x v="238"/>
    <x v="2"/>
    <s v="Power"/>
    <s v="Vehicle 3 Power Diagnostic"/>
    <n v="1"/>
    <x v="0"/>
    <x v="1"/>
    <x v="2"/>
    <x v="0"/>
    <x v="1"/>
    <x v="0"/>
    <s v="Long"/>
    <s v="Lat"/>
    <s v="Approximate Location"/>
    <n v="117838.0546875"/>
    <n v="8.5261278152465803"/>
  </r>
  <r>
    <x v="2"/>
    <x v="239"/>
    <x v="2"/>
    <s v="Power"/>
    <s v="Vehicle 3 Power Diagnostic"/>
    <n v="1"/>
    <x v="0"/>
    <x v="1"/>
    <x v="0"/>
    <x v="0"/>
    <x v="1"/>
    <x v="0"/>
    <s v="Long"/>
    <s v="Lat"/>
    <s v="Approximate Location"/>
    <n v="117846.5859375"/>
    <n v="1.7234419938176901E-3"/>
  </r>
  <r>
    <x v="2"/>
    <x v="240"/>
    <x v="2"/>
    <s v="Power"/>
    <s v="Vehicle 3 Power Diagnostic"/>
    <n v="4"/>
    <x v="0"/>
    <x v="1"/>
    <x v="2"/>
    <x v="0"/>
    <x v="1"/>
    <x v="0"/>
    <s v="Long"/>
    <s v="Lat"/>
    <s v="Approximate Location"/>
    <n v="117846.5859375"/>
    <n v="8.0700998306274396"/>
  </r>
  <r>
    <x v="3"/>
    <x v="241"/>
    <x v="0"/>
    <s v="Unidentified Driving"/>
    <s v="Vehicle 4 Unidentified Driving Diagnostic"/>
    <e v="#N/A"/>
    <x v="0"/>
    <x v="0"/>
    <x v="0"/>
    <x v="1"/>
    <x v="0"/>
    <x v="0"/>
    <s v="Long"/>
    <s v="Lat"/>
    <s v="Approximate Location"/>
    <n v="60984.06640625"/>
    <n v="-47889224"/>
  </r>
  <r>
    <x v="0"/>
    <x v="242"/>
    <x v="0"/>
    <s v="Unidentified Driving"/>
    <s v="Vehicle 1 Unidentified Driving Diagnostic"/>
    <e v="#N/A"/>
    <x v="0"/>
    <x v="0"/>
    <x v="0"/>
    <x v="1"/>
    <x v="0"/>
    <x v="0"/>
    <s v="Long"/>
    <s v="Lat"/>
    <s v="Approximate Location"/>
    <n v="13094.83984375"/>
    <n v="106820800"/>
  </r>
  <r>
    <x v="5"/>
    <x v="243"/>
    <x v="0"/>
    <s v="Unidentified Driving"/>
    <s v="Vehicle 6 Unidentified Driving Diagnostic"/>
    <e v="#N/A"/>
    <x v="0"/>
    <x v="0"/>
    <x v="0"/>
    <x v="1"/>
    <x v="0"/>
    <x v="0"/>
    <s v="Long"/>
    <s v="Lat"/>
    <s v="Approximate Location"/>
    <n v="119915.640625"/>
    <n v="-2060986.875"/>
  </r>
  <r>
    <x v="2"/>
    <x v="244"/>
    <x v="2"/>
    <s v="Power"/>
    <s v="Vehicle 3 Power Diagnostic"/>
    <n v="1"/>
    <x v="0"/>
    <x v="1"/>
    <x v="0"/>
    <x v="0"/>
    <x v="1"/>
    <x v="0"/>
    <s v="Long"/>
    <s v="Lat"/>
    <s v="Approximate Location"/>
    <n v="117854.65625"/>
    <n v="1.13625098019838E-2"/>
  </r>
  <r>
    <x v="2"/>
    <x v="245"/>
    <x v="2"/>
    <s v="Power"/>
    <s v="Vehicle 3 Power Diagnostic"/>
    <e v="#N/A"/>
    <x v="0"/>
    <x v="1"/>
    <x v="2"/>
    <x v="1"/>
    <x v="1"/>
    <x v="0"/>
    <s v="Long"/>
    <s v="Lat"/>
    <s v="Approximate Location"/>
    <n v="117854.6640625"/>
    <n v="-24253852"/>
  </r>
  <r>
    <x v="9"/>
    <x v="246"/>
    <x v="0"/>
    <s v="Unidentified Driving"/>
    <s v="Vehicle 10 Unidentified Driving Diagnostic"/>
    <e v="#N/A"/>
    <x v="0"/>
    <x v="0"/>
    <x v="0"/>
    <x v="1"/>
    <x v="0"/>
    <x v="0"/>
    <s v="Long"/>
    <s v="Lat"/>
    <s v="Approximate Location"/>
    <n v="93600.8125"/>
    <n v="0"/>
  </r>
  <r>
    <x v="1"/>
    <x v="247"/>
    <x v="1"/>
    <s v="Data Transfer"/>
    <s v="Vehicle 2 Data Transfer Diagnostic"/>
    <n v="1"/>
    <x v="0"/>
    <x v="1"/>
    <x v="1"/>
    <x v="0"/>
    <x v="1"/>
    <x v="0"/>
    <s v="Long"/>
    <s v="Lat"/>
    <s v="Approximate Location"/>
    <n v="3844.790039062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0460C-2D6D-4BA5-AC98-A924B981DD18}" name="HOS Driver Logs" cacheId="11" applyNumberFormats="0" applyBorderFormats="0" applyFontFormats="0" applyPatternFormats="0" applyAlignmentFormats="0" applyWidthHeightFormats="1" dataCaption="Data" updatedVersion="6" minRefreshableVersion="3" showDrill="0" showMemberPropertyTips="0" itemPrintTitles="1" createdVersion="4" indent="0" compact="0" compactData="0">
  <location ref="A13:F23" firstHeaderRow="1" firstDataRow="1" firstDataCol="5" rowPageCount="2" colPageCount="1"/>
  <pivotFields count="17">
    <pivotField axis="axisRow" compact="0" outline="0" subtotalTop="0" showAll="0" sortType="ascending" defaultSubtotal="0">
      <items count="12">
        <item x="0"/>
        <item x="9"/>
        <item x="10"/>
        <item x="11"/>
        <item x="1"/>
        <item x="2"/>
        <item x="3"/>
        <item x="4"/>
        <item x="5"/>
        <item x="6"/>
        <item x="7"/>
        <item x="8"/>
      </items>
    </pivotField>
    <pivotField axis="axisRow" compact="0" numFmtId="171" outline="0" subtotalTop="0" showAll="0" defaultSubtotal="0">
      <items count="2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</items>
    </pivotField>
    <pivotField axis="axisRow" dataField="1" compact="0" outline="0" subtotalTop="0" showAll="0" defaultSubtotal="0">
      <items count="3">
        <item x="1"/>
        <item x="2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howAll="0" defaultSubtotal="0"/>
    <pivotField name="Type " axis="axisRow" compact="0" outline="0" showAll="0" defaultSubtotal="0">
      <items count="2">
        <item x="0"/>
        <item x="1"/>
      </items>
    </pivotField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axis="axisPage" compact="0" outline="0" multipleItemSelectionAllowed="1" showAll="0" defaultSubtotal="0">
      <items count="2">
        <item h="1" x="0"/>
        <item x="1"/>
      </items>
    </pivotField>
    <pivotField axis="axisPage" compact="0" outline="0" multipleItemSelectionAllowed="1" showAll="0" defaultSubtotal="0">
      <items count="2">
        <item h="1" x="1"/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73" outline="0" subtotalTop="0" showAll="0" defaultSubtotal="0"/>
    <pivotField compact="0" numFmtId="2" outline="0" subtotalTop="0" showAll="0" defaultSubtotal="0"/>
  </pivotFields>
  <rowFields count="5">
    <field x="0"/>
    <field x="2"/>
    <field x="1"/>
    <field x="6"/>
    <field x="7"/>
  </rowFields>
  <rowItems count="10">
    <i>
      <x/>
      <x v="2"/>
      <x v="242"/>
      <x/>
      <x/>
    </i>
    <i>
      <x v="1"/>
      <x/>
      <x v="119"/>
      <x v="1"/>
      <x/>
    </i>
    <i r="1">
      <x v="2"/>
      <x v="246"/>
      <x/>
      <x/>
    </i>
    <i>
      <x v="4"/>
      <x v="2"/>
      <x v="172"/>
      <x/>
      <x/>
    </i>
    <i>
      <x v="5"/>
      <x v="2"/>
      <x v="10"/>
      <x/>
      <x/>
    </i>
    <i>
      <x v="6"/>
      <x v="2"/>
      <x v="241"/>
      <x/>
      <x/>
    </i>
    <i>
      <x v="7"/>
      <x v="2"/>
      <x v="227"/>
      <x/>
      <x/>
    </i>
    <i>
      <x v="8"/>
      <x v="2"/>
      <x v="243"/>
      <x/>
      <x/>
    </i>
    <i>
      <x v="9"/>
      <x v="2"/>
      <x v="101"/>
      <x/>
      <x/>
    </i>
    <i t="grand">
      <x/>
    </i>
  </rowItems>
  <colItems count="1">
    <i/>
  </colItems>
  <pageFields count="2">
    <pageField fld="9" hier="-1"/>
    <pageField fld="10" hier="-1"/>
  </pageFields>
  <dataFields count="1">
    <dataField name="**Count" fld="2" subtotal="count" baseField="0" baseItem="0"/>
  </dataFields>
  <formats count="16">
    <format dxfId="72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type="topRight" dataOnly="0" labelOnly="1" outline="0" fieldPosition="0"/>
    </format>
    <format dxfId="68">
      <pivotArea dataOnly="0" labelOnly="1" grandRow="1" outline="0" fieldPosition="0"/>
    </format>
    <format dxfId="67">
      <pivotArea type="topRight" dataOnly="0" labelOnly="1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63">
      <pivotArea field="6" type="button" dataOnly="0" labelOnly="1" outline="0" axis="axisRow" fieldPosition="3"/>
    </format>
    <format dxfId="62">
      <pivotArea dataOnly="0" labelOnly="1" outline="0" fieldPosition="0">
        <references count="1">
          <reference field="6" count="0"/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grandRow="1" outline="0" fieldPosition="0"/>
    </format>
    <format dxfId="58">
      <pivotArea field="6" type="button" dataOnly="0" labelOnly="1" outline="0" axis="axisRow" fieldPosition="3"/>
    </format>
    <format dxfId="57">
      <pivotArea dataOnly="0" labelOnly="1" outline="0" axis="axisValues" fieldPosition="0"/>
    </format>
  </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28DEA-3864-4043-8913-4AB3400E2E47}" name="HOS Driver Logs" cacheId="11" applyNumberFormats="0" applyBorderFormats="0" applyFontFormats="0" applyPatternFormats="0" applyAlignmentFormats="0" applyWidthHeightFormats="1" dataCaption="Data" updatedVersion="6" minRefreshableVersion="3" showDrill="0" showMemberPropertyTips="0" itemPrintTitles="1" createdVersion="4" indent="0" compact="0" compactData="0">
  <location ref="A14:F16" firstHeaderRow="1" firstDataRow="1" firstDataCol="5" rowPageCount="3" colPageCount="1"/>
  <pivotFields count="17">
    <pivotField axis="axisRow" compact="0" outline="0" subtotalTop="0" showAll="0" defaultSubtotal="0">
      <items count="12">
        <item x="0"/>
        <item x="9"/>
        <item x="10"/>
        <item x="11"/>
        <item x="1"/>
        <item x="2"/>
        <item x="3"/>
        <item x="4"/>
        <item x="5"/>
        <item x="6"/>
        <item x="7"/>
        <item x="8"/>
      </items>
    </pivotField>
    <pivotField name="**Date (Last Instance)" axis="axisRow" compact="0" numFmtId="171" outline="0" subtotalTop="0" showAll="0" defaultSubtotal="0">
      <items count="2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</items>
    </pivotField>
    <pivotField axis="axisRow" dataField="1" compact="0" outline="0" subtotalTop="0" showAll="0" defaultSubtotal="0">
      <items count="3">
        <item x="1"/>
        <item x="2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howAll="0" defaultSubtotal="0"/>
    <pivotField name="**Type " axis="axisRow" compact="0" outline="0" showAll="0" defaultSubtotal="0">
      <items count="2">
        <item x="0"/>
        <item x="1"/>
      </items>
    </pivotField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axis="axisPage" compact="0" outline="0" multipleItemSelectionAllowed="1" showAll="0" defaultSubtotal="0">
      <items count="2">
        <item h="1" x="0"/>
        <item x="1"/>
      </items>
    </pivotField>
    <pivotField axis="axisPage" compact="0" outline="0" multipleItemSelectionAllowed="1" showAll="0" defaultSubtotal="0">
      <items count="2">
        <item h="1" x="1"/>
        <item x="0"/>
      </items>
    </pivotField>
    <pivotField axis="axisPage" compact="0" outline="0" multipleItemSelectionAllowed="1" showAll="0" defaultSubtotal="0">
      <items count="2">
        <item h="1"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73" outline="0" subtotalTop="0" showAll="0" defaultSubtotal="0"/>
    <pivotField compact="0" numFmtId="2" outline="0" subtotalTop="0" showAll="0" defaultSubtotal="0"/>
  </pivotFields>
  <rowFields count="5">
    <field x="0"/>
    <field x="2"/>
    <field x="1"/>
    <field x="6"/>
    <field x="7"/>
  </rowFields>
  <rowItems count="2">
    <i>
      <x v="1"/>
      <x/>
      <x v="119"/>
      <x v="1"/>
      <x/>
    </i>
    <i t="grand">
      <x/>
    </i>
  </rowItems>
  <colItems count="1">
    <i/>
  </colItems>
  <pageFields count="3">
    <pageField fld="9" hier="-1"/>
    <pageField fld="10" hier="-1"/>
    <pageField fld="11" hier="-1"/>
  </pageFields>
  <dataFields count="1">
    <dataField name="**Count" fld="2" subtotal="count" baseField="0" baseItem="0"/>
  </dataFields>
  <formats count="16"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type="topRight" dataOnly="0" labelOnly="1" outline="0" fieldPosition="0"/>
    </format>
    <format dxfId="52">
      <pivotArea dataOnly="0" labelOnly="1" grandRow="1" outline="0" fieldPosition="0"/>
    </format>
    <format dxfId="51">
      <pivotArea type="topRight" dataOnly="0" labelOnly="1" outline="0" fieldPosition="0"/>
    </format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dataOnly="0" labelOnly="1" outline="0" axis="axisValues" fieldPosition="0"/>
    </format>
    <format dxfId="47">
      <pivotArea field="6" type="button" dataOnly="0" labelOnly="1" outline="0" axis="axisRow" fieldPosition="3"/>
    </format>
    <format dxfId="46">
      <pivotArea dataOnly="0" labelOnly="1" outline="0" fieldPosition="0">
        <references count="1">
          <reference field="6" count="0"/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grandRow="1" outline="0" fieldPosition="0"/>
    </format>
    <format dxfId="42">
      <pivotArea field="6" type="button" dataOnly="0" labelOnly="1" outline="0" axis="axisRow" fieldPosition="3"/>
    </format>
    <format dxfId="41">
      <pivotArea dataOnly="0" labelOnly="1" outline="0" axis="axisValues" fieldPosition="0"/>
    </format>
  </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HOS Driver Logs" cacheId="11" applyNumberFormats="0" applyBorderFormats="0" applyFontFormats="0" applyPatternFormats="0" applyAlignmentFormats="0" applyWidthHeightFormats="1" dataCaption="Data" updatedVersion="6" minRefreshableVersion="3" showDrill="0" showMemberPropertyTips="0" itemPrintTitles="1" createdVersion="4" indent="0" compact="0" compactData="0">
  <location ref="A12:F50" firstHeaderRow="1" firstDataRow="1" firstDataCol="5" rowPageCount="1" colPageCount="1"/>
  <pivotFields count="17">
    <pivotField axis="axisRow" compact="0" outline="0" showAll="0" sortType="descending">
      <items count="13">
        <item x="8"/>
        <item x="7"/>
        <item x="6"/>
        <item x="5"/>
        <item x="4"/>
        <item x="3"/>
        <item x="2"/>
        <item x="1"/>
        <item x="11"/>
        <item x="10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**Date (Last Instance)" axis="axisRow" compact="0" numFmtId="171" outline="0" showAll="0" defaultSubtotal="0">
      <items count="2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</items>
    </pivotField>
    <pivotField axis="axisRow" dataField="1" compact="0" outline="0" showAll="0" defaultSubtotal="0">
      <items count="3">
        <item x="1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name="**Type "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axis="axisPage" compact="0" outline="0" multipleItemSelectionAllowed="1" showAll="0" defaultSubtotal="0">
      <items count="2">
        <item h="1"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73" outline="0" showAll="0" defaultSubtotal="0"/>
    <pivotField compact="0" numFmtId="2" outline="0" showAll="0" defaultSubtotal="0"/>
  </pivotFields>
  <rowFields count="5">
    <field x="0"/>
    <field x="2"/>
    <field x="1"/>
    <field x="6"/>
    <field x="7"/>
  </rowFields>
  <rowItems count="38">
    <i>
      <x v="10"/>
      <x/>
      <x v="98"/>
      <x/>
      <x v="1"/>
    </i>
    <i r="2">
      <x v="119"/>
      <x v="1"/>
      <x/>
    </i>
    <i r="1">
      <x v="1"/>
      <x v="189"/>
      <x/>
      <x v="1"/>
    </i>
    <i r="1">
      <x v="2"/>
      <x v="246"/>
      <x/>
      <x/>
    </i>
    <i t="default">
      <x v="10"/>
    </i>
    <i>
      <x v="4"/>
      <x/>
      <x v="144"/>
      <x/>
      <x v="1"/>
    </i>
    <i r="1">
      <x v="1"/>
      <x v="179"/>
      <x/>
      <x v="1"/>
    </i>
    <i r="1">
      <x v="2"/>
      <x v="227"/>
      <x/>
      <x/>
    </i>
    <i t="default">
      <x v="4"/>
    </i>
    <i>
      <x v="2"/>
      <x/>
      <x v="194"/>
      <x/>
      <x v="1"/>
    </i>
    <i r="1">
      <x v="1"/>
      <x v="193"/>
      <x/>
      <x v="1"/>
    </i>
    <i r="1">
      <x v="2"/>
      <x v="101"/>
      <x/>
      <x/>
    </i>
    <i t="default">
      <x v="2"/>
    </i>
    <i>
      <x v="3"/>
      <x/>
      <x v="64"/>
      <x/>
      <x v="1"/>
    </i>
    <i r="1">
      <x v="1"/>
      <x v="183"/>
      <x/>
      <x v="1"/>
    </i>
    <i r="1">
      <x v="2"/>
      <x v="243"/>
      <x/>
      <x/>
    </i>
    <i t="default">
      <x v="3"/>
    </i>
    <i>
      <x v="1"/>
      <x/>
      <x v="221"/>
      <x/>
      <x v="1"/>
    </i>
    <i r="1">
      <x v="1"/>
      <x v="215"/>
      <x/>
      <x v="1"/>
    </i>
    <i t="default">
      <x v="1"/>
    </i>
    <i>
      <x v="11"/>
      <x v="1"/>
      <x v="219"/>
      <x/>
      <x v="1"/>
    </i>
    <i r="1">
      <x v="2"/>
      <x v="242"/>
      <x/>
      <x/>
    </i>
    <i t="default">
      <x v="11"/>
    </i>
    <i>
      <x v="6"/>
      <x v="1"/>
      <x v="245"/>
      <x/>
      <x v="1"/>
    </i>
    <i r="1">
      <x v="2"/>
      <x v="10"/>
      <x/>
      <x/>
    </i>
    <i t="default">
      <x v="6"/>
    </i>
    <i>
      <x v="5"/>
      <x v="1"/>
      <x v="181"/>
      <x/>
      <x v="1"/>
    </i>
    <i r="1">
      <x v="2"/>
      <x v="241"/>
      <x/>
      <x/>
    </i>
    <i t="default">
      <x v="5"/>
    </i>
    <i>
      <x v="7"/>
      <x v="2"/>
      <x v="172"/>
      <x/>
      <x/>
    </i>
    <i t="default">
      <x v="7"/>
    </i>
    <i>
      <x/>
      <x/>
      <x v="233"/>
      <x/>
      <x v="1"/>
    </i>
    <i t="default">
      <x/>
    </i>
    <i>
      <x v="8"/>
      <x/>
      <x v="141"/>
      <x/>
      <x v="1"/>
    </i>
    <i t="default">
      <x v="8"/>
    </i>
    <i>
      <x v="9"/>
      <x/>
      <x v="107"/>
      <x/>
      <x v="1"/>
    </i>
    <i t="default">
      <x v="9"/>
    </i>
    <i t="grand">
      <x/>
    </i>
  </rowItems>
  <colItems count="1">
    <i/>
  </colItems>
  <pageFields count="1">
    <pageField fld="9" hier="-1"/>
  </pageFields>
  <dataFields count="1">
    <dataField name="**Count" fld="2" subtotal="count" baseField="0" baseItem="0"/>
  </dataFields>
  <formats count="16">
    <format dxfId="25">
      <pivotArea type="all" dataOnly="0" outline="0" fieldPosition="0"/>
    </format>
    <format dxfId="26">
      <pivotArea outline="0" collapsedLevelsAreSubtotals="1" fieldPosition="0"/>
    </format>
    <format dxfId="27">
      <pivotArea type="origin" dataOnly="0" labelOnly="1" outline="0" fieldPosition="0"/>
    </format>
    <format dxfId="28">
      <pivotArea type="topRight" dataOnly="0" labelOnly="1" outline="0" fieldPosition="0"/>
    </format>
    <format dxfId="29">
      <pivotArea dataOnly="0" labelOnly="1" grandRow="1" outline="0" fieldPosition="0"/>
    </format>
    <format dxfId="30">
      <pivotArea type="topRight" dataOnly="0" labelOnly="1" outline="0" fieldPosition="0"/>
    </format>
    <format dxfId="31">
      <pivotArea outline="0" collapsedLevelsAreSubtotals="1" fieldPosition="0"/>
    </format>
    <format dxfId="32">
      <pivotArea dataOnly="0" labelOnly="1" outline="0" axis="axisValues" fieldPosition="0"/>
    </format>
    <format dxfId="33">
      <pivotArea dataOnly="0" labelOnly="1" outline="0" axis="axisValues" fieldPosition="0"/>
    </format>
    <format dxfId="34">
      <pivotArea field="6" type="button" dataOnly="0" labelOnly="1" outline="0" axis="axisRow" fieldPosition="3"/>
    </format>
    <format dxfId="35">
      <pivotArea dataOnly="0" labelOnly="1" outline="0" fieldPosition="0">
        <references count="1">
          <reference field="6" count="0"/>
        </references>
      </pivotArea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dataOnly="0" labelOnly="1" grandRow="1" outline="0" fieldPosition="0"/>
    </format>
    <format dxfId="39">
      <pivotArea field="6" type="button" dataOnly="0" labelOnly="1" outline="0" axis="axisRow" fieldPosition="3"/>
    </format>
    <format dxfId="40">
      <pivotArea dataOnly="0" labelOnly="1" outline="0" axis="axisValues" fieldPosition="0"/>
    </format>
  </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Geotab Brand Colors">
      <a:dk1>
        <a:srgbClr val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tabSelected="1" workbookViewId="0"/>
  </sheetViews>
  <sheetFormatPr defaultRowHeight="12.75" x14ac:dyDescent="0.2"/>
  <cols>
    <col min="1" max="1" width="2.7109375" style="20" customWidth="1"/>
    <col min="2" max="3" width="18.7109375" style="20" customWidth="1"/>
    <col min="5" max="6" width="9.140625" style="42"/>
  </cols>
  <sheetData>
    <row r="1" spans="2:3" ht="2.25" customHeight="1" thickBot="1" x14ac:dyDescent="0.25"/>
    <row r="2" spans="2:3" x14ac:dyDescent="0.2">
      <c r="B2" s="63" t="s">
        <v>533</v>
      </c>
      <c r="C2" s="64"/>
    </row>
    <row r="3" spans="2:3" x14ac:dyDescent="0.2">
      <c r="B3" s="65"/>
      <c r="C3" s="66"/>
    </row>
    <row r="4" spans="2:3" ht="12.75" customHeight="1" x14ac:dyDescent="0.2">
      <c r="B4" s="75">
        <f ca="1">COUNTIFS(Report!G:G,"Diagnostic",Report!H:H,"Active",Report!F:F,"#N/A")</f>
        <v>8</v>
      </c>
      <c r="C4" s="76"/>
    </row>
    <row r="5" spans="2:3" ht="12.75" customHeight="1" x14ac:dyDescent="0.2">
      <c r="B5" s="75"/>
      <c r="C5" s="76"/>
    </row>
    <row r="6" spans="2:3" ht="12.75" customHeight="1" x14ac:dyDescent="0.2">
      <c r="B6" s="75"/>
      <c r="C6" s="76"/>
    </row>
    <row r="7" spans="2:3" ht="12.75" customHeight="1" x14ac:dyDescent="0.2">
      <c r="B7" s="75"/>
      <c r="C7" s="76"/>
    </row>
    <row r="8" spans="2:3" ht="20.45" customHeight="1" thickBot="1" x14ac:dyDescent="0.25">
      <c r="B8" s="75"/>
      <c r="C8" s="76"/>
    </row>
    <row r="9" spans="2:3" ht="12.75" customHeight="1" x14ac:dyDescent="0.2">
      <c r="B9" s="71" t="s">
        <v>534</v>
      </c>
      <c r="C9" s="72"/>
    </row>
    <row r="10" spans="2:3" ht="12.75" customHeight="1" x14ac:dyDescent="0.2">
      <c r="B10" s="73"/>
      <c r="C10" s="74"/>
    </row>
    <row r="11" spans="2:3" ht="12.75" customHeight="1" x14ac:dyDescent="0.2">
      <c r="B11" s="77">
        <f ca="1">COUNTIFS(Report!G:G,"Malfunction",Report!H:H,"Active",Report!F:F,"#N/A")</f>
        <v>1</v>
      </c>
      <c r="C11" s="78"/>
    </row>
    <row r="12" spans="2:3" ht="12.75" customHeight="1" x14ac:dyDescent="0.2">
      <c r="B12" s="77"/>
      <c r="C12" s="78"/>
    </row>
    <row r="13" spans="2:3" ht="12.75" customHeight="1" x14ac:dyDescent="0.2">
      <c r="B13" s="77"/>
      <c r="C13" s="78"/>
    </row>
    <row r="14" spans="2:3" ht="12.75" customHeight="1" x14ac:dyDescent="0.2">
      <c r="B14" s="77"/>
      <c r="C14" s="78"/>
    </row>
    <row r="15" spans="2:3" ht="20.45" customHeight="1" thickBot="1" x14ac:dyDescent="0.25">
      <c r="B15" s="77"/>
      <c r="C15" s="78"/>
    </row>
    <row r="16" spans="2:3" ht="12.75" customHeight="1" x14ac:dyDescent="0.2">
      <c r="B16" s="67" t="str">
        <f>Summary!A5&amp;": "&amp;TEXT(Summary!B5, "mmm dd, yyyy")</f>
        <v>**From: Apr 13, 2019</v>
      </c>
      <c r="C16" s="69" t="str">
        <f>Summary!A6&amp;": "&amp;TEXT(Summary!B6, "mmm dd, yyyy")</f>
        <v>**To: May 13, 2019</v>
      </c>
    </row>
    <row r="17" spans="2:3" ht="12.75" customHeight="1" thickBot="1" x14ac:dyDescent="0.25">
      <c r="B17" s="68"/>
      <c r="C17" s="70"/>
    </row>
  </sheetData>
  <mergeCells count="6">
    <mergeCell ref="B2:C3"/>
    <mergeCell ref="B16:B17"/>
    <mergeCell ref="C16:C17"/>
    <mergeCell ref="B9:C10"/>
    <mergeCell ref="B4:C8"/>
    <mergeCell ref="B11:C15"/>
  </mergeCells>
  <conditionalFormatting sqref="B4:C8 B11:C15">
    <cfRule type="cellIs" dxfId="24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A3D4-7FF0-44EF-88B4-21B3A44EE36C}">
  <dimension ref="A1:G551"/>
  <sheetViews>
    <sheetView showGridLines="0" workbookViewId="0">
      <selection activeCell="F14" sqref="F14"/>
    </sheetView>
  </sheetViews>
  <sheetFormatPr defaultColWidth="9.140625" defaultRowHeight="14.25" x14ac:dyDescent="0.25"/>
  <cols>
    <col min="1" max="2" width="25.7109375" style="26" customWidth="1"/>
    <col min="3" max="3" width="30.7109375" style="26" customWidth="1"/>
    <col min="4" max="4" width="14.7109375" style="38" customWidth="1"/>
    <col min="5" max="6" width="14.7109375" style="28" customWidth="1"/>
    <col min="7" max="7" width="14.85546875" style="28" bestFit="1" customWidth="1"/>
    <col min="8" max="8" width="15.5703125" style="26" customWidth="1"/>
    <col min="9" max="9" width="49.42578125" style="26" customWidth="1"/>
    <col min="10" max="10" width="15.42578125" style="26" customWidth="1"/>
    <col min="11" max="11" width="23" style="26" customWidth="1"/>
    <col min="12" max="12" width="21" style="26" customWidth="1"/>
    <col min="13" max="13" width="20.5703125" style="26" customWidth="1"/>
    <col min="14" max="16384" width="9.140625" style="26"/>
  </cols>
  <sheetData>
    <row r="1" spans="1:7" s="18" customFormat="1" ht="25.5" customHeight="1" x14ac:dyDescent="0.45">
      <c r="A1" s="53" t="s">
        <v>527</v>
      </c>
      <c r="C1" s="23">
        <f>Data!B2</f>
        <v>43598.449176643502</v>
      </c>
      <c r="D1" s="43"/>
      <c r="E1" s="27"/>
      <c r="F1" s="27"/>
      <c r="G1" s="27"/>
    </row>
    <row r="2" spans="1:7" ht="25.5" customHeight="1" x14ac:dyDescent="0.5">
      <c r="A2" s="59" t="str">
        <f>Data!B1</f>
        <v>ABC Company</v>
      </c>
      <c r="B2" s="10"/>
      <c r="C2" s="10"/>
    </row>
    <row r="3" spans="1:7" ht="17.45" customHeight="1" x14ac:dyDescent="0.25">
      <c r="A3" s="11"/>
      <c r="B3" s="11"/>
      <c r="C3" s="11"/>
    </row>
    <row r="4" spans="1:7" ht="17.45" customHeight="1" x14ac:dyDescent="0.3">
      <c r="A4" s="79" t="s">
        <v>45</v>
      </c>
      <c r="B4" s="80"/>
      <c r="C4" s="19"/>
      <c r="D4" s="44"/>
    </row>
    <row r="5" spans="1:7" ht="17.45" customHeight="1" x14ac:dyDescent="0.3">
      <c r="A5" s="62" t="s">
        <v>40</v>
      </c>
      <c r="B5" s="56">
        <f>Data!B3</f>
        <v>43568.449169502303</v>
      </c>
      <c r="C5" s="19"/>
      <c r="D5" s="44"/>
    </row>
    <row r="6" spans="1:7" ht="17.45" customHeight="1" x14ac:dyDescent="0.3">
      <c r="A6" s="62" t="s">
        <v>41</v>
      </c>
      <c r="B6" s="56">
        <f>Data!B4</f>
        <v>43598.449169502303</v>
      </c>
      <c r="C6" s="13"/>
      <c r="D6" s="44"/>
    </row>
    <row r="7" spans="1:7" ht="17.45" customHeight="1" x14ac:dyDescent="0.3">
      <c r="A7" s="62" t="s">
        <v>525</v>
      </c>
      <c r="B7" s="57">
        <f>B6-B5</f>
        <v>30</v>
      </c>
      <c r="C7" s="13"/>
      <c r="D7" s="44"/>
    </row>
    <row r="8" spans="1:7" ht="17.45" customHeight="1" x14ac:dyDescent="0.3">
      <c r="A8" s="24"/>
      <c r="B8" s="25"/>
      <c r="C8" s="13"/>
      <c r="D8" s="44"/>
    </row>
    <row r="9" spans="1:7" ht="17.45" customHeight="1" x14ac:dyDescent="0.3">
      <c r="A9" s="61" t="s">
        <v>42</v>
      </c>
      <c r="B9" s="55" t="str">
        <f>Data!B5</f>
        <v>miles</v>
      </c>
      <c r="C9" s="13"/>
      <c r="D9" s="14"/>
    </row>
    <row r="10" spans="1:7" s="48" customFormat="1" ht="17.45" hidden="1" customHeight="1" x14ac:dyDescent="0.3">
      <c r="A10" s="81" t="s">
        <v>485</v>
      </c>
      <c r="B10" s="82" t="s">
        <v>487</v>
      </c>
      <c r="C10" s="39"/>
      <c r="D10" s="46"/>
      <c r="E10" s="47"/>
      <c r="F10" s="47"/>
      <c r="G10" s="47"/>
    </row>
    <row r="11" spans="1:7" ht="17.45" hidden="1" customHeight="1" x14ac:dyDescent="0.3">
      <c r="A11" s="81" t="s">
        <v>220</v>
      </c>
      <c r="B11" s="82" t="s">
        <v>487</v>
      </c>
    </row>
    <row r="12" spans="1:7" ht="17.45" customHeight="1" x14ac:dyDescent="0.25"/>
    <row r="13" spans="1:7" s="52" customFormat="1" ht="18" customHeight="1" x14ac:dyDescent="0.3">
      <c r="A13" s="81" t="s">
        <v>528</v>
      </c>
      <c r="B13" s="81" t="s">
        <v>30</v>
      </c>
      <c r="C13" s="81" t="s">
        <v>45</v>
      </c>
      <c r="D13" s="86" t="s">
        <v>489</v>
      </c>
      <c r="E13" s="81" t="s">
        <v>531</v>
      </c>
      <c r="F13" s="87" t="s">
        <v>536</v>
      </c>
      <c r="G13" s="51"/>
    </row>
    <row r="14" spans="1:7" ht="16.5" x14ac:dyDescent="0.3">
      <c r="A14" s="82" t="s">
        <v>490</v>
      </c>
      <c r="B14" s="82" t="s">
        <v>224</v>
      </c>
      <c r="C14" s="84">
        <v>43598.277951388889</v>
      </c>
      <c r="D14" s="83" t="s">
        <v>228</v>
      </c>
      <c r="E14" s="82" t="s">
        <v>220</v>
      </c>
      <c r="F14" s="85">
        <v>1</v>
      </c>
      <c r="G14" s="20"/>
    </row>
    <row r="15" spans="1:7" ht="16.5" x14ac:dyDescent="0.3">
      <c r="A15" s="82" t="s">
        <v>514</v>
      </c>
      <c r="B15" s="82" t="s">
        <v>248</v>
      </c>
      <c r="C15" s="84">
        <v>43584.464537037034</v>
      </c>
      <c r="D15" s="83" t="s">
        <v>227</v>
      </c>
      <c r="E15" s="82" t="s">
        <v>220</v>
      </c>
      <c r="F15" s="85">
        <v>1</v>
      </c>
      <c r="G15" s="20"/>
    </row>
    <row r="16" spans="1:7" ht="16.5" x14ac:dyDescent="0.3">
      <c r="A16" s="82"/>
      <c r="B16" s="82" t="s">
        <v>224</v>
      </c>
      <c r="C16" s="84">
        <v>43598.383553240739</v>
      </c>
      <c r="D16" s="83" t="s">
        <v>228</v>
      </c>
      <c r="E16" s="82" t="s">
        <v>220</v>
      </c>
      <c r="F16" s="85">
        <v>1</v>
      </c>
      <c r="G16" s="20"/>
    </row>
    <row r="17" spans="1:7" ht="16.5" x14ac:dyDescent="0.3">
      <c r="A17" s="82" t="s">
        <v>491</v>
      </c>
      <c r="B17" s="82" t="s">
        <v>224</v>
      </c>
      <c r="C17" s="84">
        <v>43592.450532407405</v>
      </c>
      <c r="D17" s="83" t="s">
        <v>228</v>
      </c>
      <c r="E17" s="82" t="s">
        <v>220</v>
      </c>
      <c r="F17" s="85">
        <v>1</v>
      </c>
      <c r="G17" s="20"/>
    </row>
    <row r="18" spans="1:7" ht="16.5" x14ac:dyDescent="0.3">
      <c r="A18" s="82" t="s">
        <v>492</v>
      </c>
      <c r="B18" s="82" t="s">
        <v>224</v>
      </c>
      <c r="C18" s="84">
        <v>43570.765462962961</v>
      </c>
      <c r="D18" s="83" t="s">
        <v>228</v>
      </c>
      <c r="E18" s="82" t="s">
        <v>220</v>
      </c>
      <c r="F18" s="85">
        <v>1</v>
      </c>
      <c r="G18" s="20"/>
    </row>
    <row r="19" spans="1:7" ht="16.5" x14ac:dyDescent="0.3">
      <c r="A19" s="82" t="s">
        <v>493</v>
      </c>
      <c r="B19" s="82" t="s">
        <v>224</v>
      </c>
      <c r="C19" s="84">
        <v>43598.256898148145</v>
      </c>
      <c r="D19" s="83" t="s">
        <v>228</v>
      </c>
      <c r="E19" s="82" t="s">
        <v>220</v>
      </c>
      <c r="F19" s="85">
        <v>1</v>
      </c>
      <c r="G19" s="20"/>
    </row>
    <row r="20" spans="1:7" ht="16.5" x14ac:dyDescent="0.3">
      <c r="A20" s="82" t="s">
        <v>494</v>
      </c>
      <c r="B20" s="82" t="s">
        <v>224</v>
      </c>
      <c r="C20" s="84">
        <v>43595.676307870373</v>
      </c>
      <c r="D20" s="83" t="s">
        <v>228</v>
      </c>
      <c r="E20" s="82" t="s">
        <v>220</v>
      </c>
      <c r="F20" s="85">
        <v>1</v>
      </c>
      <c r="G20" s="20"/>
    </row>
    <row r="21" spans="1:7" ht="16.5" x14ac:dyDescent="0.3">
      <c r="A21" s="82" t="s">
        <v>495</v>
      </c>
      <c r="B21" s="82" t="s">
        <v>224</v>
      </c>
      <c r="C21" s="84">
        <v>43598.317893518521</v>
      </c>
      <c r="D21" s="83" t="s">
        <v>228</v>
      </c>
      <c r="E21" s="82" t="s">
        <v>220</v>
      </c>
      <c r="F21" s="85">
        <v>1</v>
      </c>
      <c r="G21" s="20"/>
    </row>
    <row r="22" spans="1:7" ht="16.5" x14ac:dyDescent="0.3">
      <c r="A22" s="82" t="s">
        <v>496</v>
      </c>
      <c r="B22" s="82" t="s">
        <v>224</v>
      </c>
      <c r="C22" s="84">
        <v>43580.673958333333</v>
      </c>
      <c r="D22" s="83" t="s">
        <v>228</v>
      </c>
      <c r="E22" s="82" t="s">
        <v>220</v>
      </c>
      <c r="F22" s="85">
        <v>1</v>
      </c>
      <c r="G22" s="20"/>
    </row>
    <row r="23" spans="1:7" ht="16.5" x14ac:dyDescent="0.3">
      <c r="A23" s="82" t="s">
        <v>0</v>
      </c>
      <c r="B23" s="82"/>
      <c r="C23" s="82"/>
      <c r="D23" s="82"/>
      <c r="E23" s="82"/>
      <c r="F23" s="85">
        <v>9</v>
      </c>
      <c r="G23" s="20"/>
    </row>
    <row r="24" spans="1:7" x14ac:dyDescent="0.25">
      <c r="A24"/>
      <c r="B24"/>
      <c r="C24"/>
      <c r="D24"/>
      <c r="E24"/>
      <c r="F24"/>
      <c r="G24" s="20"/>
    </row>
    <row r="25" spans="1:7" x14ac:dyDescent="0.25">
      <c r="A25"/>
      <c r="B25"/>
      <c r="C25"/>
      <c r="D25"/>
      <c r="E25"/>
      <c r="F25"/>
      <c r="G25" s="20"/>
    </row>
    <row r="26" spans="1:7" x14ac:dyDescent="0.25">
      <c r="A26"/>
      <c r="B26"/>
      <c r="C26"/>
      <c r="D26"/>
      <c r="E26"/>
      <c r="F26"/>
      <c r="G26" s="20"/>
    </row>
    <row r="27" spans="1:7" x14ac:dyDescent="0.25">
      <c r="A27"/>
      <c r="B27"/>
      <c r="C27"/>
      <c r="D27"/>
      <c r="E27"/>
      <c r="F27"/>
      <c r="G27" s="20"/>
    </row>
    <row r="28" spans="1:7" x14ac:dyDescent="0.25">
      <c r="A28"/>
      <c r="B28"/>
      <c r="C28"/>
      <c r="D28"/>
      <c r="E28"/>
      <c r="F28"/>
      <c r="G28" s="20"/>
    </row>
    <row r="29" spans="1:7" x14ac:dyDescent="0.25">
      <c r="A29"/>
      <c r="B29"/>
      <c r="C29"/>
      <c r="D29"/>
      <c r="E29"/>
      <c r="F29"/>
      <c r="G29" s="20"/>
    </row>
    <row r="30" spans="1:7" x14ac:dyDescent="0.25">
      <c r="A30"/>
      <c r="B30"/>
      <c r="C30"/>
      <c r="D30"/>
      <c r="E30"/>
      <c r="F30"/>
      <c r="G30" s="20"/>
    </row>
    <row r="31" spans="1:7" x14ac:dyDescent="0.25">
      <c r="A31"/>
      <c r="B31"/>
      <c r="C31"/>
      <c r="D31"/>
      <c r="E31"/>
      <c r="F31"/>
      <c r="G31" s="20"/>
    </row>
    <row r="32" spans="1:7" x14ac:dyDescent="0.25">
      <c r="A32"/>
      <c r="B32"/>
      <c r="C32"/>
      <c r="D32"/>
      <c r="E32"/>
      <c r="F32"/>
      <c r="G32" s="20"/>
    </row>
    <row r="33" spans="1:7" x14ac:dyDescent="0.25">
      <c r="A33"/>
      <c r="B33"/>
      <c r="C33"/>
      <c r="D33"/>
      <c r="E33"/>
      <c r="F33"/>
      <c r="G33" s="20"/>
    </row>
    <row r="34" spans="1:7" x14ac:dyDescent="0.25">
      <c r="A34"/>
      <c r="B34"/>
      <c r="C34"/>
      <c r="D34"/>
      <c r="E34"/>
      <c r="F34"/>
      <c r="G34" s="20"/>
    </row>
    <row r="35" spans="1:7" x14ac:dyDescent="0.25">
      <c r="A35"/>
      <c r="B35"/>
      <c r="C35"/>
      <c r="D35"/>
      <c r="E35"/>
      <c r="F35"/>
      <c r="G35" s="20"/>
    </row>
    <row r="36" spans="1:7" x14ac:dyDescent="0.25">
      <c r="A36"/>
      <c r="B36"/>
      <c r="C36"/>
      <c r="D36"/>
      <c r="E36"/>
      <c r="F36"/>
      <c r="G36" s="20"/>
    </row>
    <row r="37" spans="1:7" x14ac:dyDescent="0.25">
      <c r="A37"/>
      <c r="B37"/>
      <c r="C37"/>
      <c r="D37"/>
      <c r="E37"/>
      <c r="F37"/>
      <c r="G37" s="20"/>
    </row>
    <row r="38" spans="1:7" x14ac:dyDescent="0.25">
      <c r="A38"/>
      <c r="B38"/>
      <c r="C38"/>
      <c r="D38"/>
      <c r="E38"/>
      <c r="F38"/>
      <c r="G38" s="20"/>
    </row>
    <row r="39" spans="1:7" x14ac:dyDescent="0.25">
      <c r="A39"/>
      <c r="B39"/>
      <c r="C39"/>
      <c r="D39"/>
      <c r="E39"/>
      <c r="F39"/>
      <c r="G39" s="20"/>
    </row>
    <row r="40" spans="1:7" x14ac:dyDescent="0.25">
      <c r="A40"/>
      <c r="B40"/>
      <c r="C40"/>
      <c r="D40"/>
      <c r="E40"/>
      <c r="F40"/>
      <c r="G40" s="20"/>
    </row>
    <row r="41" spans="1:7" x14ac:dyDescent="0.25">
      <c r="A41"/>
      <c r="B41"/>
      <c r="C41"/>
      <c r="D41"/>
      <c r="E41"/>
      <c r="F41"/>
      <c r="G41" s="20"/>
    </row>
    <row r="42" spans="1:7" x14ac:dyDescent="0.25">
      <c r="A42"/>
      <c r="B42"/>
      <c r="C42"/>
      <c r="D42"/>
      <c r="E42"/>
      <c r="F42"/>
      <c r="G42" s="20"/>
    </row>
    <row r="43" spans="1:7" x14ac:dyDescent="0.25">
      <c r="A43"/>
      <c r="B43"/>
      <c r="C43"/>
      <c r="D43"/>
      <c r="E43"/>
      <c r="F43"/>
      <c r="G43" s="20"/>
    </row>
    <row r="44" spans="1:7" x14ac:dyDescent="0.25">
      <c r="A44"/>
      <c r="B44"/>
      <c r="C44"/>
      <c r="D44"/>
      <c r="E44"/>
      <c r="F44"/>
      <c r="G44" s="20"/>
    </row>
    <row r="45" spans="1:7" x14ac:dyDescent="0.25">
      <c r="A45"/>
      <c r="B45"/>
      <c r="C45"/>
      <c r="D45"/>
      <c r="E45"/>
      <c r="F45"/>
      <c r="G45" s="20"/>
    </row>
    <row r="46" spans="1:7" x14ac:dyDescent="0.25">
      <c r="A46"/>
      <c r="B46"/>
      <c r="C46"/>
      <c r="D46"/>
      <c r="E46"/>
      <c r="F46"/>
      <c r="G46" s="20"/>
    </row>
    <row r="47" spans="1:7" x14ac:dyDescent="0.25">
      <c r="A47"/>
      <c r="B47"/>
      <c r="C47"/>
      <c r="D47"/>
      <c r="E47"/>
      <c r="F47"/>
      <c r="G47" s="20"/>
    </row>
    <row r="48" spans="1:7" x14ac:dyDescent="0.25">
      <c r="A48"/>
      <c r="B48"/>
      <c r="C48"/>
      <c r="D48"/>
      <c r="E48"/>
      <c r="F48"/>
      <c r="G48" s="20"/>
    </row>
    <row r="49" spans="1:7" x14ac:dyDescent="0.25">
      <c r="A49"/>
      <c r="B49"/>
      <c r="C49"/>
      <c r="D49"/>
      <c r="E49"/>
      <c r="F49"/>
      <c r="G49" s="20"/>
    </row>
    <row r="50" spans="1:7" x14ac:dyDescent="0.25">
      <c r="A50"/>
      <c r="B50"/>
      <c r="C50"/>
      <c r="D50"/>
      <c r="E50"/>
      <c r="F50"/>
      <c r="G50" s="20"/>
    </row>
    <row r="51" spans="1:7" x14ac:dyDescent="0.25">
      <c r="A51"/>
      <c r="B51"/>
      <c r="C51"/>
      <c r="D51"/>
      <c r="E51"/>
      <c r="F51"/>
      <c r="G51" s="20"/>
    </row>
    <row r="52" spans="1:7" x14ac:dyDescent="0.25">
      <c r="A52" s="20"/>
      <c r="B52" s="20"/>
      <c r="C52" s="20"/>
      <c r="D52" s="37"/>
      <c r="E52" s="45"/>
      <c r="F52" s="45"/>
      <c r="G52" s="20"/>
    </row>
    <row r="53" spans="1:7" x14ac:dyDescent="0.25">
      <c r="A53" s="20"/>
      <c r="B53" s="20"/>
      <c r="C53" s="20"/>
      <c r="D53" s="37"/>
      <c r="E53" s="45"/>
      <c r="F53" s="45"/>
      <c r="G53" s="20"/>
    </row>
    <row r="54" spans="1:7" x14ac:dyDescent="0.25">
      <c r="A54" s="20"/>
      <c r="B54" s="20"/>
      <c r="C54" s="20"/>
      <c r="D54" s="37"/>
      <c r="E54" s="45"/>
      <c r="F54" s="45"/>
      <c r="G54" s="20"/>
    </row>
    <row r="55" spans="1:7" x14ac:dyDescent="0.25">
      <c r="A55" s="20"/>
      <c r="B55" s="20"/>
      <c r="C55" s="20"/>
      <c r="D55" s="37"/>
      <c r="E55" s="45"/>
      <c r="F55" s="45"/>
      <c r="G55" s="20"/>
    </row>
    <row r="56" spans="1:7" x14ac:dyDescent="0.25">
      <c r="A56" s="20"/>
      <c r="B56" s="20"/>
      <c r="C56" s="20"/>
      <c r="D56" s="37"/>
      <c r="E56" s="45"/>
      <c r="F56" s="45"/>
      <c r="G56" s="20"/>
    </row>
    <row r="57" spans="1:7" x14ac:dyDescent="0.25">
      <c r="A57" s="20"/>
      <c r="B57" s="20"/>
      <c r="C57" s="20"/>
      <c r="D57" s="37"/>
      <c r="E57" s="45"/>
      <c r="F57" s="45"/>
      <c r="G57" s="20"/>
    </row>
    <row r="58" spans="1:7" x14ac:dyDescent="0.25">
      <c r="A58" s="20"/>
      <c r="B58" s="20"/>
      <c r="C58" s="20"/>
      <c r="D58" s="37"/>
      <c r="E58" s="45"/>
      <c r="F58" s="45"/>
      <c r="G58" s="20"/>
    </row>
    <row r="59" spans="1:7" x14ac:dyDescent="0.25">
      <c r="A59" s="20"/>
      <c r="B59" s="20"/>
      <c r="C59" s="20"/>
      <c r="D59" s="37"/>
      <c r="E59" s="45"/>
      <c r="F59" s="45"/>
      <c r="G59" s="20"/>
    </row>
    <row r="60" spans="1:7" x14ac:dyDescent="0.25">
      <c r="A60" s="20"/>
      <c r="B60" s="20"/>
      <c r="C60" s="20"/>
      <c r="D60" s="37"/>
      <c r="E60" s="45"/>
      <c r="F60" s="45"/>
      <c r="G60" s="20"/>
    </row>
    <row r="61" spans="1:7" x14ac:dyDescent="0.25">
      <c r="A61" s="20"/>
      <c r="B61" s="20"/>
      <c r="C61" s="20"/>
      <c r="D61" s="37"/>
      <c r="E61" s="45"/>
      <c r="F61" s="45"/>
      <c r="G61" s="20"/>
    </row>
    <row r="62" spans="1:7" x14ac:dyDescent="0.25">
      <c r="A62" s="20"/>
      <c r="B62" s="20"/>
      <c r="C62" s="20"/>
      <c r="D62" s="37"/>
      <c r="E62" s="45"/>
      <c r="F62" s="45"/>
      <c r="G62" s="20"/>
    </row>
    <row r="63" spans="1:7" x14ac:dyDescent="0.25">
      <c r="A63" s="20"/>
      <c r="B63" s="20"/>
      <c r="C63" s="20"/>
      <c r="D63" s="37"/>
      <c r="E63" s="45"/>
      <c r="F63" s="45"/>
      <c r="G63" s="20"/>
    </row>
    <row r="64" spans="1:7" x14ac:dyDescent="0.25">
      <c r="A64" s="20"/>
      <c r="B64" s="20"/>
      <c r="C64" s="20"/>
      <c r="D64" s="37"/>
      <c r="E64" s="45"/>
      <c r="F64" s="45"/>
      <c r="G64" s="20"/>
    </row>
    <row r="65" spans="1:7" x14ac:dyDescent="0.25">
      <c r="A65" s="20"/>
      <c r="B65" s="20"/>
      <c r="C65" s="20"/>
      <c r="D65" s="37"/>
      <c r="E65" s="45"/>
      <c r="F65" s="45"/>
      <c r="G65" s="20"/>
    </row>
    <row r="66" spans="1:7" x14ac:dyDescent="0.25">
      <c r="A66" s="20"/>
      <c r="B66" s="20"/>
      <c r="C66" s="20"/>
      <c r="D66" s="37"/>
      <c r="E66" s="45"/>
      <c r="F66" s="45"/>
      <c r="G66" s="20"/>
    </row>
    <row r="67" spans="1:7" x14ac:dyDescent="0.25">
      <c r="A67" s="20"/>
      <c r="B67" s="20"/>
      <c r="C67" s="20"/>
      <c r="D67" s="37"/>
      <c r="E67" s="45"/>
      <c r="F67" s="45"/>
      <c r="G67" s="20"/>
    </row>
    <row r="68" spans="1:7" x14ac:dyDescent="0.25">
      <c r="A68" s="20"/>
      <c r="B68" s="20"/>
      <c r="C68" s="20"/>
      <c r="D68" s="37"/>
      <c r="E68" s="45"/>
      <c r="F68" s="45"/>
      <c r="G68" s="20"/>
    </row>
    <row r="69" spans="1:7" x14ac:dyDescent="0.25">
      <c r="A69" s="20"/>
      <c r="B69" s="20"/>
      <c r="C69" s="20"/>
      <c r="D69" s="37"/>
      <c r="E69" s="45"/>
      <c r="F69" s="45"/>
      <c r="G69" s="20"/>
    </row>
    <row r="70" spans="1:7" x14ac:dyDescent="0.25">
      <c r="A70" s="20"/>
      <c r="B70" s="20"/>
      <c r="C70" s="20"/>
      <c r="D70" s="37"/>
      <c r="E70" s="45"/>
      <c r="F70" s="45"/>
      <c r="G70" s="20"/>
    </row>
    <row r="71" spans="1:7" x14ac:dyDescent="0.25">
      <c r="A71" s="20"/>
      <c r="B71" s="20"/>
      <c r="C71" s="20"/>
      <c r="D71" s="37"/>
      <c r="E71" s="45"/>
      <c r="F71" s="45"/>
      <c r="G71" s="20"/>
    </row>
    <row r="72" spans="1:7" x14ac:dyDescent="0.25">
      <c r="A72" s="20"/>
      <c r="B72" s="20"/>
      <c r="C72" s="20"/>
      <c r="D72" s="37"/>
      <c r="E72" s="45"/>
      <c r="F72" s="45"/>
      <c r="G72" s="20"/>
    </row>
    <row r="73" spans="1:7" x14ac:dyDescent="0.25">
      <c r="A73" s="20"/>
      <c r="B73" s="20"/>
      <c r="C73" s="20"/>
      <c r="D73" s="37"/>
      <c r="E73" s="45"/>
      <c r="F73" s="45"/>
      <c r="G73" s="20"/>
    </row>
    <row r="74" spans="1:7" x14ac:dyDescent="0.25">
      <c r="A74" s="20"/>
      <c r="B74" s="20"/>
      <c r="C74" s="20"/>
      <c r="D74" s="37"/>
      <c r="E74" s="45"/>
      <c r="F74" s="45"/>
      <c r="G74" s="20"/>
    </row>
    <row r="75" spans="1:7" x14ac:dyDescent="0.25">
      <c r="A75" s="20"/>
      <c r="B75" s="20"/>
      <c r="C75" s="20"/>
      <c r="D75" s="37"/>
      <c r="E75" s="45"/>
      <c r="F75" s="45"/>
      <c r="G75" s="20"/>
    </row>
    <row r="76" spans="1:7" x14ac:dyDescent="0.25">
      <c r="A76" s="20"/>
      <c r="B76" s="20"/>
      <c r="C76" s="20"/>
      <c r="D76" s="37"/>
      <c r="E76" s="45"/>
      <c r="F76" s="45"/>
      <c r="G76" s="20"/>
    </row>
    <row r="77" spans="1:7" x14ac:dyDescent="0.25">
      <c r="A77" s="20"/>
      <c r="B77" s="20"/>
      <c r="C77" s="20"/>
      <c r="D77" s="37"/>
      <c r="E77" s="45"/>
      <c r="F77" s="45"/>
      <c r="G77" s="20"/>
    </row>
    <row r="78" spans="1:7" x14ac:dyDescent="0.25">
      <c r="A78" s="20"/>
      <c r="B78" s="20"/>
      <c r="C78" s="20"/>
      <c r="D78" s="37"/>
      <c r="E78" s="45"/>
      <c r="F78" s="45"/>
      <c r="G78" s="20"/>
    </row>
    <row r="79" spans="1:7" x14ac:dyDescent="0.25">
      <c r="A79" s="20"/>
      <c r="B79" s="20"/>
      <c r="C79" s="20"/>
      <c r="D79" s="37"/>
      <c r="E79" s="45"/>
      <c r="F79" s="45"/>
      <c r="G79" s="20"/>
    </row>
    <row r="80" spans="1:7" x14ac:dyDescent="0.25">
      <c r="A80" s="20"/>
      <c r="B80" s="20"/>
      <c r="C80" s="20"/>
      <c r="D80" s="37"/>
      <c r="E80" s="45"/>
      <c r="F80" s="45"/>
      <c r="G80" s="20"/>
    </row>
    <row r="81" spans="1:7" x14ac:dyDescent="0.25">
      <c r="A81" s="20"/>
      <c r="B81" s="20"/>
      <c r="C81" s="20"/>
      <c r="D81" s="37"/>
      <c r="E81" s="45"/>
      <c r="F81" s="45"/>
      <c r="G81" s="20"/>
    </row>
    <row r="82" spans="1:7" x14ac:dyDescent="0.25">
      <c r="A82" s="20"/>
      <c r="B82" s="20"/>
      <c r="C82" s="20"/>
      <c r="D82" s="37"/>
      <c r="E82" s="45"/>
      <c r="F82" s="45"/>
      <c r="G82" s="20"/>
    </row>
    <row r="83" spans="1:7" x14ac:dyDescent="0.25">
      <c r="A83" s="20"/>
      <c r="B83" s="20"/>
      <c r="C83" s="20"/>
      <c r="D83" s="37"/>
      <c r="E83" s="45"/>
      <c r="F83" s="45"/>
      <c r="G83" s="20"/>
    </row>
    <row r="84" spans="1:7" x14ac:dyDescent="0.25">
      <c r="A84" s="20"/>
      <c r="B84" s="20"/>
      <c r="C84" s="20"/>
      <c r="D84" s="37"/>
      <c r="E84" s="45"/>
      <c r="F84" s="45"/>
      <c r="G84" s="20"/>
    </row>
    <row r="85" spans="1:7" x14ac:dyDescent="0.25">
      <c r="A85" s="20"/>
      <c r="B85" s="20"/>
      <c r="C85" s="20"/>
      <c r="D85" s="37"/>
      <c r="E85" s="45"/>
      <c r="F85" s="45"/>
      <c r="G85" s="20"/>
    </row>
    <row r="86" spans="1:7" x14ac:dyDescent="0.25">
      <c r="A86" s="20"/>
      <c r="B86" s="20"/>
      <c r="C86" s="20"/>
      <c r="D86" s="37"/>
      <c r="E86" s="45"/>
      <c r="F86" s="45"/>
      <c r="G86" s="20"/>
    </row>
    <row r="87" spans="1:7" x14ac:dyDescent="0.25">
      <c r="A87" s="20"/>
      <c r="B87" s="20"/>
      <c r="C87" s="20"/>
      <c r="D87" s="37"/>
      <c r="E87" s="45"/>
      <c r="F87" s="45"/>
      <c r="G87" s="20"/>
    </row>
    <row r="88" spans="1:7" x14ac:dyDescent="0.25">
      <c r="A88" s="20"/>
      <c r="B88" s="20"/>
      <c r="C88" s="20"/>
      <c r="D88" s="37"/>
      <c r="E88" s="45"/>
      <c r="F88" s="45"/>
      <c r="G88" s="20"/>
    </row>
    <row r="89" spans="1:7" x14ac:dyDescent="0.25">
      <c r="A89" s="20"/>
      <c r="B89" s="20"/>
      <c r="C89" s="20"/>
      <c r="D89" s="37"/>
      <c r="E89" s="45"/>
      <c r="F89" s="45"/>
      <c r="G89" s="20"/>
    </row>
    <row r="90" spans="1:7" x14ac:dyDescent="0.25">
      <c r="A90" s="20"/>
      <c r="B90" s="20"/>
      <c r="C90" s="20"/>
      <c r="D90" s="37"/>
      <c r="E90" s="45"/>
      <c r="F90" s="45"/>
      <c r="G90" s="20"/>
    </row>
    <row r="91" spans="1:7" x14ac:dyDescent="0.25">
      <c r="A91" s="20"/>
      <c r="B91" s="20"/>
      <c r="C91" s="20"/>
      <c r="D91" s="37"/>
      <c r="E91" s="45"/>
      <c r="F91" s="45"/>
      <c r="G91" s="20"/>
    </row>
    <row r="92" spans="1:7" x14ac:dyDescent="0.25">
      <c r="A92" s="20"/>
      <c r="B92" s="20"/>
      <c r="C92" s="20"/>
      <c r="D92" s="37"/>
      <c r="E92" s="45"/>
      <c r="F92" s="45"/>
      <c r="G92" s="20"/>
    </row>
    <row r="93" spans="1:7" x14ac:dyDescent="0.25">
      <c r="A93" s="20"/>
      <c r="B93" s="20"/>
      <c r="C93" s="20"/>
      <c r="D93" s="37"/>
      <c r="E93" s="45"/>
      <c r="F93" s="45"/>
      <c r="G93" s="20"/>
    </row>
    <row r="94" spans="1:7" x14ac:dyDescent="0.25">
      <c r="A94" s="20"/>
      <c r="B94" s="20"/>
      <c r="C94" s="20"/>
      <c r="D94" s="37"/>
      <c r="E94" s="45"/>
      <c r="F94" s="45"/>
      <c r="G94" s="20"/>
    </row>
    <row r="95" spans="1:7" x14ac:dyDescent="0.25">
      <c r="A95" s="20"/>
      <c r="B95" s="20"/>
      <c r="C95" s="20"/>
      <c r="D95" s="37"/>
      <c r="E95" s="45"/>
      <c r="F95" s="45"/>
      <c r="G95" s="20"/>
    </row>
    <row r="96" spans="1:7" x14ac:dyDescent="0.25">
      <c r="A96" s="20"/>
      <c r="B96" s="20"/>
      <c r="C96" s="20"/>
      <c r="D96" s="37"/>
      <c r="E96" s="45"/>
      <c r="F96" s="45"/>
      <c r="G96" s="20"/>
    </row>
    <row r="97" spans="1:7" x14ac:dyDescent="0.25">
      <c r="A97" s="20"/>
      <c r="B97" s="20"/>
      <c r="C97" s="20"/>
      <c r="D97" s="37"/>
      <c r="E97" s="45"/>
      <c r="F97" s="45"/>
      <c r="G97" s="20"/>
    </row>
    <row r="98" spans="1:7" x14ac:dyDescent="0.25">
      <c r="A98" s="20"/>
      <c r="B98" s="20"/>
      <c r="C98" s="20"/>
      <c r="D98" s="37"/>
      <c r="E98" s="45"/>
      <c r="F98" s="45"/>
      <c r="G98" s="20"/>
    </row>
    <row r="99" spans="1:7" x14ac:dyDescent="0.25">
      <c r="A99" s="20"/>
      <c r="B99" s="20"/>
      <c r="C99" s="20"/>
      <c r="D99" s="37"/>
      <c r="E99" s="45"/>
      <c r="F99" s="45"/>
      <c r="G99" s="20"/>
    </row>
    <row r="100" spans="1:7" x14ac:dyDescent="0.25">
      <c r="A100" s="20"/>
      <c r="B100" s="20"/>
      <c r="C100" s="20"/>
      <c r="D100" s="37"/>
      <c r="E100" s="45"/>
      <c r="F100" s="45"/>
      <c r="G100" s="20"/>
    </row>
    <row r="101" spans="1:7" x14ac:dyDescent="0.25">
      <c r="A101" s="20"/>
      <c r="B101" s="20"/>
      <c r="C101" s="20"/>
      <c r="D101" s="37"/>
      <c r="E101" s="45"/>
      <c r="F101" s="45"/>
      <c r="G101" s="20"/>
    </row>
    <row r="102" spans="1:7" x14ac:dyDescent="0.25">
      <c r="A102" s="20"/>
      <c r="B102" s="20"/>
      <c r="C102" s="20"/>
      <c r="D102" s="37"/>
      <c r="E102" s="45"/>
      <c r="F102" s="45"/>
      <c r="G102" s="20"/>
    </row>
    <row r="103" spans="1:7" x14ac:dyDescent="0.25">
      <c r="A103" s="20"/>
      <c r="B103" s="20"/>
      <c r="C103" s="20"/>
      <c r="D103" s="37"/>
      <c r="E103" s="45"/>
      <c r="F103" s="45"/>
      <c r="G103" s="20"/>
    </row>
    <row r="104" spans="1:7" x14ac:dyDescent="0.25">
      <c r="A104" s="20"/>
      <c r="B104" s="20"/>
      <c r="C104" s="20"/>
      <c r="D104" s="37"/>
      <c r="E104" s="45"/>
      <c r="F104" s="45"/>
      <c r="G104" s="20"/>
    </row>
    <row r="105" spans="1:7" x14ac:dyDescent="0.25">
      <c r="A105" s="20"/>
      <c r="B105" s="20"/>
      <c r="C105" s="20"/>
      <c r="D105" s="37"/>
      <c r="E105" s="45"/>
      <c r="F105" s="45"/>
      <c r="G105" s="20"/>
    </row>
    <row r="106" spans="1:7" x14ac:dyDescent="0.25">
      <c r="A106" s="20"/>
      <c r="B106" s="20"/>
      <c r="C106" s="20"/>
      <c r="D106" s="37"/>
      <c r="E106" s="45"/>
      <c r="F106" s="45"/>
      <c r="G106" s="20"/>
    </row>
    <row r="107" spans="1:7" x14ac:dyDescent="0.25">
      <c r="A107" s="20"/>
      <c r="B107" s="20"/>
      <c r="C107" s="20"/>
      <c r="D107" s="37"/>
      <c r="E107" s="45"/>
      <c r="F107" s="45"/>
      <c r="G107" s="20"/>
    </row>
    <row r="108" spans="1:7" x14ac:dyDescent="0.25">
      <c r="A108" s="20"/>
      <c r="B108" s="20"/>
      <c r="C108" s="20"/>
      <c r="D108" s="37"/>
      <c r="E108" s="45"/>
      <c r="F108" s="45"/>
      <c r="G108" s="20"/>
    </row>
    <row r="109" spans="1:7" x14ac:dyDescent="0.25">
      <c r="A109" s="20"/>
      <c r="B109" s="20"/>
      <c r="C109" s="20"/>
      <c r="D109" s="37"/>
      <c r="E109" s="45"/>
      <c r="F109" s="45"/>
      <c r="G109" s="20"/>
    </row>
    <row r="110" spans="1:7" x14ac:dyDescent="0.25">
      <c r="A110" s="20"/>
      <c r="B110" s="20"/>
      <c r="C110" s="20"/>
      <c r="D110" s="37"/>
      <c r="E110" s="45"/>
      <c r="F110" s="45"/>
      <c r="G110" s="20"/>
    </row>
    <row r="111" spans="1:7" x14ac:dyDescent="0.25">
      <c r="A111" s="20"/>
      <c r="B111" s="20"/>
      <c r="C111" s="20"/>
      <c r="D111" s="37"/>
      <c r="E111" s="45"/>
      <c r="F111" s="45"/>
      <c r="G111" s="20"/>
    </row>
    <row r="112" spans="1:7" x14ac:dyDescent="0.25">
      <c r="A112" s="20"/>
      <c r="B112" s="20"/>
      <c r="C112" s="20"/>
      <c r="D112" s="37"/>
      <c r="E112" s="45"/>
      <c r="F112" s="45"/>
      <c r="G112" s="20"/>
    </row>
    <row r="113" spans="1:7" x14ac:dyDescent="0.25">
      <c r="A113" s="20"/>
      <c r="B113" s="20"/>
      <c r="C113" s="20"/>
      <c r="D113" s="37"/>
      <c r="E113" s="45"/>
      <c r="F113" s="45"/>
      <c r="G113" s="20"/>
    </row>
    <row r="114" spans="1:7" x14ac:dyDescent="0.25">
      <c r="A114" s="20"/>
      <c r="B114" s="20"/>
      <c r="C114" s="20"/>
      <c r="D114" s="37"/>
      <c r="E114" s="45"/>
      <c r="F114" s="45"/>
      <c r="G114" s="20"/>
    </row>
    <row r="115" spans="1:7" x14ac:dyDescent="0.25">
      <c r="A115" s="20"/>
      <c r="B115" s="20"/>
      <c r="C115" s="20"/>
      <c r="D115" s="37"/>
      <c r="E115" s="45"/>
      <c r="F115" s="45"/>
      <c r="G115" s="20"/>
    </row>
    <row r="116" spans="1:7" x14ac:dyDescent="0.25">
      <c r="A116" s="20"/>
      <c r="B116" s="20"/>
      <c r="C116" s="20"/>
      <c r="D116" s="37"/>
      <c r="E116" s="45"/>
      <c r="F116" s="45"/>
      <c r="G116" s="20"/>
    </row>
    <row r="117" spans="1:7" x14ac:dyDescent="0.25">
      <c r="A117" s="20"/>
      <c r="B117" s="20"/>
      <c r="C117" s="20"/>
      <c r="D117" s="37"/>
      <c r="E117" s="45"/>
      <c r="F117" s="45"/>
      <c r="G117" s="20"/>
    </row>
    <row r="118" spans="1:7" x14ac:dyDescent="0.25">
      <c r="A118" s="20"/>
      <c r="B118" s="20"/>
      <c r="C118" s="20"/>
      <c r="D118" s="37"/>
      <c r="E118" s="45"/>
      <c r="F118" s="45"/>
      <c r="G118" s="20"/>
    </row>
    <row r="119" spans="1:7" x14ac:dyDescent="0.25">
      <c r="A119" s="20"/>
      <c r="B119" s="20"/>
      <c r="C119" s="20"/>
      <c r="D119" s="37"/>
      <c r="E119" s="45"/>
      <c r="F119" s="45"/>
      <c r="G119" s="20"/>
    </row>
    <row r="120" spans="1:7" x14ac:dyDescent="0.25">
      <c r="A120" s="20"/>
      <c r="B120" s="20"/>
      <c r="C120" s="20"/>
      <c r="D120" s="37"/>
      <c r="E120" s="45"/>
      <c r="F120" s="45"/>
      <c r="G120" s="20"/>
    </row>
    <row r="121" spans="1:7" x14ac:dyDescent="0.25">
      <c r="A121" s="20"/>
      <c r="B121" s="20"/>
      <c r="C121" s="20"/>
      <c r="D121" s="37"/>
      <c r="E121" s="45"/>
      <c r="F121" s="45"/>
      <c r="G121" s="20"/>
    </row>
    <row r="122" spans="1:7" x14ac:dyDescent="0.25">
      <c r="A122" s="20"/>
      <c r="B122" s="20"/>
      <c r="C122" s="20"/>
      <c r="D122" s="37"/>
      <c r="E122" s="45"/>
      <c r="F122" s="45"/>
      <c r="G122" s="20"/>
    </row>
    <row r="123" spans="1:7" x14ac:dyDescent="0.25">
      <c r="A123" s="20"/>
      <c r="B123" s="20"/>
      <c r="C123" s="20"/>
      <c r="D123" s="37"/>
      <c r="E123" s="45"/>
      <c r="F123" s="45"/>
      <c r="G123" s="20"/>
    </row>
    <row r="124" spans="1:7" x14ac:dyDescent="0.25">
      <c r="A124" s="20"/>
      <c r="B124" s="20"/>
      <c r="C124" s="20"/>
      <c r="D124" s="37"/>
      <c r="E124" s="45"/>
      <c r="F124" s="45"/>
      <c r="G124" s="20"/>
    </row>
    <row r="125" spans="1:7" x14ac:dyDescent="0.25">
      <c r="A125" s="20"/>
      <c r="B125" s="20"/>
      <c r="C125" s="20"/>
      <c r="D125" s="37"/>
      <c r="E125" s="45"/>
      <c r="F125" s="45"/>
      <c r="G125" s="20"/>
    </row>
    <row r="126" spans="1:7" x14ac:dyDescent="0.25">
      <c r="A126" s="20"/>
      <c r="B126" s="20"/>
      <c r="C126" s="20"/>
      <c r="D126" s="37"/>
      <c r="E126" s="45"/>
      <c r="F126" s="45"/>
      <c r="G126" s="20"/>
    </row>
    <row r="127" spans="1:7" x14ac:dyDescent="0.25">
      <c r="A127" s="20"/>
      <c r="B127" s="20"/>
      <c r="C127" s="20"/>
      <c r="D127" s="37"/>
      <c r="E127" s="45"/>
      <c r="F127" s="45"/>
      <c r="G127" s="20"/>
    </row>
    <row r="128" spans="1:7" x14ac:dyDescent="0.25">
      <c r="A128" s="20"/>
      <c r="B128" s="20"/>
      <c r="C128" s="20"/>
      <c r="D128" s="37"/>
      <c r="E128" s="45"/>
      <c r="F128" s="45"/>
      <c r="G128" s="20"/>
    </row>
    <row r="129" spans="1:7" x14ac:dyDescent="0.25">
      <c r="A129" s="20"/>
      <c r="B129" s="20"/>
      <c r="C129" s="20"/>
      <c r="D129" s="37"/>
      <c r="E129" s="45"/>
      <c r="F129" s="45"/>
      <c r="G129" s="20"/>
    </row>
    <row r="130" spans="1:7" x14ac:dyDescent="0.25">
      <c r="A130" s="20"/>
      <c r="B130" s="20"/>
      <c r="C130" s="20"/>
      <c r="D130" s="37"/>
      <c r="E130" s="45"/>
      <c r="F130" s="45"/>
      <c r="G130" s="20"/>
    </row>
    <row r="131" spans="1:7" x14ac:dyDescent="0.25">
      <c r="A131" s="20"/>
      <c r="B131" s="20"/>
      <c r="C131" s="20"/>
      <c r="D131" s="37"/>
      <c r="E131" s="45"/>
      <c r="F131" s="45"/>
      <c r="G131" s="20"/>
    </row>
    <row r="132" spans="1:7" x14ac:dyDescent="0.25">
      <c r="A132" s="20"/>
      <c r="B132" s="20"/>
      <c r="C132" s="20"/>
      <c r="D132" s="37"/>
      <c r="E132" s="45"/>
      <c r="F132" s="45"/>
      <c r="G132" s="20"/>
    </row>
    <row r="133" spans="1:7" x14ac:dyDescent="0.25">
      <c r="A133" s="20"/>
      <c r="B133" s="20"/>
      <c r="C133" s="20"/>
      <c r="D133" s="37"/>
      <c r="E133" s="45"/>
      <c r="F133" s="45"/>
      <c r="G133" s="20"/>
    </row>
    <row r="134" spans="1:7" x14ac:dyDescent="0.25">
      <c r="A134" s="20"/>
      <c r="B134" s="20"/>
      <c r="C134" s="20"/>
      <c r="D134" s="37"/>
      <c r="E134" s="45"/>
      <c r="F134" s="45"/>
      <c r="G134" s="20"/>
    </row>
    <row r="135" spans="1:7" x14ac:dyDescent="0.25">
      <c r="A135" s="20"/>
      <c r="B135" s="20"/>
      <c r="C135" s="20"/>
      <c r="D135" s="37"/>
      <c r="E135" s="45"/>
      <c r="F135" s="45"/>
      <c r="G135" s="20"/>
    </row>
    <row r="136" spans="1:7" x14ac:dyDescent="0.25">
      <c r="A136" s="20"/>
      <c r="B136" s="20"/>
      <c r="C136" s="20"/>
      <c r="D136" s="37"/>
      <c r="E136" s="45"/>
      <c r="F136" s="45"/>
      <c r="G136" s="20"/>
    </row>
    <row r="137" spans="1:7" x14ac:dyDescent="0.25">
      <c r="A137" s="20"/>
      <c r="B137" s="20"/>
      <c r="C137" s="20"/>
      <c r="D137" s="37"/>
      <c r="E137" s="45"/>
      <c r="F137" s="45"/>
      <c r="G137" s="20"/>
    </row>
    <row r="138" spans="1:7" x14ac:dyDescent="0.25">
      <c r="A138" s="20"/>
      <c r="B138" s="20"/>
      <c r="C138" s="20"/>
      <c r="D138" s="37"/>
      <c r="E138" s="45"/>
      <c r="F138" s="45"/>
      <c r="G138" s="20"/>
    </row>
    <row r="139" spans="1:7" x14ac:dyDescent="0.25">
      <c r="A139" s="20"/>
      <c r="B139" s="20"/>
      <c r="C139" s="20"/>
      <c r="D139" s="37"/>
      <c r="E139" s="45"/>
      <c r="F139" s="45"/>
      <c r="G139" s="20"/>
    </row>
    <row r="140" spans="1:7" x14ac:dyDescent="0.25">
      <c r="A140" s="20"/>
      <c r="B140" s="20"/>
      <c r="C140" s="20"/>
      <c r="D140" s="37"/>
      <c r="E140" s="45"/>
      <c r="F140" s="45"/>
      <c r="G140" s="20"/>
    </row>
    <row r="141" spans="1:7" x14ac:dyDescent="0.25">
      <c r="A141" s="20"/>
      <c r="B141" s="20"/>
      <c r="C141" s="20"/>
      <c r="D141" s="37"/>
      <c r="E141" s="45"/>
      <c r="F141" s="45"/>
      <c r="G141" s="20"/>
    </row>
    <row r="142" spans="1:7" x14ac:dyDescent="0.25">
      <c r="A142" s="20"/>
      <c r="B142" s="20"/>
      <c r="C142" s="20"/>
      <c r="D142" s="37"/>
      <c r="E142" s="45"/>
      <c r="F142" s="45"/>
      <c r="G142" s="20"/>
    </row>
    <row r="143" spans="1:7" x14ac:dyDescent="0.25">
      <c r="A143" s="20"/>
      <c r="B143" s="20"/>
      <c r="C143" s="20"/>
      <c r="D143" s="37"/>
      <c r="E143" s="45"/>
      <c r="F143" s="45"/>
      <c r="G143" s="20"/>
    </row>
    <row r="144" spans="1:7" x14ac:dyDescent="0.25">
      <c r="A144" s="20"/>
      <c r="B144" s="20"/>
      <c r="C144" s="20"/>
      <c r="D144" s="37"/>
      <c r="E144" s="45"/>
      <c r="F144" s="45"/>
      <c r="G144" s="20"/>
    </row>
    <row r="145" spans="1:7" x14ac:dyDescent="0.25">
      <c r="A145" s="20"/>
      <c r="B145" s="20"/>
      <c r="C145" s="20"/>
      <c r="D145" s="37"/>
      <c r="E145" s="45"/>
      <c r="F145" s="45"/>
      <c r="G145" s="20"/>
    </row>
    <row r="146" spans="1:7" x14ac:dyDescent="0.25">
      <c r="A146" s="20"/>
      <c r="B146" s="20"/>
      <c r="C146" s="20"/>
      <c r="D146" s="37"/>
      <c r="E146" s="45"/>
      <c r="F146" s="45"/>
      <c r="G146" s="20"/>
    </row>
    <row r="147" spans="1:7" x14ac:dyDescent="0.25">
      <c r="A147" s="20"/>
      <c r="B147" s="20"/>
      <c r="C147" s="20"/>
      <c r="D147" s="37"/>
      <c r="E147" s="45"/>
      <c r="F147" s="45"/>
      <c r="G147" s="20"/>
    </row>
    <row r="148" spans="1:7" x14ac:dyDescent="0.25">
      <c r="A148" s="20"/>
      <c r="B148" s="20"/>
      <c r="C148" s="20"/>
      <c r="D148" s="37"/>
      <c r="E148" s="45"/>
      <c r="F148" s="45"/>
      <c r="G148" s="20"/>
    </row>
    <row r="149" spans="1:7" x14ac:dyDescent="0.25">
      <c r="A149" s="20"/>
      <c r="B149" s="20"/>
      <c r="C149" s="20"/>
      <c r="D149" s="37"/>
      <c r="E149" s="45"/>
      <c r="F149" s="45"/>
      <c r="G149" s="20"/>
    </row>
    <row r="150" spans="1:7" x14ac:dyDescent="0.25">
      <c r="A150" s="20"/>
      <c r="B150" s="20"/>
      <c r="C150" s="20"/>
      <c r="D150" s="37"/>
      <c r="E150" s="45"/>
      <c r="F150" s="45"/>
      <c r="G150" s="20"/>
    </row>
    <row r="151" spans="1:7" x14ac:dyDescent="0.25">
      <c r="A151" s="20"/>
      <c r="B151" s="20"/>
      <c r="C151" s="20"/>
      <c r="D151" s="37"/>
      <c r="E151" s="45"/>
      <c r="F151" s="45"/>
      <c r="G151" s="20"/>
    </row>
    <row r="152" spans="1:7" x14ac:dyDescent="0.25">
      <c r="A152" s="20"/>
      <c r="B152" s="20"/>
      <c r="C152" s="20"/>
      <c r="D152" s="37"/>
      <c r="E152" s="45"/>
      <c r="F152" s="45"/>
      <c r="G152" s="20"/>
    </row>
    <row r="153" spans="1:7" x14ac:dyDescent="0.25">
      <c r="A153" s="20"/>
      <c r="B153" s="20"/>
      <c r="C153" s="20"/>
      <c r="D153" s="37"/>
      <c r="E153" s="45"/>
      <c r="F153" s="45"/>
      <c r="G153" s="20"/>
    </row>
    <row r="154" spans="1:7" x14ac:dyDescent="0.25">
      <c r="A154" s="20"/>
      <c r="B154" s="20"/>
      <c r="C154" s="20"/>
      <c r="D154" s="37"/>
      <c r="E154" s="45"/>
      <c r="F154" s="45"/>
      <c r="G154" s="20"/>
    </row>
    <row r="155" spans="1:7" x14ac:dyDescent="0.25">
      <c r="A155" s="20"/>
      <c r="B155" s="20"/>
      <c r="C155" s="20"/>
      <c r="D155" s="37"/>
      <c r="E155" s="45"/>
      <c r="F155" s="45"/>
      <c r="G155" s="20"/>
    </row>
    <row r="156" spans="1:7" x14ac:dyDescent="0.25">
      <c r="A156" s="20"/>
      <c r="B156" s="20"/>
      <c r="C156" s="20"/>
      <c r="D156" s="37"/>
      <c r="E156" s="45"/>
      <c r="F156" s="45"/>
      <c r="G156" s="20"/>
    </row>
    <row r="157" spans="1:7" x14ac:dyDescent="0.25">
      <c r="A157" s="20"/>
      <c r="B157" s="20"/>
      <c r="C157" s="20"/>
      <c r="D157" s="37"/>
      <c r="E157" s="45"/>
      <c r="F157" s="45"/>
      <c r="G157" s="20"/>
    </row>
    <row r="158" spans="1:7" x14ac:dyDescent="0.25">
      <c r="A158" s="20"/>
      <c r="B158" s="20"/>
      <c r="C158" s="20"/>
      <c r="D158" s="37"/>
      <c r="E158" s="45"/>
      <c r="F158" s="45"/>
      <c r="G158" s="20"/>
    </row>
    <row r="159" spans="1:7" x14ac:dyDescent="0.25">
      <c r="A159" s="20"/>
      <c r="B159" s="20"/>
      <c r="C159" s="20"/>
      <c r="D159" s="37"/>
      <c r="E159" s="45"/>
      <c r="F159" s="45"/>
      <c r="G159" s="20"/>
    </row>
    <row r="160" spans="1:7" x14ac:dyDescent="0.25">
      <c r="A160" s="20"/>
      <c r="B160" s="20"/>
      <c r="C160" s="20"/>
      <c r="D160" s="37"/>
      <c r="E160" s="45"/>
      <c r="F160" s="45"/>
      <c r="G160" s="20"/>
    </row>
    <row r="161" spans="1:7" x14ac:dyDescent="0.25">
      <c r="A161" s="20"/>
      <c r="B161" s="20"/>
      <c r="C161" s="20"/>
      <c r="D161" s="37"/>
      <c r="E161" s="45"/>
      <c r="F161" s="45"/>
      <c r="G161" s="20"/>
    </row>
    <row r="162" spans="1:7" x14ac:dyDescent="0.25">
      <c r="A162" s="20"/>
      <c r="B162" s="20"/>
      <c r="C162" s="20"/>
      <c r="D162" s="37"/>
      <c r="E162" s="45"/>
      <c r="F162" s="45"/>
      <c r="G162" s="20"/>
    </row>
    <row r="163" spans="1:7" x14ac:dyDescent="0.25">
      <c r="A163" s="20"/>
      <c r="B163" s="20"/>
      <c r="C163" s="20"/>
      <c r="D163" s="37"/>
      <c r="E163" s="45"/>
      <c r="F163" s="45"/>
      <c r="G163" s="20"/>
    </row>
    <row r="164" spans="1:7" x14ac:dyDescent="0.25">
      <c r="A164" s="20"/>
      <c r="B164" s="20"/>
      <c r="C164" s="20"/>
      <c r="D164" s="37"/>
      <c r="E164" s="45"/>
      <c r="F164" s="45"/>
      <c r="G164" s="20"/>
    </row>
    <row r="165" spans="1:7" x14ac:dyDescent="0.25">
      <c r="A165" s="20"/>
      <c r="B165" s="20"/>
      <c r="C165" s="20"/>
      <c r="D165" s="37"/>
      <c r="E165" s="45"/>
      <c r="F165" s="45"/>
      <c r="G165" s="20"/>
    </row>
    <row r="166" spans="1:7" x14ac:dyDescent="0.25">
      <c r="A166" s="20"/>
      <c r="B166" s="20"/>
      <c r="C166" s="20"/>
      <c r="D166" s="37"/>
      <c r="E166" s="45"/>
      <c r="F166" s="45"/>
      <c r="G166" s="20"/>
    </row>
    <row r="167" spans="1:7" x14ac:dyDescent="0.25">
      <c r="A167" s="20"/>
      <c r="B167" s="20"/>
      <c r="C167" s="20"/>
      <c r="D167" s="37"/>
      <c r="E167" s="45"/>
      <c r="F167" s="45"/>
      <c r="G167" s="20"/>
    </row>
    <row r="168" spans="1:7" x14ac:dyDescent="0.25">
      <c r="A168" s="20"/>
      <c r="B168" s="20"/>
      <c r="C168" s="20"/>
      <c r="D168" s="37"/>
      <c r="E168" s="45"/>
      <c r="F168" s="45"/>
      <c r="G168" s="20"/>
    </row>
    <row r="169" spans="1:7" x14ac:dyDescent="0.25">
      <c r="A169" s="20"/>
      <c r="B169" s="20"/>
      <c r="C169" s="20"/>
      <c r="D169" s="37"/>
      <c r="E169" s="45"/>
      <c r="F169" s="45"/>
      <c r="G169" s="20"/>
    </row>
    <row r="170" spans="1:7" x14ac:dyDescent="0.25">
      <c r="A170" s="20"/>
      <c r="B170" s="20"/>
      <c r="C170" s="20"/>
      <c r="D170" s="37"/>
      <c r="E170" s="45"/>
      <c r="F170" s="45"/>
      <c r="G170" s="20"/>
    </row>
    <row r="171" spans="1:7" x14ac:dyDescent="0.25">
      <c r="A171" s="20"/>
      <c r="B171" s="20"/>
      <c r="C171" s="20"/>
      <c r="D171" s="37"/>
      <c r="E171" s="45"/>
      <c r="F171" s="45"/>
      <c r="G171" s="20"/>
    </row>
    <row r="172" spans="1:7" x14ac:dyDescent="0.25">
      <c r="A172" s="20"/>
      <c r="B172" s="20"/>
      <c r="C172" s="20"/>
      <c r="D172" s="37"/>
      <c r="E172" s="45"/>
      <c r="F172" s="45"/>
      <c r="G172" s="20"/>
    </row>
    <row r="173" spans="1:7" x14ac:dyDescent="0.25">
      <c r="A173" s="20"/>
      <c r="B173" s="20"/>
      <c r="C173" s="20"/>
      <c r="D173" s="37"/>
      <c r="E173" s="45"/>
      <c r="F173" s="45"/>
      <c r="G173" s="20"/>
    </row>
    <row r="174" spans="1:7" x14ac:dyDescent="0.25">
      <c r="A174" s="20"/>
      <c r="B174" s="20"/>
      <c r="C174" s="20"/>
      <c r="D174" s="37"/>
      <c r="E174" s="45"/>
      <c r="F174" s="45"/>
      <c r="G174" s="20"/>
    </row>
    <row r="175" spans="1:7" x14ac:dyDescent="0.25">
      <c r="A175" s="20"/>
      <c r="B175" s="20"/>
      <c r="C175" s="20"/>
      <c r="D175" s="37"/>
      <c r="E175" s="45"/>
      <c r="F175" s="45"/>
      <c r="G175" s="20"/>
    </row>
    <row r="176" spans="1:7" x14ac:dyDescent="0.25">
      <c r="A176" s="20"/>
      <c r="B176" s="20"/>
      <c r="C176" s="20"/>
      <c r="D176" s="37"/>
      <c r="E176" s="45"/>
      <c r="F176" s="45"/>
      <c r="G176" s="20"/>
    </row>
    <row r="177" spans="1:7" x14ac:dyDescent="0.25">
      <c r="A177" s="20"/>
      <c r="B177" s="20"/>
      <c r="C177" s="20"/>
      <c r="D177" s="37"/>
      <c r="E177" s="45"/>
      <c r="F177" s="45"/>
      <c r="G177" s="20"/>
    </row>
    <row r="178" spans="1:7" x14ac:dyDescent="0.25">
      <c r="A178" s="20"/>
      <c r="B178" s="20"/>
      <c r="C178" s="20"/>
      <c r="D178" s="37"/>
      <c r="E178" s="45"/>
      <c r="F178" s="45"/>
      <c r="G178" s="20"/>
    </row>
    <row r="179" spans="1:7" x14ac:dyDescent="0.25">
      <c r="A179" s="20"/>
      <c r="B179" s="20"/>
      <c r="C179" s="20"/>
      <c r="D179" s="37"/>
      <c r="E179" s="45"/>
      <c r="F179" s="45"/>
      <c r="G179" s="20"/>
    </row>
    <row r="180" spans="1:7" x14ac:dyDescent="0.25">
      <c r="A180" s="20"/>
      <c r="B180" s="20"/>
      <c r="C180" s="20"/>
      <c r="D180" s="37"/>
      <c r="E180" s="45"/>
      <c r="F180" s="45"/>
      <c r="G180" s="20"/>
    </row>
    <row r="181" spans="1:7" x14ac:dyDescent="0.25">
      <c r="A181" s="20"/>
      <c r="B181" s="20"/>
      <c r="C181" s="20"/>
      <c r="D181" s="37"/>
      <c r="E181" s="45"/>
      <c r="F181" s="45"/>
      <c r="G181" s="20"/>
    </row>
    <row r="182" spans="1:7" x14ac:dyDescent="0.25">
      <c r="A182" s="20"/>
      <c r="B182" s="20"/>
      <c r="C182" s="20"/>
      <c r="D182" s="37"/>
      <c r="E182" s="45"/>
      <c r="F182" s="45"/>
      <c r="G182" s="20"/>
    </row>
    <row r="183" spans="1:7" x14ac:dyDescent="0.25">
      <c r="A183" s="20"/>
      <c r="B183" s="20"/>
      <c r="C183" s="20"/>
      <c r="D183" s="37"/>
      <c r="E183" s="45"/>
      <c r="F183" s="45"/>
      <c r="G183" s="20"/>
    </row>
    <row r="184" spans="1:7" x14ac:dyDescent="0.25">
      <c r="A184" s="20"/>
      <c r="B184" s="20"/>
      <c r="C184" s="20"/>
      <c r="D184" s="37"/>
      <c r="E184" s="45"/>
      <c r="F184" s="45"/>
      <c r="G184" s="20"/>
    </row>
    <row r="185" spans="1:7" x14ac:dyDescent="0.25">
      <c r="A185" s="20"/>
      <c r="B185" s="20"/>
      <c r="C185" s="20"/>
      <c r="D185" s="37"/>
      <c r="E185" s="45"/>
      <c r="F185" s="45"/>
      <c r="G185" s="20"/>
    </row>
    <row r="186" spans="1:7" x14ac:dyDescent="0.25">
      <c r="A186" s="20"/>
      <c r="B186" s="20"/>
      <c r="C186" s="20"/>
      <c r="D186" s="37"/>
      <c r="E186" s="45"/>
      <c r="F186" s="45"/>
      <c r="G186" s="20"/>
    </row>
    <row r="187" spans="1:7" x14ac:dyDescent="0.25">
      <c r="A187" s="20"/>
      <c r="B187" s="20"/>
      <c r="C187" s="20"/>
      <c r="D187" s="37"/>
      <c r="E187" s="45"/>
      <c r="F187" s="45"/>
      <c r="G187" s="20"/>
    </row>
    <row r="188" spans="1:7" x14ac:dyDescent="0.25">
      <c r="A188" s="20"/>
      <c r="B188" s="20"/>
      <c r="C188" s="20"/>
      <c r="D188" s="37"/>
      <c r="E188" s="45"/>
      <c r="F188" s="45"/>
      <c r="G188" s="20"/>
    </row>
    <row r="189" spans="1:7" x14ac:dyDescent="0.25">
      <c r="A189" s="20"/>
      <c r="B189" s="20"/>
      <c r="C189" s="20"/>
      <c r="D189" s="37"/>
      <c r="E189" s="45"/>
      <c r="F189" s="45"/>
      <c r="G189" s="20"/>
    </row>
    <row r="190" spans="1:7" x14ac:dyDescent="0.25">
      <c r="A190" s="20"/>
      <c r="B190" s="20"/>
      <c r="C190" s="20"/>
      <c r="D190" s="37"/>
      <c r="E190" s="45"/>
      <c r="F190" s="45"/>
      <c r="G190" s="20"/>
    </row>
    <row r="191" spans="1:7" x14ac:dyDescent="0.25">
      <c r="A191" s="20"/>
      <c r="B191" s="20"/>
      <c r="C191" s="20"/>
      <c r="D191" s="37"/>
      <c r="E191" s="45"/>
      <c r="F191" s="45"/>
      <c r="G191" s="20"/>
    </row>
    <row r="192" spans="1:7" x14ac:dyDescent="0.25">
      <c r="A192" s="20"/>
      <c r="B192" s="20"/>
      <c r="C192" s="20"/>
      <c r="D192" s="37"/>
      <c r="E192" s="45"/>
      <c r="F192" s="45"/>
      <c r="G192" s="20"/>
    </row>
    <row r="193" spans="1:7" x14ac:dyDescent="0.25">
      <c r="A193" s="20"/>
      <c r="B193" s="20"/>
      <c r="C193" s="20"/>
      <c r="D193" s="37"/>
      <c r="E193" s="45"/>
      <c r="F193" s="45"/>
      <c r="G193" s="20"/>
    </row>
    <row r="194" spans="1:7" x14ac:dyDescent="0.25">
      <c r="A194" s="20"/>
      <c r="B194" s="20"/>
      <c r="C194" s="20"/>
      <c r="D194" s="37"/>
      <c r="E194" s="45"/>
      <c r="F194" s="45"/>
      <c r="G194" s="20"/>
    </row>
    <row r="195" spans="1:7" x14ac:dyDescent="0.25">
      <c r="A195" s="20"/>
      <c r="B195" s="20"/>
      <c r="C195" s="20"/>
      <c r="D195" s="37"/>
      <c r="E195" s="45"/>
      <c r="F195" s="45"/>
      <c r="G195" s="20"/>
    </row>
    <row r="196" spans="1:7" x14ac:dyDescent="0.25">
      <c r="A196" s="20"/>
      <c r="B196" s="20"/>
      <c r="C196" s="20"/>
      <c r="D196" s="37"/>
      <c r="E196" s="45"/>
      <c r="F196" s="45"/>
      <c r="G196" s="20"/>
    </row>
    <row r="197" spans="1:7" x14ac:dyDescent="0.25">
      <c r="A197" s="20"/>
      <c r="B197" s="20"/>
      <c r="C197" s="20"/>
      <c r="D197" s="37"/>
      <c r="E197" s="45"/>
      <c r="F197" s="45"/>
      <c r="G197" s="20"/>
    </row>
    <row r="198" spans="1:7" x14ac:dyDescent="0.25">
      <c r="A198" s="20"/>
      <c r="B198" s="20"/>
      <c r="C198" s="20"/>
      <c r="D198" s="37"/>
      <c r="E198" s="45"/>
      <c r="F198" s="45"/>
      <c r="G198" s="20"/>
    </row>
    <row r="199" spans="1:7" x14ac:dyDescent="0.25">
      <c r="A199" s="20"/>
      <c r="B199" s="20"/>
      <c r="C199" s="20"/>
      <c r="D199" s="37"/>
      <c r="E199" s="45"/>
      <c r="F199" s="45"/>
      <c r="G199" s="20"/>
    </row>
    <row r="200" spans="1:7" x14ac:dyDescent="0.25">
      <c r="A200" s="20"/>
      <c r="B200" s="20"/>
      <c r="C200" s="20"/>
      <c r="D200" s="37"/>
      <c r="E200" s="45"/>
      <c r="F200" s="45"/>
      <c r="G200" s="20"/>
    </row>
    <row r="201" spans="1:7" x14ac:dyDescent="0.25">
      <c r="A201" s="20"/>
      <c r="B201" s="20"/>
      <c r="C201" s="20"/>
      <c r="D201" s="37"/>
      <c r="E201" s="45"/>
      <c r="F201" s="45"/>
      <c r="G201" s="20"/>
    </row>
    <row r="202" spans="1:7" x14ac:dyDescent="0.25">
      <c r="A202" s="20"/>
      <c r="B202" s="20"/>
      <c r="C202" s="20"/>
      <c r="D202" s="37"/>
      <c r="E202" s="45"/>
      <c r="F202" s="45"/>
      <c r="G202" s="20"/>
    </row>
    <row r="203" spans="1:7" x14ac:dyDescent="0.25">
      <c r="A203" s="20"/>
      <c r="B203" s="20"/>
      <c r="C203" s="20"/>
      <c r="D203" s="37"/>
      <c r="E203" s="45"/>
      <c r="F203" s="45"/>
      <c r="G203" s="20"/>
    </row>
    <row r="204" spans="1:7" x14ac:dyDescent="0.25">
      <c r="A204" s="20"/>
      <c r="B204" s="20"/>
      <c r="C204" s="20"/>
      <c r="D204" s="37"/>
      <c r="E204" s="45"/>
      <c r="F204" s="45"/>
      <c r="G204" s="20"/>
    </row>
    <row r="205" spans="1:7" x14ac:dyDescent="0.25">
      <c r="A205" s="20"/>
      <c r="B205" s="20"/>
      <c r="C205" s="20"/>
      <c r="D205" s="37"/>
      <c r="E205" s="45"/>
      <c r="F205" s="45"/>
      <c r="G205" s="20"/>
    </row>
    <row r="206" spans="1:7" x14ac:dyDescent="0.25">
      <c r="A206" s="20"/>
      <c r="B206" s="20"/>
      <c r="C206" s="20"/>
      <c r="D206" s="37"/>
      <c r="E206" s="45"/>
      <c r="F206" s="45"/>
      <c r="G206" s="20"/>
    </row>
    <row r="207" spans="1:7" x14ac:dyDescent="0.25">
      <c r="A207" s="20"/>
      <c r="B207" s="20"/>
      <c r="C207" s="20"/>
      <c r="D207" s="37"/>
      <c r="E207" s="45"/>
      <c r="F207" s="45"/>
      <c r="G207" s="20"/>
    </row>
    <row r="208" spans="1:7" x14ac:dyDescent="0.25">
      <c r="A208" s="20"/>
      <c r="B208" s="20"/>
      <c r="C208" s="20"/>
      <c r="D208" s="37"/>
      <c r="E208" s="45"/>
      <c r="F208" s="45"/>
      <c r="G208" s="20"/>
    </row>
    <row r="209" spans="1:7" x14ac:dyDescent="0.25">
      <c r="A209" s="20"/>
      <c r="B209" s="20"/>
      <c r="C209" s="20"/>
      <c r="D209" s="37"/>
      <c r="E209" s="45"/>
      <c r="F209" s="45"/>
      <c r="G209" s="20"/>
    </row>
    <row r="210" spans="1:7" x14ac:dyDescent="0.25">
      <c r="A210" s="20"/>
      <c r="B210" s="20"/>
      <c r="C210" s="20"/>
      <c r="D210" s="37"/>
      <c r="E210" s="45"/>
      <c r="F210" s="45"/>
      <c r="G210" s="20"/>
    </row>
    <row r="211" spans="1:7" x14ac:dyDescent="0.25">
      <c r="A211" s="20"/>
      <c r="B211" s="20"/>
      <c r="C211" s="20"/>
      <c r="D211" s="37"/>
      <c r="E211" s="45"/>
      <c r="F211" s="45"/>
      <c r="G211" s="20"/>
    </row>
    <row r="212" spans="1:7" x14ac:dyDescent="0.25">
      <c r="A212" s="20"/>
      <c r="B212" s="20"/>
      <c r="C212" s="20"/>
      <c r="D212" s="37"/>
      <c r="E212" s="45"/>
      <c r="F212" s="45"/>
      <c r="G212" s="20"/>
    </row>
    <row r="213" spans="1:7" x14ac:dyDescent="0.25">
      <c r="A213" s="20"/>
      <c r="B213" s="20"/>
      <c r="C213" s="20"/>
      <c r="D213" s="37"/>
      <c r="E213" s="45"/>
      <c r="F213" s="45"/>
      <c r="G213" s="20"/>
    </row>
    <row r="214" spans="1:7" x14ac:dyDescent="0.25">
      <c r="A214" s="20"/>
      <c r="B214" s="20"/>
      <c r="C214" s="20"/>
      <c r="D214" s="37"/>
      <c r="E214" s="45"/>
      <c r="F214" s="45"/>
      <c r="G214" s="20"/>
    </row>
    <row r="215" spans="1:7" x14ac:dyDescent="0.25">
      <c r="A215" s="20"/>
      <c r="B215" s="20"/>
      <c r="C215" s="20"/>
      <c r="D215" s="37"/>
      <c r="E215" s="45"/>
      <c r="F215" s="45"/>
      <c r="G215" s="20"/>
    </row>
    <row r="216" spans="1:7" x14ac:dyDescent="0.25">
      <c r="A216" s="20"/>
      <c r="B216" s="20"/>
      <c r="C216" s="20"/>
      <c r="D216" s="37"/>
      <c r="E216" s="45"/>
      <c r="F216" s="45"/>
      <c r="G216" s="20"/>
    </row>
    <row r="217" spans="1:7" x14ac:dyDescent="0.25">
      <c r="A217" s="20"/>
      <c r="B217" s="20"/>
      <c r="C217" s="20"/>
      <c r="D217" s="37"/>
      <c r="E217" s="45"/>
      <c r="F217" s="45"/>
      <c r="G217" s="20"/>
    </row>
    <row r="218" spans="1:7" x14ac:dyDescent="0.25">
      <c r="A218" s="20"/>
      <c r="B218" s="20"/>
      <c r="C218" s="20"/>
      <c r="D218" s="37"/>
      <c r="E218" s="45"/>
      <c r="F218" s="45"/>
      <c r="G218" s="20"/>
    </row>
    <row r="219" spans="1:7" x14ac:dyDescent="0.25">
      <c r="A219" s="20"/>
      <c r="B219" s="20"/>
      <c r="C219" s="20"/>
      <c r="D219" s="37"/>
      <c r="E219" s="45"/>
      <c r="F219" s="45"/>
      <c r="G219" s="20"/>
    </row>
    <row r="220" spans="1:7" x14ac:dyDescent="0.25">
      <c r="A220" s="20"/>
      <c r="B220" s="20"/>
      <c r="C220" s="20"/>
      <c r="D220" s="37"/>
      <c r="E220" s="45"/>
      <c r="F220" s="45"/>
      <c r="G220" s="20"/>
    </row>
    <row r="221" spans="1:7" x14ac:dyDescent="0.25">
      <c r="A221" s="20"/>
      <c r="B221" s="20"/>
      <c r="C221" s="20"/>
      <c r="D221" s="37"/>
      <c r="E221" s="45"/>
      <c r="F221" s="45"/>
      <c r="G221" s="20"/>
    </row>
    <row r="222" spans="1:7" x14ac:dyDescent="0.25">
      <c r="A222" s="20"/>
      <c r="B222" s="20"/>
      <c r="C222" s="20"/>
      <c r="D222" s="37"/>
      <c r="E222" s="45"/>
      <c r="F222" s="45"/>
      <c r="G222" s="20"/>
    </row>
    <row r="223" spans="1:7" x14ac:dyDescent="0.25">
      <c r="A223" s="20"/>
      <c r="B223" s="20"/>
      <c r="C223" s="20"/>
      <c r="D223" s="37"/>
      <c r="E223" s="45"/>
      <c r="F223" s="45"/>
      <c r="G223" s="20"/>
    </row>
    <row r="224" spans="1:7" x14ac:dyDescent="0.25">
      <c r="A224" s="20"/>
      <c r="B224" s="20"/>
      <c r="C224" s="20"/>
      <c r="D224" s="37"/>
      <c r="E224" s="45"/>
      <c r="F224" s="45"/>
      <c r="G224" s="20"/>
    </row>
    <row r="225" spans="1:7" x14ac:dyDescent="0.25">
      <c r="A225" s="20"/>
      <c r="B225" s="20"/>
      <c r="C225" s="20"/>
      <c r="D225" s="37"/>
      <c r="E225" s="45"/>
      <c r="F225" s="45"/>
      <c r="G225" s="20"/>
    </row>
    <row r="226" spans="1:7" x14ac:dyDescent="0.25">
      <c r="A226" s="20"/>
      <c r="B226" s="20"/>
      <c r="C226" s="20"/>
      <c r="D226" s="37"/>
      <c r="E226" s="45"/>
      <c r="F226" s="45"/>
      <c r="G226" s="20"/>
    </row>
    <row r="227" spans="1:7" x14ac:dyDescent="0.25">
      <c r="A227" s="20"/>
      <c r="B227" s="20"/>
      <c r="C227" s="20"/>
      <c r="D227" s="37"/>
      <c r="E227" s="45"/>
      <c r="F227" s="45"/>
      <c r="G227" s="20"/>
    </row>
    <row r="228" spans="1:7" x14ac:dyDescent="0.25">
      <c r="A228" s="20"/>
      <c r="B228" s="20"/>
      <c r="C228" s="20"/>
      <c r="D228" s="37"/>
      <c r="E228" s="45"/>
      <c r="F228" s="45"/>
      <c r="G228" s="20"/>
    </row>
    <row r="229" spans="1:7" x14ac:dyDescent="0.25">
      <c r="A229" s="20"/>
      <c r="B229" s="20"/>
      <c r="C229" s="20"/>
      <c r="D229" s="37"/>
      <c r="E229" s="45"/>
      <c r="F229" s="45"/>
      <c r="G229" s="20"/>
    </row>
    <row r="230" spans="1:7" x14ac:dyDescent="0.25">
      <c r="A230" s="20"/>
      <c r="B230" s="20"/>
      <c r="C230" s="20"/>
      <c r="D230" s="37"/>
      <c r="E230" s="45"/>
      <c r="F230" s="45"/>
      <c r="G230" s="20"/>
    </row>
    <row r="231" spans="1:7" x14ac:dyDescent="0.25">
      <c r="A231" s="20"/>
      <c r="B231" s="20"/>
      <c r="C231" s="20"/>
      <c r="D231" s="37"/>
      <c r="E231" s="45"/>
      <c r="F231" s="45"/>
      <c r="G231" s="20"/>
    </row>
    <row r="232" spans="1:7" x14ac:dyDescent="0.25">
      <c r="A232" s="20"/>
      <c r="B232" s="20"/>
      <c r="C232" s="20"/>
      <c r="D232" s="37"/>
      <c r="E232" s="45"/>
      <c r="F232" s="45"/>
      <c r="G232" s="20"/>
    </row>
    <row r="233" spans="1:7" x14ac:dyDescent="0.25">
      <c r="A233" s="20"/>
      <c r="B233" s="20"/>
      <c r="C233" s="20"/>
      <c r="D233" s="37"/>
      <c r="E233" s="45"/>
      <c r="F233" s="45"/>
      <c r="G233" s="20"/>
    </row>
    <row r="234" spans="1:7" x14ac:dyDescent="0.25">
      <c r="A234" s="20"/>
      <c r="B234" s="20"/>
      <c r="C234" s="20"/>
      <c r="D234" s="37"/>
      <c r="E234" s="45"/>
      <c r="F234" s="45"/>
      <c r="G234" s="20"/>
    </row>
    <row r="235" spans="1:7" x14ac:dyDescent="0.25">
      <c r="A235" s="20"/>
      <c r="B235" s="20"/>
      <c r="C235" s="20"/>
      <c r="D235" s="37"/>
      <c r="E235" s="45"/>
      <c r="F235" s="45"/>
      <c r="G235" s="20"/>
    </row>
    <row r="236" spans="1:7" x14ac:dyDescent="0.25">
      <c r="A236" s="20"/>
      <c r="B236" s="20"/>
      <c r="C236" s="20"/>
      <c r="D236" s="37"/>
      <c r="E236" s="45"/>
      <c r="F236" s="45"/>
      <c r="G236" s="20"/>
    </row>
    <row r="237" spans="1:7" x14ac:dyDescent="0.25">
      <c r="A237" s="20"/>
      <c r="B237" s="20"/>
      <c r="C237" s="20"/>
      <c r="D237" s="37"/>
      <c r="E237" s="45"/>
      <c r="F237" s="45"/>
      <c r="G237" s="20"/>
    </row>
    <row r="238" spans="1:7" x14ac:dyDescent="0.25">
      <c r="A238" s="20"/>
      <c r="B238" s="20"/>
      <c r="C238" s="20"/>
      <c r="D238" s="37"/>
      <c r="E238" s="45"/>
      <c r="F238" s="45"/>
      <c r="G238" s="20"/>
    </row>
    <row r="239" spans="1:7" x14ac:dyDescent="0.25">
      <c r="A239" s="20"/>
      <c r="B239" s="20"/>
      <c r="C239" s="20"/>
      <c r="D239" s="37"/>
      <c r="E239" s="45"/>
      <c r="F239" s="45"/>
      <c r="G239" s="20"/>
    </row>
    <row r="240" spans="1:7" x14ac:dyDescent="0.25">
      <c r="A240" s="20"/>
      <c r="B240" s="20"/>
      <c r="C240" s="20"/>
      <c r="D240" s="37"/>
      <c r="E240" s="45"/>
      <c r="F240" s="45"/>
      <c r="G240" s="20"/>
    </row>
    <row r="241" spans="1:7" x14ac:dyDescent="0.25">
      <c r="A241" s="20"/>
      <c r="B241" s="20"/>
      <c r="C241" s="20"/>
      <c r="D241" s="37"/>
      <c r="E241" s="45"/>
      <c r="F241" s="45"/>
      <c r="G241" s="20"/>
    </row>
    <row r="242" spans="1:7" x14ac:dyDescent="0.25">
      <c r="A242" s="20"/>
      <c r="B242" s="20"/>
      <c r="C242" s="20"/>
      <c r="D242" s="37"/>
      <c r="E242" s="45"/>
      <c r="F242" s="45"/>
      <c r="G242" s="20"/>
    </row>
    <row r="243" spans="1:7" x14ac:dyDescent="0.25">
      <c r="A243" s="20"/>
      <c r="B243" s="20"/>
      <c r="C243" s="20"/>
      <c r="D243" s="37"/>
      <c r="E243" s="45"/>
      <c r="F243" s="45"/>
      <c r="G243" s="20"/>
    </row>
    <row r="244" spans="1:7" x14ac:dyDescent="0.25">
      <c r="A244" s="20"/>
      <c r="B244" s="20"/>
      <c r="C244" s="20"/>
      <c r="D244" s="37"/>
      <c r="E244" s="45"/>
      <c r="F244" s="45"/>
      <c r="G244" s="20"/>
    </row>
    <row r="245" spans="1:7" x14ac:dyDescent="0.25">
      <c r="A245" s="20"/>
      <c r="B245" s="20"/>
      <c r="C245" s="20"/>
      <c r="D245" s="37"/>
      <c r="E245" s="45"/>
      <c r="F245" s="45"/>
      <c r="G245" s="20"/>
    </row>
    <row r="246" spans="1:7" x14ac:dyDescent="0.25">
      <c r="A246" s="20"/>
      <c r="B246" s="20"/>
      <c r="C246" s="20"/>
      <c r="D246" s="37"/>
      <c r="E246" s="45"/>
      <c r="F246" s="45"/>
      <c r="G246" s="20"/>
    </row>
    <row r="247" spans="1:7" x14ac:dyDescent="0.25">
      <c r="A247" s="20"/>
      <c r="B247" s="20"/>
      <c r="C247" s="20"/>
      <c r="D247" s="37"/>
      <c r="E247" s="45"/>
      <c r="F247" s="45"/>
      <c r="G247" s="20"/>
    </row>
    <row r="248" spans="1:7" x14ac:dyDescent="0.25">
      <c r="A248" s="20"/>
      <c r="B248" s="20"/>
      <c r="C248" s="20"/>
      <c r="D248" s="37"/>
      <c r="E248" s="45"/>
      <c r="F248" s="45"/>
      <c r="G248" s="20"/>
    </row>
    <row r="249" spans="1:7" x14ac:dyDescent="0.25">
      <c r="A249" s="20"/>
      <c r="B249" s="20"/>
      <c r="C249" s="20"/>
      <c r="D249" s="37"/>
      <c r="E249" s="45"/>
      <c r="F249" s="45"/>
      <c r="G249" s="20"/>
    </row>
    <row r="250" spans="1:7" x14ac:dyDescent="0.25">
      <c r="A250" s="20"/>
      <c r="B250" s="20"/>
      <c r="C250" s="20"/>
      <c r="D250" s="37"/>
      <c r="E250" s="45"/>
      <c r="F250" s="45"/>
      <c r="G250" s="20"/>
    </row>
    <row r="251" spans="1:7" x14ac:dyDescent="0.25">
      <c r="A251" s="20"/>
      <c r="B251" s="20"/>
      <c r="C251" s="20"/>
      <c r="D251" s="37"/>
      <c r="E251" s="45"/>
      <c r="F251" s="45"/>
      <c r="G251" s="20"/>
    </row>
    <row r="252" spans="1:7" x14ac:dyDescent="0.25">
      <c r="A252" s="20"/>
      <c r="B252" s="20"/>
      <c r="C252" s="20"/>
      <c r="D252" s="37"/>
      <c r="E252" s="45"/>
      <c r="F252" s="45"/>
      <c r="G252" s="20"/>
    </row>
    <row r="253" spans="1:7" x14ac:dyDescent="0.25">
      <c r="A253" s="20"/>
      <c r="B253" s="20"/>
      <c r="C253" s="20"/>
      <c r="D253" s="37"/>
      <c r="E253" s="45"/>
      <c r="F253" s="45"/>
      <c r="G253" s="20"/>
    </row>
    <row r="254" spans="1:7" x14ac:dyDescent="0.25">
      <c r="A254" s="20"/>
      <c r="B254" s="20"/>
      <c r="C254" s="20"/>
      <c r="D254" s="37"/>
      <c r="E254" s="45"/>
      <c r="F254" s="45"/>
      <c r="G254" s="20"/>
    </row>
    <row r="255" spans="1:7" x14ac:dyDescent="0.25">
      <c r="A255" s="20"/>
      <c r="B255" s="20"/>
      <c r="C255" s="20"/>
      <c r="D255" s="37"/>
      <c r="E255" s="45"/>
      <c r="F255" s="45"/>
      <c r="G255" s="20"/>
    </row>
    <row r="256" spans="1:7" x14ac:dyDescent="0.25">
      <c r="A256" s="20"/>
      <c r="B256" s="20"/>
      <c r="C256" s="20"/>
      <c r="D256" s="37"/>
      <c r="E256" s="45"/>
      <c r="F256" s="45"/>
      <c r="G256" s="20"/>
    </row>
    <row r="257" spans="1:7" x14ac:dyDescent="0.25">
      <c r="A257" s="20"/>
      <c r="B257" s="20"/>
      <c r="C257" s="20"/>
      <c r="D257" s="37"/>
      <c r="E257" s="45"/>
      <c r="F257" s="45"/>
      <c r="G257" s="20"/>
    </row>
    <row r="258" spans="1:7" x14ac:dyDescent="0.25">
      <c r="A258" s="20"/>
      <c r="B258" s="20"/>
      <c r="C258" s="20"/>
      <c r="D258" s="37"/>
      <c r="E258" s="45"/>
      <c r="F258" s="45"/>
      <c r="G258" s="20"/>
    </row>
    <row r="259" spans="1:7" x14ac:dyDescent="0.25">
      <c r="A259" s="20"/>
      <c r="B259" s="20"/>
      <c r="C259" s="20"/>
      <c r="D259" s="37"/>
      <c r="E259" s="45"/>
      <c r="F259" s="45"/>
      <c r="G259" s="20"/>
    </row>
    <row r="260" spans="1:7" x14ac:dyDescent="0.25">
      <c r="A260" s="20"/>
      <c r="B260" s="20"/>
      <c r="C260" s="20"/>
      <c r="D260" s="37"/>
      <c r="E260" s="45"/>
      <c r="F260" s="45"/>
      <c r="G260" s="20"/>
    </row>
    <row r="261" spans="1:7" x14ac:dyDescent="0.25">
      <c r="A261" s="20"/>
      <c r="B261" s="20"/>
      <c r="C261" s="20"/>
      <c r="D261" s="37"/>
      <c r="E261" s="45"/>
      <c r="F261" s="45"/>
      <c r="G261" s="20"/>
    </row>
    <row r="262" spans="1:7" x14ac:dyDescent="0.25">
      <c r="A262" s="20"/>
      <c r="B262" s="20"/>
      <c r="C262" s="20"/>
      <c r="D262" s="37"/>
      <c r="E262" s="45"/>
      <c r="F262" s="45"/>
      <c r="G262" s="20"/>
    </row>
    <row r="263" spans="1:7" x14ac:dyDescent="0.25">
      <c r="A263" s="20"/>
      <c r="B263" s="20"/>
      <c r="C263" s="20"/>
      <c r="D263" s="37"/>
      <c r="E263" s="45"/>
      <c r="F263" s="45"/>
      <c r="G263" s="20"/>
    </row>
    <row r="264" spans="1:7" x14ac:dyDescent="0.25">
      <c r="A264" s="20"/>
      <c r="B264" s="20"/>
      <c r="C264" s="20"/>
      <c r="D264" s="37"/>
      <c r="E264" s="45"/>
      <c r="F264" s="45"/>
      <c r="G264" s="20"/>
    </row>
    <row r="265" spans="1:7" x14ac:dyDescent="0.25">
      <c r="A265" s="20"/>
      <c r="B265" s="20"/>
      <c r="C265" s="20"/>
      <c r="D265" s="37"/>
      <c r="E265" s="45"/>
      <c r="F265" s="45"/>
      <c r="G265" s="20"/>
    </row>
    <row r="266" spans="1:7" x14ac:dyDescent="0.25">
      <c r="A266" s="20"/>
      <c r="B266" s="20"/>
      <c r="C266" s="20"/>
      <c r="D266" s="37"/>
      <c r="E266" s="45"/>
      <c r="F266" s="45"/>
      <c r="G266" s="20"/>
    </row>
    <row r="267" spans="1:7" x14ac:dyDescent="0.25">
      <c r="A267" s="20"/>
      <c r="B267" s="20"/>
      <c r="C267" s="20"/>
      <c r="D267" s="37"/>
      <c r="E267" s="45"/>
      <c r="F267" s="45"/>
      <c r="G267" s="20"/>
    </row>
    <row r="268" spans="1:7" x14ac:dyDescent="0.25">
      <c r="A268" s="20"/>
      <c r="B268" s="20"/>
      <c r="C268" s="20"/>
      <c r="D268" s="37"/>
      <c r="E268" s="45"/>
      <c r="F268" s="45"/>
      <c r="G268" s="20"/>
    </row>
    <row r="269" spans="1:7" x14ac:dyDescent="0.25">
      <c r="A269" s="20"/>
      <c r="B269" s="20"/>
      <c r="C269" s="20"/>
      <c r="D269" s="37"/>
      <c r="E269" s="45"/>
      <c r="F269" s="45"/>
      <c r="G269" s="20"/>
    </row>
    <row r="270" spans="1:7" x14ac:dyDescent="0.25">
      <c r="A270" s="20"/>
      <c r="B270" s="20"/>
      <c r="C270" s="20"/>
      <c r="D270" s="37"/>
      <c r="E270" s="45"/>
      <c r="F270" s="45"/>
      <c r="G270" s="20"/>
    </row>
    <row r="271" spans="1:7" x14ac:dyDescent="0.25">
      <c r="A271" s="20"/>
      <c r="B271" s="20"/>
      <c r="C271" s="20"/>
      <c r="D271" s="37"/>
      <c r="E271" s="45"/>
      <c r="F271" s="45"/>
      <c r="G271" s="20"/>
    </row>
    <row r="272" spans="1:7" x14ac:dyDescent="0.25">
      <c r="A272" s="20"/>
      <c r="B272" s="20"/>
      <c r="C272" s="20"/>
      <c r="D272" s="37"/>
      <c r="E272" s="45"/>
      <c r="F272" s="45"/>
      <c r="G272" s="20"/>
    </row>
    <row r="273" spans="1:7" x14ac:dyDescent="0.25">
      <c r="A273" s="20"/>
      <c r="B273" s="20"/>
      <c r="C273" s="20"/>
      <c r="D273" s="37"/>
      <c r="E273" s="45"/>
      <c r="F273" s="45"/>
      <c r="G273" s="20"/>
    </row>
    <row r="274" spans="1:7" x14ac:dyDescent="0.25">
      <c r="A274" s="20"/>
      <c r="B274" s="20"/>
      <c r="C274" s="20"/>
      <c r="D274" s="37"/>
      <c r="E274" s="45"/>
      <c r="F274" s="45"/>
      <c r="G274" s="20"/>
    </row>
    <row r="275" spans="1:7" x14ac:dyDescent="0.25">
      <c r="A275" s="20"/>
      <c r="B275" s="20"/>
      <c r="C275" s="20"/>
      <c r="D275" s="37"/>
      <c r="E275" s="45"/>
      <c r="F275" s="45"/>
      <c r="G275" s="20"/>
    </row>
    <row r="276" spans="1:7" x14ac:dyDescent="0.25">
      <c r="A276" s="20"/>
      <c r="B276" s="20"/>
      <c r="C276" s="20"/>
      <c r="D276" s="37"/>
      <c r="E276" s="45"/>
      <c r="F276" s="45"/>
      <c r="G276" s="20"/>
    </row>
    <row r="277" spans="1:7" x14ac:dyDescent="0.25">
      <c r="A277" s="20"/>
      <c r="B277" s="20"/>
      <c r="C277" s="20"/>
      <c r="D277" s="37"/>
      <c r="E277" s="45"/>
      <c r="F277" s="45"/>
      <c r="G277" s="20"/>
    </row>
    <row r="278" spans="1:7" x14ac:dyDescent="0.25">
      <c r="A278" s="20"/>
      <c r="B278" s="20"/>
      <c r="C278" s="20"/>
      <c r="D278" s="37"/>
      <c r="E278" s="45"/>
      <c r="F278" s="45"/>
      <c r="G278" s="20"/>
    </row>
    <row r="279" spans="1:7" x14ac:dyDescent="0.25">
      <c r="A279" s="20"/>
      <c r="B279" s="20"/>
      <c r="C279" s="20"/>
      <c r="D279" s="37"/>
      <c r="E279" s="45"/>
      <c r="F279" s="45"/>
      <c r="G279" s="20"/>
    </row>
    <row r="280" spans="1:7" x14ac:dyDescent="0.25">
      <c r="A280" s="20"/>
      <c r="B280" s="20"/>
      <c r="C280" s="20"/>
      <c r="D280" s="37"/>
      <c r="E280" s="45"/>
      <c r="F280" s="45"/>
      <c r="G280" s="20"/>
    </row>
    <row r="281" spans="1:7" x14ac:dyDescent="0.25">
      <c r="A281" s="20"/>
      <c r="B281" s="20"/>
      <c r="C281" s="20"/>
      <c r="D281" s="37"/>
      <c r="E281" s="45"/>
      <c r="F281" s="45"/>
      <c r="G281" s="20"/>
    </row>
    <row r="282" spans="1:7" x14ac:dyDescent="0.25">
      <c r="A282" s="20"/>
      <c r="B282" s="20"/>
      <c r="C282" s="20"/>
      <c r="D282" s="37"/>
      <c r="E282" s="45"/>
      <c r="F282" s="45"/>
      <c r="G282" s="20"/>
    </row>
    <row r="283" spans="1:7" x14ac:dyDescent="0.25">
      <c r="A283" s="20"/>
      <c r="B283" s="20"/>
      <c r="C283" s="20"/>
      <c r="D283" s="37"/>
      <c r="E283" s="45"/>
      <c r="F283" s="45"/>
      <c r="G283" s="20"/>
    </row>
    <row r="284" spans="1:7" x14ac:dyDescent="0.25">
      <c r="A284" s="20"/>
      <c r="B284" s="20"/>
      <c r="C284" s="20"/>
      <c r="D284" s="37"/>
      <c r="E284" s="45"/>
      <c r="F284" s="45"/>
      <c r="G284" s="20"/>
    </row>
    <row r="285" spans="1:7" x14ac:dyDescent="0.25">
      <c r="A285" s="20"/>
      <c r="B285" s="20"/>
      <c r="C285" s="20"/>
      <c r="D285" s="37"/>
      <c r="E285" s="45"/>
      <c r="F285" s="45"/>
      <c r="G285" s="20"/>
    </row>
    <row r="286" spans="1:7" x14ac:dyDescent="0.25">
      <c r="A286" s="20"/>
      <c r="B286" s="20"/>
      <c r="C286" s="20"/>
      <c r="D286" s="37"/>
      <c r="E286" s="45"/>
      <c r="F286" s="45"/>
      <c r="G286" s="20"/>
    </row>
    <row r="287" spans="1:7" x14ac:dyDescent="0.25">
      <c r="A287" s="20"/>
      <c r="B287" s="20"/>
      <c r="C287" s="20"/>
      <c r="D287" s="37"/>
      <c r="E287" s="45"/>
      <c r="F287" s="45"/>
      <c r="G287" s="20"/>
    </row>
    <row r="288" spans="1:7" x14ac:dyDescent="0.25">
      <c r="A288" s="20"/>
      <c r="B288" s="20"/>
      <c r="C288" s="20"/>
      <c r="D288" s="37"/>
      <c r="E288" s="45"/>
      <c r="F288" s="45"/>
      <c r="G288" s="20"/>
    </row>
    <row r="289" spans="1:7" x14ac:dyDescent="0.25">
      <c r="A289" s="20"/>
      <c r="B289" s="20"/>
      <c r="C289" s="20"/>
      <c r="D289" s="37"/>
      <c r="E289" s="45"/>
      <c r="F289" s="45"/>
      <c r="G289" s="20"/>
    </row>
    <row r="290" spans="1:7" x14ac:dyDescent="0.25">
      <c r="A290" s="20"/>
      <c r="B290" s="20"/>
      <c r="C290" s="20"/>
      <c r="D290" s="37"/>
      <c r="E290" s="45"/>
      <c r="F290" s="45"/>
      <c r="G290" s="20"/>
    </row>
    <row r="291" spans="1:7" x14ac:dyDescent="0.25">
      <c r="A291" s="20"/>
      <c r="B291" s="20"/>
      <c r="C291" s="20"/>
      <c r="D291" s="37"/>
      <c r="E291" s="45"/>
      <c r="F291" s="45"/>
      <c r="G291" s="20"/>
    </row>
    <row r="292" spans="1:7" x14ac:dyDescent="0.25">
      <c r="A292" s="20"/>
      <c r="B292" s="20"/>
      <c r="C292" s="20"/>
      <c r="D292" s="37"/>
      <c r="E292" s="45"/>
      <c r="F292" s="45"/>
      <c r="G292" s="20"/>
    </row>
    <row r="293" spans="1:7" x14ac:dyDescent="0.25">
      <c r="A293" s="20"/>
      <c r="B293" s="20"/>
      <c r="C293" s="20"/>
      <c r="D293" s="37"/>
      <c r="E293" s="45"/>
      <c r="F293" s="45"/>
      <c r="G293" s="20"/>
    </row>
    <row r="294" spans="1:7" x14ac:dyDescent="0.25">
      <c r="A294" s="20"/>
      <c r="B294" s="20"/>
      <c r="C294" s="20"/>
      <c r="D294" s="37"/>
      <c r="E294" s="45"/>
      <c r="F294" s="45"/>
      <c r="G294" s="20"/>
    </row>
    <row r="295" spans="1:7" x14ac:dyDescent="0.25">
      <c r="A295" s="20"/>
      <c r="B295" s="20"/>
      <c r="C295" s="20"/>
      <c r="D295" s="37"/>
      <c r="E295" s="45"/>
      <c r="F295" s="45"/>
      <c r="G295" s="20"/>
    </row>
    <row r="296" spans="1:7" x14ac:dyDescent="0.25">
      <c r="A296" s="20"/>
      <c r="B296" s="20"/>
      <c r="C296" s="20"/>
      <c r="D296" s="37"/>
      <c r="E296" s="45"/>
      <c r="F296" s="45"/>
      <c r="G296" s="20"/>
    </row>
    <row r="297" spans="1:7" x14ac:dyDescent="0.25">
      <c r="A297" s="20"/>
      <c r="B297" s="20"/>
      <c r="C297" s="20"/>
      <c r="D297" s="37"/>
      <c r="E297" s="45"/>
      <c r="F297" s="45"/>
      <c r="G297" s="20"/>
    </row>
    <row r="298" spans="1:7" x14ac:dyDescent="0.25">
      <c r="A298" s="20"/>
      <c r="B298" s="20"/>
      <c r="C298" s="20"/>
      <c r="D298" s="37"/>
      <c r="E298" s="45"/>
      <c r="F298" s="45"/>
      <c r="G298" s="20"/>
    </row>
    <row r="299" spans="1:7" x14ac:dyDescent="0.25">
      <c r="A299" s="20"/>
      <c r="B299" s="20"/>
      <c r="C299" s="20"/>
      <c r="D299" s="37"/>
      <c r="E299" s="45"/>
      <c r="F299" s="45"/>
      <c r="G299" s="20"/>
    </row>
    <row r="300" spans="1:7" x14ac:dyDescent="0.25">
      <c r="A300" s="20"/>
      <c r="B300" s="20"/>
      <c r="C300" s="20"/>
      <c r="D300" s="37"/>
      <c r="E300" s="45"/>
      <c r="F300" s="45"/>
      <c r="G300" s="20"/>
    </row>
    <row r="301" spans="1:7" x14ac:dyDescent="0.25">
      <c r="A301" s="20"/>
      <c r="B301" s="20"/>
      <c r="C301" s="20"/>
      <c r="D301" s="37"/>
      <c r="E301" s="45"/>
      <c r="F301" s="45"/>
      <c r="G301" s="20"/>
    </row>
    <row r="302" spans="1:7" x14ac:dyDescent="0.25">
      <c r="A302" s="20"/>
      <c r="B302" s="20"/>
      <c r="C302" s="20"/>
      <c r="D302" s="37"/>
      <c r="E302" s="45"/>
      <c r="F302" s="45"/>
      <c r="G302" s="20"/>
    </row>
    <row r="303" spans="1:7" x14ac:dyDescent="0.25">
      <c r="A303" s="20"/>
      <c r="B303" s="20"/>
      <c r="C303" s="20"/>
      <c r="D303" s="37"/>
      <c r="E303" s="45"/>
      <c r="F303" s="45"/>
      <c r="G303" s="20"/>
    </row>
    <row r="304" spans="1:7" x14ac:dyDescent="0.25">
      <c r="A304" s="20"/>
      <c r="B304" s="20"/>
      <c r="C304" s="20"/>
      <c r="D304" s="37"/>
      <c r="E304" s="45"/>
      <c r="F304" s="45"/>
      <c r="G304" s="20"/>
    </row>
    <row r="305" spans="1:7" x14ac:dyDescent="0.25">
      <c r="A305" s="20"/>
      <c r="B305" s="20"/>
      <c r="C305" s="20"/>
      <c r="D305" s="37"/>
      <c r="E305" s="45"/>
      <c r="F305" s="45"/>
      <c r="G305" s="20"/>
    </row>
    <row r="306" spans="1:7" x14ac:dyDescent="0.25">
      <c r="A306" s="20"/>
      <c r="B306" s="20"/>
      <c r="C306" s="20"/>
      <c r="D306" s="37"/>
      <c r="E306" s="45"/>
      <c r="F306" s="45"/>
      <c r="G306" s="20"/>
    </row>
    <row r="307" spans="1:7" x14ac:dyDescent="0.25">
      <c r="A307" s="20"/>
      <c r="B307" s="20"/>
      <c r="C307" s="20"/>
      <c r="D307" s="37"/>
      <c r="E307" s="45"/>
      <c r="F307" s="45"/>
      <c r="G307" s="20"/>
    </row>
    <row r="308" spans="1:7" x14ac:dyDescent="0.25">
      <c r="A308" s="20"/>
      <c r="B308" s="20"/>
      <c r="C308" s="20"/>
      <c r="D308" s="37"/>
      <c r="E308" s="45"/>
      <c r="F308" s="45"/>
      <c r="G308" s="20"/>
    </row>
    <row r="309" spans="1:7" x14ac:dyDescent="0.25">
      <c r="A309" s="20"/>
      <c r="B309" s="20"/>
      <c r="C309" s="20"/>
      <c r="D309" s="37"/>
      <c r="E309" s="45"/>
      <c r="F309" s="45"/>
      <c r="G309" s="20"/>
    </row>
    <row r="310" spans="1:7" x14ac:dyDescent="0.25">
      <c r="A310" s="20"/>
      <c r="B310" s="20"/>
      <c r="C310" s="20"/>
      <c r="D310" s="37"/>
      <c r="E310" s="45"/>
      <c r="F310" s="45"/>
      <c r="G310" s="20"/>
    </row>
    <row r="311" spans="1:7" x14ac:dyDescent="0.25">
      <c r="A311" s="20"/>
      <c r="B311" s="20"/>
      <c r="C311" s="20"/>
      <c r="D311" s="37"/>
      <c r="E311" s="45"/>
      <c r="F311" s="45"/>
      <c r="G311" s="20"/>
    </row>
    <row r="312" spans="1:7" x14ac:dyDescent="0.25">
      <c r="A312" s="20"/>
      <c r="B312" s="20"/>
      <c r="C312" s="20"/>
      <c r="D312" s="37"/>
      <c r="E312" s="45"/>
      <c r="F312" s="45"/>
      <c r="G312" s="20"/>
    </row>
    <row r="313" spans="1:7" x14ac:dyDescent="0.25">
      <c r="A313" s="20"/>
      <c r="B313" s="20"/>
      <c r="C313" s="20"/>
      <c r="D313" s="37"/>
      <c r="E313" s="45"/>
      <c r="F313" s="45"/>
      <c r="G313" s="20"/>
    </row>
    <row r="314" spans="1:7" x14ac:dyDescent="0.25">
      <c r="A314" s="20"/>
      <c r="B314" s="20"/>
      <c r="C314" s="20"/>
      <c r="D314" s="37"/>
      <c r="E314" s="45"/>
      <c r="F314" s="45"/>
      <c r="G314" s="20"/>
    </row>
    <row r="315" spans="1:7" x14ac:dyDescent="0.25">
      <c r="A315" s="20"/>
      <c r="B315" s="20"/>
      <c r="C315" s="20"/>
      <c r="D315" s="37"/>
      <c r="E315" s="45"/>
      <c r="F315" s="45"/>
      <c r="G315" s="20"/>
    </row>
    <row r="316" spans="1:7" x14ac:dyDescent="0.25">
      <c r="A316" s="20"/>
      <c r="B316" s="20"/>
      <c r="C316" s="20"/>
      <c r="D316" s="37"/>
      <c r="E316" s="45"/>
      <c r="F316" s="45"/>
      <c r="G316" s="20"/>
    </row>
    <row r="317" spans="1:7" x14ac:dyDescent="0.25">
      <c r="A317" s="20"/>
      <c r="B317" s="20"/>
      <c r="C317" s="20"/>
      <c r="D317" s="37"/>
      <c r="E317" s="45"/>
      <c r="F317" s="45"/>
      <c r="G317" s="20"/>
    </row>
    <row r="318" spans="1:7" x14ac:dyDescent="0.25">
      <c r="A318" s="20"/>
      <c r="B318" s="20"/>
      <c r="C318" s="20"/>
      <c r="D318" s="37"/>
      <c r="E318" s="45"/>
      <c r="F318" s="45"/>
      <c r="G318" s="20"/>
    </row>
    <row r="319" spans="1:7" x14ac:dyDescent="0.25">
      <c r="A319" s="20"/>
      <c r="B319" s="20"/>
      <c r="C319" s="20"/>
      <c r="D319" s="37"/>
      <c r="E319" s="45"/>
      <c r="F319" s="45"/>
      <c r="G319" s="20"/>
    </row>
    <row r="320" spans="1:7" x14ac:dyDescent="0.25">
      <c r="A320" s="20"/>
      <c r="B320" s="20"/>
      <c r="C320" s="20"/>
      <c r="D320" s="37"/>
      <c r="E320" s="45"/>
      <c r="F320" s="45"/>
      <c r="G320" s="20"/>
    </row>
    <row r="321" spans="1:7" x14ac:dyDescent="0.25">
      <c r="A321" s="20"/>
      <c r="B321" s="20"/>
      <c r="C321" s="20"/>
      <c r="D321" s="37"/>
      <c r="E321" s="45"/>
      <c r="F321" s="45"/>
      <c r="G321" s="20"/>
    </row>
    <row r="322" spans="1:7" x14ac:dyDescent="0.25">
      <c r="A322" s="20"/>
      <c r="B322" s="20"/>
      <c r="C322" s="20"/>
      <c r="D322" s="37"/>
      <c r="E322" s="45"/>
      <c r="F322" s="45"/>
      <c r="G322" s="20"/>
    </row>
    <row r="323" spans="1:7" x14ac:dyDescent="0.25">
      <c r="A323" s="20"/>
      <c r="B323" s="20"/>
      <c r="C323" s="20"/>
      <c r="D323" s="37"/>
      <c r="E323" s="45"/>
      <c r="F323" s="45"/>
      <c r="G323" s="20"/>
    </row>
    <row r="324" spans="1:7" x14ac:dyDescent="0.25">
      <c r="A324" s="20"/>
      <c r="B324" s="20"/>
      <c r="C324" s="20"/>
      <c r="D324" s="37"/>
      <c r="E324" s="45"/>
      <c r="F324" s="45"/>
      <c r="G324" s="20"/>
    </row>
    <row r="325" spans="1:7" x14ac:dyDescent="0.25">
      <c r="A325" s="20"/>
      <c r="B325" s="20"/>
      <c r="C325" s="20"/>
      <c r="D325" s="37"/>
      <c r="E325" s="45"/>
      <c r="F325" s="45"/>
      <c r="G325" s="20"/>
    </row>
    <row r="326" spans="1:7" x14ac:dyDescent="0.25">
      <c r="A326" s="20"/>
      <c r="B326" s="20"/>
      <c r="C326" s="20"/>
      <c r="D326" s="37"/>
      <c r="E326" s="45"/>
      <c r="F326" s="45"/>
      <c r="G326" s="20"/>
    </row>
    <row r="327" spans="1:7" x14ac:dyDescent="0.25">
      <c r="A327" s="20"/>
      <c r="B327" s="20"/>
      <c r="C327" s="20"/>
      <c r="D327" s="37"/>
      <c r="E327" s="45"/>
      <c r="F327" s="45"/>
      <c r="G327" s="20"/>
    </row>
    <row r="328" spans="1:7" x14ac:dyDescent="0.25">
      <c r="A328" s="20"/>
      <c r="B328" s="20"/>
      <c r="C328" s="20"/>
      <c r="D328" s="37"/>
      <c r="E328" s="45"/>
      <c r="F328" s="45"/>
      <c r="G328" s="20"/>
    </row>
    <row r="329" spans="1:7" x14ac:dyDescent="0.25">
      <c r="A329" s="20"/>
      <c r="B329" s="20"/>
      <c r="C329" s="20"/>
      <c r="D329" s="37"/>
      <c r="E329" s="45"/>
      <c r="F329" s="45"/>
      <c r="G329" s="20"/>
    </row>
    <row r="330" spans="1:7" x14ac:dyDescent="0.25">
      <c r="A330" s="20"/>
      <c r="B330" s="20"/>
      <c r="C330" s="20"/>
      <c r="D330" s="37"/>
      <c r="E330" s="45"/>
      <c r="F330" s="45"/>
      <c r="G330" s="20"/>
    </row>
    <row r="331" spans="1:7" x14ac:dyDescent="0.25">
      <c r="A331" s="20"/>
      <c r="B331" s="20"/>
      <c r="C331" s="20"/>
      <c r="D331" s="37"/>
      <c r="E331" s="45"/>
      <c r="F331" s="45"/>
      <c r="G331" s="20"/>
    </row>
    <row r="332" spans="1:7" x14ac:dyDescent="0.25">
      <c r="A332" s="20"/>
      <c r="B332" s="20"/>
      <c r="C332" s="20"/>
      <c r="D332" s="37"/>
      <c r="E332" s="45"/>
      <c r="F332" s="45"/>
      <c r="G332" s="20"/>
    </row>
    <row r="333" spans="1:7" x14ac:dyDescent="0.25">
      <c r="A333" s="20"/>
      <c r="B333" s="20"/>
      <c r="C333" s="20"/>
      <c r="D333" s="37"/>
      <c r="E333" s="45"/>
      <c r="F333" s="45"/>
      <c r="G333" s="20"/>
    </row>
    <row r="334" spans="1:7" x14ac:dyDescent="0.25">
      <c r="A334" s="20"/>
      <c r="B334" s="20"/>
      <c r="C334" s="20"/>
      <c r="D334" s="37"/>
      <c r="E334" s="45"/>
      <c r="F334" s="45"/>
      <c r="G334" s="20"/>
    </row>
    <row r="335" spans="1:7" x14ac:dyDescent="0.25">
      <c r="A335" s="20"/>
      <c r="B335" s="20"/>
      <c r="C335" s="20"/>
      <c r="D335" s="37"/>
      <c r="E335" s="45"/>
      <c r="F335" s="45"/>
      <c r="G335" s="20"/>
    </row>
    <row r="336" spans="1:7" x14ac:dyDescent="0.25">
      <c r="A336" s="20"/>
      <c r="B336" s="20"/>
      <c r="C336" s="20"/>
      <c r="D336" s="37"/>
      <c r="E336" s="45"/>
      <c r="F336" s="45"/>
      <c r="G336" s="20"/>
    </row>
    <row r="337" spans="1:7" x14ac:dyDescent="0.25">
      <c r="A337" s="20"/>
      <c r="B337" s="20"/>
      <c r="C337" s="20"/>
      <c r="D337" s="37"/>
      <c r="E337" s="45"/>
      <c r="F337" s="45"/>
      <c r="G337" s="20"/>
    </row>
    <row r="338" spans="1:7" x14ac:dyDescent="0.25">
      <c r="A338" s="20"/>
      <c r="B338" s="20"/>
      <c r="C338" s="20"/>
      <c r="D338" s="37"/>
      <c r="E338" s="45"/>
      <c r="F338" s="45"/>
      <c r="G338" s="20"/>
    </row>
    <row r="339" spans="1:7" x14ac:dyDescent="0.25">
      <c r="A339" s="20"/>
      <c r="B339" s="20"/>
      <c r="C339" s="20"/>
      <c r="D339" s="37"/>
      <c r="E339" s="45"/>
      <c r="F339" s="45"/>
      <c r="G339" s="20"/>
    </row>
    <row r="340" spans="1:7" x14ac:dyDescent="0.25">
      <c r="A340" s="20"/>
      <c r="B340" s="20"/>
      <c r="C340" s="20"/>
      <c r="D340" s="37"/>
      <c r="E340" s="45"/>
      <c r="F340" s="45"/>
      <c r="G340" s="20"/>
    </row>
    <row r="341" spans="1:7" x14ac:dyDescent="0.25">
      <c r="A341" s="20"/>
      <c r="B341" s="20"/>
      <c r="C341" s="20"/>
      <c r="D341" s="37"/>
      <c r="E341" s="45"/>
      <c r="F341" s="45"/>
      <c r="G341" s="20"/>
    </row>
    <row r="342" spans="1:7" x14ac:dyDescent="0.25">
      <c r="A342" s="20"/>
      <c r="B342" s="20"/>
      <c r="C342" s="20"/>
      <c r="D342" s="37"/>
      <c r="E342" s="45"/>
      <c r="F342" s="45"/>
      <c r="G342" s="20"/>
    </row>
    <row r="343" spans="1:7" x14ac:dyDescent="0.25">
      <c r="A343" s="20"/>
      <c r="B343" s="20"/>
      <c r="C343" s="20"/>
      <c r="D343" s="37"/>
      <c r="E343" s="45"/>
      <c r="F343" s="45"/>
      <c r="G343" s="20"/>
    </row>
    <row r="344" spans="1:7" x14ac:dyDescent="0.25">
      <c r="A344" s="20"/>
      <c r="B344" s="20"/>
      <c r="C344" s="20"/>
      <c r="D344" s="37"/>
      <c r="E344" s="45"/>
      <c r="F344" s="45"/>
      <c r="G344" s="20"/>
    </row>
    <row r="345" spans="1:7" x14ac:dyDescent="0.25">
      <c r="A345" s="20"/>
      <c r="B345" s="20"/>
      <c r="C345" s="20"/>
      <c r="D345" s="37"/>
      <c r="E345" s="45"/>
      <c r="F345" s="45"/>
      <c r="G345" s="20"/>
    </row>
    <row r="346" spans="1:7" x14ac:dyDescent="0.25">
      <c r="A346" s="20"/>
      <c r="B346" s="20"/>
      <c r="C346" s="20"/>
      <c r="D346" s="37"/>
      <c r="E346" s="45"/>
      <c r="F346" s="45"/>
      <c r="G346" s="20"/>
    </row>
    <row r="347" spans="1:7" x14ac:dyDescent="0.25">
      <c r="A347" s="20"/>
      <c r="B347" s="20"/>
      <c r="C347" s="20"/>
      <c r="D347" s="37"/>
      <c r="E347" s="45"/>
      <c r="F347" s="45"/>
      <c r="G347" s="20"/>
    </row>
    <row r="348" spans="1:7" x14ac:dyDescent="0.25">
      <c r="A348" s="20"/>
      <c r="B348" s="20"/>
      <c r="C348" s="20"/>
      <c r="D348" s="37"/>
      <c r="E348" s="45"/>
      <c r="F348" s="45"/>
      <c r="G348" s="20"/>
    </row>
    <row r="349" spans="1:7" x14ac:dyDescent="0.25">
      <c r="A349" s="20"/>
      <c r="B349" s="20"/>
      <c r="C349" s="20"/>
      <c r="D349" s="37"/>
      <c r="E349" s="45"/>
      <c r="F349" s="45"/>
      <c r="G349" s="20"/>
    </row>
    <row r="350" spans="1:7" x14ac:dyDescent="0.25">
      <c r="A350" s="20"/>
      <c r="B350" s="20"/>
      <c r="C350" s="20"/>
      <c r="D350" s="37"/>
      <c r="E350" s="45"/>
      <c r="F350" s="45"/>
      <c r="G350" s="20"/>
    </row>
    <row r="351" spans="1:7" x14ac:dyDescent="0.25">
      <c r="A351" s="20"/>
      <c r="B351" s="20"/>
      <c r="C351" s="20"/>
      <c r="D351" s="37"/>
      <c r="E351" s="45"/>
      <c r="F351" s="45"/>
      <c r="G351" s="20"/>
    </row>
    <row r="352" spans="1:7" x14ac:dyDescent="0.25">
      <c r="A352" s="20"/>
      <c r="B352" s="20"/>
      <c r="C352" s="20"/>
      <c r="D352" s="37"/>
      <c r="E352" s="45"/>
      <c r="F352" s="45"/>
      <c r="G352" s="20"/>
    </row>
    <row r="353" spans="1:7" x14ac:dyDescent="0.25">
      <c r="A353" s="20"/>
      <c r="B353" s="20"/>
      <c r="C353" s="20"/>
      <c r="D353" s="37"/>
      <c r="E353" s="45"/>
      <c r="F353" s="45"/>
      <c r="G353" s="20"/>
    </row>
    <row r="354" spans="1:7" x14ac:dyDescent="0.25">
      <c r="A354" s="20"/>
      <c r="B354" s="20"/>
      <c r="C354" s="20"/>
      <c r="D354" s="37"/>
      <c r="E354" s="45"/>
      <c r="F354" s="45"/>
      <c r="G354" s="20"/>
    </row>
    <row r="355" spans="1:7" x14ac:dyDescent="0.25">
      <c r="A355" s="20"/>
      <c r="B355" s="20"/>
      <c r="C355" s="20"/>
      <c r="D355" s="37"/>
      <c r="E355" s="45"/>
      <c r="F355" s="45"/>
      <c r="G355" s="20"/>
    </row>
    <row r="356" spans="1:7" x14ac:dyDescent="0.25">
      <c r="A356" s="20"/>
      <c r="B356" s="20"/>
      <c r="C356" s="20"/>
      <c r="D356" s="37"/>
      <c r="E356" s="45"/>
      <c r="F356" s="45"/>
      <c r="G356" s="20"/>
    </row>
    <row r="357" spans="1:7" x14ac:dyDescent="0.25">
      <c r="A357" s="20"/>
      <c r="B357" s="20"/>
      <c r="C357" s="20"/>
      <c r="D357" s="37"/>
      <c r="E357" s="45"/>
      <c r="F357" s="45"/>
      <c r="G357" s="20"/>
    </row>
    <row r="358" spans="1:7" x14ac:dyDescent="0.25">
      <c r="A358" s="20"/>
      <c r="B358" s="20"/>
      <c r="C358" s="20"/>
      <c r="D358" s="37"/>
      <c r="E358" s="45"/>
      <c r="F358" s="45"/>
      <c r="G358" s="20"/>
    </row>
    <row r="359" spans="1:7" x14ac:dyDescent="0.25">
      <c r="A359" s="20"/>
      <c r="B359" s="20"/>
      <c r="C359" s="20"/>
      <c r="D359" s="37"/>
      <c r="E359" s="45"/>
      <c r="F359" s="45"/>
      <c r="G359" s="20"/>
    </row>
    <row r="360" spans="1:7" x14ac:dyDescent="0.25">
      <c r="A360" s="20"/>
      <c r="B360" s="20"/>
      <c r="C360" s="20"/>
      <c r="D360" s="37"/>
      <c r="E360" s="45"/>
      <c r="F360" s="45"/>
      <c r="G360" s="20"/>
    </row>
    <row r="361" spans="1:7" x14ac:dyDescent="0.25">
      <c r="A361" s="20"/>
      <c r="B361" s="20"/>
      <c r="C361" s="20"/>
      <c r="D361" s="37"/>
      <c r="E361" s="45"/>
      <c r="F361" s="45"/>
      <c r="G361" s="20"/>
    </row>
    <row r="362" spans="1:7" x14ac:dyDescent="0.25">
      <c r="A362" s="20"/>
      <c r="B362" s="20"/>
      <c r="C362" s="20"/>
      <c r="D362" s="37"/>
      <c r="E362" s="45"/>
      <c r="F362" s="45"/>
      <c r="G362" s="20"/>
    </row>
    <row r="363" spans="1:7" x14ac:dyDescent="0.25">
      <c r="A363" s="20"/>
      <c r="B363" s="20"/>
      <c r="C363" s="20"/>
      <c r="D363" s="37"/>
      <c r="E363" s="45"/>
      <c r="F363" s="45"/>
      <c r="G363" s="20"/>
    </row>
    <row r="364" spans="1:7" x14ac:dyDescent="0.25">
      <c r="A364" s="20"/>
      <c r="B364" s="20"/>
      <c r="C364" s="20"/>
      <c r="D364" s="37"/>
      <c r="E364" s="45"/>
      <c r="F364" s="45"/>
      <c r="G364" s="20"/>
    </row>
    <row r="365" spans="1:7" x14ac:dyDescent="0.25">
      <c r="A365" s="20"/>
      <c r="B365" s="20"/>
      <c r="C365" s="20"/>
      <c r="D365" s="37"/>
      <c r="E365" s="45"/>
      <c r="F365" s="45"/>
      <c r="G365" s="20"/>
    </row>
    <row r="366" spans="1:7" x14ac:dyDescent="0.25">
      <c r="A366" s="20"/>
      <c r="B366" s="20"/>
      <c r="C366" s="20"/>
      <c r="D366" s="37"/>
      <c r="E366" s="45"/>
      <c r="F366" s="45"/>
      <c r="G366" s="20"/>
    </row>
    <row r="367" spans="1:7" x14ac:dyDescent="0.25">
      <c r="A367" s="20"/>
      <c r="B367" s="20"/>
      <c r="C367" s="20"/>
      <c r="D367" s="37"/>
      <c r="E367" s="45"/>
      <c r="F367" s="45"/>
      <c r="G367" s="20"/>
    </row>
    <row r="368" spans="1:7" x14ac:dyDescent="0.25">
      <c r="A368" s="20"/>
      <c r="B368" s="20"/>
      <c r="C368" s="20"/>
      <c r="D368" s="37"/>
      <c r="E368" s="45"/>
      <c r="F368" s="45"/>
      <c r="G368" s="20"/>
    </row>
    <row r="369" spans="1:7" x14ac:dyDescent="0.25">
      <c r="A369" s="20"/>
      <c r="B369" s="20"/>
      <c r="C369" s="20"/>
      <c r="D369" s="37"/>
      <c r="E369" s="45"/>
      <c r="F369" s="45"/>
      <c r="G369" s="20"/>
    </row>
    <row r="370" spans="1:7" x14ac:dyDescent="0.25">
      <c r="A370" s="20"/>
      <c r="B370" s="20"/>
      <c r="C370" s="20"/>
      <c r="D370" s="37"/>
      <c r="E370" s="45"/>
      <c r="F370" s="45"/>
      <c r="G370" s="20"/>
    </row>
    <row r="371" spans="1:7" x14ac:dyDescent="0.25">
      <c r="A371" s="20"/>
      <c r="B371" s="20"/>
      <c r="C371" s="20"/>
      <c r="D371" s="37"/>
      <c r="E371" s="45"/>
      <c r="F371" s="45"/>
      <c r="G371" s="20"/>
    </row>
    <row r="372" spans="1:7" x14ac:dyDescent="0.25">
      <c r="A372" s="20"/>
      <c r="B372" s="20"/>
      <c r="C372" s="20"/>
      <c r="D372" s="37"/>
      <c r="E372" s="45"/>
      <c r="F372" s="45"/>
      <c r="G372" s="20"/>
    </row>
    <row r="373" spans="1:7" x14ac:dyDescent="0.25">
      <c r="A373" s="20"/>
      <c r="B373" s="20"/>
      <c r="C373" s="20"/>
      <c r="D373" s="37"/>
      <c r="E373" s="45"/>
      <c r="F373" s="45"/>
      <c r="G373" s="20"/>
    </row>
    <row r="374" spans="1:7" x14ac:dyDescent="0.25">
      <c r="A374" s="20"/>
      <c r="B374" s="20"/>
      <c r="C374" s="20"/>
      <c r="D374" s="37"/>
      <c r="E374" s="45"/>
      <c r="F374" s="45"/>
      <c r="G374" s="20"/>
    </row>
    <row r="375" spans="1:7" x14ac:dyDescent="0.25">
      <c r="A375" s="20"/>
      <c r="B375" s="20"/>
      <c r="C375" s="20"/>
      <c r="D375" s="37"/>
      <c r="E375" s="45"/>
      <c r="F375" s="45"/>
      <c r="G375" s="20"/>
    </row>
    <row r="376" spans="1:7" x14ac:dyDescent="0.25">
      <c r="A376" s="20"/>
      <c r="B376" s="20"/>
      <c r="C376" s="20"/>
      <c r="D376" s="37"/>
      <c r="E376" s="45"/>
      <c r="F376" s="45"/>
      <c r="G376" s="20"/>
    </row>
    <row r="377" spans="1:7" x14ac:dyDescent="0.25">
      <c r="A377" s="20"/>
      <c r="B377" s="20"/>
      <c r="C377" s="20"/>
      <c r="D377" s="37"/>
      <c r="E377" s="45"/>
      <c r="F377" s="45"/>
      <c r="G377" s="20"/>
    </row>
    <row r="378" spans="1:7" x14ac:dyDescent="0.25">
      <c r="A378" s="20"/>
      <c r="B378" s="20"/>
      <c r="C378" s="20"/>
      <c r="D378" s="37"/>
      <c r="E378" s="45"/>
      <c r="F378" s="45"/>
      <c r="G378" s="20"/>
    </row>
    <row r="379" spans="1:7" x14ac:dyDescent="0.25">
      <c r="A379" s="20"/>
      <c r="B379" s="20"/>
      <c r="C379" s="20"/>
      <c r="D379" s="37"/>
      <c r="E379" s="45"/>
      <c r="F379" s="45"/>
      <c r="G379" s="20"/>
    </row>
    <row r="380" spans="1:7" x14ac:dyDescent="0.25">
      <c r="A380" s="20"/>
      <c r="B380" s="20"/>
      <c r="C380" s="20"/>
      <c r="D380" s="37"/>
      <c r="E380" s="45"/>
      <c r="F380" s="45"/>
      <c r="G380" s="20"/>
    </row>
    <row r="381" spans="1:7" x14ac:dyDescent="0.25">
      <c r="A381" s="20"/>
      <c r="B381" s="20"/>
      <c r="C381" s="20"/>
      <c r="D381" s="37"/>
      <c r="E381" s="45"/>
      <c r="F381" s="45"/>
      <c r="G381" s="20"/>
    </row>
    <row r="382" spans="1:7" x14ac:dyDescent="0.25">
      <c r="A382" s="20"/>
      <c r="B382" s="20"/>
      <c r="C382" s="20"/>
      <c r="D382" s="37"/>
      <c r="E382" s="45"/>
      <c r="F382" s="45"/>
      <c r="G382" s="20"/>
    </row>
    <row r="383" spans="1:7" x14ac:dyDescent="0.25">
      <c r="A383" s="20"/>
      <c r="B383" s="20"/>
      <c r="C383" s="20"/>
      <c r="D383" s="37"/>
      <c r="E383" s="45"/>
      <c r="F383" s="45"/>
      <c r="G383" s="20"/>
    </row>
    <row r="384" spans="1:7" x14ac:dyDescent="0.25">
      <c r="A384" s="20"/>
      <c r="B384" s="20"/>
      <c r="C384" s="20"/>
      <c r="D384" s="37"/>
      <c r="E384" s="45"/>
      <c r="F384" s="45"/>
      <c r="G384" s="20"/>
    </row>
    <row r="385" spans="1:7" x14ac:dyDescent="0.25">
      <c r="A385" s="20"/>
      <c r="B385" s="20"/>
      <c r="C385" s="20"/>
      <c r="D385" s="37"/>
      <c r="E385" s="45"/>
      <c r="F385" s="45"/>
      <c r="G385" s="20"/>
    </row>
    <row r="386" spans="1:7" x14ac:dyDescent="0.25">
      <c r="A386" s="20"/>
      <c r="B386" s="20"/>
      <c r="C386" s="20"/>
      <c r="D386" s="37"/>
      <c r="E386" s="45"/>
      <c r="F386" s="45"/>
      <c r="G386" s="20"/>
    </row>
    <row r="387" spans="1:7" x14ac:dyDescent="0.25">
      <c r="A387" s="20"/>
      <c r="B387" s="20"/>
      <c r="C387" s="20"/>
      <c r="D387" s="37"/>
      <c r="E387" s="45"/>
      <c r="F387" s="45"/>
      <c r="G387" s="20"/>
    </row>
    <row r="388" spans="1:7" x14ac:dyDescent="0.25">
      <c r="A388" s="20"/>
      <c r="B388" s="20"/>
      <c r="C388" s="20"/>
      <c r="D388" s="37"/>
      <c r="E388" s="45"/>
      <c r="F388" s="45"/>
      <c r="G388" s="20"/>
    </row>
    <row r="389" spans="1:7" x14ac:dyDescent="0.25">
      <c r="A389" s="20"/>
      <c r="B389" s="20"/>
      <c r="C389" s="20"/>
      <c r="D389" s="37"/>
      <c r="E389" s="45"/>
      <c r="F389" s="45"/>
      <c r="G389" s="20"/>
    </row>
    <row r="390" spans="1:7" x14ac:dyDescent="0.25">
      <c r="A390" s="20"/>
      <c r="B390" s="20"/>
      <c r="C390" s="20"/>
      <c r="D390" s="37"/>
      <c r="E390" s="45"/>
      <c r="F390" s="45"/>
      <c r="G390" s="20"/>
    </row>
    <row r="391" spans="1:7" x14ac:dyDescent="0.25">
      <c r="A391" s="20"/>
      <c r="B391" s="20"/>
      <c r="C391" s="20"/>
      <c r="D391" s="37"/>
      <c r="E391" s="45"/>
      <c r="F391" s="45"/>
      <c r="G391" s="20"/>
    </row>
    <row r="392" spans="1:7" x14ac:dyDescent="0.25">
      <c r="A392" s="20"/>
      <c r="B392" s="20"/>
      <c r="C392" s="20"/>
      <c r="D392" s="37"/>
      <c r="E392" s="45"/>
      <c r="F392" s="45"/>
      <c r="G392" s="20"/>
    </row>
    <row r="393" spans="1:7" x14ac:dyDescent="0.25">
      <c r="A393" s="20"/>
      <c r="B393" s="20"/>
      <c r="C393" s="20"/>
      <c r="D393" s="37"/>
      <c r="E393" s="45"/>
      <c r="F393" s="45"/>
      <c r="G393" s="20"/>
    </row>
    <row r="394" spans="1:7" x14ac:dyDescent="0.25">
      <c r="A394" s="20"/>
      <c r="B394" s="20"/>
      <c r="C394" s="20"/>
      <c r="D394" s="37"/>
      <c r="E394" s="45"/>
      <c r="F394" s="45"/>
      <c r="G394" s="20"/>
    </row>
    <row r="395" spans="1:7" x14ac:dyDescent="0.25">
      <c r="A395" s="20"/>
      <c r="B395" s="20"/>
      <c r="C395" s="20"/>
      <c r="D395" s="37"/>
      <c r="E395" s="45"/>
      <c r="F395" s="45"/>
      <c r="G395" s="20"/>
    </row>
    <row r="396" spans="1:7" x14ac:dyDescent="0.25">
      <c r="A396" s="20"/>
      <c r="B396" s="20"/>
      <c r="C396" s="20"/>
      <c r="D396" s="37"/>
      <c r="E396" s="45"/>
      <c r="F396" s="45"/>
      <c r="G396" s="20"/>
    </row>
    <row r="397" spans="1:7" x14ac:dyDescent="0.25">
      <c r="A397" s="20"/>
      <c r="B397" s="20"/>
      <c r="C397" s="20"/>
      <c r="D397" s="37"/>
      <c r="E397" s="45"/>
      <c r="F397" s="45"/>
      <c r="G397" s="20"/>
    </row>
    <row r="398" spans="1:7" x14ac:dyDescent="0.25">
      <c r="A398" s="20"/>
      <c r="B398" s="20"/>
      <c r="C398" s="20"/>
      <c r="D398" s="37"/>
      <c r="E398" s="45"/>
      <c r="F398" s="45"/>
      <c r="G398" s="20"/>
    </row>
    <row r="399" spans="1:7" x14ac:dyDescent="0.25">
      <c r="A399" s="20"/>
      <c r="B399" s="20"/>
      <c r="C399" s="20"/>
      <c r="D399" s="37"/>
      <c r="E399" s="45"/>
      <c r="F399" s="45"/>
      <c r="G399" s="20"/>
    </row>
    <row r="400" spans="1:7" x14ac:dyDescent="0.25">
      <c r="A400" s="20"/>
      <c r="B400" s="20"/>
      <c r="C400" s="20"/>
      <c r="D400" s="37"/>
      <c r="E400" s="45"/>
      <c r="F400" s="45"/>
      <c r="G400" s="20"/>
    </row>
    <row r="401" spans="1:7" x14ac:dyDescent="0.25">
      <c r="A401" s="20"/>
      <c r="B401" s="20"/>
      <c r="C401" s="20"/>
      <c r="D401" s="37"/>
      <c r="E401" s="45"/>
      <c r="F401" s="45"/>
      <c r="G401" s="20"/>
    </row>
    <row r="402" spans="1:7" x14ac:dyDescent="0.25">
      <c r="A402" s="20"/>
      <c r="B402" s="20"/>
      <c r="C402" s="20"/>
      <c r="D402" s="37"/>
      <c r="E402" s="45"/>
      <c r="F402" s="45"/>
      <c r="G402" s="20"/>
    </row>
    <row r="403" spans="1:7" x14ac:dyDescent="0.25">
      <c r="A403" s="20"/>
      <c r="B403" s="20"/>
      <c r="C403" s="20"/>
      <c r="D403" s="37"/>
      <c r="E403" s="45"/>
      <c r="F403" s="45"/>
      <c r="G403" s="20"/>
    </row>
    <row r="404" spans="1:7" x14ac:dyDescent="0.25">
      <c r="A404" s="20"/>
      <c r="B404" s="20"/>
      <c r="C404" s="20"/>
      <c r="D404" s="37"/>
      <c r="E404" s="45"/>
      <c r="F404" s="45"/>
      <c r="G404" s="20"/>
    </row>
    <row r="405" spans="1:7" x14ac:dyDescent="0.25">
      <c r="A405" s="20"/>
      <c r="B405" s="20"/>
      <c r="C405" s="20"/>
      <c r="D405" s="37"/>
      <c r="E405" s="45"/>
      <c r="F405" s="45"/>
      <c r="G405" s="20"/>
    </row>
    <row r="406" spans="1:7" x14ac:dyDescent="0.25">
      <c r="A406" s="20"/>
      <c r="B406" s="20"/>
      <c r="C406" s="20"/>
      <c r="D406" s="37"/>
      <c r="E406" s="45"/>
      <c r="F406" s="45"/>
      <c r="G406" s="20"/>
    </row>
    <row r="407" spans="1:7" x14ac:dyDescent="0.25">
      <c r="A407" s="20"/>
      <c r="B407" s="20"/>
      <c r="C407" s="20"/>
      <c r="D407" s="37"/>
      <c r="E407" s="45"/>
      <c r="F407" s="45"/>
      <c r="G407" s="20"/>
    </row>
    <row r="408" spans="1:7" x14ac:dyDescent="0.25">
      <c r="A408" s="20"/>
      <c r="B408" s="20"/>
      <c r="C408" s="20"/>
      <c r="D408" s="37"/>
      <c r="E408" s="45"/>
      <c r="F408" s="45"/>
      <c r="G408" s="20"/>
    </row>
    <row r="409" spans="1:7" x14ac:dyDescent="0.25">
      <c r="A409" s="20"/>
      <c r="B409" s="20"/>
      <c r="C409" s="20"/>
      <c r="D409" s="37"/>
      <c r="E409" s="45"/>
      <c r="F409" s="45"/>
      <c r="G409" s="20"/>
    </row>
    <row r="410" spans="1:7" x14ac:dyDescent="0.25">
      <c r="A410" s="20"/>
      <c r="B410" s="20"/>
      <c r="C410" s="20"/>
      <c r="D410" s="37"/>
      <c r="E410" s="45"/>
      <c r="F410" s="45"/>
      <c r="G410" s="20"/>
    </row>
    <row r="411" spans="1:7" x14ac:dyDescent="0.25">
      <c r="A411" s="20"/>
      <c r="B411" s="20"/>
      <c r="C411" s="20"/>
      <c r="D411" s="37"/>
      <c r="E411" s="45"/>
      <c r="F411" s="45"/>
      <c r="G411" s="20"/>
    </row>
    <row r="412" spans="1:7" x14ac:dyDescent="0.25">
      <c r="A412" s="20"/>
      <c r="B412" s="20"/>
      <c r="C412" s="20"/>
      <c r="D412" s="37"/>
      <c r="E412" s="45"/>
      <c r="F412" s="45"/>
      <c r="G412" s="20"/>
    </row>
    <row r="413" spans="1:7" x14ac:dyDescent="0.25">
      <c r="A413" s="20"/>
      <c r="B413" s="20"/>
      <c r="C413" s="20"/>
      <c r="D413" s="37"/>
      <c r="E413" s="45"/>
      <c r="F413" s="45"/>
      <c r="G413" s="20"/>
    </row>
    <row r="414" spans="1:7" x14ac:dyDescent="0.25">
      <c r="A414" s="20"/>
      <c r="B414" s="20"/>
      <c r="C414" s="20"/>
      <c r="D414" s="37"/>
      <c r="E414" s="45"/>
      <c r="F414" s="45"/>
      <c r="G414" s="20"/>
    </row>
    <row r="415" spans="1:7" x14ac:dyDescent="0.25">
      <c r="A415" s="20"/>
      <c r="B415" s="20"/>
      <c r="C415" s="20"/>
      <c r="D415" s="37"/>
      <c r="E415" s="45"/>
      <c r="F415" s="45"/>
      <c r="G415" s="20"/>
    </row>
    <row r="416" spans="1:7" x14ac:dyDescent="0.25">
      <c r="A416" s="20"/>
      <c r="B416" s="20"/>
      <c r="C416" s="20"/>
      <c r="D416" s="37"/>
      <c r="E416" s="45"/>
      <c r="F416" s="45"/>
      <c r="G416" s="20"/>
    </row>
    <row r="417" spans="1:7" x14ac:dyDescent="0.25">
      <c r="A417" s="20"/>
      <c r="B417" s="20"/>
      <c r="C417" s="20"/>
      <c r="D417" s="37"/>
      <c r="E417" s="45"/>
      <c r="F417" s="45"/>
      <c r="G417" s="20"/>
    </row>
    <row r="418" spans="1:7" x14ac:dyDescent="0.25">
      <c r="A418" s="20"/>
      <c r="B418" s="20"/>
      <c r="C418" s="20"/>
      <c r="D418" s="37"/>
      <c r="E418" s="45"/>
      <c r="F418" s="45"/>
      <c r="G418" s="20"/>
    </row>
    <row r="419" spans="1:7" x14ac:dyDescent="0.25">
      <c r="A419" s="20"/>
      <c r="B419" s="20"/>
      <c r="C419" s="20"/>
      <c r="D419" s="37"/>
      <c r="E419" s="45"/>
      <c r="F419" s="45"/>
      <c r="G419" s="20"/>
    </row>
    <row r="420" spans="1:7" x14ac:dyDescent="0.25">
      <c r="A420" s="20"/>
      <c r="B420" s="20"/>
      <c r="C420" s="20"/>
      <c r="D420" s="37"/>
      <c r="E420" s="45"/>
      <c r="F420" s="45"/>
      <c r="G420" s="20"/>
    </row>
    <row r="421" spans="1:7" x14ac:dyDescent="0.25">
      <c r="A421" s="20"/>
      <c r="B421" s="20"/>
      <c r="C421" s="20"/>
      <c r="D421" s="37"/>
      <c r="E421" s="45"/>
      <c r="F421" s="45"/>
      <c r="G421" s="20"/>
    </row>
    <row r="422" spans="1:7" x14ac:dyDescent="0.25">
      <c r="A422" s="20"/>
      <c r="B422" s="20"/>
      <c r="C422" s="20"/>
      <c r="D422" s="37"/>
      <c r="E422" s="45"/>
      <c r="F422" s="45"/>
      <c r="G422" s="20"/>
    </row>
    <row r="423" spans="1:7" x14ac:dyDescent="0.25">
      <c r="A423" s="20"/>
      <c r="B423" s="20"/>
      <c r="C423" s="20"/>
      <c r="D423" s="37"/>
      <c r="E423" s="45"/>
      <c r="F423" s="45"/>
      <c r="G423" s="20"/>
    </row>
    <row r="424" spans="1:7" x14ac:dyDescent="0.25">
      <c r="A424" s="20"/>
      <c r="B424" s="20"/>
      <c r="C424" s="20"/>
      <c r="D424" s="37"/>
      <c r="E424" s="45"/>
      <c r="F424" s="45"/>
      <c r="G424" s="20"/>
    </row>
    <row r="425" spans="1:7" x14ac:dyDescent="0.25">
      <c r="A425" s="20"/>
      <c r="B425" s="20"/>
      <c r="C425" s="20"/>
      <c r="D425" s="37"/>
      <c r="E425" s="45"/>
      <c r="F425" s="45"/>
      <c r="G425" s="20"/>
    </row>
    <row r="426" spans="1:7" x14ac:dyDescent="0.25">
      <c r="A426" s="20"/>
      <c r="B426" s="20"/>
      <c r="C426" s="20"/>
      <c r="D426" s="37"/>
      <c r="E426" s="45"/>
      <c r="F426" s="45"/>
      <c r="G426" s="20"/>
    </row>
    <row r="427" spans="1:7" x14ac:dyDescent="0.25">
      <c r="A427" s="20"/>
      <c r="B427" s="20"/>
      <c r="C427" s="20"/>
      <c r="D427" s="37"/>
      <c r="E427" s="45"/>
      <c r="F427" s="45"/>
      <c r="G427" s="20"/>
    </row>
    <row r="428" spans="1:7" x14ac:dyDescent="0.25">
      <c r="A428" s="20"/>
      <c r="B428" s="20"/>
      <c r="C428" s="20"/>
      <c r="D428" s="37"/>
      <c r="E428" s="45"/>
      <c r="F428" s="45"/>
      <c r="G428" s="20"/>
    </row>
    <row r="429" spans="1:7" x14ac:dyDescent="0.25">
      <c r="A429" s="20"/>
      <c r="B429" s="20"/>
      <c r="C429" s="20"/>
      <c r="D429" s="37"/>
      <c r="E429" s="45"/>
      <c r="F429" s="45"/>
      <c r="G429" s="20"/>
    </row>
    <row r="430" spans="1:7" x14ac:dyDescent="0.25">
      <c r="A430" s="20"/>
      <c r="B430" s="20"/>
      <c r="C430" s="20"/>
      <c r="D430" s="37"/>
      <c r="E430" s="45"/>
      <c r="F430" s="45"/>
      <c r="G430" s="20"/>
    </row>
    <row r="431" spans="1:7" x14ac:dyDescent="0.25">
      <c r="A431" s="20"/>
      <c r="B431" s="20"/>
      <c r="C431" s="20"/>
      <c r="D431" s="37"/>
      <c r="E431" s="45"/>
      <c r="F431" s="45"/>
      <c r="G431" s="20"/>
    </row>
    <row r="432" spans="1:7" x14ac:dyDescent="0.25">
      <c r="A432" s="20"/>
      <c r="B432" s="20"/>
      <c r="C432" s="20"/>
      <c r="D432" s="37"/>
      <c r="E432" s="45"/>
      <c r="F432" s="45"/>
      <c r="G432" s="20"/>
    </row>
    <row r="433" spans="1:7" x14ac:dyDescent="0.25">
      <c r="A433" s="20"/>
      <c r="B433" s="20"/>
      <c r="C433" s="20"/>
      <c r="D433" s="37"/>
      <c r="E433" s="45"/>
      <c r="F433" s="45"/>
      <c r="G433" s="20"/>
    </row>
    <row r="434" spans="1:7" x14ac:dyDescent="0.25">
      <c r="A434" s="20"/>
      <c r="B434" s="20"/>
      <c r="C434" s="20"/>
      <c r="D434" s="37"/>
      <c r="E434" s="45"/>
      <c r="F434" s="45"/>
      <c r="G434" s="20"/>
    </row>
    <row r="435" spans="1:7" x14ac:dyDescent="0.25">
      <c r="A435" s="20"/>
      <c r="B435" s="20"/>
      <c r="C435" s="20"/>
      <c r="D435" s="37"/>
      <c r="E435" s="45"/>
      <c r="F435" s="45"/>
      <c r="G435" s="20"/>
    </row>
    <row r="436" spans="1:7" x14ac:dyDescent="0.25">
      <c r="A436" s="20"/>
      <c r="B436" s="20"/>
      <c r="C436" s="20"/>
      <c r="D436" s="37"/>
      <c r="E436" s="45"/>
      <c r="F436" s="45"/>
      <c r="G436" s="20"/>
    </row>
    <row r="437" spans="1:7" x14ac:dyDescent="0.25">
      <c r="A437" s="20"/>
      <c r="B437" s="20"/>
      <c r="C437" s="20"/>
      <c r="D437" s="37"/>
      <c r="E437" s="45"/>
      <c r="F437" s="45"/>
      <c r="G437" s="20"/>
    </row>
    <row r="438" spans="1:7" x14ac:dyDescent="0.25">
      <c r="A438" s="20"/>
      <c r="B438" s="20"/>
      <c r="C438" s="20"/>
      <c r="D438" s="37"/>
      <c r="E438" s="45"/>
      <c r="F438" s="45"/>
      <c r="G438" s="20"/>
    </row>
    <row r="439" spans="1:7" x14ac:dyDescent="0.25">
      <c r="A439" s="20"/>
      <c r="B439" s="20"/>
      <c r="C439" s="20"/>
      <c r="D439" s="37"/>
      <c r="E439" s="45"/>
      <c r="F439" s="45"/>
      <c r="G439" s="20"/>
    </row>
    <row r="440" spans="1:7" x14ac:dyDescent="0.25">
      <c r="A440" s="20"/>
      <c r="B440" s="20"/>
      <c r="C440" s="20"/>
      <c r="D440" s="37"/>
      <c r="E440" s="45"/>
      <c r="F440" s="45"/>
      <c r="G440" s="20"/>
    </row>
    <row r="441" spans="1:7" x14ac:dyDescent="0.25">
      <c r="A441" s="20"/>
      <c r="B441" s="20"/>
      <c r="C441" s="20"/>
      <c r="D441" s="37"/>
      <c r="E441" s="45"/>
      <c r="F441" s="45"/>
      <c r="G441" s="20"/>
    </row>
    <row r="442" spans="1:7" x14ac:dyDescent="0.25">
      <c r="A442" s="20"/>
      <c r="B442" s="20"/>
      <c r="C442" s="20"/>
      <c r="D442" s="37"/>
      <c r="E442" s="45"/>
      <c r="F442" s="45"/>
      <c r="G442" s="20"/>
    </row>
    <row r="443" spans="1:7" x14ac:dyDescent="0.25">
      <c r="A443" s="20"/>
      <c r="B443" s="20"/>
      <c r="C443" s="20"/>
      <c r="D443" s="37"/>
      <c r="E443" s="45"/>
      <c r="F443" s="45"/>
      <c r="G443" s="20"/>
    </row>
    <row r="444" spans="1:7" x14ac:dyDescent="0.25">
      <c r="A444" s="20"/>
      <c r="B444" s="20"/>
      <c r="C444" s="20"/>
      <c r="D444" s="37"/>
      <c r="E444" s="45"/>
      <c r="F444" s="45"/>
      <c r="G444" s="20"/>
    </row>
    <row r="445" spans="1:7" x14ac:dyDescent="0.25">
      <c r="A445" s="20"/>
      <c r="B445" s="20"/>
      <c r="C445" s="20"/>
      <c r="D445" s="37"/>
      <c r="E445" s="45"/>
      <c r="F445" s="45"/>
      <c r="G445" s="20"/>
    </row>
    <row r="446" spans="1:7" x14ac:dyDescent="0.25">
      <c r="A446" s="20"/>
      <c r="B446" s="20"/>
      <c r="C446" s="20"/>
      <c r="D446" s="37"/>
      <c r="E446" s="45"/>
      <c r="F446" s="45"/>
      <c r="G446" s="20"/>
    </row>
    <row r="447" spans="1:7" x14ac:dyDescent="0.25">
      <c r="A447" s="20"/>
      <c r="B447" s="20"/>
      <c r="C447" s="20"/>
      <c r="D447" s="37"/>
      <c r="E447" s="45"/>
      <c r="F447" s="45"/>
      <c r="G447" s="20"/>
    </row>
    <row r="448" spans="1:7" x14ac:dyDescent="0.25">
      <c r="A448" s="20"/>
      <c r="B448" s="20"/>
      <c r="C448" s="20"/>
      <c r="D448" s="37"/>
      <c r="E448" s="45"/>
      <c r="F448" s="45"/>
      <c r="G448" s="20"/>
    </row>
    <row r="449" spans="1:7" x14ac:dyDescent="0.25">
      <c r="A449" s="20"/>
      <c r="B449" s="20"/>
      <c r="C449" s="20"/>
      <c r="D449" s="37"/>
      <c r="E449" s="45"/>
      <c r="F449" s="45"/>
      <c r="G449" s="20"/>
    </row>
    <row r="450" spans="1:7" x14ac:dyDescent="0.25">
      <c r="A450" s="20"/>
      <c r="B450" s="20"/>
      <c r="C450" s="20"/>
      <c r="D450" s="37"/>
      <c r="E450" s="45"/>
      <c r="F450" s="45"/>
      <c r="G450" s="20"/>
    </row>
    <row r="451" spans="1:7" x14ac:dyDescent="0.25">
      <c r="A451" s="20"/>
      <c r="B451" s="20"/>
      <c r="C451" s="20"/>
      <c r="D451" s="37"/>
      <c r="E451" s="45"/>
      <c r="F451" s="45"/>
      <c r="G451" s="20"/>
    </row>
    <row r="452" spans="1:7" x14ac:dyDescent="0.25">
      <c r="A452" s="20"/>
      <c r="B452" s="20"/>
      <c r="C452" s="20"/>
      <c r="D452" s="37"/>
      <c r="E452" s="45"/>
      <c r="F452" s="45"/>
      <c r="G452" s="20"/>
    </row>
    <row r="453" spans="1:7" x14ac:dyDescent="0.25">
      <c r="A453" s="20"/>
      <c r="B453" s="20"/>
      <c r="C453" s="20"/>
      <c r="D453" s="37"/>
      <c r="E453" s="45"/>
      <c r="F453" s="45"/>
      <c r="G453" s="20"/>
    </row>
    <row r="454" spans="1:7" x14ac:dyDescent="0.25">
      <c r="A454" s="20"/>
      <c r="B454" s="20"/>
      <c r="C454" s="20"/>
      <c r="D454" s="37"/>
      <c r="E454" s="45"/>
      <c r="F454" s="45"/>
      <c r="G454" s="20"/>
    </row>
    <row r="455" spans="1:7" x14ac:dyDescent="0.25">
      <c r="A455" s="20"/>
      <c r="B455" s="20"/>
      <c r="C455" s="20"/>
      <c r="D455" s="37"/>
      <c r="E455" s="45"/>
      <c r="F455" s="45"/>
      <c r="G455" s="20"/>
    </row>
    <row r="456" spans="1:7" x14ac:dyDescent="0.25">
      <c r="A456" s="20"/>
      <c r="B456" s="20"/>
      <c r="C456" s="20"/>
      <c r="D456" s="37"/>
      <c r="E456" s="45"/>
      <c r="F456" s="45"/>
      <c r="G456" s="20"/>
    </row>
    <row r="457" spans="1:7" x14ac:dyDescent="0.25">
      <c r="A457" s="20"/>
      <c r="B457" s="20"/>
      <c r="C457" s="20"/>
      <c r="D457" s="37"/>
      <c r="E457" s="45"/>
      <c r="F457" s="45"/>
      <c r="G457" s="20"/>
    </row>
    <row r="458" spans="1:7" x14ac:dyDescent="0.25">
      <c r="A458" s="20"/>
      <c r="B458" s="20"/>
      <c r="C458" s="20"/>
      <c r="D458" s="37"/>
      <c r="E458" s="45"/>
      <c r="F458" s="45"/>
      <c r="G458" s="20"/>
    </row>
    <row r="459" spans="1:7" x14ac:dyDescent="0.25">
      <c r="A459" s="20"/>
      <c r="B459" s="20"/>
      <c r="C459" s="20"/>
      <c r="D459" s="37"/>
      <c r="E459" s="45"/>
      <c r="F459" s="45"/>
      <c r="G459" s="20"/>
    </row>
    <row r="460" spans="1:7" x14ac:dyDescent="0.25">
      <c r="A460" s="20"/>
      <c r="B460" s="20"/>
      <c r="C460" s="20"/>
      <c r="D460" s="37"/>
      <c r="E460" s="45"/>
      <c r="F460" s="45"/>
      <c r="G460" s="20"/>
    </row>
    <row r="461" spans="1:7" x14ac:dyDescent="0.25">
      <c r="A461" s="20"/>
      <c r="B461" s="20"/>
      <c r="C461" s="20"/>
      <c r="D461" s="37"/>
      <c r="E461" s="45"/>
      <c r="F461" s="45"/>
      <c r="G461" s="20"/>
    </row>
    <row r="462" spans="1:7" x14ac:dyDescent="0.25">
      <c r="A462" s="20"/>
      <c r="B462" s="20"/>
      <c r="C462" s="20"/>
      <c r="D462" s="37"/>
      <c r="E462" s="45"/>
      <c r="F462" s="45"/>
      <c r="G462" s="20"/>
    </row>
    <row r="463" spans="1:7" x14ac:dyDescent="0.25">
      <c r="A463" s="20"/>
      <c r="B463" s="20"/>
      <c r="C463" s="20"/>
      <c r="D463" s="37"/>
      <c r="E463" s="45"/>
      <c r="F463" s="45"/>
      <c r="G463" s="20"/>
    </row>
    <row r="464" spans="1:7" x14ac:dyDescent="0.25">
      <c r="A464" s="20"/>
      <c r="B464" s="20"/>
      <c r="C464" s="20"/>
      <c r="D464" s="37"/>
      <c r="E464" s="45"/>
      <c r="F464" s="45"/>
      <c r="G464" s="20"/>
    </row>
    <row r="465" spans="1:7" x14ac:dyDescent="0.25">
      <c r="A465" s="20"/>
      <c r="B465" s="20"/>
      <c r="C465" s="20"/>
      <c r="D465" s="37"/>
      <c r="E465" s="45"/>
      <c r="F465" s="45"/>
      <c r="G465" s="20"/>
    </row>
    <row r="466" spans="1:7" x14ac:dyDescent="0.25">
      <c r="A466" s="20"/>
      <c r="B466" s="20"/>
      <c r="C466" s="20"/>
      <c r="D466" s="37"/>
      <c r="E466" s="45"/>
      <c r="F466" s="45"/>
      <c r="G466" s="20"/>
    </row>
    <row r="467" spans="1:7" x14ac:dyDescent="0.25">
      <c r="A467" s="20"/>
      <c r="B467" s="20"/>
      <c r="C467" s="20"/>
      <c r="D467" s="37"/>
      <c r="E467" s="45"/>
      <c r="F467" s="45"/>
      <c r="G467" s="20"/>
    </row>
    <row r="468" spans="1:7" x14ac:dyDescent="0.25">
      <c r="A468" s="20"/>
      <c r="B468" s="20"/>
      <c r="C468" s="20"/>
      <c r="D468" s="37"/>
      <c r="E468" s="45"/>
      <c r="F468" s="45"/>
      <c r="G468" s="20"/>
    </row>
    <row r="469" spans="1:7" x14ac:dyDescent="0.25">
      <c r="A469" s="20"/>
      <c r="B469" s="20"/>
      <c r="C469" s="20"/>
      <c r="D469" s="37"/>
      <c r="E469" s="45"/>
      <c r="F469" s="45"/>
      <c r="G469" s="20"/>
    </row>
    <row r="470" spans="1:7" x14ac:dyDescent="0.25">
      <c r="A470" s="20"/>
      <c r="B470" s="20"/>
      <c r="C470" s="20"/>
      <c r="D470" s="37"/>
      <c r="E470" s="45"/>
      <c r="F470" s="45"/>
      <c r="G470" s="20"/>
    </row>
    <row r="471" spans="1:7" x14ac:dyDescent="0.25">
      <c r="A471" s="20"/>
      <c r="B471" s="20"/>
      <c r="C471" s="20"/>
      <c r="D471" s="37"/>
      <c r="E471" s="45"/>
      <c r="F471" s="45"/>
      <c r="G471" s="20"/>
    </row>
    <row r="472" spans="1:7" x14ac:dyDescent="0.25">
      <c r="A472" s="20"/>
      <c r="B472" s="20"/>
      <c r="C472" s="20"/>
      <c r="D472" s="37"/>
      <c r="E472" s="45"/>
      <c r="F472" s="45"/>
      <c r="G472" s="20"/>
    </row>
    <row r="473" spans="1:7" x14ac:dyDescent="0.25">
      <c r="A473" s="20"/>
      <c r="B473" s="20"/>
      <c r="C473" s="20"/>
      <c r="D473" s="37"/>
      <c r="E473" s="45"/>
      <c r="F473" s="45"/>
      <c r="G473" s="20"/>
    </row>
    <row r="474" spans="1:7" x14ac:dyDescent="0.25">
      <c r="A474" s="20"/>
      <c r="B474" s="20"/>
      <c r="C474" s="20"/>
      <c r="D474" s="37"/>
      <c r="E474" s="45"/>
      <c r="F474" s="45"/>
      <c r="G474" s="20"/>
    </row>
    <row r="475" spans="1:7" x14ac:dyDescent="0.25">
      <c r="A475" s="20"/>
      <c r="B475" s="20"/>
      <c r="C475" s="20"/>
      <c r="D475" s="37"/>
      <c r="E475" s="45"/>
      <c r="F475" s="45"/>
      <c r="G475" s="20"/>
    </row>
    <row r="476" spans="1:7" x14ac:dyDescent="0.25">
      <c r="A476" s="20"/>
      <c r="B476" s="20"/>
      <c r="C476" s="20"/>
      <c r="D476" s="37"/>
      <c r="E476" s="45"/>
      <c r="F476" s="45"/>
      <c r="G476" s="20"/>
    </row>
    <row r="477" spans="1:7" x14ac:dyDescent="0.25">
      <c r="A477" s="20"/>
      <c r="B477" s="20"/>
      <c r="C477" s="20"/>
      <c r="D477" s="37"/>
      <c r="E477" s="45"/>
      <c r="F477" s="45"/>
      <c r="G477" s="20"/>
    </row>
    <row r="478" spans="1:7" x14ac:dyDescent="0.25">
      <c r="A478" s="20"/>
      <c r="B478" s="20"/>
      <c r="C478" s="20"/>
      <c r="D478" s="37"/>
      <c r="E478" s="45"/>
      <c r="F478" s="45"/>
      <c r="G478" s="20"/>
    </row>
    <row r="479" spans="1:7" x14ac:dyDescent="0.25">
      <c r="A479" s="20"/>
      <c r="B479" s="20"/>
      <c r="C479" s="20"/>
      <c r="D479" s="37"/>
      <c r="E479" s="45"/>
      <c r="F479" s="45"/>
      <c r="G479" s="20"/>
    </row>
    <row r="480" spans="1:7" x14ac:dyDescent="0.25">
      <c r="A480" s="20"/>
      <c r="B480" s="20"/>
      <c r="C480" s="20"/>
      <c r="D480" s="37"/>
      <c r="E480" s="45"/>
      <c r="F480" s="45"/>
      <c r="G480" s="20"/>
    </row>
    <row r="481" spans="1:7" x14ac:dyDescent="0.25">
      <c r="A481" s="20"/>
      <c r="B481" s="20"/>
      <c r="C481" s="20"/>
      <c r="D481" s="37"/>
      <c r="E481" s="45"/>
      <c r="F481" s="45"/>
      <c r="G481" s="20"/>
    </row>
    <row r="482" spans="1:7" x14ac:dyDescent="0.25">
      <c r="A482" s="20"/>
      <c r="B482" s="20"/>
      <c r="C482" s="20"/>
      <c r="D482" s="37"/>
      <c r="E482" s="45"/>
      <c r="F482" s="45"/>
      <c r="G482" s="20"/>
    </row>
    <row r="483" spans="1:7" x14ac:dyDescent="0.25">
      <c r="A483" s="20"/>
      <c r="B483" s="20"/>
      <c r="C483" s="20"/>
      <c r="D483" s="37"/>
      <c r="E483" s="45"/>
      <c r="F483" s="45"/>
      <c r="G483" s="20"/>
    </row>
    <row r="484" spans="1:7" x14ac:dyDescent="0.25">
      <c r="A484" s="20"/>
      <c r="B484" s="20"/>
      <c r="C484" s="20"/>
      <c r="D484" s="37"/>
      <c r="E484" s="45"/>
      <c r="F484" s="45"/>
      <c r="G484" s="20"/>
    </row>
    <row r="485" spans="1:7" x14ac:dyDescent="0.25">
      <c r="A485" s="20"/>
      <c r="B485" s="20"/>
      <c r="C485" s="20"/>
      <c r="D485" s="37"/>
      <c r="E485" s="45"/>
      <c r="F485" s="45"/>
      <c r="G485" s="20"/>
    </row>
    <row r="486" spans="1:7" x14ac:dyDescent="0.25">
      <c r="A486" s="20"/>
      <c r="B486" s="20"/>
      <c r="C486" s="20"/>
      <c r="D486" s="37"/>
      <c r="E486" s="45"/>
      <c r="F486" s="45"/>
      <c r="G486" s="20"/>
    </row>
    <row r="487" spans="1:7" x14ac:dyDescent="0.25">
      <c r="A487" s="20"/>
      <c r="B487" s="20"/>
      <c r="C487" s="20"/>
      <c r="D487" s="37"/>
      <c r="E487" s="45"/>
      <c r="F487" s="45"/>
      <c r="G487" s="20"/>
    </row>
    <row r="488" spans="1:7" x14ac:dyDescent="0.25">
      <c r="A488" s="20"/>
      <c r="B488" s="20"/>
      <c r="C488" s="20"/>
      <c r="D488" s="37"/>
      <c r="E488" s="45"/>
      <c r="F488" s="45"/>
      <c r="G488" s="20"/>
    </row>
    <row r="489" spans="1:7" x14ac:dyDescent="0.25">
      <c r="A489" s="20"/>
      <c r="B489" s="20"/>
      <c r="C489" s="20"/>
      <c r="D489" s="37"/>
      <c r="E489" s="45"/>
      <c r="F489" s="45"/>
      <c r="G489" s="20"/>
    </row>
    <row r="490" spans="1:7" x14ac:dyDescent="0.25">
      <c r="A490" s="20"/>
      <c r="B490" s="20"/>
      <c r="C490" s="20"/>
      <c r="D490" s="37"/>
      <c r="E490" s="45"/>
      <c r="F490" s="45"/>
      <c r="G490" s="20"/>
    </row>
    <row r="491" spans="1:7" x14ac:dyDescent="0.25">
      <c r="A491" s="20"/>
      <c r="B491" s="20"/>
      <c r="C491" s="20"/>
      <c r="D491" s="37"/>
      <c r="E491" s="45"/>
      <c r="F491" s="45"/>
      <c r="G491" s="20"/>
    </row>
    <row r="492" spans="1:7" x14ac:dyDescent="0.25">
      <c r="A492" s="20"/>
      <c r="B492" s="20"/>
      <c r="C492" s="20"/>
      <c r="D492" s="37"/>
      <c r="E492" s="45"/>
      <c r="F492" s="45"/>
      <c r="G492" s="20"/>
    </row>
    <row r="493" spans="1:7" x14ac:dyDescent="0.25">
      <c r="A493" s="20"/>
      <c r="B493" s="20"/>
      <c r="C493" s="20"/>
      <c r="D493" s="37"/>
      <c r="E493" s="45"/>
      <c r="F493" s="45"/>
      <c r="G493" s="20"/>
    </row>
    <row r="494" spans="1:7" x14ac:dyDescent="0.25">
      <c r="A494" s="20"/>
      <c r="B494" s="20"/>
      <c r="C494" s="20"/>
      <c r="D494" s="37"/>
      <c r="E494" s="45"/>
      <c r="F494" s="45"/>
      <c r="G494" s="20"/>
    </row>
    <row r="495" spans="1:7" x14ac:dyDescent="0.25">
      <c r="A495" s="20"/>
      <c r="B495" s="20"/>
      <c r="C495" s="20"/>
      <c r="D495" s="37"/>
      <c r="E495" s="45"/>
      <c r="F495" s="45"/>
      <c r="G495" s="20"/>
    </row>
    <row r="496" spans="1:7" x14ac:dyDescent="0.25">
      <c r="A496" s="20"/>
      <c r="B496" s="20"/>
      <c r="C496" s="20"/>
      <c r="D496" s="37"/>
      <c r="E496" s="45"/>
      <c r="F496" s="45"/>
      <c r="G496" s="20"/>
    </row>
    <row r="497" spans="1:7" x14ac:dyDescent="0.25">
      <c r="A497" s="20"/>
      <c r="B497" s="20"/>
      <c r="C497" s="20"/>
      <c r="D497" s="37"/>
      <c r="E497" s="45"/>
      <c r="F497" s="45"/>
      <c r="G497" s="20"/>
    </row>
    <row r="498" spans="1:7" x14ac:dyDescent="0.25">
      <c r="A498" s="20"/>
      <c r="B498" s="20"/>
      <c r="C498" s="20"/>
      <c r="D498" s="37"/>
      <c r="E498" s="45"/>
      <c r="F498" s="45"/>
      <c r="G498" s="20"/>
    </row>
    <row r="499" spans="1:7" x14ac:dyDescent="0.25">
      <c r="A499" s="20"/>
      <c r="B499" s="20"/>
      <c r="C499" s="20"/>
      <c r="D499" s="37"/>
      <c r="E499" s="45"/>
      <c r="F499" s="45"/>
      <c r="G499" s="20"/>
    </row>
    <row r="500" spans="1:7" x14ac:dyDescent="0.25">
      <c r="A500" s="20"/>
      <c r="B500" s="20"/>
      <c r="C500" s="20"/>
      <c r="D500" s="37"/>
      <c r="E500" s="45"/>
      <c r="F500" s="45"/>
      <c r="G500" s="20"/>
    </row>
    <row r="501" spans="1:7" x14ac:dyDescent="0.25">
      <c r="A501" s="20"/>
      <c r="B501" s="20"/>
      <c r="C501" s="20"/>
      <c r="D501" s="37"/>
      <c r="E501" s="45"/>
      <c r="F501" s="45"/>
      <c r="G501" s="20"/>
    </row>
    <row r="502" spans="1:7" x14ac:dyDescent="0.25">
      <c r="A502" s="20"/>
      <c r="B502" s="20"/>
      <c r="C502" s="20"/>
      <c r="D502" s="37"/>
      <c r="E502" s="45"/>
      <c r="F502" s="45"/>
      <c r="G502" s="20"/>
    </row>
    <row r="503" spans="1:7" x14ac:dyDescent="0.25">
      <c r="A503" s="20"/>
      <c r="B503" s="20"/>
      <c r="C503" s="20"/>
      <c r="D503" s="37"/>
      <c r="E503" s="45"/>
      <c r="F503" s="45"/>
      <c r="G503" s="20"/>
    </row>
    <row r="504" spans="1:7" x14ac:dyDescent="0.25">
      <c r="A504" s="20"/>
      <c r="B504" s="20"/>
      <c r="C504" s="20"/>
      <c r="D504" s="37"/>
      <c r="E504" s="45"/>
      <c r="F504" s="45"/>
      <c r="G504" s="20"/>
    </row>
    <row r="505" spans="1:7" x14ac:dyDescent="0.25">
      <c r="A505" s="20"/>
      <c r="B505" s="20"/>
      <c r="C505" s="20"/>
      <c r="D505" s="37"/>
      <c r="E505" s="45"/>
      <c r="F505" s="45"/>
      <c r="G505" s="20"/>
    </row>
    <row r="506" spans="1:7" x14ac:dyDescent="0.25">
      <c r="A506" s="20"/>
      <c r="B506" s="20"/>
      <c r="C506" s="20"/>
      <c r="D506" s="37"/>
      <c r="E506" s="45"/>
      <c r="F506" s="45"/>
      <c r="G506" s="20"/>
    </row>
    <row r="507" spans="1:7" x14ac:dyDescent="0.25">
      <c r="A507" s="20"/>
      <c r="B507" s="20"/>
      <c r="C507" s="20"/>
      <c r="D507" s="37"/>
      <c r="E507" s="45"/>
      <c r="F507" s="45"/>
      <c r="G507" s="20"/>
    </row>
    <row r="508" spans="1:7" x14ac:dyDescent="0.25">
      <c r="A508" s="20"/>
      <c r="B508" s="20"/>
      <c r="C508" s="20"/>
      <c r="D508" s="37"/>
      <c r="E508" s="45"/>
      <c r="F508" s="45"/>
      <c r="G508" s="20"/>
    </row>
    <row r="509" spans="1:7" x14ac:dyDescent="0.25">
      <c r="A509" s="20"/>
      <c r="B509" s="20"/>
      <c r="C509" s="20"/>
      <c r="D509" s="37"/>
      <c r="E509" s="45"/>
      <c r="F509" s="45"/>
      <c r="G509" s="20"/>
    </row>
    <row r="510" spans="1:7" x14ac:dyDescent="0.25">
      <c r="A510" s="20"/>
      <c r="B510" s="20"/>
      <c r="C510" s="20"/>
      <c r="D510" s="37"/>
      <c r="E510" s="45"/>
      <c r="F510" s="45"/>
      <c r="G510" s="20"/>
    </row>
    <row r="511" spans="1:7" x14ac:dyDescent="0.25">
      <c r="A511" s="20"/>
      <c r="B511" s="20"/>
      <c r="C511" s="20"/>
      <c r="D511" s="37"/>
      <c r="E511" s="45"/>
      <c r="F511" s="45"/>
      <c r="G511" s="20"/>
    </row>
    <row r="512" spans="1:7" x14ac:dyDescent="0.25">
      <c r="A512" s="20"/>
      <c r="B512" s="20"/>
      <c r="C512" s="20"/>
      <c r="D512" s="37"/>
      <c r="E512" s="45"/>
      <c r="F512" s="45"/>
      <c r="G512" s="20"/>
    </row>
    <row r="513" spans="1:7" x14ac:dyDescent="0.25">
      <c r="A513" s="20"/>
      <c r="B513" s="20"/>
      <c r="C513" s="20"/>
      <c r="D513" s="37"/>
      <c r="E513" s="45"/>
      <c r="F513" s="45"/>
      <c r="G513" s="20"/>
    </row>
    <row r="514" spans="1:7" x14ac:dyDescent="0.25">
      <c r="A514" s="20"/>
      <c r="B514" s="20"/>
      <c r="C514" s="20"/>
      <c r="D514" s="37"/>
      <c r="E514" s="45"/>
      <c r="F514" s="45"/>
      <c r="G514" s="20"/>
    </row>
    <row r="515" spans="1:7" x14ac:dyDescent="0.25">
      <c r="A515" s="20"/>
      <c r="B515" s="20"/>
      <c r="C515" s="20"/>
      <c r="D515" s="37"/>
      <c r="E515" s="45"/>
      <c r="F515" s="45"/>
      <c r="G515" s="20"/>
    </row>
    <row r="516" spans="1:7" x14ac:dyDescent="0.25">
      <c r="A516" s="20"/>
      <c r="B516" s="20"/>
      <c r="C516" s="20"/>
      <c r="D516" s="37"/>
      <c r="E516" s="45"/>
      <c r="F516" s="45"/>
      <c r="G516" s="20"/>
    </row>
    <row r="517" spans="1:7" x14ac:dyDescent="0.25">
      <c r="A517" s="20"/>
      <c r="B517" s="20"/>
      <c r="C517" s="20"/>
      <c r="D517" s="37"/>
      <c r="E517" s="45"/>
      <c r="F517" s="45"/>
      <c r="G517" s="20"/>
    </row>
    <row r="518" spans="1:7" x14ac:dyDescent="0.25">
      <c r="A518" s="20"/>
      <c r="B518" s="20"/>
      <c r="C518" s="20"/>
      <c r="D518" s="37"/>
      <c r="E518" s="45"/>
      <c r="F518" s="45"/>
      <c r="G518" s="20"/>
    </row>
    <row r="519" spans="1:7" x14ac:dyDescent="0.25">
      <c r="A519" s="20"/>
      <c r="B519" s="20"/>
      <c r="C519" s="20"/>
      <c r="D519" s="37"/>
      <c r="E519" s="45"/>
      <c r="F519" s="45"/>
      <c r="G519" s="20"/>
    </row>
    <row r="520" spans="1:7" x14ac:dyDescent="0.25">
      <c r="A520" s="20"/>
      <c r="B520" s="20"/>
      <c r="C520" s="20"/>
      <c r="D520" s="37"/>
      <c r="E520" s="45"/>
      <c r="F520" s="45"/>
      <c r="G520" s="20"/>
    </row>
    <row r="521" spans="1:7" x14ac:dyDescent="0.25">
      <c r="A521" s="20"/>
      <c r="B521" s="20"/>
      <c r="C521" s="20"/>
      <c r="D521" s="37"/>
      <c r="E521" s="45"/>
      <c r="F521" s="45"/>
      <c r="G521" s="20"/>
    </row>
    <row r="522" spans="1:7" x14ac:dyDescent="0.25">
      <c r="A522" s="20"/>
      <c r="B522" s="20"/>
      <c r="C522" s="20"/>
      <c r="D522" s="37"/>
      <c r="E522" s="45"/>
      <c r="F522" s="45"/>
      <c r="G522" s="20"/>
    </row>
    <row r="523" spans="1:7" x14ac:dyDescent="0.25">
      <c r="A523" s="20"/>
      <c r="B523" s="20"/>
      <c r="C523" s="20"/>
      <c r="D523" s="37"/>
      <c r="E523" s="45"/>
      <c r="F523" s="45"/>
      <c r="G523" s="20"/>
    </row>
    <row r="524" spans="1:7" x14ac:dyDescent="0.25">
      <c r="A524" s="20"/>
      <c r="B524" s="20"/>
      <c r="C524" s="20"/>
      <c r="D524" s="37"/>
      <c r="E524" s="45"/>
      <c r="F524" s="45"/>
      <c r="G524" s="20"/>
    </row>
    <row r="525" spans="1:7" x14ac:dyDescent="0.25">
      <c r="A525" s="20"/>
      <c r="B525" s="20"/>
      <c r="C525" s="20"/>
      <c r="D525" s="37"/>
      <c r="E525" s="45"/>
      <c r="F525" s="45"/>
      <c r="G525" s="20"/>
    </row>
    <row r="526" spans="1:7" x14ac:dyDescent="0.25">
      <c r="A526" s="20"/>
      <c r="B526" s="20"/>
      <c r="C526" s="20"/>
      <c r="D526" s="37"/>
      <c r="E526" s="45"/>
      <c r="F526" s="45"/>
      <c r="G526" s="20"/>
    </row>
    <row r="527" spans="1:7" x14ac:dyDescent="0.25">
      <c r="A527" s="20"/>
      <c r="B527" s="20"/>
      <c r="C527" s="20"/>
      <c r="D527" s="37"/>
      <c r="E527" s="45"/>
      <c r="F527" s="45"/>
      <c r="G527" s="20"/>
    </row>
    <row r="528" spans="1:7" x14ac:dyDescent="0.25">
      <c r="A528" s="20"/>
      <c r="B528" s="20"/>
      <c r="C528" s="20"/>
      <c r="D528" s="37"/>
      <c r="E528" s="45"/>
      <c r="F528" s="45"/>
      <c r="G528" s="20"/>
    </row>
    <row r="529" spans="1:7" x14ac:dyDescent="0.25">
      <c r="A529" s="20"/>
      <c r="B529" s="20"/>
      <c r="C529" s="20"/>
      <c r="D529" s="37"/>
      <c r="E529" s="45"/>
      <c r="F529" s="45"/>
      <c r="G529" s="20"/>
    </row>
    <row r="530" spans="1:7" x14ac:dyDescent="0.25">
      <c r="A530" s="20"/>
      <c r="B530" s="20"/>
      <c r="C530" s="20"/>
      <c r="D530" s="37"/>
      <c r="E530" s="45"/>
      <c r="F530" s="45"/>
      <c r="G530" s="20"/>
    </row>
    <row r="531" spans="1:7" x14ac:dyDescent="0.25">
      <c r="A531" s="20"/>
      <c r="B531" s="20"/>
      <c r="C531" s="20"/>
      <c r="D531" s="37"/>
      <c r="E531" s="45"/>
      <c r="F531" s="45"/>
      <c r="G531" s="20"/>
    </row>
    <row r="532" spans="1:7" x14ac:dyDescent="0.25">
      <c r="A532" s="20"/>
      <c r="B532" s="20"/>
      <c r="C532" s="20"/>
      <c r="D532" s="37"/>
      <c r="E532" s="45"/>
      <c r="F532" s="45"/>
      <c r="G532" s="20"/>
    </row>
    <row r="533" spans="1:7" x14ac:dyDescent="0.25">
      <c r="A533" s="20"/>
      <c r="B533" s="20"/>
      <c r="C533" s="20"/>
      <c r="D533" s="37"/>
      <c r="E533" s="45"/>
      <c r="F533" s="45"/>
      <c r="G533" s="20"/>
    </row>
    <row r="534" spans="1:7" x14ac:dyDescent="0.25">
      <c r="A534" s="20"/>
      <c r="B534" s="20"/>
      <c r="C534" s="20"/>
      <c r="D534" s="37"/>
      <c r="E534" s="45"/>
      <c r="F534" s="45"/>
      <c r="G534" s="20"/>
    </row>
    <row r="535" spans="1:7" x14ac:dyDescent="0.25">
      <c r="A535" s="20"/>
      <c r="B535" s="20"/>
      <c r="C535" s="20"/>
      <c r="D535" s="37"/>
      <c r="E535" s="45"/>
      <c r="F535" s="45"/>
      <c r="G535" s="20"/>
    </row>
    <row r="536" spans="1:7" x14ac:dyDescent="0.25">
      <c r="A536" s="20"/>
      <c r="B536" s="20"/>
      <c r="C536" s="20"/>
      <c r="D536" s="37"/>
      <c r="E536" s="45"/>
      <c r="F536" s="45"/>
      <c r="G536" s="20"/>
    </row>
    <row r="537" spans="1:7" x14ac:dyDescent="0.25">
      <c r="A537" s="20"/>
      <c r="B537" s="20"/>
      <c r="C537" s="20"/>
      <c r="D537" s="37"/>
      <c r="E537" s="45"/>
      <c r="F537" s="45"/>
      <c r="G537" s="20"/>
    </row>
    <row r="538" spans="1:7" x14ac:dyDescent="0.25">
      <c r="A538" s="20"/>
      <c r="B538" s="20"/>
      <c r="C538" s="20"/>
      <c r="D538" s="37"/>
      <c r="E538" s="45"/>
      <c r="F538" s="45"/>
      <c r="G538" s="20"/>
    </row>
    <row r="539" spans="1:7" x14ac:dyDescent="0.25">
      <c r="A539" s="20"/>
      <c r="B539" s="20"/>
      <c r="C539" s="20"/>
      <c r="D539" s="37"/>
      <c r="E539" s="45"/>
      <c r="F539" s="45"/>
      <c r="G539" s="20"/>
    </row>
    <row r="540" spans="1:7" x14ac:dyDescent="0.25">
      <c r="A540" s="20"/>
      <c r="B540" s="20"/>
      <c r="C540" s="20"/>
      <c r="D540" s="37"/>
      <c r="E540" s="45"/>
      <c r="F540" s="45"/>
      <c r="G540" s="20"/>
    </row>
    <row r="541" spans="1:7" x14ac:dyDescent="0.25">
      <c r="A541" s="20"/>
      <c r="B541" s="20"/>
      <c r="C541" s="20"/>
      <c r="D541" s="37"/>
      <c r="E541" s="45"/>
      <c r="F541" s="45"/>
      <c r="G541" s="20"/>
    </row>
    <row r="542" spans="1:7" x14ac:dyDescent="0.25">
      <c r="A542" s="20"/>
      <c r="B542" s="20"/>
      <c r="C542" s="20"/>
      <c r="D542" s="37"/>
      <c r="E542" s="45"/>
      <c r="F542" s="45"/>
      <c r="G542" s="20"/>
    </row>
    <row r="543" spans="1:7" x14ac:dyDescent="0.25">
      <c r="A543" s="20"/>
      <c r="B543" s="20"/>
      <c r="C543" s="20"/>
      <c r="D543" s="37"/>
      <c r="E543" s="45"/>
      <c r="F543" s="45"/>
      <c r="G543" s="20"/>
    </row>
    <row r="544" spans="1:7" x14ac:dyDescent="0.25">
      <c r="A544" s="20"/>
      <c r="B544" s="20"/>
      <c r="C544" s="20"/>
      <c r="D544" s="37"/>
      <c r="E544" s="45"/>
      <c r="F544" s="45"/>
      <c r="G544" s="20"/>
    </row>
    <row r="545" spans="1:7" x14ac:dyDescent="0.25">
      <c r="A545" s="20"/>
      <c r="B545" s="20"/>
      <c r="C545" s="20"/>
      <c r="D545" s="37"/>
      <c r="E545" s="45"/>
      <c r="F545" s="45"/>
      <c r="G545" s="20"/>
    </row>
    <row r="546" spans="1:7" x14ac:dyDescent="0.25">
      <c r="A546" s="20"/>
      <c r="B546" s="20"/>
      <c r="C546" s="20"/>
      <c r="D546" s="37"/>
      <c r="E546" s="45"/>
      <c r="F546" s="45"/>
      <c r="G546" s="20"/>
    </row>
    <row r="547" spans="1:7" x14ac:dyDescent="0.25">
      <c r="A547" s="20"/>
      <c r="B547" s="20"/>
      <c r="C547" s="20"/>
      <c r="D547" s="37"/>
      <c r="E547" s="45"/>
      <c r="F547" s="45"/>
      <c r="G547" s="20"/>
    </row>
    <row r="548" spans="1:7" x14ac:dyDescent="0.25">
      <c r="A548" s="20"/>
      <c r="B548" s="20"/>
      <c r="C548" s="20"/>
      <c r="D548" s="37"/>
      <c r="E548" s="45"/>
      <c r="F548" s="45"/>
      <c r="G548" s="20"/>
    </row>
    <row r="549" spans="1:7" x14ac:dyDescent="0.25">
      <c r="A549" s="20"/>
      <c r="B549" s="20"/>
      <c r="C549" s="20"/>
      <c r="D549" s="37"/>
      <c r="E549" s="45"/>
      <c r="F549" s="45"/>
      <c r="G549" s="20"/>
    </row>
    <row r="550" spans="1:7" x14ac:dyDescent="0.25">
      <c r="A550" s="20"/>
      <c r="B550" s="20"/>
      <c r="C550" s="20"/>
      <c r="D550" s="37"/>
      <c r="E550" s="45"/>
      <c r="F550" s="45"/>
      <c r="G550" s="20"/>
    </row>
    <row r="551" spans="1:7" x14ac:dyDescent="0.25">
      <c r="A551" s="20"/>
      <c r="B551" s="20"/>
      <c r="C551" s="20"/>
      <c r="D551" s="37"/>
      <c r="E551" s="45"/>
      <c r="F551" s="45"/>
      <c r="G551" s="20"/>
    </row>
  </sheetData>
  <mergeCells count="1">
    <mergeCell ref="A4:B4"/>
  </mergeCells>
  <conditionalFormatting sqref="D10:D1048576">
    <cfRule type="cellIs" dxfId="23" priority="7" operator="equal">
      <formula>"Malfunction"</formula>
    </cfRule>
    <cfRule type="cellIs" dxfId="22" priority="8" operator="equal">
      <formula>"Diagnostic"</formula>
    </cfRule>
  </conditionalFormatting>
  <conditionalFormatting sqref="E10:E1048576">
    <cfRule type="cellIs" dxfId="21" priority="5" operator="equal">
      <formula>"Cleared"</formula>
    </cfRule>
    <cfRule type="cellIs" dxfId="20" priority="6" operator="equal">
      <formula>"Active"</formula>
    </cfRule>
  </conditionalFormatting>
  <conditionalFormatting sqref="D1:D9">
    <cfRule type="cellIs" dxfId="19" priority="3" operator="equal">
      <formula>"Malfunction"</formula>
    </cfRule>
    <cfRule type="cellIs" dxfId="18" priority="4" operator="equal">
      <formula>"Diagnostic"</formula>
    </cfRule>
  </conditionalFormatting>
  <conditionalFormatting sqref="E1:E9">
    <cfRule type="cellIs" dxfId="17" priority="1" operator="equal">
      <formula>"Cleared"</formula>
    </cfRule>
    <cfRule type="cellIs" dxfId="16" priority="2" operator="equal">
      <formula>"Active"</formula>
    </cfRule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D44-304B-4953-AAC1-2CD791F93A50}">
  <dimension ref="A1:G552"/>
  <sheetViews>
    <sheetView showGridLines="0" workbookViewId="0">
      <selection activeCell="A14" sqref="A14"/>
    </sheetView>
  </sheetViews>
  <sheetFormatPr defaultColWidth="9.140625" defaultRowHeight="14.25" x14ac:dyDescent="0.25"/>
  <cols>
    <col min="1" max="2" width="25.7109375" style="26" customWidth="1"/>
    <col min="3" max="3" width="30.7109375" style="26" customWidth="1"/>
    <col min="4" max="4" width="14.7109375" style="38" customWidth="1"/>
    <col min="5" max="6" width="14.7109375" style="28" customWidth="1"/>
    <col min="7" max="7" width="14.85546875" style="28" bestFit="1" customWidth="1"/>
    <col min="8" max="8" width="15.5703125" style="26" customWidth="1"/>
    <col min="9" max="9" width="49.42578125" style="26" customWidth="1"/>
    <col min="10" max="10" width="15.42578125" style="26" customWidth="1"/>
    <col min="11" max="11" width="23" style="26" customWidth="1"/>
    <col min="12" max="12" width="21" style="26" customWidth="1"/>
    <col min="13" max="13" width="20.5703125" style="26" customWidth="1"/>
    <col min="14" max="16384" width="9.140625" style="26"/>
  </cols>
  <sheetData>
    <row r="1" spans="1:7" s="18" customFormat="1" ht="25.5" customHeight="1" x14ac:dyDescent="0.45">
      <c r="A1" s="53" t="s">
        <v>527</v>
      </c>
      <c r="C1" s="23">
        <f>Data!B2</f>
        <v>43598.449176643502</v>
      </c>
      <c r="D1" s="43"/>
      <c r="E1" s="27"/>
      <c r="F1" s="27"/>
      <c r="G1" s="27"/>
    </row>
    <row r="2" spans="1:7" ht="25.5" customHeight="1" x14ac:dyDescent="0.5">
      <c r="A2" s="59" t="str">
        <f>Data!B1</f>
        <v>ABC Company</v>
      </c>
      <c r="B2" s="10"/>
      <c r="C2" s="10"/>
    </row>
    <row r="3" spans="1:7" ht="17.45" customHeight="1" x14ac:dyDescent="0.25">
      <c r="A3" s="11"/>
      <c r="B3" s="11"/>
      <c r="C3" s="11"/>
    </row>
    <row r="4" spans="1:7" ht="17.45" customHeight="1" x14ac:dyDescent="0.3">
      <c r="A4" s="79" t="s">
        <v>45</v>
      </c>
      <c r="B4" s="80"/>
      <c r="C4" s="19"/>
      <c r="D4" s="44"/>
    </row>
    <row r="5" spans="1:7" ht="17.45" customHeight="1" x14ac:dyDescent="0.3">
      <c r="A5" s="62" t="s">
        <v>40</v>
      </c>
      <c r="B5" s="56">
        <f>Data!B3</f>
        <v>43568.449169502303</v>
      </c>
      <c r="C5" s="19"/>
      <c r="D5" s="44"/>
    </row>
    <row r="6" spans="1:7" ht="17.45" customHeight="1" x14ac:dyDescent="0.3">
      <c r="A6" s="62" t="s">
        <v>41</v>
      </c>
      <c r="B6" s="56">
        <f>Data!B4</f>
        <v>43598.449169502303</v>
      </c>
      <c r="C6" s="13"/>
      <c r="D6" s="44"/>
    </row>
    <row r="7" spans="1:7" ht="17.45" customHeight="1" x14ac:dyDescent="0.3">
      <c r="A7" s="62" t="s">
        <v>525</v>
      </c>
      <c r="B7" s="57">
        <f>B6-B5</f>
        <v>30</v>
      </c>
      <c r="C7" s="13"/>
      <c r="D7" s="44"/>
    </row>
    <row r="8" spans="1:7" ht="17.45" customHeight="1" x14ac:dyDescent="0.3">
      <c r="A8" s="24"/>
      <c r="B8" s="25"/>
      <c r="C8" s="13"/>
      <c r="D8" s="44"/>
    </row>
    <row r="9" spans="1:7" ht="17.45" customHeight="1" x14ac:dyDescent="0.3">
      <c r="A9" s="61" t="s">
        <v>42</v>
      </c>
      <c r="B9" s="55" t="str">
        <f>Data!B5</f>
        <v>miles</v>
      </c>
      <c r="C9" s="13"/>
      <c r="D9" s="14"/>
    </row>
    <row r="10" spans="1:7" s="40" customFormat="1" ht="17.45" hidden="1" customHeight="1" x14ac:dyDescent="0.3">
      <c r="A10" s="81" t="s">
        <v>485</v>
      </c>
      <c r="B10" s="82" t="s">
        <v>487</v>
      </c>
      <c r="C10" s="39"/>
      <c r="D10" s="46"/>
      <c r="E10" s="41"/>
      <c r="F10" s="41"/>
      <c r="G10" s="41"/>
    </row>
    <row r="11" spans="1:7" s="48" customFormat="1" ht="17.45" hidden="1" customHeight="1" x14ac:dyDescent="0.3">
      <c r="A11" s="81" t="s">
        <v>220</v>
      </c>
      <c r="B11" s="82" t="s">
        <v>487</v>
      </c>
      <c r="C11" s="39"/>
      <c r="D11" s="46"/>
      <c r="E11" s="47"/>
      <c r="F11" s="47"/>
      <c r="G11" s="47"/>
    </row>
    <row r="12" spans="1:7" ht="17.45" hidden="1" customHeight="1" x14ac:dyDescent="0.3">
      <c r="A12" s="81" t="s">
        <v>227</v>
      </c>
      <c r="B12" s="82" t="s">
        <v>487</v>
      </c>
    </row>
    <row r="13" spans="1:7" ht="17.45" customHeight="1" x14ac:dyDescent="0.25"/>
    <row r="14" spans="1:7" s="52" customFormat="1" ht="18" customHeight="1" x14ac:dyDescent="0.3">
      <c r="A14" s="81" t="s">
        <v>528</v>
      </c>
      <c r="B14" s="81" t="s">
        <v>30</v>
      </c>
      <c r="C14" s="81" t="s">
        <v>537</v>
      </c>
      <c r="D14" s="86" t="s">
        <v>535</v>
      </c>
      <c r="E14" s="81" t="s">
        <v>531</v>
      </c>
      <c r="F14" s="87" t="s">
        <v>536</v>
      </c>
      <c r="G14"/>
    </row>
    <row r="15" spans="1:7" ht="16.5" x14ac:dyDescent="0.3">
      <c r="A15" s="82" t="s">
        <v>514</v>
      </c>
      <c r="B15" s="82" t="s">
        <v>248</v>
      </c>
      <c r="C15" s="84">
        <v>43584.464537037034</v>
      </c>
      <c r="D15" s="83" t="s">
        <v>227</v>
      </c>
      <c r="E15" s="82" t="s">
        <v>220</v>
      </c>
      <c r="F15" s="85">
        <v>1</v>
      </c>
      <c r="G15"/>
    </row>
    <row r="16" spans="1:7" ht="16.5" x14ac:dyDescent="0.3">
      <c r="A16" s="82" t="s">
        <v>0</v>
      </c>
      <c r="B16" s="82"/>
      <c r="C16" s="82"/>
      <c r="D16" s="82"/>
      <c r="E16" s="82"/>
      <c r="F16" s="85">
        <v>1</v>
      </c>
      <c r="G16"/>
    </row>
    <row r="17" spans="1:7" x14ac:dyDescent="0.25">
      <c r="A17"/>
      <c r="B17"/>
      <c r="C17"/>
      <c r="D17"/>
      <c r="E17"/>
      <c r="F17"/>
      <c r="G17" s="20"/>
    </row>
    <row r="18" spans="1:7" x14ac:dyDescent="0.25">
      <c r="A18"/>
      <c r="B18"/>
      <c r="C18"/>
      <c r="D18"/>
      <c r="E18"/>
      <c r="F18"/>
      <c r="G18" s="20"/>
    </row>
    <row r="19" spans="1:7" x14ac:dyDescent="0.25">
      <c r="A19"/>
      <c r="B19"/>
      <c r="C19"/>
      <c r="D19"/>
      <c r="E19"/>
      <c r="F19"/>
      <c r="G19" s="20"/>
    </row>
    <row r="20" spans="1:7" x14ac:dyDescent="0.25">
      <c r="A20"/>
      <c r="B20"/>
      <c r="C20"/>
      <c r="D20"/>
      <c r="E20"/>
      <c r="F20"/>
      <c r="G20" s="20"/>
    </row>
    <row r="21" spans="1:7" x14ac:dyDescent="0.25">
      <c r="A21"/>
      <c r="B21"/>
      <c r="C21"/>
      <c r="D21"/>
      <c r="E21"/>
      <c r="F21"/>
      <c r="G21" s="20"/>
    </row>
    <row r="22" spans="1:7" x14ac:dyDescent="0.25">
      <c r="A22"/>
      <c r="B22"/>
      <c r="C22"/>
      <c r="D22"/>
      <c r="E22"/>
      <c r="F22"/>
      <c r="G22" s="20"/>
    </row>
    <row r="23" spans="1:7" x14ac:dyDescent="0.25">
      <c r="A23"/>
      <c r="B23"/>
      <c r="C23"/>
      <c r="D23"/>
      <c r="E23"/>
      <c r="F23"/>
      <c r="G23" s="20"/>
    </row>
    <row r="24" spans="1:7" x14ac:dyDescent="0.25">
      <c r="A24"/>
      <c r="B24"/>
      <c r="C24"/>
      <c r="D24"/>
      <c r="E24"/>
      <c r="F24"/>
      <c r="G24" s="20"/>
    </row>
    <row r="25" spans="1:7" x14ac:dyDescent="0.25">
      <c r="A25"/>
      <c r="B25"/>
      <c r="C25"/>
      <c r="D25"/>
      <c r="E25"/>
      <c r="F25"/>
      <c r="G25" s="20"/>
    </row>
    <row r="26" spans="1:7" x14ac:dyDescent="0.25">
      <c r="A26"/>
      <c r="B26"/>
      <c r="C26"/>
      <c r="D26"/>
      <c r="E26"/>
      <c r="F26"/>
      <c r="G26" s="20"/>
    </row>
    <row r="27" spans="1:7" x14ac:dyDescent="0.25">
      <c r="A27"/>
      <c r="B27"/>
      <c r="C27"/>
      <c r="D27"/>
      <c r="E27"/>
      <c r="F27"/>
      <c r="G27" s="20"/>
    </row>
    <row r="28" spans="1:7" x14ac:dyDescent="0.25">
      <c r="A28"/>
      <c r="B28"/>
      <c r="C28"/>
      <c r="D28"/>
      <c r="E28"/>
      <c r="F28"/>
      <c r="G28" s="20"/>
    </row>
    <row r="29" spans="1:7" x14ac:dyDescent="0.25">
      <c r="A29"/>
      <c r="B29"/>
      <c r="C29"/>
      <c r="D29"/>
      <c r="E29"/>
      <c r="F29"/>
      <c r="G29" s="20"/>
    </row>
    <row r="30" spans="1:7" x14ac:dyDescent="0.25">
      <c r="A30"/>
      <c r="B30"/>
      <c r="C30"/>
      <c r="D30"/>
      <c r="E30"/>
      <c r="F30"/>
      <c r="G30" s="20"/>
    </row>
    <row r="31" spans="1:7" x14ac:dyDescent="0.25">
      <c r="A31"/>
      <c r="B31"/>
      <c r="C31"/>
      <c r="D31"/>
      <c r="E31"/>
      <c r="F31"/>
      <c r="G31" s="20"/>
    </row>
    <row r="32" spans="1:7" x14ac:dyDescent="0.25">
      <c r="A32"/>
      <c r="B32"/>
      <c r="C32"/>
      <c r="D32"/>
      <c r="E32"/>
      <c r="F32"/>
      <c r="G32" s="20"/>
    </row>
    <row r="33" spans="1:7" x14ac:dyDescent="0.25">
      <c r="A33" s="20"/>
      <c r="B33" s="20"/>
      <c r="C33" s="20"/>
      <c r="D33" s="20"/>
      <c r="E33" s="20"/>
      <c r="F33" s="20"/>
      <c r="G33" s="20"/>
    </row>
    <row r="34" spans="1:7" x14ac:dyDescent="0.25">
      <c r="A34" s="20"/>
      <c r="B34" s="20"/>
      <c r="C34" s="20"/>
      <c r="D34" s="20"/>
      <c r="E34" s="20"/>
      <c r="F34" s="20"/>
      <c r="G34" s="20"/>
    </row>
    <row r="35" spans="1:7" x14ac:dyDescent="0.25">
      <c r="A35" s="20"/>
      <c r="B35" s="20"/>
      <c r="C35" s="20"/>
      <c r="D35" s="20"/>
      <c r="E35" s="20"/>
      <c r="F35" s="20"/>
      <c r="G35" s="20"/>
    </row>
    <row r="36" spans="1:7" x14ac:dyDescent="0.25">
      <c r="A36" s="20"/>
      <c r="B36" s="20"/>
      <c r="C36" s="20"/>
      <c r="D36" s="20"/>
      <c r="E36" s="20"/>
      <c r="F36" s="20"/>
      <c r="G36" s="20"/>
    </row>
    <row r="37" spans="1:7" x14ac:dyDescent="0.25">
      <c r="A37" s="20"/>
      <c r="B37" s="20"/>
      <c r="C37" s="20"/>
      <c r="D37" s="20"/>
      <c r="E37" s="20"/>
      <c r="F37" s="20"/>
      <c r="G37" s="20"/>
    </row>
    <row r="38" spans="1:7" x14ac:dyDescent="0.25">
      <c r="A38" s="20"/>
      <c r="B38" s="20"/>
      <c r="C38" s="20"/>
      <c r="D38" s="20"/>
      <c r="E38" s="20"/>
      <c r="F38" s="20"/>
      <c r="G38" s="20"/>
    </row>
    <row r="39" spans="1:7" x14ac:dyDescent="0.25">
      <c r="A39" s="20"/>
      <c r="B39" s="20"/>
      <c r="C39" s="20"/>
      <c r="D39" s="20"/>
      <c r="E39" s="20"/>
      <c r="F39" s="20"/>
      <c r="G39" s="20"/>
    </row>
    <row r="40" spans="1:7" x14ac:dyDescent="0.25">
      <c r="A40" s="20"/>
      <c r="B40" s="20"/>
      <c r="C40" s="20"/>
      <c r="D40" s="20"/>
      <c r="E40" s="20"/>
      <c r="F40" s="20"/>
      <c r="G40" s="20"/>
    </row>
    <row r="41" spans="1:7" x14ac:dyDescent="0.25">
      <c r="A41" s="20"/>
      <c r="B41" s="20"/>
      <c r="C41" s="20"/>
      <c r="D41" s="20"/>
      <c r="E41" s="20"/>
      <c r="F41" s="20"/>
      <c r="G41" s="20"/>
    </row>
    <row r="42" spans="1:7" x14ac:dyDescent="0.25">
      <c r="A42" s="20"/>
      <c r="B42" s="20"/>
      <c r="C42" s="20"/>
      <c r="D42" s="20"/>
      <c r="E42" s="20"/>
      <c r="F42" s="20"/>
      <c r="G42" s="20"/>
    </row>
    <row r="43" spans="1:7" x14ac:dyDescent="0.25">
      <c r="A43" s="20"/>
      <c r="B43" s="20"/>
      <c r="C43" s="20"/>
      <c r="D43" s="20"/>
      <c r="E43" s="20"/>
      <c r="F43" s="20"/>
      <c r="G43" s="20"/>
    </row>
    <row r="44" spans="1:7" x14ac:dyDescent="0.25">
      <c r="A44" s="20"/>
      <c r="B44" s="20"/>
      <c r="C44" s="20"/>
      <c r="D44" s="20"/>
      <c r="E44" s="20"/>
      <c r="F44" s="20"/>
      <c r="G44" s="20"/>
    </row>
    <row r="45" spans="1:7" x14ac:dyDescent="0.25">
      <c r="A45" s="20"/>
      <c r="B45" s="20"/>
      <c r="C45" s="20"/>
      <c r="D45" s="20"/>
      <c r="E45" s="20"/>
      <c r="F45" s="20"/>
      <c r="G45" s="20"/>
    </row>
    <row r="46" spans="1:7" x14ac:dyDescent="0.25">
      <c r="A46" s="20"/>
      <c r="B46" s="20"/>
      <c r="C46" s="20"/>
      <c r="D46" s="20"/>
      <c r="E46" s="20"/>
      <c r="F46" s="20"/>
      <c r="G46" s="20"/>
    </row>
    <row r="47" spans="1:7" x14ac:dyDescent="0.25">
      <c r="A47" s="20"/>
      <c r="B47" s="20"/>
      <c r="C47" s="20"/>
      <c r="D47" s="20"/>
      <c r="E47" s="20"/>
      <c r="F47" s="20"/>
      <c r="G47" s="20"/>
    </row>
    <row r="48" spans="1:7" x14ac:dyDescent="0.25">
      <c r="A48" s="20"/>
      <c r="B48" s="20"/>
      <c r="C48" s="20"/>
      <c r="D48" s="20"/>
      <c r="E48" s="20"/>
      <c r="F48" s="20"/>
      <c r="G48" s="20"/>
    </row>
    <row r="49" spans="1:7" x14ac:dyDescent="0.25">
      <c r="A49" s="20"/>
      <c r="B49" s="20"/>
      <c r="C49" s="20"/>
      <c r="D49" s="20"/>
      <c r="E49" s="20"/>
      <c r="F49" s="20"/>
      <c r="G49" s="20"/>
    </row>
    <row r="50" spans="1:7" x14ac:dyDescent="0.25">
      <c r="A50" s="20"/>
      <c r="B50" s="20"/>
      <c r="C50" s="20"/>
      <c r="D50" s="20"/>
      <c r="E50" s="20"/>
      <c r="F50" s="20"/>
      <c r="G50" s="20"/>
    </row>
    <row r="51" spans="1:7" x14ac:dyDescent="0.25">
      <c r="A51" s="20"/>
      <c r="B51" s="20"/>
      <c r="C51" s="20"/>
      <c r="D51" s="20"/>
      <c r="E51" s="20"/>
      <c r="F51" s="20"/>
      <c r="G51" s="20"/>
    </row>
    <row r="52" spans="1:7" x14ac:dyDescent="0.25">
      <c r="A52" s="20"/>
      <c r="B52" s="20"/>
      <c r="C52" s="20"/>
      <c r="D52" s="20"/>
      <c r="E52" s="20"/>
      <c r="F52" s="20"/>
      <c r="G52" s="20"/>
    </row>
    <row r="53" spans="1:7" x14ac:dyDescent="0.25">
      <c r="A53" s="20"/>
      <c r="B53" s="20"/>
      <c r="C53" s="20"/>
      <c r="D53" s="37"/>
      <c r="E53" s="45"/>
      <c r="F53" s="45"/>
      <c r="G53" s="20"/>
    </row>
    <row r="54" spans="1:7" x14ac:dyDescent="0.25">
      <c r="A54" s="20"/>
      <c r="B54" s="20"/>
      <c r="C54" s="20"/>
      <c r="D54" s="37"/>
      <c r="E54" s="45"/>
      <c r="F54" s="45"/>
      <c r="G54" s="20"/>
    </row>
    <row r="55" spans="1:7" x14ac:dyDescent="0.25">
      <c r="A55" s="20"/>
      <c r="B55" s="20"/>
      <c r="C55" s="20"/>
      <c r="D55" s="37"/>
      <c r="E55" s="45"/>
      <c r="F55" s="45"/>
      <c r="G55" s="20"/>
    </row>
    <row r="56" spans="1:7" x14ac:dyDescent="0.25">
      <c r="A56" s="20"/>
      <c r="B56" s="20"/>
      <c r="C56" s="20"/>
      <c r="D56" s="37"/>
      <c r="E56" s="45"/>
      <c r="F56" s="45"/>
      <c r="G56" s="20"/>
    </row>
    <row r="57" spans="1:7" x14ac:dyDescent="0.25">
      <c r="A57" s="20"/>
      <c r="B57" s="20"/>
      <c r="C57" s="20"/>
      <c r="D57" s="37"/>
      <c r="E57" s="45"/>
      <c r="F57" s="45"/>
      <c r="G57" s="20"/>
    </row>
    <row r="58" spans="1:7" x14ac:dyDescent="0.25">
      <c r="A58" s="20"/>
      <c r="B58" s="20"/>
      <c r="C58" s="20"/>
      <c r="D58" s="37"/>
      <c r="E58" s="45"/>
      <c r="F58" s="45"/>
      <c r="G58" s="20"/>
    </row>
    <row r="59" spans="1:7" x14ac:dyDescent="0.25">
      <c r="A59" s="20"/>
      <c r="B59" s="20"/>
      <c r="C59" s="20"/>
      <c r="D59" s="37"/>
      <c r="E59" s="45"/>
      <c r="F59" s="45"/>
      <c r="G59" s="20"/>
    </row>
    <row r="60" spans="1:7" x14ac:dyDescent="0.25">
      <c r="A60" s="20"/>
      <c r="B60" s="20"/>
      <c r="C60" s="20"/>
      <c r="D60" s="37"/>
      <c r="E60" s="45"/>
      <c r="F60" s="45"/>
      <c r="G60" s="20"/>
    </row>
    <row r="61" spans="1:7" x14ac:dyDescent="0.25">
      <c r="A61" s="20"/>
      <c r="B61" s="20"/>
      <c r="C61" s="20"/>
      <c r="D61" s="37"/>
      <c r="E61" s="45"/>
      <c r="F61" s="45"/>
      <c r="G61" s="20"/>
    </row>
    <row r="62" spans="1:7" x14ac:dyDescent="0.25">
      <c r="A62" s="20"/>
      <c r="B62" s="20"/>
      <c r="C62" s="20"/>
      <c r="D62" s="37"/>
      <c r="E62" s="45"/>
      <c r="F62" s="45"/>
      <c r="G62" s="20"/>
    </row>
    <row r="63" spans="1:7" x14ac:dyDescent="0.25">
      <c r="A63" s="20"/>
      <c r="B63" s="20"/>
      <c r="C63" s="20"/>
      <c r="D63" s="37"/>
      <c r="E63" s="45"/>
      <c r="F63" s="45"/>
      <c r="G63" s="20"/>
    </row>
    <row r="64" spans="1:7" x14ac:dyDescent="0.25">
      <c r="A64" s="20"/>
      <c r="B64" s="20"/>
      <c r="C64" s="20"/>
      <c r="D64" s="37"/>
      <c r="E64" s="45"/>
      <c r="F64" s="45"/>
      <c r="G64" s="20"/>
    </row>
    <row r="65" spans="1:7" x14ac:dyDescent="0.25">
      <c r="A65" s="20"/>
      <c r="B65" s="20"/>
      <c r="C65" s="20"/>
      <c r="D65" s="37"/>
      <c r="E65" s="45"/>
      <c r="F65" s="45"/>
      <c r="G65" s="20"/>
    </row>
    <row r="66" spans="1:7" x14ac:dyDescent="0.25">
      <c r="A66" s="20"/>
      <c r="B66" s="20"/>
      <c r="C66" s="20"/>
      <c r="D66" s="37"/>
      <c r="E66" s="45"/>
      <c r="F66" s="45"/>
      <c r="G66" s="20"/>
    </row>
    <row r="67" spans="1:7" x14ac:dyDescent="0.25">
      <c r="A67" s="20"/>
      <c r="B67" s="20"/>
      <c r="C67" s="20"/>
      <c r="D67" s="37"/>
      <c r="E67" s="45"/>
      <c r="F67" s="45"/>
      <c r="G67" s="20"/>
    </row>
    <row r="68" spans="1:7" x14ac:dyDescent="0.25">
      <c r="A68" s="20"/>
      <c r="B68" s="20"/>
      <c r="C68" s="20"/>
      <c r="D68" s="37"/>
      <c r="E68" s="45"/>
      <c r="F68" s="45"/>
      <c r="G68" s="20"/>
    </row>
    <row r="69" spans="1:7" x14ac:dyDescent="0.25">
      <c r="A69" s="20"/>
      <c r="B69" s="20"/>
      <c r="C69" s="20"/>
      <c r="D69" s="37"/>
      <c r="E69" s="45"/>
      <c r="F69" s="45"/>
      <c r="G69" s="20"/>
    </row>
    <row r="70" spans="1:7" x14ac:dyDescent="0.25">
      <c r="A70" s="20"/>
      <c r="B70" s="20"/>
      <c r="C70" s="20"/>
      <c r="D70" s="37"/>
      <c r="E70" s="45"/>
      <c r="F70" s="45"/>
      <c r="G70" s="20"/>
    </row>
    <row r="71" spans="1:7" x14ac:dyDescent="0.25">
      <c r="A71" s="20"/>
      <c r="B71" s="20"/>
      <c r="C71" s="20"/>
      <c r="D71" s="37"/>
      <c r="E71" s="45"/>
      <c r="F71" s="45"/>
      <c r="G71" s="20"/>
    </row>
    <row r="72" spans="1:7" x14ac:dyDescent="0.25">
      <c r="A72" s="20"/>
      <c r="B72" s="20"/>
      <c r="C72" s="20"/>
      <c r="D72" s="37"/>
      <c r="E72" s="45"/>
      <c r="F72" s="45"/>
      <c r="G72" s="20"/>
    </row>
    <row r="73" spans="1:7" x14ac:dyDescent="0.25">
      <c r="A73" s="20"/>
      <c r="B73" s="20"/>
      <c r="C73" s="20"/>
      <c r="D73" s="37"/>
      <c r="E73" s="45"/>
      <c r="F73" s="45"/>
      <c r="G73" s="20"/>
    </row>
    <row r="74" spans="1:7" x14ac:dyDescent="0.25">
      <c r="A74" s="20"/>
      <c r="B74" s="20"/>
      <c r="C74" s="20"/>
      <c r="D74" s="37"/>
      <c r="E74" s="45"/>
      <c r="F74" s="45"/>
      <c r="G74" s="20"/>
    </row>
    <row r="75" spans="1:7" x14ac:dyDescent="0.25">
      <c r="A75" s="20"/>
      <c r="B75" s="20"/>
      <c r="C75" s="20"/>
      <c r="D75" s="37"/>
      <c r="E75" s="45"/>
      <c r="F75" s="45"/>
      <c r="G75" s="20"/>
    </row>
    <row r="76" spans="1:7" x14ac:dyDescent="0.25">
      <c r="A76" s="20"/>
      <c r="B76" s="20"/>
      <c r="C76" s="20"/>
      <c r="D76" s="37"/>
      <c r="E76" s="45"/>
      <c r="F76" s="45"/>
      <c r="G76" s="20"/>
    </row>
    <row r="77" spans="1:7" x14ac:dyDescent="0.25">
      <c r="A77" s="20"/>
      <c r="B77" s="20"/>
      <c r="C77" s="20"/>
      <c r="D77" s="37"/>
      <c r="E77" s="45"/>
      <c r="F77" s="45"/>
      <c r="G77" s="20"/>
    </row>
    <row r="78" spans="1:7" x14ac:dyDescent="0.25">
      <c r="A78" s="20"/>
      <c r="B78" s="20"/>
      <c r="C78" s="20"/>
      <c r="D78" s="37"/>
      <c r="E78" s="45"/>
      <c r="F78" s="45"/>
      <c r="G78" s="20"/>
    </row>
    <row r="79" spans="1:7" x14ac:dyDescent="0.25">
      <c r="A79" s="20"/>
      <c r="B79" s="20"/>
      <c r="C79" s="20"/>
      <c r="D79" s="37"/>
      <c r="E79" s="45"/>
      <c r="F79" s="45"/>
      <c r="G79" s="20"/>
    </row>
    <row r="80" spans="1:7" x14ac:dyDescent="0.25">
      <c r="A80" s="20"/>
      <c r="B80" s="20"/>
      <c r="C80" s="20"/>
      <c r="D80" s="37"/>
      <c r="E80" s="45"/>
      <c r="F80" s="45"/>
      <c r="G80" s="20"/>
    </row>
    <row r="81" spans="1:7" x14ac:dyDescent="0.25">
      <c r="A81" s="20"/>
      <c r="B81" s="20"/>
      <c r="C81" s="20"/>
      <c r="D81" s="37"/>
      <c r="E81" s="45"/>
      <c r="F81" s="45"/>
      <c r="G81" s="20"/>
    </row>
    <row r="82" spans="1:7" x14ac:dyDescent="0.25">
      <c r="A82" s="20"/>
      <c r="B82" s="20"/>
      <c r="C82" s="20"/>
      <c r="D82" s="37"/>
      <c r="E82" s="45"/>
      <c r="F82" s="45"/>
      <c r="G82" s="20"/>
    </row>
    <row r="83" spans="1:7" x14ac:dyDescent="0.25">
      <c r="A83" s="20"/>
      <c r="B83" s="20"/>
      <c r="C83" s="20"/>
      <c r="D83" s="37"/>
      <c r="E83" s="45"/>
      <c r="F83" s="45"/>
      <c r="G83" s="20"/>
    </row>
    <row r="84" spans="1:7" x14ac:dyDescent="0.25">
      <c r="A84" s="20"/>
      <c r="B84" s="20"/>
      <c r="C84" s="20"/>
      <c r="D84" s="37"/>
      <c r="E84" s="45"/>
      <c r="F84" s="45"/>
      <c r="G84" s="20"/>
    </row>
    <row r="85" spans="1:7" x14ac:dyDescent="0.25">
      <c r="A85" s="20"/>
      <c r="B85" s="20"/>
      <c r="C85" s="20"/>
      <c r="D85" s="37"/>
      <c r="E85" s="45"/>
      <c r="F85" s="45"/>
      <c r="G85" s="20"/>
    </row>
    <row r="86" spans="1:7" x14ac:dyDescent="0.25">
      <c r="A86" s="20"/>
      <c r="B86" s="20"/>
      <c r="C86" s="20"/>
      <c r="D86" s="37"/>
      <c r="E86" s="45"/>
      <c r="F86" s="45"/>
      <c r="G86" s="20"/>
    </row>
    <row r="87" spans="1:7" x14ac:dyDescent="0.25">
      <c r="A87" s="20"/>
      <c r="B87" s="20"/>
      <c r="C87" s="20"/>
      <c r="D87" s="37"/>
      <c r="E87" s="45"/>
      <c r="F87" s="45"/>
      <c r="G87" s="20"/>
    </row>
    <row r="88" spans="1:7" x14ac:dyDescent="0.25">
      <c r="A88" s="20"/>
      <c r="B88" s="20"/>
      <c r="C88" s="20"/>
      <c r="D88" s="37"/>
      <c r="E88" s="45"/>
      <c r="F88" s="45"/>
      <c r="G88" s="20"/>
    </row>
    <row r="89" spans="1:7" x14ac:dyDescent="0.25">
      <c r="A89" s="20"/>
      <c r="B89" s="20"/>
      <c r="C89" s="20"/>
      <c r="D89" s="37"/>
      <c r="E89" s="45"/>
      <c r="F89" s="45"/>
      <c r="G89" s="20"/>
    </row>
    <row r="90" spans="1:7" x14ac:dyDescent="0.25">
      <c r="A90" s="20"/>
      <c r="B90" s="20"/>
      <c r="C90" s="20"/>
      <c r="D90" s="37"/>
      <c r="E90" s="45"/>
      <c r="F90" s="45"/>
      <c r="G90" s="20"/>
    </row>
    <row r="91" spans="1:7" x14ac:dyDescent="0.25">
      <c r="A91" s="20"/>
      <c r="B91" s="20"/>
      <c r="C91" s="20"/>
      <c r="D91" s="37"/>
      <c r="E91" s="45"/>
      <c r="F91" s="45"/>
      <c r="G91" s="20"/>
    </row>
    <row r="92" spans="1:7" x14ac:dyDescent="0.25">
      <c r="A92" s="20"/>
      <c r="B92" s="20"/>
      <c r="C92" s="20"/>
      <c r="D92" s="37"/>
      <c r="E92" s="45"/>
      <c r="F92" s="45"/>
      <c r="G92" s="20"/>
    </row>
    <row r="93" spans="1:7" x14ac:dyDescent="0.25">
      <c r="A93" s="20"/>
      <c r="B93" s="20"/>
      <c r="C93" s="20"/>
      <c r="D93" s="37"/>
      <c r="E93" s="45"/>
      <c r="F93" s="45"/>
      <c r="G93" s="20"/>
    </row>
    <row r="94" spans="1:7" x14ac:dyDescent="0.25">
      <c r="A94" s="20"/>
      <c r="B94" s="20"/>
      <c r="C94" s="20"/>
      <c r="D94" s="37"/>
      <c r="E94" s="45"/>
      <c r="F94" s="45"/>
      <c r="G94" s="20"/>
    </row>
    <row r="95" spans="1:7" x14ac:dyDescent="0.25">
      <c r="A95" s="20"/>
      <c r="B95" s="20"/>
      <c r="C95" s="20"/>
      <c r="D95" s="37"/>
      <c r="E95" s="45"/>
      <c r="F95" s="45"/>
      <c r="G95" s="20"/>
    </row>
    <row r="96" spans="1:7" x14ac:dyDescent="0.25">
      <c r="A96" s="20"/>
      <c r="B96" s="20"/>
      <c r="C96" s="20"/>
      <c r="D96" s="37"/>
      <c r="E96" s="45"/>
      <c r="F96" s="45"/>
      <c r="G96" s="20"/>
    </row>
    <row r="97" spans="1:7" x14ac:dyDescent="0.25">
      <c r="A97" s="20"/>
      <c r="B97" s="20"/>
      <c r="C97" s="20"/>
      <c r="D97" s="37"/>
      <c r="E97" s="45"/>
      <c r="F97" s="45"/>
      <c r="G97" s="20"/>
    </row>
    <row r="98" spans="1:7" x14ac:dyDescent="0.25">
      <c r="A98" s="20"/>
      <c r="B98" s="20"/>
      <c r="C98" s="20"/>
      <c r="D98" s="37"/>
      <c r="E98" s="45"/>
      <c r="F98" s="45"/>
      <c r="G98" s="20"/>
    </row>
    <row r="99" spans="1:7" x14ac:dyDescent="0.25">
      <c r="A99" s="20"/>
      <c r="B99" s="20"/>
      <c r="C99" s="20"/>
      <c r="D99" s="37"/>
      <c r="E99" s="45"/>
      <c r="F99" s="45"/>
      <c r="G99" s="20"/>
    </row>
    <row r="100" spans="1:7" x14ac:dyDescent="0.25">
      <c r="A100" s="20"/>
      <c r="B100" s="20"/>
      <c r="C100" s="20"/>
      <c r="D100" s="37"/>
      <c r="E100" s="45"/>
      <c r="F100" s="45"/>
      <c r="G100" s="20"/>
    </row>
    <row r="101" spans="1:7" x14ac:dyDescent="0.25">
      <c r="A101" s="20"/>
      <c r="B101" s="20"/>
      <c r="C101" s="20"/>
      <c r="D101" s="37"/>
      <c r="E101" s="45"/>
      <c r="F101" s="45"/>
      <c r="G101" s="20"/>
    </row>
    <row r="102" spans="1:7" x14ac:dyDescent="0.25">
      <c r="A102" s="20"/>
      <c r="B102" s="20"/>
      <c r="C102" s="20"/>
      <c r="D102" s="37"/>
      <c r="E102" s="45"/>
      <c r="F102" s="45"/>
      <c r="G102" s="20"/>
    </row>
    <row r="103" spans="1:7" x14ac:dyDescent="0.25">
      <c r="A103" s="20"/>
      <c r="B103" s="20"/>
      <c r="C103" s="20"/>
      <c r="D103" s="37"/>
      <c r="E103" s="45"/>
      <c r="F103" s="45"/>
      <c r="G103" s="20"/>
    </row>
    <row r="104" spans="1:7" x14ac:dyDescent="0.25">
      <c r="A104" s="20"/>
      <c r="B104" s="20"/>
      <c r="C104" s="20"/>
      <c r="D104" s="37"/>
      <c r="E104" s="45"/>
      <c r="F104" s="45"/>
      <c r="G104" s="20"/>
    </row>
    <row r="105" spans="1:7" x14ac:dyDescent="0.25">
      <c r="A105" s="20"/>
      <c r="B105" s="20"/>
      <c r="C105" s="20"/>
      <c r="D105" s="37"/>
      <c r="E105" s="45"/>
      <c r="F105" s="45"/>
      <c r="G105" s="20"/>
    </row>
    <row r="106" spans="1:7" x14ac:dyDescent="0.25">
      <c r="A106" s="20"/>
      <c r="B106" s="20"/>
      <c r="C106" s="20"/>
      <c r="D106" s="37"/>
      <c r="E106" s="45"/>
      <c r="F106" s="45"/>
      <c r="G106" s="20"/>
    </row>
    <row r="107" spans="1:7" x14ac:dyDescent="0.25">
      <c r="A107" s="20"/>
      <c r="B107" s="20"/>
      <c r="C107" s="20"/>
      <c r="D107" s="37"/>
      <c r="E107" s="45"/>
      <c r="F107" s="45"/>
      <c r="G107" s="20"/>
    </row>
    <row r="108" spans="1:7" x14ac:dyDescent="0.25">
      <c r="A108" s="20"/>
      <c r="B108" s="20"/>
      <c r="C108" s="20"/>
      <c r="D108" s="37"/>
      <c r="E108" s="45"/>
      <c r="F108" s="45"/>
      <c r="G108" s="20"/>
    </row>
    <row r="109" spans="1:7" x14ac:dyDescent="0.25">
      <c r="A109" s="20"/>
      <c r="B109" s="20"/>
      <c r="C109" s="20"/>
      <c r="D109" s="37"/>
      <c r="E109" s="45"/>
      <c r="F109" s="45"/>
      <c r="G109" s="20"/>
    </row>
    <row r="110" spans="1:7" x14ac:dyDescent="0.25">
      <c r="A110" s="20"/>
      <c r="B110" s="20"/>
      <c r="C110" s="20"/>
      <c r="D110" s="37"/>
      <c r="E110" s="45"/>
      <c r="F110" s="45"/>
      <c r="G110" s="20"/>
    </row>
    <row r="111" spans="1:7" x14ac:dyDescent="0.25">
      <c r="A111" s="20"/>
      <c r="B111" s="20"/>
      <c r="C111" s="20"/>
      <c r="D111" s="37"/>
      <c r="E111" s="45"/>
      <c r="F111" s="45"/>
      <c r="G111" s="20"/>
    </row>
    <row r="112" spans="1:7" x14ac:dyDescent="0.25">
      <c r="A112" s="20"/>
      <c r="B112" s="20"/>
      <c r="C112" s="20"/>
      <c r="D112" s="37"/>
      <c r="E112" s="45"/>
      <c r="F112" s="45"/>
      <c r="G112" s="20"/>
    </row>
    <row r="113" spans="1:7" x14ac:dyDescent="0.25">
      <c r="A113" s="20"/>
      <c r="B113" s="20"/>
      <c r="C113" s="20"/>
      <c r="D113" s="37"/>
      <c r="E113" s="45"/>
      <c r="F113" s="45"/>
      <c r="G113" s="20"/>
    </row>
    <row r="114" spans="1:7" x14ac:dyDescent="0.25">
      <c r="A114" s="20"/>
      <c r="B114" s="20"/>
      <c r="C114" s="20"/>
      <c r="D114" s="37"/>
      <c r="E114" s="45"/>
      <c r="F114" s="45"/>
      <c r="G114" s="20"/>
    </row>
    <row r="115" spans="1:7" x14ac:dyDescent="0.25">
      <c r="A115" s="20"/>
      <c r="B115" s="20"/>
      <c r="C115" s="20"/>
      <c r="D115" s="37"/>
      <c r="E115" s="45"/>
      <c r="F115" s="45"/>
      <c r="G115" s="20"/>
    </row>
    <row r="116" spans="1:7" x14ac:dyDescent="0.25">
      <c r="A116" s="20"/>
      <c r="B116" s="20"/>
      <c r="C116" s="20"/>
      <c r="D116" s="37"/>
      <c r="E116" s="45"/>
      <c r="F116" s="45"/>
      <c r="G116" s="20"/>
    </row>
    <row r="117" spans="1:7" x14ac:dyDescent="0.25">
      <c r="A117" s="20"/>
      <c r="B117" s="20"/>
      <c r="C117" s="20"/>
      <c r="D117" s="37"/>
      <c r="E117" s="45"/>
      <c r="F117" s="45"/>
      <c r="G117" s="20"/>
    </row>
    <row r="118" spans="1:7" x14ac:dyDescent="0.25">
      <c r="A118" s="20"/>
      <c r="B118" s="20"/>
      <c r="C118" s="20"/>
      <c r="D118" s="37"/>
      <c r="E118" s="45"/>
      <c r="F118" s="45"/>
      <c r="G118" s="20"/>
    </row>
    <row r="119" spans="1:7" x14ac:dyDescent="0.25">
      <c r="A119" s="20"/>
      <c r="B119" s="20"/>
      <c r="C119" s="20"/>
      <c r="D119" s="37"/>
      <c r="E119" s="45"/>
      <c r="F119" s="45"/>
      <c r="G119" s="20"/>
    </row>
    <row r="120" spans="1:7" x14ac:dyDescent="0.25">
      <c r="A120" s="20"/>
      <c r="B120" s="20"/>
      <c r="C120" s="20"/>
      <c r="D120" s="37"/>
      <c r="E120" s="45"/>
      <c r="F120" s="45"/>
      <c r="G120" s="20"/>
    </row>
    <row r="121" spans="1:7" x14ac:dyDescent="0.25">
      <c r="A121" s="20"/>
      <c r="B121" s="20"/>
      <c r="C121" s="20"/>
      <c r="D121" s="37"/>
      <c r="E121" s="45"/>
      <c r="F121" s="45"/>
      <c r="G121" s="20"/>
    </row>
    <row r="122" spans="1:7" x14ac:dyDescent="0.25">
      <c r="A122" s="20"/>
      <c r="B122" s="20"/>
      <c r="C122" s="20"/>
      <c r="D122" s="37"/>
      <c r="E122" s="45"/>
      <c r="F122" s="45"/>
      <c r="G122" s="20"/>
    </row>
    <row r="123" spans="1:7" x14ac:dyDescent="0.25">
      <c r="A123" s="20"/>
      <c r="B123" s="20"/>
      <c r="C123" s="20"/>
      <c r="D123" s="37"/>
      <c r="E123" s="45"/>
      <c r="F123" s="45"/>
      <c r="G123" s="20"/>
    </row>
    <row r="124" spans="1:7" x14ac:dyDescent="0.25">
      <c r="A124" s="20"/>
      <c r="B124" s="20"/>
      <c r="C124" s="20"/>
      <c r="D124" s="37"/>
      <c r="E124" s="45"/>
      <c r="F124" s="45"/>
      <c r="G124" s="20"/>
    </row>
    <row r="125" spans="1:7" x14ac:dyDescent="0.25">
      <c r="A125" s="20"/>
      <c r="B125" s="20"/>
      <c r="C125" s="20"/>
      <c r="D125" s="37"/>
      <c r="E125" s="45"/>
      <c r="F125" s="45"/>
      <c r="G125" s="20"/>
    </row>
    <row r="126" spans="1:7" x14ac:dyDescent="0.25">
      <c r="A126" s="20"/>
      <c r="B126" s="20"/>
      <c r="C126" s="20"/>
      <c r="D126" s="37"/>
      <c r="E126" s="45"/>
      <c r="F126" s="45"/>
      <c r="G126" s="20"/>
    </row>
    <row r="127" spans="1:7" x14ac:dyDescent="0.25">
      <c r="A127" s="20"/>
      <c r="B127" s="20"/>
      <c r="C127" s="20"/>
      <c r="D127" s="37"/>
      <c r="E127" s="45"/>
      <c r="F127" s="45"/>
      <c r="G127" s="20"/>
    </row>
    <row r="128" spans="1:7" x14ac:dyDescent="0.25">
      <c r="A128" s="20"/>
      <c r="B128" s="20"/>
      <c r="C128" s="20"/>
      <c r="D128" s="37"/>
      <c r="E128" s="45"/>
      <c r="F128" s="45"/>
      <c r="G128" s="20"/>
    </row>
    <row r="129" spans="1:7" x14ac:dyDescent="0.25">
      <c r="A129" s="20"/>
      <c r="B129" s="20"/>
      <c r="C129" s="20"/>
      <c r="D129" s="37"/>
      <c r="E129" s="45"/>
      <c r="F129" s="45"/>
      <c r="G129" s="20"/>
    </row>
    <row r="130" spans="1:7" x14ac:dyDescent="0.25">
      <c r="A130" s="20"/>
      <c r="B130" s="20"/>
      <c r="C130" s="20"/>
      <c r="D130" s="37"/>
      <c r="E130" s="45"/>
      <c r="F130" s="45"/>
      <c r="G130" s="20"/>
    </row>
    <row r="131" spans="1:7" x14ac:dyDescent="0.25">
      <c r="A131" s="20"/>
      <c r="B131" s="20"/>
      <c r="C131" s="20"/>
      <c r="D131" s="37"/>
      <c r="E131" s="45"/>
      <c r="F131" s="45"/>
      <c r="G131" s="20"/>
    </row>
    <row r="132" spans="1:7" x14ac:dyDescent="0.25">
      <c r="A132" s="20"/>
      <c r="B132" s="20"/>
      <c r="C132" s="20"/>
      <c r="D132" s="37"/>
      <c r="E132" s="45"/>
      <c r="F132" s="45"/>
      <c r="G132" s="20"/>
    </row>
    <row r="133" spans="1:7" x14ac:dyDescent="0.25">
      <c r="A133" s="20"/>
      <c r="B133" s="20"/>
      <c r="C133" s="20"/>
      <c r="D133" s="37"/>
      <c r="E133" s="45"/>
      <c r="F133" s="45"/>
      <c r="G133" s="20"/>
    </row>
    <row r="134" spans="1:7" x14ac:dyDescent="0.25">
      <c r="A134" s="20"/>
      <c r="B134" s="20"/>
      <c r="C134" s="20"/>
      <c r="D134" s="37"/>
      <c r="E134" s="45"/>
      <c r="F134" s="45"/>
      <c r="G134" s="20"/>
    </row>
    <row r="135" spans="1:7" x14ac:dyDescent="0.25">
      <c r="A135" s="20"/>
      <c r="B135" s="20"/>
      <c r="C135" s="20"/>
      <c r="D135" s="37"/>
      <c r="E135" s="45"/>
      <c r="F135" s="45"/>
      <c r="G135" s="20"/>
    </row>
    <row r="136" spans="1:7" x14ac:dyDescent="0.25">
      <c r="A136" s="20"/>
      <c r="B136" s="20"/>
      <c r="C136" s="20"/>
      <c r="D136" s="37"/>
      <c r="E136" s="45"/>
      <c r="F136" s="45"/>
      <c r="G136" s="20"/>
    </row>
    <row r="137" spans="1:7" x14ac:dyDescent="0.25">
      <c r="A137" s="20"/>
      <c r="B137" s="20"/>
      <c r="C137" s="20"/>
      <c r="D137" s="37"/>
      <c r="E137" s="45"/>
      <c r="F137" s="45"/>
      <c r="G137" s="20"/>
    </row>
    <row r="138" spans="1:7" x14ac:dyDescent="0.25">
      <c r="A138" s="20"/>
      <c r="B138" s="20"/>
      <c r="C138" s="20"/>
      <c r="D138" s="37"/>
      <c r="E138" s="45"/>
      <c r="F138" s="45"/>
      <c r="G138" s="20"/>
    </row>
    <row r="139" spans="1:7" x14ac:dyDescent="0.25">
      <c r="A139" s="20"/>
      <c r="B139" s="20"/>
      <c r="C139" s="20"/>
      <c r="D139" s="37"/>
      <c r="E139" s="45"/>
      <c r="F139" s="45"/>
      <c r="G139" s="20"/>
    </row>
    <row r="140" spans="1:7" x14ac:dyDescent="0.25">
      <c r="A140" s="20"/>
      <c r="B140" s="20"/>
      <c r="C140" s="20"/>
      <c r="D140" s="37"/>
      <c r="E140" s="45"/>
      <c r="F140" s="45"/>
      <c r="G140" s="20"/>
    </row>
    <row r="141" spans="1:7" x14ac:dyDescent="0.25">
      <c r="A141" s="20"/>
      <c r="B141" s="20"/>
      <c r="C141" s="20"/>
      <c r="D141" s="37"/>
      <c r="E141" s="45"/>
      <c r="F141" s="45"/>
      <c r="G141" s="20"/>
    </row>
    <row r="142" spans="1:7" x14ac:dyDescent="0.25">
      <c r="A142" s="20"/>
      <c r="B142" s="20"/>
      <c r="C142" s="20"/>
      <c r="D142" s="37"/>
      <c r="E142" s="45"/>
      <c r="F142" s="45"/>
      <c r="G142" s="20"/>
    </row>
    <row r="143" spans="1:7" x14ac:dyDescent="0.25">
      <c r="A143" s="20"/>
      <c r="B143" s="20"/>
      <c r="C143" s="20"/>
      <c r="D143" s="37"/>
      <c r="E143" s="45"/>
      <c r="F143" s="45"/>
      <c r="G143" s="20"/>
    </row>
    <row r="144" spans="1:7" x14ac:dyDescent="0.25">
      <c r="A144" s="20"/>
      <c r="B144" s="20"/>
      <c r="C144" s="20"/>
      <c r="D144" s="37"/>
      <c r="E144" s="45"/>
      <c r="F144" s="45"/>
      <c r="G144" s="20"/>
    </row>
    <row r="145" spans="1:7" x14ac:dyDescent="0.25">
      <c r="A145" s="20"/>
      <c r="B145" s="20"/>
      <c r="C145" s="20"/>
      <c r="D145" s="37"/>
      <c r="E145" s="45"/>
      <c r="F145" s="45"/>
      <c r="G145" s="20"/>
    </row>
    <row r="146" spans="1:7" x14ac:dyDescent="0.25">
      <c r="A146" s="20"/>
      <c r="B146" s="20"/>
      <c r="C146" s="20"/>
      <c r="D146" s="37"/>
      <c r="E146" s="45"/>
      <c r="F146" s="45"/>
      <c r="G146" s="20"/>
    </row>
    <row r="147" spans="1:7" x14ac:dyDescent="0.25">
      <c r="A147" s="20"/>
      <c r="B147" s="20"/>
      <c r="C147" s="20"/>
      <c r="D147" s="37"/>
      <c r="E147" s="45"/>
      <c r="F147" s="45"/>
      <c r="G147" s="20"/>
    </row>
    <row r="148" spans="1:7" x14ac:dyDescent="0.25">
      <c r="A148" s="20"/>
      <c r="B148" s="20"/>
      <c r="C148" s="20"/>
      <c r="D148" s="37"/>
      <c r="E148" s="45"/>
      <c r="F148" s="45"/>
      <c r="G148" s="20"/>
    </row>
    <row r="149" spans="1:7" x14ac:dyDescent="0.25">
      <c r="A149" s="20"/>
      <c r="B149" s="20"/>
      <c r="C149" s="20"/>
      <c r="D149" s="37"/>
      <c r="E149" s="45"/>
      <c r="F149" s="45"/>
      <c r="G149" s="20"/>
    </row>
    <row r="150" spans="1:7" x14ac:dyDescent="0.25">
      <c r="A150" s="20"/>
      <c r="B150" s="20"/>
      <c r="C150" s="20"/>
      <c r="D150" s="37"/>
      <c r="E150" s="45"/>
      <c r="F150" s="45"/>
      <c r="G150" s="20"/>
    </row>
    <row r="151" spans="1:7" x14ac:dyDescent="0.25">
      <c r="A151" s="20"/>
      <c r="B151" s="20"/>
      <c r="C151" s="20"/>
      <c r="D151" s="37"/>
      <c r="E151" s="45"/>
      <c r="F151" s="45"/>
      <c r="G151" s="20"/>
    </row>
    <row r="152" spans="1:7" x14ac:dyDescent="0.25">
      <c r="A152" s="20"/>
      <c r="B152" s="20"/>
      <c r="C152" s="20"/>
      <c r="D152" s="37"/>
      <c r="E152" s="45"/>
      <c r="F152" s="45"/>
      <c r="G152" s="20"/>
    </row>
    <row r="153" spans="1:7" x14ac:dyDescent="0.25">
      <c r="A153" s="20"/>
      <c r="B153" s="20"/>
      <c r="C153" s="20"/>
      <c r="D153" s="37"/>
      <c r="E153" s="45"/>
      <c r="F153" s="45"/>
      <c r="G153" s="20"/>
    </row>
    <row r="154" spans="1:7" x14ac:dyDescent="0.25">
      <c r="A154" s="20"/>
      <c r="B154" s="20"/>
      <c r="C154" s="20"/>
      <c r="D154" s="37"/>
      <c r="E154" s="45"/>
      <c r="F154" s="45"/>
      <c r="G154" s="20"/>
    </row>
    <row r="155" spans="1:7" x14ac:dyDescent="0.25">
      <c r="A155" s="20"/>
      <c r="B155" s="20"/>
      <c r="C155" s="20"/>
      <c r="D155" s="37"/>
      <c r="E155" s="45"/>
      <c r="F155" s="45"/>
      <c r="G155" s="20"/>
    </row>
    <row r="156" spans="1:7" x14ac:dyDescent="0.25">
      <c r="A156" s="20"/>
      <c r="B156" s="20"/>
      <c r="C156" s="20"/>
      <c r="D156" s="37"/>
      <c r="E156" s="45"/>
      <c r="F156" s="45"/>
      <c r="G156" s="20"/>
    </row>
    <row r="157" spans="1:7" x14ac:dyDescent="0.25">
      <c r="A157" s="20"/>
      <c r="B157" s="20"/>
      <c r="C157" s="20"/>
      <c r="D157" s="37"/>
      <c r="E157" s="45"/>
      <c r="F157" s="45"/>
      <c r="G157" s="20"/>
    </row>
    <row r="158" spans="1:7" x14ac:dyDescent="0.25">
      <c r="A158" s="20"/>
      <c r="B158" s="20"/>
      <c r="C158" s="20"/>
      <c r="D158" s="37"/>
      <c r="E158" s="45"/>
      <c r="F158" s="45"/>
      <c r="G158" s="20"/>
    </row>
    <row r="159" spans="1:7" x14ac:dyDescent="0.25">
      <c r="A159" s="20"/>
      <c r="B159" s="20"/>
      <c r="C159" s="20"/>
      <c r="D159" s="37"/>
      <c r="E159" s="45"/>
      <c r="F159" s="45"/>
      <c r="G159" s="20"/>
    </row>
    <row r="160" spans="1:7" x14ac:dyDescent="0.25">
      <c r="A160" s="20"/>
      <c r="B160" s="20"/>
      <c r="C160" s="20"/>
      <c r="D160" s="37"/>
      <c r="E160" s="45"/>
      <c r="F160" s="45"/>
      <c r="G160" s="20"/>
    </row>
    <row r="161" spans="1:7" x14ac:dyDescent="0.25">
      <c r="A161" s="20"/>
      <c r="B161" s="20"/>
      <c r="C161" s="20"/>
      <c r="D161" s="37"/>
      <c r="E161" s="45"/>
      <c r="F161" s="45"/>
      <c r="G161" s="20"/>
    </row>
    <row r="162" spans="1:7" x14ac:dyDescent="0.25">
      <c r="A162" s="20"/>
      <c r="B162" s="20"/>
      <c r="C162" s="20"/>
      <c r="D162" s="37"/>
      <c r="E162" s="45"/>
      <c r="F162" s="45"/>
      <c r="G162" s="20"/>
    </row>
    <row r="163" spans="1:7" x14ac:dyDescent="0.25">
      <c r="A163" s="20"/>
      <c r="B163" s="20"/>
      <c r="C163" s="20"/>
      <c r="D163" s="37"/>
      <c r="E163" s="45"/>
      <c r="F163" s="45"/>
      <c r="G163" s="20"/>
    </row>
    <row r="164" spans="1:7" x14ac:dyDescent="0.25">
      <c r="A164" s="20"/>
      <c r="B164" s="20"/>
      <c r="C164" s="20"/>
      <c r="D164" s="37"/>
      <c r="E164" s="45"/>
      <c r="F164" s="45"/>
      <c r="G164" s="20"/>
    </row>
    <row r="165" spans="1:7" x14ac:dyDescent="0.25">
      <c r="A165" s="20"/>
      <c r="B165" s="20"/>
      <c r="C165" s="20"/>
      <c r="D165" s="37"/>
      <c r="E165" s="45"/>
      <c r="F165" s="45"/>
      <c r="G165" s="20"/>
    </row>
    <row r="166" spans="1:7" x14ac:dyDescent="0.25">
      <c r="A166" s="20"/>
      <c r="B166" s="20"/>
      <c r="C166" s="20"/>
      <c r="D166" s="37"/>
      <c r="E166" s="45"/>
      <c r="F166" s="45"/>
      <c r="G166" s="20"/>
    </row>
    <row r="167" spans="1:7" x14ac:dyDescent="0.25">
      <c r="A167" s="20"/>
      <c r="B167" s="20"/>
      <c r="C167" s="20"/>
      <c r="D167" s="37"/>
      <c r="E167" s="45"/>
      <c r="F167" s="45"/>
      <c r="G167" s="20"/>
    </row>
    <row r="168" spans="1:7" x14ac:dyDescent="0.25">
      <c r="A168" s="20"/>
      <c r="B168" s="20"/>
      <c r="C168" s="20"/>
      <c r="D168" s="37"/>
      <c r="E168" s="45"/>
      <c r="F168" s="45"/>
      <c r="G168" s="20"/>
    </row>
    <row r="169" spans="1:7" x14ac:dyDescent="0.25">
      <c r="A169" s="20"/>
      <c r="B169" s="20"/>
      <c r="C169" s="20"/>
      <c r="D169" s="37"/>
      <c r="E169" s="45"/>
      <c r="F169" s="45"/>
      <c r="G169" s="20"/>
    </row>
    <row r="170" spans="1:7" x14ac:dyDescent="0.25">
      <c r="A170" s="20"/>
      <c r="B170" s="20"/>
      <c r="C170" s="20"/>
      <c r="D170" s="37"/>
      <c r="E170" s="45"/>
      <c r="F170" s="45"/>
      <c r="G170" s="20"/>
    </row>
    <row r="171" spans="1:7" x14ac:dyDescent="0.25">
      <c r="A171" s="20"/>
      <c r="B171" s="20"/>
      <c r="C171" s="20"/>
      <c r="D171" s="37"/>
      <c r="E171" s="45"/>
      <c r="F171" s="45"/>
      <c r="G171" s="20"/>
    </row>
    <row r="172" spans="1:7" x14ac:dyDescent="0.25">
      <c r="A172" s="20"/>
      <c r="B172" s="20"/>
      <c r="C172" s="20"/>
      <c r="D172" s="37"/>
      <c r="E172" s="45"/>
      <c r="F172" s="45"/>
      <c r="G172" s="20"/>
    </row>
    <row r="173" spans="1:7" x14ac:dyDescent="0.25">
      <c r="A173" s="20"/>
      <c r="B173" s="20"/>
      <c r="C173" s="20"/>
      <c r="D173" s="37"/>
      <c r="E173" s="45"/>
      <c r="F173" s="45"/>
      <c r="G173" s="20"/>
    </row>
    <row r="174" spans="1:7" x14ac:dyDescent="0.25">
      <c r="A174" s="20"/>
      <c r="B174" s="20"/>
      <c r="C174" s="20"/>
      <c r="D174" s="37"/>
      <c r="E174" s="45"/>
      <c r="F174" s="45"/>
      <c r="G174" s="20"/>
    </row>
    <row r="175" spans="1:7" x14ac:dyDescent="0.25">
      <c r="A175" s="20"/>
      <c r="B175" s="20"/>
      <c r="C175" s="20"/>
      <c r="D175" s="37"/>
      <c r="E175" s="45"/>
      <c r="F175" s="45"/>
      <c r="G175" s="20"/>
    </row>
    <row r="176" spans="1:7" x14ac:dyDescent="0.25">
      <c r="A176" s="20"/>
      <c r="B176" s="20"/>
      <c r="C176" s="20"/>
      <c r="D176" s="37"/>
      <c r="E176" s="45"/>
      <c r="F176" s="45"/>
      <c r="G176" s="20"/>
    </row>
    <row r="177" spans="1:7" x14ac:dyDescent="0.25">
      <c r="A177" s="20"/>
      <c r="B177" s="20"/>
      <c r="C177" s="20"/>
      <c r="D177" s="37"/>
      <c r="E177" s="45"/>
      <c r="F177" s="45"/>
      <c r="G177" s="20"/>
    </row>
    <row r="178" spans="1:7" x14ac:dyDescent="0.25">
      <c r="A178" s="20"/>
      <c r="B178" s="20"/>
      <c r="C178" s="20"/>
      <c r="D178" s="37"/>
      <c r="E178" s="45"/>
      <c r="F178" s="45"/>
      <c r="G178" s="20"/>
    </row>
    <row r="179" spans="1:7" x14ac:dyDescent="0.25">
      <c r="A179" s="20"/>
      <c r="B179" s="20"/>
      <c r="C179" s="20"/>
      <c r="D179" s="37"/>
      <c r="E179" s="45"/>
      <c r="F179" s="45"/>
      <c r="G179" s="20"/>
    </row>
    <row r="180" spans="1:7" x14ac:dyDescent="0.25">
      <c r="A180" s="20"/>
      <c r="B180" s="20"/>
      <c r="C180" s="20"/>
      <c r="D180" s="37"/>
      <c r="E180" s="45"/>
      <c r="F180" s="45"/>
      <c r="G180" s="20"/>
    </row>
    <row r="181" spans="1:7" x14ac:dyDescent="0.25">
      <c r="A181" s="20"/>
      <c r="B181" s="20"/>
      <c r="C181" s="20"/>
      <c r="D181" s="37"/>
      <c r="E181" s="45"/>
      <c r="F181" s="45"/>
      <c r="G181" s="20"/>
    </row>
    <row r="182" spans="1:7" x14ac:dyDescent="0.25">
      <c r="A182" s="20"/>
      <c r="B182" s="20"/>
      <c r="C182" s="20"/>
      <c r="D182" s="37"/>
      <c r="E182" s="45"/>
      <c r="F182" s="45"/>
      <c r="G182" s="20"/>
    </row>
    <row r="183" spans="1:7" x14ac:dyDescent="0.25">
      <c r="A183" s="20"/>
      <c r="B183" s="20"/>
      <c r="C183" s="20"/>
      <c r="D183" s="37"/>
      <c r="E183" s="45"/>
      <c r="F183" s="45"/>
      <c r="G183" s="20"/>
    </row>
    <row r="184" spans="1:7" x14ac:dyDescent="0.25">
      <c r="A184" s="20"/>
      <c r="B184" s="20"/>
      <c r="C184" s="20"/>
      <c r="D184" s="37"/>
      <c r="E184" s="45"/>
      <c r="F184" s="45"/>
      <c r="G184" s="20"/>
    </row>
    <row r="185" spans="1:7" x14ac:dyDescent="0.25">
      <c r="A185" s="20"/>
      <c r="B185" s="20"/>
      <c r="C185" s="20"/>
      <c r="D185" s="37"/>
      <c r="E185" s="45"/>
      <c r="F185" s="45"/>
      <c r="G185" s="20"/>
    </row>
    <row r="186" spans="1:7" x14ac:dyDescent="0.25">
      <c r="A186" s="20"/>
      <c r="B186" s="20"/>
      <c r="C186" s="20"/>
      <c r="D186" s="37"/>
      <c r="E186" s="45"/>
      <c r="F186" s="45"/>
      <c r="G186" s="20"/>
    </row>
    <row r="187" spans="1:7" x14ac:dyDescent="0.25">
      <c r="A187" s="20"/>
      <c r="B187" s="20"/>
      <c r="C187" s="20"/>
      <c r="D187" s="37"/>
      <c r="E187" s="45"/>
      <c r="F187" s="45"/>
      <c r="G187" s="20"/>
    </row>
    <row r="188" spans="1:7" x14ac:dyDescent="0.25">
      <c r="A188" s="20"/>
      <c r="B188" s="20"/>
      <c r="C188" s="20"/>
      <c r="D188" s="37"/>
      <c r="E188" s="45"/>
      <c r="F188" s="45"/>
      <c r="G188" s="20"/>
    </row>
    <row r="189" spans="1:7" x14ac:dyDescent="0.25">
      <c r="A189" s="20"/>
      <c r="B189" s="20"/>
      <c r="C189" s="20"/>
      <c r="D189" s="37"/>
      <c r="E189" s="45"/>
      <c r="F189" s="45"/>
      <c r="G189" s="20"/>
    </row>
    <row r="190" spans="1:7" x14ac:dyDescent="0.25">
      <c r="A190" s="20"/>
      <c r="B190" s="20"/>
      <c r="C190" s="20"/>
      <c r="D190" s="37"/>
      <c r="E190" s="45"/>
      <c r="F190" s="45"/>
      <c r="G190" s="20"/>
    </row>
    <row r="191" spans="1:7" x14ac:dyDescent="0.25">
      <c r="A191" s="20"/>
      <c r="B191" s="20"/>
      <c r="C191" s="20"/>
      <c r="D191" s="37"/>
      <c r="E191" s="45"/>
      <c r="F191" s="45"/>
      <c r="G191" s="20"/>
    </row>
    <row r="192" spans="1:7" x14ac:dyDescent="0.25">
      <c r="A192" s="20"/>
      <c r="B192" s="20"/>
      <c r="C192" s="20"/>
      <c r="D192" s="37"/>
      <c r="E192" s="45"/>
      <c r="F192" s="45"/>
      <c r="G192" s="20"/>
    </row>
    <row r="193" spans="1:7" x14ac:dyDescent="0.25">
      <c r="A193" s="20"/>
      <c r="B193" s="20"/>
      <c r="C193" s="20"/>
      <c r="D193" s="37"/>
      <c r="E193" s="45"/>
      <c r="F193" s="45"/>
      <c r="G193" s="20"/>
    </row>
    <row r="194" spans="1:7" x14ac:dyDescent="0.25">
      <c r="A194" s="20"/>
      <c r="B194" s="20"/>
      <c r="C194" s="20"/>
      <c r="D194" s="37"/>
      <c r="E194" s="45"/>
      <c r="F194" s="45"/>
      <c r="G194" s="20"/>
    </row>
    <row r="195" spans="1:7" x14ac:dyDescent="0.25">
      <c r="A195" s="20"/>
      <c r="B195" s="20"/>
      <c r="C195" s="20"/>
      <c r="D195" s="37"/>
      <c r="E195" s="45"/>
      <c r="F195" s="45"/>
      <c r="G195" s="20"/>
    </row>
    <row r="196" spans="1:7" x14ac:dyDescent="0.25">
      <c r="A196" s="20"/>
      <c r="B196" s="20"/>
      <c r="C196" s="20"/>
      <c r="D196" s="37"/>
      <c r="E196" s="45"/>
      <c r="F196" s="45"/>
      <c r="G196" s="20"/>
    </row>
    <row r="197" spans="1:7" x14ac:dyDescent="0.25">
      <c r="A197" s="20"/>
      <c r="B197" s="20"/>
      <c r="C197" s="20"/>
      <c r="D197" s="37"/>
      <c r="E197" s="45"/>
      <c r="F197" s="45"/>
      <c r="G197" s="20"/>
    </row>
    <row r="198" spans="1:7" x14ac:dyDescent="0.25">
      <c r="A198" s="20"/>
      <c r="B198" s="20"/>
      <c r="C198" s="20"/>
      <c r="D198" s="37"/>
      <c r="E198" s="45"/>
      <c r="F198" s="45"/>
      <c r="G198" s="20"/>
    </row>
    <row r="199" spans="1:7" x14ac:dyDescent="0.25">
      <c r="A199" s="20"/>
      <c r="B199" s="20"/>
      <c r="C199" s="20"/>
      <c r="D199" s="37"/>
      <c r="E199" s="45"/>
      <c r="F199" s="45"/>
      <c r="G199" s="20"/>
    </row>
    <row r="200" spans="1:7" x14ac:dyDescent="0.25">
      <c r="A200" s="20"/>
      <c r="B200" s="20"/>
      <c r="C200" s="20"/>
      <c r="D200" s="37"/>
      <c r="E200" s="45"/>
      <c r="F200" s="45"/>
      <c r="G200" s="20"/>
    </row>
    <row r="201" spans="1:7" x14ac:dyDescent="0.25">
      <c r="A201" s="20"/>
      <c r="B201" s="20"/>
      <c r="C201" s="20"/>
      <c r="D201" s="37"/>
      <c r="E201" s="45"/>
      <c r="F201" s="45"/>
      <c r="G201" s="20"/>
    </row>
    <row r="202" spans="1:7" x14ac:dyDescent="0.25">
      <c r="A202" s="20"/>
      <c r="B202" s="20"/>
      <c r="C202" s="20"/>
      <c r="D202" s="37"/>
      <c r="E202" s="45"/>
      <c r="F202" s="45"/>
      <c r="G202" s="20"/>
    </row>
    <row r="203" spans="1:7" x14ac:dyDescent="0.25">
      <c r="A203" s="20"/>
      <c r="B203" s="20"/>
      <c r="C203" s="20"/>
      <c r="D203" s="37"/>
      <c r="E203" s="45"/>
      <c r="F203" s="45"/>
      <c r="G203" s="20"/>
    </row>
    <row r="204" spans="1:7" x14ac:dyDescent="0.25">
      <c r="A204" s="20"/>
      <c r="B204" s="20"/>
      <c r="C204" s="20"/>
      <c r="D204" s="37"/>
      <c r="E204" s="45"/>
      <c r="F204" s="45"/>
      <c r="G204" s="20"/>
    </row>
    <row r="205" spans="1:7" x14ac:dyDescent="0.25">
      <c r="A205" s="20"/>
      <c r="B205" s="20"/>
      <c r="C205" s="20"/>
      <c r="D205" s="37"/>
      <c r="E205" s="45"/>
      <c r="F205" s="45"/>
      <c r="G205" s="20"/>
    </row>
    <row r="206" spans="1:7" x14ac:dyDescent="0.25">
      <c r="A206" s="20"/>
      <c r="B206" s="20"/>
      <c r="C206" s="20"/>
      <c r="D206" s="37"/>
      <c r="E206" s="45"/>
      <c r="F206" s="45"/>
      <c r="G206" s="20"/>
    </row>
    <row r="207" spans="1:7" x14ac:dyDescent="0.25">
      <c r="A207" s="20"/>
      <c r="B207" s="20"/>
      <c r="C207" s="20"/>
      <c r="D207" s="37"/>
      <c r="E207" s="45"/>
      <c r="F207" s="45"/>
      <c r="G207" s="20"/>
    </row>
    <row r="208" spans="1:7" x14ac:dyDescent="0.25">
      <c r="A208" s="20"/>
      <c r="B208" s="20"/>
      <c r="C208" s="20"/>
      <c r="D208" s="37"/>
      <c r="E208" s="45"/>
      <c r="F208" s="45"/>
      <c r="G208" s="20"/>
    </row>
    <row r="209" spans="1:7" x14ac:dyDescent="0.25">
      <c r="A209" s="20"/>
      <c r="B209" s="20"/>
      <c r="C209" s="20"/>
      <c r="D209" s="37"/>
      <c r="E209" s="45"/>
      <c r="F209" s="45"/>
      <c r="G209" s="20"/>
    </row>
    <row r="210" spans="1:7" x14ac:dyDescent="0.25">
      <c r="A210" s="20"/>
      <c r="B210" s="20"/>
      <c r="C210" s="20"/>
      <c r="D210" s="37"/>
      <c r="E210" s="45"/>
      <c r="F210" s="45"/>
      <c r="G210" s="20"/>
    </row>
    <row r="211" spans="1:7" x14ac:dyDescent="0.25">
      <c r="A211" s="20"/>
      <c r="B211" s="20"/>
      <c r="C211" s="20"/>
      <c r="D211" s="37"/>
      <c r="E211" s="45"/>
      <c r="F211" s="45"/>
      <c r="G211" s="20"/>
    </row>
    <row r="212" spans="1:7" x14ac:dyDescent="0.25">
      <c r="A212" s="20"/>
      <c r="B212" s="20"/>
      <c r="C212" s="20"/>
      <c r="D212" s="37"/>
      <c r="E212" s="45"/>
      <c r="F212" s="45"/>
      <c r="G212" s="20"/>
    </row>
    <row r="213" spans="1:7" x14ac:dyDescent="0.25">
      <c r="A213" s="20"/>
      <c r="B213" s="20"/>
      <c r="C213" s="20"/>
      <c r="D213" s="37"/>
      <c r="E213" s="45"/>
      <c r="F213" s="45"/>
      <c r="G213" s="20"/>
    </row>
    <row r="214" spans="1:7" x14ac:dyDescent="0.25">
      <c r="A214" s="20"/>
      <c r="B214" s="20"/>
      <c r="C214" s="20"/>
      <c r="D214" s="37"/>
      <c r="E214" s="45"/>
      <c r="F214" s="45"/>
      <c r="G214" s="20"/>
    </row>
    <row r="215" spans="1:7" x14ac:dyDescent="0.25">
      <c r="A215" s="20"/>
      <c r="B215" s="20"/>
      <c r="C215" s="20"/>
      <c r="D215" s="37"/>
      <c r="E215" s="45"/>
      <c r="F215" s="45"/>
      <c r="G215" s="20"/>
    </row>
    <row r="216" spans="1:7" x14ac:dyDescent="0.25">
      <c r="A216" s="20"/>
      <c r="B216" s="20"/>
      <c r="C216" s="20"/>
      <c r="D216" s="37"/>
      <c r="E216" s="45"/>
      <c r="F216" s="45"/>
      <c r="G216" s="20"/>
    </row>
    <row r="217" spans="1:7" x14ac:dyDescent="0.25">
      <c r="A217" s="20"/>
      <c r="B217" s="20"/>
      <c r="C217" s="20"/>
      <c r="D217" s="37"/>
      <c r="E217" s="45"/>
      <c r="F217" s="45"/>
      <c r="G217" s="20"/>
    </row>
    <row r="218" spans="1:7" x14ac:dyDescent="0.25">
      <c r="A218" s="20"/>
      <c r="B218" s="20"/>
      <c r="C218" s="20"/>
      <c r="D218" s="37"/>
      <c r="E218" s="45"/>
      <c r="F218" s="45"/>
      <c r="G218" s="20"/>
    </row>
    <row r="219" spans="1:7" x14ac:dyDescent="0.25">
      <c r="A219" s="20"/>
      <c r="B219" s="20"/>
      <c r="C219" s="20"/>
      <c r="D219" s="37"/>
      <c r="E219" s="45"/>
      <c r="F219" s="45"/>
      <c r="G219" s="20"/>
    </row>
    <row r="220" spans="1:7" x14ac:dyDescent="0.25">
      <c r="A220" s="20"/>
      <c r="B220" s="20"/>
      <c r="C220" s="20"/>
      <c r="D220" s="37"/>
      <c r="E220" s="45"/>
      <c r="F220" s="45"/>
      <c r="G220" s="20"/>
    </row>
    <row r="221" spans="1:7" x14ac:dyDescent="0.25">
      <c r="A221" s="20"/>
      <c r="B221" s="20"/>
      <c r="C221" s="20"/>
      <c r="D221" s="37"/>
      <c r="E221" s="45"/>
      <c r="F221" s="45"/>
      <c r="G221" s="20"/>
    </row>
    <row r="222" spans="1:7" x14ac:dyDescent="0.25">
      <c r="A222" s="20"/>
      <c r="B222" s="20"/>
      <c r="C222" s="20"/>
      <c r="D222" s="37"/>
      <c r="E222" s="45"/>
      <c r="F222" s="45"/>
      <c r="G222" s="20"/>
    </row>
    <row r="223" spans="1:7" x14ac:dyDescent="0.25">
      <c r="A223" s="20"/>
      <c r="B223" s="20"/>
      <c r="C223" s="20"/>
      <c r="D223" s="37"/>
      <c r="E223" s="45"/>
      <c r="F223" s="45"/>
      <c r="G223" s="20"/>
    </row>
    <row r="224" spans="1:7" x14ac:dyDescent="0.25">
      <c r="A224" s="20"/>
      <c r="B224" s="20"/>
      <c r="C224" s="20"/>
      <c r="D224" s="37"/>
      <c r="E224" s="45"/>
      <c r="F224" s="45"/>
      <c r="G224" s="20"/>
    </row>
    <row r="225" spans="1:7" x14ac:dyDescent="0.25">
      <c r="A225" s="20"/>
      <c r="B225" s="20"/>
      <c r="C225" s="20"/>
      <c r="D225" s="37"/>
      <c r="E225" s="45"/>
      <c r="F225" s="45"/>
      <c r="G225" s="20"/>
    </row>
    <row r="226" spans="1:7" x14ac:dyDescent="0.25">
      <c r="A226" s="20"/>
      <c r="B226" s="20"/>
      <c r="C226" s="20"/>
      <c r="D226" s="37"/>
      <c r="E226" s="45"/>
      <c r="F226" s="45"/>
      <c r="G226" s="20"/>
    </row>
    <row r="227" spans="1:7" x14ac:dyDescent="0.25">
      <c r="A227" s="20"/>
      <c r="B227" s="20"/>
      <c r="C227" s="20"/>
      <c r="D227" s="37"/>
      <c r="E227" s="45"/>
      <c r="F227" s="45"/>
      <c r="G227" s="20"/>
    </row>
    <row r="228" spans="1:7" x14ac:dyDescent="0.25">
      <c r="A228" s="20"/>
      <c r="B228" s="20"/>
      <c r="C228" s="20"/>
      <c r="D228" s="37"/>
      <c r="E228" s="45"/>
      <c r="F228" s="45"/>
      <c r="G228" s="20"/>
    </row>
    <row r="229" spans="1:7" x14ac:dyDescent="0.25">
      <c r="A229" s="20"/>
      <c r="B229" s="20"/>
      <c r="C229" s="20"/>
      <c r="D229" s="37"/>
      <c r="E229" s="45"/>
      <c r="F229" s="45"/>
      <c r="G229" s="20"/>
    </row>
    <row r="230" spans="1:7" x14ac:dyDescent="0.25">
      <c r="A230" s="20"/>
      <c r="B230" s="20"/>
      <c r="C230" s="20"/>
      <c r="D230" s="37"/>
      <c r="E230" s="45"/>
      <c r="F230" s="45"/>
      <c r="G230" s="20"/>
    </row>
    <row r="231" spans="1:7" x14ac:dyDescent="0.25">
      <c r="A231" s="20"/>
      <c r="B231" s="20"/>
      <c r="C231" s="20"/>
      <c r="D231" s="37"/>
      <c r="E231" s="45"/>
      <c r="F231" s="45"/>
      <c r="G231" s="20"/>
    </row>
    <row r="232" spans="1:7" x14ac:dyDescent="0.25">
      <c r="A232" s="20"/>
      <c r="B232" s="20"/>
      <c r="C232" s="20"/>
      <c r="D232" s="37"/>
      <c r="E232" s="45"/>
      <c r="F232" s="45"/>
      <c r="G232" s="20"/>
    </row>
    <row r="233" spans="1:7" x14ac:dyDescent="0.25">
      <c r="A233" s="20"/>
      <c r="B233" s="20"/>
      <c r="C233" s="20"/>
      <c r="D233" s="37"/>
      <c r="E233" s="45"/>
      <c r="F233" s="45"/>
      <c r="G233" s="20"/>
    </row>
    <row r="234" spans="1:7" x14ac:dyDescent="0.25">
      <c r="A234" s="20"/>
      <c r="B234" s="20"/>
      <c r="C234" s="20"/>
      <c r="D234" s="37"/>
      <c r="E234" s="45"/>
      <c r="F234" s="45"/>
      <c r="G234" s="20"/>
    </row>
    <row r="235" spans="1:7" x14ac:dyDescent="0.25">
      <c r="A235" s="20"/>
      <c r="B235" s="20"/>
      <c r="C235" s="20"/>
      <c r="D235" s="37"/>
      <c r="E235" s="45"/>
      <c r="F235" s="45"/>
      <c r="G235" s="20"/>
    </row>
    <row r="236" spans="1:7" x14ac:dyDescent="0.25">
      <c r="A236" s="20"/>
      <c r="B236" s="20"/>
      <c r="C236" s="20"/>
      <c r="D236" s="37"/>
      <c r="E236" s="45"/>
      <c r="F236" s="45"/>
      <c r="G236" s="20"/>
    </row>
    <row r="237" spans="1:7" x14ac:dyDescent="0.25">
      <c r="A237" s="20"/>
      <c r="B237" s="20"/>
      <c r="C237" s="20"/>
      <c r="D237" s="37"/>
      <c r="E237" s="45"/>
      <c r="F237" s="45"/>
      <c r="G237" s="20"/>
    </row>
    <row r="238" spans="1:7" x14ac:dyDescent="0.25">
      <c r="A238" s="20"/>
      <c r="B238" s="20"/>
      <c r="C238" s="20"/>
      <c r="D238" s="37"/>
      <c r="E238" s="45"/>
      <c r="F238" s="45"/>
      <c r="G238" s="20"/>
    </row>
    <row r="239" spans="1:7" x14ac:dyDescent="0.25">
      <c r="A239" s="20"/>
      <c r="B239" s="20"/>
      <c r="C239" s="20"/>
      <c r="D239" s="37"/>
      <c r="E239" s="45"/>
      <c r="F239" s="45"/>
      <c r="G239" s="20"/>
    </row>
    <row r="240" spans="1:7" x14ac:dyDescent="0.25">
      <c r="A240" s="20"/>
      <c r="B240" s="20"/>
      <c r="C240" s="20"/>
      <c r="D240" s="37"/>
      <c r="E240" s="45"/>
      <c r="F240" s="45"/>
      <c r="G240" s="20"/>
    </row>
    <row r="241" spans="1:7" x14ac:dyDescent="0.25">
      <c r="A241" s="20"/>
      <c r="B241" s="20"/>
      <c r="C241" s="20"/>
      <c r="D241" s="37"/>
      <c r="E241" s="45"/>
      <c r="F241" s="45"/>
      <c r="G241" s="20"/>
    </row>
    <row r="242" spans="1:7" x14ac:dyDescent="0.25">
      <c r="A242" s="20"/>
      <c r="B242" s="20"/>
      <c r="C242" s="20"/>
      <c r="D242" s="37"/>
      <c r="E242" s="45"/>
      <c r="F242" s="45"/>
      <c r="G242" s="20"/>
    </row>
    <row r="243" spans="1:7" x14ac:dyDescent="0.25">
      <c r="A243" s="20"/>
      <c r="B243" s="20"/>
      <c r="C243" s="20"/>
      <c r="D243" s="37"/>
      <c r="E243" s="45"/>
      <c r="F243" s="45"/>
      <c r="G243" s="20"/>
    </row>
    <row r="244" spans="1:7" x14ac:dyDescent="0.25">
      <c r="A244" s="20"/>
      <c r="B244" s="20"/>
      <c r="C244" s="20"/>
      <c r="D244" s="37"/>
      <c r="E244" s="45"/>
      <c r="F244" s="45"/>
      <c r="G244" s="20"/>
    </row>
    <row r="245" spans="1:7" x14ac:dyDescent="0.25">
      <c r="A245" s="20"/>
      <c r="B245" s="20"/>
      <c r="C245" s="20"/>
      <c r="D245" s="37"/>
      <c r="E245" s="45"/>
      <c r="F245" s="45"/>
      <c r="G245" s="20"/>
    </row>
    <row r="246" spans="1:7" x14ac:dyDescent="0.25">
      <c r="A246" s="20"/>
      <c r="B246" s="20"/>
      <c r="C246" s="20"/>
      <c r="D246" s="37"/>
      <c r="E246" s="45"/>
      <c r="F246" s="45"/>
      <c r="G246" s="20"/>
    </row>
    <row r="247" spans="1:7" x14ac:dyDescent="0.25">
      <c r="A247" s="20"/>
      <c r="B247" s="20"/>
      <c r="C247" s="20"/>
      <c r="D247" s="37"/>
      <c r="E247" s="45"/>
      <c r="F247" s="45"/>
      <c r="G247" s="20"/>
    </row>
    <row r="248" spans="1:7" x14ac:dyDescent="0.25">
      <c r="A248" s="20"/>
      <c r="B248" s="20"/>
      <c r="C248" s="20"/>
      <c r="D248" s="37"/>
      <c r="E248" s="45"/>
      <c r="F248" s="45"/>
      <c r="G248" s="20"/>
    </row>
    <row r="249" spans="1:7" x14ac:dyDescent="0.25">
      <c r="A249" s="20"/>
      <c r="B249" s="20"/>
      <c r="C249" s="20"/>
      <c r="D249" s="37"/>
      <c r="E249" s="45"/>
      <c r="F249" s="45"/>
      <c r="G249" s="20"/>
    </row>
    <row r="250" spans="1:7" x14ac:dyDescent="0.25">
      <c r="A250" s="20"/>
      <c r="B250" s="20"/>
      <c r="C250" s="20"/>
      <c r="D250" s="37"/>
      <c r="E250" s="45"/>
      <c r="F250" s="45"/>
      <c r="G250" s="20"/>
    </row>
    <row r="251" spans="1:7" x14ac:dyDescent="0.25">
      <c r="A251" s="20"/>
      <c r="B251" s="20"/>
      <c r="C251" s="20"/>
      <c r="D251" s="37"/>
      <c r="E251" s="45"/>
      <c r="F251" s="45"/>
      <c r="G251" s="20"/>
    </row>
    <row r="252" spans="1:7" x14ac:dyDescent="0.25">
      <c r="A252" s="20"/>
      <c r="B252" s="20"/>
      <c r="C252" s="20"/>
      <c r="D252" s="37"/>
      <c r="E252" s="45"/>
      <c r="F252" s="45"/>
      <c r="G252" s="20"/>
    </row>
    <row r="253" spans="1:7" x14ac:dyDescent="0.25">
      <c r="A253" s="20"/>
      <c r="B253" s="20"/>
      <c r="C253" s="20"/>
      <c r="D253" s="37"/>
      <c r="E253" s="45"/>
      <c r="F253" s="45"/>
      <c r="G253" s="20"/>
    </row>
    <row r="254" spans="1:7" x14ac:dyDescent="0.25">
      <c r="A254" s="20"/>
      <c r="B254" s="20"/>
      <c r="C254" s="20"/>
      <c r="D254" s="37"/>
      <c r="E254" s="45"/>
      <c r="F254" s="45"/>
      <c r="G254" s="20"/>
    </row>
    <row r="255" spans="1:7" x14ac:dyDescent="0.25">
      <c r="A255" s="20"/>
      <c r="B255" s="20"/>
      <c r="C255" s="20"/>
      <c r="D255" s="37"/>
      <c r="E255" s="45"/>
      <c r="F255" s="45"/>
      <c r="G255" s="20"/>
    </row>
    <row r="256" spans="1:7" x14ac:dyDescent="0.25">
      <c r="A256" s="20"/>
      <c r="B256" s="20"/>
      <c r="C256" s="20"/>
      <c r="D256" s="37"/>
      <c r="E256" s="45"/>
      <c r="F256" s="45"/>
      <c r="G256" s="20"/>
    </row>
    <row r="257" spans="1:7" x14ac:dyDescent="0.25">
      <c r="A257" s="20"/>
      <c r="B257" s="20"/>
      <c r="C257" s="20"/>
      <c r="D257" s="37"/>
      <c r="E257" s="45"/>
      <c r="F257" s="45"/>
      <c r="G257" s="20"/>
    </row>
    <row r="258" spans="1:7" x14ac:dyDescent="0.25">
      <c r="A258" s="20"/>
      <c r="B258" s="20"/>
      <c r="C258" s="20"/>
      <c r="D258" s="37"/>
      <c r="E258" s="45"/>
      <c r="F258" s="45"/>
      <c r="G258" s="20"/>
    </row>
    <row r="259" spans="1:7" x14ac:dyDescent="0.25">
      <c r="A259" s="20"/>
      <c r="B259" s="20"/>
      <c r="C259" s="20"/>
      <c r="D259" s="37"/>
      <c r="E259" s="45"/>
      <c r="F259" s="45"/>
      <c r="G259" s="20"/>
    </row>
    <row r="260" spans="1:7" x14ac:dyDescent="0.25">
      <c r="A260" s="20"/>
      <c r="B260" s="20"/>
      <c r="C260" s="20"/>
      <c r="D260" s="37"/>
      <c r="E260" s="45"/>
      <c r="F260" s="45"/>
      <c r="G260" s="20"/>
    </row>
    <row r="261" spans="1:7" x14ac:dyDescent="0.25">
      <c r="A261" s="20"/>
      <c r="B261" s="20"/>
      <c r="C261" s="20"/>
      <c r="D261" s="37"/>
      <c r="E261" s="45"/>
      <c r="F261" s="45"/>
      <c r="G261" s="20"/>
    </row>
    <row r="262" spans="1:7" x14ac:dyDescent="0.25">
      <c r="A262" s="20"/>
      <c r="B262" s="20"/>
      <c r="C262" s="20"/>
      <c r="D262" s="37"/>
      <c r="E262" s="45"/>
      <c r="F262" s="45"/>
      <c r="G262" s="20"/>
    </row>
    <row r="263" spans="1:7" x14ac:dyDescent="0.25">
      <c r="A263" s="20"/>
      <c r="B263" s="20"/>
      <c r="C263" s="20"/>
      <c r="D263" s="37"/>
      <c r="E263" s="45"/>
      <c r="F263" s="45"/>
      <c r="G263" s="20"/>
    </row>
    <row r="264" spans="1:7" x14ac:dyDescent="0.25">
      <c r="A264" s="20"/>
      <c r="B264" s="20"/>
      <c r="C264" s="20"/>
      <c r="D264" s="37"/>
      <c r="E264" s="45"/>
      <c r="F264" s="45"/>
      <c r="G264" s="20"/>
    </row>
    <row r="265" spans="1:7" x14ac:dyDescent="0.25">
      <c r="A265" s="20"/>
      <c r="B265" s="20"/>
      <c r="C265" s="20"/>
      <c r="D265" s="37"/>
      <c r="E265" s="45"/>
      <c r="F265" s="45"/>
      <c r="G265" s="20"/>
    </row>
    <row r="266" spans="1:7" x14ac:dyDescent="0.25">
      <c r="A266" s="20"/>
      <c r="B266" s="20"/>
      <c r="C266" s="20"/>
      <c r="D266" s="37"/>
      <c r="E266" s="45"/>
      <c r="F266" s="45"/>
      <c r="G266" s="20"/>
    </row>
    <row r="267" spans="1:7" x14ac:dyDescent="0.25">
      <c r="A267" s="20"/>
      <c r="B267" s="20"/>
      <c r="C267" s="20"/>
      <c r="D267" s="37"/>
      <c r="E267" s="45"/>
      <c r="F267" s="45"/>
      <c r="G267" s="20"/>
    </row>
    <row r="268" spans="1:7" x14ac:dyDescent="0.25">
      <c r="A268" s="20"/>
      <c r="B268" s="20"/>
      <c r="C268" s="20"/>
      <c r="D268" s="37"/>
      <c r="E268" s="45"/>
      <c r="F268" s="45"/>
      <c r="G268" s="20"/>
    </row>
    <row r="269" spans="1:7" x14ac:dyDescent="0.25">
      <c r="A269" s="20"/>
      <c r="B269" s="20"/>
      <c r="C269" s="20"/>
      <c r="D269" s="37"/>
      <c r="E269" s="45"/>
      <c r="F269" s="45"/>
      <c r="G269" s="20"/>
    </row>
    <row r="270" spans="1:7" x14ac:dyDescent="0.25">
      <c r="A270" s="20"/>
      <c r="B270" s="20"/>
      <c r="C270" s="20"/>
      <c r="D270" s="37"/>
      <c r="E270" s="45"/>
      <c r="F270" s="45"/>
      <c r="G270" s="20"/>
    </row>
    <row r="271" spans="1:7" x14ac:dyDescent="0.25">
      <c r="A271" s="20"/>
      <c r="B271" s="20"/>
      <c r="C271" s="20"/>
      <c r="D271" s="37"/>
      <c r="E271" s="45"/>
      <c r="F271" s="45"/>
      <c r="G271" s="20"/>
    </row>
    <row r="272" spans="1:7" x14ac:dyDescent="0.25">
      <c r="A272" s="20"/>
      <c r="B272" s="20"/>
      <c r="C272" s="20"/>
      <c r="D272" s="37"/>
      <c r="E272" s="45"/>
      <c r="F272" s="45"/>
      <c r="G272" s="20"/>
    </row>
    <row r="273" spans="1:7" x14ac:dyDescent="0.25">
      <c r="A273" s="20"/>
      <c r="B273" s="20"/>
      <c r="C273" s="20"/>
      <c r="D273" s="37"/>
      <c r="E273" s="45"/>
      <c r="F273" s="45"/>
      <c r="G273" s="20"/>
    </row>
    <row r="274" spans="1:7" x14ac:dyDescent="0.25">
      <c r="A274" s="20"/>
      <c r="B274" s="20"/>
      <c r="C274" s="20"/>
      <c r="D274" s="37"/>
      <c r="E274" s="45"/>
      <c r="F274" s="45"/>
      <c r="G274" s="20"/>
    </row>
    <row r="275" spans="1:7" x14ac:dyDescent="0.25">
      <c r="A275" s="20"/>
      <c r="B275" s="20"/>
      <c r="C275" s="20"/>
      <c r="D275" s="37"/>
      <c r="E275" s="45"/>
      <c r="F275" s="45"/>
      <c r="G275" s="20"/>
    </row>
    <row r="276" spans="1:7" x14ac:dyDescent="0.25">
      <c r="A276" s="20"/>
      <c r="B276" s="20"/>
      <c r="C276" s="20"/>
      <c r="D276" s="37"/>
      <c r="E276" s="45"/>
      <c r="F276" s="45"/>
      <c r="G276" s="20"/>
    </row>
    <row r="277" spans="1:7" x14ac:dyDescent="0.25">
      <c r="A277" s="20"/>
      <c r="B277" s="20"/>
      <c r="C277" s="20"/>
      <c r="D277" s="37"/>
      <c r="E277" s="45"/>
      <c r="F277" s="45"/>
      <c r="G277" s="20"/>
    </row>
    <row r="278" spans="1:7" x14ac:dyDescent="0.25">
      <c r="A278" s="20"/>
      <c r="B278" s="20"/>
      <c r="C278" s="20"/>
      <c r="D278" s="37"/>
      <c r="E278" s="45"/>
      <c r="F278" s="45"/>
      <c r="G278" s="20"/>
    </row>
    <row r="279" spans="1:7" x14ac:dyDescent="0.25">
      <c r="A279" s="20"/>
      <c r="B279" s="20"/>
      <c r="C279" s="20"/>
      <c r="D279" s="37"/>
      <c r="E279" s="45"/>
      <c r="F279" s="45"/>
      <c r="G279" s="20"/>
    </row>
    <row r="280" spans="1:7" x14ac:dyDescent="0.25">
      <c r="A280" s="20"/>
      <c r="B280" s="20"/>
      <c r="C280" s="20"/>
      <c r="D280" s="37"/>
      <c r="E280" s="45"/>
      <c r="F280" s="45"/>
      <c r="G280" s="20"/>
    </row>
    <row r="281" spans="1:7" x14ac:dyDescent="0.25">
      <c r="A281" s="20"/>
      <c r="B281" s="20"/>
      <c r="C281" s="20"/>
      <c r="D281" s="37"/>
      <c r="E281" s="45"/>
      <c r="F281" s="45"/>
      <c r="G281" s="20"/>
    </row>
    <row r="282" spans="1:7" x14ac:dyDescent="0.25">
      <c r="A282" s="20"/>
      <c r="B282" s="20"/>
      <c r="C282" s="20"/>
      <c r="D282" s="37"/>
      <c r="E282" s="45"/>
      <c r="F282" s="45"/>
      <c r="G282" s="20"/>
    </row>
    <row r="283" spans="1:7" x14ac:dyDescent="0.25">
      <c r="A283" s="20"/>
      <c r="B283" s="20"/>
      <c r="C283" s="20"/>
      <c r="D283" s="37"/>
      <c r="E283" s="45"/>
      <c r="F283" s="45"/>
      <c r="G283" s="20"/>
    </row>
    <row r="284" spans="1:7" x14ac:dyDescent="0.25">
      <c r="A284" s="20"/>
      <c r="B284" s="20"/>
      <c r="C284" s="20"/>
      <c r="D284" s="37"/>
      <c r="E284" s="45"/>
      <c r="F284" s="45"/>
      <c r="G284" s="20"/>
    </row>
    <row r="285" spans="1:7" x14ac:dyDescent="0.25">
      <c r="A285" s="20"/>
      <c r="B285" s="20"/>
      <c r="C285" s="20"/>
      <c r="D285" s="37"/>
      <c r="E285" s="45"/>
      <c r="F285" s="45"/>
      <c r="G285" s="20"/>
    </row>
    <row r="286" spans="1:7" x14ac:dyDescent="0.25">
      <c r="A286" s="20"/>
      <c r="B286" s="20"/>
      <c r="C286" s="20"/>
      <c r="D286" s="37"/>
      <c r="E286" s="45"/>
      <c r="F286" s="45"/>
      <c r="G286" s="20"/>
    </row>
    <row r="287" spans="1:7" x14ac:dyDescent="0.25">
      <c r="A287" s="20"/>
      <c r="B287" s="20"/>
      <c r="C287" s="20"/>
      <c r="D287" s="37"/>
      <c r="E287" s="45"/>
      <c r="F287" s="45"/>
      <c r="G287" s="20"/>
    </row>
    <row r="288" spans="1:7" x14ac:dyDescent="0.25">
      <c r="A288" s="20"/>
      <c r="B288" s="20"/>
      <c r="C288" s="20"/>
      <c r="D288" s="37"/>
      <c r="E288" s="45"/>
      <c r="F288" s="45"/>
      <c r="G288" s="20"/>
    </row>
    <row r="289" spans="1:7" x14ac:dyDescent="0.25">
      <c r="A289" s="20"/>
      <c r="B289" s="20"/>
      <c r="C289" s="20"/>
      <c r="D289" s="37"/>
      <c r="E289" s="45"/>
      <c r="F289" s="45"/>
      <c r="G289" s="20"/>
    </row>
    <row r="290" spans="1:7" x14ac:dyDescent="0.25">
      <c r="A290" s="20"/>
      <c r="B290" s="20"/>
      <c r="C290" s="20"/>
      <c r="D290" s="37"/>
      <c r="E290" s="45"/>
      <c r="F290" s="45"/>
      <c r="G290" s="20"/>
    </row>
    <row r="291" spans="1:7" x14ac:dyDescent="0.25">
      <c r="A291" s="20"/>
      <c r="B291" s="20"/>
      <c r="C291" s="20"/>
      <c r="D291" s="37"/>
      <c r="E291" s="45"/>
      <c r="F291" s="45"/>
      <c r="G291" s="20"/>
    </row>
    <row r="292" spans="1:7" x14ac:dyDescent="0.25">
      <c r="A292" s="20"/>
      <c r="B292" s="20"/>
      <c r="C292" s="20"/>
      <c r="D292" s="37"/>
      <c r="E292" s="45"/>
      <c r="F292" s="45"/>
      <c r="G292" s="20"/>
    </row>
    <row r="293" spans="1:7" x14ac:dyDescent="0.25">
      <c r="A293" s="20"/>
      <c r="B293" s="20"/>
      <c r="C293" s="20"/>
      <c r="D293" s="37"/>
      <c r="E293" s="45"/>
      <c r="F293" s="45"/>
      <c r="G293" s="20"/>
    </row>
    <row r="294" spans="1:7" x14ac:dyDescent="0.25">
      <c r="A294" s="20"/>
      <c r="B294" s="20"/>
      <c r="C294" s="20"/>
      <c r="D294" s="37"/>
      <c r="E294" s="45"/>
      <c r="F294" s="45"/>
      <c r="G294" s="20"/>
    </row>
    <row r="295" spans="1:7" x14ac:dyDescent="0.25">
      <c r="A295" s="20"/>
      <c r="B295" s="20"/>
      <c r="C295" s="20"/>
      <c r="D295" s="37"/>
      <c r="E295" s="45"/>
      <c r="F295" s="45"/>
      <c r="G295" s="20"/>
    </row>
    <row r="296" spans="1:7" x14ac:dyDescent="0.25">
      <c r="A296" s="20"/>
      <c r="B296" s="20"/>
      <c r="C296" s="20"/>
      <c r="D296" s="37"/>
      <c r="E296" s="45"/>
      <c r="F296" s="45"/>
      <c r="G296" s="20"/>
    </row>
    <row r="297" spans="1:7" x14ac:dyDescent="0.25">
      <c r="A297" s="20"/>
      <c r="B297" s="20"/>
      <c r="C297" s="20"/>
      <c r="D297" s="37"/>
      <c r="E297" s="45"/>
      <c r="F297" s="45"/>
      <c r="G297" s="20"/>
    </row>
    <row r="298" spans="1:7" x14ac:dyDescent="0.25">
      <c r="A298" s="20"/>
      <c r="B298" s="20"/>
      <c r="C298" s="20"/>
      <c r="D298" s="37"/>
      <c r="E298" s="45"/>
      <c r="F298" s="45"/>
      <c r="G298" s="20"/>
    </row>
    <row r="299" spans="1:7" x14ac:dyDescent="0.25">
      <c r="A299" s="20"/>
      <c r="B299" s="20"/>
      <c r="C299" s="20"/>
      <c r="D299" s="37"/>
      <c r="E299" s="45"/>
      <c r="F299" s="45"/>
      <c r="G299" s="20"/>
    </row>
    <row r="300" spans="1:7" x14ac:dyDescent="0.25">
      <c r="A300" s="20"/>
      <c r="B300" s="20"/>
      <c r="C300" s="20"/>
      <c r="D300" s="37"/>
      <c r="E300" s="45"/>
      <c r="F300" s="45"/>
      <c r="G300" s="20"/>
    </row>
    <row r="301" spans="1:7" x14ac:dyDescent="0.25">
      <c r="A301" s="20"/>
      <c r="B301" s="20"/>
      <c r="C301" s="20"/>
      <c r="D301" s="37"/>
      <c r="E301" s="45"/>
      <c r="F301" s="45"/>
      <c r="G301" s="20"/>
    </row>
    <row r="302" spans="1:7" x14ac:dyDescent="0.25">
      <c r="A302" s="20"/>
      <c r="B302" s="20"/>
      <c r="C302" s="20"/>
      <c r="D302" s="37"/>
      <c r="E302" s="45"/>
      <c r="F302" s="45"/>
      <c r="G302" s="20"/>
    </row>
    <row r="303" spans="1:7" x14ac:dyDescent="0.25">
      <c r="A303" s="20"/>
      <c r="B303" s="20"/>
      <c r="C303" s="20"/>
      <c r="D303" s="37"/>
      <c r="E303" s="45"/>
      <c r="F303" s="45"/>
      <c r="G303" s="20"/>
    </row>
    <row r="304" spans="1:7" x14ac:dyDescent="0.25">
      <c r="A304" s="20"/>
      <c r="B304" s="20"/>
      <c r="C304" s="20"/>
      <c r="D304" s="37"/>
      <c r="E304" s="45"/>
      <c r="F304" s="45"/>
      <c r="G304" s="20"/>
    </row>
    <row r="305" spans="1:7" x14ac:dyDescent="0.25">
      <c r="A305" s="20"/>
      <c r="B305" s="20"/>
      <c r="C305" s="20"/>
      <c r="D305" s="37"/>
      <c r="E305" s="45"/>
      <c r="F305" s="45"/>
      <c r="G305" s="20"/>
    </row>
    <row r="306" spans="1:7" x14ac:dyDescent="0.25">
      <c r="A306" s="20"/>
      <c r="B306" s="20"/>
      <c r="C306" s="20"/>
      <c r="D306" s="37"/>
      <c r="E306" s="45"/>
      <c r="F306" s="45"/>
      <c r="G306" s="20"/>
    </row>
    <row r="307" spans="1:7" x14ac:dyDescent="0.25">
      <c r="A307" s="20"/>
      <c r="B307" s="20"/>
      <c r="C307" s="20"/>
      <c r="D307" s="37"/>
      <c r="E307" s="45"/>
      <c r="F307" s="45"/>
      <c r="G307" s="20"/>
    </row>
    <row r="308" spans="1:7" x14ac:dyDescent="0.25">
      <c r="A308" s="20"/>
      <c r="B308" s="20"/>
      <c r="C308" s="20"/>
      <c r="D308" s="37"/>
      <c r="E308" s="45"/>
      <c r="F308" s="45"/>
      <c r="G308" s="20"/>
    </row>
    <row r="309" spans="1:7" x14ac:dyDescent="0.25">
      <c r="A309" s="20"/>
      <c r="B309" s="20"/>
      <c r="C309" s="20"/>
      <c r="D309" s="37"/>
      <c r="E309" s="45"/>
      <c r="F309" s="45"/>
      <c r="G309" s="20"/>
    </row>
    <row r="310" spans="1:7" x14ac:dyDescent="0.25">
      <c r="A310" s="20"/>
      <c r="B310" s="20"/>
      <c r="C310" s="20"/>
      <c r="D310" s="37"/>
      <c r="E310" s="45"/>
      <c r="F310" s="45"/>
      <c r="G310" s="20"/>
    </row>
    <row r="311" spans="1:7" x14ac:dyDescent="0.25">
      <c r="A311" s="20"/>
      <c r="B311" s="20"/>
      <c r="C311" s="20"/>
      <c r="D311" s="37"/>
      <c r="E311" s="45"/>
      <c r="F311" s="45"/>
      <c r="G311" s="20"/>
    </row>
    <row r="312" spans="1:7" x14ac:dyDescent="0.25">
      <c r="A312" s="20"/>
      <c r="B312" s="20"/>
      <c r="C312" s="20"/>
      <c r="D312" s="37"/>
      <c r="E312" s="45"/>
      <c r="F312" s="45"/>
      <c r="G312" s="20"/>
    </row>
    <row r="313" spans="1:7" x14ac:dyDescent="0.25">
      <c r="A313" s="20"/>
      <c r="B313" s="20"/>
      <c r="C313" s="20"/>
      <c r="D313" s="37"/>
      <c r="E313" s="45"/>
      <c r="F313" s="45"/>
      <c r="G313" s="20"/>
    </row>
    <row r="314" spans="1:7" x14ac:dyDescent="0.25">
      <c r="A314" s="20"/>
      <c r="B314" s="20"/>
      <c r="C314" s="20"/>
      <c r="D314" s="37"/>
      <c r="E314" s="45"/>
      <c r="F314" s="45"/>
      <c r="G314" s="20"/>
    </row>
    <row r="315" spans="1:7" x14ac:dyDescent="0.25">
      <c r="A315" s="20"/>
      <c r="B315" s="20"/>
      <c r="C315" s="20"/>
      <c r="D315" s="37"/>
      <c r="E315" s="45"/>
      <c r="F315" s="45"/>
      <c r="G315" s="20"/>
    </row>
    <row r="316" spans="1:7" x14ac:dyDescent="0.25">
      <c r="A316" s="20"/>
      <c r="B316" s="20"/>
      <c r="C316" s="20"/>
      <c r="D316" s="37"/>
      <c r="E316" s="45"/>
      <c r="F316" s="45"/>
      <c r="G316" s="20"/>
    </row>
    <row r="317" spans="1:7" x14ac:dyDescent="0.25">
      <c r="A317" s="20"/>
      <c r="B317" s="20"/>
      <c r="C317" s="20"/>
      <c r="D317" s="37"/>
      <c r="E317" s="45"/>
      <c r="F317" s="45"/>
      <c r="G317" s="20"/>
    </row>
    <row r="318" spans="1:7" x14ac:dyDescent="0.25">
      <c r="A318" s="20"/>
      <c r="B318" s="20"/>
      <c r="C318" s="20"/>
      <c r="D318" s="37"/>
      <c r="E318" s="45"/>
      <c r="F318" s="45"/>
      <c r="G318" s="20"/>
    </row>
    <row r="319" spans="1:7" x14ac:dyDescent="0.25">
      <c r="A319" s="20"/>
      <c r="B319" s="20"/>
      <c r="C319" s="20"/>
      <c r="D319" s="37"/>
      <c r="E319" s="45"/>
      <c r="F319" s="45"/>
      <c r="G319" s="20"/>
    </row>
    <row r="320" spans="1:7" x14ac:dyDescent="0.25">
      <c r="A320" s="20"/>
      <c r="B320" s="20"/>
      <c r="C320" s="20"/>
      <c r="D320" s="37"/>
      <c r="E320" s="45"/>
      <c r="F320" s="45"/>
      <c r="G320" s="20"/>
    </row>
    <row r="321" spans="1:7" x14ac:dyDescent="0.25">
      <c r="A321" s="20"/>
      <c r="B321" s="20"/>
      <c r="C321" s="20"/>
      <c r="D321" s="37"/>
      <c r="E321" s="45"/>
      <c r="F321" s="45"/>
      <c r="G321" s="20"/>
    </row>
    <row r="322" spans="1:7" x14ac:dyDescent="0.25">
      <c r="A322" s="20"/>
      <c r="B322" s="20"/>
      <c r="C322" s="20"/>
      <c r="D322" s="37"/>
      <c r="E322" s="45"/>
      <c r="F322" s="45"/>
      <c r="G322" s="20"/>
    </row>
    <row r="323" spans="1:7" x14ac:dyDescent="0.25">
      <c r="A323" s="20"/>
      <c r="B323" s="20"/>
      <c r="C323" s="20"/>
      <c r="D323" s="37"/>
      <c r="E323" s="45"/>
      <c r="F323" s="45"/>
      <c r="G323" s="20"/>
    </row>
    <row r="324" spans="1:7" x14ac:dyDescent="0.25">
      <c r="A324" s="20"/>
      <c r="B324" s="20"/>
      <c r="C324" s="20"/>
      <c r="D324" s="37"/>
      <c r="E324" s="45"/>
      <c r="F324" s="45"/>
      <c r="G324" s="20"/>
    </row>
    <row r="325" spans="1:7" x14ac:dyDescent="0.25">
      <c r="A325" s="20"/>
      <c r="B325" s="20"/>
      <c r="C325" s="20"/>
      <c r="D325" s="37"/>
      <c r="E325" s="45"/>
      <c r="F325" s="45"/>
      <c r="G325" s="20"/>
    </row>
    <row r="326" spans="1:7" x14ac:dyDescent="0.25">
      <c r="A326" s="20"/>
      <c r="B326" s="20"/>
      <c r="C326" s="20"/>
      <c r="D326" s="37"/>
      <c r="E326" s="45"/>
      <c r="F326" s="45"/>
      <c r="G326" s="20"/>
    </row>
    <row r="327" spans="1:7" x14ac:dyDescent="0.25">
      <c r="A327" s="20"/>
      <c r="B327" s="20"/>
      <c r="C327" s="20"/>
      <c r="D327" s="37"/>
      <c r="E327" s="45"/>
      <c r="F327" s="45"/>
      <c r="G327" s="20"/>
    </row>
    <row r="328" spans="1:7" x14ac:dyDescent="0.25">
      <c r="A328" s="20"/>
      <c r="B328" s="20"/>
      <c r="C328" s="20"/>
      <c r="D328" s="37"/>
      <c r="E328" s="45"/>
      <c r="F328" s="45"/>
      <c r="G328" s="20"/>
    </row>
    <row r="329" spans="1:7" x14ac:dyDescent="0.25">
      <c r="A329" s="20"/>
      <c r="B329" s="20"/>
      <c r="C329" s="20"/>
      <c r="D329" s="37"/>
      <c r="E329" s="45"/>
      <c r="F329" s="45"/>
      <c r="G329" s="20"/>
    </row>
    <row r="330" spans="1:7" x14ac:dyDescent="0.25">
      <c r="A330" s="20"/>
      <c r="B330" s="20"/>
      <c r="C330" s="20"/>
      <c r="D330" s="37"/>
      <c r="E330" s="45"/>
      <c r="F330" s="45"/>
      <c r="G330" s="20"/>
    </row>
    <row r="331" spans="1:7" x14ac:dyDescent="0.25">
      <c r="A331" s="20"/>
      <c r="B331" s="20"/>
      <c r="C331" s="20"/>
      <c r="D331" s="37"/>
      <c r="E331" s="45"/>
      <c r="F331" s="45"/>
      <c r="G331" s="20"/>
    </row>
    <row r="332" spans="1:7" x14ac:dyDescent="0.25">
      <c r="A332" s="20"/>
      <c r="B332" s="20"/>
      <c r="C332" s="20"/>
      <c r="D332" s="37"/>
      <c r="E332" s="45"/>
      <c r="F332" s="45"/>
      <c r="G332" s="20"/>
    </row>
    <row r="333" spans="1:7" x14ac:dyDescent="0.25">
      <c r="A333" s="20"/>
      <c r="B333" s="20"/>
      <c r="C333" s="20"/>
      <c r="D333" s="37"/>
      <c r="E333" s="45"/>
      <c r="F333" s="45"/>
      <c r="G333" s="20"/>
    </row>
    <row r="334" spans="1:7" x14ac:dyDescent="0.25">
      <c r="A334" s="20"/>
      <c r="B334" s="20"/>
      <c r="C334" s="20"/>
      <c r="D334" s="37"/>
      <c r="E334" s="45"/>
      <c r="F334" s="45"/>
      <c r="G334" s="20"/>
    </row>
    <row r="335" spans="1:7" x14ac:dyDescent="0.25">
      <c r="A335" s="20"/>
      <c r="B335" s="20"/>
      <c r="C335" s="20"/>
      <c r="D335" s="37"/>
      <c r="E335" s="45"/>
      <c r="F335" s="45"/>
      <c r="G335" s="20"/>
    </row>
    <row r="336" spans="1:7" x14ac:dyDescent="0.25">
      <c r="A336" s="20"/>
      <c r="B336" s="20"/>
      <c r="C336" s="20"/>
      <c r="D336" s="37"/>
      <c r="E336" s="45"/>
      <c r="F336" s="45"/>
      <c r="G336" s="20"/>
    </row>
    <row r="337" spans="1:7" x14ac:dyDescent="0.25">
      <c r="A337" s="20"/>
      <c r="B337" s="20"/>
      <c r="C337" s="20"/>
      <c r="D337" s="37"/>
      <c r="E337" s="45"/>
      <c r="F337" s="45"/>
      <c r="G337" s="20"/>
    </row>
    <row r="338" spans="1:7" x14ac:dyDescent="0.25">
      <c r="A338" s="20"/>
      <c r="B338" s="20"/>
      <c r="C338" s="20"/>
      <c r="D338" s="37"/>
      <c r="E338" s="45"/>
      <c r="F338" s="45"/>
      <c r="G338" s="20"/>
    </row>
    <row r="339" spans="1:7" x14ac:dyDescent="0.25">
      <c r="A339" s="20"/>
      <c r="B339" s="20"/>
      <c r="C339" s="20"/>
      <c r="D339" s="37"/>
      <c r="E339" s="45"/>
      <c r="F339" s="45"/>
      <c r="G339" s="20"/>
    </row>
    <row r="340" spans="1:7" x14ac:dyDescent="0.25">
      <c r="A340" s="20"/>
      <c r="B340" s="20"/>
      <c r="C340" s="20"/>
      <c r="D340" s="37"/>
      <c r="E340" s="45"/>
      <c r="F340" s="45"/>
      <c r="G340" s="20"/>
    </row>
    <row r="341" spans="1:7" x14ac:dyDescent="0.25">
      <c r="A341" s="20"/>
      <c r="B341" s="20"/>
      <c r="C341" s="20"/>
      <c r="D341" s="37"/>
      <c r="E341" s="45"/>
      <c r="F341" s="45"/>
      <c r="G341" s="20"/>
    </row>
    <row r="342" spans="1:7" x14ac:dyDescent="0.25">
      <c r="A342" s="20"/>
      <c r="B342" s="20"/>
      <c r="C342" s="20"/>
      <c r="D342" s="37"/>
      <c r="E342" s="45"/>
      <c r="F342" s="45"/>
      <c r="G342" s="20"/>
    </row>
    <row r="343" spans="1:7" x14ac:dyDescent="0.25">
      <c r="A343" s="20"/>
      <c r="B343" s="20"/>
      <c r="C343" s="20"/>
      <c r="D343" s="37"/>
      <c r="E343" s="45"/>
      <c r="F343" s="45"/>
      <c r="G343" s="20"/>
    </row>
    <row r="344" spans="1:7" x14ac:dyDescent="0.25">
      <c r="A344" s="20"/>
      <c r="B344" s="20"/>
      <c r="C344" s="20"/>
      <c r="D344" s="37"/>
      <c r="E344" s="45"/>
      <c r="F344" s="45"/>
      <c r="G344" s="20"/>
    </row>
    <row r="345" spans="1:7" x14ac:dyDescent="0.25">
      <c r="A345" s="20"/>
      <c r="B345" s="20"/>
      <c r="C345" s="20"/>
      <c r="D345" s="37"/>
      <c r="E345" s="45"/>
      <c r="F345" s="45"/>
      <c r="G345" s="20"/>
    </row>
    <row r="346" spans="1:7" x14ac:dyDescent="0.25">
      <c r="A346" s="20"/>
      <c r="B346" s="20"/>
      <c r="C346" s="20"/>
      <c r="D346" s="37"/>
      <c r="E346" s="45"/>
      <c r="F346" s="45"/>
      <c r="G346" s="20"/>
    </row>
    <row r="347" spans="1:7" x14ac:dyDescent="0.25">
      <c r="A347" s="20"/>
      <c r="B347" s="20"/>
      <c r="C347" s="20"/>
      <c r="D347" s="37"/>
      <c r="E347" s="45"/>
      <c r="F347" s="45"/>
      <c r="G347" s="20"/>
    </row>
    <row r="348" spans="1:7" x14ac:dyDescent="0.25">
      <c r="A348" s="20"/>
      <c r="B348" s="20"/>
      <c r="C348" s="20"/>
      <c r="D348" s="37"/>
      <c r="E348" s="45"/>
      <c r="F348" s="45"/>
      <c r="G348" s="20"/>
    </row>
    <row r="349" spans="1:7" x14ac:dyDescent="0.25">
      <c r="A349" s="20"/>
      <c r="B349" s="20"/>
      <c r="C349" s="20"/>
      <c r="D349" s="37"/>
      <c r="E349" s="45"/>
      <c r="F349" s="45"/>
      <c r="G349" s="20"/>
    </row>
    <row r="350" spans="1:7" x14ac:dyDescent="0.25">
      <c r="A350" s="20"/>
      <c r="B350" s="20"/>
      <c r="C350" s="20"/>
      <c r="D350" s="37"/>
      <c r="E350" s="45"/>
      <c r="F350" s="45"/>
      <c r="G350" s="20"/>
    </row>
    <row r="351" spans="1:7" x14ac:dyDescent="0.25">
      <c r="A351" s="20"/>
      <c r="B351" s="20"/>
      <c r="C351" s="20"/>
      <c r="D351" s="37"/>
      <c r="E351" s="45"/>
      <c r="F351" s="45"/>
      <c r="G351" s="20"/>
    </row>
    <row r="352" spans="1:7" x14ac:dyDescent="0.25">
      <c r="A352" s="20"/>
      <c r="B352" s="20"/>
      <c r="C352" s="20"/>
      <c r="D352" s="37"/>
      <c r="E352" s="45"/>
      <c r="F352" s="45"/>
      <c r="G352" s="20"/>
    </row>
    <row r="353" spans="1:7" x14ac:dyDescent="0.25">
      <c r="A353" s="20"/>
      <c r="B353" s="20"/>
      <c r="C353" s="20"/>
      <c r="D353" s="37"/>
      <c r="E353" s="45"/>
      <c r="F353" s="45"/>
      <c r="G353" s="20"/>
    </row>
    <row r="354" spans="1:7" x14ac:dyDescent="0.25">
      <c r="A354" s="20"/>
      <c r="B354" s="20"/>
      <c r="C354" s="20"/>
      <c r="D354" s="37"/>
      <c r="E354" s="45"/>
      <c r="F354" s="45"/>
      <c r="G354" s="20"/>
    </row>
    <row r="355" spans="1:7" x14ac:dyDescent="0.25">
      <c r="A355" s="20"/>
      <c r="B355" s="20"/>
      <c r="C355" s="20"/>
      <c r="D355" s="37"/>
      <c r="E355" s="45"/>
      <c r="F355" s="45"/>
      <c r="G355" s="20"/>
    </row>
    <row r="356" spans="1:7" x14ac:dyDescent="0.25">
      <c r="A356" s="20"/>
      <c r="B356" s="20"/>
      <c r="C356" s="20"/>
      <c r="D356" s="37"/>
      <c r="E356" s="45"/>
      <c r="F356" s="45"/>
      <c r="G356" s="20"/>
    </row>
    <row r="357" spans="1:7" x14ac:dyDescent="0.25">
      <c r="A357" s="20"/>
      <c r="B357" s="20"/>
      <c r="C357" s="20"/>
      <c r="D357" s="37"/>
      <c r="E357" s="45"/>
      <c r="F357" s="45"/>
      <c r="G357" s="20"/>
    </row>
    <row r="358" spans="1:7" x14ac:dyDescent="0.25">
      <c r="A358" s="20"/>
      <c r="B358" s="20"/>
      <c r="C358" s="20"/>
      <c r="D358" s="37"/>
      <c r="E358" s="45"/>
      <c r="F358" s="45"/>
      <c r="G358" s="20"/>
    </row>
    <row r="359" spans="1:7" x14ac:dyDescent="0.25">
      <c r="A359" s="20"/>
      <c r="B359" s="20"/>
      <c r="C359" s="20"/>
      <c r="D359" s="37"/>
      <c r="E359" s="45"/>
      <c r="F359" s="45"/>
      <c r="G359" s="20"/>
    </row>
    <row r="360" spans="1:7" x14ac:dyDescent="0.25">
      <c r="A360" s="20"/>
      <c r="B360" s="20"/>
      <c r="C360" s="20"/>
      <c r="D360" s="37"/>
      <c r="E360" s="45"/>
      <c r="F360" s="45"/>
      <c r="G360" s="20"/>
    </row>
    <row r="361" spans="1:7" x14ac:dyDescent="0.25">
      <c r="A361" s="20"/>
      <c r="B361" s="20"/>
      <c r="C361" s="20"/>
      <c r="D361" s="37"/>
      <c r="E361" s="45"/>
      <c r="F361" s="45"/>
      <c r="G361" s="20"/>
    </row>
    <row r="362" spans="1:7" x14ac:dyDescent="0.25">
      <c r="A362" s="20"/>
      <c r="B362" s="20"/>
      <c r="C362" s="20"/>
      <c r="D362" s="37"/>
      <c r="E362" s="45"/>
      <c r="F362" s="45"/>
      <c r="G362" s="20"/>
    </row>
    <row r="363" spans="1:7" x14ac:dyDescent="0.25">
      <c r="A363" s="20"/>
      <c r="B363" s="20"/>
      <c r="C363" s="20"/>
      <c r="D363" s="37"/>
      <c r="E363" s="45"/>
      <c r="F363" s="45"/>
      <c r="G363" s="20"/>
    </row>
    <row r="364" spans="1:7" x14ac:dyDescent="0.25">
      <c r="A364" s="20"/>
      <c r="B364" s="20"/>
      <c r="C364" s="20"/>
      <c r="D364" s="37"/>
      <c r="E364" s="45"/>
      <c r="F364" s="45"/>
      <c r="G364" s="20"/>
    </row>
    <row r="365" spans="1:7" x14ac:dyDescent="0.25">
      <c r="A365" s="20"/>
      <c r="B365" s="20"/>
      <c r="C365" s="20"/>
      <c r="D365" s="37"/>
      <c r="E365" s="45"/>
      <c r="F365" s="45"/>
      <c r="G365" s="20"/>
    </row>
    <row r="366" spans="1:7" x14ac:dyDescent="0.25">
      <c r="A366" s="20"/>
      <c r="B366" s="20"/>
      <c r="C366" s="20"/>
      <c r="D366" s="37"/>
      <c r="E366" s="45"/>
      <c r="F366" s="45"/>
      <c r="G366" s="20"/>
    </row>
    <row r="367" spans="1:7" x14ac:dyDescent="0.25">
      <c r="A367" s="20"/>
      <c r="B367" s="20"/>
      <c r="C367" s="20"/>
      <c r="D367" s="37"/>
      <c r="E367" s="45"/>
      <c r="F367" s="45"/>
      <c r="G367" s="20"/>
    </row>
    <row r="368" spans="1:7" x14ac:dyDescent="0.25">
      <c r="A368" s="20"/>
      <c r="B368" s="20"/>
      <c r="C368" s="20"/>
      <c r="D368" s="37"/>
      <c r="E368" s="45"/>
      <c r="F368" s="45"/>
      <c r="G368" s="20"/>
    </row>
    <row r="369" spans="1:7" x14ac:dyDescent="0.25">
      <c r="A369" s="20"/>
      <c r="B369" s="20"/>
      <c r="C369" s="20"/>
      <c r="D369" s="37"/>
      <c r="E369" s="45"/>
      <c r="F369" s="45"/>
      <c r="G369" s="20"/>
    </row>
    <row r="370" spans="1:7" x14ac:dyDescent="0.25">
      <c r="A370" s="20"/>
      <c r="B370" s="20"/>
      <c r="C370" s="20"/>
      <c r="D370" s="37"/>
      <c r="E370" s="45"/>
      <c r="F370" s="45"/>
      <c r="G370" s="20"/>
    </row>
    <row r="371" spans="1:7" x14ac:dyDescent="0.25">
      <c r="A371" s="20"/>
      <c r="B371" s="20"/>
      <c r="C371" s="20"/>
      <c r="D371" s="37"/>
      <c r="E371" s="45"/>
      <c r="F371" s="45"/>
      <c r="G371" s="20"/>
    </row>
    <row r="372" spans="1:7" x14ac:dyDescent="0.25">
      <c r="A372" s="20"/>
      <c r="B372" s="20"/>
      <c r="C372" s="20"/>
      <c r="D372" s="37"/>
      <c r="E372" s="45"/>
      <c r="F372" s="45"/>
      <c r="G372" s="20"/>
    </row>
    <row r="373" spans="1:7" x14ac:dyDescent="0.25">
      <c r="A373" s="20"/>
      <c r="B373" s="20"/>
      <c r="C373" s="20"/>
      <c r="D373" s="37"/>
      <c r="E373" s="45"/>
      <c r="F373" s="45"/>
      <c r="G373" s="20"/>
    </row>
    <row r="374" spans="1:7" x14ac:dyDescent="0.25">
      <c r="A374" s="20"/>
      <c r="B374" s="20"/>
      <c r="C374" s="20"/>
      <c r="D374" s="37"/>
      <c r="E374" s="45"/>
      <c r="F374" s="45"/>
      <c r="G374" s="20"/>
    </row>
    <row r="375" spans="1:7" x14ac:dyDescent="0.25">
      <c r="A375" s="20"/>
      <c r="B375" s="20"/>
      <c r="C375" s="20"/>
      <c r="D375" s="37"/>
      <c r="E375" s="45"/>
      <c r="F375" s="45"/>
      <c r="G375" s="20"/>
    </row>
    <row r="376" spans="1:7" x14ac:dyDescent="0.25">
      <c r="A376" s="20"/>
      <c r="B376" s="20"/>
      <c r="C376" s="20"/>
      <c r="D376" s="37"/>
      <c r="E376" s="45"/>
      <c r="F376" s="45"/>
      <c r="G376" s="20"/>
    </row>
    <row r="377" spans="1:7" x14ac:dyDescent="0.25">
      <c r="A377" s="20"/>
      <c r="B377" s="20"/>
      <c r="C377" s="20"/>
      <c r="D377" s="37"/>
      <c r="E377" s="45"/>
      <c r="F377" s="45"/>
      <c r="G377" s="20"/>
    </row>
    <row r="378" spans="1:7" x14ac:dyDescent="0.25">
      <c r="A378" s="20"/>
      <c r="B378" s="20"/>
      <c r="C378" s="20"/>
      <c r="D378" s="37"/>
      <c r="E378" s="45"/>
      <c r="F378" s="45"/>
      <c r="G378" s="20"/>
    </row>
    <row r="379" spans="1:7" x14ac:dyDescent="0.25">
      <c r="A379" s="20"/>
      <c r="B379" s="20"/>
      <c r="C379" s="20"/>
      <c r="D379" s="37"/>
      <c r="E379" s="45"/>
      <c r="F379" s="45"/>
      <c r="G379" s="20"/>
    </row>
    <row r="380" spans="1:7" x14ac:dyDescent="0.25">
      <c r="A380" s="20"/>
      <c r="B380" s="20"/>
      <c r="C380" s="20"/>
      <c r="D380" s="37"/>
      <c r="E380" s="45"/>
      <c r="F380" s="45"/>
      <c r="G380" s="20"/>
    </row>
    <row r="381" spans="1:7" x14ac:dyDescent="0.25">
      <c r="A381" s="20"/>
      <c r="B381" s="20"/>
      <c r="C381" s="20"/>
      <c r="D381" s="37"/>
      <c r="E381" s="45"/>
      <c r="F381" s="45"/>
      <c r="G381" s="20"/>
    </row>
    <row r="382" spans="1:7" x14ac:dyDescent="0.25">
      <c r="A382" s="20"/>
      <c r="B382" s="20"/>
      <c r="C382" s="20"/>
      <c r="D382" s="37"/>
      <c r="E382" s="45"/>
      <c r="F382" s="45"/>
      <c r="G382" s="20"/>
    </row>
    <row r="383" spans="1:7" x14ac:dyDescent="0.25">
      <c r="A383" s="20"/>
      <c r="B383" s="20"/>
      <c r="C383" s="20"/>
      <c r="D383" s="37"/>
      <c r="E383" s="45"/>
      <c r="F383" s="45"/>
      <c r="G383" s="20"/>
    </row>
    <row r="384" spans="1:7" x14ac:dyDescent="0.25">
      <c r="A384" s="20"/>
      <c r="B384" s="20"/>
      <c r="C384" s="20"/>
      <c r="D384" s="37"/>
      <c r="E384" s="45"/>
      <c r="F384" s="45"/>
      <c r="G384" s="20"/>
    </row>
    <row r="385" spans="1:7" x14ac:dyDescent="0.25">
      <c r="A385" s="20"/>
      <c r="B385" s="20"/>
      <c r="C385" s="20"/>
      <c r="D385" s="37"/>
      <c r="E385" s="45"/>
      <c r="F385" s="45"/>
      <c r="G385" s="20"/>
    </row>
    <row r="386" spans="1:7" x14ac:dyDescent="0.25">
      <c r="A386" s="20"/>
      <c r="B386" s="20"/>
      <c r="C386" s="20"/>
      <c r="D386" s="37"/>
      <c r="E386" s="45"/>
      <c r="F386" s="45"/>
      <c r="G386" s="20"/>
    </row>
    <row r="387" spans="1:7" x14ac:dyDescent="0.25">
      <c r="A387" s="20"/>
      <c r="B387" s="20"/>
      <c r="C387" s="20"/>
      <c r="D387" s="37"/>
      <c r="E387" s="45"/>
      <c r="F387" s="45"/>
      <c r="G387" s="20"/>
    </row>
    <row r="388" spans="1:7" x14ac:dyDescent="0.25">
      <c r="A388" s="20"/>
      <c r="B388" s="20"/>
      <c r="C388" s="20"/>
      <c r="D388" s="37"/>
      <c r="E388" s="45"/>
      <c r="F388" s="45"/>
      <c r="G388" s="20"/>
    </row>
    <row r="389" spans="1:7" x14ac:dyDescent="0.25">
      <c r="A389" s="20"/>
      <c r="B389" s="20"/>
      <c r="C389" s="20"/>
      <c r="D389" s="37"/>
      <c r="E389" s="45"/>
      <c r="F389" s="45"/>
      <c r="G389" s="20"/>
    </row>
    <row r="390" spans="1:7" x14ac:dyDescent="0.25">
      <c r="A390" s="20"/>
      <c r="B390" s="20"/>
      <c r="C390" s="20"/>
      <c r="D390" s="37"/>
      <c r="E390" s="45"/>
      <c r="F390" s="45"/>
      <c r="G390" s="20"/>
    </row>
    <row r="391" spans="1:7" x14ac:dyDescent="0.25">
      <c r="A391" s="20"/>
      <c r="B391" s="20"/>
      <c r="C391" s="20"/>
      <c r="D391" s="37"/>
      <c r="E391" s="45"/>
      <c r="F391" s="45"/>
      <c r="G391" s="20"/>
    </row>
    <row r="392" spans="1:7" x14ac:dyDescent="0.25">
      <c r="A392" s="20"/>
      <c r="B392" s="20"/>
      <c r="C392" s="20"/>
      <c r="D392" s="37"/>
      <c r="E392" s="45"/>
      <c r="F392" s="45"/>
      <c r="G392" s="20"/>
    </row>
    <row r="393" spans="1:7" x14ac:dyDescent="0.25">
      <c r="A393" s="20"/>
      <c r="B393" s="20"/>
      <c r="C393" s="20"/>
      <c r="D393" s="37"/>
      <c r="E393" s="45"/>
      <c r="F393" s="45"/>
      <c r="G393" s="20"/>
    </row>
    <row r="394" spans="1:7" x14ac:dyDescent="0.25">
      <c r="A394" s="20"/>
      <c r="B394" s="20"/>
      <c r="C394" s="20"/>
      <c r="D394" s="37"/>
      <c r="E394" s="45"/>
      <c r="F394" s="45"/>
      <c r="G394" s="20"/>
    </row>
    <row r="395" spans="1:7" x14ac:dyDescent="0.25">
      <c r="A395" s="20"/>
      <c r="B395" s="20"/>
      <c r="C395" s="20"/>
      <c r="D395" s="37"/>
      <c r="E395" s="45"/>
      <c r="F395" s="45"/>
      <c r="G395" s="20"/>
    </row>
    <row r="396" spans="1:7" x14ac:dyDescent="0.25">
      <c r="A396" s="20"/>
      <c r="B396" s="20"/>
      <c r="C396" s="20"/>
      <c r="D396" s="37"/>
      <c r="E396" s="45"/>
      <c r="F396" s="45"/>
      <c r="G396" s="20"/>
    </row>
    <row r="397" spans="1:7" x14ac:dyDescent="0.25">
      <c r="A397" s="20"/>
      <c r="B397" s="20"/>
      <c r="C397" s="20"/>
      <c r="D397" s="37"/>
      <c r="E397" s="45"/>
      <c r="F397" s="45"/>
      <c r="G397" s="20"/>
    </row>
    <row r="398" spans="1:7" x14ac:dyDescent="0.25">
      <c r="A398" s="20"/>
      <c r="B398" s="20"/>
      <c r="C398" s="20"/>
      <c r="D398" s="37"/>
      <c r="E398" s="45"/>
      <c r="F398" s="45"/>
      <c r="G398" s="20"/>
    </row>
    <row r="399" spans="1:7" x14ac:dyDescent="0.25">
      <c r="A399" s="20"/>
      <c r="B399" s="20"/>
      <c r="C399" s="20"/>
      <c r="D399" s="37"/>
      <c r="E399" s="45"/>
      <c r="F399" s="45"/>
      <c r="G399" s="20"/>
    </row>
    <row r="400" spans="1:7" x14ac:dyDescent="0.25">
      <c r="A400" s="20"/>
      <c r="B400" s="20"/>
      <c r="C400" s="20"/>
      <c r="D400" s="37"/>
      <c r="E400" s="45"/>
      <c r="F400" s="45"/>
      <c r="G400" s="20"/>
    </row>
    <row r="401" spans="1:7" x14ac:dyDescent="0.25">
      <c r="A401" s="20"/>
      <c r="B401" s="20"/>
      <c r="C401" s="20"/>
      <c r="D401" s="37"/>
      <c r="E401" s="45"/>
      <c r="F401" s="45"/>
      <c r="G401" s="20"/>
    </row>
    <row r="402" spans="1:7" x14ac:dyDescent="0.25">
      <c r="A402" s="20"/>
      <c r="B402" s="20"/>
      <c r="C402" s="20"/>
      <c r="D402" s="37"/>
      <c r="E402" s="45"/>
      <c r="F402" s="45"/>
      <c r="G402" s="20"/>
    </row>
    <row r="403" spans="1:7" x14ac:dyDescent="0.25">
      <c r="A403" s="20"/>
      <c r="B403" s="20"/>
      <c r="C403" s="20"/>
      <c r="D403" s="37"/>
      <c r="E403" s="45"/>
      <c r="F403" s="45"/>
      <c r="G403" s="20"/>
    </row>
    <row r="404" spans="1:7" x14ac:dyDescent="0.25">
      <c r="A404" s="20"/>
      <c r="B404" s="20"/>
      <c r="C404" s="20"/>
      <c r="D404" s="37"/>
      <c r="E404" s="45"/>
      <c r="F404" s="45"/>
      <c r="G404" s="20"/>
    </row>
    <row r="405" spans="1:7" x14ac:dyDescent="0.25">
      <c r="A405" s="20"/>
      <c r="B405" s="20"/>
      <c r="C405" s="20"/>
      <c r="D405" s="37"/>
      <c r="E405" s="45"/>
      <c r="F405" s="45"/>
      <c r="G405" s="20"/>
    </row>
    <row r="406" spans="1:7" x14ac:dyDescent="0.25">
      <c r="A406" s="20"/>
      <c r="B406" s="20"/>
      <c r="C406" s="20"/>
      <c r="D406" s="37"/>
      <c r="E406" s="45"/>
      <c r="F406" s="45"/>
      <c r="G406" s="20"/>
    </row>
    <row r="407" spans="1:7" x14ac:dyDescent="0.25">
      <c r="A407" s="20"/>
      <c r="B407" s="20"/>
      <c r="C407" s="20"/>
      <c r="D407" s="37"/>
      <c r="E407" s="45"/>
      <c r="F407" s="45"/>
      <c r="G407" s="20"/>
    </row>
    <row r="408" spans="1:7" x14ac:dyDescent="0.25">
      <c r="A408" s="20"/>
      <c r="B408" s="20"/>
      <c r="C408" s="20"/>
      <c r="D408" s="37"/>
      <c r="E408" s="45"/>
      <c r="F408" s="45"/>
      <c r="G408" s="20"/>
    </row>
    <row r="409" spans="1:7" x14ac:dyDescent="0.25">
      <c r="A409" s="20"/>
      <c r="B409" s="20"/>
      <c r="C409" s="20"/>
      <c r="D409" s="37"/>
      <c r="E409" s="45"/>
      <c r="F409" s="45"/>
      <c r="G409" s="20"/>
    </row>
    <row r="410" spans="1:7" x14ac:dyDescent="0.25">
      <c r="A410" s="20"/>
      <c r="B410" s="20"/>
      <c r="C410" s="20"/>
      <c r="D410" s="37"/>
      <c r="E410" s="45"/>
      <c r="F410" s="45"/>
      <c r="G410" s="20"/>
    </row>
    <row r="411" spans="1:7" x14ac:dyDescent="0.25">
      <c r="A411" s="20"/>
      <c r="B411" s="20"/>
      <c r="C411" s="20"/>
      <c r="D411" s="37"/>
      <c r="E411" s="45"/>
      <c r="F411" s="45"/>
      <c r="G411" s="20"/>
    </row>
    <row r="412" spans="1:7" x14ac:dyDescent="0.25">
      <c r="A412" s="20"/>
      <c r="B412" s="20"/>
      <c r="C412" s="20"/>
      <c r="D412" s="37"/>
      <c r="E412" s="45"/>
      <c r="F412" s="45"/>
      <c r="G412" s="20"/>
    </row>
    <row r="413" spans="1:7" x14ac:dyDescent="0.25">
      <c r="A413" s="20"/>
      <c r="B413" s="20"/>
      <c r="C413" s="20"/>
      <c r="D413" s="37"/>
      <c r="E413" s="45"/>
      <c r="F413" s="45"/>
      <c r="G413" s="20"/>
    </row>
    <row r="414" spans="1:7" x14ac:dyDescent="0.25">
      <c r="A414" s="20"/>
      <c r="B414" s="20"/>
      <c r="C414" s="20"/>
      <c r="D414" s="37"/>
      <c r="E414" s="45"/>
      <c r="F414" s="45"/>
      <c r="G414" s="20"/>
    </row>
    <row r="415" spans="1:7" x14ac:dyDescent="0.25">
      <c r="A415" s="20"/>
      <c r="B415" s="20"/>
      <c r="C415" s="20"/>
      <c r="D415" s="37"/>
      <c r="E415" s="45"/>
      <c r="F415" s="45"/>
      <c r="G415" s="20"/>
    </row>
    <row r="416" spans="1:7" x14ac:dyDescent="0.25">
      <c r="A416" s="20"/>
      <c r="B416" s="20"/>
      <c r="C416" s="20"/>
      <c r="D416" s="37"/>
      <c r="E416" s="45"/>
      <c r="F416" s="45"/>
      <c r="G416" s="20"/>
    </row>
    <row r="417" spans="1:7" x14ac:dyDescent="0.25">
      <c r="A417" s="20"/>
      <c r="B417" s="20"/>
      <c r="C417" s="20"/>
      <c r="D417" s="37"/>
      <c r="E417" s="45"/>
      <c r="F417" s="45"/>
      <c r="G417" s="20"/>
    </row>
    <row r="418" spans="1:7" x14ac:dyDescent="0.25">
      <c r="A418" s="20"/>
      <c r="B418" s="20"/>
      <c r="C418" s="20"/>
      <c r="D418" s="37"/>
      <c r="E418" s="45"/>
      <c r="F418" s="45"/>
      <c r="G418" s="20"/>
    </row>
    <row r="419" spans="1:7" x14ac:dyDescent="0.25">
      <c r="A419" s="20"/>
      <c r="B419" s="20"/>
      <c r="C419" s="20"/>
      <c r="D419" s="37"/>
      <c r="E419" s="45"/>
      <c r="F419" s="45"/>
      <c r="G419" s="20"/>
    </row>
    <row r="420" spans="1:7" x14ac:dyDescent="0.25">
      <c r="A420" s="20"/>
      <c r="B420" s="20"/>
      <c r="C420" s="20"/>
      <c r="D420" s="37"/>
      <c r="E420" s="45"/>
      <c r="F420" s="45"/>
      <c r="G420" s="20"/>
    </row>
    <row r="421" spans="1:7" x14ac:dyDescent="0.25">
      <c r="A421" s="20"/>
      <c r="B421" s="20"/>
      <c r="C421" s="20"/>
      <c r="D421" s="37"/>
      <c r="E421" s="45"/>
      <c r="F421" s="45"/>
      <c r="G421" s="20"/>
    </row>
    <row r="422" spans="1:7" x14ac:dyDescent="0.25">
      <c r="A422" s="20"/>
      <c r="B422" s="20"/>
      <c r="C422" s="20"/>
      <c r="D422" s="37"/>
      <c r="E422" s="45"/>
      <c r="F422" s="45"/>
      <c r="G422" s="20"/>
    </row>
    <row r="423" spans="1:7" x14ac:dyDescent="0.25">
      <c r="A423" s="20"/>
      <c r="B423" s="20"/>
      <c r="C423" s="20"/>
      <c r="D423" s="37"/>
      <c r="E423" s="45"/>
      <c r="F423" s="45"/>
      <c r="G423" s="20"/>
    </row>
    <row r="424" spans="1:7" x14ac:dyDescent="0.25">
      <c r="A424" s="20"/>
      <c r="B424" s="20"/>
      <c r="C424" s="20"/>
      <c r="D424" s="37"/>
      <c r="E424" s="45"/>
      <c r="F424" s="45"/>
      <c r="G424" s="20"/>
    </row>
    <row r="425" spans="1:7" x14ac:dyDescent="0.25">
      <c r="A425" s="20"/>
      <c r="B425" s="20"/>
      <c r="C425" s="20"/>
      <c r="D425" s="37"/>
      <c r="E425" s="45"/>
      <c r="F425" s="45"/>
      <c r="G425" s="20"/>
    </row>
    <row r="426" spans="1:7" x14ac:dyDescent="0.25">
      <c r="A426" s="20"/>
      <c r="B426" s="20"/>
      <c r="C426" s="20"/>
      <c r="D426" s="37"/>
      <c r="E426" s="45"/>
      <c r="F426" s="45"/>
      <c r="G426" s="20"/>
    </row>
    <row r="427" spans="1:7" x14ac:dyDescent="0.25">
      <c r="A427" s="20"/>
      <c r="B427" s="20"/>
      <c r="C427" s="20"/>
      <c r="D427" s="37"/>
      <c r="E427" s="45"/>
      <c r="F427" s="45"/>
      <c r="G427" s="20"/>
    </row>
    <row r="428" spans="1:7" x14ac:dyDescent="0.25">
      <c r="A428" s="20"/>
      <c r="B428" s="20"/>
      <c r="C428" s="20"/>
      <c r="D428" s="37"/>
      <c r="E428" s="45"/>
      <c r="F428" s="45"/>
      <c r="G428" s="20"/>
    </row>
    <row r="429" spans="1:7" x14ac:dyDescent="0.25">
      <c r="A429" s="20"/>
      <c r="B429" s="20"/>
      <c r="C429" s="20"/>
      <c r="D429" s="37"/>
      <c r="E429" s="45"/>
      <c r="F429" s="45"/>
      <c r="G429" s="20"/>
    </row>
    <row r="430" spans="1:7" x14ac:dyDescent="0.25">
      <c r="A430" s="20"/>
      <c r="B430" s="20"/>
      <c r="C430" s="20"/>
      <c r="D430" s="37"/>
      <c r="E430" s="45"/>
      <c r="F430" s="45"/>
      <c r="G430" s="20"/>
    </row>
    <row r="431" spans="1:7" x14ac:dyDescent="0.25">
      <c r="A431" s="20"/>
      <c r="B431" s="20"/>
      <c r="C431" s="20"/>
      <c r="D431" s="37"/>
      <c r="E431" s="45"/>
      <c r="F431" s="45"/>
      <c r="G431" s="20"/>
    </row>
    <row r="432" spans="1:7" x14ac:dyDescent="0.25">
      <c r="A432" s="20"/>
      <c r="B432" s="20"/>
      <c r="C432" s="20"/>
      <c r="D432" s="37"/>
      <c r="E432" s="45"/>
      <c r="F432" s="45"/>
      <c r="G432" s="20"/>
    </row>
    <row r="433" spans="1:7" x14ac:dyDescent="0.25">
      <c r="A433" s="20"/>
      <c r="B433" s="20"/>
      <c r="C433" s="20"/>
      <c r="D433" s="37"/>
      <c r="E433" s="45"/>
      <c r="F433" s="45"/>
      <c r="G433" s="20"/>
    </row>
    <row r="434" spans="1:7" x14ac:dyDescent="0.25">
      <c r="A434" s="20"/>
      <c r="B434" s="20"/>
      <c r="C434" s="20"/>
      <c r="D434" s="37"/>
      <c r="E434" s="45"/>
      <c r="F434" s="45"/>
      <c r="G434" s="20"/>
    </row>
    <row r="435" spans="1:7" x14ac:dyDescent="0.25">
      <c r="A435" s="20"/>
      <c r="B435" s="20"/>
      <c r="C435" s="20"/>
      <c r="D435" s="37"/>
      <c r="E435" s="45"/>
      <c r="F435" s="45"/>
      <c r="G435" s="20"/>
    </row>
    <row r="436" spans="1:7" x14ac:dyDescent="0.25">
      <c r="A436" s="20"/>
      <c r="B436" s="20"/>
      <c r="C436" s="20"/>
      <c r="D436" s="37"/>
      <c r="E436" s="45"/>
      <c r="F436" s="45"/>
      <c r="G436" s="20"/>
    </row>
    <row r="437" spans="1:7" x14ac:dyDescent="0.25">
      <c r="A437" s="20"/>
      <c r="B437" s="20"/>
      <c r="C437" s="20"/>
      <c r="D437" s="37"/>
      <c r="E437" s="45"/>
      <c r="F437" s="45"/>
      <c r="G437" s="20"/>
    </row>
    <row r="438" spans="1:7" x14ac:dyDescent="0.25">
      <c r="A438" s="20"/>
      <c r="B438" s="20"/>
      <c r="C438" s="20"/>
      <c r="D438" s="37"/>
      <c r="E438" s="45"/>
      <c r="F438" s="45"/>
      <c r="G438" s="20"/>
    </row>
    <row r="439" spans="1:7" x14ac:dyDescent="0.25">
      <c r="A439" s="20"/>
      <c r="B439" s="20"/>
      <c r="C439" s="20"/>
      <c r="D439" s="37"/>
      <c r="E439" s="45"/>
      <c r="F439" s="45"/>
      <c r="G439" s="20"/>
    </row>
    <row r="440" spans="1:7" x14ac:dyDescent="0.25">
      <c r="A440" s="20"/>
      <c r="B440" s="20"/>
      <c r="C440" s="20"/>
      <c r="D440" s="37"/>
      <c r="E440" s="45"/>
      <c r="F440" s="45"/>
      <c r="G440" s="20"/>
    </row>
    <row r="441" spans="1:7" x14ac:dyDescent="0.25">
      <c r="A441" s="20"/>
      <c r="B441" s="20"/>
      <c r="C441" s="20"/>
      <c r="D441" s="37"/>
      <c r="E441" s="45"/>
      <c r="F441" s="45"/>
      <c r="G441" s="20"/>
    </row>
    <row r="442" spans="1:7" x14ac:dyDescent="0.25">
      <c r="A442" s="20"/>
      <c r="B442" s="20"/>
      <c r="C442" s="20"/>
      <c r="D442" s="37"/>
      <c r="E442" s="45"/>
      <c r="F442" s="45"/>
      <c r="G442" s="20"/>
    </row>
    <row r="443" spans="1:7" x14ac:dyDescent="0.25">
      <c r="A443" s="20"/>
      <c r="B443" s="20"/>
      <c r="C443" s="20"/>
      <c r="D443" s="37"/>
      <c r="E443" s="45"/>
      <c r="F443" s="45"/>
      <c r="G443" s="20"/>
    </row>
    <row r="444" spans="1:7" x14ac:dyDescent="0.25">
      <c r="A444" s="20"/>
      <c r="B444" s="20"/>
      <c r="C444" s="20"/>
      <c r="D444" s="37"/>
      <c r="E444" s="45"/>
      <c r="F444" s="45"/>
      <c r="G444" s="20"/>
    </row>
    <row r="445" spans="1:7" x14ac:dyDescent="0.25">
      <c r="A445" s="20"/>
      <c r="B445" s="20"/>
      <c r="C445" s="20"/>
      <c r="D445" s="37"/>
      <c r="E445" s="45"/>
      <c r="F445" s="45"/>
      <c r="G445" s="20"/>
    </row>
    <row r="446" spans="1:7" x14ac:dyDescent="0.25">
      <c r="A446" s="20"/>
      <c r="B446" s="20"/>
      <c r="C446" s="20"/>
      <c r="D446" s="37"/>
      <c r="E446" s="45"/>
      <c r="F446" s="45"/>
      <c r="G446" s="20"/>
    </row>
    <row r="447" spans="1:7" x14ac:dyDescent="0.25">
      <c r="A447" s="20"/>
      <c r="B447" s="20"/>
      <c r="C447" s="20"/>
      <c r="D447" s="37"/>
      <c r="E447" s="45"/>
      <c r="F447" s="45"/>
      <c r="G447" s="20"/>
    </row>
    <row r="448" spans="1:7" x14ac:dyDescent="0.25">
      <c r="A448" s="20"/>
      <c r="B448" s="20"/>
      <c r="C448" s="20"/>
      <c r="D448" s="37"/>
      <c r="E448" s="45"/>
      <c r="F448" s="45"/>
      <c r="G448" s="20"/>
    </row>
    <row r="449" spans="1:7" x14ac:dyDescent="0.25">
      <c r="A449" s="20"/>
      <c r="B449" s="20"/>
      <c r="C449" s="20"/>
      <c r="D449" s="37"/>
      <c r="E449" s="45"/>
      <c r="F449" s="45"/>
      <c r="G449" s="20"/>
    </row>
    <row r="450" spans="1:7" x14ac:dyDescent="0.25">
      <c r="A450" s="20"/>
      <c r="B450" s="20"/>
      <c r="C450" s="20"/>
      <c r="D450" s="37"/>
      <c r="E450" s="45"/>
      <c r="F450" s="45"/>
      <c r="G450" s="20"/>
    </row>
    <row r="451" spans="1:7" x14ac:dyDescent="0.25">
      <c r="A451" s="20"/>
      <c r="B451" s="20"/>
      <c r="C451" s="20"/>
      <c r="D451" s="37"/>
      <c r="E451" s="45"/>
      <c r="F451" s="45"/>
      <c r="G451" s="20"/>
    </row>
    <row r="452" spans="1:7" x14ac:dyDescent="0.25">
      <c r="A452" s="20"/>
      <c r="B452" s="20"/>
      <c r="C452" s="20"/>
      <c r="D452" s="37"/>
      <c r="E452" s="45"/>
      <c r="F452" s="45"/>
      <c r="G452" s="20"/>
    </row>
    <row r="453" spans="1:7" x14ac:dyDescent="0.25">
      <c r="A453" s="20"/>
      <c r="B453" s="20"/>
      <c r="C453" s="20"/>
      <c r="D453" s="37"/>
      <c r="E453" s="45"/>
      <c r="F453" s="45"/>
      <c r="G453" s="20"/>
    </row>
    <row r="454" spans="1:7" x14ac:dyDescent="0.25">
      <c r="A454" s="20"/>
      <c r="B454" s="20"/>
      <c r="C454" s="20"/>
      <c r="D454" s="37"/>
      <c r="E454" s="45"/>
      <c r="F454" s="45"/>
      <c r="G454" s="20"/>
    </row>
    <row r="455" spans="1:7" x14ac:dyDescent="0.25">
      <c r="A455" s="20"/>
      <c r="B455" s="20"/>
      <c r="C455" s="20"/>
      <c r="D455" s="37"/>
      <c r="E455" s="45"/>
      <c r="F455" s="45"/>
      <c r="G455" s="20"/>
    </row>
    <row r="456" spans="1:7" x14ac:dyDescent="0.25">
      <c r="A456" s="20"/>
      <c r="B456" s="20"/>
      <c r="C456" s="20"/>
      <c r="D456" s="37"/>
      <c r="E456" s="45"/>
      <c r="F456" s="45"/>
      <c r="G456" s="20"/>
    </row>
    <row r="457" spans="1:7" x14ac:dyDescent="0.25">
      <c r="A457" s="20"/>
      <c r="B457" s="20"/>
      <c r="C457" s="20"/>
      <c r="D457" s="37"/>
      <c r="E457" s="45"/>
      <c r="F457" s="45"/>
      <c r="G457" s="20"/>
    </row>
    <row r="458" spans="1:7" x14ac:dyDescent="0.25">
      <c r="A458" s="20"/>
      <c r="B458" s="20"/>
      <c r="C458" s="20"/>
      <c r="D458" s="37"/>
      <c r="E458" s="45"/>
      <c r="F458" s="45"/>
      <c r="G458" s="20"/>
    </row>
    <row r="459" spans="1:7" x14ac:dyDescent="0.25">
      <c r="A459" s="20"/>
      <c r="B459" s="20"/>
      <c r="C459" s="20"/>
      <c r="D459" s="37"/>
      <c r="E459" s="45"/>
      <c r="F459" s="45"/>
      <c r="G459" s="20"/>
    </row>
    <row r="460" spans="1:7" x14ac:dyDescent="0.25">
      <c r="A460" s="20"/>
      <c r="B460" s="20"/>
      <c r="C460" s="20"/>
      <c r="D460" s="37"/>
      <c r="E460" s="45"/>
      <c r="F460" s="45"/>
      <c r="G460" s="20"/>
    </row>
    <row r="461" spans="1:7" x14ac:dyDescent="0.25">
      <c r="A461" s="20"/>
      <c r="B461" s="20"/>
      <c r="C461" s="20"/>
      <c r="D461" s="37"/>
      <c r="E461" s="45"/>
      <c r="F461" s="45"/>
      <c r="G461" s="20"/>
    </row>
    <row r="462" spans="1:7" x14ac:dyDescent="0.25">
      <c r="A462" s="20"/>
      <c r="B462" s="20"/>
      <c r="C462" s="20"/>
      <c r="D462" s="37"/>
      <c r="E462" s="45"/>
      <c r="F462" s="45"/>
      <c r="G462" s="20"/>
    </row>
    <row r="463" spans="1:7" x14ac:dyDescent="0.25">
      <c r="A463" s="20"/>
      <c r="B463" s="20"/>
      <c r="C463" s="20"/>
      <c r="D463" s="37"/>
      <c r="E463" s="45"/>
      <c r="F463" s="45"/>
      <c r="G463" s="20"/>
    </row>
    <row r="464" spans="1:7" x14ac:dyDescent="0.25">
      <c r="A464" s="20"/>
      <c r="B464" s="20"/>
      <c r="C464" s="20"/>
      <c r="D464" s="37"/>
      <c r="E464" s="45"/>
      <c r="F464" s="45"/>
      <c r="G464" s="20"/>
    </row>
    <row r="465" spans="1:7" x14ac:dyDescent="0.25">
      <c r="A465" s="20"/>
      <c r="B465" s="20"/>
      <c r="C465" s="20"/>
      <c r="D465" s="37"/>
      <c r="E465" s="45"/>
      <c r="F465" s="45"/>
      <c r="G465" s="20"/>
    </row>
    <row r="466" spans="1:7" x14ac:dyDescent="0.25">
      <c r="A466" s="20"/>
      <c r="B466" s="20"/>
      <c r="C466" s="20"/>
      <c r="D466" s="37"/>
      <c r="E466" s="45"/>
      <c r="F466" s="45"/>
      <c r="G466" s="20"/>
    </row>
    <row r="467" spans="1:7" x14ac:dyDescent="0.25">
      <c r="A467" s="20"/>
      <c r="B467" s="20"/>
      <c r="C467" s="20"/>
      <c r="D467" s="37"/>
      <c r="E467" s="45"/>
      <c r="F467" s="45"/>
      <c r="G467" s="20"/>
    </row>
    <row r="468" spans="1:7" x14ac:dyDescent="0.25">
      <c r="A468" s="20"/>
      <c r="B468" s="20"/>
      <c r="C468" s="20"/>
      <c r="D468" s="37"/>
      <c r="E468" s="45"/>
      <c r="F468" s="45"/>
      <c r="G468" s="20"/>
    </row>
    <row r="469" spans="1:7" x14ac:dyDescent="0.25">
      <c r="A469" s="20"/>
      <c r="B469" s="20"/>
      <c r="C469" s="20"/>
      <c r="D469" s="37"/>
      <c r="E469" s="45"/>
      <c r="F469" s="45"/>
      <c r="G469" s="20"/>
    </row>
    <row r="470" spans="1:7" x14ac:dyDescent="0.25">
      <c r="A470" s="20"/>
      <c r="B470" s="20"/>
      <c r="C470" s="20"/>
      <c r="D470" s="37"/>
      <c r="E470" s="45"/>
      <c r="F470" s="45"/>
      <c r="G470" s="20"/>
    </row>
    <row r="471" spans="1:7" x14ac:dyDescent="0.25">
      <c r="A471" s="20"/>
      <c r="B471" s="20"/>
      <c r="C471" s="20"/>
      <c r="D471" s="37"/>
      <c r="E471" s="45"/>
      <c r="F471" s="45"/>
      <c r="G471" s="20"/>
    </row>
    <row r="472" spans="1:7" x14ac:dyDescent="0.25">
      <c r="A472" s="20"/>
      <c r="B472" s="20"/>
      <c r="C472" s="20"/>
      <c r="D472" s="37"/>
      <c r="E472" s="45"/>
      <c r="F472" s="45"/>
      <c r="G472" s="20"/>
    </row>
    <row r="473" spans="1:7" x14ac:dyDescent="0.25">
      <c r="A473" s="20"/>
      <c r="B473" s="20"/>
      <c r="C473" s="20"/>
      <c r="D473" s="37"/>
      <c r="E473" s="45"/>
      <c r="F473" s="45"/>
      <c r="G473" s="20"/>
    </row>
    <row r="474" spans="1:7" x14ac:dyDescent="0.25">
      <c r="A474" s="20"/>
      <c r="B474" s="20"/>
      <c r="C474" s="20"/>
      <c r="D474" s="37"/>
      <c r="E474" s="45"/>
      <c r="F474" s="45"/>
      <c r="G474" s="20"/>
    </row>
    <row r="475" spans="1:7" x14ac:dyDescent="0.25">
      <c r="A475" s="20"/>
      <c r="B475" s="20"/>
      <c r="C475" s="20"/>
      <c r="D475" s="37"/>
      <c r="E475" s="45"/>
      <c r="F475" s="45"/>
      <c r="G475" s="20"/>
    </row>
    <row r="476" spans="1:7" x14ac:dyDescent="0.25">
      <c r="A476" s="20"/>
      <c r="B476" s="20"/>
      <c r="C476" s="20"/>
      <c r="D476" s="37"/>
      <c r="E476" s="45"/>
      <c r="F476" s="45"/>
      <c r="G476" s="20"/>
    </row>
    <row r="477" spans="1:7" x14ac:dyDescent="0.25">
      <c r="A477" s="20"/>
      <c r="B477" s="20"/>
      <c r="C477" s="20"/>
      <c r="D477" s="37"/>
      <c r="E477" s="45"/>
      <c r="F477" s="45"/>
      <c r="G477" s="20"/>
    </row>
    <row r="478" spans="1:7" x14ac:dyDescent="0.25">
      <c r="A478" s="20"/>
      <c r="B478" s="20"/>
      <c r="C478" s="20"/>
      <c r="D478" s="37"/>
      <c r="E478" s="45"/>
      <c r="F478" s="45"/>
      <c r="G478" s="20"/>
    </row>
    <row r="479" spans="1:7" x14ac:dyDescent="0.25">
      <c r="A479" s="20"/>
      <c r="B479" s="20"/>
      <c r="C479" s="20"/>
      <c r="D479" s="37"/>
      <c r="E479" s="45"/>
      <c r="F479" s="45"/>
      <c r="G479" s="20"/>
    </row>
    <row r="480" spans="1:7" x14ac:dyDescent="0.25">
      <c r="A480" s="20"/>
      <c r="B480" s="20"/>
      <c r="C480" s="20"/>
      <c r="D480" s="37"/>
      <c r="E480" s="45"/>
      <c r="F480" s="45"/>
      <c r="G480" s="20"/>
    </row>
    <row r="481" spans="1:7" x14ac:dyDescent="0.25">
      <c r="A481" s="20"/>
      <c r="B481" s="20"/>
      <c r="C481" s="20"/>
      <c r="D481" s="37"/>
      <c r="E481" s="45"/>
      <c r="F481" s="45"/>
      <c r="G481" s="20"/>
    </row>
    <row r="482" spans="1:7" x14ac:dyDescent="0.25">
      <c r="A482" s="20"/>
      <c r="B482" s="20"/>
      <c r="C482" s="20"/>
      <c r="D482" s="37"/>
      <c r="E482" s="45"/>
      <c r="F482" s="45"/>
      <c r="G482" s="20"/>
    </row>
    <row r="483" spans="1:7" x14ac:dyDescent="0.25">
      <c r="A483" s="20"/>
      <c r="B483" s="20"/>
      <c r="C483" s="20"/>
      <c r="D483" s="37"/>
      <c r="E483" s="45"/>
      <c r="F483" s="45"/>
      <c r="G483" s="20"/>
    </row>
    <row r="484" spans="1:7" x14ac:dyDescent="0.25">
      <c r="A484" s="20"/>
      <c r="B484" s="20"/>
      <c r="C484" s="20"/>
      <c r="D484" s="37"/>
      <c r="E484" s="45"/>
      <c r="F484" s="45"/>
      <c r="G484" s="20"/>
    </row>
    <row r="485" spans="1:7" x14ac:dyDescent="0.25">
      <c r="A485" s="20"/>
      <c r="B485" s="20"/>
      <c r="C485" s="20"/>
      <c r="D485" s="37"/>
      <c r="E485" s="45"/>
      <c r="F485" s="45"/>
      <c r="G485" s="20"/>
    </row>
    <row r="486" spans="1:7" x14ac:dyDescent="0.25">
      <c r="A486" s="20"/>
      <c r="B486" s="20"/>
      <c r="C486" s="20"/>
      <c r="D486" s="37"/>
      <c r="E486" s="45"/>
      <c r="F486" s="45"/>
      <c r="G486" s="20"/>
    </row>
    <row r="487" spans="1:7" x14ac:dyDescent="0.25">
      <c r="A487" s="20"/>
      <c r="B487" s="20"/>
      <c r="C487" s="20"/>
      <c r="D487" s="37"/>
      <c r="E487" s="45"/>
      <c r="F487" s="45"/>
      <c r="G487" s="20"/>
    </row>
    <row r="488" spans="1:7" x14ac:dyDescent="0.25">
      <c r="A488" s="20"/>
      <c r="B488" s="20"/>
      <c r="C488" s="20"/>
      <c r="D488" s="37"/>
      <c r="E488" s="45"/>
      <c r="F488" s="45"/>
      <c r="G488" s="20"/>
    </row>
    <row r="489" spans="1:7" x14ac:dyDescent="0.25">
      <c r="A489" s="20"/>
      <c r="B489" s="20"/>
      <c r="C489" s="20"/>
      <c r="D489" s="37"/>
      <c r="E489" s="45"/>
      <c r="F489" s="45"/>
      <c r="G489" s="20"/>
    </row>
    <row r="490" spans="1:7" x14ac:dyDescent="0.25">
      <c r="A490" s="20"/>
      <c r="B490" s="20"/>
      <c r="C490" s="20"/>
      <c r="D490" s="37"/>
      <c r="E490" s="45"/>
      <c r="F490" s="45"/>
      <c r="G490" s="20"/>
    </row>
    <row r="491" spans="1:7" x14ac:dyDescent="0.25">
      <c r="A491" s="20"/>
      <c r="B491" s="20"/>
      <c r="C491" s="20"/>
      <c r="D491" s="37"/>
      <c r="E491" s="45"/>
      <c r="F491" s="45"/>
      <c r="G491" s="20"/>
    </row>
    <row r="492" spans="1:7" x14ac:dyDescent="0.25">
      <c r="A492" s="20"/>
      <c r="B492" s="20"/>
      <c r="C492" s="20"/>
      <c r="D492" s="37"/>
      <c r="E492" s="45"/>
      <c r="F492" s="45"/>
      <c r="G492" s="20"/>
    </row>
    <row r="493" spans="1:7" x14ac:dyDescent="0.25">
      <c r="A493" s="20"/>
      <c r="B493" s="20"/>
      <c r="C493" s="20"/>
      <c r="D493" s="37"/>
      <c r="E493" s="45"/>
      <c r="F493" s="45"/>
      <c r="G493" s="20"/>
    </row>
    <row r="494" spans="1:7" x14ac:dyDescent="0.25">
      <c r="A494" s="20"/>
      <c r="B494" s="20"/>
      <c r="C494" s="20"/>
      <c r="D494" s="37"/>
      <c r="E494" s="45"/>
      <c r="F494" s="45"/>
      <c r="G494" s="20"/>
    </row>
    <row r="495" spans="1:7" x14ac:dyDescent="0.25">
      <c r="A495" s="20"/>
      <c r="B495" s="20"/>
      <c r="C495" s="20"/>
      <c r="D495" s="37"/>
      <c r="E495" s="45"/>
      <c r="F495" s="45"/>
      <c r="G495" s="20"/>
    </row>
    <row r="496" spans="1:7" x14ac:dyDescent="0.25">
      <c r="A496" s="20"/>
      <c r="B496" s="20"/>
      <c r="C496" s="20"/>
      <c r="D496" s="37"/>
      <c r="E496" s="45"/>
      <c r="F496" s="45"/>
      <c r="G496" s="20"/>
    </row>
    <row r="497" spans="1:7" x14ac:dyDescent="0.25">
      <c r="A497" s="20"/>
      <c r="B497" s="20"/>
      <c r="C497" s="20"/>
      <c r="D497" s="37"/>
      <c r="E497" s="45"/>
      <c r="F497" s="45"/>
      <c r="G497" s="20"/>
    </row>
    <row r="498" spans="1:7" x14ac:dyDescent="0.25">
      <c r="A498" s="20"/>
      <c r="B498" s="20"/>
      <c r="C498" s="20"/>
      <c r="D498" s="37"/>
      <c r="E498" s="45"/>
      <c r="F498" s="45"/>
      <c r="G498" s="20"/>
    </row>
    <row r="499" spans="1:7" x14ac:dyDescent="0.25">
      <c r="A499" s="20"/>
      <c r="B499" s="20"/>
      <c r="C499" s="20"/>
      <c r="D499" s="37"/>
      <c r="E499" s="45"/>
      <c r="F499" s="45"/>
      <c r="G499" s="20"/>
    </row>
    <row r="500" spans="1:7" x14ac:dyDescent="0.25">
      <c r="A500" s="20"/>
      <c r="B500" s="20"/>
      <c r="C500" s="20"/>
      <c r="D500" s="37"/>
      <c r="E500" s="45"/>
      <c r="F500" s="45"/>
      <c r="G500" s="20"/>
    </row>
    <row r="501" spans="1:7" x14ac:dyDescent="0.25">
      <c r="A501" s="20"/>
      <c r="B501" s="20"/>
      <c r="C501" s="20"/>
      <c r="D501" s="37"/>
      <c r="E501" s="45"/>
      <c r="F501" s="45"/>
      <c r="G501" s="20"/>
    </row>
    <row r="502" spans="1:7" x14ac:dyDescent="0.25">
      <c r="A502" s="20"/>
      <c r="B502" s="20"/>
      <c r="C502" s="20"/>
      <c r="D502" s="37"/>
      <c r="E502" s="45"/>
      <c r="F502" s="45"/>
      <c r="G502" s="20"/>
    </row>
    <row r="503" spans="1:7" x14ac:dyDescent="0.25">
      <c r="A503" s="20"/>
      <c r="B503" s="20"/>
      <c r="C503" s="20"/>
      <c r="D503" s="37"/>
      <c r="E503" s="45"/>
      <c r="F503" s="45"/>
      <c r="G503" s="20"/>
    </row>
    <row r="504" spans="1:7" x14ac:dyDescent="0.25">
      <c r="A504" s="20"/>
      <c r="B504" s="20"/>
      <c r="C504" s="20"/>
      <c r="D504" s="37"/>
      <c r="E504" s="45"/>
      <c r="F504" s="45"/>
      <c r="G504" s="20"/>
    </row>
    <row r="505" spans="1:7" x14ac:dyDescent="0.25">
      <c r="A505" s="20"/>
      <c r="B505" s="20"/>
      <c r="C505" s="20"/>
      <c r="D505" s="37"/>
      <c r="E505" s="45"/>
      <c r="F505" s="45"/>
      <c r="G505" s="20"/>
    </row>
    <row r="506" spans="1:7" x14ac:dyDescent="0.25">
      <c r="A506" s="20"/>
      <c r="B506" s="20"/>
      <c r="C506" s="20"/>
      <c r="D506" s="37"/>
      <c r="E506" s="45"/>
      <c r="F506" s="45"/>
      <c r="G506" s="20"/>
    </row>
    <row r="507" spans="1:7" x14ac:dyDescent="0.25">
      <c r="A507" s="20"/>
      <c r="B507" s="20"/>
      <c r="C507" s="20"/>
      <c r="D507" s="37"/>
      <c r="E507" s="45"/>
      <c r="F507" s="45"/>
      <c r="G507" s="20"/>
    </row>
    <row r="508" spans="1:7" x14ac:dyDescent="0.25">
      <c r="A508" s="20"/>
      <c r="B508" s="20"/>
      <c r="C508" s="20"/>
      <c r="D508" s="37"/>
      <c r="E508" s="45"/>
      <c r="F508" s="45"/>
      <c r="G508" s="20"/>
    </row>
    <row r="509" spans="1:7" x14ac:dyDescent="0.25">
      <c r="A509" s="20"/>
      <c r="B509" s="20"/>
      <c r="C509" s="20"/>
      <c r="D509" s="37"/>
      <c r="E509" s="45"/>
      <c r="F509" s="45"/>
      <c r="G509" s="20"/>
    </row>
    <row r="510" spans="1:7" x14ac:dyDescent="0.25">
      <c r="A510" s="20"/>
      <c r="B510" s="20"/>
      <c r="C510" s="20"/>
      <c r="D510" s="37"/>
      <c r="E510" s="45"/>
      <c r="F510" s="45"/>
      <c r="G510" s="20"/>
    </row>
    <row r="511" spans="1:7" x14ac:dyDescent="0.25">
      <c r="A511" s="20"/>
      <c r="B511" s="20"/>
      <c r="C511" s="20"/>
      <c r="D511" s="37"/>
      <c r="E511" s="45"/>
      <c r="F511" s="45"/>
      <c r="G511" s="20"/>
    </row>
    <row r="512" spans="1:7" x14ac:dyDescent="0.25">
      <c r="A512" s="20"/>
      <c r="B512" s="20"/>
      <c r="C512" s="20"/>
      <c r="D512" s="37"/>
      <c r="E512" s="45"/>
      <c r="F512" s="45"/>
      <c r="G512" s="20"/>
    </row>
    <row r="513" spans="1:7" x14ac:dyDescent="0.25">
      <c r="A513" s="20"/>
      <c r="B513" s="20"/>
      <c r="C513" s="20"/>
      <c r="D513" s="37"/>
      <c r="E513" s="45"/>
      <c r="F513" s="45"/>
      <c r="G513" s="20"/>
    </row>
    <row r="514" spans="1:7" x14ac:dyDescent="0.25">
      <c r="A514" s="20"/>
      <c r="B514" s="20"/>
      <c r="C514" s="20"/>
      <c r="D514" s="37"/>
      <c r="E514" s="45"/>
      <c r="F514" s="45"/>
      <c r="G514" s="20"/>
    </row>
    <row r="515" spans="1:7" x14ac:dyDescent="0.25">
      <c r="A515" s="20"/>
      <c r="B515" s="20"/>
      <c r="C515" s="20"/>
      <c r="D515" s="37"/>
      <c r="E515" s="45"/>
      <c r="F515" s="45"/>
      <c r="G515" s="20"/>
    </row>
    <row r="516" spans="1:7" x14ac:dyDescent="0.25">
      <c r="A516" s="20"/>
      <c r="B516" s="20"/>
      <c r="C516" s="20"/>
      <c r="D516" s="37"/>
      <c r="E516" s="45"/>
      <c r="F516" s="45"/>
      <c r="G516" s="20"/>
    </row>
    <row r="517" spans="1:7" x14ac:dyDescent="0.25">
      <c r="A517" s="20"/>
      <c r="B517" s="20"/>
      <c r="C517" s="20"/>
      <c r="D517" s="37"/>
      <c r="E517" s="45"/>
      <c r="F517" s="45"/>
      <c r="G517" s="20"/>
    </row>
    <row r="518" spans="1:7" x14ac:dyDescent="0.25">
      <c r="A518" s="20"/>
      <c r="B518" s="20"/>
      <c r="C518" s="20"/>
      <c r="D518" s="37"/>
      <c r="E518" s="45"/>
      <c r="F518" s="45"/>
      <c r="G518" s="20"/>
    </row>
    <row r="519" spans="1:7" x14ac:dyDescent="0.25">
      <c r="A519" s="20"/>
      <c r="B519" s="20"/>
      <c r="C519" s="20"/>
      <c r="D519" s="37"/>
      <c r="E519" s="45"/>
      <c r="F519" s="45"/>
      <c r="G519" s="20"/>
    </row>
    <row r="520" spans="1:7" x14ac:dyDescent="0.25">
      <c r="A520" s="20"/>
      <c r="B520" s="20"/>
      <c r="C520" s="20"/>
      <c r="D520" s="37"/>
      <c r="E520" s="45"/>
      <c r="F520" s="45"/>
      <c r="G520" s="20"/>
    </row>
    <row r="521" spans="1:7" x14ac:dyDescent="0.25">
      <c r="A521" s="20"/>
      <c r="B521" s="20"/>
      <c r="C521" s="20"/>
      <c r="D521" s="37"/>
      <c r="E521" s="45"/>
      <c r="F521" s="45"/>
      <c r="G521" s="20"/>
    </row>
    <row r="522" spans="1:7" x14ac:dyDescent="0.25">
      <c r="A522" s="20"/>
      <c r="B522" s="20"/>
      <c r="C522" s="20"/>
      <c r="D522" s="37"/>
      <c r="E522" s="45"/>
      <c r="F522" s="45"/>
      <c r="G522" s="20"/>
    </row>
    <row r="523" spans="1:7" x14ac:dyDescent="0.25">
      <c r="A523" s="20"/>
      <c r="B523" s="20"/>
      <c r="C523" s="20"/>
      <c r="D523" s="37"/>
      <c r="E523" s="45"/>
      <c r="F523" s="45"/>
      <c r="G523" s="20"/>
    </row>
    <row r="524" spans="1:7" x14ac:dyDescent="0.25">
      <c r="A524" s="20"/>
      <c r="B524" s="20"/>
      <c r="C524" s="20"/>
      <c r="D524" s="37"/>
      <c r="E524" s="45"/>
      <c r="F524" s="45"/>
      <c r="G524" s="20"/>
    </row>
    <row r="525" spans="1:7" x14ac:dyDescent="0.25">
      <c r="A525" s="20"/>
      <c r="B525" s="20"/>
      <c r="C525" s="20"/>
      <c r="D525" s="37"/>
      <c r="E525" s="45"/>
      <c r="F525" s="45"/>
      <c r="G525" s="20"/>
    </row>
    <row r="526" spans="1:7" x14ac:dyDescent="0.25">
      <c r="A526" s="20"/>
      <c r="B526" s="20"/>
      <c r="C526" s="20"/>
      <c r="D526" s="37"/>
      <c r="E526" s="45"/>
      <c r="F526" s="45"/>
      <c r="G526" s="20"/>
    </row>
    <row r="527" spans="1:7" x14ac:dyDescent="0.25">
      <c r="A527" s="20"/>
      <c r="B527" s="20"/>
      <c r="C527" s="20"/>
      <c r="D527" s="37"/>
      <c r="E527" s="45"/>
      <c r="F527" s="45"/>
      <c r="G527" s="20"/>
    </row>
    <row r="528" spans="1:7" x14ac:dyDescent="0.25">
      <c r="A528" s="20"/>
      <c r="B528" s="20"/>
      <c r="C528" s="20"/>
      <c r="D528" s="37"/>
      <c r="E528" s="45"/>
      <c r="F528" s="45"/>
      <c r="G528" s="20"/>
    </row>
    <row r="529" spans="1:7" x14ac:dyDescent="0.25">
      <c r="A529" s="20"/>
      <c r="B529" s="20"/>
      <c r="C529" s="20"/>
      <c r="D529" s="37"/>
      <c r="E529" s="45"/>
      <c r="F529" s="45"/>
      <c r="G529" s="20"/>
    </row>
    <row r="530" spans="1:7" x14ac:dyDescent="0.25">
      <c r="A530" s="20"/>
      <c r="B530" s="20"/>
      <c r="C530" s="20"/>
      <c r="D530" s="37"/>
      <c r="E530" s="45"/>
      <c r="F530" s="45"/>
      <c r="G530" s="20"/>
    </row>
    <row r="531" spans="1:7" x14ac:dyDescent="0.25">
      <c r="A531" s="20"/>
      <c r="B531" s="20"/>
      <c r="C531" s="20"/>
      <c r="D531" s="37"/>
      <c r="E531" s="45"/>
      <c r="F531" s="45"/>
      <c r="G531" s="20"/>
    </row>
    <row r="532" spans="1:7" x14ac:dyDescent="0.25">
      <c r="A532" s="20"/>
      <c r="B532" s="20"/>
      <c r="C532" s="20"/>
      <c r="D532" s="37"/>
      <c r="E532" s="45"/>
      <c r="F532" s="45"/>
      <c r="G532" s="20"/>
    </row>
    <row r="533" spans="1:7" x14ac:dyDescent="0.25">
      <c r="A533" s="20"/>
      <c r="B533" s="20"/>
      <c r="C533" s="20"/>
      <c r="D533" s="37"/>
      <c r="E533" s="45"/>
      <c r="F533" s="45"/>
      <c r="G533" s="20"/>
    </row>
    <row r="534" spans="1:7" x14ac:dyDescent="0.25">
      <c r="A534" s="20"/>
      <c r="B534" s="20"/>
      <c r="C534" s="20"/>
      <c r="D534" s="37"/>
      <c r="E534" s="45"/>
      <c r="F534" s="45"/>
      <c r="G534" s="20"/>
    </row>
    <row r="535" spans="1:7" x14ac:dyDescent="0.25">
      <c r="A535" s="20"/>
      <c r="B535" s="20"/>
      <c r="C535" s="20"/>
      <c r="D535" s="37"/>
      <c r="E535" s="45"/>
      <c r="F535" s="45"/>
      <c r="G535" s="20"/>
    </row>
    <row r="536" spans="1:7" x14ac:dyDescent="0.25">
      <c r="A536" s="20"/>
      <c r="B536" s="20"/>
      <c r="C536" s="20"/>
      <c r="D536" s="37"/>
      <c r="E536" s="45"/>
      <c r="F536" s="45"/>
      <c r="G536" s="20"/>
    </row>
    <row r="537" spans="1:7" x14ac:dyDescent="0.25">
      <c r="A537" s="20"/>
      <c r="B537" s="20"/>
      <c r="C537" s="20"/>
      <c r="D537" s="37"/>
      <c r="E537" s="45"/>
      <c r="F537" s="45"/>
      <c r="G537" s="20"/>
    </row>
    <row r="538" spans="1:7" x14ac:dyDescent="0.25">
      <c r="A538" s="20"/>
      <c r="B538" s="20"/>
      <c r="C538" s="20"/>
      <c r="D538" s="37"/>
      <c r="E538" s="45"/>
      <c r="F538" s="45"/>
      <c r="G538" s="20"/>
    </row>
    <row r="539" spans="1:7" x14ac:dyDescent="0.25">
      <c r="A539" s="20"/>
      <c r="B539" s="20"/>
      <c r="C539" s="20"/>
      <c r="D539" s="37"/>
      <c r="E539" s="45"/>
      <c r="F539" s="45"/>
      <c r="G539" s="20"/>
    </row>
    <row r="540" spans="1:7" x14ac:dyDescent="0.25">
      <c r="A540" s="20"/>
      <c r="B540" s="20"/>
      <c r="C540" s="20"/>
      <c r="D540" s="37"/>
      <c r="E540" s="45"/>
      <c r="F540" s="45"/>
      <c r="G540" s="20"/>
    </row>
    <row r="541" spans="1:7" x14ac:dyDescent="0.25">
      <c r="A541" s="20"/>
      <c r="B541" s="20"/>
      <c r="C541" s="20"/>
      <c r="D541" s="37"/>
      <c r="E541" s="45"/>
      <c r="F541" s="45"/>
      <c r="G541" s="20"/>
    </row>
    <row r="542" spans="1:7" x14ac:dyDescent="0.25">
      <c r="A542" s="20"/>
      <c r="B542" s="20"/>
      <c r="C542" s="20"/>
      <c r="D542" s="37"/>
      <c r="E542" s="45"/>
      <c r="F542" s="45"/>
      <c r="G542" s="20"/>
    </row>
    <row r="543" spans="1:7" x14ac:dyDescent="0.25">
      <c r="A543" s="20"/>
      <c r="B543" s="20"/>
      <c r="C543" s="20"/>
      <c r="D543" s="37"/>
      <c r="E543" s="45"/>
      <c r="F543" s="45"/>
      <c r="G543" s="20"/>
    </row>
    <row r="544" spans="1:7" x14ac:dyDescent="0.25">
      <c r="A544" s="20"/>
      <c r="B544" s="20"/>
      <c r="C544" s="20"/>
      <c r="D544" s="37"/>
      <c r="E544" s="45"/>
      <c r="F544" s="45"/>
      <c r="G544" s="20"/>
    </row>
    <row r="545" spans="1:7" x14ac:dyDescent="0.25">
      <c r="A545" s="20"/>
      <c r="B545" s="20"/>
      <c r="C545" s="20"/>
      <c r="D545" s="37"/>
      <c r="E545" s="45"/>
      <c r="F545" s="45"/>
      <c r="G545" s="20"/>
    </row>
    <row r="546" spans="1:7" x14ac:dyDescent="0.25">
      <c r="A546" s="20"/>
      <c r="B546" s="20"/>
      <c r="C546" s="20"/>
      <c r="D546" s="37"/>
      <c r="E546" s="45"/>
      <c r="F546" s="45"/>
      <c r="G546" s="20"/>
    </row>
    <row r="547" spans="1:7" x14ac:dyDescent="0.25">
      <c r="A547" s="20"/>
      <c r="B547" s="20"/>
      <c r="C547" s="20"/>
      <c r="D547" s="37"/>
      <c r="E547" s="45"/>
      <c r="F547" s="45"/>
      <c r="G547" s="20"/>
    </row>
    <row r="548" spans="1:7" x14ac:dyDescent="0.25">
      <c r="A548" s="20"/>
      <c r="B548" s="20"/>
      <c r="C548" s="20"/>
      <c r="D548" s="37"/>
      <c r="E548" s="45"/>
      <c r="F548" s="45"/>
      <c r="G548" s="20"/>
    </row>
    <row r="549" spans="1:7" x14ac:dyDescent="0.25">
      <c r="A549" s="20"/>
      <c r="B549" s="20"/>
      <c r="C549" s="20"/>
      <c r="D549" s="37"/>
      <c r="E549" s="45"/>
      <c r="F549" s="45"/>
      <c r="G549" s="20"/>
    </row>
    <row r="550" spans="1:7" x14ac:dyDescent="0.25">
      <c r="A550" s="20"/>
      <c r="B550" s="20"/>
      <c r="C550" s="20"/>
      <c r="D550" s="37"/>
      <c r="E550" s="45"/>
      <c r="F550" s="45"/>
      <c r="G550" s="20"/>
    </row>
    <row r="551" spans="1:7" x14ac:dyDescent="0.25">
      <c r="A551" s="20"/>
      <c r="B551" s="20"/>
      <c r="C551" s="20"/>
      <c r="D551" s="37"/>
      <c r="E551" s="45"/>
      <c r="F551" s="45"/>
      <c r="G551" s="20"/>
    </row>
    <row r="552" spans="1:7" x14ac:dyDescent="0.25">
      <c r="A552" s="20"/>
      <c r="B552" s="20"/>
      <c r="C552" s="20"/>
      <c r="D552" s="37"/>
      <c r="E552" s="45"/>
      <c r="F552" s="45"/>
      <c r="G552" s="20"/>
    </row>
  </sheetData>
  <mergeCells count="1">
    <mergeCell ref="A4:B4"/>
  </mergeCells>
  <conditionalFormatting sqref="D10:D1048576">
    <cfRule type="cellIs" dxfId="15" priority="7" operator="equal">
      <formula>"Malfunction"</formula>
    </cfRule>
    <cfRule type="cellIs" dxfId="14" priority="8" operator="equal">
      <formula>"Diagnostic"</formula>
    </cfRule>
  </conditionalFormatting>
  <conditionalFormatting sqref="E10:E1048576">
    <cfRule type="cellIs" dxfId="13" priority="5" operator="equal">
      <formula>"Cleared"</formula>
    </cfRule>
    <cfRule type="cellIs" dxfId="12" priority="6" operator="equal">
      <formula>"Active"</formula>
    </cfRule>
  </conditionalFormatting>
  <conditionalFormatting sqref="D1:D9">
    <cfRule type="cellIs" dxfId="11" priority="3" operator="equal">
      <formula>"Malfunction"</formula>
    </cfRule>
    <cfRule type="cellIs" dxfId="10" priority="4" operator="equal">
      <formula>"Diagnostic"</formula>
    </cfRule>
  </conditionalFormatting>
  <conditionalFormatting sqref="E1:E9">
    <cfRule type="cellIs" dxfId="9" priority="1" operator="equal">
      <formula>"Cleared"</formula>
    </cfRule>
    <cfRule type="cellIs" dxfId="8" priority="2" operator="equal">
      <formula>"Active"</formula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550"/>
  <sheetViews>
    <sheetView showGridLines="0" workbookViewId="0">
      <selection activeCell="A12" sqref="A12"/>
    </sheetView>
  </sheetViews>
  <sheetFormatPr defaultColWidth="9.140625" defaultRowHeight="14.25" x14ac:dyDescent="0.25"/>
  <cols>
    <col min="1" max="2" width="25.7109375" style="26" customWidth="1"/>
    <col min="3" max="3" width="30.7109375" style="26" customWidth="1"/>
    <col min="4" max="4" width="14.7109375" style="38" customWidth="1"/>
    <col min="5" max="6" width="14.7109375" style="28" customWidth="1"/>
    <col min="7" max="7" width="14.85546875" style="28" bestFit="1" customWidth="1"/>
    <col min="8" max="8" width="15.5703125" style="26" customWidth="1"/>
    <col min="9" max="9" width="49.42578125" style="26" customWidth="1"/>
    <col min="10" max="10" width="15.42578125" style="26" customWidth="1"/>
    <col min="11" max="11" width="23" style="26" customWidth="1"/>
    <col min="12" max="12" width="21" style="26" customWidth="1"/>
    <col min="13" max="13" width="20.5703125" style="26" customWidth="1"/>
    <col min="14" max="16384" width="9.140625" style="26"/>
  </cols>
  <sheetData>
    <row r="1" spans="1:7" s="18" customFormat="1" ht="25.5" customHeight="1" x14ac:dyDescent="0.45">
      <c r="A1" s="53" t="s">
        <v>527</v>
      </c>
      <c r="C1" s="23">
        <f>Data!B2</f>
        <v>43598.449176643502</v>
      </c>
      <c r="D1" s="43"/>
      <c r="E1" s="27"/>
      <c r="F1" s="27"/>
      <c r="G1" s="27"/>
    </row>
    <row r="2" spans="1:7" ht="25.5" customHeight="1" x14ac:dyDescent="0.5">
      <c r="A2" s="59" t="str">
        <f>Data!B1</f>
        <v>ABC Company</v>
      </c>
      <c r="B2" s="10"/>
      <c r="C2" s="10"/>
    </row>
    <row r="3" spans="1:7" ht="17.45" customHeight="1" x14ac:dyDescent="0.25">
      <c r="A3" s="11"/>
      <c r="B3" s="11"/>
      <c r="C3" s="11"/>
    </row>
    <row r="4" spans="1:7" ht="17.45" customHeight="1" x14ac:dyDescent="0.3">
      <c r="A4" s="79" t="s">
        <v>45</v>
      </c>
      <c r="B4" s="80"/>
      <c r="C4" s="19"/>
      <c r="D4" s="44"/>
    </row>
    <row r="5" spans="1:7" ht="17.45" customHeight="1" x14ac:dyDescent="0.3">
      <c r="A5" s="62" t="s">
        <v>40</v>
      </c>
      <c r="B5" s="56">
        <f>Data!B3</f>
        <v>43568.449169502303</v>
      </c>
      <c r="C5" s="19"/>
      <c r="D5" s="44"/>
    </row>
    <row r="6" spans="1:7" ht="17.45" customHeight="1" x14ac:dyDescent="0.3">
      <c r="A6" s="62" t="s">
        <v>41</v>
      </c>
      <c r="B6" s="56">
        <f>Data!B4</f>
        <v>43598.449169502303</v>
      </c>
      <c r="C6" s="13"/>
      <c r="D6" s="44"/>
    </row>
    <row r="7" spans="1:7" ht="17.45" customHeight="1" x14ac:dyDescent="0.3">
      <c r="A7" s="62" t="s">
        <v>525</v>
      </c>
      <c r="B7" s="57">
        <f>B6-B5</f>
        <v>30</v>
      </c>
      <c r="C7" s="13"/>
      <c r="D7" s="44"/>
    </row>
    <row r="8" spans="1:7" ht="17.45" customHeight="1" x14ac:dyDescent="0.3">
      <c r="A8" s="24"/>
      <c r="B8" s="25"/>
      <c r="C8" s="13"/>
      <c r="D8" s="44"/>
    </row>
    <row r="9" spans="1:7" ht="17.45" customHeight="1" x14ac:dyDescent="0.3">
      <c r="A9" s="60" t="s">
        <v>42</v>
      </c>
      <c r="B9" s="55" t="str">
        <f>Data!B5</f>
        <v>miles</v>
      </c>
      <c r="C9" s="13"/>
      <c r="D9" s="14"/>
    </row>
    <row r="10" spans="1:7" s="50" customFormat="1" ht="17.45" hidden="1" customHeight="1" x14ac:dyDescent="0.3">
      <c r="A10" s="81" t="s">
        <v>485</v>
      </c>
      <c r="B10" s="82" t="s">
        <v>487</v>
      </c>
      <c r="D10" s="54"/>
      <c r="E10" s="49"/>
      <c r="F10" s="49"/>
      <c r="G10" s="49"/>
    </row>
    <row r="11" spans="1:7" ht="17.45" customHeight="1" x14ac:dyDescent="0.25"/>
    <row r="12" spans="1:7" s="52" customFormat="1" ht="18" customHeight="1" x14ac:dyDescent="0.3">
      <c r="A12" s="81" t="s">
        <v>528</v>
      </c>
      <c r="B12" s="81" t="s">
        <v>30</v>
      </c>
      <c r="C12" s="81" t="s">
        <v>537</v>
      </c>
      <c r="D12" s="86" t="s">
        <v>535</v>
      </c>
      <c r="E12" s="81" t="s">
        <v>531</v>
      </c>
      <c r="F12" s="87" t="s">
        <v>536</v>
      </c>
      <c r="G12"/>
    </row>
    <row r="13" spans="1:7" ht="16.5" x14ac:dyDescent="0.3">
      <c r="A13" s="82" t="s">
        <v>514</v>
      </c>
      <c r="B13" s="82" t="s">
        <v>248</v>
      </c>
      <c r="C13" s="84">
        <v>43580.565196759257</v>
      </c>
      <c r="D13" s="83" t="s">
        <v>228</v>
      </c>
      <c r="E13" s="82" t="s">
        <v>486</v>
      </c>
      <c r="F13" s="85">
        <v>1</v>
      </c>
      <c r="G13"/>
    </row>
    <row r="14" spans="1:7" ht="16.5" x14ac:dyDescent="0.3">
      <c r="A14" s="82"/>
      <c r="B14" s="82"/>
      <c r="C14" s="84">
        <v>43584.464537037034</v>
      </c>
      <c r="D14" s="83" t="s">
        <v>227</v>
      </c>
      <c r="E14" s="82" t="s">
        <v>220</v>
      </c>
      <c r="F14" s="85">
        <v>1</v>
      </c>
      <c r="G14"/>
    </row>
    <row r="15" spans="1:7" ht="16.5" x14ac:dyDescent="0.3">
      <c r="A15" s="82"/>
      <c r="B15" s="82" t="s">
        <v>222</v>
      </c>
      <c r="C15" s="84">
        <v>43593.373287037037</v>
      </c>
      <c r="D15" s="83" t="s">
        <v>228</v>
      </c>
      <c r="E15" s="82" t="s">
        <v>486</v>
      </c>
      <c r="F15" s="85">
        <v>1</v>
      </c>
      <c r="G15"/>
    </row>
    <row r="16" spans="1:7" ht="16.5" x14ac:dyDescent="0.3">
      <c r="A16" s="82"/>
      <c r="B16" s="82" t="s">
        <v>224</v>
      </c>
      <c r="C16" s="84">
        <v>43598.383553240739</v>
      </c>
      <c r="D16" s="83" t="s">
        <v>228</v>
      </c>
      <c r="E16" s="82" t="s">
        <v>220</v>
      </c>
      <c r="F16" s="85">
        <v>1</v>
      </c>
      <c r="G16"/>
    </row>
    <row r="17" spans="1:7" ht="16.5" x14ac:dyDescent="0.3">
      <c r="A17" s="82" t="s">
        <v>517</v>
      </c>
      <c r="B17" s="82"/>
      <c r="C17" s="82"/>
      <c r="D17" s="82"/>
      <c r="E17" s="82"/>
      <c r="F17" s="85">
        <v>4</v>
      </c>
      <c r="G17"/>
    </row>
    <row r="18" spans="1:7" ht="16.5" x14ac:dyDescent="0.3">
      <c r="A18" s="82" t="s">
        <v>494</v>
      </c>
      <c r="B18" s="82" t="s">
        <v>248</v>
      </c>
      <c r="C18" s="84">
        <v>43588.536238425928</v>
      </c>
      <c r="D18" s="83" t="s">
        <v>228</v>
      </c>
      <c r="E18" s="82" t="s">
        <v>486</v>
      </c>
      <c r="F18" s="85">
        <v>1</v>
      </c>
      <c r="G18"/>
    </row>
    <row r="19" spans="1:7" ht="16.5" x14ac:dyDescent="0.3">
      <c r="A19" s="82"/>
      <c r="B19" s="82" t="s">
        <v>222</v>
      </c>
      <c r="C19" s="84">
        <v>43593.361689814818</v>
      </c>
      <c r="D19" s="83" t="s">
        <v>228</v>
      </c>
      <c r="E19" s="82" t="s">
        <v>486</v>
      </c>
      <c r="F19" s="85">
        <v>1</v>
      </c>
      <c r="G19"/>
    </row>
    <row r="20" spans="1:7" ht="16.5" x14ac:dyDescent="0.3">
      <c r="A20" s="82"/>
      <c r="B20" s="82" t="s">
        <v>224</v>
      </c>
      <c r="C20" s="84">
        <v>43595.676307870373</v>
      </c>
      <c r="D20" s="83" t="s">
        <v>228</v>
      </c>
      <c r="E20" s="82" t="s">
        <v>220</v>
      </c>
      <c r="F20" s="85">
        <v>1</v>
      </c>
      <c r="G20"/>
    </row>
    <row r="21" spans="1:7" ht="16.5" x14ac:dyDescent="0.3">
      <c r="A21" s="82" t="s">
        <v>502</v>
      </c>
      <c r="B21" s="82"/>
      <c r="C21" s="82"/>
      <c r="D21" s="82"/>
      <c r="E21" s="82"/>
      <c r="F21" s="85">
        <v>3</v>
      </c>
      <c r="G21"/>
    </row>
    <row r="22" spans="1:7" ht="16.5" x14ac:dyDescent="0.3">
      <c r="A22" s="82" t="s">
        <v>496</v>
      </c>
      <c r="B22" s="82" t="s">
        <v>248</v>
      </c>
      <c r="C22" s="84">
        <v>43593.398148148146</v>
      </c>
      <c r="D22" s="83" t="s">
        <v>228</v>
      </c>
      <c r="E22" s="82" t="s">
        <v>486</v>
      </c>
      <c r="F22" s="85">
        <v>1</v>
      </c>
      <c r="G22"/>
    </row>
    <row r="23" spans="1:7" ht="16.5" x14ac:dyDescent="0.3">
      <c r="A23" s="82"/>
      <c r="B23" s="82" t="s">
        <v>222</v>
      </c>
      <c r="C23" s="84">
        <v>43593.390034722222</v>
      </c>
      <c r="D23" s="83" t="s">
        <v>228</v>
      </c>
      <c r="E23" s="82" t="s">
        <v>486</v>
      </c>
      <c r="F23" s="85">
        <v>1</v>
      </c>
      <c r="G23"/>
    </row>
    <row r="24" spans="1:7" ht="16.5" x14ac:dyDescent="0.3">
      <c r="A24" s="82"/>
      <c r="B24" s="82" t="s">
        <v>224</v>
      </c>
      <c r="C24" s="84">
        <v>43580.673958333333</v>
      </c>
      <c r="D24" s="83" t="s">
        <v>228</v>
      </c>
      <c r="E24" s="82" t="s">
        <v>220</v>
      </c>
      <c r="F24" s="85">
        <v>1</v>
      </c>
      <c r="G24"/>
    </row>
    <row r="25" spans="1:7" ht="16.5" x14ac:dyDescent="0.3">
      <c r="A25" s="82" t="s">
        <v>504</v>
      </c>
      <c r="B25" s="82"/>
      <c r="C25" s="82"/>
      <c r="D25" s="82"/>
      <c r="E25" s="82"/>
      <c r="F25" s="85">
        <v>3</v>
      </c>
      <c r="G25"/>
    </row>
    <row r="26" spans="1:7" ht="16.5" x14ac:dyDescent="0.3">
      <c r="A26" s="82" t="s">
        <v>495</v>
      </c>
      <c r="B26" s="82" t="s">
        <v>248</v>
      </c>
      <c r="C26" s="84">
        <v>43578.235856481479</v>
      </c>
      <c r="D26" s="83" t="s">
        <v>228</v>
      </c>
      <c r="E26" s="82" t="s">
        <v>486</v>
      </c>
      <c r="F26" s="85">
        <v>1</v>
      </c>
      <c r="G26"/>
    </row>
    <row r="27" spans="1:7" ht="16.5" x14ac:dyDescent="0.3">
      <c r="A27" s="82"/>
      <c r="B27" s="82" t="s">
        <v>222</v>
      </c>
      <c r="C27" s="84">
        <v>43593.363611111112</v>
      </c>
      <c r="D27" s="83" t="s">
        <v>228</v>
      </c>
      <c r="E27" s="82" t="s">
        <v>486</v>
      </c>
      <c r="F27" s="85">
        <v>1</v>
      </c>
      <c r="G27"/>
    </row>
    <row r="28" spans="1:7" ht="16.5" x14ac:dyDescent="0.3">
      <c r="A28" s="82"/>
      <c r="B28" s="82" t="s">
        <v>224</v>
      </c>
      <c r="C28" s="84">
        <v>43598.317893518521</v>
      </c>
      <c r="D28" s="83" t="s">
        <v>228</v>
      </c>
      <c r="E28" s="82" t="s">
        <v>220</v>
      </c>
      <c r="F28" s="85">
        <v>1</v>
      </c>
      <c r="G28"/>
    </row>
    <row r="29" spans="1:7" ht="16.5" x14ac:dyDescent="0.3">
      <c r="A29" s="82" t="s">
        <v>503</v>
      </c>
      <c r="B29" s="82"/>
      <c r="C29" s="82"/>
      <c r="D29" s="82"/>
      <c r="E29" s="82"/>
      <c r="F29" s="85">
        <v>3</v>
      </c>
      <c r="G29"/>
    </row>
    <row r="30" spans="1:7" ht="16.5" x14ac:dyDescent="0.3">
      <c r="A30" s="82" t="s">
        <v>497</v>
      </c>
      <c r="B30" s="82" t="s">
        <v>248</v>
      </c>
      <c r="C30" s="84">
        <v>43595.381215277775</v>
      </c>
      <c r="D30" s="83" t="s">
        <v>228</v>
      </c>
      <c r="E30" s="82" t="s">
        <v>486</v>
      </c>
      <c r="F30" s="85">
        <v>1</v>
      </c>
      <c r="G30"/>
    </row>
    <row r="31" spans="1:7" ht="16.5" x14ac:dyDescent="0.3">
      <c r="A31" s="82"/>
      <c r="B31" s="82" t="s">
        <v>222</v>
      </c>
      <c r="C31" s="84">
        <v>43595.289930555555</v>
      </c>
      <c r="D31" s="83" t="s">
        <v>228</v>
      </c>
      <c r="E31" s="82" t="s">
        <v>486</v>
      </c>
      <c r="F31" s="85">
        <v>1</v>
      </c>
      <c r="G31"/>
    </row>
    <row r="32" spans="1:7" ht="16.5" x14ac:dyDescent="0.3">
      <c r="A32" s="82" t="s">
        <v>505</v>
      </c>
      <c r="B32" s="82"/>
      <c r="C32" s="82"/>
      <c r="D32" s="82"/>
      <c r="E32" s="82"/>
      <c r="F32" s="85">
        <v>2</v>
      </c>
      <c r="G32"/>
    </row>
    <row r="33" spans="1:7" ht="16.5" x14ac:dyDescent="0.3">
      <c r="A33" s="82" t="s">
        <v>490</v>
      </c>
      <c r="B33" s="82" t="s">
        <v>222</v>
      </c>
      <c r="C33" s="84">
        <v>43595.310173611113</v>
      </c>
      <c r="D33" s="83" t="s">
        <v>228</v>
      </c>
      <c r="E33" s="82" t="s">
        <v>486</v>
      </c>
      <c r="F33" s="85">
        <v>1</v>
      </c>
      <c r="G33"/>
    </row>
    <row r="34" spans="1:7" ht="16.5" x14ac:dyDescent="0.3">
      <c r="A34" s="82"/>
      <c r="B34" s="82" t="s">
        <v>224</v>
      </c>
      <c r="C34" s="84">
        <v>43598.277951388889</v>
      </c>
      <c r="D34" s="83" t="s">
        <v>228</v>
      </c>
      <c r="E34" s="82" t="s">
        <v>220</v>
      </c>
      <c r="F34" s="85">
        <v>1</v>
      </c>
      <c r="G34"/>
    </row>
    <row r="35" spans="1:7" ht="16.5" x14ac:dyDescent="0.3">
      <c r="A35" s="82" t="s">
        <v>498</v>
      </c>
      <c r="B35" s="82"/>
      <c r="C35" s="82"/>
      <c r="D35" s="82"/>
      <c r="E35" s="82"/>
      <c r="F35" s="85">
        <v>2</v>
      </c>
      <c r="G35"/>
    </row>
    <row r="36" spans="1:7" ht="16.5" x14ac:dyDescent="0.3">
      <c r="A36" s="82" t="s">
        <v>492</v>
      </c>
      <c r="B36" s="82" t="s">
        <v>222</v>
      </c>
      <c r="C36" s="84">
        <v>43598.343553240738</v>
      </c>
      <c r="D36" s="83" t="s">
        <v>228</v>
      </c>
      <c r="E36" s="82" t="s">
        <v>486</v>
      </c>
      <c r="F36" s="85">
        <v>1</v>
      </c>
      <c r="G36"/>
    </row>
    <row r="37" spans="1:7" ht="16.5" x14ac:dyDescent="0.3">
      <c r="A37" s="82"/>
      <c r="B37" s="82" t="s">
        <v>224</v>
      </c>
      <c r="C37" s="84">
        <v>43570.765462962961</v>
      </c>
      <c r="D37" s="83" t="s">
        <v>228</v>
      </c>
      <c r="E37" s="82" t="s">
        <v>220</v>
      </c>
      <c r="F37" s="85">
        <v>1</v>
      </c>
      <c r="G37"/>
    </row>
    <row r="38" spans="1:7" ht="16.5" x14ac:dyDescent="0.3">
      <c r="A38" s="82" t="s">
        <v>500</v>
      </c>
      <c r="B38" s="82"/>
      <c r="C38" s="82"/>
      <c r="D38" s="82"/>
      <c r="E38" s="82"/>
      <c r="F38" s="85">
        <v>2</v>
      </c>
      <c r="G38"/>
    </row>
    <row r="39" spans="1:7" ht="16.5" x14ac:dyDescent="0.3">
      <c r="A39" s="82" t="s">
        <v>493</v>
      </c>
      <c r="B39" s="82" t="s">
        <v>222</v>
      </c>
      <c r="C39" s="84">
        <v>43593.362534722219</v>
      </c>
      <c r="D39" s="83" t="s">
        <v>228</v>
      </c>
      <c r="E39" s="82" t="s">
        <v>486</v>
      </c>
      <c r="F39" s="85">
        <v>1</v>
      </c>
      <c r="G39"/>
    </row>
    <row r="40" spans="1:7" ht="16.5" x14ac:dyDescent="0.3">
      <c r="A40" s="82"/>
      <c r="B40" s="82" t="s">
        <v>224</v>
      </c>
      <c r="C40" s="84">
        <v>43598.256898148145</v>
      </c>
      <c r="D40" s="83" t="s">
        <v>228</v>
      </c>
      <c r="E40" s="82" t="s">
        <v>220</v>
      </c>
      <c r="F40" s="85">
        <v>1</v>
      </c>
      <c r="G40"/>
    </row>
    <row r="41" spans="1:7" ht="16.5" x14ac:dyDescent="0.3">
      <c r="A41" s="82" t="s">
        <v>501</v>
      </c>
      <c r="B41" s="82"/>
      <c r="C41" s="82"/>
      <c r="D41" s="82"/>
      <c r="E41" s="82"/>
      <c r="F41" s="85">
        <v>2</v>
      </c>
      <c r="G41"/>
    </row>
    <row r="42" spans="1:7" ht="16.5" x14ac:dyDescent="0.3">
      <c r="A42" s="82" t="s">
        <v>491</v>
      </c>
      <c r="B42" s="82" t="s">
        <v>224</v>
      </c>
      <c r="C42" s="84">
        <v>43592.450532407405</v>
      </c>
      <c r="D42" s="83" t="s">
        <v>228</v>
      </c>
      <c r="E42" s="82" t="s">
        <v>220</v>
      </c>
      <c r="F42" s="85">
        <v>1</v>
      </c>
      <c r="G42"/>
    </row>
    <row r="43" spans="1:7" ht="16.5" x14ac:dyDescent="0.3">
      <c r="A43" s="82" t="s">
        <v>499</v>
      </c>
      <c r="B43" s="82"/>
      <c r="C43" s="82"/>
      <c r="D43" s="82"/>
      <c r="E43" s="82"/>
      <c r="F43" s="85">
        <v>1</v>
      </c>
      <c r="G43"/>
    </row>
    <row r="44" spans="1:7" ht="16.5" x14ac:dyDescent="0.3">
      <c r="A44" s="82" t="s">
        <v>513</v>
      </c>
      <c r="B44" s="82" t="s">
        <v>248</v>
      </c>
      <c r="C44" s="84">
        <v>43597.268483796295</v>
      </c>
      <c r="D44" s="83" t="s">
        <v>228</v>
      </c>
      <c r="E44" s="82" t="s">
        <v>486</v>
      </c>
      <c r="F44" s="85">
        <v>1</v>
      </c>
      <c r="G44"/>
    </row>
    <row r="45" spans="1:7" ht="16.5" x14ac:dyDescent="0.3">
      <c r="A45" s="82" t="s">
        <v>516</v>
      </c>
      <c r="B45" s="82"/>
      <c r="C45" s="82"/>
      <c r="D45" s="82"/>
      <c r="E45" s="82"/>
      <c r="F45" s="85">
        <v>1</v>
      </c>
      <c r="G45"/>
    </row>
    <row r="46" spans="1:7" ht="16.5" x14ac:dyDescent="0.3">
      <c r="A46" s="82" t="s">
        <v>519</v>
      </c>
      <c r="B46" s="82" t="s">
        <v>248</v>
      </c>
      <c r="C46" s="84">
        <v>43588.361863425926</v>
      </c>
      <c r="D46" s="83" t="s">
        <v>228</v>
      </c>
      <c r="E46" s="82" t="s">
        <v>486</v>
      </c>
      <c r="F46" s="85">
        <v>1</v>
      </c>
      <c r="G46"/>
    </row>
    <row r="47" spans="1:7" ht="16.5" x14ac:dyDescent="0.3">
      <c r="A47" s="82" t="s">
        <v>520</v>
      </c>
      <c r="B47" s="82"/>
      <c r="C47" s="82"/>
      <c r="D47" s="82"/>
      <c r="E47" s="82"/>
      <c r="F47" s="85">
        <v>1</v>
      </c>
      <c r="G47"/>
    </row>
    <row r="48" spans="1:7" ht="16.5" x14ac:dyDescent="0.3">
      <c r="A48" s="82" t="s">
        <v>515</v>
      </c>
      <c r="B48" s="82" t="s">
        <v>248</v>
      </c>
      <c r="C48" s="84">
        <v>43581.398530092592</v>
      </c>
      <c r="D48" s="83" t="s">
        <v>228</v>
      </c>
      <c r="E48" s="82" t="s">
        <v>486</v>
      </c>
      <c r="F48" s="85">
        <v>1</v>
      </c>
      <c r="G48"/>
    </row>
    <row r="49" spans="1:7" ht="16.5" x14ac:dyDescent="0.3">
      <c r="A49" s="82" t="s">
        <v>518</v>
      </c>
      <c r="B49" s="82"/>
      <c r="C49" s="82"/>
      <c r="D49" s="82"/>
      <c r="E49" s="82"/>
      <c r="F49" s="85">
        <v>1</v>
      </c>
      <c r="G49"/>
    </row>
    <row r="50" spans="1:7" ht="16.5" x14ac:dyDescent="0.3">
      <c r="A50" s="82" t="s">
        <v>0</v>
      </c>
      <c r="B50" s="82"/>
      <c r="C50" s="82"/>
      <c r="D50" s="82"/>
      <c r="E50" s="82"/>
      <c r="F50" s="85">
        <v>25</v>
      </c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 s="45"/>
      <c r="G100"/>
    </row>
    <row r="101" spans="1:7" x14ac:dyDescent="0.25">
      <c r="A101"/>
      <c r="B101"/>
      <c r="C101"/>
      <c r="D101"/>
      <c r="E101"/>
      <c r="F101" s="45"/>
      <c r="G101"/>
    </row>
    <row r="102" spans="1:7" x14ac:dyDescent="0.25">
      <c r="A102"/>
      <c r="B102"/>
      <c r="C102"/>
      <c r="D102"/>
      <c r="E102"/>
      <c r="F102" s="45"/>
      <c r="G102"/>
    </row>
    <row r="103" spans="1:7" x14ac:dyDescent="0.25">
      <c r="A103"/>
      <c r="B103"/>
      <c r="C103"/>
      <c r="D103"/>
      <c r="E103"/>
      <c r="F103" s="45"/>
      <c r="G103"/>
    </row>
    <row r="104" spans="1:7" x14ac:dyDescent="0.25">
      <c r="A104"/>
      <c r="B104"/>
      <c r="C104"/>
      <c r="D104"/>
      <c r="E104"/>
      <c r="F104" s="45"/>
      <c r="G104"/>
    </row>
    <row r="105" spans="1:7" x14ac:dyDescent="0.25">
      <c r="A105"/>
      <c r="B105"/>
      <c r="C105"/>
      <c r="D105"/>
      <c r="E105"/>
      <c r="F105" s="45"/>
      <c r="G105"/>
    </row>
    <row r="106" spans="1:7" x14ac:dyDescent="0.25">
      <c r="A106"/>
      <c r="B106"/>
      <c r="C106"/>
      <c r="D106"/>
      <c r="E106"/>
      <c r="F106" s="45"/>
      <c r="G106"/>
    </row>
    <row r="107" spans="1:7" x14ac:dyDescent="0.25">
      <c r="A107"/>
      <c r="B107"/>
      <c r="C107"/>
      <c r="D107"/>
      <c r="E107"/>
      <c r="F107" s="45"/>
      <c r="G107"/>
    </row>
    <row r="108" spans="1:7" x14ac:dyDescent="0.25">
      <c r="A108"/>
      <c r="B108"/>
      <c r="C108"/>
      <c r="D108"/>
      <c r="E108"/>
      <c r="F108" s="45"/>
      <c r="G108"/>
    </row>
    <row r="109" spans="1:7" x14ac:dyDescent="0.25">
      <c r="A109"/>
      <c r="B109"/>
      <c r="C109"/>
      <c r="D109"/>
      <c r="E109"/>
      <c r="F109" s="45"/>
      <c r="G109"/>
    </row>
    <row r="110" spans="1:7" x14ac:dyDescent="0.25">
      <c r="A110"/>
      <c r="B110"/>
      <c r="C110"/>
      <c r="D110"/>
      <c r="E110"/>
      <c r="F110" s="45"/>
      <c r="G110"/>
    </row>
    <row r="111" spans="1:7" x14ac:dyDescent="0.25">
      <c r="A111"/>
      <c r="B111"/>
      <c r="C111"/>
      <c r="D111"/>
      <c r="E111"/>
      <c r="F111" s="45"/>
      <c r="G111"/>
    </row>
    <row r="112" spans="1:7" x14ac:dyDescent="0.25">
      <c r="A112"/>
      <c r="B112"/>
      <c r="C112"/>
      <c r="D112"/>
      <c r="E112"/>
      <c r="F112" s="45"/>
      <c r="G112"/>
    </row>
    <row r="113" spans="1:7" x14ac:dyDescent="0.25">
      <c r="A113"/>
      <c r="B113"/>
      <c r="C113"/>
      <c r="D113"/>
      <c r="E113"/>
      <c r="F113" s="45"/>
      <c r="G113"/>
    </row>
    <row r="114" spans="1:7" x14ac:dyDescent="0.25">
      <c r="A114"/>
      <c r="B114"/>
      <c r="C114"/>
      <c r="D114"/>
      <c r="E114"/>
      <c r="F114" s="45"/>
      <c r="G114"/>
    </row>
    <row r="115" spans="1:7" x14ac:dyDescent="0.25">
      <c r="A115"/>
      <c r="B115"/>
      <c r="C115"/>
      <c r="D115"/>
      <c r="E115"/>
      <c r="F115" s="45"/>
      <c r="G115"/>
    </row>
    <row r="116" spans="1:7" x14ac:dyDescent="0.25">
      <c r="A116"/>
      <c r="B116"/>
      <c r="C116"/>
      <c r="D116"/>
      <c r="E116"/>
      <c r="F116" s="45"/>
      <c r="G116"/>
    </row>
    <row r="117" spans="1:7" x14ac:dyDescent="0.25">
      <c r="A117"/>
      <c r="B117"/>
      <c r="C117"/>
      <c r="D117"/>
      <c r="E117"/>
      <c r="F117" s="45"/>
      <c r="G117"/>
    </row>
    <row r="118" spans="1:7" x14ac:dyDescent="0.25">
      <c r="A118"/>
      <c r="B118"/>
      <c r="C118"/>
      <c r="D118"/>
      <c r="E118"/>
      <c r="F118" s="45"/>
      <c r="G118"/>
    </row>
    <row r="119" spans="1:7" x14ac:dyDescent="0.25">
      <c r="A119"/>
      <c r="B119"/>
      <c r="C119"/>
      <c r="D119"/>
      <c r="E119"/>
      <c r="F119" s="45"/>
      <c r="G119"/>
    </row>
    <row r="120" spans="1:7" x14ac:dyDescent="0.25">
      <c r="A120"/>
      <c r="B120"/>
      <c r="C120"/>
      <c r="D120"/>
      <c r="E120"/>
      <c r="F120" s="45"/>
      <c r="G120"/>
    </row>
    <row r="121" spans="1:7" x14ac:dyDescent="0.25">
      <c r="A121"/>
      <c r="B121"/>
      <c r="C121"/>
      <c r="D121"/>
      <c r="E121"/>
      <c r="F121" s="45"/>
      <c r="G121"/>
    </row>
    <row r="122" spans="1:7" x14ac:dyDescent="0.25">
      <c r="A122"/>
      <c r="B122"/>
      <c r="C122"/>
      <c r="D122"/>
      <c r="E122"/>
      <c r="F122" s="45"/>
      <c r="G122"/>
    </row>
    <row r="123" spans="1:7" x14ac:dyDescent="0.25">
      <c r="A123"/>
      <c r="B123"/>
      <c r="C123"/>
      <c r="D123"/>
      <c r="E123"/>
      <c r="F123" s="45"/>
      <c r="G123"/>
    </row>
    <row r="124" spans="1:7" x14ac:dyDescent="0.25">
      <c r="A124"/>
      <c r="B124"/>
      <c r="C124"/>
      <c r="D124" s="37"/>
      <c r="E124" s="45"/>
      <c r="F124" s="45"/>
      <c r="G124"/>
    </row>
    <row r="125" spans="1:7" x14ac:dyDescent="0.25">
      <c r="A125"/>
      <c r="B125"/>
      <c r="C125"/>
      <c r="D125" s="37"/>
      <c r="E125" s="45"/>
      <c r="F125" s="45"/>
      <c r="G125"/>
    </row>
    <row r="126" spans="1:7" x14ac:dyDescent="0.25">
      <c r="A126"/>
      <c r="B126"/>
      <c r="C126"/>
      <c r="D126" s="37"/>
      <c r="E126" s="45"/>
      <c r="F126" s="45"/>
      <c r="G126"/>
    </row>
    <row r="127" spans="1:7" x14ac:dyDescent="0.25">
      <c r="A127"/>
      <c r="B127"/>
      <c r="C127"/>
      <c r="D127" s="37"/>
      <c r="E127" s="45"/>
      <c r="F127" s="45"/>
      <c r="G127"/>
    </row>
    <row r="128" spans="1:7" x14ac:dyDescent="0.25">
      <c r="A128"/>
      <c r="B128"/>
      <c r="C128"/>
      <c r="D128" s="37"/>
      <c r="E128" s="45"/>
      <c r="F128" s="45"/>
      <c r="G128"/>
    </row>
    <row r="129" spans="1:7" x14ac:dyDescent="0.25">
      <c r="A129"/>
      <c r="B129"/>
      <c r="C129"/>
      <c r="D129" s="37"/>
      <c r="E129" s="45"/>
      <c r="F129" s="45"/>
      <c r="G129"/>
    </row>
    <row r="130" spans="1:7" x14ac:dyDescent="0.25">
      <c r="A130"/>
      <c r="B130"/>
      <c r="C130"/>
      <c r="D130" s="37"/>
      <c r="E130" s="45"/>
      <c r="F130" s="45"/>
      <c r="G130"/>
    </row>
    <row r="131" spans="1:7" x14ac:dyDescent="0.25">
      <c r="A131"/>
      <c r="B131"/>
      <c r="C131"/>
      <c r="D131" s="37"/>
      <c r="E131" s="45"/>
      <c r="F131" s="45"/>
      <c r="G131"/>
    </row>
    <row r="132" spans="1:7" x14ac:dyDescent="0.25">
      <c r="A132"/>
      <c r="B132"/>
      <c r="C132"/>
      <c r="D132" s="37"/>
      <c r="E132" s="45"/>
      <c r="F132" s="45"/>
      <c r="G132"/>
    </row>
    <row r="133" spans="1:7" x14ac:dyDescent="0.25">
      <c r="A133"/>
      <c r="B133"/>
      <c r="C133"/>
      <c r="D133" s="37"/>
      <c r="E133" s="45"/>
      <c r="F133" s="45"/>
      <c r="G133"/>
    </row>
    <row r="134" spans="1:7" x14ac:dyDescent="0.25">
      <c r="A134"/>
      <c r="B134"/>
      <c r="C134"/>
      <c r="D134" s="37"/>
      <c r="E134" s="45"/>
      <c r="F134" s="45"/>
      <c r="G134"/>
    </row>
    <row r="135" spans="1:7" x14ac:dyDescent="0.25">
      <c r="A135"/>
      <c r="B135"/>
      <c r="C135"/>
      <c r="D135" s="37"/>
      <c r="E135" s="45"/>
      <c r="F135" s="45"/>
      <c r="G135"/>
    </row>
    <row r="136" spans="1:7" x14ac:dyDescent="0.25">
      <c r="A136"/>
      <c r="B136"/>
      <c r="C136"/>
      <c r="D136" s="37"/>
      <c r="E136" s="45"/>
      <c r="F136" s="45"/>
      <c r="G136"/>
    </row>
    <row r="137" spans="1:7" x14ac:dyDescent="0.25">
      <c r="A137"/>
      <c r="B137"/>
      <c r="C137"/>
      <c r="D137" s="37"/>
      <c r="E137" s="45"/>
      <c r="F137" s="45"/>
      <c r="G137"/>
    </row>
    <row r="138" spans="1:7" x14ac:dyDescent="0.25">
      <c r="A138"/>
      <c r="B138"/>
      <c r="C138"/>
      <c r="D138" s="37"/>
      <c r="E138" s="45"/>
      <c r="F138" s="45"/>
      <c r="G138"/>
    </row>
    <row r="139" spans="1:7" x14ac:dyDescent="0.25">
      <c r="A139"/>
      <c r="B139"/>
      <c r="C139"/>
      <c r="D139" s="37"/>
      <c r="E139" s="45"/>
      <c r="F139" s="45"/>
      <c r="G139"/>
    </row>
    <row r="140" spans="1:7" x14ac:dyDescent="0.25">
      <c r="A140"/>
      <c r="B140"/>
      <c r="C140"/>
      <c r="D140" s="37"/>
      <c r="E140" s="45"/>
      <c r="F140" s="45"/>
      <c r="G140"/>
    </row>
    <row r="141" spans="1:7" x14ac:dyDescent="0.25">
      <c r="A141"/>
      <c r="B141"/>
      <c r="C141"/>
      <c r="D141" s="37"/>
      <c r="E141" s="45"/>
      <c r="F141" s="45"/>
      <c r="G141"/>
    </row>
    <row r="142" spans="1:7" x14ac:dyDescent="0.25">
      <c r="A142"/>
      <c r="B142"/>
      <c r="C142"/>
      <c r="D142" s="37"/>
      <c r="E142" s="45"/>
      <c r="F142" s="45"/>
      <c r="G142"/>
    </row>
    <row r="143" spans="1:7" x14ac:dyDescent="0.25">
      <c r="A143"/>
      <c r="B143"/>
      <c r="C143"/>
      <c r="D143" s="37"/>
      <c r="E143" s="45"/>
      <c r="F143" s="45"/>
      <c r="G143"/>
    </row>
    <row r="144" spans="1:7" x14ac:dyDescent="0.25">
      <c r="A144"/>
      <c r="B144"/>
      <c r="C144"/>
      <c r="D144" s="37"/>
      <c r="E144" s="45"/>
      <c r="F144" s="45"/>
      <c r="G144"/>
    </row>
    <row r="145" spans="1:7" x14ac:dyDescent="0.25">
      <c r="A145"/>
      <c r="B145"/>
      <c r="C145"/>
      <c r="D145" s="37"/>
      <c r="E145" s="45"/>
      <c r="F145" s="45"/>
      <c r="G145"/>
    </row>
    <row r="146" spans="1:7" x14ac:dyDescent="0.25">
      <c r="A146"/>
      <c r="B146"/>
      <c r="C146"/>
      <c r="D146" s="37"/>
      <c r="E146" s="45"/>
      <c r="F146" s="45"/>
      <c r="G146"/>
    </row>
    <row r="147" spans="1:7" x14ac:dyDescent="0.25">
      <c r="A147"/>
      <c r="B147"/>
      <c r="C147"/>
      <c r="D147" s="37"/>
      <c r="E147" s="45"/>
      <c r="F147" s="45"/>
      <c r="G147"/>
    </row>
    <row r="148" spans="1:7" x14ac:dyDescent="0.25">
      <c r="A148"/>
      <c r="B148"/>
      <c r="C148"/>
      <c r="D148" s="37"/>
      <c r="E148" s="45"/>
      <c r="F148" s="45"/>
      <c r="G148"/>
    </row>
    <row r="149" spans="1:7" x14ac:dyDescent="0.25">
      <c r="A149"/>
      <c r="B149"/>
      <c r="C149"/>
      <c r="D149" s="37"/>
      <c r="E149" s="45"/>
      <c r="F149" s="45"/>
      <c r="G149"/>
    </row>
    <row r="150" spans="1:7" x14ac:dyDescent="0.25">
      <c r="A150"/>
      <c r="B150"/>
      <c r="C150"/>
      <c r="D150" s="37"/>
      <c r="E150" s="45"/>
      <c r="F150" s="45"/>
      <c r="G150"/>
    </row>
    <row r="151" spans="1:7" x14ac:dyDescent="0.25">
      <c r="A151"/>
      <c r="B151"/>
      <c r="C151"/>
      <c r="D151" s="37"/>
      <c r="E151" s="45"/>
      <c r="F151" s="45"/>
      <c r="G151"/>
    </row>
    <row r="152" spans="1:7" x14ac:dyDescent="0.25">
      <c r="A152"/>
      <c r="B152"/>
      <c r="C152"/>
      <c r="D152" s="37"/>
      <c r="E152" s="45"/>
      <c r="F152" s="45"/>
      <c r="G152"/>
    </row>
    <row r="153" spans="1:7" x14ac:dyDescent="0.25">
      <c r="A153"/>
      <c r="B153"/>
      <c r="C153"/>
      <c r="D153" s="37"/>
      <c r="E153" s="45"/>
      <c r="F153" s="45"/>
      <c r="G153"/>
    </row>
    <row r="154" spans="1:7" x14ac:dyDescent="0.25">
      <c r="A154"/>
      <c r="B154"/>
      <c r="C154"/>
      <c r="D154" s="37"/>
      <c r="E154" s="45"/>
      <c r="F154" s="45"/>
      <c r="G154"/>
    </row>
    <row r="155" spans="1:7" x14ac:dyDescent="0.25">
      <c r="A155"/>
      <c r="B155"/>
      <c r="C155"/>
      <c r="D155" s="37"/>
      <c r="E155" s="45"/>
      <c r="F155" s="45"/>
      <c r="G155"/>
    </row>
    <row r="156" spans="1:7" x14ac:dyDescent="0.25">
      <c r="A156"/>
      <c r="B156"/>
      <c r="C156"/>
      <c r="D156" s="37"/>
      <c r="E156" s="45"/>
      <c r="F156" s="45"/>
      <c r="G156"/>
    </row>
    <row r="157" spans="1:7" x14ac:dyDescent="0.25">
      <c r="A157"/>
      <c r="B157"/>
      <c r="C157"/>
      <c r="D157" s="37"/>
      <c r="E157" s="45"/>
      <c r="F157" s="45"/>
      <c r="G157"/>
    </row>
    <row r="158" spans="1:7" x14ac:dyDescent="0.25">
      <c r="A158"/>
      <c r="B158"/>
      <c r="C158"/>
      <c r="D158" s="37"/>
      <c r="E158" s="45"/>
      <c r="F158" s="45"/>
      <c r="G158"/>
    </row>
    <row r="159" spans="1:7" x14ac:dyDescent="0.25">
      <c r="A159"/>
      <c r="B159"/>
      <c r="C159"/>
      <c r="D159" s="37"/>
      <c r="E159" s="45"/>
      <c r="F159" s="45"/>
      <c r="G159"/>
    </row>
    <row r="160" spans="1:7" x14ac:dyDescent="0.25">
      <c r="A160"/>
      <c r="B160"/>
      <c r="C160"/>
      <c r="D160" s="37"/>
      <c r="E160" s="45"/>
      <c r="F160" s="45"/>
      <c r="G160"/>
    </row>
    <row r="161" spans="1:7" x14ac:dyDescent="0.25">
      <c r="A161"/>
      <c r="B161"/>
      <c r="C161"/>
      <c r="D161" s="37"/>
      <c r="E161" s="45"/>
      <c r="F161" s="45"/>
      <c r="G161"/>
    </row>
    <row r="162" spans="1:7" x14ac:dyDescent="0.25">
      <c r="A162"/>
      <c r="B162"/>
      <c r="C162"/>
      <c r="D162" s="37"/>
      <c r="E162" s="45"/>
      <c r="F162" s="45"/>
      <c r="G162"/>
    </row>
    <row r="163" spans="1:7" x14ac:dyDescent="0.25">
      <c r="A163"/>
      <c r="B163"/>
      <c r="C163"/>
      <c r="D163" s="37"/>
      <c r="E163" s="45"/>
      <c r="F163" s="45"/>
      <c r="G163"/>
    </row>
    <row r="164" spans="1:7" x14ac:dyDescent="0.25">
      <c r="A164"/>
      <c r="B164"/>
      <c r="C164"/>
      <c r="D164" s="37"/>
      <c r="E164" s="45"/>
      <c r="F164" s="45"/>
      <c r="G164"/>
    </row>
    <row r="165" spans="1:7" x14ac:dyDescent="0.25">
      <c r="A165"/>
      <c r="B165"/>
      <c r="C165"/>
      <c r="D165" s="37"/>
      <c r="E165" s="45"/>
      <c r="F165" s="45"/>
      <c r="G165"/>
    </row>
    <row r="166" spans="1:7" x14ac:dyDescent="0.25">
      <c r="A166"/>
      <c r="B166"/>
      <c r="C166"/>
      <c r="D166" s="37"/>
      <c r="E166" s="45"/>
      <c r="F166" s="45"/>
      <c r="G166"/>
    </row>
    <row r="167" spans="1:7" x14ac:dyDescent="0.25">
      <c r="A167"/>
      <c r="B167"/>
      <c r="C167"/>
      <c r="D167" s="37"/>
      <c r="E167" s="45"/>
      <c r="F167" s="45"/>
      <c r="G167"/>
    </row>
    <row r="168" spans="1:7" x14ac:dyDescent="0.25">
      <c r="A168"/>
      <c r="B168"/>
      <c r="C168"/>
      <c r="D168" s="37"/>
      <c r="E168" s="45"/>
      <c r="F168" s="45"/>
      <c r="G168"/>
    </row>
    <row r="169" spans="1:7" x14ac:dyDescent="0.25">
      <c r="A169"/>
      <c r="B169"/>
      <c r="C169"/>
      <c r="D169" s="37"/>
      <c r="E169" s="45"/>
      <c r="F169" s="45"/>
      <c r="G169"/>
    </row>
    <row r="170" spans="1:7" x14ac:dyDescent="0.25">
      <c r="A170"/>
      <c r="B170"/>
      <c r="C170"/>
      <c r="D170" s="37"/>
      <c r="E170" s="45"/>
      <c r="F170" s="45"/>
      <c r="G170"/>
    </row>
    <row r="171" spans="1:7" x14ac:dyDescent="0.25">
      <c r="A171"/>
      <c r="B171"/>
      <c r="C171"/>
      <c r="D171" s="37"/>
      <c r="E171" s="45"/>
      <c r="F171" s="45"/>
      <c r="G171"/>
    </row>
    <row r="172" spans="1:7" x14ac:dyDescent="0.25">
      <c r="A172"/>
      <c r="B172"/>
      <c r="C172"/>
      <c r="D172" s="37"/>
      <c r="E172" s="45"/>
      <c r="F172" s="45"/>
      <c r="G172"/>
    </row>
    <row r="173" spans="1:7" x14ac:dyDescent="0.25">
      <c r="A173"/>
      <c r="B173"/>
      <c r="C173"/>
      <c r="D173" s="37"/>
      <c r="E173" s="45"/>
      <c r="F173" s="45"/>
      <c r="G173"/>
    </row>
    <row r="174" spans="1:7" x14ac:dyDescent="0.25">
      <c r="A174"/>
      <c r="B174"/>
      <c r="C174"/>
      <c r="D174" s="37"/>
      <c r="E174" s="45"/>
      <c r="F174" s="45"/>
      <c r="G174"/>
    </row>
    <row r="175" spans="1:7" x14ac:dyDescent="0.25">
      <c r="A175"/>
      <c r="B175"/>
      <c r="C175"/>
      <c r="D175" s="37"/>
      <c r="E175" s="45"/>
      <c r="F175" s="45"/>
      <c r="G175"/>
    </row>
    <row r="176" spans="1:7" x14ac:dyDescent="0.25">
      <c r="A176"/>
      <c r="B176"/>
      <c r="C176"/>
      <c r="D176" s="37"/>
      <c r="E176" s="45"/>
      <c r="F176" s="45"/>
      <c r="G176"/>
    </row>
    <row r="177" spans="1:7" x14ac:dyDescent="0.25">
      <c r="A177"/>
      <c r="B177"/>
      <c r="C177"/>
      <c r="D177" s="37"/>
      <c r="E177" s="45"/>
      <c r="F177" s="45"/>
      <c r="G177"/>
    </row>
    <row r="178" spans="1:7" x14ac:dyDescent="0.25">
      <c r="A178"/>
      <c r="B178"/>
      <c r="C178"/>
      <c r="D178" s="37"/>
      <c r="E178" s="45"/>
      <c r="F178" s="45"/>
      <c r="G178"/>
    </row>
    <row r="179" spans="1:7" x14ac:dyDescent="0.25">
      <c r="A179"/>
      <c r="B179"/>
      <c r="C179"/>
      <c r="D179" s="37"/>
      <c r="E179" s="45"/>
      <c r="F179" s="45"/>
      <c r="G179"/>
    </row>
    <row r="180" spans="1:7" x14ac:dyDescent="0.25">
      <c r="A180"/>
      <c r="B180"/>
      <c r="C180"/>
      <c r="D180" s="37"/>
      <c r="E180" s="45"/>
      <c r="F180" s="45"/>
      <c r="G180"/>
    </row>
    <row r="181" spans="1:7" x14ac:dyDescent="0.25">
      <c r="A181"/>
      <c r="B181"/>
      <c r="C181"/>
      <c r="D181" s="37"/>
      <c r="E181" s="45"/>
      <c r="F181" s="45"/>
      <c r="G181"/>
    </row>
    <row r="182" spans="1:7" x14ac:dyDescent="0.25">
      <c r="A182"/>
      <c r="B182"/>
      <c r="C182"/>
      <c r="D182" s="37"/>
      <c r="E182" s="45"/>
      <c r="F182" s="45"/>
      <c r="G182"/>
    </row>
    <row r="183" spans="1:7" x14ac:dyDescent="0.25">
      <c r="A183"/>
      <c r="B183"/>
      <c r="C183"/>
      <c r="D183" s="37"/>
      <c r="E183" s="45"/>
      <c r="F183" s="45"/>
      <c r="G183"/>
    </row>
    <row r="184" spans="1:7" x14ac:dyDescent="0.25">
      <c r="A184"/>
      <c r="B184"/>
      <c r="C184"/>
      <c r="D184" s="37"/>
      <c r="E184" s="45"/>
      <c r="F184" s="45"/>
      <c r="G184"/>
    </row>
    <row r="185" spans="1:7" x14ac:dyDescent="0.25">
      <c r="A185"/>
      <c r="B185"/>
      <c r="C185"/>
      <c r="D185" s="37"/>
      <c r="E185" s="45"/>
      <c r="F185" s="45"/>
      <c r="G185"/>
    </row>
    <row r="186" spans="1:7" x14ac:dyDescent="0.25">
      <c r="A186"/>
      <c r="B186"/>
      <c r="C186"/>
      <c r="D186" s="37"/>
      <c r="E186" s="45"/>
      <c r="F186" s="45"/>
      <c r="G186"/>
    </row>
    <row r="187" spans="1:7" x14ac:dyDescent="0.25">
      <c r="A187"/>
      <c r="B187"/>
      <c r="C187"/>
      <c r="D187" s="37"/>
      <c r="E187" s="45"/>
      <c r="F187" s="45"/>
      <c r="G187"/>
    </row>
    <row r="188" spans="1:7" x14ac:dyDescent="0.25">
      <c r="A188"/>
      <c r="B188"/>
      <c r="C188"/>
      <c r="D188" s="37"/>
      <c r="E188" s="45"/>
      <c r="F188" s="45"/>
      <c r="G188"/>
    </row>
    <row r="189" spans="1:7" x14ac:dyDescent="0.25">
      <c r="A189"/>
      <c r="B189"/>
      <c r="C189"/>
      <c r="D189" s="37"/>
      <c r="E189" s="45"/>
      <c r="F189" s="45"/>
      <c r="G189"/>
    </row>
    <row r="190" spans="1:7" x14ac:dyDescent="0.25">
      <c r="A190"/>
      <c r="B190"/>
      <c r="C190"/>
      <c r="D190" s="37"/>
      <c r="E190" s="45"/>
      <c r="F190" s="45"/>
      <c r="G190"/>
    </row>
    <row r="191" spans="1:7" x14ac:dyDescent="0.25">
      <c r="A191"/>
      <c r="B191"/>
      <c r="C191"/>
      <c r="D191" s="37"/>
      <c r="E191" s="45"/>
      <c r="F191" s="45"/>
      <c r="G191"/>
    </row>
    <row r="192" spans="1:7" x14ac:dyDescent="0.25">
      <c r="A192"/>
      <c r="B192"/>
      <c r="C192"/>
      <c r="D192" s="37"/>
      <c r="E192" s="45"/>
      <c r="F192" s="45"/>
      <c r="G192"/>
    </row>
    <row r="193" spans="1:7" x14ac:dyDescent="0.25">
      <c r="A193"/>
      <c r="B193"/>
      <c r="C193"/>
      <c r="D193" s="37"/>
      <c r="E193" s="45"/>
      <c r="F193" s="45"/>
      <c r="G193"/>
    </row>
    <row r="194" spans="1:7" x14ac:dyDescent="0.25">
      <c r="A194"/>
      <c r="B194"/>
      <c r="C194"/>
      <c r="D194" s="37"/>
      <c r="E194" s="45"/>
      <c r="F194" s="45"/>
      <c r="G194"/>
    </row>
    <row r="195" spans="1:7" x14ac:dyDescent="0.25">
      <c r="A195"/>
      <c r="B195"/>
      <c r="C195"/>
      <c r="D195" s="37"/>
      <c r="E195" s="45"/>
      <c r="F195" s="45"/>
      <c r="G195"/>
    </row>
    <row r="196" spans="1:7" x14ac:dyDescent="0.25">
      <c r="A196"/>
      <c r="B196"/>
      <c r="C196"/>
      <c r="D196" s="37"/>
      <c r="E196" s="45"/>
      <c r="F196" s="45"/>
      <c r="G196"/>
    </row>
    <row r="197" spans="1:7" x14ac:dyDescent="0.25">
      <c r="A197"/>
      <c r="B197"/>
      <c r="C197"/>
      <c r="D197" s="37"/>
      <c r="E197" s="45"/>
      <c r="F197" s="45"/>
      <c r="G197"/>
    </row>
    <row r="198" spans="1:7" x14ac:dyDescent="0.25">
      <c r="A198"/>
      <c r="B198"/>
      <c r="C198"/>
      <c r="D198" s="37"/>
      <c r="E198" s="45"/>
      <c r="F198" s="45"/>
      <c r="G198"/>
    </row>
    <row r="199" spans="1:7" x14ac:dyDescent="0.25">
      <c r="A199"/>
      <c r="B199"/>
      <c r="C199"/>
      <c r="D199" s="37"/>
      <c r="E199" s="45"/>
      <c r="F199" s="45"/>
      <c r="G199"/>
    </row>
    <row r="200" spans="1:7" x14ac:dyDescent="0.25">
      <c r="A200"/>
      <c r="B200"/>
      <c r="C200"/>
      <c r="D200" s="37"/>
      <c r="E200" s="45"/>
      <c r="F200" s="45"/>
      <c r="G200"/>
    </row>
    <row r="201" spans="1:7" x14ac:dyDescent="0.25">
      <c r="A201"/>
      <c r="B201"/>
      <c r="C201"/>
      <c r="D201" s="37"/>
      <c r="E201" s="45"/>
      <c r="F201" s="45"/>
      <c r="G201"/>
    </row>
    <row r="202" spans="1:7" x14ac:dyDescent="0.25">
      <c r="A202"/>
      <c r="B202"/>
      <c r="C202"/>
      <c r="D202" s="37"/>
      <c r="E202" s="45"/>
      <c r="F202" s="45"/>
      <c r="G202"/>
    </row>
    <row r="203" spans="1:7" x14ac:dyDescent="0.25">
      <c r="A203"/>
      <c r="B203"/>
      <c r="C203"/>
      <c r="D203" s="37"/>
      <c r="E203" s="45"/>
      <c r="F203" s="45"/>
      <c r="G203"/>
    </row>
    <row r="204" spans="1:7" x14ac:dyDescent="0.25">
      <c r="A204"/>
      <c r="B204"/>
      <c r="C204"/>
      <c r="D204" s="37"/>
      <c r="E204" s="45"/>
      <c r="F204" s="45"/>
      <c r="G204"/>
    </row>
    <row r="205" spans="1:7" x14ac:dyDescent="0.25">
      <c r="A205"/>
      <c r="B205"/>
      <c r="C205"/>
      <c r="D205" s="37"/>
      <c r="E205" s="45"/>
      <c r="F205" s="45"/>
      <c r="G205"/>
    </row>
    <row r="206" spans="1:7" x14ac:dyDescent="0.25">
      <c r="A206"/>
      <c r="B206"/>
      <c r="C206"/>
      <c r="D206" s="37"/>
      <c r="E206" s="45"/>
      <c r="F206" s="45"/>
      <c r="G206"/>
    </row>
    <row r="207" spans="1:7" x14ac:dyDescent="0.25">
      <c r="A207"/>
      <c r="B207"/>
      <c r="C207"/>
      <c r="D207" s="37"/>
      <c r="E207" s="45"/>
      <c r="F207" s="45"/>
      <c r="G207"/>
    </row>
    <row r="208" spans="1:7" x14ac:dyDescent="0.25">
      <c r="A208"/>
      <c r="B208"/>
      <c r="C208"/>
      <c r="D208" s="37"/>
      <c r="E208" s="45"/>
      <c r="F208" s="45"/>
      <c r="G208"/>
    </row>
    <row r="209" spans="1:7" x14ac:dyDescent="0.25">
      <c r="A209"/>
      <c r="B209"/>
      <c r="C209"/>
      <c r="D209" s="37"/>
      <c r="E209" s="45"/>
      <c r="F209" s="45"/>
      <c r="G209"/>
    </row>
    <row r="210" spans="1:7" x14ac:dyDescent="0.25">
      <c r="A210"/>
      <c r="B210"/>
      <c r="C210"/>
      <c r="D210" s="37"/>
      <c r="E210" s="45"/>
      <c r="F210" s="45"/>
      <c r="G210"/>
    </row>
    <row r="211" spans="1:7" x14ac:dyDescent="0.25">
      <c r="A211"/>
      <c r="B211"/>
      <c r="C211"/>
      <c r="D211" s="37"/>
      <c r="E211" s="45"/>
      <c r="F211" s="45"/>
      <c r="G211"/>
    </row>
    <row r="212" spans="1:7" x14ac:dyDescent="0.25">
      <c r="A212"/>
      <c r="B212"/>
      <c r="C212"/>
      <c r="D212" s="37"/>
      <c r="E212" s="45"/>
      <c r="F212" s="45"/>
      <c r="G212"/>
    </row>
    <row r="213" spans="1:7" x14ac:dyDescent="0.25">
      <c r="A213"/>
      <c r="B213"/>
      <c r="C213"/>
      <c r="D213" s="37"/>
      <c r="E213" s="45"/>
      <c r="F213" s="45"/>
      <c r="G213"/>
    </row>
    <row r="214" spans="1:7" x14ac:dyDescent="0.25">
      <c r="A214"/>
      <c r="B214"/>
      <c r="C214"/>
      <c r="D214" s="37"/>
      <c r="E214" s="45"/>
      <c r="F214" s="45"/>
      <c r="G214"/>
    </row>
    <row r="215" spans="1:7" x14ac:dyDescent="0.25">
      <c r="A215"/>
      <c r="B215"/>
      <c r="C215"/>
      <c r="D215" s="37"/>
      <c r="E215" s="45"/>
      <c r="F215" s="45"/>
      <c r="G215"/>
    </row>
    <row r="216" spans="1:7" x14ac:dyDescent="0.25">
      <c r="A216"/>
      <c r="B216"/>
      <c r="C216"/>
      <c r="D216" s="37"/>
      <c r="E216" s="45"/>
      <c r="F216" s="45"/>
      <c r="G216"/>
    </row>
    <row r="217" spans="1:7" x14ac:dyDescent="0.25">
      <c r="A217"/>
      <c r="B217"/>
      <c r="C217"/>
      <c r="D217" s="37"/>
      <c r="E217" s="45"/>
      <c r="F217" s="45"/>
      <c r="G217"/>
    </row>
    <row r="218" spans="1:7" x14ac:dyDescent="0.25">
      <c r="A218"/>
      <c r="B218"/>
      <c r="C218"/>
      <c r="D218" s="37"/>
      <c r="E218" s="45"/>
      <c r="F218" s="45"/>
      <c r="G218"/>
    </row>
    <row r="219" spans="1:7" x14ac:dyDescent="0.25">
      <c r="A219"/>
      <c r="B219"/>
      <c r="C219"/>
      <c r="D219" s="37"/>
      <c r="E219" s="45"/>
      <c r="F219" s="45"/>
      <c r="G219"/>
    </row>
    <row r="220" spans="1:7" x14ac:dyDescent="0.25">
      <c r="A220"/>
      <c r="B220"/>
      <c r="C220"/>
      <c r="D220" s="37"/>
      <c r="E220" s="45"/>
      <c r="F220" s="45"/>
      <c r="G220"/>
    </row>
    <row r="221" spans="1:7" x14ac:dyDescent="0.25">
      <c r="A221"/>
      <c r="B221"/>
      <c r="C221"/>
      <c r="D221" s="37"/>
      <c r="E221" s="45"/>
      <c r="F221" s="45"/>
      <c r="G221"/>
    </row>
    <row r="222" spans="1:7" x14ac:dyDescent="0.25">
      <c r="A222"/>
      <c r="B222"/>
      <c r="C222"/>
      <c r="D222" s="37"/>
      <c r="E222" s="45"/>
      <c r="F222" s="45"/>
      <c r="G222"/>
    </row>
    <row r="223" spans="1:7" x14ac:dyDescent="0.25">
      <c r="A223"/>
      <c r="B223"/>
      <c r="C223"/>
      <c r="D223" s="37"/>
      <c r="E223" s="45"/>
      <c r="F223" s="45"/>
      <c r="G223"/>
    </row>
    <row r="224" spans="1:7" x14ac:dyDescent="0.25">
      <c r="A224"/>
      <c r="B224"/>
      <c r="C224"/>
      <c r="D224" s="37"/>
      <c r="E224" s="45"/>
      <c r="F224" s="45"/>
      <c r="G224"/>
    </row>
    <row r="225" spans="1:7" x14ac:dyDescent="0.25">
      <c r="A225"/>
      <c r="B225"/>
      <c r="C225"/>
      <c r="D225" s="37"/>
      <c r="E225" s="45"/>
      <c r="F225" s="45"/>
      <c r="G225"/>
    </row>
    <row r="226" spans="1:7" x14ac:dyDescent="0.25">
      <c r="A226"/>
      <c r="B226"/>
      <c r="C226"/>
      <c r="D226" s="37"/>
      <c r="E226" s="45"/>
      <c r="F226" s="45"/>
      <c r="G226"/>
    </row>
    <row r="227" spans="1:7" x14ac:dyDescent="0.25">
      <c r="A227"/>
      <c r="B227"/>
      <c r="C227"/>
      <c r="D227" s="37"/>
      <c r="E227" s="45"/>
      <c r="F227" s="45"/>
      <c r="G227"/>
    </row>
    <row r="228" spans="1:7" x14ac:dyDescent="0.25">
      <c r="A228"/>
      <c r="B228"/>
      <c r="C228"/>
      <c r="D228" s="37"/>
      <c r="E228" s="45"/>
      <c r="F228" s="45"/>
      <c r="G228"/>
    </row>
    <row r="229" spans="1:7" x14ac:dyDescent="0.25">
      <c r="A229"/>
      <c r="B229"/>
      <c r="C229"/>
      <c r="D229" s="37"/>
      <c r="E229" s="45"/>
      <c r="F229" s="45"/>
      <c r="G229"/>
    </row>
    <row r="230" spans="1:7" x14ac:dyDescent="0.25">
      <c r="A230"/>
      <c r="B230"/>
      <c r="C230"/>
      <c r="D230" s="37"/>
      <c r="E230" s="45"/>
      <c r="F230" s="45"/>
      <c r="G230"/>
    </row>
    <row r="231" spans="1:7" x14ac:dyDescent="0.25">
      <c r="A231"/>
      <c r="B231"/>
      <c r="C231"/>
      <c r="D231" s="37"/>
      <c r="E231" s="45"/>
      <c r="F231" s="45"/>
      <c r="G231"/>
    </row>
    <row r="232" spans="1:7" x14ac:dyDescent="0.25">
      <c r="A232"/>
      <c r="B232"/>
      <c r="C232"/>
      <c r="D232" s="37"/>
      <c r="E232" s="45"/>
      <c r="F232" s="45"/>
      <c r="G232"/>
    </row>
    <row r="233" spans="1:7" x14ac:dyDescent="0.25">
      <c r="A233"/>
      <c r="B233"/>
      <c r="C233"/>
      <c r="D233" s="37"/>
      <c r="E233" s="45"/>
      <c r="F233" s="45"/>
      <c r="G233"/>
    </row>
    <row r="234" spans="1:7" x14ac:dyDescent="0.25">
      <c r="A234"/>
      <c r="B234"/>
      <c r="C234"/>
      <c r="D234" s="37"/>
      <c r="E234" s="45"/>
      <c r="F234" s="45"/>
      <c r="G234"/>
    </row>
    <row r="235" spans="1:7" x14ac:dyDescent="0.25">
      <c r="A235"/>
      <c r="B235"/>
      <c r="C235"/>
      <c r="D235" s="37"/>
      <c r="E235" s="45"/>
      <c r="F235" s="45"/>
      <c r="G235"/>
    </row>
    <row r="236" spans="1:7" x14ac:dyDescent="0.25">
      <c r="A236"/>
      <c r="B236"/>
      <c r="C236"/>
      <c r="D236" s="37"/>
      <c r="E236" s="45"/>
      <c r="F236" s="45"/>
      <c r="G236"/>
    </row>
    <row r="237" spans="1:7" x14ac:dyDescent="0.25">
      <c r="A237"/>
      <c r="B237"/>
      <c r="C237"/>
      <c r="D237" s="37"/>
      <c r="E237" s="45"/>
      <c r="F237" s="45"/>
      <c r="G237"/>
    </row>
    <row r="238" spans="1:7" x14ac:dyDescent="0.25">
      <c r="A238"/>
      <c r="B238"/>
      <c r="C238"/>
      <c r="D238" s="37"/>
      <c r="E238" s="45"/>
      <c r="F238" s="45"/>
      <c r="G238"/>
    </row>
    <row r="239" spans="1:7" x14ac:dyDescent="0.25">
      <c r="A239"/>
      <c r="B239"/>
      <c r="C239"/>
      <c r="D239" s="37"/>
      <c r="E239" s="45"/>
      <c r="F239" s="45"/>
      <c r="G239"/>
    </row>
    <row r="240" spans="1:7" x14ac:dyDescent="0.25">
      <c r="A240"/>
      <c r="B240"/>
      <c r="C240"/>
      <c r="D240" s="37"/>
      <c r="E240" s="45"/>
      <c r="F240" s="45"/>
      <c r="G240"/>
    </row>
    <row r="241" spans="1:7" x14ac:dyDescent="0.25">
      <c r="A241"/>
      <c r="B241"/>
      <c r="C241"/>
      <c r="D241" s="37"/>
      <c r="E241" s="45"/>
      <c r="F241" s="45"/>
      <c r="G241"/>
    </row>
    <row r="242" spans="1:7" x14ac:dyDescent="0.25">
      <c r="A242"/>
      <c r="B242"/>
      <c r="C242"/>
      <c r="D242" s="37"/>
      <c r="E242" s="45"/>
      <c r="F242" s="45"/>
      <c r="G242"/>
    </row>
    <row r="243" spans="1:7" x14ac:dyDescent="0.25">
      <c r="A243"/>
      <c r="B243"/>
      <c r="C243"/>
      <c r="D243" s="37"/>
      <c r="E243" s="45"/>
      <c r="F243" s="45"/>
      <c r="G243"/>
    </row>
    <row r="244" spans="1:7" x14ac:dyDescent="0.25">
      <c r="A244"/>
      <c r="B244"/>
      <c r="C244"/>
      <c r="D244" s="37"/>
      <c r="E244" s="45"/>
      <c r="F244" s="45"/>
      <c r="G244"/>
    </row>
    <row r="245" spans="1:7" x14ac:dyDescent="0.25">
      <c r="A245"/>
      <c r="B245"/>
      <c r="C245"/>
      <c r="D245" s="37"/>
      <c r="E245" s="45"/>
      <c r="F245" s="45"/>
      <c r="G245"/>
    </row>
    <row r="246" spans="1:7" x14ac:dyDescent="0.25">
      <c r="A246"/>
      <c r="B246"/>
      <c r="C246"/>
      <c r="D246" s="37"/>
      <c r="E246" s="45"/>
      <c r="F246" s="45"/>
      <c r="G246"/>
    </row>
    <row r="247" spans="1:7" x14ac:dyDescent="0.25">
      <c r="A247"/>
      <c r="B247"/>
      <c r="C247"/>
      <c r="D247" s="37"/>
      <c r="E247" s="45"/>
      <c r="F247" s="45"/>
      <c r="G247"/>
    </row>
    <row r="248" spans="1:7" x14ac:dyDescent="0.25">
      <c r="A248"/>
      <c r="B248"/>
      <c r="C248"/>
      <c r="D248" s="37"/>
      <c r="E248" s="45"/>
      <c r="F248" s="45"/>
      <c r="G248"/>
    </row>
    <row r="249" spans="1:7" x14ac:dyDescent="0.25">
      <c r="A249"/>
      <c r="B249"/>
      <c r="C249"/>
      <c r="D249" s="37"/>
      <c r="E249" s="45"/>
      <c r="F249" s="45"/>
      <c r="G249"/>
    </row>
    <row r="250" spans="1:7" x14ac:dyDescent="0.25">
      <c r="A250"/>
      <c r="B250"/>
      <c r="C250"/>
      <c r="D250" s="37"/>
      <c r="E250" s="45"/>
      <c r="F250" s="45"/>
      <c r="G250"/>
    </row>
    <row r="251" spans="1:7" x14ac:dyDescent="0.25">
      <c r="A251"/>
      <c r="B251"/>
      <c r="C251"/>
      <c r="D251" s="37"/>
      <c r="E251" s="45"/>
      <c r="F251" s="45"/>
      <c r="G251"/>
    </row>
    <row r="252" spans="1:7" x14ac:dyDescent="0.25">
      <c r="A252"/>
      <c r="B252"/>
      <c r="C252"/>
      <c r="D252" s="37"/>
      <c r="E252" s="45"/>
      <c r="F252" s="45"/>
      <c r="G252"/>
    </row>
    <row r="253" spans="1:7" x14ac:dyDescent="0.25">
      <c r="A253"/>
      <c r="B253"/>
      <c r="C253"/>
      <c r="D253" s="37"/>
      <c r="E253" s="45"/>
      <c r="F253" s="45"/>
      <c r="G253"/>
    </row>
    <row r="254" spans="1:7" x14ac:dyDescent="0.25">
      <c r="A254"/>
      <c r="B254"/>
      <c r="C254"/>
      <c r="D254" s="37"/>
      <c r="E254" s="45"/>
      <c r="F254" s="45"/>
      <c r="G254"/>
    </row>
    <row r="255" spans="1:7" x14ac:dyDescent="0.25">
      <c r="A255"/>
      <c r="B255"/>
      <c r="C255"/>
      <c r="D255" s="37"/>
      <c r="E255" s="45"/>
      <c r="F255" s="45"/>
      <c r="G255"/>
    </row>
    <row r="256" spans="1:7" x14ac:dyDescent="0.25">
      <c r="A256"/>
      <c r="B256"/>
      <c r="C256"/>
      <c r="D256" s="37"/>
      <c r="E256" s="45"/>
      <c r="F256" s="45"/>
      <c r="G256"/>
    </row>
    <row r="257" spans="1:7" x14ac:dyDescent="0.25">
      <c r="A257"/>
      <c r="B257"/>
      <c r="C257"/>
      <c r="D257" s="37"/>
      <c r="E257" s="45"/>
      <c r="F257" s="45"/>
      <c r="G257"/>
    </row>
    <row r="258" spans="1:7" x14ac:dyDescent="0.25">
      <c r="A258"/>
      <c r="B258"/>
      <c r="C258"/>
      <c r="D258" s="37"/>
      <c r="E258" s="45"/>
      <c r="F258" s="45"/>
      <c r="G258"/>
    </row>
    <row r="259" spans="1:7" x14ac:dyDescent="0.25">
      <c r="A259"/>
      <c r="B259"/>
      <c r="C259"/>
      <c r="D259" s="37"/>
      <c r="E259" s="45"/>
      <c r="F259" s="45"/>
      <c r="G259"/>
    </row>
    <row r="260" spans="1:7" x14ac:dyDescent="0.25">
      <c r="A260"/>
      <c r="B260"/>
      <c r="C260"/>
      <c r="D260" s="37"/>
      <c r="E260" s="45"/>
      <c r="F260" s="45"/>
      <c r="G260"/>
    </row>
    <row r="261" spans="1:7" x14ac:dyDescent="0.25">
      <c r="A261"/>
      <c r="B261"/>
      <c r="C261"/>
      <c r="D261" s="37"/>
      <c r="E261" s="45"/>
      <c r="F261" s="45"/>
      <c r="G261"/>
    </row>
    <row r="262" spans="1:7" x14ac:dyDescent="0.25">
      <c r="A262"/>
      <c r="B262"/>
      <c r="C262"/>
      <c r="D262" s="37"/>
      <c r="E262" s="45"/>
      <c r="F262" s="45"/>
      <c r="G262"/>
    </row>
    <row r="263" spans="1:7" x14ac:dyDescent="0.25">
      <c r="A263"/>
      <c r="B263"/>
      <c r="C263"/>
      <c r="D263" s="37"/>
      <c r="E263" s="45"/>
      <c r="F263" s="45"/>
      <c r="G263"/>
    </row>
    <row r="264" spans="1:7" x14ac:dyDescent="0.25">
      <c r="A264"/>
      <c r="B264"/>
      <c r="C264"/>
      <c r="D264" s="37"/>
      <c r="E264" s="45"/>
      <c r="F264" s="45"/>
      <c r="G264"/>
    </row>
    <row r="265" spans="1:7" x14ac:dyDescent="0.25">
      <c r="A265"/>
      <c r="B265"/>
      <c r="C265"/>
      <c r="D265" s="37"/>
      <c r="E265" s="45"/>
      <c r="F265" s="45"/>
      <c r="G265"/>
    </row>
    <row r="266" spans="1:7" x14ac:dyDescent="0.25">
      <c r="A266"/>
      <c r="B266"/>
      <c r="C266"/>
      <c r="D266" s="37"/>
      <c r="E266" s="45"/>
      <c r="F266" s="45"/>
      <c r="G266"/>
    </row>
    <row r="267" spans="1:7" x14ac:dyDescent="0.25">
      <c r="A267"/>
      <c r="B267"/>
      <c r="C267"/>
      <c r="D267" s="37"/>
      <c r="E267" s="45"/>
      <c r="F267" s="45"/>
      <c r="G267"/>
    </row>
    <row r="268" spans="1:7" x14ac:dyDescent="0.25">
      <c r="A268"/>
      <c r="B268"/>
      <c r="C268"/>
      <c r="D268" s="37"/>
      <c r="E268" s="45"/>
      <c r="F268" s="45"/>
      <c r="G268"/>
    </row>
    <row r="269" spans="1:7" x14ac:dyDescent="0.25">
      <c r="A269"/>
      <c r="B269"/>
      <c r="C269"/>
      <c r="D269" s="37"/>
      <c r="E269" s="45"/>
      <c r="F269" s="45"/>
      <c r="G269"/>
    </row>
    <row r="270" spans="1:7" x14ac:dyDescent="0.25">
      <c r="A270"/>
      <c r="B270"/>
      <c r="C270"/>
      <c r="D270" s="37"/>
      <c r="E270" s="45"/>
      <c r="F270" s="45"/>
      <c r="G270"/>
    </row>
    <row r="271" spans="1:7" x14ac:dyDescent="0.25">
      <c r="A271"/>
      <c r="B271"/>
      <c r="C271"/>
      <c r="D271" s="37"/>
      <c r="E271" s="45"/>
      <c r="F271" s="45"/>
      <c r="G271"/>
    </row>
    <row r="272" spans="1:7" x14ac:dyDescent="0.25">
      <c r="A272"/>
      <c r="B272"/>
      <c r="C272"/>
      <c r="D272" s="37"/>
      <c r="E272" s="45"/>
      <c r="F272" s="45"/>
      <c r="G272"/>
    </row>
    <row r="273" spans="1:7" x14ac:dyDescent="0.25">
      <c r="A273"/>
      <c r="B273"/>
      <c r="C273"/>
      <c r="D273" s="37"/>
      <c r="E273" s="45"/>
      <c r="F273" s="45"/>
      <c r="G273"/>
    </row>
    <row r="274" spans="1:7" x14ac:dyDescent="0.25">
      <c r="A274"/>
      <c r="B274"/>
      <c r="C274"/>
      <c r="D274" s="37"/>
      <c r="E274" s="45"/>
      <c r="F274" s="45"/>
      <c r="G274"/>
    </row>
    <row r="275" spans="1:7" x14ac:dyDescent="0.25">
      <c r="A275"/>
      <c r="B275"/>
      <c r="C275"/>
      <c r="D275" s="37"/>
      <c r="E275" s="45"/>
      <c r="F275" s="45"/>
      <c r="G275"/>
    </row>
    <row r="276" spans="1:7" x14ac:dyDescent="0.25">
      <c r="A276"/>
      <c r="B276"/>
      <c r="C276"/>
      <c r="D276" s="37"/>
      <c r="E276" s="45"/>
      <c r="F276" s="45"/>
      <c r="G276"/>
    </row>
    <row r="277" spans="1:7" x14ac:dyDescent="0.25">
      <c r="A277"/>
      <c r="B277"/>
      <c r="C277"/>
      <c r="D277" s="37"/>
      <c r="E277" s="45"/>
      <c r="F277" s="45"/>
      <c r="G277"/>
    </row>
    <row r="278" spans="1:7" x14ac:dyDescent="0.25">
      <c r="A278"/>
      <c r="B278"/>
      <c r="C278"/>
      <c r="D278" s="37"/>
      <c r="E278" s="45"/>
      <c r="F278" s="45"/>
      <c r="G278"/>
    </row>
    <row r="279" spans="1:7" x14ac:dyDescent="0.25">
      <c r="A279"/>
      <c r="B279"/>
      <c r="C279"/>
      <c r="D279" s="37"/>
      <c r="E279" s="45"/>
      <c r="F279" s="45"/>
      <c r="G279"/>
    </row>
    <row r="280" spans="1:7" x14ac:dyDescent="0.25">
      <c r="A280"/>
      <c r="B280"/>
      <c r="C280"/>
      <c r="D280" s="37"/>
      <c r="E280" s="45"/>
      <c r="F280" s="45"/>
      <c r="G280"/>
    </row>
    <row r="281" spans="1:7" x14ac:dyDescent="0.25">
      <c r="A281"/>
      <c r="B281"/>
      <c r="C281"/>
      <c r="D281" s="37"/>
      <c r="E281" s="45"/>
      <c r="F281" s="45"/>
      <c r="G281"/>
    </row>
    <row r="282" spans="1:7" x14ac:dyDescent="0.25">
      <c r="A282"/>
      <c r="B282"/>
      <c r="C282"/>
      <c r="D282" s="37"/>
      <c r="E282" s="45"/>
      <c r="F282" s="45"/>
      <c r="G282"/>
    </row>
    <row r="283" spans="1:7" x14ac:dyDescent="0.25">
      <c r="A283"/>
      <c r="B283"/>
      <c r="C283"/>
      <c r="D283" s="37"/>
      <c r="E283" s="45"/>
      <c r="F283" s="45"/>
      <c r="G283"/>
    </row>
    <row r="284" spans="1:7" x14ac:dyDescent="0.25">
      <c r="A284"/>
      <c r="B284"/>
      <c r="C284"/>
      <c r="D284" s="37"/>
      <c r="E284" s="45"/>
      <c r="F284" s="45"/>
      <c r="G284"/>
    </row>
    <row r="285" spans="1:7" x14ac:dyDescent="0.25">
      <c r="A285"/>
      <c r="B285"/>
      <c r="C285"/>
      <c r="D285" s="37"/>
      <c r="E285" s="45"/>
      <c r="F285" s="45"/>
      <c r="G285"/>
    </row>
    <row r="286" spans="1:7" x14ac:dyDescent="0.25">
      <c r="A286"/>
      <c r="B286"/>
      <c r="C286"/>
      <c r="D286" s="37"/>
      <c r="E286" s="45"/>
      <c r="F286" s="45"/>
      <c r="G286"/>
    </row>
    <row r="287" spans="1:7" x14ac:dyDescent="0.25">
      <c r="A287"/>
      <c r="B287"/>
      <c r="C287"/>
      <c r="D287" s="37"/>
      <c r="E287" s="45"/>
      <c r="F287" s="45"/>
      <c r="G287"/>
    </row>
    <row r="288" spans="1:7" x14ac:dyDescent="0.25">
      <c r="A288"/>
      <c r="B288"/>
      <c r="C288"/>
      <c r="D288" s="37"/>
      <c r="E288" s="45"/>
      <c r="F288" s="45"/>
      <c r="G288"/>
    </row>
    <row r="289" spans="1:7" x14ac:dyDescent="0.25">
      <c r="A289"/>
      <c r="B289"/>
      <c r="C289"/>
      <c r="D289" s="37"/>
      <c r="E289" s="45"/>
      <c r="F289" s="45"/>
      <c r="G289"/>
    </row>
    <row r="290" spans="1:7" x14ac:dyDescent="0.25">
      <c r="A290"/>
      <c r="B290"/>
      <c r="C290"/>
      <c r="D290" s="37"/>
      <c r="E290" s="45"/>
      <c r="F290" s="45"/>
      <c r="G290"/>
    </row>
    <row r="291" spans="1:7" x14ac:dyDescent="0.25">
      <c r="A291"/>
      <c r="B291"/>
      <c r="C291"/>
      <c r="D291" s="37"/>
      <c r="E291" s="45"/>
      <c r="F291" s="45"/>
      <c r="G291"/>
    </row>
    <row r="292" spans="1:7" x14ac:dyDescent="0.25">
      <c r="A292"/>
      <c r="B292"/>
      <c r="C292"/>
      <c r="D292" s="37"/>
      <c r="E292" s="45"/>
      <c r="F292" s="45"/>
      <c r="G292"/>
    </row>
    <row r="293" spans="1:7" x14ac:dyDescent="0.25">
      <c r="A293"/>
      <c r="B293"/>
      <c r="C293"/>
      <c r="D293" s="37"/>
      <c r="E293" s="45"/>
      <c r="F293" s="45"/>
      <c r="G293"/>
    </row>
    <row r="294" spans="1:7" x14ac:dyDescent="0.25">
      <c r="A294"/>
      <c r="B294"/>
      <c r="C294"/>
      <c r="D294" s="37"/>
      <c r="E294" s="45"/>
      <c r="F294" s="45"/>
      <c r="G294"/>
    </row>
    <row r="295" spans="1:7" x14ac:dyDescent="0.25">
      <c r="A295"/>
      <c r="B295"/>
      <c r="C295"/>
      <c r="D295" s="37"/>
      <c r="E295" s="45"/>
      <c r="F295" s="45"/>
      <c r="G295"/>
    </row>
    <row r="296" spans="1:7" x14ac:dyDescent="0.25">
      <c r="A296"/>
      <c r="B296"/>
      <c r="C296"/>
      <c r="D296" s="37"/>
      <c r="E296" s="45"/>
      <c r="F296" s="45"/>
      <c r="G296"/>
    </row>
    <row r="297" spans="1:7" x14ac:dyDescent="0.25">
      <c r="A297"/>
      <c r="B297"/>
      <c r="C297"/>
      <c r="D297" s="37"/>
      <c r="E297" s="45"/>
      <c r="F297" s="45"/>
      <c r="G297"/>
    </row>
    <row r="298" spans="1:7" x14ac:dyDescent="0.25">
      <c r="A298"/>
      <c r="B298"/>
      <c r="C298"/>
      <c r="D298" s="37"/>
      <c r="E298" s="45"/>
      <c r="F298" s="45"/>
      <c r="G298"/>
    </row>
    <row r="299" spans="1:7" x14ac:dyDescent="0.25">
      <c r="A299"/>
      <c r="B299"/>
      <c r="C299"/>
      <c r="D299" s="37"/>
      <c r="E299" s="45"/>
      <c r="F299" s="45"/>
      <c r="G299"/>
    </row>
    <row r="300" spans="1:7" x14ac:dyDescent="0.25">
      <c r="A300"/>
      <c r="B300"/>
      <c r="C300"/>
      <c r="D300" s="37"/>
      <c r="E300" s="45"/>
      <c r="F300" s="45"/>
      <c r="G300"/>
    </row>
    <row r="301" spans="1:7" x14ac:dyDescent="0.25">
      <c r="A301"/>
      <c r="B301"/>
      <c r="C301"/>
      <c r="D301" s="37"/>
      <c r="E301" s="45"/>
      <c r="F301" s="45"/>
      <c r="G301"/>
    </row>
    <row r="302" spans="1:7" x14ac:dyDescent="0.25">
      <c r="A302"/>
      <c r="B302"/>
      <c r="C302"/>
      <c r="D302" s="37"/>
      <c r="E302" s="45"/>
      <c r="F302" s="45"/>
      <c r="G302"/>
    </row>
    <row r="303" spans="1:7" x14ac:dyDescent="0.25">
      <c r="A303"/>
      <c r="B303"/>
      <c r="C303"/>
      <c r="D303" s="37"/>
      <c r="E303" s="45"/>
      <c r="F303" s="45"/>
      <c r="G303"/>
    </row>
    <row r="304" spans="1:7" x14ac:dyDescent="0.25">
      <c r="A304"/>
      <c r="B304"/>
      <c r="C304"/>
      <c r="D304" s="37"/>
      <c r="E304" s="45"/>
      <c r="F304" s="45"/>
      <c r="G304"/>
    </row>
    <row r="305" spans="1:7" x14ac:dyDescent="0.25">
      <c r="A305"/>
      <c r="B305"/>
      <c r="C305"/>
      <c r="D305" s="37"/>
      <c r="E305" s="45"/>
      <c r="F305" s="45"/>
      <c r="G305"/>
    </row>
    <row r="306" spans="1:7" x14ac:dyDescent="0.25">
      <c r="A306"/>
      <c r="B306"/>
      <c r="C306"/>
      <c r="D306" s="37"/>
      <c r="E306" s="45"/>
      <c r="F306" s="45"/>
      <c r="G306"/>
    </row>
    <row r="307" spans="1:7" x14ac:dyDescent="0.25">
      <c r="A307"/>
      <c r="B307"/>
      <c r="C307"/>
      <c r="D307" s="37"/>
      <c r="E307" s="45"/>
      <c r="F307" s="45"/>
      <c r="G307"/>
    </row>
    <row r="308" spans="1:7" x14ac:dyDescent="0.25">
      <c r="A308"/>
      <c r="B308"/>
      <c r="C308"/>
      <c r="D308" s="37"/>
      <c r="E308" s="45"/>
      <c r="F308" s="45"/>
      <c r="G308"/>
    </row>
    <row r="309" spans="1:7" x14ac:dyDescent="0.25">
      <c r="A309"/>
      <c r="B309"/>
      <c r="C309"/>
      <c r="D309" s="37"/>
      <c r="E309" s="45"/>
      <c r="F309" s="45"/>
      <c r="G309"/>
    </row>
    <row r="310" spans="1:7" x14ac:dyDescent="0.25">
      <c r="A310"/>
      <c r="B310"/>
      <c r="C310"/>
      <c r="D310" s="37"/>
      <c r="E310" s="45"/>
      <c r="F310" s="45"/>
      <c r="G310"/>
    </row>
    <row r="311" spans="1:7" x14ac:dyDescent="0.25">
      <c r="A311"/>
      <c r="B311"/>
      <c r="C311"/>
      <c r="D311" s="37"/>
      <c r="E311" s="45"/>
      <c r="F311" s="45"/>
      <c r="G311"/>
    </row>
    <row r="312" spans="1:7" x14ac:dyDescent="0.25">
      <c r="A312"/>
      <c r="B312"/>
      <c r="C312"/>
      <c r="D312" s="37"/>
      <c r="E312" s="45"/>
      <c r="F312" s="45"/>
      <c r="G312"/>
    </row>
    <row r="313" spans="1:7" x14ac:dyDescent="0.25">
      <c r="A313"/>
      <c r="B313"/>
      <c r="C313"/>
      <c r="D313" s="37"/>
      <c r="E313" s="45"/>
      <c r="F313" s="45"/>
      <c r="G313"/>
    </row>
    <row r="314" spans="1:7" x14ac:dyDescent="0.25">
      <c r="A314"/>
      <c r="B314"/>
      <c r="C314"/>
      <c r="D314" s="37"/>
      <c r="E314" s="45"/>
      <c r="F314" s="45"/>
      <c r="G314"/>
    </row>
    <row r="315" spans="1:7" x14ac:dyDescent="0.25">
      <c r="A315"/>
      <c r="B315"/>
      <c r="C315"/>
      <c r="D315" s="37"/>
      <c r="E315" s="45"/>
      <c r="F315" s="45"/>
      <c r="G315"/>
    </row>
    <row r="316" spans="1:7" x14ac:dyDescent="0.25">
      <c r="A316"/>
      <c r="B316"/>
      <c r="C316"/>
      <c r="D316" s="37"/>
      <c r="E316" s="45"/>
      <c r="F316" s="45"/>
      <c r="G316"/>
    </row>
    <row r="317" spans="1:7" x14ac:dyDescent="0.25">
      <c r="A317"/>
      <c r="B317"/>
      <c r="C317"/>
      <c r="D317" s="37"/>
      <c r="E317" s="45"/>
      <c r="F317" s="45"/>
      <c r="G317"/>
    </row>
    <row r="318" spans="1:7" x14ac:dyDescent="0.25">
      <c r="A318"/>
      <c r="B318"/>
      <c r="C318"/>
      <c r="D318" s="37"/>
      <c r="E318" s="45"/>
      <c r="F318" s="45"/>
      <c r="G318"/>
    </row>
    <row r="319" spans="1:7" x14ac:dyDescent="0.25">
      <c r="A319"/>
      <c r="B319"/>
      <c r="C319"/>
      <c r="D319" s="37"/>
      <c r="E319" s="45"/>
      <c r="F319" s="45"/>
      <c r="G319"/>
    </row>
    <row r="320" spans="1:7" x14ac:dyDescent="0.25">
      <c r="A320"/>
      <c r="B320"/>
      <c r="C320"/>
      <c r="D320" s="37"/>
      <c r="E320" s="45"/>
      <c r="F320" s="45"/>
      <c r="G320"/>
    </row>
    <row r="321" spans="1:7" x14ac:dyDescent="0.25">
      <c r="A321"/>
      <c r="B321"/>
      <c r="C321"/>
      <c r="D321" s="37"/>
      <c r="E321" s="45"/>
      <c r="F321" s="45"/>
      <c r="G321"/>
    </row>
    <row r="322" spans="1:7" x14ac:dyDescent="0.25">
      <c r="A322"/>
      <c r="B322"/>
      <c r="C322"/>
      <c r="D322" s="37"/>
      <c r="E322" s="45"/>
      <c r="F322" s="45"/>
      <c r="G322"/>
    </row>
    <row r="323" spans="1:7" x14ac:dyDescent="0.25">
      <c r="A323"/>
      <c r="B323"/>
      <c r="C323"/>
      <c r="D323" s="37"/>
      <c r="E323" s="45"/>
      <c r="F323" s="45"/>
      <c r="G323"/>
    </row>
    <row r="324" spans="1:7" x14ac:dyDescent="0.25">
      <c r="A324"/>
      <c r="B324"/>
      <c r="C324"/>
      <c r="D324" s="37"/>
      <c r="E324" s="45"/>
      <c r="F324" s="45"/>
      <c r="G324"/>
    </row>
    <row r="325" spans="1:7" x14ac:dyDescent="0.25">
      <c r="A325"/>
      <c r="B325"/>
      <c r="C325"/>
      <c r="D325" s="37"/>
      <c r="E325" s="45"/>
      <c r="F325" s="45"/>
      <c r="G325"/>
    </row>
    <row r="326" spans="1:7" x14ac:dyDescent="0.25">
      <c r="A326"/>
      <c r="B326"/>
      <c r="C326"/>
      <c r="D326" s="37"/>
      <c r="E326" s="45"/>
      <c r="F326" s="45"/>
      <c r="G326"/>
    </row>
    <row r="327" spans="1:7" x14ac:dyDescent="0.25">
      <c r="A327"/>
      <c r="B327"/>
      <c r="C327"/>
      <c r="D327" s="37"/>
      <c r="E327" s="45"/>
      <c r="F327" s="45"/>
      <c r="G327"/>
    </row>
    <row r="328" spans="1:7" x14ac:dyDescent="0.25">
      <c r="A328"/>
      <c r="B328"/>
      <c r="C328"/>
      <c r="D328" s="37"/>
      <c r="E328" s="45"/>
      <c r="F328" s="45"/>
      <c r="G328"/>
    </row>
    <row r="329" spans="1:7" x14ac:dyDescent="0.25">
      <c r="A329"/>
      <c r="B329"/>
      <c r="C329"/>
      <c r="D329" s="37"/>
      <c r="E329" s="45"/>
      <c r="F329" s="45"/>
      <c r="G329"/>
    </row>
    <row r="330" spans="1:7" x14ac:dyDescent="0.25">
      <c r="A330"/>
      <c r="B330"/>
      <c r="C330"/>
      <c r="D330" s="37"/>
      <c r="E330" s="45"/>
      <c r="F330" s="45"/>
      <c r="G330"/>
    </row>
    <row r="331" spans="1:7" x14ac:dyDescent="0.25">
      <c r="A331"/>
      <c r="B331"/>
      <c r="C331"/>
      <c r="D331" s="37"/>
      <c r="E331" s="45"/>
      <c r="F331" s="45"/>
      <c r="G331"/>
    </row>
    <row r="332" spans="1:7" x14ac:dyDescent="0.25">
      <c r="A332"/>
      <c r="B332"/>
      <c r="C332"/>
      <c r="D332" s="37"/>
      <c r="E332" s="45"/>
      <c r="F332" s="45"/>
      <c r="G332"/>
    </row>
    <row r="333" spans="1:7" x14ac:dyDescent="0.25">
      <c r="A333"/>
      <c r="B333"/>
      <c r="C333"/>
      <c r="D333" s="37"/>
      <c r="E333" s="45"/>
      <c r="F333" s="45"/>
      <c r="G333"/>
    </row>
    <row r="334" spans="1:7" x14ac:dyDescent="0.25">
      <c r="A334"/>
      <c r="B334"/>
      <c r="C334"/>
      <c r="D334" s="37"/>
      <c r="E334" s="45"/>
      <c r="F334" s="45"/>
      <c r="G334"/>
    </row>
    <row r="335" spans="1:7" x14ac:dyDescent="0.25">
      <c r="A335"/>
      <c r="B335"/>
      <c r="C335"/>
      <c r="D335" s="37"/>
      <c r="E335" s="45"/>
      <c r="F335" s="45"/>
      <c r="G335"/>
    </row>
    <row r="336" spans="1:7" x14ac:dyDescent="0.25">
      <c r="A336"/>
      <c r="B336"/>
      <c r="C336"/>
      <c r="D336" s="37"/>
      <c r="E336" s="45"/>
      <c r="F336" s="45"/>
      <c r="G336"/>
    </row>
    <row r="337" spans="1:7" x14ac:dyDescent="0.25">
      <c r="A337"/>
      <c r="B337"/>
      <c r="C337"/>
      <c r="D337" s="37"/>
      <c r="E337" s="45"/>
      <c r="F337" s="45"/>
      <c r="G337"/>
    </row>
    <row r="338" spans="1:7" x14ac:dyDescent="0.25">
      <c r="A338"/>
      <c r="B338"/>
      <c r="C338"/>
      <c r="D338" s="37"/>
      <c r="E338" s="45"/>
      <c r="F338" s="45"/>
      <c r="G338"/>
    </row>
    <row r="339" spans="1:7" x14ac:dyDescent="0.25">
      <c r="A339"/>
      <c r="B339"/>
      <c r="C339"/>
      <c r="D339" s="37"/>
      <c r="E339" s="45"/>
      <c r="F339" s="45"/>
      <c r="G339"/>
    </row>
    <row r="340" spans="1:7" x14ac:dyDescent="0.25">
      <c r="A340"/>
      <c r="B340"/>
      <c r="C340"/>
      <c r="D340" s="37"/>
      <c r="E340" s="45"/>
      <c r="F340" s="45"/>
      <c r="G340"/>
    </row>
    <row r="341" spans="1:7" x14ac:dyDescent="0.25">
      <c r="A341"/>
      <c r="B341"/>
      <c r="C341"/>
      <c r="D341" s="37"/>
      <c r="E341" s="45"/>
      <c r="F341" s="45"/>
      <c r="G341"/>
    </row>
    <row r="342" spans="1:7" x14ac:dyDescent="0.25">
      <c r="A342"/>
      <c r="B342"/>
      <c r="C342"/>
      <c r="D342" s="37"/>
      <c r="E342" s="45"/>
      <c r="F342" s="45"/>
      <c r="G342"/>
    </row>
    <row r="343" spans="1:7" x14ac:dyDescent="0.25">
      <c r="A343"/>
      <c r="B343"/>
      <c r="C343"/>
      <c r="D343" s="37"/>
      <c r="E343" s="45"/>
      <c r="F343" s="45"/>
      <c r="G343"/>
    </row>
    <row r="344" spans="1:7" x14ac:dyDescent="0.25">
      <c r="A344"/>
      <c r="B344"/>
      <c r="C344"/>
      <c r="D344" s="37"/>
      <c r="E344" s="45"/>
      <c r="F344" s="45"/>
      <c r="G344"/>
    </row>
    <row r="345" spans="1:7" x14ac:dyDescent="0.25">
      <c r="A345"/>
      <c r="B345"/>
      <c r="C345"/>
      <c r="D345" s="37"/>
      <c r="E345" s="45"/>
      <c r="F345" s="45"/>
      <c r="G345"/>
    </row>
    <row r="346" spans="1:7" x14ac:dyDescent="0.25">
      <c r="A346"/>
      <c r="B346"/>
      <c r="C346"/>
      <c r="D346" s="37"/>
      <c r="E346" s="45"/>
      <c r="F346" s="45"/>
      <c r="G346"/>
    </row>
    <row r="347" spans="1:7" x14ac:dyDescent="0.25">
      <c r="A347"/>
      <c r="B347"/>
      <c r="C347"/>
      <c r="D347" s="37"/>
      <c r="E347" s="45"/>
      <c r="F347" s="45"/>
      <c r="G347"/>
    </row>
    <row r="348" spans="1:7" x14ac:dyDescent="0.25">
      <c r="A348"/>
      <c r="B348"/>
      <c r="C348"/>
      <c r="D348" s="37"/>
      <c r="E348" s="45"/>
      <c r="F348" s="45"/>
      <c r="G348"/>
    </row>
    <row r="349" spans="1:7" x14ac:dyDescent="0.25">
      <c r="A349"/>
      <c r="B349"/>
      <c r="C349"/>
      <c r="D349" s="37"/>
      <c r="E349" s="45"/>
      <c r="F349" s="45"/>
      <c r="G349"/>
    </row>
    <row r="350" spans="1:7" x14ac:dyDescent="0.25">
      <c r="A350"/>
      <c r="B350"/>
      <c r="C350"/>
      <c r="D350" s="37"/>
      <c r="E350" s="45"/>
      <c r="F350" s="45"/>
      <c r="G350"/>
    </row>
    <row r="351" spans="1:7" x14ac:dyDescent="0.25">
      <c r="A351"/>
      <c r="B351"/>
      <c r="C351"/>
      <c r="D351" s="37"/>
      <c r="E351" s="45"/>
      <c r="F351" s="45"/>
      <c r="G351"/>
    </row>
    <row r="352" spans="1:7" x14ac:dyDescent="0.25">
      <c r="A352"/>
      <c r="B352"/>
      <c r="C352"/>
      <c r="D352" s="37"/>
      <c r="E352" s="45"/>
      <c r="F352" s="45"/>
      <c r="G352"/>
    </row>
    <row r="353" spans="1:7" x14ac:dyDescent="0.25">
      <c r="A353"/>
      <c r="B353"/>
      <c r="C353"/>
      <c r="D353" s="37"/>
      <c r="E353" s="45"/>
      <c r="F353" s="45"/>
      <c r="G353"/>
    </row>
    <row r="354" spans="1:7" x14ac:dyDescent="0.25">
      <c r="A354"/>
      <c r="B354"/>
      <c r="C354"/>
      <c r="D354" s="37"/>
      <c r="E354" s="45"/>
      <c r="F354" s="45"/>
      <c r="G354"/>
    </row>
    <row r="355" spans="1:7" x14ac:dyDescent="0.25">
      <c r="A355"/>
      <c r="B355"/>
      <c r="C355"/>
      <c r="D355" s="37"/>
      <c r="E355" s="45"/>
      <c r="F355" s="45"/>
      <c r="G355"/>
    </row>
    <row r="356" spans="1:7" x14ac:dyDescent="0.25">
      <c r="A356"/>
      <c r="B356"/>
      <c r="C356"/>
      <c r="D356" s="37"/>
      <c r="E356" s="45"/>
      <c r="F356" s="45"/>
      <c r="G356"/>
    </row>
    <row r="357" spans="1:7" x14ac:dyDescent="0.25">
      <c r="A357"/>
      <c r="B357"/>
      <c r="C357"/>
      <c r="D357" s="37"/>
      <c r="E357" s="45"/>
      <c r="F357" s="45"/>
      <c r="G357"/>
    </row>
    <row r="358" spans="1:7" x14ac:dyDescent="0.25">
      <c r="A358"/>
      <c r="B358"/>
      <c r="C358"/>
      <c r="D358" s="37"/>
      <c r="E358" s="45"/>
      <c r="F358" s="45"/>
      <c r="G358"/>
    </row>
    <row r="359" spans="1:7" x14ac:dyDescent="0.25">
      <c r="A359"/>
      <c r="B359"/>
      <c r="C359"/>
      <c r="D359" s="37"/>
      <c r="E359" s="45"/>
      <c r="F359" s="45"/>
      <c r="G359"/>
    </row>
    <row r="360" spans="1:7" x14ac:dyDescent="0.25">
      <c r="A360"/>
      <c r="B360"/>
      <c r="C360"/>
      <c r="D360" s="37"/>
      <c r="E360" s="45"/>
      <c r="F360" s="45"/>
      <c r="G360"/>
    </row>
    <row r="361" spans="1:7" x14ac:dyDescent="0.25">
      <c r="A361"/>
      <c r="B361"/>
      <c r="C361"/>
      <c r="D361" s="37"/>
      <c r="E361" s="45"/>
      <c r="F361" s="45"/>
      <c r="G361"/>
    </row>
    <row r="362" spans="1:7" x14ac:dyDescent="0.25">
      <c r="A362"/>
      <c r="B362"/>
      <c r="C362"/>
      <c r="D362" s="37"/>
      <c r="E362" s="45"/>
      <c r="F362" s="45"/>
      <c r="G362"/>
    </row>
    <row r="363" spans="1:7" x14ac:dyDescent="0.25">
      <c r="A363"/>
      <c r="B363"/>
      <c r="C363"/>
      <c r="D363" s="37"/>
      <c r="E363" s="45"/>
      <c r="F363" s="45"/>
      <c r="G363"/>
    </row>
    <row r="364" spans="1:7" x14ac:dyDescent="0.25">
      <c r="A364"/>
      <c r="B364"/>
      <c r="C364"/>
      <c r="D364" s="37"/>
      <c r="E364" s="45"/>
      <c r="F364" s="45"/>
      <c r="G364"/>
    </row>
    <row r="365" spans="1:7" x14ac:dyDescent="0.25">
      <c r="A365"/>
      <c r="B365"/>
      <c r="C365"/>
      <c r="D365" s="37"/>
      <c r="E365" s="45"/>
      <c r="F365" s="45"/>
      <c r="G365"/>
    </row>
    <row r="366" spans="1:7" x14ac:dyDescent="0.25">
      <c r="A366"/>
      <c r="B366"/>
      <c r="C366"/>
      <c r="D366" s="37"/>
      <c r="E366" s="45"/>
      <c r="F366" s="45"/>
      <c r="G366"/>
    </row>
    <row r="367" spans="1:7" x14ac:dyDescent="0.25">
      <c r="A367"/>
      <c r="B367"/>
      <c r="C367"/>
      <c r="D367" s="37"/>
      <c r="E367" s="45"/>
      <c r="F367" s="45"/>
      <c r="G367"/>
    </row>
    <row r="368" spans="1:7" x14ac:dyDescent="0.25">
      <c r="A368"/>
      <c r="B368"/>
      <c r="C368"/>
      <c r="D368" s="37"/>
      <c r="E368" s="45"/>
      <c r="F368" s="45"/>
      <c r="G368"/>
    </row>
    <row r="369" spans="1:7" x14ac:dyDescent="0.25">
      <c r="A369"/>
      <c r="B369"/>
      <c r="C369"/>
      <c r="D369" s="37"/>
      <c r="E369" s="45"/>
      <c r="F369" s="45"/>
      <c r="G369"/>
    </row>
    <row r="370" spans="1:7" x14ac:dyDescent="0.25">
      <c r="A370"/>
      <c r="B370"/>
      <c r="C370"/>
      <c r="D370" s="37"/>
      <c r="E370" s="45"/>
      <c r="F370" s="45"/>
      <c r="G370"/>
    </row>
    <row r="371" spans="1:7" x14ac:dyDescent="0.25">
      <c r="A371"/>
      <c r="B371"/>
      <c r="C371"/>
      <c r="D371" s="37"/>
      <c r="E371" s="45"/>
      <c r="F371" s="45"/>
      <c r="G371"/>
    </row>
    <row r="372" spans="1:7" x14ac:dyDescent="0.25">
      <c r="A372"/>
      <c r="B372"/>
      <c r="C372"/>
      <c r="D372" s="37"/>
      <c r="E372" s="45"/>
      <c r="F372" s="45"/>
      <c r="G372"/>
    </row>
    <row r="373" spans="1:7" x14ac:dyDescent="0.25">
      <c r="A373"/>
      <c r="B373"/>
      <c r="C373"/>
      <c r="D373" s="37"/>
      <c r="E373" s="45"/>
      <c r="F373" s="45"/>
      <c r="G373"/>
    </row>
    <row r="374" spans="1:7" x14ac:dyDescent="0.25">
      <c r="A374"/>
      <c r="B374"/>
      <c r="C374"/>
      <c r="D374" s="37"/>
      <c r="E374" s="45"/>
      <c r="F374" s="45"/>
      <c r="G374"/>
    </row>
    <row r="375" spans="1:7" x14ac:dyDescent="0.25">
      <c r="A375"/>
      <c r="B375"/>
      <c r="C375"/>
      <c r="D375" s="37"/>
      <c r="E375" s="45"/>
      <c r="F375" s="45"/>
      <c r="G375"/>
    </row>
    <row r="376" spans="1:7" x14ac:dyDescent="0.25">
      <c r="A376"/>
      <c r="B376"/>
      <c r="C376"/>
      <c r="D376" s="37"/>
      <c r="E376" s="45"/>
      <c r="F376" s="45"/>
      <c r="G376"/>
    </row>
    <row r="377" spans="1:7" x14ac:dyDescent="0.25">
      <c r="A377"/>
      <c r="B377"/>
      <c r="C377"/>
      <c r="D377" s="37"/>
      <c r="E377" s="45"/>
      <c r="F377" s="45"/>
      <c r="G377"/>
    </row>
    <row r="378" spans="1:7" x14ac:dyDescent="0.25">
      <c r="A378"/>
      <c r="B378"/>
      <c r="C378"/>
      <c r="D378" s="37"/>
      <c r="E378" s="45"/>
      <c r="F378" s="45"/>
      <c r="G378"/>
    </row>
    <row r="379" spans="1:7" x14ac:dyDescent="0.25">
      <c r="A379"/>
      <c r="B379"/>
      <c r="C379"/>
      <c r="D379" s="37"/>
      <c r="E379" s="45"/>
      <c r="F379" s="45"/>
      <c r="G379"/>
    </row>
    <row r="380" spans="1:7" x14ac:dyDescent="0.25">
      <c r="A380"/>
      <c r="B380"/>
      <c r="C380"/>
      <c r="D380" s="37"/>
      <c r="E380" s="45"/>
      <c r="F380" s="45"/>
      <c r="G380"/>
    </row>
    <row r="381" spans="1:7" x14ac:dyDescent="0.25">
      <c r="A381"/>
      <c r="B381"/>
      <c r="C381"/>
      <c r="D381" s="37"/>
      <c r="E381" s="45"/>
      <c r="F381" s="45"/>
      <c r="G381"/>
    </row>
    <row r="382" spans="1:7" x14ac:dyDescent="0.25">
      <c r="A382"/>
      <c r="B382"/>
      <c r="C382"/>
      <c r="D382" s="37"/>
      <c r="E382" s="45"/>
      <c r="F382" s="45"/>
      <c r="G382"/>
    </row>
    <row r="383" spans="1:7" x14ac:dyDescent="0.25">
      <c r="A383"/>
      <c r="B383"/>
      <c r="C383"/>
      <c r="D383" s="37"/>
      <c r="E383" s="45"/>
      <c r="F383" s="45"/>
      <c r="G383"/>
    </row>
    <row r="384" spans="1:7" x14ac:dyDescent="0.25">
      <c r="A384"/>
      <c r="B384"/>
      <c r="C384"/>
      <c r="D384" s="37"/>
      <c r="E384" s="45"/>
      <c r="F384" s="45"/>
      <c r="G384"/>
    </row>
    <row r="385" spans="1:7" x14ac:dyDescent="0.25">
      <c r="A385"/>
      <c r="B385"/>
      <c r="C385"/>
      <c r="D385" s="37"/>
      <c r="E385" s="45"/>
      <c r="F385" s="45"/>
      <c r="G385"/>
    </row>
    <row r="386" spans="1:7" x14ac:dyDescent="0.25">
      <c r="A386"/>
      <c r="B386"/>
      <c r="C386"/>
      <c r="D386" s="37"/>
      <c r="E386" s="45"/>
      <c r="F386" s="45"/>
      <c r="G386"/>
    </row>
    <row r="387" spans="1:7" x14ac:dyDescent="0.25">
      <c r="A387"/>
      <c r="B387"/>
      <c r="C387"/>
      <c r="D387" s="37"/>
      <c r="E387" s="45"/>
      <c r="F387" s="45"/>
      <c r="G387"/>
    </row>
    <row r="388" spans="1:7" x14ac:dyDescent="0.25">
      <c r="A388"/>
      <c r="B388"/>
      <c r="C388"/>
      <c r="D388" s="37"/>
      <c r="E388" s="45"/>
      <c r="F388" s="45"/>
      <c r="G388"/>
    </row>
    <row r="389" spans="1:7" x14ac:dyDescent="0.25">
      <c r="A389"/>
      <c r="B389"/>
      <c r="C389"/>
      <c r="D389" s="37"/>
      <c r="E389" s="45"/>
      <c r="F389" s="45"/>
      <c r="G389"/>
    </row>
    <row r="390" spans="1:7" x14ac:dyDescent="0.25">
      <c r="A390"/>
      <c r="B390"/>
      <c r="C390"/>
      <c r="D390" s="37"/>
      <c r="E390" s="45"/>
      <c r="F390" s="45"/>
      <c r="G390"/>
    </row>
    <row r="391" spans="1:7" x14ac:dyDescent="0.25">
      <c r="A391"/>
      <c r="B391"/>
      <c r="C391"/>
      <c r="D391" s="37"/>
      <c r="E391" s="45"/>
      <c r="F391" s="45"/>
      <c r="G391"/>
    </row>
    <row r="392" spans="1:7" x14ac:dyDescent="0.25">
      <c r="A392"/>
      <c r="B392"/>
      <c r="C392"/>
      <c r="D392" s="37"/>
      <c r="E392" s="45"/>
      <c r="F392" s="45"/>
      <c r="G392"/>
    </row>
    <row r="393" spans="1:7" x14ac:dyDescent="0.25">
      <c r="A393"/>
      <c r="B393"/>
      <c r="C393"/>
      <c r="D393" s="37"/>
      <c r="E393" s="45"/>
      <c r="F393" s="45"/>
      <c r="G393"/>
    </row>
    <row r="394" spans="1:7" x14ac:dyDescent="0.25">
      <c r="A394"/>
      <c r="B394"/>
      <c r="C394"/>
      <c r="D394" s="37"/>
      <c r="E394" s="45"/>
      <c r="F394" s="45"/>
      <c r="G394"/>
    </row>
    <row r="395" spans="1:7" x14ac:dyDescent="0.25">
      <c r="A395"/>
      <c r="B395"/>
      <c r="C395"/>
      <c r="D395" s="37"/>
      <c r="E395" s="45"/>
      <c r="F395" s="45"/>
      <c r="G395"/>
    </row>
    <row r="396" spans="1:7" x14ac:dyDescent="0.25">
      <c r="A396"/>
      <c r="B396"/>
      <c r="C396"/>
      <c r="D396" s="37"/>
      <c r="E396" s="45"/>
      <c r="F396" s="45"/>
      <c r="G396"/>
    </row>
    <row r="397" spans="1:7" x14ac:dyDescent="0.25">
      <c r="A397"/>
      <c r="B397"/>
      <c r="C397"/>
      <c r="D397" s="37"/>
      <c r="E397" s="45"/>
      <c r="F397" s="45"/>
      <c r="G397"/>
    </row>
    <row r="398" spans="1:7" x14ac:dyDescent="0.25">
      <c r="A398"/>
      <c r="B398"/>
      <c r="C398"/>
      <c r="D398" s="37"/>
      <c r="E398" s="45"/>
      <c r="F398" s="45"/>
      <c r="G398"/>
    </row>
    <row r="399" spans="1:7" x14ac:dyDescent="0.25">
      <c r="A399"/>
      <c r="B399"/>
      <c r="C399"/>
      <c r="D399" s="37"/>
      <c r="E399" s="45"/>
      <c r="F399" s="45"/>
      <c r="G399"/>
    </row>
    <row r="400" spans="1:7" x14ac:dyDescent="0.25">
      <c r="A400"/>
      <c r="B400"/>
      <c r="C400"/>
      <c r="D400" s="37"/>
      <c r="E400" s="45"/>
      <c r="F400" s="45"/>
      <c r="G400"/>
    </row>
    <row r="401" spans="1:7" x14ac:dyDescent="0.25">
      <c r="A401"/>
      <c r="B401"/>
      <c r="C401"/>
      <c r="D401" s="37"/>
      <c r="E401" s="45"/>
      <c r="F401" s="45"/>
      <c r="G401"/>
    </row>
    <row r="402" spans="1:7" x14ac:dyDescent="0.25">
      <c r="A402"/>
      <c r="B402"/>
      <c r="C402"/>
      <c r="D402" s="37"/>
      <c r="E402" s="45"/>
      <c r="F402" s="45"/>
      <c r="G402"/>
    </row>
    <row r="403" spans="1:7" x14ac:dyDescent="0.25">
      <c r="A403"/>
      <c r="B403"/>
      <c r="C403"/>
      <c r="D403" s="37"/>
      <c r="E403" s="45"/>
      <c r="F403" s="45"/>
      <c r="G403"/>
    </row>
    <row r="404" spans="1:7" x14ac:dyDescent="0.25">
      <c r="A404"/>
      <c r="B404"/>
      <c r="C404"/>
      <c r="D404" s="37"/>
      <c r="E404" s="45"/>
      <c r="F404" s="45"/>
      <c r="G404"/>
    </row>
    <row r="405" spans="1:7" x14ac:dyDescent="0.25">
      <c r="A405"/>
      <c r="B405"/>
      <c r="C405"/>
      <c r="D405" s="37"/>
      <c r="E405" s="45"/>
      <c r="F405" s="45"/>
      <c r="G405"/>
    </row>
    <row r="406" spans="1:7" x14ac:dyDescent="0.25">
      <c r="A406"/>
      <c r="B406"/>
      <c r="C406"/>
      <c r="D406" s="37"/>
      <c r="E406" s="45"/>
      <c r="F406" s="45"/>
      <c r="G406"/>
    </row>
    <row r="407" spans="1:7" x14ac:dyDescent="0.25">
      <c r="A407"/>
      <c r="B407"/>
      <c r="C407"/>
      <c r="D407" s="37"/>
      <c r="E407" s="45"/>
      <c r="F407" s="45"/>
      <c r="G407"/>
    </row>
    <row r="408" spans="1:7" x14ac:dyDescent="0.25">
      <c r="A408"/>
      <c r="B408"/>
      <c r="C408"/>
      <c r="D408" s="37"/>
      <c r="E408" s="45"/>
      <c r="F408" s="45"/>
      <c r="G408"/>
    </row>
    <row r="409" spans="1:7" x14ac:dyDescent="0.25">
      <c r="A409"/>
      <c r="B409"/>
      <c r="C409"/>
      <c r="D409" s="37"/>
      <c r="E409" s="45"/>
      <c r="F409" s="45"/>
      <c r="G409"/>
    </row>
    <row r="410" spans="1:7" x14ac:dyDescent="0.25">
      <c r="A410"/>
      <c r="B410"/>
      <c r="C410"/>
      <c r="D410" s="37"/>
      <c r="E410" s="45"/>
      <c r="F410" s="45"/>
      <c r="G410"/>
    </row>
    <row r="411" spans="1:7" x14ac:dyDescent="0.25">
      <c r="A411"/>
      <c r="B411"/>
      <c r="C411"/>
      <c r="D411" s="37"/>
      <c r="E411" s="45"/>
      <c r="F411" s="45"/>
      <c r="G411"/>
    </row>
    <row r="412" spans="1:7" x14ac:dyDescent="0.25">
      <c r="A412"/>
      <c r="B412"/>
      <c r="C412"/>
      <c r="D412" s="37"/>
      <c r="E412" s="45"/>
      <c r="F412" s="45"/>
      <c r="G412"/>
    </row>
    <row r="413" spans="1:7" x14ac:dyDescent="0.25">
      <c r="A413"/>
      <c r="B413"/>
      <c r="C413"/>
      <c r="D413" s="37"/>
      <c r="E413" s="45"/>
      <c r="F413" s="45"/>
      <c r="G413"/>
    </row>
    <row r="414" spans="1:7" x14ac:dyDescent="0.25">
      <c r="A414"/>
      <c r="B414"/>
      <c r="C414"/>
      <c r="D414" s="37"/>
      <c r="E414" s="45"/>
      <c r="F414" s="45"/>
      <c r="G414"/>
    </row>
    <row r="415" spans="1:7" x14ac:dyDescent="0.25">
      <c r="A415"/>
      <c r="B415"/>
      <c r="C415"/>
      <c r="D415" s="37"/>
      <c r="E415" s="45"/>
      <c r="F415" s="45"/>
      <c r="G415"/>
    </row>
    <row r="416" spans="1:7" x14ac:dyDescent="0.25">
      <c r="A416"/>
      <c r="B416"/>
      <c r="C416"/>
      <c r="D416" s="37"/>
      <c r="E416" s="45"/>
      <c r="F416" s="45"/>
      <c r="G416"/>
    </row>
    <row r="417" spans="1:7" x14ac:dyDescent="0.25">
      <c r="A417"/>
      <c r="B417"/>
      <c r="C417"/>
      <c r="D417" s="37"/>
      <c r="E417" s="45"/>
      <c r="F417" s="45"/>
      <c r="G417"/>
    </row>
    <row r="418" spans="1:7" x14ac:dyDescent="0.25">
      <c r="A418"/>
      <c r="B418"/>
      <c r="C418"/>
      <c r="D418" s="37"/>
      <c r="E418" s="45"/>
      <c r="F418" s="45"/>
      <c r="G418"/>
    </row>
    <row r="419" spans="1:7" x14ac:dyDescent="0.25">
      <c r="A419"/>
      <c r="B419"/>
      <c r="C419"/>
      <c r="D419" s="37"/>
      <c r="E419" s="45"/>
      <c r="F419" s="45"/>
      <c r="G419"/>
    </row>
    <row r="420" spans="1:7" x14ac:dyDescent="0.25">
      <c r="A420"/>
      <c r="B420"/>
      <c r="C420"/>
      <c r="D420" s="37"/>
      <c r="E420" s="45"/>
      <c r="F420" s="45"/>
      <c r="G420"/>
    </row>
    <row r="421" spans="1:7" x14ac:dyDescent="0.25">
      <c r="A421"/>
      <c r="B421"/>
      <c r="C421"/>
      <c r="D421" s="37"/>
      <c r="E421" s="45"/>
      <c r="F421" s="45"/>
      <c r="G421"/>
    </row>
    <row r="422" spans="1:7" x14ac:dyDescent="0.25">
      <c r="A422"/>
      <c r="B422"/>
      <c r="C422"/>
      <c r="D422" s="37"/>
      <c r="E422" s="45"/>
      <c r="F422" s="45"/>
      <c r="G422"/>
    </row>
    <row r="423" spans="1:7" x14ac:dyDescent="0.25">
      <c r="A423"/>
      <c r="B423"/>
      <c r="C423"/>
      <c r="D423" s="37"/>
      <c r="E423" s="45"/>
      <c r="F423" s="45"/>
      <c r="G423"/>
    </row>
    <row r="424" spans="1:7" x14ac:dyDescent="0.25">
      <c r="A424"/>
      <c r="B424"/>
      <c r="C424"/>
      <c r="D424" s="37"/>
      <c r="E424" s="45"/>
      <c r="F424" s="45"/>
      <c r="G424"/>
    </row>
    <row r="425" spans="1:7" x14ac:dyDescent="0.25">
      <c r="A425"/>
      <c r="B425"/>
      <c r="C425"/>
      <c r="D425" s="37"/>
      <c r="E425" s="45"/>
      <c r="F425" s="45"/>
      <c r="G425"/>
    </row>
    <row r="426" spans="1:7" x14ac:dyDescent="0.25">
      <c r="A426"/>
      <c r="B426"/>
      <c r="C426"/>
      <c r="D426" s="37"/>
      <c r="E426" s="45"/>
      <c r="F426" s="45"/>
      <c r="G426"/>
    </row>
    <row r="427" spans="1:7" x14ac:dyDescent="0.25">
      <c r="A427"/>
      <c r="B427"/>
      <c r="C427"/>
      <c r="D427" s="37"/>
      <c r="E427" s="45"/>
      <c r="F427" s="45"/>
      <c r="G427"/>
    </row>
    <row r="428" spans="1:7" x14ac:dyDescent="0.25">
      <c r="A428"/>
      <c r="B428"/>
      <c r="C428"/>
      <c r="D428" s="37"/>
      <c r="E428" s="45"/>
      <c r="F428" s="45"/>
      <c r="G428"/>
    </row>
    <row r="429" spans="1:7" x14ac:dyDescent="0.25">
      <c r="A429"/>
      <c r="B429"/>
      <c r="C429"/>
      <c r="D429" s="37"/>
      <c r="E429" s="45"/>
      <c r="F429" s="45"/>
      <c r="G429"/>
    </row>
    <row r="430" spans="1:7" x14ac:dyDescent="0.25">
      <c r="A430"/>
      <c r="B430"/>
      <c r="C430"/>
      <c r="D430" s="37"/>
      <c r="E430" s="45"/>
      <c r="F430" s="45"/>
      <c r="G430"/>
    </row>
    <row r="431" spans="1:7" x14ac:dyDescent="0.25">
      <c r="A431"/>
      <c r="B431"/>
      <c r="C431"/>
      <c r="D431" s="37"/>
      <c r="E431" s="45"/>
      <c r="F431" s="45"/>
      <c r="G431"/>
    </row>
    <row r="432" spans="1:7" x14ac:dyDescent="0.25">
      <c r="A432"/>
      <c r="B432"/>
      <c r="C432"/>
      <c r="D432" s="37"/>
      <c r="E432" s="45"/>
      <c r="F432" s="45"/>
      <c r="G432"/>
    </row>
    <row r="433" spans="1:7" x14ac:dyDescent="0.25">
      <c r="A433"/>
      <c r="B433"/>
      <c r="C433"/>
      <c r="D433" s="37"/>
      <c r="E433" s="45"/>
      <c r="F433" s="45"/>
      <c r="G433"/>
    </row>
    <row r="434" spans="1:7" x14ac:dyDescent="0.25">
      <c r="A434"/>
      <c r="B434"/>
      <c r="C434"/>
      <c r="D434" s="37"/>
      <c r="E434" s="45"/>
      <c r="F434" s="45"/>
      <c r="G434"/>
    </row>
    <row r="435" spans="1:7" x14ac:dyDescent="0.25">
      <c r="A435"/>
      <c r="B435"/>
      <c r="C435"/>
      <c r="D435" s="37"/>
      <c r="E435" s="45"/>
      <c r="F435" s="45"/>
      <c r="G435"/>
    </row>
    <row r="436" spans="1:7" x14ac:dyDescent="0.25">
      <c r="A436"/>
      <c r="B436"/>
      <c r="C436"/>
      <c r="D436" s="37"/>
      <c r="E436" s="45"/>
      <c r="F436" s="45"/>
      <c r="G436"/>
    </row>
    <row r="437" spans="1:7" x14ac:dyDescent="0.25">
      <c r="A437"/>
      <c r="B437"/>
      <c r="C437"/>
      <c r="D437" s="37"/>
      <c r="E437" s="45"/>
      <c r="F437" s="45"/>
      <c r="G437"/>
    </row>
    <row r="438" spans="1:7" x14ac:dyDescent="0.25">
      <c r="A438"/>
      <c r="B438"/>
      <c r="C438"/>
      <c r="D438" s="37"/>
      <c r="E438" s="45"/>
      <c r="F438" s="45"/>
      <c r="G438"/>
    </row>
    <row r="439" spans="1:7" x14ac:dyDescent="0.25">
      <c r="A439"/>
      <c r="B439"/>
      <c r="C439"/>
      <c r="D439" s="37"/>
      <c r="E439" s="45"/>
      <c r="F439" s="45"/>
      <c r="G439"/>
    </row>
    <row r="440" spans="1:7" x14ac:dyDescent="0.25">
      <c r="A440"/>
      <c r="B440"/>
      <c r="C440"/>
      <c r="D440" s="37"/>
      <c r="E440" s="45"/>
      <c r="F440" s="45"/>
      <c r="G440"/>
    </row>
    <row r="441" spans="1:7" x14ac:dyDescent="0.25">
      <c r="A441"/>
      <c r="B441"/>
      <c r="C441"/>
      <c r="D441" s="37"/>
      <c r="E441" s="45"/>
      <c r="F441" s="45"/>
      <c r="G441"/>
    </row>
    <row r="442" spans="1:7" x14ac:dyDescent="0.25">
      <c r="A442"/>
      <c r="B442"/>
      <c r="C442"/>
      <c r="D442" s="37"/>
      <c r="E442" s="45"/>
      <c r="F442" s="45"/>
      <c r="G442"/>
    </row>
    <row r="443" spans="1:7" x14ac:dyDescent="0.25">
      <c r="A443"/>
      <c r="B443"/>
      <c r="C443"/>
      <c r="D443" s="37"/>
      <c r="E443" s="45"/>
      <c r="F443" s="45"/>
      <c r="G443"/>
    </row>
    <row r="444" spans="1:7" x14ac:dyDescent="0.25">
      <c r="A444"/>
      <c r="B444"/>
      <c r="C444"/>
      <c r="D444" s="37"/>
      <c r="E444" s="45"/>
      <c r="F444" s="45"/>
      <c r="G444"/>
    </row>
    <row r="445" spans="1:7" x14ac:dyDescent="0.25">
      <c r="A445"/>
      <c r="B445"/>
      <c r="C445"/>
      <c r="D445" s="37"/>
      <c r="E445" s="45"/>
      <c r="F445" s="45"/>
      <c r="G445"/>
    </row>
    <row r="446" spans="1:7" x14ac:dyDescent="0.25">
      <c r="A446"/>
      <c r="B446"/>
      <c r="C446"/>
      <c r="D446" s="37"/>
      <c r="E446" s="45"/>
      <c r="F446" s="45"/>
      <c r="G446"/>
    </row>
    <row r="447" spans="1:7" x14ac:dyDescent="0.25">
      <c r="A447"/>
      <c r="B447"/>
      <c r="C447"/>
      <c r="D447" s="37"/>
      <c r="E447" s="45"/>
      <c r="F447" s="45"/>
      <c r="G447"/>
    </row>
    <row r="448" spans="1:7" x14ac:dyDescent="0.25">
      <c r="A448"/>
      <c r="B448"/>
      <c r="C448"/>
      <c r="D448" s="37"/>
      <c r="E448" s="45"/>
      <c r="F448" s="45"/>
      <c r="G448"/>
    </row>
    <row r="449" spans="1:7" x14ac:dyDescent="0.25">
      <c r="A449"/>
      <c r="B449"/>
      <c r="C449"/>
      <c r="D449" s="37"/>
      <c r="E449" s="45"/>
      <c r="F449" s="45"/>
      <c r="G449"/>
    </row>
    <row r="450" spans="1:7" x14ac:dyDescent="0.25">
      <c r="A450"/>
      <c r="B450"/>
      <c r="C450"/>
      <c r="D450" s="37"/>
      <c r="E450" s="45"/>
      <c r="F450" s="45"/>
      <c r="G450"/>
    </row>
    <row r="451" spans="1:7" x14ac:dyDescent="0.25">
      <c r="A451"/>
      <c r="B451"/>
      <c r="C451"/>
      <c r="D451" s="37"/>
      <c r="E451" s="45"/>
      <c r="F451" s="45"/>
      <c r="G451"/>
    </row>
    <row r="452" spans="1:7" x14ac:dyDescent="0.25">
      <c r="A452"/>
      <c r="B452"/>
      <c r="C452"/>
      <c r="D452" s="37"/>
      <c r="E452" s="45"/>
      <c r="F452" s="45"/>
      <c r="G452"/>
    </row>
    <row r="453" spans="1:7" x14ac:dyDescent="0.25">
      <c r="A453"/>
      <c r="B453"/>
      <c r="C453"/>
      <c r="D453" s="37"/>
      <c r="E453" s="45"/>
      <c r="F453" s="45"/>
      <c r="G453"/>
    </row>
    <row r="454" spans="1:7" x14ac:dyDescent="0.25">
      <c r="A454"/>
      <c r="B454"/>
      <c r="C454"/>
      <c r="D454" s="37"/>
      <c r="E454" s="45"/>
      <c r="F454" s="45"/>
      <c r="G454"/>
    </row>
    <row r="455" spans="1:7" x14ac:dyDescent="0.25">
      <c r="A455"/>
      <c r="B455"/>
      <c r="C455"/>
      <c r="D455" s="37"/>
      <c r="E455" s="45"/>
      <c r="F455" s="45"/>
      <c r="G455"/>
    </row>
    <row r="456" spans="1:7" x14ac:dyDescent="0.25">
      <c r="A456"/>
      <c r="B456"/>
      <c r="C456"/>
      <c r="D456" s="37"/>
      <c r="E456" s="45"/>
      <c r="F456" s="45"/>
      <c r="G456"/>
    </row>
    <row r="457" spans="1:7" x14ac:dyDescent="0.25">
      <c r="A457"/>
      <c r="B457"/>
      <c r="C457"/>
      <c r="D457" s="37"/>
      <c r="E457" s="45"/>
      <c r="F457" s="45"/>
      <c r="G457"/>
    </row>
    <row r="458" spans="1:7" x14ac:dyDescent="0.25">
      <c r="A458"/>
      <c r="B458"/>
      <c r="C458"/>
      <c r="D458" s="37"/>
      <c r="E458" s="45"/>
      <c r="F458" s="45"/>
      <c r="G458"/>
    </row>
    <row r="459" spans="1:7" x14ac:dyDescent="0.25">
      <c r="A459"/>
      <c r="B459"/>
      <c r="C459"/>
      <c r="D459" s="37"/>
      <c r="E459" s="45"/>
      <c r="F459" s="45"/>
      <c r="G459"/>
    </row>
    <row r="460" spans="1:7" x14ac:dyDescent="0.25">
      <c r="A460"/>
      <c r="B460"/>
      <c r="C460"/>
      <c r="D460" s="37"/>
      <c r="E460" s="45"/>
      <c r="F460" s="45"/>
      <c r="G460"/>
    </row>
    <row r="461" spans="1:7" x14ac:dyDescent="0.25">
      <c r="A461"/>
      <c r="B461"/>
      <c r="C461"/>
      <c r="D461" s="37"/>
      <c r="E461" s="45"/>
      <c r="F461" s="45"/>
      <c r="G461"/>
    </row>
    <row r="462" spans="1:7" x14ac:dyDescent="0.25">
      <c r="A462"/>
      <c r="B462"/>
      <c r="C462"/>
      <c r="D462" s="37"/>
      <c r="E462" s="45"/>
      <c r="F462" s="45"/>
      <c r="G462"/>
    </row>
    <row r="463" spans="1:7" x14ac:dyDescent="0.25">
      <c r="A463"/>
      <c r="B463"/>
      <c r="C463"/>
      <c r="D463" s="37"/>
      <c r="E463" s="45"/>
      <c r="F463" s="45"/>
      <c r="G463"/>
    </row>
    <row r="464" spans="1:7" x14ac:dyDescent="0.25">
      <c r="A464"/>
      <c r="B464"/>
      <c r="C464"/>
      <c r="D464" s="37"/>
      <c r="E464" s="45"/>
      <c r="F464" s="45"/>
      <c r="G464"/>
    </row>
    <row r="465" spans="1:7" x14ac:dyDescent="0.25">
      <c r="A465"/>
      <c r="B465"/>
      <c r="C465"/>
      <c r="D465" s="37"/>
      <c r="E465" s="45"/>
      <c r="F465" s="45"/>
      <c r="G465"/>
    </row>
    <row r="466" spans="1:7" x14ac:dyDescent="0.25">
      <c r="A466"/>
      <c r="B466"/>
      <c r="C466"/>
      <c r="D466" s="37"/>
      <c r="E466" s="45"/>
      <c r="F466" s="45"/>
      <c r="G466"/>
    </row>
    <row r="467" spans="1:7" x14ac:dyDescent="0.25">
      <c r="A467"/>
      <c r="B467"/>
      <c r="C467"/>
      <c r="D467" s="37"/>
      <c r="E467" s="45"/>
      <c r="F467" s="45"/>
      <c r="G467"/>
    </row>
    <row r="468" spans="1:7" x14ac:dyDescent="0.25">
      <c r="A468"/>
      <c r="B468"/>
      <c r="C468"/>
      <c r="D468" s="37"/>
      <c r="E468" s="45"/>
      <c r="F468" s="45"/>
      <c r="G468"/>
    </row>
    <row r="469" spans="1:7" x14ac:dyDescent="0.25">
      <c r="A469"/>
      <c r="B469"/>
      <c r="C469"/>
      <c r="D469" s="37"/>
      <c r="E469" s="45"/>
      <c r="F469" s="45"/>
      <c r="G469"/>
    </row>
    <row r="470" spans="1:7" x14ac:dyDescent="0.25">
      <c r="A470"/>
      <c r="B470"/>
      <c r="C470"/>
      <c r="D470" s="37"/>
      <c r="E470" s="45"/>
      <c r="F470" s="45"/>
      <c r="G470"/>
    </row>
    <row r="471" spans="1:7" x14ac:dyDescent="0.25">
      <c r="A471"/>
      <c r="B471"/>
      <c r="C471"/>
      <c r="D471" s="37"/>
      <c r="E471" s="45"/>
      <c r="F471" s="45"/>
      <c r="G471"/>
    </row>
    <row r="472" spans="1:7" x14ac:dyDescent="0.25">
      <c r="A472"/>
      <c r="B472"/>
      <c r="C472"/>
      <c r="D472" s="37"/>
      <c r="E472" s="45"/>
      <c r="F472" s="45"/>
      <c r="G472"/>
    </row>
    <row r="473" spans="1:7" x14ac:dyDescent="0.25">
      <c r="A473"/>
      <c r="B473"/>
      <c r="C473"/>
      <c r="D473" s="37"/>
      <c r="E473" s="45"/>
      <c r="F473" s="45"/>
      <c r="G473"/>
    </row>
    <row r="474" spans="1:7" x14ac:dyDescent="0.25">
      <c r="A474"/>
      <c r="B474"/>
      <c r="C474"/>
      <c r="D474" s="37"/>
      <c r="E474" s="45"/>
      <c r="F474" s="45"/>
      <c r="G474"/>
    </row>
    <row r="475" spans="1:7" x14ac:dyDescent="0.25">
      <c r="A475"/>
      <c r="B475"/>
      <c r="C475"/>
      <c r="D475" s="37"/>
      <c r="E475" s="45"/>
      <c r="F475" s="45"/>
      <c r="G475"/>
    </row>
    <row r="476" spans="1:7" x14ac:dyDescent="0.25">
      <c r="A476"/>
      <c r="B476"/>
      <c r="C476"/>
      <c r="D476" s="37"/>
      <c r="E476" s="45"/>
      <c r="F476" s="45"/>
      <c r="G476"/>
    </row>
    <row r="477" spans="1:7" x14ac:dyDescent="0.25">
      <c r="A477"/>
      <c r="B477"/>
      <c r="C477"/>
      <c r="D477" s="37"/>
      <c r="E477" s="45"/>
      <c r="F477" s="45"/>
      <c r="G477"/>
    </row>
    <row r="478" spans="1:7" x14ac:dyDescent="0.25">
      <c r="A478"/>
      <c r="B478"/>
      <c r="C478"/>
      <c r="D478" s="37"/>
      <c r="E478" s="45"/>
      <c r="F478" s="45"/>
      <c r="G478"/>
    </row>
    <row r="479" spans="1:7" x14ac:dyDescent="0.25">
      <c r="A479"/>
      <c r="B479"/>
      <c r="C479"/>
      <c r="D479" s="37"/>
      <c r="E479" s="45"/>
      <c r="F479" s="45"/>
      <c r="G479"/>
    </row>
    <row r="480" spans="1:7" x14ac:dyDescent="0.25">
      <c r="A480"/>
      <c r="B480"/>
      <c r="C480"/>
      <c r="D480" s="37"/>
      <c r="E480" s="45"/>
      <c r="F480" s="45"/>
      <c r="G480"/>
    </row>
    <row r="481" spans="1:7" x14ac:dyDescent="0.25">
      <c r="A481"/>
      <c r="B481"/>
      <c r="C481"/>
      <c r="D481" s="37"/>
      <c r="E481" s="45"/>
      <c r="F481" s="45"/>
      <c r="G481"/>
    </row>
    <row r="482" spans="1:7" x14ac:dyDescent="0.25">
      <c r="A482"/>
      <c r="B482"/>
      <c r="C482"/>
      <c r="D482" s="37"/>
      <c r="E482" s="45"/>
      <c r="F482" s="45"/>
      <c r="G482"/>
    </row>
    <row r="483" spans="1:7" x14ac:dyDescent="0.25">
      <c r="A483"/>
      <c r="B483"/>
      <c r="C483"/>
      <c r="D483" s="37"/>
      <c r="E483" s="45"/>
      <c r="F483" s="45"/>
      <c r="G483"/>
    </row>
    <row r="484" spans="1:7" x14ac:dyDescent="0.25">
      <c r="A484"/>
      <c r="B484"/>
      <c r="C484"/>
      <c r="D484" s="37"/>
      <c r="E484" s="45"/>
      <c r="F484" s="45"/>
      <c r="G484"/>
    </row>
    <row r="485" spans="1:7" x14ac:dyDescent="0.25">
      <c r="A485"/>
      <c r="B485"/>
      <c r="C485"/>
      <c r="D485" s="37"/>
      <c r="E485" s="45"/>
      <c r="F485" s="45"/>
      <c r="G485"/>
    </row>
    <row r="486" spans="1:7" x14ac:dyDescent="0.25">
      <c r="A486"/>
      <c r="B486"/>
      <c r="C486"/>
      <c r="D486" s="37"/>
      <c r="E486" s="45"/>
      <c r="F486" s="45"/>
      <c r="G486"/>
    </row>
    <row r="487" spans="1:7" x14ac:dyDescent="0.25">
      <c r="A487"/>
      <c r="B487"/>
      <c r="C487"/>
      <c r="D487" s="37"/>
      <c r="E487" s="45"/>
      <c r="F487" s="45"/>
      <c r="G487"/>
    </row>
    <row r="488" spans="1:7" x14ac:dyDescent="0.25">
      <c r="A488"/>
      <c r="B488"/>
      <c r="C488"/>
      <c r="D488" s="37"/>
      <c r="E488" s="45"/>
      <c r="F488" s="45"/>
      <c r="G488"/>
    </row>
    <row r="489" spans="1:7" x14ac:dyDescent="0.25">
      <c r="A489"/>
      <c r="B489"/>
      <c r="C489"/>
      <c r="D489" s="37"/>
      <c r="E489" s="45"/>
      <c r="F489" s="45"/>
      <c r="G489"/>
    </row>
    <row r="490" spans="1:7" x14ac:dyDescent="0.25">
      <c r="A490"/>
      <c r="B490"/>
      <c r="C490"/>
      <c r="D490" s="37"/>
      <c r="E490" s="45"/>
      <c r="F490" s="45"/>
      <c r="G490"/>
    </row>
    <row r="491" spans="1:7" x14ac:dyDescent="0.25">
      <c r="A491"/>
      <c r="B491"/>
      <c r="C491"/>
      <c r="D491" s="37"/>
      <c r="E491" s="45"/>
      <c r="F491" s="45"/>
      <c r="G491"/>
    </row>
    <row r="492" spans="1:7" x14ac:dyDescent="0.25">
      <c r="A492"/>
      <c r="B492"/>
      <c r="C492"/>
      <c r="D492" s="37"/>
      <c r="E492" s="45"/>
      <c r="F492" s="45"/>
      <c r="G492"/>
    </row>
    <row r="493" spans="1:7" x14ac:dyDescent="0.25">
      <c r="A493"/>
      <c r="B493"/>
      <c r="C493"/>
      <c r="D493" s="37"/>
      <c r="E493" s="45"/>
      <c r="F493" s="45"/>
      <c r="G493"/>
    </row>
    <row r="494" spans="1:7" x14ac:dyDescent="0.25">
      <c r="A494"/>
      <c r="B494"/>
      <c r="C494"/>
      <c r="D494" s="37"/>
      <c r="E494" s="45"/>
      <c r="F494" s="45"/>
      <c r="G494"/>
    </row>
    <row r="495" spans="1:7" x14ac:dyDescent="0.25">
      <c r="A495"/>
      <c r="B495"/>
      <c r="C495"/>
      <c r="D495" s="37"/>
      <c r="E495" s="45"/>
      <c r="F495" s="45"/>
      <c r="G495"/>
    </row>
    <row r="496" spans="1:7" x14ac:dyDescent="0.25">
      <c r="A496"/>
      <c r="B496"/>
      <c r="C496"/>
      <c r="D496" s="37"/>
      <c r="E496" s="45"/>
      <c r="F496" s="45"/>
      <c r="G496"/>
    </row>
    <row r="497" spans="1:7" x14ac:dyDescent="0.25">
      <c r="A497"/>
      <c r="B497"/>
      <c r="C497"/>
      <c r="D497" s="37"/>
      <c r="E497" s="45"/>
      <c r="F497" s="45"/>
      <c r="G497"/>
    </row>
    <row r="498" spans="1:7" x14ac:dyDescent="0.25">
      <c r="A498"/>
      <c r="B498"/>
      <c r="C498"/>
      <c r="D498" s="37"/>
      <c r="E498" s="45"/>
      <c r="F498" s="45"/>
      <c r="G498"/>
    </row>
    <row r="499" spans="1:7" x14ac:dyDescent="0.25">
      <c r="A499"/>
      <c r="B499"/>
      <c r="C499"/>
      <c r="D499" s="37"/>
      <c r="E499" s="45"/>
      <c r="F499" s="45"/>
      <c r="G499"/>
    </row>
    <row r="500" spans="1:7" x14ac:dyDescent="0.25">
      <c r="A500"/>
      <c r="B500"/>
      <c r="C500"/>
      <c r="D500" s="37"/>
      <c r="E500" s="45"/>
      <c r="F500" s="45"/>
      <c r="G500"/>
    </row>
    <row r="501" spans="1:7" x14ac:dyDescent="0.25">
      <c r="A501"/>
      <c r="B501"/>
      <c r="C501"/>
      <c r="D501" s="37"/>
      <c r="E501" s="45"/>
      <c r="F501" s="45"/>
      <c r="G501"/>
    </row>
    <row r="502" spans="1:7" x14ac:dyDescent="0.25">
      <c r="A502"/>
      <c r="B502"/>
      <c r="C502"/>
      <c r="D502" s="37"/>
      <c r="E502" s="45"/>
      <c r="F502" s="45"/>
      <c r="G502"/>
    </row>
    <row r="503" spans="1:7" x14ac:dyDescent="0.25">
      <c r="A503"/>
      <c r="B503"/>
      <c r="C503"/>
      <c r="D503" s="37"/>
      <c r="E503" s="45"/>
      <c r="F503" s="45"/>
      <c r="G503"/>
    </row>
    <row r="504" spans="1:7" x14ac:dyDescent="0.25">
      <c r="A504"/>
      <c r="B504"/>
      <c r="C504"/>
      <c r="D504" s="37"/>
      <c r="E504" s="45"/>
      <c r="F504" s="45"/>
      <c r="G504"/>
    </row>
    <row r="505" spans="1:7" x14ac:dyDescent="0.25">
      <c r="A505"/>
      <c r="B505"/>
      <c r="C505"/>
      <c r="D505" s="37"/>
      <c r="E505" s="45"/>
      <c r="F505" s="45"/>
      <c r="G505"/>
    </row>
    <row r="506" spans="1:7" x14ac:dyDescent="0.25">
      <c r="A506"/>
      <c r="B506"/>
      <c r="C506"/>
      <c r="D506" s="37"/>
      <c r="E506" s="45"/>
      <c r="F506" s="45"/>
      <c r="G506"/>
    </row>
    <row r="507" spans="1:7" x14ac:dyDescent="0.25">
      <c r="A507"/>
      <c r="B507"/>
      <c r="C507"/>
      <c r="D507" s="37"/>
      <c r="E507" s="45"/>
      <c r="F507" s="45"/>
      <c r="G507"/>
    </row>
    <row r="508" spans="1:7" x14ac:dyDescent="0.25">
      <c r="A508"/>
      <c r="B508"/>
      <c r="C508"/>
      <c r="D508" s="37"/>
      <c r="E508" s="45"/>
      <c r="F508" s="45"/>
      <c r="G508"/>
    </row>
    <row r="509" spans="1:7" x14ac:dyDescent="0.25">
      <c r="A509"/>
      <c r="B509"/>
      <c r="C509"/>
      <c r="D509" s="37"/>
      <c r="E509" s="45"/>
      <c r="F509" s="45"/>
      <c r="G509"/>
    </row>
    <row r="510" spans="1:7" x14ac:dyDescent="0.25">
      <c r="A510"/>
      <c r="B510"/>
      <c r="C510"/>
      <c r="D510" s="37"/>
      <c r="E510" s="45"/>
      <c r="F510" s="45"/>
      <c r="G510"/>
    </row>
    <row r="511" spans="1:7" x14ac:dyDescent="0.25">
      <c r="A511"/>
      <c r="B511"/>
      <c r="C511"/>
      <c r="D511" s="37"/>
      <c r="E511" s="45"/>
      <c r="F511" s="45"/>
      <c r="G511"/>
    </row>
    <row r="512" spans="1:7" x14ac:dyDescent="0.25">
      <c r="A512"/>
      <c r="B512"/>
      <c r="C512"/>
      <c r="D512" s="37"/>
      <c r="E512" s="45"/>
      <c r="F512" s="45"/>
      <c r="G512"/>
    </row>
    <row r="513" spans="1:7" x14ac:dyDescent="0.25">
      <c r="A513"/>
      <c r="B513"/>
      <c r="C513"/>
      <c r="D513" s="37"/>
      <c r="E513" s="45"/>
      <c r="F513" s="45"/>
      <c r="G513"/>
    </row>
    <row r="514" spans="1:7" x14ac:dyDescent="0.25">
      <c r="A514"/>
      <c r="B514"/>
      <c r="C514"/>
      <c r="D514" s="37"/>
      <c r="E514" s="45"/>
      <c r="F514" s="45"/>
      <c r="G514"/>
    </row>
    <row r="515" spans="1:7" x14ac:dyDescent="0.25">
      <c r="A515"/>
      <c r="B515"/>
      <c r="C515"/>
      <c r="D515" s="37"/>
      <c r="E515" s="45"/>
      <c r="F515" s="45"/>
      <c r="G515"/>
    </row>
    <row r="516" spans="1:7" x14ac:dyDescent="0.25">
      <c r="A516"/>
      <c r="B516"/>
      <c r="C516"/>
      <c r="D516" s="37"/>
      <c r="E516" s="45"/>
      <c r="F516" s="45"/>
      <c r="G516"/>
    </row>
    <row r="517" spans="1:7" x14ac:dyDescent="0.25">
      <c r="A517"/>
      <c r="B517"/>
      <c r="C517"/>
      <c r="D517" s="37"/>
      <c r="E517" s="45"/>
      <c r="F517" s="45"/>
      <c r="G517"/>
    </row>
    <row r="518" spans="1:7" x14ac:dyDescent="0.25">
      <c r="A518"/>
      <c r="B518"/>
      <c r="C518"/>
      <c r="D518" s="37"/>
      <c r="E518" s="45"/>
      <c r="F518" s="45"/>
      <c r="G518"/>
    </row>
    <row r="519" spans="1:7" x14ac:dyDescent="0.25">
      <c r="A519"/>
      <c r="B519"/>
      <c r="C519"/>
      <c r="D519" s="37"/>
      <c r="E519" s="45"/>
      <c r="F519" s="45"/>
      <c r="G519"/>
    </row>
    <row r="520" spans="1:7" x14ac:dyDescent="0.25">
      <c r="A520"/>
      <c r="B520"/>
      <c r="C520"/>
      <c r="D520" s="37"/>
      <c r="E520" s="45"/>
      <c r="F520" s="45"/>
      <c r="G520"/>
    </row>
    <row r="521" spans="1:7" x14ac:dyDescent="0.25">
      <c r="A521"/>
      <c r="B521"/>
      <c r="C521"/>
      <c r="D521" s="37"/>
      <c r="E521" s="45"/>
      <c r="F521" s="45"/>
      <c r="G521"/>
    </row>
    <row r="522" spans="1:7" x14ac:dyDescent="0.25">
      <c r="A522"/>
      <c r="B522"/>
      <c r="C522"/>
      <c r="D522" s="37"/>
      <c r="E522" s="45"/>
      <c r="F522" s="45"/>
      <c r="G522"/>
    </row>
    <row r="523" spans="1:7" x14ac:dyDescent="0.25">
      <c r="A523"/>
      <c r="B523"/>
      <c r="C523"/>
      <c r="D523" s="37"/>
      <c r="E523" s="45"/>
      <c r="F523" s="45"/>
      <c r="G523"/>
    </row>
    <row r="524" spans="1:7" x14ac:dyDescent="0.25">
      <c r="A524"/>
      <c r="B524"/>
      <c r="C524"/>
      <c r="D524" s="37"/>
      <c r="E524" s="45"/>
      <c r="F524" s="45"/>
      <c r="G524"/>
    </row>
    <row r="525" spans="1:7" x14ac:dyDescent="0.25">
      <c r="A525"/>
      <c r="B525"/>
      <c r="C525"/>
      <c r="D525" s="37"/>
      <c r="E525" s="45"/>
      <c r="F525" s="45"/>
      <c r="G525"/>
    </row>
    <row r="526" spans="1:7" x14ac:dyDescent="0.25">
      <c r="A526"/>
      <c r="B526"/>
      <c r="C526"/>
      <c r="D526" s="37"/>
      <c r="E526" s="45"/>
      <c r="F526" s="45"/>
      <c r="G526"/>
    </row>
    <row r="527" spans="1:7" x14ac:dyDescent="0.25">
      <c r="A527"/>
      <c r="B527"/>
      <c r="C527"/>
      <c r="D527" s="37"/>
      <c r="E527" s="45"/>
      <c r="F527" s="45"/>
      <c r="G527"/>
    </row>
    <row r="528" spans="1:7" x14ac:dyDescent="0.25">
      <c r="A528"/>
      <c r="B528"/>
      <c r="C528"/>
      <c r="D528" s="37"/>
      <c r="E528" s="45"/>
      <c r="F528" s="45"/>
      <c r="G528"/>
    </row>
    <row r="529" spans="1:7" x14ac:dyDescent="0.25">
      <c r="A529"/>
      <c r="B529"/>
      <c r="C529"/>
      <c r="D529" s="37"/>
      <c r="E529" s="45"/>
      <c r="F529" s="45"/>
      <c r="G529"/>
    </row>
    <row r="530" spans="1:7" x14ac:dyDescent="0.25">
      <c r="A530"/>
      <c r="B530"/>
      <c r="C530"/>
      <c r="D530" s="37"/>
      <c r="E530" s="45"/>
      <c r="F530" s="45"/>
      <c r="G530"/>
    </row>
    <row r="531" spans="1:7" x14ac:dyDescent="0.25">
      <c r="A531"/>
      <c r="B531"/>
      <c r="C531"/>
      <c r="D531" s="37"/>
      <c r="E531" s="45"/>
      <c r="F531" s="45"/>
      <c r="G531"/>
    </row>
    <row r="532" spans="1:7" x14ac:dyDescent="0.25">
      <c r="A532"/>
      <c r="B532"/>
      <c r="C532"/>
      <c r="D532" s="37"/>
      <c r="E532" s="45"/>
      <c r="F532" s="45"/>
      <c r="G532"/>
    </row>
    <row r="533" spans="1:7" x14ac:dyDescent="0.25">
      <c r="A533"/>
      <c r="B533"/>
      <c r="C533"/>
      <c r="D533" s="37"/>
      <c r="E533" s="45"/>
      <c r="F533" s="45"/>
      <c r="G533"/>
    </row>
    <row r="534" spans="1:7" x14ac:dyDescent="0.25">
      <c r="A534"/>
      <c r="B534"/>
      <c r="C534"/>
      <c r="D534" s="37"/>
      <c r="E534" s="45"/>
      <c r="F534" s="45"/>
      <c r="G534"/>
    </row>
    <row r="535" spans="1:7" x14ac:dyDescent="0.25">
      <c r="A535"/>
      <c r="B535"/>
      <c r="C535"/>
      <c r="D535" s="37"/>
      <c r="E535" s="45"/>
      <c r="F535" s="45"/>
      <c r="G535"/>
    </row>
    <row r="536" spans="1:7" x14ac:dyDescent="0.25">
      <c r="A536"/>
      <c r="B536"/>
      <c r="C536"/>
      <c r="D536" s="37"/>
      <c r="E536" s="45"/>
      <c r="F536" s="45"/>
      <c r="G536"/>
    </row>
    <row r="537" spans="1:7" x14ac:dyDescent="0.25">
      <c r="A537"/>
      <c r="B537"/>
      <c r="C537"/>
      <c r="D537" s="37"/>
      <c r="E537" s="45"/>
      <c r="F537" s="45"/>
      <c r="G537"/>
    </row>
    <row r="538" spans="1:7" x14ac:dyDescent="0.25">
      <c r="A538"/>
      <c r="B538"/>
      <c r="C538"/>
      <c r="D538" s="37"/>
      <c r="E538" s="45"/>
      <c r="F538" s="45"/>
      <c r="G538"/>
    </row>
    <row r="539" spans="1:7" x14ac:dyDescent="0.25">
      <c r="A539"/>
      <c r="B539"/>
      <c r="C539"/>
      <c r="D539" s="37"/>
      <c r="E539" s="45"/>
      <c r="F539" s="45"/>
      <c r="G539"/>
    </row>
    <row r="540" spans="1:7" x14ac:dyDescent="0.25">
      <c r="A540"/>
      <c r="B540"/>
      <c r="C540"/>
      <c r="D540" s="37"/>
      <c r="E540" s="45"/>
      <c r="F540" s="45"/>
      <c r="G540"/>
    </row>
    <row r="541" spans="1:7" x14ac:dyDescent="0.25">
      <c r="A541"/>
      <c r="B541"/>
      <c r="C541"/>
      <c r="D541" s="37"/>
      <c r="E541" s="45"/>
      <c r="F541" s="45"/>
      <c r="G541"/>
    </row>
    <row r="542" spans="1:7" x14ac:dyDescent="0.25">
      <c r="A542"/>
      <c r="B542"/>
      <c r="C542"/>
      <c r="D542" s="37"/>
      <c r="E542" s="45"/>
      <c r="F542" s="45"/>
      <c r="G542"/>
    </row>
    <row r="543" spans="1:7" x14ac:dyDescent="0.25">
      <c r="A543"/>
      <c r="B543"/>
      <c r="C543"/>
      <c r="D543" s="37"/>
      <c r="E543" s="45"/>
      <c r="F543" s="45"/>
      <c r="G543"/>
    </row>
    <row r="544" spans="1:7" x14ac:dyDescent="0.25">
      <c r="A544"/>
      <c r="B544"/>
      <c r="C544"/>
      <c r="D544" s="37"/>
      <c r="E544" s="45"/>
      <c r="F544" s="45"/>
      <c r="G544"/>
    </row>
    <row r="545" spans="1:7" x14ac:dyDescent="0.25">
      <c r="A545"/>
      <c r="B545"/>
      <c r="C545"/>
      <c r="D545" s="37"/>
      <c r="E545" s="45"/>
      <c r="F545" s="45"/>
      <c r="G545"/>
    </row>
    <row r="546" spans="1:7" x14ac:dyDescent="0.25">
      <c r="A546"/>
      <c r="B546"/>
      <c r="C546"/>
      <c r="D546" s="37"/>
      <c r="E546" s="45"/>
      <c r="F546" s="45"/>
      <c r="G546"/>
    </row>
    <row r="547" spans="1:7" x14ac:dyDescent="0.25">
      <c r="A547"/>
      <c r="B547"/>
      <c r="C547"/>
      <c r="D547" s="37"/>
      <c r="E547" s="45"/>
      <c r="F547" s="45"/>
      <c r="G547"/>
    </row>
    <row r="548" spans="1:7" x14ac:dyDescent="0.25">
      <c r="A548"/>
      <c r="B548"/>
      <c r="C548"/>
      <c r="D548" s="37"/>
      <c r="E548" s="45"/>
      <c r="F548" s="45"/>
      <c r="G548"/>
    </row>
    <row r="549" spans="1:7" x14ac:dyDescent="0.25">
      <c r="A549"/>
      <c r="B549"/>
      <c r="C549"/>
      <c r="D549" s="37"/>
      <c r="E549" s="45"/>
      <c r="F549" s="45"/>
      <c r="G549"/>
    </row>
    <row r="550" spans="1:7" x14ac:dyDescent="0.25">
      <c r="A550"/>
      <c r="B550"/>
      <c r="C550"/>
      <c r="D550" s="37"/>
      <c r="E550" s="45"/>
      <c r="F550" s="45"/>
      <c r="G550"/>
    </row>
  </sheetData>
  <mergeCells count="1">
    <mergeCell ref="A4:B4"/>
  </mergeCells>
  <conditionalFormatting sqref="D1:D1048576">
    <cfRule type="cellIs" dxfId="7" priority="3" operator="equal">
      <formula>"Malfunction"</formula>
    </cfRule>
    <cfRule type="cellIs" dxfId="6" priority="4" operator="equal">
      <formula>"Diagnostic"</formula>
    </cfRule>
  </conditionalFormatting>
  <conditionalFormatting sqref="E1:E1048576">
    <cfRule type="cellIs" dxfId="5" priority="1" operator="equal">
      <formula>"Cleared"</formula>
    </cfRule>
    <cfRule type="cellIs" dxfId="4" priority="2" operator="equal">
      <formula>"Active"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8"/>
  <sheetViews>
    <sheetView workbookViewId="0"/>
  </sheetViews>
  <sheetFormatPr defaultRowHeight="12.75" x14ac:dyDescent="0.2"/>
  <cols>
    <col min="1" max="2" width="22.140625" customWidth="1"/>
    <col min="3" max="3" width="17.85546875" customWidth="1"/>
    <col min="4" max="4" width="15.140625" customWidth="1"/>
    <col min="5" max="5" width="18.5703125" customWidth="1"/>
    <col min="6" max="6" width="22.140625" customWidth="1"/>
    <col min="7" max="7" width="16" customWidth="1"/>
    <col min="8" max="8" width="18.140625" customWidth="1"/>
    <col min="9" max="9" width="16.5703125" customWidth="1"/>
    <col min="10" max="10" width="15.5703125" customWidth="1"/>
    <col min="11" max="11" width="31.5703125" customWidth="1"/>
    <col min="12" max="12" width="22.140625" customWidth="1"/>
    <col min="13" max="13" width="22.42578125" style="20" customWidth="1"/>
    <col min="14" max="14" width="14.28515625" customWidth="1"/>
  </cols>
  <sheetData>
    <row r="1" spans="1:14" x14ac:dyDescent="0.2">
      <c r="A1" s="4" t="s">
        <v>4</v>
      </c>
      <c r="B1" s="3" t="s">
        <v>225</v>
      </c>
      <c r="E1" s="5"/>
      <c r="F1" s="3"/>
    </row>
    <row r="2" spans="1:14" x14ac:dyDescent="0.2">
      <c r="A2" s="4" t="s">
        <v>3</v>
      </c>
      <c r="B2" s="3">
        <v>43598.449176643502</v>
      </c>
      <c r="F2" s="3"/>
    </row>
    <row r="3" spans="1:14" x14ac:dyDescent="0.2">
      <c r="A3" s="4" t="s">
        <v>1</v>
      </c>
      <c r="B3" s="3">
        <v>43568.449169502303</v>
      </c>
      <c r="F3" s="3"/>
    </row>
    <row r="4" spans="1:14" x14ac:dyDescent="0.2">
      <c r="A4" s="4" t="s">
        <v>2</v>
      </c>
      <c r="B4" s="3">
        <v>43598.449169502303</v>
      </c>
      <c r="F4" s="3"/>
    </row>
    <row r="5" spans="1:14" x14ac:dyDescent="0.2">
      <c r="A5" s="4" t="s">
        <v>5</v>
      </c>
      <c r="B5" s="3" t="s">
        <v>217</v>
      </c>
      <c r="F5" s="3"/>
    </row>
    <row r="6" spans="1:14" x14ac:dyDescent="0.2">
      <c r="A6" s="4" t="s">
        <v>6</v>
      </c>
      <c r="B6" s="3" t="s">
        <v>218</v>
      </c>
      <c r="F6" s="3"/>
    </row>
    <row r="7" spans="1:14" x14ac:dyDescent="0.2">
      <c r="A7" s="4" t="s">
        <v>7</v>
      </c>
      <c r="B7" s="3" t="b">
        <f ca="1">IF(COUNTIFS(Report!G:G,"Malfunction",Report!H:H,"Active",Report!F:F,"#N/A")&gt;0,TRUE,FALSE)</f>
        <v>1</v>
      </c>
      <c r="F7" s="3"/>
    </row>
    <row r="8" spans="1:14" x14ac:dyDescent="0.2">
      <c r="A8" s="4" t="s">
        <v>8</v>
      </c>
      <c r="B8" s="3" t="s">
        <v>524</v>
      </c>
      <c r="F8" s="3"/>
    </row>
    <row r="9" spans="1:14" x14ac:dyDescent="0.2">
      <c r="A9" s="4" t="s">
        <v>118</v>
      </c>
      <c r="B9" s="3" t="s">
        <v>119</v>
      </c>
      <c r="F9" s="3"/>
    </row>
    <row r="10" spans="1:14" ht="26.25" customHeight="1" thickBot="1" x14ac:dyDescent="0.25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23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120</v>
      </c>
      <c r="M10" s="21" t="s">
        <v>226</v>
      </c>
      <c r="N10" s="1" t="s">
        <v>175</v>
      </c>
    </row>
    <row r="11" spans="1:14" x14ac:dyDescent="0.2">
      <c r="A11" s="3">
        <v>43568.6152083333</v>
      </c>
      <c r="B11" s="3" t="s">
        <v>224</v>
      </c>
      <c r="C11" s="2" t="s">
        <v>490</v>
      </c>
      <c r="D11" s="2" t="s">
        <v>223</v>
      </c>
      <c r="E11" s="2" t="s">
        <v>221</v>
      </c>
      <c r="F11" s="3" t="s">
        <v>229</v>
      </c>
      <c r="G11" s="2">
        <v>12321.00390625</v>
      </c>
      <c r="H11" s="2">
        <v>21.503171920776399</v>
      </c>
      <c r="I11" s="2" t="s">
        <v>521</v>
      </c>
      <c r="J11" s="2" t="s">
        <v>522</v>
      </c>
      <c r="K11" s="2" t="s">
        <v>523</v>
      </c>
      <c r="L11" s="2" t="s">
        <v>121</v>
      </c>
      <c r="M11" s="20" t="s">
        <v>228</v>
      </c>
      <c r="N11" t="s">
        <v>220</v>
      </c>
    </row>
    <row r="12" spans="1:14" x14ac:dyDescent="0.2">
      <c r="A12" s="3">
        <v>43568.664083449097</v>
      </c>
      <c r="B12" s="3" t="s">
        <v>224</v>
      </c>
      <c r="C12" s="2" t="s">
        <v>491</v>
      </c>
      <c r="D12" s="2" t="s">
        <v>230</v>
      </c>
      <c r="E12" s="2" t="s">
        <v>221</v>
      </c>
      <c r="F12" s="3" t="s">
        <v>231</v>
      </c>
      <c r="G12" s="2">
        <v>2990.02856445312</v>
      </c>
      <c r="H12" s="2">
        <v>16.041061401367202</v>
      </c>
      <c r="I12" s="2" t="s">
        <v>521</v>
      </c>
      <c r="J12" s="2" t="s">
        <v>522</v>
      </c>
      <c r="K12" s="2" t="s">
        <v>523</v>
      </c>
      <c r="L12" s="2" t="s">
        <v>121</v>
      </c>
      <c r="M12" s="20" t="s">
        <v>228</v>
      </c>
      <c r="N12" t="s">
        <v>220</v>
      </c>
    </row>
    <row r="13" spans="1:14" x14ac:dyDescent="0.2">
      <c r="A13" s="3">
        <v>43568.820243055598</v>
      </c>
      <c r="B13" s="3" t="s">
        <v>224</v>
      </c>
      <c r="C13" s="2" t="s">
        <v>492</v>
      </c>
      <c r="D13" s="2" t="s">
        <v>232</v>
      </c>
      <c r="E13" s="2" t="s">
        <v>221</v>
      </c>
      <c r="F13" s="3" t="s">
        <v>233</v>
      </c>
      <c r="G13" s="2">
        <v>116631.1875</v>
      </c>
      <c r="H13" s="2">
        <v>119.233680725098</v>
      </c>
      <c r="I13" s="2" t="s">
        <v>521</v>
      </c>
      <c r="J13" s="2" t="s">
        <v>522</v>
      </c>
      <c r="K13" s="2" t="s">
        <v>523</v>
      </c>
      <c r="L13" s="2" t="s">
        <v>121</v>
      </c>
      <c r="M13" s="20" t="s">
        <v>228</v>
      </c>
      <c r="N13" t="s">
        <v>220</v>
      </c>
    </row>
    <row r="14" spans="1:14" x14ac:dyDescent="0.2">
      <c r="A14" s="3">
        <v>43568.958956863396</v>
      </c>
      <c r="B14" s="3" t="s">
        <v>224</v>
      </c>
      <c r="C14" s="2" t="s">
        <v>491</v>
      </c>
      <c r="D14" s="2" t="s">
        <v>230</v>
      </c>
      <c r="E14" s="2" t="s">
        <v>221</v>
      </c>
      <c r="F14" s="3" t="s">
        <v>234</v>
      </c>
      <c r="G14" s="2">
        <v>3006.06958007812</v>
      </c>
      <c r="H14" s="2">
        <v>153.68159484863301</v>
      </c>
      <c r="I14" s="2" t="s">
        <v>521</v>
      </c>
      <c r="J14" s="2" t="s">
        <v>522</v>
      </c>
      <c r="K14" s="2" t="s">
        <v>523</v>
      </c>
      <c r="L14" s="2" t="s">
        <v>121</v>
      </c>
      <c r="M14" s="20" t="s">
        <v>228</v>
      </c>
      <c r="N14" t="s">
        <v>220</v>
      </c>
    </row>
    <row r="15" spans="1:14" x14ac:dyDescent="0.2">
      <c r="A15" s="3">
        <v>43569.3996064815</v>
      </c>
      <c r="B15" s="3" t="s">
        <v>224</v>
      </c>
      <c r="C15" s="2" t="s">
        <v>493</v>
      </c>
      <c r="D15" s="2" t="s">
        <v>235</v>
      </c>
      <c r="E15" s="2" t="s">
        <v>221</v>
      </c>
      <c r="F15" s="3" t="s">
        <v>236</v>
      </c>
      <c r="G15" s="2">
        <v>60532.68359375</v>
      </c>
      <c r="H15" s="2">
        <v>12.253440856933601</v>
      </c>
      <c r="I15" s="2" t="s">
        <v>521</v>
      </c>
      <c r="J15" s="2" t="s">
        <v>522</v>
      </c>
      <c r="K15" s="2" t="s">
        <v>523</v>
      </c>
      <c r="L15" s="2" t="s">
        <v>121</v>
      </c>
      <c r="M15" s="20" t="s">
        <v>228</v>
      </c>
      <c r="N15" t="s">
        <v>220</v>
      </c>
    </row>
    <row r="16" spans="1:14" x14ac:dyDescent="0.2">
      <c r="A16" s="3">
        <v>43569.461226851898</v>
      </c>
      <c r="B16" s="3" t="s">
        <v>224</v>
      </c>
      <c r="C16" s="2" t="s">
        <v>494</v>
      </c>
      <c r="D16" s="2" t="s">
        <v>237</v>
      </c>
      <c r="E16" s="2" t="s">
        <v>221</v>
      </c>
      <c r="F16" s="3" t="s">
        <v>238</v>
      </c>
      <c r="G16" s="2">
        <v>82226.671875</v>
      </c>
      <c r="H16" s="2">
        <v>22.493638992309599</v>
      </c>
      <c r="I16" s="2" t="s">
        <v>521</v>
      </c>
      <c r="J16" s="2" t="s">
        <v>522</v>
      </c>
      <c r="K16" s="2" t="s">
        <v>523</v>
      </c>
      <c r="L16" s="2" t="s">
        <v>121</v>
      </c>
      <c r="M16" s="20" t="s">
        <v>228</v>
      </c>
      <c r="N16" t="s">
        <v>220</v>
      </c>
    </row>
    <row r="17" spans="1:14" x14ac:dyDescent="0.2">
      <c r="A17" s="3">
        <v>43570.242916666699</v>
      </c>
      <c r="B17" s="3" t="s">
        <v>224</v>
      </c>
      <c r="C17" s="2" t="s">
        <v>493</v>
      </c>
      <c r="D17" s="2" t="s">
        <v>235</v>
      </c>
      <c r="E17" s="2" t="s">
        <v>221</v>
      </c>
      <c r="F17" s="3" t="s">
        <v>239</v>
      </c>
      <c r="G17" s="2">
        <v>60544.93359375</v>
      </c>
      <c r="H17" s="2">
        <v>28.796827316284201</v>
      </c>
      <c r="I17" s="2" t="s">
        <v>521</v>
      </c>
      <c r="J17" s="2" t="s">
        <v>522</v>
      </c>
      <c r="K17" s="2" t="s">
        <v>523</v>
      </c>
      <c r="L17" s="2" t="s">
        <v>121</v>
      </c>
      <c r="M17" s="20" t="s">
        <v>228</v>
      </c>
      <c r="N17" t="s">
        <v>220</v>
      </c>
    </row>
    <row r="18" spans="1:14" x14ac:dyDescent="0.2">
      <c r="A18" s="3">
        <v>43570.383344907401</v>
      </c>
      <c r="B18" s="3" t="s">
        <v>224</v>
      </c>
      <c r="C18" s="2" t="s">
        <v>490</v>
      </c>
      <c r="D18" s="2" t="s">
        <v>223</v>
      </c>
      <c r="E18" s="2" t="s">
        <v>221</v>
      </c>
      <c r="F18" s="3" t="s">
        <v>240</v>
      </c>
      <c r="G18" s="2">
        <v>12342.5068359375</v>
      </c>
      <c r="H18" s="2">
        <v>33.1153564453125</v>
      </c>
      <c r="I18" s="2" t="s">
        <v>521</v>
      </c>
      <c r="J18" s="2" t="s">
        <v>522</v>
      </c>
      <c r="K18" s="2" t="s">
        <v>523</v>
      </c>
      <c r="L18" s="2" t="s">
        <v>121</v>
      </c>
      <c r="M18" s="20" t="s">
        <v>228</v>
      </c>
      <c r="N18" t="s">
        <v>220</v>
      </c>
    </row>
    <row r="19" spans="1:14" x14ac:dyDescent="0.2">
      <c r="A19" s="3">
        <v>43570.399780092601</v>
      </c>
      <c r="B19" s="3" t="s">
        <v>224</v>
      </c>
      <c r="C19" s="2" t="s">
        <v>492</v>
      </c>
      <c r="D19" s="2" t="s">
        <v>232</v>
      </c>
      <c r="E19" s="2" t="s">
        <v>221</v>
      </c>
      <c r="F19" s="3" t="s">
        <v>241</v>
      </c>
      <c r="G19" s="2">
        <v>116750.421875</v>
      </c>
      <c r="H19" s="2">
        <v>19.6452732086182</v>
      </c>
      <c r="I19" s="2" t="s">
        <v>521</v>
      </c>
      <c r="J19" s="2" t="s">
        <v>522</v>
      </c>
      <c r="K19" s="2" t="s">
        <v>523</v>
      </c>
      <c r="L19" s="2" t="s">
        <v>121</v>
      </c>
      <c r="M19" s="20" t="s">
        <v>228</v>
      </c>
      <c r="N19" t="s">
        <v>220</v>
      </c>
    </row>
    <row r="20" spans="1:14" x14ac:dyDescent="0.2">
      <c r="A20" s="3">
        <v>43570.687696759298</v>
      </c>
      <c r="B20" s="3" t="s">
        <v>224</v>
      </c>
      <c r="C20" s="2" t="s">
        <v>494</v>
      </c>
      <c r="D20" s="2" t="s">
        <v>237</v>
      </c>
      <c r="E20" s="2" t="s">
        <v>221</v>
      </c>
      <c r="F20" s="3" t="s">
        <v>242</v>
      </c>
      <c r="G20" s="2">
        <v>82249.171875</v>
      </c>
      <c r="H20" s="2">
        <v>5.7787523269653303</v>
      </c>
      <c r="I20" s="2" t="s">
        <v>521</v>
      </c>
      <c r="J20" s="2" t="s">
        <v>522</v>
      </c>
      <c r="K20" s="2" t="s">
        <v>523</v>
      </c>
      <c r="L20" s="2" t="s">
        <v>121</v>
      </c>
      <c r="M20" s="20" t="s">
        <v>228</v>
      </c>
      <c r="N20" t="s">
        <v>220</v>
      </c>
    </row>
    <row r="21" spans="1:14" x14ac:dyDescent="0.2">
      <c r="A21" s="3">
        <v>43570.765462962998</v>
      </c>
      <c r="B21" s="3" t="s">
        <v>224</v>
      </c>
      <c r="C21" s="2" t="s">
        <v>492</v>
      </c>
      <c r="D21" s="2" t="s">
        <v>232</v>
      </c>
      <c r="E21" s="2" t="s">
        <v>221</v>
      </c>
      <c r="F21" s="3" t="s">
        <v>243</v>
      </c>
      <c r="G21" s="2">
        <v>116770.0703125</v>
      </c>
      <c r="H21" s="2">
        <v>93.832023620605497</v>
      </c>
      <c r="I21" s="2" t="s">
        <v>521</v>
      </c>
      <c r="J21" s="2" t="s">
        <v>522</v>
      </c>
      <c r="K21" s="2" t="s">
        <v>523</v>
      </c>
      <c r="L21" s="2" t="s">
        <v>121</v>
      </c>
      <c r="M21" s="20" t="s">
        <v>228</v>
      </c>
      <c r="N21" t="s">
        <v>220</v>
      </c>
    </row>
    <row r="22" spans="1:14" x14ac:dyDescent="0.2">
      <c r="A22" s="3">
        <v>43571.270266203697</v>
      </c>
      <c r="B22" s="3" t="s">
        <v>224</v>
      </c>
      <c r="C22" s="2" t="s">
        <v>490</v>
      </c>
      <c r="D22" s="2" t="s">
        <v>223</v>
      </c>
      <c r="E22" s="2" t="s">
        <v>221</v>
      </c>
      <c r="F22" s="3" t="s">
        <v>244</v>
      </c>
      <c r="G22" s="2">
        <v>12375.6220703125</v>
      </c>
      <c r="H22" s="2">
        <v>31.837818145751999</v>
      </c>
      <c r="I22" s="2" t="s">
        <v>521</v>
      </c>
      <c r="J22" s="2" t="s">
        <v>522</v>
      </c>
      <c r="K22" s="2" t="s">
        <v>523</v>
      </c>
      <c r="L22" s="2" t="s">
        <v>121</v>
      </c>
      <c r="M22" s="20" t="s">
        <v>228</v>
      </c>
      <c r="N22" t="s">
        <v>220</v>
      </c>
    </row>
    <row r="23" spans="1:14" x14ac:dyDescent="0.2">
      <c r="A23" s="3">
        <v>43571.300671296303</v>
      </c>
      <c r="B23" s="3" t="s">
        <v>224</v>
      </c>
      <c r="C23" s="2" t="s">
        <v>495</v>
      </c>
      <c r="D23" s="2" t="s">
        <v>245</v>
      </c>
      <c r="E23" s="2" t="s">
        <v>221</v>
      </c>
      <c r="F23" s="3" t="s">
        <v>246</v>
      </c>
      <c r="G23" s="2">
        <v>118435.0234375</v>
      </c>
      <c r="H23" s="2">
        <v>5.5376601219177202</v>
      </c>
      <c r="I23" s="2" t="s">
        <v>521</v>
      </c>
      <c r="J23" s="2" t="s">
        <v>522</v>
      </c>
      <c r="K23" s="2" t="s">
        <v>523</v>
      </c>
      <c r="L23" s="2" t="s">
        <v>121</v>
      </c>
      <c r="M23" s="20" t="s">
        <v>228</v>
      </c>
      <c r="N23" t="s">
        <v>220</v>
      </c>
    </row>
    <row r="24" spans="1:14" x14ac:dyDescent="0.2">
      <c r="A24" s="3">
        <v>43571.302118055602</v>
      </c>
      <c r="B24" s="3" t="s">
        <v>224</v>
      </c>
      <c r="C24" s="2" t="s">
        <v>493</v>
      </c>
      <c r="D24" s="2" t="s">
        <v>235</v>
      </c>
      <c r="E24" s="2" t="s">
        <v>221</v>
      </c>
      <c r="F24" s="3" t="s">
        <v>247</v>
      </c>
      <c r="G24" s="2">
        <v>60573.73046875</v>
      </c>
      <c r="H24" s="2">
        <v>15.5541648864746</v>
      </c>
      <c r="I24" s="2" t="s">
        <v>521</v>
      </c>
      <c r="J24" s="2" t="s">
        <v>522</v>
      </c>
      <c r="K24" s="2" t="s">
        <v>523</v>
      </c>
      <c r="L24" s="2" t="s">
        <v>121</v>
      </c>
      <c r="M24" s="20" t="s">
        <v>228</v>
      </c>
      <c r="N24" t="s">
        <v>220</v>
      </c>
    </row>
    <row r="25" spans="1:14" x14ac:dyDescent="0.2">
      <c r="A25" s="3">
        <v>43571.437491585602</v>
      </c>
      <c r="B25" s="3" t="s">
        <v>248</v>
      </c>
      <c r="C25" s="2" t="s">
        <v>496</v>
      </c>
      <c r="D25" s="2" t="s">
        <v>249</v>
      </c>
      <c r="E25" s="2" t="s">
        <v>221</v>
      </c>
      <c r="F25" s="3" t="s">
        <v>250</v>
      </c>
      <c r="G25" s="2">
        <v>16916.353515625</v>
      </c>
      <c r="H25" s="2">
        <v>-38.535369873046903</v>
      </c>
      <c r="I25" s="2" t="s">
        <v>521</v>
      </c>
      <c r="J25" s="2" t="s">
        <v>522</v>
      </c>
      <c r="K25" s="2" t="s">
        <v>523</v>
      </c>
      <c r="L25" s="2" t="s">
        <v>121</v>
      </c>
      <c r="M25" s="20" t="s">
        <v>251</v>
      </c>
      <c r="N25" t="s">
        <v>220</v>
      </c>
    </row>
    <row r="26" spans="1:14" x14ac:dyDescent="0.2">
      <c r="A26" s="3">
        <v>43571.491134108801</v>
      </c>
      <c r="B26" s="3" t="s">
        <v>248</v>
      </c>
      <c r="C26" s="2" t="s">
        <v>494</v>
      </c>
      <c r="D26" s="2" t="s">
        <v>237</v>
      </c>
      <c r="E26" s="2" t="s">
        <v>221</v>
      </c>
      <c r="F26" s="3" t="s">
        <v>252</v>
      </c>
      <c r="G26" s="2">
        <v>82254.9453125</v>
      </c>
      <c r="H26" s="2">
        <v>23.549968719482401</v>
      </c>
      <c r="I26" s="2" t="s">
        <v>521</v>
      </c>
      <c r="J26" s="2" t="s">
        <v>522</v>
      </c>
      <c r="K26" s="2" t="s">
        <v>523</v>
      </c>
      <c r="L26" s="2" t="s">
        <v>121</v>
      </c>
      <c r="M26" s="20" t="s">
        <v>251</v>
      </c>
      <c r="N26" t="s">
        <v>220</v>
      </c>
    </row>
    <row r="27" spans="1:14" x14ac:dyDescent="0.2">
      <c r="A27" s="3">
        <v>43571.491979166698</v>
      </c>
      <c r="B27" s="3" t="s">
        <v>222</v>
      </c>
      <c r="C27" s="2" t="s">
        <v>496</v>
      </c>
      <c r="D27" s="2" t="s">
        <v>249</v>
      </c>
      <c r="E27" s="2" t="s">
        <v>221</v>
      </c>
      <c r="F27" s="3" t="s">
        <v>253</v>
      </c>
      <c r="G27" s="2">
        <v>16877.818359375</v>
      </c>
      <c r="H27" s="2">
        <v>0</v>
      </c>
      <c r="I27" s="2" t="s">
        <v>521</v>
      </c>
      <c r="J27" s="2" t="s">
        <v>522</v>
      </c>
      <c r="K27" s="2" t="s">
        <v>523</v>
      </c>
      <c r="L27" s="2" t="s">
        <v>121</v>
      </c>
      <c r="M27" s="20" t="s">
        <v>228</v>
      </c>
      <c r="N27" t="s">
        <v>220</v>
      </c>
    </row>
    <row r="28" spans="1:14" x14ac:dyDescent="0.2">
      <c r="A28" s="3">
        <v>43571.492037037002</v>
      </c>
      <c r="B28" s="3" t="s">
        <v>222</v>
      </c>
      <c r="C28" s="2" t="s">
        <v>496</v>
      </c>
      <c r="D28" s="2" t="s">
        <v>249</v>
      </c>
      <c r="E28" s="2" t="s">
        <v>221</v>
      </c>
      <c r="F28" s="3" t="s">
        <v>254</v>
      </c>
      <c r="G28" s="2">
        <v>16877.818359375</v>
      </c>
      <c r="H28" s="2">
        <v>42.0228462219238</v>
      </c>
      <c r="I28" s="2" t="s">
        <v>521</v>
      </c>
      <c r="J28" s="2" t="s">
        <v>522</v>
      </c>
      <c r="K28" s="2" t="s">
        <v>523</v>
      </c>
      <c r="L28" s="2" t="s">
        <v>121</v>
      </c>
      <c r="M28" s="20" t="s">
        <v>255</v>
      </c>
      <c r="N28" t="s">
        <v>220</v>
      </c>
    </row>
    <row r="29" spans="1:14" x14ac:dyDescent="0.2">
      <c r="A29" s="3">
        <v>43571.542745636601</v>
      </c>
      <c r="B29" s="3" t="s">
        <v>248</v>
      </c>
      <c r="C29" s="2" t="s">
        <v>495</v>
      </c>
      <c r="D29" s="2" t="s">
        <v>245</v>
      </c>
      <c r="E29" s="2" t="s">
        <v>221</v>
      </c>
      <c r="F29" s="3" t="s">
        <v>256</v>
      </c>
      <c r="G29" s="2">
        <v>118440.5625</v>
      </c>
      <c r="H29" s="2">
        <v>56.7386474609375</v>
      </c>
      <c r="I29" s="2" t="s">
        <v>521</v>
      </c>
      <c r="J29" s="2" t="s">
        <v>522</v>
      </c>
      <c r="K29" s="2" t="s">
        <v>523</v>
      </c>
      <c r="L29" s="2" t="s">
        <v>121</v>
      </c>
      <c r="M29" s="20" t="s">
        <v>251</v>
      </c>
      <c r="N29" t="s">
        <v>220</v>
      </c>
    </row>
    <row r="30" spans="1:14" x14ac:dyDescent="0.2">
      <c r="A30" s="3">
        <v>43571.567843136603</v>
      </c>
      <c r="B30" s="3" t="s">
        <v>248</v>
      </c>
      <c r="C30" s="2" t="s">
        <v>497</v>
      </c>
      <c r="D30" s="2" t="s">
        <v>219</v>
      </c>
      <c r="E30" s="2" t="s">
        <v>221</v>
      </c>
      <c r="F30" s="3" t="s">
        <v>257</v>
      </c>
      <c r="G30" s="2">
        <v>66902.6796875</v>
      </c>
      <c r="H30" s="2">
        <v>94.453399658203097</v>
      </c>
      <c r="I30" s="2" t="s">
        <v>521</v>
      </c>
      <c r="J30" s="2" t="s">
        <v>522</v>
      </c>
      <c r="K30" s="2" t="s">
        <v>523</v>
      </c>
      <c r="L30" s="2" t="s">
        <v>121</v>
      </c>
      <c r="M30" s="20" t="s">
        <v>251</v>
      </c>
      <c r="N30" t="s">
        <v>220</v>
      </c>
    </row>
    <row r="31" spans="1:14" x14ac:dyDescent="0.2">
      <c r="A31" s="3">
        <v>43571.587457326401</v>
      </c>
      <c r="B31" s="3" t="s">
        <v>248</v>
      </c>
      <c r="C31" s="2" t="s">
        <v>513</v>
      </c>
      <c r="D31" s="2" t="s">
        <v>258</v>
      </c>
      <c r="E31" s="2" t="s">
        <v>221</v>
      </c>
      <c r="F31" s="3" t="s">
        <v>259</v>
      </c>
      <c r="G31" s="2">
        <v>0</v>
      </c>
      <c r="H31" s="2">
        <v>0</v>
      </c>
      <c r="I31" s="2" t="s">
        <v>521</v>
      </c>
      <c r="J31" s="2" t="s">
        <v>522</v>
      </c>
      <c r="K31" s="2" t="s">
        <v>523</v>
      </c>
      <c r="L31" s="2" t="s">
        <v>121</v>
      </c>
      <c r="M31" s="20" t="s">
        <v>251</v>
      </c>
      <c r="N31" t="s">
        <v>220</v>
      </c>
    </row>
    <row r="32" spans="1:14" x14ac:dyDescent="0.2">
      <c r="A32" s="3">
        <v>43571.616365856498</v>
      </c>
      <c r="B32" s="3" t="s">
        <v>248</v>
      </c>
      <c r="C32" s="2" t="s">
        <v>496</v>
      </c>
      <c r="D32" s="2" t="s">
        <v>249</v>
      </c>
      <c r="E32" s="2" t="s">
        <v>221</v>
      </c>
      <c r="F32" s="3" t="s">
        <v>260</v>
      </c>
      <c r="G32" s="2">
        <v>16919.841796875</v>
      </c>
      <c r="H32" s="2">
        <v>0</v>
      </c>
      <c r="I32" s="2" t="s">
        <v>521</v>
      </c>
      <c r="J32" s="2" t="s">
        <v>522</v>
      </c>
      <c r="K32" s="2" t="s">
        <v>523</v>
      </c>
      <c r="L32" s="2" t="s">
        <v>121</v>
      </c>
      <c r="M32" s="20" t="s">
        <v>251</v>
      </c>
      <c r="N32" t="s">
        <v>220</v>
      </c>
    </row>
    <row r="33" spans="1:14" x14ac:dyDescent="0.2">
      <c r="A33" s="3">
        <v>43571.670303240702</v>
      </c>
      <c r="B33" s="3" t="s">
        <v>248</v>
      </c>
      <c r="C33" s="2" t="s">
        <v>496</v>
      </c>
      <c r="D33" s="2" t="s">
        <v>249</v>
      </c>
      <c r="E33" s="2" t="s">
        <v>221</v>
      </c>
      <c r="F33" s="3" t="s">
        <v>261</v>
      </c>
      <c r="G33" s="2">
        <v>16919.841796875</v>
      </c>
      <c r="H33" s="2">
        <v>0</v>
      </c>
      <c r="I33" s="2" t="s">
        <v>521</v>
      </c>
      <c r="J33" s="2" t="s">
        <v>522</v>
      </c>
      <c r="K33" s="2" t="s">
        <v>523</v>
      </c>
      <c r="L33" s="2" t="s">
        <v>121</v>
      </c>
      <c r="M33" s="20" t="s">
        <v>251</v>
      </c>
      <c r="N33" t="s">
        <v>220</v>
      </c>
    </row>
    <row r="34" spans="1:14" x14ac:dyDescent="0.2">
      <c r="A34" s="3">
        <v>43571.6730902778</v>
      </c>
      <c r="B34" s="3" t="s">
        <v>248</v>
      </c>
      <c r="C34" s="2" t="s">
        <v>496</v>
      </c>
      <c r="D34" s="2" t="s">
        <v>249</v>
      </c>
      <c r="E34" s="2" t="s">
        <v>221</v>
      </c>
      <c r="F34" s="3" t="s">
        <v>262</v>
      </c>
      <c r="G34" s="2">
        <v>16919.841796875</v>
      </c>
      <c r="H34" s="2">
        <v>8.6515684127807599</v>
      </c>
      <c r="I34" s="2" t="s">
        <v>521</v>
      </c>
      <c r="J34" s="2" t="s">
        <v>522</v>
      </c>
      <c r="K34" s="2" t="s">
        <v>523</v>
      </c>
      <c r="L34" s="2" t="s">
        <v>121</v>
      </c>
      <c r="M34" s="20" t="s">
        <v>251</v>
      </c>
      <c r="N34" t="s">
        <v>220</v>
      </c>
    </row>
    <row r="35" spans="1:14" x14ac:dyDescent="0.2">
      <c r="A35" s="3">
        <v>43572.244062500002</v>
      </c>
      <c r="B35" s="3" t="s">
        <v>224</v>
      </c>
      <c r="C35" s="2" t="s">
        <v>490</v>
      </c>
      <c r="D35" s="2" t="s">
        <v>223</v>
      </c>
      <c r="E35" s="2" t="s">
        <v>221</v>
      </c>
      <c r="F35" s="3" t="s">
        <v>263</v>
      </c>
      <c r="G35" s="2">
        <v>12407.4599609375</v>
      </c>
      <c r="H35" s="2">
        <v>37.942169189453097</v>
      </c>
      <c r="I35" s="2" t="s">
        <v>521</v>
      </c>
      <c r="J35" s="2" t="s">
        <v>522</v>
      </c>
      <c r="K35" s="2" t="s">
        <v>523</v>
      </c>
      <c r="L35" s="2" t="s">
        <v>121</v>
      </c>
      <c r="M35" s="20" t="s">
        <v>228</v>
      </c>
      <c r="N35" t="s">
        <v>220</v>
      </c>
    </row>
    <row r="36" spans="1:14" x14ac:dyDescent="0.2">
      <c r="A36" s="3">
        <v>43572.253888888903</v>
      </c>
      <c r="B36" s="3" t="s">
        <v>224</v>
      </c>
      <c r="C36" s="2" t="s">
        <v>493</v>
      </c>
      <c r="D36" s="2" t="s">
        <v>235</v>
      </c>
      <c r="E36" s="2" t="s">
        <v>221</v>
      </c>
      <c r="F36" s="3" t="s">
        <v>264</v>
      </c>
      <c r="G36" s="2">
        <v>60589.28515625</v>
      </c>
      <c r="H36" s="2">
        <v>11.060407638549799</v>
      </c>
      <c r="I36" s="2" t="s">
        <v>521</v>
      </c>
      <c r="J36" s="2" t="s">
        <v>522</v>
      </c>
      <c r="K36" s="2" t="s">
        <v>523</v>
      </c>
      <c r="L36" s="2" t="s">
        <v>121</v>
      </c>
      <c r="M36" s="20" t="s">
        <v>228</v>
      </c>
      <c r="N36" t="s">
        <v>220</v>
      </c>
    </row>
    <row r="37" spans="1:14" x14ac:dyDescent="0.2">
      <c r="A37" s="3">
        <v>43572.293726851902</v>
      </c>
      <c r="B37" s="3" t="s">
        <v>224</v>
      </c>
      <c r="C37" s="2" t="s">
        <v>495</v>
      </c>
      <c r="D37" s="2" t="s">
        <v>245</v>
      </c>
      <c r="E37" s="2" t="s">
        <v>221</v>
      </c>
      <c r="F37" s="3" t="s">
        <v>265</v>
      </c>
      <c r="G37" s="2">
        <v>118497.3046875</v>
      </c>
      <c r="H37" s="2">
        <v>12.854928016662599</v>
      </c>
      <c r="I37" s="2" t="s">
        <v>521</v>
      </c>
      <c r="J37" s="2" t="s">
        <v>522</v>
      </c>
      <c r="K37" s="2" t="s">
        <v>523</v>
      </c>
      <c r="L37" s="2" t="s">
        <v>121</v>
      </c>
      <c r="M37" s="20" t="s">
        <v>228</v>
      </c>
      <c r="N37" t="s">
        <v>220</v>
      </c>
    </row>
    <row r="38" spans="1:14" x14ac:dyDescent="0.2">
      <c r="A38" s="3">
        <v>43572.321971562502</v>
      </c>
      <c r="B38" s="3" t="s">
        <v>248</v>
      </c>
      <c r="C38" s="2" t="s">
        <v>495</v>
      </c>
      <c r="D38" s="2" t="s">
        <v>245</v>
      </c>
      <c r="E38" s="2" t="s">
        <v>221</v>
      </c>
      <c r="F38" s="3" t="s">
        <v>266</v>
      </c>
      <c r="G38" s="2">
        <v>118510.15625</v>
      </c>
      <c r="H38" s="2">
        <v>56.599460601806598</v>
      </c>
      <c r="I38" s="2" t="s">
        <v>521</v>
      </c>
      <c r="J38" s="2" t="s">
        <v>522</v>
      </c>
      <c r="K38" s="2" t="s">
        <v>523</v>
      </c>
      <c r="L38" s="2" t="s">
        <v>121</v>
      </c>
      <c r="M38" s="20" t="s">
        <v>251</v>
      </c>
      <c r="N38" t="s">
        <v>220</v>
      </c>
    </row>
    <row r="39" spans="1:14" x14ac:dyDescent="0.2">
      <c r="A39" s="3">
        <v>43572.327410335602</v>
      </c>
      <c r="B39" s="3" t="s">
        <v>248</v>
      </c>
      <c r="C39" s="2" t="s">
        <v>496</v>
      </c>
      <c r="D39" s="2" t="s">
        <v>249</v>
      </c>
      <c r="E39" s="2" t="s">
        <v>221</v>
      </c>
      <c r="F39" s="3" t="s">
        <v>267</v>
      </c>
      <c r="G39" s="2">
        <v>16928.4921875</v>
      </c>
      <c r="H39" s="2">
        <v>16.031377792358398</v>
      </c>
      <c r="I39" s="2" t="s">
        <v>521</v>
      </c>
      <c r="J39" s="2" t="s">
        <v>522</v>
      </c>
      <c r="K39" s="2" t="s">
        <v>523</v>
      </c>
      <c r="L39" s="2" t="s">
        <v>121</v>
      </c>
      <c r="M39" s="20" t="s">
        <v>251</v>
      </c>
      <c r="N39" t="s">
        <v>220</v>
      </c>
    </row>
    <row r="40" spans="1:14" x14ac:dyDescent="0.2">
      <c r="A40" s="3">
        <v>43572.844054664398</v>
      </c>
      <c r="B40" s="3" t="s">
        <v>248</v>
      </c>
      <c r="C40" s="2" t="s">
        <v>496</v>
      </c>
      <c r="D40" s="2" t="s">
        <v>249</v>
      </c>
      <c r="E40" s="2" t="s">
        <v>221</v>
      </c>
      <c r="F40" s="3" t="s">
        <v>268</v>
      </c>
      <c r="G40" s="2">
        <v>16944.5234375</v>
      </c>
      <c r="H40" s="2">
        <v>0</v>
      </c>
      <c r="I40" s="2" t="s">
        <v>521</v>
      </c>
      <c r="J40" s="2" t="s">
        <v>522</v>
      </c>
      <c r="K40" s="2" t="s">
        <v>523</v>
      </c>
      <c r="L40" s="2" t="s">
        <v>121</v>
      </c>
      <c r="M40" s="20" t="s">
        <v>251</v>
      </c>
      <c r="N40" t="s">
        <v>220</v>
      </c>
    </row>
    <row r="41" spans="1:14" x14ac:dyDescent="0.2">
      <c r="A41" s="3">
        <v>43572.848543252301</v>
      </c>
      <c r="B41" s="3" t="s">
        <v>248</v>
      </c>
      <c r="C41" s="2" t="s">
        <v>496</v>
      </c>
      <c r="D41" s="2" t="s">
        <v>249</v>
      </c>
      <c r="E41" s="2" t="s">
        <v>221</v>
      </c>
      <c r="F41" s="3" t="s">
        <v>506</v>
      </c>
      <c r="G41" s="2">
        <v>16944.5234375</v>
      </c>
      <c r="H41" s="2">
        <v>0</v>
      </c>
      <c r="I41" s="2" t="s">
        <v>521</v>
      </c>
      <c r="J41" s="2" t="s">
        <v>522</v>
      </c>
      <c r="K41" s="2" t="s">
        <v>523</v>
      </c>
      <c r="L41" s="2" t="s">
        <v>121</v>
      </c>
      <c r="M41" s="20" t="s">
        <v>251</v>
      </c>
      <c r="N41" t="s">
        <v>220</v>
      </c>
    </row>
    <row r="42" spans="1:14" x14ac:dyDescent="0.2">
      <c r="A42" s="3">
        <v>43572.851349803197</v>
      </c>
      <c r="B42" s="3" t="s">
        <v>248</v>
      </c>
      <c r="C42" s="2" t="s">
        <v>496</v>
      </c>
      <c r="D42" s="2" t="s">
        <v>249</v>
      </c>
      <c r="E42" s="2" t="s">
        <v>221</v>
      </c>
      <c r="F42" s="3" t="s">
        <v>507</v>
      </c>
      <c r="G42" s="2">
        <v>16944.5234375</v>
      </c>
      <c r="H42" s="2">
        <v>0</v>
      </c>
      <c r="I42" s="2" t="s">
        <v>521</v>
      </c>
      <c r="J42" s="2" t="s">
        <v>522</v>
      </c>
      <c r="K42" s="2" t="s">
        <v>523</v>
      </c>
      <c r="L42" s="2" t="s">
        <v>121</v>
      </c>
      <c r="M42" s="20" t="s">
        <v>251</v>
      </c>
      <c r="N42" t="s">
        <v>220</v>
      </c>
    </row>
    <row r="43" spans="1:14" x14ac:dyDescent="0.2">
      <c r="A43" s="3">
        <v>43572.858311655102</v>
      </c>
      <c r="B43" s="3" t="s">
        <v>248</v>
      </c>
      <c r="C43" s="2" t="s">
        <v>513</v>
      </c>
      <c r="D43" s="2" t="s">
        <v>269</v>
      </c>
      <c r="E43" s="2" t="s">
        <v>221</v>
      </c>
      <c r="F43" s="3" t="s">
        <v>508</v>
      </c>
      <c r="G43" s="2">
        <v>309.43151855468801</v>
      </c>
      <c r="I43" s="2" t="s">
        <v>521</v>
      </c>
      <c r="J43" s="2" t="s">
        <v>522</v>
      </c>
      <c r="K43" s="2" t="s">
        <v>523</v>
      </c>
      <c r="L43" s="2" t="s">
        <v>121</v>
      </c>
      <c r="M43" s="20" t="s">
        <v>251</v>
      </c>
      <c r="N43" t="s">
        <v>220</v>
      </c>
    </row>
    <row r="44" spans="1:14" x14ac:dyDescent="0.2">
      <c r="A44" s="3">
        <v>43572.9020673958</v>
      </c>
      <c r="B44" s="3" t="s">
        <v>248</v>
      </c>
      <c r="C44" s="2" t="s">
        <v>496</v>
      </c>
      <c r="D44" s="2" t="s">
        <v>249</v>
      </c>
      <c r="E44" s="2" t="s">
        <v>221</v>
      </c>
      <c r="F44" s="3" t="s">
        <v>270</v>
      </c>
      <c r="G44" s="2">
        <v>16944.5234375</v>
      </c>
      <c r="H44" s="2">
        <v>47.969860076904297</v>
      </c>
      <c r="I44" s="2" t="s">
        <v>521</v>
      </c>
      <c r="J44" s="2" t="s">
        <v>522</v>
      </c>
      <c r="K44" s="2" t="s">
        <v>523</v>
      </c>
      <c r="L44" s="2" t="s">
        <v>121</v>
      </c>
      <c r="M44" s="20" t="s">
        <v>251</v>
      </c>
      <c r="N44" t="s">
        <v>220</v>
      </c>
    </row>
    <row r="45" spans="1:14" x14ac:dyDescent="0.2">
      <c r="A45" s="3">
        <v>43573.271030092597</v>
      </c>
      <c r="B45" s="3" t="s">
        <v>224</v>
      </c>
      <c r="C45" s="2" t="s">
        <v>493</v>
      </c>
      <c r="D45" s="2" t="s">
        <v>235</v>
      </c>
      <c r="E45" s="2" t="s">
        <v>221</v>
      </c>
      <c r="F45" s="3" t="s">
        <v>271</v>
      </c>
      <c r="G45" s="2">
        <v>60600.34765625</v>
      </c>
      <c r="H45" s="2">
        <v>13.3371114730835</v>
      </c>
      <c r="I45" s="2" t="s">
        <v>521</v>
      </c>
      <c r="J45" s="2" t="s">
        <v>522</v>
      </c>
      <c r="K45" s="2" t="s">
        <v>523</v>
      </c>
      <c r="L45" s="2" t="s">
        <v>121</v>
      </c>
      <c r="M45" s="20" t="s">
        <v>228</v>
      </c>
      <c r="N45" t="s">
        <v>220</v>
      </c>
    </row>
    <row r="46" spans="1:14" x14ac:dyDescent="0.2">
      <c r="A46" s="3">
        <v>43573.282384259299</v>
      </c>
      <c r="B46" s="3" t="s">
        <v>224</v>
      </c>
      <c r="C46" s="2" t="s">
        <v>490</v>
      </c>
      <c r="D46" s="2" t="s">
        <v>223</v>
      </c>
      <c r="E46" s="2" t="s">
        <v>221</v>
      </c>
      <c r="F46" s="3" t="s">
        <v>272</v>
      </c>
      <c r="G46" s="2">
        <v>12445.40234375</v>
      </c>
      <c r="H46" s="2">
        <v>48.1699409484863</v>
      </c>
      <c r="I46" s="2" t="s">
        <v>521</v>
      </c>
      <c r="J46" s="2" t="s">
        <v>522</v>
      </c>
      <c r="K46" s="2" t="s">
        <v>523</v>
      </c>
      <c r="L46" s="2" t="s">
        <v>121</v>
      </c>
      <c r="M46" s="20" t="s">
        <v>228</v>
      </c>
      <c r="N46" t="s">
        <v>220</v>
      </c>
    </row>
    <row r="47" spans="1:14" x14ac:dyDescent="0.2">
      <c r="A47" s="3">
        <v>43573.286041666703</v>
      </c>
      <c r="B47" s="3" t="s">
        <v>224</v>
      </c>
      <c r="C47" s="2" t="s">
        <v>495</v>
      </c>
      <c r="D47" s="2" t="s">
        <v>245</v>
      </c>
      <c r="E47" s="2" t="s">
        <v>221</v>
      </c>
      <c r="F47" s="3" t="s">
        <v>273</v>
      </c>
      <c r="G47" s="2">
        <v>118566.7578125</v>
      </c>
      <c r="H47" s="2">
        <v>14.813489913940399</v>
      </c>
      <c r="I47" s="2" t="s">
        <v>521</v>
      </c>
      <c r="J47" s="2" t="s">
        <v>522</v>
      </c>
      <c r="K47" s="2" t="s">
        <v>523</v>
      </c>
      <c r="L47" s="2" t="s">
        <v>121</v>
      </c>
      <c r="M47" s="20" t="s">
        <v>228</v>
      </c>
      <c r="N47" t="s">
        <v>220</v>
      </c>
    </row>
    <row r="48" spans="1:14" x14ac:dyDescent="0.2">
      <c r="A48" s="3">
        <v>43573.490509259304</v>
      </c>
      <c r="B48" s="3" t="s">
        <v>222</v>
      </c>
      <c r="C48" s="2" t="s">
        <v>492</v>
      </c>
      <c r="D48" s="2" t="s">
        <v>232</v>
      </c>
      <c r="E48" s="2" t="s">
        <v>221</v>
      </c>
      <c r="F48" s="3" t="s">
        <v>274</v>
      </c>
      <c r="G48" s="2">
        <v>116863.8984375</v>
      </c>
      <c r="H48" s="2">
        <v>0</v>
      </c>
      <c r="I48" s="2" t="s">
        <v>521</v>
      </c>
      <c r="J48" s="2" t="s">
        <v>522</v>
      </c>
      <c r="K48" s="2" t="s">
        <v>523</v>
      </c>
      <c r="L48" s="2" t="s">
        <v>121</v>
      </c>
      <c r="M48" s="20" t="s">
        <v>228</v>
      </c>
      <c r="N48" t="s">
        <v>220</v>
      </c>
    </row>
    <row r="49" spans="1:14" x14ac:dyDescent="0.2">
      <c r="A49" s="3">
        <v>43573.4906597222</v>
      </c>
      <c r="B49" s="3" t="s">
        <v>222</v>
      </c>
      <c r="C49" s="2" t="s">
        <v>492</v>
      </c>
      <c r="D49" s="2" t="s">
        <v>232</v>
      </c>
      <c r="E49" s="2" t="s">
        <v>221</v>
      </c>
      <c r="F49" s="3" t="s">
        <v>275</v>
      </c>
      <c r="G49" s="2">
        <v>116863.8984375</v>
      </c>
      <c r="H49" s="2">
        <v>266.20538330078102</v>
      </c>
      <c r="I49" s="2" t="s">
        <v>521</v>
      </c>
      <c r="J49" s="2" t="s">
        <v>522</v>
      </c>
      <c r="K49" s="2" t="s">
        <v>523</v>
      </c>
      <c r="L49" s="2" t="s">
        <v>121</v>
      </c>
      <c r="M49" s="20" t="s">
        <v>255</v>
      </c>
      <c r="N49" t="s">
        <v>220</v>
      </c>
    </row>
    <row r="50" spans="1:14" x14ac:dyDescent="0.2">
      <c r="A50" s="3">
        <v>43573.496388888903</v>
      </c>
      <c r="B50" s="3" t="s">
        <v>222</v>
      </c>
      <c r="C50" s="2" t="s">
        <v>495</v>
      </c>
      <c r="D50" s="2" t="s">
        <v>245</v>
      </c>
      <c r="E50" s="2" t="s">
        <v>221</v>
      </c>
      <c r="F50" s="3" t="s">
        <v>276</v>
      </c>
      <c r="G50" s="2">
        <v>118581.5703125</v>
      </c>
      <c r="H50" s="2">
        <v>0</v>
      </c>
      <c r="I50" s="2" t="s">
        <v>521</v>
      </c>
      <c r="J50" s="2" t="s">
        <v>522</v>
      </c>
      <c r="K50" s="2" t="s">
        <v>523</v>
      </c>
      <c r="L50" s="2" t="s">
        <v>121</v>
      </c>
      <c r="M50" s="20" t="s">
        <v>228</v>
      </c>
      <c r="N50" t="s">
        <v>220</v>
      </c>
    </row>
    <row r="51" spans="1:14" x14ac:dyDescent="0.2">
      <c r="A51" s="3">
        <v>43573.496712963002</v>
      </c>
      <c r="B51" s="3" t="s">
        <v>222</v>
      </c>
      <c r="C51" s="2" t="s">
        <v>495</v>
      </c>
      <c r="D51" s="2" t="s">
        <v>245</v>
      </c>
      <c r="E51" s="2" t="s">
        <v>221</v>
      </c>
      <c r="F51" s="3" t="s">
        <v>277</v>
      </c>
      <c r="G51" s="2">
        <v>118581.5703125</v>
      </c>
      <c r="H51" s="2">
        <v>52.215065002441399</v>
      </c>
      <c r="I51" s="2" t="s">
        <v>521</v>
      </c>
      <c r="J51" s="2" t="s">
        <v>522</v>
      </c>
      <c r="K51" s="2" t="s">
        <v>523</v>
      </c>
      <c r="L51" s="2" t="s">
        <v>121</v>
      </c>
      <c r="M51" s="20" t="s">
        <v>255</v>
      </c>
      <c r="N51" t="s">
        <v>220</v>
      </c>
    </row>
    <row r="52" spans="1:14" x14ac:dyDescent="0.2">
      <c r="A52" s="3">
        <v>43573.509837963</v>
      </c>
      <c r="B52" s="3" t="s">
        <v>222</v>
      </c>
      <c r="C52" s="2" t="s">
        <v>494</v>
      </c>
      <c r="D52" s="2" t="s">
        <v>237</v>
      </c>
      <c r="E52" s="2" t="s">
        <v>221</v>
      </c>
      <c r="F52" s="3" t="s">
        <v>278</v>
      </c>
      <c r="G52" s="2">
        <v>82278.5</v>
      </c>
      <c r="H52" s="2">
        <v>0</v>
      </c>
      <c r="I52" s="2" t="s">
        <v>521</v>
      </c>
      <c r="J52" s="2" t="s">
        <v>522</v>
      </c>
      <c r="K52" s="2" t="s">
        <v>523</v>
      </c>
      <c r="L52" s="2" t="s">
        <v>121</v>
      </c>
      <c r="M52" s="20" t="s">
        <v>228</v>
      </c>
      <c r="N52" t="s">
        <v>220</v>
      </c>
    </row>
    <row r="53" spans="1:14" x14ac:dyDescent="0.2">
      <c r="A53" s="3">
        <v>43573.510150463</v>
      </c>
      <c r="B53" s="3" t="s">
        <v>222</v>
      </c>
      <c r="C53" s="2" t="s">
        <v>494</v>
      </c>
      <c r="D53" s="2" t="s">
        <v>237</v>
      </c>
      <c r="E53" s="2" t="s">
        <v>221</v>
      </c>
      <c r="F53" s="3" t="s">
        <v>279</v>
      </c>
      <c r="G53" s="2">
        <v>82278.5</v>
      </c>
      <c r="H53" s="2">
        <v>65.308601379394503</v>
      </c>
      <c r="I53" s="2" t="s">
        <v>521</v>
      </c>
      <c r="J53" s="2" t="s">
        <v>522</v>
      </c>
      <c r="K53" s="2" t="s">
        <v>523</v>
      </c>
      <c r="L53" s="2" t="s">
        <v>121</v>
      </c>
      <c r="M53" s="20" t="s">
        <v>255</v>
      </c>
      <c r="N53" t="s">
        <v>220</v>
      </c>
    </row>
    <row r="54" spans="1:14" x14ac:dyDescent="0.2">
      <c r="A54" s="3">
        <v>43574.299803240698</v>
      </c>
      <c r="B54" s="3" t="s">
        <v>224</v>
      </c>
      <c r="C54" s="2" t="s">
        <v>495</v>
      </c>
      <c r="D54" s="2" t="s">
        <v>245</v>
      </c>
      <c r="E54" s="2" t="s">
        <v>221</v>
      </c>
      <c r="F54" s="3" t="s">
        <v>280</v>
      </c>
      <c r="G54" s="2">
        <v>118633.78125</v>
      </c>
      <c r="H54" s="2">
        <v>49.988071441650398</v>
      </c>
      <c r="I54" s="2" t="s">
        <v>521</v>
      </c>
      <c r="J54" s="2" t="s">
        <v>522</v>
      </c>
      <c r="K54" s="2" t="s">
        <v>523</v>
      </c>
      <c r="L54" s="2" t="s">
        <v>121</v>
      </c>
      <c r="M54" s="20" t="s">
        <v>228</v>
      </c>
      <c r="N54" t="s">
        <v>220</v>
      </c>
    </row>
    <row r="55" spans="1:14" x14ac:dyDescent="0.2">
      <c r="A55" s="3">
        <v>43574.552314814799</v>
      </c>
      <c r="B55" s="3" t="s">
        <v>224</v>
      </c>
      <c r="C55" s="2" t="s">
        <v>493</v>
      </c>
      <c r="D55" s="2" t="s">
        <v>235</v>
      </c>
      <c r="E55" s="2" t="s">
        <v>221</v>
      </c>
      <c r="F55" s="3" t="s">
        <v>281</v>
      </c>
      <c r="G55" s="2">
        <v>60613.68359375</v>
      </c>
      <c r="H55" s="2">
        <v>9.7778978347778303</v>
      </c>
      <c r="I55" s="2" t="s">
        <v>521</v>
      </c>
      <c r="J55" s="2" t="s">
        <v>522</v>
      </c>
      <c r="K55" s="2" t="s">
        <v>523</v>
      </c>
      <c r="L55" s="2" t="s">
        <v>121</v>
      </c>
      <c r="M55" s="20" t="s">
        <v>228</v>
      </c>
      <c r="N55" t="s">
        <v>220</v>
      </c>
    </row>
    <row r="56" spans="1:14" x14ac:dyDescent="0.2">
      <c r="A56" s="3">
        <v>43574.772847222201</v>
      </c>
      <c r="B56" s="3" t="s">
        <v>224</v>
      </c>
      <c r="C56" s="2" t="s">
        <v>495</v>
      </c>
      <c r="D56" s="2" t="s">
        <v>245</v>
      </c>
      <c r="E56" s="2" t="s">
        <v>221</v>
      </c>
      <c r="F56" s="3" t="s">
        <v>282</v>
      </c>
      <c r="G56" s="2">
        <v>118683.7734375</v>
      </c>
      <c r="H56" s="2">
        <v>34.080966949462898</v>
      </c>
      <c r="I56" s="2" t="s">
        <v>521</v>
      </c>
      <c r="J56" s="2" t="s">
        <v>522</v>
      </c>
      <c r="K56" s="2" t="s">
        <v>523</v>
      </c>
      <c r="L56" s="2" t="s">
        <v>121</v>
      </c>
      <c r="M56" s="20" t="s">
        <v>228</v>
      </c>
      <c r="N56" t="s">
        <v>220</v>
      </c>
    </row>
    <row r="57" spans="1:14" x14ac:dyDescent="0.2">
      <c r="A57" s="3">
        <v>43575.004861111098</v>
      </c>
      <c r="B57" s="3" t="s">
        <v>224</v>
      </c>
      <c r="C57" s="2" t="s">
        <v>493</v>
      </c>
      <c r="D57" s="2" t="s">
        <v>235</v>
      </c>
      <c r="E57" s="2" t="s">
        <v>221</v>
      </c>
      <c r="F57" s="3" t="s">
        <v>283</v>
      </c>
      <c r="G57" s="2">
        <v>60623.4609375</v>
      </c>
      <c r="H57" s="2">
        <v>44.897800445556598</v>
      </c>
      <c r="I57" s="2" t="s">
        <v>521</v>
      </c>
      <c r="J57" s="2" t="s">
        <v>522</v>
      </c>
      <c r="K57" s="2" t="s">
        <v>523</v>
      </c>
      <c r="L57" s="2" t="s">
        <v>121</v>
      </c>
      <c r="M57" s="20" t="s">
        <v>228</v>
      </c>
      <c r="N57" t="s">
        <v>220</v>
      </c>
    </row>
    <row r="58" spans="1:14" x14ac:dyDescent="0.2">
      <c r="A58" s="3">
        <v>43575.408009259299</v>
      </c>
      <c r="B58" s="3" t="s">
        <v>224</v>
      </c>
      <c r="C58" s="2" t="s">
        <v>490</v>
      </c>
      <c r="D58" s="2" t="s">
        <v>223</v>
      </c>
      <c r="E58" s="2" t="s">
        <v>221</v>
      </c>
      <c r="F58" s="3" t="s">
        <v>284</v>
      </c>
      <c r="G58" s="2">
        <v>12493.572265625</v>
      </c>
      <c r="H58" s="2">
        <v>27.141494750976602</v>
      </c>
      <c r="I58" s="2" t="s">
        <v>521</v>
      </c>
      <c r="J58" s="2" t="s">
        <v>522</v>
      </c>
      <c r="K58" s="2" t="s">
        <v>523</v>
      </c>
      <c r="L58" s="2" t="s">
        <v>121</v>
      </c>
      <c r="M58" s="20" t="s">
        <v>228</v>
      </c>
      <c r="N58" t="s">
        <v>220</v>
      </c>
    </row>
    <row r="59" spans="1:14" x14ac:dyDescent="0.2">
      <c r="A59" s="3">
        <v>43575.749745370398</v>
      </c>
      <c r="B59" s="3" t="s">
        <v>224</v>
      </c>
      <c r="C59" s="2" t="s">
        <v>495</v>
      </c>
      <c r="D59" s="2" t="s">
        <v>245</v>
      </c>
      <c r="E59" s="2" t="s">
        <v>221</v>
      </c>
      <c r="F59" s="3" t="s">
        <v>285</v>
      </c>
      <c r="G59" s="2">
        <v>118717.8515625</v>
      </c>
      <c r="H59" s="2">
        <v>69.543869018554702</v>
      </c>
      <c r="I59" s="2" t="s">
        <v>521</v>
      </c>
      <c r="J59" s="2" t="s">
        <v>522</v>
      </c>
      <c r="K59" s="2" t="s">
        <v>523</v>
      </c>
      <c r="L59" s="2" t="s">
        <v>121</v>
      </c>
      <c r="M59" s="20" t="s">
        <v>228</v>
      </c>
      <c r="N59" t="s">
        <v>220</v>
      </c>
    </row>
    <row r="60" spans="1:14" x14ac:dyDescent="0.2">
      <c r="A60" s="3">
        <v>43576.512457326397</v>
      </c>
      <c r="B60" s="3" t="s">
        <v>248</v>
      </c>
      <c r="C60" s="2" t="s">
        <v>513</v>
      </c>
      <c r="D60" s="2" t="s">
        <v>258</v>
      </c>
      <c r="E60" s="2" t="s">
        <v>221</v>
      </c>
      <c r="F60" s="3" t="s">
        <v>286</v>
      </c>
      <c r="G60" s="2">
        <v>0</v>
      </c>
      <c r="H60" s="2">
        <v>0</v>
      </c>
      <c r="I60" s="2" t="s">
        <v>521</v>
      </c>
      <c r="J60" s="2" t="s">
        <v>522</v>
      </c>
      <c r="K60" s="2" t="s">
        <v>523</v>
      </c>
      <c r="L60" s="2" t="s">
        <v>121</v>
      </c>
      <c r="M60" s="20" t="s">
        <v>251</v>
      </c>
      <c r="N60" t="s">
        <v>220</v>
      </c>
    </row>
    <row r="61" spans="1:14" x14ac:dyDescent="0.2">
      <c r="A61" s="3">
        <v>43576.529638506901</v>
      </c>
      <c r="B61" s="3" t="s">
        <v>248</v>
      </c>
      <c r="C61" s="2" t="s">
        <v>496</v>
      </c>
      <c r="D61" s="2" t="s">
        <v>249</v>
      </c>
      <c r="E61" s="2" t="s">
        <v>221</v>
      </c>
      <c r="F61" s="3" t="s">
        <v>287</v>
      </c>
      <c r="G61" s="2">
        <v>16992.494140625</v>
      </c>
      <c r="H61" s="2">
        <v>33.280296325683601</v>
      </c>
      <c r="I61" s="2" t="s">
        <v>521</v>
      </c>
      <c r="J61" s="2" t="s">
        <v>522</v>
      </c>
      <c r="K61" s="2" t="s">
        <v>523</v>
      </c>
      <c r="L61" s="2" t="s">
        <v>121</v>
      </c>
      <c r="M61" s="20" t="s">
        <v>251</v>
      </c>
      <c r="N61" t="s">
        <v>220</v>
      </c>
    </row>
    <row r="62" spans="1:14" x14ac:dyDescent="0.2">
      <c r="A62" s="3">
        <v>43577.271280208297</v>
      </c>
      <c r="B62" s="3" t="s">
        <v>248</v>
      </c>
      <c r="C62" s="2" t="s">
        <v>491</v>
      </c>
      <c r="D62" s="2" t="s">
        <v>230</v>
      </c>
      <c r="E62" s="2" t="s">
        <v>221</v>
      </c>
      <c r="F62" s="3" t="s">
        <v>288</v>
      </c>
      <c r="G62" s="2">
        <v>3159.75122070312</v>
      </c>
      <c r="H62" s="2">
        <v>2.2872667312622101</v>
      </c>
      <c r="I62" s="2" t="s">
        <v>521</v>
      </c>
      <c r="J62" s="2" t="s">
        <v>522</v>
      </c>
      <c r="K62" s="2" t="s">
        <v>523</v>
      </c>
      <c r="L62" s="2" t="s">
        <v>121</v>
      </c>
      <c r="M62" s="20" t="s">
        <v>228</v>
      </c>
      <c r="N62" t="s">
        <v>220</v>
      </c>
    </row>
    <row r="63" spans="1:14" x14ac:dyDescent="0.2">
      <c r="A63" s="3">
        <v>43577.305347222202</v>
      </c>
      <c r="B63" s="3" t="s">
        <v>224</v>
      </c>
      <c r="C63" s="2" t="s">
        <v>495</v>
      </c>
      <c r="D63" s="2" t="s">
        <v>245</v>
      </c>
      <c r="E63" s="2" t="s">
        <v>221</v>
      </c>
      <c r="F63" s="3" t="s">
        <v>289</v>
      </c>
      <c r="G63" s="2">
        <v>118787.3984375</v>
      </c>
      <c r="H63" s="2">
        <v>9.3354816436767596</v>
      </c>
      <c r="I63" s="2" t="s">
        <v>521</v>
      </c>
      <c r="J63" s="2" t="s">
        <v>522</v>
      </c>
      <c r="K63" s="2" t="s">
        <v>523</v>
      </c>
      <c r="L63" s="2" t="s">
        <v>121</v>
      </c>
      <c r="M63" s="20" t="s">
        <v>228</v>
      </c>
      <c r="N63" t="s">
        <v>220</v>
      </c>
    </row>
    <row r="64" spans="1:14" x14ac:dyDescent="0.2">
      <c r="A64" s="3">
        <v>43577.335909108799</v>
      </c>
      <c r="B64" s="3" t="s">
        <v>248</v>
      </c>
      <c r="C64" s="2" t="s">
        <v>491</v>
      </c>
      <c r="D64" s="2" t="s">
        <v>230</v>
      </c>
      <c r="E64" s="2" t="s">
        <v>221</v>
      </c>
      <c r="F64" s="3" t="s">
        <v>290</v>
      </c>
      <c r="G64" s="2">
        <v>3162.03857421875</v>
      </c>
      <c r="H64" s="2">
        <v>34.972476959228501</v>
      </c>
      <c r="I64" s="2" t="s">
        <v>521</v>
      </c>
      <c r="J64" s="2" t="s">
        <v>522</v>
      </c>
      <c r="K64" s="2" t="s">
        <v>523</v>
      </c>
      <c r="L64" s="2" t="s">
        <v>121</v>
      </c>
      <c r="M64" s="20" t="s">
        <v>251</v>
      </c>
      <c r="N64" t="s">
        <v>220</v>
      </c>
    </row>
    <row r="65" spans="1:14" x14ac:dyDescent="0.2">
      <c r="A65" s="3">
        <v>43577.3539467593</v>
      </c>
      <c r="B65" s="3" t="s">
        <v>222</v>
      </c>
      <c r="C65" s="2" t="s">
        <v>490</v>
      </c>
      <c r="D65" s="2" t="s">
        <v>223</v>
      </c>
      <c r="E65" s="2" t="s">
        <v>221</v>
      </c>
      <c r="F65" s="3" t="s">
        <v>291</v>
      </c>
      <c r="G65" s="2">
        <v>12520.7138671875</v>
      </c>
      <c r="H65" s="2">
        <v>0</v>
      </c>
      <c r="I65" s="2" t="s">
        <v>521</v>
      </c>
      <c r="J65" s="2" t="s">
        <v>522</v>
      </c>
      <c r="K65" s="2" t="s">
        <v>523</v>
      </c>
      <c r="L65" s="2" t="s">
        <v>121</v>
      </c>
      <c r="M65" s="20" t="s">
        <v>228</v>
      </c>
      <c r="N65" t="s">
        <v>220</v>
      </c>
    </row>
    <row r="66" spans="1:14" x14ac:dyDescent="0.2">
      <c r="A66" s="3">
        <v>43577.354641203703</v>
      </c>
      <c r="B66" s="3" t="s">
        <v>222</v>
      </c>
      <c r="C66" s="2" t="s">
        <v>490</v>
      </c>
      <c r="D66" s="2" t="s">
        <v>223</v>
      </c>
      <c r="E66" s="2" t="s">
        <v>221</v>
      </c>
      <c r="F66" s="3" t="s">
        <v>509</v>
      </c>
      <c r="G66" s="2">
        <v>12520.7138671875</v>
      </c>
      <c r="H66" s="2">
        <v>19.7583618164062</v>
      </c>
      <c r="I66" s="2" t="s">
        <v>521</v>
      </c>
      <c r="J66" s="2" t="s">
        <v>522</v>
      </c>
      <c r="K66" s="2" t="s">
        <v>523</v>
      </c>
      <c r="L66" s="2" t="s">
        <v>121</v>
      </c>
      <c r="M66" s="20" t="s">
        <v>251</v>
      </c>
      <c r="N66" t="s">
        <v>220</v>
      </c>
    </row>
    <row r="67" spans="1:14" x14ac:dyDescent="0.2">
      <c r="A67" s="3">
        <v>43577.386527777802</v>
      </c>
      <c r="B67" s="3" t="s">
        <v>222</v>
      </c>
      <c r="C67" s="2" t="s">
        <v>497</v>
      </c>
      <c r="D67" s="2" t="s">
        <v>219</v>
      </c>
      <c r="E67" s="2" t="s">
        <v>221</v>
      </c>
      <c r="F67" s="3" t="s">
        <v>292</v>
      </c>
      <c r="G67" s="2">
        <v>66997.1328125</v>
      </c>
      <c r="H67" s="2">
        <v>0</v>
      </c>
      <c r="I67" s="2" t="s">
        <v>521</v>
      </c>
      <c r="J67" s="2" t="s">
        <v>522</v>
      </c>
      <c r="K67" s="2" t="s">
        <v>523</v>
      </c>
      <c r="L67" s="2" t="s">
        <v>121</v>
      </c>
      <c r="M67" s="20" t="s">
        <v>228</v>
      </c>
      <c r="N67" t="s">
        <v>220</v>
      </c>
    </row>
    <row r="68" spans="1:14" x14ac:dyDescent="0.2">
      <c r="A68" s="3">
        <v>43577.387418981503</v>
      </c>
      <c r="B68" s="3" t="s">
        <v>222</v>
      </c>
      <c r="C68" s="2" t="s">
        <v>497</v>
      </c>
      <c r="D68" s="2" t="s">
        <v>219</v>
      </c>
      <c r="E68" s="2" t="s">
        <v>221</v>
      </c>
      <c r="F68" s="3" t="s">
        <v>293</v>
      </c>
      <c r="G68" s="2">
        <v>66997.1328125</v>
      </c>
      <c r="H68" s="2">
        <v>24.849878311157202</v>
      </c>
      <c r="I68" s="2" t="s">
        <v>521</v>
      </c>
      <c r="J68" s="2" t="s">
        <v>522</v>
      </c>
      <c r="K68" s="2" t="s">
        <v>523</v>
      </c>
      <c r="L68" s="2" t="s">
        <v>121</v>
      </c>
      <c r="M68" s="20" t="s">
        <v>255</v>
      </c>
      <c r="N68" t="s">
        <v>220</v>
      </c>
    </row>
    <row r="69" spans="1:14" x14ac:dyDescent="0.2">
      <c r="A69" s="3">
        <v>43577.520649340302</v>
      </c>
      <c r="B69" s="3" t="s">
        <v>248</v>
      </c>
      <c r="C69" s="2" t="s">
        <v>495</v>
      </c>
      <c r="D69" s="2" t="s">
        <v>245</v>
      </c>
      <c r="E69" s="2" t="s">
        <v>221</v>
      </c>
      <c r="F69" s="3" t="s">
        <v>294</v>
      </c>
      <c r="G69" s="2">
        <v>118796.734375</v>
      </c>
      <c r="H69" s="2">
        <v>0</v>
      </c>
      <c r="I69" s="2" t="s">
        <v>521</v>
      </c>
      <c r="J69" s="2" t="s">
        <v>522</v>
      </c>
      <c r="K69" s="2" t="s">
        <v>523</v>
      </c>
      <c r="L69" s="2" t="s">
        <v>121</v>
      </c>
      <c r="M69" s="20" t="s">
        <v>251</v>
      </c>
      <c r="N69" t="s">
        <v>220</v>
      </c>
    </row>
    <row r="70" spans="1:14" x14ac:dyDescent="0.2">
      <c r="A70" s="3">
        <v>43577.561921296299</v>
      </c>
      <c r="B70" s="3" t="s">
        <v>222</v>
      </c>
      <c r="C70" s="2" t="s">
        <v>514</v>
      </c>
      <c r="D70" s="2" t="s">
        <v>295</v>
      </c>
      <c r="E70" s="2" t="s">
        <v>221</v>
      </c>
      <c r="F70" s="3" t="s">
        <v>296</v>
      </c>
      <c r="G70" s="2">
        <v>93214.6328125</v>
      </c>
      <c r="H70" s="2">
        <v>0</v>
      </c>
      <c r="I70" s="2" t="s">
        <v>521</v>
      </c>
      <c r="J70" s="2" t="s">
        <v>522</v>
      </c>
      <c r="K70" s="2" t="s">
        <v>523</v>
      </c>
      <c r="L70" s="2" t="s">
        <v>121</v>
      </c>
      <c r="M70" s="20" t="s">
        <v>228</v>
      </c>
      <c r="N70" t="s">
        <v>220</v>
      </c>
    </row>
    <row r="71" spans="1:14" x14ac:dyDescent="0.2">
      <c r="A71" s="3">
        <v>43577.5620949074</v>
      </c>
      <c r="B71" s="3" t="s">
        <v>222</v>
      </c>
      <c r="C71" s="2" t="s">
        <v>514</v>
      </c>
      <c r="D71" s="2" t="s">
        <v>295</v>
      </c>
      <c r="E71" s="2" t="s">
        <v>221</v>
      </c>
      <c r="F71" s="3" t="s">
        <v>297</v>
      </c>
      <c r="G71" s="2">
        <v>93214.6328125</v>
      </c>
      <c r="H71" s="2">
        <v>0.34192338585853599</v>
      </c>
      <c r="I71" s="2" t="s">
        <v>521</v>
      </c>
      <c r="J71" s="2" t="s">
        <v>522</v>
      </c>
      <c r="K71" s="2" t="s">
        <v>523</v>
      </c>
      <c r="L71" s="2" t="s">
        <v>121</v>
      </c>
      <c r="M71" s="20" t="s">
        <v>255</v>
      </c>
      <c r="N71" t="s">
        <v>220</v>
      </c>
    </row>
    <row r="72" spans="1:14" x14ac:dyDescent="0.2">
      <c r="A72" s="3">
        <v>43577.5901783218</v>
      </c>
      <c r="B72" s="3" t="s">
        <v>248</v>
      </c>
      <c r="C72" s="2" t="s">
        <v>514</v>
      </c>
      <c r="D72" s="2" t="s">
        <v>295</v>
      </c>
      <c r="E72" s="2" t="s">
        <v>221</v>
      </c>
      <c r="F72" s="3" t="s">
        <v>298</v>
      </c>
      <c r="G72" s="2">
        <v>93214.9765625</v>
      </c>
      <c r="H72" s="2">
        <v>2.5511810779571502</v>
      </c>
      <c r="I72" s="2" t="s">
        <v>521</v>
      </c>
      <c r="J72" s="2" t="s">
        <v>522</v>
      </c>
      <c r="K72" s="2" t="s">
        <v>523</v>
      </c>
      <c r="L72" s="2" t="s">
        <v>121</v>
      </c>
      <c r="M72" s="20" t="s">
        <v>228</v>
      </c>
      <c r="N72" t="s">
        <v>220</v>
      </c>
    </row>
    <row r="73" spans="1:14" x14ac:dyDescent="0.2">
      <c r="A73" s="3">
        <v>43577.594490740703</v>
      </c>
      <c r="B73" s="3" t="s">
        <v>224</v>
      </c>
      <c r="C73" s="2" t="s">
        <v>514</v>
      </c>
      <c r="D73" s="2" t="s">
        <v>295</v>
      </c>
      <c r="E73" s="2" t="s">
        <v>221</v>
      </c>
      <c r="F73" s="3" t="s">
        <v>299</v>
      </c>
      <c r="G73" s="2">
        <v>93217.5234375</v>
      </c>
      <c r="H73" s="2">
        <v>4.31480169296265</v>
      </c>
      <c r="I73" s="2" t="s">
        <v>521</v>
      </c>
      <c r="J73" s="2" t="s">
        <v>522</v>
      </c>
      <c r="K73" s="2" t="s">
        <v>523</v>
      </c>
      <c r="L73" s="2" t="s">
        <v>121</v>
      </c>
      <c r="M73" s="20" t="s">
        <v>228</v>
      </c>
      <c r="N73" t="s">
        <v>220</v>
      </c>
    </row>
    <row r="74" spans="1:14" x14ac:dyDescent="0.2">
      <c r="A74" s="3">
        <v>43577.5947578704</v>
      </c>
      <c r="B74" s="3" t="s">
        <v>248</v>
      </c>
      <c r="C74" s="2" t="s">
        <v>513</v>
      </c>
      <c r="D74" s="2" t="s">
        <v>258</v>
      </c>
      <c r="E74" s="2" t="s">
        <v>221</v>
      </c>
      <c r="F74" s="3" t="s">
        <v>300</v>
      </c>
      <c r="G74" s="2">
        <v>0</v>
      </c>
      <c r="H74" s="2">
        <v>0</v>
      </c>
      <c r="I74" s="2" t="s">
        <v>521</v>
      </c>
      <c r="J74" s="2" t="s">
        <v>522</v>
      </c>
      <c r="K74" s="2" t="s">
        <v>523</v>
      </c>
      <c r="L74" s="2" t="s">
        <v>121</v>
      </c>
      <c r="M74" s="20" t="s">
        <v>251</v>
      </c>
      <c r="N74" t="s">
        <v>220</v>
      </c>
    </row>
    <row r="75" spans="1:14" x14ac:dyDescent="0.2">
      <c r="A75" s="3">
        <v>43578.235858831002</v>
      </c>
      <c r="B75" s="3" t="s">
        <v>248</v>
      </c>
      <c r="C75" s="2" t="s">
        <v>495</v>
      </c>
      <c r="D75" s="2" t="s">
        <v>245</v>
      </c>
      <c r="E75" s="2" t="s">
        <v>221</v>
      </c>
      <c r="F75" s="3" t="s">
        <v>301</v>
      </c>
      <c r="G75" s="2">
        <v>118796.734375</v>
      </c>
      <c r="H75" s="2">
        <v>142.97503662109401</v>
      </c>
      <c r="I75" s="2" t="s">
        <v>521</v>
      </c>
      <c r="J75" s="2" t="s">
        <v>522</v>
      </c>
      <c r="K75" s="2" t="s">
        <v>523</v>
      </c>
      <c r="L75" s="2" t="s">
        <v>121</v>
      </c>
      <c r="M75" s="20" t="s">
        <v>251</v>
      </c>
      <c r="N75" t="s">
        <v>220</v>
      </c>
    </row>
    <row r="76" spans="1:14" x14ac:dyDescent="0.2">
      <c r="A76" s="3">
        <v>43578.243541666699</v>
      </c>
      <c r="B76" s="3" t="s">
        <v>224</v>
      </c>
      <c r="C76" s="2" t="s">
        <v>493</v>
      </c>
      <c r="D76" s="2" t="s">
        <v>235</v>
      </c>
      <c r="E76" s="2" t="s">
        <v>221</v>
      </c>
      <c r="F76" s="3" t="s">
        <v>302</v>
      </c>
      <c r="G76" s="2">
        <v>60668.359375</v>
      </c>
      <c r="H76" s="2">
        <v>12.909608840942401</v>
      </c>
      <c r="I76" s="2" t="s">
        <v>521</v>
      </c>
      <c r="J76" s="2" t="s">
        <v>522</v>
      </c>
      <c r="K76" s="2" t="s">
        <v>523</v>
      </c>
      <c r="L76" s="2" t="s">
        <v>121</v>
      </c>
      <c r="M76" s="20" t="s">
        <v>228</v>
      </c>
      <c r="N76" t="s">
        <v>220</v>
      </c>
    </row>
    <row r="77" spans="1:14" x14ac:dyDescent="0.2">
      <c r="A77" s="3">
        <v>43578.2531850347</v>
      </c>
      <c r="B77" s="3" t="s">
        <v>224</v>
      </c>
      <c r="C77" s="2" t="s">
        <v>490</v>
      </c>
      <c r="D77" s="2" t="s">
        <v>223</v>
      </c>
      <c r="E77" s="2" t="s">
        <v>221</v>
      </c>
      <c r="F77" s="3" t="s">
        <v>303</v>
      </c>
      <c r="G77" s="2">
        <v>12540.4716796875</v>
      </c>
      <c r="H77" s="2">
        <v>35.623210906982401</v>
      </c>
      <c r="I77" s="2" t="s">
        <v>521</v>
      </c>
      <c r="J77" s="2" t="s">
        <v>522</v>
      </c>
      <c r="K77" s="2" t="s">
        <v>523</v>
      </c>
      <c r="L77" s="2" t="s">
        <v>121</v>
      </c>
      <c r="M77" s="20" t="s">
        <v>228</v>
      </c>
      <c r="N77" t="s">
        <v>220</v>
      </c>
    </row>
    <row r="78" spans="1:14" x14ac:dyDescent="0.2">
      <c r="A78" s="3">
        <v>43578.2681498495</v>
      </c>
      <c r="B78" s="3" t="s">
        <v>248</v>
      </c>
      <c r="C78" s="2" t="s">
        <v>514</v>
      </c>
      <c r="D78" s="2" t="s">
        <v>295</v>
      </c>
      <c r="E78" s="2" t="s">
        <v>221</v>
      </c>
      <c r="F78" s="3" t="s">
        <v>304</v>
      </c>
      <c r="G78" s="2">
        <v>93221.8359375</v>
      </c>
      <c r="H78" s="2">
        <v>6.5243978500366202</v>
      </c>
      <c r="I78" s="2" t="s">
        <v>521</v>
      </c>
      <c r="J78" s="2" t="s">
        <v>522</v>
      </c>
      <c r="K78" s="2" t="s">
        <v>523</v>
      </c>
      <c r="L78" s="2" t="s">
        <v>121</v>
      </c>
      <c r="M78" s="20" t="s">
        <v>251</v>
      </c>
      <c r="N78" t="s">
        <v>220</v>
      </c>
    </row>
    <row r="79" spans="1:14" x14ac:dyDescent="0.2">
      <c r="A79" s="3">
        <v>43578.391233877301</v>
      </c>
      <c r="B79" s="3" t="s">
        <v>248</v>
      </c>
      <c r="C79" s="2" t="s">
        <v>514</v>
      </c>
      <c r="D79" s="2" t="s">
        <v>295</v>
      </c>
      <c r="E79" s="2" t="s">
        <v>221</v>
      </c>
      <c r="F79" s="3" t="s">
        <v>305</v>
      </c>
      <c r="G79" s="2">
        <v>93228.3671875</v>
      </c>
      <c r="H79" s="2">
        <v>0</v>
      </c>
      <c r="I79" s="2" t="s">
        <v>521</v>
      </c>
      <c r="J79" s="2" t="s">
        <v>522</v>
      </c>
      <c r="K79" s="2" t="s">
        <v>523</v>
      </c>
      <c r="L79" s="2" t="s">
        <v>121</v>
      </c>
      <c r="M79" s="20" t="s">
        <v>251</v>
      </c>
      <c r="N79" t="s">
        <v>220</v>
      </c>
    </row>
    <row r="80" spans="1:14" x14ac:dyDescent="0.2">
      <c r="A80" s="3">
        <v>43578.499944942101</v>
      </c>
      <c r="B80" s="3" t="s">
        <v>248</v>
      </c>
      <c r="C80" s="2" t="s">
        <v>514</v>
      </c>
      <c r="D80" s="2" t="s">
        <v>295</v>
      </c>
      <c r="E80" s="2" t="s">
        <v>221</v>
      </c>
      <c r="F80" s="3" t="s">
        <v>306</v>
      </c>
      <c r="G80" s="2">
        <v>93228.3671875</v>
      </c>
      <c r="H80" s="2">
        <v>0</v>
      </c>
      <c r="I80" s="2" t="s">
        <v>521</v>
      </c>
      <c r="J80" s="2" t="s">
        <v>522</v>
      </c>
      <c r="K80" s="2" t="s">
        <v>523</v>
      </c>
      <c r="L80" s="2" t="s">
        <v>121</v>
      </c>
      <c r="M80" s="20" t="s">
        <v>251</v>
      </c>
      <c r="N80" t="s">
        <v>220</v>
      </c>
    </row>
    <row r="81" spans="1:14" x14ac:dyDescent="0.2">
      <c r="A81" s="3">
        <v>43578.512414930599</v>
      </c>
      <c r="B81" s="3" t="s">
        <v>248</v>
      </c>
      <c r="C81" s="2" t="s">
        <v>514</v>
      </c>
      <c r="D81" s="2" t="s">
        <v>295</v>
      </c>
      <c r="E81" s="2" t="s">
        <v>221</v>
      </c>
      <c r="F81" s="3" t="s">
        <v>307</v>
      </c>
      <c r="G81" s="2">
        <v>93228.3671875</v>
      </c>
      <c r="H81" s="2">
        <v>0</v>
      </c>
      <c r="I81" s="2" t="s">
        <v>521</v>
      </c>
      <c r="J81" s="2" t="s">
        <v>522</v>
      </c>
      <c r="K81" s="2" t="s">
        <v>523</v>
      </c>
      <c r="L81" s="2" t="s">
        <v>121</v>
      </c>
      <c r="M81" s="20" t="s">
        <v>251</v>
      </c>
      <c r="N81" t="s">
        <v>220</v>
      </c>
    </row>
    <row r="82" spans="1:14" x14ac:dyDescent="0.2">
      <c r="A82" s="3">
        <v>43578.517433993104</v>
      </c>
      <c r="B82" s="3" t="s">
        <v>248</v>
      </c>
      <c r="C82" s="2" t="s">
        <v>514</v>
      </c>
      <c r="D82" s="2" t="s">
        <v>295</v>
      </c>
      <c r="E82" s="2" t="s">
        <v>221</v>
      </c>
      <c r="F82" s="3" t="s">
        <v>308</v>
      </c>
      <c r="G82" s="2">
        <v>93228.3671875</v>
      </c>
      <c r="H82" s="2">
        <v>0</v>
      </c>
      <c r="I82" s="2" t="s">
        <v>521</v>
      </c>
      <c r="J82" s="2" t="s">
        <v>522</v>
      </c>
      <c r="K82" s="2" t="s">
        <v>523</v>
      </c>
      <c r="L82" s="2" t="s">
        <v>121</v>
      </c>
      <c r="M82" s="20" t="s">
        <v>251</v>
      </c>
      <c r="N82" t="s">
        <v>220</v>
      </c>
    </row>
    <row r="83" spans="1:14" x14ac:dyDescent="0.2">
      <c r="A83" s="3">
        <v>43578.5195664005</v>
      </c>
      <c r="B83" s="3" t="s">
        <v>248</v>
      </c>
      <c r="C83" s="2" t="s">
        <v>514</v>
      </c>
      <c r="D83" s="2" t="s">
        <v>295</v>
      </c>
      <c r="E83" s="2" t="s">
        <v>221</v>
      </c>
      <c r="F83" s="3" t="s">
        <v>309</v>
      </c>
      <c r="G83" s="2">
        <v>93228.3671875</v>
      </c>
      <c r="H83" s="2">
        <v>-2.4854848161339799E-3</v>
      </c>
      <c r="I83" s="2" t="s">
        <v>521</v>
      </c>
      <c r="J83" s="2" t="s">
        <v>522</v>
      </c>
      <c r="K83" s="2" t="s">
        <v>523</v>
      </c>
      <c r="L83" s="2" t="s">
        <v>121</v>
      </c>
      <c r="M83" s="20" t="s">
        <v>251</v>
      </c>
      <c r="N83" t="s">
        <v>220</v>
      </c>
    </row>
    <row r="84" spans="1:14" x14ac:dyDescent="0.2">
      <c r="A84" s="3">
        <v>43578.525358796302</v>
      </c>
      <c r="B84" s="3" t="s">
        <v>222</v>
      </c>
      <c r="C84" s="2" t="s">
        <v>514</v>
      </c>
      <c r="D84" s="2" t="s">
        <v>295</v>
      </c>
      <c r="E84" s="2" t="s">
        <v>221</v>
      </c>
      <c r="F84" s="3" t="s">
        <v>310</v>
      </c>
      <c r="G84" s="2">
        <v>93228.359375</v>
      </c>
      <c r="H84" s="2">
        <v>0</v>
      </c>
      <c r="I84" s="2" t="s">
        <v>521</v>
      </c>
      <c r="J84" s="2" t="s">
        <v>522</v>
      </c>
      <c r="K84" s="2" t="s">
        <v>523</v>
      </c>
      <c r="L84" s="2" t="s">
        <v>121</v>
      </c>
      <c r="M84" s="20" t="s">
        <v>228</v>
      </c>
      <c r="N84" t="s">
        <v>220</v>
      </c>
    </row>
    <row r="85" spans="1:14" x14ac:dyDescent="0.2">
      <c r="A85" s="3">
        <v>43578.525613425903</v>
      </c>
      <c r="B85" s="3" t="s">
        <v>222</v>
      </c>
      <c r="C85" s="2" t="s">
        <v>514</v>
      </c>
      <c r="D85" s="2" t="s">
        <v>295</v>
      </c>
      <c r="E85" s="2" t="s">
        <v>221</v>
      </c>
      <c r="F85" s="3" t="s">
        <v>311</v>
      </c>
      <c r="G85" s="2">
        <v>93228.359375</v>
      </c>
      <c r="H85" s="2">
        <v>3.3404917716979998</v>
      </c>
      <c r="I85" s="2" t="s">
        <v>521</v>
      </c>
      <c r="J85" s="2" t="s">
        <v>522</v>
      </c>
      <c r="K85" s="2" t="s">
        <v>523</v>
      </c>
      <c r="L85" s="2" t="s">
        <v>121</v>
      </c>
      <c r="M85" s="20" t="s">
        <v>255</v>
      </c>
      <c r="N85" t="s">
        <v>220</v>
      </c>
    </row>
    <row r="86" spans="1:14" x14ac:dyDescent="0.2">
      <c r="A86" s="3">
        <v>43578.545243055603</v>
      </c>
      <c r="B86" s="3" t="s">
        <v>222</v>
      </c>
      <c r="C86" s="2" t="s">
        <v>514</v>
      </c>
      <c r="D86" s="2" t="s">
        <v>295</v>
      </c>
      <c r="E86" s="2" t="s">
        <v>221</v>
      </c>
      <c r="F86" s="3" t="s">
        <v>312</v>
      </c>
      <c r="G86" s="2">
        <v>93231.703125</v>
      </c>
      <c r="H86" s="2">
        <v>0.16901297867298101</v>
      </c>
      <c r="I86" s="2" t="s">
        <v>521</v>
      </c>
      <c r="J86" s="2" t="s">
        <v>522</v>
      </c>
      <c r="K86" s="2" t="s">
        <v>523</v>
      </c>
      <c r="L86" s="2" t="s">
        <v>121</v>
      </c>
      <c r="M86" s="20" t="s">
        <v>228</v>
      </c>
      <c r="N86" t="s">
        <v>220</v>
      </c>
    </row>
    <row r="87" spans="1:14" x14ac:dyDescent="0.2">
      <c r="A87" s="3">
        <v>43578.545775462997</v>
      </c>
      <c r="B87" s="3" t="s">
        <v>222</v>
      </c>
      <c r="C87" s="2" t="s">
        <v>514</v>
      </c>
      <c r="D87" s="2" t="s">
        <v>295</v>
      </c>
      <c r="E87" s="2" t="s">
        <v>221</v>
      </c>
      <c r="F87" s="3" t="s">
        <v>313</v>
      </c>
      <c r="G87" s="2">
        <v>93231.8671875</v>
      </c>
      <c r="H87" s="2">
        <v>8.1722745895385707</v>
      </c>
      <c r="I87" s="2" t="s">
        <v>521</v>
      </c>
      <c r="J87" s="2" t="s">
        <v>522</v>
      </c>
      <c r="K87" s="2" t="s">
        <v>523</v>
      </c>
      <c r="L87" s="2" t="s">
        <v>121</v>
      </c>
      <c r="M87" s="20" t="s">
        <v>255</v>
      </c>
      <c r="N87" t="s">
        <v>220</v>
      </c>
    </row>
    <row r="88" spans="1:14" x14ac:dyDescent="0.2">
      <c r="A88" s="3">
        <v>43578.787858796299</v>
      </c>
      <c r="B88" s="3" t="s">
        <v>224</v>
      </c>
      <c r="C88" s="2" t="s">
        <v>496</v>
      </c>
      <c r="D88" s="2" t="s">
        <v>249</v>
      </c>
      <c r="E88" s="2" t="s">
        <v>221</v>
      </c>
      <c r="F88" s="3" t="s">
        <v>314</v>
      </c>
      <c r="G88" s="2">
        <v>17025.7734375</v>
      </c>
      <c r="H88" s="2">
        <v>11.3971910476685</v>
      </c>
      <c r="I88" s="2" t="s">
        <v>521</v>
      </c>
      <c r="J88" s="2" t="s">
        <v>522</v>
      </c>
      <c r="K88" s="2" t="s">
        <v>523</v>
      </c>
      <c r="L88" s="2" t="s">
        <v>121</v>
      </c>
      <c r="M88" s="20" t="s">
        <v>228</v>
      </c>
      <c r="N88" t="s">
        <v>220</v>
      </c>
    </row>
    <row r="89" spans="1:14" x14ac:dyDescent="0.2">
      <c r="A89" s="3">
        <v>43579.3678587963</v>
      </c>
      <c r="B89" s="3" t="s">
        <v>222</v>
      </c>
      <c r="C89" s="2" t="s">
        <v>495</v>
      </c>
      <c r="D89" s="2" t="s">
        <v>245</v>
      </c>
      <c r="E89" s="2" t="s">
        <v>221</v>
      </c>
      <c r="F89" s="3" t="s">
        <v>315</v>
      </c>
      <c r="G89" s="2">
        <v>118939.7109375</v>
      </c>
      <c r="H89" s="2">
        <v>9.9419392645359005E-3</v>
      </c>
      <c r="I89" s="2" t="s">
        <v>521</v>
      </c>
      <c r="J89" s="2" t="s">
        <v>522</v>
      </c>
      <c r="K89" s="2" t="s">
        <v>523</v>
      </c>
      <c r="L89" s="2" t="s">
        <v>121</v>
      </c>
      <c r="M89" s="20" t="s">
        <v>228</v>
      </c>
      <c r="N89" t="s">
        <v>220</v>
      </c>
    </row>
    <row r="90" spans="1:14" x14ac:dyDescent="0.2">
      <c r="A90" s="3">
        <v>43579.433074305598</v>
      </c>
      <c r="B90" s="3" t="s">
        <v>224</v>
      </c>
      <c r="C90" s="2" t="s">
        <v>491</v>
      </c>
      <c r="D90" s="2" t="s">
        <v>230</v>
      </c>
      <c r="E90" s="2" t="s">
        <v>221</v>
      </c>
      <c r="F90" s="3" t="s">
        <v>316</v>
      </c>
      <c r="G90" s="2">
        <v>3197.01098632812</v>
      </c>
      <c r="H90" s="2">
        <v>18.8735237121582</v>
      </c>
      <c r="I90" s="2" t="s">
        <v>521</v>
      </c>
      <c r="J90" s="2" t="s">
        <v>522</v>
      </c>
      <c r="K90" s="2" t="s">
        <v>523</v>
      </c>
      <c r="L90" s="2" t="s">
        <v>121</v>
      </c>
      <c r="M90" s="20" t="s">
        <v>228</v>
      </c>
      <c r="N90" t="s">
        <v>220</v>
      </c>
    </row>
    <row r="91" spans="1:14" x14ac:dyDescent="0.2">
      <c r="A91" s="3">
        <v>43579.558935185203</v>
      </c>
      <c r="B91" s="3" t="s">
        <v>224</v>
      </c>
      <c r="C91" s="2" t="s">
        <v>493</v>
      </c>
      <c r="D91" s="2" t="s">
        <v>235</v>
      </c>
      <c r="E91" s="2" t="s">
        <v>221</v>
      </c>
      <c r="F91" s="3" t="s">
        <v>317</v>
      </c>
      <c r="G91" s="2">
        <v>60681.26953125</v>
      </c>
      <c r="H91" s="2">
        <v>6.6909251213073704</v>
      </c>
      <c r="I91" s="2" t="s">
        <v>521</v>
      </c>
      <c r="J91" s="2" t="s">
        <v>522</v>
      </c>
      <c r="K91" s="2" t="s">
        <v>523</v>
      </c>
      <c r="L91" s="2" t="s">
        <v>121</v>
      </c>
      <c r="M91" s="20" t="s">
        <v>228</v>
      </c>
      <c r="N91" t="s">
        <v>220</v>
      </c>
    </row>
    <row r="92" spans="1:14" x14ac:dyDescent="0.2">
      <c r="A92" s="3">
        <v>43579.603935185201</v>
      </c>
      <c r="B92" s="3" t="s">
        <v>224</v>
      </c>
      <c r="C92" s="2" t="s">
        <v>490</v>
      </c>
      <c r="D92" s="2" t="s">
        <v>223</v>
      </c>
      <c r="E92" s="2" t="s">
        <v>221</v>
      </c>
      <c r="F92" s="3" t="s">
        <v>318</v>
      </c>
      <c r="G92" s="2">
        <v>12576.0947265625</v>
      </c>
      <c r="H92" s="2">
        <v>25.2724094390869</v>
      </c>
      <c r="I92" s="2" t="s">
        <v>521</v>
      </c>
      <c r="J92" s="2" t="s">
        <v>522</v>
      </c>
      <c r="K92" s="2" t="s">
        <v>523</v>
      </c>
      <c r="L92" s="2" t="s">
        <v>121</v>
      </c>
      <c r="M92" s="20" t="s">
        <v>228</v>
      </c>
      <c r="N92" t="s">
        <v>220</v>
      </c>
    </row>
    <row r="93" spans="1:14" x14ac:dyDescent="0.2">
      <c r="A93" s="3">
        <v>43580.274062500001</v>
      </c>
      <c r="B93" s="3" t="s">
        <v>224</v>
      </c>
      <c r="C93" s="2" t="s">
        <v>493</v>
      </c>
      <c r="D93" s="2" t="s">
        <v>235</v>
      </c>
      <c r="E93" s="2" t="s">
        <v>221</v>
      </c>
      <c r="F93" s="3" t="s">
        <v>319</v>
      </c>
      <c r="G93" s="2">
        <v>60687.9609375</v>
      </c>
      <c r="H93" s="2">
        <v>20.6543788909912</v>
      </c>
      <c r="I93" s="2" t="s">
        <v>521</v>
      </c>
      <c r="J93" s="2" t="s">
        <v>522</v>
      </c>
      <c r="K93" s="2" t="s">
        <v>523</v>
      </c>
      <c r="L93" s="2" t="s">
        <v>121</v>
      </c>
      <c r="M93" s="20" t="s">
        <v>228</v>
      </c>
      <c r="N93" t="s">
        <v>220</v>
      </c>
    </row>
    <row r="94" spans="1:14" x14ac:dyDescent="0.2">
      <c r="A94" s="3">
        <v>43580.3972685185</v>
      </c>
      <c r="B94" s="3" t="s">
        <v>222</v>
      </c>
      <c r="C94" s="2" t="s">
        <v>497</v>
      </c>
      <c r="D94" s="2" t="s">
        <v>219</v>
      </c>
      <c r="E94" s="2" t="s">
        <v>221</v>
      </c>
      <c r="F94" s="3" t="s">
        <v>320</v>
      </c>
      <c r="G94" s="2">
        <v>67021.984375</v>
      </c>
      <c r="H94" s="2">
        <v>0</v>
      </c>
      <c r="I94" s="2" t="s">
        <v>521</v>
      </c>
      <c r="J94" s="2" t="s">
        <v>522</v>
      </c>
      <c r="K94" s="2" t="s">
        <v>523</v>
      </c>
      <c r="L94" s="2" t="s">
        <v>121</v>
      </c>
      <c r="M94" s="20" t="s">
        <v>228</v>
      </c>
      <c r="N94" t="s">
        <v>220</v>
      </c>
    </row>
    <row r="95" spans="1:14" x14ac:dyDescent="0.2">
      <c r="A95" s="3">
        <v>43580.3979861111</v>
      </c>
      <c r="B95" s="3" t="s">
        <v>222</v>
      </c>
      <c r="C95" s="2" t="s">
        <v>497</v>
      </c>
      <c r="D95" s="2" t="s">
        <v>219</v>
      </c>
      <c r="E95" s="2" t="s">
        <v>221</v>
      </c>
      <c r="F95" s="3" t="s">
        <v>321</v>
      </c>
      <c r="G95" s="2">
        <v>67021.984375</v>
      </c>
      <c r="H95" s="2">
        <v>28.583076477050799</v>
      </c>
      <c r="I95" s="2" t="s">
        <v>521</v>
      </c>
      <c r="J95" s="2" t="s">
        <v>522</v>
      </c>
      <c r="K95" s="2" t="s">
        <v>523</v>
      </c>
      <c r="L95" s="2" t="s">
        <v>121</v>
      </c>
      <c r="M95" s="20" t="s">
        <v>255</v>
      </c>
      <c r="N95" t="s">
        <v>220</v>
      </c>
    </row>
    <row r="96" spans="1:14" x14ac:dyDescent="0.2">
      <c r="A96" s="3">
        <v>43580.401724536998</v>
      </c>
      <c r="B96" s="3" t="s">
        <v>222</v>
      </c>
      <c r="C96" s="2" t="s">
        <v>494</v>
      </c>
      <c r="D96" s="2" t="s">
        <v>237</v>
      </c>
      <c r="E96" s="2" t="s">
        <v>221</v>
      </c>
      <c r="F96" s="3" t="s">
        <v>322</v>
      </c>
      <c r="G96" s="2">
        <v>82343.8046875</v>
      </c>
      <c r="H96" s="2">
        <v>0</v>
      </c>
      <c r="I96" s="2" t="s">
        <v>521</v>
      </c>
      <c r="J96" s="2" t="s">
        <v>522</v>
      </c>
      <c r="K96" s="2" t="s">
        <v>523</v>
      </c>
      <c r="L96" s="2" t="s">
        <v>121</v>
      </c>
      <c r="M96" s="20" t="s">
        <v>228</v>
      </c>
      <c r="N96" t="s">
        <v>220</v>
      </c>
    </row>
    <row r="97" spans="1:14" x14ac:dyDescent="0.2">
      <c r="A97" s="3">
        <v>43580.401875000003</v>
      </c>
      <c r="B97" s="3" t="s">
        <v>222</v>
      </c>
      <c r="C97" s="2" t="s">
        <v>494</v>
      </c>
      <c r="D97" s="2" t="s">
        <v>237</v>
      </c>
      <c r="E97" s="2" t="s">
        <v>221</v>
      </c>
      <c r="F97" s="3" t="s">
        <v>323</v>
      </c>
      <c r="G97" s="2">
        <v>82343.8046875</v>
      </c>
      <c r="H97" s="2">
        <v>71.020248413085895</v>
      </c>
      <c r="I97" s="2" t="s">
        <v>521</v>
      </c>
      <c r="J97" s="2" t="s">
        <v>522</v>
      </c>
      <c r="K97" s="2" t="s">
        <v>523</v>
      </c>
      <c r="L97" s="2" t="s">
        <v>121</v>
      </c>
      <c r="M97" s="20" t="s">
        <v>255</v>
      </c>
      <c r="N97" t="s">
        <v>220</v>
      </c>
    </row>
    <row r="98" spans="1:14" x14ac:dyDescent="0.2">
      <c r="A98" s="3">
        <v>43580.405659722201</v>
      </c>
      <c r="B98" s="3" t="s">
        <v>222</v>
      </c>
      <c r="C98" s="2" t="s">
        <v>492</v>
      </c>
      <c r="D98" s="2" t="s">
        <v>232</v>
      </c>
      <c r="E98" s="2" t="s">
        <v>221</v>
      </c>
      <c r="F98" s="3" t="s">
        <v>324</v>
      </c>
      <c r="G98" s="2">
        <v>117130.109375</v>
      </c>
      <c r="H98" s="2">
        <v>9.9419392645359005E-3</v>
      </c>
      <c r="I98" s="2" t="s">
        <v>521</v>
      </c>
      <c r="J98" s="2" t="s">
        <v>522</v>
      </c>
      <c r="K98" s="2" t="s">
        <v>523</v>
      </c>
      <c r="L98" s="2" t="s">
        <v>121</v>
      </c>
      <c r="M98" s="20" t="s">
        <v>228</v>
      </c>
      <c r="N98" t="s">
        <v>220</v>
      </c>
    </row>
    <row r="99" spans="1:14" x14ac:dyDescent="0.2">
      <c r="A99" s="3">
        <v>43580.405914351897</v>
      </c>
      <c r="B99" s="3" t="s">
        <v>222</v>
      </c>
      <c r="C99" s="2" t="s">
        <v>492</v>
      </c>
      <c r="D99" s="2" t="s">
        <v>232</v>
      </c>
      <c r="E99" s="2" t="s">
        <v>221</v>
      </c>
      <c r="F99" s="3" t="s">
        <v>325</v>
      </c>
      <c r="G99" s="2">
        <v>117130.1171875</v>
      </c>
      <c r="H99" s="2">
        <v>514.61468505859398</v>
      </c>
      <c r="I99" s="2" t="s">
        <v>521</v>
      </c>
      <c r="J99" s="2" t="s">
        <v>522</v>
      </c>
      <c r="K99" s="2" t="s">
        <v>523</v>
      </c>
      <c r="L99" s="2" t="s">
        <v>121</v>
      </c>
      <c r="M99" s="20" t="s">
        <v>255</v>
      </c>
      <c r="N99" t="s">
        <v>220</v>
      </c>
    </row>
    <row r="100" spans="1:14" x14ac:dyDescent="0.2">
      <c r="A100" s="3">
        <v>43580.406331018501</v>
      </c>
      <c r="B100" s="3" t="s">
        <v>222</v>
      </c>
      <c r="C100" s="2" t="s">
        <v>490</v>
      </c>
      <c r="D100" s="2" t="s">
        <v>223</v>
      </c>
      <c r="E100" s="2" t="s">
        <v>221</v>
      </c>
      <c r="F100" s="3" t="s">
        <v>326</v>
      </c>
      <c r="G100" s="2">
        <v>12601.3671875</v>
      </c>
      <c r="H100" s="2">
        <v>0</v>
      </c>
      <c r="I100" s="2" t="s">
        <v>521</v>
      </c>
      <c r="J100" s="2" t="s">
        <v>522</v>
      </c>
      <c r="K100" s="2" t="s">
        <v>523</v>
      </c>
      <c r="L100" s="2" t="s">
        <v>121</v>
      </c>
      <c r="M100" s="20" t="s">
        <v>228</v>
      </c>
      <c r="N100" t="s">
        <v>220</v>
      </c>
    </row>
    <row r="101" spans="1:14" x14ac:dyDescent="0.2">
      <c r="A101" s="3">
        <v>43580.406712962998</v>
      </c>
      <c r="B101" s="3" t="s">
        <v>222</v>
      </c>
      <c r="C101" s="2" t="s">
        <v>490</v>
      </c>
      <c r="D101" s="2" t="s">
        <v>223</v>
      </c>
      <c r="E101" s="2" t="s">
        <v>221</v>
      </c>
      <c r="F101" s="3" t="s">
        <v>327</v>
      </c>
      <c r="G101" s="2">
        <v>12601.3671875</v>
      </c>
      <c r="H101" s="2">
        <v>1.2427424080669899E-3</v>
      </c>
      <c r="I101" s="2" t="s">
        <v>521</v>
      </c>
      <c r="J101" s="2" t="s">
        <v>522</v>
      </c>
      <c r="K101" s="2" t="s">
        <v>523</v>
      </c>
      <c r="L101" s="2" t="s">
        <v>121</v>
      </c>
      <c r="M101" s="20" t="s">
        <v>255</v>
      </c>
      <c r="N101" t="s">
        <v>220</v>
      </c>
    </row>
    <row r="102" spans="1:14" x14ac:dyDescent="0.2">
      <c r="A102" s="3">
        <v>43580.410717592596</v>
      </c>
      <c r="B102" s="3" t="s">
        <v>222</v>
      </c>
      <c r="C102" s="2" t="s">
        <v>490</v>
      </c>
      <c r="D102" s="2" t="s">
        <v>223</v>
      </c>
      <c r="E102" s="2" t="s">
        <v>221</v>
      </c>
      <c r="F102" s="3" t="s">
        <v>328</v>
      </c>
      <c r="G102" s="2">
        <v>12601.3681640625</v>
      </c>
      <c r="H102" s="2">
        <v>1.2427424080669899E-3</v>
      </c>
      <c r="I102" s="2" t="s">
        <v>521</v>
      </c>
      <c r="J102" s="2" t="s">
        <v>522</v>
      </c>
      <c r="K102" s="2" t="s">
        <v>523</v>
      </c>
      <c r="L102" s="2" t="s">
        <v>121</v>
      </c>
      <c r="M102" s="20" t="s">
        <v>228</v>
      </c>
      <c r="N102" t="s">
        <v>220</v>
      </c>
    </row>
    <row r="103" spans="1:14" x14ac:dyDescent="0.2">
      <c r="A103" s="3">
        <v>43580.411458333299</v>
      </c>
      <c r="B103" s="3" t="s">
        <v>222</v>
      </c>
      <c r="C103" s="2" t="s">
        <v>490</v>
      </c>
      <c r="D103" s="2" t="s">
        <v>223</v>
      </c>
      <c r="E103" s="2" t="s">
        <v>221</v>
      </c>
      <c r="F103" s="3" t="s">
        <v>329</v>
      </c>
      <c r="G103" s="2">
        <v>12601.3701171875</v>
      </c>
      <c r="H103" s="2">
        <v>1.0066213607788099</v>
      </c>
      <c r="I103" s="2" t="s">
        <v>521</v>
      </c>
      <c r="J103" s="2" t="s">
        <v>522</v>
      </c>
      <c r="K103" s="2" t="s">
        <v>523</v>
      </c>
      <c r="L103" s="2" t="s">
        <v>121</v>
      </c>
      <c r="M103" s="20" t="s">
        <v>255</v>
      </c>
      <c r="N103" t="s">
        <v>220</v>
      </c>
    </row>
    <row r="104" spans="1:14" x14ac:dyDescent="0.2">
      <c r="A104" s="3">
        <v>43580.414409722202</v>
      </c>
      <c r="B104" s="3" t="s">
        <v>222</v>
      </c>
      <c r="C104" s="2" t="s">
        <v>514</v>
      </c>
      <c r="D104" s="2" t="s">
        <v>295</v>
      </c>
      <c r="E104" s="2" t="s">
        <v>221</v>
      </c>
      <c r="F104" s="3" t="s">
        <v>330</v>
      </c>
      <c r="G104" s="2">
        <v>93240.0390625</v>
      </c>
      <c r="H104" s="2">
        <v>0</v>
      </c>
      <c r="I104" s="2" t="s">
        <v>521</v>
      </c>
      <c r="J104" s="2" t="s">
        <v>522</v>
      </c>
      <c r="K104" s="2" t="s">
        <v>523</v>
      </c>
      <c r="L104" s="2" t="s">
        <v>121</v>
      </c>
      <c r="M104" s="20" t="s">
        <v>228</v>
      </c>
      <c r="N104" t="s">
        <v>220</v>
      </c>
    </row>
    <row r="105" spans="1:14" x14ac:dyDescent="0.2">
      <c r="A105" s="3">
        <v>43580.414710648103</v>
      </c>
      <c r="B105" s="3" t="s">
        <v>222</v>
      </c>
      <c r="C105" s="2" t="s">
        <v>514</v>
      </c>
      <c r="D105" s="2" t="s">
        <v>295</v>
      </c>
      <c r="E105" s="2" t="s">
        <v>221</v>
      </c>
      <c r="F105" s="3" t="s">
        <v>331</v>
      </c>
      <c r="G105" s="2">
        <v>93240.0390625</v>
      </c>
      <c r="H105" s="2">
        <v>2.4854848161339799E-3</v>
      </c>
      <c r="I105" s="2" t="s">
        <v>521</v>
      </c>
      <c r="J105" s="2" t="s">
        <v>522</v>
      </c>
      <c r="K105" s="2" t="s">
        <v>523</v>
      </c>
      <c r="L105" s="2" t="s">
        <v>121</v>
      </c>
      <c r="M105" s="20" t="s">
        <v>255</v>
      </c>
      <c r="N105" t="s">
        <v>220</v>
      </c>
    </row>
    <row r="106" spans="1:14" x14ac:dyDescent="0.2">
      <c r="A106" s="3">
        <v>43580.415833333303</v>
      </c>
      <c r="B106" s="3" t="s">
        <v>222</v>
      </c>
      <c r="C106" s="2" t="s">
        <v>496</v>
      </c>
      <c r="D106" s="2" t="s">
        <v>249</v>
      </c>
      <c r="E106" s="2" t="s">
        <v>221</v>
      </c>
      <c r="F106" s="3" t="s">
        <v>332</v>
      </c>
      <c r="G106" s="2">
        <v>17037.171875</v>
      </c>
      <c r="H106" s="2">
        <v>0</v>
      </c>
      <c r="I106" s="2" t="s">
        <v>521</v>
      </c>
      <c r="J106" s="2" t="s">
        <v>522</v>
      </c>
      <c r="K106" s="2" t="s">
        <v>523</v>
      </c>
      <c r="L106" s="2" t="s">
        <v>121</v>
      </c>
      <c r="M106" s="20" t="s">
        <v>228</v>
      </c>
      <c r="N106" t="s">
        <v>220</v>
      </c>
    </row>
    <row r="107" spans="1:14" x14ac:dyDescent="0.2">
      <c r="A107" s="3">
        <v>43580.416030092601</v>
      </c>
      <c r="B107" s="3" t="s">
        <v>222</v>
      </c>
      <c r="C107" s="2" t="s">
        <v>496</v>
      </c>
      <c r="D107" s="2" t="s">
        <v>249</v>
      </c>
      <c r="E107" s="2" t="s">
        <v>221</v>
      </c>
      <c r="F107" s="3" t="s">
        <v>333</v>
      </c>
      <c r="G107" s="2">
        <v>17037.171875</v>
      </c>
      <c r="H107" s="2">
        <v>1.7124991416931199</v>
      </c>
      <c r="I107" s="2" t="s">
        <v>521</v>
      </c>
      <c r="J107" s="2" t="s">
        <v>522</v>
      </c>
      <c r="K107" s="2" t="s">
        <v>523</v>
      </c>
      <c r="L107" s="2" t="s">
        <v>121</v>
      </c>
      <c r="M107" s="20" t="s">
        <v>255</v>
      </c>
      <c r="N107" t="s">
        <v>220</v>
      </c>
    </row>
    <row r="108" spans="1:14" x14ac:dyDescent="0.2">
      <c r="A108" s="3">
        <v>43580.425241585603</v>
      </c>
      <c r="B108" s="3" t="s">
        <v>224</v>
      </c>
      <c r="C108" s="2" t="s">
        <v>491</v>
      </c>
      <c r="D108" s="2" t="s">
        <v>230</v>
      </c>
      <c r="E108" s="2" t="s">
        <v>221</v>
      </c>
      <c r="F108" s="3" t="s">
        <v>510</v>
      </c>
      <c r="G108" s="2">
        <v>3215.88452148438</v>
      </c>
      <c r="H108" s="2">
        <v>153.20945739746099</v>
      </c>
      <c r="I108" s="2" t="s">
        <v>521</v>
      </c>
      <c r="J108" s="2" t="s">
        <v>522</v>
      </c>
      <c r="K108" s="2" t="s">
        <v>523</v>
      </c>
      <c r="L108" s="2" t="s">
        <v>121</v>
      </c>
      <c r="M108" s="20" t="s">
        <v>228</v>
      </c>
      <c r="N108" t="s">
        <v>220</v>
      </c>
    </row>
    <row r="109" spans="1:14" x14ac:dyDescent="0.2">
      <c r="A109" s="3">
        <v>43580.565193483802</v>
      </c>
      <c r="B109" s="3" t="s">
        <v>248</v>
      </c>
      <c r="C109" s="2" t="s">
        <v>514</v>
      </c>
      <c r="D109" s="2" t="s">
        <v>295</v>
      </c>
      <c r="E109" s="2" t="s">
        <v>221</v>
      </c>
      <c r="F109" s="3" t="s">
        <v>334</v>
      </c>
      <c r="G109" s="2">
        <v>93240.046875</v>
      </c>
      <c r="H109" s="2">
        <v>0</v>
      </c>
      <c r="I109" s="2" t="s">
        <v>521</v>
      </c>
      <c r="J109" s="2" t="s">
        <v>522</v>
      </c>
      <c r="K109" s="2" t="s">
        <v>523</v>
      </c>
      <c r="L109" s="2" t="s">
        <v>121</v>
      </c>
      <c r="M109" s="20" t="s">
        <v>251</v>
      </c>
      <c r="N109" t="s">
        <v>220</v>
      </c>
    </row>
    <row r="110" spans="1:14" x14ac:dyDescent="0.2">
      <c r="A110" s="3">
        <v>43580.603645833296</v>
      </c>
      <c r="B110" s="3" t="s">
        <v>224</v>
      </c>
      <c r="C110" s="2" t="s">
        <v>490</v>
      </c>
      <c r="D110" s="2" t="s">
        <v>223</v>
      </c>
      <c r="E110" s="2" t="s">
        <v>221</v>
      </c>
      <c r="F110" s="3" t="s">
        <v>335</v>
      </c>
      <c r="G110" s="2">
        <v>12602.376953125</v>
      </c>
      <c r="H110" s="2">
        <v>32.641872406005902</v>
      </c>
      <c r="I110" s="2" t="s">
        <v>521</v>
      </c>
      <c r="J110" s="2" t="s">
        <v>522</v>
      </c>
      <c r="K110" s="2" t="s">
        <v>523</v>
      </c>
      <c r="L110" s="2" t="s">
        <v>121</v>
      </c>
      <c r="M110" s="20" t="s">
        <v>228</v>
      </c>
      <c r="N110" t="s">
        <v>220</v>
      </c>
    </row>
    <row r="111" spans="1:14" x14ac:dyDescent="0.2">
      <c r="A111" s="3">
        <v>43580.631644756897</v>
      </c>
      <c r="B111" s="3" t="s">
        <v>248</v>
      </c>
      <c r="C111" s="2" t="s">
        <v>515</v>
      </c>
      <c r="D111" s="2" t="s">
        <v>336</v>
      </c>
      <c r="E111" s="2" t="s">
        <v>221</v>
      </c>
      <c r="F111" s="3" t="s">
        <v>337</v>
      </c>
      <c r="G111" s="2">
        <v>947.52984619140602</v>
      </c>
      <c r="H111" s="2">
        <v>0</v>
      </c>
      <c r="I111" s="2" t="s">
        <v>521</v>
      </c>
      <c r="J111" s="2" t="s">
        <v>522</v>
      </c>
      <c r="K111" s="2" t="s">
        <v>523</v>
      </c>
      <c r="L111" s="2" t="s">
        <v>121</v>
      </c>
      <c r="M111" s="20" t="s">
        <v>251</v>
      </c>
      <c r="N111" t="s">
        <v>220</v>
      </c>
    </row>
    <row r="112" spans="1:14" x14ac:dyDescent="0.2">
      <c r="A112" s="3">
        <v>43580.673958333296</v>
      </c>
      <c r="B112" s="3" t="s">
        <v>224</v>
      </c>
      <c r="C112" s="2" t="s">
        <v>496</v>
      </c>
      <c r="D112" s="2" t="s">
        <v>249</v>
      </c>
      <c r="E112" s="2" t="s">
        <v>221</v>
      </c>
      <c r="F112" s="3" t="s">
        <v>338</v>
      </c>
      <c r="G112" s="2">
        <v>17038.8828125</v>
      </c>
      <c r="H112" s="2">
        <v>106.862182617188</v>
      </c>
      <c r="I112" s="2" t="s">
        <v>521</v>
      </c>
      <c r="J112" s="2" t="s">
        <v>522</v>
      </c>
      <c r="K112" s="2" t="s">
        <v>523</v>
      </c>
      <c r="L112" s="2" t="s">
        <v>121</v>
      </c>
      <c r="M112" s="20" t="s">
        <v>228</v>
      </c>
      <c r="N112" t="s">
        <v>220</v>
      </c>
    </row>
    <row r="113" spans="1:14" x14ac:dyDescent="0.2">
      <c r="A113" s="3">
        <v>43581.251296296301</v>
      </c>
      <c r="B113" s="3" t="s">
        <v>224</v>
      </c>
      <c r="C113" s="2" t="s">
        <v>493</v>
      </c>
      <c r="D113" s="2" t="s">
        <v>235</v>
      </c>
      <c r="E113" s="2" t="s">
        <v>221</v>
      </c>
      <c r="F113" s="3" t="s">
        <v>339</v>
      </c>
      <c r="G113" s="2">
        <v>60708.61328125</v>
      </c>
      <c r="H113" s="2">
        <v>11.895530700683601</v>
      </c>
      <c r="I113" s="2" t="s">
        <v>521</v>
      </c>
      <c r="J113" s="2" t="s">
        <v>522</v>
      </c>
      <c r="K113" s="2" t="s">
        <v>523</v>
      </c>
      <c r="L113" s="2" t="s">
        <v>121</v>
      </c>
      <c r="M113" s="20" t="s">
        <v>228</v>
      </c>
      <c r="N113" t="s">
        <v>220</v>
      </c>
    </row>
    <row r="114" spans="1:14" x14ac:dyDescent="0.2">
      <c r="A114" s="3">
        <v>43581.306689814803</v>
      </c>
      <c r="B114" s="3" t="s">
        <v>222</v>
      </c>
      <c r="C114" s="2" t="s">
        <v>495</v>
      </c>
      <c r="D114" s="2" t="s">
        <v>245</v>
      </c>
      <c r="E114" s="2" t="s">
        <v>221</v>
      </c>
      <c r="F114" s="3" t="s">
        <v>340</v>
      </c>
      <c r="G114" s="2">
        <v>118939.71875</v>
      </c>
      <c r="H114" s="2">
        <v>0</v>
      </c>
      <c r="I114" s="2" t="s">
        <v>521</v>
      </c>
      <c r="J114" s="2" t="s">
        <v>522</v>
      </c>
      <c r="K114" s="2" t="s">
        <v>523</v>
      </c>
      <c r="L114" s="2" t="s">
        <v>121</v>
      </c>
      <c r="M114" s="20" t="s">
        <v>251</v>
      </c>
      <c r="N114" t="s">
        <v>220</v>
      </c>
    </row>
    <row r="115" spans="1:14" x14ac:dyDescent="0.2">
      <c r="A115" s="3">
        <v>43581.312256944402</v>
      </c>
      <c r="B115" s="3" t="s">
        <v>222</v>
      </c>
      <c r="C115" s="2" t="s">
        <v>495</v>
      </c>
      <c r="D115" s="2" t="s">
        <v>245</v>
      </c>
      <c r="E115" s="2" t="s">
        <v>221</v>
      </c>
      <c r="F115" s="3" t="s">
        <v>341</v>
      </c>
      <c r="G115" s="2">
        <v>118939.71875</v>
      </c>
      <c r="H115" s="2">
        <v>0</v>
      </c>
      <c r="I115" s="2" t="s">
        <v>521</v>
      </c>
      <c r="J115" s="2" t="s">
        <v>522</v>
      </c>
      <c r="K115" s="2" t="s">
        <v>523</v>
      </c>
      <c r="L115" s="2" t="s">
        <v>121</v>
      </c>
      <c r="M115" s="20" t="s">
        <v>228</v>
      </c>
      <c r="N115" t="s">
        <v>220</v>
      </c>
    </row>
    <row r="116" spans="1:14" x14ac:dyDescent="0.2">
      <c r="A116" s="3">
        <v>43581.312418981499</v>
      </c>
      <c r="B116" s="3" t="s">
        <v>222</v>
      </c>
      <c r="C116" s="2" t="s">
        <v>495</v>
      </c>
      <c r="D116" s="2" t="s">
        <v>245</v>
      </c>
      <c r="E116" s="2" t="s">
        <v>221</v>
      </c>
      <c r="F116" s="3" t="s">
        <v>342</v>
      </c>
      <c r="G116" s="2">
        <v>118939.71875</v>
      </c>
      <c r="H116" s="2">
        <v>135.01153564453099</v>
      </c>
      <c r="I116" s="2" t="s">
        <v>521</v>
      </c>
      <c r="J116" s="2" t="s">
        <v>522</v>
      </c>
      <c r="K116" s="2" t="s">
        <v>523</v>
      </c>
      <c r="L116" s="2" t="s">
        <v>121</v>
      </c>
      <c r="M116" s="20" t="s">
        <v>255</v>
      </c>
      <c r="N116" t="s">
        <v>220</v>
      </c>
    </row>
    <row r="117" spans="1:14" x14ac:dyDescent="0.2">
      <c r="A117" s="3">
        <v>43581.341253472201</v>
      </c>
      <c r="B117" s="3" t="s">
        <v>248</v>
      </c>
      <c r="C117" s="2" t="s">
        <v>514</v>
      </c>
      <c r="D117" s="2" t="s">
        <v>295</v>
      </c>
      <c r="E117" s="2" t="s">
        <v>221</v>
      </c>
      <c r="F117" s="3" t="s">
        <v>343</v>
      </c>
      <c r="G117" s="2">
        <v>93240.046875</v>
      </c>
      <c r="H117" s="2">
        <v>17.025571823120099</v>
      </c>
      <c r="I117" s="2" t="s">
        <v>521</v>
      </c>
      <c r="J117" s="2" t="s">
        <v>522</v>
      </c>
      <c r="K117" s="2" t="s">
        <v>523</v>
      </c>
      <c r="L117" s="2" t="s">
        <v>121</v>
      </c>
      <c r="M117" s="20" t="s">
        <v>227</v>
      </c>
      <c r="N117" t="s">
        <v>220</v>
      </c>
    </row>
    <row r="118" spans="1:14" x14ac:dyDescent="0.2">
      <c r="A118" s="3">
        <v>43581.398530324099</v>
      </c>
      <c r="B118" s="3" t="s">
        <v>248</v>
      </c>
      <c r="C118" s="2" t="s">
        <v>515</v>
      </c>
      <c r="D118" s="2" t="s">
        <v>336</v>
      </c>
      <c r="E118" s="2" t="s">
        <v>221</v>
      </c>
      <c r="F118" s="3" t="s">
        <v>344</v>
      </c>
      <c r="G118" s="2">
        <v>947.52984619140602</v>
      </c>
      <c r="I118" s="2" t="s">
        <v>521</v>
      </c>
      <c r="J118" s="2" t="s">
        <v>522</v>
      </c>
      <c r="K118" s="2" t="s">
        <v>523</v>
      </c>
      <c r="L118" s="2" t="s">
        <v>121</v>
      </c>
      <c r="M118" s="20" t="s">
        <v>251</v>
      </c>
      <c r="N118" t="s">
        <v>220</v>
      </c>
    </row>
    <row r="119" spans="1:14" x14ac:dyDescent="0.2">
      <c r="A119" s="3">
        <v>43581.5661527431</v>
      </c>
      <c r="B119" s="3" t="s">
        <v>248</v>
      </c>
      <c r="C119" s="2" t="s">
        <v>497</v>
      </c>
      <c r="D119" s="2" t="s">
        <v>219</v>
      </c>
      <c r="E119" s="2" t="s">
        <v>221</v>
      </c>
      <c r="F119" s="3" t="s">
        <v>345</v>
      </c>
      <c r="G119" s="2">
        <v>67050.5703125</v>
      </c>
      <c r="H119" s="2">
        <v>119.303276062012</v>
      </c>
      <c r="I119" s="2" t="s">
        <v>521</v>
      </c>
      <c r="J119" s="2" t="s">
        <v>522</v>
      </c>
      <c r="K119" s="2" t="s">
        <v>523</v>
      </c>
      <c r="L119" s="2" t="s">
        <v>121</v>
      </c>
      <c r="M119" s="20" t="s">
        <v>251</v>
      </c>
      <c r="N119" t="s">
        <v>220</v>
      </c>
    </row>
    <row r="120" spans="1:14" x14ac:dyDescent="0.2">
      <c r="A120" s="3">
        <v>43581.596458333297</v>
      </c>
      <c r="B120" s="3" t="s">
        <v>224</v>
      </c>
      <c r="C120" s="2" t="s">
        <v>490</v>
      </c>
      <c r="D120" s="2" t="s">
        <v>223</v>
      </c>
      <c r="E120" s="2" t="s">
        <v>221</v>
      </c>
      <c r="F120" s="3" t="s">
        <v>346</v>
      </c>
      <c r="G120" s="2">
        <v>12635.0185546875</v>
      </c>
      <c r="H120" s="2">
        <v>24.002326965331999</v>
      </c>
      <c r="I120" s="2" t="s">
        <v>521</v>
      </c>
      <c r="J120" s="2" t="s">
        <v>522</v>
      </c>
      <c r="K120" s="2" t="s">
        <v>523</v>
      </c>
      <c r="L120" s="2" t="s">
        <v>121</v>
      </c>
      <c r="M120" s="20" t="s">
        <v>228</v>
      </c>
      <c r="N120" t="s">
        <v>220</v>
      </c>
    </row>
    <row r="121" spans="1:14" x14ac:dyDescent="0.2">
      <c r="A121" s="3">
        <v>43581.612268518496</v>
      </c>
      <c r="B121" s="3" t="s">
        <v>224</v>
      </c>
      <c r="C121" s="2" t="s">
        <v>495</v>
      </c>
      <c r="D121" s="2" t="s">
        <v>245</v>
      </c>
      <c r="E121" s="2" t="s">
        <v>221</v>
      </c>
      <c r="F121" s="3" t="s">
        <v>347</v>
      </c>
      <c r="G121" s="2">
        <v>119074.7265625</v>
      </c>
      <c r="H121" s="2">
        <v>36.1290092468262</v>
      </c>
      <c r="I121" s="2" t="s">
        <v>521</v>
      </c>
      <c r="J121" s="2" t="s">
        <v>522</v>
      </c>
      <c r="K121" s="2" t="s">
        <v>523</v>
      </c>
      <c r="L121" s="2" t="s">
        <v>121</v>
      </c>
      <c r="M121" s="20" t="s">
        <v>228</v>
      </c>
      <c r="N121" t="s">
        <v>220</v>
      </c>
    </row>
    <row r="122" spans="1:14" x14ac:dyDescent="0.2">
      <c r="A122" s="3">
        <v>43581.920381944401</v>
      </c>
      <c r="B122" s="3" t="s">
        <v>224</v>
      </c>
      <c r="C122" s="2" t="s">
        <v>495</v>
      </c>
      <c r="D122" s="2" t="s">
        <v>245</v>
      </c>
      <c r="E122" s="2" t="s">
        <v>221</v>
      </c>
      <c r="F122" s="3" t="s">
        <v>348</v>
      </c>
      <c r="G122" s="2">
        <v>119110.859375</v>
      </c>
      <c r="H122" s="2">
        <v>32.907821655273402</v>
      </c>
      <c r="I122" s="2" t="s">
        <v>521</v>
      </c>
      <c r="J122" s="2" t="s">
        <v>522</v>
      </c>
      <c r="K122" s="2" t="s">
        <v>523</v>
      </c>
      <c r="L122" s="2" t="s">
        <v>121</v>
      </c>
      <c r="M122" s="20" t="s">
        <v>228</v>
      </c>
      <c r="N122" t="s">
        <v>220</v>
      </c>
    </row>
    <row r="123" spans="1:14" x14ac:dyDescent="0.2">
      <c r="A123" s="3">
        <v>43582.3690740741</v>
      </c>
      <c r="B123" s="3" t="s">
        <v>224</v>
      </c>
      <c r="C123" s="2" t="s">
        <v>493</v>
      </c>
      <c r="D123" s="2" t="s">
        <v>235</v>
      </c>
      <c r="E123" s="2" t="s">
        <v>221</v>
      </c>
      <c r="F123" s="3" t="s">
        <v>349</v>
      </c>
      <c r="G123" s="2">
        <v>60720.51171875</v>
      </c>
      <c r="H123" s="2">
        <v>12.1888179779053</v>
      </c>
      <c r="I123" s="2" t="s">
        <v>521</v>
      </c>
      <c r="J123" s="2" t="s">
        <v>522</v>
      </c>
      <c r="K123" s="2" t="s">
        <v>523</v>
      </c>
      <c r="L123" s="2" t="s">
        <v>121</v>
      </c>
      <c r="M123" s="20" t="s">
        <v>228</v>
      </c>
      <c r="N123" t="s">
        <v>220</v>
      </c>
    </row>
    <row r="124" spans="1:14" x14ac:dyDescent="0.2">
      <c r="A124" s="3">
        <v>43582.422026932902</v>
      </c>
      <c r="B124" s="3" t="s">
        <v>224</v>
      </c>
      <c r="C124" s="2" t="s">
        <v>490</v>
      </c>
      <c r="D124" s="2" t="s">
        <v>223</v>
      </c>
      <c r="E124" s="2" t="s">
        <v>221</v>
      </c>
      <c r="F124" s="3" t="s">
        <v>350</v>
      </c>
      <c r="G124" s="2">
        <v>12659.0205078125</v>
      </c>
      <c r="H124" s="2">
        <v>23.895452499389599</v>
      </c>
      <c r="I124" s="2" t="s">
        <v>521</v>
      </c>
      <c r="J124" s="2" t="s">
        <v>522</v>
      </c>
      <c r="K124" s="2" t="s">
        <v>523</v>
      </c>
      <c r="L124" s="2" t="s">
        <v>121</v>
      </c>
      <c r="M124" s="20" t="s">
        <v>228</v>
      </c>
      <c r="N124" t="s">
        <v>220</v>
      </c>
    </row>
    <row r="125" spans="1:14" x14ac:dyDescent="0.2">
      <c r="A125" s="3">
        <v>43582.7652662037</v>
      </c>
      <c r="B125" s="3" t="s">
        <v>224</v>
      </c>
      <c r="C125" s="2" t="s">
        <v>493</v>
      </c>
      <c r="D125" s="2" t="s">
        <v>235</v>
      </c>
      <c r="E125" s="2" t="s">
        <v>221</v>
      </c>
      <c r="F125" s="3" t="s">
        <v>351</v>
      </c>
      <c r="G125" s="2">
        <v>60732.69921875</v>
      </c>
      <c r="H125" s="2">
        <v>35.418159484863303</v>
      </c>
      <c r="I125" s="2" t="s">
        <v>521</v>
      </c>
      <c r="J125" s="2" t="s">
        <v>522</v>
      </c>
      <c r="K125" s="2" t="s">
        <v>523</v>
      </c>
      <c r="L125" s="2" t="s">
        <v>121</v>
      </c>
      <c r="M125" s="20" t="s">
        <v>228</v>
      </c>
      <c r="N125" t="s">
        <v>220</v>
      </c>
    </row>
    <row r="126" spans="1:14" x14ac:dyDescent="0.2">
      <c r="A126" s="3">
        <v>43583.527986111098</v>
      </c>
      <c r="B126" s="3" t="s">
        <v>224</v>
      </c>
      <c r="C126" s="2" t="s">
        <v>495</v>
      </c>
      <c r="D126" s="2" t="s">
        <v>245</v>
      </c>
      <c r="E126" s="2" t="s">
        <v>221</v>
      </c>
      <c r="F126" s="3" t="s">
        <v>352</v>
      </c>
      <c r="G126" s="2">
        <v>119143.765625</v>
      </c>
      <c r="H126" s="2">
        <v>17.7364196777344</v>
      </c>
      <c r="I126" s="2" t="s">
        <v>521</v>
      </c>
      <c r="J126" s="2" t="s">
        <v>522</v>
      </c>
      <c r="K126" s="2" t="s">
        <v>523</v>
      </c>
      <c r="L126" s="2" t="s">
        <v>121</v>
      </c>
      <c r="M126" s="20" t="s">
        <v>228</v>
      </c>
      <c r="N126" t="s">
        <v>220</v>
      </c>
    </row>
    <row r="127" spans="1:14" x14ac:dyDescent="0.2">
      <c r="A127" s="3">
        <v>43584.2981828704</v>
      </c>
      <c r="B127" s="3" t="s">
        <v>224</v>
      </c>
      <c r="C127" s="2" t="s">
        <v>495</v>
      </c>
      <c r="D127" s="2" t="s">
        <v>245</v>
      </c>
      <c r="E127" s="2" t="s">
        <v>221</v>
      </c>
      <c r="F127" s="3" t="s">
        <v>353</v>
      </c>
      <c r="G127" s="2">
        <v>119161.5</v>
      </c>
      <c r="H127" s="2">
        <v>62.435379028320298</v>
      </c>
      <c r="I127" s="2" t="s">
        <v>521</v>
      </c>
      <c r="J127" s="2" t="s">
        <v>522</v>
      </c>
      <c r="K127" s="2" t="s">
        <v>523</v>
      </c>
      <c r="L127" s="2" t="s">
        <v>121</v>
      </c>
      <c r="M127" s="20" t="s">
        <v>228</v>
      </c>
      <c r="N127" t="s">
        <v>220</v>
      </c>
    </row>
    <row r="128" spans="1:14" x14ac:dyDescent="0.2">
      <c r="A128" s="3">
        <v>43584.351238425901</v>
      </c>
      <c r="B128" s="3" t="s">
        <v>224</v>
      </c>
      <c r="C128" s="2" t="s">
        <v>493</v>
      </c>
      <c r="D128" s="2" t="s">
        <v>235</v>
      </c>
      <c r="E128" s="2" t="s">
        <v>221</v>
      </c>
      <c r="F128" s="3" t="s">
        <v>354</v>
      </c>
      <c r="G128" s="2">
        <v>60768.1171875</v>
      </c>
      <c r="H128" s="2">
        <v>21.5640659332275</v>
      </c>
      <c r="I128" s="2" t="s">
        <v>521</v>
      </c>
      <c r="J128" s="2" t="s">
        <v>522</v>
      </c>
      <c r="K128" s="2" t="s">
        <v>523</v>
      </c>
      <c r="L128" s="2" t="s">
        <v>121</v>
      </c>
      <c r="M128" s="20" t="s">
        <v>228</v>
      </c>
      <c r="N128" t="s">
        <v>220</v>
      </c>
    </row>
    <row r="129" spans="1:14" x14ac:dyDescent="0.2">
      <c r="A129" s="3">
        <v>43584.365151967599</v>
      </c>
      <c r="B129" s="3" t="s">
        <v>248</v>
      </c>
      <c r="C129" s="2" t="s">
        <v>514</v>
      </c>
      <c r="D129" s="2" t="s">
        <v>295</v>
      </c>
      <c r="E129" s="2" t="s">
        <v>221</v>
      </c>
      <c r="F129" s="3" t="s">
        <v>355</v>
      </c>
      <c r="G129" s="2">
        <v>93257.0703125</v>
      </c>
      <c r="H129" s="2">
        <v>0</v>
      </c>
      <c r="I129" s="2" t="s">
        <v>521</v>
      </c>
      <c r="J129" s="2" t="s">
        <v>522</v>
      </c>
      <c r="K129" s="2" t="s">
        <v>523</v>
      </c>
      <c r="L129" s="2" t="s">
        <v>121</v>
      </c>
      <c r="M129" s="20" t="s">
        <v>227</v>
      </c>
      <c r="N129" t="s">
        <v>220</v>
      </c>
    </row>
    <row r="130" spans="1:14" x14ac:dyDescent="0.2">
      <c r="A130" s="3">
        <v>43584.464540428198</v>
      </c>
      <c r="B130" s="3" t="s">
        <v>248</v>
      </c>
      <c r="C130" s="2" t="s">
        <v>514</v>
      </c>
      <c r="D130" s="2" t="s">
        <v>295</v>
      </c>
      <c r="E130" s="2" t="s">
        <v>221</v>
      </c>
      <c r="F130" s="3" t="s">
        <v>356</v>
      </c>
      <c r="G130" s="2">
        <v>93257.0703125</v>
      </c>
      <c r="H130" s="2">
        <v>16.108427047729499</v>
      </c>
      <c r="I130" s="2" t="s">
        <v>521</v>
      </c>
      <c r="J130" s="2" t="s">
        <v>522</v>
      </c>
      <c r="K130" s="2" t="s">
        <v>523</v>
      </c>
      <c r="L130" s="2" t="s">
        <v>121</v>
      </c>
      <c r="M130" s="20" t="s">
        <v>227</v>
      </c>
      <c r="N130" t="s">
        <v>220</v>
      </c>
    </row>
    <row r="131" spans="1:14" x14ac:dyDescent="0.2">
      <c r="A131" s="3">
        <v>43584.5989366551</v>
      </c>
      <c r="B131" s="3" t="s">
        <v>224</v>
      </c>
      <c r="C131" s="2" t="s">
        <v>490</v>
      </c>
      <c r="D131" s="2" t="s">
        <v>223</v>
      </c>
      <c r="E131" s="2" t="s">
        <v>221</v>
      </c>
      <c r="F131" s="3" t="s">
        <v>357</v>
      </c>
      <c r="G131" s="2">
        <v>12682.916015625</v>
      </c>
      <c r="H131" s="2">
        <v>31.514705657958999</v>
      </c>
      <c r="I131" s="2" t="s">
        <v>521</v>
      </c>
      <c r="J131" s="2" t="s">
        <v>522</v>
      </c>
      <c r="K131" s="2" t="s">
        <v>523</v>
      </c>
      <c r="L131" s="2" t="s">
        <v>121</v>
      </c>
      <c r="M131" s="20" t="s">
        <v>228</v>
      </c>
      <c r="N131" t="s">
        <v>220</v>
      </c>
    </row>
    <row r="132" spans="1:14" x14ac:dyDescent="0.2">
      <c r="A132" s="3">
        <v>43584.6725462963</v>
      </c>
      <c r="B132" s="3" t="s">
        <v>224</v>
      </c>
      <c r="C132" s="2" t="s">
        <v>514</v>
      </c>
      <c r="D132" s="2" t="s">
        <v>295</v>
      </c>
      <c r="E132" s="2" t="s">
        <v>221</v>
      </c>
      <c r="F132" s="3" t="s">
        <v>511</v>
      </c>
      <c r="G132" s="2">
        <v>93273.1796875</v>
      </c>
      <c r="H132" s="2">
        <v>22.6676216125488</v>
      </c>
      <c r="I132" s="2" t="s">
        <v>521</v>
      </c>
      <c r="J132" s="2" t="s">
        <v>522</v>
      </c>
      <c r="K132" s="2" t="s">
        <v>523</v>
      </c>
      <c r="L132" s="2" t="s">
        <v>121</v>
      </c>
      <c r="M132" s="20" t="s">
        <v>228</v>
      </c>
      <c r="N132" t="s">
        <v>220</v>
      </c>
    </row>
    <row r="133" spans="1:14" x14ac:dyDescent="0.2">
      <c r="A133" s="3">
        <v>43584.767233796301</v>
      </c>
      <c r="B133" s="3" t="s">
        <v>222</v>
      </c>
      <c r="C133" s="2" t="s">
        <v>496</v>
      </c>
      <c r="D133" s="2" t="s">
        <v>249</v>
      </c>
      <c r="E133" s="2" t="s">
        <v>221</v>
      </c>
      <c r="F133" s="3" t="s">
        <v>358</v>
      </c>
      <c r="G133" s="2">
        <v>17145.74609375</v>
      </c>
      <c r="H133" s="2">
        <v>0</v>
      </c>
      <c r="I133" s="2" t="s">
        <v>521</v>
      </c>
      <c r="J133" s="2" t="s">
        <v>522</v>
      </c>
      <c r="K133" s="2" t="s">
        <v>523</v>
      </c>
      <c r="L133" s="2" t="s">
        <v>121</v>
      </c>
      <c r="M133" s="20" t="s">
        <v>228</v>
      </c>
      <c r="N133" t="s">
        <v>220</v>
      </c>
    </row>
    <row r="134" spans="1:14" x14ac:dyDescent="0.2">
      <c r="A134" s="3">
        <v>43584.767523148097</v>
      </c>
      <c r="B134" s="3" t="s">
        <v>222</v>
      </c>
      <c r="C134" s="2" t="s">
        <v>496</v>
      </c>
      <c r="D134" s="2" t="s">
        <v>249</v>
      </c>
      <c r="E134" s="2" t="s">
        <v>221</v>
      </c>
      <c r="F134" s="3" t="s">
        <v>359</v>
      </c>
      <c r="G134" s="2">
        <v>17145.74609375</v>
      </c>
      <c r="H134" s="2">
        <v>43.603118896484403</v>
      </c>
      <c r="I134" s="2" t="s">
        <v>521</v>
      </c>
      <c r="J134" s="2" t="s">
        <v>522</v>
      </c>
      <c r="K134" s="2" t="s">
        <v>523</v>
      </c>
      <c r="L134" s="2" t="s">
        <v>121</v>
      </c>
      <c r="M134" s="20" t="s">
        <v>255</v>
      </c>
      <c r="N134" t="s">
        <v>220</v>
      </c>
    </row>
    <row r="135" spans="1:14" x14ac:dyDescent="0.2">
      <c r="A135" s="3">
        <v>43585.288182870398</v>
      </c>
      <c r="B135" s="3" t="s">
        <v>224</v>
      </c>
      <c r="C135" s="2" t="s">
        <v>495</v>
      </c>
      <c r="D135" s="2" t="s">
        <v>245</v>
      </c>
      <c r="E135" s="2" t="s">
        <v>221</v>
      </c>
      <c r="F135" s="3" t="s">
        <v>360</v>
      </c>
      <c r="G135" s="2">
        <v>119223.9375</v>
      </c>
      <c r="H135" s="2">
        <v>69.136245727539105</v>
      </c>
      <c r="I135" s="2" t="s">
        <v>521</v>
      </c>
      <c r="J135" s="2" t="s">
        <v>522</v>
      </c>
      <c r="K135" s="2" t="s">
        <v>523</v>
      </c>
      <c r="L135" s="2" t="s">
        <v>121</v>
      </c>
      <c r="M135" s="20" t="s">
        <v>228</v>
      </c>
      <c r="N135" t="s">
        <v>220</v>
      </c>
    </row>
    <row r="136" spans="1:14" x14ac:dyDescent="0.2">
      <c r="A136" s="3">
        <v>43585.511832951401</v>
      </c>
      <c r="B136" s="3" t="s">
        <v>224</v>
      </c>
      <c r="C136" s="2" t="s">
        <v>491</v>
      </c>
      <c r="D136" s="2" t="s">
        <v>230</v>
      </c>
      <c r="E136" s="2" t="s">
        <v>221</v>
      </c>
      <c r="F136" s="3" t="s">
        <v>361</v>
      </c>
      <c r="G136" s="2">
        <v>3369.09399414062</v>
      </c>
      <c r="H136" s="2">
        <v>12.7066049575806</v>
      </c>
      <c r="I136" s="2" t="s">
        <v>521</v>
      </c>
      <c r="J136" s="2" t="s">
        <v>522</v>
      </c>
      <c r="K136" s="2" t="s">
        <v>523</v>
      </c>
      <c r="L136" s="2" t="s">
        <v>121</v>
      </c>
      <c r="M136" s="20" t="s">
        <v>228</v>
      </c>
      <c r="N136" t="s">
        <v>220</v>
      </c>
    </row>
    <row r="137" spans="1:14" x14ac:dyDescent="0.2">
      <c r="A137" s="3">
        <v>43585.599097222199</v>
      </c>
      <c r="B137" s="3" t="s">
        <v>224</v>
      </c>
      <c r="C137" s="2" t="s">
        <v>490</v>
      </c>
      <c r="D137" s="2" t="s">
        <v>223</v>
      </c>
      <c r="E137" s="2" t="s">
        <v>221</v>
      </c>
      <c r="F137" s="3" t="s">
        <v>362</v>
      </c>
      <c r="G137" s="2">
        <v>12714.4306640625</v>
      </c>
      <c r="H137" s="2">
        <v>28.461286544799801</v>
      </c>
      <c r="I137" s="2" t="s">
        <v>521</v>
      </c>
      <c r="J137" s="2" t="s">
        <v>522</v>
      </c>
      <c r="K137" s="2" t="s">
        <v>523</v>
      </c>
      <c r="L137" s="2" t="s">
        <v>121</v>
      </c>
      <c r="M137" s="20" t="s">
        <v>228</v>
      </c>
      <c r="N137" t="s">
        <v>220</v>
      </c>
    </row>
    <row r="138" spans="1:14" x14ac:dyDescent="0.2">
      <c r="A138" s="3">
        <v>43586.275937500002</v>
      </c>
      <c r="B138" s="3" t="s">
        <v>224</v>
      </c>
      <c r="C138" s="2" t="s">
        <v>495</v>
      </c>
      <c r="D138" s="2" t="s">
        <v>245</v>
      </c>
      <c r="E138" s="2" t="s">
        <v>221</v>
      </c>
      <c r="F138" s="3" t="s">
        <v>363</v>
      </c>
      <c r="G138" s="2">
        <v>119293.0703125</v>
      </c>
      <c r="H138" s="2">
        <v>74.425361633300795</v>
      </c>
      <c r="I138" s="2" t="s">
        <v>521</v>
      </c>
      <c r="J138" s="2" t="s">
        <v>522</v>
      </c>
      <c r="K138" s="2" t="s">
        <v>523</v>
      </c>
      <c r="L138" s="2" t="s">
        <v>121</v>
      </c>
      <c r="M138" s="20" t="s">
        <v>228</v>
      </c>
      <c r="N138" t="s">
        <v>220</v>
      </c>
    </row>
    <row r="139" spans="1:14" x14ac:dyDescent="0.2">
      <c r="A139" s="3">
        <v>43586.511837349499</v>
      </c>
      <c r="B139" s="3" t="s">
        <v>224</v>
      </c>
      <c r="C139" s="2" t="s">
        <v>491</v>
      </c>
      <c r="D139" s="2" t="s">
        <v>230</v>
      </c>
      <c r="E139" s="2" t="s">
        <v>221</v>
      </c>
      <c r="F139" s="3" t="s">
        <v>364</v>
      </c>
      <c r="G139" s="2">
        <v>3381.80053710938</v>
      </c>
      <c r="H139" s="2">
        <v>29.251489639282202</v>
      </c>
      <c r="I139" s="2" t="s">
        <v>521</v>
      </c>
      <c r="J139" s="2" t="s">
        <v>522</v>
      </c>
      <c r="K139" s="2" t="s">
        <v>523</v>
      </c>
      <c r="L139" s="2" t="s">
        <v>121</v>
      </c>
      <c r="M139" s="20" t="s">
        <v>228</v>
      </c>
      <c r="N139" t="s">
        <v>220</v>
      </c>
    </row>
    <row r="140" spans="1:14" x14ac:dyDescent="0.2">
      <c r="A140" s="3">
        <v>43586.516482951403</v>
      </c>
      <c r="B140" s="3" t="s">
        <v>224</v>
      </c>
      <c r="C140" s="2" t="s">
        <v>490</v>
      </c>
      <c r="D140" s="2" t="s">
        <v>223</v>
      </c>
      <c r="E140" s="2" t="s">
        <v>221</v>
      </c>
      <c r="F140" s="3" t="s">
        <v>365</v>
      </c>
      <c r="G140" s="2">
        <v>12742.892578125</v>
      </c>
      <c r="H140" s="2">
        <v>10.8640546798706</v>
      </c>
      <c r="I140" s="2" t="s">
        <v>521</v>
      </c>
      <c r="J140" s="2" t="s">
        <v>522</v>
      </c>
      <c r="K140" s="2" t="s">
        <v>523</v>
      </c>
      <c r="L140" s="2" t="s">
        <v>121</v>
      </c>
      <c r="M140" s="20" t="s">
        <v>228</v>
      </c>
      <c r="N140" t="s">
        <v>220</v>
      </c>
    </row>
    <row r="141" spans="1:14" x14ac:dyDescent="0.2">
      <c r="A141" s="3">
        <v>43586.532488425903</v>
      </c>
      <c r="B141" s="3" t="s">
        <v>222</v>
      </c>
      <c r="C141" s="2" t="s">
        <v>490</v>
      </c>
      <c r="D141" s="2" t="s">
        <v>223</v>
      </c>
      <c r="E141" s="2" t="s">
        <v>221</v>
      </c>
      <c r="F141" s="3" t="s">
        <v>366</v>
      </c>
      <c r="G141" s="2">
        <v>12753.755859375</v>
      </c>
      <c r="H141" s="2">
        <v>1.2427424080669899E-3</v>
      </c>
      <c r="I141" s="2" t="s">
        <v>521</v>
      </c>
      <c r="J141" s="2" t="s">
        <v>522</v>
      </c>
      <c r="K141" s="2" t="s">
        <v>523</v>
      </c>
      <c r="L141" s="2" t="s">
        <v>121</v>
      </c>
      <c r="M141" s="20" t="s">
        <v>228</v>
      </c>
      <c r="N141" t="s">
        <v>220</v>
      </c>
    </row>
    <row r="142" spans="1:14" x14ac:dyDescent="0.2">
      <c r="A142" s="3">
        <v>43586.5328240741</v>
      </c>
      <c r="B142" s="3" t="s">
        <v>222</v>
      </c>
      <c r="C142" s="2" t="s">
        <v>490</v>
      </c>
      <c r="D142" s="2" t="s">
        <v>223</v>
      </c>
      <c r="E142" s="2" t="s">
        <v>221</v>
      </c>
      <c r="F142" s="3" t="s">
        <v>367</v>
      </c>
      <c r="G142" s="2">
        <v>12753.7578125</v>
      </c>
      <c r="H142" s="2">
        <v>13.9497842788696</v>
      </c>
      <c r="I142" s="2" t="s">
        <v>521</v>
      </c>
      <c r="J142" s="2" t="s">
        <v>522</v>
      </c>
      <c r="K142" s="2" t="s">
        <v>523</v>
      </c>
      <c r="L142" s="2" t="s">
        <v>121</v>
      </c>
      <c r="M142" s="20" t="s">
        <v>255</v>
      </c>
      <c r="N142" t="s">
        <v>220</v>
      </c>
    </row>
    <row r="143" spans="1:14" x14ac:dyDescent="0.2">
      <c r="A143" s="3">
        <v>43586.557835648098</v>
      </c>
      <c r="B143" s="3" t="s">
        <v>224</v>
      </c>
      <c r="C143" s="2" t="s">
        <v>493</v>
      </c>
      <c r="D143" s="2" t="s">
        <v>235</v>
      </c>
      <c r="E143" s="2" t="s">
        <v>221</v>
      </c>
      <c r="F143" s="3" t="s">
        <v>368</v>
      </c>
      <c r="G143" s="2">
        <v>60789.6796875</v>
      </c>
      <c r="H143" s="2">
        <v>8.9079780578613299</v>
      </c>
      <c r="I143" s="2" t="s">
        <v>521</v>
      </c>
      <c r="J143" s="2" t="s">
        <v>522</v>
      </c>
      <c r="K143" s="2" t="s">
        <v>523</v>
      </c>
      <c r="L143" s="2" t="s">
        <v>121</v>
      </c>
      <c r="M143" s="20" t="s">
        <v>228</v>
      </c>
      <c r="N143" t="s">
        <v>220</v>
      </c>
    </row>
    <row r="144" spans="1:14" x14ac:dyDescent="0.2">
      <c r="A144" s="3">
        <v>43586.668930520798</v>
      </c>
      <c r="B144" s="3" t="s">
        <v>248</v>
      </c>
      <c r="C144" s="2" t="s">
        <v>496</v>
      </c>
      <c r="D144" s="2" t="s">
        <v>249</v>
      </c>
      <c r="E144" s="2" t="s">
        <v>221</v>
      </c>
      <c r="F144" s="3" t="s">
        <v>369</v>
      </c>
      <c r="G144" s="2">
        <v>17189.349609375</v>
      </c>
      <c r="H144" s="2">
        <v>158.94551086425801</v>
      </c>
      <c r="I144" s="2" t="s">
        <v>521</v>
      </c>
      <c r="J144" s="2" t="s">
        <v>522</v>
      </c>
      <c r="K144" s="2" t="s">
        <v>523</v>
      </c>
      <c r="L144" s="2" t="s">
        <v>121</v>
      </c>
      <c r="M144" s="20" t="s">
        <v>251</v>
      </c>
      <c r="N144" t="s">
        <v>220</v>
      </c>
    </row>
    <row r="145" spans="1:14" x14ac:dyDescent="0.2">
      <c r="A145" s="3">
        <v>43587.258425925902</v>
      </c>
      <c r="B145" s="3" t="s">
        <v>224</v>
      </c>
      <c r="C145" s="2" t="s">
        <v>490</v>
      </c>
      <c r="D145" s="2" t="s">
        <v>223</v>
      </c>
      <c r="E145" s="2" t="s">
        <v>221</v>
      </c>
      <c r="F145" s="3" t="s">
        <v>370</v>
      </c>
      <c r="G145" s="2">
        <v>12767.70703125</v>
      </c>
      <c r="H145" s="2">
        <v>31.378004074096701</v>
      </c>
      <c r="I145" s="2" t="s">
        <v>521</v>
      </c>
      <c r="J145" s="2" t="s">
        <v>522</v>
      </c>
      <c r="K145" s="2" t="s">
        <v>523</v>
      </c>
      <c r="L145" s="2" t="s">
        <v>121</v>
      </c>
      <c r="M145" s="20" t="s">
        <v>228</v>
      </c>
      <c r="N145" t="s">
        <v>220</v>
      </c>
    </row>
    <row r="146" spans="1:14" x14ac:dyDescent="0.2">
      <c r="A146" s="3">
        <v>43587.293460648201</v>
      </c>
      <c r="B146" s="3" t="s">
        <v>224</v>
      </c>
      <c r="C146" s="2" t="s">
        <v>495</v>
      </c>
      <c r="D146" s="2" t="s">
        <v>245</v>
      </c>
      <c r="E146" s="2" t="s">
        <v>221</v>
      </c>
      <c r="F146" s="3" t="s">
        <v>371</v>
      </c>
      <c r="G146" s="2">
        <v>119367.5</v>
      </c>
      <c r="H146" s="2">
        <v>47.214271545410199</v>
      </c>
      <c r="I146" s="2" t="s">
        <v>521</v>
      </c>
      <c r="J146" s="2" t="s">
        <v>522</v>
      </c>
      <c r="K146" s="2" t="s">
        <v>523</v>
      </c>
      <c r="L146" s="2" t="s">
        <v>121</v>
      </c>
      <c r="M146" s="20" t="s">
        <v>228</v>
      </c>
      <c r="N146" t="s">
        <v>220</v>
      </c>
    </row>
    <row r="147" spans="1:14" x14ac:dyDescent="0.2">
      <c r="A147" s="3">
        <v>43587.370957719897</v>
      </c>
      <c r="B147" s="3" t="s">
        <v>224</v>
      </c>
      <c r="C147" s="2" t="s">
        <v>491</v>
      </c>
      <c r="D147" s="2" t="s">
        <v>230</v>
      </c>
      <c r="E147" s="2" t="s">
        <v>221</v>
      </c>
      <c r="F147" s="3" t="s">
        <v>372</v>
      </c>
      <c r="G147" s="2">
        <v>3411.05200195312</v>
      </c>
      <c r="H147" s="2">
        <v>37.808010101318402</v>
      </c>
      <c r="I147" s="2" t="s">
        <v>521</v>
      </c>
      <c r="J147" s="2" t="s">
        <v>522</v>
      </c>
      <c r="K147" s="2" t="s">
        <v>523</v>
      </c>
      <c r="L147" s="2" t="s">
        <v>121</v>
      </c>
      <c r="M147" s="20" t="s">
        <v>228</v>
      </c>
      <c r="N147" t="s">
        <v>220</v>
      </c>
    </row>
    <row r="148" spans="1:14" x14ac:dyDescent="0.2">
      <c r="A148" s="3">
        <v>43587.468541053197</v>
      </c>
      <c r="B148" s="3" t="s">
        <v>248</v>
      </c>
      <c r="C148" s="2" t="s">
        <v>497</v>
      </c>
      <c r="D148" s="2" t="s">
        <v>219</v>
      </c>
      <c r="E148" s="2" t="s">
        <v>221</v>
      </c>
      <c r="F148" s="3" t="s">
        <v>373</v>
      </c>
      <c r="G148" s="2">
        <v>67169.875</v>
      </c>
      <c r="H148" s="2">
        <v>21.126621246337901</v>
      </c>
      <c r="I148" s="2" t="s">
        <v>521</v>
      </c>
      <c r="J148" s="2" t="s">
        <v>522</v>
      </c>
      <c r="K148" s="2" t="s">
        <v>523</v>
      </c>
      <c r="L148" s="2" t="s">
        <v>121</v>
      </c>
      <c r="M148" s="20" t="s">
        <v>251</v>
      </c>
      <c r="N148" t="s">
        <v>220</v>
      </c>
    </row>
    <row r="149" spans="1:14" x14ac:dyDescent="0.2">
      <c r="A149" s="3">
        <v>43587.558136574102</v>
      </c>
      <c r="B149" s="3" t="s">
        <v>224</v>
      </c>
      <c r="C149" s="2" t="s">
        <v>493</v>
      </c>
      <c r="D149" s="2" t="s">
        <v>235</v>
      </c>
      <c r="E149" s="2" t="s">
        <v>221</v>
      </c>
      <c r="F149" s="3" t="s">
        <v>374</v>
      </c>
      <c r="G149" s="2">
        <v>60798.58984375</v>
      </c>
      <c r="H149" s="2">
        <v>9.9071426391601598</v>
      </c>
      <c r="I149" s="2" t="s">
        <v>521</v>
      </c>
      <c r="J149" s="2" t="s">
        <v>522</v>
      </c>
      <c r="K149" s="2" t="s">
        <v>523</v>
      </c>
      <c r="L149" s="2" t="s">
        <v>121</v>
      </c>
      <c r="M149" s="20" t="s">
        <v>228</v>
      </c>
      <c r="N149" t="s">
        <v>220</v>
      </c>
    </row>
    <row r="150" spans="1:14" x14ac:dyDescent="0.2">
      <c r="A150" s="3">
        <v>43588.287465277797</v>
      </c>
      <c r="B150" s="3" t="s">
        <v>224</v>
      </c>
      <c r="C150" s="2" t="s">
        <v>495</v>
      </c>
      <c r="D150" s="2" t="s">
        <v>245</v>
      </c>
      <c r="E150" s="2" t="s">
        <v>221</v>
      </c>
      <c r="F150" s="3" t="s">
        <v>375</v>
      </c>
      <c r="G150" s="2">
        <v>119414.7109375</v>
      </c>
      <c r="H150" s="2">
        <v>68.380661010742202</v>
      </c>
      <c r="I150" s="2" t="s">
        <v>521</v>
      </c>
      <c r="J150" s="2" t="s">
        <v>522</v>
      </c>
      <c r="K150" s="2" t="s">
        <v>523</v>
      </c>
      <c r="L150" s="2" t="s">
        <v>121</v>
      </c>
      <c r="M150" s="20" t="s">
        <v>228</v>
      </c>
      <c r="N150" t="s">
        <v>220</v>
      </c>
    </row>
    <row r="151" spans="1:14" x14ac:dyDescent="0.2">
      <c r="A151" s="3">
        <v>43588.333888888897</v>
      </c>
      <c r="B151" s="3" t="s">
        <v>224</v>
      </c>
      <c r="C151" s="2" t="s">
        <v>491</v>
      </c>
      <c r="D151" s="2" t="s">
        <v>230</v>
      </c>
      <c r="E151" s="2" t="s">
        <v>221</v>
      </c>
      <c r="F151" s="3" t="s">
        <v>376</v>
      </c>
      <c r="G151" s="2">
        <v>3448.86010742188</v>
      </c>
      <c r="H151" s="2">
        <v>57.640235900878899</v>
      </c>
      <c r="I151" s="2" t="s">
        <v>521</v>
      </c>
      <c r="J151" s="2" t="s">
        <v>522</v>
      </c>
      <c r="K151" s="2" t="s">
        <v>523</v>
      </c>
      <c r="L151" s="2" t="s">
        <v>121</v>
      </c>
      <c r="M151" s="20" t="s">
        <v>228</v>
      </c>
      <c r="N151" t="s">
        <v>220</v>
      </c>
    </row>
    <row r="152" spans="1:14" x14ac:dyDescent="0.2">
      <c r="A152" s="3">
        <v>43588.361867361098</v>
      </c>
      <c r="B152" s="3" t="s">
        <v>248</v>
      </c>
      <c r="C152" s="2" t="s">
        <v>519</v>
      </c>
      <c r="D152" s="2" t="s">
        <v>377</v>
      </c>
      <c r="E152" s="2" t="s">
        <v>221</v>
      </c>
      <c r="F152" s="3" t="s">
        <v>378</v>
      </c>
      <c r="G152" s="2">
        <v>107497.21875</v>
      </c>
      <c r="I152" s="2" t="s">
        <v>521</v>
      </c>
      <c r="J152" s="2" t="s">
        <v>522</v>
      </c>
      <c r="K152" s="2" t="s">
        <v>523</v>
      </c>
      <c r="L152" s="2" t="s">
        <v>121</v>
      </c>
      <c r="M152" s="20" t="s">
        <v>251</v>
      </c>
      <c r="N152" t="s">
        <v>220</v>
      </c>
    </row>
    <row r="153" spans="1:14" x14ac:dyDescent="0.2">
      <c r="A153" s="3">
        <v>43588.365304247702</v>
      </c>
      <c r="B153" s="3" t="s">
        <v>248</v>
      </c>
      <c r="C153" s="2" t="s">
        <v>513</v>
      </c>
      <c r="D153" s="2" t="s">
        <v>258</v>
      </c>
      <c r="E153" s="2" t="s">
        <v>221</v>
      </c>
      <c r="F153" s="3" t="s">
        <v>379</v>
      </c>
      <c r="G153" s="2">
        <v>0</v>
      </c>
      <c r="H153" s="2">
        <v>0</v>
      </c>
      <c r="I153" s="2" t="s">
        <v>521</v>
      </c>
      <c r="J153" s="2" t="s">
        <v>522</v>
      </c>
      <c r="K153" s="2" t="s">
        <v>523</v>
      </c>
      <c r="L153" s="2" t="s">
        <v>121</v>
      </c>
      <c r="M153" s="20" t="s">
        <v>251</v>
      </c>
      <c r="N153" t="s">
        <v>220</v>
      </c>
    </row>
    <row r="154" spans="1:14" x14ac:dyDescent="0.2">
      <c r="A154" s="3">
        <v>43588.536229085701</v>
      </c>
      <c r="B154" s="3" t="s">
        <v>248</v>
      </c>
      <c r="C154" s="2" t="s">
        <v>494</v>
      </c>
      <c r="D154" s="2" t="s">
        <v>237</v>
      </c>
      <c r="E154" s="2" t="s">
        <v>221</v>
      </c>
      <c r="F154" s="3" t="s">
        <v>380</v>
      </c>
      <c r="G154" s="2">
        <v>82414.828125</v>
      </c>
      <c r="H154" s="2">
        <v>0</v>
      </c>
      <c r="I154" s="2" t="s">
        <v>521</v>
      </c>
      <c r="J154" s="2" t="s">
        <v>522</v>
      </c>
      <c r="K154" s="2" t="s">
        <v>523</v>
      </c>
      <c r="L154" s="2" t="s">
        <v>121</v>
      </c>
      <c r="M154" s="20" t="s">
        <v>251</v>
      </c>
      <c r="N154" t="s">
        <v>220</v>
      </c>
    </row>
    <row r="155" spans="1:14" x14ac:dyDescent="0.2">
      <c r="A155" s="3">
        <v>43588.536234293999</v>
      </c>
      <c r="B155" s="3" t="s">
        <v>248</v>
      </c>
      <c r="C155" s="2" t="s">
        <v>494</v>
      </c>
      <c r="D155" s="2" t="s">
        <v>237</v>
      </c>
      <c r="E155" s="2" t="s">
        <v>221</v>
      </c>
      <c r="F155" s="3" t="s">
        <v>381</v>
      </c>
      <c r="G155" s="2">
        <v>82414.828125</v>
      </c>
      <c r="H155" s="2">
        <v>23.537542343139599</v>
      </c>
      <c r="I155" s="2" t="s">
        <v>521</v>
      </c>
      <c r="J155" s="2" t="s">
        <v>522</v>
      </c>
      <c r="K155" s="2" t="s">
        <v>523</v>
      </c>
      <c r="L155" s="2" t="s">
        <v>121</v>
      </c>
      <c r="M155" s="20" t="s">
        <v>251</v>
      </c>
      <c r="N155" t="s">
        <v>220</v>
      </c>
    </row>
    <row r="156" spans="1:14" x14ac:dyDescent="0.2">
      <c r="A156" s="3">
        <v>43588.537453703699</v>
      </c>
      <c r="B156" s="3" t="s">
        <v>224</v>
      </c>
      <c r="C156" s="2" t="s">
        <v>514</v>
      </c>
      <c r="D156" s="2" t="s">
        <v>295</v>
      </c>
      <c r="E156" s="2" t="s">
        <v>221</v>
      </c>
      <c r="F156" s="3" t="s">
        <v>382</v>
      </c>
      <c r="G156" s="2">
        <v>93295.84375</v>
      </c>
      <c r="H156" s="2">
        <v>15.2509355545044</v>
      </c>
      <c r="I156" s="2" t="s">
        <v>521</v>
      </c>
      <c r="J156" s="2" t="s">
        <v>522</v>
      </c>
      <c r="K156" s="2" t="s">
        <v>523</v>
      </c>
      <c r="L156" s="2" t="s">
        <v>121</v>
      </c>
      <c r="M156" s="20" t="s">
        <v>228</v>
      </c>
      <c r="N156" t="s">
        <v>220</v>
      </c>
    </row>
    <row r="157" spans="1:14" x14ac:dyDescent="0.2">
      <c r="A157" s="3">
        <v>43588.554317129601</v>
      </c>
      <c r="B157" s="3" t="s">
        <v>224</v>
      </c>
      <c r="C157" s="2" t="s">
        <v>493</v>
      </c>
      <c r="D157" s="2" t="s">
        <v>235</v>
      </c>
      <c r="E157" s="2" t="s">
        <v>221</v>
      </c>
      <c r="F157" s="3" t="s">
        <v>383</v>
      </c>
      <c r="G157" s="2">
        <v>60808.49609375</v>
      </c>
      <c r="H157" s="2">
        <v>6.94433689117432</v>
      </c>
      <c r="I157" s="2" t="s">
        <v>521</v>
      </c>
      <c r="J157" s="2" t="s">
        <v>522</v>
      </c>
      <c r="K157" s="2" t="s">
        <v>523</v>
      </c>
      <c r="L157" s="2" t="s">
        <v>121</v>
      </c>
      <c r="M157" s="20" t="s">
        <v>228</v>
      </c>
      <c r="N157" t="s">
        <v>220</v>
      </c>
    </row>
    <row r="158" spans="1:14" x14ac:dyDescent="0.2">
      <c r="A158" s="3">
        <v>43588.5936111111</v>
      </c>
      <c r="B158" s="3" t="s">
        <v>224</v>
      </c>
      <c r="C158" s="2" t="s">
        <v>490</v>
      </c>
      <c r="D158" s="2" t="s">
        <v>223</v>
      </c>
      <c r="E158" s="2" t="s">
        <v>221</v>
      </c>
      <c r="F158" s="3" t="s">
        <v>384</v>
      </c>
      <c r="G158" s="2">
        <v>12799.0849609375</v>
      </c>
      <c r="H158" s="2">
        <v>34.363071441650398</v>
      </c>
      <c r="I158" s="2" t="s">
        <v>521</v>
      </c>
      <c r="J158" s="2" t="s">
        <v>522</v>
      </c>
      <c r="K158" s="2" t="s">
        <v>523</v>
      </c>
      <c r="L158" s="2" t="s">
        <v>121</v>
      </c>
      <c r="M158" s="20" t="s">
        <v>228</v>
      </c>
      <c r="N158" t="s">
        <v>220</v>
      </c>
    </row>
    <row r="159" spans="1:14" x14ac:dyDescent="0.2">
      <c r="A159" s="3">
        <v>43589.184176655101</v>
      </c>
      <c r="B159" s="3" t="s">
        <v>224</v>
      </c>
      <c r="C159" s="2" t="s">
        <v>491</v>
      </c>
      <c r="D159" s="2" t="s">
        <v>230</v>
      </c>
      <c r="E159" s="2" t="s">
        <v>221</v>
      </c>
      <c r="F159" s="3" t="s">
        <v>385</v>
      </c>
      <c r="G159" s="2">
        <v>3506.50024414062</v>
      </c>
      <c r="H159" s="2">
        <v>106.999954223633</v>
      </c>
      <c r="I159" s="2" t="s">
        <v>521</v>
      </c>
      <c r="J159" s="2" t="s">
        <v>522</v>
      </c>
      <c r="K159" s="2" t="s">
        <v>523</v>
      </c>
      <c r="L159" s="2" t="s">
        <v>121</v>
      </c>
      <c r="M159" s="20" t="s">
        <v>228</v>
      </c>
      <c r="N159" t="s">
        <v>220</v>
      </c>
    </row>
    <row r="160" spans="1:14" x14ac:dyDescent="0.2">
      <c r="A160" s="3">
        <v>43589.380370370403</v>
      </c>
      <c r="B160" s="3" t="s">
        <v>224</v>
      </c>
      <c r="C160" s="2" t="s">
        <v>514</v>
      </c>
      <c r="D160" s="2" t="s">
        <v>295</v>
      </c>
      <c r="E160" s="2" t="s">
        <v>221</v>
      </c>
      <c r="F160" s="3" t="s">
        <v>386</v>
      </c>
      <c r="G160" s="2">
        <v>93311.09375</v>
      </c>
      <c r="H160" s="2">
        <v>109.271858215332</v>
      </c>
      <c r="I160" s="2" t="s">
        <v>521</v>
      </c>
      <c r="J160" s="2" t="s">
        <v>522</v>
      </c>
      <c r="K160" s="2" t="s">
        <v>523</v>
      </c>
      <c r="L160" s="2" t="s">
        <v>121</v>
      </c>
      <c r="M160" s="20" t="s">
        <v>228</v>
      </c>
      <c r="N160" t="s">
        <v>220</v>
      </c>
    </row>
    <row r="161" spans="1:14" x14ac:dyDescent="0.2">
      <c r="A161" s="3">
        <v>43589.407210648104</v>
      </c>
      <c r="B161" s="3" t="s">
        <v>224</v>
      </c>
      <c r="C161" s="2" t="s">
        <v>495</v>
      </c>
      <c r="D161" s="2" t="s">
        <v>245</v>
      </c>
      <c r="E161" s="2" t="s">
        <v>221</v>
      </c>
      <c r="F161" s="3" t="s">
        <v>387</v>
      </c>
      <c r="G161" s="2">
        <v>119483.09375</v>
      </c>
      <c r="H161" s="2">
        <v>25.023860931396499</v>
      </c>
      <c r="I161" s="2" t="s">
        <v>521</v>
      </c>
      <c r="J161" s="2" t="s">
        <v>522</v>
      </c>
      <c r="K161" s="2" t="s">
        <v>523</v>
      </c>
      <c r="L161" s="2" t="s">
        <v>121</v>
      </c>
      <c r="M161" s="20" t="s">
        <v>228</v>
      </c>
      <c r="N161" t="s">
        <v>220</v>
      </c>
    </row>
    <row r="162" spans="1:14" x14ac:dyDescent="0.2">
      <c r="A162" s="3">
        <v>43589.428846446797</v>
      </c>
      <c r="B162" s="3" t="s">
        <v>248</v>
      </c>
      <c r="C162" s="2" t="s">
        <v>497</v>
      </c>
      <c r="D162" s="2" t="s">
        <v>219</v>
      </c>
      <c r="E162" s="2" t="s">
        <v>221</v>
      </c>
      <c r="F162" s="3" t="s">
        <v>388</v>
      </c>
      <c r="G162" s="2">
        <v>67191</v>
      </c>
      <c r="H162" s="2">
        <v>1.24274241924286</v>
      </c>
      <c r="I162" s="2" t="s">
        <v>521</v>
      </c>
      <c r="J162" s="2" t="s">
        <v>522</v>
      </c>
      <c r="K162" s="2" t="s">
        <v>523</v>
      </c>
      <c r="L162" s="2" t="s">
        <v>121</v>
      </c>
      <c r="M162" s="20" t="s">
        <v>251</v>
      </c>
      <c r="N162" t="s">
        <v>220</v>
      </c>
    </row>
    <row r="163" spans="1:14" x14ac:dyDescent="0.2">
      <c r="A163" s="3">
        <v>43589.557631631898</v>
      </c>
      <c r="B163" s="3" t="s">
        <v>248</v>
      </c>
      <c r="C163" s="2" t="s">
        <v>513</v>
      </c>
      <c r="D163" s="2" t="s">
        <v>258</v>
      </c>
      <c r="E163" s="2" t="s">
        <v>221</v>
      </c>
      <c r="F163" s="3" t="s">
        <v>389</v>
      </c>
      <c r="G163" s="2">
        <v>0</v>
      </c>
      <c r="H163" s="2">
        <v>0</v>
      </c>
      <c r="I163" s="2" t="s">
        <v>521</v>
      </c>
      <c r="J163" s="2" t="s">
        <v>522</v>
      </c>
      <c r="K163" s="2" t="s">
        <v>523</v>
      </c>
      <c r="L163" s="2" t="s">
        <v>121</v>
      </c>
      <c r="M163" s="20" t="s">
        <v>251</v>
      </c>
      <c r="N163" t="s">
        <v>220</v>
      </c>
    </row>
    <row r="164" spans="1:14" x14ac:dyDescent="0.2">
      <c r="A164" s="3">
        <v>43589.669837963003</v>
      </c>
      <c r="B164" s="3" t="s">
        <v>224</v>
      </c>
      <c r="C164" s="2" t="s">
        <v>490</v>
      </c>
      <c r="D164" s="2" t="s">
        <v>223</v>
      </c>
      <c r="E164" s="2" t="s">
        <v>221</v>
      </c>
      <c r="F164" s="3" t="s">
        <v>390</v>
      </c>
      <c r="G164" s="2">
        <v>12833.4482421875</v>
      </c>
      <c r="H164" s="2">
        <v>15.5790195465088</v>
      </c>
      <c r="I164" s="2" t="s">
        <v>521</v>
      </c>
      <c r="J164" s="2" t="s">
        <v>522</v>
      </c>
      <c r="K164" s="2" t="s">
        <v>523</v>
      </c>
      <c r="L164" s="2" t="s">
        <v>121</v>
      </c>
      <c r="M164" s="20" t="s">
        <v>228</v>
      </c>
      <c r="N164" t="s">
        <v>220</v>
      </c>
    </row>
    <row r="165" spans="1:14" x14ac:dyDescent="0.2">
      <c r="A165" s="3">
        <v>43589.706145833297</v>
      </c>
      <c r="B165" s="3" t="s">
        <v>224</v>
      </c>
      <c r="C165" s="2" t="s">
        <v>493</v>
      </c>
      <c r="D165" s="2" t="s">
        <v>235</v>
      </c>
      <c r="E165" s="2" t="s">
        <v>221</v>
      </c>
      <c r="F165" s="3" t="s">
        <v>391</v>
      </c>
      <c r="G165" s="2">
        <v>60815.44140625</v>
      </c>
      <c r="H165" s="2">
        <v>44.684154510497997</v>
      </c>
      <c r="I165" s="2" t="s">
        <v>521</v>
      </c>
      <c r="J165" s="2" t="s">
        <v>522</v>
      </c>
      <c r="K165" s="2" t="s">
        <v>523</v>
      </c>
      <c r="L165" s="2" t="s">
        <v>121</v>
      </c>
      <c r="M165" s="20" t="s">
        <v>228</v>
      </c>
      <c r="N165" t="s">
        <v>220</v>
      </c>
    </row>
    <row r="166" spans="1:14" x14ac:dyDescent="0.2">
      <c r="A166" s="3">
        <v>43589.792336493098</v>
      </c>
      <c r="B166" s="3" t="s">
        <v>224</v>
      </c>
      <c r="C166" s="2" t="s">
        <v>491</v>
      </c>
      <c r="D166" s="2" t="s">
        <v>230</v>
      </c>
      <c r="E166" s="2" t="s">
        <v>221</v>
      </c>
      <c r="F166" s="3" t="s">
        <v>392</v>
      </c>
      <c r="G166" s="2">
        <v>3613.50024414062</v>
      </c>
      <c r="H166" s="2">
        <v>57.678878784179702</v>
      </c>
      <c r="I166" s="2" t="s">
        <v>521</v>
      </c>
      <c r="J166" s="2" t="s">
        <v>522</v>
      </c>
      <c r="K166" s="2" t="s">
        <v>523</v>
      </c>
      <c r="L166" s="2" t="s">
        <v>121</v>
      </c>
      <c r="M166" s="20" t="s">
        <v>228</v>
      </c>
      <c r="N166" t="s">
        <v>220</v>
      </c>
    </row>
    <row r="167" spans="1:14" x14ac:dyDescent="0.2">
      <c r="A167" s="3">
        <v>43589.904328703698</v>
      </c>
      <c r="B167" s="3" t="s">
        <v>224</v>
      </c>
      <c r="C167" s="2" t="s">
        <v>493</v>
      </c>
      <c r="D167" s="2" t="s">
        <v>235</v>
      </c>
      <c r="E167" s="2" t="s">
        <v>221</v>
      </c>
      <c r="F167" s="3" t="s">
        <v>393</v>
      </c>
      <c r="G167" s="2">
        <v>60860.125</v>
      </c>
      <c r="H167" s="2">
        <v>27.176292419433601</v>
      </c>
      <c r="I167" s="2" t="s">
        <v>521</v>
      </c>
      <c r="J167" s="2" t="s">
        <v>522</v>
      </c>
      <c r="K167" s="2" t="s">
        <v>523</v>
      </c>
      <c r="L167" s="2" t="s">
        <v>121</v>
      </c>
      <c r="M167" s="20" t="s">
        <v>228</v>
      </c>
      <c r="N167" t="s">
        <v>220</v>
      </c>
    </row>
    <row r="168" spans="1:14" x14ac:dyDescent="0.2">
      <c r="A168" s="3">
        <v>43589.915000000001</v>
      </c>
      <c r="B168" s="3" t="s">
        <v>224</v>
      </c>
      <c r="C168" s="2" t="s">
        <v>495</v>
      </c>
      <c r="D168" s="2" t="s">
        <v>245</v>
      </c>
      <c r="E168" s="2" t="s">
        <v>221</v>
      </c>
      <c r="F168" s="3" t="s">
        <v>394</v>
      </c>
      <c r="G168" s="2">
        <v>119508.1171875</v>
      </c>
      <c r="H168" s="2">
        <v>57.404758453369098</v>
      </c>
      <c r="I168" s="2" t="s">
        <v>521</v>
      </c>
      <c r="J168" s="2" t="s">
        <v>522</v>
      </c>
      <c r="K168" s="2" t="s">
        <v>523</v>
      </c>
      <c r="L168" s="2" t="s">
        <v>121</v>
      </c>
      <c r="M168" s="20" t="s">
        <v>228</v>
      </c>
      <c r="N168" t="s">
        <v>220</v>
      </c>
    </row>
    <row r="169" spans="1:14" x14ac:dyDescent="0.2">
      <c r="A169" s="3">
        <v>43590.350104166697</v>
      </c>
      <c r="B169" s="3" t="s">
        <v>224</v>
      </c>
      <c r="C169" s="2" t="s">
        <v>514</v>
      </c>
      <c r="D169" s="2" t="s">
        <v>295</v>
      </c>
      <c r="E169" s="2" t="s">
        <v>221</v>
      </c>
      <c r="F169" s="3" t="s">
        <v>395</v>
      </c>
      <c r="G169" s="2">
        <v>93420.3671875</v>
      </c>
      <c r="H169" s="2">
        <v>20.261672973632798</v>
      </c>
      <c r="I169" s="2" t="s">
        <v>521</v>
      </c>
      <c r="J169" s="2" t="s">
        <v>522</v>
      </c>
      <c r="K169" s="2" t="s">
        <v>523</v>
      </c>
      <c r="L169" s="2" t="s">
        <v>121</v>
      </c>
      <c r="M169" s="20" t="s">
        <v>228</v>
      </c>
      <c r="N169" t="s">
        <v>220</v>
      </c>
    </row>
    <row r="170" spans="1:14" x14ac:dyDescent="0.2">
      <c r="A170" s="3">
        <v>43590.489930555603</v>
      </c>
      <c r="B170" s="3" t="s">
        <v>224</v>
      </c>
      <c r="C170" s="2" t="s">
        <v>494</v>
      </c>
      <c r="D170" s="2" t="s">
        <v>237</v>
      </c>
      <c r="E170" s="2" t="s">
        <v>221</v>
      </c>
      <c r="F170" s="3" t="s">
        <v>396</v>
      </c>
      <c r="G170" s="2">
        <v>82438.3671875</v>
      </c>
      <c r="H170" s="2">
        <v>26.013084411621101</v>
      </c>
      <c r="I170" s="2" t="s">
        <v>521</v>
      </c>
      <c r="J170" s="2" t="s">
        <v>522</v>
      </c>
      <c r="K170" s="2" t="s">
        <v>523</v>
      </c>
      <c r="L170" s="2" t="s">
        <v>121</v>
      </c>
      <c r="M170" s="20" t="s">
        <v>228</v>
      </c>
      <c r="N170" t="s">
        <v>220</v>
      </c>
    </row>
    <row r="171" spans="1:14" x14ac:dyDescent="0.2">
      <c r="A171" s="3">
        <v>43590.7507175926</v>
      </c>
      <c r="B171" s="3" t="s">
        <v>224</v>
      </c>
      <c r="C171" s="2" t="s">
        <v>493</v>
      </c>
      <c r="D171" s="2" t="s">
        <v>235</v>
      </c>
      <c r="E171" s="2" t="s">
        <v>221</v>
      </c>
      <c r="F171" s="3" t="s">
        <v>397</v>
      </c>
      <c r="G171" s="2">
        <v>60887.30078125</v>
      </c>
      <c r="H171" s="2">
        <v>43.157958984375</v>
      </c>
      <c r="I171" s="2" t="s">
        <v>521</v>
      </c>
      <c r="J171" s="2" t="s">
        <v>522</v>
      </c>
      <c r="K171" s="2" t="s">
        <v>523</v>
      </c>
      <c r="L171" s="2" t="s">
        <v>121</v>
      </c>
      <c r="M171" s="20" t="s">
        <v>228</v>
      </c>
      <c r="N171" t="s">
        <v>220</v>
      </c>
    </row>
    <row r="172" spans="1:14" x14ac:dyDescent="0.2">
      <c r="A172" s="3">
        <v>43591.287499999999</v>
      </c>
      <c r="B172" s="3" t="s">
        <v>224</v>
      </c>
      <c r="C172" s="2" t="s">
        <v>495</v>
      </c>
      <c r="D172" s="2" t="s">
        <v>245</v>
      </c>
      <c r="E172" s="2" t="s">
        <v>221</v>
      </c>
      <c r="F172" s="3" t="s">
        <v>398</v>
      </c>
      <c r="G172" s="2">
        <v>119565.5234375</v>
      </c>
      <c r="H172" s="2">
        <v>24.934385299682599</v>
      </c>
      <c r="I172" s="2" t="s">
        <v>521</v>
      </c>
      <c r="J172" s="2" t="s">
        <v>522</v>
      </c>
      <c r="K172" s="2" t="s">
        <v>523</v>
      </c>
      <c r="L172" s="2" t="s">
        <v>121</v>
      </c>
      <c r="M172" s="20" t="s">
        <v>228</v>
      </c>
      <c r="N172" t="s">
        <v>220</v>
      </c>
    </row>
    <row r="173" spans="1:14" x14ac:dyDescent="0.2">
      <c r="A173" s="3">
        <v>43591.401377314804</v>
      </c>
      <c r="B173" s="3" t="s">
        <v>224</v>
      </c>
      <c r="C173" s="2" t="s">
        <v>514</v>
      </c>
      <c r="D173" s="2" t="s">
        <v>295</v>
      </c>
      <c r="E173" s="2" t="s">
        <v>221</v>
      </c>
      <c r="F173" s="3" t="s">
        <v>399</v>
      </c>
      <c r="G173" s="2">
        <v>93440.6328125</v>
      </c>
      <c r="H173" s="2">
        <v>27.8970832824707</v>
      </c>
      <c r="I173" s="2" t="s">
        <v>521</v>
      </c>
      <c r="J173" s="2" t="s">
        <v>522</v>
      </c>
      <c r="K173" s="2" t="s">
        <v>523</v>
      </c>
      <c r="L173" s="2" t="s">
        <v>121</v>
      </c>
      <c r="M173" s="20" t="s">
        <v>228</v>
      </c>
      <c r="N173" t="s">
        <v>220</v>
      </c>
    </row>
    <row r="174" spans="1:14" x14ac:dyDescent="0.2">
      <c r="A174" s="3">
        <v>43591.467498530103</v>
      </c>
      <c r="B174" s="3" t="s">
        <v>224</v>
      </c>
      <c r="C174" s="2" t="s">
        <v>491</v>
      </c>
      <c r="D174" s="2" t="s">
        <v>230</v>
      </c>
      <c r="E174" s="2" t="s">
        <v>221</v>
      </c>
      <c r="F174" s="3" t="s">
        <v>400</v>
      </c>
      <c r="G174" s="2">
        <v>3671.17919921875</v>
      </c>
      <c r="H174" s="2">
        <v>14.7346487045288</v>
      </c>
      <c r="I174" s="2" t="s">
        <v>521</v>
      </c>
      <c r="J174" s="2" t="s">
        <v>522</v>
      </c>
      <c r="K174" s="2" t="s">
        <v>523</v>
      </c>
      <c r="L174" s="2" t="s">
        <v>121</v>
      </c>
      <c r="M174" s="20" t="s">
        <v>228</v>
      </c>
      <c r="N174" t="s">
        <v>220</v>
      </c>
    </row>
    <row r="175" spans="1:14" x14ac:dyDescent="0.2">
      <c r="A175" s="3">
        <v>43591.590174421297</v>
      </c>
      <c r="B175" s="3" t="s">
        <v>248</v>
      </c>
      <c r="C175" s="2" t="s">
        <v>496</v>
      </c>
      <c r="D175" s="2" t="s">
        <v>249</v>
      </c>
      <c r="E175" s="2" t="s">
        <v>221</v>
      </c>
      <c r="F175" s="3" t="s">
        <v>401</v>
      </c>
      <c r="G175" s="2">
        <v>17348.294921875</v>
      </c>
      <c r="H175" s="2">
        <v>53.277351379394503</v>
      </c>
      <c r="I175" s="2" t="s">
        <v>521</v>
      </c>
      <c r="J175" s="2" t="s">
        <v>522</v>
      </c>
      <c r="K175" s="2" t="s">
        <v>523</v>
      </c>
      <c r="L175" s="2" t="s">
        <v>121</v>
      </c>
      <c r="M175" s="20" t="s">
        <v>251</v>
      </c>
      <c r="N175" t="s">
        <v>220</v>
      </c>
    </row>
    <row r="176" spans="1:14" x14ac:dyDescent="0.2">
      <c r="A176" s="3">
        <v>43591.598321759302</v>
      </c>
      <c r="B176" s="3" t="s">
        <v>224</v>
      </c>
      <c r="C176" s="2" t="s">
        <v>490</v>
      </c>
      <c r="D176" s="2" t="s">
        <v>223</v>
      </c>
      <c r="E176" s="2" t="s">
        <v>221</v>
      </c>
      <c r="F176" s="3" t="s">
        <v>402</v>
      </c>
      <c r="G176" s="2">
        <v>12849.02734375</v>
      </c>
      <c r="H176" s="2">
        <v>25.493618011474599</v>
      </c>
      <c r="I176" s="2" t="s">
        <v>521</v>
      </c>
      <c r="J176" s="2" t="s">
        <v>522</v>
      </c>
      <c r="K176" s="2" t="s">
        <v>523</v>
      </c>
      <c r="L176" s="2" t="s">
        <v>121</v>
      </c>
      <c r="M176" s="20" t="s">
        <v>228</v>
      </c>
      <c r="N176" t="s">
        <v>220</v>
      </c>
    </row>
    <row r="177" spans="1:14" x14ac:dyDescent="0.2">
      <c r="A177" s="3">
        <v>43591.680798611102</v>
      </c>
      <c r="B177" s="3" t="s">
        <v>224</v>
      </c>
      <c r="C177" s="2" t="s">
        <v>494</v>
      </c>
      <c r="D177" s="2" t="s">
        <v>237</v>
      </c>
      <c r="E177" s="2" t="s">
        <v>221</v>
      </c>
      <c r="F177" s="3" t="s">
        <v>403</v>
      </c>
      <c r="G177" s="2">
        <v>82464.375</v>
      </c>
      <c r="H177" s="2">
        <v>12.8996667861938</v>
      </c>
      <c r="I177" s="2" t="s">
        <v>521</v>
      </c>
      <c r="J177" s="2" t="s">
        <v>522</v>
      </c>
      <c r="K177" s="2" t="s">
        <v>523</v>
      </c>
      <c r="L177" s="2" t="s">
        <v>121</v>
      </c>
      <c r="M177" s="20" t="s">
        <v>228</v>
      </c>
      <c r="N177" t="s">
        <v>220</v>
      </c>
    </row>
    <row r="178" spans="1:14" x14ac:dyDescent="0.2">
      <c r="A178" s="3">
        <v>43591.7417824074</v>
      </c>
      <c r="B178" s="3" t="s">
        <v>224</v>
      </c>
      <c r="C178" s="2" t="s">
        <v>495</v>
      </c>
      <c r="D178" s="2" t="s">
        <v>245</v>
      </c>
      <c r="E178" s="2" t="s">
        <v>221</v>
      </c>
      <c r="F178" s="3" t="s">
        <v>404</v>
      </c>
      <c r="G178" s="2">
        <v>119590.4609375</v>
      </c>
      <c r="H178" s="2">
        <v>46.816593170166001</v>
      </c>
      <c r="I178" s="2" t="s">
        <v>521</v>
      </c>
      <c r="J178" s="2" t="s">
        <v>522</v>
      </c>
      <c r="K178" s="2" t="s">
        <v>523</v>
      </c>
      <c r="L178" s="2" t="s">
        <v>121</v>
      </c>
      <c r="M178" s="20" t="s">
        <v>228</v>
      </c>
      <c r="N178" t="s">
        <v>220</v>
      </c>
    </row>
    <row r="179" spans="1:14" x14ac:dyDescent="0.2">
      <c r="A179" s="3">
        <v>43591.968414351897</v>
      </c>
      <c r="B179" s="3" t="s">
        <v>224</v>
      </c>
      <c r="C179" s="2" t="s">
        <v>493</v>
      </c>
      <c r="D179" s="2" t="s">
        <v>235</v>
      </c>
      <c r="E179" s="2" t="s">
        <v>221</v>
      </c>
      <c r="F179" s="3" t="s">
        <v>405</v>
      </c>
      <c r="G179" s="2">
        <v>60930.4609375</v>
      </c>
      <c r="H179" s="2">
        <v>14.003221511840801</v>
      </c>
      <c r="I179" s="2" t="s">
        <v>521</v>
      </c>
      <c r="J179" s="2" t="s">
        <v>522</v>
      </c>
      <c r="K179" s="2" t="s">
        <v>523</v>
      </c>
      <c r="L179" s="2" t="s">
        <v>121</v>
      </c>
      <c r="M179" s="20" t="s">
        <v>228</v>
      </c>
      <c r="N179" t="s">
        <v>220</v>
      </c>
    </row>
    <row r="180" spans="1:14" x14ac:dyDescent="0.2">
      <c r="A180" s="3">
        <v>43592.210775462998</v>
      </c>
      <c r="B180" s="3" t="s">
        <v>224</v>
      </c>
      <c r="C180" s="2" t="s">
        <v>514</v>
      </c>
      <c r="D180" s="2" t="s">
        <v>295</v>
      </c>
      <c r="E180" s="2" t="s">
        <v>221</v>
      </c>
      <c r="F180" s="3" t="s">
        <v>406</v>
      </c>
      <c r="G180" s="2">
        <v>93468.53125</v>
      </c>
      <c r="H180" s="2">
        <v>25.908695220947301</v>
      </c>
      <c r="I180" s="2" t="s">
        <v>521</v>
      </c>
      <c r="J180" s="2" t="s">
        <v>522</v>
      </c>
      <c r="K180" s="2" t="s">
        <v>523</v>
      </c>
      <c r="L180" s="2" t="s">
        <v>121</v>
      </c>
      <c r="M180" s="20" t="s">
        <v>228</v>
      </c>
      <c r="N180" t="s">
        <v>220</v>
      </c>
    </row>
    <row r="181" spans="1:14" x14ac:dyDescent="0.2">
      <c r="A181" s="3">
        <v>43592.269641203697</v>
      </c>
      <c r="B181" s="3" t="s">
        <v>224</v>
      </c>
      <c r="C181" s="2" t="s">
        <v>490</v>
      </c>
      <c r="D181" s="2" t="s">
        <v>223</v>
      </c>
      <c r="E181" s="2" t="s">
        <v>221</v>
      </c>
      <c r="F181" s="3" t="s">
        <v>407</v>
      </c>
      <c r="G181" s="2">
        <v>12874.5205078125</v>
      </c>
      <c r="H181" s="2">
        <v>29.640649795532202</v>
      </c>
      <c r="I181" s="2" t="s">
        <v>521</v>
      </c>
      <c r="J181" s="2" t="s">
        <v>522</v>
      </c>
      <c r="K181" s="2" t="s">
        <v>523</v>
      </c>
      <c r="L181" s="2" t="s">
        <v>121</v>
      </c>
      <c r="M181" s="20" t="s">
        <v>228</v>
      </c>
      <c r="N181" t="s">
        <v>220</v>
      </c>
    </row>
    <row r="182" spans="1:14" x14ac:dyDescent="0.2">
      <c r="A182" s="3">
        <v>43592.355816863397</v>
      </c>
      <c r="B182" s="3" t="s">
        <v>248</v>
      </c>
      <c r="C182" s="2" t="s">
        <v>491</v>
      </c>
      <c r="D182" s="2" t="s">
        <v>230</v>
      </c>
      <c r="E182" s="2" t="s">
        <v>221</v>
      </c>
      <c r="F182" s="3" t="s">
        <v>408</v>
      </c>
      <c r="G182" s="2">
        <v>3685.91381835938</v>
      </c>
      <c r="H182" s="2">
        <v>6.8847150802612296</v>
      </c>
      <c r="I182" s="2" t="s">
        <v>521</v>
      </c>
      <c r="J182" s="2" t="s">
        <v>522</v>
      </c>
      <c r="K182" s="2" t="s">
        <v>523</v>
      </c>
      <c r="L182" s="2" t="s">
        <v>121</v>
      </c>
      <c r="M182" s="20" t="s">
        <v>251</v>
      </c>
      <c r="N182" t="s">
        <v>220</v>
      </c>
    </row>
    <row r="183" spans="1:14" x14ac:dyDescent="0.2">
      <c r="A183" s="3">
        <v>43592.450528784699</v>
      </c>
      <c r="B183" s="3" t="s">
        <v>224</v>
      </c>
      <c r="C183" s="2" t="s">
        <v>491</v>
      </c>
      <c r="D183" s="2" t="s">
        <v>230</v>
      </c>
      <c r="E183" s="2" t="s">
        <v>221</v>
      </c>
      <c r="F183" s="3" t="s">
        <v>409</v>
      </c>
      <c r="G183" s="2">
        <v>3692.79858398438</v>
      </c>
      <c r="H183" s="2">
        <v>17.5260925292969</v>
      </c>
      <c r="I183" s="2" t="s">
        <v>521</v>
      </c>
      <c r="J183" s="2" t="s">
        <v>522</v>
      </c>
      <c r="K183" s="2" t="s">
        <v>523</v>
      </c>
      <c r="L183" s="2" t="s">
        <v>121</v>
      </c>
      <c r="M183" s="20" t="s">
        <v>228</v>
      </c>
      <c r="N183" t="s">
        <v>220</v>
      </c>
    </row>
    <row r="184" spans="1:14" x14ac:dyDescent="0.2">
      <c r="A184" s="3">
        <v>43592.480508761597</v>
      </c>
      <c r="B184" s="3" t="s">
        <v>248</v>
      </c>
      <c r="C184" s="2" t="s">
        <v>497</v>
      </c>
      <c r="D184" s="2" t="s">
        <v>219</v>
      </c>
      <c r="E184" s="2" t="s">
        <v>221</v>
      </c>
      <c r="F184" s="3" t="s">
        <v>410</v>
      </c>
      <c r="G184" s="2">
        <v>67192.2421875</v>
      </c>
      <c r="H184" s="2">
        <v>0.621371209621429</v>
      </c>
      <c r="I184" s="2" t="s">
        <v>521</v>
      </c>
      <c r="J184" s="2" t="s">
        <v>522</v>
      </c>
      <c r="K184" s="2" t="s">
        <v>523</v>
      </c>
      <c r="L184" s="2" t="s">
        <v>121</v>
      </c>
      <c r="M184" s="20" t="s">
        <v>228</v>
      </c>
      <c r="N184" t="s">
        <v>220</v>
      </c>
    </row>
    <row r="185" spans="1:14" x14ac:dyDescent="0.2">
      <c r="A185" s="3">
        <v>43592.681469907402</v>
      </c>
      <c r="B185" s="3" t="s">
        <v>224</v>
      </c>
      <c r="C185" s="2" t="s">
        <v>494</v>
      </c>
      <c r="D185" s="2" t="s">
        <v>237</v>
      </c>
      <c r="E185" s="2" t="s">
        <v>221</v>
      </c>
      <c r="F185" s="3" t="s">
        <v>411</v>
      </c>
      <c r="G185" s="2">
        <v>82477.2734375</v>
      </c>
      <c r="H185" s="2">
        <v>6.2733640670776403</v>
      </c>
      <c r="I185" s="2" t="s">
        <v>521</v>
      </c>
      <c r="J185" s="2" t="s">
        <v>522</v>
      </c>
      <c r="K185" s="2" t="s">
        <v>523</v>
      </c>
      <c r="L185" s="2" t="s">
        <v>121</v>
      </c>
      <c r="M185" s="20" t="s">
        <v>228</v>
      </c>
      <c r="N185" t="s">
        <v>220</v>
      </c>
    </row>
    <row r="186" spans="1:14" x14ac:dyDescent="0.2">
      <c r="A186" s="3">
        <v>43592.758900462999</v>
      </c>
      <c r="B186" s="3" t="s">
        <v>224</v>
      </c>
      <c r="C186" s="2" t="s">
        <v>495</v>
      </c>
      <c r="D186" s="2" t="s">
        <v>245</v>
      </c>
      <c r="E186" s="2" t="s">
        <v>221</v>
      </c>
      <c r="F186" s="3" t="s">
        <v>412</v>
      </c>
      <c r="G186" s="2">
        <v>119637.2734375</v>
      </c>
      <c r="H186" s="2">
        <v>42.243301391601598</v>
      </c>
      <c r="I186" s="2" t="s">
        <v>521</v>
      </c>
      <c r="J186" s="2" t="s">
        <v>522</v>
      </c>
      <c r="K186" s="2" t="s">
        <v>523</v>
      </c>
      <c r="L186" s="2" t="s">
        <v>121</v>
      </c>
      <c r="M186" s="20" t="s">
        <v>228</v>
      </c>
      <c r="N186" t="s">
        <v>220</v>
      </c>
    </row>
    <row r="187" spans="1:14" x14ac:dyDescent="0.2">
      <c r="A187" s="3">
        <v>43592.967303240701</v>
      </c>
      <c r="B187" s="3" t="s">
        <v>224</v>
      </c>
      <c r="C187" s="2" t="s">
        <v>493</v>
      </c>
      <c r="D187" s="2" t="s">
        <v>235</v>
      </c>
      <c r="E187" s="2" t="s">
        <v>221</v>
      </c>
      <c r="F187" s="3" t="s">
        <v>413</v>
      </c>
      <c r="G187" s="2">
        <v>60944.4609375</v>
      </c>
      <c r="H187" s="2">
        <v>3.11182713508606</v>
      </c>
      <c r="I187" s="2" t="s">
        <v>521</v>
      </c>
      <c r="J187" s="2" t="s">
        <v>522</v>
      </c>
      <c r="K187" s="2" t="s">
        <v>523</v>
      </c>
      <c r="L187" s="2" t="s">
        <v>121</v>
      </c>
      <c r="M187" s="20" t="s">
        <v>228</v>
      </c>
      <c r="N187" t="s">
        <v>220</v>
      </c>
    </row>
    <row r="188" spans="1:14" x14ac:dyDescent="0.2">
      <c r="A188" s="3">
        <v>43593.333201539397</v>
      </c>
      <c r="B188" s="3" t="s">
        <v>248</v>
      </c>
      <c r="C188" s="2" t="s">
        <v>497</v>
      </c>
      <c r="D188" s="2" t="s">
        <v>219</v>
      </c>
      <c r="E188" s="2" t="s">
        <v>221</v>
      </c>
      <c r="F188" s="3" t="s">
        <v>414</v>
      </c>
      <c r="G188" s="2">
        <v>67192.859375</v>
      </c>
      <c r="H188" s="2">
        <v>0</v>
      </c>
      <c r="I188" s="2" t="s">
        <v>521</v>
      </c>
      <c r="J188" s="2" t="s">
        <v>522</v>
      </c>
      <c r="K188" s="2" t="s">
        <v>523</v>
      </c>
      <c r="L188" s="2" t="s">
        <v>121</v>
      </c>
      <c r="M188" s="20" t="s">
        <v>251</v>
      </c>
      <c r="N188" t="s">
        <v>220</v>
      </c>
    </row>
    <row r="189" spans="1:14" x14ac:dyDescent="0.2">
      <c r="A189" s="3">
        <v>43593.361423611103</v>
      </c>
      <c r="B189" s="3" t="s">
        <v>222</v>
      </c>
      <c r="C189" s="2" t="s">
        <v>494</v>
      </c>
      <c r="D189" s="2" t="s">
        <v>237</v>
      </c>
      <c r="E189" s="2" t="s">
        <v>221</v>
      </c>
      <c r="F189" s="3" t="s">
        <v>415</v>
      </c>
      <c r="G189" s="2">
        <v>82483.546875</v>
      </c>
      <c r="H189" s="2">
        <v>0</v>
      </c>
      <c r="I189" s="2" t="s">
        <v>521</v>
      </c>
      <c r="J189" s="2" t="s">
        <v>522</v>
      </c>
      <c r="K189" s="2" t="s">
        <v>523</v>
      </c>
      <c r="L189" s="2" t="s">
        <v>121</v>
      </c>
      <c r="M189" s="20" t="s">
        <v>228</v>
      </c>
      <c r="N189" t="s">
        <v>220</v>
      </c>
    </row>
    <row r="190" spans="1:14" x14ac:dyDescent="0.2">
      <c r="A190" s="3">
        <v>43593.361689814803</v>
      </c>
      <c r="B190" s="3" t="s">
        <v>222</v>
      </c>
      <c r="C190" s="2" t="s">
        <v>494</v>
      </c>
      <c r="D190" s="2" t="s">
        <v>237</v>
      </c>
      <c r="E190" s="2" t="s">
        <v>221</v>
      </c>
      <c r="F190" s="3" t="s">
        <v>416</v>
      </c>
      <c r="G190" s="2">
        <v>82483.546875</v>
      </c>
      <c r="H190" s="2">
        <v>3.9270660877227801</v>
      </c>
      <c r="I190" s="2" t="s">
        <v>521</v>
      </c>
      <c r="J190" s="2" t="s">
        <v>522</v>
      </c>
      <c r="K190" s="2" t="s">
        <v>523</v>
      </c>
      <c r="L190" s="2" t="s">
        <v>121</v>
      </c>
      <c r="M190" s="20" t="s">
        <v>255</v>
      </c>
      <c r="N190" t="s">
        <v>220</v>
      </c>
    </row>
    <row r="191" spans="1:14" x14ac:dyDescent="0.2">
      <c r="A191" s="3">
        <v>43593.361724536997</v>
      </c>
      <c r="B191" s="3" t="s">
        <v>222</v>
      </c>
      <c r="C191" s="2" t="s">
        <v>493</v>
      </c>
      <c r="D191" s="2" t="s">
        <v>235</v>
      </c>
      <c r="E191" s="2" t="s">
        <v>221</v>
      </c>
      <c r="F191" s="3" t="s">
        <v>417</v>
      </c>
      <c r="G191" s="2">
        <v>60947.57421875</v>
      </c>
      <c r="H191" s="2">
        <v>0</v>
      </c>
      <c r="I191" s="2" t="s">
        <v>521</v>
      </c>
      <c r="J191" s="2" t="s">
        <v>522</v>
      </c>
      <c r="K191" s="2" t="s">
        <v>523</v>
      </c>
      <c r="L191" s="2" t="s">
        <v>121</v>
      </c>
      <c r="M191" s="20" t="s">
        <v>228</v>
      </c>
      <c r="N191" t="s">
        <v>220</v>
      </c>
    </row>
    <row r="192" spans="1:14" x14ac:dyDescent="0.2">
      <c r="A192" s="3">
        <v>43593.362534722197</v>
      </c>
      <c r="B192" s="3" t="s">
        <v>222</v>
      </c>
      <c r="C192" s="2" t="s">
        <v>493</v>
      </c>
      <c r="D192" s="2" t="s">
        <v>235</v>
      </c>
      <c r="E192" s="2" t="s">
        <v>221</v>
      </c>
      <c r="F192" s="3" t="s">
        <v>418</v>
      </c>
      <c r="G192" s="2">
        <v>60947.57421875</v>
      </c>
      <c r="H192" s="2">
        <v>11.194623947143601</v>
      </c>
      <c r="I192" s="2" t="s">
        <v>521</v>
      </c>
      <c r="J192" s="2" t="s">
        <v>522</v>
      </c>
      <c r="K192" s="2" t="s">
        <v>523</v>
      </c>
      <c r="L192" s="2" t="s">
        <v>121</v>
      </c>
      <c r="M192" s="20" t="s">
        <v>255</v>
      </c>
      <c r="N192" t="s">
        <v>220</v>
      </c>
    </row>
    <row r="193" spans="1:14" x14ac:dyDescent="0.2">
      <c r="A193" s="3">
        <v>43593.363460648201</v>
      </c>
      <c r="B193" s="3" t="s">
        <v>222</v>
      </c>
      <c r="C193" s="2" t="s">
        <v>495</v>
      </c>
      <c r="D193" s="2" t="s">
        <v>245</v>
      </c>
      <c r="E193" s="2" t="s">
        <v>221</v>
      </c>
      <c r="F193" s="3" t="s">
        <v>419</v>
      </c>
      <c r="G193" s="2">
        <v>119679.515625</v>
      </c>
      <c r="H193" s="2">
        <v>0</v>
      </c>
      <c r="I193" s="2" t="s">
        <v>521</v>
      </c>
      <c r="J193" s="2" t="s">
        <v>522</v>
      </c>
      <c r="K193" s="2" t="s">
        <v>523</v>
      </c>
      <c r="L193" s="2" t="s">
        <v>121</v>
      </c>
      <c r="M193" s="20" t="s">
        <v>228</v>
      </c>
      <c r="N193" t="s">
        <v>220</v>
      </c>
    </row>
    <row r="194" spans="1:14" x14ac:dyDescent="0.2">
      <c r="A194" s="3">
        <v>43593.363611111097</v>
      </c>
      <c r="B194" s="3" t="s">
        <v>222</v>
      </c>
      <c r="C194" s="2" t="s">
        <v>495</v>
      </c>
      <c r="D194" s="2" t="s">
        <v>245</v>
      </c>
      <c r="E194" s="2" t="s">
        <v>221</v>
      </c>
      <c r="F194" s="3" t="s">
        <v>420</v>
      </c>
      <c r="G194" s="2">
        <v>119679.515625</v>
      </c>
      <c r="H194" s="2">
        <v>24.6758937835693</v>
      </c>
      <c r="I194" s="2" t="s">
        <v>521</v>
      </c>
      <c r="J194" s="2" t="s">
        <v>522</v>
      </c>
      <c r="K194" s="2" t="s">
        <v>523</v>
      </c>
      <c r="L194" s="2" t="s">
        <v>121</v>
      </c>
      <c r="M194" s="20" t="s">
        <v>255</v>
      </c>
      <c r="N194" t="s">
        <v>220</v>
      </c>
    </row>
    <row r="195" spans="1:14" x14ac:dyDescent="0.2">
      <c r="A195" s="3">
        <v>43593.368009259299</v>
      </c>
      <c r="B195" s="3" t="s">
        <v>222</v>
      </c>
      <c r="C195" s="2" t="s">
        <v>492</v>
      </c>
      <c r="D195" s="2" t="s">
        <v>232</v>
      </c>
      <c r="E195" s="2" t="s">
        <v>221</v>
      </c>
      <c r="F195" s="3" t="s">
        <v>421</v>
      </c>
      <c r="G195" s="2">
        <v>117644.7265625</v>
      </c>
      <c r="H195" s="2">
        <v>0</v>
      </c>
      <c r="I195" s="2" t="s">
        <v>521</v>
      </c>
      <c r="J195" s="2" t="s">
        <v>522</v>
      </c>
      <c r="K195" s="2" t="s">
        <v>523</v>
      </c>
      <c r="L195" s="2" t="s">
        <v>121</v>
      </c>
      <c r="M195" s="20" t="s">
        <v>228</v>
      </c>
      <c r="N195" t="s">
        <v>220</v>
      </c>
    </row>
    <row r="196" spans="1:14" x14ac:dyDescent="0.2">
      <c r="A196" s="3">
        <v>43593.368275462999</v>
      </c>
      <c r="B196" s="3" t="s">
        <v>222</v>
      </c>
      <c r="C196" s="2" t="s">
        <v>492</v>
      </c>
      <c r="D196" s="2" t="s">
        <v>232</v>
      </c>
      <c r="E196" s="2" t="s">
        <v>221</v>
      </c>
      <c r="F196" s="3" t="s">
        <v>422</v>
      </c>
      <c r="G196" s="2">
        <v>117644.7265625</v>
      </c>
      <c r="H196" s="2">
        <v>71.377418518066406</v>
      </c>
      <c r="I196" s="2" t="s">
        <v>521</v>
      </c>
      <c r="J196" s="2" t="s">
        <v>522</v>
      </c>
      <c r="K196" s="2" t="s">
        <v>523</v>
      </c>
      <c r="L196" s="2" t="s">
        <v>121</v>
      </c>
      <c r="M196" s="20" t="s">
        <v>255</v>
      </c>
      <c r="N196" t="s">
        <v>220</v>
      </c>
    </row>
    <row r="197" spans="1:14" x14ac:dyDescent="0.2">
      <c r="A197" s="3">
        <v>43593.371863425898</v>
      </c>
      <c r="B197" s="3" t="s">
        <v>222</v>
      </c>
      <c r="C197" s="2" t="s">
        <v>490</v>
      </c>
      <c r="D197" s="2" t="s">
        <v>223</v>
      </c>
      <c r="E197" s="2" t="s">
        <v>221</v>
      </c>
      <c r="F197" s="3" t="s">
        <v>423</v>
      </c>
      <c r="G197" s="2">
        <v>12904.1611328125</v>
      </c>
      <c r="H197" s="2">
        <v>0</v>
      </c>
      <c r="I197" s="2" t="s">
        <v>521</v>
      </c>
      <c r="J197" s="2" t="s">
        <v>522</v>
      </c>
      <c r="K197" s="2" t="s">
        <v>523</v>
      </c>
      <c r="L197" s="2" t="s">
        <v>121</v>
      </c>
      <c r="M197" s="20" t="s">
        <v>228</v>
      </c>
      <c r="N197" t="s">
        <v>220</v>
      </c>
    </row>
    <row r="198" spans="1:14" x14ac:dyDescent="0.2">
      <c r="A198" s="3">
        <v>43593.372546296298</v>
      </c>
      <c r="B198" s="3" t="s">
        <v>222</v>
      </c>
      <c r="C198" s="2" t="s">
        <v>490</v>
      </c>
      <c r="D198" s="2" t="s">
        <v>223</v>
      </c>
      <c r="E198" s="2" t="s">
        <v>221</v>
      </c>
      <c r="F198" s="3" t="s">
        <v>424</v>
      </c>
      <c r="G198" s="2">
        <v>12904.1611328125</v>
      </c>
      <c r="H198" s="2">
        <v>3.2112464904785201</v>
      </c>
      <c r="I198" s="2" t="s">
        <v>521</v>
      </c>
      <c r="J198" s="2" t="s">
        <v>522</v>
      </c>
      <c r="K198" s="2" t="s">
        <v>523</v>
      </c>
      <c r="L198" s="2" t="s">
        <v>121</v>
      </c>
      <c r="M198" s="20" t="s">
        <v>255</v>
      </c>
      <c r="N198" t="s">
        <v>220</v>
      </c>
    </row>
    <row r="199" spans="1:14" x14ac:dyDescent="0.2">
      <c r="A199" s="3">
        <v>43593.372974537</v>
      </c>
      <c r="B199" s="3" t="s">
        <v>222</v>
      </c>
      <c r="C199" s="2" t="s">
        <v>514</v>
      </c>
      <c r="D199" s="2" t="s">
        <v>295</v>
      </c>
      <c r="E199" s="2" t="s">
        <v>221</v>
      </c>
      <c r="F199" s="3" t="s">
        <v>425</v>
      </c>
      <c r="G199" s="2">
        <v>93494.4375</v>
      </c>
      <c r="H199" s="2">
        <v>0</v>
      </c>
      <c r="I199" s="2" t="s">
        <v>521</v>
      </c>
      <c r="J199" s="2" t="s">
        <v>522</v>
      </c>
      <c r="K199" s="2" t="s">
        <v>523</v>
      </c>
      <c r="L199" s="2" t="s">
        <v>121</v>
      </c>
      <c r="M199" s="20" t="s">
        <v>228</v>
      </c>
      <c r="N199" t="s">
        <v>220</v>
      </c>
    </row>
    <row r="200" spans="1:14" x14ac:dyDescent="0.2">
      <c r="A200" s="3">
        <v>43593.373287037</v>
      </c>
      <c r="B200" s="3" t="s">
        <v>222</v>
      </c>
      <c r="C200" s="2" t="s">
        <v>514</v>
      </c>
      <c r="D200" s="2" t="s">
        <v>295</v>
      </c>
      <c r="E200" s="2" t="s">
        <v>221</v>
      </c>
      <c r="F200" s="3" t="s">
        <v>426</v>
      </c>
      <c r="G200" s="2">
        <v>93494.4375</v>
      </c>
      <c r="H200" s="2">
        <v>10.787004470825201</v>
      </c>
      <c r="I200" s="2" t="s">
        <v>521</v>
      </c>
      <c r="J200" s="2" t="s">
        <v>522</v>
      </c>
      <c r="K200" s="2" t="s">
        <v>523</v>
      </c>
      <c r="L200" s="2" t="s">
        <v>121</v>
      </c>
      <c r="M200" s="20" t="s">
        <v>255</v>
      </c>
      <c r="N200" t="s">
        <v>220</v>
      </c>
    </row>
    <row r="201" spans="1:14" x14ac:dyDescent="0.2">
      <c r="A201" s="3">
        <v>43593.373761574097</v>
      </c>
      <c r="B201" s="3" t="s">
        <v>222</v>
      </c>
      <c r="C201" s="2" t="s">
        <v>497</v>
      </c>
      <c r="D201" s="2" t="s">
        <v>219</v>
      </c>
      <c r="E201" s="2" t="s">
        <v>221</v>
      </c>
      <c r="F201" s="3" t="s">
        <v>427</v>
      </c>
      <c r="G201" s="2">
        <v>67192.859375</v>
      </c>
      <c r="H201" s="2">
        <v>0</v>
      </c>
      <c r="I201" s="2" t="s">
        <v>521</v>
      </c>
      <c r="J201" s="2" t="s">
        <v>522</v>
      </c>
      <c r="K201" s="2" t="s">
        <v>523</v>
      </c>
      <c r="L201" s="2" t="s">
        <v>121</v>
      </c>
      <c r="M201" s="20" t="s">
        <v>228</v>
      </c>
      <c r="N201" t="s">
        <v>220</v>
      </c>
    </row>
    <row r="202" spans="1:14" x14ac:dyDescent="0.2">
      <c r="A202" s="3">
        <v>43593.374606481499</v>
      </c>
      <c r="B202" s="3" t="s">
        <v>222</v>
      </c>
      <c r="C202" s="2" t="s">
        <v>497</v>
      </c>
      <c r="D202" s="2" t="s">
        <v>219</v>
      </c>
      <c r="E202" s="2" t="s">
        <v>221</v>
      </c>
      <c r="F202" s="3" t="s">
        <v>428</v>
      </c>
      <c r="G202" s="2">
        <v>67192.859375</v>
      </c>
      <c r="H202" s="2">
        <v>2.9605803489685099</v>
      </c>
      <c r="I202" s="2" t="s">
        <v>521</v>
      </c>
      <c r="J202" s="2" t="s">
        <v>522</v>
      </c>
      <c r="K202" s="2" t="s">
        <v>523</v>
      </c>
      <c r="L202" s="2" t="s">
        <v>121</v>
      </c>
      <c r="M202" s="20" t="s">
        <v>255</v>
      </c>
      <c r="N202" t="s">
        <v>220</v>
      </c>
    </row>
    <row r="203" spans="1:14" x14ac:dyDescent="0.2">
      <c r="A203" s="3">
        <v>43593.389780092599</v>
      </c>
      <c r="B203" s="3" t="s">
        <v>222</v>
      </c>
      <c r="C203" s="2" t="s">
        <v>496</v>
      </c>
      <c r="D203" s="2" t="s">
        <v>249</v>
      </c>
      <c r="E203" s="2" t="s">
        <v>221</v>
      </c>
      <c r="F203" s="3" t="s">
        <v>429</v>
      </c>
      <c r="G203" s="2">
        <v>17401.572265625</v>
      </c>
      <c r="H203" s="2">
        <v>0</v>
      </c>
      <c r="I203" s="2" t="s">
        <v>521</v>
      </c>
      <c r="J203" s="2" t="s">
        <v>522</v>
      </c>
      <c r="K203" s="2" t="s">
        <v>523</v>
      </c>
      <c r="L203" s="2" t="s">
        <v>121</v>
      </c>
      <c r="M203" s="20" t="s">
        <v>228</v>
      </c>
      <c r="N203" t="s">
        <v>220</v>
      </c>
    </row>
    <row r="204" spans="1:14" x14ac:dyDescent="0.2">
      <c r="A204" s="3">
        <v>43593.390034722201</v>
      </c>
      <c r="B204" s="3" t="s">
        <v>222</v>
      </c>
      <c r="C204" s="2" t="s">
        <v>496</v>
      </c>
      <c r="D204" s="2" t="s">
        <v>249</v>
      </c>
      <c r="E204" s="2" t="s">
        <v>221</v>
      </c>
      <c r="F204" s="3" t="s">
        <v>430</v>
      </c>
      <c r="G204" s="2">
        <v>17401.572265625</v>
      </c>
      <c r="H204" s="2">
        <v>-0.27438759803772</v>
      </c>
      <c r="I204" s="2" t="s">
        <v>521</v>
      </c>
      <c r="J204" s="2" t="s">
        <v>522</v>
      </c>
      <c r="K204" s="2" t="s">
        <v>523</v>
      </c>
      <c r="L204" s="2" t="s">
        <v>121</v>
      </c>
      <c r="M204" s="20" t="s">
        <v>255</v>
      </c>
      <c r="N204" t="s">
        <v>220</v>
      </c>
    </row>
    <row r="205" spans="1:14" x14ac:dyDescent="0.2">
      <c r="A205" s="3">
        <v>43593.398148379601</v>
      </c>
      <c r="B205" s="3" t="s">
        <v>248</v>
      </c>
      <c r="C205" s="2" t="s">
        <v>496</v>
      </c>
      <c r="D205" s="2" t="s">
        <v>249</v>
      </c>
      <c r="E205" s="2" t="s">
        <v>221</v>
      </c>
      <c r="F205" s="3" t="s">
        <v>431</v>
      </c>
      <c r="G205" s="2">
        <v>17401.296875</v>
      </c>
      <c r="I205" s="2" t="s">
        <v>521</v>
      </c>
      <c r="J205" s="2" t="s">
        <v>522</v>
      </c>
      <c r="K205" s="2" t="s">
        <v>523</v>
      </c>
      <c r="L205" s="2" t="s">
        <v>121</v>
      </c>
      <c r="M205" s="20" t="s">
        <v>251</v>
      </c>
      <c r="N205" t="s">
        <v>220</v>
      </c>
    </row>
    <row r="206" spans="1:14" x14ac:dyDescent="0.2">
      <c r="A206" s="3">
        <v>43593.492345717597</v>
      </c>
      <c r="B206" s="3" t="s">
        <v>248</v>
      </c>
      <c r="C206" s="2" t="s">
        <v>491</v>
      </c>
      <c r="D206" s="2" t="s">
        <v>230</v>
      </c>
      <c r="E206" s="2" t="s">
        <v>221</v>
      </c>
      <c r="F206" s="3" t="s">
        <v>432</v>
      </c>
      <c r="G206" s="2">
        <v>3710.32470703125</v>
      </c>
      <c r="H206" s="2">
        <v>0</v>
      </c>
      <c r="I206" s="2" t="s">
        <v>521</v>
      </c>
      <c r="J206" s="2" t="s">
        <v>522</v>
      </c>
      <c r="K206" s="2" t="s">
        <v>523</v>
      </c>
      <c r="L206" s="2" t="s">
        <v>121</v>
      </c>
      <c r="M206" s="20" t="s">
        <v>251</v>
      </c>
      <c r="N206" t="s">
        <v>220</v>
      </c>
    </row>
    <row r="207" spans="1:14" x14ac:dyDescent="0.2">
      <c r="A207" s="3">
        <v>43593.492709062499</v>
      </c>
      <c r="B207" s="3" t="s">
        <v>248</v>
      </c>
      <c r="C207" s="2" t="s">
        <v>491</v>
      </c>
      <c r="D207" s="2" t="s">
        <v>230</v>
      </c>
      <c r="E207" s="2" t="s">
        <v>221</v>
      </c>
      <c r="F207" s="3" t="s">
        <v>433</v>
      </c>
      <c r="G207" s="2">
        <v>3710.32470703125</v>
      </c>
      <c r="H207" s="2">
        <v>53.920055389404297</v>
      </c>
      <c r="I207" s="2" t="s">
        <v>521</v>
      </c>
      <c r="J207" s="2" t="s">
        <v>522</v>
      </c>
      <c r="K207" s="2" t="s">
        <v>523</v>
      </c>
      <c r="L207" s="2" t="s">
        <v>121</v>
      </c>
      <c r="M207" s="20" t="s">
        <v>251</v>
      </c>
      <c r="N207" t="s">
        <v>220</v>
      </c>
    </row>
    <row r="208" spans="1:14" x14ac:dyDescent="0.2">
      <c r="A208" s="3">
        <v>43593.560057870403</v>
      </c>
      <c r="B208" s="3" t="s">
        <v>224</v>
      </c>
      <c r="C208" s="2" t="s">
        <v>514</v>
      </c>
      <c r="D208" s="2" t="s">
        <v>295</v>
      </c>
      <c r="E208" s="2" t="s">
        <v>221</v>
      </c>
      <c r="F208" s="3" t="s">
        <v>434</v>
      </c>
      <c r="G208" s="2">
        <v>93505.2265625</v>
      </c>
      <c r="H208" s="2">
        <v>23.194545745849599</v>
      </c>
      <c r="I208" s="2" t="s">
        <v>521</v>
      </c>
      <c r="J208" s="2" t="s">
        <v>522</v>
      </c>
      <c r="K208" s="2" t="s">
        <v>523</v>
      </c>
      <c r="L208" s="2" t="s">
        <v>121</v>
      </c>
      <c r="M208" s="20" t="s">
        <v>228</v>
      </c>
      <c r="N208" t="s">
        <v>220</v>
      </c>
    </row>
    <row r="209" spans="1:14" x14ac:dyDescent="0.2">
      <c r="A209" s="3">
        <v>43593.612060185202</v>
      </c>
      <c r="B209" s="3" t="s">
        <v>224</v>
      </c>
      <c r="C209" s="2" t="s">
        <v>490</v>
      </c>
      <c r="D209" s="2" t="s">
        <v>223</v>
      </c>
      <c r="E209" s="2" t="s">
        <v>221</v>
      </c>
      <c r="F209" s="3" t="s">
        <v>435</v>
      </c>
      <c r="G209" s="2">
        <v>12907.373046875</v>
      </c>
      <c r="H209" s="2">
        <v>26.471656799316399</v>
      </c>
      <c r="I209" s="2" t="s">
        <v>521</v>
      </c>
      <c r="J209" s="2" t="s">
        <v>522</v>
      </c>
      <c r="K209" s="2" t="s">
        <v>523</v>
      </c>
      <c r="L209" s="2" t="s">
        <v>121</v>
      </c>
      <c r="M209" s="20" t="s">
        <v>228</v>
      </c>
      <c r="N209" t="s">
        <v>220</v>
      </c>
    </row>
    <row r="210" spans="1:14" x14ac:dyDescent="0.2">
      <c r="A210" s="3">
        <v>43593.683103321797</v>
      </c>
      <c r="B210" s="3" t="s">
        <v>224</v>
      </c>
      <c r="C210" s="2" t="s">
        <v>494</v>
      </c>
      <c r="D210" s="2" t="s">
        <v>237</v>
      </c>
      <c r="E210" s="2" t="s">
        <v>221</v>
      </c>
      <c r="F210" s="3" t="s">
        <v>436</v>
      </c>
      <c r="G210" s="2">
        <v>82487.4765625</v>
      </c>
      <c r="H210" s="2">
        <v>11.025610923767101</v>
      </c>
      <c r="I210" s="2" t="s">
        <v>521</v>
      </c>
      <c r="J210" s="2" t="s">
        <v>522</v>
      </c>
      <c r="K210" s="2" t="s">
        <v>523</v>
      </c>
      <c r="L210" s="2" t="s">
        <v>121</v>
      </c>
      <c r="M210" s="20" t="s">
        <v>228</v>
      </c>
      <c r="N210" t="s">
        <v>220</v>
      </c>
    </row>
    <row r="211" spans="1:14" x14ac:dyDescent="0.2">
      <c r="A211" s="3">
        <v>43593.743379629603</v>
      </c>
      <c r="B211" s="3" t="s">
        <v>224</v>
      </c>
      <c r="C211" s="2" t="s">
        <v>495</v>
      </c>
      <c r="D211" s="2" t="s">
        <v>245</v>
      </c>
      <c r="E211" s="2" t="s">
        <v>221</v>
      </c>
      <c r="F211" s="3" t="s">
        <v>437</v>
      </c>
      <c r="G211" s="2">
        <v>119704.1953125</v>
      </c>
      <c r="H211" s="2">
        <v>72.317665100097699</v>
      </c>
      <c r="I211" s="2" t="s">
        <v>521</v>
      </c>
      <c r="J211" s="2" t="s">
        <v>522</v>
      </c>
      <c r="K211" s="2" t="s">
        <v>523</v>
      </c>
      <c r="L211" s="2" t="s">
        <v>121</v>
      </c>
      <c r="M211" s="20" t="s">
        <v>228</v>
      </c>
      <c r="N211" t="s">
        <v>220</v>
      </c>
    </row>
    <row r="212" spans="1:14" x14ac:dyDescent="0.2">
      <c r="A212" s="3">
        <v>43594.279017280103</v>
      </c>
      <c r="B212" s="3" t="s">
        <v>248</v>
      </c>
      <c r="C212" s="2" t="s">
        <v>491</v>
      </c>
      <c r="D212" s="2" t="s">
        <v>230</v>
      </c>
      <c r="E212" s="2" t="s">
        <v>221</v>
      </c>
      <c r="F212" s="3" t="s">
        <v>438</v>
      </c>
      <c r="G212" s="2">
        <v>3764.24462890625</v>
      </c>
      <c r="H212" s="2">
        <v>0</v>
      </c>
      <c r="I212" s="2" t="s">
        <v>521</v>
      </c>
      <c r="J212" s="2" t="s">
        <v>522</v>
      </c>
      <c r="K212" s="2" t="s">
        <v>523</v>
      </c>
      <c r="L212" s="2" t="s">
        <v>121</v>
      </c>
      <c r="M212" s="20" t="s">
        <v>251</v>
      </c>
      <c r="N212" t="s">
        <v>220</v>
      </c>
    </row>
    <row r="213" spans="1:14" x14ac:dyDescent="0.2">
      <c r="A213" s="3">
        <v>43594.279023495401</v>
      </c>
      <c r="B213" s="3" t="s">
        <v>248</v>
      </c>
      <c r="C213" s="2" t="s">
        <v>491</v>
      </c>
      <c r="D213" s="2" t="s">
        <v>230</v>
      </c>
      <c r="E213" s="2" t="s">
        <v>221</v>
      </c>
      <c r="F213" s="3" t="s">
        <v>439</v>
      </c>
      <c r="G213" s="2">
        <v>3764.24462890625</v>
      </c>
      <c r="H213" s="2">
        <v>15.56565284729</v>
      </c>
      <c r="I213" s="2" t="s">
        <v>521</v>
      </c>
      <c r="J213" s="2" t="s">
        <v>522</v>
      </c>
      <c r="K213" s="2" t="s">
        <v>523</v>
      </c>
      <c r="L213" s="2" t="s">
        <v>121</v>
      </c>
      <c r="M213" s="20" t="s">
        <v>251</v>
      </c>
      <c r="N213" t="s">
        <v>220</v>
      </c>
    </row>
    <row r="214" spans="1:14" x14ac:dyDescent="0.2">
      <c r="A214" s="3">
        <v>43594.302582060198</v>
      </c>
      <c r="B214" s="3" t="s">
        <v>248</v>
      </c>
      <c r="C214" s="2" t="s">
        <v>497</v>
      </c>
      <c r="D214" s="2" t="s">
        <v>219</v>
      </c>
      <c r="E214" s="2" t="s">
        <v>221</v>
      </c>
      <c r="F214" s="3" t="s">
        <v>440</v>
      </c>
      <c r="G214" s="2">
        <v>67195.8203125</v>
      </c>
      <c r="H214" s="2">
        <v>0</v>
      </c>
      <c r="I214" s="2" t="s">
        <v>521</v>
      </c>
      <c r="J214" s="2" t="s">
        <v>522</v>
      </c>
      <c r="K214" s="2" t="s">
        <v>523</v>
      </c>
      <c r="L214" s="2" t="s">
        <v>121</v>
      </c>
      <c r="M214" s="20" t="s">
        <v>251</v>
      </c>
      <c r="N214" t="s">
        <v>220</v>
      </c>
    </row>
    <row r="215" spans="1:14" x14ac:dyDescent="0.2">
      <c r="A215" s="3">
        <v>43594.373171296298</v>
      </c>
      <c r="B215" s="3" t="s">
        <v>224</v>
      </c>
      <c r="C215" s="2" t="s">
        <v>490</v>
      </c>
      <c r="D215" s="2" t="s">
        <v>223</v>
      </c>
      <c r="E215" s="2" t="s">
        <v>221</v>
      </c>
      <c r="F215" s="3" t="s">
        <v>441</v>
      </c>
      <c r="G215" s="2">
        <v>12933.8447265625</v>
      </c>
      <c r="H215" s="2">
        <v>32.889244079589801</v>
      </c>
      <c r="I215" s="2" t="s">
        <v>521</v>
      </c>
      <c r="J215" s="2" t="s">
        <v>522</v>
      </c>
      <c r="K215" s="2" t="s">
        <v>523</v>
      </c>
      <c r="L215" s="2" t="s">
        <v>121</v>
      </c>
      <c r="M215" s="20" t="s">
        <v>228</v>
      </c>
      <c r="N215" t="s">
        <v>220</v>
      </c>
    </row>
    <row r="216" spans="1:14" x14ac:dyDescent="0.2">
      <c r="A216" s="3">
        <v>43594.409606828704</v>
      </c>
      <c r="B216" s="3" t="s">
        <v>248</v>
      </c>
      <c r="C216" s="2" t="s">
        <v>497</v>
      </c>
      <c r="D216" s="2" t="s">
        <v>219</v>
      </c>
      <c r="E216" s="2" t="s">
        <v>221</v>
      </c>
      <c r="F216" s="3" t="s">
        <v>442</v>
      </c>
      <c r="G216" s="2">
        <v>67195.8203125</v>
      </c>
      <c r="H216" s="2">
        <v>0.15124677121639299</v>
      </c>
      <c r="I216" s="2" t="s">
        <v>521</v>
      </c>
      <c r="J216" s="2" t="s">
        <v>522</v>
      </c>
      <c r="K216" s="2" t="s">
        <v>523</v>
      </c>
      <c r="L216" s="2" t="s">
        <v>121</v>
      </c>
      <c r="M216" s="20" t="s">
        <v>251</v>
      </c>
      <c r="N216" t="s">
        <v>220</v>
      </c>
    </row>
    <row r="217" spans="1:14" x14ac:dyDescent="0.2">
      <c r="A217" s="3">
        <v>43594.421400462998</v>
      </c>
      <c r="B217" s="3" t="s">
        <v>224</v>
      </c>
      <c r="C217" s="2" t="s">
        <v>514</v>
      </c>
      <c r="D217" s="2" t="s">
        <v>295</v>
      </c>
      <c r="E217" s="2" t="s">
        <v>221</v>
      </c>
      <c r="F217" s="3" t="s">
        <v>443</v>
      </c>
      <c r="G217" s="2">
        <v>93528.421875</v>
      </c>
      <c r="H217" s="2">
        <v>34.617832183837898</v>
      </c>
      <c r="I217" s="2" t="s">
        <v>521</v>
      </c>
      <c r="J217" s="2" t="s">
        <v>522</v>
      </c>
      <c r="K217" s="2" t="s">
        <v>523</v>
      </c>
      <c r="L217" s="2" t="s">
        <v>121</v>
      </c>
      <c r="M217" s="20" t="s">
        <v>228</v>
      </c>
      <c r="N217" t="s">
        <v>220</v>
      </c>
    </row>
    <row r="218" spans="1:14" x14ac:dyDescent="0.2">
      <c r="A218" s="3">
        <v>43594.439525463</v>
      </c>
      <c r="B218" s="3" t="s">
        <v>222</v>
      </c>
      <c r="C218" s="2" t="s">
        <v>497</v>
      </c>
      <c r="D218" s="2" t="s">
        <v>219</v>
      </c>
      <c r="E218" s="2" t="s">
        <v>221</v>
      </c>
      <c r="F218" s="3" t="s">
        <v>444</v>
      </c>
      <c r="G218" s="2">
        <v>67195.9765625</v>
      </c>
      <c r="H218" s="2">
        <v>0</v>
      </c>
      <c r="I218" s="2" t="s">
        <v>521</v>
      </c>
      <c r="J218" s="2" t="s">
        <v>522</v>
      </c>
      <c r="K218" s="2" t="s">
        <v>523</v>
      </c>
      <c r="L218" s="2" t="s">
        <v>121</v>
      </c>
      <c r="M218" s="20" t="s">
        <v>228</v>
      </c>
      <c r="N218" t="s">
        <v>220</v>
      </c>
    </row>
    <row r="219" spans="1:14" x14ac:dyDescent="0.2">
      <c r="A219" s="3">
        <v>43594.439710648097</v>
      </c>
      <c r="B219" s="3" t="s">
        <v>222</v>
      </c>
      <c r="C219" s="2" t="s">
        <v>497</v>
      </c>
      <c r="D219" s="2" t="s">
        <v>219</v>
      </c>
      <c r="E219" s="2" t="s">
        <v>221</v>
      </c>
      <c r="F219" s="3" t="s">
        <v>445</v>
      </c>
      <c r="G219" s="2">
        <v>67195.9765625</v>
      </c>
      <c r="H219" s="2">
        <v>3.7282273769378702</v>
      </c>
      <c r="I219" s="2" t="s">
        <v>521</v>
      </c>
      <c r="J219" s="2" t="s">
        <v>522</v>
      </c>
      <c r="K219" s="2" t="s">
        <v>523</v>
      </c>
      <c r="L219" s="2" t="s">
        <v>121</v>
      </c>
      <c r="M219" s="20" t="s">
        <v>255</v>
      </c>
      <c r="N219" t="s">
        <v>220</v>
      </c>
    </row>
    <row r="220" spans="1:14" x14ac:dyDescent="0.2">
      <c r="A220" s="3">
        <v>43594.550960648201</v>
      </c>
      <c r="B220" s="3" t="s">
        <v>224</v>
      </c>
      <c r="C220" s="2" t="s">
        <v>493</v>
      </c>
      <c r="D220" s="2" t="s">
        <v>235</v>
      </c>
      <c r="E220" s="2" t="s">
        <v>221</v>
      </c>
      <c r="F220" s="3" t="s">
        <v>446</v>
      </c>
      <c r="G220" s="2">
        <v>60958.76953125</v>
      </c>
      <c r="H220" s="2">
        <v>10.846655845642101</v>
      </c>
      <c r="I220" s="2" t="s">
        <v>521</v>
      </c>
      <c r="J220" s="2" t="s">
        <v>522</v>
      </c>
      <c r="K220" s="2" t="s">
        <v>523</v>
      </c>
      <c r="L220" s="2" t="s">
        <v>121</v>
      </c>
      <c r="M220" s="20" t="s">
        <v>228</v>
      </c>
      <c r="N220" t="s">
        <v>220</v>
      </c>
    </row>
    <row r="221" spans="1:14" x14ac:dyDescent="0.2">
      <c r="A221" s="3">
        <v>43594.682256944398</v>
      </c>
      <c r="B221" s="3" t="s">
        <v>224</v>
      </c>
      <c r="C221" s="2" t="s">
        <v>494</v>
      </c>
      <c r="D221" s="2" t="s">
        <v>237</v>
      </c>
      <c r="E221" s="2" t="s">
        <v>221</v>
      </c>
      <c r="F221" s="3" t="s">
        <v>447</v>
      </c>
      <c r="G221" s="2">
        <v>82498.5</v>
      </c>
      <c r="H221" s="2">
        <v>12.983936309814499</v>
      </c>
      <c r="I221" s="2" t="s">
        <v>521</v>
      </c>
      <c r="J221" s="2" t="s">
        <v>522</v>
      </c>
      <c r="K221" s="2" t="s">
        <v>523</v>
      </c>
      <c r="L221" s="2" t="s">
        <v>121</v>
      </c>
      <c r="M221" s="20" t="s">
        <v>228</v>
      </c>
      <c r="N221" t="s">
        <v>220</v>
      </c>
    </row>
    <row r="222" spans="1:14" x14ac:dyDescent="0.2">
      <c r="A222" s="3">
        <v>43594.769907407397</v>
      </c>
      <c r="B222" s="3" t="s">
        <v>224</v>
      </c>
      <c r="C222" s="2" t="s">
        <v>495</v>
      </c>
      <c r="D222" s="2" t="s">
        <v>245</v>
      </c>
      <c r="E222" s="2" t="s">
        <v>221</v>
      </c>
      <c r="F222" s="3" t="s">
        <v>448</v>
      </c>
      <c r="G222" s="2">
        <v>119776.5078125</v>
      </c>
      <c r="H222" s="2">
        <v>71.396530151367202</v>
      </c>
      <c r="I222" s="2" t="s">
        <v>521</v>
      </c>
      <c r="J222" s="2" t="s">
        <v>522</v>
      </c>
      <c r="K222" s="2" t="s">
        <v>523</v>
      </c>
      <c r="L222" s="2" t="s">
        <v>121</v>
      </c>
      <c r="M222" s="20" t="s">
        <v>228</v>
      </c>
      <c r="N222" t="s">
        <v>220</v>
      </c>
    </row>
    <row r="223" spans="1:14" x14ac:dyDescent="0.2">
      <c r="A223" s="3">
        <v>43595.245706018497</v>
      </c>
      <c r="B223" s="3" t="s">
        <v>224</v>
      </c>
      <c r="C223" s="2" t="s">
        <v>493</v>
      </c>
      <c r="D223" s="2" t="s">
        <v>235</v>
      </c>
      <c r="E223" s="2" t="s">
        <v>221</v>
      </c>
      <c r="F223" s="3" t="s">
        <v>449</v>
      </c>
      <c r="G223" s="2">
        <v>60969.6171875</v>
      </c>
      <c r="H223" s="2">
        <v>14.451577186584499</v>
      </c>
      <c r="I223" s="2" t="s">
        <v>521</v>
      </c>
      <c r="J223" s="2" t="s">
        <v>522</v>
      </c>
      <c r="K223" s="2" t="s">
        <v>523</v>
      </c>
      <c r="L223" s="2" t="s">
        <v>121</v>
      </c>
      <c r="M223" s="20" t="s">
        <v>228</v>
      </c>
      <c r="N223" t="s">
        <v>220</v>
      </c>
    </row>
    <row r="224" spans="1:14" x14ac:dyDescent="0.2">
      <c r="A224" s="3">
        <v>43595.279814270798</v>
      </c>
      <c r="B224" s="3" t="s">
        <v>248</v>
      </c>
      <c r="C224" s="2" t="s">
        <v>491</v>
      </c>
      <c r="D224" s="2" t="s">
        <v>230</v>
      </c>
      <c r="E224" s="2" t="s">
        <v>221</v>
      </c>
      <c r="F224" s="3" t="s">
        <v>450</v>
      </c>
      <c r="G224" s="2">
        <v>3779.81030273438</v>
      </c>
      <c r="H224" s="2">
        <v>64.979621887207003</v>
      </c>
      <c r="I224" s="2" t="s">
        <v>521</v>
      </c>
      <c r="J224" s="2" t="s">
        <v>522</v>
      </c>
      <c r="K224" s="2" t="s">
        <v>523</v>
      </c>
      <c r="L224" s="2" t="s">
        <v>121</v>
      </c>
      <c r="M224" s="20" t="s">
        <v>251</v>
      </c>
      <c r="N224" t="s">
        <v>220</v>
      </c>
    </row>
    <row r="225" spans="1:14" x14ac:dyDescent="0.2">
      <c r="A225" s="3">
        <v>43595.289050925901</v>
      </c>
      <c r="B225" s="3" t="s">
        <v>222</v>
      </c>
      <c r="C225" s="2" t="s">
        <v>497</v>
      </c>
      <c r="D225" s="2" t="s">
        <v>219</v>
      </c>
      <c r="E225" s="2" t="s">
        <v>221</v>
      </c>
      <c r="F225" s="3" t="s">
        <v>451</v>
      </c>
      <c r="G225" s="2">
        <v>67199.703125</v>
      </c>
      <c r="H225" s="2">
        <v>0</v>
      </c>
      <c r="I225" s="2" t="s">
        <v>521</v>
      </c>
      <c r="J225" s="2" t="s">
        <v>522</v>
      </c>
      <c r="K225" s="2" t="s">
        <v>523</v>
      </c>
      <c r="L225" s="2" t="s">
        <v>121</v>
      </c>
      <c r="M225" s="20" t="s">
        <v>228</v>
      </c>
      <c r="N225" t="s">
        <v>220</v>
      </c>
    </row>
    <row r="226" spans="1:14" x14ac:dyDescent="0.2">
      <c r="A226" s="3">
        <v>43595.289930555598</v>
      </c>
      <c r="B226" s="3" t="s">
        <v>222</v>
      </c>
      <c r="C226" s="2" t="s">
        <v>497</v>
      </c>
      <c r="D226" s="2" t="s">
        <v>219</v>
      </c>
      <c r="E226" s="2" t="s">
        <v>221</v>
      </c>
      <c r="F226" s="3" t="s">
        <v>512</v>
      </c>
      <c r="G226" s="2">
        <v>67199.703125</v>
      </c>
      <c r="H226" s="2">
        <v>-4.9709696322679502E-3</v>
      </c>
      <c r="I226" s="2" t="s">
        <v>521</v>
      </c>
      <c r="J226" s="2" t="s">
        <v>522</v>
      </c>
      <c r="K226" s="2" t="s">
        <v>523</v>
      </c>
      <c r="L226" s="2" t="s">
        <v>121</v>
      </c>
      <c r="M226" s="20" t="s">
        <v>255</v>
      </c>
      <c r="N226" t="s">
        <v>220</v>
      </c>
    </row>
    <row r="227" spans="1:14" x14ac:dyDescent="0.2">
      <c r="A227" s="3">
        <v>43595.292478356503</v>
      </c>
      <c r="B227" s="3" t="s">
        <v>248</v>
      </c>
      <c r="C227" s="2" t="s">
        <v>497</v>
      </c>
      <c r="D227" s="2" t="s">
        <v>219</v>
      </c>
      <c r="E227" s="2" t="s">
        <v>221</v>
      </c>
      <c r="F227" s="3" t="s">
        <v>452</v>
      </c>
      <c r="G227" s="2">
        <v>67199.6953125</v>
      </c>
      <c r="H227" s="2">
        <v>0.225578963756561</v>
      </c>
      <c r="I227" s="2" t="s">
        <v>521</v>
      </c>
      <c r="J227" s="2" t="s">
        <v>522</v>
      </c>
      <c r="K227" s="2" t="s">
        <v>523</v>
      </c>
      <c r="L227" s="2" t="s">
        <v>121</v>
      </c>
      <c r="M227" s="20" t="s">
        <v>251</v>
      </c>
      <c r="N227" t="s">
        <v>220</v>
      </c>
    </row>
    <row r="228" spans="1:14" x14ac:dyDescent="0.2">
      <c r="A228" s="3">
        <v>43595.294398460603</v>
      </c>
      <c r="B228" s="3" t="s">
        <v>248</v>
      </c>
      <c r="C228" s="2" t="s">
        <v>513</v>
      </c>
      <c r="D228" s="2" t="s">
        <v>258</v>
      </c>
      <c r="E228" s="2" t="s">
        <v>221</v>
      </c>
      <c r="F228" s="3" t="s">
        <v>453</v>
      </c>
      <c r="G228" s="2">
        <v>0</v>
      </c>
      <c r="H228" s="2">
        <v>0</v>
      </c>
      <c r="I228" s="2" t="s">
        <v>521</v>
      </c>
      <c r="J228" s="2" t="s">
        <v>522</v>
      </c>
      <c r="K228" s="2" t="s">
        <v>523</v>
      </c>
      <c r="L228" s="2" t="s">
        <v>121</v>
      </c>
      <c r="M228" s="20" t="s">
        <v>251</v>
      </c>
      <c r="N228" t="s">
        <v>220</v>
      </c>
    </row>
    <row r="229" spans="1:14" x14ac:dyDescent="0.2">
      <c r="A229" s="3">
        <v>43595.309467592597</v>
      </c>
      <c r="B229" s="3" t="s">
        <v>222</v>
      </c>
      <c r="C229" s="2" t="s">
        <v>490</v>
      </c>
      <c r="D229" s="2" t="s">
        <v>223</v>
      </c>
      <c r="E229" s="2" t="s">
        <v>221</v>
      </c>
      <c r="F229" s="3" t="s">
        <v>454</v>
      </c>
      <c r="G229" s="2">
        <v>12966.7333984375</v>
      </c>
      <c r="H229" s="2">
        <v>3.9091586950235101E-4</v>
      </c>
      <c r="I229" s="2" t="s">
        <v>521</v>
      </c>
      <c r="J229" s="2" t="s">
        <v>522</v>
      </c>
      <c r="K229" s="2" t="s">
        <v>523</v>
      </c>
      <c r="L229" s="2" t="s">
        <v>121</v>
      </c>
      <c r="M229" s="20" t="s">
        <v>228</v>
      </c>
      <c r="N229" t="s">
        <v>220</v>
      </c>
    </row>
    <row r="230" spans="1:14" x14ac:dyDescent="0.2">
      <c r="A230" s="3">
        <v>43595.310173611098</v>
      </c>
      <c r="B230" s="3" t="s">
        <v>222</v>
      </c>
      <c r="C230" s="2" t="s">
        <v>490</v>
      </c>
      <c r="D230" s="2" t="s">
        <v>223</v>
      </c>
      <c r="E230" s="2" t="s">
        <v>221</v>
      </c>
      <c r="F230" s="3" t="s">
        <v>455</v>
      </c>
      <c r="G230" s="2">
        <v>12966.734375</v>
      </c>
      <c r="H230" s="2">
        <v>3.9475681781768799</v>
      </c>
      <c r="I230" s="2" t="s">
        <v>521</v>
      </c>
      <c r="J230" s="2" t="s">
        <v>522</v>
      </c>
      <c r="K230" s="2" t="s">
        <v>523</v>
      </c>
      <c r="L230" s="2" t="s">
        <v>121</v>
      </c>
      <c r="M230" s="20" t="s">
        <v>255</v>
      </c>
      <c r="N230" t="s">
        <v>220</v>
      </c>
    </row>
    <row r="231" spans="1:14" x14ac:dyDescent="0.2">
      <c r="A231" s="3">
        <v>43595.340868055602</v>
      </c>
      <c r="B231" s="3" t="s">
        <v>224</v>
      </c>
      <c r="C231" s="2" t="s">
        <v>514</v>
      </c>
      <c r="D231" s="2" t="s">
        <v>295</v>
      </c>
      <c r="E231" s="2" t="s">
        <v>221</v>
      </c>
      <c r="F231" s="3" t="s">
        <v>456</v>
      </c>
      <c r="G231" s="2">
        <v>93563.0390625</v>
      </c>
      <c r="H231" s="2">
        <v>10.6850996017456</v>
      </c>
      <c r="I231" s="2" t="s">
        <v>521</v>
      </c>
      <c r="J231" s="2" t="s">
        <v>522</v>
      </c>
      <c r="K231" s="2" t="s">
        <v>523</v>
      </c>
      <c r="L231" s="2" t="s">
        <v>121</v>
      </c>
      <c r="M231" s="20" t="s">
        <v>228</v>
      </c>
      <c r="N231" t="s">
        <v>220</v>
      </c>
    </row>
    <row r="232" spans="1:14" x14ac:dyDescent="0.2">
      <c r="A232" s="3">
        <v>43595.381217326401</v>
      </c>
      <c r="B232" s="3" t="s">
        <v>248</v>
      </c>
      <c r="C232" s="2" t="s">
        <v>497</v>
      </c>
      <c r="D232" s="2" t="s">
        <v>219</v>
      </c>
      <c r="E232" s="2" t="s">
        <v>221</v>
      </c>
      <c r="F232" s="3" t="s">
        <v>457</v>
      </c>
      <c r="G232" s="2">
        <v>67199.921875</v>
      </c>
      <c r="I232" s="2" t="s">
        <v>521</v>
      </c>
      <c r="J232" s="2" t="s">
        <v>522</v>
      </c>
      <c r="K232" s="2" t="s">
        <v>523</v>
      </c>
      <c r="L232" s="2" t="s">
        <v>121</v>
      </c>
      <c r="M232" s="20" t="s">
        <v>251</v>
      </c>
      <c r="N232" t="s">
        <v>220</v>
      </c>
    </row>
    <row r="233" spans="1:14" x14ac:dyDescent="0.2">
      <c r="A233" s="3">
        <v>43595.627673611103</v>
      </c>
      <c r="B233" s="3" t="s">
        <v>224</v>
      </c>
      <c r="C233" s="2" t="s">
        <v>490</v>
      </c>
      <c r="D233" s="2" t="s">
        <v>223</v>
      </c>
      <c r="E233" s="2" t="s">
        <v>221</v>
      </c>
      <c r="F233" s="3" t="s">
        <v>458</v>
      </c>
      <c r="G233" s="2">
        <v>12970.681640625</v>
      </c>
      <c r="H233" s="2">
        <v>19.042091369628899</v>
      </c>
      <c r="I233" s="2" t="s">
        <v>521</v>
      </c>
      <c r="J233" s="2" t="s">
        <v>522</v>
      </c>
      <c r="K233" s="2" t="s">
        <v>523</v>
      </c>
      <c r="L233" s="2" t="s">
        <v>121</v>
      </c>
      <c r="M233" s="20" t="s">
        <v>228</v>
      </c>
      <c r="N233" t="s">
        <v>220</v>
      </c>
    </row>
    <row r="234" spans="1:14" x14ac:dyDescent="0.2">
      <c r="A234" s="3">
        <v>43595.643611111103</v>
      </c>
      <c r="B234" s="3" t="s">
        <v>222</v>
      </c>
      <c r="C234" s="2" t="s">
        <v>492</v>
      </c>
      <c r="D234" s="2" t="s">
        <v>232</v>
      </c>
      <c r="E234" s="2" t="s">
        <v>221</v>
      </c>
      <c r="F234" s="3" t="s">
        <v>459</v>
      </c>
      <c r="G234" s="2">
        <v>117716.109375</v>
      </c>
      <c r="H234" s="2">
        <v>5.1039446145296097E-2</v>
      </c>
      <c r="I234" s="2" t="s">
        <v>521</v>
      </c>
      <c r="J234" s="2" t="s">
        <v>522</v>
      </c>
      <c r="K234" s="2" t="s">
        <v>523</v>
      </c>
      <c r="L234" s="2" t="s">
        <v>121</v>
      </c>
      <c r="M234" s="20" t="s">
        <v>228</v>
      </c>
      <c r="N234" t="s">
        <v>220</v>
      </c>
    </row>
    <row r="235" spans="1:14" x14ac:dyDescent="0.2">
      <c r="A235" s="3">
        <v>43595.643703703703</v>
      </c>
      <c r="B235" s="3" t="s">
        <v>222</v>
      </c>
      <c r="C235" s="2" t="s">
        <v>492</v>
      </c>
      <c r="D235" s="2" t="s">
        <v>232</v>
      </c>
      <c r="E235" s="2" t="s">
        <v>221</v>
      </c>
      <c r="F235" s="3" t="s">
        <v>460</v>
      </c>
      <c r="G235" s="2">
        <v>117716.15625</v>
      </c>
      <c r="H235" s="2">
        <v>1.31379723548889</v>
      </c>
      <c r="I235" s="2" t="s">
        <v>521</v>
      </c>
      <c r="J235" s="2" t="s">
        <v>522</v>
      </c>
      <c r="K235" s="2" t="s">
        <v>523</v>
      </c>
      <c r="L235" s="2" t="s">
        <v>121</v>
      </c>
      <c r="M235" s="20" t="s">
        <v>255</v>
      </c>
      <c r="N235" t="s">
        <v>220</v>
      </c>
    </row>
    <row r="236" spans="1:14" x14ac:dyDescent="0.2">
      <c r="A236" s="3">
        <v>43595.645590277803</v>
      </c>
      <c r="B236" s="3" t="s">
        <v>222</v>
      </c>
      <c r="C236" s="2" t="s">
        <v>492</v>
      </c>
      <c r="D236" s="2" t="s">
        <v>232</v>
      </c>
      <c r="E236" s="2" t="s">
        <v>221</v>
      </c>
      <c r="F236" s="3" t="s">
        <v>461</v>
      </c>
      <c r="G236" s="2">
        <v>117717.46875</v>
      </c>
      <c r="H236" s="2">
        <v>6.4449600875377697E-2</v>
      </c>
      <c r="I236" s="2" t="s">
        <v>521</v>
      </c>
      <c r="J236" s="2" t="s">
        <v>522</v>
      </c>
      <c r="K236" s="2" t="s">
        <v>523</v>
      </c>
      <c r="L236" s="2" t="s">
        <v>121</v>
      </c>
      <c r="M236" s="20" t="s">
        <v>228</v>
      </c>
      <c r="N236" t="s">
        <v>220</v>
      </c>
    </row>
    <row r="237" spans="1:14" x14ac:dyDescent="0.2">
      <c r="A237" s="3">
        <v>43595.645775463003</v>
      </c>
      <c r="B237" s="3" t="s">
        <v>222</v>
      </c>
      <c r="C237" s="2" t="s">
        <v>492</v>
      </c>
      <c r="D237" s="2" t="s">
        <v>232</v>
      </c>
      <c r="E237" s="2" t="s">
        <v>221</v>
      </c>
      <c r="F237" s="3" t="s">
        <v>462</v>
      </c>
      <c r="G237" s="2">
        <v>117717.5390625</v>
      </c>
      <c r="H237" s="2">
        <v>24.865364074706999</v>
      </c>
      <c r="I237" s="2" t="s">
        <v>521</v>
      </c>
      <c r="J237" s="2" t="s">
        <v>522</v>
      </c>
      <c r="K237" s="2" t="s">
        <v>523</v>
      </c>
      <c r="L237" s="2" t="s">
        <v>121</v>
      </c>
      <c r="M237" s="20" t="s">
        <v>255</v>
      </c>
      <c r="N237" t="s">
        <v>220</v>
      </c>
    </row>
    <row r="238" spans="1:14" x14ac:dyDescent="0.2">
      <c r="A238" s="3">
        <v>43595.676309340299</v>
      </c>
      <c r="B238" s="3" t="s">
        <v>224</v>
      </c>
      <c r="C238" s="2" t="s">
        <v>494</v>
      </c>
      <c r="D238" s="2" t="s">
        <v>237</v>
      </c>
      <c r="E238" s="2" t="s">
        <v>221</v>
      </c>
      <c r="F238" s="3" t="s">
        <v>463</v>
      </c>
      <c r="G238" s="2">
        <v>82511.484375</v>
      </c>
      <c r="I238" s="2" t="s">
        <v>521</v>
      </c>
      <c r="J238" s="2" t="s">
        <v>522</v>
      </c>
      <c r="K238" s="2" t="s">
        <v>523</v>
      </c>
      <c r="L238" s="2" t="s">
        <v>121</v>
      </c>
      <c r="M238" s="20" t="s">
        <v>228</v>
      </c>
      <c r="N238" t="s">
        <v>220</v>
      </c>
    </row>
    <row r="239" spans="1:14" x14ac:dyDescent="0.2">
      <c r="A239" s="3">
        <v>43595.721656307898</v>
      </c>
      <c r="B239" s="3" t="s">
        <v>248</v>
      </c>
      <c r="C239" s="2" t="s">
        <v>513</v>
      </c>
      <c r="D239" s="2" t="s">
        <v>258</v>
      </c>
      <c r="E239" s="2" t="s">
        <v>221</v>
      </c>
      <c r="F239" s="3" t="s">
        <v>464</v>
      </c>
      <c r="G239" s="2">
        <v>0</v>
      </c>
      <c r="H239" s="2">
        <v>0</v>
      </c>
      <c r="I239" s="2" t="s">
        <v>521</v>
      </c>
      <c r="J239" s="2" t="s">
        <v>522</v>
      </c>
      <c r="K239" s="2" t="s">
        <v>523</v>
      </c>
      <c r="L239" s="2" t="s">
        <v>121</v>
      </c>
      <c r="M239" s="20" t="s">
        <v>251</v>
      </c>
      <c r="N239" t="s">
        <v>220</v>
      </c>
    </row>
    <row r="240" spans="1:14" x14ac:dyDescent="0.2">
      <c r="A240" s="3">
        <v>43595.7344675926</v>
      </c>
      <c r="B240" s="3" t="s">
        <v>222</v>
      </c>
      <c r="C240" s="2" t="s">
        <v>492</v>
      </c>
      <c r="D240" s="2" t="s">
        <v>232</v>
      </c>
      <c r="E240" s="2" t="s">
        <v>221</v>
      </c>
      <c r="F240" s="3" t="s">
        <v>465</v>
      </c>
      <c r="G240" s="2">
        <v>117742.40625</v>
      </c>
      <c r="H240" s="2">
        <v>0.14209385216236101</v>
      </c>
      <c r="I240" s="2" t="s">
        <v>521</v>
      </c>
      <c r="J240" s="2" t="s">
        <v>522</v>
      </c>
      <c r="K240" s="2" t="s">
        <v>523</v>
      </c>
      <c r="L240" s="2" t="s">
        <v>121</v>
      </c>
      <c r="M240" s="20" t="s">
        <v>228</v>
      </c>
      <c r="N240" t="s">
        <v>220</v>
      </c>
    </row>
    <row r="241" spans="1:14" x14ac:dyDescent="0.2">
      <c r="A241" s="3">
        <v>43595.734664351898</v>
      </c>
      <c r="B241" s="3" t="s">
        <v>222</v>
      </c>
      <c r="C241" s="2" t="s">
        <v>492</v>
      </c>
      <c r="D241" s="2" t="s">
        <v>232</v>
      </c>
      <c r="E241" s="2" t="s">
        <v>221</v>
      </c>
      <c r="F241" s="3" t="s">
        <v>466</v>
      </c>
      <c r="G241" s="2">
        <v>117742.546875</v>
      </c>
      <c r="H241" s="2">
        <v>95.495361328125</v>
      </c>
      <c r="I241" s="2" t="s">
        <v>521</v>
      </c>
      <c r="J241" s="2" t="s">
        <v>522</v>
      </c>
      <c r="K241" s="2" t="s">
        <v>523</v>
      </c>
      <c r="L241" s="2" t="s">
        <v>121</v>
      </c>
      <c r="M241" s="20" t="s">
        <v>255</v>
      </c>
      <c r="N241" t="s">
        <v>220</v>
      </c>
    </row>
    <row r="242" spans="1:14" x14ac:dyDescent="0.2">
      <c r="A242" s="3">
        <v>43596.429166666698</v>
      </c>
      <c r="B242" s="3" t="s">
        <v>224</v>
      </c>
      <c r="C242" s="2" t="s">
        <v>490</v>
      </c>
      <c r="D242" s="2" t="s">
        <v>223</v>
      </c>
      <c r="E242" s="2" t="s">
        <v>221</v>
      </c>
      <c r="F242" s="3" t="s">
        <v>467</v>
      </c>
      <c r="G242" s="2">
        <v>12989.7236328125</v>
      </c>
      <c r="H242" s="2">
        <v>53.951129913330099</v>
      </c>
      <c r="I242" s="2" t="s">
        <v>521</v>
      </c>
      <c r="J242" s="2" t="s">
        <v>522</v>
      </c>
      <c r="K242" s="2" t="s">
        <v>523</v>
      </c>
      <c r="L242" s="2" t="s">
        <v>121</v>
      </c>
      <c r="M242" s="20" t="s">
        <v>228</v>
      </c>
      <c r="N242" t="s">
        <v>220</v>
      </c>
    </row>
    <row r="243" spans="1:14" x14ac:dyDescent="0.2">
      <c r="A243" s="3">
        <v>43596.606423611098</v>
      </c>
      <c r="B243" s="3" t="s">
        <v>224</v>
      </c>
      <c r="C243" s="2" t="s">
        <v>495</v>
      </c>
      <c r="D243" s="2" t="s">
        <v>245</v>
      </c>
      <c r="E243" s="2" t="s">
        <v>221</v>
      </c>
      <c r="F243" s="3" t="s">
        <v>468</v>
      </c>
      <c r="G243" s="2">
        <v>119847.90625</v>
      </c>
      <c r="H243" s="2">
        <v>27.5879096984863</v>
      </c>
      <c r="I243" s="2" t="s">
        <v>521</v>
      </c>
      <c r="J243" s="2" t="s">
        <v>522</v>
      </c>
      <c r="K243" s="2" t="s">
        <v>523</v>
      </c>
      <c r="L243" s="2" t="s">
        <v>121</v>
      </c>
      <c r="M243" s="20" t="s">
        <v>228</v>
      </c>
      <c r="N243" t="s">
        <v>220</v>
      </c>
    </row>
    <row r="244" spans="1:14" x14ac:dyDescent="0.2">
      <c r="A244" s="3">
        <v>43597.268483414402</v>
      </c>
      <c r="B244" s="3" t="s">
        <v>248</v>
      </c>
      <c r="C244" s="2" t="s">
        <v>513</v>
      </c>
      <c r="D244" s="2" t="s">
        <v>258</v>
      </c>
      <c r="E244" s="2" t="s">
        <v>221</v>
      </c>
      <c r="F244" s="3" t="s">
        <v>469</v>
      </c>
      <c r="G244" s="2">
        <v>0</v>
      </c>
      <c r="I244" s="2" t="s">
        <v>521</v>
      </c>
      <c r="J244" s="2" t="s">
        <v>522</v>
      </c>
      <c r="K244" s="2" t="s">
        <v>523</v>
      </c>
      <c r="L244" s="2" t="s">
        <v>121</v>
      </c>
      <c r="M244" s="20" t="s">
        <v>251</v>
      </c>
      <c r="N244" t="s">
        <v>220</v>
      </c>
    </row>
    <row r="245" spans="1:14" x14ac:dyDescent="0.2">
      <c r="A245" s="3">
        <v>43597.283219062498</v>
      </c>
      <c r="B245" s="3" t="s">
        <v>224</v>
      </c>
      <c r="C245" s="2" t="s">
        <v>514</v>
      </c>
      <c r="D245" s="2" t="s">
        <v>295</v>
      </c>
      <c r="E245" s="2" t="s">
        <v>221</v>
      </c>
      <c r="F245" s="3" t="s">
        <v>470</v>
      </c>
      <c r="G245" s="2">
        <v>93573.71875</v>
      </c>
      <c r="H245" s="2">
        <v>27.093183517456101</v>
      </c>
      <c r="I245" s="2" t="s">
        <v>521</v>
      </c>
      <c r="J245" s="2" t="s">
        <v>522</v>
      </c>
      <c r="K245" s="2" t="s">
        <v>523</v>
      </c>
      <c r="L245" s="2" t="s">
        <v>121</v>
      </c>
      <c r="M245" s="20" t="s">
        <v>228</v>
      </c>
      <c r="N245" t="s">
        <v>220</v>
      </c>
    </row>
    <row r="246" spans="1:14" x14ac:dyDescent="0.2">
      <c r="A246" s="3">
        <v>43597.496388888903</v>
      </c>
      <c r="B246" s="3" t="s">
        <v>224</v>
      </c>
      <c r="C246" s="2" t="s">
        <v>490</v>
      </c>
      <c r="D246" s="2" t="s">
        <v>223</v>
      </c>
      <c r="E246" s="2" t="s">
        <v>221</v>
      </c>
      <c r="F246" s="3" t="s">
        <v>471</v>
      </c>
      <c r="G246" s="2">
        <v>13043.6748046875</v>
      </c>
      <c r="H246" s="2">
        <v>51.165256500244098</v>
      </c>
      <c r="I246" s="2" t="s">
        <v>521</v>
      </c>
      <c r="J246" s="2" t="s">
        <v>522</v>
      </c>
      <c r="K246" s="2" t="s">
        <v>523</v>
      </c>
      <c r="L246" s="2" t="s">
        <v>121</v>
      </c>
      <c r="M246" s="20" t="s">
        <v>228</v>
      </c>
      <c r="N246" t="s">
        <v>220</v>
      </c>
    </row>
    <row r="247" spans="1:14" x14ac:dyDescent="0.2">
      <c r="A247" s="3">
        <v>43597.532025462999</v>
      </c>
      <c r="B247" s="3" t="s">
        <v>224</v>
      </c>
      <c r="C247" s="2" t="s">
        <v>495</v>
      </c>
      <c r="D247" s="2" t="s">
        <v>245</v>
      </c>
      <c r="E247" s="2" t="s">
        <v>221</v>
      </c>
      <c r="F247" s="3" t="s">
        <v>472</v>
      </c>
      <c r="G247" s="2">
        <v>119875.4921875</v>
      </c>
      <c r="H247" s="2">
        <v>40.147312164306598</v>
      </c>
      <c r="I247" s="2" t="s">
        <v>521</v>
      </c>
      <c r="J247" s="2" t="s">
        <v>522</v>
      </c>
      <c r="K247" s="2" t="s">
        <v>523</v>
      </c>
      <c r="L247" s="2" t="s">
        <v>121</v>
      </c>
      <c r="M247" s="20" t="s">
        <v>228</v>
      </c>
      <c r="N247" t="s">
        <v>220</v>
      </c>
    </row>
    <row r="248" spans="1:14" x14ac:dyDescent="0.2">
      <c r="A248" s="3">
        <v>43597.847083333298</v>
      </c>
      <c r="B248" s="3" t="s">
        <v>222</v>
      </c>
      <c r="C248" s="2" t="s">
        <v>492</v>
      </c>
      <c r="D248" s="2" t="s">
        <v>232</v>
      </c>
      <c r="E248" s="2" t="s">
        <v>221</v>
      </c>
      <c r="F248" s="3" t="s">
        <v>473</v>
      </c>
      <c r="G248" s="2">
        <v>117838.0390625</v>
      </c>
      <c r="H248" s="2">
        <v>1.7769800499081601E-2</v>
      </c>
      <c r="I248" s="2" t="s">
        <v>521</v>
      </c>
      <c r="J248" s="2" t="s">
        <v>522</v>
      </c>
      <c r="K248" s="2" t="s">
        <v>523</v>
      </c>
      <c r="L248" s="2" t="s">
        <v>121</v>
      </c>
      <c r="M248" s="20" t="s">
        <v>228</v>
      </c>
      <c r="N248" t="s">
        <v>220</v>
      </c>
    </row>
    <row r="249" spans="1:14" x14ac:dyDescent="0.2">
      <c r="A249" s="3">
        <v>43597.847187500003</v>
      </c>
      <c r="B249" s="3" t="s">
        <v>222</v>
      </c>
      <c r="C249" s="2" t="s">
        <v>492</v>
      </c>
      <c r="D249" s="2" t="s">
        <v>232</v>
      </c>
      <c r="E249" s="2" t="s">
        <v>221</v>
      </c>
      <c r="F249" s="3" t="s">
        <v>474</v>
      </c>
      <c r="G249" s="2">
        <v>117838.0546875</v>
      </c>
      <c r="H249" s="2">
        <v>8.5261278152465803</v>
      </c>
      <c r="I249" s="2" t="s">
        <v>521</v>
      </c>
      <c r="J249" s="2" t="s">
        <v>522</v>
      </c>
      <c r="K249" s="2" t="s">
        <v>523</v>
      </c>
      <c r="L249" s="2" t="s">
        <v>121</v>
      </c>
      <c r="M249" s="20" t="s">
        <v>255</v>
      </c>
      <c r="N249" t="s">
        <v>220</v>
      </c>
    </row>
    <row r="250" spans="1:14" x14ac:dyDescent="0.2">
      <c r="A250" s="3">
        <v>43597.871064814797</v>
      </c>
      <c r="B250" s="3" t="s">
        <v>222</v>
      </c>
      <c r="C250" s="2" t="s">
        <v>492</v>
      </c>
      <c r="D250" s="2" t="s">
        <v>232</v>
      </c>
      <c r="E250" s="2" t="s">
        <v>221</v>
      </c>
      <c r="F250" s="3" t="s">
        <v>475</v>
      </c>
      <c r="G250" s="2">
        <v>117846.5859375</v>
      </c>
      <c r="H250" s="2">
        <v>1.7234419938176901E-3</v>
      </c>
      <c r="I250" s="2" t="s">
        <v>521</v>
      </c>
      <c r="J250" s="2" t="s">
        <v>522</v>
      </c>
      <c r="K250" s="2" t="s">
        <v>523</v>
      </c>
      <c r="L250" s="2" t="s">
        <v>121</v>
      </c>
      <c r="M250" s="20" t="s">
        <v>228</v>
      </c>
      <c r="N250" t="s">
        <v>220</v>
      </c>
    </row>
    <row r="251" spans="1:14" x14ac:dyDescent="0.2">
      <c r="A251" s="3">
        <v>43597.871192129598</v>
      </c>
      <c r="B251" s="3" t="s">
        <v>222</v>
      </c>
      <c r="C251" s="2" t="s">
        <v>492</v>
      </c>
      <c r="D251" s="2" t="s">
        <v>232</v>
      </c>
      <c r="E251" s="2" t="s">
        <v>221</v>
      </c>
      <c r="F251" s="3" t="s">
        <v>476</v>
      </c>
      <c r="G251" s="2">
        <v>117846.5859375</v>
      </c>
      <c r="H251" s="2">
        <v>8.0700998306274396</v>
      </c>
      <c r="I251" s="2" t="s">
        <v>521</v>
      </c>
      <c r="J251" s="2" t="s">
        <v>522</v>
      </c>
      <c r="K251" s="2" t="s">
        <v>523</v>
      </c>
      <c r="L251" s="2" t="s">
        <v>121</v>
      </c>
      <c r="M251" s="20" t="s">
        <v>255</v>
      </c>
      <c r="N251" t="s">
        <v>220</v>
      </c>
    </row>
    <row r="252" spans="1:14" x14ac:dyDescent="0.2">
      <c r="A252" s="3">
        <v>43598.256898148102</v>
      </c>
      <c r="B252" s="3" t="s">
        <v>224</v>
      </c>
      <c r="C252" s="2" t="s">
        <v>493</v>
      </c>
      <c r="D252" s="2" t="s">
        <v>235</v>
      </c>
      <c r="E252" s="2" t="s">
        <v>221</v>
      </c>
      <c r="F252" s="3" t="s">
        <v>477</v>
      </c>
      <c r="G252" s="2">
        <v>60984.06640625</v>
      </c>
      <c r="H252" s="2">
        <v>-47889224</v>
      </c>
      <c r="I252" s="2" t="s">
        <v>521</v>
      </c>
      <c r="J252" s="2" t="s">
        <v>522</v>
      </c>
      <c r="K252" s="2" t="s">
        <v>523</v>
      </c>
      <c r="L252" s="2" t="s">
        <v>121</v>
      </c>
      <c r="M252" s="20" t="s">
        <v>228</v>
      </c>
      <c r="N252" t="s">
        <v>220</v>
      </c>
    </row>
    <row r="253" spans="1:14" x14ac:dyDescent="0.2">
      <c r="A253" s="3">
        <v>43598.277951388904</v>
      </c>
      <c r="B253" s="3" t="s">
        <v>224</v>
      </c>
      <c r="C253" s="2" t="s">
        <v>490</v>
      </c>
      <c r="D253" s="2" t="s">
        <v>223</v>
      </c>
      <c r="E253" s="2" t="s">
        <v>221</v>
      </c>
      <c r="F253" s="3" t="s">
        <v>478</v>
      </c>
      <c r="G253" s="2">
        <v>13094.83984375</v>
      </c>
      <c r="H253" s="2">
        <v>106820800</v>
      </c>
      <c r="I253" s="2" t="s">
        <v>521</v>
      </c>
      <c r="J253" s="2" t="s">
        <v>522</v>
      </c>
      <c r="K253" s="2" t="s">
        <v>523</v>
      </c>
      <c r="L253" s="2" t="s">
        <v>121</v>
      </c>
      <c r="M253" s="20" t="s">
        <v>228</v>
      </c>
      <c r="N253" t="s">
        <v>220</v>
      </c>
    </row>
    <row r="254" spans="1:14" x14ac:dyDescent="0.2">
      <c r="A254" s="3">
        <v>43598.317893518499</v>
      </c>
      <c r="B254" s="3" t="s">
        <v>224</v>
      </c>
      <c r="C254" s="2" t="s">
        <v>495</v>
      </c>
      <c r="D254" s="2" t="s">
        <v>245</v>
      </c>
      <c r="E254" s="2" t="s">
        <v>221</v>
      </c>
      <c r="F254" s="3" t="s">
        <v>479</v>
      </c>
      <c r="G254" s="2">
        <v>119915.640625</v>
      </c>
      <c r="H254" s="2">
        <v>-2060986.875</v>
      </c>
      <c r="I254" s="2" t="s">
        <v>521</v>
      </c>
      <c r="J254" s="2" t="s">
        <v>522</v>
      </c>
      <c r="K254" s="2" t="s">
        <v>523</v>
      </c>
      <c r="L254" s="2" t="s">
        <v>121</v>
      </c>
      <c r="M254" s="20" t="s">
        <v>228</v>
      </c>
      <c r="N254" t="s">
        <v>220</v>
      </c>
    </row>
    <row r="255" spans="1:14" x14ac:dyDescent="0.2">
      <c r="A255" s="3">
        <v>43598.343530092599</v>
      </c>
      <c r="B255" s="3" t="s">
        <v>222</v>
      </c>
      <c r="C255" s="2" t="s">
        <v>492</v>
      </c>
      <c r="D255" s="2" t="s">
        <v>232</v>
      </c>
      <c r="E255" s="2" t="s">
        <v>221</v>
      </c>
      <c r="F255" s="3" t="s">
        <v>480</v>
      </c>
      <c r="G255" s="2">
        <v>117854.65625</v>
      </c>
      <c r="H255" s="2">
        <v>1.13625098019838E-2</v>
      </c>
      <c r="I255" s="2" t="s">
        <v>521</v>
      </c>
      <c r="J255" s="2" t="s">
        <v>522</v>
      </c>
      <c r="K255" s="2" t="s">
        <v>523</v>
      </c>
      <c r="L255" s="2" t="s">
        <v>121</v>
      </c>
      <c r="M255" s="20" t="s">
        <v>228</v>
      </c>
      <c r="N255" t="s">
        <v>220</v>
      </c>
    </row>
    <row r="256" spans="1:14" x14ac:dyDescent="0.2">
      <c r="A256" s="3">
        <v>43598.343553240702</v>
      </c>
      <c r="B256" s="3" t="s">
        <v>222</v>
      </c>
      <c r="C256" s="2" t="s">
        <v>492</v>
      </c>
      <c r="D256" s="2" t="s">
        <v>232</v>
      </c>
      <c r="E256" s="2" t="s">
        <v>221</v>
      </c>
      <c r="F256" s="3" t="s">
        <v>481</v>
      </c>
      <c r="G256" s="2">
        <v>117854.6640625</v>
      </c>
      <c r="H256" s="2">
        <v>-24253852</v>
      </c>
      <c r="I256" s="2" t="s">
        <v>521</v>
      </c>
      <c r="J256" s="2" t="s">
        <v>522</v>
      </c>
      <c r="K256" s="2" t="s">
        <v>523</v>
      </c>
      <c r="L256" s="2" t="s">
        <v>121</v>
      </c>
      <c r="M256" s="20" t="s">
        <v>255</v>
      </c>
      <c r="N256" t="s">
        <v>220</v>
      </c>
    </row>
    <row r="257" spans="1:14" x14ac:dyDescent="0.2">
      <c r="A257" s="3">
        <v>43598.383553240703</v>
      </c>
      <c r="B257" s="3" t="s">
        <v>224</v>
      </c>
      <c r="C257" s="2" t="s">
        <v>514</v>
      </c>
      <c r="D257" s="2" t="s">
        <v>295</v>
      </c>
      <c r="E257" s="2" t="s">
        <v>221</v>
      </c>
      <c r="F257" s="3" t="s">
        <v>482</v>
      </c>
      <c r="G257" s="2">
        <v>93600.8125</v>
      </c>
      <c r="I257" s="2" t="s">
        <v>521</v>
      </c>
      <c r="J257" s="2" t="s">
        <v>522</v>
      </c>
      <c r="K257" s="2" t="s">
        <v>523</v>
      </c>
      <c r="L257" s="2" t="s">
        <v>121</v>
      </c>
      <c r="M257" s="20" t="s">
        <v>228</v>
      </c>
      <c r="N257" t="s">
        <v>220</v>
      </c>
    </row>
    <row r="258" spans="1:14" x14ac:dyDescent="0.2">
      <c r="A258" s="3">
        <v>43598.444375972198</v>
      </c>
      <c r="B258" s="3" t="s">
        <v>248</v>
      </c>
      <c r="C258" s="2" t="s">
        <v>491</v>
      </c>
      <c r="D258" s="2" t="s">
        <v>230</v>
      </c>
      <c r="E258" s="2" t="s">
        <v>221</v>
      </c>
      <c r="F258" s="3" t="s">
        <v>483</v>
      </c>
      <c r="G258" s="2">
        <v>3844.7900390625</v>
      </c>
      <c r="I258" s="2" t="s">
        <v>521</v>
      </c>
      <c r="J258" s="2" t="s">
        <v>522</v>
      </c>
      <c r="K258" s="2" t="s">
        <v>523</v>
      </c>
      <c r="L258" s="2" t="s">
        <v>121</v>
      </c>
      <c r="M258" s="20" t="s">
        <v>251</v>
      </c>
      <c r="N258" t="s">
        <v>220</v>
      </c>
    </row>
  </sheetData>
  <pageMargins left="0.7" right="0.7" top="0.75" bottom="0.75" header="0.3" footer="0.3"/>
  <pageSetup fitToHeight="10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260"/>
  <sheetViews>
    <sheetView showGridLines="0" workbookViewId="0">
      <pane ySplit="12" topLeftCell="A13" activePane="bottomLeft" state="frozen"/>
      <selection pane="bottomLeft" activeCell="I12" sqref="I12"/>
    </sheetView>
  </sheetViews>
  <sheetFormatPr defaultColWidth="9.140625" defaultRowHeight="14.25" x14ac:dyDescent="0.25"/>
  <cols>
    <col min="1" max="1" width="25.7109375" style="11" customWidth="1"/>
    <col min="2" max="2" width="25.7109375" style="19" customWidth="1"/>
    <col min="3" max="3" width="31.5703125" style="19" bestFit="1" customWidth="1"/>
    <col min="4" max="4" width="31.5703125" style="19" customWidth="1"/>
    <col min="5" max="5" width="80.140625" style="19" customWidth="1"/>
    <col min="6" max="6" width="13.140625" style="19" hidden="1" customWidth="1"/>
    <col min="7" max="7" width="17" style="19" hidden="1" customWidth="1"/>
    <col min="8" max="8" width="8.7109375" style="19" bestFit="1" customWidth="1"/>
    <col min="9" max="9" width="29.140625" style="19" customWidth="1"/>
    <col min="10" max="11" width="10.7109375" style="19" hidden="1" customWidth="1"/>
    <col min="12" max="12" width="15.42578125" style="19" hidden="1" customWidth="1"/>
    <col min="13" max="13" width="18.42578125" style="19" customWidth="1"/>
    <col min="14" max="14" width="19.5703125" style="19" customWidth="1"/>
    <col min="15" max="15" width="46.42578125" style="19" customWidth="1"/>
    <col min="16" max="16" width="19" style="19" customWidth="1"/>
    <col min="17" max="17" width="18.5703125" style="33" customWidth="1"/>
    <col min="18" max="18" width="13.42578125" style="11" customWidth="1"/>
    <col min="19" max="19" width="13.140625" style="11" bestFit="1" customWidth="1"/>
    <col min="20" max="20" width="13.42578125" style="11" bestFit="1" customWidth="1"/>
    <col min="21" max="21" width="13.140625" style="11" bestFit="1" customWidth="1"/>
    <col min="22" max="22" width="13.42578125" style="11" bestFit="1" customWidth="1"/>
    <col min="23" max="23" width="13.140625" style="11" bestFit="1" customWidth="1"/>
    <col min="24" max="24" width="13.42578125" style="11" bestFit="1" customWidth="1"/>
    <col min="25" max="25" width="13.140625" style="11" bestFit="1" customWidth="1"/>
    <col min="26" max="26" width="13.42578125" style="11" bestFit="1" customWidth="1"/>
    <col min="27" max="27" width="13.140625" style="11" bestFit="1" customWidth="1"/>
    <col min="28" max="16384" width="9.140625" style="11"/>
  </cols>
  <sheetData>
    <row r="1" spans="1:17" s="18" customFormat="1" ht="25.5" customHeight="1" x14ac:dyDescent="0.45">
      <c r="A1" s="53" t="s">
        <v>527</v>
      </c>
      <c r="C1" s="23">
        <f>Data!B2</f>
        <v>43598.449176643502</v>
      </c>
      <c r="D1" s="23"/>
      <c r="E1" s="23"/>
      <c r="F1" s="23"/>
      <c r="G1" s="23"/>
      <c r="H1" s="23"/>
      <c r="I1" s="23"/>
      <c r="J1" s="23"/>
      <c r="K1" s="23"/>
      <c r="L1" s="23"/>
      <c r="Q1" s="31"/>
    </row>
    <row r="2" spans="1:17" s="10" customFormat="1" ht="25.5" customHeight="1" x14ac:dyDescent="0.5">
      <c r="A2" s="59" t="str">
        <f>Data!B1</f>
        <v>ABC Company</v>
      </c>
      <c r="Q2" s="32"/>
    </row>
    <row r="3" spans="1:17" ht="17.45" customHeight="1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7" ht="17.45" customHeight="1" x14ac:dyDescent="0.25">
      <c r="A4" s="79" t="s">
        <v>45</v>
      </c>
      <c r="B4" s="80"/>
      <c r="M4" s="11"/>
      <c r="N4" s="11"/>
      <c r="O4" s="11"/>
      <c r="P4" s="11"/>
    </row>
    <row r="5" spans="1:17" ht="17.45" customHeight="1" x14ac:dyDescent="0.3">
      <c r="A5" s="62" t="s">
        <v>40</v>
      </c>
      <c r="B5" s="56">
        <f>Data!B3</f>
        <v>43568.449169502303</v>
      </c>
      <c r="M5" s="12"/>
      <c r="N5" s="12"/>
      <c r="O5" s="12"/>
      <c r="P5" s="12"/>
      <c r="Q5" s="34"/>
    </row>
    <row r="6" spans="1:17" ht="17.45" customHeight="1" x14ac:dyDescent="0.3">
      <c r="A6" s="62" t="s">
        <v>41</v>
      </c>
      <c r="B6" s="56">
        <f>Data!B4</f>
        <v>43598.449169502303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35"/>
    </row>
    <row r="7" spans="1:17" ht="17.45" customHeight="1" x14ac:dyDescent="0.3">
      <c r="A7" s="62" t="s">
        <v>525</v>
      </c>
      <c r="B7" s="57">
        <f>B6-B5</f>
        <v>30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35"/>
    </row>
    <row r="8" spans="1:17" ht="17.45" customHeight="1" x14ac:dyDescent="0.3">
      <c r="A8" s="24"/>
      <c r="B8" s="25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35"/>
    </row>
    <row r="9" spans="1:17" ht="17.45" customHeight="1" x14ac:dyDescent="0.3">
      <c r="A9" s="58" t="s">
        <v>42</v>
      </c>
      <c r="B9" s="55" t="str">
        <f>Data!B5</f>
        <v>miles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35"/>
    </row>
    <row r="10" spans="1:17" ht="17.45" customHeight="1" x14ac:dyDescent="0.25">
      <c r="A10" s="58" t="s">
        <v>526</v>
      </c>
      <c r="B10" s="57">
        <f>COUNTA(E:E)+11</f>
        <v>260</v>
      </c>
    </row>
    <row r="11" spans="1:17" ht="17.45" customHeight="1" x14ac:dyDescent="0.25">
      <c r="B11" s="22"/>
    </row>
    <row r="12" spans="1:17" s="30" customFormat="1" ht="18" customHeight="1" x14ac:dyDescent="0.2">
      <c r="A12" s="29" t="s">
        <v>528</v>
      </c>
      <c r="B12" s="30" t="s">
        <v>45</v>
      </c>
      <c r="C12" s="30" t="s">
        <v>30</v>
      </c>
      <c r="D12" s="30" t="s">
        <v>529</v>
      </c>
      <c r="E12" s="30" t="s">
        <v>530</v>
      </c>
      <c r="F12" s="30" t="s">
        <v>484</v>
      </c>
      <c r="G12" s="30" t="s">
        <v>488</v>
      </c>
      <c r="H12" s="30" t="s">
        <v>531</v>
      </c>
      <c r="I12" s="30" t="s">
        <v>532</v>
      </c>
      <c r="J12" s="30" t="s">
        <v>485</v>
      </c>
      <c r="K12" s="30" t="s">
        <v>220</v>
      </c>
      <c r="L12" s="30" t="s">
        <v>227</v>
      </c>
      <c r="M12" s="30" t="s">
        <v>33</v>
      </c>
      <c r="N12" s="30" t="s">
        <v>34</v>
      </c>
      <c r="O12" s="30" t="s">
        <v>35</v>
      </c>
      <c r="P12" s="30" t="s">
        <v>36</v>
      </c>
      <c r="Q12" s="36" t="s">
        <v>37</v>
      </c>
    </row>
    <row r="13" spans="1:17" ht="16.5" x14ac:dyDescent="0.3">
      <c r="A13" s="13" t="str">
        <f>Data!C11</f>
        <v>Vehicle 1</v>
      </c>
      <c r="B13" s="14">
        <f>Data!A11</f>
        <v>43568.6152083333</v>
      </c>
      <c r="C13" s="15" t="str">
        <f>Data!B11</f>
        <v>UnidentifiedDrivingCompliance</v>
      </c>
      <c r="D13" s="15" t="str">
        <f t="shared" ref="D13:D76" si="0">IF(C13="PowerCompliance","Power",IF(C13="PositioningCompliance","Positioning",IF(C13="EngineSyncCompliance","Engine Sync",IF(C13="UnidentifiedDrivingCompliance","Unidentified Driving",IF(C13="DataRecordingCompliance","Data Recording",IF(C13="DataTransferCompliance","Data Transfer",IF(C13="MissingElementCompliance","Missing Element",IF(C13="OtherCompliance","Other",IF(C13="TimingCompliance","Timing","")))))))))</f>
        <v>Unidentified Driving</v>
      </c>
      <c r="E13" s="15" t="str">
        <f t="shared" ref="E13:E76" si="1">A13&amp;" "&amp;D13&amp;" "&amp;G13</f>
        <v>Vehicle 1 Unidentified Driving Diagnostic</v>
      </c>
      <c r="F13" s="15">
        <f ca="1">MATCH(E13,INDIRECT("E"&amp;ROW(E13)+1&amp;":E"&amp;$B$10),0)</f>
        <v>7</v>
      </c>
      <c r="G13" s="15" t="str">
        <f>IF(ISNUMBER(SEARCH("Diagnostic",I13))=TRUE,"Diagnostic","Malfunction")</f>
        <v>Diagnostic</v>
      </c>
      <c r="H13" s="15" t="str">
        <f t="shared" ref="H13:H76" ca="1" si="2">IF(OR(ISNUMBER(SEARCH("clear",INDIRECT("H"&amp;ROW(I13)+F13))),ISNUMBER(SEARCH("clear",I13))),"Cleared","Active")</f>
        <v>Active</v>
      </c>
      <c r="I13" s="15" t="str">
        <f>Data!M11</f>
        <v>Diagnostic</v>
      </c>
      <c r="J13" s="15" t="b">
        <f ca="1">ISERROR(F13)</f>
        <v>0</v>
      </c>
      <c r="K13" s="15" t="b">
        <f ca="1">IF(H13="Active",TRUE,FALSE)</f>
        <v>1</v>
      </c>
      <c r="L13" s="15" t="b">
        <f>IF(G13="Malfunction",TRUE,FALSE)</f>
        <v>0</v>
      </c>
      <c r="M13" s="16" t="str">
        <f>Data!I11</f>
        <v>Long</v>
      </c>
      <c r="N13" s="16" t="str">
        <f>Data!J11</f>
        <v>Lat</v>
      </c>
      <c r="O13" s="15" t="str">
        <f>Data!K11</f>
        <v>Approximate Location</v>
      </c>
      <c r="P13" s="17">
        <f>Data!G11</f>
        <v>12321.00390625</v>
      </c>
      <c r="Q13" s="34">
        <f>Data!H11</f>
        <v>21.503171920776399</v>
      </c>
    </row>
    <row r="14" spans="1:17" ht="16.5" x14ac:dyDescent="0.3">
      <c r="A14" s="13" t="str">
        <f>Data!C12</f>
        <v>Vehicle 2</v>
      </c>
      <c r="B14" s="14">
        <f>Data!A12</f>
        <v>43568.664083449097</v>
      </c>
      <c r="C14" s="15" t="str">
        <f>Data!B12</f>
        <v>UnidentifiedDrivingCompliance</v>
      </c>
      <c r="D14" s="15" t="str">
        <f t="shared" si="0"/>
        <v>Unidentified Driving</v>
      </c>
      <c r="E14" s="15" t="str">
        <f t="shared" si="1"/>
        <v>Vehicle 2 Unidentified Driving Diagnostic</v>
      </c>
      <c r="F14" s="15">
        <f t="shared" ref="F14:F77" ca="1" si="3">MATCH(E14,INDIRECT("E"&amp;ROW(E14)+1&amp;":E"&amp;$B$10),0)</f>
        <v>2</v>
      </c>
      <c r="G14" s="15" t="str">
        <f t="shared" ref="G14:G77" si="4">IF(ISNUMBER(SEARCH("Diagnostic",I14))=TRUE,"Diagnostic","Malfunction")</f>
        <v>Diagnostic</v>
      </c>
      <c r="H14" s="15" t="str">
        <f t="shared" ca="1" si="2"/>
        <v>Active</v>
      </c>
      <c r="I14" s="15" t="str">
        <f>Data!M12</f>
        <v>Diagnostic</v>
      </c>
      <c r="J14" s="15" t="b">
        <f t="shared" ref="J14:J77" ca="1" si="5">ISERROR(F14)</f>
        <v>0</v>
      </c>
      <c r="K14" s="15" t="b">
        <f t="shared" ref="K14:K77" ca="1" si="6">IF(H14="Active",TRUE,FALSE)</f>
        <v>1</v>
      </c>
      <c r="L14" s="15" t="b">
        <f t="shared" ref="L14:L77" si="7">IF(G14="Malfunction",TRUE,FALSE)</f>
        <v>0</v>
      </c>
      <c r="M14" s="16" t="str">
        <f>Data!I12</f>
        <v>Long</v>
      </c>
      <c r="N14" s="16" t="str">
        <f>Data!J12</f>
        <v>Lat</v>
      </c>
      <c r="O14" s="15" t="str">
        <f>Data!K12</f>
        <v>Approximate Location</v>
      </c>
      <c r="P14" s="17">
        <f>Data!G12</f>
        <v>2990.02856445312</v>
      </c>
      <c r="Q14" s="34">
        <f>Data!H12</f>
        <v>16.041061401367202</v>
      </c>
    </row>
    <row r="15" spans="1:17" ht="16.5" x14ac:dyDescent="0.3">
      <c r="A15" s="13" t="str">
        <f>Data!C13</f>
        <v>Vehicle 3</v>
      </c>
      <c r="B15" s="14">
        <f>Data!A13</f>
        <v>43568.820243055598</v>
      </c>
      <c r="C15" s="15" t="str">
        <f>Data!B13</f>
        <v>UnidentifiedDrivingCompliance</v>
      </c>
      <c r="D15" s="15" t="str">
        <f t="shared" si="0"/>
        <v>Unidentified Driving</v>
      </c>
      <c r="E15" s="15" t="str">
        <f t="shared" si="1"/>
        <v>Vehicle 3 Unidentified Driving Diagnostic</v>
      </c>
      <c r="F15" s="15">
        <f t="shared" ca="1" si="3"/>
        <v>6</v>
      </c>
      <c r="G15" s="15" t="str">
        <f t="shared" si="4"/>
        <v>Diagnostic</v>
      </c>
      <c r="H15" s="15" t="str">
        <f t="shared" ca="1" si="2"/>
        <v>Active</v>
      </c>
      <c r="I15" s="15" t="str">
        <f>Data!M13</f>
        <v>Diagnostic</v>
      </c>
      <c r="J15" s="15" t="b">
        <f t="shared" ca="1" si="5"/>
        <v>0</v>
      </c>
      <c r="K15" s="15" t="b">
        <f t="shared" ca="1" si="6"/>
        <v>1</v>
      </c>
      <c r="L15" s="15" t="b">
        <f t="shared" si="7"/>
        <v>0</v>
      </c>
      <c r="M15" s="16" t="str">
        <f>Data!I13</f>
        <v>Long</v>
      </c>
      <c r="N15" s="16" t="str">
        <f>Data!J13</f>
        <v>Lat</v>
      </c>
      <c r="O15" s="15" t="str">
        <f>Data!K13</f>
        <v>Approximate Location</v>
      </c>
      <c r="P15" s="17">
        <f>Data!G13</f>
        <v>116631.1875</v>
      </c>
      <c r="Q15" s="34">
        <f>Data!H13</f>
        <v>119.233680725098</v>
      </c>
    </row>
    <row r="16" spans="1:17" ht="16.5" x14ac:dyDescent="0.3">
      <c r="A16" s="13" t="str">
        <f>Data!C14</f>
        <v>Vehicle 2</v>
      </c>
      <c r="B16" s="14">
        <f>Data!A14</f>
        <v>43568.958956863396</v>
      </c>
      <c r="C16" s="15" t="str">
        <f>Data!B14</f>
        <v>UnidentifiedDrivingCompliance</v>
      </c>
      <c r="D16" s="15" t="str">
        <f t="shared" si="0"/>
        <v>Unidentified Driving</v>
      </c>
      <c r="E16" s="15" t="str">
        <f t="shared" si="1"/>
        <v>Vehicle 2 Unidentified Driving Diagnostic</v>
      </c>
      <c r="F16" s="15">
        <f t="shared" ca="1" si="3"/>
        <v>76</v>
      </c>
      <c r="G16" s="15" t="str">
        <f t="shared" si="4"/>
        <v>Diagnostic</v>
      </c>
      <c r="H16" s="15" t="str">
        <f t="shared" ca="1" si="2"/>
        <v>Active</v>
      </c>
      <c r="I16" s="15" t="str">
        <f>Data!M14</f>
        <v>Diagnostic</v>
      </c>
      <c r="J16" s="15" t="b">
        <f t="shared" ca="1" si="5"/>
        <v>0</v>
      </c>
      <c r="K16" s="15" t="b">
        <f t="shared" ca="1" si="6"/>
        <v>1</v>
      </c>
      <c r="L16" s="15" t="b">
        <f t="shared" si="7"/>
        <v>0</v>
      </c>
      <c r="M16" s="16" t="str">
        <f>Data!I14</f>
        <v>Long</v>
      </c>
      <c r="N16" s="16" t="str">
        <f>Data!J14</f>
        <v>Lat</v>
      </c>
      <c r="O16" s="15" t="str">
        <f>Data!K14</f>
        <v>Approximate Location</v>
      </c>
      <c r="P16" s="17">
        <f>Data!G14</f>
        <v>3006.06958007812</v>
      </c>
      <c r="Q16" s="34">
        <f>Data!H14</f>
        <v>153.68159484863301</v>
      </c>
    </row>
    <row r="17" spans="1:17" ht="16.5" x14ac:dyDescent="0.3">
      <c r="A17" s="13" t="str">
        <f>Data!C15</f>
        <v>Vehicle 4</v>
      </c>
      <c r="B17" s="14">
        <f>Data!A15</f>
        <v>43569.3996064815</v>
      </c>
      <c r="C17" s="15" t="str">
        <f>Data!B15</f>
        <v>UnidentifiedDrivingCompliance</v>
      </c>
      <c r="D17" s="15" t="str">
        <f t="shared" si="0"/>
        <v>Unidentified Driving</v>
      </c>
      <c r="E17" s="15" t="str">
        <f t="shared" si="1"/>
        <v>Vehicle 4 Unidentified Driving Diagnostic</v>
      </c>
      <c r="F17" s="15">
        <f t="shared" ca="1" si="3"/>
        <v>2</v>
      </c>
      <c r="G17" s="15" t="str">
        <f t="shared" si="4"/>
        <v>Diagnostic</v>
      </c>
      <c r="H17" s="15" t="str">
        <f t="shared" ca="1" si="2"/>
        <v>Active</v>
      </c>
      <c r="I17" s="15" t="str">
        <f>Data!M15</f>
        <v>Diagnostic</v>
      </c>
      <c r="J17" s="15" t="b">
        <f t="shared" ca="1" si="5"/>
        <v>0</v>
      </c>
      <c r="K17" s="15" t="b">
        <f t="shared" ca="1" si="6"/>
        <v>1</v>
      </c>
      <c r="L17" s="15" t="b">
        <f t="shared" si="7"/>
        <v>0</v>
      </c>
      <c r="M17" s="16" t="str">
        <f>Data!I15</f>
        <v>Long</v>
      </c>
      <c r="N17" s="16" t="str">
        <f>Data!J15</f>
        <v>Lat</v>
      </c>
      <c r="O17" s="15" t="str">
        <f>Data!K15</f>
        <v>Approximate Location</v>
      </c>
      <c r="P17" s="17">
        <f>Data!G15</f>
        <v>60532.68359375</v>
      </c>
      <c r="Q17" s="34">
        <f>Data!H15</f>
        <v>12.253440856933601</v>
      </c>
    </row>
    <row r="18" spans="1:17" ht="16.5" x14ac:dyDescent="0.3">
      <c r="A18" s="13" t="str">
        <f>Data!C16</f>
        <v>Vehicle 5</v>
      </c>
      <c r="B18" s="14">
        <f>Data!A16</f>
        <v>43569.461226851898</v>
      </c>
      <c r="C18" s="15" t="str">
        <f>Data!B16</f>
        <v>UnidentifiedDrivingCompliance</v>
      </c>
      <c r="D18" s="15" t="str">
        <f t="shared" si="0"/>
        <v>Unidentified Driving</v>
      </c>
      <c r="E18" s="15" t="str">
        <f t="shared" si="1"/>
        <v>Vehicle 5 Unidentified Driving Diagnostic</v>
      </c>
      <c r="F18" s="15">
        <f t="shared" ca="1" si="3"/>
        <v>4</v>
      </c>
      <c r="G18" s="15" t="str">
        <f t="shared" si="4"/>
        <v>Diagnostic</v>
      </c>
      <c r="H18" s="15" t="str">
        <f t="shared" ca="1" si="2"/>
        <v>Active</v>
      </c>
      <c r="I18" s="15" t="str">
        <f>Data!M16</f>
        <v>Diagnostic</v>
      </c>
      <c r="J18" s="15" t="b">
        <f t="shared" ca="1" si="5"/>
        <v>0</v>
      </c>
      <c r="K18" s="15" t="b">
        <f t="shared" ca="1" si="6"/>
        <v>1</v>
      </c>
      <c r="L18" s="15" t="b">
        <f t="shared" si="7"/>
        <v>0</v>
      </c>
      <c r="M18" s="16" t="str">
        <f>Data!I16</f>
        <v>Long</v>
      </c>
      <c r="N18" s="16" t="str">
        <f>Data!J16</f>
        <v>Lat</v>
      </c>
      <c r="O18" s="15" t="str">
        <f>Data!K16</f>
        <v>Approximate Location</v>
      </c>
      <c r="P18" s="17">
        <f>Data!G16</f>
        <v>82226.671875</v>
      </c>
      <c r="Q18" s="34">
        <f>Data!H16</f>
        <v>22.493638992309599</v>
      </c>
    </row>
    <row r="19" spans="1:17" ht="16.5" x14ac:dyDescent="0.3">
      <c r="A19" s="13" t="str">
        <f>Data!C17</f>
        <v>Vehicle 4</v>
      </c>
      <c r="B19" s="14">
        <f>Data!A17</f>
        <v>43570.242916666699</v>
      </c>
      <c r="C19" s="15" t="str">
        <f>Data!B17</f>
        <v>UnidentifiedDrivingCompliance</v>
      </c>
      <c r="D19" s="15" t="str">
        <f t="shared" si="0"/>
        <v>Unidentified Driving</v>
      </c>
      <c r="E19" s="15" t="str">
        <f t="shared" si="1"/>
        <v>Vehicle 4 Unidentified Driving Diagnostic</v>
      </c>
      <c r="F19" s="15">
        <f t="shared" ca="1" si="3"/>
        <v>7</v>
      </c>
      <c r="G19" s="15" t="str">
        <f t="shared" si="4"/>
        <v>Diagnostic</v>
      </c>
      <c r="H19" s="15" t="str">
        <f t="shared" ca="1" si="2"/>
        <v>Active</v>
      </c>
      <c r="I19" s="15" t="str">
        <f>Data!M17</f>
        <v>Diagnostic</v>
      </c>
      <c r="J19" s="15" t="b">
        <f t="shared" ca="1" si="5"/>
        <v>0</v>
      </c>
      <c r="K19" s="15" t="b">
        <f t="shared" ca="1" si="6"/>
        <v>1</v>
      </c>
      <c r="L19" s="15" t="b">
        <f t="shared" si="7"/>
        <v>0</v>
      </c>
      <c r="M19" s="16" t="str">
        <f>Data!I17</f>
        <v>Long</v>
      </c>
      <c r="N19" s="16" t="str">
        <f>Data!J17</f>
        <v>Lat</v>
      </c>
      <c r="O19" s="15" t="str">
        <f>Data!K17</f>
        <v>Approximate Location</v>
      </c>
      <c r="P19" s="17">
        <f>Data!G17</f>
        <v>60544.93359375</v>
      </c>
      <c r="Q19" s="34">
        <f>Data!H17</f>
        <v>28.796827316284201</v>
      </c>
    </row>
    <row r="20" spans="1:17" ht="16.5" x14ac:dyDescent="0.3">
      <c r="A20" s="13" t="str">
        <f>Data!C18</f>
        <v>Vehicle 1</v>
      </c>
      <c r="B20" s="14">
        <f>Data!A18</f>
        <v>43570.383344907401</v>
      </c>
      <c r="C20" s="15" t="str">
        <f>Data!B18</f>
        <v>UnidentifiedDrivingCompliance</v>
      </c>
      <c r="D20" s="15" t="str">
        <f t="shared" si="0"/>
        <v>Unidentified Driving</v>
      </c>
      <c r="E20" s="15" t="str">
        <f t="shared" si="1"/>
        <v>Vehicle 1 Unidentified Driving Diagnostic</v>
      </c>
      <c r="F20" s="15">
        <f t="shared" ca="1" si="3"/>
        <v>4</v>
      </c>
      <c r="G20" s="15" t="str">
        <f t="shared" si="4"/>
        <v>Diagnostic</v>
      </c>
      <c r="H20" s="15" t="str">
        <f t="shared" ca="1" si="2"/>
        <v>Active</v>
      </c>
      <c r="I20" s="15" t="str">
        <f>Data!M18</f>
        <v>Diagnostic</v>
      </c>
      <c r="J20" s="15" t="b">
        <f t="shared" ca="1" si="5"/>
        <v>0</v>
      </c>
      <c r="K20" s="15" t="b">
        <f t="shared" ca="1" si="6"/>
        <v>1</v>
      </c>
      <c r="L20" s="15" t="b">
        <f t="shared" si="7"/>
        <v>0</v>
      </c>
      <c r="M20" s="16" t="str">
        <f>Data!I18</f>
        <v>Long</v>
      </c>
      <c r="N20" s="16" t="str">
        <f>Data!J18</f>
        <v>Lat</v>
      </c>
      <c r="O20" s="15" t="str">
        <f>Data!K18</f>
        <v>Approximate Location</v>
      </c>
      <c r="P20" s="17">
        <f>Data!G18</f>
        <v>12342.5068359375</v>
      </c>
      <c r="Q20" s="34">
        <f>Data!H18</f>
        <v>33.1153564453125</v>
      </c>
    </row>
    <row r="21" spans="1:17" ht="16.5" x14ac:dyDescent="0.3">
      <c r="A21" s="13" t="str">
        <f>Data!C19</f>
        <v>Vehicle 3</v>
      </c>
      <c r="B21" s="14">
        <f>Data!A19</f>
        <v>43570.399780092601</v>
      </c>
      <c r="C21" s="15" t="str">
        <f>Data!B19</f>
        <v>UnidentifiedDrivingCompliance</v>
      </c>
      <c r="D21" s="15" t="str">
        <f t="shared" si="0"/>
        <v>Unidentified Driving</v>
      </c>
      <c r="E21" s="15" t="str">
        <f t="shared" si="1"/>
        <v>Vehicle 3 Unidentified Driving Diagnostic</v>
      </c>
      <c r="F21" s="15">
        <f t="shared" ca="1" si="3"/>
        <v>2</v>
      </c>
      <c r="G21" s="15" t="str">
        <f t="shared" si="4"/>
        <v>Diagnostic</v>
      </c>
      <c r="H21" s="15" t="str">
        <f t="shared" ca="1" si="2"/>
        <v>Active</v>
      </c>
      <c r="I21" s="15" t="str">
        <f>Data!M19</f>
        <v>Diagnostic</v>
      </c>
      <c r="J21" s="15" t="b">
        <f t="shared" ca="1" si="5"/>
        <v>0</v>
      </c>
      <c r="K21" s="15" t="b">
        <f t="shared" ca="1" si="6"/>
        <v>1</v>
      </c>
      <c r="L21" s="15" t="b">
        <f t="shared" si="7"/>
        <v>0</v>
      </c>
      <c r="M21" s="16" t="str">
        <f>Data!I19</f>
        <v>Long</v>
      </c>
      <c r="N21" s="16" t="str">
        <f>Data!J19</f>
        <v>Lat</v>
      </c>
      <c r="O21" s="15" t="str">
        <f>Data!K19</f>
        <v>Approximate Location</v>
      </c>
      <c r="P21" s="17">
        <f>Data!G19</f>
        <v>116750.421875</v>
      </c>
      <c r="Q21" s="34">
        <f>Data!H19</f>
        <v>19.6452732086182</v>
      </c>
    </row>
    <row r="22" spans="1:17" ht="16.5" x14ac:dyDescent="0.3">
      <c r="A22" s="13" t="str">
        <f>Data!C20</f>
        <v>Vehicle 5</v>
      </c>
      <c r="B22" s="14">
        <f>Data!A20</f>
        <v>43570.687696759298</v>
      </c>
      <c r="C22" s="15" t="str">
        <f>Data!B20</f>
        <v>UnidentifiedDrivingCompliance</v>
      </c>
      <c r="D22" s="15" t="str">
        <f t="shared" si="0"/>
        <v>Unidentified Driving</v>
      </c>
      <c r="E22" s="15" t="str">
        <f t="shared" si="1"/>
        <v>Vehicle 5 Unidentified Driving Diagnostic</v>
      </c>
      <c r="F22" s="15">
        <f t="shared" ca="1" si="3"/>
        <v>150</v>
      </c>
      <c r="G22" s="15" t="str">
        <f t="shared" si="4"/>
        <v>Diagnostic</v>
      </c>
      <c r="H22" s="15" t="str">
        <f t="shared" ca="1" si="2"/>
        <v>Active</v>
      </c>
      <c r="I22" s="15" t="str">
        <f>Data!M20</f>
        <v>Diagnostic</v>
      </c>
      <c r="J22" s="15" t="b">
        <f t="shared" ca="1" si="5"/>
        <v>0</v>
      </c>
      <c r="K22" s="15" t="b">
        <f t="shared" ca="1" si="6"/>
        <v>1</v>
      </c>
      <c r="L22" s="15" t="b">
        <f t="shared" si="7"/>
        <v>0</v>
      </c>
      <c r="M22" s="16" t="str">
        <f>Data!I20</f>
        <v>Long</v>
      </c>
      <c r="N22" s="16" t="str">
        <f>Data!J20</f>
        <v>Lat</v>
      </c>
      <c r="O22" s="15" t="str">
        <f>Data!K20</f>
        <v>Approximate Location</v>
      </c>
      <c r="P22" s="17">
        <f>Data!G20</f>
        <v>82249.171875</v>
      </c>
      <c r="Q22" s="34">
        <f>Data!H20</f>
        <v>5.7787523269653303</v>
      </c>
    </row>
    <row r="23" spans="1:17" ht="16.5" x14ac:dyDescent="0.3">
      <c r="A23" s="13" t="str">
        <f>Data!C21</f>
        <v>Vehicle 3</v>
      </c>
      <c r="B23" s="14">
        <f>Data!A21</f>
        <v>43570.765462962998</v>
      </c>
      <c r="C23" s="15" t="str">
        <f>Data!B21</f>
        <v>UnidentifiedDrivingCompliance</v>
      </c>
      <c r="D23" s="15" t="str">
        <f t="shared" si="0"/>
        <v>Unidentified Driving</v>
      </c>
      <c r="E23" s="15" t="str">
        <f t="shared" si="1"/>
        <v>Vehicle 3 Unidentified Driving Diagnostic</v>
      </c>
      <c r="F23" s="15" t="e">
        <f t="shared" ca="1" si="3"/>
        <v>#N/A</v>
      </c>
      <c r="G23" s="15" t="str">
        <f t="shared" si="4"/>
        <v>Diagnostic</v>
      </c>
      <c r="H23" s="15" t="str">
        <f t="shared" ca="1" si="2"/>
        <v>Active</v>
      </c>
      <c r="I23" s="15" t="str">
        <f>Data!M21</f>
        <v>Diagnostic</v>
      </c>
      <c r="J23" s="15" t="b">
        <f t="shared" ca="1" si="5"/>
        <v>1</v>
      </c>
      <c r="K23" s="15" t="b">
        <f t="shared" ca="1" si="6"/>
        <v>1</v>
      </c>
      <c r="L23" s="15" t="b">
        <f t="shared" si="7"/>
        <v>0</v>
      </c>
      <c r="M23" s="16" t="str">
        <f>Data!I21</f>
        <v>Long</v>
      </c>
      <c r="N23" s="16" t="str">
        <f>Data!J21</f>
        <v>Lat</v>
      </c>
      <c r="O23" s="15" t="str">
        <f>Data!K21</f>
        <v>Approximate Location</v>
      </c>
      <c r="P23" s="17">
        <f>Data!G21</f>
        <v>116770.0703125</v>
      </c>
      <c r="Q23" s="34">
        <f>Data!H21</f>
        <v>93.832023620605497</v>
      </c>
    </row>
    <row r="24" spans="1:17" ht="16.5" x14ac:dyDescent="0.3">
      <c r="A24" s="13" t="str">
        <f>Data!C22</f>
        <v>Vehicle 1</v>
      </c>
      <c r="B24" s="14">
        <f>Data!A22</f>
        <v>43571.270266203697</v>
      </c>
      <c r="C24" s="15" t="str">
        <f>Data!B22</f>
        <v>UnidentifiedDrivingCompliance</v>
      </c>
      <c r="D24" s="15" t="str">
        <f t="shared" si="0"/>
        <v>Unidentified Driving</v>
      </c>
      <c r="E24" s="15" t="str">
        <f t="shared" si="1"/>
        <v>Vehicle 1 Unidentified Driving Diagnostic</v>
      </c>
      <c r="F24" s="15">
        <f t="shared" ca="1" si="3"/>
        <v>13</v>
      </c>
      <c r="G24" s="15" t="str">
        <f t="shared" si="4"/>
        <v>Diagnostic</v>
      </c>
      <c r="H24" s="15" t="str">
        <f t="shared" ca="1" si="2"/>
        <v>Active</v>
      </c>
      <c r="I24" s="15" t="str">
        <f>Data!M22</f>
        <v>Diagnostic</v>
      </c>
      <c r="J24" s="15" t="b">
        <f t="shared" ca="1" si="5"/>
        <v>0</v>
      </c>
      <c r="K24" s="15" t="b">
        <f t="shared" ca="1" si="6"/>
        <v>1</v>
      </c>
      <c r="L24" s="15" t="b">
        <f t="shared" si="7"/>
        <v>0</v>
      </c>
      <c r="M24" s="16" t="str">
        <f>Data!I22</f>
        <v>Long</v>
      </c>
      <c r="N24" s="16" t="str">
        <f>Data!J22</f>
        <v>Lat</v>
      </c>
      <c r="O24" s="15" t="str">
        <f>Data!K22</f>
        <v>Approximate Location</v>
      </c>
      <c r="P24" s="17">
        <f>Data!G22</f>
        <v>12375.6220703125</v>
      </c>
      <c r="Q24" s="34">
        <f>Data!H22</f>
        <v>31.837818145751999</v>
      </c>
    </row>
    <row r="25" spans="1:17" ht="16.5" x14ac:dyDescent="0.3">
      <c r="A25" s="13" t="str">
        <f>Data!C23</f>
        <v>Vehicle 6</v>
      </c>
      <c r="B25" s="14">
        <f>Data!A23</f>
        <v>43571.300671296303</v>
      </c>
      <c r="C25" s="15" t="str">
        <f>Data!B23</f>
        <v>UnidentifiedDrivingCompliance</v>
      </c>
      <c r="D25" s="15" t="str">
        <f t="shared" si="0"/>
        <v>Unidentified Driving</v>
      </c>
      <c r="E25" s="15" t="str">
        <f t="shared" si="1"/>
        <v>Vehicle 6 Unidentified Driving Diagnostic</v>
      </c>
      <c r="F25" s="15">
        <f t="shared" ca="1" si="3"/>
        <v>14</v>
      </c>
      <c r="G25" s="15" t="str">
        <f t="shared" si="4"/>
        <v>Diagnostic</v>
      </c>
      <c r="H25" s="15" t="str">
        <f t="shared" ca="1" si="2"/>
        <v>Active</v>
      </c>
      <c r="I25" s="15" t="str">
        <f>Data!M23</f>
        <v>Diagnostic</v>
      </c>
      <c r="J25" s="15" t="b">
        <f t="shared" ca="1" si="5"/>
        <v>0</v>
      </c>
      <c r="K25" s="15" t="b">
        <f t="shared" ca="1" si="6"/>
        <v>1</v>
      </c>
      <c r="L25" s="15" t="b">
        <f t="shared" si="7"/>
        <v>0</v>
      </c>
      <c r="M25" s="16" t="str">
        <f>Data!I23</f>
        <v>Long</v>
      </c>
      <c r="N25" s="16" t="str">
        <f>Data!J23</f>
        <v>Lat</v>
      </c>
      <c r="O25" s="15" t="str">
        <f>Data!K23</f>
        <v>Approximate Location</v>
      </c>
      <c r="P25" s="17">
        <f>Data!G23</f>
        <v>118435.0234375</v>
      </c>
      <c r="Q25" s="34">
        <f>Data!H23</f>
        <v>5.5376601219177202</v>
      </c>
    </row>
    <row r="26" spans="1:17" ht="16.5" x14ac:dyDescent="0.3">
      <c r="A26" s="13" t="str">
        <f>Data!C24</f>
        <v>Vehicle 4</v>
      </c>
      <c r="B26" s="14">
        <f>Data!A24</f>
        <v>43571.302118055602</v>
      </c>
      <c r="C26" s="15" t="str">
        <f>Data!B24</f>
        <v>UnidentifiedDrivingCompliance</v>
      </c>
      <c r="D26" s="15" t="str">
        <f t="shared" si="0"/>
        <v>Unidentified Driving</v>
      </c>
      <c r="E26" s="15" t="str">
        <f t="shared" si="1"/>
        <v>Vehicle 4 Unidentified Driving Diagnostic</v>
      </c>
      <c r="F26" s="15">
        <f t="shared" ca="1" si="3"/>
        <v>12</v>
      </c>
      <c r="G26" s="15" t="str">
        <f t="shared" si="4"/>
        <v>Diagnostic</v>
      </c>
      <c r="H26" s="15" t="str">
        <f t="shared" ca="1" si="2"/>
        <v>Active</v>
      </c>
      <c r="I26" s="15" t="str">
        <f>Data!M24</f>
        <v>Diagnostic</v>
      </c>
      <c r="J26" s="15" t="b">
        <f t="shared" ca="1" si="5"/>
        <v>0</v>
      </c>
      <c r="K26" s="15" t="b">
        <f t="shared" ca="1" si="6"/>
        <v>1</v>
      </c>
      <c r="L26" s="15" t="b">
        <f t="shared" si="7"/>
        <v>0</v>
      </c>
      <c r="M26" s="16" t="str">
        <f>Data!I24</f>
        <v>Long</v>
      </c>
      <c r="N26" s="16" t="str">
        <f>Data!J24</f>
        <v>Lat</v>
      </c>
      <c r="O26" s="15" t="str">
        <f>Data!K24</f>
        <v>Approximate Location</v>
      </c>
      <c r="P26" s="17">
        <f>Data!G24</f>
        <v>60573.73046875</v>
      </c>
      <c r="Q26" s="34">
        <f>Data!H24</f>
        <v>15.5541648864746</v>
      </c>
    </row>
    <row r="27" spans="1:17" ht="16.5" x14ac:dyDescent="0.3">
      <c r="A27" s="13" t="str">
        <f>Data!C25</f>
        <v>Vehicle 7</v>
      </c>
      <c r="B27" s="14">
        <f>Data!A25</f>
        <v>43571.437491585602</v>
      </c>
      <c r="C27" s="15" t="str">
        <f>Data!B25</f>
        <v>DataTransferCompliance</v>
      </c>
      <c r="D27" s="15" t="str">
        <f t="shared" si="0"/>
        <v>Data Transfer</v>
      </c>
      <c r="E27" s="15" t="str">
        <f t="shared" si="1"/>
        <v>Vehicle 7 Data Transfer Diagnostic</v>
      </c>
      <c r="F27" s="15">
        <f t="shared" ca="1" si="3"/>
        <v>7</v>
      </c>
      <c r="G27" s="15" t="str">
        <f t="shared" si="4"/>
        <v>Diagnostic</v>
      </c>
      <c r="H27" s="15" t="str">
        <f t="shared" ca="1" si="2"/>
        <v>Cleared</v>
      </c>
      <c r="I27" s="15" t="str">
        <f>Data!M25</f>
        <v>SystemDiagnosticClear</v>
      </c>
      <c r="J27" s="15" t="b">
        <f t="shared" ca="1" si="5"/>
        <v>0</v>
      </c>
      <c r="K27" s="15" t="b">
        <f t="shared" ca="1" si="6"/>
        <v>0</v>
      </c>
      <c r="L27" s="15" t="b">
        <f t="shared" si="7"/>
        <v>0</v>
      </c>
      <c r="M27" s="16" t="str">
        <f>Data!I25</f>
        <v>Long</v>
      </c>
      <c r="N27" s="16" t="str">
        <f>Data!J25</f>
        <v>Lat</v>
      </c>
      <c r="O27" s="15" t="str">
        <f>Data!K25</f>
        <v>Approximate Location</v>
      </c>
      <c r="P27" s="17">
        <f>Data!G25</f>
        <v>16916.353515625</v>
      </c>
      <c r="Q27" s="34">
        <f>Data!H25</f>
        <v>-38.535369873046903</v>
      </c>
    </row>
    <row r="28" spans="1:17" ht="16.5" x14ac:dyDescent="0.3">
      <c r="A28" s="13" t="str">
        <f>Data!C26</f>
        <v>Vehicle 5</v>
      </c>
      <c r="B28" s="14">
        <f>Data!A26</f>
        <v>43571.491134108801</v>
      </c>
      <c r="C28" s="15" t="str">
        <f>Data!B26</f>
        <v>DataTransferCompliance</v>
      </c>
      <c r="D28" s="15" t="str">
        <f t="shared" si="0"/>
        <v>Data Transfer</v>
      </c>
      <c r="E28" s="15" t="str">
        <f t="shared" si="1"/>
        <v>Vehicle 5 Data Transfer Diagnostic</v>
      </c>
      <c r="F28" s="15">
        <f t="shared" ca="1" si="3"/>
        <v>128</v>
      </c>
      <c r="G28" s="15" t="str">
        <f t="shared" si="4"/>
        <v>Diagnostic</v>
      </c>
      <c r="H28" s="15" t="str">
        <f t="shared" ca="1" si="2"/>
        <v>Cleared</v>
      </c>
      <c r="I28" s="15" t="str">
        <f>Data!M26</f>
        <v>SystemDiagnosticClear</v>
      </c>
      <c r="J28" s="15" t="b">
        <f t="shared" ca="1" si="5"/>
        <v>0</v>
      </c>
      <c r="K28" s="15" t="b">
        <f t="shared" ca="1" si="6"/>
        <v>0</v>
      </c>
      <c r="L28" s="15" t="b">
        <f t="shared" si="7"/>
        <v>0</v>
      </c>
      <c r="M28" s="16" t="str">
        <f>Data!I26</f>
        <v>Long</v>
      </c>
      <c r="N28" s="16" t="str">
        <f>Data!J26</f>
        <v>Lat</v>
      </c>
      <c r="O28" s="15" t="str">
        <f>Data!K26</f>
        <v>Approximate Location</v>
      </c>
      <c r="P28" s="17">
        <f>Data!G26</f>
        <v>82254.9453125</v>
      </c>
      <c r="Q28" s="34">
        <f>Data!H26</f>
        <v>23.549968719482401</v>
      </c>
    </row>
    <row r="29" spans="1:17" ht="16.5" x14ac:dyDescent="0.3">
      <c r="A29" s="13" t="str">
        <f>Data!C27</f>
        <v>Vehicle 7</v>
      </c>
      <c r="B29" s="14">
        <f>Data!A27</f>
        <v>43571.491979166698</v>
      </c>
      <c r="C29" s="15" t="str">
        <f>Data!B27</f>
        <v>PowerCompliance</v>
      </c>
      <c r="D29" s="15" t="str">
        <f t="shared" si="0"/>
        <v>Power</v>
      </c>
      <c r="E29" s="15" t="str">
        <f t="shared" si="1"/>
        <v>Vehicle 7 Power Diagnostic</v>
      </c>
      <c r="F29" s="15">
        <f t="shared" ca="1" si="3"/>
        <v>1</v>
      </c>
      <c r="G29" s="15" t="str">
        <f t="shared" si="4"/>
        <v>Diagnostic</v>
      </c>
      <c r="H29" s="15" t="str">
        <f t="shared" ca="1" si="2"/>
        <v>Cleared</v>
      </c>
      <c r="I29" s="15" t="str">
        <f>Data!M27</f>
        <v>Diagnostic</v>
      </c>
      <c r="J29" s="15" t="b">
        <f t="shared" ca="1" si="5"/>
        <v>0</v>
      </c>
      <c r="K29" s="15" t="b">
        <f t="shared" ca="1" si="6"/>
        <v>0</v>
      </c>
      <c r="L29" s="15" t="b">
        <f t="shared" si="7"/>
        <v>0</v>
      </c>
      <c r="M29" s="16" t="str">
        <f>Data!I27</f>
        <v>Long</v>
      </c>
      <c r="N29" s="16" t="str">
        <f>Data!J27</f>
        <v>Lat</v>
      </c>
      <c r="O29" s="15" t="str">
        <f>Data!K27</f>
        <v>Approximate Location</v>
      </c>
      <c r="P29" s="17">
        <f>Data!G27</f>
        <v>16877.818359375</v>
      </c>
      <c r="Q29" s="34">
        <f>Data!H27</f>
        <v>0</v>
      </c>
    </row>
    <row r="30" spans="1:17" ht="16.5" x14ac:dyDescent="0.3">
      <c r="A30" s="13" t="str">
        <f>Data!C28</f>
        <v>Vehicle 7</v>
      </c>
      <c r="B30" s="14">
        <f>Data!A28</f>
        <v>43571.492037037002</v>
      </c>
      <c r="C30" s="15" t="str">
        <f>Data!B28</f>
        <v>PowerCompliance</v>
      </c>
      <c r="D30" s="15" t="str">
        <f t="shared" si="0"/>
        <v>Power</v>
      </c>
      <c r="E30" s="15" t="str">
        <f t="shared" si="1"/>
        <v>Vehicle 7 Power Diagnostic</v>
      </c>
      <c r="F30" s="15">
        <f t="shared" ca="1" si="3"/>
        <v>78</v>
      </c>
      <c r="G30" s="15" t="str">
        <f t="shared" si="4"/>
        <v>Diagnostic</v>
      </c>
      <c r="H30" s="15" t="str">
        <f t="shared" ca="1" si="2"/>
        <v>Cleared</v>
      </c>
      <c r="I30" s="15" t="str">
        <f>Data!M28</f>
        <v>SystemDiagnosticClearDriving</v>
      </c>
      <c r="J30" s="15" t="b">
        <f t="shared" ca="1" si="5"/>
        <v>0</v>
      </c>
      <c r="K30" s="15" t="b">
        <f t="shared" ca="1" si="6"/>
        <v>0</v>
      </c>
      <c r="L30" s="15" t="b">
        <f t="shared" si="7"/>
        <v>0</v>
      </c>
      <c r="M30" s="16" t="str">
        <f>Data!I28</f>
        <v>Long</v>
      </c>
      <c r="N30" s="16" t="str">
        <f>Data!J28</f>
        <v>Lat</v>
      </c>
      <c r="O30" s="15" t="str">
        <f>Data!K28</f>
        <v>Approximate Location</v>
      </c>
      <c r="P30" s="17">
        <f>Data!G28</f>
        <v>16877.818359375</v>
      </c>
      <c r="Q30" s="34">
        <f>Data!H28</f>
        <v>42.0228462219238</v>
      </c>
    </row>
    <row r="31" spans="1:17" ht="16.5" x14ac:dyDescent="0.3">
      <c r="A31" s="13" t="str">
        <f>Data!C29</f>
        <v>Vehicle 6</v>
      </c>
      <c r="B31" s="14">
        <f>Data!A29</f>
        <v>43571.542745636601</v>
      </c>
      <c r="C31" s="15" t="str">
        <f>Data!B29</f>
        <v>DataTransferCompliance</v>
      </c>
      <c r="D31" s="15" t="str">
        <f t="shared" si="0"/>
        <v>Data Transfer</v>
      </c>
      <c r="E31" s="15" t="str">
        <f t="shared" si="1"/>
        <v>Vehicle 6 Data Transfer Diagnostic</v>
      </c>
      <c r="F31" s="15">
        <f t="shared" ca="1" si="3"/>
        <v>9</v>
      </c>
      <c r="G31" s="15" t="str">
        <f t="shared" si="4"/>
        <v>Diagnostic</v>
      </c>
      <c r="H31" s="15" t="str">
        <f t="shared" ca="1" si="2"/>
        <v>Cleared</v>
      </c>
      <c r="I31" s="15" t="str">
        <f>Data!M29</f>
        <v>SystemDiagnosticClear</v>
      </c>
      <c r="J31" s="15" t="b">
        <f t="shared" ca="1" si="5"/>
        <v>0</v>
      </c>
      <c r="K31" s="15" t="b">
        <f t="shared" ca="1" si="6"/>
        <v>0</v>
      </c>
      <c r="L31" s="15" t="b">
        <f t="shared" si="7"/>
        <v>0</v>
      </c>
      <c r="M31" s="16" t="str">
        <f>Data!I29</f>
        <v>Long</v>
      </c>
      <c r="N31" s="16" t="str">
        <f>Data!J29</f>
        <v>Lat</v>
      </c>
      <c r="O31" s="15" t="str">
        <f>Data!K29</f>
        <v>Approximate Location</v>
      </c>
      <c r="P31" s="17">
        <f>Data!G29</f>
        <v>118440.5625</v>
      </c>
      <c r="Q31" s="34">
        <f>Data!H29</f>
        <v>56.7386474609375</v>
      </c>
    </row>
    <row r="32" spans="1:17" ht="16.5" x14ac:dyDescent="0.3">
      <c r="A32" s="13" t="str">
        <f>Data!C30</f>
        <v>Vehicle 8</v>
      </c>
      <c r="B32" s="14">
        <f>Data!A30</f>
        <v>43571.567843136603</v>
      </c>
      <c r="C32" s="15" t="str">
        <f>Data!B30</f>
        <v>DataTransferCompliance</v>
      </c>
      <c r="D32" s="15" t="str">
        <f t="shared" si="0"/>
        <v>Data Transfer</v>
      </c>
      <c r="E32" s="15" t="str">
        <f t="shared" si="1"/>
        <v>Vehicle 8 Data Transfer Diagnostic</v>
      </c>
      <c r="F32" s="15">
        <f t="shared" ca="1" si="3"/>
        <v>89</v>
      </c>
      <c r="G32" s="15" t="str">
        <f t="shared" si="4"/>
        <v>Diagnostic</v>
      </c>
      <c r="H32" s="15" t="str">
        <f t="shared" ca="1" si="2"/>
        <v>Cleared</v>
      </c>
      <c r="I32" s="15" t="str">
        <f>Data!M30</f>
        <v>SystemDiagnosticClear</v>
      </c>
      <c r="J32" s="15" t="b">
        <f t="shared" ca="1" si="5"/>
        <v>0</v>
      </c>
      <c r="K32" s="15" t="b">
        <f t="shared" ca="1" si="6"/>
        <v>0</v>
      </c>
      <c r="L32" s="15" t="b">
        <f t="shared" si="7"/>
        <v>0</v>
      </c>
      <c r="M32" s="16" t="str">
        <f>Data!I30</f>
        <v>Long</v>
      </c>
      <c r="N32" s="16" t="str">
        <f>Data!J30</f>
        <v>Lat</v>
      </c>
      <c r="O32" s="15" t="str">
        <f>Data!K30</f>
        <v>Approximate Location</v>
      </c>
      <c r="P32" s="17">
        <f>Data!G30</f>
        <v>66902.6796875</v>
      </c>
      <c r="Q32" s="34">
        <f>Data!H30</f>
        <v>94.453399658203097</v>
      </c>
    </row>
    <row r="33" spans="1:17" ht="16.5" x14ac:dyDescent="0.3">
      <c r="A33" s="13" t="str">
        <f>Data!C31</f>
        <v>Vehicle 9</v>
      </c>
      <c r="B33" s="14">
        <f>Data!A31</f>
        <v>43571.587457326401</v>
      </c>
      <c r="C33" s="15" t="str">
        <f>Data!B31</f>
        <v>DataTransferCompliance</v>
      </c>
      <c r="D33" s="15" t="str">
        <f t="shared" si="0"/>
        <v>Data Transfer</v>
      </c>
      <c r="E33" s="15" t="str">
        <f t="shared" si="1"/>
        <v>Vehicle 9 Data Transfer Diagnostic</v>
      </c>
      <c r="F33" s="15">
        <f t="shared" ca="1" si="3"/>
        <v>12</v>
      </c>
      <c r="G33" s="15" t="str">
        <f t="shared" si="4"/>
        <v>Diagnostic</v>
      </c>
      <c r="H33" s="15" t="str">
        <f t="shared" ca="1" si="2"/>
        <v>Cleared</v>
      </c>
      <c r="I33" s="15" t="str">
        <f>Data!M31</f>
        <v>SystemDiagnosticClear</v>
      </c>
      <c r="J33" s="15" t="b">
        <f t="shared" ca="1" si="5"/>
        <v>0</v>
      </c>
      <c r="K33" s="15" t="b">
        <f t="shared" ca="1" si="6"/>
        <v>0</v>
      </c>
      <c r="L33" s="15" t="b">
        <f t="shared" si="7"/>
        <v>0</v>
      </c>
      <c r="M33" s="16" t="str">
        <f>Data!I31</f>
        <v>Long</v>
      </c>
      <c r="N33" s="16" t="str">
        <f>Data!J31</f>
        <v>Lat</v>
      </c>
      <c r="O33" s="15" t="str">
        <f>Data!K31</f>
        <v>Approximate Location</v>
      </c>
      <c r="P33" s="17">
        <f>Data!G31</f>
        <v>0</v>
      </c>
      <c r="Q33" s="34">
        <f>Data!H31</f>
        <v>0</v>
      </c>
    </row>
    <row r="34" spans="1:17" ht="16.5" x14ac:dyDescent="0.3">
      <c r="A34" s="13" t="str">
        <f>Data!C32</f>
        <v>Vehicle 7</v>
      </c>
      <c r="B34" s="14">
        <f>Data!A32</f>
        <v>43571.616365856498</v>
      </c>
      <c r="C34" s="15" t="str">
        <f>Data!B32</f>
        <v>DataTransferCompliance</v>
      </c>
      <c r="D34" s="15" t="str">
        <f t="shared" si="0"/>
        <v>Data Transfer</v>
      </c>
      <c r="E34" s="15" t="str">
        <f t="shared" si="1"/>
        <v>Vehicle 7 Data Transfer Diagnostic</v>
      </c>
      <c r="F34" s="15">
        <f t="shared" ca="1" si="3"/>
        <v>1</v>
      </c>
      <c r="G34" s="15" t="str">
        <f t="shared" si="4"/>
        <v>Diagnostic</v>
      </c>
      <c r="H34" s="15" t="str">
        <f t="shared" ca="1" si="2"/>
        <v>Cleared</v>
      </c>
      <c r="I34" s="15" t="str">
        <f>Data!M32</f>
        <v>SystemDiagnosticClear</v>
      </c>
      <c r="J34" s="15" t="b">
        <f t="shared" ca="1" si="5"/>
        <v>0</v>
      </c>
      <c r="K34" s="15" t="b">
        <f t="shared" ca="1" si="6"/>
        <v>0</v>
      </c>
      <c r="L34" s="15" t="b">
        <f t="shared" si="7"/>
        <v>0</v>
      </c>
      <c r="M34" s="16" t="str">
        <f>Data!I32</f>
        <v>Long</v>
      </c>
      <c r="N34" s="16" t="str">
        <f>Data!J32</f>
        <v>Lat</v>
      </c>
      <c r="O34" s="15" t="str">
        <f>Data!K32</f>
        <v>Approximate Location</v>
      </c>
      <c r="P34" s="17">
        <f>Data!G32</f>
        <v>16919.841796875</v>
      </c>
      <c r="Q34" s="34">
        <f>Data!H32</f>
        <v>0</v>
      </c>
    </row>
    <row r="35" spans="1:17" ht="16.5" x14ac:dyDescent="0.3">
      <c r="A35" s="13" t="str">
        <f>Data!C33</f>
        <v>Vehicle 7</v>
      </c>
      <c r="B35" s="14">
        <f>Data!A33</f>
        <v>43571.670303240702</v>
      </c>
      <c r="C35" s="15" t="str">
        <f>Data!B33</f>
        <v>DataTransferCompliance</v>
      </c>
      <c r="D35" s="15" t="str">
        <f t="shared" si="0"/>
        <v>Data Transfer</v>
      </c>
      <c r="E35" s="15" t="str">
        <f t="shared" si="1"/>
        <v>Vehicle 7 Data Transfer Diagnostic</v>
      </c>
      <c r="F35" s="15">
        <f t="shared" ca="1" si="3"/>
        <v>1</v>
      </c>
      <c r="G35" s="15" t="str">
        <f t="shared" si="4"/>
        <v>Diagnostic</v>
      </c>
      <c r="H35" s="15" t="str">
        <f t="shared" ca="1" si="2"/>
        <v>Cleared</v>
      </c>
      <c r="I35" s="15" t="str">
        <f>Data!M33</f>
        <v>SystemDiagnosticClear</v>
      </c>
      <c r="J35" s="15" t="b">
        <f t="shared" ca="1" si="5"/>
        <v>0</v>
      </c>
      <c r="K35" s="15" t="b">
        <f t="shared" ca="1" si="6"/>
        <v>0</v>
      </c>
      <c r="L35" s="15" t="b">
        <f t="shared" si="7"/>
        <v>0</v>
      </c>
      <c r="M35" s="16" t="str">
        <f>Data!I33</f>
        <v>Long</v>
      </c>
      <c r="N35" s="16" t="str">
        <f>Data!J33</f>
        <v>Lat</v>
      </c>
      <c r="O35" s="15" t="str">
        <f>Data!K33</f>
        <v>Approximate Location</v>
      </c>
      <c r="P35" s="17">
        <f>Data!G33</f>
        <v>16919.841796875</v>
      </c>
      <c r="Q35" s="34">
        <f>Data!H33</f>
        <v>0</v>
      </c>
    </row>
    <row r="36" spans="1:17" ht="16.5" x14ac:dyDescent="0.3">
      <c r="A36" s="13" t="str">
        <f>Data!C34</f>
        <v>Vehicle 7</v>
      </c>
      <c r="B36" s="14">
        <f>Data!A34</f>
        <v>43571.6730902778</v>
      </c>
      <c r="C36" s="15" t="str">
        <f>Data!B34</f>
        <v>DataTransferCompliance</v>
      </c>
      <c r="D36" s="15" t="str">
        <f t="shared" si="0"/>
        <v>Data Transfer</v>
      </c>
      <c r="E36" s="15" t="str">
        <f t="shared" si="1"/>
        <v>Vehicle 7 Data Transfer Diagnostic</v>
      </c>
      <c r="F36" s="15">
        <f t="shared" ca="1" si="3"/>
        <v>5</v>
      </c>
      <c r="G36" s="15" t="str">
        <f t="shared" si="4"/>
        <v>Diagnostic</v>
      </c>
      <c r="H36" s="15" t="str">
        <f t="shared" ca="1" si="2"/>
        <v>Cleared</v>
      </c>
      <c r="I36" s="15" t="str">
        <f>Data!M34</f>
        <v>SystemDiagnosticClear</v>
      </c>
      <c r="J36" s="15" t="b">
        <f t="shared" ca="1" si="5"/>
        <v>0</v>
      </c>
      <c r="K36" s="15" t="b">
        <f t="shared" ca="1" si="6"/>
        <v>0</v>
      </c>
      <c r="L36" s="15" t="b">
        <f t="shared" si="7"/>
        <v>0</v>
      </c>
      <c r="M36" s="16" t="str">
        <f>Data!I34</f>
        <v>Long</v>
      </c>
      <c r="N36" s="16" t="str">
        <f>Data!J34</f>
        <v>Lat</v>
      </c>
      <c r="O36" s="15" t="str">
        <f>Data!K34</f>
        <v>Approximate Location</v>
      </c>
      <c r="P36" s="17">
        <f>Data!G34</f>
        <v>16919.841796875</v>
      </c>
      <c r="Q36" s="34">
        <f>Data!H34</f>
        <v>8.6515684127807599</v>
      </c>
    </row>
    <row r="37" spans="1:17" ht="16.5" x14ac:dyDescent="0.3">
      <c r="A37" s="13" t="str">
        <f>Data!C35</f>
        <v>Vehicle 1</v>
      </c>
      <c r="B37" s="14">
        <f>Data!A35</f>
        <v>43572.244062500002</v>
      </c>
      <c r="C37" s="15" t="str">
        <f>Data!B35</f>
        <v>UnidentifiedDrivingCompliance</v>
      </c>
      <c r="D37" s="15" t="str">
        <f t="shared" si="0"/>
        <v>Unidentified Driving</v>
      </c>
      <c r="E37" s="15" t="str">
        <f t="shared" si="1"/>
        <v>Vehicle 1 Unidentified Driving Diagnostic</v>
      </c>
      <c r="F37" s="15">
        <f t="shared" ca="1" si="3"/>
        <v>11</v>
      </c>
      <c r="G37" s="15" t="str">
        <f t="shared" si="4"/>
        <v>Diagnostic</v>
      </c>
      <c r="H37" s="15" t="str">
        <f t="shared" ca="1" si="2"/>
        <v>Active</v>
      </c>
      <c r="I37" s="15" t="str">
        <f>Data!M35</f>
        <v>Diagnostic</v>
      </c>
      <c r="J37" s="15" t="b">
        <f t="shared" ca="1" si="5"/>
        <v>0</v>
      </c>
      <c r="K37" s="15" t="b">
        <f t="shared" ca="1" si="6"/>
        <v>1</v>
      </c>
      <c r="L37" s="15" t="b">
        <f t="shared" si="7"/>
        <v>0</v>
      </c>
      <c r="M37" s="16" t="str">
        <f>Data!I35</f>
        <v>Long</v>
      </c>
      <c r="N37" s="16" t="str">
        <f>Data!J35</f>
        <v>Lat</v>
      </c>
      <c r="O37" s="15" t="str">
        <f>Data!K35</f>
        <v>Approximate Location</v>
      </c>
      <c r="P37" s="17">
        <f>Data!G35</f>
        <v>12407.4599609375</v>
      </c>
      <c r="Q37" s="34">
        <f>Data!H35</f>
        <v>37.942169189453097</v>
      </c>
    </row>
    <row r="38" spans="1:17" ht="16.5" x14ac:dyDescent="0.3">
      <c r="A38" s="13" t="str">
        <f>Data!C36</f>
        <v>Vehicle 4</v>
      </c>
      <c r="B38" s="14">
        <f>Data!A36</f>
        <v>43572.253888888903</v>
      </c>
      <c r="C38" s="15" t="str">
        <f>Data!B36</f>
        <v>UnidentifiedDrivingCompliance</v>
      </c>
      <c r="D38" s="15" t="str">
        <f t="shared" si="0"/>
        <v>Unidentified Driving</v>
      </c>
      <c r="E38" s="15" t="str">
        <f t="shared" si="1"/>
        <v>Vehicle 4 Unidentified Driving Diagnostic</v>
      </c>
      <c r="F38" s="15">
        <f t="shared" ca="1" si="3"/>
        <v>9</v>
      </c>
      <c r="G38" s="15" t="str">
        <f t="shared" si="4"/>
        <v>Diagnostic</v>
      </c>
      <c r="H38" s="15" t="str">
        <f t="shared" ca="1" si="2"/>
        <v>Active</v>
      </c>
      <c r="I38" s="15" t="str">
        <f>Data!M36</f>
        <v>Diagnostic</v>
      </c>
      <c r="J38" s="15" t="b">
        <f t="shared" ca="1" si="5"/>
        <v>0</v>
      </c>
      <c r="K38" s="15" t="b">
        <f t="shared" ca="1" si="6"/>
        <v>1</v>
      </c>
      <c r="L38" s="15" t="b">
        <f t="shared" si="7"/>
        <v>0</v>
      </c>
      <c r="M38" s="16" t="str">
        <f>Data!I36</f>
        <v>Long</v>
      </c>
      <c r="N38" s="16" t="str">
        <f>Data!J36</f>
        <v>Lat</v>
      </c>
      <c r="O38" s="15" t="str">
        <f>Data!K36</f>
        <v>Approximate Location</v>
      </c>
      <c r="P38" s="17">
        <f>Data!G36</f>
        <v>60589.28515625</v>
      </c>
      <c r="Q38" s="34">
        <f>Data!H36</f>
        <v>11.060407638549799</v>
      </c>
    </row>
    <row r="39" spans="1:17" ht="16.5" x14ac:dyDescent="0.3">
      <c r="A39" s="13" t="str">
        <f>Data!C37</f>
        <v>Vehicle 6</v>
      </c>
      <c r="B39" s="14">
        <f>Data!A37</f>
        <v>43572.293726851902</v>
      </c>
      <c r="C39" s="15" t="str">
        <f>Data!B37</f>
        <v>UnidentifiedDrivingCompliance</v>
      </c>
      <c r="D39" s="15" t="str">
        <f t="shared" si="0"/>
        <v>Unidentified Driving</v>
      </c>
      <c r="E39" s="15" t="str">
        <f t="shared" si="1"/>
        <v>Vehicle 6 Unidentified Driving Diagnostic</v>
      </c>
      <c r="F39" s="15">
        <f t="shared" ca="1" si="3"/>
        <v>10</v>
      </c>
      <c r="G39" s="15" t="str">
        <f t="shared" si="4"/>
        <v>Diagnostic</v>
      </c>
      <c r="H39" s="15" t="str">
        <f t="shared" ca="1" si="2"/>
        <v>Active</v>
      </c>
      <c r="I39" s="15" t="str">
        <f>Data!M37</f>
        <v>Diagnostic</v>
      </c>
      <c r="J39" s="15" t="b">
        <f t="shared" ca="1" si="5"/>
        <v>0</v>
      </c>
      <c r="K39" s="15" t="b">
        <f t="shared" ca="1" si="6"/>
        <v>1</v>
      </c>
      <c r="L39" s="15" t="b">
        <f t="shared" si="7"/>
        <v>0</v>
      </c>
      <c r="M39" s="16" t="str">
        <f>Data!I37</f>
        <v>Long</v>
      </c>
      <c r="N39" s="16" t="str">
        <f>Data!J37</f>
        <v>Lat</v>
      </c>
      <c r="O39" s="15" t="str">
        <f>Data!K37</f>
        <v>Approximate Location</v>
      </c>
      <c r="P39" s="17">
        <f>Data!G37</f>
        <v>118497.3046875</v>
      </c>
      <c r="Q39" s="34">
        <f>Data!H37</f>
        <v>12.854928016662599</v>
      </c>
    </row>
    <row r="40" spans="1:17" ht="16.5" x14ac:dyDescent="0.3">
      <c r="A40" s="13" t="str">
        <f>Data!C38</f>
        <v>Vehicle 6</v>
      </c>
      <c r="B40" s="14">
        <f>Data!A38</f>
        <v>43572.321971562502</v>
      </c>
      <c r="C40" s="15" t="str">
        <f>Data!B38</f>
        <v>DataTransferCompliance</v>
      </c>
      <c r="D40" s="15" t="str">
        <f t="shared" si="0"/>
        <v>Data Transfer</v>
      </c>
      <c r="E40" s="15" t="str">
        <f t="shared" si="1"/>
        <v>Vehicle 6 Data Transfer Diagnostic</v>
      </c>
      <c r="F40" s="15">
        <f t="shared" ca="1" si="3"/>
        <v>31</v>
      </c>
      <c r="G40" s="15" t="str">
        <f t="shared" si="4"/>
        <v>Diagnostic</v>
      </c>
      <c r="H40" s="15" t="str">
        <f t="shared" ca="1" si="2"/>
        <v>Cleared</v>
      </c>
      <c r="I40" s="15" t="str">
        <f>Data!M38</f>
        <v>SystemDiagnosticClear</v>
      </c>
      <c r="J40" s="15" t="b">
        <f t="shared" ca="1" si="5"/>
        <v>0</v>
      </c>
      <c r="K40" s="15" t="b">
        <f t="shared" ca="1" si="6"/>
        <v>0</v>
      </c>
      <c r="L40" s="15" t="b">
        <f t="shared" si="7"/>
        <v>0</v>
      </c>
      <c r="M40" s="16" t="str">
        <f>Data!I38</f>
        <v>Long</v>
      </c>
      <c r="N40" s="16" t="str">
        <f>Data!J38</f>
        <v>Lat</v>
      </c>
      <c r="O40" s="15" t="str">
        <f>Data!K38</f>
        <v>Approximate Location</v>
      </c>
      <c r="P40" s="17">
        <f>Data!G38</f>
        <v>118510.15625</v>
      </c>
      <c r="Q40" s="34">
        <f>Data!H38</f>
        <v>56.599460601806598</v>
      </c>
    </row>
    <row r="41" spans="1:17" ht="16.5" x14ac:dyDescent="0.3">
      <c r="A41" s="13" t="str">
        <f>Data!C39</f>
        <v>Vehicle 7</v>
      </c>
      <c r="B41" s="14">
        <f>Data!A39</f>
        <v>43572.327410335602</v>
      </c>
      <c r="C41" s="15" t="str">
        <f>Data!B39</f>
        <v>DataTransferCompliance</v>
      </c>
      <c r="D41" s="15" t="str">
        <f t="shared" si="0"/>
        <v>Data Transfer</v>
      </c>
      <c r="E41" s="15" t="str">
        <f t="shared" si="1"/>
        <v>Vehicle 7 Data Transfer Diagnostic</v>
      </c>
      <c r="F41" s="15">
        <f t="shared" ca="1" si="3"/>
        <v>1</v>
      </c>
      <c r="G41" s="15" t="str">
        <f t="shared" si="4"/>
        <v>Diagnostic</v>
      </c>
      <c r="H41" s="15" t="str">
        <f t="shared" ca="1" si="2"/>
        <v>Cleared</v>
      </c>
      <c r="I41" s="15" t="str">
        <f>Data!M39</f>
        <v>SystemDiagnosticClear</v>
      </c>
      <c r="J41" s="15" t="b">
        <f t="shared" ca="1" si="5"/>
        <v>0</v>
      </c>
      <c r="K41" s="15" t="b">
        <f t="shared" ca="1" si="6"/>
        <v>0</v>
      </c>
      <c r="L41" s="15" t="b">
        <f t="shared" si="7"/>
        <v>0</v>
      </c>
      <c r="M41" s="16" t="str">
        <f>Data!I39</f>
        <v>Long</v>
      </c>
      <c r="N41" s="16" t="str">
        <f>Data!J39</f>
        <v>Lat</v>
      </c>
      <c r="O41" s="15" t="str">
        <f>Data!K39</f>
        <v>Approximate Location</v>
      </c>
      <c r="P41" s="17">
        <f>Data!G39</f>
        <v>16928.4921875</v>
      </c>
      <c r="Q41" s="34">
        <f>Data!H39</f>
        <v>16.031377792358398</v>
      </c>
    </row>
    <row r="42" spans="1:17" ht="16.5" x14ac:dyDescent="0.3">
      <c r="A42" s="13" t="str">
        <f>Data!C40</f>
        <v>Vehicle 7</v>
      </c>
      <c r="B42" s="14">
        <f>Data!A40</f>
        <v>43572.844054664398</v>
      </c>
      <c r="C42" s="15" t="str">
        <f>Data!B40</f>
        <v>DataTransferCompliance</v>
      </c>
      <c r="D42" s="15" t="str">
        <f t="shared" si="0"/>
        <v>Data Transfer</v>
      </c>
      <c r="E42" s="15" t="str">
        <f t="shared" si="1"/>
        <v>Vehicle 7 Data Transfer Diagnostic</v>
      </c>
      <c r="F42" s="15">
        <f t="shared" ca="1" si="3"/>
        <v>1</v>
      </c>
      <c r="G42" s="15" t="str">
        <f t="shared" si="4"/>
        <v>Diagnostic</v>
      </c>
      <c r="H42" s="15" t="str">
        <f t="shared" ca="1" si="2"/>
        <v>Cleared</v>
      </c>
      <c r="I42" s="15" t="str">
        <f>Data!M40</f>
        <v>SystemDiagnosticClear</v>
      </c>
      <c r="J42" s="15" t="b">
        <f t="shared" ca="1" si="5"/>
        <v>0</v>
      </c>
      <c r="K42" s="15" t="b">
        <f t="shared" ca="1" si="6"/>
        <v>0</v>
      </c>
      <c r="L42" s="15" t="b">
        <f t="shared" si="7"/>
        <v>0</v>
      </c>
      <c r="M42" s="16" t="str">
        <f>Data!I40</f>
        <v>Long</v>
      </c>
      <c r="N42" s="16" t="str">
        <f>Data!J40</f>
        <v>Lat</v>
      </c>
      <c r="O42" s="15" t="str">
        <f>Data!K40</f>
        <v>Approximate Location</v>
      </c>
      <c r="P42" s="17">
        <f>Data!G40</f>
        <v>16944.5234375</v>
      </c>
      <c r="Q42" s="34">
        <f>Data!H40</f>
        <v>0</v>
      </c>
    </row>
    <row r="43" spans="1:17" ht="16.5" x14ac:dyDescent="0.3">
      <c r="A43" s="13" t="str">
        <f>Data!C41</f>
        <v>Vehicle 7</v>
      </c>
      <c r="B43" s="14">
        <f>Data!A41</f>
        <v>43572.848543252301</v>
      </c>
      <c r="C43" s="15" t="str">
        <f>Data!B41</f>
        <v>DataTransferCompliance</v>
      </c>
      <c r="D43" s="15" t="str">
        <f t="shared" si="0"/>
        <v>Data Transfer</v>
      </c>
      <c r="E43" s="15" t="str">
        <f t="shared" si="1"/>
        <v>Vehicle 7 Data Transfer Diagnostic</v>
      </c>
      <c r="F43" s="15">
        <f t="shared" ca="1" si="3"/>
        <v>1</v>
      </c>
      <c r="G43" s="15" t="str">
        <f t="shared" si="4"/>
        <v>Diagnostic</v>
      </c>
      <c r="H43" s="15" t="str">
        <f t="shared" ca="1" si="2"/>
        <v>Cleared</v>
      </c>
      <c r="I43" s="15" t="str">
        <f>Data!M41</f>
        <v>SystemDiagnosticClear</v>
      </c>
      <c r="J43" s="15" t="b">
        <f t="shared" ca="1" si="5"/>
        <v>0</v>
      </c>
      <c r="K43" s="15" t="b">
        <f t="shared" ca="1" si="6"/>
        <v>0</v>
      </c>
      <c r="L43" s="15" t="b">
        <f t="shared" si="7"/>
        <v>0</v>
      </c>
      <c r="M43" s="16" t="str">
        <f>Data!I41</f>
        <v>Long</v>
      </c>
      <c r="N43" s="16" t="str">
        <f>Data!J41</f>
        <v>Lat</v>
      </c>
      <c r="O43" s="15" t="str">
        <f>Data!K41</f>
        <v>Approximate Location</v>
      </c>
      <c r="P43" s="17">
        <f>Data!G41</f>
        <v>16944.5234375</v>
      </c>
      <c r="Q43" s="34">
        <f>Data!H41</f>
        <v>0</v>
      </c>
    </row>
    <row r="44" spans="1:17" ht="16.5" x14ac:dyDescent="0.3">
      <c r="A44" s="13" t="str">
        <f>Data!C42</f>
        <v>Vehicle 7</v>
      </c>
      <c r="B44" s="14">
        <f>Data!A42</f>
        <v>43572.851349803197</v>
      </c>
      <c r="C44" s="15" t="str">
        <f>Data!B42</f>
        <v>DataTransferCompliance</v>
      </c>
      <c r="D44" s="15" t="str">
        <f t="shared" si="0"/>
        <v>Data Transfer</v>
      </c>
      <c r="E44" s="15" t="str">
        <f t="shared" si="1"/>
        <v>Vehicle 7 Data Transfer Diagnostic</v>
      </c>
      <c r="F44" s="15">
        <f t="shared" ca="1" si="3"/>
        <v>2</v>
      </c>
      <c r="G44" s="15" t="str">
        <f t="shared" si="4"/>
        <v>Diagnostic</v>
      </c>
      <c r="H44" s="15" t="str">
        <f t="shared" ca="1" si="2"/>
        <v>Cleared</v>
      </c>
      <c r="I44" s="15" t="str">
        <f>Data!M42</f>
        <v>SystemDiagnosticClear</v>
      </c>
      <c r="J44" s="15" t="b">
        <f t="shared" ca="1" si="5"/>
        <v>0</v>
      </c>
      <c r="K44" s="15" t="b">
        <f t="shared" ca="1" si="6"/>
        <v>0</v>
      </c>
      <c r="L44" s="15" t="b">
        <f t="shared" si="7"/>
        <v>0</v>
      </c>
      <c r="M44" s="16" t="str">
        <f>Data!I42</f>
        <v>Long</v>
      </c>
      <c r="N44" s="16" t="str">
        <f>Data!J42</f>
        <v>Lat</v>
      </c>
      <c r="O44" s="15" t="str">
        <f>Data!K42</f>
        <v>Approximate Location</v>
      </c>
      <c r="P44" s="17">
        <f>Data!G42</f>
        <v>16944.5234375</v>
      </c>
      <c r="Q44" s="34">
        <f>Data!H42</f>
        <v>0</v>
      </c>
    </row>
    <row r="45" spans="1:17" ht="16.5" x14ac:dyDescent="0.3">
      <c r="A45" s="13" t="str">
        <f>Data!C43</f>
        <v>Vehicle 9</v>
      </c>
      <c r="B45" s="14">
        <f>Data!A43</f>
        <v>43572.858311655102</v>
      </c>
      <c r="C45" s="15" t="str">
        <f>Data!B43</f>
        <v>DataTransferCompliance</v>
      </c>
      <c r="D45" s="15" t="str">
        <f t="shared" si="0"/>
        <v>Data Transfer</v>
      </c>
      <c r="E45" s="15" t="str">
        <f t="shared" si="1"/>
        <v>Vehicle 9 Data Transfer Diagnostic</v>
      </c>
      <c r="F45" s="15">
        <f t="shared" ca="1" si="3"/>
        <v>17</v>
      </c>
      <c r="G45" s="15" t="str">
        <f t="shared" si="4"/>
        <v>Diagnostic</v>
      </c>
      <c r="H45" s="15" t="str">
        <f t="shared" ca="1" si="2"/>
        <v>Cleared</v>
      </c>
      <c r="I45" s="15" t="str">
        <f>Data!M43</f>
        <v>SystemDiagnosticClear</v>
      </c>
      <c r="J45" s="15" t="b">
        <f t="shared" ca="1" si="5"/>
        <v>0</v>
      </c>
      <c r="K45" s="15" t="b">
        <f t="shared" ca="1" si="6"/>
        <v>0</v>
      </c>
      <c r="L45" s="15" t="b">
        <f t="shared" si="7"/>
        <v>0</v>
      </c>
      <c r="M45" s="16" t="str">
        <f>Data!I43</f>
        <v>Long</v>
      </c>
      <c r="N45" s="16" t="str">
        <f>Data!J43</f>
        <v>Lat</v>
      </c>
      <c r="O45" s="15" t="str">
        <f>Data!K43</f>
        <v>Approximate Location</v>
      </c>
      <c r="P45" s="17">
        <f>Data!G43</f>
        <v>309.43151855468801</v>
      </c>
      <c r="Q45" s="34">
        <f>Data!H43</f>
        <v>0</v>
      </c>
    </row>
    <row r="46" spans="1:17" ht="16.5" x14ac:dyDescent="0.3">
      <c r="A46" s="13" t="str">
        <f>Data!C44</f>
        <v>Vehicle 7</v>
      </c>
      <c r="B46" s="14">
        <f>Data!A44</f>
        <v>43572.9020673958</v>
      </c>
      <c r="C46" s="15" t="str">
        <f>Data!B44</f>
        <v>DataTransferCompliance</v>
      </c>
      <c r="D46" s="15" t="str">
        <f t="shared" si="0"/>
        <v>Data Transfer</v>
      </c>
      <c r="E46" s="15" t="str">
        <f t="shared" si="1"/>
        <v>Vehicle 7 Data Transfer Diagnostic</v>
      </c>
      <c r="F46" s="15">
        <f t="shared" ca="1" si="3"/>
        <v>17</v>
      </c>
      <c r="G46" s="15" t="str">
        <f t="shared" si="4"/>
        <v>Diagnostic</v>
      </c>
      <c r="H46" s="15" t="str">
        <f t="shared" ca="1" si="2"/>
        <v>Cleared</v>
      </c>
      <c r="I46" s="15" t="str">
        <f>Data!M44</f>
        <v>SystemDiagnosticClear</v>
      </c>
      <c r="J46" s="15" t="b">
        <f t="shared" ca="1" si="5"/>
        <v>0</v>
      </c>
      <c r="K46" s="15" t="b">
        <f t="shared" ca="1" si="6"/>
        <v>0</v>
      </c>
      <c r="L46" s="15" t="b">
        <f t="shared" si="7"/>
        <v>0</v>
      </c>
      <c r="M46" s="16" t="str">
        <f>Data!I44</f>
        <v>Long</v>
      </c>
      <c r="N46" s="16" t="str">
        <f>Data!J44</f>
        <v>Lat</v>
      </c>
      <c r="O46" s="15" t="str">
        <f>Data!K44</f>
        <v>Approximate Location</v>
      </c>
      <c r="P46" s="17">
        <f>Data!G44</f>
        <v>16944.5234375</v>
      </c>
      <c r="Q46" s="34">
        <f>Data!H44</f>
        <v>47.969860076904297</v>
      </c>
    </row>
    <row r="47" spans="1:17" ht="16.5" x14ac:dyDescent="0.3">
      <c r="A47" s="13" t="str">
        <f>Data!C45</f>
        <v>Vehicle 4</v>
      </c>
      <c r="B47" s="14">
        <f>Data!A45</f>
        <v>43573.271030092597</v>
      </c>
      <c r="C47" s="15" t="str">
        <f>Data!B45</f>
        <v>UnidentifiedDrivingCompliance</v>
      </c>
      <c r="D47" s="15" t="str">
        <f t="shared" si="0"/>
        <v>Unidentified Driving</v>
      </c>
      <c r="E47" s="15" t="str">
        <f t="shared" si="1"/>
        <v>Vehicle 4 Unidentified Driving Diagnostic</v>
      </c>
      <c r="F47" s="15">
        <f t="shared" ca="1" si="3"/>
        <v>10</v>
      </c>
      <c r="G47" s="15" t="str">
        <f t="shared" si="4"/>
        <v>Diagnostic</v>
      </c>
      <c r="H47" s="15" t="str">
        <f t="shared" ca="1" si="2"/>
        <v>Active</v>
      </c>
      <c r="I47" s="15" t="str">
        <f>Data!M45</f>
        <v>Diagnostic</v>
      </c>
      <c r="J47" s="15" t="b">
        <f t="shared" ca="1" si="5"/>
        <v>0</v>
      </c>
      <c r="K47" s="15" t="b">
        <f t="shared" ca="1" si="6"/>
        <v>1</v>
      </c>
      <c r="L47" s="15" t="b">
        <f t="shared" si="7"/>
        <v>0</v>
      </c>
      <c r="M47" s="16" t="str">
        <f>Data!I45</f>
        <v>Long</v>
      </c>
      <c r="N47" s="16" t="str">
        <f>Data!J45</f>
        <v>Lat</v>
      </c>
      <c r="O47" s="15" t="str">
        <f>Data!K45</f>
        <v>Approximate Location</v>
      </c>
      <c r="P47" s="17">
        <f>Data!G45</f>
        <v>60600.34765625</v>
      </c>
      <c r="Q47" s="34">
        <f>Data!H45</f>
        <v>13.3371114730835</v>
      </c>
    </row>
    <row r="48" spans="1:17" ht="16.5" x14ac:dyDescent="0.3">
      <c r="A48" s="13" t="str">
        <f>Data!C46</f>
        <v>Vehicle 1</v>
      </c>
      <c r="B48" s="14">
        <f>Data!A46</f>
        <v>43573.282384259299</v>
      </c>
      <c r="C48" s="15" t="str">
        <f>Data!B46</f>
        <v>UnidentifiedDrivingCompliance</v>
      </c>
      <c r="D48" s="15" t="str">
        <f t="shared" si="0"/>
        <v>Unidentified Driving</v>
      </c>
      <c r="E48" s="15" t="str">
        <f t="shared" si="1"/>
        <v>Vehicle 1 Unidentified Driving Diagnostic</v>
      </c>
      <c r="F48" s="15">
        <f t="shared" ca="1" si="3"/>
        <v>12</v>
      </c>
      <c r="G48" s="15" t="str">
        <f t="shared" si="4"/>
        <v>Diagnostic</v>
      </c>
      <c r="H48" s="15" t="str">
        <f t="shared" ca="1" si="2"/>
        <v>Active</v>
      </c>
      <c r="I48" s="15" t="str">
        <f>Data!M46</f>
        <v>Diagnostic</v>
      </c>
      <c r="J48" s="15" t="b">
        <f t="shared" ca="1" si="5"/>
        <v>0</v>
      </c>
      <c r="K48" s="15" t="b">
        <f t="shared" ca="1" si="6"/>
        <v>1</v>
      </c>
      <c r="L48" s="15" t="b">
        <f t="shared" si="7"/>
        <v>0</v>
      </c>
      <c r="M48" s="16" t="str">
        <f>Data!I46</f>
        <v>Long</v>
      </c>
      <c r="N48" s="16" t="str">
        <f>Data!J46</f>
        <v>Lat</v>
      </c>
      <c r="O48" s="15" t="str">
        <f>Data!K46</f>
        <v>Approximate Location</v>
      </c>
      <c r="P48" s="17">
        <f>Data!G46</f>
        <v>12445.40234375</v>
      </c>
      <c r="Q48" s="34">
        <f>Data!H46</f>
        <v>48.1699409484863</v>
      </c>
    </row>
    <row r="49" spans="1:17" ht="16.5" x14ac:dyDescent="0.3">
      <c r="A49" s="13" t="str">
        <f>Data!C47</f>
        <v>Vehicle 6</v>
      </c>
      <c r="B49" s="14">
        <f>Data!A47</f>
        <v>43573.286041666703</v>
      </c>
      <c r="C49" s="15" t="str">
        <f>Data!B47</f>
        <v>UnidentifiedDrivingCompliance</v>
      </c>
      <c r="D49" s="15" t="str">
        <f t="shared" si="0"/>
        <v>Unidentified Driving</v>
      </c>
      <c r="E49" s="15" t="str">
        <f t="shared" si="1"/>
        <v>Vehicle 6 Unidentified Driving Diagnostic</v>
      </c>
      <c r="F49" s="15">
        <f t="shared" ca="1" si="3"/>
        <v>7</v>
      </c>
      <c r="G49" s="15" t="str">
        <f t="shared" si="4"/>
        <v>Diagnostic</v>
      </c>
      <c r="H49" s="15" t="str">
        <f t="shared" ca="1" si="2"/>
        <v>Active</v>
      </c>
      <c r="I49" s="15" t="str">
        <f>Data!M47</f>
        <v>Diagnostic</v>
      </c>
      <c r="J49" s="15" t="b">
        <f t="shared" ca="1" si="5"/>
        <v>0</v>
      </c>
      <c r="K49" s="15" t="b">
        <f t="shared" ca="1" si="6"/>
        <v>1</v>
      </c>
      <c r="L49" s="15" t="b">
        <f t="shared" si="7"/>
        <v>0</v>
      </c>
      <c r="M49" s="16" t="str">
        <f>Data!I47</f>
        <v>Long</v>
      </c>
      <c r="N49" s="16" t="str">
        <f>Data!J47</f>
        <v>Lat</v>
      </c>
      <c r="O49" s="15" t="str">
        <f>Data!K47</f>
        <v>Approximate Location</v>
      </c>
      <c r="P49" s="17">
        <f>Data!G47</f>
        <v>118566.7578125</v>
      </c>
      <c r="Q49" s="34">
        <f>Data!H47</f>
        <v>14.813489913940399</v>
      </c>
    </row>
    <row r="50" spans="1:17" ht="16.5" x14ac:dyDescent="0.3">
      <c r="A50" s="13" t="str">
        <f>Data!C48</f>
        <v>Vehicle 3</v>
      </c>
      <c r="B50" s="14">
        <f>Data!A48</f>
        <v>43573.490509259304</v>
      </c>
      <c r="C50" s="15" t="str">
        <f>Data!B48</f>
        <v>PowerCompliance</v>
      </c>
      <c r="D50" s="15" t="str">
        <f t="shared" si="0"/>
        <v>Power</v>
      </c>
      <c r="E50" s="15" t="str">
        <f t="shared" si="1"/>
        <v>Vehicle 3 Power Diagnostic</v>
      </c>
      <c r="F50" s="15">
        <f t="shared" ca="1" si="3"/>
        <v>1</v>
      </c>
      <c r="G50" s="15" t="str">
        <f t="shared" si="4"/>
        <v>Diagnostic</v>
      </c>
      <c r="H50" s="15" t="str">
        <f t="shared" ca="1" si="2"/>
        <v>Cleared</v>
      </c>
      <c r="I50" s="15" t="str">
        <f>Data!M48</f>
        <v>Diagnostic</v>
      </c>
      <c r="J50" s="15" t="b">
        <f t="shared" ca="1" si="5"/>
        <v>0</v>
      </c>
      <c r="K50" s="15" t="b">
        <f t="shared" ca="1" si="6"/>
        <v>0</v>
      </c>
      <c r="L50" s="15" t="b">
        <f t="shared" si="7"/>
        <v>0</v>
      </c>
      <c r="M50" s="16" t="str">
        <f>Data!I48</f>
        <v>Long</v>
      </c>
      <c r="N50" s="16" t="str">
        <f>Data!J48</f>
        <v>Lat</v>
      </c>
      <c r="O50" s="15" t="str">
        <f>Data!K48</f>
        <v>Approximate Location</v>
      </c>
      <c r="P50" s="17">
        <f>Data!G48</f>
        <v>116863.8984375</v>
      </c>
      <c r="Q50" s="34">
        <f>Data!H48</f>
        <v>0</v>
      </c>
    </row>
    <row r="51" spans="1:17" ht="16.5" x14ac:dyDescent="0.3">
      <c r="A51" s="13" t="str">
        <f>Data!C49</f>
        <v>Vehicle 3</v>
      </c>
      <c r="B51" s="14">
        <f>Data!A49</f>
        <v>43573.4906597222</v>
      </c>
      <c r="C51" s="15" t="str">
        <f>Data!B49</f>
        <v>PowerCompliance</v>
      </c>
      <c r="D51" s="15" t="str">
        <f t="shared" si="0"/>
        <v>Power</v>
      </c>
      <c r="E51" s="15" t="str">
        <f t="shared" si="1"/>
        <v>Vehicle 3 Power Diagnostic</v>
      </c>
      <c r="F51" s="15">
        <f t="shared" ca="1" si="3"/>
        <v>49</v>
      </c>
      <c r="G51" s="15" t="str">
        <f t="shared" si="4"/>
        <v>Diagnostic</v>
      </c>
      <c r="H51" s="15" t="str">
        <f t="shared" ca="1" si="2"/>
        <v>Cleared</v>
      </c>
      <c r="I51" s="15" t="str">
        <f>Data!M49</f>
        <v>SystemDiagnosticClearDriving</v>
      </c>
      <c r="J51" s="15" t="b">
        <f t="shared" ca="1" si="5"/>
        <v>0</v>
      </c>
      <c r="K51" s="15" t="b">
        <f t="shared" ca="1" si="6"/>
        <v>0</v>
      </c>
      <c r="L51" s="15" t="b">
        <f t="shared" si="7"/>
        <v>0</v>
      </c>
      <c r="M51" s="16" t="str">
        <f>Data!I49</f>
        <v>Long</v>
      </c>
      <c r="N51" s="16" t="str">
        <f>Data!J49</f>
        <v>Lat</v>
      </c>
      <c r="O51" s="15" t="str">
        <f>Data!K49</f>
        <v>Approximate Location</v>
      </c>
      <c r="P51" s="17">
        <f>Data!G49</f>
        <v>116863.8984375</v>
      </c>
      <c r="Q51" s="34">
        <f>Data!H49</f>
        <v>266.20538330078102</v>
      </c>
    </row>
    <row r="52" spans="1:17" ht="16.5" x14ac:dyDescent="0.3">
      <c r="A52" s="13" t="str">
        <f>Data!C50</f>
        <v>Vehicle 6</v>
      </c>
      <c r="B52" s="14">
        <f>Data!A50</f>
        <v>43573.496388888903</v>
      </c>
      <c r="C52" s="15" t="str">
        <f>Data!B50</f>
        <v>PowerCompliance</v>
      </c>
      <c r="D52" s="15" t="str">
        <f t="shared" si="0"/>
        <v>Power</v>
      </c>
      <c r="E52" s="15" t="str">
        <f t="shared" si="1"/>
        <v>Vehicle 6 Power Diagnostic</v>
      </c>
      <c r="F52" s="15">
        <f t="shared" ca="1" si="3"/>
        <v>1</v>
      </c>
      <c r="G52" s="15" t="str">
        <f t="shared" si="4"/>
        <v>Diagnostic</v>
      </c>
      <c r="H52" s="15" t="str">
        <f t="shared" ca="1" si="2"/>
        <v>Cleared</v>
      </c>
      <c r="I52" s="15" t="str">
        <f>Data!M50</f>
        <v>Diagnostic</v>
      </c>
      <c r="J52" s="15" t="b">
        <f t="shared" ca="1" si="5"/>
        <v>0</v>
      </c>
      <c r="K52" s="15" t="b">
        <f t="shared" ca="1" si="6"/>
        <v>0</v>
      </c>
      <c r="L52" s="15" t="b">
        <f t="shared" si="7"/>
        <v>0</v>
      </c>
      <c r="M52" s="16" t="str">
        <f>Data!I50</f>
        <v>Long</v>
      </c>
      <c r="N52" s="16" t="str">
        <f>Data!J50</f>
        <v>Lat</v>
      </c>
      <c r="O52" s="15" t="str">
        <f>Data!K50</f>
        <v>Approximate Location</v>
      </c>
      <c r="P52" s="17">
        <f>Data!G50</f>
        <v>118581.5703125</v>
      </c>
      <c r="Q52" s="34">
        <f>Data!H50</f>
        <v>0</v>
      </c>
    </row>
    <row r="53" spans="1:17" ht="16.5" x14ac:dyDescent="0.3">
      <c r="A53" s="13" t="str">
        <f>Data!C51</f>
        <v>Vehicle 6</v>
      </c>
      <c r="B53" s="14">
        <f>Data!A51</f>
        <v>43573.496712963002</v>
      </c>
      <c r="C53" s="15" t="str">
        <f>Data!B51</f>
        <v>PowerCompliance</v>
      </c>
      <c r="D53" s="15" t="str">
        <f t="shared" si="0"/>
        <v>Power</v>
      </c>
      <c r="E53" s="15" t="str">
        <f t="shared" si="1"/>
        <v>Vehicle 6 Power Diagnostic</v>
      </c>
      <c r="F53" s="15">
        <f t="shared" ca="1" si="3"/>
        <v>38</v>
      </c>
      <c r="G53" s="15" t="str">
        <f t="shared" si="4"/>
        <v>Diagnostic</v>
      </c>
      <c r="H53" s="15" t="str">
        <f t="shared" ca="1" si="2"/>
        <v>Cleared</v>
      </c>
      <c r="I53" s="15" t="str">
        <f>Data!M51</f>
        <v>SystemDiagnosticClearDriving</v>
      </c>
      <c r="J53" s="15" t="b">
        <f t="shared" ca="1" si="5"/>
        <v>0</v>
      </c>
      <c r="K53" s="15" t="b">
        <f t="shared" ca="1" si="6"/>
        <v>0</v>
      </c>
      <c r="L53" s="15" t="b">
        <f t="shared" si="7"/>
        <v>0</v>
      </c>
      <c r="M53" s="16" t="str">
        <f>Data!I51</f>
        <v>Long</v>
      </c>
      <c r="N53" s="16" t="str">
        <f>Data!J51</f>
        <v>Lat</v>
      </c>
      <c r="O53" s="15" t="str">
        <f>Data!K51</f>
        <v>Approximate Location</v>
      </c>
      <c r="P53" s="17">
        <f>Data!G51</f>
        <v>118581.5703125</v>
      </c>
      <c r="Q53" s="34">
        <f>Data!H51</f>
        <v>52.215065002441399</v>
      </c>
    </row>
    <row r="54" spans="1:17" ht="16.5" x14ac:dyDescent="0.3">
      <c r="A54" s="13" t="str">
        <f>Data!C52</f>
        <v>Vehicle 5</v>
      </c>
      <c r="B54" s="14">
        <f>Data!A52</f>
        <v>43573.509837963</v>
      </c>
      <c r="C54" s="15" t="str">
        <f>Data!B52</f>
        <v>PowerCompliance</v>
      </c>
      <c r="D54" s="15" t="str">
        <f t="shared" si="0"/>
        <v>Power</v>
      </c>
      <c r="E54" s="15" t="str">
        <f t="shared" si="1"/>
        <v>Vehicle 5 Power Diagnostic</v>
      </c>
      <c r="F54" s="15">
        <f t="shared" ca="1" si="3"/>
        <v>1</v>
      </c>
      <c r="G54" s="15" t="str">
        <f t="shared" si="4"/>
        <v>Diagnostic</v>
      </c>
      <c r="H54" s="15" t="str">
        <f t="shared" ca="1" si="2"/>
        <v>Cleared</v>
      </c>
      <c r="I54" s="15" t="str">
        <f>Data!M52</f>
        <v>Diagnostic</v>
      </c>
      <c r="J54" s="15" t="b">
        <f t="shared" ca="1" si="5"/>
        <v>0</v>
      </c>
      <c r="K54" s="15" t="b">
        <f t="shared" ca="1" si="6"/>
        <v>0</v>
      </c>
      <c r="L54" s="15" t="b">
        <f t="shared" si="7"/>
        <v>0</v>
      </c>
      <c r="M54" s="16" t="str">
        <f>Data!I52</f>
        <v>Long</v>
      </c>
      <c r="N54" s="16" t="str">
        <f>Data!J52</f>
        <v>Lat</v>
      </c>
      <c r="O54" s="15" t="str">
        <f>Data!K52</f>
        <v>Approximate Location</v>
      </c>
      <c r="P54" s="17">
        <f>Data!G52</f>
        <v>82278.5</v>
      </c>
      <c r="Q54" s="34">
        <f>Data!H52</f>
        <v>0</v>
      </c>
    </row>
    <row r="55" spans="1:17" ht="16.5" x14ac:dyDescent="0.3">
      <c r="A55" s="13" t="str">
        <f>Data!C53</f>
        <v>Vehicle 5</v>
      </c>
      <c r="B55" s="14">
        <f>Data!A53</f>
        <v>43573.510150463</v>
      </c>
      <c r="C55" s="15" t="str">
        <f>Data!B53</f>
        <v>PowerCompliance</v>
      </c>
      <c r="D55" s="15" t="str">
        <f t="shared" si="0"/>
        <v>Power</v>
      </c>
      <c r="E55" s="15" t="str">
        <f t="shared" si="1"/>
        <v>Vehicle 5 Power Diagnostic</v>
      </c>
      <c r="F55" s="15">
        <f t="shared" ca="1" si="3"/>
        <v>43</v>
      </c>
      <c r="G55" s="15" t="str">
        <f t="shared" si="4"/>
        <v>Diagnostic</v>
      </c>
      <c r="H55" s="15" t="str">
        <f t="shared" ca="1" si="2"/>
        <v>Cleared</v>
      </c>
      <c r="I55" s="15" t="str">
        <f>Data!M53</f>
        <v>SystemDiagnosticClearDriving</v>
      </c>
      <c r="J55" s="15" t="b">
        <f t="shared" ca="1" si="5"/>
        <v>0</v>
      </c>
      <c r="K55" s="15" t="b">
        <f t="shared" ca="1" si="6"/>
        <v>0</v>
      </c>
      <c r="L55" s="15" t="b">
        <f t="shared" si="7"/>
        <v>0</v>
      </c>
      <c r="M55" s="16" t="str">
        <f>Data!I53</f>
        <v>Long</v>
      </c>
      <c r="N55" s="16" t="str">
        <f>Data!J53</f>
        <v>Lat</v>
      </c>
      <c r="O55" s="15" t="str">
        <f>Data!K53</f>
        <v>Approximate Location</v>
      </c>
      <c r="P55" s="17">
        <f>Data!G53</f>
        <v>82278.5</v>
      </c>
      <c r="Q55" s="34">
        <f>Data!H53</f>
        <v>65.308601379394503</v>
      </c>
    </row>
    <row r="56" spans="1:17" ht="16.5" x14ac:dyDescent="0.3">
      <c r="A56" s="13" t="str">
        <f>Data!C54</f>
        <v>Vehicle 6</v>
      </c>
      <c r="B56" s="14">
        <f>Data!A54</f>
        <v>43574.299803240698</v>
      </c>
      <c r="C56" s="15" t="str">
        <f>Data!B54</f>
        <v>UnidentifiedDrivingCompliance</v>
      </c>
      <c r="D56" s="15" t="str">
        <f t="shared" si="0"/>
        <v>Unidentified Driving</v>
      </c>
      <c r="E56" s="15" t="str">
        <f t="shared" si="1"/>
        <v>Vehicle 6 Unidentified Driving Diagnostic</v>
      </c>
      <c r="F56" s="15">
        <f t="shared" ca="1" si="3"/>
        <v>2</v>
      </c>
      <c r="G56" s="15" t="str">
        <f t="shared" si="4"/>
        <v>Diagnostic</v>
      </c>
      <c r="H56" s="15" t="str">
        <f t="shared" ca="1" si="2"/>
        <v>Active</v>
      </c>
      <c r="I56" s="15" t="str">
        <f>Data!M54</f>
        <v>Diagnostic</v>
      </c>
      <c r="J56" s="15" t="b">
        <f t="shared" ca="1" si="5"/>
        <v>0</v>
      </c>
      <c r="K56" s="15" t="b">
        <f t="shared" ca="1" si="6"/>
        <v>1</v>
      </c>
      <c r="L56" s="15" t="b">
        <f t="shared" si="7"/>
        <v>0</v>
      </c>
      <c r="M56" s="16" t="str">
        <f>Data!I54</f>
        <v>Long</v>
      </c>
      <c r="N56" s="16" t="str">
        <f>Data!J54</f>
        <v>Lat</v>
      </c>
      <c r="O56" s="15" t="str">
        <f>Data!K54</f>
        <v>Approximate Location</v>
      </c>
      <c r="P56" s="17">
        <f>Data!G54</f>
        <v>118633.78125</v>
      </c>
      <c r="Q56" s="34">
        <f>Data!H54</f>
        <v>49.988071441650398</v>
      </c>
    </row>
    <row r="57" spans="1:17" ht="16.5" x14ac:dyDescent="0.3">
      <c r="A57" s="13" t="str">
        <f>Data!C55</f>
        <v>Vehicle 4</v>
      </c>
      <c r="B57" s="14">
        <f>Data!A55</f>
        <v>43574.552314814799</v>
      </c>
      <c r="C57" s="15" t="str">
        <f>Data!B55</f>
        <v>UnidentifiedDrivingCompliance</v>
      </c>
      <c r="D57" s="15" t="str">
        <f t="shared" si="0"/>
        <v>Unidentified Driving</v>
      </c>
      <c r="E57" s="15" t="str">
        <f t="shared" si="1"/>
        <v>Vehicle 4 Unidentified Driving Diagnostic</v>
      </c>
      <c r="F57" s="15">
        <f t="shared" ca="1" si="3"/>
        <v>2</v>
      </c>
      <c r="G57" s="15" t="str">
        <f t="shared" si="4"/>
        <v>Diagnostic</v>
      </c>
      <c r="H57" s="15" t="str">
        <f t="shared" ca="1" si="2"/>
        <v>Active</v>
      </c>
      <c r="I57" s="15" t="str">
        <f>Data!M55</f>
        <v>Diagnostic</v>
      </c>
      <c r="J57" s="15" t="b">
        <f t="shared" ca="1" si="5"/>
        <v>0</v>
      </c>
      <c r="K57" s="15" t="b">
        <f t="shared" ca="1" si="6"/>
        <v>1</v>
      </c>
      <c r="L57" s="15" t="b">
        <f t="shared" si="7"/>
        <v>0</v>
      </c>
      <c r="M57" s="16" t="str">
        <f>Data!I55</f>
        <v>Long</v>
      </c>
      <c r="N57" s="16" t="str">
        <f>Data!J55</f>
        <v>Lat</v>
      </c>
      <c r="O57" s="15" t="str">
        <f>Data!K55</f>
        <v>Approximate Location</v>
      </c>
      <c r="P57" s="17">
        <f>Data!G55</f>
        <v>60613.68359375</v>
      </c>
      <c r="Q57" s="34">
        <f>Data!H55</f>
        <v>9.7778978347778303</v>
      </c>
    </row>
    <row r="58" spans="1:17" ht="16.5" x14ac:dyDescent="0.3">
      <c r="A58" s="13" t="str">
        <f>Data!C56</f>
        <v>Vehicle 6</v>
      </c>
      <c r="B58" s="14">
        <f>Data!A56</f>
        <v>43574.772847222201</v>
      </c>
      <c r="C58" s="15" t="str">
        <f>Data!B56</f>
        <v>UnidentifiedDrivingCompliance</v>
      </c>
      <c r="D58" s="15" t="str">
        <f t="shared" si="0"/>
        <v>Unidentified Driving</v>
      </c>
      <c r="E58" s="15" t="str">
        <f t="shared" si="1"/>
        <v>Vehicle 6 Unidentified Driving Diagnostic</v>
      </c>
      <c r="F58" s="15">
        <f t="shared" ca="1" si="3"/>
        <v>3</v>
      </c>
      <c r="G58" s="15" t="str">
        <f t="shared" si="4"/>
        <v>Diagnostic</v>
      </c>
      <c r="H58" s="15" t="str">
        <f t="shared" ca="1" si="2"/>
        <v>Active</v>
      </c>
      <c r="I58" s="15" t="str">
        <f>Data!M56</f>
        <v>Diagnostic</v>
      </c>
      <c r="J58" s="15" t="b">
        <f t="shared" ca="1" si="5"/>
        <v>0</v>
      </c>
      <c r="K58" s="15" t="b">
        <f t="shared" ca="1" si="6"/>
        <v>1</v>
      </c>
      <c r="L58" s="15" t="b">
        <f t="shared" si="7"/>
        <v>0</v>
      </c>
      <c r="M58" s="16" t="str">
        <f>Data!I56</f>
        <v>Long</v>
      </c>
      <c r="N58" s="16" t="str">
        <f>Data!J56</f>
        <v>Lat</v>
      </c>
      <c r="O58" s="15" t="str">
        <f>Data!K56</f>
        <v>Approximate Location</v>
      </c>
      <c r="P58" s="17">
        <f>Data!G56</f>
        <v>118683.7734375</v>
      </c>
      <c r="Q58" s="34">
        <f>Data!H56</f>
        <v>34.080966949462898</v>
      </c>
    </row>
    <row r="59" spans="1:17" ht="16.5" x14ac:dyDescent="0.3">
      <c r="A59" s="13" t="str">
        <f>Data!C57</f>
        <v>Vehicle 4</v>
      </c>
      <c r="B59" s="14">
        <f>Data!A57</f>
        <v>43575.004861111098</v>
      </c>
      <c r="C59" s="15" t="str">
        <f>Data!B57</f>
        <v>UnidentifiedDrivingCompliance</v>
      </c>
      <c r="D59" s="15" t="str">
        <f t="shared" si="0"/>
        <v>Unidentified Driving</v>
      </c>
      <c r="E59" s="15" t="str">
        <f t="shared" si="1"/>
        <v>Vehicle 4 Unidentified Driving Diagnostic</v>
      </c>
      <c r="F59" s="15">
        <f t="shared" ca="1" si="3"/>
        <v>19</v>
      </c>
      <c r="G59" s="15" t="str">
        <f t="shared" si="4"/>
        <v>Diagnostic</v>
      </c>
      <c r="H59" s="15" t="str">
        <f t="shared" ca="1" si="2"/>
        <v>Active</v>
      </c>
      <c r="I59" s="15" t="str">
        <f>Data!M57</f>
        <v>Diagnostic</v>
      </c>
      <c r="J59" s="15" t="b">
        <f t="shared" ca="1" si="5"/>
        <v>0</v>
      </c>
      <c r="K59" s="15" t="b">
        <f t="shared" ca="1" si="6"/>
        <v>1</v>
      </c>
      <c r="L59" s="15" t="b">
        <f t="shared" si="7"/>
        <v>0</v>
      </c>
      <c r="M59" s="16" t="str">
        <f>Data!I57</f>
        <v>Long</v>
      </c>
      <c r="N59" s="16" t="str">
        <f>Data!J57</f>
        <v>Lat</v>
      </c>
      <c r="O59" s="15" t="str">
        <f>Data!K57</f>
        <v>Approximate Location</v>
      </c>
      <c r="P59" s="17">
        <f>Data!G57</f>
        <v>60623.4609375</v>
      </c>
      <c r="Q59" s="34">
        <f>Data!H57</f>
        <v>44.897800445556598</v>
      </c>
    </row>
    <row r="60" spans="1:17" ht="16.5" x14ac:dyDescent="0.3">
      <c r="A60" s="13" t="str">
        <f>Data!C58</f>
        <v>Vehicle 1</v>
      </c>
      <c r="B60" s="14">
        <f>Data!A58</f>
        <v>43575.408009259299</v>
      </c>
      <c r="C60" s="15" t="str">
        <f>Data!B58</f>
        <v>UnidentifiedDrivingCompliance</v>
      </c>
      <c r="D60" s="15" t="str">
        <f t="shared" si="0"/>
        <v>Unidentified Driving</v>
      </c>
      <c r="E60" s="15" t="str">
        <f t="shared" si="1"/>
        <v>Vehicle 1 Unidentified Driving Diagnostic</v>
      </c>
      <c r="F60" s="15">
        <f t="shared" ca="1" si="3"/>
        <v>19</v>
      </c>
      <c r="G60" s="15" t="str">
        <f t="shared" si="4"/>
        <v>Diagnostic</v>
      </c>
      <c r="H60" s="15" t="str">
        <f t="shared" ca="1" si="2"/>
        <v>Active</v>
      </c>
      <c r="I60" s="15" t="str">
        <f>Data!M58</f>
        <v>Diagnostic</v>
      </c>
      <c r="J60" s="15" t="b">
        <f t="shared" ca="1" si="5"/>
        <v>0</v>
      </c>
      <c r="K60" s="15" t="b">
        <f t="shared" ca="1" si="6"/>
        <v>1</v>
      </c>
      <c r="L60" s="15" t="b">
        <f t="shared" si="7"/>
        <v>0</v>
      </c>
      <c r="M60" s="16" t="str">
        <f>Data!I58</f>
        <v>Long</v>
      </c>
      <c r="N60" s="16" t="str">
        <f>Data!J58</f>
        <v>Lat</v>
      </c>
      <c r="O60" s="15" t="str">
        <f>Data!K58</f>
        <v>Approximate Location</v>
      </c>
      <c r="P60" s="17">
        <f>Data!G58</f>
        <v>12493.572265625</v>
      </c>
      <c r="Q60" s="34">
        <f>Data!H58</f>
        <v>27.141494750976602</v>
      </c>
    </row>
    <row r="61" spans="1:17" ht="16.5" x14ac:dyDescent="0.3">
      <c r="A61" s="13" t="str">
        <f>Data!C59</f>
        <v>Vehicle 6</v>
      </c>
      <c r="B61" s="14">
        <f>Data!A59</f>
        <v>43575.749745370398</v>
      </c>
      <c r="C61" s="15" t="str">
        <f>Data!B59</f>
        <v>UnidentifiedDrivingCompliance</v>
      </c>
      <c r="D61" s="15" t="str">
        <f t="shared" si="0"/>
        <v>Unidentified Driving</v>
      </c>
      <c r="E61" s="15" t="str">
        <f t="shared" si="1"/>
        <v>Vehicle 6 Unidentified Driving Diagnostic</v>
      </c>
      <c r="F61" s="15">
        <f t="shared" ca="1" si="3"/>
        <v>4</v>
      </c>
      <c r="G61" s="15" t="str">
        <f t="shared" si="4"/>
        <v>Diagnostic</v>
      </c>
      <c r="H61" s="15" t="str">
        <f t="shared" ca="1" si="2"/>
        <v>Active</v>
      </c>
      <c r="I61" s="15" t="str">
        <f>Data!M59</f>
        <v>Diagnostic</v>
      </c>
      <c r="J61" s="15" t="b">
        <f t="shared" ca="1" si="5"/>
        <v>0</v>
      </c>
      <c r="K61" s="15" t="b">
        <f t="shared" ca="1" si="6"/>
        <v>1</v>
      </c>
      <c r="L61" s="15" t="b">
        <f t="shared" si="7"/>
        <v>0</v>
      </c>
      <c r="M61" s="16" t="str">
        <f>Data!I59</f>
        <v>Long</v>
      </c>
      <c r="N61" s="16" t="str">
        <f>Data!J59</f>
        <v>Lat</v>
      </c>
      <c r="O61" s="15" t="str">
        <f>Data!K59</f>
        <v>Approximate Location</v>
      </c>
      <c r="P61" s="17">
        <f>Data!G59</f>
        <v>118717.8515625</v>
      </c>
      <c r="Q61" s="34">
        <f>Data!H59</f>
        <v>69.543869018554702</v>
      </c>
    </row>
    <row r="62" spans="1:17" ht="16.5" x14ac:dyDescent="0.3">
      <c r="A62" s="13" t="str">
        <f>Data!C60</f>
        <v>Vehicle 9</v>
      </c>
      <c r="B62" s="14">
        <f>Data!A60</f>
        <v>43576.512457326397</v>
      </c>
      <c r="C62" s="15" t="str">
        <f>Data!B60</f>
        <v>DataTransferCompliance</v>
      </c>
      <c r="D62" s="15" t="str">
        <f t="shared" si="0"/>
        <v>Data Transfer</v>
      </c>
      <c r="E62" s="15" t="str">
        <f t="shared" si="1"/>
        <v>Vehicle 9 Data Transfer Diagnostic</v>
      </c>
      <c r="F62" s="15">
        <f t="shared" ca="1" si="3"/>
        <v>14</v>
      </c>
      <c r="G62" s="15" t="str">
        <f t="shared" si="4"/>
        <v>Diagnostic</v>
      </c>
      <c r="H62" s="15" t="str">
        <f t="shared" ca="1" si="2"/>
        <v>Cleared</v>
      </c>
      <c r="I62" s="15" t="str">
        <f>Data!M60</f>
        <v>SystemDiagnosticClear</v>
      </c>
      <c r="J62" s="15" t="b">
        <f t="shared" ca="1" si="5"/>
        <v>0</v>
      </c>
      <c r="K62" s="15" t="b">
        <f t="shared" ca="1" si="6"/>
        <v>0</v>
      </c>
      <c r="L62" s="15" t="b">
        <f t="shared" si="7"/>
        <v>0</v>
      </c>
      <c r="M62" s="16" t="str">
        <f>Data!I60</f>
        <v>Long</v>
      </c>
      <c r="N62" s="16" t="str">
        <f>Data!J60</f>
        <v>Lat</v>
      </c>
      <c r="O62" s="15" t="str">
        <f>Data!K60</f>
        <v>Approximate Location</v>
      </c>
      <c r="P62" s="17">
        <f>Data!G60</f>
        <v>0</v>
      </c>
      <c r="Q62" s="34">
        <f>Data!H60</f>
        <v>0</v>
      </c>
    </row>
    <row r="63" spans="1:17" ht="16.5" x14ac:dyDescent="0.3">
      <c r="A63" s="13" t="str">
        <f>Data!C61</f>
        <v>Vehicle 7</v>
      </c>
      <c r="B63" s="14">
        <f>Data!A61</f>
        <v>43576.529638506901</v>
      </c>
      <c r="C63" s="15" t="str">
        <f>Data!B61</f>
        <v>DataTransferCompliance</v>
      </c>
      <c r="D63" s="15" t="str">
        <f t="shared" si="0"/>
        <v>Data Transfer</v>
      </c>
      <c r="E63" s="15" t="str">
        <f t="shared" si="1"/>
        <v>Vehicle 7 Data Transfer Diagnostic</v>
      </c>
      <c r="F63" s="15">
        <f t="shared" ca="1" si="3"/>
        <v>83</v>
      </c>
      <c r="G63" s="15" t="str">
        <f t="shared" si="4"/>
        <v>Diagnostic</v>
      </c>
      <c r="H63" s="15" t="str">
        <f t="shared" ca="1" si="2"/>
        <v>Cleared</v>
      </c>
      <c r="I63" s="15" t="str">
        <f>Data!M61</f>
        <v>SystemDiagnosticClear</v>
      </c>
      <c r="J63" s="15" t="b">
        <f t="shared" ca="1" si="5"/>
        <v>0</v>
      </c>
      <c r="K63" s="15" t="b">
        <f t="shared" ca="1" si="6"/>
        <v>0</v>
      </c>
      <c r="L63" s="15" t="b">
        <f t="shared" si="7"/>
        <v>0</v>
      </c>
      <c r="M63" s="16" t="str">
        <f>Data!I61</f>
        <v>Long</v>
      </c>
      <c r="N63" s="16" t="str">
        <f>Data!J61</f>
        <v>Lat</v>
      </c>
      <c r="O63" s="15" t="str">
        <f>Data!K61</f>
        <v>Approximate Location</v>
      </c>
      <c r="P63" s="17">
        <f>Data!G61</f>
        <v>16992.494140625</v>
      </c>
      <c r="Q63" s="34">
        <f>Data!H61</f>
        <v>33.280296325683601</v>
      </c>
    </row>
    <row r="64" spans="1:17" ht="16.5" x14ac:dyDescent="0.3">
      <c r="A64" s="13" t="str">
        <f>Data!C62</f>
        <v>Vehicle 2</v>
      </c>
      <c r="B64" s="14">
        <f>Data!A62</f>
        <v>43577.271280208297</v>
      </c>
      <c r="C64" s="15" t="str">
        <f>Data!B62</f>
        <v>DataTransferCompliance</v>
      </c>
      <c r="D64" s="15" t="str">
        <f t="shared" si="0"/>
        <v>Data Transfer</v>
      </c>
      <c r="E64" s="15" t="str">
        <f t="shared" si="1"/>
        <v>Vehicle 2 Data Transfer Diagnostic</v>
      </c>
      <c r="F64" s="15">
        <f t="shared" ca="1" si="3"/>
        <v>2</v>
      </c>
      <c r="G64" s="15" t="str">
        <f t="shared" si="4"/>
        <v>Diagnostic</v>
      </c>
      <c r="H64" s="15" t="str">
        <f t="shared" ca="1" si="2"/>
        <v>Cleared</v>
      </c>
      <c r="I64" s="15" t="str">
        <f>Data!M62</f>
        <v>Diagnostic</v>
      </c>
      <c r="J64" s="15" t="b">
        <f t="shared" ca="1" si="5"/>
        <v>0</v>
      </c>
      <c r="K64" s="15" t="b">
        <f t="shared" ca="1" si="6"/>
        <v>0</v>
      </c>
      <c r="L64" s="15" t="b">
        <f t="shared" si="7"/>
        <v>0</v>
      </c>
      <c r="M64" s="16" t="str">
        <f>Data!I62</f>
        <v>Long</v>
      </c>
      <c r="N64" s="16" t="str">
        <f>Data!J62</f>
        <v>Lat</v>
      </c>
      <c r="O64" s="15" t="str">
        <f>Data!K62</f>
        <v>Approximate Location</v>
      </c>
      <c r="P64" s="17">
        <f>Data!G62</f>
        <v>3159.75122070312</v>
      </c>
      <c r="Q64" s="34">
        <f>Data!H62</f>
        <v>2.2872667312622101</v>
      </c>
    </row>
    <row r="65" spans="1:17" ht="16.5" x14ac:dyDescent="0.3">
      <c r="A65" s="13" t="str">
        <f>Data!C63</f>
        <v>Vehicle 6</v>
      </c>
      <c r="B65" s="14">
        <f>Data!A63</f>
        <v>43577.305347222202</v>
      </c>
      <c r="C65" s="15" t="str">
        <f>Data!B63</f>
        <v>UnidentifiedDrivingCompliance</v>
      </c>
      <c r="D65" s="15" t="str">
        <f t="shared" si="0"/>
        <v>Unidentified Driving</v>
      </c>
      <c r="E65" s="15" t="str">
        <f t="shared" si="1"/>
        <v>Vehicle 6 Unidentified Driving Diagnostic</v>
      </c>
      <c r="F65" s="15">
        <f t="shared" ca="1" si="3"/>
        <v>58</v>
      </c>
      <c r="G65" s="15" t="str">
        <f t="shared" si="4"/>
        <v>Diagnostic</v>
      </c>
      <c r="H65" s="15" t="str">
        <f t="shared" ca="1" si="2"/>
        <v>Active</v>
      </c>
      <c r="I65" s="15" t="str">
        <f>Data!M63</f>
        <v>Diagnostic</v>
      </c>
      <c r="J65" s="15" t="b">
        <f t="shared" ca="1" si="5"/>
        <v>0</v>
      </c>
      <c r="K65" s="15" t="b">
        <f t="shared" ca="1" si="6"/>
        <v>1</v>
      </c>
      <c r="L65" s="15" t="b">
        <f t="shared" si="7"/>
        <v>0</v>
      </c>
      <c r="M65" s="16" t="str">
        <f>Data!I63</f>
        <v>Long</v>
      </c>
      <c r="N65" s="16" t="str">
        <f>Data!J63</f>
        <v>Lat</v>
      </c>
      <c r="O65" s="15" t="str">
        <f>Data!K63</f>
        <v>Approximate Location</v>
      </c>
      <c r="P65" s="17">
        <f>Data!G63</f>
        <v>118787.3984375</v>
      </c>
      <c r="Q65" s="34">
        <f>Data!H63</f>
        <v>9.3354816436767596</v>
      </c>
    </row>
    <row r="66" spans="1:17" ht="16.5" x14ac:dyDescent="0.3">
      <c r="A66" s="13" t="str">
        <f>Data!C64</f>
        <v>Vehicle 2</v>
      </c>
      <c r="B66" s="14">
        <f>Data!A64</f>
        <v>43577.335909108799</v>
      </c>
      <c r="C66" s="15" t="str">
        <f>Data!B64</f>
        <v>DataTransferCompliance</v>
      </c>
      <c r="D66" s="15" t="str">
        <f t="shared" si="0"/>
        <v>Data Transfer</v>
      </c>
      <c r="E66" s="15" t="str">
        <f t="shared" si="1"/>
        <v>Vehicle 2 Data Transfer Diagnostic</v>
      </c>
      <c r="F66" s="15">
        <f t="shared" ca="1" si="3"/>
        <v>118</v>
      </c>
      <c r="G66" s="15" t="str">
        <f t="shared" si="4"/>
        <v>Diagnostic</v>
      </c>
      <c r="H66" s="15" t="str">
        <f t="shared" ca="1" si="2"/>
        <v>Cleared</v>
      </c>
      <c r="I66" s="15" t="str">
        <f>Data!M64</f>
        <v>SystemDiagnosticClear</v>
      </c>
      <c r="J66" s="15" t="b">
        <f t="shared" ca="1" si="5"/>
        <v>0</v>
      </c>
      <c r="K66" s="15" t="b">
        <f t="shared" ca="1" si="6"/>
        <v>0</v>
      </c>
      <c r="L66" s="15" t="b">
        <f t="shared" si="7"/>
        <v>0</v>
      </c>
      <c r="M66" s="16" t="str">
        <f>Data!I64</f>
        <v>Long</v>
      </c>
      <c r="N66" s="16" t="str">
        <f>Data!J64</f>
        <v>Lat</v>
      </c>
      <c r="O66" s="15" t="str">
        <f>Data!K64</f>
        <v>Approximate Location</v>
      </c>
      <c r="P66" s="17">
        <f>Data!G64</f>
        <v>3162.03857421875</v>
      </c>
      <c r="Q66" s="34">
        <f>Data!H64</f>
        <v>34.972476959228501</v>
      </c>
    </row>
    <row r="67" spans="1:17" ht="16.5" x14ac:dyDescent="0.3">
      <c r="A67" s="13" t="str">
        <f>Data!C65</f>
        <v>Vehicle 1</v>
      </c>
      <c r="B67" s="14">
        <f>Data!A65</f>
        <v>43577.3539467593</v>
      </c>
      <c r="C67" s="15" t="str">
        <f>Data!B65</f>
        <v>PowerCompliance</v>
      </c>
      <c r="D67" s="15" t="str">
        <f t="shared" si="0"/>
        <v>Power</v>
      </c>
      <c r="E67" s="15" t="str">
        <f t="shared" si="1"/>
        <v>Vehicle 1 Power Diagnostic</v>
      </c>
      <c r="F67" s="15">
        <f t="shared" ca="1" si="3"/>
        <v>1</v>
      </c>
      <c r="G67" s="15" t="str">
        <f t="shared" si="4"/>
        <v>Diagnostic</v>
      </c>
      <c r="H67" s="15" t="str">
        <f t="shared" ca="1" si="2"/>
        <v>Cleared</v>
      </c>
      <c r="I67" s="15" t="str">
        <f>Data!M65</f>
        <v>Diagnostic</v>
      </c>
      <c r="J67" s="15" t="b">
        <f t="shared" ca="1" si="5"/>
        <v>0</v>
      </c>
      <c r="K67" s="15" t="b">
        <f t="shared" ca="1" si="6"/>
        <v>0</v>
      </c>
      <c r="L67" s="15" t="b">
        <f t="shared" si="7"/>
        <v>0</v>
      </c>
      <c r="M67" s="16" t="str">
        <f>Data!I65</f>
        <v>Long</v>
      </c>
      <c r="N67" s="16" t="str">
        <f>Data!J65</f>
        <v>Lat</v>
      </c>
      <c r="O67" s="15" t="str">
        <f>Data!K65</f>
        <v>Approximate Location</v>
      </c>
      <c r="P67" s="17">
        <f>Data!G65</f>
        <v>12520.7138671875</v>
      </c>
      <c r="Q67" s="34">
        <f>Data!H65</f>
        <v>0</v>
      </c>
    </row>
    <row r="68" spans="1:17" ht="16.5" x14ac:dyDescent="0.3">
      <c r="A68" s="13" t="str">
        <f>Data!C66</f>
        <v>Vehicle 1</v>
      </c>
      <c r="B68" s="14">
        <f>Data!A66</f>
        <v>43577.354641203703</v>
      </c>
      <c r="C68" s="15" t="str">
        <f>Data!B66</f>
        <v>PowerCompliance</v>
      </c>
      <c r="D68" s="15" t="str">
        <f t="shared" si="0"/>
        <v>Power</v>
      </c>
      <c r="E68" s="15" t="str">
        <f t="shared" si="1"/>
        <v>Vehicle 1 Power Diagnostic</v>
      </c>
      <c r="F68" s="15">
        <f t="shared" ca="1" si="3"/>
        <v>34</v>
      </c>
      <c r="G68" s="15" t="str">
        <f t="shared" si="4"/>
        <v>Diagnostic</v>
      </c>
      <c r="H68" s="15" t="str">
        <f t="shared" ca="1" si="2"/>
        <v>Cleared</v>
      </c>
      <c r="I68" s="15" t="str">
        <f>Data!M66</f>
        <v>SystemDiagnosticClear</v>
      </c>
      <c r="J68" s="15" t="b">
        <f t="shared" ca="1" si="5"/>
        <v>0</v>
      </c>
      <c r="K68" s="15" t="b">
        <f t="shared" ca="1" si="6"/>
        <v>0</v>
      </c>
      <c r="L68" s="15" t="b">
        <f t="shared" si="7"/>
        <v>0</v>
      </c>
      <c r="M68" s="16" t="str">
        <f>Data!I66</f>
        <v>Long</v>
      </c>
      <c r="N68" s="16" t="str">
        <f>Data!J66</f>
        <v>Lat</v>
      </c>
      <c r="O68" s="15" t="str">
        <f>Data!K66</f>
        <v>Approximate Location</v>
      </c>
      <c r="P68" s="17">
        <f>Data!G66</f>
        <v>12520.7138671875</v>
      </c>
      <c r="Q68" s="34">
        <f>Data!H66</f>
        <v>19.7583618164062</v>
      </c>
    </row>
    <row r="69" spans="1:17" ht="16.5" x14ac:dyDescent="0.3">
      <c r="A69" s="13" t="str">
        <f>Data!C67</f>
        <v>Vehicle 8</v>
      </c>
      <c r="B69" s="14">
        <f>Data!A67</f>
        <v>43577.386527777802</v>
      </c>
      <c r="C69" s="15" t="str">
        <f>Data!B67</f>
        <v>PowerCompliance</v>
      </c>
      <c r="D69" s="15" t="str">
        <f t="shared" si="0"/>
        <v>Power</v>
      </c>
      <c r="E69" s="15" t="str">
        <f t="shared" si="1"/>
        <v>Vehicle 8 Power Diagnostic</v>
      </c>
      <c r="F69" s="15">
        <f t="shared" ca="1" si="3"/>
        <v>1</v>
      </c>
      <c r="G69" s="15" t="str">
        <f t="shared" si="4"/>
        <v>Diagnostic</v>
      </c>
      <c r="H69" s="15" t="str">
        <f t="shared" ca="1" si="2"/>
        <v>Cleared</v>
      </c>
      <c r="I69" s="15" t="str">
        <f>Data!M67</f>
        <v>Diagnostic</v>
      </c>
      <c r="J69" s="15" t="b">
        <f t="shared" ca="1" si="5"/>
        <v>0</v>
      </c>
      <c r="K69" s="15" t="b">
        <f t="shared" ca="1" si="6"/>
        <v>0</v>
      </c>
      <c r="L69" s="15" t="b">
        <f t="shared" si="7"/>
        <v>0</v>
      </c>
      <c r="M69" s="16" t="str">
        <f>Data!I67</f>
        <v>Long</v>
      </c>
      <c r="N69" s="16" t="str">
        <f>Data!J67</f>
        <v>Lat</v>
      </c>
      <c r="O69" s="15" t="str">
        <f>Data!K67</f>
        <v>Approximate Location</v>
      </c>
      <c r="P69" s="17">
        <f>Data!G67</f>
        <v>66997.1328125</v>
      </c>
      <c r="Q69" s="34">
        <f>Data!H67</f>
        <v>0</v>
      </c>
    </row>
    <row r="70" spans="1:17" ht="16.5" x14ac:dyDescent="0.3">
      <c r="A70" s="13" t="str">
        <f>Data!C68</f>
        <v>Vehicle 8</v>
      </c>
      <c r="B70" s="14">
        <f>Data!A68</f>
        <v>43577.387418981503</v>
      </c>
      <c r="C70" s="15" t="str">
        <f>Data!B68</f>
        <v>PowerCompliance</v>
      </c>
      <c r="D70" s="15" t="str">
        <f t="shared" si="0"/>
        <v>Power</v>
      </c>
      <c r="E70" s="15" t="str">
        <f t="shared" si="1"/>
        <v>Vehicle 8 Power Diagnostic</v>
      </c>
      <c r="F70" s="15">
        <f t="shared" ca="1" si="3"/>
        <v>26</v>
      </c>
      <c r="G70" s="15" t="str">
        <f t="shared" si="4"/>
        <v>Diagnostic</v>
      </c>
      <c r="H70" s="15" t="str">
        <f t="shared" ca="1" si="2"/>
        <v>Cleared</v>
      </c>
      <c r="I70" s="15" t="str">
        <f>Data!M68</f>
        <v>SystemDiagnosticClearDriving</v>
      </c>
      <c r="J70" s="15" t="b">
        <f t="shared" ca="1" si="5"/>
        <v>0</v>
      </c>
      <c r="K70" s="15" t="b">
        <f t="shared" ca="1" si="6"/>
        <v>0</v>
      </c>
      <c r="L70" s="15" t="b">
        <f t="shared" si="7"/>
        <v>0</v>
      </c>
      <c r="M70" s="16" t="str">
        <f>Data!I68</f>
        <v>Long</v>
      </c>
      <c r="N70" s="16" t="str">
        <f>Data!J68</f>
        <v>Lat</v>
      </c>
      <c r="O70" s="15" t="str">
        <f>Data!K68</f>
        <v>Approximate Location</v>
      </c>
      <c r="P70" s="17">
        <f>Data!G68</f>
        <v>66997.1328125</v>
      </c>
      <c r="Q70" s="34">
        <f>Data!H68</f>
        <v>24.849878311157202</v>
      </c>
    </row>
    <row r="71" spans="1:17" ht="16.5" x14ac:dyDescent="0.3">
      <c r="A71" s="13" t="str">
        <f>Data!C69</f>
        <v>Vehicle 6</v>
      </c>
      <c r="B71" s="14">
        <f>Data!A69</f>
        <v>43577.520649340302</v>
      </c>
      <c r="C71" s="15" t="str">
        <f>Data!B69</f>
        <v>DataTransferCompliance</v>
      </c>
      <c r="D71" s="15" t="str">
        <f t="shared" si="0"/>
        <v>Data Transfer</v>
      </c>
      <c r="E71" s="15" t="str">
        <f t="shared" si="1"/>
        <v>Vehicle 6 Data Transfer Diagnostic</v>
      </c>
      <c r="F71" s="15">
        <f t="shared" ca="1" si="3"/>
        <v>6</v>
      </c>
      <c r="G71" s="15" t="str">
        <f t="shared" si="4"/>
        <v>Diagnostic</v>
      </c>
      <c r="H71" s="15" t="str">
        <f t="shared" ca="1" si="2"/>
        <v>Cleared</v>
      </c>
      <c r="I71" s="15" t="str">
        <f>Data!M69</f>
        <v>SystemDiagnosticClear</v>
      </c>
      <c r="J71" s="15" t="b">
        <f t="shared" ca="1" si="5"/>
        <v>0</v>
      </c>
      <c r="K71" s="15" t="b">
        <f t="shared" ca="1" si="6"/>
        <v>0</v>
      </c>
      <c r="L71" s="15" t="b">
        <f t="shared" si="7"/>
        <v>0</v>
      </c>
      <c r="M71" s="16" t="str">
        <f>Data!I69</f>
        <v>Long</v>
      </c>
      <c r="N71" s="16" t="str">
        <f>Data!J69</f>
        <v>Lat</v>
      </c>
      <c r="O71" s="15" t="str">
        <f>Data!K69</f>
        <v>Approximate Location</v>
      </c>
      <c r="P71" s="17">
        <f>Data!G69</f>
        <v>118796.734375</v>
      </c>
      <c r="Q71" s="34">
        <f>Data!H69</f>
        <v>0</v>
      </c>
    </row>
    <row r="72" spans="1:17" ht="16.5" x14ac:dyDescent="0.3">
      <c r="A72" s="13" t="str">
        <f>Data!C70</f>
        <v>Vehicle 10</v>
      </c>
      <c r="B72" s="14">
        <f>Data!A70</f>
        <v>43577.561921296299</v>
      </c>
      <c r="C72" s="15" t="str">
        <f>Data!B70</f>
        <v>PowerCompliance</v>
      </c>
      <c r="D72" s="15" t="str">
        <f t="shared" si="0"/>
        <v>Power</v>
      </c>
      <c r="E72" s="15" t="str">
        <f t="shared" si="1"/>
        <v>Vehicle 10 Power Diagnostic</v>
      </c>
      <c r="F72" s="15">
        <f t="shared" ca="1" si="3"/>
        <v>1</v>
      </c>
      <c r="G72" s="15" t="str">
        <f t="shared" si="4"/>
        <v>Diagnostic</v>
      </c>
      <c r="H72" s="15" t="str">
        <f t="shared" ca="1" si="2"/>
        <v>Cleared</v>
      </c>
      <c r="I72" s="15" t="str">
        <f>Data!M70</f>
        <v>Diagnostic</v>
      </c>
      <c r="J72" s="15" t="b">
        <f t="shared" ca="1" si="5"/>
        <v>0</v>
      </c>
      <c r="K72" s="15" t="b">
        <f t="shared" ca="1" si="6"/>
        <v>0</v>
      </c>
      <c r="L72" s="15" t="b">
        <f t="shared" si="7"/>
        <v>0</v>
      </c>
      <c r="M72" s="16" t="str">
        <f>Data!I70</f>
        <v>Long</v>
      </c>
      <c r="N72" s="16" t="str">
        <f>Data!J70</f>
        <v>Lat</v>
      </c>
      <c r="O72" s="15" t="str">
        <f>Data!K70</f>
        <v>Approximate Location</v>
      </c>
      <c r="P72" s="17">
        <f>Data!G70</f>
        <v>93214.6328125</v>
      </c>
      <c r="Q72" s="34">
        <f>Data!H70</f>
        <v>0</v>
      </c>
    </row>
    <row r="73" spans="1:17" ht="16.5" x14ac:dyDescent="0.3">
      <c r="A73" s="13" t="str">
        <f>Data!C71</f>
        <v>Vehicle 10</v>
      </c>
      <c r="B73" s="14">
        <f>Data!A71</f>
        <v>43577.5620949074</v>
      </c>
      <c r="C73" s="15" t="str">
        <f>Data!B71</f>
        <v>PowerCompliance</v>
      </c>
      <c r="D73" s="15" t="str">
        <f t="shared" si="0"/>
        <v>Power</v>
      </c>
      <c r="E73" s="15" t="str">
        <f t="shared" si="1"/>
        <v>Vehicle 10 Power Diagnostic</v>
      </c>
      <c r="F73" s="15">
        <f t="shared" ca="1" si="3"/>
        <v>13</v>
      </c>
      <c r="G73" s="15" t="str">
        <f t="shared" si="4"/>
        <v>Diagnostic</v>
      </c>
      <c r="H73" s="15" t="str">
        <f t="shared" ca="1" si="2"/>
        <v>Cleared</v>
      </c>
      <c r="I73" s="15" t="str">
        <f>Data!M71</f>
        <v>SystemDiagnosticClearDriving</v>
      </c>
      <c r="J73" s="15" t="b">
        <f t="shared" ca="1" si="5"/>
        <v>0</v>
      </c>
      <c r="K73" s="15" t="b">
        <f t="shared" ca="1" si="6"/>
        <v>0</v>
      </c>
      <c r="L73" s="15" t="b">
        <f t="shared" si="7"/>
        <v>0</v>
      </c>
      <c r="M73" s="16" t="str">
        <f>Data!I71</f>
        <v>Long</v>
      </c>
      <c r="N73" s="16" t="str">
        <f>Data!J71</f>
        <v>Lat</v>
      </c>
      <c r="O73" s="15" t="str">
        <f>Data!K71</f>
        <v>Approximate Location</v>
      </c>
      <c r="P73" s="17">
        <f>Data!G71</f>
        <v>93214.6328125</v>
      </c>
      <c r="Q73" s="34">
        <f>Data!H71</f>
        <v>0.34192338585853599</v>
      </c>
    </row>
    <row r="74" spans="1:17" ht="16.5" x14ac:dyDescent="0.3">
      <c r="A74" s="13" t="str">
        <f>Data!C72</f>
        <v>Vehicle 10</v>
      </c>
      <c r="B74" s="14">
        <f>Data!A72</f>
        <v>43577.5901783218</v>
      </c>
      <c r="C74" s="15" t="str">
        <f>Data!B72</f>
        <v>DataTransferCompliance</v>
      </c>
      <c r="D74" s="15" t="str">
        <f t="shared" si="0"/>
        <v>Data Transfer</v>
      </c>
      <c r="E74" s="15" t="str">
        <f t="shared" si="1"/>
        <v>Vehicle 10 Data Transfer Diagnostic</v>
      </c>
      <c r="F74" s="15">
        <f t="shared" ca="1" si="3"/>
        <v>6</v>
      </c>
      <c r="G74" s="15" t="str">
        <f t="shared" si="4"/>
        <v>Diagnostic</v>
      </c>
      <c r="H74" s="15" t="str">
        <f t="shared" ca="1" si="2"/>
        <v>Cleared</v>
      </c>
      <c r="I74" s="15" t="str">
        <f>Data!M72</f>
        <v>Diagnostic</v>
      </c>
      <c r="J74" s="15" t="b">
        <f t="shared" ca="1" si="5"/>
        <v>0</v>
      </c>
      <c r="K74" s="15" t="b">
        <f t="shared" ca="1" si="6"/>
        <v>0</v>
      </c>
      <c r="L74" s="15" t="b">
        <f t="shared" si="7"/>
        <v>0</v>
      </c>
      <c r="M74" s="16" t="str">
        <f>Data!I72</f>
        <v>Long</v>
      </c>
      <c r="N74" s="16" t="str">
        <f>Data!J72</f>
        <v>Lat</v>
      </c>
      <c r="O74" s="15" t="str">
        <f>Data!K72</f>
        <v>Approximate Location</v>
      </c>
      <c r="P74" s="17">
        <f>Data!G72</f>
        <v>93214.9765625</v>
      </c>
      <c r="Q74" s="34">
        <f>Data!H72</f>
        <v>2.5511810779571502</v>
      </c>
    </row>
    <row r="75" spans="1:17" ht="16.5" x14ac:dyDescent="0.3">
      <c r="A75" s="13" t="str">
        <f>Data!C73</f>
        <v>Vehicle 10</v>
      </c>
      <c r="B75" s="14">
        <f>Data!A73</f>
        <v>43577.594490740703</v>
      </c>
      <c r="C75" s="15" t="str">
        <f>Data!B73</f>
        <v>UnidentifiedDrivingCompliance</v>
      </c>
      <c r="D75" s="15" t="str">
        <f t="shared" si="0"/>
        <v>Unidentified Driving</v>
      </c>
      <c r="E75" s="15" t="str">
        <f t="shared" si="1"/>
        <v>Vehicle 10 Unidentified Driving Diagnostic</v>
      </c>
      <c r="F75" s="15">
        <f t="shared" ca="1" si="3"/>
        <v>59</v>
      </c>
      <c r="G75" s="15" t="str">
        <f t="shared" si="4"/>
        <v>Diagnostic</v>
      </c>
      <c r="H75" s="15" t="str">
        <f t="shared" ca="1" si="2"/>
        <v>Active</v>
      </c>
      <c r="I75" s="15" t="str">
        <f>Data!M73</f>
        <v>Diagnostic</v>
      </c>
      <c r="J75" s="15" t="b">
        <f t="shared" ca="1" si="5"/>
        <v>0</v>
      </c>
      <c r="K75" s="15" t="b">
        <f t="shared" ca="1" si="6"/>
        <v>1</v>
      </c>
      <c r="L75" s="15" t="b">
        <f t="shared" si="7"/>
        <v>0</v>
      </c>
      <c r="M75" s="16" t="str">
        <f>Data!I73</f>
        <v>Long</v>
      </c>
      <c r="N75" s="16" t="str">
        <f>Data!J73</f>
        <v>Lat</v>
      </c>
      <c r="O75" s="15" t="str">
        <f>Data!K73</f>
        <v>Approximate Location</v>
      </c>
      <c r="P75" s="17">
        <f>Data!G73</f>
        <v>93217.5234375</v>
      </c>
      <c r="Q75" s="34">
        <f>Data!H73</f>
        <v>4.31480169296265</v>
      </c>
    </row>
    <row r="76" spans="1:17" ht="16.5" x14ac:dyDescent="0.3">
      <c r="A76" s="13" t="str">
        <f>Data!C74</f>
        <v>Vehicle 9</v>
      </c>
      <c r="B76" s="14">
        <f>Data!A74</f>
        <v>43577.5947578704</v>
      </c>
      <c r="C76" s="15" t="str">
        <f>Data!B74</f>
        <v>DataTransferCompliance</v>
      </c>
      <c r="D76" s="15" t="str">
        <f t="shared" si="0"/>
        <v>Data Transfer</v>
      </c>
      <c r="E76" s="15" t="str">
        <f t="shared" si="1"/>
        <v>Vehicle 9 Data Transfer Diagnostic</v>
      </c>
      <c r="F76" s="15">
        <f t="shared" ca="1" si="3"/>
        <v>79</v>
      </c>
      <c r="G76" s="15" t="str">
        <f t="shared" si="4"/>
        <v>Diagnostic</v>
      </c>
      <c r="H76" s="15" t="str">
        <f t="shared" ca="1" si="2"/>
        <v>Cleared</v>
      </c>
      <c r="I76" s="15" t="str">
        <f>Data!M74</f>
        <v>SystemDiagnosticClear</v>
      </c>
      <c r="J76" s="15" t="b">
        <f t="shared" ca="1" si="5"/>
        <v>0</v>
      </c>
      <c r="K76" s="15" t="b">
        <f t="shared" ca="1" si="6"/>
        <v>0</v>
      </c>
      <c r="L76" s="15" t="b">
        <f t="shared" si="7"/>
        <v>0</v>
      </c>
      <c r="M76" s="16" t="str">
        <f>Data!I74</f>
        <v>Long</v>
      </c>
      <c r="N76" s="16" t="str">
        <f>Data!J74</f>
        <v>Lat</v>
      </c>
      <c r="O76" s="15" t="str">
        <f>Data!K74</f>
        <v>Approximate Location</v>
      </c>
      <c r="P76" s="17">
        <f>Data!G74</f>
        <v>0</v>
      </c>
      <c r="Q76" s="34">
        <f>Data!H74</f>
        <v>0</v>
      </c>
    </row>
    <row r="77" spans="1:17" ht="16.5" x14ac:dyDescent="0.3">
      <c r="A77" s="13" t="str">
        <f>Data!C75</f>
        <v>Vehicle 6</v>
      </c>
      <c r="B77" s="14">
        <f>Data!A75</f>
        <v>43578.235858831002</v>
      </c>
      <c r="C77" s="15" t="str">
        <f>Data!B75</f>
        <v>DataTransferCompliance</v>
      </c>
      <c r="D77" s="15" t="str">
        <f t="shared" ref="D77:D140" si="8">IF(C77="PowerCompliance","Power",IF(C77="PositioningCompliance","Positioning",IF(C77="EngineSyncCompliance","Engine Sync",IF(C77="UnidentifiedDrivingCompliance","Unidentified Driving",IF(C77="DataRecordingCompliance","Data Recording",IF(C77="DataTransferCompliance","Data Transfer",IF(C77="MissingElementCompliance","Missing Element",IF(C77="OtherCompliance","Other",IF(C77="TimingCompliance","Timing","")))))))))</f>
        <v>Data Transfer</v>
      </c>
      <c r="E77" s="15" t="str">
        <f t="shared" ref="E77:E140" si="9">A77&amp;" "&amp;D77&amp;" "&amp;G77</f>
        <v>Vehicle 6 Data Transfer Diagnostic</v>
      </c>
      <c r="F77" s="15" t="e">
        <f t="shared" ca="1" si="3"/>
        <v>#N/A</v>
      </c>
      <c r="G77" s="15" t="str">
        <f t="shared" si="4"/>
        <v>Diagnostic</v>
      </c>
      <c r="H77" s="15" t="str">
        <f t="shared" ref="H77:H140" ca="1" si="10">IF(OR(ISNUMBER(SEARCH("clear",INDIRECT("H"&amp;ROW(I77)+F77))),ISNUMBER(SEARCH("clear",I77))),"Cleared","Active")</f>
        <v>Cleared</v>
      </c>
      <c r="I77" s="15" t="str">
        <f>Data!M75</f>
        <v>SystemDiagnosticClear</v>
      </c>
      <c r="J77" s="15" t="b">
        <f t="shared" ca="1" si="5"/>
        <v>1</v>
      </c>
      <c r="K77" s="15" t="b">
        <f t="shared" ca="1" si="6"/>
        <v>0</v>
      </c>
      <c r="L77" s="15" t="b">
        <f t="shared" si="7"/>
        <v>0</v>
      </c>
      <c r="M77" s="16" t="str">
        <f>Data!I75</f>
        <v>Long</v>
      </c>
      <c r="N77" s="16" t="str">
        <f>Data!J75</f>
        <v>Lat</v>
      </c>
      <c r="O77" s="15" t="str">
        <f>Data!K75</f>
        <v>Approximate Location</v>
      </c>
      <c r="P77" s="17">
        <f>Data!G75</f>
        <v>118796.734375</v>
      </c>
      <c r="Q77" s="34">
        <f>Data!H75</f>
        <v>142.97503662109401</v>
      </c>
    </row>
    <row r="78" spans="1:17" ht="16.5" x14ac:dyDescent="0.3">
      <c r="A78" s="13" t="str">
        <f>Data!C76</f>
        <v>Vehicle 4</v>
      </c>
      <c r="B78" s="14">
        <f>Data!A76</f>
        <v>43578.243541666699</v>
      </c>
      <c r="C78" s="15" t="str">
        <f>Data!B76</f>
        <v>UnidentifiedDrivingCompliance</v>
      </c>
      <c r="D78" s="15" t="str">
        <f t="shared" si="8"/>
        <v>Unidentified Driving</v>
      </c>
      <c r="E78" s="15" t="str">
        <f t="shared" si="9"/>
        <v>Vehicle 4 Unidentified Driving Diagnostic</v>
      </c>
      <c r="F78" s="15">
        <f t="shared" ref="F78:F141" ca="1" si="11">MATCH(E78,INDIRECT("E"&amp;ROW(E78)+1&amp;":E"&amp;$B$10),0)</f>
        <v>15</v>
      </c>
      <c r="G78" s="15" t="str">
        <f t="shared" ref="G78:G141" si="12">IF(ISNUMBER(SEARCH("Diagnostic",I78))=TRUE,"Diagnostic","Malfunction")</f>
        <v>Diagnostic</v>
      </c>
      <c r="H78" s="15" t="str">
        <f t="shared" ca="1" si="10"/>
        <v>Active</v>
      </c>
      <c r="I78" s="15" t="str">
        <f>Data!M76</f>
        <v>Diagnostic</v>
      </c>
      <c r="J78" s="15" t="b">
        <f t="shared" ref="J78:J141" ca="1" si="13">ISERROR(F78)</f>
        <v>0</v>
      </c>
      <c r="K78" s="15" t="b">
        <f t="shared" ref="K78:K141" ca="1" si="14">IF(H78="Active",TRUE,FALSE)</f>
        <v>1</v>
      </c>
      <c r="L78" s="15" t="b">
        <f t="shared" ref="L78:L141" si="15">IF(G78="Malfunction",TRUE,FALSE)</f>
        <v>0</v>
      </c>
      <c r="M78" s="16" t="str">
        <f>Data!I76</f>
        <v>Long</v>
      </c>
      <c r="N78" s="16" t="str">
        <f>Data!J76</f>
        <v>Lat</v>
      </c>
      <c r="O78" s="15" t="str">
        <f>Data!K76</f>
        <v>Approximate Location</v>
      </c>
      <c r="P78" s="17">
        <f>Data!G76</f>
        <v>60668.359375</v>
      </c>
      <c r="Q78" s="34">
        <f>Data!H76</f>
        <v>12.909608840942401</v>
      </c>
    </row>
    <row r="79" spans="1:17" ht="16.5" x14ac:dyDescent="0.3">
      <c r="A79" s="13" t="str">
        <f>Data!C77</f>
        <v>Vehicle 1</v>
      </c>
      <c r="B79" s="14">
        <f>Data!A77</f>
        <v>43578.2531850347</v>
      </c>
      <c r="C79" s="15" t="str">
        <f>Data!B77</f>
        <v>UnidentifiedDrivingCompliance</v>
      </c>
      <c r="D79" s="15" t="str">
        <f t="shared" si="8"/>
        <v>Unidentified Driving</v>
      </c>
      <c r="E79" s="15" t="str">
        <f t="shared" si="9"/>
        <v>Vehicle 1 Unidentified Driving Diagnostic</v>
      </c>
      <c r="F79" s="15">
        <f t="shared" ca="1" si="11"/>
        <v>15</v>
      </c>
      <c r="G79" s="15" t="str">
        <f t="shared" si="12"/>
        <v>Diagnostic</v>
      </c>
      <c r="H79" s="15" t="str">
        <f t="shared" ca="1" si="10"/>
        <v>Active</v>
      </c>
      <c r="I79" s="15" t="str">
        <f>Data!M77</f>
        <v>Diagnostic</v>
      </c>
      <c r="J79" s="15" t="b">
        <f t="shared" ca="1" si="13"/>
        <v>0</v>
      </c>
      <c r="K79" s="15" t="b">
        <f t="shared" ca="1" si="14"/>
        <v>1</v>
      </c>
      <c r="L79" s="15" t="b">
        <f t="shared" si="15"/>
        <v>0</v>
      </c>
      <c r="M79" s="16" t="str">
        <f>Data!I77</f>
        <v>Long</v>
      </c>
      <c r="N79" s="16" t="str">
        <f>Data!J77</f>
        <v>Lat</v>
      </c>
      <c r="O79" s="15" t="str">
        <f>Data!K77</f>
        <v>Approximate Location</v>
      </c>
      <c r="P79" s="17">
        <f>Data!G77</f>
        <v>12540.4716796875</v>
      </c>
      <c r="Q79" s="34">
        <f>Data!H77</f>
        <v>35.623210906982401</v>
      </c>
    </row>
    <row r="80" spans="1:17" ht="16.5" x14ac:dyDescent="0.3">
      <c r="A80" s="13" t="str">
        <f>Data!C78</f>
        <v>Vehicle 10</v>
      </c>
      <c r="B80" s="14">
        <f>Data!A78</f>
        <v>43578.2681498495</v>
      </c>
      <c r="C80" s="15" t="str">
        <f>Data!B78</f>
        <v>DataTransferCompliance</v>
      </c>
      <c r="D80" s="15" t="str">
        <f t="shared" si="8"/>
        <v>Data Transfer</v>
      </c>
      <c r="E80" s="15" t="str">
        <f t="shared" si="9"/>
        <v>Vehicle 10 Data Transfer Diagnostic</v>
      </c>
      <c r="F80" s="15">
        <f t="shared" ca="1" si="11"/>
        <v>1</v>
      </c>
      <c r="G80" s="15" t="str">
        <f t="shared" si="12"/>
        <v>Diagnostic</v>
      </c>
      <c r="H80" s="15" t="str">
        <f t="shared" ca="1" si="10"/>
        <v>Cleared</v>
      </c>
      <c r="I80" s="15" t="str">
        <f>Data!M78</f>
        <v>SystemDiagnosticClear</v>
      </c>
      <c r="J80" s="15" t="b">
        <f t="shared" ca="1" si="13"/>
        <v>0</v>
      </c>
      <c r="K80" s="15" t="b">
        <f t="shared" ca="1" si="14"/>
        <v>0</v>
      </c>
      <c r="L80" s="15" t="b">
        <f t="shared" si="15"/>
        <v>0</v>
      </c>
      <c r="M80" s="16" t="str">
        <f>Data!I78</f>
        <v>Long</v>
      </c>
      <c r="N80" s="16" t="str">
        <f>Data!J78</f>
        <v>Lat</v>
      </c>
      <c r="O80" s="15" t="str">
        <f>Data!K78</f>
        <v>Approximate Location</v>
      </c>
      <c r="P80" s="17">
        <f>Data!G78</f>
        <v>93221.8359375</v>
      </c>
      <c r="Q80" s="34">
        <f>Data!H78</f>
        <v>6.5243978500366202</v>
      </c>
    </row>
    <row r="81" spans="1:17" ht="16.5" x14ac:dyDescent="0.3">
      <c r="A81" s="13" t="str">
        <f>Data!C79</f>
        <v>Vehicle 10</v>
      </c>
      <c r="B81" s="14">
        <f>Data!A79</f>
        <v>43578.391233877301</v>
      </c>
      <c r="C81" s="15" t="str">
        <f>Data!B79</f>
        <v>DataTransferCompliance</v>
      </c>
      <c r="D81" s="15" t="str">
        <f t="shared" si="8"/>
        <v>Data Transfer</v>
      </c>
      <c r="E81" s="15" t="str">
        <f t="shared" si="9"/>
        <v>Vehicle 10 Data Transfer Diagnostic</v>
      </c>
      <c r="F81" s="15">
        <f t="shared" ca="1" si="11"/>
        <v>1</v>
      </c>
      <c r="G81" s="15" t="str">
        <f t="shared" si="12"/>
        <v>Diagnostic</v>
      </c>
      <c r="H81" s="15" t="str">
        <f t="shared" ca="1" si="10"/>
        <v>Cleared</v>
      </c>
      <c r="I81" s="15" t="str">
        <f>Data!M79</f>
        <v>SystemDiagnosticClear</v>
      </c>
      <c r="J81" s="15" t="b">
        <f t="shared" ca="1" si="13"/>
        <v>0</v>
      </c>
      <c r="K81" s="15" t="b">
        <f t="shared" ca="1" si="14"/>
        <v>0</v>
      </c>
      <c r="L81" s="15" t="b">
        <f t="shared" si="15"/>
        <v>0</v>
      </c>
      <c r="M81" s="16" t="str">
        <f>Data!I79</f>
        <v>Long</v>
      </c>
      <c r="N81" s="16" t="str">
        <f>Data!J79</f>
        <v>Lat</v>
      </c>
      <c r="O81" s="15" t="str">
        <f>Data!K79</f>
        <v>Approximate Location</v>
      </c>
      <c r="P81" s="17">
        <f>Data!G79</f>
        <v>93228.3671875</v>
      </c>
      <c r="Q81" s="34">
        <f>Data!H79</f>
        <v>0</v>
      </c>
    </row>
    <row r="82" spans="1:17" ht="16.5" x14ac:dyDescent="0.3">
      <c r="A82" s="13" t="str">
        <f>Data!C80</f>
        <v>Vehicle 10</v>
      </c>
      <c r="B82" s="14">
        <f>Data!A80</f>
        <v>43578.499944942101</v>
      </c>
      <c r="C82" s="15" t="str">
        <f>Data!B80</f>
        <v>DataTransferCompliance</v>
      </c>
      <c r="D82" s="15" t="str">
        <f t="shared" si="8"/>
        <v>Data Transfer</v>
      </c>
      <c r="E82" s="15" t="str">
        <f t="shared" si="9"/>
        <v>Vehicle 10 Data Transfer Diagnostic</v>
      </c>
      <c r="F82" s="15">
        <f t="shared" ca="1" si="11"/>
        <v>1</v>
      </c>
      <c r="G82" s="15" t="str">
        <f t="shared" si="12"/>
        <v>Diagnostic</v>
      </c>
      <c r="H82" s="15" t="str">
        <f t="shared" ca="1" si="10"/>
        <v>Cleared</v>
      </c>
      <c r="I82" s="15" t="str">
        <f>Data!M80</f>
        <v>SystemDiagnosticClear</v>
      </c>
      <c r="J82" s="15" t="b">
        <f t="shared" ca="1" si="13"/>
        <v>0</v>
      </c>
      <c r="K82" s="15" t="b">
        <f t="shared" ca="1" si="14"/>
        <v>0</v>
      </c>
      <c r="L82" s="15" t="b">
        <f t="shared" si="15"/>
        <v>0</v>
      </c>
      <c r="M82" s="16" t="str">
        <f>Data!I80</f>
        <v>Long</v>
      </c>
      <c r="N82" s="16" t="str">
        <f>Data!J80</f>
        <v>Lat</v>
      </c>
      <c r="O82" s="15" t="str">
        <f>Data!K80</f>
        <v>Approximate Location</v>
      </c>
      <c r="P82" s="17">
        <f>Data!G80</f>
        <v>93228.3671875</v>
      </c>
      <c r="Q82" s="34">
        <f>Data!H80</f>
        <v>0</v>
      </c>
    </row>
    <row r="83" spans="1:17" ht="16.5" x14ac:dyDescent="0.3">
      <c r="A83" s="13" t="str">
        <f>Data!C81</f>
        <v>Vehicle 10</v>
      </c>
      <c r="B83" s="14">
        <f>Data!A81</f>
        <v>43578.512414930599</v>
      </c>
      <c r="C83" s="15" t="str">
        <f>Data!B81</f>
        <v>DataTransferCompliance</v>
      </c>
      <c r="D83" s="15" t="str">
        <f t="shared" si="8"/>
        <v>Data Transfer</v>
      </c>
      <c r="E83" s="15" t="str">
        <f t="shared" si="9"/>
        <v>Vehicle 10 Data Transfer Diagnostic</v>
      </c>
      <c r="F83" s="15">
        <f t="shared" ca="1" si="11"/>
        <v>1</v>
      </c>
      <c r="G83" s="15" t="str">
        <f t="shared" si="12"/>
        <v>Diagnostic</v>
      </c>
      <c r="H83" s="15" t="str">
        <f t="shared" ca="1" si="10"/>
        <v>Cleared</v>
      </c>
      <c r="I83" s="15" t="str">
        <f>Data!M81</f>
        <v>SystemDiagnosticClear</v>
      </c>
      <c r="J83" s="15" t="b">
        <f t="shared" ca="1" si="13"/>
        <v>0</v>
      </c>
      <c r="K83" s="15" t="b">
        <f t="shared" ca="1" si="14"/>
        <v>0</v>
      </c>
      <c r="L83" s="15" t="b">
        <f t="shared" si="15"/>
        <v>0</v>
      </c>
      <c r="M83" s="16" t="str">
        <f>Data!I81</f>
        <v>Long</v>
      </c>
      <c r="N83" s="16" t="str">
        <f>Data!J81</f>
        <v>Lat</v>
      </c>
      <c r="O83" s="15" t="str">
        <f>Data!K81</f>
        <v>Approximate Location</v>
      </c>
      <c r="P83" s="17">
        <f>Data!G81</f>
        <v>93228.3671875</v>
      </c>
      <c r="Q83" s="34">
        <f>Data!H81</f>
        <v>0</v>
      </c>
    </row>
    <row r="84" spans="1:17" ht="16.5" x14ac:dyDescent="0.3">
      <c r="A84" s="13" t="str">
        <f>Data!C82</f>
        <v>Vehicle 10</v>
      </c>
      <c r="B84" s="14">
        <f>Data!A82</f>
        <v>43578.517433993104</v>
      </c>
      <c r="C84" s="15" t="str">
        <f>Data!B82</f>
        <v>DataTransferCompliance</v>
      </c>
      <c r="D84" s="15" t="str">
        <f t="shared" si="8"/>
        <v>Data Transfer</v>
      </c>
      <c r="E84" s="15" t="str">
        <f t="shared" si="9"/>
        <v>Vehicle 10 Data Transfer Diagnostic</v>
      </c>
      <c r="F84" s="15">
        <f t="shared" ca="1" si="11"/>
        <v>1</v>
      </c>
      <c r="G84" s="15" t="str">
        <f t="shared" si="12"/>
        <v>Diagnostic</v>
      </c>
      <c r="H84" s="15" t="str">
        <f t="shared" ca="1" si="10"/>
        <v>Cleared</v>
      </c>
      <c r="I84" s="15" t="str">
        <f>Data!M82</f>
        <v>SystemDiagnosticClear</v>
      </c>
      <c r="J84" s="15" t="b">
        <f t="shared" ca="1" si="13"/>
        <v>0</v>
      </c>
      <c r="K84" s="15" t="b">
        <f t="shared" ca="1" si="14"/>
        <v>0</v>
      </c>
      <c r="L84" s="15" t="b">
        <f t="shared" si="15"/>
        <v>0</v>
      </c>
      <c r="M84" s="16" t="str">
        <f>Data!I82</f>
        <v>Long</v>
      </c>
      <c r="N84" s="16" t="str">
        <f>Data!J82</f>
        <v>Lat</v>
      </c>
      <c r="O84" s="15" t="str">
        <f>Data!K82</f>
        <v>Approximate Location</v>
      </c>
      <c r="P84" s="17">
        <f>Data!G82</f>
        <v>93228.3671875</v>
      </c>
      <c r="Q84" s="34">
        <f>Data!H82</f>
        <v>0</v>
      </c>
    </row>
    <row r="85" spans="1:17" ht="16.5" x14ac:dyDescent="0.3">
      <c r="A85" s="13" t="str">
        <f>Data!C83</f>
        <v>Vehicle 10</v>
      </c>
      <c r="B85" s="14">
        <f>Data!A83</f>
        <v>43578.5195664005</v>
      </c>
      <c r="C85" s="15" t="str">
        <f>Data!B83</f>
        <v>DataTransferCompliance</v>
      </c>
      <c r="D85" s="15" t="str">
        <f t="shared" si="8"/>
        <v>Data Transfer</v>
      </c>
      <c r="E85" s="15" t="str">
        <f t="shared" si="9"/>
        <v>Vehicle 10 Data Transfer Diagnostic</v>
      </c>
      <c r="F85" s="15">
        <f t="shared" ca="1" si="11"/>
        <v>26</v>
      </c>
      <c r="G85" s="15" t="str">
        <f t="shared" si="12"/>
        <v>Diagnostic</v>
      </c>
      <c r="H85" s="15" t="str">
        <f t="shared" ca="1" si="10"/>
        <v>Cleared</v>
      </c>
      <c r="I85" s="15" t="str">
        <f>Data!M83</f>
        <v>SystemDiagnosticClear</v>
      </c>
      <c r="J85" s="15" t="b">
        <f t="shared" ca="1" si="13"/>
        <v>0</v>
      </c>
      <c r="K85" s="15" t="b">
        <f t="shared" ca="1" si="14"/>
        <v>0</v>
      </c>
      <c r="L85" s="15" t="b">
        <f t="shared" si="15"/>
        <v>0</v>
      </c>
      <c r="M85" s="16" t="str">
        <f>Data!I83</f>
        <v>Long</v>
      </c>
      <c r="N85" s="16" t="str">
        <f>Data!J83</f>
        <v>Lat</v>
      </c>
      <c r="O85" s="15" t="str">
        <f>Data!K83</f>
        <v>Approximate Location</v>
      </c>
      <c r="P85" s="17">
        <f>Data!G83</f>
        <v>93228.3671875</v>
      </c>
      <c r="Q85" s="34">
        <f>Data!H83</f>
        <v>-2.4854848161339799E-3</v>
      </c>
    </row>
    <row r="86" spans="1:17" ht="16.5" x14ac:dyDescent="0.3">
      <c r="A86" s="13" t="str">
        <f>Data!C84</f>
        <v>Vehicle 10</v>
      </c>
      <c r="B86" s="14">
        <f>Data!A84</f>
        <v>43578.525358796302</v>
      </c>
      <c r="C86" s="15" t="str">
        <f>Data!B84</f>
        <v>PowerCompliance</v>
      </c>
      <c r="D86" s="15" t="str">
        <f t="shared" si="8"/>
        <v>Power</v>
      </c>
      <c r="E86" s="15" t="str">
        <f t="shared" si="9"/>
        <v>Vehicle 10 Power Diagnostic</v>
      </c>
      <c r="F86" s="15">
        <f t="shared" ca="1" si="11"/>
        <v>1</v>
      </c>
      <c r="G86" s="15" t="str">
        <f t="shared" si="12"/>
        <v>Diagnostic</v>
      </c>
      <c r="H86" s="15" t="str">
        <f t="shared" ca="1" si="10"/>
        <v>Cleared</v>
      </c>
      <c r="I86" s="15" t="str">
        <f>Data!M84</f>
        <v>Diagnostic</v>
      </c>
      <c r="J86" s="15" t="b">
        <f t="shared" ca="1" si="13"/>
        <v>0</v>
      </c>
      <c r="K86" s="15" t="b">
        <f t="shared" ca="1" si="14"/>
        <v>0</v>
      </c>
      <c r="L86" s="15" t="b">
        <f t="shared" si="15"/>
        <v>0</v>
      </c>
      <c r="M86" s="16" t="str">
        <f>Data!I84</f>
        <v>Long</v>
      </c>
      <c r="N86" s="16" t="str">
        <f>Data!J84</f>
        <v>Lat</v>
      </c>
      <c r="O86" s="15" t="str">
        <f>Data!K84</f>
        <v>Approximate Location</v>
      </c>
      <c r="P86" s="17">
        <f>Data!G84</f>
        <v>93228.359375</v>
      </c>
      <c r="Q86" s="34">
        <f>Data!H84</f>
        <v>0</v>
      </c>
    </row>
    <row r="87" spans="1:17" ht="16.5" x14ac:dyDescent="0.3">
      <c r="A87" s="13" t="str">
        <f>Data!C85</f>
        <v>Vehicle 10</v>
      </c>
      <c r="B87" s="14">
        <f>Data!A85</f>
        <v>43578.525613425903</v>
      </c>
      <c r="C87" s="15" t="str">
        <f>Data!B85</f>
        <v>PowerCompliance</v>
      </c>
      <c r="D87" s="15" t="str">
        <f t="shared" si="8"/>
        <v>Power</v>
      </c>
      <c r="E87" s="15" t="str">
        <f t="shared" si="9"/>
        <v>Vehicle 10 Power Diagnostic</v>
      </c>
      <c r="F87" s="15">
        <f t="shared" ca="1" si="11"/>
        <v>1</v>
      </c>
      <c r="G87" s="15" t="str">
        <f t="shared" si="12"/>
        <v>Diagnostic</v>
      </c>
      <c r="H87" s="15" t="str">
        <f t="shared" ca="1" si="10"/>
        <v>Cleared</v>
      </c>
      <c r="I87" s="15" t="str">
        <f>Data!M85</f>
        <v>SystemDiagnosticClearDriving</v>
      </c>
      <c r="J87" s="15" t="b">
        <f t="shared" ca="1" si="13"/>
        <v>0</v>
      </c>
      <c r="K87" s="15" t="b">
        <f t="shared" ca="1" si="14"/>
        <v>0</v>
      </c>
      <c r="L87" s="15" t="b">
        <f t="shared" si="15"/>
        <v>0</v>
      </c>
      <c r="M87" s="16" t="str">
        <f>Data!I85</f>
        <v>Long</v>
      </c>
      <c r="N87" s="16" t="str">
        <f>Data!J85</f>
        <v>Lat</v>
      </c>
      <c r="O87" s="15" t="str">
        <f>Data!K85</f>
        <v>Approximate Location</v>
      </c>
      <c r="P87" s="17">
        <f>Data!G85</f>
        <v>93228.359375</v>
      </c>
      <c r="Q87" s="34">
        <f>Data!H85</f>
        <v>3.3404917716979998</v>
      </c>
    </row>
    <row r="88" spans="1:17" ht="16.5" x14ac:dyDescent="0.3">
      <c r="A88" s="13" t="str">
        <f>Data!C86</f>
        <v>Vehicle 10</v>
      </c>
      <c r="B88" s="14">
        <f>Data!A86</f>
        <v>43578.545243055603</v>
      </c>
      <c r="C88" s="15" t="str">
        <f>Data!B86</f>
        <v>PowerCompliance</v>
      </c>
      <c r="D88" s="15" t="str">
        <f t="shared" si="8"/>
        <v>Power</v>
      </c>
      <c r="E88" s="15" t="str">
        <f t="shared" si="9"/>
        <v>Vehicle 10 Power Diagnostic</v>
      </c>
      <c r="F88" s="15">
        <f t="shared" ca="1" si="11"/>
        <v>1</v>
      </c>
      <c r="G88" s="15" t="str">
        <f t="shared" si="12"/>
        <v>Diagnostic</v>
      </c>
      <c r="H88" s="15" t="str">
        <f t="shared" ca="1" si="10"/>
        <v>Cleared</v>
      </c>
      <c r="I88" s="15" t="str">
        <f>Data!M86</f>
        <v>Diagnostic</v>
      </c>
      <c r="J88" s="15" t="b">
        <f t="shared" ca="1" si="13"/>
        <v>0</v>
      </c>
      <c r="K88" s="15" t="b">
        <f t="shared" ca="1" si="14"/>
        <v>0</v>
      </c>
      <c r="L88" s="15" t="b">
        <f t="shared" si="15"/>
        <v>0</v>
      </c>
      <c r="M88" s="16" t="str">
        <f>Data!I86</f>
        <v>Long</v>
      </c>
      <c r="N88" s="16" t="str">
        <f>Data!J86</f>
        <v>Lat</v>
      </c>
      <c r="O88" s="15" t="str">
        <f>Data!K86</f>
        <v>Approximate Location</v>
      </c>
      <c r="P88" s="17">
        <f>Data!G86</f>
        <v>93231.703125</v>
      </c>
      <c r="Q88" s="34">
        <f>Data!H86</f>
        <v>0.16901297867298101</v>
      </c>
    </row>
    <row r="89" spans="1:17" ht="16.5" x14ac:dyDescent="0.3">
      <c r="A89" s="13" t="str">
        <f>Data!C87</f>
        <v>Vehicle 10</v>
      </c>
      <c r="B89" s="14">
        <f>Data!A87</f>
        <v>43578.545775462997</v>
      </c>
      <c r="C89" s="15" t="str">
        <f>Data!B87</f>
        <v>PowerCompliance</v>
      </c>
      <c r="D89" s="15" t="str">
        <f t="shared" si="8"/>
        <v>Power</v>
      </c>
      <c r="E89" s="15" t="str">
        <f t="shared" si="9"/>
        <v>Vehicle 10 Power Diagnostic</v>
      </c>
      <c r="F89" s="15">
        <f t="shared" ca="1" si="11"/>
        <v>17</v>
      </c>
      <c r="G89" s="15" t="str">
        <f t="shared" si="12"/>
        <v>Diagnostic</v>
      </c>
      <c r="H89" s="15" t="str">
        <f t="shared" ca="1" si="10"/>
        <v>Cleared</v>
      </c>
      <c r="I89" s="15" t="str">
        <f>Data!M87</f>
        <v>SystemDiagnosticClearDriving</v>
      </c>
      <c r="J89" s="15" t="b">
        <f t="shared" ca="1" si="13"/>
        <v>0</v>
      </c>
      <c r="K89" s="15" t="b">
        <f t="shared" ca="1" si="14"/>
        <v>0</v>
      </c>
      <c r="L89" s="15" t="b">
        <f t="shared" si="15"/>
        <v>0</v>
      </c>
      <c r="M89" s="16" t="str">
        <f>Data!I87</f>
        <v>Long</v>
      </c>
      <c r="N89" s="16" t="str">
        <f>Data!J87</f>
        <v>Lat</v>
      </c>
      <c r="O89" s="15" t="str">
        <f>Data!K87</f>
        <v>Approximate Location</v>
      </c>
      <c r="P89" s="17">
        <f>Data!G87</f>
        <v>93231.8671875</v>
      </c>
      <c r="Q89" s="34">
        <f>Data!H87</f>
        <v>8.1722745895385707</v>
      </c>
    </row>
    <row r="90" spans="1:17" ht="16.5" x14ac:dyDescent="0.3">
      <c r="A90" s="13" t="str">
        <f>Data!C88</f>
        <v>Vehicle 7</v>
      </c>
      <c r="B90" s="14">
        <f>Data!A88</f>
        <v>43578.787858796299</v>
      </c>
      <c r="C90" s="15" t="str">
        <f>Data!B88</f>
        <v>UnidentifiedDrivingCompliance</v>
      </c>
      <c r="D90" s="15" t="str">
        <f t="shared" si="8"/>
        <v>Unidentified Driving</v>
      </c>
      <c r="E90" s="15" t="str">
        <f t="shared" si="9"/>
        <v>Vehicle 7 Unidentified Driving Diagnostic</v>
      </c>
      <c r="F90" s="15">
        <f t="shared" ca="1" si="11"/>
        <v>24</v>
      </c>
      <c r="G90" s="15" t="str">
        <f t="shared" si="12"/>
        <v>Diagnostic</v>
      </c>
      <c r="H90" s="15" t="str">
        <f t="shared" ca="1" si="10"/>
        <v>Active</v>
      </c>
      <c r="I90" s="15" t="str">
        <f>Data!M88</f>
        <v>Diagnostic</v>
      </c>
      <c r="J90" s="15" t="b">
        <f t="shared" ca="1" si="13"/>
        <v>0</v>
      </c>
      <c r="K90" s="15" t="b">
        <f t="shared" ca="1" si="14"/>
        <v>1</v>
      </c>
      <c r="L90" s="15" t="b">
        <f t="shared" si="15"/>
        <v>0</v>
      </c>
      <c r="M90" s="16" t="str">
        <f>Data!I88</f>
        <v>Long</v>
      </c>
      <c r="N90" s="16" t="str">
        <f>Data!J88</f>
        <v>Lat</v>
      </c>
      <c r="O90" s="15" t="str">
        <f>Data!K88</f>
        <v>Approximate Location</v>
      </c>
      <c r="P90" s="17">
        <f>Data!G88</f>
        <v>17025.7734375</v>
      </c>
      <c r="Q90" s="34">
        <f>Data!H88</f>
        <v>11.3971910476685</v>
      </c>
    </row>
    <row r="91" spans="1:17" ht="16.5" x14ac:dyDescent="0.3">
      <c r="A91" s="13" t="str">
        <f>Data!C89</f>
        <v>Vehicle 6</v>
      </c>
      <c r="B91" s="14">
        <f>Data!A89</f>
        <v>43579.3678587963</v>
      </c>
      <c r="C91" s="15" t="str">
        <f>Data!B89</f>
        <v>PowerCompliance</v>
      </c>
      <c r="D91" s="15" t="str">
        <f t="shared" si="8"/>
        <v>Power</v>
      </c>
      <c r="E91" s="15" t="str">
        <f t="shared" si="9"/>
        <v>Vehicle 6 Power Diagnostic</v>
      </c>
      <c r="F91" s="15">
        <f t="shared" ca="1" si="11"/>
        <v>25</v>
      </c>
      <c r="G91" s="15" t="str">
        <f t="shared" si="12"/>
        <v>Diagnostic</v>
      </c>
      <c r="H91" s="15" t="str">
        <f t="shared" ca="1" si="10"/>
        <v>Cleared</v>
      </c>
      <c r="I91" s="15" t="str">
        <f>Data!M89</f>
        <v>Diagnostic</v>
      </c>
      <c r="J91" s="15" t="b">
        <f t="shared" ca="1" si="13"/>
        <v>0</v>
      </c>
      <c r="K91" s="15" t="b">
        <f t="shared" ca="1" si="14"/>
        <v>0</v>
      </c>
      <c r="L91" s="15" t="b">
        <f t="shared" si="15"/>
        <v>0</v>
      </c>
      <c r="M91" s="16" t="str">
        <f>Data!I89</f>
        <v>Long</v>
      </c>
      <c r="N91" s="16" t="str">
        <f>Data!J89</f>
        <v>Lat</v>
      </c>
      <c r="O91" s="15" t="str">
        <f>Data!K89</f>
        <v>Approximate Location</v>
      </c>
      <c r="P91" s="17">
        <f>Data!G89</f>
        <v>118939.7109375</v>
      </c>
      <c r="Q91" s="34">
        <f>Data!H89</f>
        <v>9.9419392645359005E-3</v>
      </c>
    </row>
    <row r="92" spans="1:17" ht="16.5" x14ac:dyDescent="0.3">
      <c r="A92" s="13" t="str">
        <f>Data!C90</f>
        <v>Vehicle 2</v>
      </c>
      <c r="B92" s="14">
        <f>Data!A90</f>
        <v>43579.433074305598</v>
      </c>
      <c r="C92" s="15" t="str">
        <f>Data!B90</f>
        <v>UnidentifiedDrivingCompliance</v>
      </c>
      <c r="D92" s="15" t="str">
        <f t="shared" si="8"/>
        <v>Unidentified Driving</v>
      </c>
      <c r="E92" s="15" t="str">
        <f t="shared" si="9"/>
        <v>Vehicle 2 Unidentified Driving Diagnostic</v>
      </c>
      <c r="F92" s="15">
        <f t="shared" ca="1" si="11"/>
        <v>18</v>
      </c>
      <c r="G92" s="15" t="str">
        <f t="shared" si="12"/>
        <v>Diagnostic</v>
      </c>
      <c r="H92" s="15" t="str">
        <f t="shared" ca="1" si="10"/>
        <v>Active</v>
      </c>
      <c r="I92" s="15" t="str">
        <f>Data!M90</f>
        <v>Diagnostic</v>
      </c>
      <c r="J92" s="15" t="b">
        <f t="shared" ca="1" si="13"/>
        <v>0</v>
      </c>
      <c r="K92" s="15" t="b">
        <f t="shared" ca="1" si="14"/>
        <v>1</v>
      </c>
      <c r="L92" s="15" t="b">
        <f t="shared" si="15"/>
        <v>0</v>
      </c>
      <c r="M92" s="16" t="str">
        <f>Data!I90</f>
        <v>Long</v>
      </c>
      <c r="N92" s="16" t="str">
        <f>Data!J90</f>
        <v>Lat</v>
      </c>
      <c r="O92" s="15" t="str">
        <f>Data!K90</f>
        <v>Approximate Location</v>
      </c>
      <c r="P92" s="17">
        <f>Data!G90</f>
        <v>3197.01098632812</v>
      </c>
      <c r="Q92" s="34">
        <f>Data!H90</f>
        <v>18.8735237121582</v>
      </c>
    </row>
    <row r="93" spans="1:17" ht="16.5" x14ac:dyDescent="0.3">
      <c r="A93" s="13" t="str">
        <f>Data!C91</f>
        <v>Vehicle 4</v>
      </c>
      <c r="B93" s="14">
        <f>Data!A91</f>
        <v>43579.558935185203</v>
      </c>
      <c r="C93" s="15" t="str">
        <f>Data!B91</f>
        <v>UnidentifiedDrivingCompliance</v>
      </c>
      <c r="D93" s="15" t="str">
        <f t="shared" si="8"/>
        <v>Unidentified Driving</v>
      </c>
      <c r="E93" s="15" t="str">
        <f t="shared" si="9"/>
        <v>Vehicle 4 Unidentified Driving Diagnostic</v>
      </c>
      <c r="F93" s="15">
        <f t="shared" ca="1" si="11"/>
        <v>2</v>
      </c>
      <c r="G93" s="15" t="str">
        <f t="shared" si="12"/>
        <v>Diagnostic</v>
      </c>
      <c r="H93" s="15" t="str">
        <f t="shared" ca="1" si="10"/>
        <v>Active</v>
      </c>
      <c r="I93" s="15" t="str">
        <f>Data!M91</f>
        <v>Diagnostic</v>
      </c>
      <c r="J93" s="15" t="b">
        <f t="shared" ca="1" si="13"/>
        <v>0</v>
      </c>
      <c r="K93" s="15" t="b">
        <f t="shared" ca="1" si="14"/>
        <v>1</v>
      </c>
      <c r="L93" s="15" t="b">
        <f t="shared" si="15"/>
        <v>0</v>
      </c>
      <c r="M93" s="16" t="str">
        <f>Data!I91</f>
        <v>Long</v>
      </c>
      <c r="N93" s="16" t="str">
        <f>Data!J91</f>
        <v>Lat</v>
      </c>
      <c r="O93" s="15" t="str">
        <f>Data!K91</f>
        <v>Approximate Location</v>
      </c>
      <c r="P93" s="17">
        <f>Data!G91</f>
        <v>60681.26953125</v>
      </c>
      <c r="Q93" s="34">
        <f>Data!H91</f>
        <v>6.6909251213073704</v>
      </c>
    </row>
    <row r="94" spans="1:17" ht="16.5" x14ac:dyDescent="0.3">
      <c r="A94" s="13" t="str">
        <f>Data!C92</f>
        <v>Vehicle 1</v>
      </c>
      <c r="B94" s="14">
        <f>Data!A92</f>
        <v>43579.603935185201</v>
      </c>
      <c r="C94" s="15" t="str">
        <f>Data!B92</f>
        <v>UnidentifiedDrivingCompliance</v>
      </c>
      <c r="D94" s="15" t="str">
        <f t="shared" si="8"/>
        <v>Unidentified Driving</v>
      </c>
      <c r="E94" s="15" t="str">
        <f t="shared" si="9"/>
        <v>Vehicle 1 Unidentified Driving Diagnostic</v>
      </c>
      <c r="F94" s="15">
        <f t="shared" ca="1" si="11"/>
        <v>18</v>
      </c>
      <c r="G94" s="15" t="str">
        <f t="shared" si="12"/>
        <v>Diagnostic</v>
      </c>
      <c r="H94" s="15" t="str">
        <f t="shared" ca="1" si="10"/>
        <v>Active</v>
      </c>
      <c r="I94" s="15" t="str">
        <f>Data!M92</f>
        <v>Diagnostic</v>
      </c>
      <c r="J94" s="15" t="b">
        <f t="shared" ca="1" si="13"/>
        <v>0</v>
      </c>
      <c r="K94" s="15" t="b">
        <f t="shared" ca="1" si="14"/>
        <v>1</v>
      </c>
      <c r="L94" s="15" t="b">
        <f t="shared" si="15"/>
        <v>0</v>
      </c>
      <c r="M94" s="16" t="str">
        <f>Data!I92</f>
        <v>Long</v>
      </c>
      <c r="N94" s="16" t="str">
        <f>Data!J92</f>
        <v>Lat</v>
      </c>
      <c r="O94" s="15" t="str">
        <f>Data!K92</f>
        <v>Approximate Location</v>
      </c>
      <c r="P94" s="17">
        <f>Data!G92</f>
        <v>12576.0947265625</v>
      </c>
      <c r="Q94" s="34">
        <f>Data!H92</f>
        <v>25.2724094390869</v>
      </c>
    </row>
    <row r="95" spans="1:17" ht="16.5" x14ac:dyDescent="0.3">
      <c r="A95" s="13" t="str">
        <f>Data!C93</f>
        <v>Vehicle 4</v>
      </c>
      <c r="B95" s="14">
        <f>Data!A93</f>
        <v>43580.274062500001</v>
      </c>
      <c r="C95" s="15" t="str">
        <f>Data!B93</f>
        <v>UnidentifiedDrivingCompliance</v>
      </c>
      <c r="D95" s="15" t="str">
        <f t="shared" si="8"/>
        <v>Unidentified Driving</v>
      </c>
      <c r="E95" s="15" t="str">
        <f t="shared" si="9"/>
        <v>Vehicle 4 Unidentified Driving Diagnostic</v>
      </c>
      <c r="F95" s="15">
        <f t="shared" ca="1" si="11"/>
        <v>20</v>
      </c>
      <c r="G95" s="15" t="str">
        <f t="shared" si="12"/>
        <v>Diagnostic</v>
      </c>
      <c r="H95" s="15" t="str">
        <f t="shared" ca="1" si="10"/>
        <v>Active</v>
      </c>
      <c r="I95" s="15" t="str">
        <f>Data!M93</f>
        <v>Diagnostic</v>
      </c>
      <c r="J95" s="15" t="b">
        <f t="shared" ca="1" si="13"/>
        <v>0</v>
      </c>
      <c r="K95" s="15" t="b">
        <f t="shared" ca="1" si="14"/>
        <v>1</v>
      </c>
      <c r="L95" s="15" t="b">
        <f t="shared" si="15"/>
        <v>0</v>
      </c>
      <c r="M95" s="16" t="str">
        <f>Data!I93</f>
        <v>Long</v>
      </c>
      <c r="N95" s="16" t="str">
        <f>Data!J93</f>
        <v>Lat</v>
      </c>
      <c r="O95" s="15" t="str">
        <f>Data!K93</f>
        <v>Approximate Location</v>
      </c>
      <c r="P95" s="17">
        <f>Data!G93</f>
        <v>60687.9609375</v>
      </c>
      <c r="Q95" s="34">
        <f>Data!H93</f>
        <v>20.6543788909912</v>
      </c>
    </row>
    <row r="96" spans="1:17" ht="16.5" x14ac:dyDescent="0.3">
      <c r="A96" s="13" t="str">
        <f>Data!C94</f>
        <v>Vehicle 8</v>
      </c>
      <c r="B96" s="14">
        <f>Data!A94</f>
        <v>43580.3972685185</v>
      </c>
      <c r="C96" s="15" t="str">
        <f>Data!B94</f>
        <v>PowerCompliance</v>
      </c>
      <c r="D96" s="15" t="str">
        <f t="shared" si="8"/>
        <v>Power</v>
      </c>
      <c r="E96" s="15" t="str">
        <f t="shared" si="9"/>
        <v>Vehicle 8 Power Diagnostic</v>
      </c>
      <c r="F96" s="15">
        <f t="shared" ca="1" si="11"/>
        <v>1</v>
      </c>
      <c r="G96" s="15" t="str">
        <f t="shared" si="12"/>
        <v>Diagnostic</v>
      </c>
      <c r="H96" s="15" t="str">
        <f t="shared" ca="1" si="10"/>
        <v>Cleared</v>
      </c>
      <c r="I96" s="15" t="str">
        <f>Data!M94</f>
        <v>Diagnostic</v>
      </c>
      <c r="J96" s="15" t="b">
        <f t="shared" ca="1" si="13"/>
        <v>0</v>
      </c>
      <c r="K96" s="15" t="b">
        <f t="shared" ca="1" si="14"/>
        <v>0</v>
      </c>
      <c r="L96" s="15" t="b">
        <f t="shared" si="15"/>
        <v>0</v>
      </c>
      <c r="M96" s="16" t="str">
        <f>Data!I94</f>
        <v>Long</v>
      </c>
      <c r="N96" s="16" t="str">
        <f>Data!J94</f>
        <v>Lat</v>
      </c>
      <c r="O96" s="15" t="str">
        <f>Data!K94</f>
        <v>Approximate Location</v>
      </c>
      <c r="P96" s="17">
        <f>Data!G94</f>
        <v>67021.984375</v>
      </c>
      <c r="Q96" s="34">
        <f>Data!H94</f>
        <v>0</v>
      </c>
    </row>
    <row r="97" spans="1:17" ht="16.5" x14ac:dyDescent="0.3">
      <c r="A97" s="13" t="str">
        <f>Data!C95</f>
        <v>Vehicle 8</v>
      </c>
      <c r="B97" s="14">
        <f>Data!A95</f>
        <v>43580.3979861111</v>
      </c>
      <c r="C97" s="15" t="str">
        <f>Data!B95</f>
        <v>PowerCompliance</v>
      </c>
      <c r="D97" s="15" t="str">
        <f t="shared" si="8"/>
        <v>Power</v>
      </c>
      <c r="E97" s="15" t="str">
        <f t="shared" si="9"/>
        <v>Vehicle 8 Power Diagnostic</v>
      </c>
      <c r="F97" s="15">
        <f t="shared" ca="1" si="11"/>
        <v>106</v>
      </c>
      <c r="G97" s="15" t="str">
        <f t="shared" si="12"/>
        <v>Diagnostic</v>
      </c>
      <c r="H97" s="15" t="str">
        <f t="shared" ca="1" si="10"/>
        <v>Cleared</v>
      </c>
      <c r="I97" s="15" t="str">
        <f>Data!M95</f>
        <v>SystemDiagnosticClearDriving</v>
      </c>
      <c r="J97" s="15" t="b">
        <f t="shared" ca="1" si="13"/>
        <v>0</v>
      </c>
      <c r="K97" s="15" t="b">
        <f t="shared" ca="1" si="14"/>
        <v>0</v>
      </c>
      <c r="L97" s="15" t="b">
        <f t="shared" si="15"/>
        <v>0</v>
      </c>
      <c r="M97" s="16" t="str">
        <f>Data!I95</f>
        <v>Long</v>
      </c>
      <c r="N97" s="16" t="str">
        <f>Data!J95</f>
        <v>Lat</v>
      </c>
      <c r="O97" s="15" t="str">
        <f>Data!K95</f>
        <v>Approximate Location</v>
      </c>
      <c r="P97" s="17">
        <f>Data!G95</f>
        <v>67021.984375</v>
      </c>
      <c r="Q97" s="34">
        <f>Data!H95</f>
        <v>28.583076477050799</v>
      </c>
    </row>
    <row r="98" spans="1:17" ht="16.5" x14ac:dyDescent="0.3">
      <c r="A98" s="13" t="str">
        <f>Data!C96</f>
        <v>Vehicle 5</v>
      </c>
      <c r="B98" s="14">
        <f>Data!A96</f>
        <v>43580.401724536998</v>
      </c>
      <c r="C98" s="15" t="str">
        <f>Data!B96</f>
        <v>PowerCompliance</v>
      </c>
      <c r="D98" s="15" t="str">
        <f t="shared" si="8"/>
        <v>Power</v>
      </c>
      <c r="E98" s="15" t="str">
        <f t="shared" si="9"/>
        <v>Vehicle 5 Power Diagnostic</v>
      </c>
      <c r="F98" s="15">
        <f t="shared" ca="1" si="11"/>
        <v>1</v>
      </c>
      <c r="G98" s="15" t="str">
        <f t="shared" si="12"/>
        <v>Diagnostic</v>
      </c>
      <c r="H98" s="15" t="str">
        <f t="shared" ca="1" si="10"/>
        <v>Cleared</v>
      </c>
      <c r="I98" s="15" t="str">
        <f>Data!M96</f>
        <v>Diagnostic</v>
      </c>
      <c r="J98" s="15" t="b">
        <f t="shared" ca="1" si="13"/>
        <v>0</v>
      </c>
      <c r="K98" s="15" t="b">
        <f t="shared" ca="1" si="14"/>
        <v>0</v>
      </c>
      <c r="L98" s="15" t="b">
        <f t="shared" si="15"/>
        <v>0</v>
      </c>
      <c r="M98" s="16" t="str">
        <f>Data!I96</f>
        <v>Long</v>
      </c>
      <c r="N98" s="16" t="str">
        <f>Data!J96</f>
        <v>Lat</v>
      </c>
      <c r="O98" s="15" t="str">
        <f>Data!K96</f>
        <v>Approximate Location</v>
      </c>
      <c r="P98" s="17">
        <f>Data!G96</f>
        <v>82343.8046875</v>
      </c>
      <c r="Q98" s="34">
        <f>Data!H96</f>
        <v>0</v>
      </c>
    </row>
    <row r="99" spans="1:17" ht="16.5" x14ac:dyDescent="0.3">
      <c r="A99" s="13" t="str">
        <f>Data!C97</f>
        <v>Vehicle 5</v>
      </c>
      <c r="B99" s="14">
        <f>Data!A97</f>
        <v>43580.401875000003</v>
      </c>
      <c r="C99" s="15" t="str">
        <f>Data!B97</f>
        <v>PowerCompliance</v>
      </c>
      <c r="D99" s="15" t="str">
        <f t="shared" si="8"/>
        <v>Power</v>
      </c>
      <c r="E99" s="15" t="str">
        <f t="shared" si="9"/>
        <v>Vehicle 5 Power Diagnostic</v>
      </c>
      <c r="F99" s="15">
        <f t="shared" ca="1" si="11"/>
        <v>92</v>
      </c>
      <c r="G99" s="15" t="str">
        <f t="shared" si="12"/>
        <v>Diagnostic</v>
      </c>
      <c r="H99" s="15" t="str">
        <f t="shared" ca="1" si="10"/>
        <v>Cleared</v>
      </c>
      <c r="I99" s="15" t="str">
        <f>Data!M97</f>
        <v>SystemDiagnosticClearDriving</v>
      </c>
      <c r="J99" s="15" t="b">
        <f t="shared" ca="1" si="13"/>
        <v>0</v>
      </c>
      <c r="K99" s="15" t="b">
        <f t="shared" ca="1" si="14"/>
        <v>0</v>
      </c>
      <c r="L99" s="15" t="b">
        <f t="shared" si="15"/>
        <v>0</v>
      </c>
      <c r="M99" s="16" t="str">
        <f>Data!I97</f>
        <v>Long</v>
      </c>
      <c r="N99" s="16" t="str">
        <f>Data!J97</f>
        <v>Lat</v>
      </c>
      <c r="O99" s="15" t="str">
        <f>Data!K97</f>
        <v>Approximate Location</v>
      </c>
      <c r="P99" s="17">
        <f>Data!G97</f>
        <v>82343.8046875</v>
      </c>
      <c r="Q99" s="34">
        <f>Data!H97</f>
        <v>71.020248413085895</v>
      </c>
    </row>
    <row r="100" spans="1:17" ht="16.5" x14ac:dyDescent="0.3">
      <c r="A100" s="13" t="str">
        <f>Data!C98</f>
        <v>Vehicle 3</v>
      </c>
      <c r="B100" s="14">
        <f>Data!A98</f>
        <v>43580.405659722201</v>
      </c>
      <c r="C100" s="15" t="str">
        <f>Data!B98</f>
        <v>PowerCompliance</v>
      </c>
      <c r="D100" s="15" t="str">
        <f t="shared" si="8"/>
        <v>Power</v>
      </c>
      <c r="E100" s="15" t="str">
        <f t="shared" si="9"/>
        <v>Vehicle 3 Power Diagnostic</v>
      </c>
      <c r="F100" s="15">
        <f t="shared" ca="1" si="11"/>
        <v>1</v>
      </c>
      <c r="G100" s="15" t="str">
        <f t="shared" si="12"/>
        <v>Diagnostic</v>
      </c>
      <c r="H100" s="15" t="str">
        <f t="shared" ca="1" si="10"/>
        <v>Cleared</v>
      </c>
      <c r="I100" s="15" t="str">
        <f>Data!M98</f>
        <v>Diagnostic</v>
      </c>
      <c r="J100" s="15" t="b">
        <f t="shared" ca="1" si="13"/>
        <v>0</v>
      </c>
      <c r="K100" s="15" t="b">
        <f t="shared" ca="1" si="14"/>
        <v>0</v>
      </c>
      <c r="L100" s="15" t="b">
        <f t="shared" si="15"/>
        <v>0</v>
      </c>
      <c r="M100" s="16" t="str">
        <f>Data!I98</f>
        <v>Long</v>
      </c>
      <c r="N100" s="16" t="str">
        <f>Data!J98</f>
        <v>Lat</v>
      </c>
      <c r="O100" s="15" t="str">
        <f>Data!K98</f>
        <v>Approximate Location</v>
      </c>
      <c r="P100" s="17">
        <f>Data!G98</f>
        <v>117130.109375</v>
      </c>
      <c r="Q100" s="34">
        <f>Data!H98</f>
        <v>9.9419392645359005E-3</v>
      </c>
    </row>
    <row r="101" spans="1:17" ht="16.5" x14ac:dyDescent="0.3">
      <c r="A101" s="13" t="str">
        <f>Data!C99</f>
        <v>Vehicle 3</v>
      </c>
      <c r="B101" s="14">
        <f>Data!A99</f>
        <v>43580.405914351897</v>
      </c>
      <c r="C101" s="15" t="str">
        <f>Data!B99</f>
        <v>PowerCompliance</v>
      </c>
      <c r="D101" s="15" t="str">
        <f t="shared" si="8"/>
        <v>Power</v>
      </c>
      <c r="E101" s="15" t="str">
        <f t="shared" si="9"/>
        <v>Vehicle 3 Power Diagnostic</v>
      </c>
      <c r="F101" s="15">
        <f t="shared" ca="1" si="11"/>
        <v>96</v>
      </c>
      <c r="G101" s="15" t="str">
        <f t="shared" si="12"/>
        <v>Diagnostic</v>
      </c>
      <c r="H101" s="15" t="str">
        <f t="shared" ca="1" si="10"/>
        <v>Cleared</v>
      </c>
      <c r="I101" s="15" t="str">
        <f>Data!M99</f>
        <v>SystemDiagnosticClearDriving</v>
      </c>
      <c r="J101" s="15" t="b">
        <f t="shared" ca="1" si="13"/>
        <v>0</v>
      </c>
      <c r="K101" s="15" t="b">
        <f t="shared" ca="1" si="14"/>
        <v>0</v>
      </c>
      <c r="L101" s="15" t="b">
        <f t="shared" si="15"/>
        <v>0</v>
      </c>
      <c r="M101" s="16" t="str">
        <f>Data!I99</f>
        <v>Long</v>
      </c>
      <c r="N101" s="16" t="str">
        <f>Data!J99</f>
        <v>Lat</v>
      </c>
      <c r="O101" s="15" t="str">
        <f>Data!K99</f>
        <v>Approximate Location</v>
      </c>
      <c r="P101" s="17">
        <f>Data!G99</f>
        <v>117130.1171875</v>
      </c>
      <c r="Q101" s="34">
        <f>Data!H99</f>
        <v>514.61468505859398</v>
      </c>
    </row>
    <row r="102" spans="1:17" ht="16.5" x14ac:dyDescent="0.3">
      <c r="A102" s="13" t="str">
        <f>Data!C100</f>
        <v>Vehicle 1</v>
      </c>
      <c r="B102" s="14">
        <f>Data!A100</f>
        <v>43580.406331018501</v>
      </c>
      <c r="C102" s="15" t="str">
        <f>Data!B100</f>
        <v>PowerCompliance</v>
      </c>
      <c r="D102" s="15" t="str">
        <f t="shared" si="8"/>
        <v>Power</v>
      </c>
      <c r="E102" s="15" t="str">
        <f t="shared" si="9"/>
        <v>Vehicle 1 Power Diagnostic</v>
      </c>
      <c r="F102" s="15">
        <f t="shared" ca="1" si="11"/>
        <v>1</v>
      </c>
      <c r="G102" s="15" t="str">
        <f t="shared" si="12"/>
        <v>Diagnostic</v>
      </c>
      <c r="H102" s="15" t="str">
        <f t="shared" ca="1" si="10"/>
        <v>Cleared</v>
      </c>
      <c r="I102" s="15" t="str">
        <f>Data!M100</f>
        <v>Diagnostic</v>
      </c>
      <c r="J102" s="15" t="b">
        <f t="shared" ca="1" si="13"/>
        <v>0</v>
      </c>
      <c r="K102" s="15" t="b">
        <f t="shared" ca="1" si="14"/>
        <v>0</v>
      </c>
      <c r="L102" s="15" t="b">
        <f t="shared" si="15"/>
        <v>0</v>
      </c>
      <c r="M102" s="16" t="str">
        <f>Data!I100</f>
        <v>Long</v>
      </c>
      <c r="N102" s="16" t="str">
        <f>Data!J100</f>
        <v>Lat</v>
      </c>
      <c r="O102" s="15" t="str">
        <f>Data!K100</f>
        <v>Approximate Location</v>
      </c>
      <c r="P102" s="17">
        <f>Data!G100</f>
        <v>12601.3671875</v>
      </c>
      <c r="Q102" s="34">
        <f>Data!H100</f>
        <v>0</v>
      </c>
    </row>
    <row r="103" spans="1:17" ht="16.5" x14ac:dyDescent="0.3">
      <c r="A103" s="13" t="str">
        <f>Data!C101</f>
        <v>Vehicle 1</v>
      </c>
      <c r="B103" s="14">
        <f>Data!A101</f>
        <v>43580.406712962998</v>
      </c>
      <c r="C103" s="15" t="str">
        <f>Data!B101</f>
        <v>PowerCompliance</v>
      </c>
      <c r="D103" s="15" t="str">
        <f t="shared" si="8"/>
        <v>Power</v>
      </c>
      <c r="E103" s="15" t="str">
        <f t="shared" si="9"/>
        <v>Vehicle 1 Power Diagnostic</v>
      </c>
      <c r="F103" s="15">
        <f t="shared" ca="1" si="11"/>
        <v>1</v>
      </c>
      <c r="G103" s="15" t="str">
        <f t="shared" si="12"/>
        <v>Diagnostic</v>
      </c>
      <c r="H103" s="15" t="str">
        <f t="shared" ca="1" si="10"/>
        <v>Cleared</v>
      </c>
      <c r="I103" s="15" t="str">
        <f>Data!M101</f>
        <v>SystemDiagnosticClearDriving</v>
      </c>
      <c r="J103" s="15" t="b">
        <f t="shared" ca="1" si="13"/>
        <v>0</v>
      </c>
      <c r="K103" s="15" t="b">
        <f t="shared" ca="1" si="14"/>
        <v>0</v>
      </c>
      <c r="L103" s="15" t="b">
        <f t="shared" si="15"/>
        <v>0</v>
      </c>
      <c r="M103" s="16" t="str">
        <f>Data!I101</f>
        <v>Long</v>
      </c>
      <c r="N103" s="16" t="str">
        <f>Data!J101</f>
        <v>Lat</v>
      </c>
      <c r="O103" s="15" t="str">
        <f>Data!K101</f>
        <v>Approximate Location</v>
      </c>
      <c r="P103" s="17">
        <f>Data!G101</f>
        <v>12601.3671875</v>
      </c>
      <c r="Q103" s="34">
        <f>Data!H101</f>
        <v>1.2427424080669899E-3</v>
      </c>
    </row>
    <row r="104" spans="1:17" ht="16.5" x14ac:dyDescent="0.3">
      <c r="A104" s="13" t="str">
        <f>Data!C102</f>
        <v>Vehicle 1</v>
      </c>
      <c r="B104" s="14">
        <f>Data!A102</f>
        <v>43580.410717592596</v>
      </c>
      <c r="C104" s="15" t="str">
        <f>Data!B102</f>
        <v>PowerCompliance</v>
      </c>
      <c r="D104" s="15" t="str">
        <f t="shared" si="8"/>
        <v>Power</v>
      </c>
      <c r="E104" s="15" t="str">
        <f t="shared" si="9"/>
        <v>Vehicle 1 Power Diagnostic</v>
      </c>
      <c r="F104" s="15">
        <f t="shared" ca="1" si="11"/>
        <v>1</v>
      </c>
      <c r="G104" s="15" t="str">
        <f t="shared" si="12"/>
        <v>Diagnostic</v>
      </c>
      <c r="H104" s="15" t="str">
        <f t="shared" ca="1" si="10"/>
        <v>Cleared</v>
      </c>
      <c r="I104" s="15" t="str">
        <f>Data!M102</f>
        <v>Diagnostic</v>
      </c>
      <c r="J104" s="15" t="b">
        <f t="shared" ca="1" si="13"/>
        <v>0</v>
      </c>
      <c r="K104" s="15" t="b">
        <f t="shared" ca="1" si="14"/>
        <v>0</v>
      </c>
      <c r="L104" s="15" t="b">
        <f t="shared" si="15"/>
        <v>0</v>
      </c>
      <c r="M104" s="16" t="str">
        <f>Data!I102</f>
        <v>Long</v>
      </c>
      <c r="N104" s="16" t="str">
        <f>Data!J102</f>
        <v>Lat</v>
      </c>
      <c r="O104" s="15" t="str">
        <f>Data!K102</f>
        <v>Approximate Location</v>
      </c>
      <c r="P104" s="17">
        <f>Data!G102</f>
        <v>12601.3681640625</v>
      </c>
      <c r="Q104" s="34">
        <f>Data!H102</f>
        <v>1.2427424080669899E-3</v>
      </c>
    </row>
    <row r="105" spans="1:17" ht="16.5" x14ac:dyDescent="0.3">
      <c r="A105" s="13" t="str">
        <f>Data!C103</f>
        <v>Vehicle 1</v>
      </c>
      <c r="B105" s="14">
        <f>Data!A103</f>
        <v>43580.411458333299</v>
      </c>
      <c r="C105" s="15" t="str">
        <f>Data!B103</f>
        <v>PowerCompliance</v>
      </c>
      <c r="D105" s="15" t="str">
        <f t="shared" si="8"/>
        <v>Power</v>
      </c>
      <c r="E105" s="15" t="str">
        <f t="shared" si="9"/>
        <v>Vehicle 1 Power Diagnostic</v>
      </c>
      <c r="F105" s="15">
        <f t="shared" ca="1" si="11"/>
        <v>38</v>
      </c>
      <c r="G105" s="15" t="str">
        <f t="shared" si="12"/>
        <v>Diagnostic</v>
      </c>
      <c r="H105" s="15" t="str">
        <f t="shared" ca="1" si="10"/>
        <v>Cleared</v>
      </c>
      <c r="I105" s="15" t="str">
        <f>Data!M103</f>
        <v>SystemDiagnosticClearDriving</v>
      </c>
      <c r="J105" s="15" t="b">
        <f t="shared" ca="1" si="13"/>
        <v>0</v>
      </c>
      <c r="K105" s="15" t="b">
        <f t="shared" ca="1" si="14"/>
        <v>0</v>
      </c>
      <c r="L105" s="15" t="b">
        <f t="shared" si="15"/>
        <v>0</v>
      </c>
      <c r="M105" s="16" t="str">
        <f>Data!I103</f>
        <v>Long</v>
      </c>
      <c r="N105" s="16" t="str">
        <f>Data!J103</f>
        <v>Lat</v>
      </c>
      <c r="O105" s="15" t="str">
        <f>Data!K103</f>
        <v>Approximate Location</v>
      </c>
      <c r="P105" s="17">
        <f>Data!G103</f>
        <v>12601.3701171875</v>
      </c>
      <c r="Q105" s="34">
        <f>Data!H103</f>
        <v>1.0066213607788099</v>
      </c>
    </row>
    <row r="106" spans="1:17" ht="16.5" x14ac:dyDescent="0.3">
      <c r="A106" s="13" t="str">
        <f>Data!C104</f>
        <v>Vehicle 10</v>
      </c>
      <c r="B106" s="14">
        <f>Data!A104</f>
        <v>43580.414409722202</v>
      </c>
      <c r="C106" s="15" t="str">
        <f>Data!B104</f>
        <v>PowerCompliance</v>
      </c>
      <c r="D106" s="15" t="str">
        <f t="shared" si="8"/>
        <v>Power</v>
      </c>
      <c r="E106" s="15" t="str">
        <f t="shared" si="9"/>
        <v>Vehicle 10 Power Diagnostic</v>
      </c>
      <c r="F106" s="15">
        <f t="shared" ca="1" si="11"/>
        <v>1</v>
      </c>
      <c r="G106" s="15" t="str">
        <f t="shared" si="12"/>
        <v>Diagnostic</v>
      </c>
      <c r="H106" s="15" t="str">
        <f t="shared" ca="1" si="10"/>
        <v>Cleared</v>
      </c>
      <c r="I106" s="15" t="str">
        <f>Data!M104</f>
        <v>Diagnostic</v>
      </c>
      <c r="J106" s="15" t="b">
        <f t="shared" ca="1" si="13"/>
        <v>0</v>
      </c>
      <c r="K106" s="15" t="b">
        <f t="shared" ca="1" si="14"/>
        <v>0</v>
      </c>
      <c r="L106" s="15" t="b">
        <f t="shared" si="15"/>
        <v>0</v>
      </c>
      <c r="M106" s="16" t="str">
        <f>Data!I104</f>
        <v>Long</v>
      </c>
      <c r="N106" s="16" t="str">
        <f>Data!J104</f>
        <v>Lat</v>
      </c>
      <c r="O106" s="15" t="str">
        <f>Data!K104</f>
        <v>Approximate Location</v>
      </c>
      <c r="P106" s="17">
        <f>Data!G104</f>
        <v>93240.0390625</v>
      </c>
      <c r="Q106" s="34">
        <f>Data!H104</f>
        <v>0</v>
      </c>
    </row>
    <row r="107" spans="1:17" ht="16.5" x14ac:dyDescent="0.3">
      <c r="A107" s="13" t="str">
        <f>Data!C105</f>
        <v>Vehicle 10</v>
      </c>
      <c r="B107" s="14">
        <f>Data!A105</f>
        <v>43580.414710648103</v>
      </c>
      <c r="C107" s="15" t="str">
        <f>Data!B105</f>
        <v>PowerCompliance</v>
      </c>
      <c r="D107" s="15" t="str">
        <f t="shared" si="8"/>
        <v>Power</v>
      </c>
      <c r="E107" s="15" t="str">
        <f t="shared" si="9"/>
        <v>Vehicle 10 Power Diagnostic</v>
      </c>
      <c r="F107" s="15">
        <f t="shared" ca="1" si="11"/>
        <v>94</v>
      </c>
      <c r="G107" s="15" t="str">
        <f t="shared" si="12"/>
        <v>Diagnostic</v>
      </c>
      <c r="H107" s="15" t="str">
        <f t="shared" ca="1" si="10"/>
        <v>Cleared</v>
      </c>
      <c r="I107" s="15" t="str">
        <f>Data!M105</f>
        <v>SystemDiagnosticClearDriving</v>
      </c>
      <c r="J107" s="15" t="b">
        <f t="shared" ca="1" si="13"/>
        <v>0</v>
      </c>
      <c r="K107" s="15" t="b">
        <f t="shared" ca="1" si="14"/>
        <v>0</v>
      </c>
      <c r="L107" s="15" t="b">
        <f t="shared" si="15"/>
        <v>0</v>
      </c>
      <c r="M107" s="16" t="str">
        <f>Data!I105</f>
        <v>Long</v>
      </c>
      <c r="N107" s="16" t="str">
        <f>Data!J105</f>
        <v>Lat</v>
      </c>
      <c r="O107" s="15" t="str">
        <f>Data!K105</f>
        <v>Approximate Location</v>
      </c>
      <c r="P107" s="17">
        <f>Data!G105</f>
        <v>93240.0390625</v>
      </c>
      <c r="Q107" s="34">
        <f>Data!H105</f>
        <v>2.4854848161339799E-3</v>
      </c>
    </row>
    <row r="108" spans="1:17" ht="16.5" x14ac:dyDescent="0.3">
      <c r="A108" s="13" t="str">
        <f>Data!C106</f>
        <v>Vehicle 7</v>
      </c>
      <c r="B108" s="14">
        <f>Data!A106</f>
        <v>43580.415833333303</v>
      </c>
      <c r="C108" s="15" t="str">
        <f>Data!B106</f>
        <v>PowerCompliance</v>
      </c>
      <c r="D108" s="15" t="str">
        <f t="shared" si="8"/>
        <v>Power</v>
      </c>
      <c r="E108" s="15" t="str">
        <f t="shared" si="9"/>
        <v>Vehicle 7 Power Diagnostic</v>
      </c>
      <c r="F108" s="15">
        <f t="shared" ca="1" si="11"/>
        <v>1</v>
      </c>
      <c r="G108" s="15" t="str">
        <f t="shared" si="12"/>
        <v>Diagnostic</v>
      </c>
      <c r="H108" s="15" t="str">
        <f t="shared" ca="1" si="10"/>
        <v>Cleared</v>
      </c>
      <c r="I108" s="15" t="str">
        <f>Data!M106</f>
        <v>Diagnostic</v>
      </c>
      <c r="J108" s="15" t="b">
        <f t="shared" ca="1" si="13"/>
        <v>0</v>
      </c>
      <c r="K108" s="15" t="b">
        <f t="shared" ca="1" si="14"/>
        <v>0</v>
      </c>
      <c r="L108" s="15" t="b">
        <f t="shared" si="15"/>
        <v>0</v>
      </c>
      <c r="M108" s="16" t="str">
        <f>Data!I106</f>
        <v>Long</v>
      </c>
      <c r="N108" s="16" t="str">
        <f>Data!J106</f>
        <v>Lat</v>
      </c>
      <c r="O108" s="15" t="str">
        <f>Data!K106</f>
        <v>Approximate Location</v>
      </c>
      <c r="P108" s="17">
        <f>Data!G106</f>
        <v>17037.171875</v>
      </c>
      <c r="Q108" s="34">
        <f>Data!H106</f>
        <v>0</v>
      </c>
    </row>
    <row r="109" spans="1:17" ht="16.5" x14ac:dyDescent="0.3">
      <c r="A109" s="13" t="str">
        <f>Data!C107</f>
        <v>Vehicle 7</v>
      </c>
      <c r="B109" s="14">
        <f>Data!A107</f>
        <v>43580.416030092601</v>
      </c>
      <c r="C109" s="15" t="str">
        <f>Data!B107</f>
        <v>PowerCompliance</v>
      </c>
      <c r="D109" s="15" t="str">
        <f t="shared" si="8"/>
        <v>Power</v>
      </c>
      <c r="E109" s="15" t="str">
        <f t="shared" si="9"/>
        <v>Vehicle 7 Power Diagnostic</v>
      </c>
      <c r="F109" s="15">
        <f t="shared" ca="1" si="11"/>
        <v>26</v>
      </c>
      <c r="G109" s="15" t="str">
        <f t="shared" si="12"/>
        <v>Diagnostic</v>
      </c>
      <c r="H109" s="15" t="str">
        <f t="shared" ca="1" si="10"/>
        <v>Cleared</v>
      </c>
      <c r="I109" s="15" t="str">
        <f>Data!M107</f>
        <v>SystemDiagnosticClearDriving</v>
      </c>
      <c r="J109" s="15" t="b">
        <f t="shared" ca="1" si="13"/>
        <v>0</v>
      </c>
      <c r="K109" s="15" t="b">
        <f t="shared" ca="1" si="14"/>
        <v>0</v>
      </c>
      <c r="L109" s="15" t="b">
        <f t="shared" si="15"/>
        <v>0</v>
      </c>
      <c r="M109" s="16" t="str">
        <f>Data!I107</f>
        <v>Long</v>
      </c>
      <c r="N109" s="16" t="str">
        <f>Data!J107</f>
        <v>Lat</v>
      </c>
      <c r="O109" s="15" t="str">
        <f>Data!K107</f>
        <v>Approximate Location</v>
      </c>
      <c r="P109" s="17">
        <f>Data!G107</f>
        <v>17037.171875</v>
      </c>
      <c r="Q109" s="34">
        <f>Data!H107</f>
        <v>1.7124991416931199</v>
      </c>
    </row>
    <row r="110" spans="1:17" ht="16.5" x14ac:dyDescent="0.3">
      <c r="A110" s="13" t="str">
        <f>Data!C108</f>
        <v>Vehicle 2</v>
      </c>
      <c r="B110" s="14">
        <f>Data!A108</f>
        <v>43580.425241585603</v>
      </c>
      <c r="C110" s="15" t="str">
        <f>Data!B108</f>
        <v>UnidentifiedDrivingCompliance</v>
      </c>
      <c r="D110" s="15" t="str">
        <f t="shared" si="8"/>
        <v>Unidentified Driving</v>
      </c>
      <c r="E110" s="15" t="str">
        <f t="shared" si="9"/>
        <v>Vehicle 2 Unidentified Driving Diagnostic</v>
      </c>
      <c r="F110" s="15">
        <f t="shared" ca="1" si="11"/>
        <v>28</v>
      </c>
      <c r="G110" s="15" t="str">
        <f t="shared" si="12"/>
        <v>Diagnostic</v>
      </c>
      <c r="H110" s="15" t="str">
        <f t="shared" ca="1" si="10"/>
        <v>Active</v>
      </c>
      <c r="I110" s="15" t="str">
        <f>Data!M108</f>
        <v>Diagnostic</v>
      </c>
      <c r="J110" s="15" t="b">
        <f t="shared" ca="1" si="13"/>
        <v>0</v>
      </c>
      <c r="K110" s="15" t="b">
        <f t="shared" ca="1" si="14"/>
        <v>1</v>
      </c>
      <c r="L110" s="15" t="b">
        <f t="shared" si="15"/>
        <v>0</v>
      </c>
      <c r="M110" s="16" t="str">
        <f>Data!I108</f>
        <v>Long</v>
      </c>
      <c r="N110" s="16" t="str">
        <f>Data!J108</f>
        <v>Lat</v>
      </c>
      <c r="O110" s="15" t="str">
        <f>Data!K108</f>
        <v>Approximate Location</v>
      </c>
      <c r="P110" s="17">
        <f>Data!G108</f>
        <v>3215.88452148438</v>
      </c>
      <c r="Q110" s="34">
        <f>Data!H108</f>
        <v>153.20945739746099</v>
      </c>
    </row>
    <row r="111" spans="1:17" ht="16.5" x14ac:dyDescent="0.3">
      <c r="A111" s="13" t="str">
        <f>Data!C109</f>
        <v>Vehicle 10</v>
      </c>
      <c r="B111" s="14">
        <f>Data!A109</f>
        <v>43580.565193483802</v>
      </c>
      <c r="C111" s="15" t="str">
        <f>Data!B109</f>
        <v>DataTransferCompliance</v>
      </c>
      <c r="D111" s="15" t="str">
        <f t="shared" si="8"/>
        <v>Data Transfer</v>
      </c>
      <c r="E111" s="15" t="str">
        <f t="shared" si="9"/>
        <v>Vehicle 10 Data Transfer Diagnostic</v>
      </c>
      <c r="F111" s="15" t="e">
        <f t="shared" ca="1" si="11"/>
        <v>#N/A</v>
      </c>
      <c r="G111" s="15" t="str">
        <f t="shared" si="12"/>
        <v>Diagnostic</v>
      </c>
      <c r="H111" s="15" t="str">
        <f t="shared" ca="1" si="10"/>
        <v>Cleared</v>
      </c>
      <c r="I111" s="15" t="str">
        <f>Data!M109</f>
        <v>SystemDiagnosticClear</v>
      </c>
      <c r="J111" s="15" t="b">
        <f t="shared" ca="1" si="13"/>
        <v>1</v>
      </c>
      <c r="K111" s="15" t="b">
        <f t="shared" ca="1" si="14"/>
        <v>0</v>
      </c>
      <c r="L111" s="15" t="b">
        <f t="shared" si="15"/>
        <v>0</v>
      </c>
      <c r="M111" s="16" t="str">
        <f>Data!I109</f>
        <v>Long</v>
      </c>
      <c r="N111" s="16" t="str">
        <f>Data!J109</f>
        <v>Lat</v>
      </c>
      <c r="O111" s="15" t="str">
        <f>Data!K109</f>
        <v>Approximate Location</v>
      </c>
      <c r="P111" s="17">
        <f>Data!G109</f>
        <v>93240.046875</v>
      </c>
      <c r="Q111" s="34">
        <f>Data!H109</f>
        <v>0</v>
      </c>
    </row>
    <row r="112" spans="1:17" ht="16.5" x14ac:dyDescent="0.3">
      <c r="A112" s="13" t="str">
        <f>Data!C110</f>
        <v>Vehicle 1</v>
      </c>
      <c r="B112" s="14">
        <f>Data!A110</f>
        <v>43580.603645833296</v>
      </c>
      <c r="C112" s="15" t="str">
        <f>Data!B110</f>
        <v>UnidentifiedDrivingCompliance</v>
      </c>
      <c r="D112" s="15" t="str">
        <f t="shared" si="8"/>
        <v>Unidentified Driving</v>
      </c>
      <c r="E112" s="15" t="str">
        <f t="shared" si="9"/>
        <v>Vehicle 1 Unidentified Driving Diagnostic</v>
      </c>
      <c r="F112" s="15">
        <f t="shared" ca="1" si="11"/>
        <v>10</v>
      </c>
      <c r="G112" s="15" t="str">
        <f t="shared" si="12"/>
        <v>Diagnostic</v>
      </c>
      <c r="H112" s="15" t="str">
        <f t="shared" ca="1" si="10"/>
        <v>Active</v>
      </c>
      <c r="I112" s="15" t="str">
        <f>Data!M110</f>
        <v>Diagnostic</v>
      </c>
      <c r="J112" s="15" t="b">
        <f t="shared" ca="1" si="13"/>
        <v>0</v>
      </c>
      <c r="K112" s="15" t="b">
        <f t="shared" ca="1" si="14"/>
        <v>1</v>
      </c>
      <c r="L112" s="15" t="b">
        <f t="shared" si="15"/>
        <v>0</v>
      </c>
      <c r="M112" s="16" t="str">
        <f>Data!I110</f>
        <v>Long</v>
      </c>
      <c r="N112" s="16" t="str">
        <f>Data!J110</f>
        <v>Lat</v>
      </c>
      <c r="O112" s="15" t="str">
        <f>Data!K110</f>
        <v>Approximate Location</v>
      </c>
      <c r="P112" s="17">
        <f>Data!G110</f>
        <v>12602.376953125</v>
      </c>
      <c r="Q112" s="34">
        <f>Data!H110</f>
        <v>32.641872406005902</v>
      </c>
    </row>
    <row r="113" spans="1:17" ht="16.5" x14ac:dyDescent="0.3">
      <c r="A113" s="13" t="str">
        <f>Data!C111</f>
        <v>Vehicle 11</v>
      </c>
      <c r="B113" s="14">
        <f>Data!A111</f>
        <v>43580.631644756897</v>
      </c>
      <c r="C113" s="15" t="str">
        <f>Data!B111</f>
        <v>DataTransferCompliance</v>
      </c>
      <c r="D113" s="15" t="str">
        <f t="shared" si="8"/>
        <v>Data Transfer</v>
      </c>
      <c r="E113" s="15" t="str">
        <f t="shared" si="9"/>
        <v>Vehicle 11 Data Transfer Diagnostic</v>
      </c>
      <c r="F113" s="15">
        <f t="shared" ca="1" si="11"/>
        <v>7</v>
      </c>
      <c r="G113" s="15" t="str">
        <f t="shared" si="12"/>
        <v>Diagnostic</v>
      </c>
      <c r="H113" s="15" t="str">
        <f t="shared" ca="1" si="10"/>
        <v>Cleared</v>
      </c>
      <c r="I113" s="15" t="str">
        <f>Data!M111</f>
        <v>SystemDiagnosticClear</v>
      </c>
      <c r="J113" s="15" t="b">
        <f t="shared" ca="1" si="13"/>
        <v>0</v>
      </c>
      <c r="K113" s="15" t="b">
        <f t="shared" ca="1" si="14"/>
        <v>0</v>
      </c>
      <c r="L113" s="15" t="b">
        <f t="shared" si="15"/>
        <v>0</v>
      </c>
      <c r="M113" s="16" t="str">
        <f>Data!I111</f>
        <v>Long</v>
      </c>
      <c r="N113" s="16" t="str">
        <f>Data!J111</f>
        <v>Lat</v>
      </c>
      <c r="O113" s="15" t="str">
        <f>Data!K111</f>
        <v>Approximate Location</v>
      </c>
      <c r="P113" s="17">
        <f>Data!G111</f>
        <v>947.52984619140602</v>
      </c>
      <c r="Q113" s="34">
        <f>Data!H111</f>
        <v>0</v>
      </c>
    </row>
    <row r="114" spans="1:17" ht="16.5" x14ac:dyDescent="0.3">
      <c r="A114" s="13" t="str">
        <f>Data!C112</f>
        <v>Vehicle 7</v>
      </c>
      <c r="B114" s="14">
        <f>Data!A112</f>
        <v>43580.673958333296</v>
      </c>
      <c r="C114" s="15" t="str">
        <f>Data!B112</f>
        <v>UnidentifiedDrivingCompliance</v>
      </c>
      <c r="D114" s="15" t="str">
        <f t="shared" si="8"/>
        <v>Unidentified Driving</v>
      </c>
      <c r="E114" s="15" t="str">
        <f t="shared" si="9"/>
        <v>Vehicle 7 Unidentified Driving Diagnostic</v>
      </c>
      <c r="F114" s="15" t="e">
        <f t="shared" ca="1" si="11"/>
        <v>#N/A</v>
      </c>
      <c r="G114" s="15" t="str">
        <f t="shared" si="12"/>
        <v>Diagnostic</v>
      </c>
      <c r="H114" s="15" t="str">
        <f t="shared" ca="1" si="10"/>
        <v>Active</v>
      </c>
      <c r="I114" s="15" t="str">
        <f>Data!M112</f>
        <v>Diagnostic</v>
      </c>
      <c r="J114" s="15" t="b">
        <f t="shared" ca="1" si="13"/>
        <v>1</v>
      </c>
      <c r="K114" s="15" t="b">
        <f t="shared" ca="1" si="14"/>
        <v>1</v>
      </c>
      <c r="L114" s="15" t="b">
        <f t="shared" si="15"/>
        <v>0</v>
      </c>
      <c r="M114" s="16" t="str">
        <f>Data!I112</f>
        <v>Long</v>
      </c>
      <c r="N114" s="16" t="str">
        <f>Data!J112</f>
        <v>Lat</v>
      </c>
      <c r="O114" s="15" t="str">
        <f>Data!K112</f>
        <v>Approximate Location</v>
      </c>
      <c r="P114" s="17">
        <f>Data!G112</f>
        <v>17038.8828125</v>
      </c>
      <c r="Q114" s="34">
        <f>Data!H112</f>
        <v>106.862182617188</v>
      </c>
    </row>
    <row r="115" spans="1:17" ht="16.5" x14ac:dyDescent="0.3">
      <c r="A115" s="13" t="str">
        <f>Data!C113</f>
        <v>Vehicle 4</v>
      </c>
      <c r="B115" s="14">
        <f>Data!A113</f>
        <v>43581.251296296301</v>
      </c>
      <c r="C115" s="15" t="str">
        <f>Data!B113</f>
        <v>UnidentifiedDrivingCompliance</v>
      </c>
      <c r="D115" s="15" t="str">
        <f t="shared" si="8"/>
        <v>Unidentified Driving</v>
      </c>
      <c r="E115" s="15" t="str">
        <f t="shared" si="9"/>
        <v>Vehicle 4 Unidentified Driving Diagnostic</v>
      </c>
      <c r="F115" s="15">
        <f t="shared" ca="1" si="11"/>
        <v>10</v>
      </c>
      <c r="G115" s="15" t="str">
        <f t="shared" si="12"/>
        <v>Diagnostic</v>
      </c>
      <c r="H115" s="15" t="str">
        <f t="shared" ca="1" si="10"/>
        <v>Active</v>
      </c>
      <c r="I115" s="15" t="str">
        <f>Data!M113</f>
        <v>Diagnostic</v>
      </c>
      <c r="J115" s="15" t="b">
        <f t="shared" ca="1" si="13"/>
        <v>0</v>
      </c>
      <c r="K115" s="15" t="b">
        <f t="shared" ca="1" si="14"/>
        <v>1</v>
      </c>
      <c r="L115" s="15" t="b">
        <f t="shared" si="15"/>
        <v>0</v>
      </c>
      <c r="M115" s="16" t="str">
        <f>Data!I113</f>
        <v>Long</v>
      </c>
      <c r="N115" s="16" t="str">
        <f>Data!J113</f>
        <v>Lat</v>
      </c>
      <c r="O115" s="15" t="str">
        <f>Data!K113</f>
        <v>Approximate Location</v>
      </c>
      <c r="P115" s="17">
        <f>Data!G113</f>
        <v>60708.61328125</v>
      </c>
      <c r="Q115" s="34">
        <f>Data!H113</f>
        <v>11.895530700683601</v>
      </c>
    </row>
    <row r="116" spans="1:17" ht="16.5" x14ac:dyDescent="0.3">
      <c r="A116" s="13" t="str">
        <f>Data!C114</f>
        <v>Vehicle 6</v>
      </c>
      <c r="B116" s="14">
        <f>Data!A114</f>
        <v>43581.306689814803</v>
      </c>
      <c r="C116" s="15" t="str">
        <f>Data!B114</f>
        <v>PowerCompliance</v>
      </c>
      <c r="D116" s="15" t="str">
        <f t="shared" si="8"/>
        <v>Power</v>
      </c>
      <c r="E116" s="15" t="str">
        <f t="shared" si="9"/>
        <v>Vehicle 6 Power Diagnostic</v>
      </c>
      <c r="F116" s="15">
        <f t="shared" ca="1" si="11"/>
        <v>1</v>
      </c>
      <c r="G116" s="15" t="str">
        <f t="shared" si="12"/>
        <v>Diagnostic</v>
      </c>
      <c r="H116" s="15" t="str">
        <f t="shared" ca="1" si="10"/>
        <v>Cleared</v>
      </c>
      <c r="I116" s="15" t="str">
        <f>Data!M114</f>
        <v>SystemDiagnosticClear</v>
      </c>
      <c r="J116" s="15" t="b">
        <f t="shared" ca="1" si="13"/>
        <v>0</v>
      </c>
      <c r="K116" s="15" t="b">
        <f t="shared" ca="1" si="14"/>
        <v>0</v>
      </c>
      <c r="L116" s="15" t="b">
        <f t="shared" si="15"/>
        <v>0</v>
      </c>
      <c r="M116" s="16" t="str">
        <f>Data!I114</f>
        <v>Long</v>
      </c>
      <c r="N116" s="16" t="str">
        <f>Data!J114</f>
        <v>Lat</v>
      </c>
      <c r="O116" s="15" t="str">
        <f>Data!K114</f>
        <v>Approximate Location</v>
      </c>
      <c r="P116" s="17">
        <f>Data!G114</f>
        <v>118939.71875</v>
      </c>
      <c r="Q116" s="34">
        <f>Data!H114</f>
        <v>0</v>
      </c>
    </row>
    <row r="117" spans="1:17" ht="16.5" x14ac:dyDescent="0.3">
      <c r="A117" s="13" t="str">
        <f>Data!C115</f>
        <v>Vehicle 6</v>
      </c>
      <c r="B117" s="14">
        <f>Data!A115</f>
        <v>43581.312256944402</v>
      </c>
      <c r="C117" s="15" t="str">
        <f>Data!B115</f>
        <v>PowerCompliance</v>
      </c>
      <c r="D117" s="15" t="str">
        <f t="shared" si="8"/>
        <v>Power</v>
      </c>
      <c r="E117" s="15" t="str">
        <f t="shared" si="9"/>
        <v>Vehicle 6 Power Diagnostic</v>
      </c>
      <c r="F117" s="15">
        <f t="shared" ca="1" si="11"/>
        <v>1</v>
      </c>
      <c r="G117" s="15" t="str">
        <f t="shared" si="12"/>
        <v>Diagnostic</v>
      </c>
      <c r="H117" s="15" t="str">
        <f t="shared" ca="1" si="10"/>
        <v>Cleared</v>
      </c>
      <c r="I117" s="15" t="str">
        <f>Data!M115</f>
        <v>Diagnostic</v>
      </c>
      <c r="J117" s="15" t="b">
        <f t="shared" ca="1" si="13"/>
        <v>0</v>
      </c>
      <c r="K117" s="15" t="b">
        <f t="shared" ca="1" si="14"/>
        <v>0</v>
      </c>
      <c r="L117" s="15" t="b">
        <f t="shared" si="15"/>
        <v>0</v>
      </c>
      <c r="M117" s="16" t="str">
        <f>Data!I115</f>
        <v>Long</v>
      </c>
      <c r="N117" s="16" t="str">
        <f>Data!J115</f>
        <v>Lat</v>
      </c>
      <c r="O117" s="15" t="str">
        <f>Data!K115</f>
        <v>Approximate Location</v>
      </c>
      <c r="P117" s="17">
        <f>Data!G115</f>
        <v>118939.71875</v>
      </c>
      <c r="Q117" s="34">
        <f>Data!H115</f>
        <v>0</v>
      </c>
    </row>
    <row r="118" spans="1:17" ht="16.5" x14ac:dyDescent="0.3">
      <c r="A118" s="13" t="str">
        <f>Data!C116</f>
        <v>Vehicle 6</v>
      </c>
      <c r="B118" s="14">
        <f>Data!A116</f>
        <v>43581.312418981499</v>
      </c>
      <c r="C118" s="15" t="str">
        <f>Data!B116</f>
        <v>PowerCompliance</v>
      </c>
      <c r="D118" s="15" t="str">
        <f t="shared" si="8"/>
        <v>Power</v>
      </c>
      <c r="E118" s="15" t="str">
        <f t="shared" si="9"/>
        <v>Vehicle 6 Power Diagnostic</v>
      </c>
      <c r="F118" s="15">
        <f t="shared" ca="1" si="11"/>
        <v>77</v>
      </c>
      <c r="G118" s="15" t="str">
        <f t="shared" si="12"/>
        <v>Diagnostic</v>
      </c>
      <c r="H118" s="15" t="str">
        <f t="shared" ca="1" si="10"/>
        <v>Cleared</v>
      </c>
      <c r="I118" s="15" t="str">
        <f>Data!M116</f>
        <v>SystemDiagnosticClearDriving</v>
      </c>
      <c r="J118" s="15" t="b">
        <f t="shared" ca="1" si="13"/>
        <v>0</v>
      </c>
      <c r="K118" s="15" t="b">
        <f t="shared" ca="1" si="14"/>
        <v>0</v>
      </c>
      <c r="L118" s="15" t="b">
        <f t="shared" si="15"/>
        <v>0</v>
      </c>
      <c r="M118" s="16" t="str">
        <f>Data!I116</f>
        <v>Long</v>
      </c>
      <c r="N118" s="16" t="str">
        <f>Data!J116</f>
        <v>Lat</v>
      </c>
      <c r="O118" s="15" t="str">
        <f>Data!K116</f>
        <v>Approximate Location</v>
      </c>
      <c r="P118" s="17">
        <f>Data!G116</f>
        <v>118939.71875</v>
      </c>
      <c r="Q118" s="34">
        <f>Data!H116</f>
        <v>135.01153564453099</v>
      </c>
    </row>
    <row r="119" spans="1:17" ht="16.5" x14ac:dyDescent="0.3">
      <c r="A119" s="13" t="str">
        <f>Data!C117</f>
        <v>Vehicle 10</v>
      </c>
      <c r="B119" s="14">
        <f>Data!A117</f>
        <v>43581.341253472201</v>
      </c>
      <c r="C119" s="15" t="str">
        <f>Data!B117</f>
        <v>DataTransferCompliance</v>
      </c>
      <c r="D119" s="15" t="str">
        <f t="shared" si="8"/>
        <v>Data Transfer</v>
      </c>
      <c r="E119" s="15" t="str">
        <f t="shared" si="9"/>
        <v>Vehicle 10 Data Transfer Malfunction</v>
      </c>
      <c r="F119" s="15">
        <f t="shared" ca="1" si="11"/>
        <v>12</v>
      </c>
      <c r="G119" s="15" t="str">
        <f t="shared" si="12"/>
        <v>Malfunction</v>
      </c>
      <c r="H119" s="15" t="str">
        <f t="shared" ca="1" si="10"/>
        <v>Active</v>
      </c>
      <c r="I119" s="15" t="str">
        <f>Data!M117</f>
        <v>Malfunction</v>
      </c>
      <c r="J119" s="15" t="b">
        <f t="shared" ca="1" si="13"/>
        <v>0</v>
      </c>
      <c r="K119" s="15" t="b">
        <f t="shared" ca="1" si="14"/>
        <v>1</v>
      </c>
      <c r="L119" s="15" t="b">
        <f t="shared" si="15"/>
        <v>1</v>
      </c>
      <c r="M119" s="16" t="str">
        <f>Data!I117</f>
        <v>Long</v>
      </c>
      <c r="N119" s="16" t="str">
        <f>Data!J117</f>
        <v>Lat</v>
      </c>
      <c r="O119" s="15" t="str">
        <f>Data!K117</f>
        <v>Approximate Location</v>
      </c>
      <c r="P119" s="17">
        <f>Data!G117</f>
        <v>93240.046875</v>
      </c>
      <c r="Q119" s="34">
        <f>Data!H117</f>
        <v>17.025571823120099</v>
      </c>
    </row>
    <row r="120" spans="1:17" ht="16.5" x14ac:dyDescent="0.3">
      <c r="A120" s="13" t="str">
        <f>Data!C118</f>
        <v>Vehicle 11</v>
      </c>
      <c r="B120" s="14">
        <f>Data!A118</f>
        <v>43581.398530324099</v>
      </c>
      <c r="C120" s="15" t="str">
        <f>Data!B118</f>
        <v>DataTransferCompliance</v>
      </c>
      <c r="D120" s="15" t="str">
        <f t="shared" si="8"/>
        <v>Data Transfer</v>
      </c>
      <c r="E120" s="15" t="str">
        <f t="shared" si="9"/>
        <v>Vehicle 11 Data Transfer Diagnostic</v>
      </c>
      <c r="F120" s="15" t="e">
        <f t="shared" ca="1" si="11"/>
        <v>#N/A</v>
      </c>
      <c r="G120" s="15" t="str">
        <f t="shared" si="12"/>
        <v>Diagnostic</v>
      </c>
      <c r="H120" s="15" t="str">
        <f t="shared" ca="1" si="10"/>
        <v>Cleared</v>
      </c>
      <c r="I120" s="15" t="str">
        <f>Data!M118</f>
        <v>SystemDiagnosticClear</v>
      </c>
      <c r="J120" s="15" t="b">
        <f t="shared" ca="1" si="13"/>
        <v>1</v>
      </c>
      <c r="K120" s="15" t="b">
        <f t="shared" ca="1" si="14"/>
        <v>0</v>
      </c>
      <c r="L120" s="15" t="b">
        <f t="shared" si="15"/>
        <v>0</v>
      </c>
      <c r="M120" s="16" t="str">
        <f>Data!I118</f>
        <v>Long</v>
      </c>
      <c r="N120" s="16" t="str">
        <f>Data!J118</f>
        <v>Lat</v>
      </c>
      <c r="O120" s="15" t="str">
        <f>Data!K118</f>
        <v>Approximate Location</v>
      </c>
      <c r="P120" s="17">
        <f>Data!G118</f>
        <v>947.52984619140602</v>
      </c>
      <c r="Q120" s="34">
        <f>Data!H118</f>
        <v>0</v>
      </c>
    </row>
    <row r="121" spans="1:17" ht="16.5" x14ac:dyDescent="0.3">
      <c r="A121" s="13" t="str">
        <f>Data!C119</f>
        <v>Vehicle 8</v>
      </c>
      <c r="B121" s="14">
        <f>Data!A119</f>
        <v>43581.5661527431</v>
      </c>
      <c r="C121" s="15" t="str">
        <f>Data!B119</f>
        <v>DataTransferCompliance</v>
      </c>
      <c r="D121" s="15" t="str">
        <f t="shared" si="8"/>
        <v>Data Transfer</v>
      </c>
      <c r="E121" s="15" t="str">
        <f t="shared" si="9"/>
        <v>Vehicle 8 Data Transfer Diagnostic</v>
      </c>
      <c r="F121" s="15">
        <f t="shared" ca="1" si="11"/>
        <v>29</v>
      </c>
      <c r="G121" s="15" t="str">
        <f t="shared" si="12"/>
        <v>Diagnostic</v>
      </c>
      <c r="H121" s="15" t="str">
        <f t="shared" ca="1" si="10"/>
        <v>Cleared</v>
      </c>
      <c r="I121" s="15" t="str">
        <f>Data!M119</f>
        <v>SystemDiagnosticClear</v>
      </c>
      <c r="J121" s="15" t="b">
        <f t="shared" ca="1" si="13"/>
        <v>0</v>
      </c>
      <c r="K121" s="15" t="b">
        <f t="shared" ca="1" si="14"/>
        <v>0</v>
      </c>
      <c r="L121" s="15" t="b">
        <f t="shared" si="15"/>
        <v>0</v>
      </c>
      <c r="M121" s="16" t="str">
        <f>Data!I119</f>
        <v>Long</v>
      </c>
      <c r="N121" s="16" t="str">
        <f>Data!J119</f>
        <v>Lat</v>
      </c>
      <c r="O121" s="15" t="str">
        <f>Data!K119</f>
        <v>Approximate Location</v>
      </c>
      <c r="P121" s="17">
        <f>Data!G119</f>
        <v>67050.5703125</v>
      </c>
      <c r="Q121" s="34">
        <f>Data!H119</f>
        <v>119.303276062012</v>
      </c>
    </row>
    <row r="122" spans="1:17" ht="16.5" x14ac:dyDescent="0.3">
      <c r="A122" s="13" t="str">
        <f>Data!C120</f>
        <v>Vehicle 1</v>
      </c>
      <c r="B122" s="14">
        <f>Data!A120</f>
        <v>43581.596458333297</v>
      </c>
      <c r="C122" s="15" t="str">
        <f>Data!B120</f>
        <v>UnidentifiedDrivingCompliance</v>
      </c>
      <c r="D122" s="15" t="str">
        <f t="shared" si="8"/>
        <v>Unidentified Driving</v>
      </c>
      <c r="E122" s="15" t="str">
        <f t="shared" si="9"/>
        <v>Vehicle 1 Unidentified Driving Diagnostic</v>
      </c>
      <c r="F122" s="15">
        <f t="shared" ca="1" si="11"/>
        <v>4</v>
      </c>
      <c r="G122" s="15" t="str">
        <f t="shared" si="12"/>
        <v>Diagnostic</v>
      </c>
      <c r="H122" s="15" t="str">
        <f t="shared" ca="1" si="10"/>
        <v>Active</v>
      </c>
      <c r="I122" s="15" t="str">
        <f>Data!M120</f>
        <v>Diagnostic</v>
      </c>
      <c r="J122" s="15" t="b">
        <f t="shared" ca="1" si="13"/>
        <v>0</v>
      </c>
      <c r="K122" s="15" t="b">
        <f t="shared" ca="1" si="14"/>
        <v>1</v>
      </c>
      <c r="L122" s="15" t="b">
        <f t="shared" si="15"/>
        <v>0</v>
      </c>
      <c r="M122" s="16" t="str">
        <f>Data!I120</f>
        <v>Long</v>
      </c>
      <c r="N122" s="16" t="str">
        <f>Data!J120</f>
        <v>Lat</v>
      </c>
      <c r="O122" s="15" t="str">
        <f>Data!K120</f>
        <v>Approximate Location</v>
      </c>
      <c r="P122" s="17">
        <f>Data!G120</f>
        <v>12635.0185546875</v>
      </c>
      <c r="Q122" s="34">
        <f>Data!H120</f>
        <v>24.002326965331999</v>
      </c>
    </row>
    <row r="123" spans="1:17" ht="16.5" x14ac:dyDescent="0.3">
      <c r="A123" s="13" t="str">
        <f>Data!C121</f>
        <v>Vehicle 6</v>
      </c>
      <c r="B123" s="14">
        <f>Data!A121</f>
        <v>43581.612268518496</v>
      </c>
      <c r="C123" s="15" t="str">
        <f>Data!B121</f>
        <v>UnidentifiedDrivingCompliance</v>
      </c>
      <c r="D123" s="15" t="str">
        <f t="shared" si="8"/>
        <v>Unidentified Driving</v>
      </c>
      <c r="E123" s="15" t="str">
        <f t="shared" si="9"/>
        <v>Vehicle 6 Unidentified Driving Diagnostic</v>
      </c>
      <c r="F123" s="15">
        <f t="shared" ca="1" si="11"/>
        <v>1</v>
      </c>
      <c r="G123" s="15" t="str">
        <f t="shared" si="12"/>
        <v>Diagnostic</v>
      </c>
      <c r="H123" s="15" t="str">
        <f t="shared" ca="1" si="10"/>
        <v>Active</v>
      </c>
      <c r="I123" s="15" t="str">
        <f>Data!M121</f>
        <v>Diagnostic</v>
      </c>
      <c r="J123" s="15" t="b">
        <f t="shared" ca="1" si="13"/>
        <v>0</v>
      </c>
      <c r="K123" s="15" t="b">
        <f t="shared" ca="1" si="14"/>
        <v>1</v>
      </c>
      <c r="L123" s="15" t="b">
        <f t="shared" si="15"/>
        <v>0</v>
      </c>
      <c r="M123" s="16" t="str">
        <f>Data!I121</f>
        <v>Long</v>
      </c>
      <c r="N123" s="16" t="str">
        <f>Data!J121</f>
        <v>Lat</v>
      </c>
      <c r="O123" s="15" t="str">
        <f>Data!K121</f>
        <v>Approximate Location</v>
      </c>
      <c r="P123" s="17">
        <f>Data!G121</f>
        <v>119074.7265625</v>
      </c>
      <c r="Q123" s="34">
        <f>Data!H121</f>
        <v>36.1290092468262</v>
      </c>
    </row>
    <row r="124" spans="1:17" ht="16.5" x14ac:dyDescent="0.3">
      <c r="A124" s="13" t="str">
        <f>Data!C122</f>
        <v>Vehicle 6</v>
      </c>
      <c r="B124" s="14">
        <f>Data!A122</f>
        <v>43581.920381944401</v>
      </c>
      <c r="C124" s="15" t="str">
        <f>Data!B122</f>
        <v>UnidentifiedDrivingCompliance</v>
      </c>
      <c r="D124" s="15" t="str">
        <f t="shared" si="8"/>
        <v>Unidentified Driving</v>
      </c>
      <c r="E124" s="15" t="str">
        <f t="shared" si="9"/>
        <v>Vehicle 6 Unidentified Driving Diagnostic</v>
      </c>
      <c r="F124" s="15">
        <f t="shared" ca="1" si="11"/>
        <v>4</v>
      </c>
      <c r="G124" s="15" t="str">
        <f t="shared" si="12"/>
        <v>Diagnostic</v>
      </c>
      <c r="H124" s="15" t="str">
        <f t="shared" ca="1" si="10"/>
        <v>Active</v>
      </c>
      <c r="I124" s="15" t="str">
        <f>Data!M122</f>
        <v>Diagnostic</v>
      </c>
      <c r="J124" s="15" t="b">
        <f t="shared" ca="1" si="13"/>
        <v>0</v>
      </c>
      <c r="K124" s="15" t="b">
        <f t="shared" ca="1" si="14"/>
        <v>1</v>
      </c>
      <c r="L124" s="15" t="b">
        <f t="shared" si="15"/>
        <v>0</v>
      </c>
      <c r="M124" s="16" t="str">
        <f>Data!I122</f>
        <v>Long</v>
      </c>
      <c r="N124" s="16" t="str">
        <f>Data!J122</f>
        <v>Lat</v>
      </c>
      <c r="O124" s="15" t="str">
        <f>Data!K122</f>
        <v>Approximate Location</v>
      </c>
      <c r="P124" s="17">
        <f>Data!G122</f>
        <v>119110.859375</v>
      </c>
      <c r="Q124" s="34">
        <f>Data!H122</f>
        <v>32.907821655273402</v>
      </c>
    </row>
    <row r="125" spans="1:17" ht="16.5" x14ac:dyDescent="0.3">
      <c r="A125" s="13" t="str">
        <f>Data!C123</f>
        <v>Vehicle 4</v>
      </c>
      <c r="B125" s="14">
        <f>Data!A123</f>
        <v>43582.3690740741</v>
      </c>
      <c r="C125" s="15" t="str">
        <f>Data!B123</f>
        <v>UnidentifiedDrivingCompliance</v>
      </c>
      <c r="D125" s="15" t="str">
        <f t="shared" si="8"/>
        <v>Unidentified Driving</v>
      </c>
      <c r="E125" s="15" t="str">
        <f t="shared" si="9"/>
        <v>Vehicle 4 Unidentified Driving Diagnostic</v>
      </c>
      <c r="F125" s="15">
        <f t="shared" ca="1" si="11"/>
        <v>2</v>
      </c>
      <c r="G125" s="15" t="str">
        <f t="shared" si="12"/>
        <v>Diagnostic</v>
      </c>
      <c r="H125" s="15" t="str">
        <f t="shared" ca="1" si="10"/>
        <v>Active</v>
      </c>
      <c r="I125" s="15" t="str">
        <f>Data!M123</f>
        <v>Diagnostic</v>
      </c>
      <c r="J125" s="15" t="b">
        <f t="shared" ca="1" si="13"/>
        <v>0</v>
      </c>
      <c r="K125" s="15" t="b">
        <f t="shared" ca="1" si="14"/>
        <v>1</v>
      </c>
      <c r="L125" s="15" t="b">
        <f t="shared" si="15"/>
        <v>0</v>
      </c>
      <c r="M125" s="16" t="str">
        <f>Data!I123</f>
        <v>Long</v>
      </c>
      <c r="N125" s="16" t="str">
        <f>Data!J123</f>
        <v>Lat</v>
      </c>
      <c r="O125" s="15" t="str">
        <f>Data!K123</f>
        <v>Approximate Location</v>
      </c>
      <c r="P125" s="17">
        <f>Data!G123</f>
        <v>60720.51171875</v>
      </c>
      <c r="Q125" s="34">
        <f>Data!H123</f>
        <v>12.1888179779053</v>
      </c>
    </row>
    <row r="126" spans="1:17" ht="16.5" x14ac:dyDescent="0.3">
      <c r="A126" s="13" t="str">
        <f>Data!C124</f>
        <v>Vehicle 1</v>
      </c>
      <c r="B126" s="14">
        <f>Data!A124</f>
        <v>43582.422026932902</v>
      </c>
      <c r="C126" s="15" t="str">
        <f>Data!B124</f>
        <v>UnidentifiedDrivingCompliance</v>
      </c>
      <c r="D126" s="15" t="str">
        <f t="shared" si="8"/>
        <v>Unidentified Driving</v>
      </c>
      <c r="E126" s="15" t="str">
        <f t="shared" si="9"/>
        <v>Vehicle 1 Unidentified Driving Diagnostic</v>
      </c>
      <c r="F126" s="15">
        <f t="shared" ca="1" si="11"/>
        <v>7</v>
      </c>
      <c r="G126" s="15" t="str">
        <f t="shared" si="12"/>
        <v>Diagnostic</v>
      </c>
      <c r="H126" s="15" t="str">
        <f t="shared" ca="1" si="10"/>
        <v>Active</v>
      </c>
      <c r="I126" s="15" t="str">
        <f>Data!M124</f>
        <v>Diagnostic</v>
      </c>
      <c r="J126" s="15" t="b">
        <f t="shared" ca="1" si="13"/>
        <v>0</v>
      </c>
      <c r="K126" s="15" t="b">
        <f t="shared" ca="1" si="14"/>
        <v>1</v>
      </c>
      <c r="L126" s="15" t="b">
        <f t="shared" si="15"/>
        <v>0</v>
      </c>
      <c r="M126" s="16" t="str">
        <f>Data!I124</f>
        <v>Long</v>
      </c>
      <c r="N126" s="16" t="str">
        <f>Data!J124</f>
        <v>Lat</v>
      </c>
      <c r="O126" s="15" t="str">
        <f>Data!K124</f>
        <v>Approximate Location</v>
      </c>
      <c r="P126" s="17">
        <f>Data!G124</f>
        <v>12659.0205078125</v>
      </c>
      <c r="Q126" s="34">
        <f>Data!H124</f>
        <v>23.895452499389599</v>
      </c>
    </row>
    <row r="127" spans="1:17" ht="16.5" x14ac:dyDescent="0.3">
      <c r="A127" s="13" t="str">
        <f>Data!C125</f>
        <v>Vehicle 4</v>
      </c>
      <c r="B127" s="14">
        <f>Data!A125</f>
        <v>43582.7652662037</v>
      </c>
      <c r="C127" s="15" t="str">
        <f>Data!B125</f>
        <v>UnidentifiedDrivingCompliance</v>
      </c>
      <c r="D127" s="15" t="str">
        <f t="shared" si="8"/>
        <v>Unidentified Driving</v>
      </c>
      <c r="E127" s="15" t="str">
        <f t="shared" si="9"/>
        <v>Vehicle 4 Unidentified Driving Diagnostic</v>
      </c>
      <c r="F127" s="15">
        <f t="shared" ca="1" si="11"/>
        <v>3</v>
      </c>
      <c r="G127" s="15" t="str">
        <f t="shared" si="12"/>
        <v>Diagnostic</v>
      </c>
      <c r="H127" s="15" t="str">
        <f t="shared" ca="1" si="10"/>
        <v>Active</v>
      </c>
      <c r="I127" s="15" t="str">
        <f>Data!M125</f>
        <v>Diagnostic</v>
      </c>
      <c r="J127" s="15" t="b">
        <f t="shared" ca="1" si="13"/>
        <v>0</v>
      </c>
      <c r="K127" s="15" t="b">
        <f t="shared" ca="1" si="14"/>
        <v>1</v>
      </c>
      <c r="L127" s="15" t="b">
        <f t="shared" si="15"/>
        <v>0</v>
      </c>
      <c r="M127" s="16" t="str">
        <f>Data!I125</f>
        <v>Long</v>
      </c>
      <c r="N127" s="16" t="str">
        <f>Data!J125</f>
        <v>Lat</v>
      </c>
      <c r="O127" s="15" t="str">
        <f>Data!K125</f>
        <v>Approximate Location</v>
      </c>
      <c r="P127" s="17">
        <f>Data!G125</f>
        <v>60732.69921875</v>
      </c>
      <c r="Q127" s="34">
        <f>Data!H125</f>
        <v>35.418159484863303</v>
      </c>
    </row>
    <row r="128" spans="1:17" ht="16.5" x14ac:dyDescent="0.3">
      <c r="A128" s="13" t="str">
        <f>Data!C126</f>
        <v>Vehicle 6</v>
      </c>
      <c r="B128" s="14">
        <f>Data!A126</f>
        <v>43583.527986111098</v>
      </c>
      <c r="C128" s="15" t="str">
        <f>Data!B126</f>
        <v>UnidentifiedDrivingCompliance</v>
      </c>
      <c r="D128" s="15" t="str">
        <f t="shared" si="8"/>
        <v>Unidentified Driving</v>
      </c>
      <c r="E128" s="15" t="str">
        <f t="shared" si="9"/>
        <v>Vehicle 6 Unidentified Driving Diagnostic</v>
      </c>
      <c r="F128" s="15">
        <f t="shared" ca="1" si="11"/>
        <v>1</v>
      </c>
      <c r="G128" s="15" t="str">
        <f t="shared" si="12"/>
        <v>Diagnostic</v>
      </c>
      <c r="H128" s="15" t="str">
        <f t="shared" ca="1" si="10"/>
        <v>Active</v>
      </c>
      <c r="I128" s="15" t="str">
        <f>Data!M126</f>
        <v>Diagnostic</v>
      </c>
      <c r="J128" s="15" t="b">
        <f t="shared" ca="1" si="13"/>
        <v>0</v>
      </c>
      <c r="K128" s="15" t="b">
        <f t="shared" ca="1" si="14"/>
        <v>1</v>
      </c>
      <c r="L128" s="15" t="b">
        <f t="shared" si="15"/>
        <v>0</v>
      </c>
      <c r="M128" s="16" t="str">
        <f>Data!I126</f>
        <v>Long</v>
      </c>
      <c r="N128" s="16" t="str">
        <f>Data!J126</f>
        <v>Lat</v>
      </c>
      <c r="O128" s="15" t="str">
        <f>Data!K126</f>
        <v>Approximate Location</v>
      </c>
      <c r="P128" s="17">
        <f>Data!G126</f>
        <v>119143.765625</v>
      </c>
      <c r="Q128" s="34">
        <f>Data!H126</f>
        <v>17.7364196777344</v>
      </c>
    </row>
    <row r="129" spans="1:17" ht="16.5" x14ac:dyDescent="0.3">
      <c r="A129" s="13" t="str">
        <f>Data!C127</f>
        <v>Vehicle 6</v>
      </c>
      <c r="B129" s="14">
        <f>Data!A127</f>
        <v>43584.2981828704</v>
      </c>
      <c r="C129" s="15" t="str">
        <f>Data!B127</f>
        <v>UnidentifiedDrivingCompliance</v>
      </c>
      <c r="D129" s="15" t="str">
        <f t="shared" si="8"/>
        <v>Unidentified Driving</v>
      </c>
      <c r="E129" s="15" t="str">
        <f t="shared" si="9"/>
        <v>Vehicle 6 Unidentified Driving Diagnostic</v>
      </c>
      <c r="F129" s="15">
        <f t="shared" ca="1" si="11"/>
        <v>8</v>
      </c>
      <c r="G129" s="15" t="str">
        <f t="shared" si="12"/>
        <v>Diagnostic</v>
      </c>
      <c r="H129" s="15" t="str">
        <f t="shared" ca="1" si="10"/>
        <v>Active</v>
      </c>
      <c r="I129" s="15" t="str">
        <f>Data!M127</f>
        <v>Diagnostic</v>
      </c>
      <c r="J129" s="15" t="b">
        <f t="shared" ca="1" si="13"/>
        <v>0</v>
      </c>
      <c r="K129" s="15" t="b">
        <f t="shared" ca="1" si="14"/>
        <v>1</v>
      </c>
      <c r="L129" s="15" t="b">
        <f t="shared" si="15"/>
        <v>0</v>
      </c>
      <c r="M129" s="16" t="str">
        <f>Data!I127</f>
        <v>Long</v>
      </c>
      <c r="N129" s="16" t="str">
        <f>Data!J127</f>
        <v>Lat</v>
      </c>
      <c r="O129" s="15" t="str">
        <f>Data!K127</f>
        <v>Approximate Location</v>
      </c>
      <c r="P129" s="17">
        <f>Data!G127</f>
        <v>119161.5</v>
      </c>
      <c r="Q129" s="34">
        <f>Data!H127</f>
        <v>62.435379028320298</v>
      </c>
    </row>
    <row r="130" spans="1:17" ht="16.5" x14ac:dyDescent="0.3">
      <c r="A130" s="13" t="str">
        <f>Data!C128</f>
        <v>Vehicle 4</v>
      </c>
      <c r="B130" s="14">
        <f>Data!A128</f>
        <v>43584.351238425901</v>
      </c>
      <c r="C130" s="15" t="str">
        <f>Data!B128</f>
        <v>UnidentifiedDrivingCompliance</v>
      </c>
      <c r="D130" s="15" t="str">
        <f t="shared" si="8"/>
        <v>Unidentified Driving</v>
      </c>
      <c r="E130" s="15" t="str">
        <f t="shared" si="9"/>
        <v>Vehicle 4 Unidentified Driving Diagnostic</v>
      </c>
      <c r="F130" s="15">
        <f t="shared" ca="1" si="11"/>
        <v>15</v>
      </c>
      <c r="G130" s="15" t="str">
        <f t="shared" si="12"/>
        <v>Diagnostic</v>
      </c>
      <c r="H130" s="15" t="str">
        <f t="shared" ca="1" si="10"/>
        <v>Active</v>
      </c>
      <c r="I130" s="15" t="str">
        <f>Data!M128</f>
        <v>Diagnostic</v>
      </c>
      <c r="J130" s="15" t="b">
        <f t="shared" ca="1" si="13"/>
        <v>0</v>
      </c>
      <c r="K130" s="15" t="b">
        <f t="shared" ca="1" si="14"/>
        <v>1</v>
      </c>
      <c r="L130" s="15" t="b">
        <f t="shared" si="15"/>
        <v>0</v>
      </c>
      <c r="M130" s="16" t="str">
        <f>Data!I128</f>
        <v>Long</v>
      </c>
      <c r="N130" s="16" t="str">
        <f>Data!J128</f>
        <v>Lat</v>
      </c>
      <c r="O130" s="15" t="str">
        <f>Data!K128</f>
        <v>Approximate Location</v>
      </c>
      <c r="P130" s="17">
        <f>Data!G128</f>
        <v>60768.1171875</v>
      </c>
      <c r="Q130" s="34">
        <f>Data!H128</f>
        <v>21.5640659332275</v>
      </c>
    </row>
    <row r="131" spans="1:17" ht="16.5" x14ac:dyDescent="0.3">
      <c r="A131" s="13" t="str">
        <f>Data!C129</f>
        <v>Vehicle 10</v>
      </c>
      <c r="B131" s="14">
        <f>Data!A129</f>
        <v>43584.365151967599</v>
      </c>
      <c r="C131" s="15" t="str">
        <f>Data!B129</f>
        <v>DataTransferCompliance</v>
      </c>
      <c r="D131" s="15" t="str">
        <f t="shared" si="8"/>
        <v>Data Transfer</v>
      </c>
      <c r="E131" s="15" t="str">
        <f t="shared" si="9"/>
        <v>Vehicle 10 Data Transfer Malfunction</v>
      </c>
      <c r="F131" s="15">
        <f t="shared" ca="1" si="11"/>
        <v>1</v>
      </c>
      <c r="G131" s="15" t="str">
        <f t="shared" si="12"/>
        <v>Malfunction</v>
      </c>
      <c r="H131" s="15" t="str">
        <f t="shared" ca="1" si="10"/>
        <v>Active</v>
      </c>
      <c r="I131" s="15" t="str">
        <f>Data!M129</f>
        <v>Malfunction</v>
      </c>
      <c r="J131" s="15" t="b">
        <f t="shared" ca="1" si="13"/>
        <v>0</v>
      </c>
      <c r="K131" s="15" t="b">
        <f t="shared" ca="1" si="14"/>
        <v>1</v>
      </c>
      <c r="L131" s="15" t="b">
        <f t="shared" si="15"/>
        <v>1</v>
      </c>
      <c r="M131" s="16" t="str">
        <f>Data!I129</f>
        <v>Long</v>
      </c>
      <c r="N131" s="16" t="str">
        <f>Data!J129</f>
        <v>Lat</v>
      </c>
      <c r="O131" s="15" t="str">
        <f>Data!K129</f>
        <v>Approximate Location</v>
      </c>
      <c r="P131" s="17">
        <f>Data!G129</f>
        <v>93257.0703125</v>
      </c>
      <c r="Q131" s="34">
        <f>Data!H129</f>
        <v>0</v>
      </c>
    </row>
    <row r="132" spans="1:17" ht="16.5" x14ac:dyDescent="0.3">
      <c r="A132" s="13" t="str">
        <f>Data!C130</f>
        <v>Vehicle 10</v>
      </c>
      <c r="B132" s="14">
        <f>Data!A130</f>
        <v>43584.464540428198</v>
      </c>
      <c r="C132" s="15" t="str">
        <f>Data!B130</f>
        <v>DataTransferCompliance</v>
      </c>
      <c r="D132" s="15" t="str">
        <f t="shared" si="8"/>
        <v>Data Transfer</v>
      </c>
      <c r="E132" s="15" t="str">
        <f t="shared" si="9"/>
        <v>Vehicle 10 Data Transfer Malfunction</v>
      </c>
      <c r="F132" s="15" t="e">
        <f t="shared" ca="1" si="11"/>
        <v>#N/A</v>
      </c>
      <c r="G132" s="15" t="str">
        <f t="shared" si="12"/>
        <v>Malfunction</v>
      </c>
      <c r="H132" s="15" t="str">
        <f t="shared" ca="1" si="10"/>
        <v>Active</v>
      </c>
      <c r="I132" s="15" t="str">
        <f>Data!M130</f>
        <v>Malfunction</v>
      </c>
      <c r="J132" s="15" t="b">
        <f t="shared" ca="1" si="13"/>
        <v>1</v>
      </c>
      <c r="K132" s="15" t="b">
        <f t="shared" ca="1" si="14"/>
        <v>1</v>
      </c>
      <c r="L132" s="15" t="b">
        <f t="shared" si="15"/>
        <v>1</v>
      </c>
      <c r="M132" s="16" t="str">
        <f>Data!I130</f>
        <v>Long</v>
      </c>
      <c r="N132" s="16" t="str">
        <f>Data!J130</f>
        <v>Lat</v>
      </c>
      <c r="O132" s="15" t="str">
        <f>Data!K130</f>
        <v>Approximate Location</v>
      </c>
      <c r="P132" s="17">
        <f>Data!G130</f>
        <v>93257.0703125</v>
      </c>
      <c r="Q132" s="34">
        <f>Data!H130</f>
        <v>16.108427047729499</v>
      </c>
    </row>
    <row r="133" spans="1:17" ht="16.5" x14ac:dyDescent="0.3">
      <c r="A133" s="13" t="str">
        <f>Data!C131</f>
        <v>Vehicle 1</v>
      </c>
      <c r="B133" s="14">
        <f>Data!A131</f>
        <v>43584.5989366551</v>
      </c>
      <c r="C133" s="15" t="str">
        <f>Data!B131</f>
        <v>UnidentifiedDrivingCompliance</v>
      </c>
      <c r="D133" s="15" t="str">
        <f t="shared" si="8"/>
        <v>Unidentified Driving</v>
      </c>
      <c r="E133" s="15" t="str">
        <f t="shared" si="9"/>
        <v>Vehicle 1 Unidentified Driving Diagnostic</v>
      </c>
      <c r="F133" s="15">
        <f t="shared" ca="1" si="11"/>
        <v>6</v>
      </c>
      <c r="G133" s="15" t="str">
        <f t="shared" si="12"/>
        <v>Diagnostic</v>
      </c>
      <c r="H133" s="15" t="str">
        <f t="shared" ca="1" si="10"/>
        <v>Active</v>
      </c>
      <c r="I133" s="15" t="str">
        <f>Data!M131</f>
        <v>Diagnostic</v>
      </c>
      <c r="J133" s="15" t="b">
        <f t="shared" ca="1" si="13"/>
        <v>0</v>
      </c>
      <c r="K133" s="15" t="b">
        <f t="shared" ca="1" si="14"/>
        <v>1</v>
      </c>
      <c r="L133" s="15" t="b">
        <f t="shared" si="15"/>
        <v>0</v>
      </c>
      <c r="M133" s="16" t="str">
        <f>Data!I131</f>
        <v>Long</v>
      </c>
      <c r="N133" s="16" t="str">
        <f>Data!J131</f>
        <v>Lat</v>
      </c>
      <c r="O133" s="15" t="str">
        <f>Data!K131</f>
        <v>Approximate Location</v>
      </c>
      <c r="P133" s="17">
        <f>Data!G131</f>
        <v>12682.916015625</v>
      </c>
      <c r="Q133" s="34">
        <f>Data!H131</f>
        <v>31.514705657958999</v>
      </c>
    </row>
    <row r="134" spans="1:17" ht="16.5" x14ac:dyDescent="0.3">
      <c r="A134" s="13" t="str">
        <f>Data!C132</f>
        <v>Vehicle 10</v>
      </c>
      <c r="B134" s="14">
        <f>Data!A132</f>
        <v>43584.6725462963</v>
      </c>
      <c r="C134" s="15" t="str">
        <f>Data!B132</f>
        <v>UnidentifiedDrivingCompliance</v>
      </c>
      <c r="D134" s="15" t="str">
        <f t="shared" si="8"/>
        <v>Unidentified Driving</v>
      </c>
      <c r="E134" s="15" t="str">
        <f t="shared" si="9"/>
        <v>Vehicle 10 Unidentified Driving Diagnostic</v>
      </c>
      <c r="F134" s="15">
        <f t="shared" ca="1" si="11"/>
        <v>24</v>
      </c>
      <c r="G134" s="15" t="str">
        <f t="shared" si="12"/>
        <v>Diagnostic</v>
      </c>
      <c r="H134" s="15" t="str">
        <f t="shared" ca="1" si="10"/>
        <v>Active</v>
      </c>
      <c r="I134" s="15" t="str">
        <f>Data!M132</f>
        <v>Diagnostic</v>
      </c>
      <c r="J134" s="15" t="b">
        <f t="shared" ca="1" si="13"/>
        <v>0</v>
      </c>
      <c r="K134" s="15" t="b">
        <f t="shared" ca="1" si="14"/>
        <v>1</v>
      </c>
      <c r="L134" s="15" t="b">
        <f t="shared" si="15"/>
        <v>0</v>
      </c>
      <c r="M134" s="16" t="str">
        <f>Data!I132</f>
        <v>Long</v>
      </c>
      <c r="N134" s="16" t="str">
        <f>Data!J132</f>
        <v>Lat</v>
      </c>
      <c r="O134" s="15" t="str">
        <f>Data!K132</f>
        <v>Approximate Location</v>
      </c>
      <c r="P134" s="17">
        <f>Data!G132</f>
        <v>93273.1796875</v>
      </c>
      <c r="Q134" s="34">
        <f>Data!H132</f>
        <v>22.6676216125488</v>
      </c>
    </row>
    <row r="135" spans="1:17" ht="16.5" x14ac:dyDescent="0.3">
      <c r="A135" s="13" t="str">
        <f>Data!C133</f>
        <v>Vehicle 7</v>
      </c>
      <c r="B135" s="14">
        <f>Data!A133</f>
        <v>43584.767233796301</v>
      </c>
      <c r="C135" s="15" t="str">
        <f>Data!B133</f>
        <v>PowerCompliance</v>
      </c>
      <c r="D135" s="15" t="str">
        <f t="shared" si="8"/>
        <v>Power</v>
      </c>
      <c r="E135" s="15" t="str">
        <f t="shared" si="9"/>
        <v>Vehicle 7 Power Diagnostic</v>
      </c>
      <c r="F135" s="15">
        <f t="shared" ca="1" si="11"/>
        <v>1</v>
      </c>
      <c r="G135" s="15" t="str">
        <f t="shared" si="12"/>
        <v>Diagnostic</v>
      </c>
      <c r="H135" s="15" t="str">
        <f t="shared" ca="1" si="10"/>
        <v>Cleared</v>
      </c>
      <c r="I135" s="15" t="str">
        <f>Data!M133</f>
        <v>Diagnostic</v>
      </c>
      <c r="J135" s="15" t="b">
        <f t="shared" ca="1" si="13"/>
        <v>0</v>
      </c>
      <c r="K135" s="15" t="b">
        <f t="shared" ca="1" si="14"/>
        <v>0</v>
      </c>
      <c r="L135" s="15" t="b">
        <f t="shared" si="15"/>
        <v>0</v>
      </c>
      <c r="M135" s="16" t="str">
        <f>Data!I133</f>
        <v>Long</v>
      </c>
      <c r="N135" s="16" t="str">
        <f>Data!J133</f>
        <v>Lat</v>
      </c>
      <c r="O135" s="15" t="str">
        <f>Data!K133</f>
        <v>Approximate Location</v>
      </c>
      <c r="P135" s="17">
        <f>Data!G133</f>
        <v>17145.74609375</v>
      </c>
      <c r="Q135" s="34">
        <f>Data!H133</f>
        <v>0</v>
      </c>
    </row>
    <row r="136" spans="1:17" ht="16.5" x14ac:dyDescent="0.3">
      <c r="A136" s="13" t="str">
        <f>Data!C134</f>
        <v>Vehicle 7</v>
      </c>
      <c r="B136" s="14">
        <f>Data!A134</f>
        <v>43584.767523148097</v>
      </c>
      <c r="C136" s="15" t="str">
        <f>Data!B134</f>
        <v>PowerCompliance</v>
      </c>
      <c r="D136" s="15" t="str">
        <f t="shared" si="8"/>
        <v>Power</v>
      </c>
      <c r="E136" s="15" t="str">
        <f t="shared" si="9"/>
        <v>Vehicle 7 Power Diagnostic</v>
      </c>
      <c r="F136" s="15">
        <f t="shared" ca="1" si="11"/>
        <v>69</v>
      </c>
      <c r="G136" s="15" t="str">
        <f t="shared" si="12"/>
        <v>Diagnostic</v>
      </c>
      <c r="H136" s="15" t="str">
        <f t="shared" ca="1" si="10"/>
        <v>Cleared</v>
      </c>
      <c r="I136" s="15" t="str">
        <f>Data!M134</f>
        <v>SystemDiagnosticClearDriving</v>
      </c>
      <c r="J136" s="15" t="b">
        <f t="shared" ca="1" si="13"/>
        <v>0</v>
      </c>
      <c r="K136" s="15" t="b">
        <f t="shared" ca="1" si="14"/>
        <v>0</v>
      </c>
      <c r="L136" s="15" t="b">
        <f t="shared" si="15"/>
        <v>0</v>
      </c>
      <c r="M136" s="16" t="str">
        <f>Data!I134</f>
        <v>Long</v>
      </c>
      <c r="N136" s="16" t="str">
        <f>Data!J134</f>
        <v>Lat</v>
      </c>
      <c r="O136" s="15" t="str">
        <f>Data!K134</f>
        <v>Approximate Location</v>
      </c>
      <c r="P136" s="17">
        <f>Data!G134</f>
        <v>17145.74609375</v>
      </c>
      <c r="Q136" s="34">
        <f>Data!H134</f>
        <v>43.603118896484403</v>
      </c>
    </row>
    <row r="137" spans="1:17" ht="16.5" x14ac:dyDescent="0.3">
      <c r="A137" s="13" t="str">
        <f>Data!C135</f>
        <v>Vehicle 6</v>
      </c>
      <c r="B137" s="14">
        <f>Data!A135</f>
        <v>43585.288182870398</v>
      </c>
      <c r="C137" s="15" t="str">
        <f>Data!B135</f>
        <v>UnidentifiedDrivingCompliance</v>
      </c>
      <c r="D137" s="15" t="str">
        <f t="shared" si="8"/>
        <v>Unidentified Driving</v>
      </c>
      <c r="E137" s="15" t="str">
        <f t="shared" si="9"/>
        <v>Vehicle 6 Unidentified Driving Diagnostic</v>
      </c>
      <c r="F137" s="15">
        <f t="shared" ca="1" si="11"/>
        <v>3</v>
      </c>
      <c r="G137" s="15" t="str">
        <f t="shared" si="12"/>
        <v>Diagnostic</v>
      </c>
      <c r="H137" s="15" t="str">
        <f t="shared" ca="1" si="10"/>
        <v>Active</v>
      </c>
      <c r="I137" s="15" t="str">
        <f>Data!M135</f>
        <v>Diagnostic</v>
      </c>
      <c r="J137" s="15" t="b">
        <f t="shared" ca="1" si="13"/>
        <v>0</v>
      </c>
      <c r="K137" s="15" t="b">
        <f t="shared" ca="1" si="14"/>
        <v>1</v>
      </c>
      <c r="L137" s="15" t="b">
        <f t="shared" si="15"/>
        <v>0</v>
      </c>
      <c r="M137" s="16" t="str">
        <f>Data!I135</f>
        <v>Long</v>
      </c>
      <c r="N137" s="16" t="str">
        <f>Data!J135</f>
        <v>Lat</v>
      </c>
      <c r="O137" s="15" t="str">
        <f>Data!K135</f>
        <v>Approximate Location</v>
      </c>
      <c r="P137" s="17">
        <f>Data!G135</f>
        <v>119223.9375</v>
      </c>
      <c r="Q137" s="34">
        <f>Data!H135</f>
        <v>69.136245727539105</v>
      </c>
    </row>
    <row r="138" spans="1:17" ht="16.5" x14ac:dyDescent="0.3">
      <c r="A138" s="13" t="str">
        <f>Data!C136</f>
        <v>Vehicle 2</v>
      </c>
      <c r="B138" s="14">
        <f>Data!A136</f>
        <v>43585.511832951401</v>
      </c>
      <c r="C138" s="15" t="str">
        <f>Data!B136</f>
        <v>UnidentifiedDrivingCompliance</v>
      </c>
      <c r="D138" s="15" t="str">
        <f t="shared" si="8"/>
        <v>Unidentified Driving</v>
      </c>
      <c r="E138" s="15" t="str">
        <f t="shared" si="9"/>
        <v>Vehicle 2 Unidentified Driving Diagnostic</v>
      </c>
      <c r="F138" s="15">
        <f t="shared" ca="1" si="11"/>
        <v>3</v>
      </c>
      <c r="G138" s="15" t="str">
        <f t="shared" si="12"/>
        <v>Diagnostic</v>
      </c>
      <c r="H138" s="15" t="str">
        <f t="shared" ca="1" si="10"/>
        <v>Active</v>
      </c>
      <c r="I138" s="15" t="str">
        <f>Data!M136</f>
        <v>Diagnostic</v>
      </c>
      <c r="J138" s="15" t="b">
        <f t="shared" ca="1" si="13"/>
        <v>0</v>
      </c>
      <c r="K138" s="15" t="b">
        <f t="shared" ca="1" si="14"/>
        <v>1</v>
      </c>
      <c r="L138" s="15" t="b">
        <f t="shared" si="15"/>
        <v>0</v>
      </c>
      <c r="M138" s="16" t="str">
        <f>Data!I136</f>
        <v>Long</v>
      </c>
      <c r="N138" s="16" t="str">
        <f>Data!J136</f>
        <v>Lat</v>
      </c>
      <c r="O138" s="15" t="str">
        <f>Data!K136</f>
        <v>Approximate Location</v>
      </c>
      <c r="P138" s="17">
        <f>Data!G136</f>
        <v>3369.09399414062</v>
      </c>
      <c r="Q138" s="34">
        <f>Data!H136</f>
        <v>12.7066049575806</v>
      </c>
    </row>
    <row r="139" spans="1:17" ht="16.5" x14ac:dyDescent="0.3">
      <c r="A139" s="13" t="str">
        <f>Data!C137</f>
        <v>Vehicle 1</v>
      </c>
      <c r="B139" s="14">
        <f>Data!A137</f>
        <v>43585.599097222199</v>
      </c>
      <c r="C139" s="15" t="str">
        <f>Data!B137</f>
        <v>UnidentifiedDrivingCompliance</v>
      </c>
      <c r="D139" s="15" t="str">
        <f t="shared" si="8"/>
        <v>Unidentified Driving</v>
      </c>
      <c r="E139" s="15" t="str">
        <f t="shared" si="9"/>
        <v>Vehicle 1 Unidentified Driving Diagnostic</v>
      </c>
      <c r="F139" s="15">
        <f t="shared" ca="1" si="11"/>
        <v>3</v>
      </c>
      <c r="G139" s="15" t="str">
        <f t="shared" si="12"/>
        <v>Diagnostic</v>
      </c>
      <c r="H139" s="15" t="str">
        <f t="shared" ca="1" si="10"/>
        <v>Active</v>
      </c>
      <c r="I139" s="15" t="str">
        <f>Data!M137</f>
        <v>Diagnostic</v>
      </c>
      <c r="J139" s="15" t="b">
        <f t="shared" ca="1" si="13"/>
        <v>0</v>
      </c>
      <c r="K139" s="15" t="b">
        <f t="shared" ca="1" si="14"/>
        <v>1</v>
      </c>
      <c r="L139" s="15" t="b">
        <f t="shared" si="15"/>
        <v>0</v>
      </c>
      <c r="M139" s="16" t="str">
        <f>Data!I137</f>
        <v>Long</v>
      </c>
      <c r="N139" s="16" t="str">
        <f>Data!J137</f>
        <v>Lat</v>
      </c>
      <c r="O139" s="15" t="str">
        <f>Data!K137</f>
        <v>Approximate Location</v>
      </c>
      <c r="P139" s="17">
        <f>Data!G137</f>
        <v>12714.4306640625</v>
      </c>
      <c r="Q139" s="34">
        <f>Data!H137</f>
        <v>28.461286544799801</v>
      </c>
    </row>
    <row r="140" spans="1:17" ht="16.5" x14ac:dyDescent="0.3">
      <c r="A140" s="13" t="str">
        <f>Data!C138</f>
        <v>Vehicle 6</v>
      </c>
      <c r="B140" s="14">
        <f>Data!A138</f>
        <v>43586.275937500002</v>
      </c>
      <c r="C140" s="15" t="str">
        <f>Data!B138</f>
        <v>UnidentifiedDrivingCompliance</v>
      </c>
      <c r="D140" s="15" t="str">
        <f t="shared" si="8"/>
        <v>Unidentified Driving</v>
      </c>
      <c r="E140" s="15" t="str">
        <f t="shared" si="9"/>
        <v>Vehicle 6 Unidentified Driving Diagnostic</v>
      </c>
      <c r="F140" s="15">
        <f t="shared" ca="1" si="11"/>
        <v>8</v>
      </c>
      <c r="G140" s="15" t="str">
        <f t="shared" si="12"/>
        <v>Diagnostic</v>
      </c>
      <c r="H140" s="15" t="str">
        <f t="shared" ca="1" si="10"/>
        <v>Active</v>
      </c>
      <c r="I140" s="15" t="str">
        <f>Data!M138</f>
        <v>Diagnostic</v>
      </c>
      <c r="J140" s="15" t="b">
        <f t="shared" ca="1" si="13"/>
        <v>0</v>
      </c>
      <c r="K140" s="15" t="b">
        <f t="shared" ca="1" si="14"/>
        <v>1</v>
      </c>
      <c r="L140" s="15" t="b">
        <f t="shared" si="15"/>
        <v>0</v>
      </c>
      <c r="M140" s="16" t="str">
        <f>Data!I138</f>
        <v>Long</v>
      </c>
      <c r="N140" s="16" t="str">
        <f>Data!J138</f>
        <v>Lat</v>
      </c>
      <c r="O140" s="15" t="str">
        <f>Data!K138</f>
        <v>Approximate Location</v>
      </c>
      <c r="P140" s="17">
        <f>Data!G138</f>
        <v>119293.0703125</v>
      </c>
      <c r="Q140" s="34">
        <f>Data!H138</f>
        <v>74.425361633300795</v>
      </c>
    </row>
    <row r="141" spans="1:17" ht="16.5" x14ac:dyDescent="0.3">
      <c r="A141" s="13" t="str">
        <f>Data!C139</f>
        <v>Vehicle 2</v>
      </c>
      <c r="B141" s="14">
        <f>Data!A139</f>
        <v>43586.511837349499</v>
      </c>
      <c r="C141" s="15" t="str">
        <f>Data!B139</f>
        <v>UnidentifiedDrivingCompliance</v>
      </c>
      <c r="D141" s="15" t="str">
        <f t="shared" ref="D141:D204" si="16">IF(C141="PowerCompliance","Power",IF(C141="PositioningCompliance","Positioning",IF(C141="EngineSyncCompliance","Engine Sync",IF(C141="UnidentifiedDrivingCompliance","Unidentified Driving",IF(C141="DataRecordingCompliance","Data Recording",IF(C141="DataTransferCompliance","Data Transfer",IF(C141="MissingElementCompliance","Missing Element",IF(C141="OtherCompliance","Other",IF(C141="TimingCompliance","Timing","")))))))))</f>
        <v>Unidentified Driving</v>
      </c>
      <c r="E141" s="15" t="str">
        <f t="shared" ref="E141:E204" si="17">A141&amp;" "&amp;D141&amp;" "&amp;G141</f>
        <v>Vehicle 2 Unidentified Driving Diagnostic</v>
      </c>
      <c r="F141" s="15">
        <f t="shared" ca="1" si="11"/>
        <v>8</v>
      </c>
      <c r="G141" s="15" t="str">
        <f t="shared" si="12"/>
        <v>Diagnostic</v>
      </c>
      <c r="H141" s="15" t="str">
        <f t="shared" ref="H141:H204" ca="1" si="18">IF(OR(ISNUMBER(SEARCH("clear",INDIRECT("H"&amp;ROW(I141)+F141))),ISNUMBER(SEARCH("clear",I141))),"Cleared","Active")</f>
        <v>Active</v>
      </c>
      <c r="I141" s="15" t="str">
        <f>Data!M139</f>
        <v>Diagnostic</v>
      </c>
      <c r="J141" s="15" t="b">
        <f t="shared" ca="1" si="13"/>
        <v>0</v>
      </c>
      <c r="K141" s="15" t="b">
        <f t="shared" ca="1" si="14"/>
        <v>1</v>
      </c>
      <c r="L141" s="15" t="b">
        <f t="shared" si="15"/>
        <v>0</v>
      </c>
      <c r="M141" s="16" t="str">
        <f>Data!I139</f>
        <v>Long</v>
      </c>
      <c r="N141" s="16" t="str">
        <f>Data!J139</f>
        <v>Lat</v>
      </c>
      <c r="O141" s="15" t="str">
        <f>Data!K139</f>
        <v>Approximate Location</v>
      </c>
      <c r="P141" s="17">
        <f>Data!G139</f>
        <v>3381.80053710938</v>
      </c>
      <c r="Q141" s="34">
        <f>Data!H139</f>
        <v>29.251489639282202</v>
      </c>
    </row>
    <row r="142" spans="1:17" ht="16.5" x14ac:dyDescent="0.3">
      <c r="A142" s="13" t="str">
        <f>Data!C140</f>
        <v>Vehicle 1</v>
      </c>
      <c r="B142" s="14">
        <f>Data!A140</f>
        <v>43586.516482951403</v>
      </c>
      <c r="C142" s="15" t="str">
        <f>Data!B140</f>
        <v>UnidentifiedDrivingCompliance</v>
      </c>
      <c r="D142" s="15" t="str">
        <f t="shared" si="16"/>
        <v>Unidentified Driving</v>
      </c>
      <c r="E142" s="15" t="str">
        <f t="shared" si="17"/>
        <v>Vehicle 1 Unidentified Driving Diagnostic</v>
      </c>
      <c r="F142" s="15">
        <f t="shared" ref="F142:F205" ca="1" si="19">MATCH(E142,INDIRECT("E"&amp;ROW(E142)+1&amp;":E"&amp;$B$10),0)</f>
        <v>5</v>
      </c>
      <c r="G142" s="15" t="str">
        <f t="shared" ref="G142:G205" si="20">IF(ISNUMBER(SEARCH("Diagnostic",I142))=TRUE,"Diagnostic","Malfunction")</f>
        <v>Diagnostic</v>
      </c>
      <c r="H142" s="15" t="str">
        <f t="shared" ca="1" si="18"/>
        <v>Active</v>
      </c>
      <c r="I142" s="15" t="str">
        <f>Data!M140</f>
        <v>Diagnostic</v>
      </c>
      <c r="J142" s="15" t="b">
        <f t="shared" ref="J142:J205" ca="1" si="21">ISERROR(F142)</f>
        <v>0</v>
      </c>
      <c r="K142" s="15" t="b">
        <f t="shared" ref="K142:K205" ca="1" si="22">IF(H142="Active",TRUE,FALSE)</f>
        <v>1</v>
      </c>
      <c r="L142" s="15" t="b">
        <f t="shared" ref="L142:L205" si="23">IF(G142="Malfunction",TRUE,FALSE)</f>
        <v>0</v>
      </c>
      <c r="M142" s="16" t="str">
        <f>Data!I140</f>
        <v>Long</v>
      </c>
      <c r="N142" s="16" t="str">
        <f>Data!J140</f>
        <v>Lat</v>
      </c>
      <c r="O142" s="15" t="str">
        <f>Data!K140</f>
        <v>Approximate Location</v>
      </c>
      <c r="P142" s="17">
        <f>Data!G140</f>
        <v>12742.892578125</v>
      </c>
      <c r="Q142" s="34">
        <f>Data!H140</f>
        <v>10.8640546798706</v>
      </c>
    </row>
    <row r="143" spans="1:17" ht="16.5" x14ac:dyDescent="0.3">
      <c r="A143" s="13" t="str">
        <f>Data!C141</f>
        <v>Vehicle 1</v>
      </c>
      <c r="B143" s="14">
        <f>Data!A141</f>
        <v>43586.532488425903</v>
      </c>
      <c r="C143" s="15" t="str">
        <f>Data!B141</f>
        <v>PowerCompliance</v>
      </c>
      <c r="D143" s="15" t="str">
        <f t="shared" si="16"/>
        <v>Power</v>
      </c>
      <c r="E143" s="15" t="str">
        <f t="shared" si="17"/>
        <v>Vehicle 1 Power Diagnostic</v>
      </c>
      <c r="F143" s="15">
        <f t="shared" ca="1" si="19"/>
        <v>1</v>
      </c>
      <c r="G143" s="15" t="str">
        <f t="shared" si="20"/>
        <v>Diagnostic</v>
      </c>
      <c r="H143" s="15" t="str">
        <f t="shared" ca="1" si="18"/>
        <v>Cleared</v>
      </c>
      <c r="I143" s="15" t="str">
        <f>Data!M141</f>
        <v>Diagnostic</v>
      </c>
      <c r="J143" s="15" t="b">
        <f t="shared" ca="1" si="21"/>
        <v>0</v>
      </c>
      <c r="K143" s="15" t="b">
        <f t="shared" ca="1" si="22"/>
        <v>0</v>
      </c>
      <c r="L143" s="15" t="b">
        <f t="shared" si="23"/>
        <v>0</v>
      </c>
      <c r="M143" s="16" t="str">
        <f>Data!I141</f>
        <v>Long</v>
      </c>
      <c r="N143" s="16" t="str">
        <f>Data!J141</f>
        <v>Lat</v>
      </c>
      <c r="O143" s="15" t="str">
        <f>Data!K141</f>
        <v>Approximate Location</v>
      </c>
      <c r="P143" s="17">
        <f>Data!G141</f>
        <v>12753.755859375</v>
      </c>
      <c r="Q143" s="34">
        <f>Data!H141</f>
        <v>1.2427424080669899E-3</v>
      </c>
    </row>
    <row r="144" spans="1:17" ht="16.5" x14ac:dyDescent="0.3">
      <c r="A144" s="13" t="str">
        <f>Data!C142</f>
        <v>Vehicle 1</v>
      </c>
      <c r="B144" s="14">
        <f>Data!A142</f>
        <v>43586.5328240741</v>
      </c>
      <c r="C144" s="15" t="str">
        <f>Data!B142</f>
        <v>PowerCompliance</v>
      </c>
      <c r="D144" s="15" t="str">
        <f t="shared" si="16"/>
        <v>Power</v>
      </c>
      <c r="E144" s="15" t="str">
        <f t="shared" si="17"/>
        <v>Vehicle 1 Power Diagnostic</v>
      </c>
      <c r="F144" s="15">
        <f t="shared" ca="1" si="19"/>
        <v>55</v>
      </c>
      <c r="G144" s="15" t="str">
        <f t="shared" si="20"/>
        <v>Diagnostic</v>
      </c>
      <c r="H144" s="15" t="str">
        <f t="shared" ca="1" si="18"/>
        <v>Cleared</v>
      </c>
      <c r="I144" s="15" t="str">
        <f>Data!M142</f>
        <v>SystemDiagnosticClearDriving</v>
      </c>
      <c r="J144" s="15" t="b">
        <f t="shared" ca="1" si="21"/>
        <v>0</v>
      </c>
      <c r="K144" s="15" t="b">
        <f t="shared" ca="1" si="22"/>
        <v>0</v>
      </c>
      <c r="L144" s="15" t="b">
        <f t="shared" si="23"/>
        <v>0</v>
      </c>
      <c r="M144" s="16" t="str">
        <f>Data!I142</f>
        <v>Long</v>
      </c>
      <c r="N144" s="16" t="str">
        <f>Data!J142</f>
        <v>Lat</v>
      </c>
      <c r="O144" s="15" t="str">
        <f>Data!K142</f>
        <v>Approximate Location</v>
      </c>
      <c r="P144" s="17">
        <f>Data!G142</f>
        <v>12753.7578125</v>
      </c>
      <c r="Q144" s="34">
        <f>Data!H142</f>
        <v>13.9497842788696</v>
      </c>
    </row>
    <row r="145" spans="1:17" ht="16.5" x14ac:dyDescent="0.3">
      <c r="A145" s="13" t="str">
        <f>Data!C143</f>
        <v>Vehicle 4</v>
      </c>
      <c r="B145" s="14">
        <f>Data!A143</f>
        <v>43586.557835648098</v>
      </c>
      <c r="C145" s="15" t="str">
        <f>Data!B143</f>
        <v>UnidentifiedDrivingCompliance</v>
      </c>
      <c r="D145" s="15" t="str">
        <f t="shared" si="16"/>
        <v>Unidentified Driving</v>
      </c>
      <c r="E145" s="15" t="str">
        <f t="shared" si="17"/>
        <v>Vehicle 4 Unidentified Driving Diagnostic</v>
      </c>
      <c r="F145" s="15">
        <f t="shared" ca="1" si="19"/>
        <v>6</v>
      </c>
      <c r="G145" s="15" t="str">
        <f t="shared" si="20"/>
        <v>Diagnostic</v>
      </c>
      <c r="H145" s="15" t="str">
        <f t="shared" ca="1" si="18"/>
        <v>Active</v>
      </c>
      <c r="I145" s="15" t="str">
        <f>Data!M143</f>
        <v>Diagnostic</v>
      </c>
      <c r="J145" s="15" t="b">
        <f t="shared" ca="1" si="21"/>
        <v>0</v>
      </c>
      <c r="K145" s="15" t="b">
        <f t="shared" ca="1" si="22"/>
        <v>1</v>
      </c>
      <c r="L145" s="15" t="b">
        <f t="shared" si="23"/>
        <v>0</v>
      </c>
      <c r="M145" s="16" t="str">
        <f>Data!I143</f>
        <v>Long</v>
      </c>
      <c r="N145" s="16" t="str">
        <f>Data!J143</f>
        <v>Lat</v>
      </c>
      <c r="O145" s="15" t="str">
        <f>Data!K143</f>
        <v>Approximate Location</v>
      </c>
      <c r="P145" s="17">
        <f>Data!G143</f>
        <v>60789.6796875</v>
      </c>
      <c r="Q145" s="34">
        <f>Data!H143</f>
        <v>8.9079780578613299</v>
      </c>
    </row>
    <row r="146" spans="1:17" ht="16.5" x14ac:dyDescent="0.3">
      <c r="A146" s="13" t="str">
        <f>Data!C144</f>
        <v>Vehicle 7</v>
      </c>
      <c r="B146" s="14">
        <f>Data!A144</f>
        <v>43586.668930520798</v>
      </c>
      <c r="C146" s="15" t="str">
        <f>Data!B144</f>
        <v>DataTransferCompliance</v>
      </c>
      <c r="D146" s="15" t="str">
        <f t="shared" si="16"/>
        <v>Data Transfer</v>
      </c>
      <c r="E146" s="15" t="str">
        <f t="shared" si="17"/>
        <v>Vehicle 7 Data Transfer Diagnostic</v>
      </c>
      <c r="F146" s="15">
        <f t="shared" ca="1" si="19"/>
        <v>31</v>
      </c>
      <c r="G146" s="15" t="str">
        <f t="shared" si="20"/>
        <v>Diagnostic</v>
      </c>
      <c r="H146" s="15" t="str">
        <f t="shared" ca="1" si="18"/>
        <v>Cleared</v>
      </c>
      <c r="I146" s="15" t="str">
        <f>Data!M144</f>
        <v>SystemDiagnosticClear</v>
      </c>
      <c r="J146" s="15" t="b">
        <f t="shared" ca="1" si="21"/>
        <v>0</v>
      </c>
      <c r="K146" s="15" t="b">
        <f t="shared" ca="1" si="22"/>
        <v>0</v>
      </c>
      <c r="L146" s="15" t="b">
        <f t="shared" si="23"/>
        <v>0</v>
      </c>
      <c r="M146" s="16" t="str">
        <f>Data!I144</f>
        <v>Long</v>
      </c>
      <c r="N146" s="16" t="str">
        <f>Data!J144</f>
        <v>Lat</v>
      </c>
      <c r="O146" s="15" t="str">
        <f>Data!K144</f>
        <v>Approximate Location</v>
      </c>
      <c r="P146" s="17">
        <f>Data!G144</f>
        <v>17189.349609375</v>
      </c>
      <c r="Q146" s="34">
        <f>Data!H144</f>
        <v>158.94551086425801</v>
      </c>
    </row>
    <row r="147" spans="1:17" ht="16.5" x14ac:dyDescent="0.3">
      <c r="A147" s="13" t="str">
        <f>Data!C145</f>
        <v>Vehicle 1</v>
      </c>
      <c r="B147" s="14">
        <f>Data!A145</f>
        <v>43587.258425925902</v>
      </c>
      <c r="C147" s="15" t="str">
        <f>Data!B145</f>
        <v>UnidentifiedDrivingCompliance</v>
      </c>
      <c r="D147" s="15" t="str">
        <f t="shared" si="16"/>
        <v>Unidentified Driving</v>
      </c>
      <c r="E147" s="15" t="str">
        <f t="shared" si="17"/>
        <v>Vehicle 1 Unidentified Driving Diagnostic</v>
      </c>
      <c r="F147" s="15">
        <f t="shared" ca="1" si="19"/>
        <v>13</v>
      </c>
      <c r="G147" s="15" t="str">
        <f t="shared" si="20"/>
        <v>Diagnostic</v>
      </c>
      <c r="H147" s="15" t="str">
        <f t="shared" ca="1" si="18"/>
        <v>Active</v>
      </c>
      <c r="I147" s="15" t="str">
        <f>Data!M145</f>
        <v>Diagnostic</v>
      </c>
      <c r="J147" s="15" t="b">
        <f t="shared" ca="1" si="21"/>
        <v>0</v>
      </c>
      <c r="K147" s="15" t="b">
        <f t="shared" ca="1" si="22"/>
        <v>1</v>
      </c>
      <c r="L147" s="15" t="b">
        <f t="shared" si="23"/>
        <v>0</v>
      </c>
      <c r="M147" s="16" t="str">
        <f>Data!I145</f>
        <v>Long</v>
      </c>
      <c r="N147" s="16" t="str">
        <f>Data!J145</f>
        <v>Lat</v>
      </c>
      <c r="O147" s="15" t="str">
        <f>Data!K145</f>
        <v>Approximate Location</v>
      </c>
      <c r="P147" s="17">
        <f>Data!G145</f>
        <v>12767.70703125</v>
      </c>
      <c r="Q147" s="34">
        <f>Data!H145</f>
        <v>31.378004074096701</v>
      </c>
    </row>
    <row r="148" spans="1:17" ht="16.5" x14ac:dyDescent="0.3">
      <c r="A148" s="13" t="str">
        <f>Data!C146</f>
        <v>Vehicle 6</v>
      </c>
      <c r="B148" s="14">
        <f>Data!A146</f>
        <v>43587.293460648201</v>
      </c>
      <c r="C148" s="15" t="str">
        <f>Data!B146</f>
        <v>UnidentifiedDrivingCompliance</v>
      </c>
      <c r="D148" s="15" t="str">
        <f t="shared" si="16"/>
        <v>Unidentified Driving</v>
      </c>
      <c r="E148" s="15" t="str">
        <f t="shared" si="17"/>
        <v>Vehicle 6 Unidentified Driving Diagnostic</v>
      </c>
      <c r="F148" s="15">
        <f t="shared" ca="1" si="19"/>
        <v>4</v>
      </c>
      <c r="G148" s="15" t="str">
        <f t="shared" si="20"/>
        <v>Diagnostic</v>
      </c>
      <c r="H148" s="15" t="str">
        <f t="shared" ca="1" si="18"/>
        <v>Active</v>
      </c>
      <c r="I148" s="15" t="str">
        <f>Data!M146</f>
        <v>Diagnostic</v>
      </c>
      <c r="J148" s="15" t="b">
        <f t="shared" ca="1" si="21"/>
        <v>0</v>
      </c>
      <c r="K148" s="15" t="b">
        <f t="shared" ca="1" si="22"/>
        <v>1</v>
      </c>
      <c r="L148" s="15" t="b">
        <f t="shared" si="23"/>
        <v>0</v>
      </c>
      <c r="M148" s="16" t="str">
        <f>Data!I146</f>
        <v>Long</v>
      </c>
      <c r="N148" s="16" t="str">
        <f>Data!J146</f>
        <v>Lat</v>
      </c>
      <c r="O148" s="15" t="str">
        <f>Data!K146</f>
        <v>Approximate Location</v>
      </c>
      <c r="P148" s="17">
        <f>Data!G146</f>
        <v>119367.5</v>
      </c>
      <c r="Q148" s="34">
        <f>Data!H146</f>
        <v>47.214271545410199</v>
      </c>
    </row>
    <row r="149" spans="1:17" ht="16.5" x14ac:dyDescent="0.3">
      <c r="A149" s="13" t="str">
        <f>Data!C147</f>
        <v>Vehicle 2</v>
      </c>
      <c r="B149" s="14">
        <f>Data!A147</f>
        <v>43587.370957719897</v>
      </c>
      <c r="C149" s="15" t="str">
        <f>Data!B147</f>
        <v>UnidentifiedDrivingCompliance</v>
      </c>
      <c r="D149" s="15" t="str">
        <f t="shared" si="16"/>
        <v>Unidentified Driving</v>
      </c>
      <c r="E149" s="15" t="str">
        <f t="shared" si="17"/>
        <v>Vehicle 2 Unidentified Driving Diagnostic</v>
      </c>
      <c r="F149" s="15">
        <f t="shared" ca="1" si="19"/>
        <v>4</v>
      </c>
      <c r="G149" s="15" t="str">
        <f t="shared" si="20"/>
        <v>Diagnostic</v>
      </c>
      <c r="H149" s="15" t="str">
        <f t="shared" ca="1" si="18"/>
        <v>Active</v>
      </c>
      <c r="I149" s="15" t="str">
        <f>Data!M147</f>
        <v>Diagnostic</v>
      </c>
      <c r="J149" s="15" t="b">
        <f t="shared" ca="1" si="21"/>
        <v>0</v>
      </c>
      <c r="K149" s="15" t="b">
        <f t="shared" ca="1" si="22"/>
        <v>1</v>
      </c>
      <c r="L149" s="15" t="b">
        <f t="shared" si="23"/>
        <v>0</v>
      </c>
      <c r="M149" s="16" t="str">
        <f>Data!I147</f>
        <v>Long</v>
      </c>
      <c r="N149" s="16" t="str">
        <f>Data!J147</f>
        <v>Lat</v>
      </c>
      <c r="O149" s="15" t="str">
        <f>Data!K147</f>
        <v>Approximate Location</v>
      </c>
      <c r="P149" s="17">
        <f>Data!G147</f>
        <v>3411.05200195312</v>
      </c>
      <c r="Q149" s="34">
        <f>Data!H147</f>
        <v>37.808010101318402</v>
      </c>
    </row>
    <row r="150" spans="1:17" ht="16.5" x14ac:dyDescent="0.3">
      <c r="A150" s="13" t="str">
        <f>Data!C148</f>
        <v>Vehicle 8</v>
      </c>
      <c r="B150" s="14">
        <f>Data!A148</f>
        <v>43587.468541053197</v>
      </c>
      <c r="C150" s="15" t="str">
        <f>Data!B148</f>
        <v>DataTransferCompliance</v>
      </c>
      <c r="D150" s="15" t="str">
        <f t="shared" si="16"/>
        <v>Data Transfer</v>
      </c>
      <c r="E150" s="15" t="str">
        <f t="shared" si="17"/>
        <v>Vehicle 8 Data Transfer Diagnostic</v>
      </c>
      <c r="F150" s="15">
        <f t="shared" ca="1" si="19"/>
        <v>14</v>
      </c>
      <c r="G150" s="15" t="str">
        <f t="shared" si="20"/>
        <v>Diagnostic</v>
      </c>
      <c r="H150" s="15" t="str">
        <f t="shared" ca="1" si="18"/>
        <v>Cleared</v>
      </c>
      <c r="I150" s="15" t="str">
        <f>Data!M148</f>
        <v>SystemDiagnosticClear</v>
      </c>
      <c r="J150" s="15" t="b">
        <f t="shared" ca="1" si="21"/>
        <v>0</v>
      </c>
      <c r="K150" s="15" t="b">
        <f t="shared" ca="1" si="22"/>
        <v>0</v>
      </c>
      <c r="L150" s="15" t="b">
        <f t="shared" si="23"/>
        <v>0</v>
      </c>
      <c r="M150" s="16" t="str">
        <f>Data!I148</f>
        <v>Long</v>
      </c>
      <c r="N150" s="16" t="str">
        <f>Data!J148</f>
        <v>Lat</v>
      </c>
      <c r="O150" s="15" t="str">
        <f>Data!K148</f>
        <v>Approximate Location</v>
      </c>
      <c r="P150" s="17">
        <f>Data!G148</f>
        <v>67169.875</v>
      </c>
      <c r="Q150" s="34">
        <f>Data!H148</f>
        <v>21.126621246337901</v>
      </c>
    </row>
    <row r="151" spans="1:17" ht="16.5" x14ac:dyDescent="0.3">
      <c r="A151" s="13" t="str">
        <f>Data!C149</f>
        <v>Vehicle 4</v>
      </c>
      <c r="B151" s="14">
        <f>Data!A149</f>
        <v>43587.558136574102</v>
      </c>
      <c r="C151" s="15" t="str">
        <f>Data!B149</f>
        <v>UnidentifiedDrivingCompliance</v>
      </c>
      <c r="D151" s="15" t="str">
        <f t="shared" si="16"/>
        <v>Unidentified Driving</v>
      </c>
      <c r="E151" s="15" t="str">
        <f t="shared" si="17"/>
        <v>Vehicle 4 Unidentified Driving Diagnostic</v>
      </c>
      <c r="F151" s="15">
        <f t="shared" ca="1" si="19"/>
        <v>8</v>
      </c>
      <c r="G151" s="15" t="str">
        <f t="shared" si="20"/>
        <v>Diagnostic</v>
      </c>
      <c r="H151" s="15" t="str">
        <f t="shared" ca="1" si="18"/>
        <v>Active</v>
      </c>
      <c r="I151" s="15" t="str">
        <f>Data!M149</f>
        <v>Diagnostic</v>
      </c>
      <c r="J151" s="15" t="b">
        <f t="shared" ca="1" si="21"/>
        <v>0</v>
      </c>
      <c r="K151" s="15" t="b">
        <f t="shared" ca="1" si="22"/>
        <v>1</v>
      </c>
      <c r="L151" s="15" t="b">
        <f t="shared" si="23"/>
        <v>0</v>
      </c>
      <c r="M151" s="16" t="str">
        <f>Data!I149</f>
        <v>Long</v>
      </c>
      <c r="N151" s="16" t="str">
        <f>Data!J149</f>
        <v>Lat</v>
      </c>
      <c r="O151" s="15" t="str">
        <f>Data!K149</f>
        <v>Approximate Location</v>
      </c>
      <c r="P151" s="17">
        <f>Data!G149</f>
        <v>60798.58984375</v>
      </c>
      <c r="Q151" s="34">
        <f>Data!H149</f>
        <v>9.9071426391601598</v>
      </c>
    </row>
    <row r="152" spans="1:17" ht="16.5" x14ac:dyDescent="0.3">
      <c r="A152" s="13" t="str">
        <f>Data!C150</f>
        <v>Vehicle 6</v>
      </c>
      <c r="B152" s="14">
        <f>Data!A150</f>
        <v>43588.287465277797</v>
      </c>
      <c r="C152" s="15" t="str">
        <f>Data!B150</f>
        <v>UnidentifiedDrivingCompliance</v>
      </c>
      <c r="D152" s="15" t="str">
        <f t="shared" si="16"/>
        <v>Unidentified Driving</v>
      </c>
      <c r="E152" s="15" t="str">
        <f t="shared" si="17"/>
        <v>Vehicle 6 Unidentified Driving Diagnostic</v>
      </c>
      <c r="F152" s="15">
        <f t="shared" ca="1" si="19"/>
        <v>11</v>
      </c>
      <c r="G152" s="15" t="str">
        <f t="shared" si="20"/>
        <v>Diagnostic</v>
      </c>
      <c r="H152" s="15" t="str">
        <f t="shared" ca="1" si="18"/>
        <v>Active</v>
      </c>
      <c r="I152" s="15" t="str">
        <f>Data!M150</f>
        <v>Diagnostic</v>
      </c>
      <c r="J152" s="15" t="b">
        <f t="shared" ca="1" si="21"/>
        <v>0</v>
      </c>
      <c r="K152" s="15" t="b">
        <f t="shared" ca="1" si="22"/>
        <v>1</v>
      </c>
      <c r="L152" s="15" t="b">
        <f t="shared" si="23"/>
        <v>0</v>
      </c>
      <c r="M152" s="16" t="str">
        <f>Data!I150</f>
        <v>Long</v>
      </c>
      <c r="N152" s="16" t="str">
        <f>Data!J150</f>
        <v>Lat</v>
      </c>
      <c r="O152" s="15" t="str">
        <f>Data!K150</f>
        <v>Approximate Location</v>
      </c>
      <c r="P152" s="17">
        <f>Data!G150</f>
        <v>119414.7109375</v>
      </c>
      <c r="Q152" s="34">
        <f>Data!H150</f>
        <v>68.380661010742202</v>
      </c>
    </row>
    <row r="153" spans="1:17" ht="16.5" x14ac:dyDescent="0.3">
      <c r="A153" s="13" t="str">
        <f>Data!C151</f>
        <v>Vehicle 2</v>
      </c>
      <c r="B153" s="14">
        <f>Data!A151</f>
        <v>43588.333888888897</v>
      </c>
      <c r="C153" s="15" t="str">
        <f>Data!B151</f>
        <v>UnidentifiedDrivingCompliance</v>
      </c>
      <c r="D153" s="15" t="str">
        <f t="shared" si="16"/>
        <v>Unidentified Driving</v>
      </c>
      <c r="E153" s="15" t="str">
        <f t="shared" si="17"/>
        <v>Vehicle 2 Unidentified Driving Diagnostic</v>
      </c>
      <c r="F153" s="15">
        <f t="shared" ca="1" si="19"/>
        <v>8</v>
      </c>
      <c r="G153" s="15" t="str">
        <f t="shared" si="20"/>
        <v>Diagnostic</v>
      </c>
      <c r="H153" s="15" t="str">
        <f t="shared" ca="1" si="18"/>
        <v>Active</v>
      </c>
      <c r="I153" s="15" t="str">
        <f>Data!M151</f>
        <v>Diagnostic</v>
      </c>
      <c r="J153" s="15" t="b">
        <f t="shared" ca="1" si="21"/>
        <v>0</v>
      </c>
      <c r="K153" s="15" t="b">
        <f t="shared" ca="1" si="22"/>
        <v>1</v>
      </c>
      <c r="L153" s="15" t="b">
        <f t="shared" si="23"/>
        <v>0</v>
      </c>
      <c r="M153" s="16" t="str">
        <f>Data!I151</f>
        <v>Long</v>
      </c>
      <c r="N153" s="16" t="str">
        <f>Data!J151</f>
        <v>Lat</v>
      </c>
      <c r="O153" s="15" t="str">
        <f>Data!K151</f>
        <v>Approximate Location</v>
      </c>
      <c r="P153" s="17">
        <f>Data!G151</f>
        <v>3448.86010742188</v>
      </c>
      <c r="Q153" s="34">
        <f>Data!H151</f>
        <v>57.640235900878899</v>
      </c>
    </row>
    <row r="154" spans="1:17" ht="16.5" x14ac:dyDescent="0.3">
      <c r="A154" s="13" t="str">
        <f>Data!C152</f>
        <v>Vehicle 12</v>
      </c>
      <c r="B154" s="14">
        <f>Data!A152</f>
        <v>43588.361867361098</v>
      </c>
      <c r="C154" s="15" t="str">
        <f>Data!B152</f>
        <v>DataTransferCompliance</v>
      </c>
      <c r="D154" s="15" t="str">
        <f t="shared" si="16"/>
        <v>Data Transfer</v>
      </c>
      <c r="E154" s="15" t="str">
        <f t="shared" si="17"/>
        <v>Vehicle 12 Data Transfer Diagnostic</v>
      </c>
      <c r="F154" s="15" t="e">
        <f t="shared" ca="1" si="19"/>
        <v>#N/A</v>
      </c>
      <c r="G154" s="15" t="str">
        <f t="shared" si="20"/>
        <v>Diagnostic</v>
      </c>
      <c r="H154" s="15" t="str">
        <f t="shared" ca="1" si="18"/>
        <v>Cleared</v>
      </c>
      <c r="I154" s="15" t="str">
        <f>Data!M152</f>
        <v>SystemDiagnosticClear</v>
      </c>
      <c r="J154" s="15" t="b">
        <f t="shared" ca="1" si="21"/>
        <v>1</v>
      </c>
      <c r="K154" s="15" t="b">
        <f t="shared" ca="1" si="22"/>
        <v>0</v>
      </c>
      <c r="L154" s="15" t="b">
        <f t="shared" si="23"/>
        <v>0</v>
      </c>
      <c r="M154" s="16" t="str">
        <f>Data!I152</f>
        <v>Long</v>
      </c>
      <c r="N154" s="16" t="str">
        <f>Data!J152</f>
        <v>Lat</v>
      </c>
      <c r="O154" s="15" t="str">
        <f>Data!K152</f>
        <v>Approximate Location</v>
      </c>
      <c r="P154" s="17">
        <f>Data!G152</f>
        <v>107497.21875</v>
      </c>
      <c r="Q154" s="34">
        <f>Data!H152</f>
        <v>0</v>
      </c>
    </row>
    <row r="155" spans="1:17" ht="16.5" x14ac:dyDescent="0.3">
      <c r="A155" s="13" t="str">
        <f>Data!C153</f>
        <v>Vehicle 9</v>
      </c>
      <c r="B155" s="14">
        <f>Data!A153</f>
        <v>43588.365304247702</v>
      </c>
      <c r="C155" s="15" t="str">
        <f>Data!B153</f>
        <v>DataTransferCompliance</v>
      </c>
      <c r="D155" s="15" t="str">
        <f t="shared" si="16"/>
        <v>Data Transfer</v>
      </c>
      <c r="E155" s="15" t="str">
        <f t="shared" si="17"/>
        <v>Vehicle 9 Data Transfer Diagnostic</v>
      </c>
      <c r="F155" s="15">
        <f t="shared" ca="1" si="19"/>
        <v>10</v>
      </c>
      <c r="G155" s="15" t="str">
        <f t="shared" si="20"/>
        <v>Diagnostic</v>
      </c>
      <c r="H155" s="15" t="str">
        <f t="shared" ca="1" si="18"/>
        <v>Cleared</v>
      </c>
      <c r="I155" s="15" t="str">
        <f>Data!M153</f>
        <v>SystemDiagnosticClear</v>
      </c>
      <c r="J155" s="15" t="b">
        <f t="shared" ca="1" si="21"/>
        <v>0</v>
      </c>
      <c r="K155" s="15" t="b">
        <f t="shared" ca="1" si="22"/>
        <v>0</v>
      </c>
      <c r="L155" s="15" t="b">
        <f t="shared" si="23"/>
        <v>0</v>
      </c>
      <c r="M155" s="16" t="str">
        <f>Data!I153</f>
        <v>Long</v>
      </c>
      <c r="N155" s="16" t="str">
        <f>Data!J153</f>
        <v>Lat</v>
      </c>
      <c r="O155" s="15" t="str">
        <f>Data!K153</f>
        <v>Approximate Location</v>
      </c>
      <c r="P155" s="17">
        <f>Data!G153</f>
        <v>0</v>
      </c>
      <c r="Q155" s="34">
        <f>Data!H153</f>
        <v>0</v>
      </c>
    </row>
    <row r="156" spans="1:17" ht="16.5" x14ac:dyDescent="0.3">
      <c r="A156" s="13" t="str">
        <f>Data!C154</f>
        <v>Vehicle 5</v>
      </c>
      <c r="B156" s="14">
        <f>Data!A154</f>
        <v>43588.536229085701</v>
      </c>
      <c r="C156" s="15" t="str">
        <f>Data!B154</f>
        <v>DataTransferCompliance</v>
      </c>
      <c r="D156" s="15" t="str">
        <f t="shared" si="16"/>
        <v>Data Transfer</v>
      </c>
      <c r="E156" s="15" t="str">
        <f t="shared" si="17"/>
        <v>Vehicle 5 Data Transfer Diagnostic</v>
      </c>
      <c r="F156" s="15">
        <f t="shared" ca="1" si="19"/>
        <v>1</v>
      </c>
      <c r="G156" s="15" t="str">
        <f t="shared" si="20"/>
        <v>Diagnostic</v>
      </c>
      <c r="H156" s="15" t="str">
        <f t="shared" ca="1" si="18"/>
        <v>Cleared</v>
      </c>
      <c r="I156" s="15" t="str">
        <f>Data!M154</f>
        <v>SystemDiagnosticClear</v>
      </c>
      <c r="J156" s="15" t="b">
        <f t="shared" ca="1" si="21"/>
        <v>0</v>
      </c>
      <c r="K156" s="15" t="b">
        <f t="shared" ca="1" si="22"/>
        <v>0</v>
      </c>
      <c r="L156" s="15" t="b">
        <f t="shared" si="23"/>
        <v>0</v>
      </c>
      <c r="M156" s="16" t="str">
        <f>Data!I154</f>
        <v>Long</v>
      </c>
      <c r="N156" s="16" t="str">
        <f>Data!J154</f>
        <v>Lat</v>
      </c>
      <c r="O156" s="15" t="str">
        <f>Data!K154</f>
        <v>Approximate Location</v>
      </c>
      <c r="P156" s="17">
        <f>Data!G154</f>
        <v>82414.828125</v>
      </c>
      <c r="Q156" s="34">
        <f>Data!H154</f>
        <v>0</v>
      </c>
    </row>
    <row r="157" spans="1:17" ht="16.5" x14ac:dyDescent="0.3">
      <c r="A157" s="13" t="str">
        <f>Data!C155</f>
        <v>Vehicle 5</v>
      </c>
      <c r="B157" s="14">
        <f>Data!A155</f>
        <v>43588.536234293999</v>
      </c>
      <c r="C157" s="15" t="str">
        <f>Data!B155</f>
        <v>DataTransferCompliance</v>
      </c>
      <c r="D157" s="15" t="str">
        <f t="shared" si="16"/>
        <v>Data Transfer</v>
      </c>
      <c r="E157" s="15" t="str">
        <f t="shared" si="17"/>
        <v>Vehicle 5 Data Transfer Diagnostic</v>
      </c>
      <c r="F157" s="15" t="e">
        <f t="shared" ca="1" si="19"/>
        <v>#N/A</v>
      </c>
      <c r="G157" s="15" t="str">
        <f t="shared" si="20"/>
        <v>Diagnostic</v>
      </c>
      <c r="H157" s="15" t="str">
        <f t="shared" ca="1" si="18"/>
        <v>Cleared</v>
      </c>
      <c r="I157" s="15" t="str">
        <f>Data!M155</f>
        <v>SystemDiagnosticClear</v>
      </c>
      <c r="J157" s="15" t="b">
        <f t="shared" ca="1" si="21"/>
        <v>1</v>
      </c>
      <c r="K157" s="15" t="b">
        <f t="shared" ca="1" si="22"/>
        <v>0</v>
      </c>
      <c r="L157" s="15" t="b">
        <f t="shared" si="23"/>
        <v>0</v>
      </c>
      <c r="M157" s="16" t="str">
        <f>Data!I155</f>
        <v>Long</v>
      </c>
      <c r="N157" s="16" t="str">
        <f>Data!J155</f>
        <v>Lat</v>
      </c>
      <c r="O157" s="15" t="str">
        <f>Data!K155</f>
        <v>Approximate Location</v>
      </c>
      <c r="P157" s="17">
        <f>Data!G155</f>
        <v>82414.828125</v>
      </c>
      <c r="Q157" s="34">
        <f>Data!H155</f>
        <v>23.537542343139599</v>
      </c>
    </row>
    <row r="158" spans="1:17" ht="16.5" x14ac:dyDescent="0.3">
      <c r="A158" s="13" t="str">
        <f>Data!C156</f>
        <v>Vehicle 10</v>
      </c>
      <c r="B158" s="14">
        <f>Data!A156</f>
        <v>43588.537453703699</v>
      </c>
      <c r="C158" s="15" t="str">
        <f>Data!B156</f>
        <v>UnidentifiedDrivingCompliance</v>
      </c>
      <c r="D158" s="15" t="str">
        <f t="shared" si="16"/>
        <v>Unidentified Driving</v>
      </c>
      <c r="E158" s="15" t="str">
        <f t="shared" si="17"/>
        <v>Vehicle 10 Unidentified Driving Diagnostic</v>
      </c>
      <c r="F158" s="15">
        <f t="shared" ca="1" si="19"/>
        <v>4</v>
      </c>
      <c r="G158" s="15" t="str">
        <f t="shared" si="20"/>
        <v>Diagnostic</v>
      </c>
      <c r="H158" s="15" t="str">
        <f t="shared" ca="1" si="18"/>
        <v>Active</v>
      </c>
      <c r="I158" s="15" t="str">
        <f>Data!M156</f>
        <v>Diagnostic</v>
      </c>
      <c r="J158" s="15" t="b">
        <f t="shared" ca="1" si="21"/>
        <v>0</v>
      </c>
      <c r="K158" s="15" t="b">
        <f t="shared" ca="1" si="22"/>
        <v>1</v>
      </c>
      <c r="L158" s="15" t="b">
        <f t="shared" si="23"/>
        <v>0</v>
      </c>
      <c r="M158" s="16" t="str">
        <f>Data!I156</f>
        <v>Long</v>
      </c>
      <c r="N158" s="16" t="str">
        <f>Data!J156</f>
        <v>Lat</v>
      </c>
      <c r="O158" s="15" t="str">
        <f>Data!K156</f>
        <v>Approximate Location</v>
      </c>
      <c r="P158" s="17">
        <f>Data!G156</f>
        <v>93295.84375</v>
      </c>
      <c r="Q158" s="34">
        <f>Data!H156</f>
        <v>15.2509355545044</v>
      </c>
    </row>
    <row r="159" spans="1:17" ht="16.5" x14ac:dyDescent="0.3">
      <c r="A159" s="13" t="str">
        <f>Data!C157</f>
        <v>Vehicle 4</v>
      </c>
      <c r="B159" s="14">
        <f>Data!A157</f>
        <v>43588.554317129601</v>
      </c>
      <c r="C159" s="15" t="str">
        <f>Data!B157</f>
        <v>UnidentifiedDrivingCompliance</v>
      </c>
      <c r="D159" s="15" t="str">
        <f t="shared" si="16"/>
        <v>Unidentified Driving</v>
      </c>
      <c r="E159" s="15" t="str">
        <f t="shared" si="17"/>
        <v>Vehicle 4 Unidentified Driving Diagnostic</v>
      </c>
      <c r="F159" s="15">
        <f t="shared" ca="1" si="19"/>
        <v>8</v>
      </c>
      <c r="G159" s="15" t="str">
        <f t="shared" si="20"/>
        <v>Diagnostic</v>
      </c>
      <c r="H159" s="15" t="str">
        <f t="shared" ca="1" si="18"/>
        <v>Active</v>
      </c>
      <c r="I159" s="15" t="str">
        <f>Data!M157</f>
        <v>Diagnostic</v>
      </c>
      <c r="J159" s="15" t="b">
        <f t="shared" ca="1" si="21"/>
        <v>0</v>
      </c>
      <c r="K159" s="15" t="b">
        <f t="shared" ca="1" si="22"/>
        <v>1</v>
      </c>
      <c r="L159" s="15" t="b">
        <f t="shared" si="23"/>
        <v>0</v>
      </c>
      <c r="M159" s="16" t="str">
        <f>Data!I157</f>
        <v>Long</v>
      </c>
      <c r="N159" s="16" t="str">
        <f>Data!J157</f>
        <v>Lat</v>
      </c>
      <c r="O159" s="15" t="str">
        <f>Data!K157</f>
        <v>Approximate Location</v>
      </c>
      <c r="P159" s="17">
        <f>Data!G157</f>
        <v>60808.49609375</v>
      </c>
      <c r="Q159" s="34">
        <f>Data!H157</f>
        <v>6.94433689117432</v>
      </c>
    </row>
    <row r="160" spans="1:17" ht="16.5" x14ac:dyDescent="0.3">
      <c r="A160" s="13" t="str">
        <f>Data!C158</f>
        <v>Vehicle 1</v>
      </c>
      <c r="B160" s="14">
        <f>Data!A158</f>
        <v>43588.5936111111</v>
      </c>
      <c r="C160" s="15" t="str">
        <f>Data!B158</f>
        <v>UnidentifiedDrivingCompliance</v>
      </c>
      <c r="D160" s="15" t="str">
        <f t="shared" si="16"/>
        <v>Unidentified Driving</v>
      </c>
      <c r="E160" s="15" t="str">
        <f t="shared" si="17"/>
        <v>Vehicle 1 Unidentified Driving Diagnostic</v>
      </c>
      <c r="F160" s="15">
        <f t="shared" ca="1" si="19"/>
        <v>6</v>
      </c>
      <c r="G160" s="15" t="str">
        <f t="shared" si="20"/>
        <v>Diagnostic</v>
      </c>
      <c r="H160" s="15" t="str">
        <f t="shared" ca="1" si="18"/>
        <v>Active</v>
      </c>
      <c r="I160" s="15" t="str">
        <f>Data!M158</f>
        <v>Diagnostic</v>
      </c>
      <c r="J160" s="15" t="b">
        <f t="shared" ca="1" si="21"/>
        <v>0</v>
      </c>
      <c r="K160" s="15" t="b">
        <f t="shared" ca="1" si="22"/>
        <v>1</v>
      </c>
      <c r="L160" s="15" t="b">
        <f t="shared" si="23"/>
        <v>0</v>
      </c>
      <c r="M160" s="16" t="str">
        <f>Data!I158</f>
        <v>Long</v>
      </c>
      <c r="N160" s="16" t="str">
        <f>Data!J158</f>
        <v>Lat</v>
      </c>
      <c r="O160" s="15" t="str">
        <f>Data!K158</f>
        <v>Approximate Location</v>
      </c>
      <c r="P160" s="17">
        <f>Data!G158</f>
        <v>12799.0849609375</v>
      </c>
      <c r="Q160" s="34">
        <f>Data!H158</f>
        <v>34.363071441650398</v>
      </c>
    </row>
    <row r="161" spans="1:17" ht="16.5" x14ac:dyDescent="0.3">
      <c r="A161" s="13" t="str">
        <f>Data!C159</f>
        <v>Vehicle 2</v>
      </c>
      <c r="B161" s="14">
        <f>Data!A159</f>
        <v>43589.184176655101</v>
      </c>
      <c r="C161" s="15" t="str">
        <f>Data!B159</f>
        <v>UnidentifiedDrivingCompliance</v>
      </c>
      <c r="D161" s="15" t="str">
        <f t="shared" si="16"/>
        <v>Unidentified Driving</v>
      </c>
      <c r="E161" s="15" t="str">
        <f t="shared" si="17"/>
        <v>Vehicle 2 Unidentified Driving Diagnostic</v>
      </c>
      <c r="F161" s="15">
        <f t="shared" ca="1" si="19"/>
        <v>7</v>
      </c>
      <c r="G161" s="15" t="str">
        <f t="shared" si="20"/>
        <v>Diagnostic</v>
      </c>
      <c r="H161" s="15" t="str">
        <f t="shared" ca="1" si="18"/>
        <v>Active</v>
      </c>
      <c r="I161" s="15" t="str">
        <f>Data!M159</f>
        <v>Diagnostic</v>
      </c>
      <c r="J161" s="15" t="b">
        <f t="shared" ca="1" si="21"/>
        <v>0</v>
      </c>
      <c r="K161" s="15" t="b">
        <f t="shared" ca="1" si="22"/>
        <v>1</v>
      </c>
      <c r="L161" s="15" t="b">
        <f t="shared" si="23"/>
        <v>0</v>
      </c>
      <c r="M161" s="16" t="str">
        <f>Data!I159</f>
        <v>Long</v>
      </c>
      <c r="N161" s="16" t="str">
        <f>Data!J159</f>
        <v>Lat</v>
      </c>
      <c r="O161" s="15" t="str">
        <f>Data!K159</f>
        <v>Approximate Location</v>
      </c>
      <c r="P161" s="17">
        <f>Data!G159</f>
        <v>3506.50024414062</v>
      </c>
      <c r="Q161" s="34">
        <f>Data!H159</f>
        <v>106.999954223633</v>
      </c>
    </row>
    <row r="162" spans="1:17" ht="16.5" x14ac:dyDescent="0.3">
      <c r="A162" s="13" t="str">
        <f>Data!C160</f>
        <v>Vehicle 10</v>
      </c>
      <c r="B162" s="14">
        <f>Data!A160</f>
        <v>43589.380370370403</v>
      </c>
      <c r="C162" s="15" t="str">
        <f>Data!B160</f>
        <v>UnidentifiedDrivingCompliance</v>
      </c>
      <c r="D162" s="15" t="str">
        <f t="shared" si="16"/>
        <v>Unidentified Driving</v>
      </c>
      <c r="E162" s="15" t="str">
        <f t="shared" si="17"/>
        <v>Vehicle 10 Unidentified Driving Diagnostic</v>
      </c>
      <c r="F162" s="15">
        <f t="shared" ca="1" si="19"/>
        <v>9</v>
      </c>
      <c r="G162" s="15" t="str">
        <f t="shared" si="20"/>
        <v>Diagnostic</v>
      </c>
      <c r="H162" s="15" t="str">
        <f t="shared" ca="1" si="18"/>
        <v>Active</v>
      </c>
      <c r="I162" s="15" t="str">
        <f>Data!M160</f>
        <v>Diagnostic</v>
      </c>
      <c r="J162" s="15" t="b">
        <f t="shared" ca="1" si="21"/>
        <v>0</v>
      </c>
      <c r="K162" s="15" t="b">
        <f t="shared" ca="1" si="22"/>
        <v>1</v>
      </c>
      <c r="L162" s="15" t="b">
        <f t="shared" si="23"/>
        <v>0</v>
      </c>
      <c r="M162" s="16" t="str">
        <f>Data!I160</f>
        <v>Long</v>
      </c>
      <c r="N162" s="16" t="str">
        <f>Data!J160</f>
        <v>Lat</v>
      </c>
      <c r="O162" s="15" t="str">
        <f>Data!K160</f>
        <v>Approximate Location</v>
      </c>
      <c r="P162" s="17">
        <f>Data!G160</f>
        <v>93311.09375</v>
      </c>
      <c r="Q162" s="34">
        <f>Data!H160</f>
        <v>109.271858215332</v>
      </c>
    </row>
    <row r="163" spans="1:17" ht="16.5" x14ac:dyDescent="0.3">
      <c r="A163" s="13" t="str">
        <f>Data!C161</f>
        <v>Vehicle 6</v>
      </c>
      <c r="B163" s="14">
        <f>Data!A161</f>
        <v>43589.407210648104</v>
      </c>
      <c r="C163" s="15" t="str">
        <f>Data!B161</f>
        <v>UnidentifiedDrivingCompliance</v>
      </c>
      <c r="D163" s="15" t="str">
        <f t="shared" si="16"/>
        <v>Unidentified Driving</v>
      </c>
      <c r="E163" s="15" t="str">
        <f t="shared" si="17"/>
        <v>Vehicle 6 Unidentified Driving Diagnostic</v>
      </c>
      <c r="F163" s="15">
        <f t="shared" ca="1" si="19"/>
        <v>7</v>
      </c>
      <c r="G163" s="15" t="str">
        <f t="shared" si="20"/>
        <v>Diagnostic</v>
      </c>
      <c r="H163" s="15" t="str">
        <f t="shared" ca="1" si="18"/>
        <v>Active</v>
      </c>
      <c r="I163" s="15" t="str">
        <f>Data!M161</f>
        <v>Diagnostic</v>
      </c>
      <c r="J163" s="15" t="b">
        <f t="shared" ca="1" si="21"/>
        <v>0</v>
      </c>
      <c r="K163" s="15" t="b">
        <f t="shared" ca="1" si="22"/>
        <v>1</v>
      </c>
      <c r="L163" s="15" t="b">
        <f t="shared" si="23"/>
        <v>0</v>
      </c>
      <c r="M163" s="16" t="str">
        <f>Data!I161</f>
        <v>Long</v>
      </c>
      <c r="N163" s="16" t="str">
        <f>Data!J161</f>
        <v>Lat</v>
      </c>
      <c r="O163" s="15" t="str">
        <f>Data!K161</f>
        <v>Approximate Location</v>
      </c>
      <c r="P163" s="17">
        <f>Data!G161</f>
        <v>119483.09375</v>
      </c>
      <c r="Q163" s="34">
        <f>Data!H161</f>
        <v>25.023860931396499</v>
      </c>
    </row>
    <row r="164" spans="1:17" ht="16.5" x14ac:dyDescent="0.3">
      <c r="A164" s="13" t="str">
        <f>Data!C162</f>
        <v>Vehicle 8</v>
      </c>
      <c r="B164" s="14">
        <f>Data!A162</f>
        <v>43589.428846446797</v>
      </c>
      <c r="C164" s="15" t="str">
        <f>Data!B162</f>
        <v>DataTransferCompliance</v>
      </c>
      <c r="D164" s="15" t="str">
        <f t="shared" si="16"/>
        <v>Data Transfer</v>
      </c>
      <c r="E164" s="15" t="str">
        <f t="shared" si="17"/>
        <v>Vehicle 8 Data Transfer Diagnostic</v>
      </c>
      <c r="F164" s="15">
        <f t="shared" ca="1" si="19"/>
        <v>22</v>
      </c>
      <c r="G164" s="15" t="str">
        <f t="shared" si="20"/>
        <v>Diagnostic</v>
      </c>
      <c r="H164" s="15" t="str">
        <f t="shared" ca="1" si="18"/>
        <v>Cleared</v>
      </c>
      <c r="I164" s="15" t="str">
        <f>Data!M162</f>
        <v>SystemDiagnosticClear</v>
      </c>
      <c r="J164" s="15" t="b">
        <f t="shared" ca="1" si="21"/>
        <v>0</v>
      </c>
      <c r="K164" s="15" t="b">
        <f t="shared" ca="1" si="22"/>
        <v>0</v>
      </c>
      <c r="L164" s="15" t="b">
        <f t="shared" si="23"/>
        <v>0</v>
      </c>
      <c r="M164" s="16" t="str">
        <f>Data!I162</f>
        <v>Long</v>
      </c>
      <c r="N164" s="16" t="str">
        <f>Data!J162</f>
        <v>Lat</v>
      </c>
      <c r="O164" s="15" t="str">
        <f>Data!K162</f>
        <v>Approximate Location</v>
      </c>
      <c r="P164" s="17">
        <f>Data!G162</f>
        <v>67191</v>
      </c>
      <c r="Q164" s="34">
        <f>Data!H162</f>
        <v>1.24274241924286</v>
      </c>
    </row>
    <row r="165" spans="1:17" ht="16.5" x14ac:dyDescent="0.3">
      <c r="A165" s="13" t="str">
        <f>Data!C163</f>
        <v>Vehicle 9</v>
      </c>
      <c r="B165" s="14">
        <f>Data!A163</f>
        <v>43589.557631631898</v>
      </c>
      <c r="C165" s="15" t="str">
        <f>Data!B163</f>
        <v>DataTransferCompliance</v>
      </c>
      <c r="D165" s="15" t="str">
        <f t="shared" si="16"/>
        <v>Data Transfer</v>
      </c>
      <c r="E165" s="15" t="str">
        <f t="shared" si="17"/>
        <v>Vehicle 9 Data Transfer Diagnostic</v>
      </c>
      <c r="F165" s="15">
        <f t="shared" ca="1" si="19"/>
        <v>65</v>
      </c>
      <c r="G165" s="15" t="str">
        <f t="shared" si="20"/>
        <v>Diagnostic</v>
      </c>
      <c r="H165" s="15" t="str">
        <f t="shared" ca="1" si="18"/>
        <v>Cleared</v>
      </c>
      <c r="I165" s="15" t="str">
        <f>Data!M163</f>
        <v>SystemDiagnosticClear</v>
      </c>
      <c r="J165" s="15" t="b">
        <f t="shared" ca="1" si="21"/>
        <v>0</v>
      </c>
      <c r="K165" s="15" t="b">
        <f t="shared" ca="1" si="22"/>
        <v>0</v>
      </c>
      <c r="L165" s="15" t="b">
        <f t="shared" si="23"/>
        <v>0</v>
      </c>
      <c r="M165" s="16" t="str">
        <f>Data!I163</f>
        <v>Long</v>
      </c>
      <c r="N165" s="16" t="str">
        <f>Data!J163</f>
        <v>Lat</v>
      </c>
      <c r="O165" s="15" t="str">
        <f>Data!K163</f>
        <v>Approximate Location</v>
      </c>
      <c r="P165" s="17">
        <f>Data!G163</f>
        <v>0</v>
      </c>
      <c r="Q165" s="34">
        <f>Data!H163</f>
        <v>0</v>
      </c>
    </row>
    <row r="166" spans="1:17" ht="16.5" x14ac:dyDescent="0.3">
      <c r="A166" s="13" t="str">
        <f>Data!C164</f>
        <v>Vehicle 1</v>
      </c>
      <c r="B166" s="14">
        <f>Data!A164</f>
        <v>43589.669837963003</v>
      </c>
      <c r="C166" s="15" t="str">
        <f>Data!B164</f>
        <v>UnidentifiedDrivingCompliance</v>
      </c>
      <c r="D166" s="15" t="str">
        <f t="shared" si="16"/>
        <v>Unidentified Driving</v>
      </c>
      <c r="E166" s="15" t="str">
        <f t="shared" si="17"/>
        <v>Vehicle 1 Unidentified Driving Diagnostic</v>
      </c>
      <c r="F166" s="15">
        <f t="shared" ca="1" si="19"/>
        <v>12</v>
      </c>
      <c r="G166" s="15" t="str">
        <f t="shared" si="20"/>
        <v>Diagnostic</v>
      </c>
      <c r="H166" s="15" t="str">
        <f t="shared" ca="1" si="18"/>
        <v>Active</v>
      </c>
      <c r="I166" s="15" t="str">
        <f>Data!M164</f>
        <v>Diagnostic</v>
      </c>
      <c r="J166" s="15" t="b">
        <f t="shared" ca="1" si="21"/>
        <v>0</v>
      </c>
      <c r="K166" s="15" t="b">
        <f t="shared" ca="1" si="22"/>
        <v>1</v>
      </c>
      <c r="L166" s="15" t="b">
        <f t="shared" si="23"/>
        <v>0</v>
      </c>
      <c r="M166" s="16" t="str">
        <f>Data!I164</f>
        <v>Long</v>
      </c>
      <c r="N166" s="16" t="str">
        <f>Data!J164</f>
        <v>Lat</v>
      </c>
      <c r="O166" s="15" t="str">
        <f>Data!K164</f>
        <v>Approximate Location</v>
      </c>
      <c r="P166" s="17">
        <f>Data!G164</f>
        <v>12833.4482421875</v>
      </c>
      <c r="Q166" s="34">
        <f>Data!H164</f>
        <v>15.5790195465088</v>
      </c>
    </row>
    <row r="167" spans="1:17" ht="16.5" x14ac:dyDescent="0.3">
      <c r="A167" s="13" t="str">
        <f>Data!C165</f>
        <v>Vehicle 4</v>
      </c>
      <c r="B167" s="14">
        <f>Data!A165</f>
        <v>43589.706145833297</v>
      </c>
      <c r="C167" s="15" t="str">
        <f>Data!B165</f>
        <v>UnidentifiedDrivingCompliance</v>
      </c>
      <c r="D167" s="15" t="str">
        <f t="shared" si="16"/>
        <v>Unidentified Driving</v>
      </c>
      <c r="E167" s="15" t="str">
        <f t="shared" si="17"/>
        <v>Vehicle 4 Unidentified Driving Diagnostic</v>
      </c>
      <c r="F167" s="15">
        <f t="shared" ca="1" si="19"/>
        <v>2</v>
      </c>
      <c r="G167" s="15" t="str">
        <f t="shared" si="20"/>
        <v>Diagnostic</v>
      </c>
      <c r="H167" s="15" t="str">
        <f t="shared" ca="1" si="18"/>
        <v>Active</v>
      </c>
      <c r="I167" s="15" t="str">
        <f>Data!M165</f>
        <v>Diagnostic</v>
      </c>
      <c r="J167" s="15" t="b">
        <f t="shared" ca="1" si="21"/>
        <v>0</v>
      </c>
      <c r="K167" s="15" t="b">
        <f t="shared" ca="1" si="22"/>
        <v>1</v>
      </c>
      <c r="L167" s="15" t="b">
        <f t="shared" si="23"/>
        <v>0</v>
      </c>
      <c r="M167" s="16" t="str">
        <f>Data!I165</f>
        <v>Long</v>
      </c>
      <c r="N167" s="16" t="str">
        <f>Data!J165</f>
        <v>Lat</v>
      </c>
      <c r="O167" s="15" t="str">
        <f>Data!K165</f>
        <v>Approximate Location</v>
      </c>
      <c r="P167" s="17">
        <f>Data!G165</f>
        <v>60815.44140625</v>
      </c>
      <c r="Q167" s="34">
        <f>Data!H165</f>
        <v>44.684154510497997</v>
      </c>
    </row>
    <row r="168" spans="1:17" ht="16.5" x14ac:dyDescent="0.3">
      <c r="A168" s="13" t="str">
        <f>Data!C166</f>
        <v>Vehicle 2</v>
      </c>
      <c r="B168" s="14">
        <f>Data!A166</f>
        <v>43589.792336493098</v>
      </c>
      <c r="C168" s="15" t="str">
        <f>Data!B166</f>
        <v>UnidentifiedDrivingCompliance</v>
      </c>
      <c r="D168" s="15" t="str">
        <f t="shared" si="16"/>
        <v>Unidentified Driving</v>
      </c>
      <c r="E168" s="15" t="str">
        <f t="shared" si="17"/>
        <v>Vehicle 2 Unidentified Driving Diagnostic</v>
      </c>
      <c r="F168" s="15">
        <f t="shared" ca="1" si="19"/>
        <v>8</v>
      </c>
      <c r="G168" s="15" t="str">
        <f t="shared" si="20"/>
        <v>Diagnostic</v>
      </c>
      <c r="H168" s="15" t="str">
        <f t="shared" ca="1" si="18"/>
        <v>Active</v>
      </c>
      <c r="I168" s="15" t="str">
        <f>Data!M166</f>
        <v>Diagnostic</v>
      </c>
      <c r="J168" s="15" t="b">
        <f t="shared" ca="1" si="21"/>
        <v>0</v>
      </c>
      <c r="K168" s="15" t="b">
        <f t="shared" ca="1" si="22"/>
        <v>1</v>
      </c>
      <c r="L168" s="15" t="b">
        <f t="shared" si="23"/>
        <v>0</v>
      </c>
      <c r="M168" s="16" t="str">
        <f>Data!I166</f>
        <v>Long</v>
      </c>
      <c r="N168" s="16" t="str">
        <f>Data!J166</f>
        <v>Lat</v>
      </c>
      <c r="O168" s="15" t="str">
        <f>Data!K166</f>
        <v>Approximate Location</v>
      </c>
      <c r="P168" s="17">
        <f>Data!G166</f>
        <v>3613.50024414062</v>
      </c>
      <c r="Q168" s="34">
        <f>Data!H166</f>
        <v>57.678878784179702</v>
      </c>
    </row>
    <row r="169" spans="1:17" ht="16.5" x14ac:dyDescent="0.3">
      <c r="A169" s="13" t="str">
        <f>Data!C167</f>
        <v>Vehicle 4</v>
      </c>
      <c r="B169" s="14">
        <f>Data!A167</f>
        <v>43589.904328703698</v>
      </c>
      <c r="C169" s="15" t="str">
        <f>Data!B167</f>
        <v>UnidentifiedDrivingCompliance</v>
      </c>
      <c r="D169" s="15" t="str">
        <f t="shared" si="16"/>
        <v>Unidentified Driving</v>
      </c>
      <c r="E169" s="15" t="str">
        <f t="shared" si="17"/>
        <v>Vehicle 4 Unidentified Driving Diagnostic</v>
      </c>
      <c r="F169" s="15">
        <f t="shared" ca="1" si="19"/>
        <v>4</v>
      </c>
      <c r="G169" s="15" t="str">
        <f t="shared" si="20"/>
        <v>Diagnostic</v>
      </c>
      <c r="H169" s="15" t="str">
        <f t="shared" ca="1" si="18"/>
        <v>Active</v>
      </c>
      <c r="I169" s="15" t="str">
        <f>Data!M167</f>
        <v>Diagnostic</v>
      </c>
      <c r="J169" s="15" t="b">
        <f t="shared" ca="1" si="21"/>
        <v>0</v>
      </c>
      <c r="K169" s="15" t="b">
        <f t="shared" ca="1" si="22"/>
        <v>1</v>
      </c>
      <c r="L169" s="15" t="b">
        <f t="shared" si="23"/>
        <v>0</v>
      </c>
      <c r="M169" s="16" t="str">
        <f>Data!I167</f>
        <v>Long</v>
      </c>
      <c r="N169" s="16" t="str">
        <f>Data!J167</f>
        <v>Lat</v>
      </c>
      <c r="O169" s="15" t="str">
        <f>Data!K167</f>
        <v>Approximate Location</v>
      </c>
      <c r="P169" s="17">
        <f>Data!G167</f>
        <v>60860.125</v>
      </c>
      <c r="Q169" s="34">
        <f>Data!H167</f>
        <v>27.176292419433601</v>
      </c>
    </row>
    <row r="170" spans="1:17" ht="16.5" x14ac:dyDescent="0.3">
      <c r="A170" s="13" t="str">
        <f>Data!C168</f>
        <v>Vehicle 6</v>
      </c>
      <c r="B170" s="14">
        <f>Data!A168</f>
        <v>43589.915000000001</v>
      </c>
      <c r="C170" s="15" t="str">
        <f>Data!B168</f>
        <v>UnidentifiedDrivingCompliance</v>
      </c>
      <c r="D170" s="15" t="str">
        <f t="shared" si="16"/>
        <v>Unidentified Driving</v>
      </c>
      <c r="E170" s="15" t="str">
        <f t="shared" si="17"/>
        <v>Vehicle 6 Unidentified Driving Diagnostic</v>
      </c>
      <c r="F170" s="15">
        <f t="shared" ca="1" si="19"/>
        <v>4</v>
      </c>
      <c r="G170" s="15" t="str">
        <f t="shared" si="20"/>
        <v>Diagnostic</v>
      </c>
      <c r="H170" s="15" t="str">
        <f t="shared" ca="1" si="18"/>
        <v>Active</v>
      </c>
      <c r="I170" s="15" t="str">
        <f>Data!M168</f>
        <v>Diagnostic</v>
      </c>
      <c r="J170" s="15" t="b">
        <f t="shared" ca="1" si="21"/>
        <v>0</v>
      </c>
      <c r="K170" s="15" t="b">
        <f t="shared" ca="1" si="22"/>
        <v>1</v>
      </c>
      <c r="L170" s="15" t="b">
        <f t="shared" si="23"/>
        <v>0</v>
      </c>
      <c r="M170" s="16" t="str">
        <f>Data!I168</f>
        <v>Long</v>
      </c>
      <c r="N170" s="16" t="str">
        <f>Data!J168</f>
        <v>Lat</v>
      </c>
      <c r="O170" s="15" t="str">
        <f>Data!K168</f>
        <v>Approximate Location</v>
      </c>
      <c r="P170" s="17">
        <f>Data!G168</f>
        <v>119508.1171875</v>
      </c>
      <c r="Q170" s="34">
        <f>Data!H168</f>
        <v>57.404758453369098</v>
      </c>
    </row>
    <row r="171" spans="1:17" ht="16.5" x14ac:dyDescent="0.3">
      <c r="A171" s="13" t="str">
        <f>Data!C169</f>
        <v>Vehicle 10</v>
      </c>
      <c r="B171" s="14">
        <f>Data!A169</f>
        <v>43590.350104166697</v>
      </c>
      <c r="C171" s="15" t="str">
        <f>Data!B169</f>
        <v>UnidentifiedDrivingCompliance</v>
      </c>
      <c r="D171" s="15" t="str">
        <f t="shared" si="16"/>
        <v>Unidentified Driving</v>
      </c>
      <c r="E171" s="15" t="str">
        <f t="shared" si="17"/>
        <v>Vehicle 10 Unidentified Driving Diagnostic</v>
      </c>
      <c r="F171" s="15">
        <f t="shared" ca="1" si="19"/>
        <v>4</v>
      </c>
      <c r="G171" s="15" t="str">
        <f t="shared" si="20"/>
        <v>Diagnostic</v>
      </c>
      <c r="H171" s="15" t="str">
        <f t="shared" ca="1" si="18"/>
        <v>Active</v>
      </c>
      <c r="I171" s="15" t="str">
        <f>Data!M169</f>
        <v>Diagnostic</v>
      </c>
      <c r="J171" s="15" t="b">
        <f t="shared" ca="1" si="21"/>
        <v>0</v>
      </c>
      <c r="K171" s="15" t="b">
        <f t="shared" ca="1" si="22"/>
        <v>1</v>
      </c>
      <c r="L171" s="15" t="b">
        <f t="shared" si="23"/>
        <v>0</v>
      </c>
      <c r="M171" s="16" t="str">
        <f>Data!I169</f>
        <v>Long</v>
      </c>
      <c r="N171" s="16" t="str">
        <f>Data!J169</f>
        <v>Lat</v>
      </c>
      <c r="O171" s="15" t="str">
        <f>Data!K169</f>
        <v>Approximate Location</v>
      </c>
      <c r="P171" s="17">
        <f>Data!G169</f>
        <v>93420.3671875</v>
      </c>
      <c r="Q171" s="34">
        <f>Data!H169</f>
        <v>20.261672973632798</v>
      </c>
    </row>
    <row r="172" spans="1:17" ht="16.5" x14ac:dyDescent="0.3">
      <c r="A172" s="13" t="str">
        <f>Data!C170</f>
        <v>Vehicle 5</v>
      </c>
      <c r="B172" s="14">
        <f>Data!A170</f>
        <v>43590.489930555603</v>
      </c>
      <c r="C172" s="15" t="str">
        <f>Data!B170</f>
        <v>UnidentifiedDrivingCompliance</v>
      </c>
      <c r="D172" s="15" t="str">
        <f t="shared" si="16"/>
        <v>Unidentified Driving</v>
      </c>
      <c r="E172" s="15" t="str">
        <f t="shared" si="17"/>
        <v>Vehicle 5 Unidentified Driving Diagnostic</v>
      </c>
      <c r="F172" s="15">
        <f t="shared" ca="1" si="19"/>
        <v>7</v>
      </c>
      <c r="G172" s="15" t="str">
        <f t="shared" si="20"/>
        <v>Diagnostic</v>
      </c>
      <c r="H172" s="15" t="str">
        <f t="shared" ca="1" si="18"/>
        <v>Active</v>
      </c>
      <c r="I172" s="15" t="str">
        <f>Data!M170</f>
        <v>Diagnostic</v>
      </c>
      <c r="J172" s="15" t="b">
        <f t="shared" ca="1" si="21"/>
        <v>0</v>
      </c>
      <c r="K172" s="15" t="b">
        <f t="shared" ca="1" si="22"/>
        <v>1</v>
      </c>
      <c r="L172" s="15" t="b">
        <f t="shared" si="23"/>
        <v>0</v>
      </c>
      <c r="M172" s="16" t="str">
        <f>Data!I170</f>
        <v>Long</v>
      </c>
      <c r="N172" s="16" t="str">
        <f>Data!J170</f>
        <v>Lat</v>
      </c>
      <c r="O172" s="15" t="str">
        <f>Data!K170</f>
        <v>Approximate Location</v>
      </c>
      <c r="P172" s="17">
        <f>Data!G170</f>
        <v>82438.3671875</v>
      </c>
      <c r="Q172" s="34">
        <f>Data!H170</f>
        <v>26.013084411621101</v>
      </c>
    </row>
    <row r="173" spans="1:17" ht="16.5" x14ac:dyDescent="0.3">
      <c r="A173" s="13" t="str">
        <f>Data!C171</f>
        <v>Vehicle 4</v>
      </c>
      <c r="B173" s="14">
        <f>Data!A171</f>
        <v>43590.7507175926</v>
      </c>
      <c r="C173" s="15" t="str">
        <f>Data!B171</f>
        <v>UnidentifiedDrivingCompliance</v>
      </c>
      <c r="D173" s="15" t="str">
        <f t="shared" si="16"/>
        <v>Unidentified Driving</v>
      </c>
      <c r="E173" s="15" t="str">
        <f t="shared" si="17"/>
        <v>Vehicle 4 Unidentified Driving Diagnostic</v>
      </c>
      <c r="F173" s="15">
        <f t="shared" ca="1" si="19"/>
        <v>8</v>
      </c>
      <c r="G173" s="15" t="str">
        <f t="shared" si="20"/>
        <v>Diagnostic</v>
      </c>
      <c r="H173" s="15" t="str">
        <f t="shared" ca="1" si="18"/>
        <v>Active</v>
      </c>
      <c r="I173" s="15" t="str">
        <f>Data!M171</f>
        <v>Diagnostic</v>
      </c>
      <c r="J173" s="15" t="b">
        <f t="shared" ca="1" si="21"/>
        <v>0</v>
      </c>
      <c r="K173" s="15" t="b">
        <f t="shared" ca="1" si="22"/>
        <v>1</v>
      </c>
      <c r="L173" s="15" t="b">
        <f t="shared" si="23"/>
        <v>0</v>
      </c>
      <c r="M173" s="16" t="str">
        <f>Data!I171</f>
        <v>Long</v>
      </c>
      <c r="N173" s="16" t="str">
        <f>Data!J171</f>
        <v>Lat</v>
      </c>
      <c r="O173" s="15" t="str">
        <f>Data!K171</f>
        <v>Approximate Location</v>
      </c>
      <c r="P173" s="17">
        <f>Data!G171</f>
        <v>60887.30078125</v>
      </c>
      <c r="Q173" s="34">
        <f>Data!H171</f>
        <v>43.157958984375</v>
      </c>
    </row>
    <row r="174" spans="1:17" ht="16.5" x14ac:dyDescent="0.3">
      <c r="A174" s="13" t="str">
        <f>Data!C172</f>
        <v>Vehicle 6</v>
      </c>
      <c r="B174" s="14">
        <f>Data!A172</f>
        <v>43591.287499999999</v>
      </c>
      <c r="C174" s="15" t="str">
        <f>Data!B172</f>
        <v>UnidentifiedDrivingCompliance</v>
      </c>
      <c r="D174" s="15" t="str">
        <f t="shared" si="16"/>
        <v>Unidentified Driving</v>
      </c>
      <c r="E174" s="15" t="str">
        <f t="shared" si="17"/>
        <v>Vehicle 6 Unidentified Driving Diagnostic</v>
      </c>
      <c r="F174" s="15">
        <f t="shared" ca="1" si="19"/>
        <v>6</v>
      </c>
      <c r="G174" s="15" t="str">
        <f t="shared" si="20"/>
        <v>Diagnostic</v>
      </c>
      <c r="H174" s="15" t="str">
        <f t="shared" ca="1" si="18"/>
        <v>Active</v>
      </c>
      <c r="I174" s="15" t="str">
        <f>Data!M172</f>
        <v>Diagnostic</v>
      </c>
      <c r="J174" s="15" t="b">
        <f t="shared" ca="1" si="21"/>
        <v>0</v>
      </c>
      <c r="K174" s="15" t="b">
        <f t="shared" ca="1" si="22"/>
        <v>1</v>
      </c>
      <c r="L174" s="15" t="b">
        <f t="shared" si="23"/>
        <v>0</v>
      </c>
      <c r="M174" s="16" t="str">
        <f>Data!I172</f>
        <v>Long</v>
      </c>
      <c r="N174" s="16" t="str">
        <f>Data!J172</f>
        <v>Lat</v>
      </c>
      <c r="O174" s="15" t="str">
        <f>Data!K172</f>
        <v>Approximate Location</v>
      </c>
      <c r="P174" s="17">
        <f>Data!G172</f>
        <v>119565.5234375</v>
      </c>
      <c r="Q174" s="34">
        <f>Data!H172</f>
        <v>24.934385299682599</v>
      </c>
    </row>
    <row r="175" spans="1:17" ht="16.5" x14ac:dyDescent="0.3">
      <c r="A175" s="13" t="str">
        <f>Data!C173</f>
        <v>Vehicle 10</v>
      </c>
      <c r="B175" s="14">
        <f>Data!A173</f>
        <v>43591.401377314804</v>
      </c>
      <c r="C175" s="15" t="str">
        <f>Data!B173</f>
        <v>UnidentifiedDrivingCompliance</v>
      </c>
      <c r="D175" s="15" t="str">
        <f t="shared" si="16"/>
        <v>Unidentified Driving</v>
      </c>
      <c r="E175" s="15" t="str">
        <f t="shared" si="17"/>
        <v>Vehicle 10 Unidentified Driving Diagnostic</v>
      </c>
      <c r="F175" s="15">
        <f t="shared" ca="1" si="19"/>
        <v>7</v>
      </c>
      <c r="G175" s="15" t="str">
        <f t="shared" si="20"/>
        <v>Diagnostic</v>
      </c>
      <c r="H175" s="15" t="str">
        <f t="shared" ca="1" si="18"/>
        <v>Active</v>
      </c>
      <c r="I175" s="15" t="str">
        <f>Data!M173</f>
        <v>Diagnostic</v>
      </c>
      <c r="J175" s="15" t="b">
        <f t="shared" ca="1" si="21"/>
        <v>0</v>
      </c>
      <c r="K175" s="15" t="b">
        <f t="shared" ca="1" si="22"/>
        <v>1</v>
      </c>
      <c r="L175" s="15" t="b">
        <f t="shared" si="23"/>
        <v>0</v>
      </c>
      <c r="M175" s="16" t="str">
        <f>Data!I173</f>
        <v>Long</v>
      </c>
      <c r="N175" s="16" t="str">
        <f>Data!J173</f>
        <v>Lat</v>
      </c>
      <c r="O175" s="15" t="str">
        <f>Data!K173</f>
        <v>Approximate Location</v>
      </c>
      <c r="P175" s="17">
        <f>Data!G173</f>
        <v>93440.6328125</v>
      </c>
      <c r="Q175" s="34">
        <f>Data!H173</f>
        <v>27.8970832824707</v>
      </c>
    </row>
    <row r="176" spans="1:17" ht="16.5" x14ac:dyDescent="0.3">
      <c r="A176" s="13" t="str">
        <f>Data!C174</f>
        <v>Vehicle 2</v>
      </c>
      <c r="B176" s="14">
        <f>Data!A174</f>
        <v>43591.467498530103</v>
      </c>
      <c r="C176" s="15" t="str">
        <f>Data!B174</f>
        <v>UnidentifiedDrivingCompliance</v>
      </c>
      <c r="D176" s="15" t="str">
        <f t="shared" si="16"/>
        <v>Unidentified Driving</v>
      </c>
      <c r="E176" s="15" t="str">
        <f t="shared" si="17"/>
        <v>Vehicle 2 Unidentified Driving Diagnostic</v>
      </c>
      <c r="F176" s="15">
        <f t="shared" ca="1" si="19"/>
        <v>9</v>
      </c>
      <c r="G176" s="15" t="str">
        <f t="shared" si="20"/>
        <v>Diagnostic</v>
      </c>
      <c r="H176" s="15" t="str">
        <f t="shared" ca="1" si="18"/>
        <v>Active</v>
      </c>
      <c r="I176" s="15" t="str">
        <f>Data!M174</f>
        <v>Diagnostic</v>
      </c>
      <c r="J176" s="15" t="b">
        <f t="shared" ca="1" si="21"/>
        <v>0</v>
      </c>
      <c r="K176" s="15" t="b">
        <f t="shared" ca="1" si="22"/>
        <v>1</v>
      </c>
      <c r="L176" s="15" t="b">
        <f t="shared" si="23"/>
        <v>0</v>
      </c>
      <c r="M176" s="16" t="str">
        <f>Data!I174</f>
        <v>Long</v>
      </c>
      <c r="N176" s="16" t="str">
        <f>Data!J174</f>
        <v>Lat</v>
      </c>
      <c r="O176" s="15" t="str">
        <f>Data!K174</f>
        <v>Approximate Location</v>
      </c>
      <c r="P176" s="17">
        <f>Data!G174</f>
        <v>3671.17919921875</v>
      </c>
      <c r="Q176" s="34">
        <f>Data!H174</f>
        <v>14.7346487045288</v>
      </c>
    </row>
    <row r="177" spans="1:17" ht="16.5" x14ac:dyDescent="0.3">
      <c r="A177" s="13" t="str">
        <f>Data!C175</f>
        <v>Vehicle 7</v>
      </c>
      <c r="B177" s="14">
        <f>Data!A175</f>
        <v>43591.590174421297</v>
      </c>
      <c r="C177" s="15" t="str">
        <f>Data!B175</f>
        <v>DataTransferCompliance</v>
      </c>
      <c r="D177" s="15" t="str">
        <f t="shared" si="16"/>
        <v>Data Transfer</v>
      </c>
      <c r="E177" s="15" t="str">
        <f t="shared" si="17"/>
        <v>Vehicle 7 Data Transfer Diagnostic</v>
      </c>
      <c r="F177" s="15">
        <f t="shared" ca="1" si="19"/>
        <v>30</v>
      </c>
      <c r="G177" s="15" t="str">
        <f t="shared" si="20"/>
        <v>Diagnostic</v>
      </c>
      <c r="H177" s="15" t="str">
        <f t="shared" ca="1" si="18"/>
        <v>Cleared</v>
      </c>
      <c r="I177" s="15" t="str">
        <f>Data!M175</f>
        <v>SystemDiagnosticClear</v>
      </c>
      <c r="J177" s="15" t="b">
        <f t="shared" ca="1" si="21"/>
        <v>0</v>
      </c>
      <c r="K177" s="15" t="b">
        <f t="shared" ca="1" si="22"/>
        <v>0</v>
      </c>
      <c r="L177" s="15" t="b">
        <f t="shared" si="23"/>
        <v>0</v>
      </c>
      <c r="M177" s="16" t="str">
        <f>Data!I175</f>
        <v>Long</v>
      </c>
      <c r="N177" s="16" t="str">
        <f>Data!J175</f>
        <v>Lat</v>
      </c>
      <c r="O177" s="15" t="str">
        <f>Data!K175</f>
        <v>Approximate Location</v>
      </c>
      <c r="P177" s="17">
        <f>Data!G175</f>
        <v>17348.294921875</v>
      </c>
      <c r="Q177" s="34">
        <f>Data!H175</f>
        <v>53.277351379394503</v>
      </c>
    </row>
    <row r="178" spans="1:17" ht="16.5" x14ac:dyDescent="0.3">
      <c r="A178" s="13" t="str">
        <f>Data!C176</f>
        <v>Vehicle 1</v>
      </c>
      <c r="B178" s="14">
        <f>Data!A176</f>
        <v>43591.598321759302</v>
      </c>
      <c r="C178" s="15" t="str">
        <f>Data!B176</f>
        <v>UnidentifiedDrivingCompliance</v>
      </c>
      <c r="D178" s="15" t="str">
        <f t="shared" si="16"/>
        <v>Unidentified Driving</v>
      </c>
      <c r="E178" s="15" t="str">
        <f t="shared" si="17"/>
        <v>Vehicle 1 Unidentified Driving Diagnostic</v>
      </c>
      <c r="F178" s="15">
        <f t="shared" ca="1" si="19"/>
        <v>5</v>
      </c>
      <c r="G178" s="15" t="str">
        <f t="shared" si="20"/>
        <v>Diagnostic</v>
      </c>
      <c r="H178" s="15" t="str">
        <f t="shared" ca="1" si="18"/>
        <v>Active</v>
      </c>
      <c r="I178" s="15" t="str">
        <f>Data!M176</f>
        <v>Diagnostic</v>
      </c>
      <c r="J178" s="15" t="b">
        <f t="shared" ca="1" si="21"/>
        <v>0</v>
      </c>
      <c r="K178" s="15" t="b">
        <f t="shared" ca="1" si="22"/>
        <v>1</v>
      </c>
      <c r="L178" s="15" t="b">
        <f t="shared" si="23"/>
        <v>0</v>
      </c>
      <c r="M178" s="16" t="str">
        <f>Data!I176</f>
        <v>Long</v>
      </c>
      <c r="N178" s="16" t="str">
        <f>Data!J176</f>
        <v>Lat</v>
      </c>
      <c r="O178" s="15" t="str">
        <f>Data!K176</f>
        <v>Approximate Location</v>
      </c>
      <c r="P178" s="17">
        <f>Data!G176</f>
        <v>12849.02734375</v>
      </c>
      <c r="Q178" s="34">
        <f>Data!H176</f>
        <v>25.493618011474599</v>
      </c>
    </row>
    <row r="179" spans="1:17" ht="16.5" x14ac:dyDescent="0.3">
      <c r="A179" s="13" t="str">
        <f>Data!C177</f>
        <v>Vehicle 5</v>
      </c>
      <c r="B179" s="14">
        <f>Data!A177</f>
        <v>43591.680798611102</v>
      </c>
      <c r="C179" s="15" t="str">
        <f>Data!B177</f>
        <v>UnidentifiedDrivingCompliance</v>
      </c>
      <c r="D179" s="15" t="str">
        <f t="shared" si="16"/>
        <v>Unidentified Driving</v>
      </c>
      <c r="E179" s="15" t="str">
        <f t="shared" si="17"/>
        <v>Vehicle 5 Unidentified Driving Diagnostic</v>
      </c>
      <c r="F179" s="15">
        <f t="shared" ca="1" si="19"/>
        <v>8</v>
      </c>
      <c r="G179" s="15" t="str">
        <f t="shared" si="20"/>
        <v>Diagnostic</v>
      </c>
      <c r="H179" s="15" t="str">
        <f t="shared" ca="1" si="18"/>
        <v>Active</v>
      </c>
      <c r="I179" s="15" t="str">
        <f>Data!M177</f>
        <v>Diagnostic</v>
      </c>
      <c r="J179" s="15" t="b">
        <f t="shared" ca="1" si="21"/>
        <v>0</v>
      </c>
      <c r="K179" s="15" t="b">
        <f t="shared" ca="1" si="22"/>
        <v>1</v>
      </c>
      <c r="L179" s="15" t="b">
        <f t="shared" si="23"/>
        <v>0</v>
      </c>
      <c r="M179" s="16" t="str">
        <f>Data!I177</f>
        <v>Long</v>
      </c>
      <c r="N179" s="16" t="str">
        <f>Data!J177</f>
        <v>Lat</v>
      </c>
      <c r="O179" s="15" t="str">
        <f>Data!K177</f>
        <v>Approximate Location</v>
      </c>
      <c r="P179" s="17">
        <f>Data!G177</f>
        <v>82464.375</v>
      </c>
      <c r="Q179" s="34">
        <f>Data!H177</f>
        <v>12.8996667861938</v>
      </c>
    </row>
    <row r="180" spans="1:17" ht="16.5" x14ac:dyDescent="0.3">
      <c r="A180" s="13" t="str">
        <f>Data!C178</f>
        <v>Vehicle 6</v>
      </c>
      <c r="B180" s="14">
        <f>Data!A178</f>
        <v>43591.7417824074</v>
      </c>
      <c r="C180" s="15" t="str">
        <f>Data!B178</f>
        <v>UnidentifiedDrivingCompliance</v>
      </c>
      <c r="D180" s="15" t="str">
        <f t="shared" si="16"/>
        <v>Unidentified Driving</v>
      </c>
      <c r="E180" s="15" t="str">
        <f t="shared" si="17"/>
        <v>Vehicle 6 Unidentified Driving Diagnostic</v>
      </c>
      <c r="F180" s="15">
        <f t="shared" ca="1" si="19"/>
        <v>8</v>
      </c>
      <c r="G180" s="15" t="str">
        <f t="shared" si="20"/>
        <v>Diagnostic</v>
      </c>
      <c r="H180" s="15" t="str">
        <f t="shared" ca="1" si="18"/>
        <v>Active</v>
      </c>
      <c r="I180" s="15" t="str">
        <f>Data!M178</f>
        <v>Diagnostic</v>
      </c>
      <c r="J180" s="15" t="b">
        <f t="shared" ca="1" si="21"/>
        <v>0</v>
      </c>
      <c r="K180" s="15" t="b">
        <f t="shared" ca="1" si="22"/>
        <v>1</v>
      </c>
      <c r="L180" s="15" t="b">
        <f t="shared" si="23"/>
        <v>0</v>
      </c>
      <c r="M180" s="16" t="str">
        <f>Data!I178</f>
        <v>Long</v>
      </c>
      <c r="N180" s="16" t="str">
        <f>Data!J178</f>
        <v>Lat</v>
      </c>
      <c r="O180" s="15" t="str">
        <f>Data!K178</f>
        <v>Approximate Location</v>
      </c>
      <c r="P180" s="17">
        <f>Data!G178</f>
        <v>119590.4609375</v>
      </c>
      <c r="Q180" s="34">
        <f>Data!H178</f>
        <v>46.816593170166001</v>
      </c>
    </row>
    <row r="181" spans="1:17" ht="16.5" x14ac:dyDescent="0.3">
      <c r="A181" s="13" t="str">
        <f>Data!C179</f>
        <v>Vehicle 4</v>
      </c>
      <c r="B181" s="14">
        <f>Data!A179</f>
        <v>43591.968414351897</v>
      </c>
      <c r="C181" s="15" t="str">
        <f>Data!B179</f>
        <v>UnidentifiedDrivingCompliance</v>
      </c>
      <c r="D181" s="15" t="str">
        <f t="shared" si="16"/>
        <v>Unidentified Driving</v>
      </c>
      <c r="E181" s="15" t="str">
        <f t="shared" si="17"/>
        <v>Vehicle 4 Unidentified Driving Diagnostic</v>
      </c>
      <c r="F181" s="15">
        <f t="shared" ca="1" si="19"/>
        <v>8</v>
      </c>
      <c r="G181" s="15" t="str">
        <f t="shared" si="20"/>
        <v>Diagnostic</v>
      </c>
      <c r="H181" s="15" t="str">
        <f t="shared" ca="1" si="18"/>
        <v>Active</v>
      </c>
      <c r="I181" s="15" t="str">
        <f>Data!M179</f>
        <v>Diagnostic</v>
      </c>
      <c r="J181" s="15" t="b">
        <f t="shared" ca="1" si="21"/>
        <v>0</v>
      </c>
      <c r="K181" s="15" t="b">
        <f t="shared" ca="1" si="22"/>
        <v>1</v>
      </c>
      <c r="L181" s="15" t="b">
        <f t="shared" si="23"/>
        <v>0</v>
      </c>
      <c r="M181" s="16" t="str">
        <f>Data!I179</f>
        <v>Long</v>
      </c>
      <c r="N181" s="16" t="str">
        <f>Data!J179</f>
        <v>Lat</v>
      </c>
      <c r="O181" s="15" t="str">
        <f>Data!K179</f>
        <v>Approximate Location</v>
      </c>
      <c r="P181" s="17">
        <f>Data!G179</f>
        <v>60930.4609375</v>
      </c>
      <c r="Q181" s="34">
        <f>Data!H179</f>
        <v>14.003221511840801</v>
      </c>
    </row>
    <row r="182" spans="1:17" ht="16.5" x14ac:dyDescent="0.3">
      <c r="A182" s="13" t="str">
        <f>Data!C180</f>
        <v>Vehicle 10</v>
      </c>
      <c r="B182" s="14">
        <f>Data!A180</f>
        <v>43592.210775462998</v>
      </c>
      <c r="C182" s="15" t="str">
        <f>Data!B180</f>
        <v>UnidentifiedDrivingCompliance</v>
      </c>
      <c r="D182" s="15" t="str">
        <f t="shared" si="16"/>
        <v>Unidentified Driving</v>
      </c>
      <c r="E182" s="15" t="str">
        <f t="shared" si="17"/>
        <v>Vehicle 10 Unidentified Driving Diagnostic</v>
      </c>
      <c r="F182" s="15">
        <f t="shared" ca="1" si="19"/>
        <v>28</v>
      </c>
      <c r="G182" s="15" t="str">
        <f t="shared" si="20"/>
        <v>Diagnostic</v>
      </c>
      <c r="H182" s="15" t="str">
        <f t="shared" ca="1" si="18"/>
        <v>Active</v>
      </c>
      <c r="I182" s="15" t="str">
        <f>Data!M180</f>
        <v>Diagnostic</v>
      </c>
      <c r="J182" s="15" t="b">
        <f t="shared" ca="1" si="21"/>
        <v>0</v>
      </c>
      <c r="K182" s="15" t="b">
        <f t="shared" ca="1" si="22"/>
        <v>1</v>
      </c>
      <c r="L182" s="15" t="b">
        <f t="shared" si="23"/>
        <v>0</v>
      </c>
      <c r="M182" s="16" t="str">
        <f>Data!I180</f>
        <v>Long</v>
      </c>
      <c r="N182" s="16" t="str">
        <f>Data!J180</f>
        <v>Lat</v>
      </c>
      <c r="O182" s="15" t="str">
        <f>Data!K180</f>
        <v>Approximate Location</v>
      </c>
      <c r="P182" s="17">
        <f>Data!G180</f>
        <v>93468.53125</v>
      </c>
      <c r="Q182" s="34">
        <f>Data!H180</f>
        <v>25.908695220947301</v>
      </c>
    </row>
    <row r="183" spans="1:17" ht="16.5" x14ac:dyDescent="0.3">
      <c r="A183" s="13" t="str">
        <f>Data!C181</f>
        <v>Vehicle 1</v>
      </c>
      <c r="B183" s="14">
        <f>Data!A181</f>
        <v>43592.269641203697</v>
      </c>
      <c r="C183" s="15" t="str">
        <f>Data!B181</f>
        <v>UnidentifiedDrivingCompliance</v>
      </c>
      <c r="D183" s="15" t="str">
        <f t="shared" si="16"/>
        <v>Unidentified Driving</v>
      </c>
      <c r="E183" s="15" t="str">
        <f t="shared" si="17"/>
        <v>Vehicle 1 Unidentified Driving Diagnostic</v>
      </c>
      <c r="F183" s="15">
        <f t="shared" ca="1" si="19"/>
        <v>28</v>
      </c>
      <c r="G183" s="15" t="str">
        <f t="shared" si="20"/>
        <v>Diagnostic</v>
      </c>
      <c r="H183" s="15" t="str">
        <f t="shared" ca="1" si="18"/>
        <v>Active</v>
      </c>
      <c r="I183" s="15" t="str">
        <f>Data!M181</f>
        <v>Diagnostic</v>
      </c>
      <c r="J183" s="15" t="b">
        <f t="shared" ca="1" si="21"/>
        <v>0</v>
      </c>
      <c r="K183" s="15" t="b">
        <f t="shared" ca="1" si="22"/>
        <v>1</v>
      </c>
      <c r="L183" s="15" t="b">
        <f t="shared" si="23"/>
        <v>0</v>
      </c>
      <c r="M183" s="16" t="str">
        <f>Data!I181</f>
        <v>Long</v>
      </c>
      <c r="N183" s="16" t="str">
        <f>Data!J181</f>
        <v>Lat</v>
      </c>
      <c r="O183" s="15" t="str">
        <f>Data!K181</f>
        <v>Approximate Location</v>
      </c>
      <c r="P183" s="17">
        <f>Data!G181</f>
        <v>12874.5205078125</v>
      </c>
      <c r="Q183" s="34">
        <f>Data!H181</f>
        <v>29.640649795532202</v>
      </c>
    </row>
    <row r="184" spans="1:17" ht="16.5" x14ac:dyDescent="0.3">
      <c r="A184" s="13" t="str">
        <f>Data!C182</f>
        <v>Vehicle 2</v>
      </c>
      <c r="B184" s="14">
        <f>Data!A182</f>
        <v>43592.355816863397</v>
      </c>
      <c r="C184" s="15" t="str">
        <f>Data!B182</f>
        <v>DataTransferCompliance</v>
      </c>
      <c r="D184" s="15" t="str">
        <f t="shared" si="16"/>
        <v>Data Transfer</v>
      </c>
      <c r="E184" s="15" t="str">
        <f t="shared" si="17"/>
        <v>Vehicle 2 Data Transfer Diagnostic</v>
      </c>
      <c r="F184" s="15">
        <f t="shared" ca="1" si="19"/>
        <v>24</v>
      </c>
      <c r="G184" s="15" t="str">
        <f t="shared" si="20"/>
        <v>Diagnostic</v>
      </c>
      <c r="H184" s="15" t="str">
        <f t="shared" ca="1" si="18"/>
        <v>Cleared</v>
      </c>
      <c r="I184" s="15" t="str">
        <f>Data!M182</f>
        <v>SystemDiagnosticClear</v>
      </c>
      <c r="J184" s="15" t="b">
        <f t="shared" ca="1" si="21"/>
        <v>0</v>
      </c>
      <c r="K184" s="15" t="b">
        <f t="shared" ca="1" si="22"/>
        <v>0</v>
      </c>
      <c r="L184" s="15" t="b">
        <f t="shared" si="23"/>
        <v>0</v>
      </c>
      <c r="M184" s="16" t="str">
        <f>Data!I182</f>
        <v>Long</v>
      </c>
      <c r="N184" s="16" t="str">
        <f>Data!J182</f>
        <v>Lat</v>
      </c>
      <c r="O184" s="15" t="str">
        <f>Data!K182</f>
        <v>Approximate Location</v>
      </c>
      <c r="P184" s="17">
        <f>Data!G182</f>
        <v>3685.91381835938</v>
      </c>
      <c r="Q184" s="34">
        <f>Data!H182</f>
        <v>6.8847150802612296</v>
      </c>
    </row>
    <row r="185" spans="1:17" ht="16.5" x14ac:dyDescent="0.3">
      <c r="A185" s="13" t="str">
        <f>Data!C183</f>
        <v>Vehicle 2</v>
      </c>
      <c r="B185" s="14">
        <f>Data!A183</f>
        <v>43592.450528784699</v>
      </c>
      <c r="C185" s="15" t="str">
        <f>Data!B183</f>
        <v>UnidentifiedDrivingCompliance</v>
      </c>
      <c r="D185" s="15" t="str">
        <f t="shared" si="16"/>
        <v>Unidentified Driving</v>
      </c>
      <c r="E185" s="15" t="str">
        <f t="shared" si="17"/>
        <v>Vehicle 2 Unidentified Driving Diagnostic</v>
      </c>
      <c r="F185" s="15" t="e">
        <f t="shared" ca="1" si="19"/>
        <v>#N/A</v>
      </c>
      <c r="G185" s="15" t="str">
        <f t="shared" si="20"/>
        <v>Diagnostic</v>
      </c>
      <c r="H185" s="15" t="str">
        <f t="shared" ca="1" si="18"/>
        <v>Active</v>
      </c>
      <c r="I185" s="15" t="str">
        <f>Data!M183</f>
        <v>Diagnostic</v>
      </c>
      <c r="J185" s="15" t="b">
        <f t="shared" ca="1" si="21"/>
        <v>1</v>
      </c>
      <c r="K185" s="15" t="b">
        <f t="shared" ca="1" si="22"/>
        <v>1</v>
      </c>
      <c r="L185" s="15" t="b">
        <f t="shared" si="23"/>
        <v>0</v>
      </c>
      <c r="M185" s="16" t="str">
        <f>Data!I183</f>
        <v>Long</v>
      </c>
      <c r="N185" s="16" t="str">
        <f>Data!J183</f>
        <v>Lat</v>
      </c>
      <c r="O185" s="15" t="str">
        <f>Data!K183</f>
        <v>Approximate Location</v>
      </c>
      <c r="P185" s="17">
        <f>Data!G183</f>
        <v>3692.79858398438</v>
      </c>
      <c r="Q185" s="34">
        <f>Data!H183</f>
        <v>17.5260925292969</v>
      </c>
    </row>
    <row r="186" spans="1:17" ht="16.5" x14ac:dyDescent="0.3">
      <c r="A186" s="13" t="str">
        <f>Data!C184</f>
        <v>Vehicle 8</v>
      </c>
      <c r="B186" s="14">
        <f>Data!A184</f>
        <v>43592.480508761597</v>
      </c>
      <c r="C186" s="15" t="str">
        <f>Data!B184</f>
        <v>DataTransferCompliance</v>
      </c>
      <c r="D186" s="15" t="str">
        <f t="shared" si="16"/>
        <v>Data Transfer</v>
      </c>
      <c r="E186" s="15" t="str">
        <f t="shared" si="17"/>
        <v>Vehicle 8 Data Transfer Diagnostic</v>
      </c>
      <c r="F186" s="15">
        <f t="shared" ca="1" si="19"/>
        <v>4</v>
      </c>
      <c r="G186" s="15" t="str">
        <f t="shared" si="20"/>
        <v>Diagnostic</v>
      </c>
      <c r="H186" s="15" t="str">
        <f t="shared" ca="1" si="18"/>
        <v>Cleared</v>
      </c>
      <c r="I186" s="15" t="str">
        <f>Data!M184</f>
        <v>Diagnostic</v>
      </c>
      <c r="J186" s="15" t="b">
        <f t="shared" ca="1" si="21"/>
        <v>0</v>
      </c>
      <c r="K186" s="15" t="b">
        <f t="shared" ca="1" si="22"/>
        <v>0</v>
      </c>
      <c r="L186" s="15" t="b">
        <f t="shared" si="23"/>
        <v>0</v>
      </c>
      <c r="M186" s="16" t="str">
        <f>Data!I184</f>
        <v>Long</v>
      </c>
      <c r="N186" s="16" t="str">
        <f>Data!J184</f>
        <v>Lat</v>
      </c>
      <c r="O186" s="15" t="str">
        <f>Data!K184</f>
        <v>Approximate Location</v>
      </c>
      <c r="P186" s="17">
        <f>Data!G184</f>
        <v>67192.2421875</v>
      </c>
      <c r="Q186" s="34">
        <f>Data!H184</f>
        <v>0.621371209621429</v>
      </c>
    </row>
    <row r="187" spans="1:17" ht="16.5" x14ac:dyDescent="0.3">
      <c r="A187" s="13" t="str">
        <f>Data!C185</f>
        <v>Vehicle 5</v>
      </c>
      <c r="B187" s="14">
        <f>Data!A185</f>
        <v>43592.681469907402</v>
      </c>
      <c r="C187" s="15" t="str">
        <f>Data!B185</f>
        <v>UnidentifiedDrivingCompliance</v>
      </c>
      <c r="D187" s="15" t="str">
        <f t="shared" si="16"/>
        <v>Unidentified Driving</v>
      </c>
      <c r="E187" s="15" t="str">
        <f t="shared" si="17"/>
        <v>Vehicle 5 Unidentified Driving Diagnostic</v>
      </c>
      <c r="F187" s="15">
        <f t="shared" ca="1" si="19"/>
        <v>25</v>
      </c>
      <c r="G187" s="15" t="str">
        <f t="shared" si="20"/>
        <v>Diagnostic</v>
      </c>
      <c r="H187" s="15" t="str">
        <f t="shared" ca="1" si="18"/>
        <v>Active</v>
      </c>
      <c r="I187" s="15" t="str">
        <f>Data!M185</f>
        <v>Diagnostic</v>
      </c>
      <c r="J187" s="15" t="b">
        <f t="shared" ca="1" si="21"/>
        <v>0</v>
      </c>
      <c r="K187" s="15" t="b">
        <f t="shared" ca="1" si="22"/>
        <v>1</v>
      </c>
      <c r="L187" s="15" t="b">
        <f t="shared" si="23"/>
        <v>0</v>
      </c>
      <c r="M187" s="16" t="str">
        <f>Data!I185</f>
        <v>Long</v>
      </c>
      <c r="N187" s="16" t="str">
        <f>Data!J185</f>
        <v>Lat</v>
      </c>
      <c r="O187" s="15" t="str">
        <f>Data!K185</f>
        <v>Approximate Location</v>
      </c>
      <c r="P187" s="17">
        <f>Data!G185</f>
        <v>82477.2734375</v>
      </c>
      <c r="Q187" s="34">
        <f>Data!H185</f>
        <v>6.2733640670776403</v>
      </c>
    </row>
    <row r="188" spans="1:17" ht="16.5" x14ac:dyDescent="0.3">
      <c r="A188" s="13" t="str">
        <f>Data!C186</f>
        <v>Vehicle 6</v>
      </c>
      <c r="B188" s="14">
        <f>Data!A186</f>
        <v>43592.758900462999</v>
      </c>
      <c r="C188" s="15" t="str">
        <f>Data!B186</f>
        <v>UnidentifiedDrivingCompliance</v>
      </c>
      <c r="D188" s="15" t="str">
        <f t="shared" si="16"/>
        <v>Unidentified Driving</v>
      </c>
      <c r="E188" s="15" t="str">
        <f t="shared" si="17"/>
        <v>Vehicle 6 Unidentified Driving Diagnostic</v>
      </c>
      <c r="F188" s="15">
        <f t="shared" ca="1" si="19"/>
        <v>25</v>
      </c>
      <c r="G188" s="15" t="str">
        <f t="shared" si="20"/>
        <v>Diagnostic</v>
      </c>
      <c r="H188" s="15" t="str">
        <f t="shared" ca="1" si="18"/>
        <v>Active</v>
      </c>
      <c r="I188" s="15" t="str">
        <f>Data!M186</f>
        <v>Diagnostic</v>
      </c>
      <c r="J188" s="15" t="b">
        <f t="shared" ca="1" si="21"/>
        <v>0</v>
      </c>
      <c r="K188" s="15" t="b">
        <f t="shared" ca="1" si="22"/>
        <v>1</v>
      </c>
      <c r="L188" s="15" t="b">
        <f t="shared" si="23"/>
        <v>0</v>
      </c>
      <c r="M188" s="16" t="str">
        <f>Data!I186</f>
        <v>Long</v>
      </c>
      <c r="N188" s="16" t="str">
        <f>Data!J186</f>
        <v>Lat</v>
      </c>
      <c r="O188" s="15" t="str">
        <f>Data!K186</f>
        <v>Approximate Location</v>
      </c>
      <c r="P188" s="17">
        <f>Data!G186</f>
        <v>119637.2734375</v>
      </c>
      <c r="Q188" s="34">
        <f>Data!H186</f>
        <v>42.243301391601598</v>
      </c>
    </row>
    <row r="189" spans="1:17" ht="16.5" x14ac:dyDescent="0.3">
      <c r="A189" s="13" t="str">
        <f>Data!C187</f>
        <v>Vehicle 4</v>
      </c>
      <c r="B189" s="14">
        <f>Data!A187</f>
        <v>43592.967303240701</v>
      </c>
      <c r="C189" s="15" t="str">
        <f>Data!B187</f>
        <v>UnidentifiedDrivingCompliance</v>
      </c>
      <c r="D189" s="15" t="str">
        <f t="shared" si="16"/>
        <v>Unidentified Driving</v>
      </c>
      <c r="E189" s="15" t="str">
        <f t="shared" si="17"/>
        <v>Vehicle 4 Unidentified Driving Diagnostic</v>
      </c>
      <c r="F189" s="15">
        <f t="shared" ca="1" si="19"/>
        <v>33</v>
      </c>
      <c r="G189" s="15" t="str">
        <f t="shared" si="20"/>
        <v>Diagnostic</v>
      </c>
      <c r="H189" s="15" t="str">
        <f t="shared" ca="1" si="18"/>
        <v>Active</v>
      </c>
      <c r="I189" s="15" t="str">
        <f>Data!M187</f>
        <v>Diagnostic</v>
      </c>
      <c r="J189" s="15" t="b">
        <f t="shared" ca="1" si="21"/>
        <v>0</v>
      </c>
      <c r="K189" s="15" t="b">
        <f t="shared" ca="1" si="22"/>
        <v>1</v>
      </c>
      <c r="L189" s="15" t="b">
        <f t="shared" si="23"/>
        <v>0</v>
      </c>
      <c r="M189" s="16" t="str">
        <f>Data!I187</f>
        <v>Long</v>
      </c>
      <c r="N189" s="16" t="str">
        <f>Data!J187</f>
        <v>Lat</v>
      </c>
      <c r="O189" s="15" t="str">
        <f>Data!K187</f>
        <v>Approximate Location</v>
      </c>
      <c r="P189" s="17">
        <f>Data!G187</f>
        <v>60944.4609375</v>
      </c>
      <c r="Q189" s="34">
        <f>Data!H187</f>
        <v>3.11182713508606</v>
      </c>
    </row>
    <row r="190" spans="1:17" ht="16.5" x14ac:dyDescent="0.3">
      <c r="A190" s="13" t="str">
        <f>Data!C188</f>
        <v>Vehicle 8</v>
      </c>
      <c r="B190" s="14">
        <f>Data!A188</f>
        <v>43593.333201539397</v>
      </c>
      <c r="C190" s="15" t="str">
        <f>Data!B188</f>
        <v>DataTransferCompliance</v>
      </c>
      <c r="D190" s="15" t="str">
        <f t="shared" si="16"/>
        <v>Data Transfer</v>
      </c>
      <c r="E190" s="15" t="str">
        <f t="shared" si="17"/>
        <v>Vehicle 8 Data Transfer Diagnostic</v>
      </c>
      <c r="F190" s="15">
        <f t="shared" ca="1" si="19"/>
        <v>26</v>
      </c>
      <c r="G190" s="15" t="str">
        <f t="shared" si="20"/>
        <v>Diagnostic</v>
      </c>
      <c r="H190" s="15" t="str">
        <f t="shared" ca="1" si="18"/>
        <v>Cleared</v>
      </c>
      <c r="I190" s="15" t="str">
        <f>Data!M188</f>
        <v>SystemDiagnosticClear</v>
      </c>
      <c r="J190" s="15" t="b">
        <f t="shared" ca="1" si="21"/>
        <v>0</v>
      </c>
      <c r="K190" s="15" t="b">
        <f t="shared" ca="1" si="22"/>
        <v>0</v>
      </c>
      <c r="L190" s="15" t="b">
        <f t="shared" si="23"/>
        <v>0</v>
      </c>
      <c r="M190" s="16" t="str">
        <f>Data!I188</f>
        <v>Long</v>
      </c>
      <c r="N190" s="16" t="str">
        <f>Data!J188</f>
        <v>Lat</v>
      </c>
      <c r="O190" s="15" t="str">
        <f>Data!K188</f>
        <v>Approximate Location</v>
      </c>
      <c r="P190" s="17">
        <f>Data!G188</f>
        <v>67192.859375</v>
      </c>
      <c r="Q190" s="34">
        <f>Data!H188</f>
        <v>0</v>
      </c>
    </row>
    <row r="191" spans="1:17" ht="16.5" x14ac:dyDescent="0.3">
      <c r="A191" s="13" t="str">
        <f>Data!C189</f>
        <v>Vehicle 5</v>
      </c>
      <c r="B191" s="14">
        <f>Data!A189</f>
        <v>43593.361423611103</v>
      </c>
      <c r="C191" s="15" t="str">
        <f>Data!B189</f>
        <v>PowerCompliance</v>
      </c>
      <c r="D191" s="15" t="str">
        <f t="shared" si="16"/>
        <v>Power</v>
      </c>
      <c r="E191" s="15" t="str">
        <f t="shared" si="17"/>
        <v>Vehicle 5 Power Diagnostic</v>
      </c>
      <c r="F191" s="15">
        <f t="shared" ca="1" si="19"/>
        <v>1</v>
      </c>
      <c r="G191" s="15" t="str">
        <f t="shared" si="20"/>
        <v>Diagnostic</v>
      </c>
      <c r="H191" s="15" t="str">
        <f t="shared" ca="1" si="18"/>
        <v>Cleared</v>
      </c>
      <c r="I191" s="15" t="str">
        <f>Data!M189</f>
        <v>Diagnostic</v>
      </c>
      <c r="J191" s="15" t="b">
        <f t="shared" ca="1" si="21"/>
        <v>0</v>
      </c>
      <c r="K191" s="15" t="b">
        <f t="shared" ca="1" si="22"/>
        <v>0</v>
      </c>
      <c r="L191" s="15" t="b">
        <f t="shared" si="23"/>
        <v>0</v>
      </c>
      <c r="M191" s="16" t="str">
        <f>Data!I189</f>
        <v>Long</v>
      </c>
      <c r="N191" s="16" t="str">
        <f>Data!J189</f>
        <v>Lat</v>
      </c>
      <c r="O191" s="15" t="str">
        <f>Data!K189</f>
        <v>Approximate Location</v>
      </c>
      <c r="P191" s="17">
        <f>Data!G189</f>
        <v>82483.546875</v>
      </c>
      <c r="Q191" s="34">
        <f>Data!H189</f>
        <v>0</v>
      </c>
    </row>
    <row r="192" spans="1:17" ht="16.5" x14ac:dyDescent="0.3">
      <c r="A192" s="13" t="str">
        <f>Data!C190</f>
        <v>Vehicle 5</v>
      </c>
      <c r="B192" s="14">
        <f>Data!A190</f>
        <v>43593.361689814803</v>
      </c>
      <c r="C192" s="15" t="str">
        <f>Data!B190</f>
        <v>PowerCompliance</v>
      </c>
      <c r="D192" s="15" t="str">
        <f t="shared" si="16"/>
        <v>Power</v>
      </c>
      <c r="E192" s="15" t="str">
        <f t="shared" si="17"/>
        <v>Vehicle 5 Power Diagnostic</v>
      </c>
      <c r="F192" s="15" t="e">
        <f t="shared" ca="1" si="19"/>
        <v>#N/A</v>
      </c>
      <c r="G192" s="15" t="str">
        <f t="shared" si="20"/>
        <v>Diagnostic</v>
      </c>
      <c r="H192" s="15" t="str">
        <f t="shared" ca="1" si="18"/>
        <v>Cleared</v>
      </c>
      <c r="I192" s="15" t="str">
        <f>Data!M190</f>
        <v>SystemDiagnosticClearDriving</v>
      </c>
      <c r="J192" s="15" t="b">
        <f t="shared" ca="1" si="21"/>
        <v>1</v>
      </c>
      <c r="K192" s="15" t="b">
        <f t="shared" ca="1" si="22"/>
        <v>0</v>
      </c>
      <c r="L192" s="15" t="b">
        <f t="shared" si="23"/>
        <v>0</v>
      </c>
      <c r="M192" s="16" t="str">
        <f>Data!I190</f>
        <v>Long</v>
      </c>
      <c r="N192" s="16" t="str">
        <f>Data!J190</f>
        <v>Lat</v>
      </c>
      <c r="O192" s="15" t="str">
        <f>Data!K190</f>
        <v>Approximate Location</v>
      </c>
      <c r="P192" s="17">
        <f>Data!G190</f>
        <v>82483.546875</v>
      </c>
      <c r="Q192" s="34">
        <f>Data!H190</f>
        <v>3.9270660877227801</v>
      </c>
    </row>
    <row r="193" spans="1:17" ht="16.5" x14ac:dyDescent="0.3">
      <c r="A193" s="13" t="str">
        <f>Data!C191</f>
        <v>Vehicle 4</v>
      </c>
      <c r="B193" s="14">
        <f>Data!A191</f>
        <v>43593.361724536997</v>
      </c>
      <c r="C193" s="15" t="str">
        <f>Data!B191</f>
        <v>PowerCompliance</v>
      </c>
      <c r="D193" s="15" t="str">
        <f t="shared" si="16"/>
        <v>Power</v>
      </c>
      <c r="E193" s="15" t="str">
        <f t="shared" si="17"/>
        <v>Vehicle 4 Power Diagnostic</v>
      </c>
      <c r="F193" s="15">
        <f t="shared" ca="1" si="19"/>
        <v>1</v>
      </c>
      <c r="G193" s="15" t="str">
        <f t="shared" si="20"/>
        <v>Diagnostic</v>
      </c>
      <c r="H193" s="15" t="str">
        <f t="shared" ca="1" si="18"/>
        <v>Cleared</v>
      </c>
      <c r="I193" s="15" t="str">
        <f>Data!M191</f>
        <v>Diagnostic</v>
      </c>
      <c r="J193" s="15" t="b">
        <f t="shared" ca="1" si="21"/>
        <v>0</v>
      </c>
      <c r="K193" s="15" t="b">
        <f t="shared" ca="1" si="22"/>
        <v>0</v>
      </c>
      <c r="L193" s="15" t="b">
        <f t="shared" si="23"/>
        <v>0</v>
      </c>
      <c r="M193" s="16" t="str">
        <f>Data!I191</f>
        <v>Long</v>
      </c>
      <c r="N193" s="16" t="str">
        <f>Data!J191</f>
        <v>Lat</v>
      </c>
      <c r="O193" s="15" t="str">
        <f>Data!K191</f>
        <v>Approximate Location</v>
      </c>
      <c r="P193" s="17">
        <f>Data!G191</f>
        <v>60947.57421875</v>
      </c>
      <c r="Q193" s="34">
        <f>Data!H191</f>
        <v>0</v>
      </c>
    </row>
    <row r="194" spans="1:17" ht="16.5" x14ac:dyDescent="0.3">
      <c r="A194" s="13" t="str">
        <f>Data!C192</f>
        <v>Vehicle 4</v>
      </c>
      <c r="B194" s="14">
        <f>Data!A192</f>
        <v>43593.362534722197</v>
      </c>
      <c r="C194" s="15" t="str">
        <f>Data!B192</f>
        <v>PowerCompliance</v>
      </c>
      <c r="D194" s="15" t="str">
        <f t="shared" si="16"/>
        <v>Power</v>
      </c>
      <c r="E194" s="15" t="str">
        <f t="shared" si="17"/>
        <v>Vehicle 4 Power Diagnostic</v>
      </c>
      <c r="F194" s="15" t="e">
        <f t="shared" ca="1" si="19"/>
        <v>#N/A</v>
      </c>
      <c r="G194" s="15" t="str">
        <f t="shared" si="20"/>
        <v>Diagnostic</v>
      </c>
      <c r="H194" s="15" t="str">
        <f t="shared" ca="1" si="18"/>
        <v>Cleared</v>
      </c>
      <c r="I194" s="15" t="str">
        <f>Data!M192</f>
        <v>SystemDiagnosticClearDriving</v>
      </c>
      <c r="J194" s="15" t="b">
        <f t="shared" ca="1" si="21"/>
        <v>1</v>
      </c>
      <c r="K194" s="15" t="b">
        <f t="shared" ca="1" si="22"/>
        <v>0</v>
      </c>
      <c r="L194" s="15" t="b">
        <f t="shared" si="23"/>
        <v>0</v>
      </c>
      <c r="M194" s="16" t="str">
        <f>Data!I192</f>
        <v>Long</v>
      </c>
      <c r="N194" s="16" t="str">
        <f>Data!J192</f>
        <v>Lat</v>
      </c>
      <c r="O194" s="15" t="str">
        <f>Data!K192</f>
        <v>Approximate Location</v>
      </c>
      <c r="P194" s="17">
        <f>Data!G192</f>
        <v>60947.57421875</v>
      </c>
      <c r="Q194" s="34">
        <f>Data!H192</f>
        <v>11.194623947143601</v>
      </c>
    </row>
    <row r="195" spans="1:17" ht="16.5" x14ac:dyDescent="0.3">
      <c r="A195" s="13" t="str">
        <f>Data!C193</f>
        <v>Vehicle 6</v>
      </c>
      <c r="B195" s="14">
        <f>Data!A193</f>
        <v>43593.363460648201</v>
      </c>
      <c r="C195" s="15" t="str">
        <f>Data!B193</f>
        <v>PowerCompliance</v>
      </c>
      <c r="D195" s="15" t="str">
        <f t="shared" si="16"/>
        <v>Power</v>
      </c>
      <c r="E195" s="15" t="str">
        <f t="shared" si="17"/>
        <v>Vehicle 6 Power Diagnostic</v>
      </c>
      <c r="F195" s="15">
        <f t="shared" ca="1" si="19"/>
        <v>1</v>
      </c>
      <c r="G195" s="15" t="str">
        <f t="shared" si="20"/>
        <v>Diagnostic</v>
      </c>
      <c r="H195" s="15" t="str">
        <f t="shared" ca="1" si="18"/>
        <v>Cleared</v>
      </c>
      <c r="I195" s="15" t="str">
        <f>Data!M193</f>
        <v>Diagnostic</v>
      </c>
      <c r="J195" s="15" t="b">
        <f t="shared" ca="1" si="21"/>
        <v>0</v>
      </c>
      <c r="K195" s="15" t="b">
        <f t="shared" ca="1" si="22"/>
        <v>0</v>
      </c>
      <c r="L195" s="15" t="b">
        <f t="shared" si="23"/>
        <v>0</v>
      </c>
      <c r="M195" s="16" t="str">
        <f>Data!I193</f>
        <v>Long</v>
      </c>
      <c r="N195" s="16" t="str">
        <f>Data!J193</f>
        <v>Lat</v>
      </c>
      <c r="O195" s="15" t="str">
        <f>Data!K193</f>
        <v>Approximate Location</v>
      </c>
      <c r="P195" s="17">
        <f>Data!G193</f>
        <v>119679.515625</v>
      </c>
      <c r="Q195" s="34">
        <f>Data!H193</f>
        <v>0</v>
      </c>
    </row>
    <row r="196" spans="1:17" ht="16.5" x14ac:dyDescent="0.3">
      <c r="A196" s="13" t="str">
        <f>Data!C194</f>
        <v>Vehicle 6</v>
      </c>
      <c r="B196" s="14">
        <f>Data!A194</f>
        <v>43593.363611111097</v>
      </c>
      <c r="C196" s="15" t="str">
        <f>Data!B194</f>
        <v>PowerCompliance</v>
      </c>
      <c r="D196" s="15" t="str">
        <f t="shared" si="16"/>
        <v>Power</v>
      </c>
      <c r="E196" s="15" t="str">
        <f t="shared" si="17"/>
        <v>Vehicle 6 Power Diagnostic</v>
      </c>
      <c r="F196" s="15" t="e">
        <f t="shared" ca="1" si="19"/>
        <v>#N/A</v>
      </c>
      <c r="G196" s="15" t="str">
        <f t="shared" si="20"/>
        <v>Diagnostic</v>
      </c>
      <c r="H196" s="15" t="str">
        <f t="shared" ca="1" si="18"/>
        <v>Cleared</v>
      </c>
      <c r="I196" s="15" t="str">
        <f>Data!M194</f>
        <v>SystemDiagnosticClearDriving</v>
      </c>
      <c r="J196" s="15" t="b">
        <f t="shared" ca="1" si="21"/>
        <v>1</v>
      </c>
      <c r="K196" s="15" t="b">
        <f t="shared" ca="1" si="22"/>
        <v>0</v>
      </c>
      <c r="L196" s="15" t="b">
        <f t="shared" si="23"/>
        <v>0</v>
      </c>
      <c r="M196" s="16" t="str">
        <f>Data!I194</f>
        <v>Long</v>
      </c>
      <c r="N196" s="16" t="str">
        <f>Data!J194</f>
        <v>Lat</v>
      </c>
      <c r="O196" s="15" t="str">
        <f>Data!K194</f>
        <v>Approximate Location</v>
      </c>
      <c r="P196" s="17">
        <f>Data!G194</f>
        <v>119679.515625</v>
      </c>
      <c r="Q196" s="34">
        <f>Data!H194</f>
        <v>24.6758937835693</v>
      </c>
    </row>
    <row r="197" spans="1:17" ht="16.5" x14ac:dyDescent="0.3">
      <c r="A197" s="13" t="str">
        <f>Data!C195</f>
        <v>Vehicle 3</v>
      </c>
      <c r="B197" s="14">
        <f>Data!A195</f>
        <v>43593.368009259299</v>
      </c>
      <c r="C197" s="15" t="str">
        <f>Data!B195</f>
        <v>PowerCompliance</v>
      </c>
      <c r="D197" s="15" t="str">
        <f t="shared" si="16"/>
        <v>Power</v>
      </c>
      <c r="E197" s="15" t="str">
        <f t="shared" si="17"/>
        <v>Vehicle 3 Power Diagnostic</v>
      </c>
      <c r="F197" s="15">
        <f t="shared" ca="1" si="19"/>
        <v>1</v>
      </c>
      <c r="G197" s="15" t="str">
        <f t="shared" si="20"/>
        <v>Diagnostic</v>
      </c>
      <c r="H197" s="15" t="str">
        <f t="shared" ca="1" si="18"/>
        <v>Cleared</v>
      </c>
      <c r="I197" s="15" t="str">
        <f>Data!M195</f>
        <v>Diagnostic</v>
      </c>
      <c r="J197" s="15" t="b">
        <f t="shared" ca="1" si="21"/>
        <v>0</v>
      </c>
      <c r="K197" s="15" t="b">
        <f t="shared" ca="1" si="22"/>
        <v>0</v>
      </c>
      <c r="L197" s="15" t="b">
        <f t="shared" si="23"/>
        <v>0</v>
      </c>
      <c r="M197" s="16" t="str">
        <f>Data!I195</f>
        <v>Long</v>
      </c>
      <c r="N197" s="16" t="str">
        <f>Data!J195</f>
        <v>Lat</v>
      </c>
      <c r="O197" s="15" t="str">
        <f>Data!K195</f>
        <v>Approximate Location</v>
      </c>
      <c r="P197" s="17">
        <f>Data!G195</f>
        <v>117644.7265625</v>
      </c>
      <c r="Q197" s="34">
        <f>Data!H195</f>
        <v>0</v>
      </c>
    </row>
    <row r="198" spans="1:17" ht="16.5" x14ac:dyDescent="0.3">
      <c r="A198" s="13" t="str">
        <f>Data!C196</f>
        <v>Vehicle 3</v>
      </c>
      <c r="B198" s="14">
        <f>Data!A196</f>
        <v>43593.368275462999</v>
      </c>
      <c r="C198" s="15" t="str">
        <f>Data!B196</f>
        <v>PowerCompliance</v>
      </c>
      <c r="D198" s="15" t="str">
        <f t="shared" si="16"/>
        <v>Power</v>
      </c>
      <c r="E198" s="15" t="str">
        <f t="shared" si="17"/>
        <v>Vehicle 3 Power Diagnostic</v>
      </c>
      <c r="F198" s="15">
        <f t="shared" ca="1" si="19"/>
        <v>38</v>
      </c>
      <c r="G198" s="15" t="str">
        <f t="shared" si="20"/>
        <v>Diagnostic</v>
      </c>
      <c r="H198" s="15" t="str">
        <f t="shared" ca="1" si="18"/>
        <v>Cleared</v>
      </c>
      <c r="I198" s="15" t="str">
        <f>Data!M196</f>
        <v>SystemDiagnosticClearDriving</v>
      </c>
      <c r="J198" s="15" t="b">
        <f t="shared" ca="1" si="21"/>
        <v>0</v>
      </c>
      <c r="K198" s="15" t="b">
        <f t="shared" ca="1" si="22"/>
        <v>0</v>
      </c>
      <c r="L198" s="15" t="b">
        <f t="shared" si="23"/>
        <v>0</v>
      </c>
      <c r="M198" s="16" t="str">
        <f>Data!I196</f>
        <v>Long</v>
      </c>
      <c r="N198" s="16" t="str">
        <f>Data!J196</f>
        <v>Lat</v>
      </c>
      <c r="O198" s="15" t="str">
        <f>Data!K196</f>
        <v>Approximate Location</v>
      </c>
      <c r="P198" s="17">
        <f>Data!G196</f>
        <v>117644.7265625</v>
      </c>
      <c r="Q198" s="34">
        <f>Data!H196</f>
        <v>71.377418518066406</v>
      </c>
    </row>
    <row r="199" spans="1:17" ht="16.5" x14ac:dyDescent="0.3">
      <c r="A199" s="13" t="str">
        <f>Data!C197</f>
        <v>Vehicle 1</v>
      </c>
      <c r="B199" s="14">
        <f>Data!A197</f>
        <v>43593.371863425898</v>
      </c>
      <c r="C199" s="15" t="str">
        <f>Data!B197</f>
        <v>PowerCompliance</v>
      </c>
      <c r="D199" s="15" t="str">
        <f t="shared" si="16"/>
        <v>Power</v>
      </c>
      <c r="E199" s="15" t="str">
        <f t="shared" si="17"/>
        <v>Vehicle 1 Power Diagnostic</v>
      </c>
      <c r="F199" s="15">
        <f t="shared" ca="1" si="19"/>
        <v>1</v>
      </c>
      <c r="G199" s="15" t="str">
        <f t="shared" si="20"/>
        <v>Diagnostic</v>
      </c>
      <c r="H199" s="15" t="str">
        <f t="shared" ca="1" si="18"/>
        <v>Cleared</v>
      </c>
      <c r="I199" s="15" t="str">
        <f>Data!M197</f>
        <v>Diagnostic</v>
      </c>
      <c r="J199" s="15" t="b">
        <f t="shared" ca="1" si="21"/>
        <v>0</v>
      </c>
      <c r="K199" s="15" t="b">
        <f t="shared" ca="1" si="22"/>
        <v>0</v>
      </c>
      <c r="L199" s="15" t="b">
        <f t="shared" si="23"/>
        <v>0</v>
      </c>
      <c r="M199" s="16" t="str">
        <f>Data!I197</f>
        <v>Long</v>
      </c>
      <c r="N199" s="16" t="str">
        <f>Data!J197</f>
        <v>Lat</v>
      </c>
      <c r="O199" s="15" t="str">
        <f>Data!K197</f>
        <v>Approximate Location</v>
      </c>
      <c r="P199" s="17">
        <f>Data!G197</f>
        <v>12904.1611328125</v>
      </c>
      <c r="Q199" s="34">
        <f>Data!H197</f>
        <v>0</v>
      </c>
    </row>
    <row r="200" spans="1:17" ht="16.5" x14ac:dyDescent="0.3">
      <c r="A200" s="13" t="str">
        <f>Data!C198</f>
        <v>Vehicle 1</v>
      </c>
      <c r="B200" s="14">
        <f>Data!A198</f>
        <v>43593.372546296298</v>
      </c>
      <c r="C200" s="15" t="str">
        <f>Data!B198</f>
        <v>PowerCompliance</v>
      </c>
      <c r="D200" s="15" t="str">
        <f t="shared" si="16"/>
        <v>Power</v>
      </c>
      <c r="E200" s="15" t="str">
        <f t="shared" si="17"/>
        <v>Vehicle 1 Power Diagnostic</v>
      </c>
      <c r="F200" s="15">
        <f t="shared" ca="1" si="19"/>
        <v>31</v>
      </c>
      <c r="G200" s="15" t="str">
        <f t="shared" si="20"/>
        <v>Diagnostic</v>
      </c>
      <c r="H200" s="15" t="str">
        <f t="shared" ca="1" si="18"/>
        <v>Cleared</v>
      </c>
      <c r="I200" s="15" t="str">
        <f>Data!M198</f>
        <v>SystemDiagnosticClearDriving</v>
      </c>
      <c r="J200" s="15" t="b">
        <f t="shared" ca="1" si="21"/>
        <v>0</v>
      </c>
      <c r="K200" s="15" t="b">
        <f t="shared" ca="1" si="22"/>
        <v>0</v>
      </c>
      <c r="L200" s="15" t="b">
        <f t="shared" si="23"/>
        <v>0</v>
      </c>
      <c r="M200" s="16" t="str">
        <f>Data!I198</f>
        <v>Long</v>
      </c>
      <c r="N200" s="16" t="str">
        <f>Data!J198</f>
        <v>Lat</v>
      </c>
      <c r="O200" s="15" t="str">
        <f>Data!K198</f>
        <v>Approximate Location</v>
      </c>
      <c r="P200" s="17">
        <f>Data!G198</f>
        <v>12904.1611328125</v>
      </c>
      <c r="Q200" s="34">
        <f>Data!H198</f>
        <v>3.2112464904785201</v>
      </c>
    </row>
    <row r="201" spans="1:17" ht="16.5" x14ac:dyDescent="0.3">
      <c r="A201" s="13" t="str">
        <f>Data!C199</f>
        <v>Vehicle 10</v>
      </c>
      <c r="B201" s="14">
        <f>Data!A199</f>
        <v>43593.372974537</v>
      </c>
      <c r="C201" s="15" t="str">
        <f>Data!B199</f>
        <v>PowerCompliance</v>
      </c>
      <c r="D201" s="15" t="str">
        <f t="shared" si="16"/>
        <v>Power</v>
      </c>
      <c r="E201" s="15" t="str">
        <f t="shared" si="17"/>
        <v>Vehicle 10 Power Diagnostic</v>
      </c>
      <c r="F201" s="15">
        <f t="shared" ca="1" si="19"/>
        <v>1</v>
      </c>
      <c r="G201" s="15" t="str">
        <f t="shared" si="20"/>
        <v>Diagnostic</v>
      </c>
      <c r="H201" s="15" t="str">
        <f t="shared" ca="1" si="18"/>
        <v>Cleared</v>
      </c>
      <c r="I201" s="15" t="str">
        <f>Data!M199</f>
        <v>Diagnostic</v>
      </c>
      <c r="J201" s="15" t="b">
        <f t="shared" ca="1" si="21"/>
        <v>0</v>
      </c>
      <c r="K201" s="15" t="b">
        <f t="shared" ca="1" si="22"/>
        <v>0</v>
      </c>
      <c r="L201" s="15" t="b">
        <f t="shared" si="23"/>
        <v>0</v>
      </c>
      <c r="M201" s="16" t="str">
        <f>Data!I199</f>
        <v>Long</v>
      </c>
      <c r="N201" s="16" t="str">
        <f>Data!J199</f>
        <v>Lat</v>
      </c>
      <c r="O201" s="15" t="str">
        <f>Data!K199</f>
        <v>Approximate Location</v>
      </c>
      <c r="P201" s="17">
        <f>Data!G199</f>
        <v>93494.4375</v>
      </c>
      <c r="Q201" s="34">
        <f>Data!H199</f>
        <v>0</v>
      </c>
    </row>
    <row r="202" spans="1:17" ht="16.5" x14ac:dyDescent="0.3">
      <c r="A202" s="13" t="str">
        <f>Data!C200</f>
        <v>Vehicle 10</v>
      </c>
      <c r="B202" s="14">
        <f>Data!A200</f>
        <v>43593.373287037</v>
      </c>
      <c r="C202" s="15" t="str">
        <f>Data!B200</f>
        <v>PowerCompliance</v>
      </c>
      <c r="D202" s="15" t="str">
        <f t="shared" si="16"/>
        <v>Power</v>
      </c>
      <c r="E202" s="15" t="str">
        <f t="shared" si="17"/>
        <v>Vehicle 10 Power Diagnostic</v>
      </c>
      <c r="F202" s="15" t="e">
        <f t="shared" ca="1" si="19"/>
        <v>#N/A</v>
      </c>
      <c r="G202" s="15" t="str">
        <f t="shared" si="20"/>
        <v>Diagnostic</v>
      </c>
      <c r="H202" s="15" t="str">
        <f t="shared" ca="1" si="18"/>
        <v>Cleared</v>
      </c>
      <c r="I202" s="15" t="str">
        <f>Data!M200</f>
        <v>SystemDiagnosticClearDriving</v>
      </c>
      <c r="J202" s="15" t="b">
        <f t="shared" ca="1" si="21"/>
        <v>1</v>
      </c>
      <c r="K202" s="15" t="b">
        <f t="shared" ca="1" si="22"/>
        <v>0</v>
      </c>
      <c r="L202" s="15" t="b">
        <f t="shared" si="23"/>
        <v>0</v>
      </c>
      <c r="M202" s="16" t="str">
        <f>Data!I200</f>
        <v>Long</v>
      </c>
      <c r="N202" s="16" t="str">
        <f>Data!J200</f>
        <v>Lat</v>
      </c>
      <c r="O202" s="15" t="str">
        <f>Data!K200</f>
        <v>Approximate Location</v>
      </c>
      <c r="P202" s="17">
        <f>Data!G200</f>
        <v>93494.4375</v>
      </c>
      <c r="Q202" s="34">
        <f>Data!H200</f>
        <v>10.787004470825201</v>
      </c>
    </row>
    <row r="203" spans="1:17" ht="16.5" x14ac:dyDescent="0.3">
      <c r="A203" s="13" t="str">
        <f>Data!C201</f>
        <v>Vehicle 8</v>
      </c>
      <c r="B203" s="14">
        <f>Data!A201</f>
        <v>43593.373761574097</v>
      </c>
      <c r="C203" s="15" t="str">
        <f>Data!B201</f>
        <v>PowerCompliance</v>
      </c>
      <c r="D203" s="15" t="str">
        <f t="shared" si="16"/>
        <v>Power</v>
      </c>
      <c r="E203" s="15" t="str">
        <f t="shared" si="17"/>
        <v>Vehicle 8 Power Diagnostic</v>
      </c>
      <c r="F203" s="15">
        <f t="shared" ca="1" si="19"/>
        <v>1</v>
      </c>
      <c r="G203" s="15" t="str">
        <f t="shared" si="20"/>
        <v>Diagnostic</v>
      </c>
      <c r="H203" s="15" t="str">
        <f t="shared" ca="1" si="18"/>
        <v>Cleared</v>
      </c>
      <c r="I203" s="15" t="str">
        <f>Data!M201</f>
        <v>Diagnostic</v>
      </c>
      <c r="J203" s="15" t="b">
        <f t="shared" ca="1" si="21"/>
        <v>0</v>
      </c>
      <c r="K203" s="15" t="b">
        <f t="shared" ca="1" si="22"/>
        <v>0</v>
      </c>
      <c r="L203" s="15" t="b">
        <f t="shared" si="23"/>
        <v>0</v>
      </c>
      <c r="M203" s="16" t="str">
        <f>Data!I201</f>
        <v>Long</v>
      </c>
      <c r="N203" s="16" t="str">
        <f>Data!J201</f>
        <v>Lat</v>
      </c>
      <c r="O203" s="15" t="str">
        <f>Data!K201</f>
        <v>Approximate Location</v>
      </c>
      <c r="P203" s="17">
        <f>Data!G201</f>
        <v>67192.859375</v>
      </c>
      <c r="Q203" s="34">
        <f>Data!H201</f>
        <v>0</v>
      </c>
    </row>
    <row r="204" spans="1:17" ht="16.5" x14ac:dyDescent="0.3">
      <c r="A204" s="13" t="str">
        <f>Data!C202</f>
        <v>Vehicle 8</v>
      </c>
      <c r="B204" s="14">
        <f>Data!A202</f>
        <v>43593.374606481499</v>
      </c>
      <c r="C204" s="15" t="str">
        <f>Data!B202</f>
        <v>PowerCompliance</v>
      </c>
      <c r="D204" s="15" t="str">
        <f t="shared" si="16"/>
        <v>Power</v>
      </c>
      <c r="E204" s="15" t="str">
        <f t="shared" si="17"/>
        <v>Vehicle 8 Power Diagnostic</v>
      </c>
      <c r="F204" s="15">
        <f t="shared" ca="1" si="19"/>
        <v>16</v>
      </c>
      <c r="G204" s="15" t="str">
        <f t="shared" si="20"/>
        <v>Diagnostic</v>
      </c>
      <c r="H204" s="15" t="str">
        <f t="shared" ca="1" si="18"/>
        <v>Cleared</v>
      </c>
      <c r="I204" s="15" t="str">
        <f>Data!M202</f>
        <v>SystemDiagnosticClearDriving</v>
      </c>
      <c r="J204" s="15" t="b">
        <f t="shared" ca="1" si="21"/>
        <v>0</v>
      </c>
      <c r="K204" s="15" t="b">
        <f t="shared" ca="1" si="22"/>
        <v>0</v>
      </c>
      <c r="L204" s="15" t="b">
        <f t="shared" si="23"/>
        <v>0</v>
      </c>
      <c r="M204" s="16" t="str">
        <f>Data!I202</f>
        <v>Long</v>
      </c>
      <c r="N204" s="16" t="str">
        <f>Data!J202</f>
        <v>Lat</v>
      </c>
      <c r="O204" s="15" t="str">
        <f>Data!K202</f>
        <v>Approximate Location</v>
      </c>
      <c r="P204" s="17">
        <f>Data!G202</f>
        <v>67192.859375</v>
      </c>
      <c r="Q204" s="34">
        <f>Data!H202</f>
        <v>2.9605803489685099</v>
      </c>
    </row>
    <row r="205" spans="1:17" ht="16.5" x14ac:dyDescent="0.3">
      <c r="A205" s="13" t="str">
        <f>Data!C203</f>
        <v>Vehicle 7</v>
      </c>
      <c r="B205" s="14">
        <f>Data!A203</f>
        <v>43593.389780092599</v>
      </c>
      <c r="C205" s="15" t="str">
        <f>Data!B203</f>
        <v>PowerCompliance</v>
      </c>
      <c r="D205" s="15" t="str">
        <f t="shared" ref="D205:D260" si="24">IF(C205="PowerCompliance","Power",IF(C205="PositioningCompliance","Positioning",IF(C205="EngineSyncCompliance","Engine Sync",IF(C205="UnidentifiedDrivingCompliance","Unidentified Driving",IF(C205="DataRecordingCompliance","Data Recording",IF(C205="DataTransferCompliance","Data Transfer",IF(C205="MissingElementCompliance","Missing Element",IF(C205="OtherCompliance","Other",IF(C205="TimingCompliance","Timing","")))))))))</f>
        <v>Power</v>
      </c>
      <c r="E205" s="15" t="str">
        <f t="shared" ref="E205:E260" si="25">A205&amp;" "&amp;D205&amp;" "&amp;G205</f>
        <v>Vehicle 7 Power Diagnostic</v>
      </c>
      <c r="F205" s="15">
        <f t="shared" ca="1" si="19"/>
        <v>1</v>
      </c>
      <c r="G205" s="15" t="str">
        <f t="shared" si="20"/>
        <v>Diagnostic</v>
      </c>
      <c r="H205" s="15" t="str">
        <f t="shared" ref="H205:H260" ca="1" si="26">IF(OR(ISNUMBER(SEARCH("clear",INDIRECT("H"&amp;ROW(I205)+F205))),ISNUMBER(SEARCH("clear",I205))),"Cleared","Active")</f>
        <v>Cleared</v>
      </c>
      <c r="I205" s="15" t="str">
        <f>Data!M203</f>
        <v>Diagnostic</v>
      </c>
      <c r="J205" s="15" t="b">
        <f t="shared" ca="1" si="21"/>
        <v>0</v>
      </c>
      <c r="K205" s="15" t="b">
        <f t="shared" ca="1" si="22"/>
        <v>0</v>
      </c>
      <c r="L205" s="15" t="b">
        <f t="shared" si="23"/>
        <v>0</v>
      </c>
      <c r="M205" s="16" t="str">
        <f>Data!I203</f>
        <v>Long</v>
      </c>
      <c r="N205" s="16" t="str">
        <f>Data!J203</f>
        <v>Lat</v>
      </c>
      <c r="O205" s="15" t="str">
        <f>Data!K203</f>
        <v>Approximate Location</v>
      </c>
      <c r="P205" s="17">
        <f>Data!G203</f>
        <v>17401.572265625</v>
      </c>
      <c r="Q205" s="34">
        <f>Data!H203</f>
        <v>0</v>
      </c>
    </row>
    <row r="206" spans="1:17" ht="16.5" x14ac:dyDescent="0.3">
      <c r="A206" s="13" t="str">
        <f>Data!C204</f>
        <v>Vehicle 7</v>
      </c>
      <c r="B206" s="14">
        <f>Data!A204</f>
        <v>43593.390034722201</v>
      </c>
      <c r="C206" s="15" t="str">
        <f>Data!B204</f>
        <v>PowerCompliance</v>
      </c>
      <c r="D206" s="15" t="str">
        <f t="shared" si="24"/>
        <v>Power</v>
      </c>
      <c r="E206" s="15" t="str">
        <f t="shared" si="25"/>
        <v>Vehicle 7 Power Diagnostic</v>
      </c>
      <c r="F206" s="15" t="e">
        <f t="shared" ref="F206:F260" ca="1" si="27">MATCH(E206,INDIRECT("E"&amp;ROW(E206)+1&amp;":E"&amp;$B$10),0)</f>
        <v>#N/A</v>
      </c>
      <c r="G206" s="15" t="str">
        <f t="shared" ref="G206:G260" si="28">IF(ISNUMBER(SEARCH("Diagnostic",I206))=TRUE,"Diagnostic","Malfunction")</f>
        <v>Diagnostic</v>
      </c>
      <c r="H206" s="15" t="str">
        <f t="shared" ca="1" si="26"/>
        <v>Cleared</v>
      </c>
      <c r="I206" s="15" t="str">
        <f>Data!M204</f>
        <v>SystemDiagnosticClearDriving</v>
      </c>
      <c r="J206" s="15" t="b">
        <f t="shared" ref="J206:J260" ca="1" si="29">ISERROR(F206)</f>
        <v>1</v>
      </c>
      <c r="K206" s="15" t="b">
        <f t="shared" ref="K206:K260" ca="1" si="30">IF(H206="Active",TRUE,FALSE)</f>
        <v>0</v>
      </c>
      <c r="L206" s="15" t="b">
        <f t="shared" ref="L206:L260" si="31">IF(G206="Malfunction",TRUE,FALSE)</f>
        <v>0</v>
      </c>
      <c r="M206" s="16" t="str">
        <f>Data!I204</f>
        <v>Long</v>
      </c>
      <c r="N206" s="16" t="str">
        <f>Data!J204</f>
        <v>Lat</v>
      </c>
      <c r="O206" s="15" t="str">
        <f>Data!K204</f>
        <v>Approximate Location</v>
      </c>
      <c r="P206" s="17">
        <f>Data!G204</f>
        <v>17401.572265625</v>
      </c>
      <c r="Q206" s="34">
        <f>Data!H204</f>
        <v>-0.27438759803772</v>
      </c>
    </row>
    <row r="207" spans="1:17" ht="16.5" x14ac:dyDescent="0.3">
      <c r="A207" s="13" t="str">
        <f>Data!C205</f>
        <v>Vehicle 7</v>
      </c>
      <c r="B207" s="14">
        <f>Data!A205</f>
        <v>43593.398148379601</v>
      </c>
      <c r="C207" s="15" t="str">
        <f>Data!B205</f>
        <v>DataTransferCompliance</v>
      </c>
      <c r="D207" s="15" t="str">
        <f t="shared" si="24"/>
        <v>Data Transfer</v>
      </c>
      <c r="E207" s="15" t="str">
        <f t="shared" si="25"/>
        <v>Vehicle 7 Data Transfer Diagnostic</v>
      </c>
      <c r="F207" s="15" t="e">
        <f t="shared" ca="1" si="27"/>
        <v>#N/A</v>
      </c>
      <c r="G207" s="15" t="str">
        <f t="shared" si="28"/>
        <v>Diagnostic</v>
      </c>
      <c r="H207" s="15" t="str">
        <f t="shared" ca="1" si="26"/>
        <v>Cleared</v>
      </c>
      <c r="I207" s="15" t="str">
        <f>Data!M205</f>
        <v>SystemDiagnosticClear</v>
      </c>
      <c r="J207" s="15" t="b">
        <f t="shared" ca="1" si="29"/>
        <v>1</v>
      </c>
      <c r="K207" s="15" t="b">
        <f t="shared" ca="1" si="30"/>
        <v>0</v>
      </c>
      <c r="L207" s="15" t="b">
        <f t="shared" si="31"/>
        <v>0</v>
      </c>
      <c r="M207" s="16" t="str">
        <f>Data!I205</f>
        <v>Long</v>
      </c>
      <c r="N207" s="16" t="str">
        <f>Data!J205</f>
        <v>Lat</v>
      </c>
      <c r="O207" s="15" t="str">
        <f>Data!K205</f>
        <v>Approximate Location</v>
      </c>
      <c r="P207" s="17">
        <f>Data!G205</f>
        <v>17401.296875</v>
      </c>
      <c r="Q207" s="34">
        <f>Data!H205</f>
        <v>0</v>
      </c>
    </row>
    <row r="208" spans="1:17" ht="16.5" x14ac:dyDescent="0.3">
      <c r="A208" s="13" t="str">
        <f>Data!C206</f>
        <v>Vehicle 2</v>
      </c>
      <c r="B208" s="14">
        <f>Data!A206</f>
        <v>43593.492345717597</v>
      </c>
      <c r="C208" s="15" t="str">
        <f>Data!B206</f>
        <v>DataTransferCompliance</v>
      </c>
      <c r="D208" s="15" t="str">
        <f t="shared" si="24"/>
        <v>Data Transfer</v>
      </c>
      <c r="E208" s="15" t="str">
        <f t="shared" si="25"/>
        <v>Vehicle 2 Data Transfer Diagnostic</v>
      </c>
      <c r="F208" s="15">
        <f t="shared" ca="1" si="27"/>
        <v>1</v>
      </c>
      <c r="G208" s="15" t="str">
        <f t="shared" si="28"/>
        <v>Diagnostic</v>
      </c>
      <c r="H208" s="15" t="str">
        <f t="shared" ca="1" si="26"/>
        <v>Cleared</v>
      </c>
      <c r="I208" s="15" t="str">
        <f>Data!M206</f>
        <v>SystemDiagnosticClear</v>
      </c>
      <c r="J208" s="15" t="b">
        <f t="shared" ca="1" si="29"/>
        <v>0</v>
      </c>
      <c r="K208" s="15" t="b">
        <f t="shared" ca="1" si="30"/>
        <v>0</v>
      </c>
      <c r="L208" s="15" t="b">
        <f t="shared" si="31"/>
        <v>0</v>
      </c>
      <c r="M208" s="16" t="str">
        <f>Data!I206</f>
        <v>Long</v>
      </c>
      <c r="N208" s="16" t="str">
        <f>Data!J206</f>
        <v>Lat</v>
      </c>
      <c r="O208" s="15" t="str">
        <f>Data!K206</f>
        <v>Approximate Location</v>
      </c>
      <c r="P208" s="17">
        <f>Data!G206</f>
        <v>3710.32470703125</v>
      </c>
      <c r="Q208" s="34">
        <f>Data!H206</f>
        <v>0</v>
      </c>
    </row>
    <row r="209" spans="1:17" ht="16.5" x14ac:dyDescent="0.3">
      <c r="A209" s="13" t="str">
        <f>Data!C207</f>
        <v>Vehicle 2</v>
      </c>
      <c r="B209" s="14">
        <f>Data!A207</f>
        <v>43593.492709062499</v>
      </c>
      <c r="C209" s="15" t="str">
        <f>Data!B207</f>
        <v>DataTransferCompliance</v>
      </c>
      <c r="D209" s="15" t="str">
        <f t="shared" si="24"/>
        <v>Data Transfer</v>
      </c>
      <c r="E209" s="15" t="str">
        <f t="shared" si="25"/>
        <v>Vehicle 2 Data Transfer Diagnostic</v>
      </c>
      <c r="F209" s="15">
        <f t="shared" ca="1" si="27"/>
        <v>5</v>
      </c>
      <c r="G209" s="15" t="str">
        <f t="shared" si="28"/>
        <v>Diagnostic</v>
      </c>
      <c r="H209" s="15" t="str">
        <f t="shared" ca="1" si="26"/>
        <v>Cleared</v>
      </c>
      <c r="I209" s="15" t="str">
        <f>Data!M207</f>
        <v>SystemDiagnosticClear</v>
      </c>
      <c r="J209" s="15" t="b">
        <f t="shared" ca="1" si="29"/>
        <v>0</v>
      </c>
      <c r="K209" s="15" t="b">
        <f t="shared" ca="1" si="30"/>
        <v>0</v>
      </c>
      <c r="L209" s="15" t="b">
        <f t="shared" si="31"/>
        <v>0</v>
      </c>
      <c r="M209" s="16" t="str">
        <f>Data!I207</f>
        <v>Long</v>
      </c>
      <c r="N209" s="16" t="str">
        <f>Data!J207</f>
        <v>Lat</v>
      </c>
      <c r="O209" s="15" t="str">
        <f>Data!K207</f>
        <v>Approximate Location</v>
      </c>
      <c r="P209" s="17">
        <f>Data!G207</f>
        <v>3710.32470703125</v>
      </c>
      <c r="Q209" s="34">
        <f>Data!H207</f>
        <v>53.920055389404297</v>
      </c>
    </row>
    <row r="210" spans="1:17" ht="16.5" x14ac:dyDescent="0.3">
      <c r="A210" s="13" t="str">
        <f>Data!C208</f>
        <v>Vehicle 10</v>
      </c>
      <c r="B210" s="14">
        <f>Data!A208</f>
        <v>43593.560057870403</v>
      </c>
      <c r="C210" s="15" t="str">
        <f>Data!B208</f>
        <v>UnidentifiedDrivingCompliance</v>
      </c>
      <c r="D210" s="15" t="str">
        <f t="shared" si="24"/>
        <v>Unidentified Driving</v>
      </c>
      <c r="E210" s="15" t="str">
        <f t="shared" si="25"/>
        <v>Vehicle 10 Unidentified Driving Diagnostic</v>
      </c>
      <c r="F210" s="15">
        <f t="shared" ca="1" si="27"/>
        <v>9</v>
      </c>
      <c r="G210" s="15" t="str">
        <f t="shared" si="28"/>
        <v>Diagnostic</v>
      </c>
      <c r="H210" s="15" t="str">
        <f t="shared" ca="1" si="26"/>
        <v>Active</v>
      </c>
      <c r="I210" s="15" t="str">
        <f>Data!M208</f>
        <v>Diagnostic</v>
      </c>
      <c r="J210" s="15" t="b">
        <f t="shared" ca="1" si="29"/>
        <v>0</v>
      </c>
      <c r="K210" s="15" t="b">
        <f t="shared" ca="1" si="30"/>
        <v>1</v>
      </c>
      <c r="L210" s="15" t="b">
        <f t="shared" si="31"/>
        <v>0</v>
      </c>
      <c r="M210" s="16" t="str">
        <f>Data!I208</f>
        <v>Long</v>
      </c>
      <c r="N210" s="16" t="str">
        <f>Data!J208</f>
        <v>Lat</v>
      </c>
      <c r="O210" s="15" t="str">
        <f>Data!K208</f>
        <v>Approximate Location</v>
      </c>
      <c r="P210" s="17">
        <f>Data!G208</f>
        <v>93505.2265625</v>
      </c>
      <c r="Q210" s="34">
        <f>Data!H208</f>
        <v>23.194545745849599</v>
      </c>
    </row>
    <row r="211" spans="1:17" ht="16.5" x14ac:dyDescent="0.3">
      <c r="A211" s="13" t="str">
        <f>Data!C209</f>
        <v>Vehicle 1</v>
      </c>
      <c r="B211" s="14">
        <f>Data!A209</f>
        <v>43593.612060185202</v>
      </c>
      <c r="C211" s="15" t="str">
        <f>Data!B209</f>
        <v>UnidentifiedDrivingCompliance</v>
      </c>
      <c r="D211" s="15" t="str">
        <f t="shared" si="24"/>
        <v>Unidentified Driving</v>
      </c>
      <c r="E211" s="15" t="str">
        <f t="shared" si="25"/>
        <v>Vehicle 1 Unidentified Driving Diagnostic</v>
      </c>
      <c r="F211" s="15">
        <f t="shared" ca="1" si="27"/>
        <v>6</v>
      </c>
      <c r="G211" s="15" t="str">
        <f t="shared" si="28"/>
        <v>Diagnostic</v>
      </c>
      <c r="H211" s="15" t="str">
        <f t="shared" ca="1" si="26"/>
        <v>Active</v>
      </c>
      <c r="I211" s="15" t="str">
        <f>Data!M209</f>
        <v>Diagnostic</v>
      </c>
      <c r="J211" s="15" t="b">
        <f t="shared" ca="1" si="29"/>
        <v>0</v>
      </c>
      <c r="K211" s="15" t="b">
        <f t="shared" ca="1" si="30"/>
        <v>1</v>
      </c>
      <c r="L211" s="15" t="b">
        <f t="shared" si="31"/>
        <v>0</v>
      </c>
      <c r="M211" s="16" t="str">
        <f>Data!I209</f>
        <v>Long</v>
      </c>
      <c r="N211" s="16" t="str">
        <f>Data!J209</f>
        <v>Lat</v>
      </c>
      <c r="O211" s="15" t="str">
        <f>Data!K209</f>
        <v>Approximate Location</v>
      </c>
      <c r="P211" s="17">
        <f>Data!G209</f>
        <v>12907.373046875</v>
      </c>
      <c r="Q211" s="34">
        <f>Data!H209</f>
        <v>26.471656799316399</v>
      </c>
    </row>
    <row r="212" spans="1:17" ht="16.5" x14ac:dyDescent="0.3">
      <c r="A212" s="13" t="str">
        <f>Data!C210</f>
        <v>Vehicle 5</v>
      </c>
      <c r="B212" s="14">
        <f>Data!A210</f>
        <v>43593.683103321797</v>
      </c>
      <c r="C212" s="15" t="str">
        <f>Data!B210</f>
        <v>UnidentifiedDrivingCompliance</v>
      </c>
      <c r="D212" s="15" t="str">
        <f t="shared" si="24"/>
        <v>Unidentified Driving</v>
      </c>
      <c r="E212" s="15" t="str">
        <f t="shared" si="25"/>
        <v>Vehicle 5 Unidentified Driving Diagnostic</v>
      </c>
      <c r="F212" s="15">
        <f t="shared" ca="1" si="27"/>
        <v>11</v>
      </c>
      <c r="G212" s="15" t="str">
        <f t="shared" si="28"/>
        <v>Diagnostic</v>
      </c>
      <c r="H212" s="15" t="str">
        <f t="shared" ca="1" si="26"/>
        <v>Active</v>
      </c>
      <c r="I212" s="15" t="str">
        <f>Data!M210</f>
        <v>Diagnostic</v>
      </c>
      <c r="J212" s="15" t="b">
        <f t="shared" ca="1" si="29"/>
        <v>0</v>
      </c>
      <c r="K212" s="15" t="b">
        <f t="shared" ca="1" si="30"/>
        <v>1</v>
      </c>
      <c r="L212" s="15" t="b">
        <f t="shared" si="31"/>
        <v>0</v>
      </c>
      <c r="M212" s="16" t="str">
        <f>Data!I210</f>
        <v>Long</v>
      </c>
      <c r="N212" s="16" t="str">
        <f>Data!J210</f>
        <v>Lat</v>
      </c>
      <c r="O212" s="15" t="str">
        <f>Data!K210</f>
        <v>Approximate Location</v>
      </c>
      <c r="P212" s="17">
        <f>Data!G210</f>
        <v>82487.4765625</v>
      </c>
      <c r="Q212" s="34">
        <f>Data!H210</f>
        <v>11.025610923767101</v>
      </c>
    </row>
    <row r="213" spans="1:17" ht="16.5" x14ac:dyDescent="0.3">
      <c r="A213" s="13" t="str">
        <f>Data!C211</f>
        <v>Vehicle 6</v>
      </c>
      <c r="B213" s="14">
        <f>Data!A211</f>
        <v>43593.743379629603</v>
      </c>
      <c r="C213" s="15" t="str">
        <f>Data!B211</f>
        <v>UnidentifiedDrivingCompliance</v>
      </c>
      <c r="D213" s="15" t="str">
        <f t="shared" si="24"/>
        <v>Unidentified Driving</v>
      </c>
      <c r="E213" s="15" t="str">
        <f t="shared" si="25"/>
        <v>Vehicle 6 Unidentified Driving Diagnostic</v>
      </c>
      <c r="F213" s="15">
        <f t="shared" ca="1" si="27"/>
        <v>11</v>
      </c>
      <c r="G213" s="15" t="str">
        <f t="shared" si="28"/>
        <v>Diagnostic</v>
      </c>
      <c r="H213" s="15" t="str">
        <f t="shared" ca="1" si="26"/>
        <v>Active</v>
      </c>
      <c r="I213" s="15" t="str">
        <f>Data!M211</f>
        <v>Diagnostic</v>
      </c>
      <c r="J213" s="15" t="b">
        <f t="shared" ca="1" si="29"/>
        <v>0</v>
      </c>
      <c r="K213" s="15" t="b">
        <f t="shared" ca="1" si="30"/>
        <v>1</v>
      </c>
      <c r="L213" s="15" t="b">
        <f t="shared" si="31"/>
        <v>0</v>
      </c>
      <c r="M213" s="16" t="str">
        <f>Data!I211</f>
        <v>Long</v>
      </c>
      <c r="N213" s="16" t="str">
        <f>Data!J211</f>
        <v>Lat</v>
      </c>
      <c r="O213" s="15" t="str">
        <f>Data!K211</f>
        <v>Approximate Location</v>
      </c>
      <c r="P213" s="17">
        <f>Data!G211</f>
        <v>119704.1953125</v>
      </c>
      <c r="Q213" s="34">
        <f>Data!H211</f>
        <v>72.317665100097699</v>
      </c>
    </row>
    <row r="214" spans="1:17" ht="16.5" x14ac:dyDescent="0.3">
      <c r="A214" s="13" t="str">
        <f>Data!C212</f>
        <v>Vehicle 2</v>
      </c>
      <c r="B214" s="14">
        <f>Data!A212</f>
        <v>43594.279017280103</v>
      </c>
      <c r="C214" s="15" t="str">
        <f>Data!B212</f>
        <v>DataTransferCompliance</v>
      </c>
      <c r="D214" s="15" t="str">
        <f t="shared" si="24"/>
        <v>Data Transfer</v>
      </c>
      <c r="E214" s="15" t="str">
        <f t="shared" si="25"/>
        <v>Vehicle 2 Data Transfer Diagnostic</v>
      </c>
      <c r="F214" s="15">
        <f t="shared" ca="1" si="27"/>
        <v>1</v>
      </c>
      <c r="G214" s="15" t="str">
        <f t="shared" si="28"/>
        <v>Diagnostic</v>
      </c>
      <c r="H214" s="15" t="str">
        <f t="shared" ca="1" si="26"/>
        <v>Cleared</v>
      </c>
      <c r="I214" s="15" t="str">
        <f>Data!M212</f>
        <v>SystemDiagnosticClear</v>
      </c>
      <c r="J214" s="15" t="b">
        <f t="shared" ca="1" si="29"/>
        <v>0</v>
      </c>
      <c r="K214" s="15" t="b">
        <f t="shared" ca="1" si="30"/>
        <v>0</v>
      </c>
      <c r="L214" s="15" t="b">
        <f t="shared" si="31"/>
        <v>0</v>
      </c>
      <c r="M214" s="16" t="str">
        <f>Data!I212</f>
        <v>Long</v>
      </c>
      <c r="N214" s="16" t="str">
        <f>Data!J212</f>
        <v>Lat</v>
      </c>
      <c r="O214" s="15" t="str">
        <f>Data!K212</f>
        <v>Approximate Location</v>
      </c>
      <c r="P214" s="17">
        <f>Data!G212</f>
        <v>3764.24462890625</v>
      </c>
      <c r="Q214" s="34">
        <f>Data!H212</f>
        <v>0</v>
      </c>
    </row>
    <row r="215" spans="1:17" ht="16.5" x14ac:dyDescent="0.3">
      <c r="A215" s="13" t="str">
        <f>Data!C213</f>
        <v>Vehicle 2</v>
      </c>
      <c r="B215" s="14">
        <f>Data!A213</f>
        <v>43594.279023495401</v>
      </c>
      <c r="C215" s="15" t="str">
        <f>Data!B213</f>
        <v>DataTransferCompliance</v>
      </c>
      <c r="D215" s="15" t="str">
        <f t="shared" si="24"/>
        <v>Data Transfer</v>
      </c>
      <c r="E215" s="15" t="str">
        <f t="shared" si="25"/>
        <v>Vehicle 2 Data Transfer Diagnostic</v>
      </c>
      <c r="F215" s="15">
        <f t="shared" ca="1" si="27"/>
        <v>11</v>
      </c>
      <c r="G215" s="15" t="str">
        <f t="shared" si="28"/>
        <v>Diagnostic</v>
      </c>
      <c r="H215" s="15" t="str">
        <f t="shared" ca="1" si="26"/>
        <v>Cleared</v>
      </c>
      <c r="I215" s="15" t="str">
        <f>Data!M213</f>
        <v>SystemDiagnosticClear</v>
      </c>
      <c r="J215" s="15" t="b">
        <f t="shared" ca="1" si="29"/>
        <v>0</v>
      </c>
      <c r="K215" s="15" t="b">
        <f t="shared" ca="1" si="30"/>
        <v>0</v>
      </c>
      <c r="L215" s="15" t="b">
        <f t="shared" si="31"/>
        <v>0</v>
      </c>
      <c r="M215" s="16" t="str">
        <f>Data!I213</f>
        <v>Long</v>
      </c>
      <c r="N215" s="16" t="str">
        <f>Data!J213</f>
        <v>Lat</v>
      </c>
      <c r="O215" s="15" t="str">
        <f>Data!K213</f>
        <v>Approximate Location</v>
      </c>
      <c r="P215" s="17">
        <f>Data!G213</f>
        <v>3764.24462890625</v>
      </c>
      <c r="Q215" s="34">
        <f>Data!H213</f>
        <v>15.56565284729</v>
      </c>
    </row>
    <row r="216" spans="1:17" ht="16.5" x14ac:dyDescent="0.3">
      <c r="A216" s="13" t="str">
        <f>Data!C214</f>
        <v>Vehicle 8</v>
      </c>
      <c r="B216" s="14">
        <f>Data!A214</f>
        <v>43594.302582060198</v>
      </c>
      <c r="C216" s="15" t="str">
        <f>Data!B214</f>
        <v>DataTransferCompliance</v>
      </c>
      <c r="D216" s="15" t="str">
        <f t="shared" si="24"/>
        <v>Data Transfer</v>
      </c>
      <c r="E216" s="15" t="str">
        <f t="shared" si="25"/>
        <v>Vehicle 8 Data Transfer Diagnostic</v>
      </c>
      <c r="F216" s="15">
        <f t="shared" ca="1" si="27"/>
        <v>2</v>
      </c>
      <c r="G216" s="15" t="str">
        <f t="shared" si="28"/>
        <v>Diagnostic</v>
      </c>
      <c r="H216" s="15" t="str">
        <f t="shared" ca="1" si="26"/>
        <v>Cleared</v>
      </c>
      <c r="I216" s="15" t="str">
        <f>Data!M214</f>
        <v>SystemDiagnosticClear</v>
      </c>
      <c r="J216" s="15" t="b">
        <f t="shared" ca="1" si="29"/>
        <v>0</v>
      </c>
      <c r="K216" s="15" t="b">
        <f t="shared" ca="1" si="30"/>
        <v>0</v>
      </c>
      <c r="L216" s="15" t="b">
        <f t="shared" si="31"/>
        <v>0</v>
      </c>
      <c r="M216" s="16" t="str">
        <f>Data!I214</f>
        <v>Long</v>
      </c>
      <c r="N216" s="16" t="str">
        <f>Data!J214</f>
        <v>Lat</v>
      </c>
      <c r="O216" s="15" t="str">
        <f>Data!K214</f>
        <v>Approximate Location</v>
      </c>
      <c r="P216" s="17">
        <f>Data!G214</f>
        <v>67195.8203125</v>
      </c>
      <c r="Q216" s="34">
        <f>Data!H214</f>
        <v>0</v>
      </c>
    </row>
    <row r="217" spans="1:17" ht="16.5" x14ac:dyDescent="0.3">
      <c r="A217" s="13" t="str">
        <f>Data!C215</f>
        <v>Vehicle 1</v>
      </c>
      <c r="B217" s="14">
        <f>Data!A215</f>
        <v>43594.373171296298</v>
      </c>
      <c r="C217" s="15" t="str">
        <f>Data!B215</f>
        <v>UnidentifiedDrivingCompliance</v>
      </c>
      <c r="D217" s="15" t="str">
        <f t="shared" si="24"/>
        <v>Unidentified Driving</v>
      </c>
      <c r="E217" s="15" t="str">
        <f t="shared" si="25"/>
        <v>Vehicle 1 Unidentified Driving Diagnostic</v>
      </c>
      <c r="F217" s="15">
        <f t="shared" ca="1" si="27"/>
        <v>18</v>
      </c>
      <c r="G217" s="15" t="str">
        <f t="shared" si="28"/>
        <v>Diagnostic</v>
      </c>
      <c r="H217" s="15" t="str">
        <f t="shared" ca="1" si="26"/>
        <v>Active</v>
      </c>
      <c r="I217" s="15" t="str">
        <f>Data!M215</f>
        <v>Diagnostic</v>
      </c>
      <c r="J217" s="15" t="b">
        <f t="shared" ca="1" si="29"/>
        <v>0</v>
      </c>
      <c r="K217" s="15" t="b">
        <f t="shared" ca="1" si="30"/>
        <v>1</v>
      </c>
      <c r="L217" s="15" t="b">
        <f t="shared" si="31"/>
        <v>0</v>
      </c>
      <c r="M217" s="16" t="str">
        <f>Data!I215</f>
        <v>Long</v>
      </c>
      <c r="N217" s="16" t="str">
        <f>Data!J215</f>
        <v>Lat</v>
      </c>
      <c r="O217" s="15" t="str">
        <f>Data!K215</f>
        <v>Approximate Location</v>
      </c>
      <c r="P217" s="17">
        <f>Data!G215</f>
        <v>12933.8447265625</v>
      </c>
      <c r="Q217" s="34">
        <f>Data!H215</f>
        <v>32.889244079589801</v>
      </c>
    </row>
    <row r="218" spans="1:17" ht="16.5" x14ac:dyDescent="0.3">
      <c r="A218" s="13" t="str">
        <f>Data!C216</f>
        <v>Vehicle 8</v>
      </c>
      <c r="B218" s="14">
        <f>Data!A216</f>
        <v>43594.409606828704</v>
      </c>
      <c r="C218" s="15" t="str">
        <f>Data!B216</f>
        <v>DataTransferCompliance</v>
      </c>
      <c r="D218" s="15" t="str">
        <f t="shared" si="24"/>
        <v>Data Transfer</v>
      </c>
      <c r="E218" s="15" t="str">
        <f t="shared" si="25"/>
        <v>Vehicle 8 Data Transfer Diagnostic</v>
      </c>
      <c r="F218" s="15">
        <f t="shared" ca="1" si="27"/>
        <v>11</v>
      </c>
      <c r="G218" s="15" t="str">
        <f t="shared" si="28"/>
        <v>Diagnostic</v>
      </c>
      <c r="H218" s="15" t="str">
        <f t="shared" ca="1" si="26"/>
        <v>Cleared</v>
      </c>
      <c r="I218" s="15" t="str">
        <f>Data!M216</f>
        <v>SystemDiagnosticClear</v>
      </c>
      <c r="J218" s="15" t="b">
        <f t="shared" ca="1" si="29"/>
        <v>0</v>
      </c>
      <c r="K218" s="15" t="b">
        <f t="shared" ca="1" si="30"/>
        <v>0</v>
      </c>
      <c r="L218" s="15" t="b">
        <f t="shared" si="31"/>
        <v>0</v>
      </c>
      <c r="M218" s="16" t="str">
        <f>Data!I216</f>
        <v>Long</v>
      </c>
      <c r="N218" s="16" t="str">
        <f>Data!J216</f>
        <v>Lat</v>
      </c>
      <c r="O218" s="15" t="str">
        <f>Data!K216</f>
        <v>Approximate Location</v>
      </c>
      <c r="P218" s="17">
        <f>Data!G216</f>
        <v>67195.8203125</v>
      </c>
      <c r="Q218" s="34">
        <f>Data!H216</f>
        <v>0.15124677121639299</v>
      </c>
    </row>
    <row r="219" spans="1:17" ht="16.5" x14ac:dyDescent="0.3">
      <c r="A219" s="13" t="str">
        <f>Data!C217</f>
        <v>Vehicle 10</v>
      </c>
      <c r="B219" s="14">
        <f>Data!A217</f>
        <v>43594.421400462998</v>
      </c>
      <c r="C219" s="15" t="str">
        <f>Data!B217</f>
        <v>UnidentifiedDrivingCompliance</v>
      </c>
      <c r="D219" s="15" t="str">
        <f t="shared" si="24"/>
        <v>Unidentified Driving</v>
      </c>
      <c r="E219" s="15" t="str">
        <f t="shared" si="25"/>
        <v>Vehicle 10 Unidentified Driving Diagnostic</v>
      </c>
      <c r="F219" s="15">
        <f t="shared" ca="1" si="27"/>
        <v>14</v>
      </c>
      <c r="G219" s="15" t="str">
        <f t="shared" si="28"/>
        <v>Diagnostic</v>
      </c>
      <c r="H219" s="15" t="str">
        <f t="shared" ca="1" si="26"/>
        <v>Active</v>
      </c>
      <c r="I219" s="15" t="str">
        <f>Data!M217</f>
        <v>Diagnostic</v>
      </c>
      <c r="J219" s="15" t="b">
        <f t="shared" ca="1" si="29"/>
        <v>0</v>
      </c>
      <c r="K219" s="15" t="b">
        <f t="shared" ca="1" si="30"/>
        <v>1</v>
      </c>
      <c r="L219" s="15" t="b">
        <f t="shared" si="31"/>
        <v>0</v>
      </c>
      <c r="M219" s="16" t="str">
        <f>Data!I217</f>
        <v>Long</v>
      </c>
      <c r="N219" s="16" t="str">
        <f>Data!J217</f>
        <v>Lat</v>
      </c>
      <c r="O219" s="15" t="str">
        <f>Data!K217</f>
        <v>Approximate Location</v>
      </c>
      <c r="P219" s="17">
        <f>Data!G217</f>
        <v>93528.421875</v>
      </c>
      <c r="Q219" s="34">
        <f>Data!H217</f>
        <v>34.617832183837898</v>
      </c>
    </row>
    <row r="220" spans="1:17" ht="16.5" x14ac:dyDescent="0.3">
      <c r="A220" s="13" t="str">
        <f>Data!C218</f>
        <v>Vehicle 8</v>
      </c>
      <c r="B220" s="14">
        <f>Data!A218</f>
        <v>43594.439525463</v>
      </c>
      <c r="C220" s="15" t="str">
        <f>Data!B218</f>
        <v>PowerCompliance</v>
      </c>
      <c r="D220" s="15" t="str">
        <f t="shared" si="24"/>
        <v>Power</v>
      </c>
      <c r="E220" s="15" t="str">
        <f t="shared" si="25"/>
        <v>Vehicle 8 Power Diagnostic</v>
      </c>
      <c r="F220" s="15">
        <f t="shared" ca="1" si="27"/>
        <v>1</v>
      </c>
      <c r="G220" s="15" t="str">
        <f t="shared" si="28"/>
        <v>Diagnostic</v>
      </c>
      <c r="H220" s="15" t="str">
        <f t="shared" ca="1" si="26"/>
        <v>Cleared</v>
      </c>
      <c r="I220" s="15" t="str">
        <f>Data!M218</f>
        <v>Diagnostic</v>
      </c>
      <c r="J220" s="15" t="b">
        <f t="shared" ca="1" si="29"/>
        <v>0</v>
      </c>
      <c r="K220" s="15" t="b">
        <f t="shared" ca="1" si="30"/>
        <v>0</v>
      </c>
      <c r="L220" s="15" t="b">
        <f t="shared" si="31"/>
        <v>0</v>
      </c>
      <c r="M220" s="16" t="str">
        <f>Data!I218</f>
        <v>Long</v>
      </c>
      <c r="N220" s="16" t="str">
        <f>Data!J218</f>
        <v>Lat</v>
      </c>
      <c r="O220" s="15" t="str">
        <f>Data!K218</f>
        <v>Approximate Location</v>
      </c>
      <c r="P220" s="17">
        <f>Data!G218</f>
        <v>67195.9765625</v>
      </c>
      <c r="Q220" s="34">
        <f>Data!H218</f>
        <v>0</v>
      </c>
    </row>
    <row r="221" spans="1:17" ht="16.5" x14ac:dyDescent="0.3">
      <c r="A221" s="13" t="str">
        <f>Data!C219</f>
        <v>Vehicle 8</v>
      </c>
      <c r="B221" s="14">
        <f>Data!A219</f>
        <v>43594.439710648097</v>
      </c>
      <c r="C221" s="15" t="str">
        <f>Data!B219</f>
        <v>PowerCompliance</v>
      </c>
      <c r="D221" s="15" t="str">
        <f t="shared" si="24"/>
        <v>Power</v>
      </c>
      <c r="E221" s="15" t="str">
        <f t="shared" si="25"/>
        <v>Vehicle 8 Power Diagnostic</v>
      </c>
      <c r="F221" s="15">
        <f t="shared" ca="1" si="27"/>
        <v>6</v>
      </c>
      <c r="G221" s="15" t="str">
        <f t="shared" si="28"/>
        <v>Diagnostic</v>
      </c>
      <c r="H221" s="15" t="str">
        <f t="shared" ca="1" si="26"/>
        <v>Cleared</v>
      </c>
      <c r="I221" s="15" t="str">
        <f>Data!M219</f>
        <v>SystemDiagnosticClearDriving</v>
      </c>
      <c r="J221" s="15" t="b">
        <f t="shared" ca="1" si="29"/>
        <v>0</v>
      </c>
      <c r="K221" s="15" t="b">
        <f t="shared" ca="1" si="30"/>
        <v>0</v>
      </c>
      <c r="L221" s="15" t="b">
        <f t="shared" si="31"/>
        <v>0</v>
      </c>
      <c r="M221" s="16" t="str">
        <f>Data!I219</f>
        <v>Long</v>
      </c>
      <c r="N221" s="16" t="str">
        <f>Data!J219</f>
        <v>Lat</v>
      </c>
      <c r="O221" s="15" t="str">
        <f>Data!K219</f>
        <v>Approximate Location</v>
      </c>
      <c r="P221" s="17">
        <f>Data!G219</f>
        <v>67195.9765625</v>
      </c>
      <c r="Q221" s="34">
        <f>Data!H219</f>
        <v>3.7282273769378702</v>
      </c>
    </row>
    <row r="222" spans="1:17" ht="16.5" x14ac:dyDescent="0.3">
      <c r="A222" s="13" t="str">
        <f>Data!C220</f>
        <v>Vehicle 4</v>
      </c>
      <c r="B222" s="14">
        <f>Data!A220</f>
        <v>43594.550960648201</v>
      </c>
      <c r="C222" s="15" t="str">
        <f>Data!B220</f>
        <v>UnidentifiedDrivingCompliance</v>
      </c>
      <c r="D222" s="15" t="str">
        <f t="shared" si="24"/>
        <v>Unidentified Driving</v>
      </c>
      <c r="E222" s="15" t="str">
        <f t="shared" si="25"/>
        <v>Vehicle 4 Unidentified Driving Diagnostic</v>
      </c>
      <c r="F222" s="15">
        <f t="shared" ca="1" si="27"/>
        <v>3</v>
      </c>
      <c r="G222" s="15" t="str">
        <f t="shared" si="28"/>
        <v>Diagnostic</v>
      </c>
      <c r="H222" s="15" t="str">
        <f t="shared" ca="1" si="26"/>
        <v>Active</v>
      </c>
      <c r="I222" s="15" t="str">
        <f>Data!M220</f>
        <v>Diagnostic</v>
      </c>
      <c r="J222" s="15" t="b">
        <f t="shared" ca="1" si="29"/>
        <v>0</v>
      </c>
      <c r="K222" s="15" t="b">
        <f t="shared" ca="1" si="30"/>
        <v>1</v>
      </c>
      <c r="L222" s="15" t="b">
        <f t="shared" si="31"/>
        <v>0</v>
      </c>
      <c r="M222" s="16" t="str">
        <f>Data!I220</f>
        <v>Long</v>
      </c>
      <c r="N222" s="16" t="str">
        <f>Data!J220</f>
        <v>Lat</v>
      </c>
      <c r="O222" s="15" t="str">
        <f>Data!K220</f>
        <v>Approximate Location</v>
      </c>
      <c r="P222" s="17">
        <f>Data!G220</f>
        <v>60958.76953125</v>
      </c>
      <c r="Q222" s="34">
        <f>Data!H220</f>
        <v>10.846655845642101</v>
      </c>
    </row>
    <row r="223" spans="1:17" ht="16.5" x14ac:dyDescent="0.3">
      <c r="A223" s="13" t="str">
        <f>Data!C221</f>
        <v>Vehicle 5</v>
      </c>
      <c r="B223" s="14">
        <f>Data!A221</f>
        <v>43594.682256944398</v>
      </c>
      <c r="C223" s="15" t="str">
        <f>Data!B221</f>
        <v>UnidentifiedDrivingCompliance</v>
      </c>
      <c r="D223" s="15" t="str">
        <f t="shared" si="24"/>
        <v>Unidentified Driving</v>
      </c>
      <c r="E223" s="15" t="str">
        <f t="shared" si="25"/>
        <v>Vehicle 5 Unidentified Driving Diagnostic</v>
      </c>
      <c r="F223" s="15">
        <f t="shared" ca="1" si="27"/>
        <v>17</v>
      </c>
      <c r="G223" s="15" t="str">
        <f t="shared" si="28"/>
        <v>Diagnostic</v>
      </c>
      <c r="H223" s="15" t="str">
        <f t="shared" ca="1" si="26"/>
        <v>Active</v>
      </c>
      <c r="I223" s="15" t="str">
        <f>Data!M221</f>
        <v>Diagnostic</v>
      </c>
      <c r="J223" s="15" t="b">
        <f t="shared" ca="1" si="29"/>
        <v>0</v>
      </c>
      <c r="K223" s="15" t="b">
        <f t="shared" ca="1" si="30"/>
        <v>1</v>
      </c>
      <c r="L223" s="15" t="b">
        <f t="shared" si="31"/>
        <v>0</v>
      </c>
      <c r="M223" s="16" t="str">
        <f>Data!I221</f>
        <v>Long</v>
      </c>
      <c r="N223" s="16" t="str">
        <f>Data!J221</f>
        <v>Lat</v>
      </c>
      <c r="O223" s="15" t="str">
        <f>Data!K221</f>
        <v>Approximate Location</v>
      </c>
      <c r="P223" s="17">
        <f>Data!G221</f>
        <v>82498.5</v>
      </c>
      <c r="Q223" s="34">
        <f>Data!H221</f>
        <v>12.983936309814499</v>
      </c>
    </row>
    <row r="224" spans="1:17" ht="16.5" x14ac:dyDescent="0.3">
      <c r="A224" s="13" t="str">
        <f>Data!C222</f>
        <v>Vehicle 6</v>
      </c>
      <c r="B224" s="14">
        <f>Data!A222</f>
        <v>43594.769907407397</v>
      </c>
      <c r="C224" s="15" t="str">
        <f>Data!B222</f>
        <v>UnidentifiedDrivingCompliance</v>
      </c>
      <c r="D224" s="15" t="str">
        <f t="shared" si="24"/>
        <v>Unidentified Driving</v>
      </c>
      <c r="E224" s="15" t="str">
        <f t="shared" si="25"/>
        <v>Vehicle 6 Unidentified Driving Diagnostic</v>
      </c>
      <c r="F224" s="15">
        <f t="shared" ca="1" si="27"/>
        <v>21</v>
      </c>
      <c r="G224" s="15" t="str">
        <f t="shared" si="28"/>
        <v>Diagnostic</v>
      </c>
      <c r="H224" s="15" t="str">
        <f t="shared" ca="1" si="26"/>
        <v>Active</v>
      </c>
      <c r="I224" s="15" t="str">
        <f>Data!M222</f>
        <v>Diagnostic</v>
      </c>
      <c r="J224" s="15" t="b">
        <f t="shared" ca="1" si="29"/>
        <v>0</v>
      </c>
      <c r="K224" s="15" t="b">
        <f t="shared" ca="1" si="30"/>
        <v>1</v>
      </c>
      <c r="L224" s="15" t="b">
        <f t="shared" si="31"/>
        <v>0</v>
      </c>
      <c r="M224" s="16" t="str">
        <f>Data!I222</f>
        <v>Long</v>
      </c>
      <c r="N224" s="16" t="str">
        <f>Data!J222</f>
        <v>Lat</v>
      </c>
      <c r="O224" s="15" t="str">
        <f>Data!K222</f>
        <v>Approximate Location</v>
      </c>
      <c r="P224" s="17">
        <f>Data!G222</f>
        <v>119776.5078125</v>
      </c>
      <c r="Q224" s="34">
        <f>Data!H222</f>
        <v>71.396530151367202</v>
      </c>
    </row>
    <row r="225" spans="1:17" ht="16.5" x14ac:dyDescent="0.3">
      <c r="A225" s="13" t="str">
        <f>Data!C223</f>
        <v>Vehicle 4</v>
      </c>
      <c r="B225" s="14">
        <f>Data!A223</f>
        <v>43595.245706018497</v>
      </c>
      <c r="C225" s="15" t="str">
        <f>Data!B223</f>
        <v>UnidentifiedDrivingCompliance</v>
      </c>
      <c r="D225" s="15" t="str">
        <f t="shared" si="24"/>
        <v>Unidentified Driving</v>
      </c>
      <c r="E225" s="15" t="str">
        <f t="shared" si="25"/>
        <v>Vehicle 4 Unidentified Driving Diagnostic</v>
      </c>
      <c r="F225" s="15">
        <f t="shared" ca="1" si="27"/>
        <v>29</v>
      </c>
      <c r="G225" s="15" t="str">
        <f t="shared" si="28"/>
        <v>Diagnostic</v>
      </c>
      <c r="H225" s="15" t="str">
        <f t="shared" ca="1" si="26"/>
        <v>Active</v>
      </c>
      <c r="I225" s="15" t="str">
        <f>Data!M223</f>
        <v>Diagnostic</v>
      </c>
      <c r="J225" s="15" t="b">
        <f t="shared" ca="1" si="29"/>
        <v>0</v>
      </c>
      <c r="K225" s="15" t="b">
        <f t="shared" ca="1" si="30"/>
        <v>1</v>
      </c>
      <c r="L225" s="15" t="b">
        <f t="shared" si="31"/>
        <v>0</v>
      </c>
      <c r="M225" s="16" t="str">
        <f>Data!I223</f>
        <v>Long</v>
      </c>
      <c r="N225" s="16" t="str">
        <f>Data!J223</f>
        <v>Lat</v>
      </c>
      <c r="O225" s="15" t="str">
        <f>Data!K223</f>
        <v>Approximate Location</v>
      </c>
      <c r="P225" s="17">
        <f>Data!G223</f>
        <v>60969.6171875</v>
      </c>
      <c r="Q225" s="34">
        <f>Data!H223</f>
        <v>14.451577186584499</v>
      </c>
    </row>
    <row r="226" spans="1:17" ht="16.5" x14ac:dyDescent="0.3">
      <c r="A226" s="13" t="str">
        <f>Data!C224</f>
        <v>Vehicle 2</v>
      </c>
      <c r="B226" s="14">
        <f>Data!A224</f>
        <v>43595.279814270798</v>
      </c>
      <c r="C226" s="15" t="str">
        <f>Data!B224</f>
        <v>DataTransferCompliance</v>
      </c>
      <c r="D226" s="15" t="str">
        <f t="shared" si="24"/>
        <v>Data Transfer</v>
      </c>
      <c r="E226" s="15" t="str">
        <f t="shared" si="25"/>
        <v>Vehicle 2 Data Transfer Diagnostic</v>
      </c>
      <c r="F226" s="15">
        <f t="shared" ca="1" si="27"/>
        <v>34</v>
      </c>
      <c r="G226" s="15" t="str">
        <f t="shared" si="28"/>
        <v>Diagnostic</v>
      </c>
      <c r="H226" s="15" t="str">
        <f t="shared" ca="1" si="26"/>
        <v>Cleared</v>
      </c>
      <c r="I226" s="15" t="str">
        <f>Data!M224</f>
        <v>SystemDiagnosticClear</v>
      </c>
      <c r="J226" s="15" t="b">
        <f t="shared" ca="1" si="29"/>
        <v>0</v>
      </c>
      <c r="K226" s="15" t="b">
        <f t="shared" ca="1" si="30"/>
        <v>0</v>
      </c>
      <c r="L226" s="15" t="b">
        <f t="shared" si="31"/>
        <v>0</v>
      </c>
      <c r="M226" s="16" t="str">
        <f>Data!I224</f>
        <v>Long</v>
      </c>
      <c r="N226" s="16" t="str">
        <f>Data!J224</f>
        <v>Lat</v>
      </c>
      <c r="O226" s="15" t="str">
        <f>Data!K224</f>
        <v>Approximate Location</v>
      </c>
      <c r="P226" s="17">
        <f>Data!G224</f>
        <v>3779.81030273438</v>
      </c>
      <c r="Q226" s="34">
        <f>Data!H224</f>
        <v>64.979621887207003</v>
      </c>
    </row>
    <row r="227" spans="1:17" ht="16.5" x14ac:dyDescent="0.3">
      <c r="A227" s="13" t="str">
        <f>Data!C225</f>
        <v>Vehicle 8</v>
      </c>
      <c r="B227" s="14">
        <f>Data!A225</f>
        <v>43595.289050925901</v>
      </c>
      <c r="C227" s="15" t="str">
        <f>Data!B225</f>
        <v>PowerCompliance</v>
      </c>
      <c r="D227" s="15" t="str">
        <f t="shared" si="24"/>
        <v>Power</v>
      </c>
      <c r="E227" s="15" t="str">
        <f t="shared" si="25"/>
        <v>Vehicle 8 Power Diagnostic</v>
      </c>
      <c r="F227" s="15">
        <f t="shared" ca="1" si="27"/>
        <v>1</v>
      </c>
      <c r="G227" s="15" t="str">
        <f t="shared" si="28"/>
        <v>Diagnostic</v>
      </c>
      <c r="H227" s="15" t="str">
        <f t="shared" ca="1" si="26"/>
        <v>Cleared</v>
      </c>
      <c r="I227" s="15" t="str">
        <f>Data!M225</f>
        <v>Diagnostic</v>
      </c>
      <c r="J227" s="15" t="b">
        <f t="shared" ca="1" si="29"/>
        <v>0</v>
      </c>
      <c r="K227" s="15" t="b">
        <f t="shared" ca="1" si="30"/>
        <v>0</v>
      </c>
      <c r="L227" s="15" t="b">
        <f t="shared" si="31"/>
        <v>0</v>
      </c>
      <c r="M227" s="16" t="str">
        <f>Data!I225</f>
        <v>Long</v>
      </c>
      <c r="N227" s="16" t="str">
        <f>Data!J225</f>
        <v>Lat</v>
      </c>
      <c r="O227" s="15" t="str">
        <f>Data!K225</f>
        <v>Approximate Location</v>
      </c>
      <c r="P227" s="17">
        <f>Data!G225</f>
        <v>67199.703125</v>
      </c>
      <c r="Q227" s="34">
        <f>Data!H225</f>
        <v>0</v>
      </c>
    </row>
    <row r="228" spans="1:17" ht="16.5" x14ac:dyDescent="0.3">
      <c r="A228" s="13" t="str">
        <f>Data!C226</f>
        <v>Vehicle 8</v>
      </c>
      <c r="B228" s="14">
        <f>Data!A226</f>
        <v>43595.289930555598</v>
      </c>
      <c r="C228" s="15" t="str">
        <f>Data!B226</f>
        <v>PowerCompliance</v>
      </c>
      <c r="D228" s="15" t="str">
        <f t="shared" si="24"/>
        <v>Power</v>
      </c>
      <c r="E228" s="15" t="str">
        <f t="shared" si="25"/>
        <v>Vehicle 8 Power Diagnostic</v>
      </c>
      <c r="F228" s="15" t="e">
        <f t="shared" ca="1" si="27"/>
        <v>#N/A</v>
      </c>
      <c r="G228" s="15" t="str">
        <f t="shared" si="28"/>
        <v>Diagnostic</v>
      </c>
      <c r="H228" s="15" t="str">
        <f t="shared" ca="1" si="26"/>
        <v>Cleared</v>
      </c>
      <c r="I228" s="15" t="str">
        <f>Data!M226</f>
        <v>SystemDiagnosticClearDriving</v>
      </c>
      <c r="J228" s="15" t="b">
        <f t="shared" ca="1" si="29"/>
        <v>1</v>
      </c>
      <c r="K228" s="15" t="b">
        <f t="shared" ca="1" si="30"/>
        <v>0</v>
      </c>
      <c r="L228" s="15" t="b">
        <f t="shared" si="31"/>
        <v>0</v>
      </c>
      <c r="M228" s="16" t="str">
        <f>Data!I226</f>
        <v>Long</v>
      </c>
      <c r="N228" s="16" t="str">
        <f>Data!J226</f>
        <v>Lat</v>
      </c>
      <c r="O228" s="15" t="str">
        <f>Data!K226</f>
        <v>Approximate Location</v>
      </c>
      <c r="P228" s="17">
        <f>Data!G226</f>
        <v>67199.703125</v>
      </c>
      <c r="Q228" s="34">
        <f>Data!H226</f>
        <v>-4.9709696322679502E-3</v>
      </c>
    </row>
    <row r="229" spans="1:17" ht="16.5" x14ac:dyDescent="0.3">
      <c r="A229" s="13" t="str">
        <f>Data!C227</f>
        <v>Vehicle 8</v>
      </c>
      <c r="B229" s="14">
        <f>Data!A227</f>
        <v>43595.292478356503</v>
      </c>
      <c r="C229" s="15" t="str">
        <f>Data!B227</f>
        <v>DataTransferCompliance</v>
      </c>
      <c r="D229" s="15" t="str">
        <f t="shared" si="24"/>
        <v>Data Transfer</v>
      </c>
      <c r="E229" s="15" t="str">
        <f t="shared" si="25"/>
        <v>Vehicle 8 Data Transfer Diagnostic</v>
      </c>
      <c r="F229" s="15">
        <f t="shared" ca="1" si="27"/>
        <v>5</v>
      </c>
      <c r="G229" s="15" t="str">
        <f t="shared" si="28"/>
        <v>Diagnostic</v>
      </c>
      <c r="H229" s="15" t="str">
        <f t="shared" ca="1" si="26"/>
        <v>Cleared</v>
      </c>
      <c r="I229" s="15" t="str">
        <f>Data!M227</f>
        <v>SystemDiagnosticClear</v>
      </c>
      <c r="J229" s="15" t="b">
        <f t="shared" ca="1" si="29"/>
        <v>0</v>
      </c>
      <c r="K229" s="15" t="b">
        <f t="shared" ca="1" si="30"/>
        <v>0</v>
      </c>
      <c r="L229" s="15" t="b">
        <f t="shared" si="31"/>
        <v>0</v>
      </c>
      <c r="M229" s="16" t="str">
        <f>Data!I227</f>
        <v>Long</v>
      </c>
      <c r="N229" s="16" t="str">
        <f>Data!J227</f>
        <v>Lat</v>
      </c>
      <c r="O229" s="15" t="str">
        <f>Data!K227</f>
        <v>Approximate Location</v>
      </c>
      <c r="P229" s="17">
        <f>Data!G227</f>
        <v>67199.6953125</v>
      </c>
      <c r="Q229" s="34">
        <f>Data!H227</f>
        <v>0.225578963756561</v>
      </c>
    </row>
    <row r="230" spans="1:17" ht="16.5" x14ac:dyDescent="0.3">
      <c r="A230" s="13" t="str">
        <f>Data!C228</f>
        <v>Vehicle 9</v>
      </c>
      <c r="B230" s="14">
        <f>Data!A228</f>
        <v>43595.294398460603</v>
      </c>
      <c r="C230" s="15" t="str">
        <f>Data!B228</f>
        <v>DataTransferCompliance</v>
      </c>
      <c r="D230" s="15" t="str">
        <f t="shared" si="24"/>
        <v>Data Transfer</v>
      </c>
      <c r="E230" s="15" t="str">
        <f t="shared" si="25"/>
        <v>Vehicle 9 Data Transfer Diagnostic</v>
      </c>
      <c r="F230" s="15">
        <f t="shared" ca="1" si="27"/>
        <v>11</v>
      </c>
      <c r="G230" s="15" t="str">
        <f t="shared" si="28"/>
        <v>Diagnostic</v>
      </c>
      <c r="H230" s="15" t="str">
        <f t="shared" ca="1" si="26"/>
        <v>Cleared</v>
      </c>
      <c r="I230" s="15" t="str">
        <f>Data!M228</f>
        <v>SystemDiagnosticClear</v>
      </c>
      <c r="J230" s="15" t="b">
        <f t="shared" ca="1" si="29"/>
        <v>0</v>
      </c>
      <c r="K230" s="15" t="b">
        <f t="shared" ca="1" si="30"/>
        <v>0</v>
      </c>
      <c r="L230" s="15" t="b">
        <f t="shared" si="31"/>
        <v>0</v>
      </c>
      <c r="M230" s="16" t="str">
        <f>Data!I228</f>
        <v>Long</v>
      </c>
      <c r="N230" s="16" t="str">
        <f>Data!J228</f>
        <v>Lat</v>
      </c>
      <c r="O230" s="15" t="str">
        <f>Data!K228</f>
        <v>Approximate Location</v>
      </c>
      <c r="P230" s="17">
        <f>Data!G228</f>
        <v>0</v>
      </c>
      <c r="Q230" s="34">
        <f>Data!H228</f>
        <v>0</v>
      </c>
    </row>
    <row r="231" spans="1:17" ht="16.5" x14ac:dyDescent="0.3">
      <c r="A231" s="13" t="str">
        <f>Data!C229</f>
        <v>Vehicle 1</v>
      </c>
      <c r="B231" s="14">
        <f>Data!A229</f>
        <v>43595.309467592597</v>
      </c>
      <c r="C231" s="15" t="str">
        <f>Data!B229</f>
        <v>PowerCompliance</v>
      </c>
      <c r="D231" s="15" t="str">
        <f t="shared" si="24"/>
        <v>Power</v>
      </c>
      <c r="E231" s="15" t="str">
        <f t="shared" si="25"/>
        <v>Vehicle 1 Power Diagnostic</v>
      </c>
      <c r="F231" s="15">
        <f t="shared" ca="1" si="27"/>
        <v>1</v>
      </c>
      <c r="G231" s="15" t="str">
        <f t="shared" si="28"/>
        <v>Diagnostic</v>
      </c>
      <c r="H231" s="15" t="str">
        <f t="shared" ca="1" si="26"/>
        <v>Cleared</v>
      </c>
      <c r="I231" s="15" t="str">
        <f>Data!M229</f>
        <v>Diagnostic</v>
      </c>
      <c r="J231" s="15" t="b">
        <f t="shared" ca="1" si="29"/>
        <v>0</v>
      </c>
      <c r="K231" s="15" t="b">
        <f t="shared" ca="1" si="30"/>
        <v>0</v>
      </c>
      <c r="L231" s="15" t="b">
        <f t="shared" si="31"/>
        <v>0</v>
      </c>
      <c r="M231" s="16" t="str">
        <f>Data!I229</f>
        <v>Long</v>
      </c>
      <c r="N231" s="16" t="str">
        <f>Data!J229</f>
        <v>Lat</v>
      </c>
      <c r="O231" s="15" t="str">
        <f>Data!K229</f>
        <v>Approximate Location</v>
      </c>
      <c r="P231" s="17">
        <f>Data!G229</f>
        <v>12966.7333984375</v>
      </c>
      <c r="Q231" s="34">
        <f>Data!H229</f>
        <v>3.9091586950235101E-4</v>
      </c>
    </row>
    <row r="232" spans="1:17" ht="16.5" x14ac:dyDescent="0.3">
      <c r="A232" s="13" t="str">
        <f>Data!C230</f>
        <v>Vehicle 1</v>
      </c>
      <c r="B232" s="14">
        <f>Data!A230</f>
        <v>43595.310173611098</v>
      </c>
      <c r="C232" s="15" t="str">
        <f>Data!B230</f>
        <v>PowerCompliance</v>
      </c>
      <c r="D232" s="15" t="str">
        <f t="shared" si="24"/>
        <v>Power</v>
      </c>
      <c r="E232" s="15" t="str">
        <f t="shared" si="25"/>
        <v>Vehicle 1 Power Diagnostic</v>
      </c>
      <c r="F232" s="15" t="e">
        <f t="shared" ca="1" si="27"/>
        <v>#N/A</v>
      </c>
      <c r="G232" s="15" t="str">
        <f t="shared" si="28"/>
        <v>Diagnostic</v>
      </c>
      <c r="H232" s="15" t="str">
        <f t="shared" ca="1" si="26"/>
        <v>Cleared</v>
      </c>
      <c r="I232" s="15" t="str">
        <f>Data!M230</f>
        <v>SystemDiagnosticClearDriving</v>
      </c>
      <c r="J232" s="15" t="b">
        <f t="shared" ca="1" si="29"/>
        <v>1</v>
      </c>
      <c r="K232" s="15" t="b">
        <f t="shared" ca="1" si="30"/>
        <v>0</v>
      </c>
      <c r="L232" s="15" t="b">
        <f t="shared" si="31"/>
        <v>0</v>
      </c>
      <c r="M232" s="16" t="str">
        <f>Data!I230</f>
        <v>Long</v>
      </c>
      <c r="N232" s="16" t="str">
        <f>Data!J230</f>
        <v>Lat</v>
      </c>
      <c r="O232" s="15" t="str">
        <f>Data!K230</f>
        <v>Approximate Location</v>
      </c>
      <c r="P232" s="17">
        <f>Data!G230</f>
        <v>12966.734375</v>
      </c>
      <c r="Q232" s="34">
        <f>Data!H230</f>
        <v>3.9475681781768799</v>
      </c>
    </row>
    <row r="233" spans="1:17" ht="16.5" x14ac:dyDescent="0.3">
      <c r="A233" s="13" t="str">
        <f>Data!C231</f>
        <v>Vehicle 10</v>
      </c>
      <c r="B233" s="14">
        <f>Data!A231</f>
        <v>43595.340868055602</v>
      </c>
      <c r="C233" s="15" t="str">
        <f>Data!B231</f>
        <v>UnidentifiedDrivingCompliance</v>
      </c>
      <c r="D233" s="15" t="str">
        <f t="shared" si="24"/>
        <v>Unidentified Driving</v>
      </c>
      <c r="E233" s="15" t="str">
        <f t="shared" si="25"/>
        <v>Vehicle 10 Unidentified Driving Diagnostic</v>
      </c>
      <c r="F233" s="15">
        <f t="shared" ca="1" si="27"/>
        <v>14</v>
      </c>
      <c r="G233" s="15" t="str">
        <f t="shared" si="28"/>
        <v>Diagnostic</v>
      </c>
      <c r="H233" s="15" t="str">
        <f t="shared" ca="1" si="26"/>
        <v>Active</v>
      </c>
      <c r="I233" s="15" t="str">
        <f>Data!M231</f>
        <v>Diagnostic</v>
      </c>
      <c r="J233" s="15" t="b">
        <f t="shared" ca="1" si="29"/>
        <v>0</v>
      </c>
      <c r="K233" s="15" t="b">
        <f t="shared" ca="1" si="30"/>
        <v>1</v>
      </c>
      <c r="L233" s="15" t="b">
        <f t="shared" si="31"/>
        <v>0</v>
      </c>
      <c r="M233" s="16" t="str">
        <f>Data!I231</f>
        <v>Long</v>
      </c>
      <c r="N233" s="16" t="str">
        <f>Data!J231</f>
        <v>Lat</v>
      </c>
      <c r="O233" s="15" t="str">
        <f>Data!K231</f>
        <v>Approximate Location</v>
      </c>
      <c r="P233" s="17">
        <f>Data!G231</f>
        <v>93563.0390625</v>
      </c>
      <c r="Q233" s="34">
        <f>Data!H231</f>
        <v>10.6850996017456</v>
      </c>
    </row>
    <row r="234" spans="1:17" ht="16.5" x14ac:dyDescent="0.3">
      <c r="A234" s="13" t="str">
        <f>Data!C232</f>
        <v>Vehicle 8</v>
      </c>
      <c r="B234" s="14">
        <f>Data!A232</f>
        <v>43595.381217326401</v>
      </c>
      <c r="C234" s="15" t="str">
        <f>Data!B232</f>
        <v>DataTransferCompliance</v>
      </c>
      <c r="D234" s="15" t="str">
        <f t="shared" si="24"/>
        <v>Data Transfer</v>
      </c>
      <c r="E234" s="15" t="str">
        <f t="shared" si="25"/>
        <v>Vehicle 8 Data Transfer Diagnostic</v>
      </c>
      <c r="F234" s="15" t="e">
        <f t="shared" ca="1" si="27"/>
        <v>#N/A</v>
      </c>
      <c r="G234" s="15" t="str">
        <f t="shared" si="28"/>
        <v>Diagnostic</v>
      </c>
      <c r="H234" s="15" t="str">
        <f t="shared" ca="1" si="26"/>
        <v>Cleared</v>
      </c>
      <c r="I234" s="15" t="str">
        <f>Data!M232</f>
        <v>SystemDiagnosticClear</v>
      </c>
      <c r="J234" s="15" t="b">
        <f t="shared" ca="1" si="29"/>
        <v>1</v>
      </c>
      <c r="K234" s="15" t="b">
        <f t="shared" ca="1" si="30"/>
        <v>0</v>
      </c>
      <c r="L234" s="15" t="b">
        <f t="shared" si="31"/>
        <v>0</v>
      </c>
      <c r="M234" s="16" t="str">
        <f>Data!I232</f>
        <v>Long</v>
      </c>
      <c r="N234" s="16" t="str">
        <f>Data!J232</f>
        <v>Lat</v>
      </c>
      <c r="O234" s="15" t="str">
        <f>Data!K232</f>
        <v>Approximate Location</v>
      </c>
      <c r="P234" s="17">
        <f>Data!G232</f>
        <v>67199.921875</v>
      </c>
      <c r="Q234" s="34">
        <f>Data!H232</f>
        <v>0</v>
      </c>
    </row>
    <row r="235" spans="1:17" ht="16.5" x14ac:dyDescent="0.3">
      <c r="A235" s="13" t="str">
        <f>Data!C233</f>
        <v>Vehicle 1</v>
      </c>
      <c r="B235" s="14">
        <f>Data!A233</f>
        <v>43595.627673611103</v>
      </c>
      <c r="C235" s="15" t="str">
        <f>Data!B233</f>
        <v>UnidentifiedDrivingCompliance</v>
      </c>
      <c r="D235" s="15" t="str">
        <f t="shared" si="24"/>
        <v>Unidentified Driving</v>
      </c>
      <c r="E235" s="15" t="str">
        <f t="shared" si="25"/>
        <v>Vehicle 1 Unidentified Driving Diagnostic</v>
      </c>
      <c r="F235" s="15">
        <f t="shared" ca="1" si="27"/>
        <v>9</v>
      </c>
      <c r="G235" s="15" t="str">
        <f t="shared" si="28"/>
        <v>Diagnostic</v>
      </c>
      <c r="H235" s="15" t="str">
        <f t="shared" ca="1" si="26"/>
        <v>Active</v>
      </c>
      <c r="I235" s="15" t="str">
        <f>Data!M233</f>
        <v>Diagnostic</v>
      </c>
      <c r="J235" s="15" t="b">
        <f t="shared" ca="1" si="29"/>
        <v>0</v>
      </c>
      <c r="K235" s="15" t="b">
        <f t="shared" ca="1" si="30"/>
        <v>1</v>
      </c>
      <c r="L235" s="15" t="b">
        <f t="shared" si="31"/>
        <v>0</v>
      </c>
      <c r="M235" s="16" t="str">
        <f>Data!I233</f>
        <v>Long</v>
      </c>
      <c r="N235" s="16" t="str">
        <f>Data!J233</f>
        <v>Lat</v>
      </c>
      <c r="O235" s="15" t="str">
        <f>Data!K233</f>
        <v>Approximate Location</v>
      </c>
      <c r="P235" s="17">
        <f>Data!G233</f>
        <v>12970.681640625</v>
      </c>
      <c r="Q235" s="34">
        <f>Data!H233</f>
        <v>19.042091369628899</v>
      </c>
    </row>
    <row r="236" spans="1:17" ht="16.5" x14ac:dyDescent="0.3">
      <c r="A236" s="13" t="str">
        <f>Data!C234</f>
        <v>Vehicle 3</v>
      </c>
      <c r="B236" s="14">
        <f>Data!A234</f>
        <v>43595.643611111103</v>
      </c>
      <c r="C236" s="15" t="str">
        <f>Data!B234</f>
        <v>PowerCompliance</v>
      </c>
      <c r="D236" s="15" t="str">
        <f t="shared" si="24"/>
        <v>Power</v>
      </c>
      <c r="E236" s="15" t="str">
        <f t="shared" si="25"/>
        <v>Vehicle 3 Power Diagnostic</v>
      </c>
      <c r="F236" s="15">
        <f t="shared" ca="1" si="27"/>
        <v>1</v>
      </c>
      <c r="G236" s="15" t="str">
        <f t="shared" si="28"/>
        <v>Diagnostic</v>
      </c>
      <c r="H236" s="15" t="str">
        <f t="shared" ca="1" si="26"/>
        <v>Cleared</v>
      </c>
      <c r="I236" s="15" t="str">
        <f>Data!M234</f>
        <v>Diagnostic</v>
      </c>
      <c r="J236" s="15" t="b">
        <f t="shared" ca="1" si="29"/>
        <v>0</v>
      </c>
      <c r="K236" s="15" t="b">
        <f t="shared" ca="1" si="30"/>
        <v>0</v>
      </c>
      <c r="L236" s="15" t="b">
        <f t="shared" si="31"/>
        <v>0</v>
      </c>
      <c r="M236" s="16" t="str">
        <f>Data!I234</f>
        <v>Long</v>
      </c>
      <c r="N236" s="16" t="str">
        <f>Data!J234</f>
        <v>Lat</v>
      </c>
      <c r="O236" s="15" t="str">
        <f>Data!K234</f>
        <v>Approximate Location</v>
      </c>
      <c r="P236" s="17">
        <f>Data!G234</f>
        <v>117716.109375</v>
      </c>
      <c r="Q236" s="34">
        <f>Data!H234</f>
        <v>5.1039446145296097E-2</v>
      </c>
    </row>
    <row r="237" spans="1:17" ht="16.5" x14ac:dyDescent="0.3">
      <c r="A237" s="13" t="str">
        <f>Data!C235</f>
        <v>Vehicle 3</v>
      </c>
      <c r="B237" s="14">
        <f>Data!A235</f>
        <v>43595.643703703703</v>
      </c>
      <c r="C237" s="15" t="str">
        <f>Data!B235</f>
        <v>PowerCompliance</v>
      </c>
      <c r="D237" s="15" t="str">
        <f t="shared" si="24"/>
        <v>Power</v>
      </c>
      <c r="E237" s="15" t="str">
        <f t="shared" si="25"/>
        <v>Vehicle 3 Power Diagnostic</v>
      </c>
      <c r="F237" s="15">
        <f t="shared" ca="1" si="27"/>
        <v>1</v>
      </c>
      <c r="G237" s="15" t="str">
        <f t="shared" si="28"/>
        <v>Diagnostic</v>
      </c>
      <c r="H237" s="15" t="str">
        <f t="shared" ca="1" si="26"/>
        <v>Cleared</v>
      </c>
      <c r="I237" s="15" t="str">
        <f>Data!M235</f>
        <v>SystemDiagnosticClearDriving</v>
      </c>
      <c r="J237" s="15" t="b">
        <f t="shared" ca="1" si="29"/>
        <v>0</v>
      </c>
      <c r="K237" s="15" t="b">
        <f t="shared" ca="1" si="30"/>
        <v>0</v>
      </c>
      <c r="L237" s="15" t="b">
        <f t="shared" si="31"/>
        <v>0</v>
      </c>
      <c r="M237" s="16" t="str">
        <f>Data!I235</f>
        <v>Long</v>
      </c>
      <c r="N237" s="16" t="str">
        <f>Data!J235</f>
        <v>Lat</v>
      </c>
      <c r="O237" s="15" t="str">
        <f>Data!K235</f>
        <v>Approximate Location</v>
      </c>
      <c r="P237" s="17">
        <f>Data!G235</f>
        <v>117716.15625</v>
      </c>
      <c r="Q237" s="34">
        <f>Data!H235</f>
        <v>1.31379723548889</v>
      </c>
    </row>
    <row r="238" spans="1:17" ht="16.5" x14ac:dyDescent="0.3">
      <c r="A238" s="13" t="str">
        <f>Data!C236</f>
        <v>Vehicle 3</v>
      </c>
      <c r="B238" s="14">
        <f>Data!A236</f>
        <v>43595.645590277803</v>
      </c>
      <c r="C238" s="15" t="str">
        <f>Data!B236</f>
        <v>PowerCompliance</v>
      </c>
      <c r="D238" s="15" t="str">
        <f t="shared" si="24"/>
        <v>Power</v>
      </c>
      <c r="E238" s="15" t="str">
        <f t="shared" si="25"/>
        <v>Vehicle 3 Power Diagnostic</v>
      </c>
      <c r="F238" s="15">
        <f t="shared" ca="1" si="27"/>
        <v>1</v>
      </c>
      <c r="G238" s="15" t="str">
        <f t="shared" si="28"/>
        <v>Diagnostic</v>
      </c>
      <c r="H238" s="15" t="str">
        <f t="shared" ca="1" si="26"/>
        <v>Cleared</v>
      </c>
      <c r="I238" s="15" t="str">
        <f>Data!M236</f>
        <v>Diagnostic</v>
      </c>
      <c r="J238" s="15" t="b">
        <f t="shared" ca="1" si="29"/>
        <v>0</v>
      </c>
      <c r="K238" s="15" t="b">
        <f t="shared" ca="1" si="30"/>
        <v>0</v>
      </c>
      <c r="L238" s="15" t="b">
        <f t="shared" si="31"/>
        <v>0</v>
      </c>
      <c r="M238" s="16" t="str">
        <f>Data!I236</f>
        <v>Long</v>
      </c>
      <c r="N238" s="16" t="str">
        <f>Data!J236</f>
        <v>Lat</v>
      </c>
      <c r="O238" s="15" t="str">
        <f>Data!K236</f>
        <v>Approximate Location</v>
      </c>
      <c r="P238" s="17">
        <f>Data!G236</f>
        <v>117717.46875</v>
      </c>
      <c r="Q238" s="34">
        <f>Data!H236</f>
        <v>6.4449600875377697E-2</v>
      </c>
    </row>
    <row r="239" spans="1:17" ht="16.5" x14ac:dyDescent="0.3">
      <c r="A239" s="13" t="str">
        <f>Data!C237</f>
        <v>Vehicle 3</v>
      </c>
      <c r="B239" s="14">
        <f>Data!A237</f>
        <v>43595.645775463003</v>
      </c>
      <c r="C239" s="15" t="str">
        <f>Data!B237</f>
        <v>PowerCompliance</v>
      </c>
      <c r="D239" s="15" t="str">
        <f t="shared" si="24"/>
        <v>Power</v>
      </c>
      <c r="E239" s="15" t="str">
        <f t="shared" si="25"/>
        <v>Vehicle 3 Power Diagnostic</v>
      </c>
      <c r="F239" s="15">
        <f t="shared" ca="1" si="27"/>
        <v>3</v>
      </c>
      <c r="G239" s="15" t="str">
        <f t="shared" si="28"/>
        <v>Diagnostic</v>
      </c>
      <c r="H239" s="15" t="str">
        <f t="shared" ca="1" si="26"/>
        <v>Cleared</v>
      </c>
      <c r="I239" s="15" t="str">
        <f>Data!M237</f>
        <v>SystemDiagnosticClearDriving</v>
      </c>
      <c r="J239" s="15" t="b">
        <f t="shared" ca="1" si="29"/>
        <v>0</v>
      </c>
      <c r="K239" s="15" t="b">
        <f t="shared" ca="1" si="30"/>
        <v>0</v>
      </c>
      <c r="L239" s="15" t="b">
        <f t="shared" si="31"/>
        <v>0</v>
      </c>
      <c r="M239" s="16" t="str">
        <f>Data!I237</f>
        <v>Long</v>
      </c>
      <c r="N239" s="16" t="str">
        <f>Data!J237</f>
        <v>Lat</v>
      </c>
      <c r="O239" s="15" t="str">
        <f>Data!K237</f>
        <v>Approximate Location</v>
      </c>
      <c r="P239" s="17">
        <f>Data!G237</f>
        <v>117717.5390625</v>
      </c>
      <c r="Q239" s="34">
        <f>Data!H237</f>
        <v>24.865364074706999</v>
      </c>
    </row>
    <row r="240" spans="1:17" ht="16.5" x14ac:dyDescent="0.3">
      <c r="A240" s="13" t="str">
        <f>Data!C238</f>
        <v>Vehicle 5</v>
      </c>
      <c r="B240" s="14">
        <f>Data!A238</f>
        <v>43595.676309340299</v>
      </c>
      <c r="C240" s="15" t="str">
        <f>Data!B238</f>
        <v>UnidentifiedDrivingCompliance</v>
      </c>
      <c r="D240" s="15" t="str">
        <f t="shared" si="24"/>
        <v>Unidentified Driving</v>
      </c>
      <c r="E240" s="15" t="str">
        <f t="shared" si="25"/>
        <v>Vehicle 5 Unidentified Driving Diagnostic</v>
      </c>
      <c r="F240" s="15" t="e">
        <f t="shared" ca="1" si="27"/>
        <v>#N/A</v>
      </c>
      <c r="G240" s="15" t="str">
        <f t="shared" si="28"/>
        <v>Diagnostic</v>
      </c>
      <c r="H240" s="15" t="str">
        <f t="shared" ca="1" si="26"/>
        <v>Active</v>
      </c>
      <c r="I240" s="15" t="str">
        <f>Data!M238</f>
        <v>Diagnostic</v>
      </c>
      <c r="J240" s="15" t="b">
        <f t="shared" ca="1" si="29"/>
        <v>1</v>
      </c>
      <c r="K240" s="15" t="b">
        <f t="shared" ca="1" si="30"/>
        <v>1</v>
      </c>
      <c r="L240" s="15" t="b">
        <f t="shared" si="31"/>
        <v>0</v>
      </c>
      <c r="M240" s="16" t="str">
        <f>Data!I238</f>
        <v>Long</v>
      </c>
      <c r="N240" s="16" t="str">
        <f>Data!J238</f>
        <v>Lat</v>
      </c>
      <c r="O240" s="15" t="str">
        <f>Data!K238</f>
        <v>Approximate Location</v>
      </c>
      <c r="P240" s="17">
        <f>Data!G238</f>
        <v>82511.484375</v>
      </c>
      <c r="Q240" s="34">
        <f>Data!H238</f>
        <v>0</v>
      </c>
    </row>
    <row r="241" spans="1:17" ht="16.5" x14ac:dyDescent="0.3">
      <c r="A241" s="13" t="str">
        <f>Data!C239</f>
        <v>Vehicle 9</v>
      </c>
      <c r="B241" s="14">
        <f>Data!A239</f>
        <v>43595.721656307898</v>
      </c>
      <c r="C241" s="15" t="str">
        <f>Data!B239</f>
        <v>DataTransferCompliance</v>
      </c>
      <c r="D241" s="15" t="str">
        <f t="shared" si="24"/>
        <v>Data Transfer</v>
      </c>
      <c r="E241" s="15" t="str">
        <f t="shared" si="25"/>
        <v>Vehicle 9 Data Transfer Diagnostic</v>
      </c>
      <c r="F241" s="15">
        <f t="shared" ca="1" si="27"/>
        <v>5</v>
      </c>
      <c r="G241" s="15" t="str">
        <f t="shared" si="28"/>
        <v>Diagnostic</v>
      </c>
      <c r="H241" s="15" t="str">
        <f t="shared" ca="1" si="26"/>
        <v>Cleared</v>
      </c>
      <c r="I241" s="15" t="str">
        <f>Data!M239</f>
        <v>SystemDiagnosticClear</v>
      </c>
      <c r="J241" s="15" t="b">
        <f t="shared" ca="1" si="29"/>
        <v>0</v>
      </c>
      <c r="K241" s="15" t="b">
        <f t="shared" ca="1" si="30"/>
        <v>0</v>
      </c>
      <c r="L241" s="15" t="b">
        <f t="shared" si="31"/>
        <v>0</v>
      </c>
      <c r="M241" s="16" t="str">
        <f>Data!I239</f>
        <v>Long</v>
      </c>
      <c r="N241" s="16" t="str">
        <f>Data!J239</f>
        <v>Lat</v>
      </c>
      <c r="O241" s="15" t="str">
        <f>Data!K239</f>
        <v>Approximate Location</v>
      </c>
      <c r="P241" s="17">
        <f>Data!G239</f>
        <v>0</v>
      </c>
      <c r="Q241" s="34">
        <f>Data!H239</f>
        <v>0</v>
      </c>
    </row>
    <row r="242" spans="1:17" ht="16.5" x14ac:dyDescent="0.3">
      <c r="A242" s="13" t="str">
        <f>Data!C240</f>
        <v>Vehicle 3</v>
      </c>
      <c r="B242" s="14">
        <f>Data!A240</f>
        <v>43595.7344675926</v>
      </c>
      <c r="C242" s="15" t="str">
        <f>Data!B240</f>
        <v>PowerCompliance</v>
      </c>
      <c r="D242" s="15" t="str">
        <f t="shared" si="24"/>
        <v>Power</v>
      </c>
      <c r="E242" s="15" t="str">
        <f t="shared" si="25"/>
        <v>Vehicle 3 Power Diagnostic</v>
      </c>
      <c r="F242" s="15">
        <f t="shared" ca="1" si="27"/>
        <v>1</v>
      </c>
      <c r="G242" s="15" t="str">
        <f t="shared" si="28"/>
        <v>Diagnostic</v>
      </c>
      <c r="H242" s="15" t="str">
        <f t="shared" ca="1" si="26"/>
        <v>Cleared</v>
      </c>
      <c r="I242" s="15" t="str">
        <f>Data!M240</f>
        <v>Diagnostic</v>
      </c>
      <c r="J242" s="15" t="b">
        <f t="shared" ca="1" si="29"/>
        <v>0</v>
      </c>
      <c r="K242" s="15" t="b">
        <f t="shared" ca="1" si="30"/>
        <v>0</v>
      </c>
      <c r="L242" s="15" t="b">
        <f t="shared" si="31"/>
        <v>0</v>
      </c>
      <c r="M242" s="16" t="str">
        <f>Data!I240</f>
        <v>Long</v>
      </c>
      <c r="N242" s="16" t="str">
        <f>Data!J240</f>
        <v>Lat</v>
      </c>
      <c r="O242" s="15" t="str">
        <f>Data!K240</f>
        <v>Approximate Location</v>
      </c>
      <c r="P242" s="17">
        <f>Data!G240</f>
        <v>117742.40625</v>
      </c>
      <c r="Q242" s="34">
        <f>Data!H240</f>
        <v>0.14209385216236101</v>
      </c>
    </row>
    <row r="243" spans="1:17" ht="16.5" x14ac:dyDescent="0.3">
      <c r="A243" s="13" t="str">
        <f>Data!C241</f>
        <v>Vehicle 3</v>
      </c>
      <c r="B243" s="14">
        <f>Data!A241</f>
        <v>43595.734664351898</v>
      </c>
      <c r="C243" s="15" t="str">
        <f>Data!B241</f>
        <v>PowerCompliance</v>
      </c>
      <c r="D243" s="15" t="str">
        <f t="shared" si="24"/>
        <v>Power</v>
      </c>
      <c r="E243" s="15" t="str">
        <f t="shared" si="25"/>
        <v>Vehicle 3 Power Diagnostic</v>
      </c>
      <c r="F243" s="15">
        <f t="shared" ca="1" si="27"/>
        <v>7</v>
      </c>
      <c r="G243" s="15" t="str">
        <f t="shared" si="28"/>
        <v>Diagnostic</v>
      </c>
      <c r="H243" s="15" t="str">
        <f t="shared" ca="1" si="26"/>
        <v>Cleared</v>
      </c>
      <c r="I243" s="15" t="str">
        <f>Data!M241</f>
        <v>SystemDiagnosticClearDriving</v>
      </c>
      <c r="J243" s="15" t="b">
        <f t="shared" ca="1" si="29"/>
        <v>0</v>
      </c>
      <c r="K243" s="15" t="b">
        <f t="shared" ca="1" si="30"/>
        <v>0</v>
      </c>
      <c r="L243" s="15" t="b">
        <f t="shared" si="31"/>
        <v>0</v>
      </c>
      <c r="M243" s="16" t="str">
        <f>Data!I241</f>
        <v>Long</v>
      </c>
      <c r="N243" s="16" t="str">
        <f>Data!J241</f>
        <v>Lat</v>
      </c>
      <c r="O243" s="15" t="str">
        <f>Data!K241</f>
        <v>Approximate Location</v>
      </c>
      <c r="P243" s="17">
        <f>Data!G241</f>
        <v>117742.546875</v>
      </c>
      <c r="Q243" s="34">
        <f>Data!H241</f>
        <v>95.495361328125</v>
      </c>
    </row>
    <row r="244" spans="1:17" ht="16.5" x14ac:dyDescent="0.3">
      <c r="A244" s="13" t="str">
        <f>Data!C242</f>
        <v>Vehicle 1</v>
      </c>
      <c r="B244" s="14">
        <f>Data!A242</f>
        <v>43596.429166666698</v>
      </c>
      <c r="C244" s="15" t="str">
        <f>Data!B242</f>
        <v>UnidentifiedDrivingCompliance</v>
      </c>
      <c r="D244" s="15" t="str">
        <f t="shared" si="24"/>
        <v>Unidentified Driving</v>
      </c>
      <c r="E244" s="15" t="str">
        <f t="shared" si="25"/>
        <v>Vehicle 1 Unidentified Driving Diagnostic</v>
      </c>
      <c r="F244" s="15">
        <f t="shared" ca="1" si="27"/>
        <v>4</v>
      </c>
      <c r="G244" s="15" t="str">
        <f t="shared" si="28"/>
        <v>Diagnostic</v>
      </c>
      <c r="H244" s="15" t="str">
        <f t="shared" ca="1" si="26"/>
        <v>Active</v>
      </c>
      <c r="I244" s="15" t="str">
        <f>Data!M242</f>
        <v>Diagnostic</v>
      </c>
      <c r="J244" s="15" t="b">
        <f t="shared" ca="1" si="29"/>
        <v>0</v>
      </c>
      <c r="K244" s="15" t="b">
        <f t="shared" ca="1" si="30"/>
        <v>1</v>
      </c>
      <c r="L244" s="15" t="b">
        <f t="shared" si="31"/>
        <v>0</v>
      </c>
      <c r="M244" s="16" t="str">
        <f>Data!I242</f>
        <v>Long</v>
      </c>
      <c r="N244" s="16" t="str">
        <f>Data!J242</f>
        <v>Lat</v>
      </c>
      <c r="O244" s="15" t="str">
        <f>Data!K242</f>
        <v>Approximate Location</v>
      </c>
      <c r="P244" s="17">
        <f>Data!G242</f>
        <v>12989.7236328125</v>
      </c>
      <c r="Q244" s="34">
        <f>Data!H242</f>
        <v>53.951129913330099</v>
      </c>
    </row>
    <row r="245" spans="1:17" ht="16.5" x14ac:dyDescent="0.3">
      <c r="A245" s="13" t="str">
        <f>Data!C243</f>
        <v>Vehicle 6</v>
      </c>
      <c r="B245" s="14">
        <f>Data!A243</f>
        <v>43596.606423611098</v>
      </c>
      <c r="C245" s="15" t="str">
        <f>Data!B243</f>
        <v>UnidentifiedDrivingCompliance</v>
      </c>
      <c r="D245" s="15" t="str">
        <f t="shared" si="24"/>
        <v>Unidentified Driving</v>
      </c>
      <c r="E245" s="15" t="str">
        <f t="shared" si="25"/>
        <v>Vehicle 6 Unidentified Driving Diagnostic</v>
      </c>
      <c r="F245" s="15">
        <f t="shared" ca="1" si="27"/>
        <v>4</v>
      </c>
      <c r="G245" s="15" t="str">
        <f t="shared" si="28"/>
        <v>Diagnostic</v>
      </c>
      <c r="H245" s="15" t="str">
        <f t="shared" ca="1" si="26"/>
        <v>Active</v>
      </c>
      <c r="I245" s="15" t="str">
        <f>Data!M243</f>
        <v>Diagnostic</v>
      </c>
      <c r="J245" s="15" t="b">
        <f t="shared" ca="1" si="29"/>
        <v>0</v>
      </c>
      <c r="K245" s="15" t="b">
        <f t="shared" ca="1" si="30"/>
        <v>1</v>
      </c>
      <c r="L245" s="15" t="b">
        <f t="shared" si="31"/>
        <v>0</v>
      </c>
      <c r="M245" s="16" t="str">
        <f>Data!I243</f>
        <v>Long</v>
      </c>
      <c r="N245" s="16" t="str">
        <f>Data!J243</f>
        <v>Lat</v>
      </c>
      <c r="O245" s="15" t="str">
        <f>Data!K243</f>
        <v>Approximate Location</v>
      </c>
      <c r="P245" s="17">
        <f>Data!G243</f>
        <v>119847.90625</v>
      </c>
      <c r="Q245" s="34">
        <f>Data!H243</f>
        <v>27.5879096984863</v>
      </c>
    </row>
    <row r="246" spans="1:17" ht="16.5" x14ac:dyDescent="0.3">
      <c r="A246" s="13" t="str">
        <f>Data!C244</f>
        <v>Vehicle 9</v>
      </c>
      <c r="B246" s="14">
        <f>Data!A244</f>
        <v>43597.268483414402</v>
      </c>
      <c r="C246" s="15" t="str">
        <f>Data!B244</f>
        <v>DataTransferCompliance</v>
      </c>
      <c r="D246" s="15" t="str">
        <f t="shared" si="24"/>
        <v>Data Transfer</v>
      </c>
      <c r="E246" s="15" t="str">
        <f t="shared" si="25"/>
        <v>Vehicle 9 Data Transfer Diagnostic</v>
      </c>
      <c r="F246" s="15" t="e">
        <f t="shared" ca="1" si="27"/>
        <v>#N/A</v>
      </c>
      <c r="G246" s="15" t="str">
        <f t="shared" si="28"/>
        <v>Diagnostic</v>
      </c>
      <c r="H246" s="15" t="str">
        <f t="shared" ca="1" si="26"/>
        <v>Cleared</v>
      </c>
      <c r="I246" s="15" t="str">
        <f>Data!M244</f>
        <v>SystemDiagnosticClear</v>
      </c>
      <c r="J246" s="15" t="b">
        <f t="shared" ca="1" si="29"/>
        <v>1</v>
      </c>
      <c r="K246" s="15" t="b">
        <f t="shared" ca="1" si="30"/>
        <v>0</v>
      </c>
      <c r="L246" s="15" t="b">
        <f t="shared" si="31"/>
        <v>0</v>
      </c>
      <c r="M246" s="16" t="str">
        <f>Data!I244</f>
        <v>Long</v>
      </c>
      <c r="N246" s="16" t="str">
        <f>Data!J244</f>
        <v>Lat</v>
      </c>
      <c r="O246" s="15" t="str">
        <f>Data!K244</f>
        <v>Approximate Location</v>
      </c>
      <c r="P246" s="17">
        <f>Data!G244</f>
        <v>0</v>
      </c>
      <c r="Q246" s="34">
        <f>Data!H244</f>
        <v>0</v>
      </c>
    </row>
    <row r="247" spans="1:17" ht="16.5" x14ac:dyDescent="0.3">
      <c r="A247" s="13" t="str">
        <f>Data!C245</f>
        <v>Vehicle 10</v>
      </c>
      <c r="B247" s="14">
        <f>Data!A245</f>
        <v>43597.283219062498</v>
      </c>
      <c r="C247" s="15" t="str">
        <f>Data!B245</f>
        <v>UnidentifiedDrivingCompliance</v>
      </c>
      <c r="D247" s="15" t="str">
        <f t="shared" si="24"/>
        <v>Unidentified Driving</v>
      </c>
      <c r="E247" s="15" t="str">
        <f t="shared" si="25"/>
        <v>Vehicle 10 Unidentified Driving Diagnostic</v>
      </c>
      <c r="F247" s="15">
        <f t="shared" ca="1" si="27"/>
        <v>12</v>
      </c>
      <c r="G247" s="15" t="str">
        <f t="shared" si="28"/>
        <v>Diagnostic</v>
      </c>
      <c r="H247" s="15" t="str">
        <f t="shared" ca="1" si="26"/>
        <v>Active</v>
      </c>
      <c r="I247" s="15" t="str">
        <f>Data!M245</f>
        <v>Diagnostic</v>
      </c>
      <c r="J247" s="15" t="b">
        <f t="shared" ca="1" si="29"/>
        <v>0</v>
      </c>
      <c r="K247" s="15" t="b">
        <f t="shared" ca="1" si="30"/>
        <v>1</v>
      </c>
      <c r="L247" s="15" t="b">
        <f t="shared" si="31"/>
        <v>0</v>
      </c>
      <c r="M247" s="16" t="str">
        <f>Data!I245</f>
        <v>Long</v>
      </c>
      <c r="N247" s="16" t="str">
        <f>Data!J245</f>
        <v>Lat</v>
      </c>
      <c r="O247" s="15" t="str">
        <f>Data!K245</f>
        <v>Approximate Location</v>
      </c>
      <c r="P247" s="17">
        <f>Data!G245</f>
        <v>93573.71875</v>
      </c>
      <c r="Q247" s="34">
        <f>Data!H245</f>
        <v>27.093183517456101</v>
      </c>
    </row>
    <row r="248" spans="1:17" ht="16.5" x14ac:dyDescent="0.3">
      <c r="A248" s="13" t="str">
        <f>Data!C246</f>
        <v>Vehicle 1</v>
      </c>
      <c r="B248" s="14">
        <f>Data!A246</f>
        <v>43597.496388888903</v>
      </c>
      <c r="C248" s="15" t="str">
        <f>Data!B246</f>
        <v>UnidentifiedDrivingCompliance</v>
      </c>
      <c r="D248" s="15" t="str">
        <f t="shared" si="24"/>
        <v>Unidentified Driving</v>
      </c>
      <c r="E248" s="15" t="str">
        <f t="shared" si="25"/>
        <v>Vehicle 1 Unidentified Driving Diagnostic</v>
      </c>
      <c r="F248" s="15">
        <f t="shared" ca="1" si="27"/>
        <v>7</v>
      </c>
      <c r="G248" s="15" t="str">
        <f t="shared" si="28"/>
        <v>Diagnostic</v>
      </c>
      <c r="H248" s="15" t="str">
        <f t="shared" ca="1" si="26"/>
        <v>Active</v>
      </c>
      <c r="I248" s="15" t="str">
        <f>Data!M246</f>
        <v>Diagnostic</v>
      </c>
      <c r="J248" s="15" t="b">
        <f t="shared" ca="1" si="29"/>
        <v>0</v>
      </c>
      <c r="K248" s="15" t="b">
        <f t="shared" ca="1" si="30"/>
        <v>1</v>
      </c>
      <c r="L248" s="15" t="b">
        <f t="shared" si="31"/>
        <v>0</v>
      </c>
      <c r="M248" s="16" t="str">
        <f>Data!I246</f>
        <v>Long</v>
      </c>
      <c r="N248" s="16" t="str">
        <f>Data!J246</f>
        <v>Lat</v>
      </c>
      <c r="O248" s="15" t="str">
        <f>Data!K246</f>
        <v>Approximate Location</v>
      </c>
      <c r="P248" s="17">
        <f>Data!G246</f>
        <v>13043.6748046875</v>
      </c>
      <c r="Q248" s="34">
        <f>Data!H246</f>
        <v>51.165256500244098</v>
      </c>
    </row>
    <row r="249" spans="1:17" ht="16.5" x14ac:dyDescent="0.3">
      <c r="A249" s="13" t="str">
        <f>Data!C247</f>
        <v>Vehicle 6</v>
      </c>
      <c r="B249" s="14">
        <f>Data!A247</f>
        <v>43597.532025462999</v>
      </c>
      <c r="C249" s="15" t="str">
        <f>Data!B247</f>
        <v>UnidentifiedDrivingCompliance</v>
      </c>
      <c r="D249" s="15" t="str">
        <f t="shared" si="24"/>
        <v>Unidentified Driving</v>
      </c>
      <c r="E249" s="15" t="str">
        <f t="shared" si="25"/>
        <v>Vehicle 6 Unidentified Driving Diagnostic</v>
      </c>
      <c r="F249" s="15">
        <f t="shared" ca="1" si="27"/>
        <v>7</v>
      </c>
      <c r="G249" s="15" t="str">
        <f t="shared" si="28"/>
        <v>Diagnostic</v>
      </c>
      <c r="H249" s="15" t="str">
        <f t="shared" ca="1" si="26"/>
        <v>Active</v>
      </c>
      <c r="I249" s="15" t="str">
        <f>Data!M247</f>
        <v>Diagnostic</v>
      </c>
      <c r="J249" s="15" t="b">
        <f t="shared" ca="1" si="29"/>
        <v>0</v>
      </c>
      <c r="K249" s="15" t="b">
        <f t="shared" ca="1" si="30"/>
        <v>1</v>
      </c>
      <c r="L249" s="15" t="b">
        <f t="shared" si="31"/>
        <v>0</v>
      </c>
      <c r="M249" s="16" t="str">
        <f>Data!I247</f>
        <v>Long</v>
      </c>
      <c r="N249" s="16" t="str">
        <f>Data!J247</f>
        <v>Lat</v>
      </c>
      <c r="O249" s="15" t="str">
        <f>Data!K247</f>
        <v>Approximate Location</v>
      </c>
      <c r="P249" s="17">
        <f>Data!G247</f>
        <v>119875.4921875</v>
      </c>
      <c r="Q249" s="34">
        <f>Data!H247</f>
        <v>40.147312164306598</v>
      </c>
    </row>
    <row r="250" spans="1:17" ht="16.5" x14ac:dyDescent="0.3">
      <c r="A250" s="13" t="str">
        <f>Data!C248</f>
        <v>Vehicle 3</v>
      </c>
      <c r="B250" s="14">
        <f>Data!A248</f>
        <v>43597.847083333298</v>
      </c>
      <c r="C250" s="15" t="str">
        <f>Data!B248</f>
        <v>PowerCompliance</v>
      </c>
      <c r="D250" s="15" t="str">
        <f t="shared" si="24"/>
        <v>Power</v>
      </c>
      <c r="E250" s="15" t="str">
        <f t="shared" si="25"/>
        <v>Vehicle 3 Power Diagnostic</v>
      </c>
      <c r="F250" s="15">
        <f t="shared" ca="1" si="27"/>
        <v>1</v>
      </c>
      <c r="G250" s="15" t="str">
        <f t="shared" si="28"/>
        <v>Diagnostic</v>
      </c>
      <c r="H250" s="15" t="str">
        <f t="shared" ca="1" si="26"/>
        <v>Cleared</v>
      </c>
      <c r="I250" s="15" t="str">
        <f>Data!M248</f>
        <v>Diagnostic</v>
      </c>
      <c r="J250" s="15" t="b">
        <f t="shared" ca="1" si="29"/>
        <v>0</v>
      </c>
      <c r="K250" s="15" t="b">
        <f t="shared" ca="1" si="30"/>
        <v>0</v>
      </c>
      <c r="L250" s="15" t="b">
        <f t="shared" si="31"/>
        <v>0</v>
      </c>
      <c r="M250" s="16" t="str">
        <f>Data!I248</f>
        <v>Long</v>
      </c>
      <c r="N250" s="16" t="str">
        <f>Data!J248</f>
        <v>Lat</v>
      </c>
      <c r="O250" s="15" t="str">
        <f>Data!K248</f>
        <v>Approximate Location</v>
      </c>
      <c r="P250" s="17">
        <f>Data!G248</f>
        <v>117838.0390625</v>
      </c>
      <c r="Q250" s="34">
        <f>Data!H248</f>
        <v>1.7769800499081601E-2</v>
      </c>
    </row>
    <row r="251" spans="1:17" ht="16.5" x14ac:dyDescent="0.3">
      <c r="A251" s="13" t="str">
        <f>Data!C249</f>
        <v>Vehicle 3</v>
      </c>
      <c r="B251" s="14">
        <f>Data!A249</f>
        <v>43597.847187500003</v>
      </c>
      <c r="C251" s="15" t="str">
        <f>Data!B249</f>
        <v>PowerCompliance</v>
      </c>
      <c r="D251" s="15" t="str">
        <f t="shared" si="24"/>
        <v>Power</v>
      </c>
      <c r="E251" s="15" t="str">
        <f t="shared" si="25"/>
        <v>Vehicle 3 Power Diagnostic</v>
      </c>
      <c r="F251" s="15">
        <f t="shared" ca="1" si="27"/>
        <v>1</v>
      </c>
      <c r="G251" s="15" t="str">
        <f t="shared" si="28"/>
        <v>Diagnostic</v>
      </c>
      <c r="H251" s="15" t="str">
        <f t="shared" ca="1" si="26"/>
        <v>Cleared</v>
      </c>
      <c r="I251" s="15" t="str">
        <f>Data!M249</f>
        <v>SystemDiagnosticClearDriving</v>
      </c>
      <c r="J251" s="15" t="b">
        <f t="shared" ca="1" si="29"/>
        <v>0</v>
      </c>
      <c r="K251" s="15" t="b">
        <f t="shared" ca="1" si="30"/>
        <v>0</v>
      </c>
      <c r="L251" s="15" t="b">
        <f t="shared" si="31"/>
        <v>0</v>
      </c>
      <c r="M251" s="16" t="str">
        <f>Data!I249</f>
        <v>Long</v>
      </c>
      <c r="N251" s="16" t="str">
        <f>Data!J249</f>
        <v>Lat</v>
      </c>
      <c r="O251" s="15" t="str">
        <f>Data!K249</f>
        <v>Approximate Location</v>
      </c>
      <c r="P251" s="17">
        <f>Data!G249</f>
        <v>117838.0546875</v>
      </c>
      <c r="Q251" s="34">
        <f>Data!H249</f>
        <v>8.5261278152465803</v>
      </c>
    </row>
    <row r="252" spans="1:17" ht="16.5" x14ac:dyDescent="0.3">
      <c r="A252" s="13" t="str">
        <f>Data!C250</f>
        <v>Vehicle 3</v>
      </c>
      <c r="B252" s="14">
        <f>Data!A250</f>
        <v>43597.871064814797</v>
      </c>
      <c r="C252" s="15" t="str">
        <f>Data!B250</f>
        <v>PowerCompliance</v>
      </c>
      <c r="D252" s="15" t="str">
        <f t="shared" si="24"/>
        <v>Power</v>
      </c>
      <c r="E252" s="15" t="str">
        <f t="shared" si="25"/>
        <v>Vehicle 3 Power Diagnostic</v>
      </c>
      <c r="F252" s="15">
        <f t="shared" ca="1" si="27"/>
        <v>1</v>
      </c>
      <c r="G252" s="15" t="str">
        <f t="shared" si="28"/>
        <v>Diagnostic</v>
      </c>
      <c r="H252" s="15" t="str">
        <f t="shared" ca="1" si="26"/>
        <v>Cleared</v>
      </c>
      <c r="I252" s="15" t="str">
        <f>Data!M250</f>
        <v>Diagnostic</v>
      </c>
      <c r="J252" s="15" t="b">
        <f t="shared" ca="1" si="29"/>
        <v>0</v>
      </c>
      <c r="K252" s="15" t="b">
        <f t="shared" ca="1" si="30"/>
        <v>0</v>
      </c>
      <c r="L252" s="15" t="b">
        <f t="shared" si="31"/>
        <v>0</v>
      </c>
      <c r="M252" s="16" t="str">
        <f>Data!I250</f>
        <v>Long</v>
      </c>
      <c r="N252" s="16" t="str">
        <f>Data!J250</f>
        <v>Lat</v>
      </c>
      <c r="O252" s="15" t="str">
        <f>Data!K250</f>
        <v>Approximate Location</v>
      </c>
      <c r="P252" s="17">
        <f>Data!G250</f>
        <v>117846.5859375</v>
      </c>
      <c r="Q252" s="34">
        <f>Data!H250</f>
        <v>1.7234419938176901E-3</v>
      </c>
    </row>
    <row r="253" spans="1:17" ht="16.5" x14ac:dyDescent="0.3">
      <c r="A253" s="13" t="str">
        <f>Data!C251</f>
        <v>Vehicle 3</v>
      </c>
      <c r="B253" s="14">
        <f>Data!A251</f>
        <v>43597.871192129598</v>
      </c>
      <c r="C253" s="15" t="str">
        <f>Data!B251</f>
        <v>PowerCompliance</v>
      </c>
      <c r="D253" s="15" t="str">
        <f t="shared" si="24"/>
        <v>Power</v>
      </c>
      <c r="E253" s="15" t="str">
        <f t="shared" si="25"/>
        <v>Vehicle 3 Power Diagnostic</v>
      </c>
      <c r="F253" s="15">
        <f t="shared" ca="1" si="27"/>
        <v>4</v>
      </c>
      <c r="G253" s="15" t="str">
        <f t="shared" si="28"/>
        <v>Diagnostic</v>
      </c>
      <c r="H253" s="15" t="str">
        <f t="shared" ca="1" si="26"/>
        <v>Cleared</v>
      </c>
      <c r="I253" s="15" t="str">
        <f>Data!M251</f>
        <v>SystemDiagnosticClearDriving</v>
      </c>
      <c r="J253" s="15" t="b">
        <f t="shared" ca="1" si="29"/>
        <v>0</v>
      </c>
      <c r="K253" s="15" t="b">
        <f t="shared" ca="1" si="30"/>
        <v>0</v>
      </c>
      <c r="L253" s="15" t="b">
        <f t="shared" si="31"/>
        <v>0</v>
      </c>
      <c r="M253" s="16" t="str">
        <f>Data!I251</f>
        <v>Long</v>
      </c>
      <c r="N253" s="16" t="str">
        <f>Data!J251</f>
        <v>Lat</v>
      </c>
      <c r="O253" s="15" t="str">
        <f>Data!K251</f>
        <v>Approximate Location</v>
      </c>
      <c r="P253" s="17">
        <f>Data!G251</f>
        <v>117846.5859375</v>
      </c>
      <c r="Q253" s="34">
        <f>Data!H251</f>
        <v>8.0700998306274396</v>
      </c>
    </row>
    <row r="254" spans="1:17" ht="16.5" x14ac:dyDescent="0.3">
      <c r="A254" s="13" t="str">
        <f>Data!C252</f>
        <v>Vehicle 4</v>
      </c>
      <c r="B254" s="14">
        <f>Data!A252</f>
        <v>43598.256898148102</v>
      </c>
      <c r="C254" s="15" t="str">
        <f>Data!B252</f>
        <v>UnidentifiedDrivingCompliance</v>
      </c>
      <c r="D254" s="15" t="str">
        <f t="shared" si="24"/>
        <v>Unidentified Driving</v>
      </c>
      <c r="E254" s="15" t="str">
        <f t="shared" si="25"/>
        <v>Vehicle 4 Unidentified Driving Diagnostic</v>
      </c>
      <c r="F254" s="15" t="e">
        <f t="shared" ca="1" si="27"/>
        <v>#N/A</v>
      </c>
      <c r="G254" s="15" t="str">
        <f t="shared" si="28"/>
        <v>Diagnostic</v>
      </c>
      <c r="H254" s="15" t="str">
        <f t="shared" ca="1" si="26"/>
        <v>Active</v>
      </c>
      <c r="I254" s="15" t="str">
        <f>Data!M252</f>
        <v>Diagnostic</v>
      </c>
      <c r="J254" s="15" t="b">
        <f t="shared" ca="1" si="29"/>
        <v>1</v>
      </c>
      <c r="K254" s="15" t="b">
        <f t="shared" ca="1" si="30"/>
        <v>1</v>
      </c>
      <c r="L254" s="15" t="b">
        <f t="shared" si="31"/>
        <v>0</v>
      </c>
      <c r="M254" s="16" t="str">
        <f>Data!I252</f>
        <v>Long</v>
      </c>
      <c r="N254" s="16" t="str">
        <f>Data!J252</f>
        <v>Lat</v>
      </c>
      <c r="O254" s="15" t="str">
        <f>Data!K252</f>
        <v>Approximate Location</v>
      </c>
      <c r="P254" s="17">
        <f>Data!G252</f>
        <v>60984.06640625</v>
      </c>
      <c r="Q254" s="34">
        <f>Data!H252</f>
        <v>-47889224</v>
      </c>
    </row>
    <row r="255" spans="1:17" ht="16.5" x14ac:dyDescent="0.3">
      <c r="A255" s="13" t="str">
        <f>Data!C253</f>
        <v>Vehicle 1</v>
      </c>
      <c r="B255" s="14">
        <f>Data!A253</f>
        <v>43598.277951388904</v>
      </c>
      <c r="C255" s="15" t="str">
        <f>Data!B253</f>
        <v>UnidentifiedDrivingCompliance</v>
      </c>
      <c r="D255" s="15" t="str">
        <f t="shared" si="24"/>
        <v>Unidentified Driving</v>
      </c>
      <c r="E255" s="15" t="str">
        <f t="shared" si="25"/>
        <v>Vehicle 1 Unidentified Driving Diagnostic</v>
      </c>
      <c r="F255" s="15" t="e">
        <f t="shared" ca="1" si="27"/>
        <v>#N/A</v>
      </c>
      <c r="G255" s="15" t="str">
        <f t="shared" si="28"/>
        <v>Diagnostic</v>
      </c>
      <c r="H255" s="15" t="str">
        <f t="shared" ca="1" si="26"/>
        <v>Active</v>
      </c>
      <c r="I255" s="15" t="str">
        <f>Data!M253</f>
        <v>Diagnostic</v>
      </c>
      <c r="J255" s="15" t="b">
        <f t="shared" ca="1" si="29"/>
        <v>1</v>
      </c>
      <c r="K255" s="15" t="b">
        <f t="shared" ca="1" si="30"/>
        <v>1</v>
      </c>
      <c r="L255" s="15" t="b">
        <f t="shared" si="31"/>
        <v>0</v>
      </c>
      <c r="M255" s="16" t="str">
        <f>Data!I253</f>
        <v>Long</v>
      </c>
      <c r="N255" s="16" t="str">
        <f>Data!J253</f>
        <v>Lat</v>
      </c>
      <c r="O255" s="15" t="str">
        <f>Data!K253</f>
        <v>Approximate Location</v>
      </c>
      <c r="P255" s="17">
        <f>Data!G253</f>
        <v>13094.83984375</v>
      </c>
      <c r="Q255" s="34">
        <f>Data!H253</f>
        <v>106820800</v>
      </c>
    </row>
    <row r="256" spans="1:17" ht="16.5" x14ac:dyDescent="0.3">
      <c r="A256" s="13" t="str">
        <f>Data!C254</f>
        <v>Vehicle 6</v>
      </c>
      <c r="B256" s="14">
        <f>Data!A254</f>
        <v>43598.317893518499</v>
      </c>
      <c r="C256" s="15" t="str">
        <f>Data!B254</f>
        <v>UnidentifiedDrivingCompliance</v>
      </c>
      <c r="D256" s="15" t="str">
        <f t="shared" si="24"/>
        <v>Unidentified Driving</v>
      </c>
      <c r="E256" s="15" t="str">
        <f t="shared" si="25"/>
        <v>Vehicle 6 Unidentified Driving Diagnostic</v>
      </c>
      <c r="F256" s="15" t="e">
        <f t="shared" ca="1" si="27"/>
        <v>#N/A</v>
      </c>
      <c r="G256" s="15" t="str">
        <f t="shared" si="28"/>
        <v>Diagnostic</v>
      </c>
      <c r="H256" s="15" t="str">
        <f t="shared" ca="1" si="26"/>
        <v>Active</v>
      </c>
      <c r="I256" s="15" t="str">
        <f>Data!M254</f>
        <v>Diagnostic</v>
      </c>
      <c r="J256" s="15" t="b">
        <f t="shared" ca="1" si="29"/>
        <v>1</v>
      </c>
      <c r="K256" s="15" t="b">
        <f t="shared" ca="1" si="30"/>
        <v>1</v>
      </c>
      <c r="L256" s="15" t="b">
        <f t="shared" si="31"/>
        <v>0</v>
      </c>
      <c r="M256" s="16" t="str">
        <f>Data!I254</f>
        <v>Long</v>
      </c>
      <c r="N256" s="16" t="str">
        <f>Data!J254</f>
        <v>Lat</v>
      </c>
      <c r="O256" s="15" t="str">
        <f>Data!K254</f>
        <v>Approximate Location</v>
      </c>
      <c r="P256" s="17">
        <f>Data!G254</f>
        <v>119915.640625</v>
      </c>
      <c r="Q256" s="34">
        <f>Data!H254</f>
        <v>-2060986.875</v>
      </c>
    </row>
    <row r="257" spans="1:17" ht="16.5" x14ac:dyDescent="0.3">
      <c r="A257" s="13" t="str">
        <f>Data!C255</f>
        <v>Vehicle 3</v>
      </c>
      <c r="B257" s="14">
        <f>Data!A255</f>
        <v>43598.343530092599</v>
      </c>
      <c r="C257" s="15" t="str">
        <f>Data!B255</f>
        <v>PowerCompliance</v>
      </c>
      <c r="D257" s="15" t="str">
        <f t="shared" si="24"/>
        <v>Power</v>
      </c>
      <c r="E257" s="15" t="str">
        <f t="shared" si="25"/>
        <v>Vehicle 3 Power Diagnostic</v>
      </c>
      <c r="F257" s="15">
        <f t="shared" ca="1" si="27"/>
        <v>1</v>
      </c>
      <c r="G257" s="15" t="str">
        <f t="shared" si="28"/>
        <v>Diagnostic</v>
      </c>
      <c r="H257" s="15" t="str">
        <f t="shared" ca="1" si="26"/>
        <v>Cleared</v>
      </c>
      <c r="I257" s="15" t="str">
        <f>Data!M255</f>
        <v>Diagnostic</v>
      </c>
      <c r="J257" s="15" t="b">
        <f t="shared" ca="1" si="29"/>
        <v>0</v>
      </c>
      <c r="K257" s="15" t="b">
        <f t="shared" ca="1" si="30"/>
        <v>0</v>
      </c>
      <c r="L257" s="15" t="b">
        <f t="shared" si="31"/>
        <v>0</v>
      </c>
      <c r="M257" s="16" t="str">
        <f>Data!I255</f>
        <v>Long</v>
      </c>
      <c r="N257" s="16" t="str">
        <f>Data!J255</f>
        <v>Lat</v>
      </c>
      <c r="O257" s="15" t="str">
        <f>Data!K255</f>
        <v>Approximate Location</v>
      </c>
      <c r="P257" s="17">
        <f>Data!G255</f>
        <v>117854.65625</v>
      </c>
      <c r="Q257" s="34">
        <f>Data!H255</f>
        <v>1.13625098019838E-2</v>
      </c>
    </row>
    <row r="258" spans="1:17" ht="16.5" x14ac:dyDescent="0.3">
      <c r="A258" s="13" t="str">
        <f>Data!C256</f>
        <v>Vehicle 3</v>
      </c>
      <c r="B258" s="14">
        <f>Data!A256</f>
        <v>43598.343553240702</v>
      </c>
      <c r="C258" s="15" t="str">
        <f>Data!B256</f>
        <v>PowerCompliance</v>
      </c>
      <c r="D258" s="15" t="str">
        <f t="shared" si="24"/>
        <v>Power</v>
      </c>
      <c r="E258" s="15" t="str">
        <f t="shared" si="25"/>
        <v>Vehicle 3 Power Diagnostic</v>
      </c>
      <c r="F258" s="15" t="e">
        <f t="shared" ca="1" si="27"/>
        <v>#N/A</v>
      </c>
      <c r="G258" s="15" t="str">
        <f t="shared" si="28"/>
        <v>Diagnostic</v>
      </c>
      <c r="H258" s="15" t="str">
        <f t="shared" ca="1" si="26"/>
        <v>Cleared</v>
      </c>
      <c r="I258" s="15" t="str">
        <f>Data!M256</f>
        <v>SystemDiagnosticClearDriving</v>
      </c>
      <c r="J258" s="15" t="b">
        <f t="shared" ca="1" si="29"/>
        <v>1</v>
      </c>
      <c r="K258" s="15" t="b">
        <f t="shared" ca="1" si="30"/>
        <v>0</v>
      </c>
      <c r="L258" s="15" t="b">
        <f t="shared" si="31"/>
        <v>0</v>
      </c>
      <c r="M258" s="16" t="str">
        <f>Data!I256</f>
        <v>Long</v>
      </c>
      <c r="N258" s="16" t="str">
        <f>Data!J256</f>
        <v>Lat</v>
      </c>
      <c r="O258" s="15" t="str">
        <f>Data!K256</f>
        <v>Approximate Location</v>
      </c>
      <c r="P258" s="17">
        <f>Data!G256</f>
        <v>117854.6640625</v>
      </c>
      <c r="Q258" s="34">
        <f>Data!H256</f>
        <v>-24253852</v>
      </c>
    </row>
    <row r="259" spans="1:17" ht="16.5" x14ac:dyDescent="0.3">
      <c r="A259" s="13" t="str">
        <f>Data!C257</f>
        <v>Vehicle 10</v>
      </c>
      <c r="B259" s="14">
        <f>Data!A257</f>
        <v>43598.383553240703</v>
      </c>
      <c r="C259" s="15" t="str">
        <f>Data!B257</f>
        <v>UnidentifiedDrivingCompliance</v>
      </c>
      <c r="D259" s="15" t="str">
        <f t="shared" si="24"/>
        <v>Unidentified Driving</v>
      </c>
      <c r="E259" s="15" t="str">
        <f t="shared" si="25"/>
        <v>Vehicle 10 Unidentified Driving Diagnostic</v>
      </c>
      <c r="F259" s="15" t="e">
        <f t="shared" ca="1" si="27"/>
        <v>#N/A</v>
      </c>
      <c r="G259" s="15" t="str">
        <f t="shared" si="28"/>
        <v>Diagnostic</v>
      </c>
      <c r="H259" s="15" t="str">
        <f t="shared" ca="1" si="26"/>
        <v>Active</v>
      </c>
      <c r="I259" s="15" t="str">
        <f>Data!M257</f>
        <v>Diagnostic</v>
      </c>
      <c r="J259" s="15" t="b">
        <f t="shared" ca="1" si="29"/>
        <v>1</v>
      </c>
      <c r="K259" s="15" t="b">
        <f t="shared" ca="1" si="30"/>
        <v>1</v>
      </c>
      <c r="L259" s="15" t="b">
        <f t="shared" si="31"/>
        <v>0</v>
      </c>
      <c r="M259" s="16" t="str">
        <f>Data!I257</f>
        <v>Long</v>
      </c>
      <c r="N259" s="16" t="str">
        <f>Data!J257</f>
        <v>Lat</v>
      </c>
      <c r="O259" s="15" t="str">
        <f>Data!K257</f>
        <v>Approximate Location</v>
      </c>
      <c r="P259" s="17">
        <f>Data!G257</f>
        <v>93600.8125</v>
      </c>
      <c r="Q259" s="34">
        <f>Data!H257</f>
        <v>0</v>
      </c>
    </row>
    <row r="260" spans="1:17" ht="16.5" x14ac:dyDescent="0.3">
      <c r="A260" s="13" t="str">
        <f>Data!C258</f>
        <v>Vehicle 2</v>
      </c>
      <c r="B260" s="14">
        <f>Data!A258</f>
        <v>43598.444375972198</v>
      </c>
      <c r="C260" s="15" t="str">
        <f>Data!B258</f>
        <v>DataTransferCompliance</v>
      </c>
      <c r="D260" s="15" t="str">
        <f t="shared" si="24"/>
        <v>Data Transfer</v>
      </c>
      <c r="E260" s="15" t="str">
        <f t="shared" si="25"/>
        <v>Vehicle 2 Data Transfer Diagnostic</v>
      </c>
      <c r="F260" s="15">
        <f t="shared" ca="1" si="27"/>
        <v>1</v>
      </c>
      <c r="G260" s="15" t="str">
        <f t="shared" si="28"/>
        <v>Diagnostic</v>
      </c>
      <c r="H260" s="15" t="str">
        <f t="shared" ca="1" si="26"/>
        <v>Cleared</v>
      </c>
      <c r="I260" s="15" t="str">
        <f>Data!M258</f>
        <v>SystemDiagnosticClear</v>
      </c>
      <c r="J260" s="15" t="b">
        <f t="shared" ca="1" si="29"/>
        <v>0</v>
      </c>
      <c r="K260" s="15" t="b">
        <f t="shared" ca="1" si="30"/>
        <v>0</v>
      </c>
      <c r="L260" s="15" t="b">
        <f t="shared" si="31"/>
        <v>0</v>
      </c>
      <c r="M260" s="16" t="str">
        <f>Data!I258</f>
        <v>Long</v>
      </c>
      <c r="N260" s="16" t="str">
        <f>Data!J258</f>
        <v>Lat</v>
      </c>
      <c r="O260" s="15" t="str">
        <f>Data!K258</f>
        <v>Approximate Location</v>
      </c>
      <c r="P260" s="17">
        <f>Data!G258</f>
        <v>3844.7900390625</v>
      </c>
      <c r="Q260" s="34">
        <f>Data!H258</f>
        <v>0</v>
      </c>
    </row>
  </sheetData>
  <autoFilter ref="A12:Q260" xr:uid="{00000000-0009-0000-0000-000001000000}"/>
  <mergeCells count="1">
    <mergeCell ref="A4:B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I34"/>
  <sheetViews>
    <sheetView workbookViewId="0"/>
  </sheetViews>
  <sheetFormatPr defaultRowHeight="12.75" x14ac:dyDescent="0.2"/>
  <cols>
    <col min="1" max="7" width="30" customWidth="1"/>
    <col min="8" max="8" width="21" bestFit="1" customWidth="1"/>
    <col min="9" max="9" width="30" style="9" customWidth="1"/>
  </cols>
  <sheetData>
    <row r="1" spans="1:9" s="6" customFormat="1" x14ac:dyDescent="0.2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137</v>
      </c>
      <c r="G1" s="6" t="s">
        <v>159</v>
      </c>
      <c r="H1" s="6" t="s">
        <v>176</v>
      </c>
      <c r="I1" s="8" t="s">
        <v>196</v>
      </c>
    </row>
    <row r="2" spans="1:9" x14ac:dyDescent="0.2">
      <c r="A2" t="s">
        <v>29</v>
      </c>
      <c r="B2" t="s">
        <v>48</v>
      </c>
      <c r="C2" t="s">
        <v>49</v>
      </c>
      <c r="D2" t="s">
        <v>50</v>
      </c>
      <c r="E2" t="s">
        <v>51</v>
      </c>
      <c r="F2" t="s">
        <v>138</v>
      </c>
      <c r="G2" t="s">
        <v>160</v>
      </c>
      <c r="H2" t="s">
        <v>177</v>
      </c>
      <c r="I2" s="9" t="s">
        <v>197</v>
      </c>
    </row>
    <row r="3" spans="1:9" x14ac:dyDescent="0.2">
      <c r="A3" t="s">
        <v>45</v>
      </c>
      <c r="B3" t="s">
        <v>44</v>
      </c>
      <c r="C3" t="s">
        <v>52</v>
      </c>
      <c r="D3" t="s">
        <v>53</v>
      </c>
      <c r="E3" t="s">
        <v>54</v>
      </c>
      <c r="F3" t="s">
        <v>139</v>
      </c>
      <c r="G3" t="s">
        <v>139</v>
      </c>
      <c r="H3" t="s">
        <v>53</v>
      </c>
      <c r="I3" s="9" t="s">
        <v>139</v>
      </c>
    </row>
    <row r="4" spans="1:9" x14ac:dyDescent="0.2">
      <c r="A4" t="s">
        <v>30</v>
      </c>
      <c r="B4" t="s">
        <v>55</v>
      </c>
      <c r="C4" t="s">
        <v>56</v>
      </c>
      <c r="D4" t="s">
        <v>9</v>
      </c>
      <c r="E4" t="s">
        <v>57</v>
      </c>
      <c r="F4" t="s">
        <v>9</v>
      </c>
      <c r="G4" t="s">
        <v>9</v>
      </c>
      <c r="H4" t="s">
        <v>9</v>
      </c>
      <c r="I4" s="9" t="s">
        <v>198</v>
      </c>
    </row>
    <row r="5" spans="1:9" x14ac:dyDescent="0.2">
      <c r="A5" t="s">
        <v>31</v>
      </c>
      <c r="B5" t="s">
        <v>58</v>
      </c>
      <c r="C5" t="s">
        <v>59</v>
      </c>
      <c r="D5" t="s">
        <v>60</v>
      </c>
      <c r="E5" t="s">
        <v>61</v>
      </c>
      <c r="F5" t="s">
        <v>140</v>
      </c>
      <c r="G5" t="s">
        <v>59</v>
      </c>
      <c r="H5" t="s">
        <v>178</v>
      </c>
      <c r="I5" s="9" t="s">
        <v>59</v>
      </c>
    </row>
    <row r="6" spans="1:9" x14ac:dyDescent="0.2">
      <c r="A6" t="s">
        <v>209</v>
      </c>
      <c r="B6" t="s">
        <v>62</v>
      </c>
      <c r="C6" t="s">
        <v>63</v>
      </c>
      <c r="D6" t="s">
        <v>64</v>
      </c>
      <c r="E6" t="s">
        <v>65</v>
      </c>
      <c r="F6" t="s">
        <v>141</v>
      </c>
      <c r="G6" t="s">
        <v>170</v>
      </c>
      <c r="H6" t="s">
        <v>179</v>
      </c>
      <c r="I6" s="9" t="s">
        <v>210</v>
      </c>
    </row>
    <row r="7" spans="1:9" x14ac:dyDescent="0.2">
      <c r="A7" t="s">
        <v>32</v>
      </c>
      <c r="B7" t="s">
        <v>66</v>
      </c>
      <c r="C7" t="s">
        <v>67</v>
      </c>
      <c r="D7" t="s">
        <v>68</v>
      </c>
      <c r="E7" t="s">
        <v>69</v>
      </c>
      <c r="F7" t="s">
        <v>142</v>
      </c>
      <c r="G7" t="s">
        <v>161</v>
      </c>
      <c r="H7" t="s">
        <v>180</v>
      </c>
      <c r="I7" s="9" t="s">
        <v>199</v>
      </c>
    </row>
    <row r="8" spans="1:9" x14ac:dyDescent="0.2">
      <c r="A8" t="s">
        <v>33</v>
      </c>
      <c r="B8" t="s">
        <v>10</v>
      </c>
      <c r="C8" t="s">
        <v>70</v>
      </c>
      <c r="D8" t="s">
        <v>71</v>
      </c>
      <c r="E8" t="s">
        <v>72</v>
      </c>
      <c r="F8" t="s">
        <v>143</v>
      </c>
      <c r="G8" t="s">
        <v>10</v>
      </c>
      <c r="H8" t="s">
        <v>181</v>
      </c>
      <c r="I8" s="9" t="s">
        <v>200</v>
      </c>
    </row>
    <row r="9" spans="1:9" x14ac:dyDescent="0.2">
      <c r="A9" t="s">
        <v>34</v>
      </c>
      <c r="B9" t="s">
        <v>11</v>
      </c>
      <c r="C9" t="s">
        <v>73</v>
      </c>
      <c r="D9" t="s">
        <v>74</v>
      </c>
      <c r="E9" t="s">
        <v>75</v>
      </c>
      <c r="F9" t="s">
        <v>144</v>
      </c>
      <c r="G9" t="s">
        <v>11</v>
      </c>
      <c r="H9" t="s">
        <v>182</v>
      </c>
      <c r="I9" s="9" t="s">
        <v>201</v>
      </c>
    </row>
    <row r="10" spans="1:9" x14ac:dyDescent="0.2">
      <c r="A10" t="s">
        <v>35</v>
      </c>
      <c r="B10" t="s">
        <v>76</v>
      </c>
      <c r="C10" t="s">
        <v>77</v>
      </c>
      <c r="D10" t="s">
        <v>76</v>
      </c>
      <c r="E10" t="s">
        <v>78</v>
      </c>
      <c r="F10" t="s">
        <v>145</v>
      </c>
      <c r="G10" t="s">
        <v>162</v>
      </c>
      <c r="H10" t="s">
        <v>145</v>
      </c>
      <c r="I10" s="9" t="s">
        <v>202</v>
      </c>
    </row>
    <row r="11" spans="1:9" x14ac:dyDescent="0.2">
      <c r="A11" t="s">
        <v>36</v>
      </c>
      <c r="B11" t="s">
        <v>79</v>
      </c>
      <c r="C11" t="s">
        <v>80</v>
      </c>
      <c r="D11" t="s">
        <v>81</v>
      </c>
      <c r="E11" t="s">
        <v>82</v>
      </c>
      <c r="F11" t="s">
        <v>146</v>
      </c>
      <c r="G11" t="s">
        <v>163</v>
      </c>
      <c r="H11" t="s">
        <v>183</v>
      </c>
      <c r="I11" s="9" t="s">
        <v>203</v>
      </c>
    </row>
    <row r="12" spans="1:9" x14ac:dyDescent="0.2">
      <c r="A12" t="s">
        <v>37</v>
      </c>
      <c r="B12" t="s">
        <v>12</v>
      </c>
      <c r="C12" t="s">
        <v>83</v>
      </c>
      <c r="D12" t="s">
        <v>84</v>
      </c>
      <c r="E12" t="s">
        <v>85</v>
      </c>
      <c r="F12" t="s">
        <v>147</v>
      </c>
      <c r="G12" t="s">
        <v>164</v>
      </c>
      <c r="H12" t="s">
        <v>184</v>
      </c>
      <c r="I12" s="9" t="s">
        <v>204</v>
      </c>
    </row>
    <row r="13" spans="1:9" x14ac:dyDescent="0.2">
      <c r="A13" t="s">
        <v>46</v>
      </c>
      <c r="B13" t="s">
        <v>86</v>
      </c>
      <c r="C13" t="s">
        <v>87</v>
      </c>
      <c r="D13" t="s">
        <v>88</v>
      </c>
      <c r="E13" t="s">
        <v>89</v>
      </c>
      <c r="F13" t="s">
        <v>148</v>
      </c>
      <c r="G13" t="s">
        <v>171</v>
      </c>
      <c r="H13" t="s">
        <v>185</v>
      </c>
      <c r="I13" s="9" t="s">
        <v>211</v>
      </c>
    </row>
    <row r="14" spans="1:9" x14ac:dyDescent="0.2">
      <c r="A14" t="s">
        <v>47</v>
      </c>
      <c r="B14" t="s">
        <v>90</v>
      </c>
      <c r="C14" t="s">
        <v>91</v>
      </c>
      <c r="D14" t="s">
        <v>92</v>
      </c>
      <c r="E14" t="s">
        <v>93</v>
      </c>
      <c r="F14" t="s">
        <v>149</v>
      </c>
      <c r="G14" t="s">
        <v>172</v>
      </c>
      <c r="H14" t="s">
        <v>186</v>
      </c>
      <c r="I14" s="9" t="s">
        <v>212</v>
      </c>
    </row>
    <row r="15" spans="1:9" x14ac:dyDescent="0.2">
      <c r="A15" t="s">
        <v>38</v>
      </c>
      <c r="B15" t="s">
        <v>94</v>
      </c>
      <c r="C15" t="s">
        <v>95</v>
      </c>
      <c r="D15" t="s">
        <v>96</v>
      </c>
      <c r="E15" t="s">
        <v>97</v>
      </c>
      <c r="F15" t="s">
        <v>150</v>
      </c>
      <c r="G15" t="s">
        <v>165</v>
      </c>
      <c r="H15" t="s">
        <v>187</v>
      </c>
      <c r="I15" s="9" t="s">
        <v>205</v>
      </c>
    </row>
    <row r="16" spans="1:9" x14ac:dyDescent="0.2">
      <c r="A16" t="s">
        <v>43</v>
      </c>
      <c r="B16" t="s">
        <v>98</v>
      </c>
      <c r="C16" t="s">
        <v>99</v>
      </c>
      <c r="D16" t="s">
        <v>100</v>
      </c>
      <c r="E16" t="s">
        <v>101</v>
      </c>
      <c r="F16" t="s">
        <v>151</v>
      </c>
      <c r="G16" t="s">
        <v>166</v>
      </c>
      <c r="H16" t="s">
        <v>188</v>
      </c>
      <c r="I16" s="9" t="s">
        <v>206</v>
      </c>
    </row>
    <row r="17" spans="1:9" x14ac:dyDescent="0.2">
      <c r="A17" t="s">
        <v>39</v>
      </c>
      <c r="B17" t="s">
        <v>102</v>
      </c>
      <c r="C17" t="s">
        <v>103</v>
      </c>
      <c r="D17" t="s">
        <v>104</v>
      </c>
      <c r="E17" t="s">
        <v>105</v>
      </c>
      <c r="F17" t="s">
        <v>152</v>
      </c>
      <c r="G17" t="s">
        <v>173</v>
      </c>
      <c r="H17" t="s">
        <v>189</v>
      </c>
      <c r="I17" s="9" t="s">
        <v>213</v>
      </c>
    </row>
    <row r="18" spans="1:9" x14ac:dyDescent="0.2">
      <c r="A18" t="s">
        <v>40</v>
      </c>
      <c r="B18" t="s">
        <v>106</v>
      </c>
      <c r="C18" t="s">
        <v>107</v>
      </c>
      <c r="D18" t="s">
        <v>108</v>
      </c>
      <c r="E18" t="s">
        <v>109</v>
      </c>
      <c r="F18" t="s">
        <v>153</v>
      </c>
      <c r="G18" t="s">
        <v>107</v>
      </c>
      <c r="H18" t="s">
        <v>190</v>
      </c>
      <c r="I18" s="9" t="s">
        <v>207</v>
      </c>
    </row>
    <row r="19" spans="1:9" x14ac:dyDescent="0.2">
      <c r="A19" t="s">
        <v>41</v>
      </c>
      <c r="B19" t="s">
        <v>110</v>
      </c>
      <c r="C19" t="s">
        <v>111</v>
      </c>
      <c r="D19" t="s">
        <v>112</v>
      </c>
      <c r="E19" t="s">
        <v>113</v>
      </c>
      <c r="F19" t="s">
        <v>154</v>
      </c>
      <c r="G19" t="s">
        <v>111</v>
      </c>
      <c r="H19" t="s">
        <v>191</v>
      </c>
      <c r="I19" s="9" t="s">
        <v>208</v>
      </c>
    </row>
    <row r="20" spans="1:9" x14ac:dyDescent="0.2">
      <c r="A20" t="s">
        <v>42</v>
      </c>
      <c r="B20" t="s">
        <v>114</v>
      </c>
      <c r="C20" t="s">
        <v>115</v>
      </c>
      <c r="D20" t="s">
        <v>116</v>
      </c>
      <c r="E20" t="s">
        <v>117</v>
      </c>
      <c r="F20" t="s">
        <v>155</v>
      </c>
      <c r="G20" t="s">
        <v>174</v>
      </c>
      <c r="H20" t="s">
        <v>192</v>
      </c>
      <c r="I20" s="9" t="s">
        <v>214</v>
      </c>
    </row>
    <row r="21" spans="1:9" x14ac:dyDescent="0.2">
      <c r="A21" s="7" t="s">
        <v>122</v>
      </c>
      <c r="B21" s="7" t="s">
        <v>123</v>
      </c>
      <c r="C21" s="7" t="s">
        <v>124</v>
      </c>
      <c r="D21" s="7" t="s">
        <v>125</v>
      </c>
      <c r="E21" s="7" t="s">
        <v>126</v>
      </c>
      <c r="F21" t="s">
        <v>156</v>
      </c>
      <c r="G21" t="s">
        <v>167</v>
      </c>
      <c r="H21" t="s">
        <v>193</v>
      </c>
      <c r="I21" s="9" t="s">
        <v>167</v>
      </c>
    </row>
    <row r="22" spans="1:9" x14ac:dyDescent="0.2">
      <c r="A22" s="7" t="s">
        <v>127</v>
      </c>
      <c r="B22" s="7" t="s">
        <v>128</v>
      </c>
      <c r="C22" s="7" t="s">
        <v>129</v>
      </c>
      <c r="D22" s="7" t="s">
        <v>130</v>
      </c>
      <c r="E22" s="7" t="s">
        <v>131</v>
      </c>
      <c r="F22" t="s">
        <v>157</v>
      </c>
      <c r="G22" t="s">
        <v>168</v>
      </c>
      <c r="H22" t="s">
        <v>194</v>
      </c>
      <c r="I22" s="9" t="s">
        <v>215</v>
      </c>
    </row>
    <row r="23" spans="1:9" x14ac:dyDescent="0.2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158</v>
      </c>
      <c r="G23" t="s">
        <v>169</v>
      </c>
      <c r="H23" t="s">
        <v>195</v>
      </c>
      <c r="I23" s="9" t="s">
        <v>216</v>
      </c>
    </row>
    <row r="24" spans="1:9" x14ac:dyDescent="0.2">
      <c r="A24" s="20" t="s">
        <v>527</v>
      </c>
    </row>
    <row r="25" spans="1:9" x14ac:dyDescent="0.2">
      <c r="A25" s="20" t="s">
        <v>525</v>
      </c>
    </row>
    <row r="26" spans="1:9" x14ac:dyDescent="0.2">
      <c r="A26" s="20" t="s">
        <v>42</v>
      </c>
    </row>
    <row r="27" spans="1:9" x14ac:dyDescent="0.2">
      <c r="A27" s="20" t="s">
        <v>526</v>
      </c>
    </row>
    <row r="28" spans="1:9" ht="12.75" customHeight="1" x14ac:dyDescent="0.2">
      <c r="A28" s="20" t="s">
        <v>533</v>
      </c>
      <c r="B28" s="20"/>
      <c r="C28" s="20"/>
      <c r="D28" s="20"/>
    </row>
    <row r="29" spans="1:9" ht="12.75" customHeight="1" x14ac:dyDescent="0.2">
      <c r="A29" s="20" t="s">
        <v>534</v>
      </c>
      <c r="B29" s="20"/>
      <c r="C29" s="20"/>
      <c r="D29" s="20"/>
    </row>
    <row r="30" spans="1:9" ht="12.75" customHeight="1" x14ac:dyDescent="0.2">
      <c r="A30" s="20" t="s">
        <v>536</v>
      </c>
      <c r="B30" s="20"/>
      <c r="C30" s="20"/>
      <c r="D30" s="20"/>
    </row>
    <row r="31" spans="1:9" x14ac:dyDescent="0.2">
      <c r="A31" t="s">
        <v>537</v>
      </c>
    </row>
    <row r="32" spans="1:9" x14ac:dyDescent="0.2">
      <c r="A32" s="20" t="s">
        <v>535</v>
      </c>
    </row>
    <row r="33" spans="1:1" x14ac:dyDescent="0.2">
      <c r="A33" s="20" t="s">
        <v>531</v>
      </c>
    </row>
    <row r="34" spans="1:1" x14ac:dyDescent="0.2">
      <c r="A34" s="20" t="s">
        <v>528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 Count Graph</vt:lpstr>
      <vt:lpstr>Active</vt:lpstr>
      <vt:lpstr>Malfunctions</vt:lpstr>
      <vt:lpstr>Summary</vt:lpstr>
      <vt:lpstr>Data</vt:lpstr>
      <vt:lpstr>Report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Aakash Dubey</cp:lastModifiedBy>
  <dcterms:created xsi:type="dcterms:W3CDTF">2009-05-21T13:20:04Z</dcterms:created>
  <dcterms:modified xsi:type="dcterms:W3CDTF">2020-06-29T23:10:47Z</dcterms:modified>
</cp:coreProperties>
</file>