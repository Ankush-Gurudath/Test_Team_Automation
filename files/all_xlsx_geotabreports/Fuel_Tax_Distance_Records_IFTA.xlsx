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akashdubey\My Drive\MyG Reporting\Global reporting task force\IFTA audit template\"/>
    </mc:Choice>
  </mc:AlternateContent>
  <xr:revisionPtr revIDLastSave="0" documentId="13_ncr:1_{C3B23972-8B03-434A-8330-0F13942FAE3B}" xr6:coauthVersionLast="47" xr6:coauthVersionMax="47" xr10:uidLastSave="{00000000-0000-0000-0000-000000000000}"/>
  <bookViews>
    <workbookView xWindow="-120" yWindow="-120" windowWidth="29040" windowHeight="15720" tabRatio="500" firstSheet="2" activeTab="2" xr2:uid="{00000000-000D-0000-FFFF-FFFF00000000}"/>
  </bookViews>
  <sheets>
    <sheet name="Data" sheetId="1" state="hidden" r:id="rId1"/>
    <sheet name="Report" sheetId="2" state="hidden" r:id="rId2"/>
    <sheet name="Summary" sheetId="3" r:id="rId3"/>
    <sheet name="Languages" sheetId="4" state="hidden" r:id="rId4"/>
  </sheets>
  <definedNames>
    <definedName name="_xlnm._FilterDatabase" localSheetId="0" hidden="1">Data!$A$10:$K$10</definedName>
    <definedName name="_xlnm._FilterDatabase" localSheetId="1" hidden="1">Report!$A$12:$X$12</definedName>
    <definedName name="AllData">Report!$A$12:$X$621</definedName>
  </definedNames>
  <calcPr calcId="191029"/>
  <pivotCaches>
    <pivotCache cacheId="1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calcChain.xml><?xml version="1.0" encoding="utf-8"?>
<calcChain xmlns="http://schemas.openxmlformats.org/spreadsheetml/2006/main">
  <c r="E621" i="2" l="1"/>
  <c r="F621" i="2" s="1"/>
  <c r="E620" i="2"/>
  <c r="E619" i="2"/>
  <c r="F619" i="2" s="1"/>
  <c r="F620" i="2" s="1"/>
  <c r="E618" i="2"/>
  <c r="E617" i="2"/>
  <c r="E616" i="2"/>
  <c r="E615" i="2"/>
  <c r="E614" i="2"/>
  <c r="E613" i="2"/>
  <c r="E612" i="2"/>
  <c r="E611" i="2"/>
  <c r="E610" i="2"/>
  <c r="E609" i="2"/>
  <c r="E608" i="2"/>
  <c r="F608" i="2" s="1"/>
  <c r="E607" i="2"/>
  <c r="E606" i="2"/>
  <c r="E605" i="2"/>
  <c r="E604" i="2"/>
  <c r="F604" i="2" s="1"/>
  <c r="F605" i="2" s="1"/>
  <c r="F606" i="2" s="1"/>
  <c r="F607" i="2" s="1"/>
  <c r="E603" i="2"/>
  <c r="E602" i="2"/>
  <c r="E601" i="2"/>
  <c r="E600" i="2"/>
  <c r="E599" i="2"/>
  <c r="F599" i="2" s="1"/>
  <c r="E598" i="2"/>
  <c r="E597" i="2"/>
  <c r="E596" i="2"/>
  <c r="E595" i="2"/>
  <c r="E594" i="2"/>
  <c r="F594" i="2" s="1"/>
  <c r="E593" i="2"/>
  <c r="E592" i="2"/>
  <c r="E591" i="2"/>
  <c r="J591" i="2" s="1"/>
  <c r="K591" i="2" s="1"/>
  <c r="L591" i="2" s="1"/>
  <c r="E590" i="2"/>
  <c r="E589" i="2"/>
  <c r="F589" i="2" s="1"/>
  <c r="E588" i="2"/>
  <c r="E587" i="2"/>
  <c r="E586" i="2"/>
  <c r="E585" i="2"/>
  <c r="E584" i="2"/>
  <c r="E583" i="2"/>
  <c r="H583" i="2" s="1"/>
  <c r="E582" i="2"/>
  <c r="E581" i="2"/>
  <c r="E580" i="2"/>
  <c r="F580" i="2" s="1"/>
  <c r="E579" i="2"/>
  <c r="E578" i="2"/>
  <c r="E577" i="2"/>
  <c r="E576" i="2"/>
  <c r="G576" i="2" s="1"/>
  <c r="E575" i="2"/>
  <c r="E574" i="2"/>
  <c r="E573" i="2"/>
  <c r="E572" i="2"/>
  <c r="E571" i="2"/>
  <c r="E570" i="2"/>
  <c r="E569" i="2"/>
  <c r="F569" i="2" s="1"/>
  <c r="F570" i="2" s="1"/>
  <c r="E568" i="2"/>
  <c r="E567" i="2"/>
  <c r="E566" i="2"/>
  <c r="E565" i="2"/>
  <c r="E564" i="2"/>
  <c r="E563" i="2"/>
  <c r="E562" i="2"/>
  <c r="E561" i="2"/>
  <c r="E560" i="2"/>
  <c r="J560" i="2" s="1"/>
  <c r="K560" i="2" s="1"/>
  <c r="L560" i="2" s="1"/>
  <c r="E559" i="2"/>
  <c r="E558" i="2"/>
  <c r="F558" i="2" s="1"/>
  <c r="E557" i="2"/>
  <c r="E556" i="2"/>
  <c r="E555" i="2"/>
  <c r="E554" i="2"/>
  <c r="E553" i="2"/>
  <c r="E552" i="2"/>
  <c r="E551" i="2"/>
  <c r="E550" i="2"/>
  <c r="F550" i="2" s="1"/>
  <c r="E549" i="2"/>
  <c r="E548" i="2"/>
  <c r="E547" i="2"/>
  <c r="E546" i="2"/>
  <c r="E545" i="2"/>
  <c r="J545" i="2" s="1"/>
  <c r="K545" i="2" s="1"/>
  <c r="L545" i="2" s="1"/>
  <c r="E544" i="2"/>
  <c r="J544" i="2" s="1"/>
  <c r="K544" i="2" s="1"/>
  <c r="L544" i="2" s="1"/>
  <c r="E543" i="2"/>
  <c r="F543" i="2" s="1"/>
  <c r="E542" i="2"/>
  <c r="E541" i="2"/>
  <c r="E540" i="2"/>
  <c r="F540" i="2" s="1"/>
  <c r="E539" i="2"/>
  <c r="E538" i="2"/>
  <c r="F538" i="2" s="1"/>
  <c r="E537" i="2"/>
  <c r="J537" i="2" s="1"/>
  <c r="K537" i="2" s="1"/>
  <c r="L537" i="2" s="1"/>
  <c r="E536" i="2"/>
  <c r="E535" i="2"/>
  <c r="E534" i="2"/>
  <c r="E533" i="2"/>
  <c r="E532" i="2"/>
  <c r="F532" i="2" s="1"/>
  <c r="F533" i="2" s="1"/>
  <c r="F534" i="2" s="1"/>
  <c r="F535" i="2" s="1"/>
  <c r="F536" i="2" s="1"/>
  <c r="F537" i="2" s="1"/>
  <c r="E531" i="2"/>
  <c r="H531" i="2" s="1"/>
  <c r="E530" i="2"/>
  <c r="E529" i="2"/>
  <c r="E528" i="2"/>
  <c r="E527" i="2"/>
  <c r="E526" i="2"/>
  <c r="E525" i="2"/>
  <c r="E524" i="2"/>
  <c r="E523" i="2"/>
  <c r="E522" i="2"/>
  <c r="E521" i="2"/>
  <c r="E520" i="2"/>
  <c r="E519" i="2"/>
  <c r="F519" i="2" s="1"/>
  <c r="F520" i="2" s="1"/>
  <c r="E518" i="2"/>
  <c r="E517" i="2"/>
  <c r="E516" i="2"/>
  <c r="J516" i="2" s="1"/>
  <c r="K516" i="2" s="1"/>
  <c r="L516" i="2" s="1"/>
  <c r="E515" i="2"/>
  <c r="E514" i="2"/>
  <c r="E513" i="2"/>
  <c r="F513" i="2" s="1"/>
  <c r="F514" i="2" s="1"/>
  <c r="E512" i="2"/>
  <c r="E511" i="2"/>
  <c r="E510" i="2"/>
  <c r="E509" i="2"/>
  <c r="E508" i="2"/>
  <c r="H508" i="2" s="1"/>
  <c r="E507" i="2"/>
  <c r="E506" i="2"/>
  <c r="E505" i="2"/>
  <c r="E504" i="2"/>
  <c r="E503" i="2"/>
  <c r="F503" i="2" s="1"/>
  <c r="E502" i="2"/>
  <c r="E501" i="2"/>
  <c r="E500" i="2"/>
  <c r="E499" i="2"/>
  <c r="G499" i="2" s="1"/>
  <c r="E498" i="2"/>
  <c r="E497" i="2"/>
  <c r="E496" i="2"/>
  <c r="E495" i="2"/>
  <c r="E494" i="2"/>
  <c r="F494" i="2" s="1"/>
  <c r="E493" i="2"/>
  <c r="E492" i="2"/>
  <c r="E491" i="2"/>
  <c r="E490" i="2"/>
  <c r="E489" i="2"/>
  <c r="E488" i="2"/>
  <c r="E487" i="2"/>
  <c r="E486" i="2"/>
  <c r="E485" i="2"/>
  <c r="E484" i="2"/>
  <c r="E483" i="2"/>
  <c r="G483" i="2" s="1"/>
  <c r="E482" i="2"/>
  <c r="J482" i="2" s="1"/>
  <c r="K482" i="2" s="1"/>
  <c r="L482" i="2" s="1"/>
  <c r="E481" i="2"/>
  <c r="E480" i="2"/>
  <c r="E479" i="2"/>
  <c r="F479" i="2" s="1"/>
  <c r="E478" i="2"/>
  <c r="E477" i="2"/>
  <c r="E476" i="2"/>
  <c r="G476" i="2" s="1"/>
  <c r="E475" i="2"/>
  <c r="E474" i="2"/>
  <c r="E473" i="2"/>
  <c r="E472" i="2"/>
  <c r="E471" i="2"/>
  <c r="F471" i="2" s="1"/>
  <c r="E470" i="2"/>
  <c r="E469" i="2"/>
  <c r="E468" i="2"/>
  <c r="G468" i="2" s="1"/>
  <c r="E467" i="2"/>
  <c r="E466" i="2"/>
  <c r="F466" i="2" s="1"/>
  <c r="E465" i="2"/>
  <c r="E464" i="2"/>
  <c r="E463" i="2"/>
  <c r="E462" i="2"/>
  <c r="G462" i="2" s="1"/>
  <c r="E461" i="2"/>
  <c r="E460" i="2"/>
  <c r="F460" i="2" s="1"/>
  <c r="F461" i="2" s="1"/>
  <c r="E459" i="2"/>
  <c r="E458" i="2"/>
  <c r="E457" i="2"/>
  <c r="G457" i="2" s="1"/>
  <c r="E456" i="2"/>
  <c r="E455" i="2"/>
  <c r="E454" i="2"/>
  <c r="E453" i="2"/>
  <c r="E452" i="2"/>
  <c r="E451" i="2"/>
  <c r="E450" i="2"/>
  <c r="J450" i="2" s="1"/>
  <c r="K450" i="2" s="1"/>
  <c r="L450" i="2" s="1"/>
  <c r="E449" i="2"/>
  <c r="E448" i="2"/>
  <c r="E447" i="2"/>
  <c r="E446" i="2"/>
  <c r="E445" i="2"/>
  <c r="F445" i="2" s="1"/>
  <c r="F446" i="2" s="1"/>
  <c r="F447" i="2" s="1"/>
  <c r="F448" i="2" s="1"/>
  <c r="F449" i="2" s="1"/>
  <c r="E444" i="2"/>
  <c r="E443" i="2"/>
  <c r="E442" i="2"/>
  <c r="E441" i="2"/>
  <c r="J441" i="2" s="1"/>
  <c r="K441" i="2" s="1"/>
  <c r="L441" i="2" s="1"/>
  <c r="E440" i="2"/>
  <c r="E439" i="2"/>
  <c r="E438" i="2"/>
  <c r="G438" i="2" s="1"/>
  <c r="E437" i="2"/>
  <c r="F437" i="2" s="1"/>
  <c r="E436" i="2"/>
  <c r="E435" i="2"/>
  <c r="E434" i="2"/>
  <c r="G434" i="2" s="1"/>
  <c r="E433" i="2"/>
  <c r="E432" i="2"/>
  <c r="E431" i="2"/>
  <c r="E430" i="2"/>
  <c r="E429" i="2"/>
  <c r="E428" i="2"/>
  <c r="F428" i="2" s="1"/>
  <c r="F429" i="2" s="1"/>
  <c r="E427" i="2"/>
  <c r="E426" i="2"/>
  <c r="H426" i="2" s="1"/>
  <c r="E425" i="2"/>
  <c r="E424" i="2"/>
  <c r="F424" i="2" s="1"/>
  <c r="E423" i="2"/>
  <c r="G423" i="2" s="1"/>
  <c r="E422" i="2"/>
  <c r="E421" i="2"/>
  <c r="E420" i="2"/>
  <c r="E419" i="2"/>
  <c r="J419" i="2" s="1"/>
  <c r="K419" i="2" s="1"/>
  <c r="L419" i="2" s="1"/>
  <c r="E418" i="2"/>
  <c r="E417" i="2"/>
  <c r="F417" i="2" s="1"/>
  <c r="F418" i="2" s="1"/>
  <c r="E416" i="2"/>
  <c r="F416" i="2" s="1"/>
  <c r="E415" i="2"/>
  <c r="E414" i="2"/>
  <c r="E413" i="2"/>
  <c r="E412" i="2"/>
  <c r="F412" i="2" s="1"/>
  <c r="F413" i="2" s="1"/>
  <c r="E411" i="2"/>
  <c r="E410" i="2"/>
  <c r="F410" i="2" s="1"/>
  <c r="E409" i="2"/>
  <c r="E408" i="2"/>
  <c r="F408" i="2" s="1"/>
  <c r="E407" i="2"/>
  <c r="E406" i="2"/>
  <c r="E405" i="2"/>
  <c r="E404" i="2"/>
  <c r="J404" i="2" s="1"/>
  <c r="K404" i="2" s="1"/>
  <c r="L404" i="2" s="1"/>
  <c r="E403" i="2"/>
  <c r="E402" i="2"/>
  <c r="E401" i="2"/>
  <c r="E400" i="2"/>
  <c r="E399" i="2"/>
  <c r="F399" i="2" s="1"/>
  <c r="E398" i="2"/>
  <c r="F398" i="2" s="1"/>
  <c r="E397" i="2"/>
  <c r="E396" i="2"/>
  <c r="E395" i="2"/>
  <c r="E394" i="2"/>
  <c r="E393" i="2"/>
  <c r="E392" i="2"/>
  <c r="F392" i="2" s="1"/>
  <c r="E391" i="2"/>
  <c r="E390" i="2"/>
  <c r="G390" i="2" s="1"/>
  <c r="E389" i="2"/>
  <c r="E388" i="2"/>
  <c r="E387" i="2"/>
  <c r="F387" i="2" s="1"/>
  <c r="E386" i="2"/>
  <c r="G386" i="2" s="1"/>
  <c r="E385" i="2"/>
  <c r="E384" i="2"/>
  <c r="E383" i="2"/>
  <c r="E382" i="2"/>
  <c r="E381" i="2"/>
  <c r="E380" i="2"/>
  <c r="F380" i="2" s="1"/>
  <c r="F381" i="2" s="1"/>
  <c r="E379" i="2"/>
  <c r="E378" i="2"/>
  <c r="E377" i="2"/>
  <c r="E376" i="2"/>
  <c r="E375" i="2"/>
  <c r="J375" i="2" s="1"/>
  <c r="K375" i="2" s="1"/>
  <c r="L375" i="2" s="1"/>
  <c r="E374" i="2"/>
  <c r="E373" i="2"/>
  <c r="E372" i="2"/>
  <c r="E371" i="2"/>
  <c r="H371" i="2" s="1"/>
  <c r="E370" i="2"/>
  <c r="F370" i="2" s="1"/>
  <c r="E369" i="2"/>
  <c r="E368" i="2"/>
  <c r="E367" i="2"/>
  <c r="J367" i="2" s="1"/>
  <c r="K367" i="2" s="1"/>
  <c r="L367" i="2" s="1"/>
  <c r="E366" i="2"/>
  <c r="E365" i="2"/>
  <c r="E364" i="2"/>
  <c r="G364" i="2" s="1"/>
  <c r="E363" i="2"/>
  <c r="F363" i="2" s="1"/>
  <c r="E362" i="2"/>
  <c r="E361" i="2"/>
  <c r="E360" i="2"/>
  <c r="J360" i="2" s="1"/>
  <c r="K360" i="2" s="1"/>
  <c r="L360" i="2" s="1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F347" i="2" s="1"/>
  <c r="E346" i="2"/>
  <c r="J346" i="2" s="1"/>
  <c r="K346" i="2" s="1"/>
  <c r="L346" i="2" s="1"/>
  <c r="E345" i="2"/>
  <c r="E344" i="2"/>
  <c r="F344" i="2" s="1"/>
  <c r="E343" i="2"/>
  <c r="H343" i="2" s="1"/>
  <c r="E342" i="2"/>
  <c r="E341" i="2"/>
  <c r="E340" i="2"/>
  <c r="E339" i="2"/>
  <c r="E338" i="2"/>
  <c r="E337" i="2"/>
  <c r="F337" i="2" s="1"/>
  <c r="E336" i="2"/>
  <c r="E335" i="2"/>
  <c r="E334" i="2"/>
  <c r="E333" i="2"/>
  <c r="F333" i="2" s="1"/>
  <c r="F334" i="2" s="1"/>
  <c r="F335" i="2" s="1"/>
  <c r="F336" i="2" s="1"/>
  <c r="E332" i="2"/>
  <c r="E331" i="2"/>
  <c r="H331" i="2" s="1"/>
  <c r="E330" i="2"/>
  <c r="E329" i="2"/>
  <c r="E328" i="2"/>
  <c r="H328" i="2" s="1"/>
  <c r="E327" i="2"/>
  <c r="F327" i="2" s="1"/>
  <c r="E326" i="2"/>
  <c r="E325" i="2"/>
  <c r="H325" i="2" s="1"/>
  <c r="E324" i="2"/>
  <c r="E323" i="2"/>
  <c r="E322" i="2"/>
  <c r="E321" i="2"/>
  <c r="E320" i="2"/>
  <c r="E319" i="2"/>
  <c r="E318" i="2"/>
  <c r="E317" i="2"/>
  <c r="E316" i="2"/>
  <c r="E315" i="2"/>
  <c r="E314" i="2"/>
  <c r="H314" i="2" s="1"/>
  <c r="E313" i="2"/>
  <c r="E312" i="2"/>
  <c r="E311" i="2"/>
  <c r="G311" i="2" s="1"/>
  <c r="E310" i="2"/>
  <c r="E309" i="2"/>
  <c r="E308" i="2"/>
  <c r="E307" i="2"/>
  <c r="E306" i="2"/>
  <c r="J306" i="2" s="1"/>
  <c r="K306" i="2" s="1"/>
  <c r="L306" i="2" s="1"/>
  <c r="E305" i="2"/>
  <c r="F305" i="2" s="1"/>
  <c r="E304" i="2"/>
  <c r="E303" i="2"/>
  <c r="J303" i="2" s="1"/>
  <c r="K303" i="2" s="1"/>
  <c r="L303" i="2" s="1"/>
  <c r="E302" i="2"/>
  <c r="E301" i="2"/>
  <c r="E300" i="2"/>
  <c r="E299" i="2"/>
  <c r="E298" i="2"/>
  <c r="H298" i="2" s="1"/>
  <c r="E297" i="2"/>
  <c r="E296" i="2"/>
  <c r="F296" i="2" s="1"/>
  <c r="E295" i="2"/>
  <c r="E294" i="2"/>
  <c r="E293" i="2"/>
  <c r="F293" i="2" s="1"/>
  <c r="E292" i="2"/>
  <c r="E291" i="2"/>
  <c r="E290" i="2"/>
  <c r="G290" i="2" s="1"/>
  <c r="E289" i="2"/>
  <c r="E288" i="2"/>
  <c r="E287" i="2"/>
  <c r="E286" i="2"/>
  <c r="E285" i="2"/>
  <c r="G285" i="2" s="1"/>
  <c r="E284" i="2"/>
  <c r="E283" i="2"/>
  <c r="E282" i="2"/>
  <c r="E281" i="2"/>
  <c r="E280" i="2"/>
  <c r="E279" i="2"/>
  <c r="E278" i="2"/>
  <c r="F278" i="2" s="1"/>
  <c r="E277" i="2"/>
  <c r="G277" i="2" s="1"/>
  <c r="E276" i="2"/>
  <c r="E275" i="2"/>
  <c r="E274" i="2"/>
  <c r="E273" i="2"/>
  <c r="E272" i="2"/>
  <c r="G272" i="2" s="1"/>
  <c r="E271" i="2"/>
  <c r="E270" i="2"/>
  <c r="E269" i="2"/>
  <c r="E268" i="2"/>
  <c r="E267" i="2"/>
  <c r="J267" i="2" s="1"/>
  <c r="K267" i="2" s="1"/>
  <c r="L267" i="2" s="1"/>
  <c r="E266" i="2"/>
  <c r="E265" i="2"/>
  <c r="E264" i="2"/>
  <c r="F264" i="2" s="1"/>
  <c r="E263" i="2"/>
  <c r="E262" i="2"/>
  <c r="E261" i="2"/>
  <c r="E260" i="2"/>
  <c r="E259" i="2"/>
  <c r="G259" i="2" s="1"/>
  <c r="E258" i="2"/>
  <c r="E257" i="2"/>
  <c r="E256" i="2"/>
  <c r="E255" i="2"/>
  <c r="E254" i="2"/>
  <c r="H254" i="2" s="1"/>
  <c r="E253" i="2"/>
  <c r="F253" i="2" s="1"/>
  <c r="F254" i="2" s="1"/>
  <c r="F255" i="2" s="1"/>
  <c r="F256" i="2" s="1"/>
  <c r="F257" i="2" s="1"/>
  <c r="F258" i="2" s="1"/>
  <c r="E252" i="2"/>
  <c r="J252" i="2" s="1"/>
  <c r="K252" i="2" s="1"/>
  <c r="L252" i="2" s="1"/>
  <c r="E251" i="2"/>
  <c r="E250" i="2"/>
  <c r="J250" i="2" s="1"/>
  <c r="K250" i="2" s="1"/>
  <c r="L250" i="2" s="1"/>
  <c r="E249" i="2"/>
  <c r="E248" i="2"/>
  <c r="E247" i="2"/>
  <c r="J247" i="2" s="1"/>
  <c r="K247" i="2" s="1"/>
  <c r="L247" i="2" s="1"/>
  <c r="E246" i="2"/>
  <c r="E245" i="2"/>
  <c r="G245" i="2" s="1"/>
  <c r="E244" i="2"/>
  <c r="E243" i="2"/>
  <c r="F243" i="2" s="1"/>
  <c r="E242" i="2"/>
  <c r="E241" i="2"/>
  <c r="G241" i="2" s="1"/>
  <c r="E240" i="2"/>
  <c r="H240" i="2" s="1"/>
  <c r="E239" i="2"/>
  <c r="E238" i="2"/>
  <c r="E237" i="2"/>
  <c r="E236" i="2"/>
  <c r="E235" i="2"/>
  <c r="E234" i="2"/>
  <c r="F234" i="2" s="1"/>
  <c r="E233" i="2"/>
  <c r="E232" i="2"/>
  <c r="E231" i="2"/>
  <c r="E230" i="2"/>
  <c r="J230" i="2" s="1"/>
  <c r="K230" i="2" s="1"/>
  <c r="L230" i="2" s="1"/>
  <c r="E229" i="2"/>
  <c r="E228" i="2"/>
  <c r="G228" i="2" s="1"/>
  <c r="E227" i="2"/>
  <c r="E226" i="2"/>
  <c r="J226" i="2" s="1"/>
  <c r="K226" i="2" s="1"/>
  <c r="L226" i="2" s="1"/>
  <c r="E225" i="2"/>
  <c r="E224" i="2"/>
  <c r="E223" i="2"/>
  <c r="E222" i="2"/>
  <c r="G222" i="2" s="1"/>
  <c r="E221" i="2"/>
  <c r="F221" i="2" s="1"/>
  <c r="E220" i="2"/>
  <c r="E219" i="2"/>
  <c r="E218" i="2"/>
  <c r="E217" i="2"/>
  <c r="E216" i="2"/>
  <c r="J216" i="2" s="1"/>
  <c r="K216" i="2" s="1"/>
  <c r="L216" i="2" s="1"/>
  <c r="E215" i="2"/>
  <c r="E214" i="2"/>
  <c r="E213" i="2"/>
  <c r="F213" i="2" s="1"/>
  <c r="E212" i="2"/>
  <c r="E211" i="2"/>
  <c r="E210" i="2"/>
  <c r="E209" i="2"/>
  <c r="E208" i="2"/>
  <c r="E207" i="2"/>
  <c r="G207" i="2" s="1"/>
  <c r="E206" i="2"/>
  <c r="E205" i="2"/>
  <c r="E204" i="2"/>
  <c r="J204" i="2" s="1"/>
  <c r="K204" i="2" s="1"/>
  <c r="L204" i="2" s="1"/>
  <c r="E203" i="2"/>
  <c r="E202" i="2"/>
  <c r="J202" i="2" s="1"/>
  <c r="K202" i="2" s="1"/>
  <c r="L202" i="2" s="1"/>
  <c r="E201" i="2"/>
  <c r="E200" i="2"/>
  <c r="E199" i="2"/>
  <c r="G199" i="2" s="1"/>
  <c r="E198" i="2"/>
  <c r="E197" i="2"/>
  <c r="E196" i="2"/>
  <c r="E195" i="2"/>
  <c r="G195" i="2" s="1"/>
  <c r="E194" i="2"/>
  <c r="F194" i="2" s="1"/>
  <c r="E193" i="2"/>
  <c r="H193" i="2" s="1"/>
  <c r="E192" i="2"/>
  <c r="E191" i="2"/>
  <c r="G191" i="2" s="1"/>
  <c r="E190" i="2"/>
  <c r="F190" i="2" s="1"/>
  <c r="F191" i="2" s="1"/>
  <c r="F192" i="2" s="1"/>
  <c r="E189" i="2"/>
  <c r="E188" i="2"/>
  <c r="H188" i="2" s="1"/>
  <c r="E187" i="2"/>
  <c r="E186" i="2"/>
  <c r="E185" i="2"/>
  <c r="E184" i="2"/>
  <c r="E183" i="2"/>
  <c r="G183" i="2" s="1"/>
  <c r="E182" i="2"/>
  <c r="E181" i="2"/>
  <c r="G181" i="2" s="1"/>
  <c r="E180" i="2"/>
  <c r="G180" i="2" s="1"/>
  <c r="E179" i="2"/>
  <c r="E178" i="2"/>
  <c r="J178" i="2" s="1"/>
  <c r="K178" i="2" s="1"/>
  <c r="L178" i="2" s="1"/>
  <c r="E177" i="2"/>
  <c r="E176" i="2"/>
  <c r="J176" i="2" s="1"/>
  <c r="K176" i="2" s="1"/>
  <c r="L176" i="2" s="1"/>
  <c r="E175" i="2"/>
  <c r="H175" i="2" s="1"/>
  <c r="E174" i="2"/>
  <c r="F174" i="2" s="1"/>
  <c r="F175" i="2" s="1"/>
  <c r="F176" i="2" s="1"/>
  <c r="E173" i="2"/>
  <c r="E172" i="2"/>
  <c r="E171" i="2"/>
  <c r="J171" i="2" s="1"/>
  <c r="K171" i="2" s="1"/>
  <c r="L171" i="2" s="1"/>
  <c r="E170" i="2"/>
  <c r="E169" i="2"/>
  <c r="J169" i="2" s="1"/>
  <c r="K169" i="2" s="1"/>
  <c r="L169" i="2" s="1"/>
  <c r="E168" i="2"/>
  <c r="J168" i="2" s="1"/>
  <c r="K168" i="2" s="1"/>
  <c r="L168" i="2" s="1"/>
  <c r="E167" i="2"/>
  <c r="E166" i="2"/>
  <c r="J166" i="2" s="1"/>
  <c r="K166" i="2" s="1"/>
  <c r="L166" i="2" s="1"/>
  <c r="E165" i="2"/>
  <c r="G165" i="2" s="1"/>
  <c r="E164" i="2"/>
  <c r="E163" i="2"/>
  <c r="E162" i="2"/>
  <c r="E161" i="2"/>
  <c r="E160" i="2"/>
  <c r="E159" i="2"/>
  <c r="E158" i="2"/>
  <c r="E157" i="2"/>
  <c r="E156" i="2"/>
  <c r="E155" i="2"/>
  <c r="E154" i="2"/>
  <c r="F154" i="2" s="1"/>
  <c r="E153" i="2"/>
  <c r="E152" i="2"/>
  <c r="H152" i="2" s="1"/>
  <c r="E151" i="2"/>
  <c r="E150" i="2"/>
  <c r="E149" i="2"/>
  <c r="E148" i="2"/>
  <c r="E147" i="2"/>
  <c r="G147" i="2" s="1"/>
  <c r="E146" i="2"/>
  <c r="E145" i="2"/>
  <c r="E144" i="2"/>
  <c r="E143" i="2"/>
  <c r="F143" i="2" s="1"/>
  <c r="E142" i="2"/>
  <c r="E141" i="2"/>
  <c r="E140" i="2"/>
  <c r="G140" i="2" s="1"/>
  <c r="E139" i="2"/>
  <c r="J139" i="2" s="1"/>
  <c r="K139" i="2" s="1"/>
  <c r="L139" i="2" s="1"/>
  <c r="E138" i="2"/>
  <c r="E137" i="2"/>
  <c r="J137" i="2" s="1"/>
  <c r="K137" i="2" s="1"/>
  <c r="L137" i="2" s="1"/>
  <c r="E136" i="2"/>
  <c r="J136" i="2" s="1"/>
  <c r="K136" i="2" s="1"/>
  <c r="L136" i="2" s="1"/>
  <c r="E135" i="2"/>
  <c r="E134" i="2"/>
  <c r="E133" i="2"/>
  <c r="E132" i="2"/>
  <c r="E131" i="2"/>
  <c r="E130" i="2"/>
  <c r="G130" i="2" s="1"/>
  <c r="E129" i="2"/>
  <c r="E128" i="2"/>
  <c r="J128" i="2" s="1"/>
  <c r="K128" i="2" s="1"/>
  <c r="L128" i="2" s="1"/>
  <c r="E127" i="2"/>
  <c r="E126" i="2"/>
  <c r="G126" i="2" s="1"/>
  <c r="E125" i="2"/>
  <c r="E124" i="2"/>
  <c r="E123" i="2"/>
  <c r="E122" i="2"/>
  <c r="E121" i="2"/>
  <c r="E120" i="2"/>
  <c r="G120" i="2" s="1"/>
  <c r="E119" i="2"/>
  <c r="E118" i="2"/>
  <c r="E117" i="2"/>
  <c r="E116" i="2"/>
  <c r="J116" i="2" s="1"/>
  <c r="K116" i="2" s="1"/>
  <c r="L116" i="2" s="1"/>
  <c r="E115" i="2"/>
  <c r="E114" i="2"/>
  <c r="E113" i="2"/>
  <c r="E112" i="2"/>
  <c r="G112" i="2" s="1"/>
  <c r="E111" i="2"/>
  <c r="E110" i="2"/>
  <c r="E109" i="2"/>
  <c r="E108" i="2"/>
  <c r="E107" i="2"/>
  <c r="G107" i="2" s="1"/>
  <c r="E106" i="2"/>
  <c r="E105" i="2"/>
  <c r="E104" i="2"/>
  <c r="E103" i="2"/>
  <c r="E102" i="2"/>
  <c r="E101" i="2"/>
  <c r="J101" i="2" s="1"/>
  <c r="K101" i="2" s="1"/>
  <c r="L101" i="2" s="1"/>
  <c r="E100" i="2"/>
  <c r="E99" i="2"/>
  <c r="J99" i="2" s="1"/>
  <c r="K99" i="2" s="1"/>
  <c r="L99" i="2" s="1"/>
  <c r="E98" i="2"/>
  <c r="G98" i="2" s="1"/>
  <c r="E97" i="2"/>
  <c r="G97" i="2" s="1"/>
  <c r="E96" i="2"/>
  <c r="J96" i="2" s="1"/>
  <c r="K96" i="2" s="1"/>
  <c r="L96" i="2" s="1"/>
  <c r="E95" i="2"/>
  <c r="E94" i="2"/>
  <c r="H94" i="2" s="1"/>
  <c r="E93" i="2"/>
  <c r="G93" i="2" s="1"/>
  <c r="E92" i="2"/>
  <c r="E91" i="2"/>
  <c r="H91" i="2" s="1"/>
  <c r="E90" i="2"/>
  <c r="G90" i="2" s="1"/>
  <c r="E89" i="2"/>
  <c r="H89" i="2" s="1"/>
  <c r="E88" i="2"/>
  <c r="J88" i="2" s="1"/>
  <c r="K88" i="2" s="1"/>
  <c r="L88" i="2" s="1"/>
  <c r="E87" i="2"/>
  <c r="E86" i="2"/>
  <c r="G86" i="2" s="1"/>
  <c r="E85" i="2"/>
  <c r="J85" i="2" s="1"/>
  <c r="K85" i="2" s="1"/>
  <c r="L85" i="2" s="1"/>
  <c r="E84" i="2"/>
  <c r="E83" i="2"/>
  <c r="H83" i="2" s="1"/>
  <c r="E82" i="2"/>
  <c r="J82" i="2" s="1"/>
  <c r="K82" i="2" s="1"/>
  <c r="L82" i="2" s="1"/>
  <c r="E81" i="2"/>
  <c r="G81" i="2" s="1"/>
  <c r="E80" i="2"/>
  <c r="G80" i="2" s="1"/>
  <c r="E79" i="2"/>
  <c r="J79" i="2" s="1"/>
  <c r="K79" i="2" s="1"/>
  <c r="L79" i="2" s="1"/>
  <c r="E78" i="2"/>
  <c r="E77" i="2"/>
  <c r="H77" i="2" s="1"/>
  <c r="E76" i="2"/>
  <c r="E75" i="2"/>
  <c r="H75" i="2" s="1"/>
  <c r="E74" i="2"/>
  <c r="G74" i="2" s="1"/>
  <c r="E73" i="2"/>
  <c r="E72" i="2"/>
  <c r="E71" i="2"/>
  <c r="G71" i="2" s="1"/>
  <c r="E70" i="2"/>
  <c r="E69" i="2"/>
  <c r="E68" i="2"/>
  <c r="G68" i="2" s="1"/>
  <c r="E67" i="2"/>
  <c r="G67" i="2" s="1"/>
  <c r="E66" i="2"/>
  <c r="E65" i="2"/>
  <c r="E64" i="2"/>
  <c r="J64" i="2" s="1"/>
  <c r="K64" i="2" s="1"/>
  <c r="L64" i="2" s="1"/>
  <c r="E63" i="2"/>
  <c r="J63" i="2" s="1"/>
  <c r="K63" i="2" s="1"/>
  <c r="L63" i="2" s="1"/>
  <c r="E62" i="2"/>
  <c r="E61" i="2"/>
  <c r="H61" i="2" s="1"/>
  <c r="E60" i="2"/>
  <c r="J60" i="2" s="1"/>
  <c r="K60" i="2" s="1"/>
  <c r="L60" i="2" s="1"/>
  <c r="E59" i="2"/>
  <c r="E58" i="2"/>
  <c r="H58" i="2" s="1"/>
  <c r="E57" i="2"/>
  <c r="G57" i="2" s="1"/>
  <c r="E56" i="2"/>
  <c r="H56" i="2" s="1"/>
  <c r="E55" i="2"/>
  <c r="J55" i="2" s="1"/>
  <c r="K55" i="2" s="1"/>
  <c r="L55" i="2" s="1"/>
  <c r="E54" i="2"/>
  <c r="H54" i="2" s="1"/>
  <c r="E53" i="2"/>
  <c r="J53" i="2" s="1"/>
  <c r="K53" i="2" s="1"/>
  <c r="L53" i="2" s="1"/>
  <c r="E52" i="2"/>
  <c r="G52" i="2" s="1"/>
  <c r="E51" i="2"/>
  <c r="J51" i="2" s="1"/>
  <c r="K51" i="2" s="1"/>
  <c r="L51" i="2" s="1"/>
  <c r="E50" i="2"/>
  <c r="H50" i="2" s="1"/>
  <c r="E49" i="2"/>
  <c r="J49" i="2" s="1"/>
  <c r="K49" i="2" s="1"/>
  <c r="L49" i="2" s="1"/>
  <c r="E48" i="2"/>
  <c r="G48" i="2" s="1"/>
  <c r="E47" i="2"/>
  <c r="J47" i="2" s="1"/>
  <c r="K47" i="2" s="1"/>
  <c r="L47" i="2" s="1"/>
  <c r="E46" i="2"/>
  <c r="J46" i="2" s="1"/>
  <c r="K46" i="2" s="1"/>
  <c r="L46" i="2" s="1"/>
  <c r="E45" i="2"/>
  <c r="E44" i="2"/>
  <c r="G44" i="2" s="1"/>
  <c r="E43" i="2"/>
  <c r="H43" i="2" s="1"/>
  <c r="E42" i="2"/>
  <c r="G42" i="2" s="1"/>
  <c r="E41" i="2"/>
  <c r="E40" i="2"/>
  <c r="J40" i="2" s="1"/>
  <c r="K40" i="2" s="1"/>
  <c r="L40" i="2" s="1"/>
  <c r="E39" i="2"/>
  <c r="G39" i="2" s="1"/>
  <c r="E38" i="2"/>
  <c r="J38" i="2" s="1"/>
  <c r="K38" i="2" s="1"/>
  <c r="L38" i="2" s="1"/>
  <c r="E37" i="2"/>
  <c r="J37" i="2" s="1"/>
  <c r="K37" i="2" s="1"/>
  <c r="L37" i="2" s="1"/>
  <c r="E36" i="2"/>
  <c r="G36" i="2" s="1"/>
  <c r="E35" i="2"/>
  <c r="J35" i="2" s="1"/>
  <c r="K35" i="2" s="1"/>
  <c r="L35" i="2" s="1"/>
  <c r="E34" i="2"/>
  <c r="G34" i="2" s="1"/>
  <c r="E33" i="2"/>
  <c r="J33" i="2" s="1"/>
  <c r="K33" i="2" s="1"/>
  <c r="L33" i="2" s="1"/>
  <c r="E32" i="2"/>
  <c r="H32" i="2" s="1"/>
  <c r="E31" i="2"/>
  <c r="J31" i="2" s="1"/>
  <c r="K31" i="2" s="1"/>
  <c r="L31" i="2" s="1"/>
  <c r="E30" i="2"/>
  <c r="G30" i="2" s="1"/>
  <c r="E29" i="2"/>
  <c r="H29" i="2" s="1"/>
  <c r="E28" i="2"/>
  <c r="G28" i="2" s="1"/>
  <c r="E27" i="2"/>
  <c r="H27" i="2" s="1"/>
  <c r="E26" i="2"/>
  <c r="H26" i="2" s="1"/>
  <c r="E25" i="2"/>
  <c r="H25" i="2" s="1"/>
  <c r="E24" i="2"/>
  <c r="J24" i="2" s="1"/>
  <c r="K24" i="2" s="1"/>
  <c r="L24" i="2" s="1"/>
  <c r="E23" i="2"/>
  <c r="G23" i="2" s="1"/>
  <c r="E22" i="2"/>
  <c r="J22" i="2" s="1"/>
  <c r="K22" i="2" s="1"/>
  <c r="L22" i="2" s="1"/>
  <c r="E21" i="2"/>
  <c r="J21" i="2" s="1"/>
  <c r="K21" i="2" s="1"/>
  <c r="L21" i="2" s="1"/>
  <c r="E20" i="2"/>
  <c r="H20" i="2" s="1"/>
  <c r="E19" i="2"/>
  <c r="J19" i="2" s="1"/>
  <c r="K19" i="2" s="1"/>
  <c r="L19" i="2" s="1"/>
  <c r="E18" i="2"/>
  <c r="J18" i="2" s="1"/>
  <c r="K18" i="2" s="1"/>
  <c r="L18" i="2" s="1"/>
  <c r="E17" i="2"/>
  <c r="J17" i="2" s="1"/>
  <c r="K17" i="2" s="1"/>
  <c r="L17" i="2" s="1"/>
  <c r="E16" i="2"/>
  <c r="H16" i="2" s="1"/>
  <c r="E15" i="2"/>
  <c r="J15" i="2" s="1"/>
  <c r="K15" i="2" s="1"/>
  <c r="L15" i="2" s="1"/>
  <c r="E14" i="2"/>
  <c r="G14" i="2" s="1"/>
  <c r="E13" i="2"/>
  <c r="H13" i="2" s="1"/>
  <c r="D4" i="3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13" i="2"/>
  <c r="S13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10" i="3"/>
  <c r="B9" i="3"/>
  <c r="B6" i="3"/>
  <c r="B5" i="3"/>
  <c r="A2" i="3"/>
  <c r="D1" i="3"/>
  <c r="X621" i="2"/>
  <c r="W621" i="2"/>
  <c r="T621" i="2"/>
  <c r="V621" i="2" s="1"/>
  <c r="S621" i="2"/>
  <c r="U621" i="2" s="1"/>
  <c r="A621" i="2"/>
  <c r="X620" i="2"/>
  <c r="W620" i="2"/>
  <c r="T620" i="2"/>
  <c r="S620" i="2"/>
  <c r="A620" i="2"/>
  <c r="X619" i="2"/>
  <c r="W619" i="2"/>
  <c r="T619" i="2"/>
  <c r="V619" i="2" s="1"/>
  <c r="S619" i="2"/>
  <c r="U619" i="2" s="1"/>
  <c r="A619" i="2"/>
  <c r="X618" i="2"/>
  <c r="W618" i="2"/>
  <c r="T618" i="2"/>
  <c r="S618" i="2"/>
  <c r="A618" i="2"/>
  <c r="X617" i="2"/>
  <c r="W617" i="2"/>
  <c r="T617" i="2"/>
  <c r="S617" i="2"/>
  <c r="A617" i="2"/>
  <c r="X616" i="2"/>
  <c r="W616" i="2"/>
  <c r="T616" i="2"/>
  <c r="S616" i="2"/>
  <c r="A616" i="2"/>
  <c r="X615" i="2"/>
  <c r="W615" i="2"/>
  <c r="T615" i="2"/>
  <c r="S615" i="2"/>
  <c r="A615" i="2"/>
  <c r="X614" i="2"/>
  <c r="W614" i="2"/>
  <c r="T614" i="2"/>
  <c r="S614" i="2"/>
  <c r="A614" i="2"/>
  <c r="X613" i="2"/>
  <c r="W613" i="2"/>
  <c r="T613" i="2"/>
  <c r="S613" i="2"/>
  <c r="A613" i="2"/>
  <c r="X612" i="2"/>
  <c r="W612" i="2"/>
  <c r="T612" i="2"/>
  <c r="S612" i="2"/>
  <c r="A612" i="2"/>
  <c r="X611" i="2"/>
  <c r="W611" i="2"/>
  <c r="T611" i="2"/>
  <c r="S611" i="2"/>
  <c r="A611" i="2"/>
  <c r="X610" i="2"/>
  <c r="W610" i="2"/>
  <c r="T610" i="2"/>
  <c r="S610" i="2"/>
  <c r="A610" i="2"/>
  <c r="X609" i="2"/>
  <c r="W609" i="2"/>
  <c r="T609" i="2"/>
  <c r="S609" i="2"/>
  <c r="A609" i="2"/>
  <c r="X608" i="2"/>
  <c r="W608" i="2"/>
  <c r="T608" i="2"/>
  <c r="V608" i="2" s="1"/>
  <c r="S608" i="2"/>
  <c r="U608" i="2" s="1"/>
  <c r="A608" i="2"/>
  <c r="X607" i="2"/>
  <c r="W607" i="2"/>
  <c r="T607" i="2"/>
  <c r="S607" i="2"/>
  <c r="A607" i="2"/>
  <c r="X606" i="2"/>
  <c r="W606" i="2"/>
  <c r="T606" i="2"/>
  <c r="S606" i="2"/>
  <c r="A606" i="2"/>
  <c r="X605" i="2"/>
  <c r="W605" i="2"/>
  <c r="T605" i="2"/>
  <c r="S605" i="2"/>
  <c r="A605" i="2"/>
  <c r="X604" i="2"/>
  <c r="W604" i="2"/>
  <c r="T604" i="2"/>
  <c r="V604" i="2" s="1"/>
  <c r="S604" i="2"/>
  <c r="U604" i="2" s="1"/>
  <c r="A604" i="2"/>
  <c r="X603" i="2"/>
  <c r="W603" i="2"/>
  <c r="T603" i="2"/>
  <c r="S603" i="2"/>
  <c r="A603" i="2"/>
  <c r="X602" i="2"/>
  <c r="W602" i="2"/>
  <c r="T602" i="2"/>
  <c r="S602" i="2"/>
  <c r="A602" i="2"/>
  <c r="X601" i="2"/>
  <c r="W601" i="2"/>
  <c r="T601" i="2"/>
  <c r="S601" i="2"/>
  <c r="A601" i="2"/>
  <c r="X600" i="2"/>
  <c r="W600" i="2"/>
  <c r="T600" i="2"/>
  <c r="S600" i="2"/>
  <c r="A600" i="2"/>
  <c r="X599" i="2"/>
  <c r="W599" i="2"/>
  <c r="T599" i="2"/>
  <c r="V599" i="2" s="1"/>
  <c r="S599" i="2"/>
  <c r="U599" i="2" s="1"/>
  <c r="A599" i="2"/>
  <c r="X598" i="2"/>
  <c r="W598" i="2"/>
  <c r="T598" i="2"/>
  <c r="S598" i="2"/>
  <c r="A598" i="2"/>
  <c r="X597" i="2"/>
  <c r="W597" i="2"/>
  <c r="T597" i="2"/>
  <c r="S597" i="2"/>
  <c r="A597" i="2"/>
  <c r="X596" i="2"/>
  <c r="W596" i="2"/>
  <c r="T596" i="2"/>
  <c r="S596" i="2"/>
  <c r="A596" i="2"/>
  <c r="X595" i="2"/>
  <c r="W595" i="2"/>
  <c r="T595" i="2"/>
  <c r="S595" i="2"/>
  <c r="A595" i="2"/>
  <c r="X594" i="2"/>
  <c r="W594" i="2"/>
  <c r="T594" i="2"/>
  <c r="V594" i="2" s="1"/>
  <c r="S594" i="2"/>
  <c r="U594" i="2" s="1"/>
  <c r="A594" i="2"/>
  <c r="X593" i="2"/>
  <c r="W593" i="2"/>
  <c r="T593" i="2"/>
  <c r="S593" i="2"/>
  <c r="A593" i="2"/>
  <c r="X592" i="2"/>
  <c r="W592" i="2"/>
  <c r="T592" i="2"/>
  <c r="S592" i="2"/>
  <c r="A592" i="2"/>
  <c r="X591" i="2"/>
  <c r="W591" i="2"/>
  <c r="T591" i="2"/>
  <c r="S591" i="2"/>
  <c r="A591" i="2"/>
  <c r="X590" i="2"/>
  <c r="W590" i="2"/>
  <c r="T590" i="2"/>
  <c r="S590" i="2"/>
  <c r="A590" i="2"/>
  <c r="X589" i="2"/>
  <c r="W589" i="2"/>
  <c r="T589" i="2"/>
  <c r="V589" i="2" s="1"/>
  <c r="S589" i="2"/>
  <c r="U589" i="2" s="1"/>
  <c r="A589" i="2"/>
  <c r="X588" i="2"/>
  <c r="W588" i="2"/>
  <c r="T588" i="2"/>
  <c r="S588" i="2"/>
  <c r="A588" i="2"/>
  <c r="X587" i="2"/>
  <c r="W587" i="2"/>
  <c r="T587" i="2"/>
  <c r="S587" i="2"/>
  <c r="A587" i="2"/>
  <c r="X586" i="2"/>
  <c r="W586" i="2"/>
  <c r="T586" i="2"/>
  <c r="S586" i="2"/>
  <c r="A586" i="2"/>
  <c r="X585" i="2"/>
  <c r="W585" i="2"/>
  <c r="T585" i="2"/>
  <c r="S585" i="2"/>
  <c r="A585" i="2"/>
  <c r="X584" i="2"/>
  <c r="W584" i="2"/>
  <c r="T584" i="2"/>
  <c r="S584" i="2"/>
  <c r="A584" i="2"/>
  <c r="X583" i="2"/>
  <c r="W583" i="2"/>
  <c r="T583" i="2"/>
  <c r="S583" i="2"/>
  <c r="A583" i="2"/>
  <c r="X582" i="2"/>
  <c r="W582" i="2"/>
  <c r="T582" i="2"/>
  <c r="S582" i="2"/>
  <c r="A582" i="2"/>
  <c r="X581" i="2"/>
  <c r="W581" i="2"/>
  <c r="T581" i="2"/>
  <c r="S581" i="2"/>
  <c r="A581" i="2"/>
  <c r="X580" i="2"/>
  <c r="W580" i="2"/>
  <c r="T580" i="2"/>
  <c r="V580" i="2" s="1"/>
  <c r="S580" i="2"/>
  <c r="U580" i="2" s="1"/>
  <c r="A580" i="2"/>
  <c r="X579" i="2"/>
  <c r="W579" i="2"/>
  <c r="T579" i="2"/>
  <c r="S579" i="2"/>
  <c r="A579" i="2"/>
  <c r="X578" i="2"/>
  <c r="W578" i="2"/>
  <c r="T578" i="2"/>
  <c r="S578" i="2"/>
  <c r="A578" i="2"/>
  <c r="X577" i="2"/>
  <c r="W577" i="2"/>
  <c r="T577" i="2"/>
  <c r="S577" i="2"/>
  <c r="A577" i="2"/>
  <c r="X576" i="2"/>
  <c r="W576" i="2"/>
  <c r="T576" i="2"/>
  <c r="S576" i="2"/>
  <c r="A576" i="2"/>
  <c r="X575" i="2"/>
  <c r="W575" i="2"/>
  <c r="T575" i="2"/>
  <c r="S575" i="2"/>
  <c r="A575" i="2"/>
  <c r="X574" i="2"/>
  <c r="W574" i="2"/>
  <c r="T574" i="2"/>
  <c r="S574" i="2"/>
  <c r="A574" i="2"/>
  <c r="X573" i="2"/>
  <c r="W573" i="2"/>
  <c r="T573" i="2"/>
  <c r="S573" i="2"/>
  <c r="A573" i="2"/>
  <c r="X572" i="2"/>
  <c r="W572" i="2"/>
  <c r="T572" i="2"/>
  <c r="S572" i="2"/>
  <c r="A572" i="2"/>
  <c r="X571" i="2"/>
  <c r="W571" i="2"/>
  <c r="T571" i="2"/>
  <c r="S571" i="2"/>
  <c r="A571" i="2"/>
  <c r="X570" i="2"/>
  <c r="W570" i="2"/>
  <c r="T570" i="2"/>
  <c r="S570" i="2"/>
  <c r="A570" i="2"/>
  <c r="X569" i="2"/>
  <c r="W569" i="2"/>
  <c r="T569" i="2"/>
  <c r="V569" i="2" s="1"/>
  <c r="S569" i="2"/>
  <c r="U569" i="2" s="1"/>
  <c r="A569" i="2"/>
  <c r="X568" i="2"/>
  <c r="W568" i="2"/>
  <c r="T568" i="2"/>
  <c r="S568" i="2"/>
  <c r="A568" i="2"/>
  <c r="X567" i="2"/>
  <c r="W567" i="2"/>
  <c r="T567" i="2"/>
  <c r="S567" i="2"/>
  <c r="A567" i="2"/>
  <c r="X566" i="2"/>
  <c r="W566" i="2"/>
  <c r="T566" i="2"/>
  <c r="S566" i="2"/>
  <c r="A566" i="2"/>
  <c r="X565" i="2"/>
  <c r="W565" i="2"/>
  <c r="T565" i="2"/>
  <c r="S565" i="2"/>
  <c r="A565" i="2"/>
  <c r="X564" i="2"/>
  <c r="W564" i="2"/>
  <c r="T564" i="2"/>
  <c r="S564" i="2"/>
  <c r="A564" i="2"/>
  <c r="X563" i="2"/>
  <c r="W563" i="2"/>
  <c r="T563" i="2"/>
  <c r="S563" i="2"/>
  <c r="A563" i="2"/>
  <c r="X562" i="2"/>
  <c r="W562" i="2"/>
  <c r="T562" i="2"/>
  <c r="S562" i="2"/>
  <c r="A562" i="2"/>
  <c r="X561" i="2"/>
  <c r="W561" i="2"/>
  <c r="T561" i="2"/>
  <c r="S561" i="2"/>
  <c r="A561" i="2"/>
  <c r="X560" i="2"/>
  <c r="W560" i="2"/>
  <c r="T560" i="2"/>
  <c r="S560" i="2"/>
  <c r="A560" i="2"/>
  <c r="X559" i="2"/>
  <c r="W559" i="2"/>
  <c r="T559" i="2"/>
  <c r="S559" i="2"/>
  <c r="A559" i="2"/>
  <c r="X558" i="2"/>
  <c r="W558" i="2"/>
  <c r="T558" i="2"/>
  <c r="V558" i="2" s="1"/>
  <c r="S558" i="2"/>
  <c r="U558" i="2" s="1"/>
  <c r="A558" i="2"/>
  <c r="X557" i="2"/>
  <c r="W557" i="2"/>
  <c r="T557" i="2"/>
  <c r="S557" i="2"/>
  <c r="A557" i="2"/>
  <c r="X556" i="2"/>
  <c r="W556" i="2"/>
  <c r="T556" i="2"/>
  <c r="S556" i="2"/>
  <c r="A556" i="2"/>
  <c r="X555" i="2"/>
  <c r="W555" i="2"/>
  <c r="T555" i="2"/>
  <c r="S555" i="2"/>
  <c r="A555" i="2"/>
  <c r="X554" i="2"/>
  <c r="W554" i="2"/>
  <c r="T554" i="2"/>
  <c r="S554" i="2"/>
  <c r="A554" i="2"/>
  <c r="X553" i="2"/>
  <c r="W553" i="2"/>
  <c r="T553" i="2"/>
  <c r="S553" i="2"/>
  <c r="A553" i="2"/>
  <c r="X552" i="2"/>
  <c r="W552" i="2"/>
  <c r="T552" i="2"/>
  <c r="S552" i="2"/>
  <c r="A552" i="2"/>
  <c r="X551" i="2"/>
  <c r="W551" i="2"/>
  <c r="T551" i="2"/>
  <c r="S551" i="2"/>
  <c r="A551" i="2"/>
  <c r="X550" i="2"/>
  <c r="W550" i="2"/>
  <c r="T550" i="2"/>
  <c r="V550" i="2" s="1"/>
  <c r="S550" i="2"/>
  <c r="U550" i="2" s="1"/>
  <c r="A550" i="2"/>
  <c r="X549" i="2"/>
  <c r="W549" i="2"/>
  <c r="T549" i="2"/>
  <c r="S549" i="2"/>
  <c r="A549" i="2"/>
  <c r="X548" i="2"/>
  <c r="W548" i="2"/>
  <c r="T548" i="2"/>
  <c r="S548" i="2"/>
  <c r="A548" i="2"/>
  <c r="X547" i="2"/>
  <c r="W547" i="2"/>
  <c r="T547" i="2"/>
  <c r="S547" i="2"/>
  <c r="A547" i="2"/>
  <c r="X546" i="2"/>
  <c r="W546" i="2"/>
  <c r="T546" i="2"/>
  <c r="S546" i="2"/>
  <c r="A546" i="2"/>
  <c r="X545" i="2"/>
  <c r="W545" i="2"/>
  <c r="T545" i="2"/>
  <c r="S545" i="2"/>
  <c r="A545" i="2"/>
  <c r="X544" i="2"/>
  <c r="W544" i="2"/>
  <c r="T544" i="2"/>
  <c r="S544" i="2"/>
  <c r="A544" i="2"/>
  <c r="X543" i="2"/>
  <c r="W543" i="2"/>
  <c r="T543" i="2"/>
  <c r="V543" i="2" s="1"/>
  <c r="S543" i="2"/>
  <c r="U543" i="2" s="1"/>
  <c r="A543" i="2"/>
  <c r="X542" i="2"/>
  <c r="W542" i="2"/>
  <c r="T542" i="2"/>
  <c r="S542" i="2"/>
  <c r="A542" i="2"/>
  <c r="X541" i="2"/>
  <c r="W541" i="2"/>
  <c r="T541" i="2"/>
  <c r="S541" i="2"/>
  <c r="A541" i="2"/>
  <c r="X540" i="2"/>
  <c r="W540" i="2"/>
  <c r="T540" i="2"/>
  <c r="V540" i="2" s="1"/>
  <c r="S540" i="2"/>
  <c r="U540" i="2" s="1"/>
  <c r="A540" i="2"/>
  <c r="X539" i="2"/>
  <c r="W539" i="2"/>
  <c r="T539" i="2"/>
  <c r="S539" i="2"/>
  <c r="A539" i="2"/>
  <c r="X538" i="2"/>
  <c r="W538" i="2"/>
  <c r="T538" i="2"/>
  <c r="V538" i="2" s="1"/>
  <c r="S538" i="2"/>
  <c r="U538" i="2" s="1"/>
  <c r="A538" i="2"/>
  <c r="X537" i="2"/>
  <c r="W537" i="2"/>
  <c r="T537" i="2"/>
  <c r="S537" i="2"/>
  <c r="A537" i="2"/>
  <c r="X536" i="2"/>
  <c r="W536" i="2"/>
  <c r="T536" i="2"/>
  <c r="S536" i="2"/>
  <c r="A536" i="2"/>
  <c r="X535" i="2"/>
  <c r="W535" i="2"/>
  <c r="T535" i="2"/>
  <c r="S535" i="2"/>
  <c r="A535" i="2"/>
  <c r="X534" i="2"/>
  <c r="W534" i="2"/>
  <c r="T534" i="2"/>
  <c r="S534" i="2"/>
  <c r="A534" i="2"/>
  <c r="X533" i="2"/>
  <c r="W533" i="2"/>
  <c r="T533" i="2"/>
  <c r="S533" i="2"/>
  <c r="A533" i="2"/>
  <c r="X532" i="2"/>
  <c r="W532" i="2"/>
  <c r="T532" i="2"/>
  <c r="V532" i="2" s="1"/>
  <c r="S532" i="2"/>
  <c r="U532" i="2" s="1"/>
  <c r="A532" i="2"/>
  <c r="X531" i="2"/>
  <c r="W531" i="2"/>
  <c r="T531" i="2"/>
  <c r="S531" i="2"/>
  <c r="A531" i="2"/>
  <c r="X530" i="2"/>
  <c r="W530" i="2"/>
  <c r="T530" i="2"/>
  <c r="S530" i="2"/>
  <c r="A530" i="2"/>
  <c r="X529" i="2"/>
  <c r="W529" i="2"/>
  <c r="T529" i="2"/>
  <c r="S529" i="2"/>
  <c r="A529" i="2"/>
  <c r="X528" i="2"/>
  <c r="W528" i="2"/>
  <c r="T528" i="2"/>
  <c r="S528" i="2"/>
  <c r="A528" i="2"/>
  <c r="X527" i="2"/>
  <c r="W527" i="2"/>
  <c r="T527" i="2"/>
  <c r="S527" i="2"/>
  <c r="A527" i="2"/>
  <c r="X526" i="2"/>
  <c r="W526" i="2"/>
  <c r="T526" i="2"/>
  <c r="S526" i="2"/>
  <c r="A526" i="2"/>
  <c r="X525" i="2"/>
  <c r="W525" i="2"/>
  <c r="T525" i="2"/>
  <c r="S525" i="2"/>
  <c r="A525" i="2"/>
  <c r="X524" i="2"/>
  <c r="W524" i="2"/>
  <c r="T524" i="2"/>
  <c r="S524" i="2"/>
  <c r="A524" i="2"/>
  <c r="X523" i="2"/>
  <c r="W523" i="2"/>
  <c r="T523" i="2"/>
  <c r="S523" i="2"/>
  <c r="A523" i="2"/>
  <c r="X522" i="2"/>
  <c r="W522" i="2"/>
  <c r="T522" i="2"/>
  <c r="S522" i="2"/>
  <c r="A522" i="2"/>
  <c r="X521" i="2"/>
  <c r="W521" i="2"/>
  <c r="T521" i="2"/>
  <c r="S521" i="2"/>
  <c r="A521" i="2"/>
  <c r="X520" i="2"/>
  <c r="W520" i="2"/>
  <c r="T520" i="2"/>
  <c r="S520" i="2"/>
  <c r="A520" i="2"/>
  <c r="X519" i="2"/>
  <c r="W519" i="2"/>
  <c r="T519" i="2"/>
  <c r="V519" i="2" s="1"/>
  <c r="S519" i="2"/>
  <c r="U519" i="2" s="1"/>
  <c r="A519" i="2"/>
  <c r="X518" i="2"/>
  <c r="W518" i="2"/>
  <c r="T518" i="2"/>
  <c r="S518" i="2"/>
  <c r="A518" i="2"/>
  <c r="X517" i="2"/>
  <c r="W517" i="2"/>
  <c r="T517" i="2"/>
  <c r="S517" i="2"/>
  <c r="A517" i="2"/>
  <c r="X516" i="2"/>
  <c r="W516" i="2"/>
  <c r="T516" i="2"/>
  <c r="S516" i="2"/>
  <c r="A516" i="2"/>
  <c r="X515" i="2"/>
  <c r="W515" i="2"/>
  <c r="T515" i="2"/>
  <c r="S515" i="2"/>
  <c r="A515" i="2"/>
  <c r="X514" i="2"/>
  <c r="W514" i="2"/>
  <c r="T514" i="2"/>
  <c r="S514" i="2"/>
  <c r="A514" i="2"/>
  <c r="X513" i="2"/>
  <c r="W513" i="2"/>
  <c r="T513" i="2"/>
  <c r="V513" i="2" s="1"/>
  <c r="S513" i="2"/>
  <c r="U513" i="2" s="1"/>
  <c r="A513" i="2"/>
  <c r="X512" i="2"/>
  <c r="W512" i="2"/>
  <c r="T512" i="2"/>
  <c r="S512" i="2"/>
  <c r="A512" i="2"/>
  <c r="X511" i="2"/>
  <c r="W511" i="2"/>
  <c r="T511" i="2"/>
  <c r="S511" i="2"/>
  <c r="A511" i="2"/>
  <c r="X510" i="2"/>
  <c r="W510" i="2"/>
  <c r="T510" i="2"/>
  <c r="S510" i="2"/>
  <c r="A510" i="2"/>
  <c r="X509" i="2"/>
  <c r="W509" i="2"/>
  <c r="T509" i="2"/>
  <c r="S509" i="2"/>
  <c r="A509" i="2"/>
  <c r="X508" i="2"/>
  <c r="W508" i="2"/>
  <c r="T508" i="2"/>
  <c r="S508" i="2"/>
  <c r="A508" i="2"/>
  <c r="X507" i="2"/>
  <c r="W507" i="2"/>
  <c r="T507" i="2"/>
  <c r="S507" i="2"/>
  <c r="A507" i="2"/>
  <c r="X506" i="2"/>
  <c r="W506" i="2"/>
  <c r="T506" i="2"/>
  <c r="S506" i="2"/>
  <c r="A506" i="2"/>
  <c r="X505" i="2"/>
  <c r="W505" i="2"/>
  <c r="T505" i="2"/>
  <c r="S505" i="2"/>
  <c r="A505" i="2"/>
  <c r="X504" i="2"/>
  <c r="W504" i="2"/>
  <c r="T504" i="2"/>
  <c r="S504" i="2"/>
  <c r="A504" i="2"/>
  <c r="X503" i="2"/>
  <c r="W503" i="2"/>
  <c r="T503" i="2"/>
  <c r="V503" i="2" s="1"/>
  <c r="S503" i="2"/>
  <c r="U503" i="2" s="1"/>
  <c r="A503" i="2"/>
  <c r="X502" i="2"/>
  <c r="W502" i="2"/>
  <c r="T502" i="2"/>
  <c r="S502" i="2"/>
  <c r="A502" i="2"/>
  <c r="X501" i="2"/>
  <c r="W501" i="2"/>
  <c r="T501" i="2"/>
  <c r="S501" i="2"/>
  <c r="A501" i="2"/>
  <c r="X500" i="2"/>
  <c r="W500" i="2"/>
  <c r="T500" i="2"/>
  <c r="S500" i="2"/>
  <c r="A500" i="2"/>
  <c r="X499" i="2"/>
  <c r="W499" i="2"/>
  <c r="T499" i="2"/>
  <c r="S499" i="2"/>
  <c r="A499" i="2"/>
  <c r="X498" i="2"/>
  <c r="W498" i="2"/>
  <c r="T498" i="2"/>
  <c r="S498" i="2"/>
  <c r="A498" i="2"/>
  <c r="X497" i="2"/>
  <c r="W497" i="2"/>
  <c r="T497" i="2"/>
  <c r="S497" i="2"/>
  <c r="A497" i="2"/>
  <c r="X496" i="2"/>
  <c r="W496" i="2"/>
  <c r="T496" i="2"/>
  <c r="S496" i="2"/>
  <c r="A496" i="2"/>
  <c r="X495" i="2"/>
  <c r="W495" i="2"/>
  <c r="T495" i="2"/>
  <c r="S495" i="2"/>
  <c r="A495" i="2"/>
  <c r="X494" i="2"/>
  <c r="W494" i="2"/>
  <c r="T494" i="2"/>
  <c r="V494" i="2" s="1"/>
  <c r="S494" i="2"/>
  <c r="U494" i="2" s="1"/>
  <c r="A494" i="2"/>
  <c r="X493" i="2"/>
  <c r="W493" i="2"/>
  <c r="T493" i="2"/>
  <c r="S493" i="2"/>
  <c r="A493" i="2"/>
  <c r="X492" i="2"/>
  <c r="W492" i="2"/>
  <c r="T492" i="2"/>
  <c r="S492" i="2"/>
  <c r="A492" i="2"/>
  <c r="X491" i="2"/>
  <c r="W491" i="2"/>
  <c r="T491" i="2"/>
  <c r="S491" i="2"/>
  <c r="A491" i="2"/>
  <c r="X490" i="2"/>
  <c r="W490" i="2"/>
  <c r="T490" i="2"/>
  <c r="S490" i="2"/>
  <c r="A490" i="2"/>
  <c r="X489" i="2"/>
  <c r="W489" i="2"/>
  <c r="T489" i="2"/>
  <c r="S489" i="2"/>
  <c r="A489" i="2"/>
  <c r="X488" i="2"/>
  <c r="W488" i="2"/>
  <c r="T488" i="2"/>
  <c r="S488" i="2"/>
  <c r="A488" i="2"/>
  <c r="X487" i="2"/>
  <c r="W487" i="2"/>
  <c r="T487" i="2"/>
  <c r="S487" i="2"/>
  <c r="A487" i="2"/>
  <c r="X486" i="2"/>
  <c r="W486" i="2"/>
  <c r="T486" i="2"/>
  <c r="S486" i="2"/>
  <c r="A486" i="2"/>
  <c r="X485" i="2"/>
  <c r="W485" i="2"/>
  <c r="T485" i="2"/>
  <c r="S485" i="2"/>
  <c r="A485" i="2"/>
  <c r="X484" i="2"/>
  <c r="W484" i="2"/>
  <c r="T484" i="2"/>
  <c r="S484" i="2"/>
  <c r="A484" i="2"/>
  <c r="X483" i="2"/>
  <c r="W483" i="2"/>
  <c r="T483" i="2"/>
  <c r="S483" i="2"/>
  <c r="A483" i="2"/>
  <c r="X482" i="2"/>
  <c r="W482" i="2"/>
  <c r="T482" i="2"/>
  <c r="S482" i="2"/>
  <c r="A482" i="2"/>
  <c r="X481" i="2"/>
  <c r="W481" i="2"/>
  <c r="T481" i="2"/>
  <c r="S481" i="2"/>
  <c r="A481" i="2"/>
  <c r="X480" i="2"/>
  <c r="W480" i="2"/>
  <c r="T480" i="2"/>
  <c r="S480" i="2"/>
  <c r="A480" i="2"/>
  <c r="X479" i="2"/>
  <c r="W479" i="2"/>
  <c r="T479" i="2"/>
  <c r="V479" i="2" s="1"/>
  <c r="S479" i="2"/>
  <c r="U479" i="2" s="1"/>
  <c r="A479" i="2"/>
  <c r="X478" i="2"/>
  <c r="W478" i="2"/>
  <c r="T478" i="2"/>
  <c r="S478" i="2"/>
  <c r="A478" i="2"/>
  <c r="X477" i="2"/>
  <c r="W477" i="2"/>
  <c r="T477" i="2"/>
  <c r="S477" i="2"/>
  <c r="A477" i="2"/>
  <c r="X476" i="2"/>
  <c r="W476" i="2"/>
  <c r="T476" i="2"/>
  <c r="S476" i="2"/>
  <c r="A476" i="2"/>
  <c r="X475" i="2"/>
  <c r="W475" i="2"/>
  <c r="T475" i="2"/>
  <c r="S475" i="2"/>
  <c r="A475" i="2"/>
  <c r="X474" i="2"/>
  <c r="W474" i="2"/>
  <c r="T474" i="2"/>
  <c r="S474" i="2"/>
  <c r="A474" i="2"/>
  <c r="X473" i="2"/>
  <c r="W473" i="2"/>
  <c r="T473" i="2"/>
  <c r="S473" i="2"/>
  <c r="A473" i="2"/>
  <c r="X472" i="2"/>
  <c r="W472" i="2"/>
  <c r="T472" i="2"/>
  <c r="S472" i="2"/>
  <c r="A472" i="2"/>
  <c r="X471" i="2"/>
  <c r="W471" i="2"/>
  <c r="T471" i="2"/>
  <c r="V471" i="2" s="1"/>
  <c r="S471" i="2"/>
  <c r="U471" i="2" s="1"/>
  <c r="A471" i="2"/>
  <c r="X470" i="2"/>
  <c r="W470" i="2"/>
  <c r="T470" i="2"/>
  <c r="S470" i="2"/>
  <c r="A470" i="2"/>
  <c r="X469" i="2"/>
  <c r="W469" i="2"/>
  <c r="T469" i="2"/>
  <c r="S469" i="2"/>
  <c r="A469" i="2"/>
  <c r="X468" i="2"/>
  <c r="W468" i="2"/>
  <c r="T468" i="2"/>
  <c r="S468" i="2"/>
  <c r="A468" i="2"/>
  <c r="X467" i="2"/>
  <c r="W467" i="2"/>
  <c r="T467" i="2"/>
  <c r="S467" i="2"/>
  <c r="A467" i="2"/>
  <c r="X466" i="2"/>
  <c r="W466" i="2"/>
  <c r="T466" i="2"/>
  <c r="V466" i="2" s="1"/>
  <c r="S466" i="2"/>
  <c r="U466" i="2" s="1"/>
  <c r="A466" i="2"/>
  <c r="X465" i="2"/>
  <c r="W465" i="2"/>
  <c r="T465" i="2"/>
  <c r="S465" i="2"/>
  <c r="A465" i="2"/>
  <c r="X464" i="2"/>
  <c r="W464" i="2"/>
  <c r="T464" i="2"/>
  <c r="S464" i="2"/>
  <c r="A464" i="2"/>
  <c r="X463" i="2"/>
  <c r="W463" i="2"/>
  <c r="T463" i="2"/>
  <c r="S463" i="2"/>
  <c r="A463" i="2"/>
  <c r="X462" i="2"/>
  <c r="W462" i="2"/>
  <c r="T462" i="2"/>
  <c r="S462" i="2"/>
  <c r="A462" i="2"/>
  <c r="X461" i="2"/>
  <c r="W461" i="2"/>
  <c r="T461" i="2"/>
  <c r="S461" i="2"/>
  <c r="A461" i="2"/>
  <c r="X460" i="2"/>
  <c r="W460" i="2"/>
  <c r="T460" i="2"/>
  <c r="V460" i="2" s="1"/>
  <c r="S460" i="2"/>
  <c r="U460" i="2" s="1"/>
  <c r="A460" i="2"/>
  <c r="X459" i="2"/>
  <c r="W459" i="2"/>
  <c r="T459" i="2"/>
  <c r="S459" i="2"/>
  <c r="A459" i="2"/>
  <c r="X458" i="2"/>
  <c r="W458" i="2"/>
  <c r="T458" i="2"/>
  <c r="S458" i="2"/>
  <c r="A458" i="2"/>
  <c r="X457" i="2"/>
  <c r="W457" i="2"/>
  <c r="T457" i="2"/>
  <c r="S457" i="2"/>
  <c r="A457" i="2"/>
  <c r="X456" i="2"/>
  <c r="W456" i="2"/>
  <c r="T456" i="2"/>
  <c r="S456" i="2"/>
  <c r="A456" i="2"/>
  <c r="X455" i="2"/>
  <c r="W455" i="2"/>
  <c r="T455" i="2"/>
  <c r="S455" i="2"/>
  <c r="A455" i="2"/>
  <c r="X454" i="2"/>
  <c r="W454" i="2"/>
  <c r="T454" i="2"/>
  <c r="S454" i="2"/>
  <c r="A454" i="2"/>
  <c r="X453" i="2"/>
  <c r="W453" i="2"/>
  <c r="T453" i="2"/>
  <c r="S453" i="2"/>
  <c r="A453" i="2"/>
  <c r="X452" i="2"/>
  <c r="W452" i="2"/>
  <c r="T452" i="2"/>
  <c r="S452" i="2"/>
  <c r="A452" i="2"/>
  <c r="X451" i="2"/>
  <c r="W451" i="2"/>
  <c r="T451" i="2"/>
  <c r="S451" i="2"/>
  <c r="A451" i="2"/>
  <c r="X450" i="2"/>
  <c r="W450" i="2"/>
  <c r="T450" i="2"/>
  <c r="V450" i="2" s="1"/>
  <c r="S450" i="2"/>
  <c r="U450" i="2" s="1"/>
  <c r="A450" i="2"/>
  <c r="X449" i="2"/>
  <c r="W449" i="2"/>
  <c r="T449" i="2"/>
  <c r="S449" i="2"/>
  <c r="A449" i="2"/>
  <c r="X448" i="2"/>
  <c r="W448" i="2"/>
  <c r="T448" i="2"/>
  <c r="S448" i="2"/>
  <c r="A448" i="2"/>
  <c r="X447" i="2"/>
  <c r="W447" i="2"/>
  <c r="T447" i="2"/>
  <c r="S447" i="2"/>
  <c r="A447" i="2"/>
  <c r="X446" i="2"/>
  <c r="W446" i="2"/>
  <c r="T446" i="2"/>
  <c r="S446" i="2"/>
  <c r="A446" i="2"/>
  <c r="X445" i="2"/>
  <c r="W445" i="2"/>
  <c r="T445" i="2"/>
  <c r="V445" i="2" s="1"/>
  <c r="S445" i="2"/>
  <c r="U445" i="2" s="1"/>
  <c r="A445" i="2"/>
  <c r="X444" i="2"/>
  <c r="W444" i="2"/>
  <c r="T444" i="2"/>
  <c r="S444" i="2"/>
  <c r="A444" i="2"/>
  <c r="X443" i="2"/>
  <c r="W443" i="2"/>
  <c r="T443" i="2"/>
  <c r="S443" i="2"/>
  <c r="A443" i="2"/>
  <c r="X442" i="2"/>
  <c r="W442" i="2"/>
  <c r="T442" i="2"/>
  <c r="S442" i="2"/>
  <c r="A442" i="2"/>
  <c r="X441" i="2"/>
  <c r="W441" i="2"/>
  <c r="T441" i="2"/>
  <c r="S441" i="2"/>
  <c r="A441" i="2"/>
  <c r="X440" i="2"/>
  <c r="W440" i="2"/>
  <c r="T440" i="2"/>
  <c r="S440" i="2"/>
  <c r="A440" i="2"/>
  <c r="X439" i="2"/>
  <c r="W439" i="2"/>
  <c r="T439" i="2"/>
  <c r="S439" i="2"/>
  <c r="A439" i="2"/>
  <c r="X438" i="2"/>
  <c r="W438" i="2"/>
  <c r="T438" i="2"/>
  <c r="S438" i="2"/>
  <c r="A438" i="2"/>
  <c r="X437" i="2"/>
  <c r="W437" i="2"/>
  <c r="T437" i="2"/>
  <c r="V437" i="2" s="1"/>
  <c r="S437" i="2"/>
  <c r="U437" i="2" s="1"/>
  <c r="A437" i="2"/>
  <c r="X436" i="2"/>
  <c r="W436" i="2"/>
  <c r="T436" i="2"/>
  <c r="S436" i="2"/>
  <c r="A436" i="2"/>
  <c r="X435" i="2"/>
  <c r="W435" i="2"/>
  <c r="T435" i="2"/>
  <c r="S435" i="2"/>
  <c r="A435" i="2"/>
  <c r="X434" i="2"/>
  <c r="W434" i="2"/>
  <c r="T434" i="2"/>
  <c r="S434" i="2"/>
  <c r="A434" i="2"/>
  <c r="X433" i="2"/>
  <c r="W433" i="2"/>
  <c r="T433" i="2"/>
  <c r="S433" i="2"/>
  <c r="A433" i="2"/>
  <c r="X432" i="2"/>
  <c r="W432" i="2"/>
  <c r="T432" i="2"/>
  <c r="S432" i="2"/>
  <c r="A432" i="2"/>
  <c r="X431" i="2"/>
  <c r="W431" i="2"/>
  <c r="T431" i="2"/>
  <c r="S431" i="2"/>
  <c r="A431" i="2"/>
  <c r="X430" i="2"/>
  <c r="W430" i="2"/>
  <c r="T430" i="2"/>
  <c r="S430" i="2"/>
  <c r="A430" i="2"/>
  <c r="X429" i="2"/>
  <c r="W429" i="2"/>
  <c r="T429" i="2"/>
  <c r="S429" i="2"/>
  <c r="A429" i="2"/>
  <c r="X428" i="2"/>
  <c r="W428" i="2"/>
  <c r="T428" i="2"/>
  <c r="V428" i="2" s="1"/>
  <c r="S428" i="2"/>
  <c r="U428" i="2" s="1"/>
  <c r="A428" i="2"/>
  <c r="X427" i="2"/>
  <c r="W427" i="2"/>
  <c r="T427" i="2"/>
  <c r="S427" i="2"/>
  <c r="A427" i="2"/>
  <c r="X426" i="2"/>
  <c r="W426" i="2"/>
  <c r="T426" i="2"/>
  <c r="S426" i="2"/>
  <c r="A426" i="2"/>
  <c r="X425" i="2"/>
  <c r="W425" i="2"/>
  <c r="T425" i="2"/>
  <c r="S425" i="2"/>
  <c r="A425" i="2"/>
  <c r="X424" i="2"/>
  <c r="W424" i="2"/>
  <c r="T424" i="2"/>
  <c r="V424" i="2" s="1"/>
  <c r="S424" i="2"/>
  <c r="U424" i="2" s="1"/>
  <c r="A424" i="2"/>
  <c r="X423" i="2"/>
  <c r="W423" i="2"/>
  <c r="T423" i="2"/>
  <c r="S423" i="2"/>
  <c r="A423" i="2"/>
  <c r="X422" i="2"/>
  <c r="W422" i="2"/>
  <c r="T422" i="2"/>
  <c r="S422" i="2"/>
  <c r="A422" i="2"/>
  <c r="X421" i="2"/>
  <c r="W421" i="2"/>
  <c r="T421" i="2"/>
  <c r="S421" i="2"/>
  <c r="A421" i="2"/>
  <c r="X420" i="2"/>
  <c r="W420" i="2"/>
  <c r="T420" i="2"/>
  <c r="S420" i="2"/>
  <c r="A420" i="2"/>
  <c r="X419" i="2"/>
  <c r="W419" i="2"/>
  <c r="T419" i="2"/>
  <c r="S419" i="2"/>
  <c r="A419" i="2"/>
  <c r="X418" i="2"/>
  <c r="W418" i="2"/>
  <c r="T418" i="2"/>
  <c r="S418" i="2"/>
  <c r="A418" i="2"/>
  <c r="X417" i="2"/>
  <c r="W417" i="2"/>
  <c r="T417" i="2"/>
  <c r="V417" i="2" s="1"/>
  <c r="S417" i="2"/>
  <c r="U417" i="2" s="1"/>
  <c r="A417" i="2"/>
  <c r="X416" i="2"/>
  <c r="W416" i="2"/>
  <c r="T416" i="2"/>
  <c r="V416" i="2" s="1"/>
  <c r="S416" i="2"/>
  <c r="U416" i="2" s="1"/>
  <c r="A416" i="2"/>
  <c r="X415" i="2"/>
  <c r="W415" i="2"/>
  <c r="T415" i="2"/>
  <c r="S415" i="2"/>
  <c r="A415" i="2"/>
  <c r="X414" i="2"/>
  <c r="W414" i="2"/>
  <c r="T414" i="2"/>
  <c r="S414" i="2"/>
  <c r="A414" i="2"/>
  <c r="X413" i="2"/>
  <c r="W413" i="2"/>
  <c r="T413" i="2"/>
  <c r="S413" i="2"/>
  <c r="A413" i="2"/>
  <c r="X412" i="2"/>
  <c r="W412" i="2"/>
  <c r="T412" i="2"/>
  <c r="V412" i="2" s="1"/>
  <c r="S412" i="2"/>
  <c r="U412" i="2" s="1"/>
  <c r="A412" i="2"/>
  <c r="X411" i="2"/>
  <c r="W411" i="2"/>
  <c r="T411" i="2"/>
  <c r="S411" i="2"/>
  <c r="A411" i="2"/>
  <c r="X410" i="2"/>
  <c r="W410" i="2"/>
  <c r="T410" i="2"/>
  <c r="V410" i="2" s="1"/>
  <c r="S410" i="2"/>
  <c r="U410" i="2" s="1"/>
  <c r="A410" i="2"/>
  <c r="X409" i="2"/>
  <c r="W409" i="2"/>
  <c r="T409" i="2"/>
  <c r="S409" i="2"/>
  <c r="A409" i="2"/>
  <c r="X408" i="2"/>
  <c r="W408" i="2"/>
  <c r="T408" i="2"/>
  <c r="V408" i="2" s="1"/>
  <c r="S408" i="2"/>
  <c r="U408" i="2" s="1"/>
  <c r="A408" i="2"/>
  <c r="X407" i="2"/>
  <c r="W407" i="2"/>
  <c r="T407" i="2"/>
  <c r="S407" i="2"/>
  <c r="A407" i="2"/>
  <c r="X406" i="2"/>
  <c r="W406" i="2"/>
  <c r="T406" i="2"/>
  <c r="S406" i="2"/>
  <c r="A406" i="2"/>
  <c r="X405" i="2"/>
  <c r="W405" i="2"/>
  <c r="T405" i="2"/>
  <c r="S405" i="2"/>
  <c r="A405" i="2"/>
  <c r="X404" i="2"/>
  <c r="W404" i="2"/>
  <c r="T404" i="2"/>
  <c r="S404" i="2"/>
  <c r="A404" i="2"/>
  <c r="X403" i="2"/>
  <c r="W403" i="2"/>
  <c r="T403" i="2"/>
  <c r="S403" i="2"/>
  <c r="A403" i="2"/>
  <c r="X402" i="2"/>
  <c r="W402" i="2"/>
  <c r="T402" i="2"/>
  <c r="S402" i="2"/>
  <c r="A402" i="2"/>
  <c r="X401" i="2"/>
  <c r="W401" i="2"/>
  <c r="T401" i="2"/>
  <c r="S401" i="2"/>
  <c r="A401" i="2"/>
  <c r="X400" i="2"/>
  <c r="W400" i="2"/>
  <c r="T400" i="2"/>
  <c r="S400" i="2"/>
  <c r="A400" i="2"/>
  <c r="X399" i="2"/>
  <c r="W399" i="2"/>
  <c r="T399" i="2"/>
  <c r="V399" i="2" s="1"/>
  <c r="S399" i="2"/>
  <c r="U399" i="2" s="1"/>
  <c r="A399" i="2"/>
  <c r="X398" i="2"/>
  <c r="W398" i="2"/>
  <c r="T398" i="2"/>
  <c r="V398" i="2" s="1"/>
  <c r="S398" i="2"/>
  <c r="U398" i="2" s="1"/>
  <c r="A398" i="2"/>
  <c r="X397" i="2"/>
  <c r="W397" i="2"/>
  <c r="T397" i="2"/>
  <c r="S397" i="2"/>
  <c r="A397" i="2"/>
  <c r="X396" i="2"/>
  <c r="W396" i="2"/>
  <c r="T396" i="2"/>
  <c r="S396" i="2"/>
  <c r="A396" i="2"/>
  <c r="X395" i="2"/>
  <c r="W395" i="2"/>
  <c r="T395" i="2"/>
  <c r="S395" i="2"/>
  <c r="A395" i="2"/>
  <c r="X394" i="2"/>
  <c r="W394" i="2"/>
  <c r="T394" i="2"/>
  <c r="S394" i="2"/>
  <c r="A394" i="2"/>
  <c r="X393" i="2"/>
  <c r="W393" i="2"/>
  <c r="T393" i="2"/>
  <c r="S393" i="2"/>
  <c r="A393" i="2"/>
  <c r="X392" i="2"/>
  <c r="W392" i="2"/>
  <c r="T392" i="2"/>
  <c r="V392" i="2" s="1"/>
  <c r="S392" i="2"/>
  <c r="U392" i="2" s="1"/>
  <c r="A392" i="2"/>
  <c r="X391" i="2"/>
  <c r="W391" i="2"/>
  <c r="T391" i="2"/>
  <c r="S391" i="2"/>
  <c r="A391" i="2"/>
  <c r="X390" i="2"/>
  <c r="W390" i="2"/>
  <c r="T390" i="2"/>
  <c r="S390" i="2"/>
  <c r="A390" i="2"/>
  <c r="X389" i="2"/>
  <c r="W389" i="2"/>
  <c r="T389" i="2"/>
  <c r="S389" i="2"/>
  <c r="A389" i="2"/>
  <c r="X388" i="2"/>
  <c r="W388" i="2"/>
  <c r="T388" i="2"/>
  <c r="S388" i="2"/>
  <c r="A388" i="2"/>
  <c r="X387" i="2"/>
  <c r="W387" i="2"/>
  <c r="T387" i="2"/>
  <c r="V387" i="2" s="1"/>
  <c r="S387" i="2"/>
  <c r="U387" i="2" s="1"/>
  <c r="A387" i="2"/>
  <c r="X386" i="2"/>
  <c r="W386" i="2"/>
  <c r="T386" i="2"/>
  <c r="S386" i="2"/>
  <c r="A386" i="2"/>
  <c r="X385" i="2"/>
  <c r="W385" i="2"/>
  <c r="T385" i="2"/>
  <c r="S385" i="2"/>
  <c r="A385" i="2"/>
  <c r="X384" i="2"/>
  <c r="W384" i="2"/>
  <c r="T384" i="2"/>
  <c r="S384" i="2"/>
  <c r="A384" i="2"/>
  <c r="X383" i="2"/>
  <c r="W383" i="2"/>
  <c r="T383" i="2"/>
  <c r="S383" i="2"/>
  <c r="A383" i="2"/>
  <c r="X382" i="2"/>
  <c r="W382" i="2"/>
  <c r="T382" i="2"/>
  <c r="S382" i="2"/>
  <c r="A382" i="2"/>
  <c r="X381" i="2"/>
  <c r="W381" i="2"/>
  <c r="T381" i="2"/>
  <c r="S381" i="2"/>
  <c r="A381" i="2"/>
  <c r="X380" i="2"/>
  <c r="W380" i="2"/>
  <c r="T380" i="2"/>
  <c r="V380" i="2" s="1"/>
  <c r="S380" i="2"/>
  <c r="U380" i="2" s="1"/>
  <c r="A380" i="2"/>
  <c r="X379" i="2"/>
  <c r="W379" i="2"/>
  <c r="T379" i="2"/>
  <c r="S379" i="2"/>
  <c r="A379" i="2"/>
  <c r="X378" i="2"/>
  <c r="W378" i="2"/>
  <c r="T378" i="2"/>
  <c r="S378" i="2"/>
  <c r="A378" i="2"/>
  <c r="X377" i="2"/>
  <c r="W377" i="2"/>
  <c r="T377" i="2"/>
  <c r="S377" i="2"/>
  <c r="A377" i="2"/>
  <c r="X376" i="2"/>
  <c r="W376" i="2"/>
  <c r="T376" i="2"/>
  <c r="S376" i="2"/>
  <c r="A376" i="2"/>
  <c r="X375" i="2"/>
  <c r="W375" i="2"/>
  <c r="T375" i="2"/>
  <c r="V375" i="2" s="1"/>
  <c r="S375" i="2"/>
  <c r="U375" i="2" s="1"/>
  <c r="A375" i="2"/>
  <c r="X374" i="2"/>
  <c r="W374" i="2"/>
  <c r="T374" i="2"/>
  <c r="S374" i="2"/>
  <c r="A374" i="2"/>
  <c r="X373" i="2"/>
  <c r="W373" i="2"/>
  <c r="T373" i="2"/>
  <c r="S373" i="2"/>
  <c r="A373" i="2"/>
  <c r="X372" i="2"/>
  <c r="W372" i="2"/>
  <c r="T372" i="2"/>
  <c r="S372" i="2"/>
  <c r="A372" i="2"/>
  <c r="X371" i="2"/>
  <c r="W371" i="2"/>
  <c r="T371" i="2"/>
  <c r="S371" i="2"/>
  <c r="A371" i="2"/>
  <c r="X370" i="2"/>
  <c r="W370" i="2"/>
  <c r="T370" i="2"/>
  <c r="V370" i="2" s="1"/>
  <c r="S370" i="2"/>
  <c r="U370" i="2" s="1"/>
  <c r="A370" i="2"/>
  <c r="X369" i="2"/>
  <c r="W369" i="2"/>
  <c r="T369" i="2"/>
  <c r="S369" i="2"/>
  <c r="A369" i="2"/>
  <c r="X368" i="2"/>
  <c r="W368" i="2"/>
  <c r="T368" i="2"/>
  <c r="S368" i="2"/>
  <c r="A368" i="2"/>
  <c r="X367" i="2"/>
  <c r="W367" i="2"/>
  <c r="T367" i="2"/>
  <c r="S367" i="2"/>
  <c r="A367" i="2"/>
  <c r="X366" i="2"/>
  <c r="W366" i="2"/>
  <c r="T366" i="2"/>
  <c r="S366" i="2"/>
  <c r="A366" i="2"/>
  <c r="X365" i="2"/>
  <c r="W365" i="2"/>
  <c r="T365" i="2"/>
  <c r="S365" i="2"/>
  <c r="A365" i="2"/>
  <c r="X364" i="2"/>
  <c r="W364" i="2"/>
  <c r="T364" i="2"/>
  <c r="S364" i="2"/>
  <c r="A364" i="2"/>
  <c r="X363" i="2"/>
  <c r="W363" i="2"/>
  <c r="T363" i="2"/>
  <c r="V363" i="2" s="1"/>
  <c r="S363" i="2"/>
  <c r="U363" i="2" s="1"/>
  <c r="A363" i="2"/>
  <c r="X362" i="2"/>
  <c r="W362" i="2"/>
  <c r="T362" i="2"/>
  <c r="S362" i="2"/>
  <c r="A362" i="2"/>
  <c r="X361" i="2"/>
  <c r="W361" i="2"/>
  <c r="T361" i="2"/>
  <c r="S361" i="2"/>
  <c r="A361" i="2"/>
  <c r="X360" i="2"/>
  <c r="W360" i="2"/>
  <c r="T360" i="2"/>
  <c r="S360" i="2"/>
  <c r="A360" i="2"/>
  <c r="X359" i="2"/>
  <c r="W359" i="2"/>
  <c r="T359" i="2"/>
  <c r="S359" i="2"/>
  <c r="A359" i="2"/>
  <c r="X358" i="2"/>
  <c r="W358" i="2"/>
  <c r="T358" i="2"/>
  <c r="S358" i="2"/>
  <c r="A358" i="2"/>
  <c r="X357" i="2"/>
  <c r="W357" i="2"/>
  <c r="T357" i="2"/>
  <c r="S357" i="2"/>
  <c r="A357" i="2"/>
  <c r="X356" i="2"/>
  <c r="W356" i="2"/>
  <c r="T356" i="2"/>
  <c r="S356" i="2"/>
  <c r="A356" i="2"/>
  <c r="X355" i="2"/>
  <c r="W355" i="2"/>
  <c r="T355" i="2"/>
  <c r="S355" i="2"/>
  <c r="A355" i="2"/>
  <c r="X354" i="2"/>
  <c r="W354" i="2"/>
  <c r="T354" i="2"/>
  <c r="S354" i="2"/>
  <c r="A354" i="2"/>
  <c r="X353" i="2"/>
  <c r="W353" i="2"/>
  <c r="T353" i="2"/>
  <c r="S353" i="2"/>
  <c r="A353" i="2"/>
  <c r="X352" i="2"/>
  <c r="W352" i="2"/>
  <c r="T352" i="2"/>
  <c r="S352" i="2"/>
  <c r="A352" i="2"/>
  <c r="X351" i="2"/>
  <c r="W351" i="2"/>
  <c r="T351" i="2"/>
  <c r="S351" i="2"/>
  <c r="A351" i="2"/>
  <c r="X350" i="2"/>
  <c r="W350" i="2"/>
  <c r="T350" i="2"/>
  <c r="S350" i="2"/>
  <c r="A350" i="2"/>
  <c r="X349" i="2"/>
  <c r="W349" i="2"/>
  <c r="T349" i="2"/>
  <c r="S349" i="2"/>
  <c r="A349" i="2"/>
  <c r="X348" i="2"/>
  <c r="W348" i="2"/>
  <c r="T348" i="2"/>
  <c r="S348" i="2"/>
  <c r="A348" i="2"/>
  <c r="X347" i="2"/>
  <c r="W347" i="2"/>
  <c r="T347" i="2"/>
  <c r="V347" i="2" s="1"/>
  <c r="S347" i="2"/>
  <c r="U347" i="2" s="1"/>
  <c r="A347" i="2"/>
  <c r="X346" i="2"/>
  <c r="W346" i="2"/>
  <c r="T346" i="2"/>
  <c r="S346" i="2"/>
  <c r="A346" i="2"/>
  <c r="X345" i="2"/>
  <c r="W345" i="2"/>
  <c r="T345" i="2"/>
  <c r="S345" i="2"/>
  <c r="A345" i="2"/>
  <c r="X344" i="2"/>
  <c r="W344" i="2"/>
  <c r="T344" i="2"/>
  <c r="V344" i="2" s="1"/>
  <c r="S344" i="2"/>
  <c r="U344" i="2" s="1"/>
  <c r="A344" i="2"/>
  <c r="X343" i="2"/>
  <c r="W343" i="2"/>
  <c r="T343" i="2"/>
  <c r="S343" i="2"/>
  <c r="A343" i="2"/>
  <c r="X342" i="2"/>
  <c r="W342" i="2"/>
  <c r="T342" i="2"/>
  <c r="S342" i="2"/>
  <c r="A342" i="2"/>
  <c r="X341" i="2"/>
  <c r="W341" i="2"/>
  <c r="T341" i="2"/>
  <c r="S341" i="2"/>
  <c r="A341" i="2"/>
  <c r="X340" i="2"/>
  <c r="W340" i="2"/>
  <c r="T340" i="2"/>
  <c r="S340" i="2"/>
  <c r="A340" i="2"/>
  <c r="X339" i="2"/>
  <c r="W339" i="2"/>
  <c r="T339" i="2"/>
  <c r="S339" i="2"/>
  <c r="A339" i="2"/>
  <c r="X338" i="2"/>
  <c r="W338" i="2"/>
  <c r="T338" i="2"/>
  <c r="S338" i="2"/>
  <c r="A338" i="2"/>
  <c r="X337" i="2"/>
  <c r="W337" i="2"/>
  <c r="T337" i="2"/>
  <c r="V337" i="2" s="1"/>
  <c r="S337" i="2"/>
  <c r="U337" i="2" s="1"/>
  <c r="A337" i="2"/>
  <c r="X336" i="2"/>
  <c r="W336" i="2"/>
  <c r="T336" i="2"/>
  <c r="S336" i="2"/>
  <c r="A336" i="2"/>
  <c r="X335" i="2"/>
  <c r="W335" i="2"/>
  <c r="T335" i="2"/>
  <c r="S335" i="2"/>
  <c r="A335" i="2"/>
  <c r="X334" i="2"/>
  <c r="W334" i="2"/>
  <c r="T334" i="2"/>
  <c r="S334" i="2"/>
  <c r="A334" i="2"/>
  <c r="X333" i="2"/>
  <c r="W333" i="2"/>
  <c r="T333" i="2"/>
  <c r="V333" i="2" s="1"/>
  <c r="S333" i="2"/>
  <c r="U333" i="2" s="1"/>
  <c r="A333" i="2"/>
  <c r="X332" i="2"/>
  <c r="W332" i="2"/>
  <c r="T332" i="2"/>
  <c r="S332" i="2"/>
  <c r="A332" i="2"/>
  <c r="X331" i="2"/>
  <c r="W331" i="2"/>
  <c r="T331" i="2"/>
  <c r="S331" i="2"/>
  <c r="A331" i="2"/>
  <c r="X330" i="2"/>
  <c r="W330" i="2"/>
  <c r="T330" i="2"/>
  <c r="S330" i="2"/>
  <c r="A330" i="2"/>
  <c r="X329" i="2"/>
  <c r="W329" i="2"/>
  <c r="T329" i="2"/>
  <c r="S329" i="2"/>
  <c r="A329" i="2"/>
  <c r="X328" i="2"/>
  <c r="W328" i="2"/>
  <c r="T328" i="2"/>
  <c r="S328" i="2"/>
  <c r="A328" i="2"/>
  <c r="X327" i="2"/>
  <c r="W327" i="2"/>
  <c r="T327" i="2"/>
  <c r="V327" i="2" s="1"/>
  <c r="S327" i="2"/>
  <c r="U327" i="2" s="1"/>
  <c r="A327" i="2"/>
  <c r="X326" i="2"/>
  <c r="W326" i="2"/>
  <c r="T326" i="2"/>
  <c r="S326" i="2"/>
  <c r="A326" i="2"/>
  <c r="X325" i="2"/>
  <c r="W325" i="2"/>
  <c r="T325" i="2"/>
  <c r="S325" i="2"/>
  <c r="A325" i="2"/>
  <c r="X324" i="2"/>
  <c r="W324" i="2"/>
  <c r="T324" i="2"/>
  <c r="S324" i="2"/>
  <c r="A324" i="2"/>
  <c r="X323" i="2"/>
  <c r="W323" i="2"/>
  <c r="T323" i="2"/>
  <c r="S323" i="2"/>
  <c r="A323" i="2"/>
  <c r="X322" i="2"/>
  <c r="W322" i="2"/>
  <c r="T322" i="2"/>
  <c r="S322" i="2"/>
  <c r="A322" i="2"/>
  <c r="X321" i="2"/>
  <c r="W321" i="2"/>
  <c r="T321" i="2"/>
  <c r="S321" i="2"/>
  <c r="A321" i="2"/>
  <c r="X320" i="2"/>
  <c r="W320" i="2"/>
  <c r="T320" i="2"/>
  <c r="S320" i="2"/>
  <c r="A320" i="2"/>
  <c r="X319" i="2"/>
  <c r="W319" i="2"/>
  <c r="T319" i="2"/>
  <c r="S319" i="2"/>
  <c r="A319" i="2"/>
  <c r="X318" i="2"/>
  <c r="W318" i="2"/>
  <c r="T318" i="2"/>
  <c r="S318" i="2"/>
  <c r="A318" i="2"/>
  <c r="X317" i="2"/>
  <c r="W317" i="2"/>
  <c r="T317" i="2"/>
  <c r="S317" i="2"/>
  <c r="A317" i="2"/>
  <c r="X316" i="2"/>
  <c r="W316" i="2"/>
  <c r="T316" i="2"/>
  <c r="S316" i="2"/>
  <c r="A316" i="2"/>
  <c r="X315" i="2"/>
  <c r="W315" i="2"/>
  <c r="T315" i="2"/>
  <c r="S315" i="2"/>
  <c r="A315" i="2"/>
  <c r="X314" i="2"/>
  <c r="W314" i="2"/>
  <c r="T314" i="2"/>
  <c r="V314" i="2" s="1"/>
  <c r="S314" i="2"/>
  <c r="U314" i="2" s="1"/>
  <c r="A314" i="2"/>
  <c r="X313" i="2"/>
  <c r="W313" i="2"/>
  <c r="T313" i="2"/>
  <c r="S313" i="2"/>
  <c r="A313" i="2"/>
  <c r="X312" i="2"/>
  <c r="W312" i="2"/>
  <c r="T312" i="2"/>
  <c r="S312" i="2"/>
  <c r="A312" i="2"/>
  <c r="X311" i="2"/>
  <c r="W311" i="2"/>
  <c r="T311" i="2"/>
  <c r="S311" i="2"/>
  <c r="A311" i="2"/>
  <c r="X310" i="2"/>
  <c r="W310" i="2"/>
  <c r="T310" i="2"/>
  <c r="S310" i="2"/>
  <c r="A310" i="2"/>
  <c r="X309" i="2"/>
  <c r="W309" i="2"/>
  <c r="T309" i="2"/>
  <c r="S309" i="2"/>
  <c r="A309" i="2"/>
  <c r="X308" i="2"/>
  <c r="W308" i="2"/>
  <c r="T308" i="2"/>
  <c r="S308" i="2"/>
  <c r="A308" i="2"/>
  <c r="X307" i="2"/>
  <c r="W307" i="2"/>
  <c r="T307" i="2"/>
  <c r="S307" i="2"/>
  <c r="A307" i="2"/>
  <c r="X306" i="2"/>
  <c r="W306" i="2"/>
  <c r="T306" i="2"/>
  <c r="S306" i="2"/>
  <c r="A306" i="2"/>
  <c r="X305" i="2"/>
  <c r="W305" i="2"/>
  <c r="T305" i="2"/>
  <c r="V305" i="2" s="1"/>
  <c r="S305" i="2"/>
  <c r="U305" i="2" s="1"/>
  <c r="A305" i="2"/>
  <c r="X304" i="2"/>
  <c r="W304" i="2"/>
  <c r="T304" i="2"/>
  <c r="S304" i="2"/>
  <c r="A304" i="2"/>
  <c r="X303" i="2"/>
  <c r="W303" i="2"/>
  <c r="T303" i="2"/>
  <c r="S303" i="2"/>
  <c r="A303" i="2"/>
  <c r="X302" i="2"/>
  <c r="W302" i="2"/>
  <c r="T302" i="2"/>
  <c r="S302" i="2"/>
  <c r="A302" i="2"/>
  <c r="X301" i="2"/>
  <c r="W301" i="2"/>
  <c r="T301" i="2"/>
  <c r="S301" i="2"/>
  <c r="A301" i="2"/>
  <c r="X300" i="2"/>
  <c r="W300" i="2"/>
  <c r="T300" i="2"/>
  <c r="S300" i="2"/>
  <c r="A300" i="2"/>
  <c r="X299" i="2"/>
  <c r="W299" i="2"/>
  <c r="T299" i="2"/>
  <c r="S299" i="2"/>
  <c r="A299" i="2"/>
  <c r="X298" i="2"/>
  <c r="W298" i="2"/>
  <c r="T298" i="2"/>
  <c r="S298" i="2"/>
  <c r="A298" i="2"/>
  <c r="X297" i="2"/>
  <c r="W297" i="2"/>
  <c r="T297" i="2"/>
  <c r="S297" i="2"/>
  <c r="A297" i="2"/>
  <c r="X296" i="2"/>
  <c r="W296" i="2"/>
  <c r="T296" i="2"/>
  <c r="V296" i="2" s="1"/>
  <c r="S296" i="2"/>
  <c r="U296" i="2" s="1"/>
  <c r="A296" i="2"/>
  <c r="X295" i="2"/>
  <c r="W295" i="2"/>
  <c r="T295" i="2"/>
  <c r="S295" i="2"/>
  <c r="A295" i="2"/>
  <c r="X294" i="2"/>
  <c r="W294" i="2"/>
  <c r="T294" i="2"/>
  <c r="S294" i="2"/>
  <c r="A294" i="2"/>
  <c r="X293" i="2"/>
  <c r="W293" i="2"/>
  <c r="T293" i="2"/>
  <c r="V293" i="2" s="1"/>
  <c r="S293" i="2"/>
  <c r="U293" i="2" s="1"/>
  <c r="A293" i="2"/>
  <c r="X292" i="2"/>
  <c r="W292" i="2"/>
  <c r="T292" i="2"/>
  <c r="S292" i="2"/>
  <c r="A292" i="2"/>
  <c r="X291" i="2"/>
  <c r="W291" i="2"/>
  <c r="T291" i="2"/>
  <c r="S291" i="2"/>
  <c r="A291" i="2"/>
  <c r="X290" i="2"/>
  <c r="W290" i="2"/>
  <c r="T290" i="2"/>
  <c r="S290" i="2"/>
  <c r="A290" i="2"/>
  <c r="X289" i="2"/>
  <c r="W289" i="2"/>
  <c r="T289" i="2"/>
  <c r="S289" i="2"/>
  <c r="A289" i="2"/>
  <c r="X288" i="2"/>
  <c r="W288" i="2"/>
  <c r="T288" i="2"/>
  <c r="S288" i="2"/>
  <c r="A288" i="2"/>
  <c r="X287" i="2"/>
  <c r="W287" i="2"/>
  <c r="T287" i="2"/>
  <c r="S287" i="2"/>
  <c r="A287" i="2"/>
  <c r="X286" i="2"/>
  <c r="W286" i="2"/>
  <c r="T286" i="2"/>
  <c r="S286" i="2"/>
  <c r="A286" i="2"/>
  <c r="X285" i="2"/>
  <c r="W285" i="2"/>
  <c r="T285" i="2"/>
  <c r="S285" i="2"/>
  <c r="A285" i="2"/>
  <c r="X284" i="2"/>
  <c r="W284" i="2"/>
  <c r="T284" i="2"/>
  <c r="S284" i="2"/>
  <c r="A284" i="2"/>
  <c r="X283" i="2"/>
  <c r="W283" i="2"/>
  <c r="T283" i="2"/>
  <c r="S283" i="2"/>
  <c r="A283" i="2"/>
  <c r="X282" i="2"/>
  <c r="W282" i="2"/>
  <c r="T282" i="2"/>
  <c r="S282" i="2"/>
  <c r="A282" i="2"/>
  <c r="X281" i="2"/>
  <c r="W281" i="2"/>
  <c r="T281" i="2"/>
  <c r="S281" i="2"/>
  <c r="A281" i="2"/>
  <c r="X280" i="2"/>
  <c r="W280" i="2"/>
  <c r="T280" i="2"/>
  <c r="S280" i="2"/>
  <c r="A280" i="2"/>
  <c r="X279" i="2"/>
  <c r="W279" i="2"/>
  <c r="T279" i="2"/>
  <c r="S279" i="2"/>
  <c r="A279" i="2"/>
  <c r="X278" i="2"/>
  <c r="W278" i="2"/>
  <c r="T278" i="2"/>
  <c r="V278" i="2" s="1"/>
  <c r="S278" i="2"/>
  <c r="U278" i="2" s="1"/>
  <c r="A278" i="2"/>
  <c r="X277" i="2"/>
  <c r="W277" i="2"/>
  <c r="T277" i="2"/>
  <c r="S277" i="2"/>
  <c r="A277" i="2"/>
  <c r="X276" i="2"/>
  <c r="W276" i="2"/>
  <c r="T276" i="2"/>
  <c r="S276" i="2"/>
  <c r="A276" i="2"/>
  <c r="X275" i="2"/>
  <c r="W275" i="2"/>
  <c r="T275" i="2"/>
  <c r="S275" i="2"/>
  <c r="A275" i="2"/>
  <c r="X274" i="2"/>
  <c r="W274" i="2"/>
  <c r="T274" i="2"/>
  <c r="S274" i="2"/>
  <c r="A274" i="2"/>
  <c r="X273" i="2"/>
  <c r="W273" i="2"/>
  <c r="T273" i="2"/>
  <c r="S273" i="2"/>
  <c r="A273" i="2"/>
  <c r="X272" i="2"/>
  <c r="W272" i="2"/>
  <c r="T272" i="2"/>
  <c r="S272" i="2"/>
  <c r="A272" i="2"/>
  <c r="X271" i="2"/>
  <c r="W271" i="2"/>
  <c r="T271" i="2"/>
  <c r="S271" i="2"/>
  <c r="A271" i="2"/>
  <c r="X270" i="2"/>
  <c r="W270" i="2"/>
  <c r="T270" i="2"/>
  <c r="S270" i="2"/>
  <c r="A270" i="2"/>
  <c r="X269" i="2"/>
  <c r="W269" i="2"/>
  <c r="T269" i="2"/>
  <c r="S269" i="2"/>
  <c r="A269" i="2"/>
  <c r="X268" i="2"/>
  <c r="W268" i="2"/>
  <c r="T268" i="2"/>
  <c r="S268" i="2"/>
  <c r="A268" i="2"/>
  <c r="X267" i="2"/>
  <c r="W267" i="2"/>
  <c r="T267" i="2"/>
  <c r="S267" i="2"/>
  <c r="A267" i="2"/>
  <c r="X266" i="2"/>
  <c r="W266" i="2"/>
  <c r="T266" i="2"/>
  <c r="S266" i="2"/>
  <c r="A266" i="2"/>
  <c r="X265" i="2"/>
  <c r="W265" i="2"/>
  <c r="T265" i="2"/>
  <c r="S265" i="2"/>
  <c r="A265" i="2"/>
  <c r="X264" i="2"/>
  <c r="W264" i="2"/>
  <c r="T264" i="2"/>
  <c r="V264" i="2" s="1"/>
  <c r="S264" i="2"/>
  <c r="U264" i="2" s="1"/>
  <c r="A264" i="2"/>
  <c r="X263" i="2"/>
  <c r="W263" i="2"/>
  <c r="T263" i="2"/>
  <c r="S263" i="2"/>
  <c r="A263" i="2"/>
  <c r="X262" i="2"/>
  <c r="W262" i="2"/>
  <c r="T262" i="2"/>
  <c r="S262" i="2"/>
  <c r="A262" i="2"/>
  <c r="X261" i="2"/>
  <c r="W261" i="2"/>
  <c r="T261" i="2"/>
  <c r="S261" i="2"/>
  <c r="A261" i="2"/>
  <c r="X260" i="2"/>
  <c r="W260" i="2"/>
  <c r="T260" i="2"/>
  <c r="S260" i="2"/>
  <c r="A260" i="2"/>
  <c r="X259" i="2"/>
  <c r="W259" i="2"/>
  <c r="T259" i="2"/>
  <c r="S259" i="2"/>
  <c r="A259" i="2"/>
  <c r="X258" i="2"/>
  <c r="W258" i="2"/>
  <c r="T258" i="2"/>
  <c r="S258" i="2"/>
  <c r="A258" i="2"/>
  <c r="X257" i="2"/>
  <c r="W257" i="2"/>
  <c r="T257" i="2"/>
  <c r="S257" i="2"/>
  <c r="A257" i="2"/>
  <c r="X256" i="2"/>
  <c r="W256" i="2"/>
  <c r="T256" i="2"/>
  <c r="S256" i="2"/>
  <c r="A256" i="2"/>
  <c r="X255" i="2"/>
  <c r="W255" i="2"/>
  <c r="T255" i="2"/>
  <c r="S255" i="2"/>
  <c r="A255" i="2"/>
  <c r="X254" i="2"/>
  <c r="W254" i="2"/>
  <c r="T254" i="2"/>
  <c r="S254" i="2"/>
  <c r="A254" i="2"/>
  <c r="X253" i="2"/>
  <c r="W253" i="2"/>
  <c r="T253" i="2"/>
  <c r="V253" i="2" s="1"/>
  <c r="S253" i="2"/>
  <c r="U253" i="2" s="1"/>
  <c r="A253" i="2"/>
  <c r="X252" i="2"/>
  <c r="W252" i="2"/>
  <c r="T252" i="2"/>
  <c r="S252" i="2"/>
  <c r="A252" i="2"/>
  <c r="X251" i="2"/>
  <c r="W251" i="2"/>
  <c r="T251" i="2"/>
  <c r="S251" i="2"/>
  <c r="A251" i="2"/>
  <c r="X250" i="2"/>
  <c r="W250" i="2"/>
  <c r="T250" i="2"/>
  <c r="S250" i="2"/>
  <c r="A250" i="2"/>
  <c r="X249" i="2"/>
  <c r="W249" i="2"/>
  <c r="T249" i="2"/>
  <c r="S249" i="2"/>
  <c r="A249" i="2"/>
  <c r="X248" i="2"/>
  <c r="W248" i="2"/>
  <c r="T248" i="2"/>
  <c r="S248" i="2"/>
  <c r="A248" i="2"/>
  <c r="X247" i="2"/>
  <c r="W247" i="2"/>
  <c r="T247" i="2"/>
  <c r="S247" i="2"/>
  <c r="A247" i="2"/>
  <c r="X246" i="2"/>
  <c r="W246" i="2"/>
  <c r="T246" i="2"/>
  <c r="S246" i="2"/>
  <c r="A246" i="2"/>
  <c r="X245" i="2"/>
  <c r="W245" i="2"/>
  <c r="T245" i="2"/>
  <c r="S245" i="2"/>
  <c r="A245" i="2"/>
  <c r="X244" i="2"/>
  <c r="W244" i="2"/>
  <c r="T244" i="2"/>
  <c r="S244" i="2"/>
  <c r="A244" i="2"/>
  <c r="X243" i="2"/>
  <c r="W243" i="2"/>
  <c r="T243" i="2"/>
  <c r="V243" i="2" s="1"/>
  <c r="S243" i="2"/>
  <c r="U243" i="2" s="1"/>
  <c r="A243" i="2"/>
  <c r="X242" i="2"/>
  <c r="W242" i="2"/>
  <c r="T242" i="2"/>
  <c r="S242" i="2"/>
  <c r="A242" i="2"/>
  <c r="X241" i="2"/>
  <c r="W241" i="2"/>
  <c r="T241" i="2"/>
  <c r="S241" i="2"/>
  <c r="A241" i="2"/>
  <c r="X240" i="2"/>
  <c r="W240" i="2"/>
  <c r="T240" i="2"/>
  <c r="S240" i="2"/>
  <c r="A240" i="2"/>
  <c r="X239" i="2"/>
  <c r="W239" i="2"/>
  <c r="T239" i="2"/>
  <c r="S239" i="2"/>
  <c r="A239" i="2"/>
  <c r="X238" i="2"/>
  <c r="W238" i="2"/>
  <c r="T238" i="2"/>
  <c r="S238" i="2"/>
  <c r="A238" i="2"/>
  <c r="X237" i="2"/>
  <c r="W237" i="2"/>
  <c r="T237" i="2"/>
  <c r="S237" i="2"/>
  <c r="A237" i="2"/>
  <c r="X236" i="2"/>
  <c r="W236" i="2"/>
  <c r="T236" i="2"/>
  <c r="S236" i="2"/>
  <c r="A236" i="2"/>
  <c r="X235" i="2"/>
  <c r="W235" i="2"/>
  <c r="T235" i="2"/>
  <c r="S235" i="2"/>
  <c r="A235" i="2"/>
  <c r="X234" i="2"/>
  <c r="W234" i="2"/>
  <c r="T234" i="2"/>
  <c r="V234" i="2" s="1"/>
  <c r="S234" i="2"/>
  <c r="U234" i="2" s="1"/>
  <c r="A234" i="2"/>
  <c r="X233" i="2"/>
  <c r="W233" i="2"/>
  <c r="T233" i="2"/>
  <c r="S233" i="2"/>
  <c r="A233" i="2"/>
  <c r="X232" i="2"/>
  <c r="W232" i="2"/>
  <c r="T232" i="2"/>
  <c r="S232" i="2"/>
  <c r="A232" i="2"/>
  <c r="X231" i="2"/>
  <c r="W231" i="2"/>
  <c r="T231" i="2"/>
  <c r="S231" i="2"/>
  <c r="A231" i="2"/>
  <c r="X230" i="2"/>
  <c r="W230" i="2"/>
  <c r="T230" i="2"/>
  <c r="S230" i="2"/>
  <c r="A230" i="2"/>
  <c r="X229" i="2"/>
  <c r="W229" i="2"/>
  <c r="T229" i="2"/>
  <c r="S229" i="2"/>
  <c r="A229" i="2"/>
  <c r="X228" i="2"/>
  <c r="W228" i="2"/>
  <c r="T228" i="2"/>
  <c r="S228" i="2"/>
  <c r="A228" i="2"/>
  <c r="X227" i="2"/>
  <c r="W227" i="2"/>
  <c r="T227" i="2"/>
  <c r="S227" i="2"/>
  <c r="A227" i="2"/>
  <c r="X226" i="2"/>
  <c r="W226" i="2"/>
  <c r="T226" i="2"/>
  <c r="S226" i="2"/>
  <c r="A226" i="2"/>
  <c r="X225" i="2"/>
  <c r="W225" i="2"/>
  <c r="T225" i="2"/>
  <c r="S225" i="2"/>
  <c r="A225" i="2"/>
  <c r="X224" i="2"/>
  <c r="W224" i="2"/>
  <c r="T224" i="2"/>
  <c r="S224" i="2"/>
  <c r="A224" i="2"/>
  <c r="X223" i="2"/>
  <c r="W223" i="2"/>
  <c r="T223" i="2"/>
  <c r="S223" i="2"/>
  <c r="A223" i="2"/>
  <c r="X222" i="2"/>
  <c r="W222" i="2"/>
  <c r="T222" i="2"/>
  <c r="S222" i="2"/>
  <c r="A222" i="2"/>
  <c r="X221" i="2"/>
  <c r="W221" i="2"/>
  <c r="T221" i="2"/>
  <c r="V221" i="2" s="1"/>
  <c r="S221" i="2"/>
  <c r="U221" i="2" s="1"/>
  <c r="A221" i="2"/>
  <c r="X220" i="2"/>
  <c r="W220" i="2"/>
  <c r="T220" i="2"/>
  <c r="S220" i="2"/>
  <c r="A220" i="2"/>
  <c r="X219" i="2"/>
  <c r="W219" i="2"/>
  <c r="T219" i="2"/>
  <c r="S219" i="2"/>
  <c r="A219" i="2"/>
  <c r="X218" i="2"/>
  <c r="W218" i="2"/>
  <c r="T218" i="2"/>
  <c r="S218" i="2"/>
  <c r="A218" i="2"/>
  <c r="X217" i="2"/>
  <c r="W217" i="2"/>
  <c r="T217" i="2"/>
  <c r="S217" i="2"/>
  <c r="A217" i="2"/>
  <c r="X216" i="2"/>
  <c r="W216" i="2"/>
  <c r="T216" i="2"/>
  <c r="S216" i="2"/>
  <c r="A216" i="2"/>
  <c r="X215" i="2"/>
  <c r="W215" i="2"/>
  <c r="T215" i="2"/>
  <c r="S215" i="2"/>
  <c r="A215" i="2"/>
  <c r="X214" i="2"/>
  <c r="W214" i="2"/>
  <c r="T214" i="2"/>
  <c r="S214" i="2"/>
  <c r="A214" i="2"/>
  <c r="X213" i="2"/>
  <c r="W213" i="2"/>
  <c r="T213" i="2"/>
  <c r="V213" i="2" s="1"/>
  <c r="S213" i="2"/>
  <c r="U213" i="2" s="1"/>
  <c r="A213" i="2"/>
  <c r="X212" i="2"/>
  <c r="W212" i="2"/>
  <c r="T212" i="2"/>
  <c r="S212" i="2"/>
  <c r="A212" i="2"/>
  <c r="X211" i="2"/>
  <c r="W211" i="2"/>
  <c r="T211" i="2"/>
  <c r="S211" i="2"/>
  <c r="A211" i="2"/>
  <c r="X210" i="2"/>
  <c r="W210" i="2"/>
  <c r="T210" i="2"/>
  <c r="S210" i="2"/>
  <c r="A210" i="2"/>
  <c r="X209" i="2"/>
  <c r="W209" i="2"/>
  <c r="T209" i="2"/>
  <c r="S209" i="2"/>
  <c r="A209" i="2"/>
  <c r="X208" i="2"/>
  <c r="W208" i="2"/>
  <c r="T208" i="2"/>
  <c r="S208" i="2"/>
  <c r="A208" i="2"/>
  <c r="X207" i="2"/>
  <c r="W207" i="2"/>
  <c r="T207" i="2"/>
  <c r="S207" i="2"/>
  <c r="A207" i="2"/>
  <c r="X206" i="2"/>
  <c r="W206" i="2"/>
  <c r="T206" i="2"/>
  <c r="S206" i="2"/>
  <c r="A206" i="2"/>
  <c r="X205" i="2"/>
  <c r="W205" i="2"/>
  <c r="T205" i="2"/>
  <c r="S205" i="2"/>
  <c r="A205" i="2"/>
  <c r="X204" i="2"/>
  <c r="W204" i="2"/>
  <c r="T204" i="2"/>
  <c r="S204" i="2"/>
  <c r="A204" i="2"/>
  <c r="X203" i="2"/>
  <c r="W203" i="2"/>
  <c r="T203" i="2"/>
  <c r="S203" i="2"/>
  <c r="A203" i="2"/>
  <c r="X202" i="2"/>
  <c r="W202" i="2"/>
  <c r="T202" i="2"/>
  <c r="S202" i="2"/>
  <c r="A202" i="2"/>
  <c r="X201" i="2"/>
  <c r="W201" i="2"/>
  <c r="T201" i="2"/>
  <c r="S201" i="2"/>
  <c r="A201" i="2"/>
  <c r="X200" i="2"/>
  <c r="W200" i="2"/>
  <c r="T200" i="2"/>
  <c r="S200" i="2"/>
  <c r="A200" i="2"/>
  <c r="X199" i="2"/>
  <c r="W199" i="2"/>
  <c r="T199" i="2"/>
  <c r="S199" i="2"/>
  <c r="A199" i="2"/>
  <c r="X198" i="2"/>
  <c r="W198" i="2"/>
  <c r="T198" i="2"/>
  <c r="S198" i="2"/>
  <c r="A198" i="2"/>
  <c r="X197" i="2"/>
  <c r="W197" i="2"/>
  <c r="T197" i="2"/>
  <c r="S197" i="2"/>
  <c r="A197" i="2"/>
  <c r="X196" i="2"/>
  <c r="W196" i="2"/>
  <c r="T196" i="2"/>
  <c r="S196" i="2"/>
  <c r="A196" i="2"/>
  <c r="X195" i="2"/>
  <c r="W195" i="2"/>
  <c r="T195" i="2"/>
  <c r="S195" i="2"/>
  <c r="A195" i="2"/>
  <c r="X194" i="2"/>
  <c r="W194" i="2"/>
  <c r="T194" i="2"/>
  <c r="V194" i="2" s="1"/>
  <c r="S194" i="2"/>
  <c r="U194" i="2" s="1"/>
  <c r="A194" i="2"/>
  <c r="X193" i="2"/>
  <c r="W193" i="2"/>
  <c r="T193" i="2"/>
  <c r="S193" i="2"/>
  <c r="A193" i="2"/>
  <c r="X192" i="2"/>
  <c r="W192" i="2"/>
  <c r="T192" i="2"/>
  <c r="S192" i="2"/>
  <c r="A192" i="2"/>
  <c r="X191" i="2"/>
  <c r="W191" i="2"/>
  <c r="T191" i="2"/>
  <c r="S191" i="2"/>
  <c r="A191" i="2"/>
  <c r="X190" i="2"/>
  <c r="W190" i="2"/>
  <c r="T190" i="2"/>
  <c r="V190" i="2" s="1"/>
  <c r="S190" i="2"/>
  <c r="U190" i="2" s="1"/>
  <c r="A190" i="2"/>
  <c r="X189" i="2"/>
  <c r="W189" i="2"/>
  <c r="T189" i="2"/>
  <c r="S189" i="2"/>
  <c r="A189" i="2"/>
  <c r="X188" i="2"/>
  <c r="W188" i="2"/>
  <c r="T188" i="2"/>
  <c r="S188" i="2"/>
  <c r="A188" i="2"/>
  <c r="X187" i="2"/>
  <c r="W187" i="2"/>
  <c r="T187" i="2"/>
  <c r="S187" i="2"/>
  <c r="A187" i="2"/>
  <c r="X186" i="2"/>
  <c r="W186" i="2"/>
  <c r="T186" i="2"/>
  <c r="S186" i="2"/>
  <c r="A186" i="2"/>
  <c r="X185" i="2"/>
  <c r="W185" i="2"/>
  <c r="T185" i="2"/>
  <c r="S185" i="2"/>
  <c r="A185" i="2"/>
  <c r="X184" i="2"/>
  <c r="W184" i="2"/>
  <c r="T184" i="2"/>
  <c r="S184" i="2"/>
  <c r="A184" i="2"/>
  <c r="X183" i="2"/>
  <c r="W183" i="2"/>
  <c r="T183" i="2"/>
  <c r="S183" i="2"/>
  <c r="A183" i="2"/>
  <c r="X182" i="2"/>
  <c r="W182" i="2"/>
  <c r="T182" i="2"/>
  <c r="S182" i="2"/>
  <c r="A182" i="2"/>
  <c r="X181" i="2"/>
  <c r="W181" i="2"/>
  <c r="T181" i="2"/>
  <c r="S181" i="2"/>
  <c r="A181" i="2"/>
  <c r="X180" i="2"/>
  <c r="W180" i="2"/>
  <c r="T180" i="2"/>
  <c r="V180" i="2" s="1"/>
  <c r="S180" i="2"/>
  <c r="U180" i="2" s="1"/>
  <c r="A180" i="2"/>
  <c r="X179" i="2"/>
  <c r="W179" i="2"/>
  <c r="T179" i="2"/>
  <c r="S179" i="2"/>
  <c r="A179" i="2"/>
  <c r="X178" i="2"/>
  <c r="W178" i="2"/>
  <c r="T178" i="2"/>
  <c r="S178" i="2"/>
  <c r="A178" i="2"/>
  <c r="X177" i="2"/>
  <c r="W177" i="2"/>
  <c r="T177" i="2"/>
  <c r="S177" i="2"/>
  <c r="A177" i="2"/>
  <c r="X176" i="2"/>
  <c r="W176" i="2"/>
  <c r="T176" i="2"/>
  <c r="S176" i="2"/>
  <c r="A176" i="2"/>
  <c r="X175" i="2"/>
  <c r="W175" i="2"/>
  <c r="T175" i="2"/>
  <c r="S175" i="2"/>
  <c r="A175" i="2"/>
  <c r="X174" i="2"/>
  <c r="W174" i="2"/>
  <c r="T174" i="2"/>
  <c r="V174" i="2" s="1"/>
  <c r="S174" i="2"/>
  <c r="U174" i="2" s="1"/>
  <c r="A174" i="2"/>
  <c r="X173" i="2"/>
  <c r="W173" i="2"/>
  <c r="T173" i="2"/>
  <c r="S173" i="2"/>
  <c r="A173" i="2"/>
  <c r="X172" i="2"/>
  <c r="W172" i="2"/>
  <c r="T172" i="2"/>
  <c r="S172" i="2"/>
  <c r="A172" i="2"/>
  <c r="X171" i="2"/>
  <c r="W171" i="2"/>
  <c r="T171" i="2"/>
  <c r="S171" i="2"/>
  <c r="A171" i="2"/>
  <c r="X170" i="2"/>
  <c r="W170" i="2"/>
  <c r="T170" i="2"/>
  <c r="S170" i="2"/>
  <c r="A170" i="2"/>
  <c r="X169" i="2"/>
  <c r="W169" i="2"/>
  <c r="T169" i="2"/>
  <c r="S169" i="2"/>
  <c r="A169" i="2"/>
  <c r="X168" i="2"/>
  <c r="W168" i="2"/>
  <c r="T168" i="2"/>
  <c r="S168" i="2"/>
  <c r="A168" i="2"/>
  <c r="X167" i="2"/>
  <c r="W167" i="2"/>
  <c r="T167" i="2"/>
  <c r="S167" i="2"/>
  <c r="A167" i="2"/>
  <c r="X166" i="2"/>
  <c r="W166" i="2"/>
  <c r="T166" i="2"/>
  <c r="S166" i="2"/>
  <c r="A166" i="2"/>
  <c r="X165" i="2"/>
  <c r="W165" i="2"/>
  <c r="T165" i="2"/>
  <c r="S165" i="2"/>
  <c r="A165" i="2"/>
  <c r="X164" i="2"/>
  <c r="W164" i="2"/>
  <c r="T164" i="2"/>
  <c r="S164" i="2"/>
  <c r="A164" i="2"/>
  <c r="X163" i="2"/>
  <c r="W163" i="2"/>
  <c r="T163" i="2"/>
  <c r="S163" i="2"/>
  <c r="A163" i="2"/>
  <c r="X162" i="2"/>
  <c r="W162" i="2"/>
  <c r="T162" i="2"/>
  <c r="S162" i="2"/>
  <c r="A162" i="2"/>
  <c r="X161" i="2"/>
  <c r="W161" i="2"/>
  <c r="T161" i="2"/>
  <c r="S161" i="2"/>
  <c r="A161" i="2"/>
  <c r="X160" i="2"/>
  <c r="W160" i="2"/>
  <c r="T160" i="2"/>
  <c r="S160" i="2"/>
  <c r="A160" i="2"/>
  <c r="X159" i="2"/>
  <c r="W159" i="2"/>
  <c r="T159" i="2"/>
  <c r="S159" i="2"/>
  <c r="A159" i="2"/>
  <c r="X158" i="2"/>
  <c r="W158" i="2"/>
  <c r="T158" i="2"/>
  <c r="S158" i="2"/>
  <c r="A158" i="2"/>
  <c r="X157" i="2"/>
  <c r="W157" i="2"/>
  <c r="T157" i="2"/>
  <c r="S157" i="2"/>
  <c r="A157" i="2"/>
  <c r="X156" i="2"/>
  <c r="W156" i="2"/>
  <c r="T156" i="2"/>
  <c r="S156" i="2"/>
  <c r="A156" i="2"/>
  <c r="X155" i="2"/>
  <c r="W155" i="2"/>
  <c r="T155" i="2"/>
  <c r="S155" i="2"/>
  <c r="A155" i="2"/>
  <c r="X154" i="2"/>
  <c r="W154" i="2"/>
  <c r="T154" i="2"/>
  <c r="V154" i="2" s="1"/>
  <c r="S154" i="2"/>
  <c r="U154" i="2" s="1"/>
  <c r="A154" i="2"/>
  <c r="X153" i="2"/>
  <c r="W153" i="2"/>
  <c r="T153" i="2"/>
  <c r="S153" i="2"/>
  <c r="A153" i="2"/>
  <c r="X152" i="2"/>
  <c r="W152" i="2"/>
  <c r="T152" i="2"/>
  <c r="S152" i="2"/>
  <c r="A152" i="2"/>
  <c r="X151" i="2"/>
  <c r="W151" i="2"/>
  <c r="T151" i="2"/>
  <c r="S151" i="2"/>
  <c r="A151" i="2"/>
  <c r="X150" i="2"/>
  <c r="W150" i="2"/>
  <c r="T150" i="2"/>
  <c r="S150" i="2"/>
  <c r="A150" i="2"/>
  <c r="X149" i="2"/>
  <c r="W149" i="2"/>
  <c r="T149" i="2"/>
  <c r="S149" i="2"/>
  <c r="A149" i="2"/>
  <c r="X148" i="2"/>
  <c r="W148" i="2"/>
  <c r="T148" i="2"/>
  <c r="S148" i="2"/>
  <c r="A148" i="2"/>
  <c r="X147" i="2"/>
  <c r="W147" i="2"/>
  <c r="T147" i="2"/>
  <c r="S147" i="2"/>
  <c r="A147" i="2"/>
  <c r="X146" i="2"/>
  <c r="W146" i="2"/>
  <c r="T146" i="2"/>
  <c r="S146" i="2"/>
  <c r="A146" i="2"/>
  <c r="X145" i="2"/>
  <c r="W145" i="2"/>
  <c r="T145" i="2"/>
  <c r="S145" i="2"/>
  <c r="A145" i="2"/>
  <c r="X144" i="2"/>
  <c r="W144" i="2"/>
  <c r="T144" i="2"/>
  <c r="S144" i="2"/>
  <c r="A144" i="2"/>
  <c r="X143" i="2"/>
  <c r="W143" i="2"/>
  <c r="T143" i="2"/>
  <c r="V143" i="2" s="1"/>
  <c r="S143" i="2"/>
  <c r="U143" i="2" s="1"/>
  <c r="A143" i="2"/>
  <c r="X142" i="2"/>
  <c r="W142" i="2"/>
  <c r="T142" i="2"/>
  <c r="S142" i="2"/>
  <c r="A142" i="2"/>
  <c r="X141" i="2"/>
  <c r="W141" i="2"/>
  <c r="T141" i="2"/>
  <c r="S141" i="2"/>
  <c r="A141" i="2"/>
  <c r="X140" i="2"/>
  <c r="W140" i="2"/>
  <c r="T140" i="2"/>
  <c r="S140" i="2"/>
  <c r="A140" i="2"/>
  <c r="X139" i="2"/>
  <c r="W139" i="2"/>
  <c r="T139" i="2"/>
  <c r="S139" i="2"/>
  <c r="A139" i="2"/>
  <c r="X138" i="2"/>
  <c r="W138" i="2"/>
  <c r="T138" i="2"/>
  <c r="S138" i="2"/>
  <c r="A138" i="2"/>
  <c r="X137" i="2"/>
  <c r="W137" i="2"/>
  <c r="T137" i="2"/>
  <c r="S137" i="2"/>
  <c r="A137" i="2"/>
  <c r="X136" i="2"/>
  <c r="W136" i="2"/>
  <c r="T136" i="2"/>
  <c r="S136" i="2"/>
  <c r="A136" i="2"/>
  <c r="X135" i="2"/>
  <c r="W135" i="2"/>
  <c r="T135" i="2"/>
  <c r="S135" i="2"/>
  <c r="A135" i="2"/>
  <c r="X134" i="2"/>
  <c r="W134" i="2"/>
  <c r="T134" i="2"/>
  <c r="S134" i="2"/>
  <c r="A134" i="2"/>
  <c r="X133" i="2"/>
  <c r="W133" i="2"/>
  <c r="T133" i="2"/>
  <c r="S133" i="2"/>
  <c r="A133" i="2"/>
  <c r="X132" i="2"/>
  <c r="W132" i="2"/>
  <c r="T132" i="2"/>
  <c r="S132" i="2"/>
  <c r="A132" i="2"/>
  <c r="X131" i="2"/>
  <c r="W131" i="2"/>
  <c r="T131" i="2"/>
  <c r="S131" i="2"/>
  <c r="A131" i="2"/>
  <c r="X130" i="2"/>
  <c r="W130" i="2"/>
  <c r="T130" i="2"/>
  <c r="S130" i="2"/>
  <c r="A130" i="2"/>
  <c r="X129" i="2"/>
  <c r="W129" i="2"/>
  <c r="T129" i="2"/>
  <c r="S129" i="2"/>
  <c r="A129" i="2"/>
  <c r="X128" i="2"/>
  <c r="W128" i="2"/>
  <c r="T128" i="2"/>
  <c r="S128" i="2"/>
  <c r="A128" i="2"/>
  <c r="X127" i="2"/>
  <c r="W127" i="2"/>
  <c r="T127" i="2"/>
  <c r="S127" i="2"/>
  <c r="A127" i="2"/>
  <c r="X126" i="2"/>
  <c r="W126" i="2"/>
  <c r="T126" i="2"/>
  <c r="S126" i="2"/>
  <c r="A126" i="2"/>
  <c r="X125" i="2"/>
  <c r="W125" i="2"/>
  <c r="T125" i="2"/>
  <c r="S125" i="2"/>
  <c r="A125" i="2"/>
  <c r="X124" i="2"/>
  <c r="W124" i="2"/>
  <c r="T124" i="2"/>
  <c r="S124" i="2"/>
  <c r="A124" i="2"/>
  <c r="X123" i="2"/>
  <c r="W123" i="2"/>
  <c r="T123" i="2"/>
  <c r="S123" i="2"/>
  <c r="A123" i="2"/>
  <c r="X122" i="2"/>
  <c r="W122" i="2"/>
  <c r="T122" i="2"/>
  <c r="S122" i="2"/>
  <c r="A122" i="2"/>
  <c r="X121" i="2"/>
  <c r="W121" i="2"/>
  <c r="T121" i="2"/>
  <c r="S121" i="2"/>
  <c r="A121" i="2"/>
  <c r="X120" i="2"/>
  <c r="W120" i="2"/>
  <c r="T120" i="2"/>
  <c r="S120" i="2"/>
  <c r="A120" i="2"/>
  <c r="X119" i="2"/>
  <c r="W119" i="2"/>
  <c r="T119" i="2"/>
  <c r="S119" i="2"/>
  <c r="A119" i="2"/>
  <c r="X118" i="2"/>
  <c r="W118" i="2"/>
  <c r="T118" i="2"/>
  <c r="S118" i="2"/>
  <c r="A118" i="2"/>
  <c r="X117" i="2"/>
  <c r="W117" i="2"/>
  <c r="T117" i="2"/>
  <c r="S117" i="2"/>
  <c r="A117" i="2"/>
  <c r="X116" i="2"/>
  <c r="W116" i="2"/>
  <c r="T116" i="2"/>
  <c r="S116" i="2"/>
  <c r="A116" i="2"/>
  <c r="X115" i="2"/>
  <c r="W115" i="2"/>
  <c r="T115" i="2"/>
  <c r="S115" i="2"/>
  <c r="A115" i="2"/>
  <c r="X114" i="2"/>
  <c r="W114" i="2"/>
  <c r="T114" i="2"/>
  <c r="S114" i="2"/>
  <c r="A114" i="2"/>
  <c r="X113" i="2"/>
  <c r="W113" i="2"/>
  <c r="T113" i="2"/>
  <c r="S113" i="2"/>
  <c r="A113" i="2"/>
  <c r="X112" i="2"/>
  <c r="W112" i="2"/>
  <c r="T112" i="2"/>
  <c r="S112" i="2"/>
  <c r="A112" i="2"/>
  <c r="X111" i="2"/>
  <c r="W111" i="2"/>
  <c r="T111" i="2"/>
  <c r="S111" i="2"/>
  <c r="A111" i="2"/>
  <c r="X110" i="2"/>
  <c r="W110" i="2"/>
  <c r="T110" i="2"/>
  <c r="S110" i="2"/>
  <c r="A110" i="2"/>
  <c r="X109" i="2"/>
  <c r="W109" i="2"/>
  <c r="T109" i="2"/>
  <c r="S109" i="2"/>
  <c r="A109" i="2"/>
  <c r="X108" i="2"/>
  <c r="W108" i="2"/>
  <c r="T108" i="2"/>
  <c r="S108" i="2"/>
  <c r="A108" i="2"/>
  <c r="X107" i="2"/>
  <c r="W107" i="2"/>
  <c r="T107" i="2"/>
  <c r="S107" i="2"/>
  <c r="A107" i="2"/>
  <c r="X106" i="2"/>
  <c r="W106" i="2"/>
  <c r="T106" i="2"/>
  <c r="S106" i="2"/>
  <c r="A106" i="2"/>
  <c r="X105" i="2"/>
  <c r="W105" i="2"/>
  <c r="T105" i="2"/>
  <c r="S105" i="2"/>
  <c r="A105" i="2"/>
  <c r="X104" i="2"/>
  <c r="W104" i="2"/>
  <c r="T104" i="2"/>
  <c r="S104" i="2"/>
  <c r="A104" i="2"/>
  <c r="X103" i="2"/>
  <c r="W103" i="2"/>
  <c r="T103" i="2"/>
  <c r="S103" i="2"/>
  <c r="A103" i="2"/>
  <c r="X102" i="2"/>
  <c r="W102" i="2"/>
  <c r="T102" i="2"/>
  <c r="S102" i="2"/>
  <c r="A102" i="2"/>
  <c r="X101" i="2"/>
  <c r="W101" i="2"/>
  <c r="T101" i="2"/>
  <c r="S101" i="2"/>
  <c r="A101" i="2"/>
  <c r="X100" i="2"/>
  <c r="W100" i="2"/>
  <c r="T100" i="2"/>
  <c r="S100" i="2"/>
  <c r="A100" i="2"/>
  <c r="X99" i="2"/>
  <c r="W99" i="2"/>
  <c r="T99" i="2"/>
  <c r="S99" i="2"/>
  <c r="A99" i="2"/>
  <c r="X98" i="2"/>
  <c r="W98" i="2"/>
  <c r="T98" i="2"/>
  <c r="S98" i="2"/>
  <c r="A98" i="2"/>
  <c r="X97" i="2"/>
  <c r="W97" i="2"/>
  <c r="T97" i="2"/>
  <c r="S97" i="2"/>
  <c r="A97" i="2"/>
  <c r="X96" i="2"/>
  <c r="W96" i="2"/>
  <c r="T96" i="2"/>
  <c r="S96" i="2"/>
  <c r="A96" i="2"/>
  <c r="X95" i="2"/>
  <c r="W95" i="2"/>
  <c r="T95" i="2"/>
  <c r="S95" i="2"/>
  <c r="A95" i="2"/>
  <c r="X94" i="2"/>
  <c r="W94" i="2"/>
  <c r="T94" i="2"/>
  <c r="S94" i="2"/>
  <c r="A94" i="2"/>
  <c r="X93" i="2"/>
  <c r="W93" i="2"/>
  <c r="T93" i="2"/>
  <c r="S93" i="2"/>
  <c r="A93" i="2"/>
  <c r="X92" i="2"/>
  <c r="W92" i="2"/>
  <c r="T92" i="2"/>
  <c r="S92" i="2"/>
  <c r="A92" i="2"/>
  <c r="X91" i="2"/>
  <c r="W91" i="2"/>
  <c r="T91" i="2"/>
  <c r="S91" i="2"/>
  <c r="A91" i="2"/>
  <c r="X90" i="2"/>
  <c r="W90" i="2"/>
  <c r="T90" i="2"/>
  <c r="S90" i="2"/>
  <c r="A90" i="2"/>
  <c r="X89" i="2"/>
  <c r="W89" i="2"/>
  <c r="T89" i="2"/>
  <c r="S89" i="2"/>
  <c r="A89" i="2"/>
  <c r="X88" i="2"/>
  <c r="W88" i="2"/>
  <c r="T88" i="2"/>
  <c r="V88" i="2" s="1"/>
  <c r="S88" i="2"/>
  <c r="U88" i="2" s="1"/>
  <c r="A88" i="2"/>
  <c r="X87" i="2"/>
  <c r="W87" i="2"/>
  <c r="T87" i="2"/>
  <c r="S87" i="2"/>
  <c r="A87" i="2"/>
  <c r="X86" i="2"/>
  <c r="W86" i="2"/>
  <c r="T86" i="2"/>
  <c r="S86" i="2"/>
  <c r="A86" i="2"/>
  <c r="X85" i="2"/>
  <c r="W85" i="2"/>
  <c r="T85" i="2"/>
  <c r="S85" i="2"/>
  <c r="A85" i="2"/>
  <c r="X84" i="2"/>
  <c r="W84" i="2"/>
  <c r="T84" i="2"/>
  <c r="S84" i="2"/>
  <c r="A84" i="2"/>
  <c r="X83" i="2"/>
  <c r="W83" i="2"/>
  <c r="T83" i="2"/>
  <c r="S83" i="2"/>
  <c r="A83" i="2"/>
  <c r="X82" i="2"/>
  <c r="W82" i="2"/>
  <c r="T82" i="2"/>
  <c r="S82" i="2"/>
  <c r="A82" i="2"/>
  <c r="X81" i="2"/>
  <c r="W81" i="2"/>
  <c r="T81" i="2"/>
  <c r="S81" i="2"/>
  <c r="A81" i="2"/>
  <c r="X80" i="2"/>
  <c r="W80" i="2"/>
  <c r="T80" i="2"/>
  <c r="S80" i="2"/>
  <c r="A80" i="2"/>
  <c r="X79" i="2"/>
  <c r="W79" i="2"/>
  <c r="T79" i="2"/>
  <c r="S79" i="2"/>
  <c r="A79" i="2"/>
  <c r="X78" i="2"/>
  <c r="W78" i="2"/>
  <c r="T78" i="2"/>
  <c r="S78" i="2"/>
  <c r="A78" i="2"/>
  <c r="X77" i="2"/>
  <c r="W77" i="2"/>
  <c r="T77" i="2"/>
  <c r="S77" i="2"/>
  <c r="A77" i="2"/>
  <c r="X76" i="2"/>
  <c r="W76" i="2"/>
  <c r="T76" i="2"/>
  <c r="S76" i="2"/>
  <c r="A76" i="2"/>
  <c r="X75" i="2"/>
  <c r="W75" i="2"/>
  <c r="T75" i="2"/>
  <c r="S75" i="2"/>
  <c r="A75" i="2"/>
  <c r="X74" i="2"/>
  <c r="W74" i="2"/>
  <c r="T74" i="2"/>
  <c r="S74" i="2"/>
  <c r="A74" i="2"/>
  <c r="X73" i="2"/>
  <c r="W73" i="2"/>
  <c r="T73" i="2"/>
  <c r="S73" i="2"/>
  <c r="A73" i="2"/>
  <c r="X72" i="2"/>
  <c r="W72" i="2"/>
  <c r="T72" i="2"/>
  <c r="S72" i="2"/>
  <c r="A72" i="2"/>
  <c r="X71" i="2"/>
  <c r="W71" i="2"/>
  <c r="T71" i="2"/>
  <c r="S71" i="2"/>
  <c r="A71" i="2"/>
  <c r="X70" i="2"/>
  <c r="W70" i="2"/>
  <c r="T70" i="2"/>
  <c r="S70" i="2"/>
  <c r="A70" i="2"/>
  <c r="X69" i="2"/>
  <c r="W69" i="2"/>
  <c r="T69" i="2"/>
  <c r="S69" i="2"/>
  <c r="A69" i="2"/>
  <c r="X68" i="2"/>
  <c r="W68" i="2"/>
  <c r="T68" i="2"/>
  <c r="S68" i="2"/>
  <c r="A68" i="2"/>
  <c r="X67" i="2"/>
  <c r="W67" i="2"/>
  <c r="T67" i="2"/>
  <c r="S67" i="2"/>
  <c r="A67" i="2"/>
  <c r="X66" i="2"/>
  <c r="W66" i="2"/>
  <c r="T66" i="2"/>
  <c r="S66" i="2"/>
  <c r="A66" i="2"/>
  <c r="X65" i="2"/>
  <c r="W65" i="2"/>
  <c r="T65" i="2"/>
  <c r="S65" i="2"/>
  <c r="A65" i="2"/>
  <c r="X64" i="2"/>
  <c r="W64" i="2"/>
  <c r="T64" i="2"/>
  <c r="S64" i="2"/>
  <c r="A64" i="2"/>
  <c r="X63" i="2"/>
  <c r="W63" i="2"/>
  <c r="T63" i="2"/>
  <c r="S63" i="2"/>
  <c r="A63" i="2"/>
  <c r="X62" i="2"/>
  <c r="W62" i="2"/>
  <c r="T62" i="2"/>
  <c r="S62" i="2"/>
  <c r="A62" i="2"/>
  <c r="X61" i="2"/>
  <c r="W61" i="2"/>
  <c r="T61" i="2"/>
  <c r="S61" i="2"/>
  <c r="A61" i="2"/>
  <c r="X60" i="2"/>
  <c r="W60" i="2"/>
  <c r="T60" i="2"/>
  <c r="S60" i="2"/>
  <c r="A60" i="2"/>
  <c r="X59" i="2"/>
  <c r="W59" i="2"/>
  <c r="T59" i="2"/>
  <c r="S59" i="2"/>
  <c r="A59" i="2"/>
  <c r="X58" i="2"/>
  <c r="W58" i="2"/>
  <c r="T58" i="2"/>
  <c r="S58" i="2"/>
  <c r="A58" i="2"/>
  <c r="X57" i="2"/>
  <c r="W57" i="2"/>
  <c r="T57" i="2"/>
  <c r="S57" i="2"/>
  <c r="A57" i="2"/>
  <c r="X56" i="2"/>
  <c r="W56" i="2"/>
  <c r="T56" i="2"/>
  <c r="S56" i="2"/>
  <c r="A56" i="2"/>
  <c r="X55" i="2"/>
  <c r="W55" i="2"/>
  <c r="T55" i="2"/>
  <c r="S55" i="2"/>
  <c r="A55" i="2"/>
  <c r="X54" i="2"/>
  <c r="W54" i="2"/>
  <c r="T54" i="2"/>
  <c r="S54" i="2"/>
  <c r="A54" i="2"/>
  <c r="X53" i="2"/>
  <c r="W53" i="2"/>
  <c r="T53" i="2"/>
  <c r="S53" i="2"/>
  <c r="A53" i="2"/>
  <c r="X52" i="2"/>
  <c r="W52" i="2"/>
  <c r="T52" i="2"/>
  <c r="S52" i="2"/>
  <c r="A52" i="2"/>
  <c r="X51" i="2"/>
  <c r="W51" i="2"/>
  <c r="T51" i="2"/>
  <c r="S51" i="2"/>
  <c r="A51" i="2"/>
  <c r="X50" i="2"/>
  <c r="W50" i="2"/>
  <c r="T50" i="2"/>
  <c r="S50" i="2"/>
  <c r="A50" i="2"/>
  <c r="X49" i="2"/>
  <c r="W49" i="2"/>
  <c r="T49" i="2"/>
  <c r="S49" i="2"/>
  <c r="A49" i="2"/>
  <c r="X48" i="2"/>
  <c r="W48" i="2"/>
  <c r="T48" i="2"/>
  <c r="S48" i="2"/>
  <c r="A48" i="2"/>
  <c r="X47" i="2"/>
  <c r="W47" i="2"/>
  <c r="T47" i="2"/>
  <c r="S47" i="2"/>
  <c r="A47" i="2"/>
  <c r="X46" i="2"/>
  <c r="W46" i="2"/>
  <c r="T46" i="2"/>
  <c r="V46" i="2" s="1"/>
  <c r="S46" i="2"/>
  <c r="U46" i="2" s="1"/>
  <c r="A46" i="2"/>
  <c r="X45" i="2"/>
  <c r="W45" i="2"/>
  <c r="T45" i="2"/>
  <c r="S45" i="2"/>
  <c r="A45" i="2"/>
  <c r="X44" i="2"/>
  <c r="W44" i="2"/>
  <c r="T44" i="2"/>
  <c r="S44" i="2"/>
  <c r="A44" i="2"/>
  <c r="X43" i="2"/>
  <c r="W43" i="2"/>
  <c r="T43" i="2"/>
  <c r="S43" i="2"/>
  <c r="A43" i="2"/>
  <c r="X42" i="2"/>
  <c r="W42" i="2"/>
  <c r="T42" i="2"/>
  <c r="S42" i="2"/>
  <c r="A42" i="2"/>
  <c r="X41" i="2"/>
  <c r="W41" i="2"/>
  <c r="T41" i="2"/>
  <c r="S41" i="2"/>
  <c r="A41" i="2"/>
  <c r="X40" i="2"/>
  <c r="W40" i="2"/>
  <c r="T40" i="2"/>
  <c r="S40" i="2"/>
  <c r="A40" i="2"/>
  <c r="X39" i="2"/>
  <c r="W39" i="2"/>
  <c r="T39" i="2"/>
  <c r="S39" i="2"/>
  <c r="A39" i="2"/>
  <c r="X38" i="2"/>
  <c r="W38" i="2"/>
  <c r="T38" i="2"/>
  <c r="S38" i="2"/>
  <c r="A38" i="2"/>
  <c r="X37" i="2"/>
  <c r="W37" i="2"/>
  <c r="T37" i="2"/>
  <c r="S37" i="2"/>
  <c r="A37" i="2"/>
  <c r="X36" i="2"/>
  <c r="W36" i="2"/>
  <c r="T36" i="2"/>
  <c r="S36" i="2"/>
  <c r="A36" i="2"/>
  <c r="X35" i="2"/>
  <c r="W35" i="2"/>
  <c r="T35" i="2"/>
  <c r="S35" i="2"/>
  <c r="A35" i="2"/>
  <c r="X34" i="2"/>
  <c r="W34" i="2"/>
  <c r="T34" i="2"/>
  <c r="S34" i="2"/>
  <c r="A34" i="2"/>
  <c r="X33" i="2"/>
  <c r="W33" i="2"/>
  <c r="T33" i="2"/>
  <c r="S33" i="2"/>
  <c r="A33" i="2"/>
  <c r="X32" i="2"/>
  <c r="W32" i="2"/>
  <c r="T32" i="2"/>
  <c r="S32" i="2"/>
  <c r="A32" i="2"/>
  <c r="X31" i="2"/>
  <c r="W31" i="2"/>
  <c r="T31" i="2"/>
  <c r="S31" i="2"/>
  <c r="A31" i="2"/>
  <c r="X30" i="2"/>
  <c r="W30" i="2"/>
  <c r="T30" i="2"/>
  <c r="S30" i="2"/>
  <c r="A30" i="2"/>
  <c r="X29" i="2"/>
  <c r="W29" i="2"/>
  <c r="T29" i="2"/>
  <c r="S29" i="2"/>
  <c r="A29" i="2"/>
  <c r="X28" i="2"/>
  <c r="W28" i="2"/>
  <c r="T28" i="2"/>
  <c r="S28" i="2"/>
  <c r="A28" i="2"/>
  <c r="X27" i="2"/>
  <c r="W27" i="2"/>
  <c r="T27" i="2"/>
  <c r="S27" i="2"/>
  <c r="A27" i="2"/>
  <c r="X26" i="2"/>
  <c r="W26" i="2"/>
  <c r="T26" i="2"/>
  <c r="S26" i="2"/>
  <c r="A26" i="2"/>
  <c r="X25" i="2"/>
  <c r="W25" i="2"/>
  <c r="T25" i="2"/>
  <c r="S25" i="2"/>
  <c r="A25" i="2"/>
  <c r="X24" i="2"/>
  <c r="W24" i="2"/>
  <c r="T24" i="2"/>
  <c r="S24" i="2"/>
  <c r="A24" i="2"/>
  <c r="X23" i="2"/>
  <c r="W23" i="2"/>
  <c r="T23" i="2"/>
  <c r="S23" i="2"/>
  <c r="A23" i="2"/>
  <c r="X22" i="2"/>
  <c r="W22" i="2"/>
  <c r="T22" i="2"/>
  <c r="S22" i="2"/>
  <c r="A22" i="2"/>
  <c r="X21" i="2"/>
  <c r="W21" i="2"/>
  <c r="T21" i="2"/>
  <c r="S21" i="2"/>
  <c r="A21" i="2"/>
  <c r="X20" i="2"/>
  <c r="W20" i="2"/>
  <c r="T20" i="2"/>
  <c r="S20" i="2"/>
  <c r="A20" i="2"/>
  <c r="X19" i="2"/>
  <c r="W19" i="2"/>
  <c r="T19" i="2"/>
  <c r="S19" i="2"/>
  <c r="A19" i="2"/>
  <c r="X18" i="2"/>
  <c r="W18" i="2"/>
  <c r="T18" i="2"/>
  <c r="S18" i="2"/>
  <c r="A18" i="2"/>
  <c r="X17" i="2"/>
  <c r="W17" i="2"/>
  <c r="T17" i="2"/>
  <c r="S17" i="2"/>
  <c r="A17" i="2"/>
  <c r="X16" i="2"/>
  <c r="W16" i="2"/>
  <c r="T16" i="2"/>
  <c r="S16" i="2"/>
  <c r="A16" i="2"/>
  <c r="X15" i="2"/>
  <c r="W15" i="2"/>
  <c r="T15" i="2"/>
  <c r="S15" i="2"/>
  <c r="A15" i="2"/>
  <c r="X14" i="2"/>
  <c r="W14" i="2"/>
  <c r="T14" i="2"/>
  <c r="S14" i="2"/>
  <c r="A14" i="2"/>
  <c r="X13" i="2"/>
  <c r="W13" i="2"/>
  <c r="T13" i="2"/>
  <c r="V13" i="2" s="1"/>
  <c r="U13" i="2"/>
  <c r="A13" i="2"/>
  <c r="B10" i="2"/>
  <c r="B9" i="2"/>
  <c r="B6" i="2"/>
  <c r="B5" i="2"/>
  <c r="A2" i="2"/>
  <c r="S1" i="2"/>
  <c r="B7" i="1"/>
  <c r="F393" i="2" l="1"/>
  <c r="F394" i="2" s="1"/>
  <c r="F571" i="2"/>
  <c r="F572" i="2" s="1"/>
  <c r="F573" i="2" s="1"/>
  <c r="F177" i="2"/>
  <c r="F178" i="2" s="1"/>
  <c r="F179" i="2" s="1"/>
  <c r="F193" i="2"/>
  <c r="F279" i="2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559" i="2"/>
  <c r="F560" i="2" s="1"/>
  <c r="F541" i="2"/>
  <c r="F581" i="2"/>
  <c r="F144" i="2"/>
  <c r="F600" i="2"/>
  <c r="F601" i="2" s="1"/>
  <c r="F602" i="2" s="1"/>
  <c r="F603" i="2" s="1"/>
  <c r="F297" i="2"/>
  <c r="F298" i="2" s="1"/>
  <c r="G22" i="2"/>
  <c r="F495" i="2"/>
  <c r="F496" i="2" s="1"/>
  <c r="F497" i="2" s="1"/>
  <c r="F498" i="2" s="1"/>
  <c r="F499" i="2" s="1"/>
  <c r="F500" i="2" s="1"/>
  <c r="F501" i="2" s="1"/>
  <c r="F502" i="2" s="1"/>
  <c r="J23" i="2"/>
  <c r="K23" i="2" s="1"/>
  <c r="L23" i="2" s="1"/>
  <c r="F472" i="2"/>
  <c r="F473" i="2" s="1"/>
  <c r="F474" i="2" s="1"/>
  <c r="F475" i="2" s="1"/>
  <c r="F476" i="2" s="1"/>
  <c r="F477" i="2" s="1"/>
  <c r="F478" i="2" s="1"/>
  <c r="F480" i="2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504" i="2"/>
  <c r="F505" i="2" s="1"/>
  <c r="F506" i="2" s="1"/>
  <c r="F507" i="2" s="1"/>
  <c r="F508" i="2" s="1"/>
  <c r="F509" i="2" s="1"/>
  <c r="F510" i="2" s="1"/>
  <c r="F511" i="2" s="1"/>
  <c r="F512" i="2" s="1"/>
  <c r="G31" i="2"/>
  <c r="G128" i="2"/>
  <c r="H311" i="2"/>
  <c r="F145" i="2"/>
  <c r="F146" i="2" s="1"/>
  <c r="F147" i="2" s="1"/>
  <c r="F148" i="2" s="1"/>
  <c r="F149" i="2" s="1"/>
  <c r="F150" i="2" s="1"/>
  <c r="F151" i="2" s="1"/>
  <c r="F152" i="2" s="1"/>
  <c r="F153" i="2" s="1"/>
  <c r="F306" i="2"/>
  <c r="F307" i="2" s="1"/>
  <c r="F308" i="2" s="1"/>
  <c r="F309" i="2" s="1"/>
  <c r="F310" i="2" s="1"/>
  <c r="F311" i="2" s="1"/>
  <c r="F312" i="2" s="1"/>
  <c r="F313" i="2" s="1"/>
  <c r="F338" i="2"/>
  <c r="F339" i="2" s="1"/>
  <c r="F340" i="2" s="1"/>
  <c r="F341" i="2" s="1"/>
  <c r="F342" i="2" s="1"/>
  <c r="F343" i="2" s="1"/>
  <c r="F409" i="2"/>
  <c r="F425" i="2"/>
  <c r="F426" i="2" s="1"/>
  <c r="F427" i="2" s="1"/>
  <c r="F574" i="2"/>
  <c r="F575" i="2" s="1"/>
  <c r="F576" i="2" s="1"/>
  <c r="F577" i="2" s="1"/>
  <c r="F578" i="2" s="1"/>
  <c r="F579" i="2" s="1"/>
  <c r="G33" i="2"/>
  <c r="H136" i="2"/>
  <c r="F227" i="2"/>
  <c r="F228" i="2" s="1"/>
  <c r="F229" i="2" s="1"/>
  <c r="F230" i="2" s="1"/>
  <c r="F231" i="2" s="1"/>
  <c r="F232" i="2" s="1"/>
  <c r="F233" i="2" s="1"/>
  <c r="F364" i="2"/>
  <c r="F365" i="2" s="1"/>
  <c r="F366" i="2" s="1"/>
  <c r="F367" i="2" s="1"/>
  <c r="F368" i="2" s="1"/>
  <c r="F369" i="2" s="1"/>
  <c r="F395" i="2"/>
  <c r="F396" i="2" s="1"/>
  <c r="F397" i="2" s="1"/>
  <c r="F515" i="2"/>
  <c r="F516" i="2" s="1"/>
  <c r="F517" i="2" s="1"/>
  <c r="F518" i="2" s="1"/>
  <c r="F595" i="2"/>
  <c r="F596" i="2" s="1"/>
  <c r="F597" i="2" s="1"/>
  <c r="F598" i="2" s="1"/>
  <c r="H48" i="2"/>
  <c r="I48" i="2" s="1"/>
  <c r="G409" i="2"/>
  <c r="F382" i="2"/>
  <c r="F383" i="2" s="1"/>
  <c r="F384" i="2" s="1"/>
  <c r="F385" i="2" s="1"/>
  <c r="F386" i="2" s="1"/>
  <c r="F414" i="2"/>
  <c r="F415" i="2" s="1"/>
  <c r="F430" i="2"/>
  <c r="F431" i="2" s="1"/>
  <c r="F432" i="2" s="1"/>
  <c r="F433" i="2" s="1"/>
  <c r="F434" i="2" s="1"/>
  <c r="F435" i="2" s="1"/>
  <c r="F436" i="2" s="1"/>
  <c r="F462" i="2"/>
  <c r="F463" i="2" s="1"/>
  <c r="F464" i="2" s="1"/>
  <c r="F465" i="2" s="1"/>
  <c r="G450" i="2"/>
  <c r="F214" i="2"/>
  <c r="F215" i="2" s="1"/>
  <c r="F216" i="2" s="1"/>
  <c r="F217" i="2" s="1"/>
  <c r="F218" i="2" s="1"/>
  <c r="F219" i="2" s="1"/>
  <c r="F220" i="2" s="1"/>
  <c r="F222" i="2"/>
  <c r="F223" i="2" s="1"/>
  <c r="F224" i="2" s="1"/>
  <c r="F225" i="2" s="1"/>
  <c r="F226" i="2" s="1"/>
  <c r="F438" i="2"/>
  <c r="F439" i="2" s="1"/>
  <c r="F440" i="2" s="1"/>
  <c r="F441" i="2" s="1"/>
  <c r="F442" i="2" s="1"/>
  <c r="F443" i="2" s="1"/>
  <c r="F444" i="2" s="1"/>
  <c r="F542" i="2"/>
  <c r="F582" i="2"/>
  <c r="F583" i="2" s="1"/>
  <c r="F584" i="2" s="1"/>
  <c r="F585" i="2" s="1"/>
  <c r="F586" i="2" s="1"/>
  <c r="F587" i="2" s="1"/>
  <c r="F588" i="2" s="1"/>
  <c r="F590" i="2"/>
  <c r="F591" i="2" s="1"/>
  <c r="F592" i="2" s="1"/>
  <c r="F593" i="2" s="1"/>
  <c r="G63" i="2"/>
  <c r="J457" i="2"/>
  <c r="K457" i="2" s="1"/>
  <c r="L457" i="2" s="1"/>
  <c r="F551" i="2"/>
  <c r="F552" i="2" s="1"/>
  <c r="F553" i="2" s="1"/>
  <c r="F554" i="2" s="1"/>
  <c r="F555" i="2" s="1"/>
  <c r="F556" i="2" s="1"/>
  <c r="F557" i="2" s="1"/>
  <c r="F400" i="2"/>
  <c r="F401" i="2" s="1"/>
  <c r="F402" i="2" s="1"/>
  <c r="F265" i="2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345" i="2"/>
  <c r="F346" i="2" s="1"/>
  <c r="F521" i="2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61" i="2"/>
  <c r="F562" i="2" s="1"/>
  <c r="F563" i="2" s="1"/>
  <c r="F564" i="2" s="1"/>
  <c r="F565" i="2" s="1"/>
  <c r="F566" i="2" s="1"/>
  <c r="F567" i="2" s="1"/>
  <c r="F568" i="2" s="1"/>
  <c r="F609" i="2"/>
  <c r="F610" i="2" s="1"/>
  <c r="F611" i="2" s="1"/>
  <c r="F612" i="2" s="1"/>
  <c r="F613" i="2" s="1"/>
  <c r="F614" i="2" s="1"/>
  <c r="F615" i="2" s="1"/>
  <c r="F616" i="2" s="1"/>
  <c r="F617" i="2" s="1"/>
  <c r="F618" i="2" s="1"/>
  <c r="F155" i="2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235" i="2"/>
  <c r="F236" i="2" s="1"/>
  <c r="F237" i="2" s="1"/>
  <c r="F238" i="2" s="1"/>
  <c r="F239" i="2" s="1"/>
  <c r="F240" i="2" s="1"/>
  <c r="F241" i="2" s="1"/>
  <c r="F242" i="2" s="1"/>
  <c r="F299" i="2"/>
  <c r="F300" i="2" s="1"/>
  <c r="F301" i="2" s="1"/>
  <c r="F302" i="2" s="1"/>
  <c r="F303" i="2" s="1"/>
  <c r="F304" i="2" s="1"/>
  <c r="F403" i="2"/>
  <c r="F404" i="2" s="1"/>
  <c r="F405" i="2" s="1"/>
  <c r="F406" i="2" s="1"/>
  <c r="F407" i="2" s="1"/>
  <c r="F411" i="2"/>
  <c r="F467" i="2"/>
  <c r="F539" i="2"/>
  <c r="F244" i="2"/>
  <c r="F245" i="2" s="1"/>
  <c r="F246" i="2" s="1"/>
  <c r="F247" i="2" s="1"/>
  <c r="F248" i="2" s="1"/>
  <c r="F249" i="2" s="1"/>
  <c r="F250" i="2" s="1"/>
  <c r="F251" i="2" s="1"/>
  <c r="F252" i="2" s="1"/>
  <c r="F348" i="2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88" i="2"/>
  <c r="F389" i="2" s="1"/>
  <c r="F390" i="2" s="1"/>
  <c r="F391" i="2" s="1"/>
  <c r="G24" i="2"/>
  <c r="H33" i="2"/>
  <c r="H49" i="2"/>
  <c r="H90" i="2"/>
  <c r="I90" i="2" s="1"/>
  <c r="J191" i="2"/>
  <c r="K191" i="2" s="1"/>
  <c r="L191" i="2" s="1"/>
  <c r="J311" i="2"/>
  <c r="K311" i="2" s="1"/>
  <c r="L311" i="2" s="1"/>
  <c r="H390" i="2"/>
  <c r="I390" i="2" s="1"/>
  <c r="H599" i="2"/>
  <c r="F544" i="2"/>
  <c r="F545" i="2" s="1"/>
  <c r="F546" i="2" s="1"/>
  <c r="F547" i="2" s="1"/>
  <c r="F548" i="2" s="1"/>
  <c r="F549" i="2" s="1"/>
  <c r="F468" i="2"/>
  <c r="F469" i="2" s="1"/>
  <c r="F470" i="2" s="1"/>
  <c r="F328" i="2"/>
  <c r="F329" i="2" s="1"/>
  <c r="F330" i="2" s="1"/>
  <c r="F331" i="2" s="1"/>
  <c r="F332" i="2" s="1"/>
  <c r="G379" i="2"/>
  <c r="F419" i="2"/>
  <c r="F420" i="2" s="1"/>
  <c r="F421" i="2" s="1"/>
  <c r="F422" i="2" s="1"/>
  <c r="F423" i="2" s="1"/>
  <c r="G15" i="2"/>
  <c r="G51" i="2"/>
  <c r="I51" i="2" s="1"/>
  <c r="M51" i="2" s="1"/>
  <c r="N51" i="2" s="1"/>
  <c r="J259" i="2"/>
  <c r="K259" i="2" s="1"/>
  <c r="L259" i="2" s="1"/>
  <c r="H499" i="2"/>
  <c r="I499" i="2" s="1"/>
  <c r="F13" i="2"/>
  <c r="F294" i="2"/>
  <c r="F295" i="2" s="1"/>
  <c r="H15" i="2"/>
  <c r="J26" i="2"/>
  <c r="K26" i="2" s="1"/>
  <c r="L26" i="2" s="1"/>
  <c r="H39" i="2"/>
  <c r="I39" i="2" s="1"/>
  <c r="H53" i="2"/>
  <c r="J77" i="2"/>
  <c r="K77" i="2" s="1"/>
  <c r="L77" i="2" s="1"/>
  <c r="J155" i="2"/>
  <c r="K155" i="2" s="1"/>
  <c r="L155" i="2" s="1"/>
  <c r="J265" i="2"/>
  <c r="K265" i="2" s="1"/>
  <c r="L265" i="2" s="1"/>
  <c r="G419" i="2"/>
  <c r="J499" i="2"/>
  <c r="K499" i="2" s="1"/>
  <c r="L499" i="2" s="1"/>
  <c r="G18" i="2"/>
  <c r="G27" i="2"/>
  <c r="I27" i="2" s="1"/>
  <c r="M27" i="2" s="1"/>
  <c r="N27" i="2" s="1"/>
  <c r="H42" i="2"/>
  <c r="I42" i="2" s="1"/>
  <c r="G55" i="2"/>
  <c r="H272" i="2"/>
  <c r="H419" i="2"/>
  <c r="F314" i="2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88" i="2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H18" i="2"/>
  <c r="J29" i="2"/>
  <c r="K29" i="2" s="1"/>
  <c r="L29" i="2" s="1"/>
  <c r="J43" i="2"/>
  <c r="K43" i="2" s="1"/>
  <c r="L43" i="2" s="1"/>
  <c r="J222" i="2"/>
  <c r="K222" i="2" s="1"/>
  <c r="L222" i="2" s="1"/>
  <c r="J272" i="2"/>
  <c r="K272" i="2" s="1"/>
  <c r="L272" i="2" s="1"/>
  <c r="G360" i="2"/>
  <c r="F375" i="2"/>
  <c r="F376" i="2" s="1"/>
  <c r="F377" i="2" s="1"/>
  <c r="F378" i="2" s="1"/>
  <c r="F379" i="2" s="1"/>
  <c r="F195" i="2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46" i="2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259" i="2"/>
  <c r="F260" i="2" s="1"/>
  <c r="F261" i="2" s="1"/>
  <c r="F262" i="2" s="1"/>
  <c r="F263" i="2" s="1"/>
  <c r="F180" i="2"/>
  <c r="F181" i="2" s="1"/>
  <c r="F182" i="2" s="1"/>
  <c r="F183" i="2" s="1"/>
  <c r="F184" i="2" s="1"/>
  <c r="F185" i="2" s="1"/>
  <c r="F186" i="2" s="1"/>
  <c r="F187" i="2" s="1"/>
  <c r="F188" i="2" s="1"/>
  <c r="F189" i="2" s="1"/>
  <c r="H19" i="2"/>
  <c r="H30" i="2"/>
  <c r="H46" i="2"/>
  <c r="H57" i="2"/>
  <c r="J83" i="2"/>
  <c r="K83" i="2" s="1"/>
  <c r="L83" i="2" s="1"/>
  <c r="J234" i="2"/>
  <c r="K234" i="2" s="1"/>
  <c r="L234" i="2" s="1"/>
  <c r="H360" i="2"/>
  <c r="I360" i="2" s="1"/>
  <c r="M360" i="2" s="1"/>
  <c r="N360" i="2" s="1"/>
  <c r="G441" i="2"/>
  <c r="I441" i="2" s="1"/>
  <c r="M441" i="2" s="1"/>
  <c r="N441" i="2" s="1"/>
  <c r="G545" i="2"/>
  <c r="F450" i="2"/>
  <c r="F451" i="2" s="1"/>
  <c r="F452" i="2" s="1"/>
  <c r="F453" i="2" s="1"/>
  <c r="F454" i="2" s="1"/>
  <c r="F455" i="2" s="1"/>
  <c r="F456" i="2" s="1"/>
  <c r="F457" i="2" s="1"/>
  <c r="F458" i="2" s="1"/>
  <c r="F459" i="2" s="1"/>
  <c r="F371" i="2"/>
  <c r="F372" i="2" s="1"/>
  <c r="F373" i="2" s="1"/>
  <c r="F374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J109" i="2"/>
  <c r="K109" i="2" s="1"/>
  <c r="L109" i="2" s="1"/>
  <c r="H109" i="2"/>
  <c r="G109" i="2"/>
  <c r="J125" i="2"/>
  <c r="K125" i="2" s="1"/>
  <c r="L125" i="2" s="1"/>
  <c r="H125" i="2"/>
  <c r="G125" i="2"/>
  <c r="J141" i="2"/>
  <c r="K141" i="2" s="1"/>
  <c r="L141" i="2" s="1"/>
  <c r="H141" i="2"/>
  <c r="G141" i="2"/>
  <c r="I141" i="2" s="1"/>
  <c r="J157" i="2"/>
  <c r="K157" i="2" s="1"/>
  <c r="L157" i="2" s="1"/>
  <c r="H157" i="2"/>
  <c r="G157" i="2"/>
  <c r="J197" i="2"/>
  <c r="K197" i="2" s="1"/>
  <c r="L197" i="2" s="1"/>
  <c r="H197" i="2"/>
  <c r="J213" i="2"/>
  <c r="K213" i="2" s="1"/>
  <c r="L213" i="2" s="1"/>
  <c r="G213" i="2"/>
  <c r="H213" i="2"/>
  <c r="J229" i="2"/>
  <c r="K229" i="2" s="1"/>
  <c r="L229" i="2" s="1"/>
  <c r="H229" i="2"/>
  <c r="G229" i="2"/>
  <c r="G237" i="2"/>
  <c r="J237" i="2"/>
  <c r="K237" i="2" s="1"/>
  <c r="L237" i="2" s="1"/>
  <c r="G253" i="2"/>
  <c r="J253" i="2"/>
  <c r="K253" i="2" s="1"/>
  <c r="L253" i="2" s="1"/>
  <c r="H253" i="2"/>
  <c r="H269" i="2"/>
  <c r="J269" i="2"/>
  <c r="K269" i="2" s="1"/>
  <c r="L269" i="2" s="1"/>
  <c r="G269" i="2"/>
  <c r="H301" i="2"/>
  <c r="G301" i="2"/>
  <c r="H333" i="2"/>
  <c r="J333" i="2"/>
  <c r="K333" i="2" s="1"/>
  <c r="L333" i="2" s="1"/>
  <c r="G333" i="2"/>
  <c r="J349" i="2"/>
  <c r="K349" i="2" s="1"/>
  <c r="L349" i="2" s="1"/>
  <c r="H349" i="2"/>
  <c r="G349" i="2"/>
  <c r="J365" i="2"/>
  <c r="K365" i="2" s="1"/>
  <c r="L365" i="2" s="1"/>
  <c r="H365" i="2"/>
  <c r="G365" i="2"/>
  <c r="I365" i="2" s="1"/>
  <c r="M365" i="2" s="1"/>
  <c r="N365" i="2" s="1"/>
  <c r="J381" i="2"/>
  <c r="K381" i="2" s="1"/>
  <c r="L381" i="2" s="1"/>
  <c r="H381" i="2"/>
  <c r="G381" i="2"/>
  <c r="H397" i="2"/>
  <c r="G397" i="2"/>
  <c r="H413" i="2"/>
  <c r="G413" i="2"/>
  <c r="J413" i="2"/>
  <c r="K413" i="2" s="1"/>
  <c r="L413" i="2" s="1"/>
  <c r="J429" i="2"/>
  <c r="K429" i="2" s="1"/>
  <c r="L429" i="2" s="1"/>
  <c r="G429" i="2"/>
  <c r="H429" i="2"/>
  <c r="H445" i="2"/>
  <c r="G445" i="2"/>
  <c r="J469" i="2"/>
  <c r="K469" i="2" s="1"/>
  <c r="L469" i="2" s="1"/>
  <c r="H469" i="2"/>
  <c r="G469" i="2"/>
  <c r="G485" i="2"/>
  <c r="J485" i="2"/>
  <c r="K485" i="2" s="1"/>
  <c r="L485" i="2" s="1"/>
  <c r="H485" i="2"/>
  <c r="H501" i="2"/>
  <c r="G501" i="2"/>
  <c r="J501" i="2"/>
  <c r="K501" i="2" s="1"/>
  <c r="L501" i="2" s="1"/>
  <c r="J517" i="2"/>
  <c r="K517" i="2" s="1"/>
  <c r="L517" i="2" s="1"/>
  <c r="H517" i="2"/>
  <c r="J533" i="2"/>
  <c r="K533" i="2" s="1"/>
  <c r="L533" i="2" s="1"/>
  <c r="G533" i="2"/>
  <c r="H533" i="2"/>
  <c r="J541" i="2"/>
  <c r="K541" i="2" s="1"/>
  <c r="L541" i="2" s="1"/>
  <c r="H541" i="2"/>
  <c r="G541" i="2"/>
  <c r="G565" i="2"/>
  <c r="J565" i="2"/>
  <c r="K565" i="2" s="1"/>
  <c r="L565" i="2" s="1"/>
  <c r="H565" i="2"/>
  <c r="J581" i="2"/>
  <c r="K581" i="2" s="1"/>
  <c r="L581" i="2" s="1"/>
  <c r="H581" i="2"/>
  <c r="G581" i="2"/>
  <c r="J597" i="2"/>
  <c r="K597" i="2" s="1"/>
  <c r="L597" i="2" s="1"/>
  <c r="H597" i="2"/>
  <c r="G597" i="2"/>
  <c r="J621" i="2"/>
  <c r="K621" i="2" s="1"/>
  <c r="L621" i="2" s="1"/>
  <c r="H621" i="2"/>
  <c r="G621" i="2"/>
  <c r="H36" i="2"/>
  <c r="I36" i="2" s="1"/>
  <c r="H68" i="2"/>
  <c r="I68" i="2" s="1"/>
  <c r="H116" i="2"/>
  <c r="H285" i="2"/>
  <c r="I285" i="2" s="1"/>
  <c r="G62" i="2"/>
  <c r="J62" i="2"/>
  <c r="K62" i="2" s="1"/>
  <c r="L62" i="2" s="1"/>
  <c r="H62" i="2"/>
  <c r="I62" i="2" s="1"/>
  <c r="H70" i="2"/>
  <c r="G70" i="2"/>
  <c r="J70" i="2"/>
  <c r="K70" i="2" s="1"/>
  <c r="L70" i="2" s="1"/>
  <c r="J78" i="2"/>
  <c r="K78" i="2" s="1"/>
  <c r="L78" i="2" s="1"/>
  <c r="H78" i="2"/>
  <c r="G78" i="2"/>
  <c r="J86" i="2"/>
  <c r="K86" i="2" s="1"/>
  <c r="L86" i="2" s="1"/>
  <c r="H86" i="2"/>
  <c r="I86" i="2" s="1"/>
  <c r="J94" i="2"/>
  <c r="K94" i="2" s="1"/>
  <c r="L94" i="2" s="1"/>
  <c r="G94" i="2"/>
  <c r="I94" i="2" s="1"/>
  <c r="H102" i="2"/>
  <c r="G102" i="2"/>
  <c r="J102" i="2"/>
  <c r="K102" i="2" s="1"/>
  <c r="L102" i="2" s="1"/>
  <c r="G110" i="2"/>
  <c r="H110" i="2"/>
  <c r="J118" i="2"/>
  <c r="K118" i="2" s="1"/>
  <c r="L118" i="2" s="1"/>
  <c r="G118" i="2"/>
  <c r="J126" i="2"/>
  <c r="K126" i="2" s="1"/>
  <c r="L126" i="2" s="1"/>
  <c r="H126" i="2"/>
  <c r="I126" i="2" s="1"/>
  <c r="M126" i="2" s="1"/>
  <c r="N126" i="2" s="1"/>
  <c r="G134" i="2"/>
  <c r="J134" i="2"/>
  <c r="K134" i="2" s="1"/>
  <c r="L134" i="2" s="1"/>
  <c r="H142" i="2"/>
  <c r="J142" i="2"/>
  <c r="K142" i="2" s="1"/>
  <c r="L142" i="2" s="1"/>
  <c r="G142" i="2"/>
  <c r="I142" i="2" s="1"/>
  <c r="H150" i="2"/>
  <c r="G150" i="2"/>
  <c r="I150" i="2" s="1"/>
  <c r="M150" i="2" s="1"/>
  <c r="N150" i="2" s="1"/>
  <c r="H158" i="2"/>
  <c r="I158" i="2" s="1"/>
  <c r="J158" i="2"/>
  <c r="K158" i="2" s="1"/>
  <c r="L158" i="2" s="1"/>
  <c r="G158" i="2"/>
  <c r="H166" i="2"/>
  <c r="G166" i="2"/>
  <c r="I166" i="2" s="1"/>
  <c r="M166" i="2" s="1"/>
  <c r="N166" i="2" s="1"/>
  <c r="J174" i="2"/>
  <c r="K174" i="2" s="1"/>
  <c r="L174" i="2" s="1"/>
  <c r="G174" i="2"/>
  <c r="H174" i="2"/>
  <c r="J182" i="2"/>
  <c r="K182" i="2" s="1"/>
  <c r="L182" i="2" s="1"/>
  <c r="H182" i="2"/>
  <c r="G182" i="2"/>
  <c r="J190" i="2"/>
  <c r="K190" i="2" s="1"/>
  <c r="L190" i="2" s="1"/>
  <c r="H190" i="2"/>
  <c r="G190" i="2"/>
  <c r="J198" i="2"/>
  <c r="K198" i="2" s="1"/>
  <c r="L198" i="2" s="1"/>
  <c r="G198" i="2"/>
  <c r="H198" i="2"/>
  <c r="I198" i="2" s="1"/>
  <c r="J206" i="2"/>
  <c r="K206" i="2" s="1"/>
  <c r="L206" i="2" s="1"/>
  <c r="H206" i="2"/>
  <c r="G206" i="2"/>
  <c r="H214" i="2"/>
  <c r="G214" i="2"/>
  <c r="J238" i="2"/>
  <c r="K238" i="2" s="1"/>
  <c r="L238" i="2" s="1"/>
  <c r="H238" i="2"/>
  <c r="G238" i="2"/>
  <c r="I238" i="2" s="1"/>
  <c r="G246" i="2"/>
  <c r="H246" i="2"/>
  <c r="J246" i="2"/>
  <c r="K246" i="2" s="1"/>
  <c r="L246" i="2" s="1"/>
  <c r="J254" i="2"/>
  <c r="K254" i="2" s="1"/>
  <c r="L254" i="2" s="1"/>
  <c r="G254" i="2"/>
  <c r="I254" i="2" s="1"/>
  <c r="J262" i="2"/>
  <c r="K262" i="2" s="1"/>
  <c r="L262" i="2" s="1"/>
  <c r="H262" i="2"/>
  <c r="G262" i="2"/>
  <c r="I262" i="2" s="1"/>
  <c r="H270" i="2"/>
  <c r="I270" i="2" s="1"/>
  <c r="G270" i="2"/>
  <c r="J270" i="2"/>
  <c r="K270" i="2" s="1"/>
  <c r="L270" i="2" s="1"/>
  <c r="J278" i="2"/>
  <c r="K278" i="2" s="1"/>
  <c r="L278" i="2" s="1"/>
  <c r="H278" i="2"/>
  <c r="G278" i="2"/>
  <c r="H286" i="2"/>
  <c r="G286" i="2"/>
  <c r="I286" i="2" s="1"/>
  <c r="J286" i="2"/>
  <c r="K286" i="2" s="1"/>
  <c r="L286" i="2" s="1"/>
  <c r="J294" i="2"/>
  <c r="K294" i="2" s="1"/>
  <c r="L294" i="2" s="1"/>
  <c r="H294" i="2"/>
  <c r="G294" i="2"/>
  <c r="I294" i="2" s="1"/>
  <c r="M294" i="2" s="1"/>
  <c r="N294" i="2" s="1"/>
  <c r="J302" i="2"/>
  <c r="K302" i="2" s="1"/>
  <c r="L302" i="2" s="1"/>
  <c r="G302" i="2"/>
  <c r="H302" i="2"/>
  <c r="I302" i="2" s="1"/>
  <c r="J310" i="2"/>
  <c r="K310" i="2" s="1"/>
  <c r="L310" i="2" s="1"/>
  <c r="H310" i="2"/>
  <c r="I310" i="2" s="1"/>
  <c r="G310" i="2"/>
  <c r="G318" i="2"/>
  <c r="J318" i="2"/>
  <c r="K318" i="2" s="1"/>
  <c r="L318" i="2" s="1"/>
  <c r="H318" i="2"/>
  <c r="J326" i="2"/>
  <c r="K326" i="2" s="1"/>
  <c r="L326" i="2" s="1"/>
  <c r="H326" i="2"/>
  <c r="G326" i="2"/>
  <c r="I326" i="2" s="1"/>
  <c r="J334" i="2"/>
  <c r="K334" i="2" s="1"/>
  <c r="L334" i="2" s="1"/>
  <c r="H334" i="2"/>
  <c r="G334" i="2"/>
  <c r="J342" i="2"/>
  <c r="K342" i="2" s="1"/>
  <c r="L342" i="2" s="1"/>
  <c r="H342" i="2"/>
  <c r="G342" i="2"/>
  <c r="J350" i="2"/>
  <c r="K350" i="2" s="1"/>
  <c r="L350" i="2" s="1"/>
  <c r="H350" i="2"/>
  <c r="G350" i="2"/>
  <c r="J358" i="2"/>
  <c r="K358" i="2" s="1"/>
  <c r="L358" i="2" s="1"/>
  <c r="H358" i="2"/>
  <c r="G358" i="2"/>
  <c r="I358" i="2" s="1"/>
  <c r="M358" i="2" s="1"/>
  <c r="N358" i="2" s="1"/>
  <c r="O358" i="2" s="1"/>
  <c r="J366" i="2"/>
  <c r="K366" i="2" s="1"/>
  <c r="L366" i="2" s="1"/>
  <c r="H366" i="2"/>
  <c r="G366" i="2"/>
  <c r="J374" i="2"/>
  <c r="K374" i="2" s="1"/>
  <c r="L374" i="2" s="1"/>
  <c r="G374" i="2"/>
  <c r="H374" i="2"/>
  <c r="J382" i="2"/>
  <c r="K382" i="2" s="1"/>
  <c r="L382" i="2" s="1"/>
  <c r="H382" i="2"/>
  <c r="G382" i="2"/>
  <c r="H398" i="2"/>
  <c r="J398" i="2"/>
  <c r="K398" i="2" s="1"/>
  <c r="L398" i="2" s="1"/>
  <c r="G398" i="2"/>
  <c r="J406" i="2"/>
  <c r="K406" i="2" s="1"/>
  <c r="L406" i="2" s="1"/>
  <c r="H406" i="2"/>
  <c r="G406" i="2"/>
  <c r="I406" i="2" s="1"/>
  <c r="M406" i="2" s="1"/>
  <c r="N406" i="2" s="1"/>
  <c r="J414" i="2"/>
  <c r="K414" i="2" s="1"/>
  <c r="L414" i="2" s="1"/>
  <c r="H414" i="2"/>
  <c r="G414" i="2"/>
  <c r="J422" i="2"/>
  <c r="K422" i="2" s="1"/>
  <c r="L422" i="2" s="1"/>
  <c r="H422" i="2"/>
  <c r="I422" i="2" s="1"/>
  <c r="G422" i="2"/>
  <c r="J430" i="2"/>
  <c r="K430" i="2" s="1"/>
  <c r="L430" i="2" s="1"/>
  <c r="H430" i="2"/>
  <c r="J438" i="2"/>
  <c r="K438" i="2" s="1"/>
  <c r="L438" i="2" s="1"/>
  <c r="H438" i="2"/>
  <c r="I438" i="2" s="1"/>
  <c r="J446" i="2"/>
  <c r="K446" i="2" s="1"/>
  <c r="L446" i="2" s="1"/>
  <c r="H446" i="2"/>
  <c r="G446" i="2"/>
  <c r="H454" i="2"/>
  <c r="G454" i="2"/>
  <c r="J462" i="2"/>
  <c r="K462" i="2" s="1"/>
  <c r="L462" i="2" s="1"/>
  <c r="H462" i="2"/>
  <c r="I462" i="2" s="1"/>
  <c r="J470" i="2"/>
  <c r="K470" i="2" s="1"/>
  <c r="L470" i="2" s="1"/>
  <c r="H470" i="2"/>
  <c r="G470" i="2"/>
  <c r="I470" i="2" s="1"/>
  <c r="J478" i="2"/>
  <c r="K478" i="2" s="1"/>
  <c r="L478" i="2" s="1"/>
  <c r="H478" i="2"/>
  <c r="G478" i="2"/>
  <c r="J486" i="2"/>
  <c r="K486" i="2" s="1"/>
  <c r="L486" i="2" s="1"/>
  <c r="G486" i="2"/>
  <c r="H486" i="2"/>
  <c r="J494" i="2"/>
  <c r="K494" i="2" s="1"/>
  <c r="L494" i="2" s="1"/>
  <c r="H494" i="2"/>
  <c r="G494" i="2"/>
  <c r="J502" i="2"/>
  <c r="K502" i="2" s="1"/>
  <c r="L502" i="2" s="1"/>
  <c r="H502" i="2"/>
  <c r="G502" i="2"/>
  <c r="I502" i="2" s="1"/>
  <c r="M502" i="2" s="1"/>
  <c r="N502" i="2" s="1"/>
  <c r="O502" i="2" s="1"/>
  <c r="P502" i="2" s="1"/>
  <c r="Q502" i="2" s="1"/>
  <c r="H510" i="2"/>
  <c r="G510" i="2"/>
  <c r="J510" i="2"/>
  <c r="K510" i="2" s="1"/>
  <c r="L510" i="2" s="1"/>
  <c r="J518" i="2"/>
  <c r="K518" i="2" s="1"/>
  <c r="L518" i="2" s="1"/>
  <c r="H518" i="2"/>
  <c r="I518" i="2" s="1"/>
  <c r="G518" i="2"/>
  <c r="H526" i="2"/>
  <c r="J526" i="2"/>
  <c r="K526" i="2" s="1"/>
  <c r="L526" i="2" s="1"/>
  <c r="G526" i="2"/>
  <c r="I526" i="2" s="1"/>
  <c r="G534" i="2"/>
  <c r="J534" i="2"/>
  <c r="K534" i="2" s="1"/>
  <c r="L534" i="2" s="1"/>
  <c r="H534" i="2"/>
  <c r="J542" i="2"/>
  <c r="K542" i="2" s="1"/>
  <c r="L542" i="2" s="1"/>
  <c r="H542" i="2"/>
  <c r="G542" i="2"/>
  <c r="H550" i="2"/>
  <c r="J550" i="2"/>
  <c r="K550" i="2" s="1"/>
  <c r="L550" i="2" s="1"/>
  <c r="G550" i="2"/>
  <c r="J558" i="2"/>
  <c r="K558" i="2" s="1"/>
  <c r="L558" i="2" s="1"/>
  <c r="H558" i="2"/>
  <c r="G558" i="2"/>
  <c r="J566" i="2"/>
  <c r="K566" i="2" s="1"/>
  <c r="L566" i="2" s="1"/>
  <c r="G566" i="2"/>
  <c r="H566" i="2"/>
  <c r="J574" i="2"/>
  <c r="K574" i="2" s="1"/>
  <c r="L574" i="2" s="1"/>
  <c r="H574" i="2"/>
  <c r="G574" i="2"/>
  <c r="J582" i="2"/>
  <c r="K582" i="2" s="1"/>
  <c r="L582" i="2" s="1"/>
  <c r="H582" i="2"/>
  <c r="G582" i="2"/>
  <c r="J590" i="2"/>
  <c r="K590" i="2" s="1"/>
  <c r="L590" i="2" s="1"/>
  <c r="G590" i="2"/>
  <c r="H590" i="2"/>
  <c r="J598" i="2"/>
  <c r="K598" i="2" s="1"/>
  <c r="L598" i="2" s="1"/>
  <c r="H598" i="2"/>
  <c r="G598" i="2"/>
  <c r="I598" i="2" s="1"/>
  <c r="H606" i="2"/>
  <c r="I606" i="2" s="1"/>
  <c r="M606" i="2" s="1"/>
  <c r="N606" i="2" s="1"/>
  <c r="G606" i="2"/>
  <c r="J614" i="2"/>
  <c r="K614" i="2" s="1"/>
  <c r="L614" i="2" s="1"/>
  <c r="H614" i="2"/>
  <c r="G614" i="2"/>
  <c r="J13" i="2"/>
  <c r="K13" i="2" s="1"/>
  <c r="L13" i="2" s="1"/>
  <c r="H21" i="2"/>
  <c r="H24" i="2"/>
  <c r="J27" i="2"/>
  <c r="K27" i="2" s="1"/>
  <c r="L27" i="2" s="1"/>
  <c r="J30" i="2"/>
  <c r="K30" i="2" s="1"/>
  <c r="L30" i="2" s="1"/>
  <c r="J36" i="2"/>
  <c r="K36" i="2" s="1"/>
  <c r="L36" i="2" s="1"/>
  <c r="J39" i="2"/>
  <c r="K39" i="2" s="1"/>
  <c r="L39" i="2" s="1"/>
  <c r="J42" i="2"/>
  <c r="K42" i="2" s="1"/>
  <c r="L42" i="2" s="1"/>
  <c r="J48" i="2"/>
  <c r="K48" i="2" s="1"/>
  <c r="L48" i="2" s="1"/>
  <c r="H51" i="2"/>
  <c r="G54" i="2"/>
  <c r="I54" i="2" s="1"/>
  <c r="J57" i="2"/>
  <c r="K57" i="2" s="1"/>
  <c r="L57" i="2" s="1"/>
  <c r="H63" i="2"/>
  <c r="J68" i="2"/>
  <c r="K68" i="2" s="1"/>
  <c r="L68" i="2" s="1"/>
  <c r="H85" i="2"/>
  <c r="J90" i="2"/>
  <c r="K90" i="2" s="1"/>
  <c r="L90" i="2" s="1"/>
  <c r="G96" i="2"/>
  <c r="H101" i="2"/>
  <c r="J110" i="2"/>
  <c r="K110" i="2" s="1"/>
  <c r="L110" i="2" s="1"/>
  <c r="H118" i="2"/>
  <c r="H128" i="2"/>
  <c r="G168" i="2"/>
  <c r="J214" i="2"/>
  <c r="K214" i="2" s="1"/>
  <c r="L214" i="2" s="1"/>
  <c r="H237" i="2"/>
  <c r="I237" i="2" s="1"/>
  <c r="M237" i="2" s="1"/>
  <c r="N237" i="2" s="1"/>
  <c r="J285" i="2"/>
  <c r="K285" i="2" s="1"/>
  <c r="L285" i="2" s="1"/>
  <c r="G346" i="2"/>
  <c r="H441" i="2"/>
  <c r="J45" i="2"/>
  <c r="K45" i="2" s="1"/>
  <c r="L45" i="2" s="1"/>
  <c r="H45" i="2"/>
  <c r="J61" i="2"/>
  <c r="K61" i="2" s="1"/>
  <c r="L61" i="2" s="1"/>
  <c r="G61" i="2"/>
  <c r="I61" i="2" s="1"/>
  <c r="J69" i="2"/>
  <c r="K69" i="2" s="1"/>
  <c r="L69" i="2" s="1"/>
  <c r="H69" i="2"/>
  <c r="J117" i="2"/>
  <c r="K117" i="2" s="1"/>
  <c r="L117" i="2" s="1"/>
  <c r="H117" i="2"/>
  <c r="G117" i="2"/>
  <c r="J133" i="2"/>
  <c r="K133" i="2" s="1"/>
  <c r="L133" i="2" s="1"/>
  <c r="H133" i="2"/>
  <c r="G133" i="2"/>
  <c r="J149" i="2"/>
  <c r="K149" i="2" s="1"/>
  <c r="L149" i="2" s="1"/>
  <c r="H149" i="2"/>
  <c r="G149" i="2"/>
  <c r="J165" i="2"/>
  <c r="K165" i="2" s="1"/>
  <c r="L165" i="2" s="1"/>
  <c r="H165" i="2"/>
  <c r="I165" i="2" s="1"/>
  <c r="H173" i="2"/>
  <c r="G173" i="2"/>
  <c r="H189" i="2"/>
  <c r="G189" i="2"/>
  <c r="H205" i="2"/>
  <c r="J205" i="2"/>
  <c r="K205" i="2" s="1"/>
  <c r="L205" i="2" s="1"/>
  <c r="G205" i="2"/>
  <c r="J221" i="2"/>
  <c r="K221" i="2" s="1"/>
  <c r="L221" i="2" s="1"/>
  <c r="H221" i="2"/>
  <c r="G221" i="2"/>
  <c r="H261" i="2"/>
  <c r="J261" i="2"/>
  <c r="K261" i="2" s="1"/>
  <c r="L261" i="2" s="1"/>
  <c r="G293" i="2"/>
  <c r="J293" i="2"/>
  <c r="K293" i="2" s="1"/>
  <c r="L293" i="2" s="1"/>
  <c r="G309" i="2"/>
  <c r="J309" i="2"/>
  <c r="K309" i="2" s="1"/>
  <c r="L309" i="2" s="1"/>
  <c r="H309" i="2"/>
  <c r="J317" i="2"/>
  <c r="K317" i="2" s="1"/>
  <c r="L317" i="2" s="1"/>
  <c r="H317" i="2"/>
  <c r="G325" i="2"/>
  <c r="I325" i="2" s="1"/>
  <c r="J325" i="2"/>
  <c r="K325" i="2" s="1"/>
  <c r="L325" i="2" s="1"/>
  <c r="H341" i="2"/>
  <c r="G341" i="2"/>
  <c r="J341" i="2"/>
  <c r="K341" i="2" s="1"/>
  <c r="L341" i="2" s="1"/>
  <c r="J357" i="2"/>
  <c r="K357" i="2" s="1"/>
  <c r="L357" i="2" s="1"/>
  <c r="H357" i="2"/>
  <c r="G373" i="2"/>
  <c r="J373" i="2"/>
  <c r="K373" i="2" s="1"/>
  <c r="L373" i="2" s="1"/>
  <c r="H373" i="2"/>
  <c r="J389" i="2"/>
  <c r="K389" i="2" s="1"/>
  <c r="L389" i="2" s="1"/>
  <c r="G389" i="2"/>
  <c r="H389" i="2"/>
  <c r="J405" i="2"/>
  <c r="K405" i="2" s="1"/>
  <c r="L405" i="2" s="1"/>
  <c r="H405" i="2"/>
  <c r="J421" i="2"/>
  <c r="K421" i="2" s="1"/>
  <c r="L421" i="2" s="1"/>
  <c r="H421" i="2"/>
  <c r="G421" i="2"/>
  <c r="J437" i="2"/>
  <c r="K437" i="2" s="1"/>
  <c r="L437" i="2" s="1"/>
  <c r="H437" i="2"/>
  <c r="G437" i="2"/>
  <c r="J453" i="2"/>
  <c r="K453" i="2" s="1"/>
  <c r="L453" i="2" s="1"/>
  <c r="G453" i="2"/>
  <c r="H453" i="2"/>
  <c r="J461" i="2"/>
  <c r="K461" i="2" s="1"/>
  <c r="L461" i="2" s="1"/>
  <c r="G461" i="2"/>
  <c r="H461" i="2"/>
  <c r="J477" i="2"/>
  <c r="K477" i="2" s="1"/>
  <c r="L477" i="2" s="1"/>
  <c r="H477" i="2"/>
  <c r="I477" i="2" s="1"/>
  <c r="G477" i="2"/>
  <c r="J493" i="2"/>
  <c r="K493" i="2" s="1"/>
  <c r="L493" i="2" s="1"/>
  <c r="H493" i="2"/>
  <c r="G493" i="2"/>
  <c r="J509" i="2"/>
  <c r="K509" i="2" s="1"/>
  <c r="L509" i="2" s="1"/>
  <c r="H509" i="2"/>
  <c r="G509" i="2"/>
  <c r="H525" i="2"/>
  <c r="G525" i="2"/>
  <c r="J525" i="2"/>
  <c r="K525" i="2" s="1"/>
  <c r="L525" i="2" s="1"/>
  <c r="H549" i="2"/>
  <c r="G549" i="2"/>
  <c r="J549" i="2"/>
  <c r="H557" i="2"/>
  <c r="G557" i="2"/>
  <c r="J557" i="2"/>
  <c r="K557" i="2" s="1"/>
  <c r="L557" i="2" s="1"/>
  <c r="J573" i="2"/>
  <c r="K573" i="2" s="1"/>
  <c r="L573" i="2" s="1"/>
  <c r="H573" i="2"/>
  <c r="G573" i="2"/>
  <c r="J589" i="2"/>
  <c r="K589" i="2" s="1"/>
  <c r="L589" i="2" s="1"/>
  <c r="H589" i="2"/>
  <c r="G589" i="2"/>
  <c r="J605" i="2"/>
  <c r="K605" i="2" s="1"/>
  <c r="L605" i="2" s="1"/>
  <c r="G605" i="2"/>
  <c r="H605" i="2"/>
  <c r="H613" i="2"/>
  <c r="G613" i="2"/>
  <c r="G21" i="2"/>
  <c r="G45" i="2"/>
  <c r="G85" i="2"/>
  <c r="G101" i="2"/>
  <c r="G261" i="2"/>
  <c r="H79" i="2"/>
  <c r="G79" i="2"/>
  <c r="G87" i="2"/>
  <c r="J87" i="2"/>
  <c r="K87" i="2" s="1"/>
  <c r="L87" i="2" s="1"/>
  <c r="H87" i="2"/>
  <c r="H95" i="2"/>
  <c r="G95" i="2"/>
  <c r="I95" i="2" s="1"/>
  <c r="M95" i="2" s="1"/>
  <c r="N95" i="2" s="1"/>
  <c r="J95" i="2"/>
  <c r="K95" i="2" s="1"/>
  <c r="L95" i="2" s="1"/>
  <c r="J103" i="2"/>
  <c r="K103" i="2" s="1"/>
  <c r="L103" i="2" s="1"/>
  <c r="H103" i="2"/>
  <c r="I103" i="2" s="1"/>
  <c r="J111" i="2"/>
  <c r="K111" i="2" s="1"/>
  <c r="L111" i="2" s="1"/>
  <c r="H111" i="2"/>
  <c r="G111" i="2"/>
  <c r="J119" i="2"/>
  <c r="K119" i="2" s="1"/>
  <c r="L119" i="2" s="1"/>
  <c r="H119" i="2"/>
  <c r="I119" i="2" s="1"/>
  <c r="M119" i="2" s="1"/>
  <c r="N119" i="2" s="1"/>
  <c r="G119" i="2"/>
  <c r="J127" i="2"/>
  <c r="K127" i="2" s="1"/>
  <c r="L127" i="2" s="1"/>
  <c r="G127" i="2"/>
  <c r="H127" i="2"/>
  <c r="J135" i="2"/>
  <c r="K135" i="2" s="1"/>
  <c r="L135" i="2" s="1"/>
  <c r="G135" i="2"/>
  <c r="H135" i="2"/>
  <c r="H143" i="2"/>
  <c r="G143" i="2"/>
  <c r="J151" i="2"/>
  <c r="K151" i="2" s="1"/>
  <c r="L151" i="2" s="1"/>
  <c r="H151" i="2"/>
  <c r="G151" i="2"/>
  <c r="H159" i="2"/>
  <c r="G159" i="2"/>
  <c r="J159" i="2"/>
  <c r="K159" i="2" s="1"/>
  <c r="L159" i="2" s="1"/>
  <c r="J167" i="2"/>
  <c r="K167" i="2" s="1"/>
  <c r="L167" i="2" s="1"/>
  <c r="H167" i="2"/>
  <c r="G167" i="2"/>
  <c r="I167" i="2" s="1"/>
  <c r="G175" i="2"/>
  <c r="I175" i="2" s="1"/>
  <c r="J175" i="2"/>
  <c r="K175" i="2" s="1"/>
  <c r="L175" i="2" s="1"/>
  <c r="J183" i="2"/>
  <c r="K183" i="2" s="1"/>
  <c r="L183" i="2" s="1"/>
  <c r="H183" i="2"/>
  <c r="I183" i="2" s="1"/>
  <c r="J207" i="2"/>
  <c r="K207" i="2" s="1"/>
  <c r="L207" i="2" s="1"/>
  <c r="H207" i="2"/>
  <c r="I207" i="2" s="1"/>
  <c r="M207" i="2" s="1"/>
  <c r="N207" i="2" s="1"/>
  <c r="J215" i="2"/>
  <c r="K215" i="2" s="1"/>
  <c r="L215" i="2" s="1"/>
  <c r="G215" i="2"/>
  <c r="H215" i="2"/>
  <c r="J223" i="2"/>
  <c r="K223" i="2" s="1"/>
  <c r="L223" i="2" s="1"/>
  <c r="G223" i="2"/>
  <c r="H223" i="2"/>
  <c r="J231" i="2"/>
  <c r="K231" i="2" s="1"/>
  <c r="L231" i="2" s="1"/>
  <c r="H231" i="2"/>
  <c r="G231" i="2"/>
  <c r="J239" i="2"/>
  <c r="K239" i="2" s="1"/>
  <c r="L239" i="2" s="1"/>
  <c r="H239" i="2"/>
  <c r="G239" i="2"/>
  <c r="H247" i="2"/>
  <c r="G247" i="2"/>
  <c r="H255" i="2"/>
  <c r="J255" i="2"/>
  <c r="K255" i="2" s="1"/>
  <c r="L255" i="2" s="1"/>
  <c r="G255" i="2"/>
  <c r="G263" i="2"/>
  <c r="H263" i="2"/>
  <c r="J271" i="2"/>
  <c r="K271" i="2" s="1"/>
  <c r="L271" i="2" s="1"/>
  <c r="H271" i="2"/>
  <c r="G271" i="2"/>
  <c r="G279" i="2"/>
  <c r="J279" i="2"/>
  <c r="K279" i="2" s="1"/>
  <c r="L279" i="2" s="1"/>
  <c r="J287" i="2"/>
  <c r="H287" i="2"/>
  <c r="G287" i="2"/>
  <c r="H295" i="2"/>
  <c r="G295" i="2"/>
  <c r="H303" i="2"/>
  <c r="G303" i="2"/>
  <c r="J319" i="2"/>
  <c r="K319" i="2" s="1"/>
  <c r="L319" i="2" s="1"/>
  <c r="H319" i="2"/>
  <c r="G319" i="2"/>
  <c r="J327" i="2"/>
  <c r="K327" i="2" s="1"/>
  <c r="L327" i="2" s="1"/>
  <c r="H327" i="2"/>
  <c r="G327" i="2"/>
  <c r="G335" i="2"/>
  <c r="H335" i="2"/>
  <c r="G343" i="2"/>
  <c r="I343" i="2" s="1"/>
  <c r="M343" i="2" s="1"/>
  <c r="N343" i="2" s="1"/>
  <c r="J343" i="2"/>
  <c r="K343" i="2" s="1"/>
  <c r="L343" i="2" s="1"/>
  <c r="G351" i="2"/>
  <c r="J351" i="2"/>
  <c r="K351" i="2" s="1"/>
  <c r="L351" i="2" s="1"/>
  <c r="H351" i="2"/>
  <c r="J359" i="2"/>
  <c r="K359" i="2" s="1"/>
  <c r="L359" i="2" s="1"/>
  <c r="G359" i="2"/>
  <c r="H359" i="2"/>
  <c r="H367" i="2"/>
  <c r="G367" i="2"/>
  <c r="J383" i="2"/>
  <c r="K383" i="2" s="1"/>
  <c r="L383" i="2" s="1"/>
  <c r="H383" i="2"/>
  <c r="G383" i="2"/>
  <c r="H391" i="2"/>
  <c r="G391" i="2"/>
  <c r="J391" i="2"/>
  <c r="K391" i="2" s="1"/>
  <c r="L391" i="2" s="1"/>
  <c r="H399" i="2"/>
  <c r="G399" i="2"/>
  <c r="J399" i="2"/>
  <c r="K399" i="2" s="1"/>
  <c r="L399" i="2" s="1"/>
  <c r="G407" i="2"/>
  <c r="J407" i="2"/>
  <c r="K407" i="2" s="1"/>
  <c r="L407" i="2" s="1"/>
  <c r="H407" i="2"/>
  <c r="J415" i="2"/>
  <c r="K415" i="2" s="1"/>
  <c r="L415" i="2" s="1"/>
  <c r="H415" i="2"/>
  <c r="G415" i="2"/>
  <c r="I415" i="2" s="1"/>
  <c r="J423" i="2"/>
  <c r="K423" i="2" s="1"/>
  <c r="L423" i="2" s="1"/>
  <c r="H423" i="2"/>
  <c r="I423" i="2" s="1"/>
  <c r="M423" i="2" s="1"/>
  <c r="N423" i="2" s="1"/>
  <c r="J431" i="2"/>
  <c r="K431" i="2" s="1"/>
  <c r="L431" i="2" s="1"/>
  <c r="G431" i="2"/>
  <c r="H431" i="2"/>
  <c r="G439" i="2"/>
  <c r="J439" i="2"/>
  <c r="K439" i="2" s="1"/>
  <c r="L439" i="2" s="1"/>
  <c r="H439" i="2"/>
  <c r="H447" i="2"/>
  <c r="G447" i="2"/>
  <c r="I447" i="2" s="1"/>
  <c r="J447" i="2"/>
  <c r="K447" i="2" s="1"/>
  <c r="L447" i="2" s="1"/>
  <c r="J455" i="2"/>
  <c r="K455" i="2" s="1"/>
  <c r="L455" i="2" s="1"/>
  <c r="H455" i="2"/>
  <c r="G455" i="2"/>
  <c r="G463" i="2"/>
  <c r="J463" i="2"/>
  <c r="K463" i="2" s="1"/>
  <c r="L463" i="2" s="1"/>
  <c r="H463" i="2"/>
  <c r="H471" i="2"/>
  <c r="G471" i="2"/>
  <c r="J471" i="2"/>
  <c r="K471" i="2" s="1"/>
  <c r="L471" i="2" s="1"/>
  <c r="H479" i="2"/>
  <c r="G479" i="2"/>
  <c r="J479" i="2"/>
  <c r="K479" i="2" s="1"/>
  <c r="L479" i="2" s="1"/>
  <c r="J487" i="2"/>
  <c r="K487" i="2" s="1"/>
  <c r="L487" i="2" s="1"/>
  <c r="H487" i="2"/>
  <c r="G487" i="2"/>
  <c r="I487" i="2" s="1"/>
  <c r="J495" i="2"/>
  <c r="K495" i="2" s="1"/>
  <c r="L495" i="2" s="1"/>
  <c r="H495" i="2"/>
  <c r="G495" i="2"/>
  <c r="G503" i="2"/>
  <c r="J503" i="2"/>
  <c r="K503" i="2" s="1"/>
  <c r="L503" i="2" s="1"/>
  <c r="H503" i="2"/>
  <c r="J511" i="2"/>
  <c r="K511" i="2" s="1"/>
  <c r="L511" i="2" s="1"/>
  <c r="H511" i="2"/>
  <c r="G511" i="2"/>
  <c r="J519" i="2"/>
  <c r="K519" i="2" s="1"/>
  <c r="L519" i="2" s="1"/>
  <c r="H519" i="2"/>
  <c r="G519" i="2"/>
  <c r="I519" i="2" s="1"/>
  <c r="H527" i="2"/>
  <c r="G527" i="2"/>
  <c r="J527" i="2"/>
  <c r="K527" i="2" s="1"/>
  <c r="L527" i="2" s="1"/>
  <c r="J535" i="2"/>
  <c r="K535" i="2" s="1"/>
  <c r="L535" i="2" s="1"/>
  <c r="G535" i="2"/>
  <c r="H535" i="2"/>
  <c r="J543" i="2"/>
  <c r="K543" i="2" s="1"/>
  <c r="L543" i="2" s="1"/>
  <c r="G543" i="2"/>
  <c r="H543" i="2"/>
  <c r="H551" i="2"/>
  <c r="G551" i="2"/>
  <c r="J559" i="2"/>
  <c r="K559" i="2" s="1"/>
  <c r="L559" i="2" s="1"/>
  <c r="H559" i="2"/>
  <c r="G559" i="2"/>
  <c r="H567" i="2"/>
  <c r="G567" i="2"/>
  <c r="J575" i="2"/>
  <c r="K575" i="2" s="1"/>
  <c r="L575" i="2" s="1"/>
  <c r="G575" i="2"/>
  <c r="H575" i="2"/>
  <c r="G583" i="2"/>
  <c r="I583" i="2" s="1"/>
  <c r="J583" i="2"/>
  <c r="K583" i="2" s="1"/>
  <c r="L583" i="2" s="1"/>
  <c r="H591" i="2"/>
  <c r="G591" i="2"/>
  <c r="G599" i="2"/>
  <c r="I599" i="2" s="1"/>
  <c r="J599" i="2"/>
  <c r="K599" i="2" s="1"/>
  <c r="L599" i="2" s="1"/>
  <c r="J607" i="2"/>
  <c r="K607" i="2" s="1"/>
  <c r="L607" i="2" s="1"/>
  <c r="H607" i="2"/>
  <c r="J615" i="2"/>
  <c r="K615" i="2" s="1"/>
  <c r="L615" i="2" s="1"/>
  <c r="H615" i="2"/>
  <c r="G615" i="2"/>
  <c r="G13" i="2"/>
  <c r="I13" i="2" s="1"/>
  <c r="G16" i="2"/>
  <c r="I16" i="2" s="1"/>
  <c r="G19" i="2"/>
  <c r="I19" i="2" s="1"/>
  <c r="M19" i="2" s="1"/>
  <c r="N19" i="2" s="1"/>
  <c r="H28" i="2"/>
  <c r="I28" i="2" s="1"/>
  <c r="M28" i="2" s="1"/>
  <c r="N28" i="2" s="1"/>
  <c r="O28" i="2" s="1"/>
  <c r="G37" i="2"/>
  <c r="G40" i="2"/>
  <c r="I40" i="2" s="1"/>
  <c r="M40" i="2" s="1"/>
  <c r="N40" i="2" s="1"/>
  <c r="G43" i="2"/>
  <c r="I43" i="2" s="1"/>
  <c r="G46" i="2"/>
  <c r="I46" i="2" s="1"/>
  <c r="M46" i="2" s="1"/>
  <c r="N46" i="2" s="1"/>
  <c r="G49" i="2"/>
  <c r="J54" i="2"/>
  <c r="K54" i="2" s="1"/>
  <c r="L54" i="2" s="1"/>
  <c r="G69" i="2"/>
  <c r="H96" i="2"/>
  <c r="G103" i="2"/>
  <c r="J150" i="2"/>
  <c r="K150" i="2" s="1"/>
  <c r="L150" i="2" s="1"/>
  <c r="H168" i="2"/>
  <c r="J263" i="2"/>
  <c r="K263" i="2" s="1"/>
  <c r="L263" i="2" s="1"/>
  <c r="H277" i="2"/>
  <c r="I277" i="2" s="1"/>
  <c r="J301" i="2"/>
  <c r="K301" i="2" s="1"/>
  <c r="L301" i="2" s="1"/>
  <c r="H346" i="2"/>
  <c r="G405" i="2"/>
  <c r="J445" i="2"/>
  <c r="K445" i="2" s="1"/>
  <c r="L445" i="2" s="1"/>
  <c r="J551" i="2"/>
  <c r="K551" i="2" s="1"/>
  <c r="L551" i="2" s="1"/>
  <c r="J84" i="2"/>
  <c r="K84" i="2" s="1"/>
  <c r="L84" i="2" s="1"/>
  <c r="H84" i="2"/>
  <c r="G84" i="2"/>
  <c r="H100" i="2"/>
  <c r="G100" i="2"/>
  <c r="J100" i="2"/>
  <c r="K100" i="2" s="1"/>
  <c r="L100" i="2" s="1"/>
  <c r="H124" i="2"/>
  <c r="J124" i="2"/>
  <c r="K124" i="2" s="1"/>
  <c r="L124" i="2" s="1"/>
  <c r="G124" i="2"/>
  <c r="J140" i="2"/>
  <c r="K140" i="2" s="1"/>
  <c r="L140" i="2" s="1"/>
  <c r="H140" i="2"/>
  <c r="I140" i="2" s="1"/>
  <c r="J156" i="2"/>
  <c r="K156" i="2" s="1"/>
  <c r="L156" i="2" s="1"/>
  <c r="H156" i="2"/>
  <c r="G156" i="2"/>
  <c r="H172" i="2"/>
  <c r="J172" i="2"/>
  <c r="K172" i="2" s="1"/>
  <c r="L172" i="2" s="1"/>
  <c r="G172" i="2"/>
  <c r="J196" i="2"/>
  <c r="K196" i="2" s="1"/>
  <c r="L196" i="2" s="1"/>
  <c r="H196" i="2"/>
  <c r="G196" i="2"/>
  <c r="I196" i="2" s="1"/>
  <c r="J220" i="2"/>
  <c r="K220" i="2" s="1"/>
  <c r="L220" i="2" s="1"/>
  <c r="H220" i="2"/>
  <c r="I220" i="2" s="1"/>
  <c r="M220" i="2" s="1"/>
  <c r="N220" i="2" s="1"/>
  <c r="H244" i="2"/>
  <c r="G244" i="2"/>
  <c r="I244" i="2" s="1"/>
  <c r="J244" i="2"/>
  <c r="K244" i="2" s="1"/>
  <c r="L244" i="2" s="1"/>
  <c r="H268" i="2"/>
  <c r="G268" i="2"/>
  <c r="J292" i="2"/>
  <c r="K292" i="2" s="1"/>
  <c r="L292" i="2" s="1"/>
  <c r="H292" i="2"/>
  <c r="G292" i="2"/>
  <c r="I292" i="2" s="1"/>
  <c r="J324" i="2"/>
  <c r="K324" i="2" s="1"/>
  <c r="L324" i="2" s="1"/>
  <c r="H324" i="2"/>
  <c r="G324" i="2"/>
  <c r="J348" i="2"/>
  <c r="K348" i="2" s="1"/>
  <c r="L348" i="2" s="1"/>
  <c r="H348" i="2"/>
  <c r="G348" i="2"/>
  <c r="I348" i="2" s="1"/>
  <c r="J372" i="2"/>
  <c r="K372" i="2" s="1"/>
  <c r="L372" i="2" s="1"/>
  <c r="G372" i="2"/>
  <c r="H372" i="2"/>
  <c r="J396" i="2"/>
  <c r="K396" i="2" s="1"/>
  <c r="L396" i="2" s="1"/>
  <c r="G396" i="2"/>
  <c r="H396" i="2"/>
  <c r="J420" i="2"/>
  <c r="K420" i="2" s="1"/>
  <c r="L420" i="2" s="1"/>
  <c r="H420" i="2"/>
  <c r="G420" i="2"/>
  <c r="J444" i="2"/>
  <c r="K444" i="2" s="1"/>
  <c r="L444" i="2" s="1"/>
  <c r="G444" i="2"/>
  <c r="H444" i="2"/>
  <c r="J468" i="2"/>
  <c r="K468" i="2" s="1"/>
  <c r="L468" i="2" s="1"/>
  <c r="H468" i="2"/>
  <c r="I468" i="2" s="1"/>
  <c r="J484" i="2"/>
  <c r="K484" i="2" s="1"/>
  <c r="L484" i="2" s="1"/>
  <c r="H484" i="2"/>
  <c r="G484" i="2"/>
  <c r="G508" i="2"/>
  <c r="I508" i="2" s="1"/>
  <c r="M508" i="2" s="1"/>
  <c r="N508" i="2" s="1"/>
  <c r="J508" i="2"/>
  <c r="K508" i="2" s="1"/>
  <c r="L508" i="2" s="1"/>
  <c r="J524" i="2"/>
  <c r="K524" i="2" s="1"/>
  <c r="L524" i="2" s="1"/>
  <c r="H524" i="2"/>
  <c r="G524" i="2"/>
  <c r="H548" i="2"/>
  <c r="J548" i="2"/>
  <c r="K548" i="2" s="1"/>
  <c r="L548" i="2" s="1"/>
  <c r="G548" i="2"/>
  <c r="J564" i="2"/>
  <c r="K564" i="2" s="1"/>
  <c r="L564" i="2" s="1"/>
  <c r="H564" i="2"/>
  <c r="G564" i="2"/>
  <c r="J596" i="2"/>
  <c r="K596" i="2" s="1"/>
  <c r="L596" i="2" s="1"/>
  <c r="H596" i="2"/>
  <c r="G596" i="2"/>
  <c r="H620" i="2"/>
  <c r="J620" i="2"/>
  <c r="K620" i="2" s="1"/>
  <c r="L620" i="2" s="1"/>
  <c r="G620" i="2"/>
  <c r="J20" i="2"/>
  <c r="K20" i="2" s="1"/>
  <c r="L20" i="2" s="1"/>
  <c r="J144" i="2"/>
  <c r="K144" i="2" s="1"/>
  <c r="L144" i="2" s="1"/>
  <c r="H144" i="2"/>
  <c r="G144" i="2"/>
  <c r="J160" i="2"/>
  <c r="K160" i="2" s="1"/>
  <c r="L160" i="2" s="1"/>
  <c r="G160" i="2"/>
  <c r="H160" i="2"/>
  <c r="J184" i="2"/>
  <c r="K184" i="2" s="1"/>
  <c r="L184" i="2" s="1"/>
  <c r="H184" i="2"/>
  <c r="G184" i="2"/>
  <c r="H216" i="2"/>
  <c r="G216" i="2"/>
  <c r="H256" i="2"/>
  <c r="G256" i="2"/>
  <c r="J256" i="2"/>
  <c r="K256" i="2" s="1"/>
  <c r="L256" i="2" s="1"/>
  <c r="G384" i="2"/>
  <c r="J384" i="2"/>
  <c r="K384" i="2" s="1"/>
  <c r="L384" i="2" s="1"/>
  <c r="H384" i="2"/>
  <c r="J400" i="2"/>
  <c r="K400" i="2" s="1"/>
  <c r="L400" i="2" s="1"/>
  <c r="G400" i="2"/>
  <c r="H400" i="2"/>
  <c r="J424" i="2"/>
  <c r="K424" i="2" s="1"/>
  <c r="L424" i="2" s="1"/>
  <c r="G424" i="2"/>
  <c r="H424" i="2"/>
  <c r="J448" i="2"/>
  <c r="K448" i="2" s="1"/>
  <c r="L448" i="2" s="1"/>
  <c r="H448" i="2"/>
  <c r="G448" i="2"/>
  <c r="H464" i="2"/>
  <c r="G464" i="2"/>
  <c r="J464" i="2"/>
  <c r="K464" i="2" s="1"/>
  <c r="L464" i="2" s="1"/>
  <c r="H488" i="2"/>
  <c r="G488" i="2"/>
  <c r="J488" i="2"/>
  <c r="K488" i="2" s="1"/>
  <c r="L488" i="2" s="1"/>
  <c r="H504" i="2"/>
  <c r="J504" i="2"/>
  <c r="K504" i="2" s="1"/>
  <c r="L504" i="2" s="1"/>
  <c r="G504" i="2"/>
  <c r="H520" i="2"/>
  <c r="G520" i="2"/>
  <c r="J520" i="2"/>
  <c r="K520" i="2" s="1"/>
  <c r="L520" i="2" s="1"/>
  <c r="H544" i="2"/>
  <c r="G544" i="2"/>
  <c r="J576" i="2"/>
  <c r="K576" i="2" s="1"/>
  <c r="L576" i="2" s="1"/>
  <c r="H576" i="2"/>
  <c r="I576" i="2" s="1"/>
  <c r="H608" i="2"/>
  <c r="G608" i="2"/>
  <c r="J608" i="2"/>
  <c r="K608" i="2" s="1"/>
  <c r="L608" i="2" s="1"/>
  <c r="J16" i="2"/>
  <c r="K16" i="2" s="1"/>
  <c r="L16" i="2" s="1"/>
  <c r="H37" i="2"/>
  <c r="I37" i="2" s="1"/>
  <c r="M37" i="2" s="1"/>
  <c r="N37" i="2" s="1"/>
  <c r="O37" i="2" s="1"/>
  <c r="P37" i="2" s="1"/>
  <c r="Q37" i="2" s="1"/>
  <c r="H40" i="2"/>
  <c r="G197" i="2"/>
  <c r="I197" i="2" s="1"/>
  <c r="M197" i="2" s="1"/>
  <c r="N197" i="2" s="1"/>
  <c r="J277" i="2"/>
  <c r="K277" i="2" s="1"/>
  <c r="L277" i="2" s="1"/>
  <c r="G517" i="2"/>
  <c r="G560" i="2"/>
  <c r="H76" i="2"/>
  <c r="G76" i="2"/>
  <c r="J92" i="2"/>
  <c r="K92" i="2" s="1"/>
  <c r="L92" i="2" s="1"/>
  <c r="H92" i="2"/>
  <c r="G92" i="2"/>
  <c r="J108" i="2"/>
  <c r="K108" i="2" s="1"/>
  <c r="L108" i="2" s="1"/>
  <c r="H108" i="2"/>
  <c r="G108" i="2"/>
  <c r="J132" i="2"/>
  <c r="K132" i="2" s="1"/>
  <c r="L132" i="2" s="1"/>
  <c r="H132" i="2"/>
  <c r="J164" i="2"/>
  <c r="K164" i="2" s="1"/>
  <c r="L164" i="2" s="1"/>
  <c r="H164" i="2"/>
  <c r="G164" i="2"/>
  <c r="G188" i="2"/>
  <c r="I188" i="2" s="1"/>
  <c r="J188" i="2"/>
  <c r="K188" i="2" s="1"/>
  <c r="L188" i="2" s="1"/>
  <c r="G212" i="2"/>
  <c r="I212" i="2" s="1"/>
  <c r="J212" i="2"/>
  <c r="K212" i="2" s="1"/>
  <c r="L212" i="2" s="1"/>
  <c r="H236" i="2"/>
  <c r="G236" i="2"/>
  <c r="I236" i="2" s="1"/>
  <c r="M236" i="2" s="1"/>
  <c r="N236" i="2" s="1"/>
  <c r="J236" i="2"/>
  <c r="K236" i="2" s="1"/>
  <c r="L236" i="2" s="1"/>
  <c r="H260" i="2"/>
  <c r="G260" i="2"/>
  <c r="J260" i="2"/>
  <c r="K260" i="2" s="1"/>
  <c r="L260" i="2" s="1"/>
  <c r="J284" i="2"/>
  <c r="K284" i="2" s="1"/>
  <c r="L284" i="2" s="1"/>
  <c r="H284" i="2"/>
  <c r="G284" i="2"/>
  <c r="J308" i="2"/>
  <c r="K308" i="2" s="1"/>
  <c r="L308" i="2" s="1"/>
  <c r="H308" i="2"/>
  <c r="G308" i="2"/>
  <c r="H340" i="2"/>
  <c r="G340" i="2"/>
  <c r="J380" i="2"/>
  <c r="K380" i="2" s="1"/>
  <c r="L380" i="2" s="1"/>
  <c r="H380" i="2"/>
  <c r="G380" i="2"/>
  <c r="J412" i="2"/>
  <c r="K412" i="2" s="1"/>
  <c r="L412" i="2" s="1"/>
  <c r="H412" i="2"/>
  <c r="H436" i="2"/>
  <c r="G436" i="2"/>
  <c r="J436" i="2"/>
  <c r="K436" i="2" s="1"/>
  <c r="L436" i="2" s="1"/>
  <c r="J460" i="2"/>
  <c r="K460" i="2" s="1"/>
  <c r="L460" i="2" s="1"/>
  <c r="H460" i="2"/>
  <c r="G460" i="2"/>
  <c r="J492" i="2"/>
  <c r="K492" i="2" s="1"/>
  <c r="L492" i="2" s="1"/>
  <c r="H492" i="2"/>
  <c r="G492" i="2"/>
  <c r="H516" i="2"/>
  <c r="G516" i="2"/>
  <c r="J540" i="2"/>
  <c r="K540" i="2" s="1"/>
  <c r="L540" i="2" s="1"/>
  <c r="H540" i="2"/>
  <c r="G540" i="2"/>
  <c r="H580" i="2"/>
  <c r="G580" i="2"/>
  <c r="J580" i="2"/>
  <c r="K580" i="2" s="1"/>
  <c r="L580" i="2" s="1"/>
  <c r="J588" i="2"/>
  <c r="K588" i="2" s="1"/>
  <c r="L588" i="2" s="1"/>
  <c r="H588" i="2"/>
  <c r="G588" i="2"/>
  <c r="J612" i="2"/>
  <c r="K612" i="2" s="1"/>
  <c r="L612" i="2" s="1"/>
  <c r="G612" i="2"/>
  <c r="H612" i="2"/>
  <c r="G116" i="2"/>
  <c r="H212" i="2"/>
  <c r="H104" i="2"/>
  <c r="G104" i="2"/>
  <c r="J112" i="2"/>
  <c r="K112" i="2" s="1"/>
  <c r="L112" i="2" s="1"/>
  <c r="H112" i="2"/>
  <c r="I112" i="2" s="1"/>
  <c r="M112" i="2" s="1"/>
  <c r="N112" i="2" s="1"/>
  <c r="J120" i="2"/>
  <c r="K120" i="2" s="1"/>
  <c r="L120" i="2" s="1"/>
  <c r="H120" i="2"/>
  <c r="I120" i="2" s="1"/>
  <c r="M120" i="2" s="1"/>
  <c r="N120" i="2" s="1"/>
  <c r="J192" i="2"/>
  <c r="K192" i="2" s="1"/>
  <c r="L192" i="2" s="1"/>
  <c r="H192" i="2"/>
  <c r="G192" i="2"/>
  <c r="J200" i="2"/>
  <c r="K200" i="2" s="1"/>
  <c r="L200" i="2" s="1"/>
  <c r="H200" i="2"/>
  <c r="G200" i="2"/>
  <c r="H224" i="2"/>
  <c r="G224" i="2"/>
  <c r="J224" i="2"/>
  <c r="K224" i="2" s="1"/>
  <c r="L224" i="2" s="1"/>
  <c r="J232" i="2"/>
  <c r="K232" i="2" s="1"/>
  <c r="L232" i="2" s="1"/>
  <c r="H232" i="2"/>
  <c r="J240" i="2"/>
  <c r="K240" i="2" s="1"/>
  <c r="L240" i="2" s="1"/>
  <c r="G240" i="2"/>
  <c r="I240" i="2" s="1"/>
  <c r="H248" i="2"/>
  <c r="G248" i="2"/>
  <c r="J248" i="2"/>
  <c r="K248" i="2" s="1"/>
  <c r="L248" i="2" s="1"/>
  <c r="J264" i="2"/>
  <c r="K264" i="2" s="1"/>
  <c r="L264" i="2" s="1"/>
  <c r="G264" i="2"/>
  <c r="H264" i="2"/>
  <c r="J280" i="2"/>
  <c r="K280" i="2" s="1"/>
  <c r="L280" i="2" s="1"/>
  <c r="H280" i="2"/>
  <c r="G280" i="2"/>
  <c r="J288" i="2"/>
  <c r="K288" i="2" s="1"/>
  <c r="L288" i="2" s="1"/>
  <c r="H288" i="2"/>
  <c r="G288" i="2"/>
  <c r="G304" i="2"/>
  <c r="J304" i="2"/>
  <c r="H304" i="2"/>
  <c r="J320" i="2"/>
  <c r="K320" i="2" s="1"/>
  <c r="L320" i="2" s="1"/>
  <c r="H320" i="2"/>
  <c r="G320" i="2"/>
  <c r="J344" i="2"/>
  <c r="K344" i="2" s="1"/>
  <c r="L344" i="2" s="1"/>
  <c r="H344" i="2"/>
  <c r="G344" i="2"/>
  <c r="H352" i="2"/>
  <c r="G352" i="2"/>
  <c r="J376" i="2"/>
  <c r="K376" i="2" s="1"/>
  <c r="L376" i="2" s="1"/>
  <c r="H376" i="2"/>
  <c r="G376" i="2"/>
  <c r="J392" i="2"/>
  <c r="K392" i="2" s="1"/>
  <c r="L392" i="2" s="1"/>
  <c r="H392" i="2"/>
  <c r="G392" i="2"/>
  <c r="J416" i="2"/>
  <c r="K416" i="2" s="1"/>
  <c r="L416" i="2" s="1"/>
  <c r="H416" i="2"/>
  <c r="J432" i="2"/>
  <c r="K432" i="2" s="1"/>
  <c r="L432" i="2" s="1"/>
  <c r="H432" i="2"/>
  <c r="G432" i="2"/>
  <c r="J456" i="2"/>
  <c r="K456" i="2" s="1"/>
  <c r="L456" i="2" s="1"/>
  <c r="H456" i="2"/>
  <c r="G456" i="2"/>
  <c r="J472" i="2"/>
  <c r="K472" i="2" s="1"/>
  <c r="L472" i="2" s="1"/>
  <c r="H472" i="2"/>
  <c r="G472" i="2"/>
  <c r="J480" i="2"/>
  <c r="K480" i="2" s="1"/>
  <c r="L480" i="2" s="1"/>
  <c r="G480" i="2"/>
  <c r="H480" i="2"/>
  <c r="J496" i="2"/>
  <c r="K496" i="2" s="1"/>
  <c r="L496" i="2" s="1"/>
  <c r="H496" i="2"/>
  <c r="G496" i="2"/>
  <c r="J512" i="2"/>
  <c r="K512" i="2" s="1"/>
  <c r="L512" i="2" s="1"/>
  <c r="H512" i="2"/>
  <c r="G512" i="2"/>
  <c r="I512" i="2" s="1"/>
  <c r="J528" i="2"/>
  <c r="K528" i="2" s="1"/>
  <c r="L528" i="2" s="1"/>
  <c r="H528" i="2"/>
  <c r="G528" i="2"/>
  <c r="J536" i="2"/>
  <c r="K536" i="2" s="1"/>
  <c r="L536" i="2" s="1"/>
  <c r="H536" i="2"/>
  <c r="G536" i="2"/>
  <c r="J552" i="2"/>
  <c r="K552" i="2" s="1"/>
  <c r="L552" i="2" s="1"/>
  <c r="G552" i="2"/>
  <c r="H552" i="2"/>
  <c r="J568" i="2"/>
  <c r="K568" i="2" s="1"/>
  <c r="L568" i="2" s="1"/>
  <c r="H568" i="2"/>
  <c r="G568" i="2"/>
  <c r="I568" i="2" s="1"/>
  <c r="H592" i="2"/>
  <c r="J592" i="2"/>
  <c r="K592" i="2" s="1"/>
  <c r="L592" i="2" s="1"/>
  <c r="G592" i="2"/>
  <c r="J600" i="2"/>
  <c r="K600" i="2" s="1"/>
  <c r="L600" i="2" s="1"/>
  <c r="H600" i="2"/>
  <c r="G600" i="2"/>
  <c r="I600" i="2" s="1"/>
  <c r="G317" i="2"/>
  <c r="J25" i="2"/>
  <c r="K25" i="2" s="1"/>
  <c r="L25" i="2" s="1"/>
  <c r="G25" i="2"/>
  <c r="I25" i="2" s="1"/>
  <c r="J41" i="2"/>
  <c r="K41" i="2" s="1"/>
  <c r="L41" i="2" s="1"/>
  <c r="G41" i="2"/>
  <c r="I57" i="2"/>
  <c r="H65" i="2"/>
  <c r="G65" i="2"/>
  <c r="I65" i="2" s="1"/>
  <c r="J73" i="2"/>
  <c r="K73" i="2" s="1"/>
  <c r="L73" i="2" s="1"/>
  <c r="H73" i="2"/>
  <c r="G73" i="2"/>
  <c r="J81" i="2"/>
  <c r="K81" i="2" s="1"/>
  <c r="L81" i="2" s="1"/>
  <c r="H81" i="2"/>
  <c r="I81" i="2" s="1"/>
  <c r="G89" i="2"/>
  <c r="I89" i="2" s="1"/>
  <c r="J89" i="2"/>
  <c r="K89" i="2" s="1"/>
  <c r="L89" i="2" s="1"/>
  <c r="J97" i="2"/>
  <c r="K97" i="2" s="1"/>
  <c r="L97" i="2" s="1"/>
  <c r="H97" i="2"/>
  <c r="I97" i="2" s="1"/>
  <c r="J105" i="2"/>
  <c r="K105" i="2" s="1"/>
  <c r="L105" i="2" s="1"/>
  <c r="G105" i="2"/>
  <c r="J113" i="2"/>
  <c r="K113" i="2" s="1"/>
  <c r="L113" i="2" s="1"/>
  <c r="H113" i="2"/>
  <c r="H121" i="2"/>
  <c r="G121" i="2"/>
  <c r="J129" i="2"/>
  <c r="K129" i="2" s="1"/>
  <c r="L129" i="2" s="1"/>
  <c r="H129" i="2"/>
  <c r="G129" i="2"/>
  <c r="H137" i="2"/>
  <c r="G137" i="2"/>
  <c r="J145" i="2"/>
  <c r="K145" i="2" s="1"/>
  <c r="L145" i="2" s="1"/>
  <c r="H145" i="2"/>
  <c r="I145" i="2" s="1"/>
  <c r="M145" i="2" s="1"/>
  <c r="N145" i="2" s="1"/>
  <c r="J153" i="2"/>
  <c r="K153" i="2" s="1"/>
  <c r="L153" i="2" s="1"/>
  <c r="H153" i="2"/>
  <c r="G153" i="2"/>
  <c r="J161" i="2"/>
  <c r="K161" i="2" s="1"/>
  <c r="L161" i="2" s="1"/>
  <c r="H161" i="2"/>
  <c r="H169" i="2"/>
  <c r="G169" i="2"/>
  <c r="J177" i="2"/>
  <c r="K177" i="2" s="1"/>
  <c r="L177" i="2" s="1"/>
  <c r="G177" i="2"/>
  <c r="I177" i="2" s="1"/>
  <c r="H177" i="2"/>
  <c r="H185" i="2"/>
  <c r="J185" i="2"/>
  <c r="K185" i="2" s="1"/>
  <c r="L185" i="2" s="1"/>
  <c r="G185" i="2"/>
  <c r="G193" i="2"/>
  <c r="I193" i="2" s="1"/>
  <c r="J193" i="2"/>
  <c r="K193" i="2" s="1"/>
  <c r="L193" i="2" s="1"/>
  <c r="J201" i="2"/>
  <c r="K201" i="2" s="1"/>
  <c r="L201" i="2" s="1"/>
  <c r="H201" i="2"/>
  <c r="G201" i="2"/>
  <c r="I201" i="2" s="1"/>
  <c r="H209" i="2"/>
  <c r="J209" i="2"/>
  <c r="K209" i="2" s="1"/>
  <c r="L209" i="2" s="1"/>
  <c r="G209" i="2"/>
  <c r="J217" i="2"/>
  <c r="K217" i="2" s="1"/>
  <c r="L217" i="2" s="1"/>
  <c r="H217" i="2"/>
  <c r="G217" i="2"/>
  <c r="I217" i="2" s="1"/>
  <c r="H225" i="2"/>
  <c r="I225" i="2" s="1"/>
  <c r="M225" i="2" s="1"/>
  <c r="N225" i="2" s="1"/>
  <c r="J225" i="2"/>
  <c r="K225" i="2" s="1"/>
  <c r="L225" i="2" s="1"/>
  <c r="G225" i="2"/>
  <c r="J233" i="2"/>
  <c r="K233" i="2" s="1"/>
  <c r="L233" i="2" s="1"/>
  <c r="H233" i="2"/>
  <c r="G233" i="2"/>
  <c r="I233" i="2" s="1"/>
  <c r="J241" i="2"/>
  <c r="K241" i="2" s="1"/>
  <c r="L241" i="2" s="1"/>
  <c r="H241" i="2"/>
  <c r="I241" i="2" s="1"/>
  <c r="M241" i="2" s="1"/>
  <c r="N241" i="2" s="1"/>
  <c r="J249" i="2"/>
  <c r="K249" i="2" s="1"/>
  <c r="L249" i="2" s="1"/>
  <c r="H249" i="2"/>
  <c r="G249" i="2"/>
  <c r="J257" i="2"/>
  <c r="K257" i="2" s="1"/>
  <c r="L257" i="2" s="1"/>
  <c r="H257" i="2"/>
  <c r="G257" i="2"/>
  <c r="I257" i="2" s="1"/>
  <c r="H265" i="2"/>
  <c r="G265" i="2"/>
  <c r="I265" i="2" s="1"/>
  <c r="M265" i="2" s="1"/>
  <c r="N265" i="2" s="1"/>
  <c r="G273" i="2"/>
  <c r="H273" i="2"/>
  <c r="J273" i="2"/>
  <c r="K273" i="2" s="1"/>
  <c r="L273" i="2" s="1"/>
  <c r="J281" i="2"/>
  <c r="K281" i="2" s="1"/>
  <c r="L281" i="2" s="1"/>
  <c r="H281" i="2"/>
  <c r="G289" i="2"/>
  <c r="J289" i="2"/>
  <c r="K289" i="2" s="1"/>
  <c r="L289" i="2" s="1"/>
  <c r="H289" i="2"/>
  <c r="J297" i="2"/>
  <c r="K297" i="2" s="1"/>
  <c r="L297" i="2" s="1"/>
  <c r="H297" i="2"/>
  <c r="G297" i="2"/>
  <c r="J305" i="2"/>
  <c r="K305" i="2" s="1"/>
  <c r="L305" i="2" s="1"/>
  <c r="H305" i="2"/>
  <c r="G305" i="2"/>
  <c r="I305" i="2" s="1"/>
  <c r="M305" i="2" s="1"/>
  <c r="N305" i="2" s="1"/>
  <c r="J313" i="2"/>
  <c r="H313" i="2"/>
  <c r="G313" i="2"/>
  <c r="J321" i="2"/>
  <c r="K321" i="2" s="1"/>
  <c r="L321" i="2" s="1"/>
  <c r="H321" i="2"/>
  <c r="G321" i="2"/>
  <c r="J329" i="2"/>
  <c r="K329" i="2" s="1"/>
  <c r="L329" i="2" s="1"/>
  <c r="H329" i="2"/>
  <c r="G329" i="2"/>
  <c r="J337" i="2"/>
  <c r="K337" i="2" s="1"/>
  <c r="L337" i="2" s="1"/>
  <c r="G337" i="2"/>
  <c r="J345" i="2"/>
  <c r="K345" i="2" s="1"/>
  <c r="L345" i="2" s="1"/>
  <c r="H345" i="2"/>
  <c r="G345" i="2"/>
  <c r="H353" i="2"/>
  <c r="J353" i="2"/>
  <c r="K353" i="2" s="1"/>
  <c r="L353" i="2" s="1"/>
  <c r="G353" i="2"/>
  <c r="H361" i="2"/>
  <c r="G361" i="2"/>
  <c r="J361" i="2"/>
  <c r="K361" i="2" s="1"/>
  <c r="L361" i="2" s="1"/>
  <c r="J369" i="2"/>
  <c r="K369" i="2" s="1"/>
  <c r="L369" i="2" s="1"/>
  <c r="H369" i="2"/>
  <c r="G369" i="2"/>
  <c r="J377" i="2"/>
  <c r="K377" i="2" s="1"/>
  <c r="L377" i="2" s="1"/>
  <c r="H377" i="2"/>
  <c r="G377" i="2"/>
  <c r="J385" i="2"/>
  <c r="K385" i="2" s="1"/>
  <c r="L385" i="2" s="1"/>
  <c r="G385" i="2"/>
  <c r="H385" i="2"/>
  <c r="J393" i="2"/>
  <c r="K393" i="2" s="1"/>
  <c r="L393" i="2" s="1"/>
  <c r="H393" i="2"/>
  <c r="J401" i="2"/>
  <c r="K401" i="2" s="1"/>
  <c r="L401" i="2" s="1"/>
  <c r="H401" i="2"/>
  <c r="G401" i="2"/>
  <c r="J409" i="2"/>
  <c r="K409" i="2" s="1"/>
  <c r="L409" i="2" s="1"/>
  <c r="H409" i="2"/>
  <c r="I409" i="2" s="1"/>
  <c r="M409" i="2" s="1"/>
  <c r="N409" i="2" s="1"/>
  <c r="O409" i="2" s="1"/>
  <c r="P409" i="2" s="1"/>
  <c r="Q409" i="2" s="1"/>
  <c r="H417" i="2"/>
  <c r="G417" i="2"/>
  <c r="J417" i="2"/>
  <c r="K417" i="2" s="1"/>
  <c r="L417" i="2" s="1"/>
  <c r="J425" i="2"/>
  <c r="K425" i="2" s="1"/>
  <c r="L425" i="2" s="1"/>
  <c r="H425" i="2"/>
  <c r="G425" i="2"/>
  <c r="J433" i="2"/>
  <c r="K433" i="2" s="1"/>
  <c r="L433" i="2" s="1"/>
  <c r="G433" i="2"/>
  <c r="H433" i="2"/>
  <c r="J449" i="2"/>
  <c r="K449" i="2" s="1"/>
  <c r="L449" i="2" s="1"/>
  <c r="H449" i="2"/>
  <c r="G449" i="2"/>
  <c r="J465" i="2"/>
  <c r="K465" i="2" s="1"/>
  <c r="L465" i="2" s="1"/>
  <c r="G465" i="2"/>
  <c r="H465" i="2"/>
  <c r="H473" i="2"/>
  <c r="I473" i="2" s="1"/>
  <c r="M473" i="2" s="1"/>
  <c r="N473" i="2" s="1"/>
  <c r="G473" i="2"/>
  <c r="J473" i="2"/>
  <c r="K473" i="2" s="1"/>
  <c r="L473" i="2" s="1"/>
  <c r="J481" i="2"/>
  <c r="K481" i="2" s="1"/>
  <c r="L481" i="2" s="1"/>
  <c r="H481" i="2"/>
  <c r="G481" i="2"/>
  <c r="H489" i="2"/>
  <c r="J489" i="2"/>
  <c r="K489" i="2" s="1"/>
  <c r="L489" i="2" s="1"/>
  <c r="G489" i="2"/>
  <c r="J497" i="2"/>
  <c r="K497" i="2" s="1"/>
  <c r="L497" i="2" s="1"/>
  <c r="H497" i="2"/>
  <c r="G497" i="2"/>
  <c r="H505" i="2"/>
  <c r="G505" i="2"/>
  <c r="J505" i="2"/>
  <c r="K505" i="2" s="1"/>
  <c r="L505" i="2" s="1"/>
  <c r="J513" i="2"/>
  <c r="K513" i="2" s="1"/>
  <c r="L513" i="2" s="1"/>
  <c r="H513" i="2"/>
  <c r="G513" i="2"/>
  <c r="J521" i="2"/>
  <c r="K521" i="2" s="1"/>
  <c r="L521" i="2" s="1"/>
  <c r="G521" i="2"/>
  <c r="H521" i="2"/>
  <c r="J529" i="2"/>
  <c r="K529" i="2" s="1"/>
  <c r="L529" i="2" s="1"/>
  <c r="H529" i="2"/>
  <c r="G529" i="2"/>
  <c r="I529" i="2" s="1"/>
  <c r="M529" i="2" s="1"/>
  <c r="N529" i="2" s="1"/>
  <c r="H537" i="2"/>
  <c r="I537" i="2" s="1"/>
  <c r="M537" i="2" s="1"/>
  <c r="N537" i="2" s="1"/>
  <c r="G537" i="2"/>
  <c r="H14" i="2"/>
  <c r="G17" i="2"/>
  <c r="H22" i="2"/>
  <c r="I22" i="2" s="1"/>
  <c r="M22" i="2" s="1"/>
  <c r="N22" i="2" s="1"/>
  <c r="G26" i="2"/>
  <c r="I26" i="2" s="1"/>
  <c r="J28" i="2"/>
  <c r="K28" i="2" s="1"/>
  <c r="L28" i="2" s="1"/>
  <c r="H31" i="2"/>
  <c r="G35" i="2"/>
  <c r="I35" i="2" s="1"/>
  <c r="M35" i="2" s="1"/>
  <c r="N35" i="2" s="1"/>
  <c r="H44" i="2"/>
  <c r="I44" i="2" s="1"/>
  <c r="H52" i="2"/>
  <c r="I52" i="2" s="1"/>
  <c r="H55" i="2"/>
  <c r="G60" i="2"/>
  <c r="J65" i="2"/>
  <c r="K65" i="2" s="1"/>
  <c r="L65" i="2" s="1"/>
  <c r="H71" i="2"/>
  <c r="I71" i="2" s="1"/>
  <c r="J76" i="2"/>
  <c r="K76" i="2" s="1"/>
  <c r="L76" i="2" s="1"/>
  <c r="G82" i="2"/>
  <c r="H93" i="2"/>
  <c r="I93" i="2" s="1"/>
  <c r="J104" i="2"/>
  <c r="K104" i="2" s="1"/>
  <c r="L104" i="2" s="1"/>
  <c r="G113" i="2"/>
  <c r="J121" i="2"/>
  <c r="K121" i="2" s="1"/>
  <c r="L121" i="2" s="1"/>
  <c r="G132" i="2"/>
  <c r="G161" i="2"/>
  <c r="H199" i="2"/>
  <c r="I199" i="2" s="1"/>
  <c r="G230" i="2"/>
  <c r="H279" i="2"/>
  <c r="G306" i="2"/>
  <c r="J335" i="2"/>
  <c r="K335" i="2" s="1"/>
  <c r="L335" i="2" s="1"/>
  <c r="J352" i="2"/>
  <c r="K352" i="2" s="1"/>
  <c r="L352" i="2" s="1"/>
  <c r="J390" i="2"/>
  <c r="K390" i="2" s="1"/>
  <c r="L390" i="2" s="1"/>
  <c r="G430" i="2"/>
  <c r="H450" i="2"/>
  <c r="H560" i="2"/>
  <c r="J606" i="2"/>
  <c r="K606" i="2" s="1"/>
  <c r="L606" i="2" s="1"/>
  <c r="G316" i="2"/>
  <c r="J316" i="2"/>
  <c r="K316" i="2" s="1"/>
  <c r="L316" i="2" s="1"/>
  <c r="H316" i="2"/>
  <c r="J56" i="2"/>
  <c r="K56" i="2" s="1"/>
  <c r="L56" i="2" s="1"/>
  <c r="G56" i="2"/>
  <c r="I56" i="2" s="1"/>
  <c r="M56" i="2" s="1"/>
  <c r="N56" i="2" s="1"/>
  <c r="H64" i="2"/>
  <c r="G64" i="2"/>
  <c r="J72" i="2"/>
  <c r="K72" i="2" s="1"/>
  <c r="L72" i="2" s="1"/>
  <c r="H72" i="2"/>
  <c r="G72" i="2"/>
  <c r="J80" i="2"/>
  <c r="K80" i="2" s="1"/>
  <c r="L80" i="2" s="1"/>
  <c r="H80" i="2"/>
  <c r="I80" i="2" s="1"/>
  <c r="G152" i="2"/>
  <c r="I152" i="2" s="1"/>
  <c r="J152" i="2"/>
  <c r="K152" i="2" s="1"/>
  <c r="L152" i="2" s="1"/>
  <c r="H176" i="2"/>
  <c r="G176" i="2"/>
  <c r="J208" i="2"/>
  <c r="K208" i="2" s="1"/>
  <c r="L208" i="2" s="1"/>
  <c r="H208" i="2"/>
  <c r="G208" i="2"/>
  <c r="I272" i="2"/>
  <c r="M272" i="2" s="1"/>
  <c r="N272" i="2" s="1"/>
  <c r="O272" i="2" s="1"/>
  <c r="P272" i="2" s="1"/>
  <c r="Q272" i="2" s="1"/>
  <c r="J296" i="2"/>
  <c r="K296" i="2" s="1"/>
  <c r="L296" i="2" s="1"/>
  <c r="H296" i="2"/>
  <c r="G296" i="2"/>
  <c r="H312" i="2"/>
  <c r="G312" i="2"/>
  <c r="I312" i="2" s="1"/>
  <c r="J312" i="2"/>
  <c r="K312" i="2" s="1"/>
  <c r="L312" i="2" s="1"/>
  <c r="G328" i="2"/>
  <c r="I328" i="2" s="1"/>
  <c r="J328" i="2"/>
  <c r="K328" i="2" s="1"/>
  <c r="L328" i="2" s="1"/>
  <c r="H336" i="2"/>
  <c r="G336" i="2"/>
  <c r="J336" i="2"/>
  <c r="K336" i="2" s="1"/>
  <c r="L336" i="2" s="1"/>
  <c r="J368" i="2"/>
  <c r="K368" i="2" s="1"/>
  <c r="L368" i="2" s="1"/>
  <c r="G368" i="2"/>
  <c r="H368" i="2"/>
  <c r="J408" i="2"/>
  <c r="K408" i="2" s="1"/>
  <c r="L408" i="2" s="1"/>
  <c r="G408" i="2"/>
  <c r="H408" i="2"/>
  <c r="I408" i="2" s="1"/>
  <c r="M408" i="2" s="1"/>
  <c r="N408" i="2" s="1"/>
  <c r="J440" i="2"/>
  <c r="K440" i="2" s="1"/>
  <c r="L440" i="2" s="1"/>
  <c r="G440" i="2"/>
  <c r="H440" i="2"/>
  <c r="J584" i="2"/>
  <c r="K584" i="2" s="1"/>
  <c r="L584" i="2" s="1"/>
  <c r="H584" i="2"/>
  <c r="G584" i="2"/>
  <c r="G616" i="2"/>
  <c r="J616" i="2"/>
  <c r="K616" i="2" s="1"/>
  <c r="L616" i="2" s="1"/>
  <c r="H616" i="2"/>
  <c r="J34" i="2"/>
  <c r="K34" i="2" s="1"/>
  <c r="L34" i="2" s="1"/>
  <c r="H34" i="2"/>
  <c r="I34" i="2" s="1"/>
  <c r="G58" i="2"/>
  <c r="I58" i="2" s="1"/>
  <c r="J58" i="2"/>
  <c r="K58" i="2" s="1"/>
  <c r="L58" i="2" s="1"/>
  <c r="H66" i="2"/>
  <c r="G66" i="2"/>
  <c r="I66" i="2" s="1"/>
  <c r="J74" i="2"/>
  <c r="K74" i="2" s="1"/>
  <c r="L74" i="2" s="1"/>
  <c r="H74" i="2"/>
  <c r="I74" i="2" s="1"/>
  <c r="J98" i="2"/>
  <c r="K98" i="2" s="1"/>
  <c r="L98" i="2" s="1"/>
  <c r="H98" i="2"/>
  <c r="J106" i="2"/>
  <c r="K106" i="2" s="1"/>
  <c r="L106" i="2" s="1"/>
  <c r="H106" i="2"/>
  <c r="G106" i="2"/>
  <c r="J114" i="2"/>
  <c r="K114" i="2" s="1"/>
  <c r="L114" i="2" s="1"/>
  <c r="H114" i="2"/>
  <c r="J122" i="2"/>
  <c r="K122" i="2" s="1"/>
  <c r="L122" i="2" s="1"/>
  <c r="H122" i="2"/>
  <c r="G122" i="2"/>
  <c r="J130" i="2"/>
  <c r="K130" i="2" s="1"/>
  <c r="L130" i="2" s="1"/>
  <c r="H130" i="2"/>
  <c r="H138" i="2"/>
  <c r="J138" i="2"/>
  <c r="K138" i="2" s="1"/>
  <c r="L138" i="2" s="1"/>
  <c r="G138" i="2"/>
  <c r="I138" i="2" s="1"/>
  <c r="M138" i="2" s="1"/>
  <c r="N138" i="2" s="1"/>
  <c r="J146" i="2"/>
  <c r="K146" i="2" s="1"/>
  <c r="L146" i="2" s="1"/>
  <c r="H146" i="2"/>
  <c r="G146" i="2"/>
  <c r="H154" i="2"/>
  <c r="J154" i="2"/>
  <c r="K154" i="2" s="1"/>
  <c r="L154" i="2" s="1"/>
  <c r="G154" i="2"/>
  <c r="J162" i="2"/>
  <c r="K162" i="2" s="1"/>
  <c r="L162" i="2" s="1"/>
  <c r="H162" i="2"/>
  <c r="G162" i="2"/>
  <c r="H170" i="2"/>
  <c r="J170" i="2"/>
  <c r="K170" i="2" s="1"/>
  <c r="L170" i="2" s="1"/>
  <c r="G170" i="2"/>
  <c r="H178" i="2"/>
  <c r="G178" i="2"/>
  <c r="J186" i="2"/>
  <c r="K186" i="2" s="1"/>
  <c r="L186" i="2" s="1"/>
  <c r="H186" i="2"/>
  <c r="G186" i="2"/>
  <c r="J194" i="2"/>
  <c r="K194" i="2" s="1"/>
  <c r="L194" i="2" s="1"/>
  <c r="G194" i="2"/>
  <c r="H194" i="2"/>
  <c r="H202" i="2"/>
  <c r="G202" i="2"/>
  <c r="H210" i="2"/>
  <c r="G210" i="2"/>
  <c r="I210" i="2" s="1"/>
  <c r="J218" i="2"/>
  <c r="K218" i="2" s="1"/>
  <c r="L218" i="2" s="1"/>
  <c r="H218" i="2"/>
  <c r="G218" i="2"/>
  <c r="H226" i="2"/>
  <c r="G226" i="2"/>
  <c r="H234" i="2"/>
  <c r="G234" i="2"/>
  <c r="J242" i="2"/>
  <c r="K242" i="2" s="1"/>
  <c r="L242" i="2" s="1"/>
  <c r="H242" i="2"/>
  <c r="G242" i="2"/>
  <c r="G250" i="2"/>
  <c r="H250" i="2"/>
  <c r="H258" i="2"/>
  <c r="J258" i="2"/>
  <c r="K258" i="2" s="1"/>
  <c r="L258" i="2" s="1"/>
  <c r="G258" i="2"/>
  <c r="H266" i="2"/>
  <c r="G266" i="2"/>
  <c r="J266" i="2"/>
  <c r="K266" i="2" s="1"/>
  <c r="L266" i="2" s="1"/>
  <c r="J274" i="2"/>
  <c r="K274" i="2" s="1"/>
  <c r="L274" i="2" s="1"/>
  <c r="H274" i="2"/>
  <c r="G274" i="2"/>
  <c r="H282" i="2"/>
  <c r="J282" i="2"/>
  <c r="G282" i="2"/>
  <c r="I282" i="2" s="1"/>
  <c r="J290" i="2"/>
  <c r="K290" i="2" s="1"/>
  <c r="L290" i="2" s="1"/>
  <c r="H290" i="2"/>
  <c r="I290" i="2" s="1"/>
  <c r="G298" i="2"/>
  <c r="J298" i="2"/>
  <c r="K298" i="2" s="1"/>
  <c r="L298" i="2" s="1"/>
  <c r="G314" i="2"/>
  <c r="I314" i="2" s="1"/>
  <c r="J314" i="2"/>
  <c r="K314" i="2" s="1"/>
  <c r="L314" i="2" s="1"/>
  <c r="H322" i="2"/>
  <c r="G322" i="2"/>
  <c r="I322" i="2" s="1"/>
  <c r="G330" i="2"/>
  <c r="I330" i="2" s="1"/>
  <c r="M330" i="2" s="1"/>
  <c r="N330" i="2" s="1"/>
  <c r="J330" i="2"/>
  <c r="K330" i="2" s="1"/>
  <c r="L330" i="2" s="1"/>
  <c r="H330" i="2"/>
  <c r="G338" i="2"/>
  <c r="J338" i="2"/>
  <c r="K338" i="2" s="1"/>
  <c r="L338" i="2" s="1"/>
  <c r="H338" i="2"/>
  <c r="J354" i="2"/>
  <c r="K354" i="2" s="1"/>
  <c r="L354" i="2" s="1"/>
  <c r="H354" i="2"/>
  <c r="G354" i="2"/>
  <c r="J362" i="2"/>
  <c r="K362" i="2" s="1"/>
  <c r="L362" i="2" s="1"/>
  <c r="H362" i="2"/>
  <c r="G362" i="2"/>
  <c r="J370" i="2"/>
  <c r="K370" i="2" s="1"/>
  <c r="L370" i="2" s="1"/>
  <c r="G370" i="2"/>
  <c r="H370" i="2"/>
  <c r="I370" i="2" s="1"/>
  <c r="M370" i="2" s="1"/>
  <c r="N370" i="2" s="1"/>
  <c r="J378" i="2"/>
  <c r="K378" i="2" s="1"/>
  <c r="L378" i="2" s="1"/>
  <c r="H378" i="2"/>
  <c r="G378" i="2"/>
  <c r="J386" i="2"/>
  <c r="K386" i="2" s="1"/>
  <c r="L386" i="2" s="1"/>
  <c r="H386" i="2"/>
  <c r="I386" i="2" s="1"/>
  <c r="M386" i="2" s="1"/>
  <c r="N386" i="2" s="1"/>
  <c r="J394" i="2"/>
  <c r="K394" i="2" s="1"/>
  <c r="L394" i="2" s="1"/>
  <c r="H394" i="2"/>
  <c r="G394" i="2"/>
  <c r="G402" i="2"/>
  <c r="J402" i="2"/>
  <c r="K402" i="2" s="1"/>
  <c r="L402" i="2" s="1"/>
  <c r="H402" i="2"/>
  <c r="J410" i="2"/>
  <c r="K410" i="2" s="1"/>
  <c r="L410" i="2" s="1"/>
  <c r="H410" i="2"/>
  <c r="G410" i="2"/>
  <c r="J418" i="2"/>
  <c r="K418" i="2" s="1"/>
  <c r="L418" i="2" s="1"/>
  <c r="H418" i="2"/>
  <c r="G418" i="2"/>
  <c r="I418" i="2" s="1"/>
  <c r="M418" i="2" s="1"/>
  <c r="N418" i="2" s="1"/>
  <c r="G426" i="2"/>
  <c r="I426" i="2" s="1"/>
  <c r="J426" i="2"/>
  <c r="K426" i="2" s="1"/>
  <c r="L426" i="2" s="1"/>
  <c r="J442" i="2"/>
  <c r="K442" i="2" s="1"/>
  <c r="L442" i="2" s="1"/>
  <c r="G442" i="2"/>
  <c r="H442" i="2"/>
  <c r="J458" i="2"/>
  <c r="K458" i="2" s="1"/>
  <c r="L458" i="2" s="1"/>
  <c r="G458" i="2"/>
  <c r="H458" i="2"/>
  <c r="G466" i="2"/>
  <c r="J466" i="2"/>
  <c r="K466" i="2" s="1"/>
  <c r="L466" i="2" s="1"/>
  <c r="H466" i="2"/>
  <c r="H474" i="2"/>
  <c r="J474" i="2"/>
  <c r="K474" i="2" s="1"/>
  <c r="L474" i="2" s="1"/>
  <c r="G474" i="2"/>
  <c r="H482" i="2"/>
  <c r="G482" i="2"/>
  <c r="I482" i="2" s="1"/>
  <c r="M482" i="2" s="1"/>
  <c r="N482" i="2" s="1"/>
  <c r="H490" i="2"/>
  <c r="G490" i="2"/>
  <c r="J498" i="2"/>
  <c r="K498" i="2" s="1"/>
  <c r="L498" i="2" s="1"/>
  <c r="G498" i="2"/>
  <c r="H498" i="2"/>
  <c r="J506" i="2"/>
  <c r="K506" i="2" s="1"/>
  <c r="L506" i="2" s="1"/>
  <c r="H506" i="2"/>
  <c r="G506" i="2"/>
  <c r="I506" i="2" s="1"/>
  <c r="M506" i="2" s="1"/>
  <c r="N506" i="2" s="1"/>
  <c r="J514" i="2"/>
  <c r="K514" i="2" s="1"/>
  <c r="L514" i="2" s="1"/>
  <c r="H514" i="2"/>
  <c r="G514" i="2"/>
  <c r="G522" i="2"/>
  <c r="J522" i="2"/>
  <c r="K522" i="2" s="1"/>
  <c r="L522" i="2" s="1"/>
  <c r="H522" i="2"/>
  <c r="J530" i="2"/>
  <c r="K530" i="2" s="1"/>
  <c r="L530" i="2" s="1"/>
  <c r="G530" i="2"/>
  <c r="H530" i="2"/>
  <c r="J538" i="2"/>
  <c r="K538" i="2" s="1"/>
  <c r="L538" i="2" s="1"/>
  <c r="H538" i="2"/>
  <c r="G538" i="2"/>
  <c r="G546" i="2"/>
  <c r="J546" i="2"/>
  <c r="K546" i="2" s="1"/>
  <c r="L546" i="2" s="1"/>
  <c r="H546" i="2"/>
  <c r="J554" i="2"/>
  <c r="K554" i="2" s="1"/>
  <c r="L554" i="2" s="1"/>
  <c r="G554" i="2"/>
  <c r="H554" i="2"/>
  <c r="J562" i="2"/>
  <c r="K562" i="2" s="1"/>
  <c r="L562" i="2" s="1"/>
  <c r="H562" i="2"/>
  <c r="G562" i="2"/>
  <c r="J570" i="2"/>
  <c r="K570" i="2" s="1"/>
  <c r="L570" i="2" s="1"/>
  <c r="H570" i="2"/>
  <c r="G570" i="2"/>
  <c r="I570" i="2" s="1"/>
  <c r="M570" i="2" s="1"/>
  <c r="N570" i="2" s="1"/>
  <c r="O570" i="2" s="1"/>
  <c r="P570" i="2" s="1"/>
  <c r="Q570" i="2" s="1"/>
  <c r="J578" i="2"/>
  <c r="K578" i="2" s="1"/>
  <c r="L578" i="2" s="1"/>
  <c r="H578" i="2"/>
  <c r="G578" i="2"/>
  <c r="J586" i="2"/>
  <c r="K586" i="2" s="1"/>
  <c r="L586" i="2" s="1"/>
  <c r="G586" i="2"/>
  <c r="H586" i="2"/>
  <c r="J594" i="2"/>
  <c r="K594" i="2" s="1"/>
  <c r="L594" i="2" s="1"/>
  <c r="H594" i="2"/>
  <c r="G594" i="2"/>
  <c r="J602" i="2"/>
  <c r="K602" i="2" s="1"/>
  <c r="L602" i="2" s="1"/>
  <c r="H602" i="2"/>
  <c r="G602" i="2"/>
  <c r="G610" i="2"/>
  <c r="J610" i="2"/>
  <c r="K610" i="2" s="1"/>
  <c r="L610" i="2" s="1"/>
  <c r="H610" i="2"/>
  <c r="H618" i="2"/>
  <c r="J618" i="2"/>
  <c r="K618" i="2" s="1"/>
  <c r="L618" i="2" s="1"/>
  <c r="G618" i="2"/>
  <c r="J14" i="2"/>
  <c r="K14" i="2" s="1"/>
  <c r="L14" i="2" s="1"/>
  <c r="H17" i="2"/>
  <c r="G20" i="2"/>
  <c r="I20" i="2" s="1"/>
  <c r="M20" i="2" s="1"/>
  <c r="N20" i="2" s="1"/>
  <c r="G32" i="2"/>
  <c r="I32" i="2" s="1"/>
  <c r="H35" i="2"/>
  <c r="G38" i="2"/>
  <c r="H41" i="2"/>
  <c r="G47" i="2"/>
  <c r="G50" i="2"/>
  <c r="J52" i="2"/>
  <c r="K52" i="2" s="1"/>
  <c r="L52" i="2" s="1"/>
  <c r="H60" i="2"/>
  <c r="J71" i="2"/>
  <c r="K71" i="2" s="1"/>
  <c r="L71" i="2" s="1"/>
  <c r="G77" i="2"/>
  <c r="I77" i="2" s="1"/>
  <c r="H82" i="2"/>
  <c r="G88" i="2"/>
  <c r="G99" i="2"/>
  <c r="H105" i="2"/>
  <c r="G114" i="2"/>
  <c r="H134" i="2"/>
  <c r="J143" i="2"/>
  <c r="K143" i="2" s="1"/>
  <c r="L143" i="2" s="1"/>
  <c r="H181" i="2"/>
  <c r="I181" i="2" s="1"/>
  <c r="J189" i="2"/>
  <c r="K189" i="2" s="1"/>
  <c r="L189" i="2" s="1"/>
  <c r="J199" i="2"/>
  <c r="K199" i="2" s="1"/>
  <c r="L199" i="2" s="1"/>
  <c r="J210" i="2"/>
  <c r="K210" i="2" s="1"/>
  <c r="L210" i="2" s="1"/>
  <c r="G220" i="2"/>
  <c r="H230" i="2"/>
  <c r="H245" i="2"/>
  <c r="I245" i="2" s="1"/>
  <c r="J268" i="2"/>
  <c r="K268" i="2" s="1"/>
  <c r="L268" i="2" s="1"/>
  <c r="H293" i="2"/>
  <c r="H306" i="2"/>
  <c r="H337" i="2"/>
  <c r="I337" i="2" s="1"/>
  <c r="G375" i="2"/>
  <c r="G393" i="2"/>
  <c r="G412" i="2"/>
  <c r="H434" i="2"/>
  <c r="I434" i="2" s="1"/>
  <c r="J454" i="2"/>
  <c r="K454" i="2" s="1"/>
  <c r="L454" i="2" s="1"/>
  <c r="J567" i="2"/>
  <c r="K567" i="2" s="1"/>
  <c r="L567" i="2" s="1"/>
  <c r="G607" i="2"/>
  <c r="I607" i="2" s="1"/>
  <c r="J148" i="2"/>
  <c r="K148" i="2" s="1"/>
  <c r="L148" i="2" s="1"/>
  <c r="H148" i="2"/>
  <c r="G148" i="2"/>
  <c r="J180" i="2"/>
  <c r="K180" i="2" s="1"/>
  <c r="L180" i="2" s="1"/>
  <c r="H180" i="2"/>
  <c r="I180" i="2" s="1"/>
  <c r="H204" i="2"/>
  <c r="G204" i="2"/>
  <c r="J228" i="2"/>
  <c r="K228" i="2" s="1"/>
  <c r="L228" i="2" s="1"/>
  <c r="H228" i="2"/>
  <c r="I228" i="2" s="1"/>
  <c r="H252" i="2"/>
  <c r="G252" i="2"/>
  <c r="J276" i="2"/>
  <c r="K276" i="2" s="1"/>
  <c r="L276" i="2" s="1"/>
  <c r="H276" i="2"/>
  <c r="G276" i="2"/>
  <c r="J300" i="2"/>
  <c r="H300" i="2"/>
  <c r="G300" i="2"/>
  <c r="J332" i="2"/>
  <c r="K332" i="2" s="1"/>
  <c r="L332" i="2" s="1"/>
  <c r="H332" i="2"/>
  <c r="G332" i="2"/>
  <c r="I332" i="2" s="1"/>
  <c r="J356" i="2"/>
  <c r="K356" i="2" s="1"/>
  <c r="L356" i="2" s="1"/>
  <c r="H356" i="2"/>
  <c r="G356" i="2"/>
  <c r="J364" i="2"/>
  <c r="K364" i="2" s="1"/>
  <c r="L364" i="2" s="1"/>
  <c r="H364" i="2"/>
  <c r="I364" i="2" s="1"/>
  <c r="G388" i="2"/>
  <c r="J388" i="2"/>
  <c r="K388" i="2" s="1"/>
  <c r="L388" i="2" s="1"/>
  <c r="H388" i="2"/>
  <c r="H404" i="2"/>
  <c r="G404" i="2"/>
  <c r="G428" i="2"/>
  <c r="J428" i="2"/>
  <c r="K428" i="2" s="1"/>
  <c r="L428" i="2" s="1"/>
  <c r="H428" i="2"/>
  <c r="J452" i="2"/>
  <c r="K452" i="2" s="1"/>
  <c r="L452" i="2" s="1"/>
  <c r="H452" i="2"/>
  <c r="G452" i="2"/>
  <c r="J476" i="2"/>
  <c r="K476" i="2" s="1"/>
  <c r="L476" i="2" s="1"/>
  <c r="H476" i="2"/>
  <c r="I476" i="2" s="1"/>
  <c r="J500" i="2"/>
  <c r="K500" i="2" s="1"/>
  <c r="L500" i="2" s="1"/>
  <c r="H500" i="2"/>
  <c r="G500" i="2"/>
  <c r="H532" i="2"/>
  <c r="G532" i="2"/>
  <c r="J532" i="2"/>
  <c r="K532" i="2" s="1"/>
  <c r="L532" i="2" s="1"/>
  <c r="J556" i="2"/>
  <c r="K556" i="2" s="1"/>
  <c r="L556" i="2" s="1"/>
  <c r="G556" i="2"/>
  <c r="H556" i="2"/>
  <c r="J572" i="2"/>
  <c r="K572" i="2" s="1"/>
  <c r="L572" i="2" s="1"/>
  <c r="H572" i="2"/>
  <c r="G572" i="2"/>
  <c r="J604" i="2"/>
  <c r="K604" i="2" s="1"/>
  <c r="L604" i="2" s="1"/>
  <c r="H604" i="2"/>
  <c r="G604" i="2"/>
  <c r="J59" i="2"/>
  <c r="K59" i="2" s="1"/>
  <c r="L59" i="2" s="1"/>
  <c r="H59" i="2"/>
  <c r="G59" i="2"/>
  <c r="I59" i="2" s="1"/>
  <c r="M59" i="2" s="1"/>
  <c r="N59" i="2" s="1"/>
  <c r="O59" i="2" s="1"/>
  <c r="P59" i="2" s="1"/>
  <c r="Q59" i="2" s="1"/>
  <c r="J67" i="2"/>
  <c r="K67" i="2" s="1"/>
  <c r="L67" i="2" s="1"/>
  <c r="H67" i="2"/>
  <c r="I67" i="2" s="1"/>
  <c r="J75" i="2"/>
  <c r="K75" i="2" s="1"/>
  <c r="L75" i="2" s="1"/>
  <c r="G75" i="2"/>
  <c r="I75" i="2" s="1"/>
  <c r="M75" i="2" s="1"/>
  <c r="N75" i="2" s="1"/>
  <c r="O75" i="2" s="1"/>
  <c r="P75" i="2" s="1"/>
  <c r="Q75" i="2" s="1"/>
  <c r="G91" i="2"/>
  <c r="I91" i="2" s="1"/>
  <c r="J91" i="2"/>
  <c r="K91" i="2" s="1"/>
  <c r="L91" i="2" s="1"/>
  <c r="J107" i="2"/>
  <c r="K107" i="2" s="1"/>
  <c r="L107" i="2" s="1"/>
  <c r="H107" i="2"/>
  <c r="I107" i="2" s="1"/>
  <c r="M107" i="2" s="1"/>
  <c r="N107" i="2" s="1"/>
  <c r="O107" i="2" s="1"/>
  <c r="J115" i="2"/>
  <c r="K115" i="2" s="1"/>
  <c r="L115" i="2" s="1"/>
  <c r="H115" i="2"/>
  <c r="G115" i="2"/>
  <c r="J123" i="2"/>
  <c r="K123" i="2" s="1"/>
  <c r="L123" i="2" s="1"/>
  <c r="H123" i="2"/>
  <c r="G123" i="2"/>
  <c r="J131" i="2"/>
  <c r="K131" i="2" s="1"/>
  <c r="L131" i="2" s="1"/>
  <c r="H131" i="2"/>
  <c r="G131" i="2"/>
  <c r="H139" i="2"/>
  <c r="G139" i="2"/>
  <c r="J147" i="2"/>
  <c r="K147" i="2" s="1"/>
  <c r="L147" i="2" s="1"/>
  <c r="H147" i="2"/>
  <c r="I147" i="2" s="1"/>
  <c r="H155" i="2"/>
  <c r="G155" i="2"/>
  <c r="J163" i="2"/>
  <c r="K163" i="2" s="1"/>
  <c r="L163" i="2" s="1"/>
  <c r="H163" i="2"/>
  <c r="G163" i="2"/>
  <c r="H171" i="2"/>
  <c r="G171" i="2"/>
  <c r="I171" i="2" s="1"/>
  <c r="M171" i="2" s="1"/>
  <c r="N171" i="2" s="1"/>
  <c r="O171" i="2" s="1"/>
  <c r="P171" i="2" s="1"/>
  <c r="Q171" i="2" s="1"/>
  <c r="J179" i="2"/>
  <c r="K179" i="2" s="1"/>
  <c r="L179" i="2" s="1"/>
  <c r="G179" i="2"/>
  <c r="H179" i="2"/>
  <c r="J187" i="2"/>
  <c r="K187" i="2" s="1"/>
  <c r="L187" i="2" s="1"/>
  <c r="H187" i="2"/>
  <c r="G187" i="2"/>
  <c r="J195" i="2"/>
  <c r="K195" i="2" s="1"/>
  <c r="L195" i="2" s="1"/>
  <c r="H195" i="2"/>
  <c r="I195" i="2" s="1"/>
  <c r="M195" i="2" s="1"/>
  <c r="N195" i="2" s="1"/>
  <c r="O195" i="2" s="1"/>
  <c r="J203" i="2"/>
  <c r="K203" i="2" s="1"/>
  <c r="L203" i="2" s="1"/>
  <c r="G203" i="2"/>
  <c r="H203" i="2"/>
  <c r="J211" i="2"/>
  <c r="K211" i="2" s="1"/>
  <c r="L211" i="2" s="1"/>
  <c r="G211" i="2"/>
  <c r="H211" i="2"/>
  <c r="J219" i="2"/>
  <c r="K219" i="2" s="1"/>
  <c r="L219" i="2" s="1"/>
  <c r="G219" i="2"/>
  <c r="H219" i="2"/>
  <c r="J227" i="2"/>
  <c r="K227" i="2" s="1"/>
  <c r="L227" i="2" s="1"/>
  <c r="H227" i="2"/>
  <c r="G227" i="2"/>
  <c r="H235" i="2"/>
  <c r="J235" i="2"/>
  <c r="K235" i="2" s="1"/>
  <c r="L235" i="2" s="1"/>
  <c r="G235" i="2"/>
  <c r="J243" i="2"/>
  <c r="K243" i="2" s="1"/>
  <c r="L243" i="2" s="1"/>
  <c r="H243" i="2"/>
  <c r="G243" i="2"/>
  <c r="J251" i="2"/>
  <c r="K251" i="2" s="1"/>
  <c r="L251" i="2" s="1"/>
  <c r="G251" i="2"/>
  <c r="H251" i="2"/>
  <c r="H267" i="2"/>
  <c r="G267" i="2"/>
  <c r="G275" i="2"/>
  <c r="J275" i="2"/>
  <c r="K275" i="2" s="1"/>
  <c r="L275" i="2" s="1"/>
  <c r="H275" i="2"/>
  <c r="J283" i="2"/>
  <c r="K283" i="2" s="1"/>
  <c r="L283" i="2" s="1"/>
  <c r="H283" i="2"/>
  <c r="G283" i="2"/>
  <c r="H291" i="2"/>
  <c r="J291" i="2"/>
  <c r="K291" i="2" s="1"/>
  <c r="L291" i="2" s="1"/>
  <c r="G291" i="2"/>
  <c r="J299" i="2"/>
  <c r="K299" i="2" s="1"/>
  <c r="L299" i="2" s="1"/>
  <c r="H299" i="2"/>
  <c r="G299" i="2"/>
  <c r="J307" i="2"/>
  <c r="K307" i="2" s="1"/>
  <c r="L307" i="2" s="1"/>
  <c r="H307" i="2"/>
  <c r="G307" i="2"/>
  <c r="J315" i="2"/>
  <c r="K315" i="2" s="1"/>
  <c r="L315" i="2" s="1"/>
  <c r="G315" i="2"/>
  <c r="H315" i="2"/>
  <c r="H323" i="2"/>
  <c r="J323" i="2"/>
  <c r="K323" i="2" s="1"/>
  <c r="L323" i="2" s="1"/>
  <c r="G323" i="2"/>
  <c r="I323" i="2" s="1"/>
  <c r="M323" i="2" s="1"/>
  <c r="N323" i="2" s="1"/>
  <c r="G331" i="2"/>
  <c r="I331" i="2" s="1"/>
  <c r="J331" i="2"/>
  <c r="K331" i="2" s="1"/>
  <c r="L331" i="2" s="1"/>
  <c r="J339" i="2"/>
  <c r="K339" i="2" s="1"/>
  <c r="L339" i="2" s="1"/>
  <c r="H339" i="2"/>
  <c r="G339" i="2"/>
  <c r="J347" i="2"/>
  <c r="K347" i="2" s="1"/>
  <c r="L347" i="2" s="1"/>
  <c r="H347" i="2"/>
  <c r="G347" i="2"/>
  <c r="I347" i="2" s="1"/>
  <c r="M347" i="2" s="1"/>
  <c r="N347" i="2" s="1"/>
  <c r="J355" i="2"/>
  <c r="K355" i="2" s="1"/>
  <c r="L355" i="2" s="1"/>
  <c r="H355" i="2"/>
  <c r="I355" i="2" s="1"/>
  <c r="G355" i="2"/>
  <c r="J363" i="2"/>
  <c r="K363" i="2" s="1"/>
  <c r="L363" i="2" s="1"/>
  <c r="H363" i="2"/>
  <c r="G363" i="2"/>
  <c r="G371" i="2"/>
  <c r="I371" i="2" s="1"/>
  <c r="J371" i="2"/>
  <c r="K371" i="2" s="1"/>
  <c r="L371" i="2" s="1"/>
  <c r="J379" i="2"/>
  <c r="K379" i="2" s="1"/>
  <c r="L379" i="2" s="1"/>
  <c r="H379" i="2"/>
  <c r="I379" i="2" s="1"/>
  <c r="J387" i="2"/>
  <c r="K387" i="2" s="1"/>
  <c r="L387" i="2" s="1"/>
  <c r="H387" i="2"/>
  <c r="G387" i="2"/>
  <c r="J395" i="2"/>
  <c r="K395" i="2" s="1"/>
  <c r="L395" i="2" s="1"/>
  <c r="H395" i="2"/>
  <c r="G395" i="2"/>
  <c r="I395" i="2" s="1"/>
  <c r="M395" i="2" s="1"/>
  <c r="N395" i="2" s="1"/>
  <c r="H403" i="2"/>
  <c r="J403" i="2"/>
  <c r="K403" i="2" s="1"/>
  <c r="L403" i="2" s="1"/>
  <c r="G403" i="2"/>
  <c r="J411" i="2"/>
  <c r="K411" i="2" s="1"/>
  <c r="L411" i="2" s="1"/>
  <c r="H411" i="2"/>
  <c r="G411" i="2"/>
  <c r="J427" i="2"/>
  <c r="K427" i="2" s="1"/>
  <c r="L427" i="2" s="1"/>
  <c r="G427" i="2"/>
  <c r="H427" i="2"/>
  <c r="J435" i="2"/>
  <c r="K435" i="2" s="1"/>
  <c r="L435" i="2" s="1"/>
  <c r="G435" i="2"/>
  <c r="H435" i="2"/>
  <c r="I435" i="2" s="1"/>
  <c r="J443" i="2"/>
  <c r="K443" i="2" s="1"/>
  <c r="L443" i="2" s="1"/>
  <c r="H443" i="2"/>
  <c r="G443" i="2"/>
  <c r="J451" i="2"/>
  <c r="K451" i="2" s="1"/>
  <c r="L451" i="2" s="1"/>
  <c r="H451" i="2"/>
  <c r="G451" i="2"/>
  <c r="J459" i="2"/>
  <c r="K459" i="2" s="1"/>
  <c r="L459" i="2" s="1"/>
  <c r="H459" i="2"/>
  <c r="G459" i="2"/>
  <c r="J467" i="2"/>
  <c r="K467" i="2" s="1"/>
  <c r="L467" i="2" s="1"/>
  <c r="H467" i="2"/>
  <c r="G467" i="2"/>
  <c r="I467" i="2" s="1"/>
  <c r="M467" i="2" s="1"/>
  <c r="N467" i="2" s="1"/>
  <c r="J475" i="2"/>
  <c r="K475" i="2" s="1"/>
  <c r="L475" i="2" s="1"/>
  <c r="H475" i="2"/>
  <c r="I475" i="2" s="1"/>
  <c r="M475" i="2" s="1"/>
  <c r="N475" i="2" s="1"/>
  <c r="G475" i="2"/>
  <c r="J483" i="2"/>
  <c r="K483" i="2" s="1"/>
  <c r="L483" i="2" s="1"/>
  <c r="H483" i="2"/>
  <c r="I483" i="2" s="1"/>
  <c r="J491" i="2"/>
  <c r="K491" i="2" s="1"/>
  <c r="L491" i="2" s="1"/>
  <c r="H491" i="2"/>
  <c r="G491" i="2"/>
  <c r="I491" i="2" s="1"/>
  <c r="M491" i="2" s="1"/>
  <c r="N491" i="2" s="1"/>
  <c r="J507" i="2"/>
  <c r="K507" i="2" s="1"/>
  <c r="L507" i="2" s="1"/>
  <c r="H507" i="2"/>
  <c r="I507" i="2" s="1"/>
  <c r="G507" i="2"/>
  <c r="J515" i="2"/>
  <c r="K515" i="2" s="1"/>
  <c r="L515" i="2" s="1"/>
  <c r="G515" i="2"/>
  <c r="H515" i="2"/>
  <c r="J523" i="2"/>
  <c r="K523" i="2" s="1"/>
  <c r="L523" i="2" s="1"/>
  <c r="G523" i="2"/>
  <c r="H523" i="2"/>
  <c r="G531" i="2"/>
  <c r="I531" i="2" s="1"/>
  <c r="J531" i="2"/>
  <c r="K531" i="2" s="1"/>
  <c r="L531" i="2" s="1"/>
  <c r="H539" i="2"/>
  <c r="G539" i="2"/>
  <c r="J539" i="2"/>
  <c r="K539" i="2" s="1"/>
  <c r="L539" i="2" s="1"/>
  <c r="J547" i="2"/>
  <c r="K547" i="2" s="1"/>
  <c r="L547" i="2" s="1"/>
  <c r="H547" i="2"/>
  <c r="G547" i="2"/>
  <c r="G555" i="2"/>
  <c r="J555" i="2"/>
  <c r="K555" i="2" s="1"/>
  <c r="L555" i="2" s="1"/>
  <c r="H555" i="2"/>
  <c r="J563" i="2"/>
  <c r="K563" i="2" s="1"/>
  <c r="L563" i="2" s="1"/>
  <c r="H563" i="2"/>
  <c r="G563" i="2"/>
  <c r="J571" i="2"/>
  <c r="K571" i="2" s="1"/>
  <c r="L571" i="2" s="1"/>
  <c r="H571" i="2"/>
  <c r="G571" i="2"/>
  <c r="J579" i="2"/>
  <c r="K579" i="2" s="1"/>
  <c r="L579" i="2" s="1"/>
  <c r="H579" i="2"/>
  <c r="G579" i="2"/>
  <c r="G587" i="2"/>
  <c r="J587" i="2"/>
  <c r="K587" i="2" s="1"/>
  <c r="L587" i="2" s="1"/>
  <c r="H587" i="2"/>
  <c r="H595" i="2"/>
  <c r="G595" i="2"/>
  <c r="J595" i="2"/>
  <c r="K595" i="2" s="1"/>
  <c r="L595" i="2" s="1"/>
  <c r="J603" i="2"/>
  <c r="K603" i="2" s="1"/>
  <c r="L603" i="2" s="1"/>
  <c r="H603" i="2"/>
  <c r="G603" i="2"/>
  <c r="H611" i="2"/>
  <c r="G611" i="2"/>
  <c r="I611" i="2" s="1"/>
  <c r="J611" i="2"/>
  <c r="K611" i="2" s="1"/>
  <c r="L611" i="2" s="1"/>
  <c r="H619" i="2"/>
  <c r="G619" i="2"/>
  <c r="J619" i="2"/>
  <c r="K619" i="2" s="1"/>
  <c r="L619" i="2" s="1"/>
  <c r="H23" i="2"/>
  <c r="I23" i="2" s="1"/>
  <c r="G29" i="2"/>
  <c r="I29" i="2" s="1"/>
  <c r="J32" i="2"/>
  <c r="K32" i="2" s="1"/>
  <c r="L32" i="2" s="1"/>
  <c r="H38" i="2"/>
  <c r="J44" i="2"/>
  <c r="K44" i="2" s="1"/>
  <c r="L44" i="2" s="1"/>
  <c r="H47" i="2"/>
  <c r="J50" i="2"/>
  <c r="K50" i="2" s="1"/>
  <c r="L50" i="2" s="1"/>
  <c r="G53" i="2"/>
  <c r="J66" i="2"/>
  <c r="K66" i="2" s="1"/>
  <c r="L66" i="2" s="1"/>
  <c r="G83" i="2"/>
  <c r="I83" i="2" s="1"/>
  <c r="H88" i="2"/>
  <c r="J93" i="2"/>
  <c r="K93" i="2" s="1"/>
  <c r="L93" i="2" s="1"/>
  <c r="H99" i="2"/>
  <c r="G136" i="2"/>
  <c r="I136" i="2" s="1"/>
  <c r="M136" i="2" s="1"/>
  <c r="N136" i="2" s="1"/>
  <c r="O136" i="2" s="1"/>
  <c r="G145" i="2"/>
  <c r="J173" i="2"/>
  <c r="K173" i="2" s="1"/>
  <c r="L173" i="2" s="1"/>
  <c r="J181" i="2"/>
  <c r="K181" i="2" s="1"/>
  <c r="L181" i="2" s="1"/>
  <c r="H191" i="2"/>
  <c r="I191" i="2" s="1"/>
  <c r="H222" i="2"/>
  <c r="I222" i="2" s="1"/>
  <c r="G232" i="2"/>
  <c r="J245" i="2"/>
  <c r="K245" i="2" s="1"/>
  <c r="L245" i="2" s="1"/>
  <c r="H259" i="2"/>
  <c r="I259" i="2" s="1"/>
  <c r="G281" i="2"/>
  <c r="J295" i="2"/>
  <c r="K295" i="2" s="1"/>
  <c r="L295" i="2" s="1"/>
  <c r="J322" i="2"/>
  <c r="K322" i="2" s="1"/>
  <c r="L322" i="2" s="1"/>
  <c r="J340" i="2"/>
  <c r="K340" i="2" s="1"/>
  <c r="L340" i="2" s="1"/>
  <c r="G357" i="2"/>
  <c r="H375" i="2"/>
  <c r="J397" i="2"/>
  <c r="K397" i="2" s="1"/>
  <c r="L397" i="2" s="1"/>
  <c r="G416" i="2"/>
  <c r="J434" i="2"/>
  <c r="K434" i="2" s="1"/>
  <c r="L434" i="2" s="1"/>
  <c r="H457" i="2"/>
  <c r="I457" i="2" s="1"/>
  <c r="M457" i="2" s="1"/>
  <c r="N457" i="2" s="1"/>
  <c r="J490" i="2"/>
  <c r="K490" i="2" s="1"/>
  <c r="L490" i="2" s="1"/>
  <c r="J613" i="2"/>
  <c r="K613" i="2" s="1"/>
  <c r="L613" i="2" s="1"/>
  <c r="H545" i="2"/>
  <c r="I545" i="2" s="1"/>
  <c r="M545" i="2" s="1"/>
  <c r="N545" i="2" s="1"/>
  <c r="G553" i="2"/>
  <c r="J553" i="2"/>
  <c r="K553" i="2" s="1"/>
  <c r="L553" i="2" s="1"/>
  <c r="H553" i="2"/>
  <c r="J561" i="2"/>
  <c r="K561" i="2" s="1"/>
  <c r="L561" i="2" s="1"/>
  <c r="H561" i="2"/>
  <c r="G561" i="2"/>
  <c r="J569" i="2"/>
  <c r="K569" i="2" s="1"/>
  <c r="L569" i="2" s="1"/>
  <c r="H569" i="2"/>
  <c r="G569" i="2"/>
  <c r="I569" i="2" s="1"/>
  <c r="M569" i="2" s="1"/>
  <c r="N569" i="2" s="1"/>
  <c r="J577" i="2"/>
  <c r="K577" i="2" s="1"/>
  <c r="L577" i="2" s="1"/>
  <c r="H577" i="2"/>
  <c r="I577" i="2" s="1"/>
  <c r="G577" i="2"/>
  <c r="G585" i="2"/>
  <c r="J585" i="2"/>
  <c r="K585" i="2" s="1"/>
  <c r="L585" i="2" s="1"/>
  <c r="H585" i="2"/>
  <c r="J593" i="2"/>
  <c r="K593" i="2" s="1"/>
  <c r="L593" i="2" s="1"/>
  <c r="H593" i="2"/>
  <c r="G593" i="2"/>
  <c r="G601" i="2"/>
  <c r="J601" i="2"/>
  <c r="K601" i="2" s="1"/>
  <c r="L601" i="2" s="1"/>
  <c r="H601" i="2"/>
  <c r="H609" i="2"/>
  <c r="J609" i="2"/>
  <c r="K609" i="2" s="1"/>
  <c r="L609" i="2" s="1"/>
  <c r="G609" i="2"/>
  <c r="J617" i="2"/>
  <c r="K617" i="2" s="1"/>
  <c r="L617" i="2" s="1"/>
  <c r="H617" i="2"/>
  <c r="G617" i="2"/>
  <c r="I110" i="2"/>
  <c r="I50" i="2"/>
  <c r="I14" i="2"/>
  <c r="M14" i="2" s="1"/>
  <c r="N14" i="2" s="1"/>
  <c r="I30" i="2"/>
  <c r="M30" i="2" s="1"/>
  <c r="N30" i="2" s="1"/>
  <c r="I130" i="2"/>
  <c r="M130" i="2" s="1"/>
  <c r="N130" i="2" s="1"/>
  <c r="I98" i="2"/>
  <c r="I298" i="2"/>
  <c r="O408" i="2"/>
  <c r="P408" i="2" s="1"/>
  <c r="Q408" i="2" s="1"/>
  <c r="I125" i="2"/>
  <c r="K313" i="2"/>
  <c r="L313" i="2" s="1"/>
  <c r="I281" i="2"/>
  <c r="M281" i="2" s="1"/>
  <c r="N281" i="2" s="1"/>
  <c r="I362" i="2"/>
  <c r="I319" i="2"/>
  <c r="I311" i="2"/>
  <c r="I372" i="2"/>
  <c r="M372" i="2" s="1"/>
  <c r="N372" i="2" s="1"/>
  <c r="I419" i="2"/>
  <c r="M419" i="2" s="1"/>
  <c r="N419" i="2" s="1"/>
  <c r="I478" i="2"/>
  <c r="I469" i="2"/>
  <c r="M469" i="2" s="1"/>
  <c r="N469" i="2" s="1"/>
  <c r="I582" i="2"/>
  <c r="I449" i="2"/>
  <c r="I584" i="2"/>
  <c r="I604" i="2"/>
  <c r="M604" i="2" s="1"/>
  <c r="N604" i="2" s="1"/>
  <c r="U620" i="2"/>
  <c r="U181" i="2"/>
  <c r="U182" i="2" s="1"/>
  <c r="U183" i="2" s="1"/>
  <c r="U184" i="2" s="1"/>
  <c r="U185" i="2" s="1"/>
  <c r="U186" i="2" s="1"/>
  <c r="U187" i="2" s="1"/>
  <c r="U188" i="2" s="1"/>
  <c r="U189" i="2" s="1"/>
  <c r="U429" i="2"/>
  <c r="U430" i="2" s="1"/>
  <c r="U431" i="2" s="1"/>
  <c r="U432" i="2" s="1"/>
  <c r="U433" i="2" s="1"/>
  <c r="U434" i="2" s="1"/>
  <c r="U435" i="2" s="1"/>
  <c r="U436" i="2" s="1"/>
  <c r="U461" i="2"/>
  <c r="U462" i="2" s="1"/>
  <c r="U463" i="2" s="1"/>
  <c r="U464" i="2" s="1"/>
  <c r="U465" i="2" s="1"/>
  <c r="V480" i="2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504" i="2"/>
  <c r="V505" i="2" s="1"/>
  <c r="V506" i="2" s="1"/>
  <c r="V507" i="2" s="1"/>
  <c r="V508" i="2" s="1"/>
  <c r="V509" i="2" s="1"/>
  <c r="V510" i="2" s="1"/>
  <c r="V511" i="2" s="1"/>
  <c r="V512" i="2" s="1"/>
  <c r="U541" i="2"/>
  <c r="U542" i="2" s="1"/>
  <c r="U581" i="2"/>
  <c r="U582" i="2" s="1"/>
  <c r="U583" i="2" s="1"/>
  <c r="U584" i="2" s="1"/>
  <c r="U585" i="2" s="1"/>
  <c r="U586" i="2" s="1"/>
  <c r="U587" i="2" s="1"/>
  <c r="U588" i="2" s="1"/>
  <c r="U605" i="2"/>
  <c r="U606" i="2" s="1"/>
  <c r="U607" i="2" s="1"/>
  <c r="U418" i="2"/>
  <c r="U419" i="2" s="1"/>
  <c r="U420" i="2" s="1"/>
  <c r="U421" i="2" s="1"/>
  <c r="U422" i="2" s="1"/>
  <c r="U423" i="2" s="1"/>
  <c r="U514" i="2"/>
  <c r="U515" i="2" s="1"/>
  <c r="U516" i="2" s="1"/>
  <c r="U517" i="2" s="1"/>
  <c r="U518" i="2" s="1"/>
  <c r="U495" i="2"/>
  <c r="U496" i="2" s="1"/>
  <c r="U497" i="2" s="1"/>
  <c r="U498" i="2" s="1"/>
  <c r="U499" i="2" s="1"/>
  <c r="U500" i="2" s="1"/>
  <c r="U501" i="2" s="1"/>
  <c r="U502" i="2" s="1"/>
  <c r="U551" i="2"/>
  <c r="U552" i="2" s="1"/>
  <c r="U553" i="2" s="1"/>
  <c r="U554" i="2" s="1"/>
  <c r="U555" i="2" s="1"/>
  <c r="U556" i="2" s="1"/>
  <c r="U557" i="2" s="1"/>
  <c r="V609" i="2"/>
  <c r="V610" i="2" s="1"/>
  <c r="V611" i="2" s="1"/>
  <c r="V612" i="2" s="1"/>
  <c r="V613" i="2" s="1"/>
  <c r="V614" i="2" s="1"/>
  <c r="V615" i="2" s="1"/>
  <c r="V616" i="2" s="1"/>
  <c r="V617" i="2" s="1"/>
  <c r="V618" i="2" s="1"/>
  <c r="V413" i="2"/>
  <c r="V414" i="2" s="1"/>
  <c r="V415" i="2" s="1"/>
  <c r="V429" i="2"/>
  <c r="V430" i="2" s="1"/>
  <c r="V431" i="2" s="1"/>
  <c r="V432" i="2" s="1"/>
  <c r="V433" i="2" s="1"/>
  <c r="V434" i="2" s="1"/>
  <c r="V435" i="2" s="1"/>
  <c r="V436" i="2" s="1"/>
  <c r="V461" i="2"/>
  <c r="V462" i="2" s="1"/>
  <c r="V463" i="2" s="1"/>
  <c r="V464" i="2" s="1"/>
  <c r="V465" i="2" s="1"/>
  <c r="V328" i="2"/>
  <c r="V329" i="2" s="1"/>
  <c r="V330" i="2" s="1"/>
  <c r="V331" i="2" s="1"/>
  <c r="V332" i="2" s="1"/>
  <c r="V400" i="2"/>
  <c r="V401" i="2" s="1"/>
  <c r="V402" i="2" s="1"/>
  <c r="V403" i="2" s="1"/>
  <c r="V404" i="2" s="1"/>
  <c r="V405" i="2" s="1"/>
  <c r="V406" i="2" s="1"/>
  <c r="V407" i="2" s="1"/>
  <c r="U590" i="2"/>
  <c r="U591" i="2" s="1"/>
  <c r="U592" i="2" s="1"/>
  <c r="U593" i="2" s="1"/>
  <c r="V14" i="2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U364" i="2"/>
  <c r="U365" i="2" s="1"/>
  <c r="U366" i="2" s="1"/>
  <c r="U367" i="2" s="1"/>
  <c r="U368" i="2" s="1"/>
  <c r="U369" i="2" s="1"/>
  <c r="U595" i="2"/>
  <c r="U596" i="2" s="1"/>
  <c r="U597" i="2" s="1"/>
  <c r="U598" i="2" s="1"/>
  <c r="V155" i="2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95" i="2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35" i="2"/>
  <c r="V236" i="2" s="1"/>
  <c r="V237" i="2" s="1"/>
  <c r="V238" i="2" s="1"/>
  <c r="V239" i="2" s="1"/>
  <c r="V240" i="2" s="1"/>
  <c r="V241" i="2" s="1"/>
  <c r="V242" i="2" s="1"/>
  <c r="V315" i="2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71" i="2"/>
  <c r="V372" i="2" s="1"/>
  <c r="V373" i="2" s="1"/>
  <c r="V374" i="2" s="1"/>
  <c r="V411" i="2"/>
  <c r="V451" i="2"/>
  <c r="V452" i="2" s="1"/>
  <c r="V453" i="2" s="1"/>
  <c r="V454" i="2" s="1"/>
  <c r="V455" i="2" s="1"/>
  <c r="V456" i="2" s="1"/>
  <c r="V457" i="2" s="1"/>
  <c r="V458" i="2" s="1"/>
  <c r="V459" i="2" s="1"/>
  <c r="V467" i="2"/>
  <c r="V468" i="2" s="1"/>
  <c r="V469" i="2" s="1"/>
  <c r="V470" i="2" s="1"/>
  <c r="V539" i="2"/>
  <c r="V595" i="2"/>
  <c r="V596" i="2" s="1"/>
  <c r="V597" i="2" s="1"/>
  <c r="V598" i="2" s="1"/>
  <c r="V89" i="2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U214" i="2"/>
  <c r="U215" i="2" s="1"/>
  <c r="U216" i="2" s="1"/>
  <c r="U217" i="2" s="1"/>
  <c r="U218" i="2" s="1"/>
  <c r="U219" i="2" s="1"/>
  <c r="U220" i="2" s="1"/>
  <c r="U222" i="2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54" i="2"/>
  <c r="U255" i="2" s="1"/>
  <c r="U256" i="2" s="1"/>
  <c r="U257" i="2" s="1"/>
  <c r="U258" i="2" s="1"/>
  <c r="U259" i="2" s="1"/>
  <c r="U260" i="2" s="1"/>
  <c r="U261" i="2" s="1"/>
  <c r="U262" i="2" s="1"/>
  <c r="U263" i="2" s="1"/>
  <c r="V265" i="2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U294" i="2"/>
  <c r="U295" i="2" s="1"/>
  <c r="V297" i="2"/>
  <c r="V298" i="2" s="1"/>
  <c r="V299" i="2" s="1"/>
  <c r="V300" i="2" s="1"/>
  <c r="V301" i="2" s="1"/>
  <c r="V302" i="2" s="1"/>
  <c r="V303" i="2" s="1"/>
  <c r="V304" i="2" s="1"/>
  <c r="U334" i="2"/>
  <c r="U335" i="2" s="1"/>
  <c r="U336" i="2" s="1"/>
  <c r="V345" i="2"/>
  <c r="V346" i="2" s="1"/>
  <c r="V393" i="2"/>
  <c r="V394" i="2" s="1"/>
  <c r="V395" i="2" s="1"/>
  <c r="V396" i="2" s="1"/>
  <c r="V397" i="2" s="1"/>
  <c r="V409" i="2"/>
  <c r="U413" i="2"/>
  <c r="U414" i="2" s="1"/>
  <c r="U415" i="2" s="1"/>
  <c r="V425" i="2"/>
  <c r="V426" i="2" s="1"/>
  <c r="V427" i="2" s="1"/>
  <c r="U438" i="2"/>
  <c r="U439" i="2" s="1"/>
  <c r="U440" i="2" s="1"/>
  <c r="U441" i="2" s="1"/>
  <c r="U442" i="2" s="1"/>
  <c r="U443" i="2" s="1"/>
  <c r="U444" i="2" s="1"/>
  <c r="U446" i="2"/>
  <c r="U447" i="2" s="1"/>
  <c r="U448" i="2" s="1"/>
  <c r="U449" i="2" s="1"/>
  <c r="U47" i="2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191" i="2"/>
  <c r="U192" i="2" s="1"/>
  <c r="U193" i="2" s="1"/>
  <c r="U559" i="2"/>
  <c r="U560" i="2" s="1"/>
  <c r="U561" i="2" s="1"/>
  <c r="U562" i="2" s="1"/>
  <c r="U563" i="2" s="1"/>
  <c r="U564" i="2" s="1"/>
  <c r="U565" i="2" s="1"/>
  <c r="U566" i="2" s="1"/>
  <c r="U567" i="2" s="1"/>
  <c r="U568" i="2" s="1"/>
  <c r="V376" i="2"/>
  <c r="V377" i="2" s="1"/>
  <c r="V378" i="2" s="1"/>
  <c r="V379" i="2" s="1"/>
  <c r="U381" i="2"/>
  <c r="U382" i="2" s="1"/>
  <c r="U383" i="2" s="1"/>
  <c r="U384" i="2" s="1"/>
  <c r="U385" i="2" s="1"/>
  <c r="U386" i="2" s="1"/>
  <c r="U533" i="2"/>
  <c r="U534" i="2" s="1"/>
  <c r="U535" i="2" s="1"/>
  <c r="U536" i="2" s="1"/>
  <c r="U537" i="2" s="1"/>
  <c r="V544" i="2"/>
  <c r="V545" i="2" s="1"/>
  <c r="V546" i="2" s="1"/>
  <c r="V547" i="2" s="1"/>
  <c r="V548" i="2" s="1"/>
  <c r="V549" i="2" s="1"/>
  <c r="V214" i="2"/>
  <c r="V215" i="2" s="1"/>
  <c r="V216" i="2" s="1"/>
  <c r="V217" i="2" s="1"/>
  <c r="V218" i="2" s="1"/>
  <c r="V219" i="2" s="1"/>
  <c r="V220" i="2" s="1"/>
  <c r="U235" i="2"/>
  <c r="U236" i="2" s="1"/>
  <c r="U237" i="2" s="1"/>
  <c r="U238" i="2" s="1"/>
  <c r="U239" i="2" s="1"/>
  <c r="U240" i="2" s="1"/>
  <c r="U241" i="2" s="1"/>
  <c r="U242" i="2" s="1"/>
  <c r="V254" i="2"/>
  <c r="V255" i="2" s="1"/>
  <c r="V256" i="2" s="1"/>
  <c r="V257" i="2" s="1"/>
  <c r="V258" i="2" s="1"/>
  <c r="V259" i="2" s="1"/>
  <c r="V260" i="2" s="1"/>
  <c r="V261" i="2" s="1"/>
  <c r="V262" i="2" s="1"/>
  <c r="V263" i="2" s="1"/>
  <c r="V294" i="2"/>
  <c r="V295" i="2" s="1"/>
  <c r="V334" i="2"/>
  <c r="V335" i="2" s="1"/>
  <c r="V336" i="2" s="1"/>
  <c r="V438" i="2"/>
  <c r="V439" i="2" s="1"/>
  <c r="V440" i="2" s="1"/>
  <c r="V441" i="2" s="1"/>
  <c r="V442" i="2" s="1"/>
  <c r="V443" i="2" s="1"/>
  <c r="V444" i="2" s="1"/>
  <c r="V446" i="2"/>
  <c r="V447" i="2" s="1"/>
  <c r="V448" i="2" s="1"/>
  <c r="V449" i="2" s="1"/>
  <c r="V590" i="2"/>
  <c r="V591" i="2" s="1"/>
  <c r="V592" i="2" s="1"/>
  <c r="V593" i="2" s="1"/>
  <c r="U144" i="2"/>
  <c r="U145" i="2" s="1"/>
  <c r="U146" i="2" s="1"/>
  <c r="U147" i="2" s="1"/>
  <c r="U148" i="2" s="1"/>
  <c r="U149" i="2" s="1"/>
  <c r="U150" i="2" s="1"/>
  <c r="U151" i="2" s="1"/>
  <c r="U152" i="2" s="1"/>
  <c r="U153" i="2" s="1"/>
  <c r="U328" i="2"/>
  <c r="U329" i="2" s="1"/>
  <c r="U330" i="2" s="1"/>
  <c r="U331" i="2" s="1"/>
  <c r="U332" i="2" s="1"/>
  <c r="U376" i="2"/>
  <c r="U377" i="2" s="1"/>
  <c r="U378" i="2" s="1"/>
  <c r="U379" i="2" s="1"/>
  <c r="U400" i="2"/>
  <c r="U401" i="2" s="1"/>
  <c r="U402" i="2" s="1"/>
  <c r="U403" i="2" s="1"/>
  <c r="U404" i="2" s="1"/>
  <c r="U405" i="2" s="1"/>
  <c r="U406" i="2" s="1"/>
  <c r="U407" i="2" s="1"/>
  <c r="U480" i="2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520" i="2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600" i="2"/>
  <c r="U601" i="2" s="1"/>
  <c r="U602" i="2" s="1"/>
  <c r="U603" i="2" s="1"/>
  <c r="V279" i="2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495" i="2"/>
  <c r="V496" i="2" s="1"/>
  <c r="V497" i="2" s="1"/>
  <c r="V498" i="2" s="1"/>
  <c r="V499" i="2" s="1"/>
  <c r="V500" i="2" s="1"/>
  <c r="V501" i="2" s="1"/>
  <c r="V502" i="2" s="1"/>
  <c r="V551" i="2"/>
  <c r="V552" i="2" s="1"/>
  <c r="V553" i="2" s="1"/>
  <c r="V554" i="2" s="1"/>
  <c r="V555" i="2" s="1"/>
  <c r="V556" i="2" s="1"/>
  <c r="V557" i="2" s="1"/>
  <c r="V559" i="2"/>
  <c r="V560" i="2" s="1"/>
  <c r="V561" i="2" s="1"/>
  <c r="V562" i="2" s="1"/>
  <c r="V563" i="2" s="1"/>
  <c r="V564" i="2" s="1"/>
  <c r="V565" i="2" s="1"/>
  <c r="V566" i="2" s="1"/>
  <c r="V567" i="2" s="1"/>
  <c r="V568" i="2" s="1"/>
  <c r="V144" i="2"/>
  <c r="V145" i="2" s="1"/>
  <c r="V146" i="2" s="1"/>
  <c r="V147" i="2" s="1"/>
  <c r="V148" i="2" s="1"/>
  <c r="V149" i="2" s="1"/>
  <c r="V150" i="2" s="1"/>
  <c r="V151" i="2" s="1"/>
  <c r="V152" i="2" s="1"/>
  <c r="V153" i="2" s="1"/>
  <c r="V191" i="2"/>
  <c r="V192" i="2" s="1"/>
  <c r="V193" i="2" s="1"/>
  <c r="U89" i="2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V181" i="2"/>
  <c r="V182" i="2" s="1"/>
  <c r="V183" i="2" s="1"/>
  <c r="V184" i="2" s="1"/>
  <c r="V185" i="2" s="1"/>
  <c r="V186" i="2" s="1"/>
  <c r="V187" i="2" s="1"/>
  <c r="V188" i="2" s="1"/>
  <c r="V189" i="2" s="1"/>
  <c r="U265" i="2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97" i="2"/>
  <c r="U298" i="2" s="1"/>
  <c r="U299" i="2" s="1"/>
  <c r="U300" i="2" s="1"/>
  <c r="U301" i="2" s="1"/>
  <c r="U302" i="2" s="1"/>
  <c r="U303" i="2" s="1"/>
  <c r="U304" i="2" s="1"/>
  <c r="U306" i="2"/>
  <c r="U307" i="2" s="1"/>
  <c r="U308" i="2" s="1"/>
  <c r="U309" i="2" s="1"/>
  <c r="U310" i="2" s="1"/>
  <c r="U311" i="2" s="1"/>
  <c r="U312" i="2" s="1"/>
  <c r="U313" i="2" s="1"/>
  <c r="U338" i="2"/>
  <c r="U339" i="2" s="1"/>
  <c r="U340" i="2" s="1"/>
  <c r="U341" i="2" s="1"/>
  <c r="U342" i="2" s="1"/>
  <c r="U343" i="2" s="1"/>
  <c r="U345" i="2"/>
  <c r="U346" i="2" s="1"/>
  <c r="V364" i="2"/>
  <c r="V365" i="2" s="1"/>
  <c r="V366" i="2" s="1"/>
  <c r="V367" i="2" s="1"/>
  <c r="V368" i="2" s="1"/>
  <c r="V369" i="2" s="1"/>
  <c r="V388" i="2"/>
  <c r="V389" i="2" s="1"/>
  <c r="V390" i="2" s="1"/>
  <c r="V391" i="2" s="1"/>
  <c r="U393" i="2"/>
  <c r="U394" i="2" s="1"/>
  <c r="U395" i="2" s="1"/>
  <c r="U396" i="2" s="1"/>
  <c r="U397" i="2" s="1"/>
  <c r="U409" i="2"/>
  <c r="U425" i="2"/>
  <c r="U426" i="2" s="1"/>
  <c r="U427" i="2" s="1"/>
  <c r="U570" i="2"/>
  <c r="U571" i="2" s="1"/>
  <c r="U572" i="2" s="1"/>
  <c r="U573" i="2" s="1"/>
  <c r="U574" i="2" s="1"/>
  <c r="U575" i="2" s="1"/>
  <c r="U576" i="2" s="1"/>
  <c r="U577" i="2" s="1"/>
  <c r="U578" i="2" s="1"/>
  <c r="U579" i="2" s="1"/>
  <c r="U609" i="2"/>
  <c r="U610" i="2" s="1"/>
  <c r="U611" i="2" s="1"/>
  <c r="U612" i="2" s="1"/>
  <c r="U613" i="2" s="1"/>
  <c r="U614" i="2" s="1"/>
  <c r="U615" i="2" s="1"/>
  <c r="U616" i="2" s="1"/>
  <c r="U617" i="2" s="1"/>
  <c r="U618" i="2" s="1"/>
  <c r="V47" i="2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306" i="2"/>
  <c r="V307" i="2" s="1"/>
  <c r="V308" i="2" s="1"/>
  <c r="V309" i="2" s="1"/>
  <c r="V310" i="2" s="1"/>
  <c r="V311" i="2" s="1"/>
  <c r="V312" i="2" s="1"/>
  <c r="V313" i="2" s="1"/>
  <c r="V338" i="2"/>
  <c r="V339" i="2" s="1"/>
  <c r="V340" i="2" s="1"/>
  <c r="V341" i="2" s="1"/>
  <c r="V342" i="2" s="1"/>
  <c r="V343" i="2" s="1"/>
  <c r="V418" i="2"/>
  <c r="V419" i="2" s="1"/>
  <c r="V420" i="2" s="1"/>
  <c r="V421" i="2" s="1"/>
  <c r="V422" i="2" s="1"/>
  <c r="V423" i="2" s="1"/>
  <c r="V514" i="2"/>
  <c r="V515" i="2" s="1"/>
  <c r="V516" i="2" s="1"/>
  <c r="V517" i="2" s="1"/>
  <c r="V518" i="2" s="1"/>
  <c r="V570" i="2"/>
  <c r="V571" i="2" s="1"/>
  <c r="V572" i="2" s="1"/>
  <c r="V573" i="2" s="1"/>
  <c r="V574" i="2" s="1"/>
  <c r="V575" i="2" s="1"/>
  <c r="V576" i="2" s="1"/>
  <c r="V577" i="2" s="1"/>
  <c r="V578" i="2" s="1"/>
  <c r="V579" i="2" s="1"/>
  <c r="V605" i="2"/>
  <c r="V606" i="2" s="1"/>
  <c r="V607" i="2" s="1"/>
  <c r="U348" i="2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14" i="2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155" i="2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467" i="2"/>
  <c r="U468" i="2" s="1"/>
  <c r="U469" i="2" s="1"/>
  <c r="U470" i="2" s="1"/>
  <c r="V348" i="2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U195" i="2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44" i="2"/>
  <c r="U245" i="2" s="1"/>
  <c r="U246" i="2" s="1"/>
  <c r="U247" i="2" s="1"/>
  <c r="U248" i="2" s="1"/>
  <c r="U249" i="2" s="1"/>
  <c r="U250" i="2" s="1"/>
  <c r="U251" i="2" s="1"/>
  <c r="U252" i="2" s="1"/>
  <c r="U315" i="2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71" i="2"/>
  <c r="U372" i="2" s="1"/>
  <c r="U373" i="2" s="1"/>
  <c r="U374" i="2" s="1"/>
  <c r="U388" i="2"/>
  <c r="U389" i="2" s="1"/>
  <c r="U390" i="2" s="1"/>
  <c r="U391" i="2" s="1"/>
  <c r="U411" i="2"/>
  <c r="U451" i="2"/>
  <c r="U452" i="2" s="1"/>
  <c r="U453" i="2" s="1"/>
  <c r="U454" i="2" s="1"/>
  <c r="U455" i="2" s="1"/>
  <c r="U456" i="2" s="1"/>
  <c r="U457" i="2" s="1"/>
  <c r="U458" i="2" s="1"/>
  <c r="U459" i="2" s="1"/>
  <c r="U539" i="2"/>
  <c r="V244" i="2"/>
  <c r="V245" i="2" s="1"/>
  <c r="V246" i="2" s="1"/>
  <c r="V247" i="2" s="1"/>
  <c r="V248" i="2" s="1"/>
  <c r="V249" i="2" s="1"/>
  <c r="V250" i="2" s="1"/>
  <c r="V251" i="2" s="1"/>
  <c r="V252" i="2" s="1"/>
  <c r="V620" i="2"/>
  <c r="V472" i="2"/>
  <c r="V473" i="2" s="1"/>
  <c r="V474" i="2" s="1"/>
  <c r="V475" i="2" s="1"/>
  <c r="V476" i="2" s="1"/>
  <c r="V477" i="2" s="1"/>
  <c r="V478" i="2" s="1"/>
  <c r="V520" i="2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600" i="2"/>
  <c r="V601" i="2" s="1"/>
  <c r="V602" i="2" s="1"/>
  <c r="V603" i="2" s="1"/>
  <c r="V381" i="2"/>
  <c r="V382" i="2" s="1"/>
  <c r="V383" i="2" s="1"/>
  <c r="V384" i="2" s="1"/>
  <c r="V385" i="2" s="1"/>
  <c r="V386" i="2" s="1"/>
  <c r="V533" i="2"/>
  <c r="V534" i="2" s="1"/>
  <c r="V535" i="2" s="1"/>
  <c r="V536" i="2" s="1"/>
  <c r="V537" i="2" s="1"/>
  <c r="V541" i="2"/>
  <c r="V542" i="2" s="1"/>
  <c r="V581" i="2"/>
  <c r="V582" i="2" s="1"/>
  <c r="V583" i="2" s="1"/>
  <c r="V584" i="2" s="1"/>
  <c r="V585" i="2" s="1"/>
  <c r="V586" i="2" s="1"/>
  <c r="V587" i="2" s="1"/>
  <c r="V588" i="2" s="1"/>
  <c r="V222" i="2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U175" i="2"/>
  <c r="U176" i="2" s="1"/>
  <c r="U177" i="2" s="1"/>
  <c r="U178" i="2" s="1"/>
  <c r="U179" i="2" s="1"/>
  <c r="U279" i="2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472" i="2"/>
  <c r="U473" i="2" s="1"/>
  <c r="U474" i="2" s="1"/>
  <c r="U475" i="2" s="1"/>
  <c r="U476" i="2" s="1"/>
  <c r="U477" i="2" s="1"/>
  <c r="U478" i="2" s="1"/>
  <c r="U504" i="2"/>
  <c r="U505" i="2" s="1"/>
  <c r="U506" i="2" s="1"/>
  <c r="U507" i="2" s="1"/>
  <c r="U508" i="2" s="1"/>
  <c r="U509" i="2" s="1"/>
  <c r="U510" i="2" s="1"/>
  <c r="U511" i="2" s="1"/>
  <c r="U512" i="2" s="1"/>
  <c r="U544" i="2"/>
  <c r="U545" i="2" s="1"/>
  <c r="U546" i="2" s="1"/>
  <c r="U547" i="2" s="1"/>
  <c r="U548" i="2" s="1"/>
  <c r="U549" i="2" s="1"/>
  <c r="V175" i="2"/>
  <c r="V176" i="2" s="1"/>
  <c r="V177" i="2" s="1"/>
  <c r="V178" i="2" s="1"/>
  <c r="V179" i="2" s="1"/>
  <c r="B7" i="2"/>
  <c r="B7" i="3"/>
  <c r="I558" i="2" l="1"/>
  <c r="M558" i="2" s="1"/>
  <c r="N558" i="2" s="1"/>
  <c r="M286" i="2"/>
  <c r="N286" i="2" s="1"/>
  <c r="M158" i="2"/>
  <c r="N158" i="2" s="1"/>
  <c r="I501" i="2"/>
  <c r="I229" i="2"/>
  <c r="M229" i="2" s="1"/>
  <c r="N229" i="2" s="1"/>
  <c r="O229" i="2" s="1"/>
  <c r="I157" i="2"/>
  <c r="M157" i="2" s="1"/>
  <c r="N157" i="2" s="1"/>
  <c r="O157" i="2" s="1"/>
  <c r="P157" i="2" s="1"/>
  <c r="Q157" i="2" s="1"/>
  <c r="M311" i="2"/>
  <c r="N311" i="2" s="1"/>
  <c r="O311" i="2" s="1"/>
  <c r="P311" i="2" s="1"/>
  <c r="Q311" i="2" s="1"/>
  <c r="I553" i="2"/>
  <c r="I38" i="2"/>
  <c r="M38" i="2" s="1"/>
  <c r="N38" i="2" s="1"/>
  <c r="I465" i="2"/>
  <c r="M465" i="2" s="1"/>
  <c r="N465" i="2" s="1"/>
  <c r="M26" i="2"/>
  <c r="N26" i="2" s="1"/>
  <c r="O26" i="2" s="1"/>
  <c r="P26" i="2" s="1"/>
  <c r="Q26" i="2" s="1"/>
  <c r="M212" i="2"/>
  <c r="N212" i="2" s="1"/>
  <c r="M191" i="2"/>
  <c r="N191" i="2" s="1"/>
  <c r="O191" i="2" s="1"/>
  <c r="P191" i="2" s="1"/>
  <c r="Q191" i="2" s="1"/>
  <c r="M23" i="2"/>
  <c r="N23" i="2" s="1"/>
  <c r="O23" i="2" s="1"/>
  <c r="P23" i="2" s="1"/>
  <c r="Q23" i="2" s="1"/>
  <c r="I515" i="2"/>
  <c r="I411" i="2"/>
  <c r="M411" i="2" s="1"/>
  <c r="N411" i="2" s="1"/>
  <c r="O411" i="2" s="1"/>
  <c r="P411" i="2" s="1"/>
  <c r="Q411" i="2" s="1"/>
  <c r="I123" i="2"/>
  <c r="M91" i="2"/>
  <c r="N91" i="2" s="1"/>
  <c r="O91" i="2" s="1"/>
  <c r="P91" i="2" s="1"/>
  <c r="Q91" i="2" s="1"/>
  <c r="I404" i="2"/>
  <c r="M404" i="2" s="1"/>
  <c r="N404" i="2" s="1"/>
  <c r="O404" i="2" s="1"/>
  <c r="P404" i="2" s="1"/>
  <c r="Q404" i="2" s="1"/>
  <c r="I276" i="2"/>
  <c r="I396" i="2"/>
  <c r="M396" i="2" s="1"/>
  <c r="N396" i="2" s="1"/>
  <c r="O396" i="2" s="1"/>
  <c r="P396" i="2" s="1"/>
  <c r="Q396" i="2" s="1"/>
  <c r="I127" i="2"/>
  <c r="M127" i="2" s="1"/>
  <c r="N127" i="2" s="1"/>
  <c r="O127" i="2" s="1"/>
  <c r="P127" i="2" s="1"/>
  <c r="Q127" i="2" s="1"/>
  <c r="I53" i="2"/>
  <c r="M53" i="2" s="1"/>
  <c r="N53" i="2" s="1"/>
  <c r="O53" i="2" s="1"/>
  <c r="P53" i="2" s="1"/>
  <c r="Q53" i="2" s="1"/>
  <c r="I522" i="2"/>
  <c r="M522" i="2" s="1"/>
  <c r="N522" i="2" s="1"/>
  <c r="O522" i="2" s="1"/>
  <c r="P522" i="2" s="1"/>
  <c r="Q522" i="2" s="1"/>
  <c r="I368" i="2"/>
  <c r="M368" i="2" s="1"/>
  <c r="N368" i="2" s="1"/>
  <c r="M312" i="2"/>
  <c r="N312" i="2" s="1"/>
  <c r="I306" i="2"/>
  <c r="M306" i="2" s="1"/>
  <c r="N306" i="2" s="1"/>
  <c r="M568" i="2"/>
  <c r="N568" i="2" s="1"/>
  <c r="O568" i="2" s="1"/>
  <c r="P568" i="2" s="1"/>
  <c r="Q568" i="2" s="1"/>
  <c r="I496" i="2"/>
  <c r="I384" i="2"/>
  <c r="M384" i="2" s="1"/>
  <c r="N384" i="2" s="1"/>
  <c r="O384" i="2" s="1"/>
  <c r="P384" i="2" s="1"/>
  <c r="Q384" i="2" s="1"/>
  <c r="M447" i="2"/>
  <c r="N447" i="2" s="1"/>
  <c r="O447" i="2" s="1"/>
  <c r="P447" i="2" s="1"/>
  <c r="Q447" i="2" s="1"/>
  <c r="M167" i="2"/>
  <c r="N167" i="2" s="1"/>
  <c r="O167" i="2" s="1"/>
  <c r="P167" i="2" s="1"/>
  <c r="Q167" i="2" s="1"/>
  <c r="I24" i="2"/>
  <c r="M24" i="2" s="1"/>
  <c r="N24" i="2" s="1"/>
  <c r="I224" i="2"/>
  <c r="M224" i="2" s="1"/>
  <c r="N224" i="2" s="1"/>
  <c r="I99" i="2"/>
  <c r="M99" i="2" s="1"/>
  <c r="N99" i="2" s="1"/>
  <c r="O99" i="2" s="1"/>
  <c r="P99" i="2" s="1"/>
  <c r="Q99" i="2" s="1"/>
  <c r="I571" i="2"/>
  <c r="I117" i="2"/>
  <c r="M117" i="2" s="1"/>
  <c r="N117" i="2" s="1"/>
  <c r="O117" i="2" s="1"/>
  <c r="P117" i="2" s="1"/>
  <c r="Q117" i="2" s="1"/>
  <c r="I102" i="2"/>
  <c r="M102" i="2" s="1"/>
  <c r="N102" i="2" s="1"/>
  <c r="I397" i="2"/>
  <c r="M397" i="2" s="1"/>
  <c r="N397" i="2" s="1"/>
  <c r="O397" i="2" s="1"/>
  <c r="M607" i="2"/>
  <c r="N607" i="2" s="1"/>
  <c r="O607" i="2" s="1"/>
  <c r="P607" i="2" s="1"/>
  <c r="Q607" i="2" s="1"/>
  <c r="M57" i="2"/>
  <c r="N57" i="2" s="1"/>
  <c r="O57" i="2" s="1"/>
  <c r="P57" i="2" s="1"/>
  <c r="Q57" i="2" s="1"/>
  <c r="I135" i="2"/>
  <c r="I346" i="2"/>
  <c r="M346" i="2" s="1"/>
  <c r="N346" i="2" s="1"/>
  <c r="I15" i="2"/>
  <c r="M15" i="2" s="1"/>
  <c r="N15" i="2" s="1"/>
  <c r="O15" i="2" s="1"/>
  <c r="P15" i="2" s="1"/>
  <c r="Q15" i="2" s="1"/>
  <c r="M478" i="2"/>
  <c r="N478" i="2" s="1"/>
  <c r="O478" i="2" s="1"/>
  <c r="P478" i="2" s="1"/>
  <c r="Q478" i="2" s="1"/>
  <c r="M319" i="2"/>
  <c r="N319" i="2" s="1"/>
  <c r="O319" i="2" s="1"/>
  <c r="P319" i="2" s="1"/>
  <c r="Q319" i="2" s="1"/>
  <c r="M125" i="2"/>
  <c r="N125" i="2" s="1"/>
  <c r="O125" i="2" s="1"/>
  <c r="P125" i="2" s="1"/>
  <c r="Q125" i="2" s="1"/>
  <c r="I363" i="2"/>
  <c r="M363" i="2" s="1"/>
  <c r="N363" i="2" s="1"/>
  <c r="O363" i="2" s="1"/>
  <c r="P363" i="2" s="1"/>
  <c r="Q363" i="2" s="1"/>
  <c r="I134" i="2"/>
  <c r="M134" i="2" s="1"/>
  <c r="N134" i="2" s="1"/>
  <c r="I60" i="2"/>
  <c r="M60" i="2" s="1"/>
  <c r="N60" i="2" s="1"/>
  <c r="O60" i="2" s="1"/>
  <c r="P60" i="2" s="1"/>
  <c r="Q60" i="2" s="1"/>
  <c r="I33" i="2"/>
  <c r="M33" i="2" s="1"/>
  <c r="N33" i="2" s="1"/>
  <c r="M487" i="2"/>
  <c r="N487" i="2" s="1"/>
  <c r="O487" i="2" s="1"/>
  <c r="I601" i="2"/>
  <c r="M601" i="2" s="1"/>
  <c r="N601" i="2" s="1"/>
  <c r="I585" i="2"/>
  <c r="M585" i="2" s="1"/>
  <c r="N585" i="2" s="1"/>
  <c r="O585" i="2" s="1"/>
  <c r="P585" i="2" s="1"/>
  <c r="Q585" i="2" s="1"/>
  <c r="I555" i="2"/>
  <c r="M555" i="2" s="1"/>
  <c r="N555" i="2" s="1"/>
  <c r="O555" i="2" s="1"/>
  <c r="P555" i="2" s="1"/>
  <c r="Q555" i="2" s="1"/>
  <c r="M435" i="2"/>
  <c r="N435" i="2" s="1"/>
  <c r="O435" i="2" s="1"/>
  <c r="P435" i="2" s="1"/>
  <c r="Q435" i="2" s="1"/>
  <c r="I291" i="2"/>
  <c r="M291" i="2" s="1"/>
  <c r="N291" i="2" s="1"/>
  <c r="I275" i="2"/>
  <c r="I619" i="2"/>
  <c r="I525" i="2"/>
  <c r="M525" i="2" s="1"/>
  <c r="N525" i="2" s="1"/>
  <c r="I63" i="2"/>
  <c r="M63" i="2" s="1"/>
  <c r="N63" i="2" s="1"/>
  <c r="O63" i="2" s="1"/>
  <c r="P63" i="2" s="1"/>
  <c r="Q63" i="2" s="1"/>
  <c r="I246" i="2"/>
  <c r="M246" i="2" s="1"/>
  <c r="N246" i="2" s="1"/>
  <c r="I182" i="2"/>
  <c r="I541" i="2"/>
  <c r="I377" i="2"/>
  <c r="I557" i="2"/>
  <c r="M449" i="2"/>
  <c r="N449" i="2" s="1"/>
  <c r="M477" i="2"/>
  <c r="N477" i="2" s="1"/>
  <c r="O477" i="2" s="1"/>
  <c r="P477" i="2" s="1"/>
  <c r="Q477" i="2" s="1"/>
  <c r="M422" i="2"/>
  <c r="N422" i="2" s="1"/>
  <c r="M310" i="2"/>
  <c r="N310" i="2" s="1"/>
  <c r="O310" i="2" s="1"/>
  <c r="P310" i="2" s="1"/>
  <c r="Q310" i="2" s="1"/>
  <c r="I356" i="2"/>
  <c r="M356" i="2" s="1"/>
  <c r="N356" i="2" s="1"/>
  <c r="O356" i="2" s="1"/>
  <c r="P356" i="2" s="1"/>
  <c r="Q356" i="2" s="1"/>
  <c r="I204" i="2"/>
  <c r="M204" i="2" s="1"/>
  <c r="N204" i="2" s="1"/>
  <c r="I394" i="2"/>
  <c r="M328" i="2"/>
  <c r="N328" i="2" s="1"/>
  <c r="O328" i="2" s="1"/>
  <c r="P328" i="2" s="1"/>
  <c r="Q328" i="2" s="1"/>
  <c r="I505" i="2"/>
  <c r="M505" i="2" s="1"/>
  <c r="N505" i="2" s="1"/>
  <c r="I481" i="2"/>
  <c r="M481" i="2" s="1"/>
  <c r="N481" i="2" s="1"/>
  <c r="O481" i="2" s="1"/>
  <c r="P481" i="2" s="1"/>
  <c r="Q481" i="2" s="1"/>
  <c r="I289" i="2"/>
  <c r="M289" i="2" s="1"/>
  <c r="N289" i="2" s="1"/>
  <c r="O289" i="2" s="1"/>
  <c r="P289" i="2" s="1"/>
  <c r="Q289" i="2" s="1"/>
  <c r="M257" i="2"/>
  <c r="N257" i="2" s="1"/>
  <c r="O257" i="2" s="1"/>
  <c r="P257" i="2" s="1"/>
  <c r="Q257" i="2" s="1"/>
  <c r="M233" i="2"/>
  <c r="N233" i="2" s="1"/>
  <c r="O233" i="2" s="1"/>
  <c r="P233" i="2" s="1"/>
  <c r="Q233" i="2" s="1"/>
  <c r="M193" i="2"/>
  <c r="N193" i="2" s="1"/>
  <c r="I169" i="2"/>
  <c r="M169" i="2" s="1"/>
  <c r="N169" i="2" s="1"/>
  <c r="I137" i="2"/>
  <c r="M137" i="2" s="1"/>
  <c r="N137" i="2" s="1"/>
  <c r="I536" i="2"/>
  <c r="M536" i="2" s="1"/>
  <c r="N536" i="2" s="1"/>
  <c r="O536" i="2" s="1"/>
  <c r="P536" i="2" s="1"/>
  <c r="Q536" i="2" s="1"/>
  <c r="I352" i="2"/>
  <c r="M352" i="2" s="1"/>
  <c r="N352" i="2" s="1"/>
  <c r="O352" i="2" s="1"/>
  <c r="P352" i="2" s="1"/>
  <c r="Q352" i="2" s="1"/>
  <c r="I104" i="2"/>
  <c r="M104" i="2" s="1"/>
  <c r="N104" i="2" s="1"/>
  <c r="I588" i="2"/>
  <c r="M588" i="2" s="1"/>
  <c r="N588" i="2" s="1"/>
  <c r="O588" i="2" s="1"/>
  <c r="P588" i="2" s="1"/>
  <c r="Q588" i="2" s="1"/>
  <c r="I516" i="2"/>
  <c r="M516" i="2" s="1"/>
  <c r="N516" i="2" s="1"/>
  <c r="O516" i="2" s="1"/>
  <c r="P516" i="2" s="1"/>
  <c r="Q516" i="2" s="1"/>
  <c r="I340" i="2"/>
  <c r="I517" i="2"/>
  <c r="M517" i="2" s="1"/>
  <c r="N517" i="2" s="1"/>
  <c r="I504" i="2"/>
  <c r="M504" i="2" s="1"/>
  <c r="N504" i="2" s="1"/>
  <c r="I216" i="2"/>
  <c r="M216" i="2" s="1"/>
  <c r="N216" i="2" s="1"/>
  <c r="I144" i="2"/>
  <c r="M144" i="2" s="1"/>
  <c r="N144" i="2" s="1"/>
  <c r="O144" i="2" s="1"/>
  <c r="P144" i="2" s="1"/>
  <c r="Q144" i="2" s="1"/>
  <c r="I524" i="2"/>
  <c r="M524" i="2" s="1"/>
  <c r="N524" i="2" s="1"/>
  <c r="O524" i="2" s="1"/>
  <c r="P524" i="2" s="1"/>
  <c r="Q524" i="2" s="1"/>
  <c r="M468" i="2"/>
  <c r="N468" i="2" s="1"/>
  <c r="O468" i="2" s="1"/>
  <c r="P468" i="2" s="1"/>
  <c r="Q468" i="2" s="1"/>
  <c r="I268" i="2"/>
  <c r="M268" i="2" s="1"/>
  <c r="N268" i="2" s="1"/>
  <c r="O268" i="2" s="1"/>
  <c r="P268" i="2" s="1"/>
  <c r="Q268" i="2" s="1"/>
  <c r="I615" i="2"/>
  <c r="M615" i="2" s="1"/>
  <c r="N615" i="2" s="1"/>
  <c r="O615" i="2" s="1"/>
  <c r="P615" i="2" s="1"/>
  <c r="Q615" i="2" s="1"/>
  <c r="I559" i="2"/>
  <c r="M559" i="2" s="1"/>
  <c r="N559" i="2" s="1"/>
  <c r="O559" i="2" s="1"/>
  <c r="P559" i="2" s="1"/>
  <c r="Q559" i="2" s="1"/>
  <c r="I431" i="2"/>
  <c r="M431" i="2" s="1"/>
  <c r="N431" i="2" s="1"/>
  <c r="O431" i="2" s="1"/>
  <c r="P431" i="2" s="1"/>
  <c r="Q431" i="2" s="1"/>
  <c r="I383" i="2"/>
  <c r="M383" i="2" s="1"/>
  <c r="N383" i="2" s="1"/>
  <c r="I151" i="2"/>
  <c r="M151" i="2" s="1"/>
  <c r="N151" i="2" s="1"/>
  <c r="O151" i="2" s="1"/>
  <c r="I421" i="2"/>
  <c r="M421" i="2" s="1"/>
  <c r="N421" i="2" s="1"/>
  <c r="O421" i="2" s="1"/>
  <c r="P421" i="2" s="1"/>
  <c r="Q421" i="2" s="1"/>
  <c r="I205" i="2"/>
  <c r="M205" i="2" s="1"/>
  <c r="N205" i="2" s="1"/>
  <c r="O205" i="2" s="1"/>
  <c r="P205" i="2" s="1"/>
  <c r="Q205" i="2" s="1"/>
  <c r="I149" i="2"/>
  <c r="M149" i="2" s="1"/>
  <c r="N149" i="2" s="1"/>
  <c r="I574" i="2"/>
  <c r="I534" i="2"/>
  <c r="M534" i="2" s="1"/>
  <c r="N534" i="2" s="1"/>
  <c r="I414" i="2"/>
  <c r="I174" i="2"/>
  <c r="M174" i="2" s="1"/>
  <c r="N174" i="2" s="1"/>
  <c r="I118" i="2"/>
  <c r="M118" i="2" s="1"/>
  <c r="N118" i="2" s="1"/>
  <c r="O118" i="2" s="1"/>
  <c r="P118" i="2" s="1"/>
  <c r="Q118" i="2" s="1"/>
  <c r="I70" i="2"/>
  <c r="M70" i="2" s="1"/>
  <c r="N70" i="2" s="1"/>
  <c r="O70" i="2" s="1"/>
  <c r="P70" i="2" s="1"/>
  <c r="Q70" i="2" s="1"/>
  <c r="I621" i="2"/>
  <c r="M621" i="2" s="1"/>
  <c r="N621" i="2" s="1"/>
  <c r="O621" i="2" s="1"/>
  <c r="P621" i="2" s="1"/>
  <c r="Q621" i="2" s="1"/>
  <c r="I333" i="2"/>
  <c r="M333" i="2" s="1"/>
  <c r="N333" i="2" s="1"/>
  <c r="O333" i="2" s="1"/>
  <c r="P333" i="2" s="1"/>
  <c r="Q333" i="2" s="1"/>
  <c r="M141" i="2"/>
  <c r="N141" i="2" s="1"/>
  <c r="M518" i="2"/>
  <c r="N518" i="2" s="1"/>
  <c r="I609" i="2"/>
  <c r="M609" i="2" s="1"/>
  <c r="N609" i="2" s="1"/>
  <c r="I561" i="2"/>
  <c r="M561" i="2" s="1"/>
  <c r="N561" i="2" s="1"/>
  <c r="O561" i="2" s="1"/>
  <c r="P561" i="2" s="1"/>
  <c r="Q561" i="2" s="1"/>
  <c r="I579" i="2"/>
  <c r="M579" i="2" s="1"/>
  <c r="N579" i="2" s="1"/>
  <c r="O579" i="2" s="1"/>
  <c r="P579" i="2" s="1"/>
  <c r="Q579" i="2" s="1"/>
  <c r="I539" i="2"/>
  <c r="M539" i="2" s="1"/>
  <c r="N539" i="2" s="1"/>
  <c r="O539" i="2" s="1"/>
  <c r="P539" i="2" s="1"/>
  <c r="Q539" i="2" s="1"/>
  <c r="M515" i="2"/>
  <c r="N515" i="2" s="1"/>
  <c r="M483" i="2"/>
  <c r="N483" i="2" s="1"/>
  <c r="O483" i="2" s="1"/>
  <c r="P483" i="2" s="1"/>
  <c r="Q483" i="2" s="1"/>
  <c r="I459" i="2"/>
  <c r="M459" i="2" s="1"/>
  <c r="N459" i="2" s="1"/>
  <c r="I387" i="2"/>
  <c r="M387" i="2" s="1"/>
  <c r="N387" i="2" s="1"/>
  <c r="I339" i="2"/>
  <c r="M339" i="2" s="1"/>
  <c r="N339" i="2" s="1"/>
  <c r="O339" i="2" s="1"/>
  <c r="P339" i="2" s="1"/>
  <c r="Q339" i="2" s="1"/>
  <c r="M147" i="2"/>
  <c r="N147" i="2" s="1"/>
  <c r="M123" i="2"/>
  <c r="N123" i="2" s="1"/>
  <c r="O123" i="2" s="1"/>
  <c r="M276" i="2"/>
  <c r="N276" i="2" s="1"/>
  <c r="O276" i="2" s="1"/>
  <c r="P276" i="2" s="1"/>
  <c r="Q276" i="2" s="1"/>
  <c r="M180" i="2"/>
  <c r="N180" i="2" s="1"/>
  <c r="M434" i="2"/>
  <c r="N434" i="2" s="1"/>
  <c r="M245" i="2"/>
  <c r="N245" i="2" s="1"/>
  <c r="O245" i="2" s="1"/>
  <c r="P245" i="2" s="1"/>
  <c r="Q245" i="2" s="1"/>
  <c r="I610" i="2"/>
  <c r="M610" i="2" s="1"/>
  <c r="N610" i="2" s="1"/>
  <c r="I562" i="2"/>
  <c r="M562" i="2" s="1"/>
  <c r="N562" i="2" s="1"/>
  <c r="O562" i="2" s="1"/>
  <c r="P562" i="2" s="1"/>
  <c r="Q562" i="2" s="1"/>
  <c r="I546" i="2"/>
  <c r="M546" i="2" s="1"/>
  <c r="N546" i="2" s="1"/>
  <c r="O546" i="2" s="1"/>
  <c r="P546" i="2" s="1"/>
  <c r="Q546" i="2" s="1"/>
  <c r="M314" i="2"/>
  <c r="N314" i="2" s="1"/>
  <c r="O314" i="2" s="1"/>
  <c r="P314" i="2" s="1"/>
  <c r="Q314" i="2" s="1"/>
  <c r="I274" i="2"/>
  <c r="M274" i="2" s="1"/>
  <c r="N274" i="2" s="1"/>
  <c r="O274" i="2" s="1"/>
  <c r="P274" i="2" s="1"/>
  <c r="Q274" i="2" s="1"/>
  <c r="I226" i="2"/>
  <c r="M226" i="2" s="1"/>
  <c r="N226" i="2" s="1"/>
  <c r="O226" i="2" s="1"/>
  <c r="P226" i="2" s="1"/>
  <c r="Q226" i="2" s="1"/>
  <c r="I106" i="2"/>
  <c r="M106" i="2" s="1"/>
  <c r="N106" i="2" s="1"/>
  <c r="I55" i="2"/>
  <c r="M55" i="2" s="1"/>
  <c r="N55" i="2" s="1"/>
  <c r="O55" i="2" s="1"/>
  <c r="P55" i="2" s="1"/>
  <c r="Q55" i="2" s="1"/>
  <c r="I17" i="2"/>
  <c r="M17" i="2" s="1"/>
  <c r="N17" i="2" s="1"/>
  <c r="I497" i="2"/>
  <c r="M497" i="2" s="1"/>
  <c r="N497" i="2" s="1"/>
  <c r="O497" i="2" s="1"/>
  <c r="I161" i="2"/>
  <c r="M161" i="2" s="1"/>
  <c r="N161" i="2" s="1"/>
  <c r="P161" i="2" s="1"/>
  <c r="Q161" i="2" s="1"/>
  <c r="M25" i="2"/>
  <c r="N25" i="2" s="1"/>
  <c r="O25" i="2" s="1"/>
  <c r="P25" i="2" s="1"/>
  <c r="Q25" i="2" s="1"/>
  <c r="I592" i="2"/>
  <c r="M592" i="2" s="1"/>
  <c r="N592" i="2" s="1"/>
  <c r="O592" i="2" s="1"/>
  <c r="P592" i="2" s="1"/>
  <c r="Q592" i="2" s="1"/>
  <c r="M576" i="2"/>
  <c r="N576" i="2" s="1"/>
  <c r="M43" i="2"/>
  <c r="N43" i="2" s="1"/>
  <c r="M103" i="2"/>
  <c r="N103" i="2" s="1"/>
  <c r="O103" i="2" s="1"/>
  <c r="P103" i="2" s="1"/>
  <c r="Q103" i="2" s="1"/>
  <c r="I189" i="2"/>
  <c r="M189" i="2" s="1"/>
  <c r="N189" i="2" s="1"/>
  <c r="O189" i="2" s="1"/>
  <c r="P189" i="2" s="1"/>
  <c r="Q189" i="2" s="1"/>
  <c r="I614" i="2"/>
  <c r="M614" i="2" s="1"/>
  <c r="N614" i="2" s="1"/>
  <c r="O614" i="2" s="1"/>
  <c r="P614" i="2" s="1"/>
  <c r="Q614" i="2" s="1"/>
  <c r="M526" i="2"/>
  <c r="N526" i="2" s="1"/>
  <c r="O526" i="2" s="1"/>
  <c r="P526" i="2" s="1"/>
  <c r="Q526" i="2" s="1"/>
  <c r="M462" i="2"/>
  <c r="N462" i="2" s="1"/>
  <c r="O462" i="2" s="1"/>
  <c r="P462" i="2" s="1"/>
  <c r="Q462" i="2" s="1"/>
  <c r="I382" i="2"/>
  <c r="M382" i="2" s="1"/>
  <c r="N382" i="2" s="1"/>
  <c r="M254" i="2"/>
  <c r="N254" i="2" s="1"/>
  <c r="O254" i="2" s="1"/>
  <c r="I214" i="2"/>
  <c r="M214" i="2" s="1"/>
  <c r="N214" i="2" s="1"/>
  <c r="O214" i="2" s="1"/>
  <c r="I190" i="2"/>
  <c r="M190" i="2" s="1"/>
  <c r="N190" i="2" s="1"/>
  <c r="O190" i="2" s="1"/>
  <c r="M142" i="2"/>
  <c r="N142" i="2" s="1"/>
  <c r="O142" i="2" s="1"/>
  <c r="P142" i="2" s="1"/>
  <c r="Q142" i="2" s="1"/>
  <c r="M86" i="2"/>
  <c r="N86" i="2" s="1"/>
  <c r="O86" i="2" s="1"/>
  <c r="P86" i="2" s="1"/>
  <c r="Q86" i="2" s="1"/>
  <c r="M62" i="2"/>
  <c r="N62" i="2" s="1"/>
  <c r="O62" i="2" s="1"/>
  <c r="P62" i="2" s="1"/>
  <c r="Q62" i="2" s="1"/>
  <c r="M582" i="2"/>
  <c r="N582" i="2" s="1"/>
  <c r="M222" i="2"/>
  <c r="N222" i="2" s="1"/>
  <c r="M110" i="2"/>
  <c r="N110" i="2" s="1"/>
  <c r="O110" i="2" s="1"/>
  <c r="P110" i="2" s="1"/>
  <c r="Q110" i="2" s="1"/>
  <c r="I114" i="2"/>
  <c r="M114" i="2" s="1"/>
  <c r="N114" i="2" s="1"/>
  <c r="M619" i="2"/>
  <c r="N619" i="2" s="1"/>
  <c r="O619" i="2" s="1"/>
  <c r="P619" i="2" s="1"/>
  <c r="Q619" i="2" s="1"/>
  <c r="M34" i="2"/>
  <c r="N34" i="2" s="1"/>
  <c r="O34" i="2" s="1"/>
  <c r="P34" i="2" s="1"/>
  <c r="Q34" i="2" s="1"/>
  <c r="I317" i="2"/>
  <c r="M317" i="2" s="1"/>
  <c r="N317" i="2" s="1"/>
  <c r="O317" i="2" s="1"/>
  <c r="P317" i="2" s="1"/>
  <c r="Q317" i="2" s="1"/>
  <c r="M600" i="2"/>
  <c r="N600" i="2" s="1"/>
  <c r="O600" i="2" s="1"/>
  <c r="P600" i="2" s="1"/>
  <c r="Q600" i="2" s="1"/>
  <c r="M259" i="2"/>
  <c r="N259" i="2" s="1"/>
  <c r="I489" i="2"/>
  <c r="M489" i="2" s="1"/>
  <c r="N489" i="2" s="1"/>
  <c r="M201" i="2"/>
  <c r="N201" i="2" s="1"/>
  <c r="O201" i="2" s="1"/>
  <c r="P201" i="2" s="1"/>
  <c r="Q201" i="2" s="1"/>
  <c r="I488" i="2"/>
  <c r="I101" i="2"/>
  <c r="M101" i="2" s="1"/>
  <c r="N101" i="2" s="1"/>
  <c r="O101" i="2" s="1"/>
  <c r="P101" i="2" s="1"/>
  <c r="Q101" i="2" s="1"/>
  <c r="I128" i="2"/>
  <c r="M128" i="2" s="1"/>
  <c r="N128" i="2" s="1"/>
  <c r="M182" i="2"/>
  <c r="N182" i="2" s="1"/>
  <c r="M541" i="2"/>
  <c r="N541" i="2" s="1"/>
  <c r="M584" i="2"/>
  <c r="N584" i="2" s="1"/>
  <c r="M177" i="2"/>
  <c r="N177" i="2" s="1"/>
  <c r="M165" i="2"/>
  <c r="N165" i="2" s="1"/>
  <c r="O165" i="2" s="1"/>
  <c r="P165" i="2" s="1"/>
  <c r="Q165" i="2" s="1"/>
  <c r="I593" i="2"/>
  <c r="M593" i="2" s="1"/>
  <c r="N593" i="2" s="1"/>
  <c r="M571" i="2"/>
  <c r="N571" i="2" s="1"/>
  <c r="O571" i="2" s="1"/>
  <c r="I547" i="2"/>
  <c r="M547" i="2" s="1"/>
  <c r="N547" i="2" s="1"/>
  <c r="O547" i="2" s="1"/>
  <c r="P547" i="2" s="1"/>
  <c r="Q547" i="2" s="1"/>
  <c r="I451" i="2"/>
  <c r="M451" i="2" s="1"/>
  <c r="N451" i="2" s="1"/>
  <c r="O451" i="2" s="1"/>
  <c r="P451" i="2" s="1"/>
  <c r="Q451" i="2" s="1"/>
  <c r="I403" i="2"/>
  <c r="M403" i="2" s="1"/>
  <c r="N403" i="2" s="1"/>
  <c r="O403" i="2" s="1"/>
  <c r="P403" i="2" s="1"/>
  <c r="Q403" i="2" s="1"/>
  <c r="M331" i="2"/>
  <c r="N331" i="2" s="1"/>
  <c r="I307" i="2"/>
  <c r="M307" i="2" s="1"/>
  <c r="N307" i="2" s="1"/>
  <c r="I283" i="2"/>
  <c r="M283" i="2" s="1"/>
  <c r="N283" i="2" s="1"/>
  <c r="O283" i="2" s="1"/>
  <c r="P283" i="2" s="1"/>
  <c r="Q283" i="2" s="1"/>
  <c r="I251" i="2"/>
  <c r="M251" i="2" s="1"/>
  <c r="N251" i="2" s="1"/>
  <c r="I235" i="2"/>
  <c r="M235" i="2" s="1"/>
  <c r="N235" i="2" s="1"/>
  <c r="O235" i="2" s="1"/>
  <c r="P235" i="2" s="1"/>
  <c r="Q235" i="2" s="1"/>
  <c r="I211" i="2"/>
  <c r="M211" i="2" s="1"/>
  <c r="N211" i="2" s="1"/>
  <c r="I500" i="2"/>
  <c r="M500" i="2" s="1"/>
  <c r="N500" i="2" s="1"/>
  <c r="O500" i="2" s="1"/>
  <c r="P500" i="2" s="1"/>
  <c r="Q500" i="2" s="1"/>
  <c r="I428" i="2"/>
  <c r="M428" i="2" s="1"/>
  <c r="N428" i="2" s="1"/>
  <c r="O428" i="2" s="1"/>
  <c r="P428" i="2" s="1"/>
  <c r="Q428" i="2" s="1"/>
  <c r="M364" i="2"/>
  <c r="N364" i="2" s="1"/>
  <c r="I300" i="2"/>
  <c r="M228" i="2"/>
  <c r="N228" i="2" s="1"/>
  <c r="M337" i="2"/>
  <c r="N337" i="2" s="1"/>
  <c r="O337" i="2" s="1"/>
  <c r="P337" i="2" s="1"/>
  <c r="Q337" i="2" s="1"/>
  <c r="I41" i="2"/>
  <c r="M41" i="2" s="1"/>
  <c r="N41" i="2" s="1"/>
  <c r="O41" i="2" s="1"/>
  <c r="P41" i="2" s="1"/>
  <c r="Q41" i="2" s="1"/>
  <c r="I594" i="2"/>
  <c r="M594" i="2" s="1"/>
  <c r="N594" i="2" s="1"/>
  <c r="O594" i="2" s="1"/>
  <c r="P594" i="2" s="1"/>
  <c r="Q594" i="2" s="1"/>
  <c r="I530" i="2"/>
  <c r="M530" i="2" s="1"/>
  <c r="N530" i="2" s="1"/>
  <c r="O530" i="2" s="1"/>
  <c r="P530" i="2" s="1"/>
  <c r="Q530" i="2" s="1"/>
  <c r="I466" i="2"/>
  <c r="M466" i="2" s="1"/>
  <c r="N466" i="2" s="1"/>
  <c r="I354" i="2"/>
  <c r="M354" i="2" s="1"/>
  <c r="N354" i="2" s="1"/>
  <c r="I266" i="2"/>
  <c r="M266" i="2" s="1"/>
  <c r="N266" i="2" s="1"/>
  <c r="I186" i="2"/>
  <c r="M186" i="2" s="1"/>
  <c r="N186" i="2" s="1"/>
  <c r="O186" i="2" s="1"/>
  <c r="P186" i="2" s="1"/>
  <c r="Q186" i="2" s="1"/>
  <c r="I162" i="2"/>
  <c r="M162" i="2" s="1"/>
  <c r="N162" i="2" s="1"/>
  <c r="M74" i="2"/>
  <c r="N74" i="2" s="1"/>
  <c r="O74" i="2" s="1"/>
  <c r="P74" i="2" s="1"/>
  <c r="Q74" i="2" s="1"/>
  <c r="I336" i="2"/>
  <c r="M336" i="2" s="1"/>
  <c r="N336" i="2" s="1"/>
  <c r="O336" i="2" s="1"/>
  <c r="P336" i="2" s="1"/>
  <c r="Q336" i="2" s="1"/>
  <c r="I450" i="2"/>
  <c r="M450" i="2" s="1"/>
  <c r="N450" i="2" s="1"/>
  <c r="O450" i="2" s="1"/>
  <c r="P450" i="2" s="1"/>
  <c r="Q450" i="2" s="1"/>
  <c r="I31" i="2"/>
  <c r="M31" i="2" s="1"/>
  <c r="N31" i="2" s="1"/>
  <c r="O31" i="2" s="1"/>
  <c r="P31" i="2" s="1"/>
  <c r="Q31" i="2" s="1"/>
  <c r="I313" i="2"/>
  <c r="I437" i="2"/>
  <c r="I398" i="2"/>
  <c r="M499" i="2"/>
  <c r="N499" i="2" s="1"/>
  <c r="O499" i="2" s="1"/>
  <c r="P499" i="2" s="1"/>
  <c r="Q499" i="2" s="1"/>
  <c r="I486" i="2"/>
  <c r="M486" i="2" s="1"/>
  <c r="N486" i="2" s="1"/>
  <c r="O486" i="2" s="1"/>
  <c r="P486" i="2" s="1"/>
  <c r="Q486" i="2" s="1"/>
  <c r="I213" i="2"/>
  <c r="M213" i="2" s="1"/>
  <c r="N213" i="2" s="1"/>
  <c r="O213" i="2" s="1"/>
  <c r="P123" i="2"/>
  <c r="Q123" i="2" s="1"/>
  <c r="I393" i="2"/>
  <c r="M393" i="2" s="1"/>
  <c r="N393" i="2" s="1"/>
  <c r="O393" i="2" s="1"/>
  <c r="P393" i="2" s="1"/>
  <c r="Q393" i="2" s="1"/>
  <c r="I250" i="2"/>
  <c r="M250" i="2" s="1"/>
  <c r="N250" i="2" s="1"/>
  <c r="O250" i="2" s="1"/>
  <c r="P250" i="2" s="1"/>
  <c r="Q250" i="2" s="1"/>
  <c r="I194" i="2"/>
  <c r="M194" i="2" s="1"/>
  <c r="N194" i="2" s="1"/>
  <c r="O194" i="2" s="1"/>
  <c r="P194" i="2" s="1"/>
  <c r="Q194" i="2" s="1"/>
  <c r="M52" i="2"/>
  <c r="N52" i="2" s="1"/>
  <c r="O52" i="2" s="1"/>
  <c r="P52" i="2" s="1"/>
  <c r="Q52" i="2" s="1"/>
  <c r="I369" i="2"/>
  <c r="M369" i="2" s="1"/>
  <c r="N369" i="2" s="1"/>
  <c r="O369" i="2" s="1"/>
  <c r="P369" i="2" s="1"/>
  <c r="Q369" i="2" s="1"/>
  <c r="I264" i="2"/>
  <c r="M264" i="2" s="1"/>
  <c r="N264" i="2" s="1"/>
  <c r="O264" i="2" s="1"/>
  <c r="P264" i="2" s="1"/>
  <c r="Q264" i="2" s="1"/>
  <c r="M583" i="2"/>
  <c r="N583" i="2" s="1"/>
  <c r="O583" i="2" s="1"/>
  <c r="P583" i="2" s="1"/>
  <c r="Q583" i="2" s="1"/>
  <c r="I511" i="2"/>
  <c r="M511" i="2" s="1"/>
  <c r="N511" i="2" s="1"/>
  <c r="O511" i="2" s="1"/>
  <c r="I263" i="2"/>
  <c r="M263" i="2" s="1"/>
  <c r="N263" i="2" s="1"/>
  <c r="O263" i="2" s="1"/>
  <c r="P263" i="2" s="1"/>
  <c r="Q263" i="2" s="1"/>
  <c r="I79" i="2"/>
  <c r="M79" i="2" s="1"/>
  <c r="N79" i="2" s="1"/>
  <c r="O79" i="2" s="1"/>
  <c r="P79" i="2" s="1"/>
  <c r="Q79" i="2" s="1"/>
  <c r="I590" i="2"/>
  <c r="M590" i="2" s="1"/>
  <c r="N590" i="2" s="1"/>
  <c r="O590" i="2" s="1"/>
  <c r="P590" i="2" s="1"/>
  <c r="Q590" i="2" s="1"/>
  <c r="I550" i="2"/>
  <c r="M550" i="2" s="1"/>
  <c r="N550" i="2" s="1"/>
  <c r="I430" i="2"/>
  <c r="M430" i="2" s="1"/>
  <c r="N430" i="2" s="1"/>
  <c r="I18" i="2"/>
  <c r="M18" i="2" s="1"/>
  <c r="N18" i="2" s="1"/>
  <c r="O18" i="2" s="1"/>
  <c r="P18" i="2" s="1"/>
  <c r="Q18" i="2" s="1"/>
  <c r="P214" i="2"/>
  <c r="Q214" i="2" s="1"/>
  <c r="M470" i="2"/>
  <c r="N470" i="2" s="1"/>
  <c r="O470" i="2" s="1"/>
  <c r="P470" i="2" s="1"/>
  <c r="Q470" i="2" s="1"/>
  <c r="M244" i="2"/>
  <c r="N244" i="2" s="1"/>
  <c r="O244" i="2" s="1"/>
  <c r="P244" i="2" s="1"/>
  <c r="Q244" i="2" s="1"/>
  <c r="M240" i="2"/>
  <c r="N240" i="2" s="1"/>
  <c r="I416" i="2"/>
  <c r="M416" i="2" s="1"/>
  <c r="N416" i="2" s="1"/>
  <c r="O416" i="2" s="1"/>
  <c r="P416" i="2" s="1"/>
  <c r="Q416" i="2" s="1"/>
  <c r="P136" i="2"/>
  <c r="Q136" i="2" s="1"/>
  <c r="M531" i="2"/>
  <c r="N531" i="2" s="1"/>
  <c r="O531" i="2" s="1"/>
  <c r="P531" i="2" s="1"/>
  <c r="Q531" i="2" s="1"/>
  <c r="I139" i="2"/>
  <c r="M139" i="2" s="1"/>
  <c r="N139" i="2" s="1"/>
  <c r="I115" i="2"/>
  <c r="M67" i="2"/>
  <c r="N67" i="2" s="1"/>
  <c r="O67" i="2" s="1"/>
  <c r="P67" i="2" s="1"/>
  <c r="Q67" i="2" s="1"/>
  <c r="I572" i="2"/>
  <c r="M572" i="2" s="1"/>
  <c r="N572" i="2" s="1"/>
  <c r="O572" i="2" s="1"/>
  <c r="P572" i="2" s="1"/>
  <c r="Q572" i="2" s="1"/>
  <c r="I375" i="2"/>
  <c r="M375" i="2" s="1"/>
  <c r="N375" i="2" s="1"/>
  <c r="I514" i="2"/>
  <c r="M514" i="2" s="1"/>
  <c r="N514" i="2" s="1"/>
  <c r="O514" i="2" s="1"/>
  <c r="P514" i="2" s="1"/>
  <c r="Q514" i="2" s="1"/>
  <c r="I402" i="2"/>
  <c r="M402" i="2" s="1"/>
  <c r="N402" i="2" s="1"/>
  <c r="O402" i="2" s="1"/>
  <c r="P402" i="2" s="1"/>
  <c r="Q402" i="2" s="1"/>
  <c r="I378" i="2"/>
  <c r="M378" i="2" s="1"/>
  <c r="N378" i="2" s="1"/>
  <c r="O378" i="2" s="1"/>
  <c r="P378" i="2" s="1"/>
  <c r="Q378" i="2" s="1"/>
  <c r="M290" i="2"/>
  <c r="N290" i="2" s="1"/>
  <c r="O290" i="2" s="1"/>
  <c r="P290" i="2" s="1"/>
  <c r="Q290" i="2" s="1"/>
  <c r="I242" i="2"/>
  <c r="M242" i="2" s="1"/>
  <c r="N242" i="2" s="1"/>
  <c r="O242" i="2" s="1"/>
  <c r="P242" i="2" s="1"/>
  <c r="Q242" i="2" s="1"/>
  <c r="I146" i="2"/>
  <c r="M146" i="2" s="1"/>
  <c r="N146" i="2" s="1"/>
  <c r="I122" i="2"/>
  <c r="M122" i="2" s="1"/>
  <c r="N122" i="2" s="1"/>
  <c r="O122" i="2" s="1"/>
  <c r="P122" i="2" s="1"/>
  <c r="Q122" i="2" s="1"/>
  <c r="I440" i="2"/>
  <c r="M440" i="2" s="1"/>
  <c r="N440" i="2" s="1"/>
  <c r="O440" i="2" s="1"/>
  <c r="P440" i="2" s="1"/>
  <c r="Q440" i="2" s="1"/>
  <c r="I296" i="2"/>
  <c r="M296" i="2" s="1"/>
  <c r="N296" i="2" s="1"/>
  <c r="M93" i="2"/>
  <c r="N93" i="2" s="1"/>
  <c r="O93" i="2" s="1"/>
  <c r="P93" i="2" s="1"/>
  <c r="Q93" i="2" s="1"/>
  <c r="M44" i="2"/>
  <c r="N44" i="2" s="1"/>
  <c r="O44" i="2" s="1"/>
  <c r="P44" i="2" s="1"/>
  <c r="Q44" i="2" s="1"/>
  <c r="I513" i="2"/>
  <c r="M513" i="2" s="1"/>
  <c r="N513" i="2" s="1"/>
  <c r="O513" i="2" s="1"/>
  <c r="P513" i="2" s="1"/>
  <c r="Q513" i="2" s="1"/>
  <c r="I297" i="2"/>
  <c r="M297" i="2" s="1"/>
  <c r="N297" i="2" s="1"/>
  <c r="O297" i="2" s="1"/>
  <c r="P297" i="2" s="1"/>
  <c r="Q297" i="2" s="1"/>
  <c r="I249" i="2"/>
  <c r="M249" i="2" s="1"/>
  <c r="N249" i="2" s="1"/>
  <c r="O249" i="2" s="1"/>
  <c r="P249" i="2" s="1"/>
  <c r="Q249" i="2" s="1"/>
  <c r="I209" i="2"/>
  <c r="M209" i="2" s="1"/>
  <c r="N209" i="2" s="1"/>
  <c r="O209" i="2" s="1"/>
  <c r="P209" i="2" s="1"/>
  <c r="Q209" i="2" s="1"/>
  <c r="I185" i="2"/>
  <c r="M185" i="2" s="1"/>
  <c r="N185" i="2" s="1"/>
  <c r="I153" i="2"/>
  <c r="M153" i="2" s="1"/>
  <c r="N153" i="2" s="1"/>
  <c r="O153" i="2" s="1"/>
  <c r="P153" i="2" s="1"/>
  <c r="Q153" i="2" s="1"/>
  <c r="M97" i="2"/>
  <c r="N97" i="2" s="1"/>
  <c r="I288" i="2"/>
  <c r="M288" i="2" s="1"/>
  <c r="N288" i="2" s="1"/>
  <c r="O288" i="2" s="1"/>
  <c r="P288" i="2" s="1"/>
  <c r="Q288" i="2" s="1"/>
  <c r="I580" i="2"/>
  <c r="M580" i="2" s="1"/>
  <c r="N580" i="2" s="1"/>
  <c r="I412" i="2"/>
  <c r="M412" i="2" s="1"/>
  <c r="N412" i="2" s="1"/>
  <c r="I92" i="2"/>
  <c r="M92" i="2" s="1"/>
  <c r="N92" i="2" s="1"/>
  <c r="O92" i="2" s="1"/>
  <c r="I544" i="2"/>
  <c r="M544" i="2" s="1"/>
  <c r="N544" i="2" s="1"/>
  <c r="O544" i="2" s="1"/>
  <c r="P544" i="2" s="1"/>
  <c r="Q544" i="2" s="1"/>
  <c r="I124" i="2"/>
  <c r="I551" i="2"/>
  <c r="M551" i="2" s="1"/>
  <c r="N551" i="2" s="1"/>
  <c r="O551" i="2" s="1"/>
  <c r="P551" i="2" s="1"/>
  <c r="Q551" i="2" s="1"/>
  <c r="I399" i="2"/>
  <c r="M399" i="2" s="1"/>
  <c r="N399" i="2" s="1"/>
  <c r="O399" i="2" s="1"/>
  <c r="P399" i="2" s="1"/>
  <c r="Q399" i="2" s="1"/>
  <c r="I367" i="2"/>
  <c r="M367" i="2" s="1"/>
  <c r="N367" i="2" s="1"/>
  <c r="I143" i="2"/>
  <c r="M143" i="2" s="1"/>
  <c r="N143" i="2" s="1"/>
  <c r="O143" i="2" s="1"/>
  <c r="P143" i="2" s="1"/>
  <c r="Q143" i="2" s="1"/>
  <c r="I261" i="2"/>
  <c r="M261" i="2" s="1"/>
  <c r="N261" i="2" s="1"/>
  <c r="O261" i="2" s="1"/>
  <c r="P261" i="2" s="1"/>
  <c r="Q261" i="2" s="1"/>
  <c r="I453" i="2"/>
  <c r="M453" i="2" s="1"/>
  <c r="N453" i="2" s="1"/>
  <c r="O453" i="2" s="1"/>
  <c r="P453" i="2" s="1"/>
  <c r="Q453" i="2" s="1"/>
  <c r="I405" i="2"/>
  <c r="M405" i="2" s="1"/>
  <c r="N405" i="2" s="1"/>
  <c r="O405" i="2" s="1"/>
  <c r="P405" i="2" s="1"/>
  <c r="Q405" i="2" s="1"/>
  <c r="I221" i="2"/>
  <c r="M221" i="2" s="1"/>
  <c r="N221" i="2" s="1"/>
  <c r="I173" i="2"/>
  <c r="M173" i="2" s="1"/>
  <c r="N173" i="2" s="1"/>
  <c r="O173" i="2" s="1"/>
  <c r="P173" i="2" s="1"/>
  <c r="Q173" i="2" s="1"/>
  <c r="I133" i="2"/>
  <c r="M133" i="2" s="1"/>
  <c r="N133" i="2" s="1"/>
  <c r="I168" i="2"/>
  <c r="M168" i="2" s="1"/>
  <c r="N168" i="2" s="1"/>
  <c r="O168" i="2" s="1"/>
  <c r="P168" i="2" s="1"/>
  <c r="Q168" i="2" s="1"/>
  <c r="I566" i="2"/>
  <c r="M566" i="2" s="1"/>
  <c r="N566" i="2" s="1"/>
  <c r="I542" i="2"/>
  <c r="M542" i="2" s="1"/>
  <c r="N542" i="2" s="1"/>
  <c r="O542" i="2" s="1"/>
  <c r="I454" i="2"/>
  <c r="M454" i="2" s="1"/>
  <c r="N454" i="2" s="1"/>
  <c r="I334" i="2"/>
  <c r="M334" i="2" s="1"/>
  <c r="N334" i="2" s="1"/>
  <c r="O334" i="2" s="1"/>
  <c r="P334" i="2" s="1"/>
  <c r="Q334" i="2" s="1"/>
  <c r="I206" i="2"/>
  <c r="M206" i="2" s="1"/>
  <c r="N206" i="2" s="1"/>
  <c r="I78" i="2"/>
  <c r="M78" i="2" s="1"/>
  <c r="N78" i="2" s="1"/>
  <c r="I301" i="2"/>
  <c r="M301" i="2" s="1"/>
  <c r="N301" i="2" s="1"/>
  <c r="O301" i="2" s="1"/>
  <c r="P301" i="2" s="1"/>
  <c r="Q301" i="2" s="1"/>
  <c r="I230" i="2"/>
  <c r="M230" i="2" s="1"/>
  <c r="N230" i="2" s="1"/>
  <c r="I82" i="2"/>
  <c r="M82" i="2" s="1"/>
  <c r="N82" i="2" s="1"/>
  <c r="P82" i="2" s="1"/>
  <c r="Q82" i="2" s="1"/>
  <c r="M65" i="2"/>
  <c r="N65" i="2" s="1"/>
  <c r="O65" i="2" s="1"/>
  <c r="M285" i="2"/>
  <c r="N285" i="2" s="1"/>
  <c r="M512" i="2"/>
  <c r="N512" i="2" s="1"/>
  <c r="O512" i="2" s="1"/>
  <c r="P512" i="2" s="1"/>
  <c r="Q512" i="2" s="1"/>
  <c r="M325" i="2"/>
  <c r="N325" i="2" s="1"/>
  <c r="O325" i="2" s="1"/>
  <c r="P325" i="2" s="1"/>
  <c r="Q325" i="2" s="1"/>
  <c r="M298" i="2"/>
  <c r="N298" i="2" s="1"/>
  <c r="M217" i="2"/>
  <c r="N217" i="2" s="1"/>
  <c r="O20" i="2"/>
  <c r="P20" i="2" s="1"/>
  <c r="Q20" i="2" s="1"/>
  <c r="I232" i="2"/>
  <c r="M232" i="2" s="1"/>
  <c r="N232" i="2" s="1"/>
  <c r="O232" i="2" s="1"/>
  <c r="P232" i="2" s="1"/>
  <c r="Q232" i="2" s="1"/>
  <c r="I427" i="2"/>
  <c r="M427" i="2" s="1"/>
  <c r="N427" i="2" s="1"/>
  <c r="O427" i="2" s="1"/>
  <c r="P427" i="2" s="1"/>
  <c r="Q427" i="2" s="1"/>
  <c r="M322" i="2"/>
  <c r="N322" i="2" s="1"/>
  <c r="O322" i="2" s="1"/>
  <c r="P322" i="2" s="1"/>
  <c r="Q322" i="2" s="1"/>
  <c r="I361" i="2"/>
  <c r="M361" i="2" s="1"/>
  <c r="N361" i="2" s="1"/>
  <c r="O361" i="2" s="1"/>
  <c r="P361" i="2" s="1"/>
  <c r="Q361" i="2" s="1"/>
  <c r="M313" i="2"/>
  <c r="N313" i="2" s="1"/>
  <c r="O313" i="2" s="1"/>
  <c r="I273" i="2"/>
  <c r="M273" i="2" s="1"/>
  <c r="N273" i="2" s="1"/>
  <c r="I121" i="2"/>
  <c r="M121" i="2" s="1"/>
  <c r="N121" i="2" s="1"/>
  <c r="I432" i="2"/>
  <c r="M432" i="2" s="1"/>
  <c r="N432" i="2" s="1"/>
  <c r="O432" i="2" s="1"/>
  <c r="P432" i="2" s="1"/>
  <c r="Q432" i="2" s="1"/>
  <c r="I376" i="2"/>
  <c r="M376" i="2" s="1"/>
  <c r="N376" i="2" s="1"/>
  <c r="O376" i="2" s="1"/>
  <c r="I320" i="2"/>
  <c r="M320" i="2" s="1"/>
  <c r="N320" i="2" s="1"/>
  <c r="I248" i="2"/>
  <c r="I612" i="2"/>
  <c r="M612" i="2" s="1"/>
  <c r="N612" i="2" s="1"/>
  <c r="O612" i="2" s="1"/>
  <c r="I540" i="2"/>
  <c r="M540" i="2" s="1"/>
  <c r="N540" i="2" s="1"/>
  <c r="O540" i="2" s="1"/>
  <c r="I460" i="2"/>
  <c r="M460" i="2" s="1"/>
  <c r="N460" i="2" s="1"/>
  <c r="I380" i="2"/>
  <c r="M380" i="2" s="1"/>
  <c r="N380" i="2" s="1"/>
  <c r="O380" i="2" s="1"/>
  <c r="P380" i="2" s="1"/>
  <c r="Q380" i="2" s="1"/>
  <c r="I284" i="2"/>
  <c r="M284" i="2" s="1"/>
  <c r="N284" i="2" s="1"/>
  <c r="O284" i="2" s="1"/>
  <c r="P284" i="2" s="1"/>
  <c r="Q284" i="2" s="1"/>
  <c r="I132" i="2"/>
  <c r="M132" i="2" s="1"/>
  <c r="N132" i="2" s="1"/>
  <c r="I69" i="2"/>
  <c r="M69" i="2" s="1"/>
  <c r="N69" i="2" s="1"/>
  <c r="O69" i="2" s="1"/>
  <c r="P69" i="2" s="1"/>
  <c r="Q69" i="2" s="1"/>
  <c r="I85" i="2"/>
  <c r="M85" i="2" s="1"/>
  <c r="N85" i="2" s="1"/>
  <c r="O85" i="2" s="1"/>
  <c r="P85" i="2" s="1"/>
  <c r="Q85" i="2" s="1"/>
  <c r="M437" i="2"/>
  <c r="N437" i="2" s="1"/>
  <c r="M196" i="2"/>
  <c r="N196" i="2" s="1"/>
  <c r="O196" i="2" s="1"/>
  <c r="P196" i="2" s="1"/>
  <c r="Q196" i="2" s="1"/>
  <c r="I315" i="2"/>
  <c r="M315" i="2" s="1"/>
  <c r="N315" i="2" s="1"/>
  <c r="I278" i="2"/>
  <c r="M278" i="2" s="1"/>
  <c r="N278" i="2" s="1"/>
  <c r="M598" i="2"/>
  <c r="N598" i="2" s="1"/>
  <c r="O598" i="2" s="1"/>
  <c r="P598" i="2" s="1"/>
  <c r="Q598" i="2" s="1"/>
  <c r="M50" i="2"/>
  <c r="N50" i="2" s="1"/>
  <c r="O50" i="2" s="1"/>
  <c r="P50" i="2" s="1"/>
  <c r="Q50" i="2" s="1"/>
  <c r="I443" i="2"/>
  <c r="M443" i="2" s="1"/>
  <c r="N443" i="2" s="1"/>
  <c r="M371" i="2"/>
  <c r="N371" i="2" s="1"/>
  <c r="O371" i="2" s="1"/>
  <c r="P371" i="2" s="1"/>
  <c r="Q371" i="2" s="1"/>
  <c r="I299" i="2"/>
  <c r="M299" i="2" s="1"/>
  <c r="N299" i="2" s="1"/>
  <c r="O299" i="2" s="1"/>
  <c r="P299" i="2" s="1"/>
  <c r="Q299" i="2" s="1"/>
  <c r="I203" i="2"/>
  <c r="M203" i="2" s="1"/>
  <c r="N203" i="2" s="1"/>
  <c r="M77" i="2"/>
  <c r="N77" i="2" s="1"/>
  <c r="O77" i="2" s="1"/>
  <c r="P77" i="2" s="1"/>
  <c r="Q77" i="2" s="1"/>
  <c r="I160" i="2"/>
  <c r="M160" i="2" s="1"/>
  <c r="N160" i="2" s="1"/>
  <c r="I620" i="2"/>
  <c r="M620" i="2" s="1"/>
  <c r="N620" i="2" s="1"/>
  <c r="I420" i="2"/>
  <c r="M420" i="2" s="1"/>
  <c r="N420" i="2" s="1"/>
  <c r="O420" i="2" s="1"/>
  <c r="P420" i="2" s="1"/>
  <c r="Q420" i="2" s="1"/>
  <c r="M348" i="2"/>
  <c r="N348" i="2" s="1"/>
  <c r="O348" i="2" s="1"/>
  <c r="P348" i="2" s="1"/>
  <c r="Q348" i="2" s="1"/>
  <c r="M16" i="2"/>
  <c r="N16" i="2" s="1"/>
  <c r="O16" i="2" s="1"/>
  <c r="P16" i="2" s="1"/>
  <c r="Q16" i="2" s="1"/>
  <c r="M599" i="2"/>
  <c r="N599" i="2" s="1"/>
  <c r="O599" i="2" s="1"/>
  <c r="P599" i="2" s="1"/>
  <c r="Q599" i="2" s="1"/>
  <c r="I567" i="2"/>
  <c r="M567" i="2" s="1"/>
  <c r="N567" i="2" s="1"/>
  <c r="I543" i="2"/>
  <c r="M543" i="2" s="1"/>
  <c r="N543" i="2" s="1"/>
  <c r="O543" i="2" s="1"/>
  <c r="P543" i="2" s="1"/>
  <c r="Q543" i="2" s="1"/>
  <c r="M519" i="2"/>
  <c r="N519" i="2" s="1"/>
  <c r="O519" i="2" s="1"/>
  <c r="P519" i="2" s="1"/>
  <c r="Q519" i="2" s="1"/>
  <c r="I479" i="2"/>
  <c r="M479" i="2" s="1"/>
  <c r="N479" i="2" s="1"/>
  <c r="O479" i="2" s="1"/>
  <c r="P479" i="2" s="1"/>
  <c r="Q479" i="2" s="1"/>
  <c r="I455" i="2"/>
  <c r="M455" i="2" s="1"/>
  <c r="N455" i="2" s="1"/>
  <c r="O455" i="2" s="1"/>
  <c r="P455" i="2" s="1"/>
  <c r="Q455" i="2" s="1"/>
  <c r="I439" i="2"/>
  <c r="M439" i="2" s="1"/>
  <c r="N439" i="2" s="1"/>
  <c r="I391" i="2"/>
  <c r="M391" i="2" s="1"/>
  <c r="N391" i="2" s="1"/>
  <c r="O391" i="2" s="1"/>
  <c r="P391" i="2" s="1"/>
  <c r="Q391" i="2" s="1"/>
  <c r="I359" i="2"/>
  <c r="M359" i="2" s="1"/>
  <c r="N359" i="2" s="1"/>
  <c r="I335" i="2"/>
  <c r="M335" i="2" s="1"/>
  <c r="N335" i="2" s="1"/>
  <c r="O335" i="2" s="1"/>
  <c r="I271" i="2"/>
  <c r="M271" i="2" s="1"/>
  <c r="N271" i="2" s="1"/>
  <c r="O271" i="2" s="1"/>
  <c r="P271" i="2" s="1"/>
  <c r="Q271" i="2" s="1"/>
  <c r="I223" i="2"/>
  <c r="M223" i="2" s="1"/>
  <c r="N223" i="2" s="1"/>
  <c r="M183" i="2"/>
  <c r="N183" i="2" s="1"/>
  <c r="O183" i="2" s="1"/>
  <c r="P183" i="2" s="1"/>
  <c r="Q183" i="2" s="1"/>
  <c r="I159" i="2"/>
  <c r="M159" i="2" s="1"/>
  <c r="N159" i="2" s="1"/>
  <c r="O159" i="2" s="1"/>
  <c r="P159" i="2" s="1"/>
  <c r="Q159" i="2" s="1"/>
  <c r="M135" i="2"/>
  <c r="N135" i="2" s="1"/>
  <c r="O135" i="2" s="1"/>
  <c r="P135" i="2" s="1"/>
  <c r="Q135" i="2" s="1"/>
  <c r="I111" i="2"/>
  <c r="M111" i="2" s="1"/>
  <c r="N111" i="2" s="1"/>
  <c r="O111" i="2" s="1"/>
  <c r="P111" i="2" s="1"/>
  <c r="Q111" i="2" s="1"/>
  <c r="I87" i="2"/>
  <c r="M87" i="2" s="1"/>
  <c r="N87" i="2" s="1"/>
  <c r="O87" i="2" s="1"/>
  <c r="P87" i="2" s="1"/>
  <c r="Q87" i="2" s="1"/>
  <c r="I341" i="2"/>
  <c r="M326" i="2"/>
  <c r="N326" i="2" s="1"/>
  <c r="O326" i="2" s="1"/>
  <c r="P326" i="2" s="1"/>
  <c r="Q326" i="2" s="1"/>
  <c r="M262" i="2"/>
  <c r="N262" i="2" s="1"/>
  <c r="O262" i="2" s="1"/>
  <c r="P262" i="2" s="1"/>
  <c r="Q262" i="2" s="1"/>
  <c r="M198" i="2"/>
  <c r="N198" i="2" s="1"/>
  <c r="O198" i="2" s="1"/>
  <c r="P198" i="2" s="1"/>
  <c r="Q198" i="2" s="1"/>
  <c r="M238" i="2"/>
  <c r="N238" i="2" s="1"/>
  <c r="M181" i="2"/>
  <c r="N181" i="2" s="1"/>
  <c r="O181" i="2" s="1"/>
  <c r="M94" i="2"/>
  <c r="N94" i="2" s="1"/>
  <c r="O94" i="2" s="1"/>
  <c r="P94" i="2" s="1"/>
  <c r="Q94" i="2" s="1"/>
  <c r="M83" i="2"/>
  <c r="N83" i="2" s="1"/>
  <c r="O83" i="2" s="1"/>
  <c r="P83" i="2" s="1"/>
  <c r="Q83" i="2" s="1"/>
  <c r="M29" i="2"/>
  <c r="N29" i="2" s="1"/>
  <c r="O29" i="2" s="1"/>
  <c r="P29" i="2" s="1"/>
  <c r="Q29" i="2" s="1"/>
  <c r="M476" i="2"/>
  <c r="N476" i="2" s="1"/>
  <c r="O476" i="2" s="1"/>
  <c r="P476" i="2" s="1"/>
  <c r="Q476" i="2" s="1"/>
  <c r="M32" i="2"/>
  <c r="N32" i="2" s="1"/>
  <c r="O32" i="2" s="1"/>
  <c r="I474" i="2"/>
  <c r="M474" i="2" s="1"/>
  <c r="N474" i="2" s="1"/>
  <c r="O474" i="2" s="1"/>
  <c r="P474" i="2" s="1"/>
  <c r="Q474" i="2" s="1"/>
  <c r="M394" i="2"/>
  <c r="N394" i="2" s="1"/>
  <c r="O394" i="2" s="1"/>
  <c r="P394" i="2" s="1"/>
  <c r="Q394" i="2" s="1"/>
  <c r="I338" i="2"/>
  <c r="M338" i="2" s="1"/>
  <c r="N338" i="2" s="1"/>
  <c r="I202" i="2"/>
  <c r="M202" i="2" s="1"/>
  <c r="N202" i="2" s="1"/>
  <c r="O202" i="2" s="1"/>
  <c r="P202" i="2" s="1"/>
  <c r="Q202" i="2" s="1"/>
  <c r="I178" i="2"/>
  <c r="M178" i="2" s="1"/>
  <c r="N178" i="2" s="1"/>
  <c r="O178" i="2" s="1"/>
  <c r="P178" i="2" s="1"/>
  <c r="Q178" i="2" s="1"/>
  <c r="I154" i="2"/>
  <c r="M154" i="2" s="1"/>
  <c r="N154" i="2" s="1"/>
  <c r="O154" i="2" s="1"/>
  <c r="P154" i="2" s="1"/>
  <c r="Q154" i="2" s="1"/>
  <c r="I208" i="2"/>
  <c r="M208" i="2" s="1"/>
  <c r="N208" i="2" s="1"/>
  <c r="M377" i="2"/>
  <c r="N377" i="2" s="1"/>
  <c r="O377" i="2" s="1"/>
  <c r="P377" i="2" s="1"/>
  <c r="Q377" i="2" s="1"/>
  <c r="M81" i="2"/>
  <c r="N81" i="2" s="1"/>
  <c r="O81" i="2" s="1"/>
  <c r="P81" i="2" s="1"/>
  <c r="Q81" i="2" s="1"/>
  <c r="I472" i="2"/>
  <c r="M472" i="2" s="1"/>
  <c r="N472" i="2" s="1"/>
  <c r="O472" i="2" s="1"/>
  <c r="P472" i="2" s="1"/>
  <c r="Q472" i="2" s="1"/>
  <c r="I108" i="2"/>
  <c r="M108" i="2" s="1"/>
  <c r="N108" i="2" s="1"/>
  <c r="O108" i="2" s="1"/>
  <c r="P108" i="2" s="1"/>
  <c r="Q108" i="2" s="1"/>
  <c r="I608" i="2"/>
  <c r="M608" i="2" s="1"/>
  <c r="N608" i="2" s="1"/>
  <c r="O608" i="2" s="1"/>
  <c r="P608" i="2" s="1"/>
  <c r="Q608" i="2" s="1"/>
  <c r="I464" i="2"/>
  <c r="M464" i="2" s="1"/>
  <c r="N464" i="2" s="1"/>
  <c r="O464" i="2" s="1"/>
  <c r="P464" i="2" s="1"/>
  <c r="Q464" i="2" s="1"/>
  <c r="I548" i="2"/>
  <c r="M548" i="2" s="1"/>
  <c r="N548" i="2" s="1"/>
  <c r="O548" i="2" s="1"/>
  <c r="P548" i="2" s="1"/>
  <c r="Q548" i="2" s="1"/>
  <c r="M140" i="2"/>
  <c r="N140" i="2" s="1"/>
  <c r="I49" i="2"/>
  <c r="M49" i="2" s="1"/>
  <c r="N49" i="2" s="1"/>
  <c r="M13" i="2"/>
  <c r="N13" i="2" s="1"/>
  <c r="O13" i="2" s="1"/>
  <c r="I591" i="2"/>
  <c r="M591" i="2" s="1"/>
  <c r="N591" i="2" s="1"/>
  <c r="O591" i="2" s="1"/>
  <c r="P591" i="2" s="1"/>
  <c r="Q591" i="2" s="1"/>
  <c r="I327" i="2"/>
  <c r="M327" i="2" s="1"/>
  <c r="N327" i="2" s="1"/>
  <c r="O327" i="2" s="1"/>
  <c r="P327" i="2" s="1"/>
  <c r="Q327" i="2" s="1"/>
  <c r="I295" i="2"/>
  <c r="M295" i="2" s="1"/>
  <c r="N295" i="2" s="1"/>
  <c r="O295" i="2" s="1"/>
  <c r="P295" i="2" s="1"/>
  <c r="Q295" i="2" s="1"/>
  <c r="I589" i="2"/>
  <c r="M589" i="2" s="1"/>
  <c r="N589" i="2" s="1"/>
  <c r="O589" i="2" s="1"/>
  <c r="P589" i="2" s="1"/>
  <c r="Q589" i="2" s="1"/>
  <c r="M36" i="2"/>
  <c r="N36" i="2" s="1"/>
  <c r="O36" i="2" s="1"/>
  <c r="P36" i="2" s="1"/>
  <c r="Q36" i="2" s="1"/>
  <c r="I581" i="2"/>
  <c r="M581" i="2" s="1"/>
  <c r="N581" i="2" s="1"/>
  <c r="O581" i="2" s="1"/>
  <c r="P581" i="2" s="1"/>
  <c r="Q581" i="2" s="1"/>
  <c r="I485" i="2"/>
  <c r="M485" i="2" s="1"/>
  <c r="N485" i="2" s="1"/>
  <c r="O485" i="2" s="1"/>
  <c r="P485" i="2" s="1"/>
  <c r="Q485" i="2" s="1"/>
  <c r="I381" i="2"/>
  <c r="M381" i="2" s="1"/>
  <c r="N381" i="2" s="1"/>
  <c r="O381" i="2" s="1"/>
  <c r="P381" i="2" s="1"/>
  <c r="Q381" i="2" s="1"/>
  <c r="I269" i="2"/>
  <c r="M269" i="2" s="1"/>
  <c r="N269" i="2" s="1"/>
  <c r="O269" i="2" s="1"/>
  <c r="I109" i="2"/>
  <c r="M109" i="2" s="1"/>
  <c r="N109" i="2" s="1"/>
  <c r="O545" i="2"/>
  <c r="P545" i="2" s="1"/>
  <c r="Q545" i="2" s="1"/>
  <c r="O112" i="2"/>
  <c r="P112" i="2" s="1"/>
  <c r="Q112" i="2" s="1"/>
  <c r="O120" i="2"/>
  <c r="P120" i="2" s="1"/>
  <c r="Q120" i="2" s="1"/>
  <c r="O128" i="2"/>
  <c r="P128" i="2" s="1"/>
  <c r="Q128" i="2" s="1"/>
  <c r="O147" i="2"/>
  <c r="P147" i="2" s="1"/>
  <c r="Q147" i="2" s="1"/>
  <c r="O180" i="2"/>
  <c r="P180" i="2" s="1"/>
  <c r="Q180" i="2" s="1"/>
  <c r="O56" i="2"/>
  <c r="P56" i="2" s="1"/>
  <c r="Q56" i="2" s="1"/>
  <c r="I554" i="2"/>
  <c r="M554" i="2" s="1"/>
  <c r="N554" i="2" s="1"/>
  <c r="O554" i="2" s="1"/>
  <c r="P554" i="2" s="1"/>
  <c r="Q554" i="2" s="1"/>
  <c r="I64" i="2"/>
  <c r="M64" i="2" s="1"/>
  <c r="N64" i="2" s="1"/>
  <c r="O64" i="2" s="1"/>
  <c r="P64" i="2" s="1"/>
  <c r="Q64" i="2" s="1"/>
  <c r="I433" i="2"/>
  <c r="M433" i="2" s="1"/>
  <c r="N433" i="2" s="1"/>
  <c r="O433" i="2" s="1"/>
  <c r="P433" i="2" s="1"/>
  <c r="Q433" i="2" s="1"/>
  <c r="I385" i="2"/>
  <c r="M385" i="2" s="1"/>
  <c r="N385" i="2" s="1"/>
  <c r="I528" i="2"/>
  <c r="M528" i="2" s="1"/>
  <c r="N528" i="2" s="1"/>
  <c r="I88" i="2"/>
  <c r="M88" i="2" s="1"/>
  <c r="N88" i="2" s="1"/>
  <c r="M210" i="2"/>
  <c r="N210" i="2" s="1"/>
  <c r="I480" i="2"/>
  <c r="M480" i="2" s="1"/>
  <c r="N480" i="2" s="1"/>
  <c r="O480" i="2" s="1"/>
  <c r="P480" i="2" s="1"/>
  <c r="Q480" i="2" s="1"/>
  <c r="I318" i="2"/>
  <c r="M318" i="2" s="1"/>
  <c r="N318" i="2" s="1"/>
  <c r="M379" i="2"/>
  <c r="N379" i="2" s="1"/>
  <c r="O379" i="2" s="1"/>
  <c r="P379" i="2" s="1"/>
  <c r="Q379" i="2" s="1"/>
  <c r="M496" i="2"/>
  <c r="N496" i="2" s="1"/>
  <c r="O496" i="2" s="1"/>
  <c r="P496" i="2" s="1"/>
  <c r="Q496" i="2" s="1"/>
  <c r="O162" i="2"/>
  <c r="P162" i="2" s="1"/>
  <c r="Q162" i="2" s="1"/>
  <c r="P269" i="2"/>
  <c r="Q269" i="2" s="1"/>
  <c r="O51" i="2"/>
  <c r="P51" i="2" s="1"/>
  <c r="Q51" i="2" s="1"/>
  <c r="P28" i="2"/>
  <c r="Q28" i="2" s="1"/>
  <c r="O222" i="2"/>
  <c r="P222" i="2" s="1"/>
  <c r="Q222" i="2" s="1"/>
  <c r="O121" i="2"/>
  <c r="P121" i="2" s="1"/>
  <c r="Q121" i="2" s="1"/>
  <c r="I603" i="2"/>
  <c r="M603" i="2" s="1"/>
  <c r="N603" i="2" s="1"/>
  <c r="I587" i="2"/>
  <c r="M587" i="2" s="1"/>
  <c r="N587" i="2" s="1"/>
  <c r="O587" i="2" s="1"/>
  <c r="P587" i="2" s="1"/>
  <c r="Q587" i="2" s="1"/>
  <c r="I563" i="2"/>
  <c r="M563" i="2" s="1"/>
  <c r="N563" i="2" s="1"/>
  <c r="O563" i="2" s="1"/>
  <c r="P563" i="2" s="1"/>
  <c r="Q563" i="2" s="1"/>
  <c r="I243" i="2"/>
  <c r="M243" i="2" s="1"/>
  <c r="N243" i="2" s="1"/>
  <c r="O243" i="2" s="1"/>
  <c r="P243" i="2" s="1"/>
  <c r="Q243" i="2" s="1"/>
  <c r="I179" i="2"/>
  <c r="M179" i="2" s="1"/>
  <c r="N179" i="2" s="1"/>
  <c r="I155" i="2"/>
  <c r="M155" i="2" s="1"/>
  <c r="N155" i="2" s="1"/>
  <c r="I556" i="2"/>
  <c r="M556" i="2" s="1"/>
  <c r="N556" i="2" s="1"/>
  <c r="M300" i="2"/>
  <c r="N300" i="2" s="1"/>
  <c r="K300" i="2"/>
  <c r="L300" i="2" s="1"/>
  <c r="I458" i="2"/>
  <c r="M458" i="2" s="1"/>
  <c r="N458" i="2" s="1"/>
  <c r="O458" i="2" s="1"/>
  <c r="P458" i="2" s="1"/>
  <c r="Q458" i="2" s="1"/>
  <c r="M282" i="2"/>
  <c r="N282" i="2" s="1"/>
  <c r="K282" i="2"/>
  <c r="L282" i="2" s="1"/>
  <c r="I258" i="2"/>
  <c r="M258" i="2" s="1"/>
  <c r="N258" i="2" s="1"/>
  <c r="I234" i="2"/>
  <c r="M234" i="2" s="1"/>
  <c r="N234" i="2" s="1"/>
  <c r="I616" i="2"/>
  <c r="M616" i="2" s="1"/>
  <c r="N616" i="2" s="1"/>
  <c r="M80" i="2"/>
  <c r="N80" i="2" s="1"/>
  <c r="O80" i="2" s="1"/>
  <c r="P80" i="2" s="1"/>
  <c r="Q80" i="2" s="1"/>
  <c r="M71" i="2"/>
  <c r="N71" i="2" s="1"/>
  <c r="I425" i="2"/>
  <c r="M425" i="2" s="1"/>
  <c r="N425" i="2" s="1"/>
  <c r="O425" i="2" s="1"/>
  <c r="P425" i="2" s="1"/>
  <c r="Q425" i="2" s="1"/>
  <c r="I401" i="2"/>
  <c r="M401" i="2" s="1"/>
  <c r="N401" i="2" s="1"/>
  <c r="M89" i="2"/>
  <c r="N89" i="2" s="1"/>
  <c r="O89" i="2" s="1"/>
  <c r="P89" i="2" s="1"/>
  <c r="Q89" i="2" s="1"/>
  <c r="I552" i="2"/>
  <c r="M552" i="2" s="1"/>
  <c r="N552" i="2" s="1"/>
  <c r="I280" i="2"/>
  <c r="M280" i="2" s="1"/>
  <c r="N280" i="2" s="1"/>
  <c r="I200" i="2"/>
  <c r="M200" i="2" s="1"/>
  <c r="N200" i="2" s="1"/>
  <c r="I76" i="2"/>
  <c r="M76" i="2" s="1"/>
  <c r="N76" i="2" s="1"/>
  <c r="I448" i="2"/>
  <c r="M448" i="2" s="1"/>
  <c r="N448" i="2" s="1"/>
  <c r="O448" i="2" s="1"/>
  <c r="P448" i="2" s="1"/>
  <c r="Q448" i="2" s="1"/>
  <c r="I184" i="2"/>
  <c r="M184" i="2" s="1"/>
  <c r="N184" i="2" s="1"/>
  <c r="I324" i="2"/>
  <c r="M324" i="2" s="1"/>
  <c r="N324" i="2" s="1"/>
  <c r="I172" i="2"/>
  <c r="M172" i="2" s="1"/>
  <c r="N172" i="2" s="1"/>
  <c r="O172" i="2" s="1"/>
  <c r="P172" i="2" s="1"/>
  <c r="Q172" i="2" s="1"/>
  <c r="I535" i="2"/>
  <c r="M535" i="2" s="1"/>
  <c r="N535" i="2" s="1"/>
  <c r="O535" i="2" s="1"/>
  <c r="P535" i="2" s="1"/>
  <c r="Q535" i="2" s="1"/>
  <c r="I471" i="2"/>
  <c r="M471" i="2" s="1"/>
  <c r="N471" i="2" s="1"/>
  <c r="I407" i="2"/>
  <c r="M407" i="2" s="1"/>
  <c r="N407" i="2" s="1"/>
  <c r="O407" i="2" s="1"/>
  <c r="P407" i="2" s="1"/>
  <c r="Q407" i="2" s="1"/>
  <c r="I287" i="2"/>
  <c r="M287" i="2" s="1"/>
  <c r="N287" i="2" s="1"/>
  <c r="O287" i="2" s="1"/>
  <c r="P287" i="2" s="1"/>
  <c r="Q287" i="2" s="1"/>
  <c r="I239" i="2"/>
  <c r="M239" i="2" s="1"/>
  <c r="N239" i="2" s="1"/>
  <c r="O239" i="2" s="1"/>
  <c r="P239" i="2" s="1"/>
  <c r="Q239" i="2" s="1"/>
  <c r="I215" i="2"/>
  <c r="M215" i="2" s="1"/>
  <c r="N215" i="2" s="1"/>
  <c r="O215" i="2" s="1"/>
  <c r="P215" i="2" s="1"/>
  <c r="Q215" i="2" s="1"/>
  <c r="M175" i="2"/>
  <c r="N175" i="2" s="1"/>
  <c r="O175" i="2" s="1"/>
  <c r="P175" i="2" s="1"/>
  <c r="Q175" i="2" s="1"/>
  <c r="I45" i="2"/>
  <c r="M45" i="2" s="1"/>
  <c r="N45" i="2" s="1"/>
  <c r="O45" i="2" s="1"/>
  <c r="P45" i="2" s="1"/>
  <c r="Q45" i="2" s="1"/>
  <c r="I509" i="2"/>
  <c r="M509" i="2" s="1"/>
  <c r="N509" i="2" s="1"/>
  <c r="O509" i="2" s="1"/>
  <c r="P509" i="2" s="1"/>
  <c r="Q509" i="2" s="1"/>
  <c r="I389" i="2"/>
  <c r="M389" i="2" s="1"/>
  <c r="N389" i="2" s="1"/>
  <c r="O389" i="2" s="1"/>
  <c r="P389" i="2" s="1"/>
  <c r="Q389" i="2" s="1"/>
  <c r="M341" i="2"/>
  <c r="N341" i="2" s="1"/>
  <c r="I309" i="2"/>
  <c r="M309" i="2" s="1"/>
  <c r="N309" i="2" s="1"/>
  <c r="O309" i="2" s="1"/>
  <c r="P309" i="2" s="1"/>
  <c r="Q309" i="2" s="1"/>
  <c r="I253" i="2"/>
  <c r="M253" i="2" s="1"/>
  <c r="N253" i="2" s="1"/>
  <c r="O253" i="2" s="1"/>
  <c r="P253" i="2" s="1"/>
  <c r="Q253" i="2" s="1"/>
  <c r="M577" i="2"/>
  <c r="N577" i="2" s="1"/>
  <c r="O577" i="2" s="1"/>
  <c r="P577" i="2" s="1"/>
  <c r="Q577" i="2" s="1"/>
  <c r="M553" i="2"/>
  <c r="N553" i="2" s="1"/>
  <c r="O553" i="2" s="1"/>
  <c r="P553" i="2" s="1"/>
  <c r="Q553" i="2" s="1"/>
  <c r="M611" i="2"/>
  <c r="N611" i="2" s="1"/>
  <c r="I131" i="2"/>
  <c r="M131" i="2" s="1"/>
  <c r="N131" i="2" s="1"/>
  <c r="I429" i="2"/>
  <c r="M429" i="2" s="1"/>
  <c r="N429" i="2" s="1"/>
  <c r="I605" i="2"/>
  <c r="M605" i="2" s="1"/>
  <c r="N605" i="2" s="1"/>
  <c r="O206" i="2"/>
  <c r="P206" i="2" s="1"/>
  <c r="Q206" i="2" s="1"/>
  <c r="M98" i="2"/>
  <c r="N98" i="2" s="1"/>
  <c r="O98" i="2" s="1"/>
  <c r="P98" i="2" s="1"/>
  <c r="Q98" i="2" s="1"/>
  <c r="M438" i="2"/>
  <c r="N438" i="2" s="1"/>
  <c r="O438" i="2" s="1"/>
  <c r="P438" i="2" s="1"/>
  <c r="Q438" i="2" s="1"/>
  <c r="I560" i="2"/>
  <c r="M560" i="2" s="1"/>
  <c r="N560" i="2" s="1"/>
  <c r="I351" i="2"/>
  <c r="M351" i="2" s="1"/>
  <c r="N351" i="2" s="1"/>
  <c r="M39" i="2"/>
  <c r="N39" i="2" s="1"/>
  <c r="O39" i="2" s="1"/>
  <c r="P39" i="2" s="1"/>
  <c r="Q39" i="2" s="1"/>
  <c r="M557" i="2"/>
  <c r="N557" i="2" s="1"/>
  <c r="I494" i="2"/>
  <c r="M494" i="2" s="1"/>
  <c r="N494" i="2" s="1"/>
  <c r="O494" i="2" s="1"/>
  <c r="P494" i="2" s="1"/>
  <c r="Q494" i="2" s="1"/>
  <c r="I446" i="2"/>
  <c r="M446" i="2" s="1"/>
  <c r="N446" i="2" s="1"/>
  <c r="M398" i="2"/>
  <c r="N398" i="2" s="1"/>
  <c r="O398" i="2" s="1"/>
  <c r="P398" i="2" s="1"/>
  <c r="Q398" i="2" s="1"/>
  <c r="I374" i="2"/>
  <c r="M374" i="2" s="1"/>
  <c r="N374" i="2" s="1"/>
  <c r="I350" i="2"/>
  <c r="M350" i="2" s="1"/>
  <c r="N350" i="2" s="1"/>
  <c r="I597" i="2"/>
  <c r="M597" i="2" s="1"/>
  <c r="N597" i="2" s="1"/>
  <c r="I565" i="2"/>
  <c r="M565" i="2" s="1"/>
  <c r="N565" i="2" s="1"/>
  <c r="M42" i="2"/>
  <c r="N42" i="2" s="1"/>
  <c r="O42" i="2" s="1"/>
  <c r="P42" i="2" s="1"/>
  <c r="Q42" i="2" s="1"/>
  <c r="M362" i="2"/>
  <c r="N362" i="2" s="1"/>
  <c r="O362" i="2" s="1"/>
  <c r="P362" i="2" s="1"/>
  <c r="Q362" i="2" s="1"/>
  <c r="M426" i="2"/>
  <c r="N426" i="2" s="1"/>
  <c r="O426" i="2" s="1"/>
  <c r="P426" i="2" s="1"/>
  <c r="Q426" i="2" s="1"/>
  <c r="M277" i="2"/>
  <c r="N277" i="2" s="1"/>
  <c r="O277" i="2" s="1"/>
  <c r="P277" i="2" s="1"/>
  <c r="Q277" i="2" s="1"/>
  <c r="M248" i="2"/>
  <c r="N248" i="2" s="1"/>
  <c r="O248" i="2" s="1"/>
  <c r="P248" i="2" s="1"/>
  <c r="Q248" i="2" s="1"/>
  <c r="I596" i="2"/>
  <c r="M596" i="2" s="1"/>
  <c r="N596" i="2" s="1"/>
  <c r="O596" i="2" s="1"/>
  <c r="P596" i="2" s="1"/>
  <c r="Q596" i="2" s="1"/>
  <c r="I84" i="2"/>
  <c r="M84" i="2" s="1"/>
  <c r="N84" i="2" s="1"/>
  <c r="O84" i="2" s="1"/>
  <c r="P84" i="2" s="1"/>
  <c r="Q84" i="2" s="1"/>
  <c r="M332" i="2"/>
  <c r="N332" i="2" s="1"/>
  <c r="O332" i="2" s="1"/>
  <c r="M507" i="2"/>
  <c r="N507" i="2" s="1"/>
  <c r="P335" i="2"/>
  <c r="Q335" i="2" s="1"/>
  <c r="O203" i="2"/>
  <c r="P203" i="2" s="1"/>
  <c r="Q203" i="2" s="1"/>
  <c r="M66" i="2"/>
  <c r="N66" i="2" s="1"/>
  <c r="I219" i="2"/>
  <c r="M219" i="2" s="1"/>
  <c r="N219" i="2" s="1"/>
  <c r="I586" i="2"/>
  <c r="M586" i="2" s="1"/>
  <c r="N586" i="2" s="1"/>
  <c r="O586" i="2" s="1"/>
  <c r="P586" i="2" s="1"/>
  <c r="Q586" i="2" s="1"/>
  <c r="I329" i="2"/>
  <c r="M329" i="2" s="1"/>
  <c r="N329" i="2" s="1"/>
  <c r="M340" i="2"/>
  <c r="N340" i="2" s="1"/>
  <c r="M488" i="2"/>
  <c r="N488" i="2" s="1"/>
  <c r="I564" i="2"/>
  <c r="M564" i="2" s="1"/>
  <c r="N564" i="2" s="1"/>
  <c r="I444" i="2"/>
  <c r="M124" i="2"/>
  <c r="N124" i="2" s="1"/>
  <c r="O124" i="2" s="1"/>
  <c r="P124" i="2" s="1"/>
  <c r="Q124" i="2" s="1"/>
  <c r="K287" i="2"/>
  <c r="L287" i="2" s="1"/>
  <c r="K549" i="2"/>
  <c r="L549" i="2" s="1"/>
  <c r="I461" i="2"/>
  <c r="M461" i="2" s="1"/>
  <c r="N461" i="2" s="1"/>
  <c r="O461" i="2" s="1"/>
  <c r="P461" i="2" s="1"/>
  <c r="Q461" i="2" s="1"/>
  <c r="I293" i="2"/>
  <c r="M293" i="2" s="1"/>
  <c r="N293" i="2" s="1"/>
  <c r="I116" i="2"/>
  <c r="M116" i="2" s="1"/>
  <c r="N116" i="2" s="1"/>
  <c r="O116" i="2" s="1"/>
  <c r="P116" i="2" s="1"/>
  <c r="Q116" i="2" s="1"/>
  <c r="I413" i="2"/>
  <c r="M413" i="2" s="1"/>
  <c r="N413" i="2" s="1"/>
  <c r="O382" i="2"/>
  <c r="P382" i="2" s="1"/>
  <c r="Q382" i="2" s="1"/>
  <c r="I523" i="2"/>
  <c r="M523" i="2" s="1"/>
  <c r="N523" i="2" s="1"/>
  <c r="O523" i="2" s="1"/>
  <c r="P523" i="2" s="1"/>
  <c r="Q523" i="2" s="1"/>
  <c r="I490" i="2"/>
  <c r="M490" i="2" s="1"/>
  <c r="N490" i="2" s="1"/>
  <c r="I400" i="2"/>
  <c r="M400" i="2" s="1"/>
  <c r="N400" i="2" s="1"/>
  <c r="O400" i="2" s="1"/>
  <c r="P400" i="2" s="1"/>
  <c r="Q400" i="2" s="1"/>
  <c r="I357" i="2"/>
  <c r="M357" i="2" s="1"/>
  <c r="N357" i="2" s="1"/>
  <c r="O357" i="2" s="1"/>
  <c r="P357" i="2" s="1"/>
  <c r="Q357" i="2" s="1"/>
  <c r="M292" i="2"/>
  <c r="N292" i="2" s="1"/>
  <c r="M270" i="2"/>
  <c r="N270" i="2" s="1"/>
  <c r="O270" i="2" s="1"/>
  <c r="P270" i="2" s="1"/>
  <c r="Q270" i="2" s="1"/>
  <c r="M275" i="2"/>
  <c r="N275" i="2" s="1"/>
  <c r="M574" i="2"/>
  <c r="N574" i="2" s="1"/>
  <c r="O574" i="2" s="1"/>
  <c r="P574" i="2" s="1"/>
  <c r="Q574" i="2" s="1"/>
  <c r="M355" i="2"/>
  <c r="N355" i="2" s="1"/>
  <c r="O355" i="2" s="1"/>
  <c r="P355" i="2" s="1"/>
  <c r="Q355" i="2" s="1"/>
  <c r="P195" i="2"/>
  <c r="Q195" i="2" s="1"/>
  <c r="P254" i="2"/>
  <c r="Q254" i="2" s="1"/>
  <c r="M58" i="2"/>
  <c r="N58" i="2" s="1"/>
  <c r="I267" i="2"/>
  <c r="M267" i="2" s="1"/>
  <c r="N267" i="2" s="1"/>
  <c r="O267" i="2" s="1"/>
  <c r="P267" i="2" s="1"/>
  <c r="Q267" i="2" s="1"/>
  <c r="I452" i="2"/>
  <c r="M452" i="2" s="1"/>
  <c r="N452" i="2" s="1"/>
  <c r="I388" i="2"/>
  <c r="M388" i="2" s="1"/>
  <c r="N388" i="2" s="1"/>
  <c r="I602" i="2"/>
  <c r="M602" i="2" s="1"/>
  <c r="N602" i="2" s="1"/>
  <c r="I538" i="2"/>
  <c r="M538" i="2" s="1"/>
  <c r="N538" i="2" s="1"/>
  <c r="I498" i="2"/>
  <c r="M498" i="2" s="1"/>
  <c r="N498" i="2" s="1"/>
  <c r="O498" i="2" s="1"/>
  <c r="P498" i="2" s="1"/>
  <c r="Q498" i="2" s="1"/>
  <c r="I442" i="2"/>
  <c r="M442" i="2" s="1"/>
  <c r="N442" i="2" s="1"/>
  <c r="I410" i="2"/>
  <c r="M410" i="2" s="1"/>
  <c r="N410" i="2" s="1"/>
  <c r="I170" i="2"/>
  <c r="M170" i="2" s="1"/>
  <c r="N170" i="2" s="1"/>
  <c r="O170" i="2" s="1"/>
  <c r="P170" i="2" s="1"/>
  <c r="Q170" i="2" s="1"/>
  <c r="I72" i="2"/>
  <c r="M72" i="2" s="1"/>
  <c r="N72" i="2" s="1"/>
  <c r="I113" i="2"/>
  <c r="M113" i="2" s="1"/>
  <c r="N113" i="2" s="1"/>
  <c r="O113" i="2" s="1"/>
  <c r="P113" i="2" s="1"/>
  <c r="Q113" i="2" s="1"/>
  <c r="I521" i="2"/>
  <c r="M521" i="2" s="1"/>
  <c r="N521" i="2" s="1"/>
  <c r="O521" i="2" s="1"/>
  <c r="P521" i="2" s="1"/>
  <c r="Q521" i="2" s="1"/>
  <c r="I353" i="2"/>
  <c r="M353" i="2" s="1"/>
  <c r="N353" i="2" s="1"/>
  <c r="O353" i="2" s="1"/>
  <c r="P353" i="2" s="1"/>
  <c r="Q353" i="2" s="1"/>
  <c r="I105" i="2"/>
  <c r="M105" i="2" s="1"/>
  <c r="N105" i="2" s="1"/>
  <c r="O105" i="2" s="1"/>
  <c r="P105" i="2" s="1"/>
  <c r="Q105" i="2" s="1"/>
  <c r="I73" i="2"/>
  <c r="M73" i="2" s="1"/>
  <c r="N73" i="2" s="1"/>
  <c r="K304" i="2"/>
  <c r="L304" i="2" s="1"/>
  <c r="I192" i="2"/>
  <c r="M192" i="2" s="1"/>
  <c r="N192" i="2" s="1"/>
  <c r="O192" i="2" s="1"/>
  <c r="P192" i="2" s="1"/>
  <c r="Q192" i="2" s="1"/>
  <c r="I436" i="2"/>
  <c r="M436" i="2" s="1"/>
  <c r="N436" i="2" s="1"/>
  <c r="O436" i="2" s="1"/>
  <c r="P436" i="2" s="1"/>
  <c r="Q436" i="2" s="1"/>
  <c r="I260" i="2"/>
  <c r="M260" i="2" s="1"/>
  <c r="N260" i="2" s="1"/>
  <c r="O260" i="2" s="1"/>
  <c r="P260" i="2" s="1"/>
  <c r="Q260" i="2" s="1"/>
  <c r="M188" i="2"/>
  <c r="N188" i="2" s="1"/>
  <c r="O188" i="2" s="1"/>
  <c r="P188" i="2" s="1"/>
  <c r="Q188" i="2" s="1"/>
  <c r="I424" i="2"/>
  <c r="M424" i="2" s="1"/>
  <c r="N424" i="2" s="1"/>
  <c r="O424" i="2" s="1"/>
  <c r="P424" i="2" s="1"/>
  <c r="Q424" i="2" s="1"/>
  <c r="M444" i="2"/>
  <c r="N444" i="2" s="1"/>
  <c r="I156" i="2"/>
  <c r="M156" i="2" s="1"/>
  <c r="N156" i="2" s="1"/>
  <c r="I575" i="2"/>
  <c r="M575" i="2" s="1"/>
  <c r="N575" i="2" s="1"/>
  <c r="O575" i="2" s="1"/>
  <c r="P575" i="2" s="1"/>
  <c r="Q575" i="2" s="1"/>
  <c r="I527" i="2"/>
  <c r="M527" i="2" s="1"/>
  <c r="N527" i="2" s="1"/>
  <c r="I503" i="2"/>
  <c r="M503" i="2" s="1"/>
  <c r="N503" i="2" s="1"/>
  <c r="O503" i="2" s="1"/>
  <c r="P503" i="2" s="1"/>
  <c r="Q503" i="2" s="1"/>
  <c r="I231" i="2"/>
  <c r="M231" i="2" s="1"/>
  <c r="N231" i="2" s="1"/>
  <c r="I549" i="2"/>
  <c r="M549" i="2" s="1"/>
  <c r="N549" i="2" s="1"/>
  <c r="O549" i="2" s="1"/>
  <c r="P549" i="2" s="1"/>
  <c r="Q549" i="2" s="1"/>
  <c r="I493" i="2"/>
  <c r="M493" i="2" s="1"/>
  <c r="N493" i="2" s="1"/>
  <c r="I21" i="2"/>
  <c r="M21" i="2" s="1"/>
  <c r="N21" i="2" s="1"/>
  <c r="I366" i="2"/>
  <c r="M366" i="2" s="1"/>
  <c r="N366" i="2" s="1"/>
  <c r="O366" i="2" s="1"/>
  <c r="P366" i="2" s="1"/>
  <c r="Q366" i="2" s="1"/>
  <c r="M68" i="2"/>
  <c r="N68" i="2" s="1"/>
  <c r="O68" i="2" s="1"/>
  <c r="P68" i="2" s="1"/>
  <c r="Q68" i="2" s="1"/>
  <c r="I445" i="2"/>
  <c r="M445" i="2" s="1"/>
  <c r="N445" i="2" s="1"/>
  <c r="M54" i="2"/>
  <c r="N54" i="2" s="1"/>
  <c r="O54" i="2" s="1"/>
  <c r="P54" i="2" s="1"/>
  <c r="Q54" i="2" s="1"/>
  <c r="I247" i="2"/>
  <c r="M247" i="2" s="1"/>
  <c r="N247" i="2" s="1"/>
  <c r="I533" i="2"/>
  <c r="M533" i="2" s="1"/>
  <c r="N533" i="2" s="1"/>
  <c r="O533" i="2" s="1"/>
  <c r="P533" i="2" s="1"/>
  <c r="Q533" i="2" s="1"/>
  <c r="P358" i="2"/>
  <c r="Q358" i="2" s="1"/>
  <c r="M90" i="2"/>
  <c r="N90" i="2" s="1"/>
  <c r="O90" i="2" s="1"/>
  <c r="I227" i="2"/>
  <c r="M227" i="2" s="1"/>
  <c r="N227" i="2" s="1"/>
  <c r="I618" i="2"/>
  <c r="M618" i="2" s="1"/>
  <c r="N618" i="2" s="1"/>
  <c r="M152" i="2"/>
  <c r="N152" i="2" s="1"/>
  <c r="O152" i="2" s="1"/>
  <c r="P152" i="2" s="1"/>
  <c r="Q152" i="2" s="1"/>
  <c r="M199" i="2"/>
  <c r="N199" i="2" s="1"/>
  <c r="O199" i="2" s="1"/>
  <c r="P199" i="2" s="1"/>
  <c r="Q199" i="2" s="1"/>
  <c r="I495" i="2"/>
  <c r="M495" i="2" s="1"/>
  <c r="N495" i="2" s="1"/>
  <c r="P107" i="2"/>
  <c r="Q107" i="2" s="1"/>
  <c r="M415" i="2"/>
  <c r="N415" i="2" s="1"/>
  <c r="O415" i="2" s="1"/>
  <c r="P415" i="2" s="1"/>
  <c r="Q415" i="2" s="1"/>
  <c r="M414" i="2"/>
  <c r="N414" i="2" s="1"/>
  <c r="O414" i="2" s="1"/>
  <c r="P414" i="2" s="1"/>
  <c r="Q414" i="2" s="1"/>
  <c r="M302" i="2"/>
  <c r="N302" i="2" s="1"/>
  <c r="O302" i="2" s="1"/>
  <c r="P302" i="2" s="1"/>
  <c r="Q302" i="2" s="1"/>
  <c r="I617" i="2"/>
  <c r="M617" i="2" s="1"/>
  <c r="N617" i="2" s="1"/>
  <c r="O617" i="2" s="1"/>
  <c r="P617" i="2" s="1"/>
  <c r="Q617" i="2" s="1"/>
  <c r="I47" i="2"/>
  <c r="M47" i="2" s="1"/>
  <c r="N47" i="2" s="1"/>
  <c r="O47" i="2" s="1"/>
  <c r="P47" i="2" s="1"/>
  <c r="Q47" i="2" s="1"/>
  <c r="I595" i="2"/>
  <c r="M595" i="2" s="1"/>
  <c r="N595" i="2" s="1"/>
  <c r="O595" i="2" s="1"/>
  <c r="P595" i="2" s="1"/>
  <c r="Q595" i="2" s="1"/>
  <c r="I187" i="2"/>
  <c r="M187" i="2" s="1"/>
  <c r="N187" i="2" s="1"/>
  <c r="I163" i="2"/>
  <c r="M163" i="2" s="1"/>
  <c r="N163" i="2" s="1"/>
  <c r="M115" i="2"/>
  <c r="N115" i="2" s="1"/>
  <c r="I532" i="2"/>
  <c r="M532" i="2" s="1"/>
  <c r="N532" i="2" s="1"/>
  <c r="I252" i="2"/>
  <c r="M252" i="2" s="1"/>
  <c r="N252" i="2" s="1"/>
  <c r="I148" i="2"/>
  <c r="M148" i="2" s="1"/>
  <c r="N148" i="2" s="1"/>
  <c r="O148" i="2" s="1"/>
  <c r="P148" i="2" s="1"/>
  <c r="Q148" i="2" s="1"/>
  <c r="I578" i="2"/>
  <c r="M578" i="2" s="1"/>
  <c r="N578" i="2" s="1"/>
  <c r="I218" i="2"/>
  <c r="M218" i="2" s="1"/>
  <c r="N218" i="2" s="1"/>
  <c r="I176" i="2"/>
  <c r="M176" i="2" s="1"/>
  <c r="N176" i="2" s="1"/>
  <c r="I316" i="2"/>
  <c r="M316" i="2" s="1"/>
  <c r="N316" i="2" s="1"/>
  <c r="O316" i="2" s="1"/>
  <c r="P316" i="2" s="1"/>
  <c r="Q316" i="2" s="1"/>
  <c r="I417" i="2"/>
  <c r="M417" i="2" s="1"/>
  <c r="N417" i="2" s="1"/>
  <c r="I345" i="2"/>
  <c r="M345" i="2" s="1"/>
  <c r="N345" i="2" s="1"/>
  <c r="I321" i="2"/>
  <c r="M321" i="2" s="1"/>
  <c r="N321" i="2" s="1"/>
  <c r="I129" i="2"/>
  <c r="M129" i="2" s="1"/>
  <c r="N129" i="2" s="1"/>
  <c r="O129" i="2" s="1"/>
  <c r="P129" i="2" s="1"/>
  <c r="Q129" i="2" s="1"/>
  <c r="I456" i="2"/>
  <c r="M456" i="2" s="1"/>
  <c r="N456" i="2" s="1"/>
  <c r="O456" i="2" s="1"/>
  <c r="P456" i="2" s="1"/>
  <c r="Q456" i="2" s="1"/>
  <c r="I392" i="2"/>
  <c r="M392" i="2" s="1"/>
  <c r="N392" i="2" s="1"/>
  <c r="O392" i="2" s="1"/>
  <c r="P392" i="2" s="1"/>
  <c r="Q392" i="2" s="1"/>
  <c r="I344" i="2"/>
  <c r="M344" i="2" s="1"/>
  <c r="N344" i="2" s="1"/>
  <c r="O344" i="2" s="1"/>
  <c r="P344" i="2" s="1"/>
  <c r="Q344" i="2" s="1"/>
  <c r="I304" i="2"/>
  <c r="M304" i="2" s="1"/>
  <c r="N304" i="2" s="1"/>
  <c r="O304" i="2" s="1"/>
  <c r="P304" i="2" s="1"/>
  <c r="Q304" i="2" s="1"/>
  <c r="I492" i="2"/>
  <c r="M492" i="2" s="1"/>
  <c r="N492" i="2" s="1"/>
  <c r="O492" i="2" s="1"/>
  <c r="P492" i="2" s="1"/>
  <c r="Q492" i="2" s="1"/>
  <c r="I308" i="2"/>
  <c r="M308" i="2" s="1"/>
  <c r="N308" i="2" s="1"/>
  <c r="O308" i="2" s="1"/>
  <c r="P308" i="2" s="1"/>
  <c r="Q308" i="2" s="1"/>
  <c r="I164" i="2"/>
  <c r="M164" i="2" s="1"/>
  <c r="N164" i="2" s="1"/>
  <c r="O164" i="2" s="1"/>
  <c r="P164" i="2" s="1"/>
  <c r="Q164" i="2" s="1"/>
  <c r="I520" i="2"/>
  <c r="M520" i="2" s="1"/>
  <c r="N520" i="2" s="1"/>
  <c r="I256" i="2"/>
  <c r="M256" i="2" s="1"/>
  <c r="N256" i="2" s="1"/>
  <c r="I484" i="2"/>
  <c r="M484" i="2" s="1"/>
  <c r="N484" i="2" s="1"/>
  <c r="O484" i="2" s="1"/>
  <c r="P484" i="2" s="1"/>
  <c r="Q484" i="2" s="1"/>
  <c r="I100" i="2"/>
  <c r="M100" i="2" s="1"/>
  <c r="N100" i="2" s="1"/>
  <c r="I463" i="2"/>
  <c r="M463" i="2" s="1"/>
  <c r="N463" i="2" s="1"/>
  <c r="O463" i="2" s="1"/>
  <c r="I303" i="2"/>
  <c r="M303" i="2" s="1"/>
  <c r="N303" i="2" s="1"/>
  <c r="I279" i="2"/>
  <c r="M279" i="2" s="1"/>
  <c r="N279" i="2" s="1"/>
  <c r="O279" i="2" s="1"/>
  <c r="P279" i="2" s="1"/>
  <c r="Q279" i="2" s="1"/>
  <c r="I255" i="2"/>
  <c r="M255" i="2" s="1"/>
  <c r="N255" i="2" s="1"/>
  <c r="I613" i="2"/>
  <c r="M613" i="2" s="1"/>
  <c r="N613" i="2" s="1"/>
  <c r="I573" i="2"/>
  <c r="M573" i="2" s="1"/>
  <c r="N573" i="2" s="1"/>
  <c r="I373" i="2"/>
  <c r="M373" i="2" s="1"/>
  <c r="N373" i="2" s="1"/>
  <c r="M61" i="2"/>
  <c r="N61" i="2" s="1"/>
  <c r="I96" i="2"/>
  <c r="M96" i="2" s="1"/>
  <c r="N96" i="2" s="1"/>
  <c r="O96" i="2" s="1"/>
  <c r="P96" i="2" s="1"/>
  <c r="Q96" i="2" s="1"/>
  <c r="I510" i="2"/>
  <c r="M510" i="2" s="1"/>
  <c r="N510" i="2" s="1"/>
  <c r="M390" i="2"/>
  <c r="N390" i="2" s="1"/>
  <c r="O390" i="2" s="1"/>
  <c r="P390" i="2" s="1"/>
  <c r="Q390" i="2" s="1"/>
  <c r="I342" i="2"/>
  <c r="M342" i="2" s="1"/>
  <c r="N342" i="2" s="1"/>
  <c r="M48" i="2"/>
  <c r="N48" i="2" s="1"/>
  <c r="M501" i="2"/>
  <c r="N501" i="2" s="1"/>
  <c r="I349" i="2"/>
  <c r="M349" i="2" s="1"/>
  <c r="N349" i="2" s="1"/>
  <c r="O387" i="2"/>
  <c r="P387" i="2" s="1"/>
  <c r="Q387" i="2" s="1"/>
  <c r="O102" i="2"/>
  <c r="P102" i="2" s="1"/>
  <c r="Q102" i="2" s="1"/>
  <c r="O126" i="2"/>
  <c r="P126" i="2" s="1"/>
  <c r="Q126" i="2" s="1"/>
  <c r="O286" i="2"/>
  <c r="P286" i="2" s="1"/>
  <c r="Q286" i="2" s="1"/>
  <c r="O298" i="2"/>
  <c r="P298" i="2" s="1"/>
  <c r="Q298" i="2" s="1"/>
  <c r="O216" i="2"/>
  <c r="P216" i="2" s="1"/>
  <c r="Q216" i="2" s="1"/>
  <c r="O620" i="2"/>
  <c r="P620" i="2" s="1"/>
  <c r="Q620" i="2" s="1"/>
  <c r="O412" i="2"/>
  <c r="P412" i="2" s="1"/>
  <c r="Q412" i="2" s="1"/>
  <c r="O347" i="2"/>
  <c r="P347" i="2" s="1"/>
  <c r="Q347" i="2" s="1"/>
  <c r="O315" i="2"/>
  <c r="P315" i="2" s="1"/>
  <c r="Q315" i="2" s="1"/>
  <c r="O346" i="2"/>
  <c r="P346" i="2" s="1"/>
  <c r="Q346" i="2" s="1"/>
  <c r="O430" i="2"/>
  <c r="P430" i="2" s="1"/>
  <c r="Q430" i="2" s="1"/>
  <c r="O423" i="2"/>
  <c r="P423" i="2" s="1"/>
  <c r="Q423" i="2" s="1"/>
  <c r="O161" i="2"/>
  <c r="O217" i="2"/>
  <c r="P217" i="2" s="1"/>
  <c r="Q217" i="2" s="1"/>
  <c r="O109" i="2"/>
  <c r="P109" i="2" s="1"/>
  <c r="Q109" i="2" s="1"/>
  <c r="O185" i="2"/>
  <c r="P185" i="2" s="1"/>
  <c r="Q185" i="2" s="1"/>
  <c r="O33" i="2"/>
  <c r="P33" i="2" s="1"/>
  <c r="Q33" i="2" s="1"/>
  <c r="O145" i="2"/>
  <c r="P145" i="2" s="1"/>
  <c r="Q145" i="2" s="1"/>
  <c r="O82" i="2"/>
  <c r="O40" i="2"/>
  <c r="P40" i="2" s="1"/>
  <c r="Q40" i="2" s="1"/>
  <c r="O419" i="2"/>
  <c r="P419" i="2" s="1"/>
  <c r="Q419" i="2" s="1"/>
  <c r="O323" i="2"/>
  <c r="P323" i="2" s="1"/>
  <c r="Q323" i="2" s="1"/>
  <c r="O292" i="2"/>
  <c r="P292" i="2" s="1"/>
  <c r="Q292" i="2" s="1"/>
  <c r="O46" i="2"/>
  <c r="P46" i="2" s="1"/>
  <c r="Q46" i="2" s="1"/>
  <c r="O224" i="2"/>
  <c r="P224" i="2" s="1"/>
  <c r="Q224" i="2" s="1"/>
  <c r="O584" i="2"/>
  <c r="P584" i="2" s="1"/>
  <c r="Q584" i="2" s="1"/>
  <c r="O582" i="2"/>
  <c r="P582" i="2" s="1"/>
  <c r="Q582" i="2" s="1"/>
  <c r="O506" i="2"/>
  <c r="P506" i="2" s="1"/>
  <c r="Q506" i="2" s="1"/>
  <c r="O294" i="2"/>
  <c r="P294" i="2" s="1"/>
  <c r="Q294" i="2" s="1"/>
  <c r="O265" i="2"/>
  <c r="P265" i="2" s="1"/>
  <c r="Q265" i="2" s="1"/>
  <c r="O259" i="2"/>
  <c r="P259" i="2" s="1"/>
  <c r="Q259" i="2" s="1"/>
  <c r="O278" i="2"/>
  <c r="P278" i="2" s="1"/>
  <c r="Q278" i="2" s="1"/>
  <c r="O602" i="2"/>
  <c r="P602" i="2" s="1"/>
  <c r="Q602" i="2" s="1"/>
  <c r="O465" i="2"/>
  <c r="P465" i="2" s="1"/>
  <c r="Q465" i="2" s="1"/>
  <c r="O558" i="2"/>
  <c r="P558" i="2" s="1"/>
  <c r="Q558" i="2" s="1"/>
  <c r="O457" i="2"/>
  <c r="P457" i="2"/>
  <c r="Q457" i="2" s="1"/>
  <c r="O550" i="2"/>
  <c r="P550" i="2" s="1"/>
  <c r="Q550" i="2" s="1"/>
  <c r="O609" i="2"/>
  <c r="P609" i="2" s="1"/>
  <c r="Q609" i="2" s="1"/>
  <c r="O576" i="2"/>
  <c r="P576" i="2" s="1"/>
  <c r="Q576" i="2" s="1"/>
  <c r="O459" i="2"/>
  <c r="P459" i="2" s="1"/>
  <c r="Q459" i="2" s="1"/>
  <c r="O471" i="2"/>
  <c r="P471" i="2" s="1"/>
  <c r="Q471" i="2" s="1"/>
  <c r="O504" i="2"/>
  <c r="P504" i="2" s="1"/>
  <c r="Q504" i="2" s="1"/>
  <c r="O517" i="2"/>
  <c r="P517" i="2" s="1"/>
  <c r="Q517" i="2" s="1"/>
  <c r="O365" i="2"/>
  <c r="P365" i="2" s="1"/>
  <c r="Q365" i="2" s="1"/>
  <c r="O422" i="2"/>
  <c r="P422" i="2" s="1"/>
  <c r="Q422" i="2" s="1"/>
  <c r="O343" i="2"/>
  <c r="P343" i="2" s="1"/>
  <c r="Q343" i="2" s="1"/>
  <c r="O273" i="2"/>
  <c r="P273" i="2" s="1"/>
  <c r="Q273" i="2" s="1"/>
  <c r="O418" i="2"/>
  <c r="P418" i="2" s="1"/>
  <c r="Q418" i="2" s="1"/>
  <c r="O281" i="2"/>
  <c r="P281" i="2" s="1"/>
  <c r="Q281" i="2" s="1"/>
  <c r="O204" i="2"/>
  <c r="P204" i="2" s="1"/>
  <c r="Q204" i="2" s="1"/>
  <c r="O119" i="2"/>
  <c r="P119" i="2" s="1"/>
  <c r="Q119" i="2" s="1"/>
  <c r="O134" i="2"/>
  <c r="P134" i="2" s="1"/>
  <c r="Q134" i="2" s="1"/>
  <c r="O238" i="2"/>
  <c r="P238" i="2" s="1"/>
  <c r="Q238" i="2" s="1"/>
  <c r="O207" i="2"/>
  <c r="P207" i="2" s="1"/>
  <c r="Q207" i="2" s="1"/>
  <c r="O305" i="2"/>
  <c r="P305" i="2" s="1"/>
  <c r="Q305" i="2" s="1"/>
  <c r="O537" i="2"/>
  <c r="P537" i="2" s="1"/>
  <c r="Q537" i="2" s="1"/>
  <c r="O469" i="2"/>
  <c r="P469" i="2" s="1"/>
  <c r="Q469" i="2" s="1"/>
  <c r="O193" i="2"/>
  <c r="P193" i="2" s="1"/>
  <c r="Q193" i="2" s="1"/>
  <c r="O604" i="2"/>
  <c r="P604" i="2" s="1"/>
  <c r="Q604" i="2" s="1"/>
  <c r="O449" i="2"/>
  <c r="P449" i="2"/>
  <c r="Q449" i="2" s="1"/>
  <c r="O597" i="2"/>
  <c r="P597" i="2" s="1"/>
  <c r="Q597" i="2" s="1"/>
  <c r="O560" i="2"/>
  <c r="P560" i="2" s="1"/>
  <c r="Q560" i="2" s="1"/>
  <c r="O518" i="2"/>
  <c r="P518" i="2" s="1"/>
  <c r="Q518" i="2" s="1"/>
  <c r="O491" i="2"/>
  <c r="P491" i="2" s="1"/>
  <c r="Q491" i="2" s="1"/>
  <c r="O383" i="2"/>
  <c r="P383" i="2" s="1"/>
  <c r="Q383" i="2" s="1"/>
  <c r="O406" i="2"/>
  <c r="P406" i="2" s="1"/>
  <c r="Q406" i="2" s="1"/>
  <c r="O386" i="2"/>
  <c r="P386" i="2" s="1"/>
  <c r="Q386" i="2" s="1"/>
  <c r="O197" i="2"/>
  <c r="P197" i="2"/>
  <c r="Q197" i="2" s="1"/>
  <c r="O225" i="2"/>
  <c r="P225" i="2" s="1"/>
  <c r="Q225" i="2" s="1"/>
  <c r="O251" i="2"/>
  <c r="P251" i="2"/>
  <c r="Q251" i="2" s="1"/>
  <c r="O211" i="2"/>
  <c r="P211" i="2" s="1"/>
  <c r="Q211" i="2" s="1"/>
  <c r="O330" i="2"/>
  <c r="P330" i="2" s="1"/>
  <c r="Q330" i="2" s="1"/>
  <c r="O177" i="2"/>
  <c r="P177" i="2" s="1"/>
  <c r="Q177" i="2" s="1"/>
  <c r="O17" i="2"/>
  <c r="P17" i="2" s="1"/>
  <c r="Q17" i="2" s="1"/>
  <c r="O141" i="2"/>
  <c r="P141" i="2"/>
  <c r="Q141" i="2" s="1"/>
  <c r="O97" i="2"/>
  <c r="P97" i="2" s="1"/>
  <c r="Q97" i="2" s="1"/>
  <c r="O43" i="2"/>
  <c r="P43" i="2" s="1"/>
  <c r="Q43" i="2" s="1"/>
  <c r="O24" i="2"/>
  <c r="P24" i="2" s="1"/>
  <c r="Q24" i="2" s="1"/>
  <c r="O434" i="2"/>
  <c r="P434" i="2" s="1"/>
  <c r="Q434" i="2" s="1"/>
  <c r="O266" i="2"/>
  <c r="P266" i="2" s="1"/>
  <c r="Q266" i="2" s="1"/>
  <c r="O236" i="2"/>
  <c r="P236" i="2" s="1"/>
  <c r="Q236" i="2" s="1"/>
  <c r="O473" i="2"/>
  <c r="P473" i="2" s="1"/>
  <c r="Q473" i="2" s="1"/>
  <c r="O507" i="2"/>
  <c r="P507" i="2" s="1"/>
  <c r="Q507" i="2" s="1"/>
  <c r="O221" i="2"/>
  <c r="P221" i="2" s="1"/>
  <c r="Q221" i="2" s="1"/>
  <c r="O375" i="2"/>
  <c r="P375" i="2" s="1"/>
  <c r="Q375" i="2" s="1"/>
  <c r="O372" i="2"/>
  <c r="P372" i="2" s="1"/>
  <c r="Q372" i="2" s="1"/>
  <c r="O395" i="2"/>
  <c r="P395" i="2" s="1"/>
  <c r="Q395" i="2" s="1"/>
  <c r="O370" i="2"/>
  <c r="P370" i="2" s="1"/>
  <c r="Q370" i="2" s="1"/>
  <c r="O293" i="2"/>
  <c r="P293" i="2" s="1"/>
  <c r="Q293" i="2" s="1"/>
  <c r="O354" i="2"/>
  <c r="P354" i="2" s="1"/>
  <c r="Q354" i="2" s="1"/>
  <c r="O228" i="2"/>
  <c r="P228" i="2" s="1"/>
  <c r="Q228" i="2" s="1"/>
  <c r="O150" i="2"/>
  <c r="P150" i="2" s="1"/>
  <c r="Q150" i="2" s="1"/>
  <c r="O240" i="2"/>
  <c r="P240" i="2" s="1"/>
  <c r="Q240" i="2" s="1"/>
  <c r="O130" i="2"/>
  <c r="P130" i="2" s="1"/>
  <c r="Q130" i="2" s="1"/>
  <c r="O234" i="2"/>
  <c r="P234" i="2" s="1"/>
  <c r="Q234" i="2" s="1"/>
  <c r="O95" i="2"/>
  <c r="P95" i="2" s="1"/>
  <c r="Q95" i="2" s="1"/>
  <c r="O38" i="2"/>
  <c r="P38" i="2" s="1"/>
  <c r="Q38" i="2" s="1"/>
  <c r="O166" i="2"/>
  <c r="P166" i="2" s="1"/>
  <c r="Q166" i="2" s="1"/>
  <c r="O35" i="2"/>
  <c r="P35" i="2" s="1"/>
  <c r="Q35" i="2" s="1"/>
  <c r="O482" i="2"/>
  <c r="P482" i="2" s="1"/>
  <c r="Q482" i="2" s="1"/>
  <c r="O78" i="2"/>
  <c r="P78" i="2" s="1"/>
  <c r="Q78" i="2" s="1"/>
  <c r="O158" i="2"/>
  <c r="P158" i="2" s="1"/>
  <c r="Q158" i="2" s="1"/>
  <c r="O566" i="2"/>
  <c r="P566" i="2" s="1"/>
  <c r="Q566" i="2" s="1"/>
  <c r="O445" i="2"/>
  <c r="P445" i="2" s="1"/>
  <c r="Q445" i="2" s="1"/>
  <c r="O441" i="2"/>
  <c r="P441" i="2" s="1"/>
  <c r="Q441" i="2" s="1"/>
  <c r="O580" i="2"/>
  <c r="O569" i="2"/>
  <c r="P569" i="2" s="1"/>
  <c r="Q569" i="2" s="1"/>
  <c r="O525" i="2"/>
  <c r="P525" i="2" s="1"/>
  <c r="Q525" i="2" s="1"/>
  <c r="O443" i="2"/>
  <c r="P443" i="2" s="1"/>
  <c r="Q443" i="2" s="1"/>
  <c r="O331" i="2"/>
  <c r="P331" i="2" s="1"/>
  <c r="Q331" i="2" s="1"/>
  <c r="O475" i="2"/>
  <c r="P475" i="2" s="1"/>
  <c r="Q475" i="2" s="1"/>
  <c r="O460" i="2"/>
  <c r="P460" i="2" s="1"/>
  <c r="Q460" i="2" s="1"/>
  <c r="O367" i="2"/>
  <c r="P367" i="2" s="1"/>
  <c r="Q367" i="2" s="1"/>
  <c r="O338" i="2"/>
  <c r="P338" i="2" s="1"/>
  <c r="Q338" i="2" s="1"/>
  <c r="O307" i="2"/>
  <c r="P307" i="2" s="1"/>
  <c r="Q307" i="2" s="1"/>
  <c r="O241" i="2"/>
  <c r="P241" i="2" s="1"/>
  <c r="Q241" i="2" s="1"/>
  <c r="O306" i="2"/>
  <c r="P306" i="2"/>
  <c r="Q306" i="2" s="1"/>
  <c r="O137" i="2"/>
  <c r="P137" i="2" s="1"/>
  <c r="Q137" i="2" s="1"/>
  <c r="O30" i="2"/>
  <c r="P30" i="2" s="1"/>
  <c r="Q30" i="2" s="1"/>
  <c r="O114" i="2"/>
  <c r="P114" i="2" s="1"/>
  <c r="Q114" i="2" s="1"/>
  <c r="O66" i="2"/>
  <c r="P66" i="2"/>
  <c r="Q66" i="2" s="1"/>
  <c r="O27" i="2"/>
  <c r="P27" i="2" s="1"/>
  <c r="Q27" i="2" s="1"/>
  <c r="O368" i="2"/>
  <c r="P368" i="2" s="1"/>
  <c r="Q368" i="2" s="1"/>
  <c r="O169" i="2"/>
  <c r="P169" i="2" s="1"/>
  <c r="Q169" i="2" s="1"/>
  <c r="O312" i="2"/>
  <c r="P312" i="2"/>
  <c r="Q312" i="2" s="1"/>
  <c r="O14" i="2"/>
  <c r="P14" i="2" s="1"/>
  <c r="Q14" i="2" s="1"/>
  <c r="O106" i="2"/>
  <c r="P106" i="2" s="1"/>
  <c r="Q106" i="2" s="1"/>
  <c r="O610" i="2"/>
  <c r="P610" i="2" s="1"/>
  <c r="Q610" i="2" s="1"/>
  <c r="O467" i="2"/>
  <c r="P467" i="2" s="1"/>
  <c r="Q467" i="2" s="1"/>
  <c r="O505" i="2"/>
  <c r="P505" i="2" s="1"/>
  <c r="Q505" i="2" s="1"/>
  <c r="O489" i="2"/>
  <c r="P489" i="2" s="1"/>
  <c r="Q489" i="2" s="1"/>
  <c r="O593" i="2"/>
  <c r="P593" i="2" s="1"/>
  <c r="Q593" i="2" s="1"/>
  <c r="O601" i="2"/>
  <c r="P601" i="2" s="1"/>
  <c r="Q601" i="2" s="1"/>
  <c r="O606" i="2"/>
  <c r="P606" i="2"/>
  <c r="Q606" i="2" s="1"/>
  <c r="O567" i="2"/>
  <c r="P567" i="2" s="1"/>
  <c r="Q567" i="2" s="1"/>
  <c r="O529" i="2"/>
  <c r="P529" i="2" s="1"/>
  <c r="Q529" i="2" s="1"/>
  <c r="O534" i="2"/>
  <c r="P534" i="2" s="1"/>
  <c r="Q534" i="2" s="1"/>
  <c r="O532" i="2"/>
  <c r="P532" i="2" s="1"/>
  <c r="Q532" i="2" s="1"/>
  <c r="O439" i="2"/>
  <c r="P439" i="2" s="1"/>
  <c r="Q439" i="2" s="1"/>
  <c r="O515" i="2"/>
  <c r="P515" i="2" s="1"/>
  <c r="Q515" i="2" s="1"/>
  <c r="O364" i="2"/>
  <c r="P364" i="2" s="1"/>
  <c r="Q364" i="2" s="1"/>
  <c r="O359" i="2"/>
  <c r="P359" i="2" s="1"/>
  <c r="Q359" i="2" s="1"/>
  <c r="O360" i="2"/>
  <c r="P360" i="2" s="1"/>
  <c r="Q360" i="2" s="1"/>
  <c r="O508" i="2"/>
  <c r="P508" i="2" s="1"/>
  <c r="Q508" i="2" s="1"/>
  <c r="O237" i="2"/>
  <c r="P237" i="2" s="1"/>
  <c r="Q237" i="2" s="1"/>
  <c r="O291" i="2"/>
  <c r="P291" i="2" s="1"/>
  <c r="Q291" i="2" s="1"/>
  <c r="O296" i="2"/>
  <c r="P296" i="2" s="1"/>
  <c r="Q296" i="2" s="1"/>
  <c r="O133" i="2"/>
  <c r="P133" i="2" s="1"/>
  <c r="Q133" i="2" s="1"/>
  <c r="O220" i="2"/>
  <c r="P220" i="2" s="1"/>
  <c r="Q220" i="2" s="1"/>
  <c r="O212" i="2"/>
  <c r="P212" i="2" s="1"/>
  <c r="Q212" i="2" s="1"/>
  <c r="O174" i="2"/>
  <c r="P174" i="2" s="1"/>
  <c r="Q174" i="2" s="1"/>
  <c r="O138" i="2"/>
  <c r="P138" i="2" s="1"/>
  <c r="Q138" i="2" s="1"/>
  <c r="O22" i="2"/>
  <c r="P22" i="2" s="1"/>
  <c r="Q22" i="2" s="1"/>
  <c r="O19" i="2"/>
  <c r="P19" i="2" s="1"/>
  <c r="Q19" i="2" s="1"/>
  <c r="P13" i="2" l="1"/>
  <c r="Q13" i="2" s="1"/>
  <c r="R13" i="2" s="1"/>
  <c r="P580" i="2"/>
  <c r="Q580" i="2" s="1"/>
  <c r="P213" i="2"/>
  <c r="Q213" i="2" s="1"/>
  <c r="O149" i="2"/>
  <c r="P149" i="2" s="1"/>
  <c r="Q149" i="2" s="1"/>
  <c r="P487" i="2"/>
  <c r="Q487" i="2" s="1"/>
  <c r="P542" i="2"/>
  <c r="Q542" i="2" s="1"/>
  <c r="O182" i="2"/>
  <c r="P182" i="2" s="1"/>
  <c r="Q182" i="2" s="1"/>
  <c r="P32" i="2"/>
  <c r="Q32" i="2" s="1"/>
  <c r="P397" i="2"/>
  <c r="Q397" i="2" s="1"/>
  <c r="O49" i="2"/>
  <c r="P49" i="2" s="1"/>
  <c r="Q49" i="2" s="1"/>
  <c r="P229" i="2"/>
  <c r="Q229" i="2" s="1"/>
  <c r="P190" i="2"/>
  <c r="Q190" i="2" s="1"/>
  <c r="P571" i="2"/>
  <c r="Q571" i="2" s="1"/>
  <c r="P181" i="2"/>
  <c r="Q181" i="2" s="1"/>
  <c r="P612" i="2"/>
  <c r="Q612" i="2" s="1"/>
  <c r="P151" i="2"/>
  <c r="Q151" i="2" s="1"/>
  <c r="O541" i="2"/>
  <c r="P541" i="2"/>
  <c r="Q541" i="2" s="1"/>
  <c r="P511" i="2"/>
  <c r="Q511" i="2" s="1"/>
  <c r="O437" i="2"/>
  <c r="P437" i="2" s="1"/>
  <c r="Q437" i="2" s="1"/>
  <c r="P376" i="2"/>
  <c r="Q376" i="2" s="1"/>
  <c r="P92" i="2"/>
  <c r="Q92" i="2" s="1"/>
  <c r="P65" i="2"/>
  <c r="Q65" i="2" s="1"/>
  <c r="P540" i="2"/>
  <c r="Q540" i="2" s="1"/>
  <c r="P463" i="2"/>
  <c r="Q463" i="2" s="1"/>
  <c r="P332" i="2"/>
  <c r="Q332" i="2" s="1"/>
  <c r="O320" i="2"/>
  <c r="P320" i="2" s="1"/>
  <c r="Q320" i="2" s="1"/>
  <c r="O285" i="2"/>
  <c r="P285" i="2" s="1"/>
  <c r="Q285" i="2" s="1"/>
  <c r="O132" i="2"/>
  <c r="P132" i="2" s="1"/>
  <c r="Q132" i="2" s="1"/>
  <c r="O140" i="2"/>
  <c r="P140" i="2" s="1"/>
  <c r="Q140" i="2" s="1"/>
  <c r="O208" i="2"/>
  <c r="P208" i="2"/>
  <c r="Q208" i="2" s="1"/>
  <c r="O223" i="2"/>
  <c r="P223" i="2" s="1"/>
  <c r="Q223" i="2" s="1"/>
  <c r="O146" i="2"/>
  <c r="P146" i="2" s="1"/>
  <c r="Q146" i="2" s="1"/>
  <c r="P313" i="2"/>
  <c r="Q313" i="2" s="1"/>
  <c r="O230" i="2"/>
  <c r="P230" i="2" s="1"/>
  <c r="Q230" i="2" s="1"/>
  <c r="O139" i="2"/>
  <c r="P139" i="2" s="1"/>
  <c r="Q139" i="2" s="1"/>
  <c r="O454" i="2"/>
  <c r="P454" i="2" s="1"/>
  <c r="Q454" i="2" s="1"/>
  <c r="O444" i="2"/>
  <c r="P444" i="2" s="1"/>
  <c r="Q444" i="2" s="1"/>
  <c r="O218" i="2"/>
  <c r="P218" i="2" s="1"/>
  <c r="Q218" i="2" s="1"/>
  <c r="O493" i="2"/>
  <c r="P493" i="2" s="1"/>
  <c r="Q493" i="2" s="1"/>
  <c r="O490" i="2"/>
  <c r="P490" i="2" s="1"/>
  <c r="Q490" i="2" s="1"/>
  <c r="O446" i="2"/>
  <c r="P446" i="2" s="1"/>
  <c r="Q446" i="2" s="1"/>
  <c r="O611" i="2"/>
  <c r="P611" i="2" s="1"/>
  <c r="Q611" i="2" s="1"/>
  <c r="O280" i="2"/>
  <c r="P280" i="2" s="1"/>
  <c r="Q280" i="2" s="1"/>
  <c r="O155" i="2"/>
  <c r="P155" i="2" s="1"/>
  <c r="Q155" i="2" s="1"/>
  <c r="O385" i="2"/>
  <c r="P385" i="2" s="1"/>
  <c r="Q385" i="2" s="1"/>
  <c r="O350" i="2"/>
  <c r="P350" i="2" s="1"/>
  <c r="Q350" i="2" s="1"/>
  <c r="O603" i="2"/>
  <c r="P603" i="2" s="1"/>
  <c r="Q603" i="2" s="1"/>
  <c r="O156" i="2"/>
  <c r="P156" i="2" s="1"/>
  <c r="Q156" i="2" s="1"/>
  <c r="O104" i="2"/>
  <c r="P104" i="2" s="1"/>
  <c r="Q104" i="2" s="1"/>
  <c r="O76" i="2"/>
  <c r="P76" i="2" s="1"/>
  <c r="Q76" i="2" s="1"/>
  <c r="O613" i="2"/>
  <c r="P613" i="2" s="1"/>
  <c r="Q613" i="2" s="1"/>
  <c r="O187" i="2"/>
  <c r="P187" i="2" s="1"/>
  <c r="Q187" i="2" s="1"/>
  <c r="O442" i="2"/>
  <c r="P442" i="2" s="1"/>
  <c r="Q442" i="2" s="1"/>
  <c r="O318" i="2"/>
  <c r="P318" i="2"/>
  <c r="Q318" i="2" s="1"/>
  <c r="O58" i="2"/>
  <c r="P58" i="2" s="1"/>
  <c r="Q58" i="2" s="1"/>
  <c r="O573" i="2"/>
  <c r="P573" i="2" s="1"/>
  <c r="Q573" i="2" s="1"/>
  <c r="O321" i="2"/>
  <c r="P321" i="2" s="1"/>
  <c r="Q321" i="2" s="1"/>
  <c r="O578" i="2"/>
  <c r="P578" i="2" s="1"/>
  <c r="Q578" i="2" s="1"/>
  <c r="O495" i="2"/>
  <c r="P495" i="2" s="1"/>
  <c r="Q495" i="2" s="1"/>
  <c r="O219" i="2"/>
  <c r="P219" i="2" s="1"/>
  <c r="Q219" i="2" s="1"/>
  <c r="O552" i="2"/>
  <c r="P552" i="2" s="1"/>
  <c r="Q552" i="2" s="1"/>
  <c r="O258" i="2"/>
  <c r="P258" i="2" s="1"/>
  <c r="Q258" i="2" s="1"/>
  <c r="O179" i="2"/>
  <c r="P179" i="2"/>
  <c r="Q179" i="2" s="1"/>
  <c r="O340" i="2"/>
  <c r="P340" i="2" s="1"/>
  <c r="Q340" i="2" s="1"/>
  <c r="O605" i="2"/>
  <c r="P605" i="2" s="1"/>
  <c r="Q605" i="2" s="1"/>
  <c r="O538" i="2"/>
  <c r="P538" i="2" s="1"/>
  <c r="Q538" i="2" s="1"/>
  <c r="O373" i="2"/>
  <c r="P373" i="2" s="1"/>
  <c r="Q373" i="2" s="1"/>
  <c r="O410" i="2"/>
  <c r="P410" i="2"/>
  <c r="Q410" i="2" s="1"/>
  <c r="O429" i="2"/>
  <c r="P429" i="2" s="1"/>
  <c r="Q429" i="2" s="1"/>
  <c r="O341" i="2"/>
  <c r="P341" i="2" s="1"/>
  <c r="Q341" i="2" s="1"/>
  <c r="O300" i="2"/>
  <c r="P300" i="2" s="1"/>
  <c r="Q300" i="2" s="1"/>
  <c r="O200" i="2"/>
  <c r="P200" i="2" s="1"/>
  <c r="Q200" i="2" s="1"/>
  <c r="O520" i="2"/>
  <c r="P520" i="2" s="1"/>
  <c r="Q520" i="2" s="1"/>
  <c r="P90" i="2"/>
  <c r="Q90" i="2" s="1"/>
  <c r="O510" i="2"/>
  <c r="P510" i="2" s="1"/>
  <c r="Q510" i="2" s="1"/>
  <c r="O303" i="2"/>
  <c r="P303" i="2" s="1"/>
  <c r="Q303" i="2" s="1"/>
  <c r="O345" i="2"/>
  <c r="P345" i="2" s="1"/>
  <c r="Q345" i="2" s="1"/>
  <c r="O247" i="2"/>
  <c r="P247" i="2" s="1"/>
  <c r="Q247" i="2" s="1"/>
  <c r="O231" i="2"/>
  <c r="P231" i="2" s="1"/>
  <c r="Q231" i="2" s="1"/>
  <c r="O557" i="2"/>
  <c r="P557" i="2" s="1"/>
  <c r="Q557" i="2" s="1"/>
  <c r="O210" i="2"/>
  <c r="P210" i="2" s="1"/>
  <c r="Q210" i="2" s="1"/>
  <c r="O349" i="2"/>
  <c r="P349" i="2" s="1"/>
  <c r="Q349" i="2" s="1"/>
  <c r="P501" i="2"/>
  <c r="Q501" i="2" s="1"/>
  <c r="O501" i="2"/>
  <c r="O160" i="2"/>
  <c r="P160" i="2" s="1"/>
  <c r="Q160" i="2" s="1"/>
  <c r="O163" i="2"/>
  <c r="P163" i="2" s="1"/>
  <c r="Q163" i="2" s="1"/>
  <c r="O48" i="2"/>
  <c r="P48" i="2" s="1"/>
  <c r="Q48" i="2" s="1"/>
  <c r="O256" i="2"/>
  <c r="P256" i="2" s="1"/>
  <c r="Q256" i="2" s="1"/>
  <c r="O73" i="2"/>
  <c r="P73" i="2" s="1"/>
  <c r="Q73" i="2" s="1"/>
  <c r="O616" i="2"/>
  <c r="P616" i="2" s="1"/>
  <c r="Q616" i="2" s="1"/>
  <c r="O528" i="2"/>
  <c r="P528" i="2" s="1"/>
  <c r="Q528" i="2" s="1"/>
  <c r="O255" i="2"/>
  <c r="P255" i="2" s="1"/>
  <c r="Q255" i="2" s="1"/>
  <c r="P497" i="2"/>
  <c r="Q497" i="2" s="1"/>
  <c r="O252" i="2"/>
  <c r="P252" i="2" s="1"/>
  <c r="Q252" i="2" s="1"/>
  <c r="O388" i="2"/>
  <c r="P388" i="2" s="1"/>
  <c r="Q388" i="2" s="1"/>
  <c r="O564" i="2"/>
  <c r="P564" i="2"/>
  <c r="Q564" i="2" s="1"/>
  <c r="O565" i="2"/>
  <c r="P565" i="2" s="1"/>
  <c r="Q565" i="2" s="1"/>
  <c r="O324" i="2"/>
  <c r="P324" i="2" s="1"/>
  <c r="Q324" i="2" s="1"/>
  <c r="O401" i="2"/>
  <c r="P401" i="2" s="1"/>
  <c r="Q401" i="2" s="1"/>
  <c r="O282" i="2"/>
  <c r="P282" i="2" s="1"/>
  <c r="Q282" i="2" s="1"/>
  <c r="O88" i="2"/>
  <c r="P88" i="2" s="1"/>
  <c r="Q88" i="2" s="1"/>
  <c r="O466" i="2"/>
  <c r="P466" i="2" s="1"/>
  <c r="Q466" i="2" s="1"/>
  <c r="O115" i="2"/>
  <c r="P115" i="2" s="1"/>
  <c r="Q115" i="2" s="1"/>
  <c r="O227" i="2"/>
  <c r="P227" i="2" s="1"/>
  <c r="Q227" i="2" s="1"/>
  <c r="O413" i="2"/>
  <c r="P413" i="2" s="1"/>
  <c r="Q413" i="2" s="1"/>
  <c r="O351" i="2"/>
  <c r="P351" i="2" s="1"/>
  <c r="Q351" i="2" s="1"/>
  <c r="O71" i="2"/>
  <c r="P71" i="2" s="1"/>
  <c r="Q71" i="2" s="1"/>
  <c r="O176" i="2"/>
  <c r="P176" i="2" s="1"/>
  <c r="Q176" i="2" s="1"/>
  <c r="O374" i="2"/>
  <c r="P374" i="2" s="1"/>
  <c r="Q374" i="2" s="1"/>
  <c r="O21" i="2"/>
  <c r="P21" i="2"/>
  <c r="Q21" i="2" s="1"/>
  <c r="O275" i="2"/>
  <c r="P275" i="2" s="1"/>
  <c r="Q275" i="2" s="1"/>
  <c r="O329" i="2"/>
  <c r="P329" i="2" s="1"/>
  <c r="Q329" i="2" s="1"/>
  <c r="O131" i="2"/>
  <c r="P131" i="2" s="1"/>
  <c r="Q131" i="2" s="1"/>
  <c r="O556" i="2"/>
  <c r="P556" i="2" s="1"/>
  <c r="Q556" i="2" s="1"/>
  <c r="O342" i="2"/>
  <c r="P342" i="2" s="1"/>
  <c r="Q342" i="2" s="1"/>
  <c r="O61" i="2"/>
  <c r="P61" i="2" s="1"/>
  <c r="Q61" i="2" s="1"/>
  <c r="O100" i="2"/>
  <c r="P100" i="2"/>
  <c r="Q100" i="2" s="1"/>
  <c r="O417" i="2"/>
  <c r="P417" i="2" s="1"/>
  <c r="Q417" i="2" s="1"/>
  <c r="O618" i="2"/>
  <c r="P618" i="2" s="1"/>
  <c r="Q618" i="2" s="1"/>
  <c r="O527" i="2"/>
  <c r="P527" i="2" s="1"/>
  <c r="Q527" i="2" s="1"/>
  <c r="O72" i="2"/>
  <c r="P72" i="2" s="1"/>
  <c r="Q72" i="2" s="1"/>
  <c r="O452" i="2"/>
  <c r="P452" i="2" s="1"/>
  <c r="Q452" i="2" s="1"/>
  <c r="O488" i="2"/>
  <c r="P488" i="2" s="1"/>
  <c r="Q488" i="2" s="1"/>
  <c r="O246" i="2"/>
  <c r="P246" i="2"/>
  <c r="Q246" i="2" s="1"/>
  <c r="O184" i="2"/>
  <c r="P184" i="2" s="1"/>
  <c r="Q184" i="2" s="1"/>
  <c r="R14" i="2"/>
  <c r="R15" i="2" s="1"/>
  <c r="R16" i="2" s="1"/>
  <c r="R17" i="2" s="1"/>
  <c r="R18" i="2" s="1"/>
  <c r="R19" i="2" s="1"/>
  <c r="R20" i="2" s="1"/>
  <c r="R21" i="2" l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R142" i="2" s="1"/>
  <c r="R143" i="2" s="1"/>
  <c r="R144" i="2" s="1"/>
  <c r="R145" i="2" s="1"/>
  <c r="R146" i="2" s="1"/>
  <c r="R147" i="2" s="1"/>
  <c r="R148" i="2" s="1"/>
  <c r="R149" i="2" s="1"/>
  <c r="R150" i="2" s="1"/>
  <c r="R151" i="2" s="1"/>
  <c r="R152" i="2" s="1"/>
  <c r="R153" i="2" s="1"/>
  <c r="R154" i="2" s="1"/>
  <c r="R155" i="2" s="1"/>
  <c r="R156" i="2" s="1"/>
  <c r="R157" i="2" s="1"/>
  <c r="R158" i="2" s="1"/>
  <c r="R159" i="2" s="1"/>
  <c r="R160" i="2" s="1"/>
  <c r="R161" i="2" s="1"/>
  <c r="R162" i="2" s="1"/>
  <c r="R163" i="2" s="1"/>
  <c r="R164" i="2" s="1"/>
  <c r="R165" i="2" s="1"/>
  <c r="R166" i="2" s="1"/>
  <c r="R167" i="2" s="1"/>
  <c r="R168" i="2" s="1"/>
  <c r="R169" i="2" s="1"/>
  <c r="R170" i="2" s="1"/>
  <c r="R171" i="2" s="1"/>
  <c r="R172" i="2" s="1"/>
  <c r="R173" i="2" s="1"/>
  <c r="R174" i="2" s="1"/>
  <c r="R175" i="2" s="1"/>
  <c r="R176" i="2" s="1"/>
  <c r="R177" i="2" s="1"/>
  <c r="R178" i="2" s="1"/>
  <c r="R179" i="2" s="1"/>
  <c r="R180" i="2" s="1"/>
  <c r="R181" i="2" s="1"/>
  <c r="R182" i="2" s="1"/>
  <c r="R183" i="2" s="1"/>
  <c r="R184" i="2" s="1"/>
  <c r="R185" i="2" s="1"/>
  <c r="R186" i="2" s="1"/>
  <c r="R187" i="2" s="1"/>
  <c r="R188" i="2" s="1"/>
  <c r="R189" i="2" s="1"/>
  <c r="R190" i="2" s="1"/>
  <c r="R191" i="2" s="1"/>
  <c r="R192" i="2" s="1"/>
  <c r="R193" i="2" s="1"/>
  <c r="R194" i="2" s="1"/>
  <c r="R195" i="2" s="1"/>
  <c r="R196" i="2" s="1"/>
  <c r="R197" i="2" s="1"/>
  <c r="R198" i="2" s="1"/>
  <c r="R199" i="2" s="1"/>
  <c r="R200" i="2" s="1"/>
  <c r="R201" i="2" s="1"/>
  <c r="R202" i="2" s="1"/>
  <c r="R203" i="2" s="1"/>
  <c r="R204" i="2" s="1"/>
  <c r="R205" i="2" s="1"/>
  <c r="R206" i="2" s="1"/>
  <c r="R207" i="2" s="1"/>
  <c r="R208" i="2" s="1"/>
  <c r="R209" i="2" s="1"/>
  <c r="R210" i="2" s="1"/>
  <c r="R211" i="2" s="1"/>
  <c r="R212" i="2" s="1"/>
  <c r="R213" i="2" s="1"/>
  <c r="R214" i="2" s="1"/>
  <c r="R215" i="2" s="1"/>
  <c r="R216" i="2" s="1"/>
  <c r="R217" i="2" s="1"/>
  <c r="R218" i="2" s="1"/>
  <c r="R219" i="2" s="1"/>
  <c r="R220" i="2" s="1"/>
  <c r="R221" i="2" s="1"/>
  <c r="R222" i="2" s="1"/>
  <c r="R223" i="2" s="1"/>
  <c r="R224" i="2" s="1"/>
  <c r="R225" i="2" s="1"/>
  <c r="R226" i="2" s="1"/>
  <c r="R227" i="2" s="1"/>
  <c r="R228" i="2" s="1"/>
  <c r="R229" i="2" s="1"/>
  <c r="R230" i="2" s="1"/>
  <c r="R231" i="2" s="1"/>
  <c r="R232" i="2" s="1"/>
  <c r="R233" i="2" s="1"/>
  <c r="R234" i="2" s="1"/>
  <c r="R235" i="2" s="1"/>
  <c r="R236" i="2" s="1"/>
  <c r="R237" i="2" s="1"/>
  <c r="R238" i="2" s="1"/>
  <c r="R239" i="2" s="1"/>
  <c r="R240" i="2" s="1"/>
  <c r="R241" i="2" s="1"/>
  <c r="R242" i="2" s="1"/>
  <c r="R243" i="2" s="1"/>
  <c r="R244" i="2" s="1"/>
  <c r="R245" i="2" s="1"/>
  <c r="R246" i="2" s="1"/>
  <c r="R247" i="2" s="1"/>
  <c r="R248" i="2" s="1"/>
  <c r="R249" i="2" s="1"/>
  <c r="R250" i="2" s="1"/>
  <c r="R251" i="2" s="1"/>
  <c r="R252" i="2" s="1"/>
  <c r="R253" i="2" s="1"/>
  <c r="R254" i="2" s="1"/>
  <c r="R255" i="2" s="1"/>
  <c r="R256" i="2" s="1"/>
  <c r="R257" i="2" s="1"/>
  <c r="R258" i="2" s="1"/>
  <c r="R259" i="2" s="1"/>
  <c r="R260" i="2" s="1"/>
  <c r="R261" i="2" s="1"/>
  <c r="R262" i="2" s="1"/>
  <c r="R263" i="2" s="1"/>
  <c r="R264" i="2" s="1"/>
  <c r="R265" i="2" s="1"/>
  <c r="R266" i="2" s="1"/>
  <c r="R267" i="2" s="1"/>
  <c r="R268" i="2" s="1"/>
  <c r="R269" i="2" s="1"/>
  <c r="R270" i="2" s="1"/>
  <c r="R271" i="2" s="1"/>
  <c r="R272" i="2" s="1"/>
  <c r="R273" i="2" s="1"/>
  <c r="R274" i="2" s="1"/>
  <c r="R275" i="2" s="1"/>
  <c r="R276" i="2" s="1"/>
  <c r="R277" i="2" s="1"/>
  <c r="R278" i="2" s="1"/>
  <c r="R279" i="2" s="1"/>
  <c r="R280" i="2" s="1"/>
  <c r="R281" i="2" s="1"/>
  <c r="R282" i="2" s="1"/>
  <c r="R283" i="2" s="1"/>
  <c r="R284" i="2" s="1"/>
  <c r="R285" i="2" s="1"/>
  <c r="R286" i="2" s="1"/>
  <c r="R287" i="2" s="1"/>
  <c r="R288" i="2" s="1"/>
  <c r="R289" i="2" s="1"/>
  <c r="R290" i="2" s="1"/>
  <c r="R291" i="2" s="1"/>
  <c r="R292" i="2" s="1"/>
  <c r="R293" i="2" s="1"/>
  <c r="R294" i="2" s="1"/>
  <c r="R295" i="2" s="1"/>
  <c r="R296" i="2" s="1"/>
  <c r="R297" i="2" s="1"/>
  <c r="R298" i="2" s="1"/>
  <c r="R299" i="2" s="1"/>
  <c r="R300" i="2" s="1"/>
  <c r="R301" i="2" s="1"/>
  <c r="R302" i="2" s="1"/>
  <c r="R303" i="2" s="1"/>
  <c r="R304" i="2" s="1"/>
  <c r="R305" i="2" s="1"/>
  <c r="R306" i="2" s="1"/>
  <c r="R307" i="2" s="1"/>
  <c r="R308" i="2" s="1"/>
  <c r="R309" i="2" s="1"/>
  <c r="R310" i="2" s="1"/>
  <c r="R311" i="2" s="1"/>
  <c r="R312" i="2" s="1"/>
  <c r="R313" i="2" s="1"/>
  <c r="R314" i="2" s="1"/>
  <c r="R315" i="2" s="1"/>
  <c r="R316" i="2" s="1"/>
  <c r="R317" i="2" s="1"/>
  <c r="R318" i="2" s="1"/>
  <c r="R319" i="2" s="1"/>
  <c r="R320" i="2" s="1"/>
  <c r="R321" i="2" s="1"/>
  <c r="R322" i="2" s="1"/>
  <c r="R323" i="2" s="1"/>
  <c r="R324" i="2" s="1"/>
  <c r="R325" i="2" s="1"/>
  <c r="R326" i="2" s="1"/>
  <c r="R327" i="2" s="1"/>
  <c r="R328" i="2" s="1"/>
  <c r="R329" i="2" s="1"/>
  <c r="R330" i="2" s="1"/>
  <c r="R331" i="2" s="1"/>
  <c r="R332" i="2" s="1"/>
  <c r="R333" i="2" s="1"/>
  <c r="R334" i="2" s="1"/>
  <c r="R335" i="2" s="1"/>
  <c r="R336" i="2" s="1"/>
  <c r="R337" i="2" s="1"/>
  <c r="R338" i="2" s="1"/>
  <c r="R339" i="2" s="1"/>
  <c r="R340" i="2" s="1"/>
  <c r="R341" i="2" s="1"/>
  <c r="R342" i="2" s="1"/>
  <c r="R343" i="2" s="1"/>
  <c r="R344" i="2" s="1"/>
  <c r="R345" i="2" s="1"/>
  <c r="R346" i="2" s="1"/>
  <c r="R347" i="2" s="1"/>
  <c r="R348" i="2" s="1"/>
  <c r="R349" i="2" s="1"/>
  <c r="R350" i="2" s="1"/>
  <c r="R351" i="2" s="1"/>
  <c r="R352" i="2" s="1"/>
  <c r="R353" i="2" s="1"/>
  <c r="R354" i="2" s="1"/>
  <c r="R355" i="2" s="1"/>
  <c r="R356" i="2" s="1"/>
  <c r="R357" i="2" s="1"/>
  <c r="R358" i="2" s="1"/>
  <c r="R359" i="2" s="1"/>
  <c r="R360" i="2" s="1"/>
  <c r="R361" i="2" s="1"/>
  <c r="R362" i="2" s="1"/>
  <c r="R363" i="2" s="1"/>
  <c r="R364" i="2" s="1"/>
  <c r="R365" i="2" s="1"/>
  <c r="R366" i="2" s="1"/>
  <c r="R367" i="2" s="1"/>
  <c r="R368" i="2" s="1"/>
  <c r="R369" i="2" s="1"/>
  <c r="R370" i="2" s="1"/>
  <c r="R371" i="2" s="1"/>
  <c r="R372" i="2" s="1"/>
  <c r="R373" i="2" s="1"/>
  <c r="R374" i="2" s="1"/>
  <c r="R375" i="2" s="1"/>
  <c r="R376" i="2" s="1"/>
  <c r="R377" i="2" s="1"/>
  <c r="R378" i="2" s="1"/>
  <c r="R379" i="2" s="1"/>
  <c r="R380" i="2" s="1"/>
  <c r="R381" i="2" s="1"/>
  <c r="R382" i="2" s="1"/>
  <c r="R383" i="2" s="1"/>
  <c r="R384" i="2" s="1"/>
  <c r="R385" i="2" s="1"/>
  <c r="R386" i="2" s="1"/>
  <c r="R387" i="2" s="1"/>
  <c r="R388" i="2" s="1"/>
  <c r="R389" i="2" s="1"/>
  <c r="R390" i="2" s="1"/>
  <c r="R391" i="2" s="1"/>
  <c r="R392" i="2" s="1"/>
  <c r="R393" i="2" s="1"/>
  <c r="R394" i="2" s="1"/>
  <c r="R395" i="2" s="1"/>
  <c r="R396" i="2" s="1"/>
  <c r="R397" i="2" s="1"/>
  <c r="R398" i="2" s="1"/>
  <c r="R399" i="2" s="1"/>
  <c r="R400" i="2" s="1"/>
  <c r="R401" i="2" s="1"/>
  <c r="R402" i="2" s="1"/>
  <c r="R403" i="2" s="1"/>
  <c r="R404" i="2" s="1"/>
  <c r="R405" i="2" s="1"/>
  <c r="R406" i="2" s="1"/>
  <c r="R407" i="2" s="1"/>
  <c r="R408" i="2" s="1"/>
  <c r="R409" i="2" s="1"/>
  <c r="R410" i="2" s="1"/>
  <c r="R411" i="2" s="1"/>
  <c r="R412" i="2" s="1"/>
  <c r="R413" i="2" s="1"/>
  <c r="R414" i="2" s="1"/>
  <c r="R415" i="2" s="1"/>
  <c r="R416" i="2" s="1"/>
  <c r="R417" i="2" s="1"/>
  <c r="R418" i="2" s="1"/>
  <c r="R419" i="2" s="1"/>
  <c r="R420" i="2" s="1"/>
  <c r="R421" i="2" s="1"/>
  <c r="R422" i="2" s="1"/>
  <c r="R423" i="2" s="1"/>
  <c r="R424" i="2" s="1"/>
  <c r="R425" i="2" s="1"/>
  <c r="R426" i="2" s="1"/>
  <c r="R427" i="2" s="1"/>
  <c r="R428" i="2" s="1"/>
  <c r="R429" i="2" s="1"/>
  <c r="R430" i="2" s="1"/>
  <c r="R431" i="2" s="1"/>
  <c r="R432" i="2" s="1"/>
  <c r="R433" i="2" s="1"/>
  <c r="R434" i="2" s="1"/>
  <c r="R435" i="2" s="1"/>
  <c r="R436" i="2" s="1"/>
  <c r="R437" i="2" s="1"/>
  <c r="R438" i="2" s="1"/>
  <c r="R439" i="2" s="1"/>
  <c r="R440" i="2" s="1"/>
  <c r="R441" i="2" s="1"/>
  <c r="R442" i="2" s="1"/>
  <c r="R443" i="2" s="1"/>
  <c r="R444" i="2" s="1"/>
  <c r="R445" i="2" s="1"/>
  <c r="R446" i="2" s="1"/>
  <c r="R447" i="2" s="1"/>
  <c r="R448" i="2" s="1"/>
  <c r="R449" i="2" s="1"/>
  <c r="R450" i="2" s="1"/>
  <c r="R451" i="2" s="1"/>
  <c r="R452" i="2" s="1"/>
  <c r="R453" i="2" s="1"/>
  <c r="R454" i="2" s="1"/>
  <c r="R455" i="2" s="1"/>
  <c r="R456" i="2" s="1"/>
  <c r="R457" i="2" s="1"/>
  <c r="R458" i="2" s="1"/>
  <c r="R459" i="2" s="1"/>
  <c r="R460" i="2" s="1"/>
  <c r="R461" i="2" s="1"/>
  <c r="R462" i="2" s="1"/>
  <c r="R463" i="2" s="1"/>
  <c r="R464" i="2" s="1"/>
  <c r="R465" i="2" s="1"/>
  <c r="R466" i="2" s="1"/>
  <c r="R467" i="2" s="1"/>
  <c r="R468" i="2" s="1"/>
  <c r="R469" i="2" s="1"/>
  <c r="R470" i="2" s="1"/>
  <c r="R471" i="2" s="1"/>
  <c r="R472" i="2" s="1"/>
  <c r="R473" i="2" s="1"/>
  <c r="R474" i="2" s="1"/>
  <c r="R475" i="2" s="1"/>
  <c r="R476" i="2" s="1"/>
  <c r="R477" i="2" s="1"/>
  <c r="R478" i="2" s="1"/>
  <c r="R479" i="2" s="1"/>
  <c r="R480" i="2" s="1"/>
  <c r="R481" i="2" s="1"/>
  <c r="R482" i="2" s="1"/>
  <c r="R483" i="2" s="1"/>
  <c r="R484" i="2" s="1"/>
  <c r="R485" i="2" s="1"/>
  <c r="R486" i="2" s="1"/>
  <c r="R487" i="2" s="1"/>
  <c r="R488" i="2" s="1"/>
  <c r="R489" i="2" s="1"/>
  <c r="R490" i="2" s="1"/>
  <c r="R491" i="2" s="1"/>
  <c r="R492" i="2" s="1"/>
  <c r="R493" i="2" s="1"/>
  <c r="R494" i="2" s="1"/>
  <c r="R495" i="2" s="1"/>
  <c r="R496" i="2" s="1"/>
  <c r="R497" i="2" s="1"/>
  <c r="R498" i="2" s="1"/>
  <c r="R499" i="2" s="1"/>
  <c r="R500" i="2" s="1"/>
  <c r="R501" i="2" s="1"/>
  <c r="R502" i="2" s="1"/>
  <c r="R503" i="2" s="1"/>
  <c r="R504" i="2" s="1"/>
  <c r="R505" i="2" s="1"/>
  <c r="R506" i="2" s="1"/>
  <c r="R507" i="2" s="1"/>
  <c r="R508" i="2" s="1"/>
  <c r="R509" i="2" s="1"/>
  <c r="R510" i="2" s="1"/>
  <c r="R511" i="2" s="1"/>
  <c r="R512" i="2" s="1"/>
  <c r="R513" i="2" s="1"/>
  <c r="R514" i="2" s="1"/>
  <c r="R515" i="2" s="1"/>
  <c r="R516" i="2" s="1"/>
  <c r="R517" i="2" s="1"/>
  <c r="R518" i="2" s="1"/>
  <c r="R519" i="2" s="1"/>
  <c r="R520" i="2" s="1"/>
  <c r="R521" i="2" s="1"/>
  <c r="R522" i="2" s="1"/>
  <c r="R523" i="2" s="1"/>
  <c r="R524" i="2" s="1"/>
  <c r="R525" i="2" s="1"/>
  <c r="R526" i="2" s="1"/>
  <c r="R527" i="2" s="1"/>
  <c r="R528" i="2" s="1"/>
  <c r="R529" i="2" s="1"/>
  <c r="R530" i="2" s="1"/>
  <c r="R531" i="2" s="1"/>
  <c r="R532" i="2" s="1"/>
  <c r="R533" i="2" s="1"/>
  <c r="R534" i="2" s="1"/>
  <c r="R535" i="2" s="1"/>
  <c r="R536" i="2" s="1"/>
  <c r="R537" i="2" s="1"/>
  <c r="R538" i="2" s="1"/>
  <c r="R539" i="2" s="1"/>
  <c r="R540" i="2" s="1"/>
  <c r="R541" i="2" s="1"/>
  <c r="R542" i="2" s="1"/>
  <c r="R543" i="2" s="1"/>
  <c r="R544" i="2" s="1"/>
  <c r="R545" i="2" s="1"/>
  <c r="R546" i="2" s="1"/>
  <c r="R547" i="2" s="1"/>
  <c r="R548" i="2" s="1"/>
  <c r="R549" i="2" s="1"/>
  <c r="R550" i="2" s="1"/>
  <c r="R551" i="2" s="1"/>
  <c r="R552" i="2" s="1"/>
  <c r="R553" i="2" s="1"/>
  <c r="R554" i="2" s="1"/>
  <c r="R555" i="2" s="1"/>
  <c r="R556" i="2" s="1"/>
  <c r="R557" i="2" s="1"/>
  <c r="R558" i="2" s="1"/>
  <c r="R559" i="2" s="1"/>
  <c r="R560" i="2" s="1"/>
  <c r="R561" i="2" s="1"/>
  <c r="R562" i="2" s="1"/>
  <c r="R563" i="2" s="1"/>
  <c r="R564" i="2" s="1"/>
  <c r="R565" i="2" s="1"/>
  <c r="R566" i="2" s="1"/>
  <c r="R567" i="2" s="1"/>
  <c r="R568" i="2" s="1"/>
  <c r="R569" i="2" s="1"/>
  <c r="R570" i="2" s="1"/>
  <c r="R571" i="2" s="1"/>
  <c r="R572" i="2" s="1"/>
  <c r="R573" i="2" s="1"/>
  <c r="R574" i="2" s="1"/>
  <c r="R575" i="2" s="1"/>
  <c r="R576" i="2" s="1"/>
  <c r="R577" i="2" s="1"/>
  <c r="R578" i="2" s="1"/>
  <c r="R579" i="2" s="1"/>
  <c r="R580" i="2" s="1"/>
  <c r="R581" i="2" s="1"/>
  <c r="R582" i="2" s="1"/>
  <c r="R583" i="2" s="1"/>
  <c r="R584" i="2" s="1"/>
  <c r="R585" i="2" s="1"/>
  <c r="R586" i="2" s="1"/>
  <c r="R587" i="2" s="1"/>
  <c r="R588" i="2" s="1"/>
  <c r="R589" i="2" s="1"/>
  <c r="R590" i="2" s="1"/>
  <c r="R591" i="2" s="1"/>
  <c r="R592" i="2" s="1"/>
  <c r="R593" i="2" s="1"/>
  <c r="R594" i="2" s="1"/>
  <c r="R595" i="2" s="1"/>
  <c r="R596" i="2" s="1"/>
  <c r="R597" i="2" s="1"/>
  <c r="R598" i="2" s="1"/>
  <c r="R599" i="2" s="1"/>
  <c r="R600" i="2" s="1"/>
  <c r="R601" i="2" s="1"/>
  <c r="R602" i="2" s="1"/>
  <c r="R603" i="2" s="1"/>
  <c r="R604" i="2" s="1"/>
  <c r="R605" i="2" s="1"/>
  <c r="R606" i="2" s="1"/>
  <c r="R607" i="2" s="1"/>
  <c r="R608" i="2" s="1"/>
  <c r="R609" i="2" s="1"/>
  <c r="R610" i="2" s="1"/>
  <c r="R611" i="2" s="1"/>
  <c r="R612" i="2" s="1"/>
  <c r="R613" i="2" s="1"/>
  <c r="R614" i="2" s="1"/>
  <c r="R615" i="2" s="1"/>
  <c r="R616" i="2" s="1"/>
  <c r="R617" i="2" s="1"/>
  <c r="R618" i="2" s="1"/>
  <c r="R619" i="2" s="1"/>
  <c r="R620" i="2" s="1"/>
  <c r="R62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rFont val="Arial"/>
            <family val="2"/>
            <charset val="1"/>
          </rPr>
          <t>Debug.24</t>
        </r>
      </text>
    </comment>
  </commentList>
</comments>
</file>

<file path=xl/sharedStrings.xml><?xml version="1.0" encoding="utf-8"?>
<sst xmlns="http://schemas.openxmlformats.org/spreadsheetml/2006/main" count="3800" uniqueCount="668">
  <si>
    <t>CompanyName</t>
  </si>
  <si>
    <t>RunDate</t>
  </si>
  <si>
    <t>FromDate</t>
  </si>
  <si>
    <t>ToDate</t>
  </si>
  <si>
    <t>TimeZone</t>
  </si>
  <si>
    <t>America/New_York</t>
  </si>
  <si>
    <t>SpeedUnit</t>
  </si>
  <si>
    <t>km/h</t>
  </si>
  <si>
    <t>SendReport</t>
  </si>
  <si>
    <t>LastModifiedUser</t>
  </si>
  <si>
    <t>Language</t>
  </si>
  <si>
    <t>en</t>
  </si>
  <si>
    <t>DeviceName</t>
  </si>
  <si>
    <t>DeviceGroup</t>
  </si>
  <si>
    <t>DebugDateTime</t>
  </si>
  <si>
    <t>DebugRecordType</t>
  </si>
  <si>
    <t>DebugLongitude</t>
  </si>
  <si>
    <t>DebugLatitude</t>
  </si>
  <si>
    <t>DiagnosticName</t>
  </si>
  <si>
    <t>GpsRecord</t>
  </si>
  <si>
    <t>EngineStatusRecord</t>
  </si>
  <si>
    <t>Controller</t>
  </si>
  <si>
    <t>**Log Data and Collisions Report</t>
  </si>
  <si>
    <t>Date</t>
  </si>
  <si>
    <t>**From</t>
  </si>
  <si>
    <t>**To</t>
  </si>
  <si>
    <t>**Days</t>
  </si>
  <si>
    <t>**Time Zone</t>
  </si>
  <si>
    <t>**Speed Unit</t>
  </si>
  <si>
    <t>**Device</t>
  </si>
  <si>
    <t>**Device Group</t>
  </si>
  <si>
    <t>**First Name</t>
  </si>
  <si>
    <t>**Last Name</t>
  </si>
  <si>
    <t>**Driver Name</t>
  </si>
  <si>
    <t>**Date</t>
  </si>
  <si>
    <t>**Log Time</t>
  </si>
  <si>
    <t>**Record Type</t>
  </si>
  <si>
    <t>**Speed</t>
  </si>
  <si>
    <t>**Longitude</t>
  </si>
  <si>
    <t>**Latitude</t>
  </si>
  <si>
    <t>**Reason for Log</t>
  </si>
  <si>
    <t>**Ignition</t>
  </si>
  <si>
    <t>**Aux1</t>
  </si>
  <si>
    <t>**Aux2</t>
  </si>
  <si>
    <t>**Aux3</t>
  </si>
  <si>
    <t>**Aux4</t>
  </si>
  <si>
    <t>**Aux5</t>
  </si>
  <si>
    <t>**Aux6</t>
  </si>
  <si>
    <t>**Aux7</t>
  </si>
  <si>
    <t>**Aux8</t>
  </si>
  <si>
    <t>**Valid</t>
  </si>
  <si>
    <t>**Valid GPS</t>
  </si>
  <si>
    <t>**Debug Record</t>
  </si>
  <si>
    <t>**Engine Diagnostic</t>
  </si>
  <si>
    <t>**Controller</t>
  </si>
  <si>
    <t>**Failure Mode</t>
  </si>
  <si>
    <t>**Engine Status</t>
  </si>
  <si>
    <t>**Location</t>
  </si>
  <si>
    <t>English</t>
  </si>
  <si>
    <t>Spanish</t>
  </si>
  <si>
    <t>German</t>
  </si>
  <si>
    <t>Japanese</t>
  </si>
  <si>
    <t>Polish</t>
  </si>
  <si>
    <t>Portuguese-Brazil</t>
  </si>
  <si>
    <t>Dutch</t>
  </si>
  <si>
    <t>Italian</t>
  </si>
  <si>
    <t>Simplified Chinese</t>
  </si>
  <si>
    <t>Thai</t>
  </si>
  <si>
    <t>Indonesian</t>
  </si>
  <si>
    <t>Czech</t>
  </si>
  <si>
    <t>Swedish</t>
  </si>
  <si>
    <t>Dispositif</t>
  </si>
  <si>
    <t>Dispositivo</t>
  </si>
  <si>
    <t>Gerät</t>
  </si>
  <si>
    <t>デバイス</t>
  </si>
  <si>
    <t>Urzadzenie</t>
  </si>
  <si>
    <t>Apparaat</t>
  </si>
  <si>
    <t>设备</t>
  </si>
  <si>
    <t>อุปกรณ์</t>
  </si>
  <si>
    <t>Perangkat</t>
  </si>
  <si>
    <t>Zařízení</t>
  </si>
  <si>
    <t>Enhet</t>
  </si>
  <si>
    <t>Prénom</t>
  </si>
  <si>
    <t>Nombre</t>
  </si>
  <si>
    <t>Vorname</t>
  </si>
  <si>
    <t>ファーストネー</t>
  </si>
  <si>
    <t>Imie</t>
  </si>
  <si>
    <t>Nome</t>
  </si>
  <si>
    <t>Voornaam</t>
  </si>
  <si>
    <t>名字</t>
  </si>
  <si>
    <t>ชื่อ</t>
  </si>
  <si>
    <t>Nama Depan</t>
  </si>
  <si>
    <t>Křestní jméno</t>
  </si>
  <si>
    <t>Förnamn</t>
  </si>
  <si>
    <t>Nom de famille</t>
  </si>
  <si>
    <t>Apellido</t>
  </si>
  <si>
    <t>Nachname</t>
  </si>
  <si>
    <t>ラストネーム</t>
  </si>
  <si>
    <t>Nazwisko</t>
  </si>
  <si>
    <t>Sobrenome</t>
  </si>
  <si>
    <t>Achternaam</t>
  </si>
  <si>
    <t>Cognome</t>
  </si>
  <si>
    <t>姓氏</t>
  </si>
  <si>
    <t>นามสกุล</t>
  </si>
  <si>
    <t>Nama belakang</t>
  </si>
  <si>
    <t>Příjmení</t>
  </si>
  <si>
    <t>Efternamn</t>
  </si>
  <si>
    <t>Groupe de dispositifs</t>
  </si>
  <si>
    <t>Grupo de dispositivos</t>
  </si>
  <si>
    <t>Gerätegruppe</t>
  </si>
  <si>
    <t>デバイスグループ</t>
  </si>
  <si>
    <t>Grupa urzadzen</t>
  </si>
  <si>
    <t>Grupo de dispositivo</t>
  </si>
  <si>
    <t>Apparaatgroep</t>
  </si>
  <si>
    <t>Gruppo di dispositivi</t>
  </si>
  <si>
    <t>设备的组名</t>
  </si>
  <si>
    <t>กลุ่มอุปกรณ์</t>
  </si>
  <si>
    <t>Grup Perangkat</t>
  </si>
  <si>
    <t>Skupina zařízení</t>
  </si>
  <si>
    <t>Enhetsgrupp</t>
  </si>
  <si>
    <t>Nom du conducteur</t>
  </si>
  <si>
    <t>Nombre del Conductor</t>
  </si>
  <si>
    <t>Fahrername</t>
  </si>
  <si>
    <t>ドライバー名</t>
  </si>
  <si>
    <t>Imie i nazwisko kierowcy</t>
  </si>
  <si>
    <t>Nome do motorista</t>
  </si>
  <si>
    <t>Naam chauffeur</t>
  </si>
  <si>
    <t>Nome del conducente</t>
  </si>
  <si>
    <t>驾驶员名字</t>
  </si>
  <si>
    <t>ชื่อผู้ขับ</t>
  </si>
  <si>
    <t>Nama Pengemudi</t>
  </si>
  <si>
    <t>Jméno řidiče</t>
  </si>
  <si>
    <t>Förarnamn</t>
  </si>
  <si>
    <t>Fecha</t>
  </si>
  <si>
    <t>Datum</t>
  </si>
  <si>
    <t>データ</t>
  </si>
  <si>
    <t>Data</t>
  </si>
  <si>
    <t>日期</t>
  </si>
  <si>
    <t>วันที่</t>
  </si>
  <si>
    <t>Tanggal</t>
  </si>
  <si>
    <t>Heure du registre</t>
  </si>
  <si>
    <t>Tiempo registrado</t>
  </si>
  <si>
    <t>Protokollzeit</t>
  </si>
  <si>
    <t>ログ時間</t>
  </si>
  <si>
    <t>Czas pliku dziennika</t>
  </si>
  <si>
    <t>Hora do registro</t>
  </si>
  <si>
    <t>Logtijd</t>
  </si>
  <si>
    <t>Tempo di registro</t>
  </si>
  <si>
    <t>日志记录时间</t>
  </si>
  <si>
    <t>เวลาที่บันทึก</t>
  </si>
  <si>
    <t>Waktu Log</t>
  </si>
  <si>
    <t>Čas protokolu</t>
  </si>
  <si>
    <t>Loggtid</t>
  </si>
  <si>
    <t>Type de record</t>
  </si>
  <si>
    <t>Tipo de registro</t>
  </si>
  <si>
    <t>Aufzeichnungstyp</t>
  </si>
  <si>
    <t>記録タイプ</t>
  </si>
  <si>
    <t>Typ rekordu</t>
  </si>
  <si>
    <t>Registratietype</t>
  </si>
  <si>
    <t>Tipo di record</t>
  </si>
  <si>
    <t>记录类型</t>
  </si>
  <si>
    <t>ประเภทบันทึก</t>
  </si>
  <si>
    <t>Jenis Catatan</t>
  </si>
  <si>
    <t>Typ záznamu</t>
  </si>
  <si>
    <t>Posttyp</t>
  </si>
  <si>
    <t>Vitesse</t>
  </si>
  <si>
    <t>Velocidad</t>
  </si>
  <si>
    <t>Geschwindigkeit</t>
  </si>
  <si>
    <t>スピード</t>
  </si>
  <si>
    <t>PREDKOSC</t>
  </si>
  <si>
    <t>VELOCIDADE</t>
  </si>
  <si>
    <t>SNELHEID</t>
  </si>
  <si>
    <t>VELOCITÀ</t>
  </si>
  <si>
    <t>速度</t>
  </si>
  <si>
    <t>ความเร็ว</t>
  </si>
  <si>
    <t>KECEPATAN</t>
  </si>
  <si>
    <t>RYCHLOST</t>
  </si>
  <si>
    <t>HASTIGHET</t>
  </si>
  <si>
    <t>Longitude</t>
  </si>
  <si>
    <t>Longitud</t>
  </si>
  <si>
    <t>Längengrad</t>
  </si>
  <si>
    <t>経度</t>
  </si>
  <si>
    <t>Dlugosc geograficzna</t>
  </si>
  <si>
    <t>Lengtegraad</t>
  </si>
  <si>
    <t>Longitudine</t>
  </si>
  <si>
    <t>经度</t>
  </si>
  <si>
    <t>ลองจิจูด</t>
  </si>
  <si>
    <t>Garis Bujur</t>
  </si>
  <si>
    <t>Zeměpisná délka</t>
  </si>
  <si>
    <t>Latitude</t>
  </si>
  <si>
    <t>Latitud</t>
  </si>
  <si>
    <t>Breitengrad</t>
  </si>
  <si>
    <t>緯度</t>
  </si>
  <si>
    <t>Szerokosc geograficzna</t>
  </si>
  <si>
    <t>Breedtegraad</t>
  </si>
  <si>
    <t>Latitudine</t>
  </si>
  <si>
    <t>纬度</t>
  </si>
  <si>
    <t>ละติจูด</t>
  </si>
  <si>
    <t>Garis Lintang</t>
  </si>
  <si>
    <t>Zeměpisná šířka</t>
  </si>
  <si>
    <t>Emplacement</t>
  </si>
  <si>
    <t>Ubicación</t>
  </si>
  <si>
    <t>Ort</t>
  </si>
  <si>
    <t>位置</t>
  </si>
  <si>
    <t>Lokalizacja</t>
  </si>
  <si>
    <t>Localização</t>
  </si>
  <si>
    <t>Locatie</t>
  </si>
  <si>
    <t>Ubicazione</t>
  </si>
  <si>
    <t>ตำแหน่งที่ตั้ง</t>
  </si>
  <si>
    <t>Lokasi</t>
  </si>
  <si>
    <t>Poloha</t>
  </si>
  <si>
    <t>Plats</t>
  </si>
  <si>
    <t>**Location Zone Types</t>
  </si>
  <si>
    <t>Types de zones de localisation</t>
  </si>
  <si>
    <t>Tipos de zonas de la ubicación</t>
  </si>
  <si>
    <t>Standortzonentyp</t>
  </si>
  <si>
    <t>場所ゾーンタイプ</t>
  </si>
  <si>
    <t>Typy stref lokalizacji</t>
  </si>
  <si>
    <t>Tipos de zona de localização</t>
  </si>
  <si>
    <t>Types locatiezone</t>
  </si>
  <si>
    <t>Tipi di zone delle ubicazioni</t>
  </si>
  <si>
    <t>位置区域类型</t>
  </si>
  <si>
    <t>ประเภทโซนของตำแหน่งที่ตั้ง</t>
  </si>
  <si>
    <t xml:space="preserve">Jenis Zona Lokasi </t>
  </si>
  <si>
    <t>Typy zón polohy</t>
  </si>
  <si>
    <t>Platszontyper</t>
  </si>
  <si>
    <t>Raison du registre</t>
  </si>
  <si>
    <t>Motivo para el registro</t>
  </si>
  <si>
    <t>Grund für Protokoll</t>
  </si>
  <si>
    <t>ログ事由</t>
  </si>
  <si>
    <t>Powód pliku dziennika</t>
  </si>
  <si>
    <t>Motivo para o registro</t>
  </si>
  <si>
    <t>Reden voor de registratie</t>
  </si>
  <si>
    <t>Ragione per il registro</t>
  </si>
  <si>
    <t>日志创建原因</t>
  </si>
  <si>
    <t>เหตุผลของบันทึก</t>
  </si>
  <si>
    <t xml:space="preserve">Alasan untuk Log </t>
  </si>
  <si>
    <t>Důvod protokolu</t>
  </si>
  <si>
    <t>Orsak till logg</t>
  </si>
  <si>
    <t>Système d'allumage</t>
  </si>
  <si>
    <t>Ignición</t>
  </si>
  <si>
    <t>Zündung</t>
  </si>
  <si>
    <t>IG</t>
  </si>
  <si>
    <t>Zaplon</t>
  </si>
  <si>
    <t>Ignição</t>
  </si>
  <si>
    <t>Ontsteking</t>
  </si>
  <si>
    <t>Accensione</t>
  </si>
  <si>
    <t>点火</t>
  </si>
  <si>
    <t>สวิตช์กุญแจ</t>
  </si>
  <si>
    <t>Pengapian</t>
  </si>
  <si>
    <t>Zapalování</t>
  </si>
  <si>
    <t>Tändning</t>
  </si>
  <si>
    <t>Aux1</t>
  </si>
  <si>
    <r>
      <rPr>
        <sz val="10"/>
        <rFont val="Microsoft YaHei"/>
        <family val="2"/>
      </rPr>
      <t>外部入力</t>
    </r>
    <r>
      <rPr>
        <sz val="10"/>
        <rFont val="Arial"/>
        <family val="2"/>
        <charset val="1"/>
      </rPr>
      <t>1</t>
    </r>
  </si>
  <si>
    <t>Hulpmiddel1</t>
  </si>
  <si>
    <t>Aus1</t>
  </si>
  <si>
    <t>Asistent 1</t>
  </si>
  <si>
    <t>Aux2</t>
  </si>
  <si>
    <r>
      <rPr>
        <sz val="10"/>
        <rFont val="Microsoft YaHei"/>
        <family val="2"/>
      </rPr>
      <t>外部入力</t>
    </r>
    <r>
      <rPr>
        <sz val="10"/>
        <rFont val="Arial"/>
        <family val="2"/>
        <charset val="1"/>
      </rPr>
      <t>2</t>
    </r>
  </si>
  <si>
    <t>Hulpmiddel2</t>
  </si>
  <si>
    <t>Aus2</t>
  </si>
  <si>
    <t>Asistent 2</t>
  </si>
  <si>
    <t>Aux3</t>
  </si>
  <si>
    <r>
      <rPr>
        <sz val="10"/>
        <rFont val="Microsoft YaHei"/>
        <family val="2"/>
      </rPr>
      <t>外部入力</t>
    </r>
    <r>
      <rPr>
        <sz val="10"/>
        <rFont val="Arial"/>
        <family val="2"/>
        <charset val="1"/>
      </rPr>
      <t>3</t>
    </r>
  </si>
  <si>
    <t>Hulpmiddel3</t>
  </si>
  <si>
    <t>Aus3</t>
  </si>
  <si>
    <t>Asistent 3</t>
  </si>
  <si>
    <t>Aux4</t>
  </si>
  <si>
    <r>
      <rPr>
        <sz val="10"/>
        <rFont val="Microsoft YaHei"/>
        <family val="2"/>
      </rPr>
      <t>外部入力</t>
    </r>
    <r>
      <rPr>
        <sz val="10"/>
        <rFont val="Arial"/>
        <family val="2"/>
        <charset val="1"/>
      </rPr>
      <t>4</t>
    </r>
  </si>
  <si>
    <t>Hulpmiddel4</t>
  </si>
  <si>
    <t>Aus4</t>
  </si>
  <si>
    <t>Asistent 4</t>
  </si>
  <si>
    <t>Aux5</t>
  </si>
  <si>
    <r>
      <rPr>
        <sz val="10"/>
        <rFont val="Microsoft YaHei"/>
        <family val="2"/>
      </rPr>
      <t>外部入力</t>
    </r>
    <r>
      <rPr>
        <sz val="10"/>
        <rFont val="Arial"/>
        <family val="2"/>
        <charset val="1"/>
      </rPr>
      <t>5</t>
    </r>
  </si>
  <si>
    <t>Hulpmiddel5</t>
  </si>
  <si>
    <t>Aus5</t>
  </si>
  <si>
    <t>Asistent 5</t>
  </si>
  <si>
    <t>Aux6</t>
  </si>
  <si>
    <r>
      <rPr>
        <sz val="10"/>
        <rFont val="Microsoft YaHei"/>
        <family val="2"/>
      </rPr>
      <t>外部入力</t>
    </r>
    <r>
      <rPr>
        <sz val="10"/>
        <rFont val="Arial"/>
        <family val="2"/>
        <charset val="1"/>
      </rPr>
      <t>6</t>
    </r>
  </si>
  <si>
    <t>Hulpmiddel6</t>
  </si>
  <si>
    <t>Aus6</t>
  </si>
  <si>
    <t>Asistent 6</t>
  </si>
  <si>
    <t>Aux7</t>
  </si>
  <si>
    <r>
      <rPr>
        <sz val="10"/>
        <rFont val="Microsoft YaHei"/>
        <family val="2"/>
      </rPr>
      <t>外部入力</t>
    </r>
    <r>
      <rPr>
        <sz val="10"/>
        <rFont val="Arial"/>
        <family val="2"/>
        <charset val="1"/>
      </rPr>
      <t>7</t>
    </r>
  </si>
  <si>
    <t>Hulpmiddel7</t>
  </si>
  <si>
    <t>Aus7</t>
  </si>
  <si>
    <t>Asistent 7</t>
  </si>
  <si>
    <t>Aux8</t>
  </si>
  <si>
    <r>
      <rPr>
        <sz val="10"/>
        <rFont val="Microsoft YaHei"/>
        <family val="2"/>
      </rPr>
      <t>外部入力</t>
    </r>
    <r>
      <rPr>
        <sz val="10"/>
        <rFont val="Arial"/>
        <family val="2"/>
        <charset val="1"/>
      </rPr>
      <t>8</t>
    </r>
  </si>
  <si>
    <t>Hulpmiddel8</t>
  </si>
  <si>
    <t>Aus8</t>
  </si>
  <si>
    <t>Asistent 8</t>
  </si>
  <si>
    <t>Valide</t>
  </si>
  <si>
    <t>Válido</t>
  </si>
  <si>
    <t>Gültig</t>
  </si>
  <si>
    <t>有効</t>
  </si>
  <si>
    <t>Prawidlowy</t>
  </si>
  <si>
    <t>Geldig</t>
  </si>
  <si>
    <t>Valido</t>
  </si>
  <si>
    <t>有效</t>
  </si>
  <si>
    <t>ถูกต้อง</t>
  </si>
  <si>
    <t>Valid</t>
  </si>
  <si>
    <t>Platné</t>
  </si>
  <si>
    <t>Giltig</t>
  </si>
  <si>
    <t>GPS valide</t>
  </si>
  <si>
    <t>GPS válido</t>
  </si>
  <si>
    <t>Gültige GPS</t>
  </si>
  <si>
    <r>
      <rPr>
        <sz val="10"/>
        <rFont val="Microsoft YaHei"/>
        <family val="2"/>
      </rPr>
      <t xml:space="preserve">有効な </t>
    </r>
    <r>
      <rPr>
        <sz val="10"/>
        <rFont val="Arial"/>
        <family val="2"/>
        <charset val="1"/>
      </rPr>
      <t>GPS</t>
    </r>
  </si>
  <si>
    <t>Prawidlowy GPS</t>
  </si>
  <si>
    <t>Geldige GPS</t>
  </si>
  <si>
    <t>GPS valido</t>
  </si>
  <si>
    <r>
      <rPr>
        <sz val="10"/>
        <rFont val="Microsoft YaHei"/>
        <family val="2"/>
      </rPr>
      <t xml:space="preserve">有效 </t>
    </r>
    <r>
      <rPr>
        <sz val="10"/>
        <rFont val="Arial"/>
        <family val="2"/>
        <charset val="1"/>
      </rPr>
      <t>GPS</t>
    </r>
  </si>
  <si>
    <t>GPS ที่ถูกต้อง</t>
  </si>
  <si>
    <t>GPS Yang Valid</t>
  </si>
  <si>
    <t>Platné GPS</t>
  </si>
  <si>
    <t>Giltig GPS</t>
  </si>
  <si>
    <t>Fiche de dépannage</t>
  </si>
  <si>
    <t>Registro de errores depurados</t>
  </si>
  <si>
    <t>Fehlerbeseitigungsdatensatz</t>
  </si>
  <si>
    <t>デバッグ記録</t>
  </si>
  <si>
    <t>Rekord analizy bledów</t>
  </si>
  <si>
    <t>Registro de Debug</t>
  </si>
  <si>
    <t>Registratie foutopsporing</t>
  </si>
  <si>
    <t>Record di debug</t>
  </si>
  <si>
    <t>调试记录</t>
  </si>
  <si>
    <t>บันทึกดีบัก</t>
  </si>
  <si>
    <t>Catatan Debug</t>
  </si>
  <si>
    <t>Zpráva o ladění</t>
  </si>
  <si>
    <t>Felsökningspost</t>
  </si>
  <si>
    <t>Diagnostic du moteur</t>
  </si>
  <si>
    <t>Diagnóstico del motor</t>
  </si>
  <si>
    <t>Motordiagnose</t>
  </si>
  <si>
    <t>エンジン診断</t>
  </si>
  <si>
    <t>Diagnostyka silnika</t>
  </si>
  <si>
    <t>Diagnóstico do motor</t>
  </si>
  <si>
    <t>Diagnostica del motore</t>
  </si>
  <si>
    <t>发动机诊断</t>
  </si>
  <si>
    <t>การวินิจฉัยเครื่องยนต์</t>
  </si>
  <si>
    <t>Diagnostik Mesin</t>
  </si>
  <si>
    <t>Diagnostika motoru</t>
  </si>
  <si>
    <t>Motordiagnostik</t>
  </si>
  <si>
    <t>Contrôleur du moteur</t>
  </si>
  <si>
    <t>Controlador de motor</t>
  </si>
  <si>
    <t>Motorsteuerung</t>
  </si>
  <si>
    <t>コントローラー</t>
  </si>
  <si>
    <t>Kontroler</t>
  </si>
  <si>
    <t>Controlador</t>
  </si>
  <si>
    <t>控制器</t>
  </si>
  <si>
    <t>ตัวควบคุม</t>
  </si>
  <si>
    <t>Pengontrol</t>
  </si>
  <si>
    <t>Ovladač</t>
  </si>
  <si>
    <t>Kontrollant</t>
  </si>
  <si>
    <t>Modes de défaillance</t>
  </si>
  <si>
    <t>Modo de Falla</t>
  </si>
  <si>
    <t>Ausfallart</t>
  </si>
  <si>
    <t>故障モード</t>
  </si>
  <si>
    <t>Sposób powstania awarii</t>
  </si>
  <si>
    <t>Modo de falha</t>
  </si>
  <si>
    <t>Storingsmodus</t>
  </si>
  <si>
    <t>Modalità di guasto</t>
  </si>
  <si>
    <t>故障模式</t>
  </si>
  <si>
    <t>โหมดความล้มเหลว</t>
  </si>
  <si>
    <t>Mode Kegagalan</t>
  </si>
  <si>
    <t>Poruchový režim</t>
  </si>
  <si>
    <t>Felläge</t>
  </si>
  <si>
    <t>État du moteur</t>
  </si>
  <si>
    <t>Estado del motor</t>
  </si>
  <si>
    <t>Motorstatus</t>
  </si>
  <si>
    <t>エンジン状態</t>
  </si>
  <si>
    <t>Status silnika</t>
  </si>
  <si>
    <t>Status do motor</t>
  </si>
  <si>
    <t>Stato del motore</t>
  </si>
  <si>
    <t>发动机状态</t>
  </si>
  <si>
    <t>สถานะเครื่องยนต์</t>
  </si>
  <si>
    <t>Status Mesin</t>
  </si>
  <si>
    <t>Stav motoru</t>
  </si>
  <si>
    <t>**Created</t>
  </si>
  <si>
    <t>Créé</t>
  </si>
  <si>
    <t>Creado</t>
  </si>
  <si>
    <t>Angelegt</t>
  </si>
  <si>
    <t>作成済</t>
  </si>
  <si>
    <t>Utworzono</t>
  </si>
  <si>
    <t>Criado em</t>
  </si>
  <si>
    <t>Aangemaakt</t>
  </si>
  <si>
    <t>Creato</t>
  </si>
  <si>
    <t>创建日期</t>
  </si>
  <si>
    <t>สร้างแล้ว</t>
  </si>
  <si>
    <t>Dibuat</t>
  </si>
  <si>
    <t>Vytvořeno</t>
  </si>
  <si>
    <t>Skapad</t>
  </si>
  <si>
    <t>Du</t>
  </si>
  <si>
    <t>Desde</t>
  </si>
  <si>
    <t>Von</t>
  </si>
  <si>
    <t>開始日</t>
  </si>
  <si>
    <t>Od</t>
  </si>
  <si>
    <t>Van</t>
  </si>
  <si>
    <t>Dal</t>
  </si>
  <si>
    <t>自</t>
  </si>
  <si>
    <t>จาก</t>
  </si>
  <si>
    <t>Dari</t>
  </si>
  <si>
    <t>Från</t>
  </si>
  <si>
    <t>Au</t>
  </si>
  <si>
    <t>Hasta</t>
  </si>
  <si>
    <t>Bis</t>
  </si>
  <si>
    <t>終了日</t>
  </si>
  <si>
    <t>Do</t>
  </si>
  <si>
    <t>Até</t>
  </si>
  <si>
    <t>Tot</t>
  </si>
  <si>
    <t>Al</t>
  </si>
  <si>
    <t>至</t>
  </si>
  <si>
    <t>ถึง</t>
  </si>
  <si>
    <t>Hingga</t>
  </si>
  <si>
    <t>Do/pro</t>
  </si>
  <si>
    <t>Till</t>
  </si>
  <si>
    <t>Unité de vitesse</t>
  </si>
  <si>
    <t>Unidad de velocidad</t>
  </si>
  <si>
    <t>Geschwindigkeitseinheit</t>
  </si>
  <si>
    <t>速度単位</t>
  </si>
  <si>
    <t>Jednostka predkosci</t>
  </si>
  <si>
    <t>Unidade de velocidade</t>
  </si>
  <si>
    <t>Snelheidseenheid</t>
  </si>
  <si>
    <t>Unità di velocità</t>
  </si>
  <si>
    <t>速度单位</t>
  </si>
  <si>
    <t>หน่วยความเร็ว</t>
  </si>
  <si>
    <t xml:space="preserve">Satuan Kecepatan </t>
  </si>
  <si>
    <t>Jednotka rychlosti</t>
  </si>
  <si>
    <t>Hastighetsenhet</t>
  </si>
  <si>
    <t>Rapport d’accident et registre des données</t>
  </si>
  <si>
    <t>Reporte de datos de accidentes y registro</t>
  </si>
  <si>
    <t>Unfalls- &amp; Protokolldatenbericht</t>
  </si>
  <si>
    <t>事故およびログデータレポート</t>
  </si>
  <si>
    <t>Raport wypadków i danych piku dziennika</t>
  </si>
  <si>
    <t>Relatório de acidentes e dos dados registrados</t>
  </si>
  <si>
    <t>Rapport Ongeval- en loggegevens</t>
  </si>
  <si>
    <t>Report sulle collisioni e sui dati del log</t>
  </si>
  <si>
    <t>事故和日志数据报告</t>
  </si>
  <si>
    <t>รายงานข้อมูลบันทึกและการชน</t>
  </si>
  <si>
    <t>Data Log dan Laporan Benturan</t>
  </si>
  <si>
    <t>Výkaz s daty protokolu a kolizemi</t>
  </si>
  <si>
    <t>Loggdata och kollisionsrapport</t>
  </si>
  <si>
    <t>Fuseau horaire</t>
  </si>
  <si>
    <t>Huso horario</t>
  </si>
  <si>
    <t>Zeitzone</t>
  </si>
  <si>
    <t>タイムゾーン</t>
  </si>
  <si>
    <t>Strefa czasowa</t>
  </si>
  <si>
    <t>Zona horária</t>
  </si>
  <si>
    <t>Tijdzone</t>
  </si>
  <si>
    <t>Fuso orario</t>
  </si>
  <si>
    <t>时区</t>
  </si>
  <si>
    <t>โซนเวลา</t>
  </si>
  <si>
    <t>Zona Waktu</t>
  </si>
  <si>
    <t>Časové pásmo</t>
  </si>
  <si>
    <t>Tidszon</t>
  </si>
  <si>
    <t>Jours</t>
  </si>
  <si>
    <t>Días</t>
  </si>
  <si>
    <t>Tage</t>
  </si>
  <si>
    <t>日</t>
  </si>
  <si>
    <t>Dni</t>
  </si>
  <si>
    <t>Dias</t>
  </si>
  <si>
    <t>Dagen</t>
  </si>
  <si>
    <t>Giorni</t>
  </si>
  <si>
    <t>天</t>
  </si>
  <si>
    <t>วัน</t>
  </si>
  <si>
    <t>Hari</t>
  </si>
  <si>
    <t>Dny</t>
  </si>
  <si>
    <t>Dagar</t>
  </si>
  <si>
    <t>Turkish</t>
  </si>
  <si>
    <t>Aygıt</t>
  </si>
  <si>
    <t>Ad</t>
  </si>
  <si>
    <t>Soyadı</t>
  </si>
  <si>
    <t>Aygıt Grubu</t>
  </si>
  <si>
    <t>Sürücü Adı</t>
  </si>
  <si>
    <t>Tarih</t>
  </si>
  <si>
    <t>Kayıt Zamanı</t>
  </si>
  <si>
    <t>Kayıt Türü</t>
  </si>
  <si>
    <t>Hız</t>
  </si>
  <si>
    <t>Boylam</t>
  </si>
  <si>
    <t>Enlem</t>
  </si>
  <si>
    <t>Konum</t>
  </si>
  <si>
    <t>Konum Alan Türleri</t>
  </si>
  <si>
    <t>Kayıt Gerekçesi</t>
  </si>
  <si>
    <t>Kontak</t>
  </si>
  <si>
    <t>Geçerli</t>
  </si>
  <si>
    <t>Geçerli GPS</t>
  </si>
  <si>
    <t>Hata Ayıklama Kaydı</t>
  </si>
  <si>
    <t>Motor Tanısı</t>
  </si>
  <si>
    <t>Kontrol Aygıtı</t>
  </si>
  <si>
    <t>Hata Modu</t>
  </si>
  <si>
    <t>Motor Durumu</t>
  </si>
  <si>
    <t>Oluşturuldu</t>
  </si>
  <si>
    <t>Gönderen</t>
  </si>
  <si>
    <t>Alıcı</t>
  </si>
  <si>
    <t>Hız Birimi</t>
  </si>
  <si>
    <t>Kayıt Verileri ve Çarpışma Raporu</t>
  </si>
  <si>
    <t>Saat Dilimi</t>
  </si>
  <si>
    <t>Gün</t>
  </si>
  <si>
    <t>Malay</t>
  </si>
  <si>
    <t>Peranti</t>
  </si>
  <si>
    <t>Nama pertama</t>
  </si>
  <si>
    <t>Nama keluarga</t>
  </si>
  <si>
    <t>Kumpulan Peranti</t>
  </si>
  <si>
    <t>Nama Pemandu</t>
  </si>
  <si>
    <t>Tarikh</t>
  </si>
  <si>
    <t>Masa Log</t>
  </si>
  <si>
    <t>Jenis Rekod</t>
  </si>
  <si>
    <t>KELAJUAN</t>
  </si>
  <si>
    <t>Jenis Zon Lokasi</t>
  </si>
  <si>
    <t>Sebab Log</t>
  </si>
  <si>
    <t>Pencucuhan</t>
  </si>
  <si>
    <t>Sah</t>
  </si>
  <si>
    <t>GPS Sah</t>
  </si>
  <si>
    <t>Rekod Nyahpepijat</t>
  </si>
  <si>
    <t>Diagnostik Enjin</t>
  </si>
  <si>
    <t>Pengawal</t>
  </si>
  <si>
    <t>Mod Kegagalan</t>
  </si>
  <si>
    <t>Status Enjin</t>
  </si>
  <si>
    <t>Dicipta</t>
  </si>
  <si>
    <t>Daripada</t>
  </si>
  <si>
    <t>Ke</t>
  </si>
  <si>
    <t>Unit Kelajuan</t>
  </si>
  <si>
    <t>Data Log dan Laporan Perlanggaran</t>
  </si>
  <si>
    <t>Zon Waktu</t>
  </si>
  <si>
    <t>hari</t>
  </si>
  <si>
    <t>French France</t>
  </si>
  <si>
    <t>Boîtier</t>
  </si>
  <si>
    <t>Groupe de boîtiers</t>
  </si>
  <si>
    <t>Type d’enregistrement</t>
  </si>
  <si>
    <t>VITESSE</t>
  </si>
  <si>
    <t>Type de zone de l’emplacement</t>
  </si>
  <si>
    <t>Allumage</t>
  </si>
  <si>
    <t>Entrée de débug</t>
  </si>
  <si>
    <t>Contrôleur</t>
  </si>
  <si>
    <t>Mode d'échec</t>
  </si>
  <si>
    <t>À partir du</t>
  </si>
  <si>
    <t>À</t>
  </si>
  <si>
    <t>Rapport des données du registre et des collisions</t>
  </si>
  <si>
    <t>jours</t>
  </si>
  <si>
    <t>French Canada</t>
  </si>
  <si>
    <t>**&lt;No User&gt;</t>
  </si>
  <si>
    <t>DebuggingStatusRecordDisplayData</t>
  </si>
  <si>
    <t>DebuggingStatusRecordUnitOfMeasureName</t>
  </si>
  <si>
    <t>DebugRecord</t>
  </si>
  <si>
    <t>Cranking voltage</t>
  </si>
  <si>
    <t>V</t>
  </si>
  <si>
    <t>Ignition</t>
  </si>
  <si>
    <t>None</t>
  </si>
  <si>
    <t>Vehicle active (idle or driving)</t>
  </si>
  <si>
    <t>Generic vehicle data contract active</t>
  </si>
  <si>
    <t>Generic incremental distance (based on engine road speed)</t>
  </si>
  <si>
    <t>km</t>
  </si>
  <si>
    <t>MSCAN 125k engine protocol detected</t>
  </si>
  <si>
    <t>OBD\CAN 11bit 500k engine protocol detected</t>
  </si>
  <si>
    <t>Standard harness detected</t>
  </si>
  <si>
    <t>Driver seat belt (1 = unbuckled)</t>
  </si>
  <si>
    <t>Gear position (negative #s = reverse gears / positive #s = forward gears / 0 = neutral / 126 = park / 127 = drive / 129 = intermediate)</t>
  </si>
  <si>
    <t>Odometer</t>
  </si>
  <si>
    <t>Raw odometer</t>
  </si>
  <si>
    <t>Engine road speed</t>
  </si>
  <si>
    <t>Generic engine data active (0 = inactive / 1 = active)</t>
  </si>
  <si>
    <t>Engine speed</t>
  </si>
  <si>
    <t>RPM</t>
  </si>
  <si>
    <t>Trip distance accumulator odometer</t>
  </si>
  <si>
    <t>Trip distance accumulator GPS</t>
  </si>
  <si>
    <t>Trip stopped duration accumulator</t>
  </si>
  <si>
    <t>h</t>
  </si>
  <si>
    <t>Trip distance accumulator road speed</t>
  </si>
  <si>
    <t>Raw outside air temperature</t>
  </si>
  <si>
    <t>C</t>
  </si>
  <si>
    <t>Fuel level while stopped (percent) tank 1</t>
  </si>
  <si>
    <t>%</t>
  </si>
  <si>
    <t>Generic warmups since codes cleared</t>
  </si>
  <si>
    <t>Generic distance traveled since codes cleared</t>
  </si>
  <si>
    <t>Engine coolant temperature</t>
  </si>
  <si>
    <t>Generic OBD II heated catalyst monitor available (1 = available)</t>
  </si>
  <si>
    <t>Generic OBD II fuel system monitor complete (1 = complete)</t>
  </si>
  <si>
    <t>Generic OBD II components monitor complete (1 = complete)</t>
  </si>
  <si>
    <t>Generic OBD II components monitor available (1 = available)</t>
  </si>
  <si>
    <t>Generic OBD II catalyst monitor available (1 = available)</t>
  </si>
  <si>
    <t>Generic OBD II fuel system monitor available (1 = available)</t>
  </si>
  <si>
    <t>Generic OBD II misfire monitor available</t>
  </si>
  <si>
    <t>Generic OBD II catalyst monitor complete (1 = complete)</t>
  </si>
  <si>
    <t>Generic OBD II misfire monitor complete (1 = complete)</t>
  </si>
  <si>
    <t>Generic OBD II oxygen sensor monitor available (1 = available)</t>
  </si>
  <si>
    <t>Generic OBD II secondary air system monitor complete (1 = complete)</t>
  </si>
  <si>
    <t>Generic OBD II evaporative system monitor available (1 = available)</t>
  </si>
  <si>
    <t>Generic OBD II oxygen sensor heater monitor available (1 = available)</t>
  </si>
  <si>
    <t>Generic OBD II EGR system monitor available (1 = available)</t>
  </si>
  <si>
    <t>Generic OBD II AC refrigerant monitor available (1 = available)</t>
  </si>
  <si>
    <t>Generic OBD II AC refrigerant monitor complete (1 = complete)</t>
  </si>
  <si>
    <t>Generic OBD II evaporative system monitor complete (1 = complete)</t>
  </si>
  <si>
    <t>Generic OBD II secondary air system monitor available (1 = available)</t>
  </si>
  <si>
    <t>Generic OBD II oxygen sensor heater monitor complete (1 = complete)</t>
  </si>
  <si>
    <t>Generic OBD II oxygen sensor monitor complete (1 = complete)</t>
  </si>
  <si>
    <t>Generic OBD II heated catalyst monitor complete (1 = complete)</t>
  </si>
  <si>
    <t>Generic OBD II EGR system monitor complete (1 = complete)</t>
  </si>
  <si>
    <t>Generic distance traveled with MIL on</t>
  </si>
  <si>
    <t>Passenger occupancy (1 = occupied)</t>
  </si>
  <si>
    <t>Stop event duration</t>
  </si>
  <si>
    <t>Stop event fuel</t>
  </si>
  <si>
    <t>L</t>
  </si>
  <si>
    <t>Telematics device voltage</t>
  </si>
  <si>
    <t>PositionValidAtDevice</t>
  </si>
  <si>
    <t>Cellular modem radio access technology</t>
  </si>
  <si>
    <t>Cellular modem signal strength</t>
  </si>
  <si>
    <t>Trip distance with tracked fuel accumulator</t>
  </si>
  <si>
    <t>Total fuel used (since telematics device install)</t>
  </si>
  <si>
    <t>Trip fuel accumulator</t>
  </si>
  <si>
    <t>Camera recording status (0 = not recording / 1 = recording)</t>
  </si>
  <si>
    <t>ADAS left lane departure warning</t>
  </si>
  <si>
    <t>Fuel level (percentage)</t>
  </si>
  <si>
    <t>Total fuel used while idling (since telematics device install)</t>
  </si>
  <si>
    <t>Trip idle fuel accumulator</t>
  </si>
  <si>
    <t>Outside air temperature</t>
  </si>
  <si>
    <t>Acceleration forward or braking</t>
  </si>
  <si>
    <t>G force</t>
  </si>
  <si>
    <t>Acceleration side to side</t>
  </si>
  <si>
    <t>Acceleration up down</t>
  </si>
  <si>
    <t>From</t>
  </si>
  <si>
    <t>To</t>
  </si>
  <si>
    <t>Days</t>
  </si>
  <si>
    <t>Time Zone</t>
  </si>
  <si>
    <t>Speed Unit</t>
  </si>
  <si>
    <t>Device</t>
  </si>
  <si>
    <t>Device Group</t>
  </si>
  <si>
    <t>Engine Diagnostic</t>
  </si>
  <si>
    <t>Engine Status</t>
  </si>
  <si>
    <t>82832 km</t>
  </si>
  <si>
    <t>82834 km</t>
  </si>
  <si>
    <t>82835 km</t>
  </si>
  <si>
    <t>82836 km</t>
  </si>
  <si>
    <t>abc_company</t>
  </si>
  <si>
    <t>Vehicle, Gasoline or Petrol</t>
  </si>
  <si>
    <t>vehicle1</t>
  </si>
  <si>
    <t>Fuel Tax Distance Records (IFTA)</t>
  </si>
  <si>
    <t>Lon</t>
  </si>
  <si>
    <t>Lat</t>
  </si>
  <si>
    <t>Date Time</t>
  </si>
  <si>
    <t>DeviceEngineVIN</t>
  </si>
  <si>
    <t>1f2g3h4j5k6l</t>
  </si>
  <si>
    <t>Engine VIN</t>
  </si>
  <si>
    <t>Engine Reported VIN</t>
  </si>
  <si>
    <t>DebugLocation</t>
  </si>
  <si>
    <t>Location</t>
  </si>
  <si>
    <t>State</t>
  </si>
  <si>
    <t>h1</t>
  </si>
  <si>
    <t>State Code</t>
  </si>
  <si>
    <t>Whispering Pines, 401 Loblolly Cir, Clayton, NC 27520, USA</t>
  </si>
  <si>
    <t>Clarksburg, WV, HARRISON_20268, Clarksburg, WV: 500 Baltimore Ave, Clarksburg, WV 26301, USA</t>
  </si>
  <si>
    <t>717 NE 122nd St, Oklahoma City, OK 73114, USA</t>
  </si>
  <si>
    <t>1501 E U.s. 6, Hamlet, IN 46532, USA</t>
  </si>
  <si>
    <t>40840 Barto St, Leesburg, FL 34788, USA</t>
  </si>
  <si>
    <t>5109 Hurontario St, Mississauga, ON L4Z 3X7, Canada</t>
  </si>
  <si>
    <t>h2</t>
  </si>
  <si>
    <t>h3</t>
  </si>
  <si>
    <t>h4</t>
  </si>
  <si>
    <t>h5</t>
  </si>
  <si>
    <t>NC</t>
  </si>
  <si>
    <t>FL</t>
  </si>
  <si>
    <t>IN</t>
  </si>
  <si>
    <t>OK</t>
  </si>
  <si>
    <t>h6</t>
  </si>
  <si>
    <t>h7</t>
  </si>
  <si>
    <t>h8</t>
  </si>
  <si>
    <t>h9</t>
  </si>
  <si>
    <t>h10</t>
  </si>
  <si>
    <t>Canada</t>
  </si>
  <si>
    <t>USA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</si>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</sst>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409]mmm\ dd&quot;, &quot;yyyy"/>
    <numFmt numFmtId="165" formatCode="[$-409]dd/mm/yyyy\ h:mm:ss\ AM/PM"/>
    <numFmt numFmtId="166" formatCode="[$-409]dddd&quot;, &quot;mmmm\ dd&quot;, &quot;yyyy"/>
    <numFmt numFmtId="167" formatCode="[$-409]h:mm:ss\ AM/PM"/>
    <numFmt numFmtId="168" formatCode="[$-409]mmm\ dd&quot;, &quot;yyyy\ h:mm:ss\ AM/PM"/>
    <numFmt numFmtId="169" formatCode="[$-409]0;[$-409]\-0;[$-409];@"/>
    <numFmt numFmtId="170" formatCode="[$-409]0.00000"/>
  </numFmts>
  <fonts count="29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1"/>
      <color rgb="FF00AEE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A6A6A6"/>
      <name val="Segoe UI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sz val="7"/>
      <color rgb="FF000000"/>
      <name val="Tahoma"/>
      <family val="2"/>
      <charset val="1"/>
    </font>
    <font>
      <sz val="11"/>
      <name val="Segoe UI"/>
      <family val="2"/>
      <charset val="1"/>
    </font>
    <font>
      <sz val="18"/>
      <color rgb="FFFFFFFF"/>
      <name val="Segoe UI"/>
      <family val="2"/>
      <charset val="1"/>
    </font>
    <font>
      <sz val="12"/>
      <color rgb="FFFFFFFF"/>
      <name val="Segoe UI"/>
      <family val="2"/>
      <charset val="1"/>
    </font>
    <font>
      <sz val="16"/>
      <color rgb="FF00AEEF"/>
      <name val="Segoe UI"/>
      <family val="2"/>
      <charset val="1"/>
    </font>
    <font>
      <b/>
      <sz val="11"/>
      <name val="Segoe UI"/>
      <family val="2"/>
      <charset val="1"/>
    </font>
    <font>
      <sz val="11"/>
      <color rgb="FFFFFFFF"/>
      <name val="Segoe UI"/>
      <family val="2"/>
      <charset val="1"/>
    </font>
    <font>
      <b/>
      <sz val="10"/>
      <name val="Arial"/>
      <family val="2"/>
      <charset val="1"/>
    </font>
    <font>
      <sz val="10"/>
      <name val="Microsoft YaHei"/>
      <family val="2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8"/>
      <color rgb="FFFFFFFF"/>
      <name val="Segoe UI"/>
      <family val="2"/>
    </font>
    <font>
      <sz val="12"/>
      <color rgb="FFFFFFFF"/>
      <name val="Segoe UI"/>
      <family val="2"/>
    </font>
    <font>
      <sz val="16"/>
      <color rgb="FF00AEEF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sz val="11"/>
      <color rgb="FFFFFFFF"/>
      <name val="Segoe UI"/>
      <family val="2"/>
    </font>
    <font>
      <sz val="11"/>
      <name val="Segoe UI"/>
    </font>
    <font>
      <sz val="14"/>
      <name val="Segoe UI"/>
      <family val="2"/>
    </font>
    <font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0C0C0"/>
        <bgColor rgb="FFCCCCFF"/>
      </patternFill>
    </fill>
    <fill>
      <patternFill patternType="solid">
        <fgColor rgb="FF00AEEF"/>
        <bgColor rgb="FF33CCCC"/>
      </patternFill>
    </fill>
    <fill>
      <patternFill patternType="solid">
        <fgColor rgb="FFF2F2F2"/>
        <bgColor rgb="FFFFFFFF"/>
      </patternFill>
    </fill>
    <fill>
      <patternFill patternType="solid">
        <fgColor theme="2"/>
        <bgColor rgb="FF003366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1" fillId="0" borderId="0"/>
    <xf numFmtId="0" fontId="2" fillId="2" borderId="0"/>
    <xf numFmtId="0" fontId="3" fillId="0" borderId="0"/>
    <xf numFmtId="0" fontId="1" fillId="2" borderId="0"/>
    <xf numFmtId="164" fontId="4" fillId="2" borderId="0"/>
    <xf numFmtId="0" fontId="1" fillId="0" borderId="0"/>
    <xf numFmtId="0" fontId="5" fillId="0" borderId="0"/>
    <xf numFmtId="0" fontId="6" fillId="0" borderId="0" applyBorder="0" applyProtection="0"/>
    <xf numFmtId="0" fontId="19" fillId="0" borderId="0" applyBorder="0" applyProtection="0"/>
    <xf numFmtId="0" fontId="19" fillId="0" borderId="0" applyBorder="0" applyProtection="0"/>
    <xf numFmtId="0" fontId="19" fillId="0" borderId="0" applyBorder="0" applyProtection="0"/>
    <xf numFmtId="0" fontId="19" fillId="0" borderId="0" applyBorder="0" applyProtection="0">
      <alignment horizontal="left"/>
    </xf>
  </cellStyleXfs>
  <cellXfs count="71">
    <xf numFmtId="0" fontId="0" fillId="0" borderId="0" xfId="0"/>
    <xf numFmtId="0" fontId="7" fillId="0" borderId="0" xfId="0" applyFont="1"/>
    <xf numFmtId="165" fontId="8" fillId="0" borderId="0" xfId="0" applyNumberFormat="1" applyFont="1" applyAlignment="1">
      <alignment horizontal="left"/>
    </xf>
    <xf numFmtId="0" fontId="9" fillId="3" borderId="1" xfId="0" applyFont="1" applyFill="1" applyBorder="1" applyAlignment="1">
      <alignment horizontal="center" wrapText="1"/>
    </xf>
    <xf numFmtId="0" fontId="8" fillId="0" borderId="0" xfId="0" applyFont="1" applyAlignment="1">
      <alignment horizontal="left"/>
    </xf>
    <xf numFmtId="0" fontId="10" fillId="0" borderId="0" xfId="0" applyFont="1"/>
    <xf numFmtId="166" fontId="10" fillId="0" borderId="0" xfId="0" applyNumberFormat="1" applyFont="1"/>
    <xf numFmtId="0" fontId="10" fillId="0" borderId="0" xfId="0" applyFont="1" applyAlignment="1">
      <alignment horizontal="center"/>
    </xf>
    <xf numFmtId="0" fontId="13" fillId="0" borderId="0" xfId="0" applyFont="1"/>
    <xf numFmtId="2" fontId="10" fillId="0" borderId="0" xfId="0" applyNumberFormat="1" applyFont="1" applyAlignment="1">
      <alignment horizontal="center"/>
    </xf>
    <xf numFmtId="0" fontId="14" fillId="0" borderId="0" xfId="0" applyFont="1"/>
    <xf numFmtId="0" fontId="15" fillId="4" borderId="2" xfId="1" applyFont="1" applyFill="1" applyBorder="1" applyAlignment="1">
      <alignment horizontal="center" vertical="center"/>
    </xf>
    <xf numFmtId="168" fontId="10" fillId="0" borderId="0" xfId="3" applyNumberFormat="1" applyFont="1"/>
    <xf numFmtId="0" fontId="10" fillId="0" borderId="2" xfId="1" applyFont="1" applyBorder="1" applyAlignment="1">
      <alignment horizontal="center" vertical="center"/>
    </xf>
    <xf numFmtId="164" fontId="10" fillId="0" borderId="2" xfId="1" applyNumberFormat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0" fillId="0" borderId="0" xfId="8" applyFont="1" applyBorder="1" applyProtection="1"/>
    <xf numFmtId="0" fontId="10" fillId="0" borderId="0" xfId="3" applyFont="1"/>
    <xf numFmtId="165" fontId="10" fillId="0" borderId="0" xfId="3" applyNumberFormat="1" applyFont="1"/>
    <xf numFmtId="169" fontId="10" fillId="0" borderId="0" xfId="3" applyNumberFormat="1" applyFont="1"/>
    <xf numFmtId="170" fontId="10" fillId="0" borderId="0" xfId="3" applyNumberFormat="1" applyFont="1" applyAlignment="1">
      <alignment horizontal="center"/>
    </xf>
    <xf numFmtId="169" fontId="10" fillId="0" borderId="0" xfId="0" applyNumberFormat="1" applyFont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8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166" fontId="23" fillId="0" borderId="0" xfId="0" applyNumberFormat="1" applyFont="1"/>
    <xf numFmtId="167" fontId="23" fillId="0" borderId="0" xfId="0" applyNumberFormat="1" applyFont="1"/>
    <xf numFmtId="168" fontId="23" fillId="0" borderId="0" xfId="3" applyNumberFormat="1" applyFont="1" applyAlignment="1">
      <alignment horizontal="center"/>
    </xf>
    <xf numFmtId="168" fontId="23" fillId="0" borderId="0" xfId="3" applyNumberFormat="1" applyFont="1"/>
    <xf numFmtId="0" fontId="23" fillId="5" borderId="2" xfId="1" applyFont="1" applyFill="1" applyBorder="1" applyAlignment="1">
      <alignment horizontal="center" vertical="center"/>
    </xf>
    <xf numFmtId="164" fontId="23" fillId="5" borderId="2" xfId="1" applyNumberFormat="1" applyFont="1" applyFill="1" applyBorder="1" applyAlignment="1">
      <alignment horizontal="center" vertical="center"/>
    </xf>
    <xf numFmtId="1" fontId="23" fillId="5" borderId="2" xfId="1" applyNumberFormat="1" applyFont="1" applyFill="1" applyBorder="1" applyAlignment="1">
      <alignment horizontal="center" vertical="center"/>
    </xf>
    <xf numFmtId="0" fontId="23" fillId="0" borderId="0" xfId="8" applyFont="1" applyBorder="1" applyProtection="1"/>
    <xf numFmtId="0" fontId="25" fillId="4" borderId="2" xfId="1" applyFont="1" applyFill="1" applyBorder="1" applyAlignment="1">
      <alignment horizontal="center" vertical="center"/>
    </xf>
    <xf numFmtId="0" fontId="23" fillId="0" borderId="0" xfId="3" applyFont="1" applyAlignment="1">
      <alignment horizontal="center"/>
    </xf>
    <xf numFmtId="165" fontId="23" fillId="0" borderId="0" xfId="3" applyNumberFormat="1" applyFont="1" applyAlignment="1">
      <alignment horizontal="center"/>
    </xf>
    <xf numFmtId="0" fontId="11" fillId="6" borderId="0" xfId="2" applyFont="1" applyFill="1" applyAlignment="1">
      <alignment vertical="top"/>
    </xf>
    <xf numFmtId="0" fontId="11" fillId="6" borderId="0" xfId="2" applyFont="1" applyFill="1"/>
    <xf numFmtId="164" fontId="12" fillId="6" borderId="0" xfId="3" applyNumberFormat="1" applyFont="1" applyFill="1" applyAlignment="1">
      <alignment horizontal="center"/>
    </xf>
    <xf numFmtId="2" fontId="11" fillId="6" borderId="0" xfId="2" applyNumberFormat="1" applyFont="1" applyFill="1" applyAlignment="1">
      <alignment horizontal="center"/>
    </xf>
    <xf numFmtId="0" fontId="0" fillId="7" borderId="0" xfId="0" applyFill="1"/>
    <xf numFmtId="0" fontId="12" fillId="6" borderId="0" xfId="8" applyFont="1" applyFill="1" applyBorder="1" applyProtection="1"/>
    <xf numFmtId="166" fontId="12" fillId="6" borderId="0" xfId="8" applyNumberFormat="1" applyFont="1" applyFill="1" applyBorder="1" applyProtection="1"/>
    <xf numFmtId="0" fontId="12" fillId="6" borderId="0" xfId="8" applyFont="1" applyFill="1" applyBorder="1" applyAlignment="1" applyProtection="1">
      <alignment horizontal="center"/>
    </xf>
    <xf numFmtId="168" fontId="10" fillId="0" borderId="0" xfId="3" applyNumberFormat="1" applyFont="1" applyAlignment="1">
      <alignment horizontal="left"/>
    </xf>
    <xf numFmtId="0" fontId="26" fillId="0" borderId="0" xfId="0" pivotButton="1" applyFont="1"/>
    <xf numFmtId="0" fontId="26" fillId="0" borderId="0" xfId="0" applyFont="1"/>
    <xf numFmtId="168" fontId="26" fillId="0" borderId="0" xfId="0" applyNumberFormat="1" applyFont="1"/>
    <xf numFmtId="0" fontId="20" fillId="6" borderId="0" xfId="2" applyFont="1" applyFill="1"/>
    <xf numFmtId="164" fontId="21" fillId="6" borderId="0" xfId="3" applyNumberFormat="1" applyFont="1" applyFill="1" applyAlignment="1">
      <alignment horizontal="center" vertical="center"/>
    </xf>
    <xf numFmtId="164" fontId="21" fillId="6" borderId="0" xfId="3" applyNumberFormat="1" applyFont="1" applyFill="1" applyAlignment="1">
      <alignment horizontal="center"/>
    </xf>
    <xf numFmtId="166" fontId="12" fillId="6" borderId="0" xfId="8" applyNumberFormat="1" applyFont="1" applyFill="1" applyBorder="1" applyAlignment="1" applyProtection="1">
      <alignment horizontal="left"/>
    </xf>
    <xf numFmtId="170" fontId="10" fillId="0" borderId="0" xfId="3" applyNumberFormat="1" applyFont="1" applyAlignment="1">
      <alignment horizontal="left"/>
    </xf>
    <xf numFmtId="164" fontId="12" fillId="6" borderId="0" xfId="3" applyNumberFormat="1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166" fontId="10" fillId="0" borderId="0" xfId="0" applyNumberFormat="1" applyFont="1" applyAlignment="1">
      <alignment horizontal="left" vertical="center"/>
    </xf>
    <xf numFmtId="168" fontId="10" fillId="0" borderId="0" xfId="3" applyNumberFormat="1" applyFont="1" applyAlignment="1">
      <alignment horizontal="left" vertical="center"/>
    </xf>
    <xf numFmtId="0" fontId="10" fillId="0" borderId="0" xfId="3" applyFont="1" applyAlignment="1">
      <alignment horizontal="left" vertical="center"/>
    </xf>
    <xf numFmtId="165" fontId="10" fillId="0" borderId="0" xfId="3" applyNumberFormat="1" applyFont="1" applyAlignment="1">
      <alignment horizontal="left" vertical="center"/>
    </xf>
    <xf numFmtId="166" fontId="12" fillId="6" borderId="0" xfId="8" applyNumberFormat="1" applyFont="1" applyFill="1" applyBorder="1" applyAlignment="1" applyProtection="1">
      <alignment horizontal="left" vertical="center"/>
    </xf>
    <xf numFmtId="170" fontId="10" fillId="0" borderId="0" xfId="3" applyNumberFormat="1" applyFont="1" applyAlignment="1">
      <alignment horizontal="left" vertical="center"/>
    </xf>
    <xf numFmtId="0" fontId="15" fillId="4" borderId="2" xfId="1" applyFont="1" applyFill="1" applyBorder="1" applyAlignment="1">
      <alignment horizontal="center" vertical="center"/>
    </xf>
    <xf numFmtId="168" fontId="27" fillId="0" borderId="0" xfId="3" applyNumberFormat="1" applyFont="1" applyAlignment="1">
      <alignment horizontal="center" vertical="center" wrapText="1"/>
    </xf>
  </cellXfs>
  <cellStyles count="13">
    <cellStyle name="Geotab Report Field Name" xfId="1" xr:uid="{00000000-0005-0000-0000-000006000000}"/>
    <cellStyle name="Heading 3" xfId="2" xr:uid="{00000000-0005-0000-0000-000007000000}"/>
    <cellStyle name="Normal" xfId="0" builtinId="0"/>
    <cellStyle name="Pivot Table Category" xfId="12" xr:uid="{00000000-0005-0000-0000-000011000000}"/>
    <cellStyle name="Pivot Table Corner" xfId="9" xr:uid="{00000000-0005-0000-0000-00000E000000}"/>
    <cellStyle name="Pivot Table Field" xfId="11" xr:uid="{00000000-0005-0000-0000-000010000000}"/>
    <cellStyle name="Pivot Table Value" xfId="10" xr:uid="{00000000-0005-0000-0000-00000F000000}"/>
    <cellStyle name="Report Body" xfId="3" xr:uid="{00000000-0005-0000-0000-000008000000}"/>
    <cellStyle name="Report Column Header" xfId="4" xr:uid="{00000000-0005-0000-0000-000009000000}"/>
    <cellStyle name="Report Creation DateTime" xfId="5" xr:uid="{00000000-0005-0000-0000-00000A000000}"/>
    <cellStyle name="Report Field Name" xfId="6" xr:uid="{00000000-0005-0000-0000-00000B000000}"/>
    <cellStyle name="Report Name" xfId="7" xr:uid="{00000000-0005-0000-0000-00000C000000}"/>
    <cellStyle name="StandardReportHeading" xfId="8" xr:uid="{00000000-0005-0000-0000-00000D000000}"/>
  </cellStyles>
  <dxfs count="44"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  <i val="0"/>
        <color theme="8"/>
      </font>
      <fill>
        <patternFill>
          <bgColor theme="8" tint="0.79998168889431442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color theme="0"/>
      </font>
      <fill>
        <patternFill>
          <bgColor rgb="FF25477B"/>
        </patternFill>
      </fill>
    </dxf>
  </dxfs>
  <tableStyles count="1" defaultTableStyle="TableStyleMedium2" defaultPivotStyle="PivotStyleLight16">
    <tableStyle name="PivotTable Style 1" table="0" count="1" xr9:uid="{054FE082-7B39-4E5D-847E-4CC2250AE34B}">
      <tableStyleElement type="headerRow" dxfId="43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9F0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25477B"/>
      <rgbColor rgb="FF3535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547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kash Dubey" refreshedDate="45574.610857638887" createdVersion="7" refreshedVersion="8" minRefreshableVersion="3" recordCount="609" xr:uid="{E5401840-30BD-446B-8198-D1B5841B334E}">
  <cacheSource type="worksheet">
    <worksheetSource name="AllData"/>
  </cacheSource>
  <cacheFields count="24">
    <cacheField name="Device" numFmtId="0">
      <sharedItems count="5">
        <s v="vehicle1"/>
        <s v="BZZK 035" u="1"/>
        <s v="Template Vehicle 1" u="1"/>
        <s v="Template Vehicle 2" u="1"/>
        <s v="Template Vehicle 3" u="1"/>
      </sharedItems>
    </cacheField>
    <cacheField name="Device Group" numFmtId="0">
      <sharedItems count="6">
        <s v="Vehicle, Gasoline or Petrol"/>
        <e v="#REF!" u="1"/>
        <s v="Vehicle, Gasoline or Petrol, LB_Auto, Reg_Regulated, R_north, L_Toronto, Home" u="1"/>
        <s v="Template Group 1" u="1"/>
        <s v="Template Group 2" u="1"/>
        <s v="Template Group 3" u="1"/>
      </sharedItems>
    </cacheField>
    <cacheField name="Engine VIN" numFmtId="0">
      <sharedItems count="1">
        <s v="1f2g3h4j5k6l"/>
      </sharedItems>
    </cacheField>
    <cacheField name="Date Time" numFmtId="168">
      <sharedItems containsSemiMixedTypes="0" containsNonDate="0" containsDate="1" containsString="0" minDate="2023-05-20T03:10:10" maxDate="2023-05-20T03:47:07" count="189">
        <d v="2023-05-20T03:39:54"/>
        <d v="2023-05-20T03:10:18"/>
        <d v="2023-05-20T03:10:21"/>
        <d v="2023-05-20T03:10:22"/>
        <d v="2023-05-20T03:10:23"/>
        <d v="2023-05-20T03:10:24"/>
        <d v="2023-05-20T03:10:25"/>
        <d v="2023-05-20T03:10:26"/>
        <d v="2023-05-20T03:10:28"/>
        <d v="2023-05-20T03:10:29"/>
        <d v="2023-05-20T03:10:20"/>
        <d v="2023-05-20T03:10:31"/>
        <d v="2023-05-20T03:10:32"/>
        <d v="2023-05-20T03:10:33"/>
        <d v="2023-05-20T03:10:34"/>
        <d v="2023-05-20T03:10:35"/>
        <d v="2023-05-20T03:10:36"/>
        <d v="2023-05-20T03:10:37"/>
        <d v="2023-05-20T03:10:38"/>
        <d v="2023-05-20T03:10:39"/>
        <d v="2023-05-20T03:10:10"/>
        <d v="2023-05-20T03:10:41"/>
        <d v="2023-05-20T03:10:42"/>
        <d v="2023-05-20T03:10:43"/>
        <d v="2023-05-20T03:10:44"/>
        <d v="2023-05-20T03:10:45"/>
        <d v="2023-05-20T03:10:46"/>
        <d v="2023-05-20T03:10:47"/>
        <d v="2023-05-20T03:10:48"/>
        <d v="2023-05-20T03:10:49"/>
        <d v="2023-05-20T03:10:50"/>
        <d v="2023-05-20T03:10:51"/>
        <d v="2023-05-20T03:10:52"/>
        <d v="2023-05-20T03:10:53"/>
        <d v="2023-05-20T03:10:54"/>
        <d v="2023-05-20T03:10:55"/>
        <d v="2023-05-20T03:10:56"/>
        <d v="2023-05-20T03:10:57"/>
        <d v="2023-05-20T03:10:58"/>
        <d v="2023-05-20T03:10:59"/>
        <d v="2023-05-20T03:41:00"/>
        <d v="2023-05-20T03:41:02"/>
        <d v="2023-05-20T03:41:04"/>
        <d v="2023-05-20T03:41:06"/>
        <d v="2023-05-20T03:41:08"/>
        <d v="2023-05-20T03:41:09"/>
        <d v="2023-05-20T03:41:10"/>
        <d v="2023-05-20T03:41:12"/>
        <d v="2023-05-20T03:41:13"/>
        <d v="2023-05-20T03:41:14"/>
        <d v="2023-05-20T03:41:15"/>
        <d v="2023-05-20T03:41:17"/>
        <d v="2023-05-20T03:41:18"/>
        <d v="2023-05-20T03:41:20"/>
        <d v="2023-05-20T03:41:21"/>
        <d v="2023-05-20T03:41:22"/>
        <d v="2023-05-20T03:41:23"/>
        <d v="2023-05-20T03:41:24"/>
        <d v="2023-05-20T03:41:25"/>
        <d v="2023-05-20T03:41:26"/>
        <d v="2023-05-20T03:41:32"/>
        <d v="2023-05-20T03:41:35"/>
        <d v="2023-05-20T03:41:39"/>
        <d v="2023-05-20T03:41:48"/>
        <d v="2023-05-20T03:41:54"/>
        <d v="2023-05-20T03:41:55"/>
        <d v="2023-05-20T03:41:56"/>
        <d v="2023-05-20T03:41:57"/>
        <d v="2023-05-20T03:41:58"/>
        <d v="2023-05-20T03:41:59"/>
        <d v="2023-05-20T03:42:03"/>
        <d v="2023-05-20T03:42:07"/>
        <d v="2023-05-20T03:42:09"/>
        <d v="2023-05-20T03:42:23"/>
        <d v="2023-05-20T03:42:24"/>
        <d v="2023-05-20T03:42:25"/>
        <d v="2023-05-20T03:42:28"/>
        <d v="2023-05-20T03:42:20"/>
        <d v="2023-05-20T03:42:32"/>
        <d v="2023-05-20T03:42:35"/>
        <d v="2023-05-20T03:42:38"/>
        <d v="2023-05-20T03:42:39"/>
        <d v="2023-05-20T03:42:41"/>
        <d v="2023-05-20T03:42:42"/>
        <d v="2023-05-20T03:42:48"/>
        <d v="2023-05-20T03:42:49"/>
        <d v="2023-05-20T03:42:50"/>
        <d v="2023-05-20T03:42:53"/>
        <d v="2023-05-20T03:42:54"/>
        <d v="2023-05-20T03:42:57"/>
        <d v="2023-05-20T03:43:03"/>
        <d v="2023-05-20T03:43:07"/>
        <d v="2023-05-20T03:43:08"/>
        <d v="2023-05-20T03:43:09"/>
        <d v="2023-05-20T03:43:10"/>
        <d v="2023-05-20T03:43:11"/>
        <d v="2023-05-20T03:43:12"/>
        <d v="2023-05-20T03:43:16"/>
        <d v="2023-05-20T03:43:22"/>
        <d v="2023-05-20T03:43:24"/>
        <d v="2023-05-20T03:43:26"/>
        <d v="2023-05-20T03:43:20"/>
        <d v="2023-05-20T03:43:32"/>
        <d v="2023-05-20T03:43:33"/>
        <d v="2023-05-20T03:43:36"/>
        <d v="2023-05-20T03:43:37"/>
        <d v="2023-05-20T03:43:39"/>
        <d v="2023-05-20T03:43:41"/>
        <d v="2023-05-20T03:43:42"/>
        <d v="2023-05-20T03:43:43"/>
        <d v="2023-05-20T03:43:44"/>
        <d v="2023-05-20T03:43:45"/>
        <d v="2023-05-20T03:43:46"/>
        <d v="2023-05-20T03:43:47"/>
        <d v="2023-05-20T03:43:48"/>
        <d v="2023-05-20T03:43:49"/>
        <d v="2023-05-20T03:43:50"/>
        <d v="2023-05-20T03:43:51"/>
        <d v="2023-05-20T03:43:56"/>
        <d v="2023-05-20T03:43:57"/>
        <d v="2023-05-20T03:43:58"/>
        <d v="2023-05-20T03:44:03"/>
        <d v="2023-05-20T03:44:02"/>
        <d v="2023-05-20T03:44:07"/>
        <d v="2023-05-20T03:44:08"/>
        <d v="2023-05-20T03:44:09"/>
        <d v="2023-05-20T03:44:10"/>
        <d v="2023-05-20T03:44:12"/>
        <d v="2023-05-20T03:44:13"/>
        <d v="2023-05-20T03:44:16"/>
        <d v="2023-05-20T03:44:18"/>
        <d v="2023-05-20T03:44:20"/>
        <d v="2023-05-20T03:44:21"/>
        <d v="2023-05-20T03:44:24"/>
        <d v="2023-05-20T03:44:26"/>
        <d v="2023-05-20T03:44:29"/>
        <d v="2023-05-20T03:44:36"/>
        <d v="2023-05-20T03:44:39"/>
        <d v="2023-05-20T03:44:44"/>
        <d v="2023-05-20T03:44:45"/>
        <d v="2023-05-20T03:44:48"/>
        <d v="2023-05-20T03:44:49"/>
        <d v="2023-05-20T03:44:52"/>
        <d v="2023-05-20T03:44:57"/>
        <d v="2023-05-20T03:45:01"/>
        <d v="2023-05-20T03:45:02"/>
        <d v="2023-05-20T03:45:09"/>
        <d v="2023-05-20T03:45:11"/>
        <d v="2023-05-20T03:45:13"/>
        <d v="2023-05-20T03:45:14"/>
        <d v="2023-05-20T03:45:23"/>
        <d v="2023-05-20T03:45:25"/>
        <d v="2023-05-20T03:45:26"/>
        <d v="2023-05-20T03:45:31"/>
        <d v="2023-05-20T03:45:32"/>
        <d v="2023-05-20T03:45:35"/>
        <d v="2023-05-20T03:45:37"/>
        <d v="2023-05-20T03:45:39"/>
        <d v="2023-05-20T03:45:10"/>
        <d v="2023-05-20T03:45:41"/>
        <d v="2023-05-20T03:45:42"/>
        <d v="2023-05-20T03:45:44"/>
        <d v="2023-05-20T03:45:45"/>
        <d v="2023-05-20T03:45:50"/>
        <d v="2023-05-20T03:45:51"/>
        <d v="2023-05-20T03:45:55"/>
        <d v="2023-05-20T03:46:09"/>
        <d v="2023-05-20T03:46:10"/>
        <d v="2023-05-20T03:46:11"/>
        <d v="2023-05-20T03:46:12"/>
        <d v="2023-05-20T03:46:20"/>
        <d v="2023-05-20T03:46:21"/>
        <d v="2023-05-20T03:46:24"/>
        <d v="2023-05-20T03:46:25"/>
        <d v="2023-05-20T03:46:26"/>
        <d v="2023-05-20T03:46:31"/>
        <d v="2023-05-20T03:46:32"/>
        <d v="2023-05-20T03:46:35"/>
        <d v="2023-05-20T03:46:37"/>
        <d v="2023-05-20T03:46:41"/>
        <d v="2023-05-20T03:46:49"/>
        <d v="2023-05-20T03:46:51"/>
        <d v="2023-05-20T03:46:55"/>
        <d v="2023-05-20T03:46:56"/>
        <d v="2023-05-20T03:46:57"/>
        <d v="2023-05-20T03:46:59"/>
        <d v="2023-05-20T03:47:02"/>
        <d v="2023-05-20T03:47:06"/>
        <d v="2023-05-20T03:47:07"/>
      </sharedItems>
    </cacheField>
    <cacheField name="Location" numFmtId="170">
      <sharedItems/>
    </cacheField>
    <cacheField name="Address" numFmtId="170">
      <sharedItems count="7">
        <s v=""/>
        <s v="Whispering Pines, 401 Loblolly Cir, Clayton, NC 27520, USA"/>
        <s v="Clarksburg, WV, HARRISON_20268, Clarksburg, WV: 500 Baltimore Ave, Clarksburg, WV 26301, USA"/>
        <s v="5109 Hurontario St, Mississauga, ON L4Z 3X7, Canada"/>
        <s v="40840 Barto St, Leesburg, FL 34788, USA"/>
        <s v="1501 E U.s. 6, Hamlet, IN 46532, USA"/>
        <s v="717 NE 122nd St, Oklahoma City, OK 73114, USA"/>
      </sharedItems>
    </cacheField>
    <cacheField name="h1" numFmtId="0">
      <sharedItems/>
    </cacheField>
    <cacheField name="h2" numFmtId="0">
      <sharedItems/>
    </cacheField>
    <cacheField name="h3" numFmtId="0">
      <sharedItems/>
    </cacheField>
    <cacheField name="h4" numFmtId="0">
      <sharedItems/>
    </cacheField>
    <cacheField name="h5" numFmtId="0">
      <sharedItems/>
    </cacheField>
    <cacheField name="h6" numFmtId="0">
      <sharedItems/>
    </cacheField>
    <cacheField name="h7" numFmtId="0">
      <sharedItems/>
    </cacheField>
    <cacheField name="h8" numFmtId="0">
      <sharedItems/>
    </cacheField>
    <cacheField name="h9" numFmtId="0">
      <sharedItems/>
    </cacheField>
    <cacheField name="h10" numFmtId="0">
      <sharedItems/>
    </cacheField>
    <cacheField name="State Code" numFmtId="0">
      <sharedItems/>
    </cacheField>
    <cacheField name="State" numFmtId="170">
      <sharedItems containsBlank="1" count="8">
        <s v=""/>
        <s v="NC"/>
        <s v="WV"/>
        <s v="ON"/>
        <s v="FL"/>
        <s v="IN"/>
        <s v="OK"/>
        <m u="1"/>
      </sharedItems>
    </cacheField>
    <cacheField name="Lon" numFmtId="170">
      <sharedItems containsMixedTypes="1" containsNumber="1" minValue="-39.42201" maxValue="-39.392769999999999"/>
    </cacheField>
    <cacheField name="Lat" numFmtId="170">
      <sharedItems containsMixedTypes="1" containsNumber="1" minValue="33.726120000000002" maxValue="33.742269999999998"/>
    </cacheField>
    <cacheField name="Longitude" numFmtId="170">
      <sharedItems containsMixedTypes="1" containsNumber="1" minValue="-79.722009999999997" maxValue="-39.386989999999997" count="210">
        <s v=""/>
        <n v="-39.421039999999998"/>
        <n v="-39.421059999999997"/>
        <n v="-39.421080000000003"/>
        <n v="-39.421120000000002"/>
        <n v="-39.421570000000003"/>
        <n v="-39.421959999999999"/>
        <n v="-39.421979999999998"/>
        <n v="-39.42201"/>
        <n v="-39.419319999999999"/>
        <n v="-39.41863"/>
        <n v="-39.418089999999999"/>
        <n v="-39.417349999999999"/>
        <n v="-39.4163"/>
        <n v="-39.415869999999998"/>
        <n v="-39.415430000000001"/>
        <n v="-39.41469"/>
        <n v="-39.413789999999999"/>
        <n v="-39.412489999999998"/>
        <n v="-39.41169"/>
        <n v="-39.411619999999999"/>
        <n v="-39.411540000000002"/>
        <n v="-39.411520000000003"/>
        <n v="-39.411200000000001"/>
        <n v="-39.410519999999998"/>
        <n v="-39.409559999999999"/>
        <n v="-39.408900000000003"/>
        <n v="-39.408569999999997"/>
        <n v="-39.407539999999997"/>
        <n v="-39.4056"/>
        <n v="-39.404319999999998"/>
        <n v="-39.402610000000003"/>
        <n v="-39.401020000000003"/>
        <n v="-39.400530000000003"/>
        <n v="-39.400359999999999"/>
        <n v="-39.400329999999997"/>
        <n v="-39.399740000000001"/>
        <n v="-39.3992"/>
        <n v="-39.398130000000002"/>
        <n v="-39.39743"/>
        <n v="-39.395389999999999"/>
        <n v="-39.393999999999998"/>
        <n v="-39.392769999999999"/>
        <n v="-39.391440000000003" u="1"/>
        <n v="-39.391219999999997" u="1"/>
        <n v="-39.390880000000003" u="1"/>
        <n v="-39.389519999999997" u="1"/>
        <n v="-39.388710000000003" u="1"/>
        <n v="-39.38832" u="1"/>
        <n v="-39.38776" u="1"/>
        <n v="-39.387120000000003" u="1"/>
        <n v="-39.387090000000001" u="1"/>
        <n v="-39.387219999999999" u="1"/>
        <n v="-39.387320000000003" u="1"/>
        <n v="-39.38729" u="1"/>
        <n v="-39.3874" u="1"/>
        <n v="-39.387369999999997" u="1"/>
        <n v="-39.387160000000002" u="1"/>
        <n v="-39.387009999999997" u="1"/>
        <n v="-39.386989999999997" u="1"/>
        <n v="-39.388629999999999" u="1"/>
        <n v="-39.389499999999998" u="1"/>
        <n v="-39.390500000000003" u="1"/>
        <n v="-39.390860000000004" u="1"/>
        <n v="-39.391109999999998" u="1"/>
        <n v="-39.391309999999997" u="1"/>
        <n v="-39.391570000000002" u="1"/>
        <n v="-39.393009999999997" u="1"/>
        <n v="-39.393639999999998" u="1"/>
        <n v="-39.395870000000002" u="1"/>
        <n v="-39.396329999999999" u="1"/>
        <n v="-39.396720000000002" u="1"/>
        <n v="-39.398760000000003" u="1"/>
        <n v="-39.4" u="1"/>
        <n v="-39.400269999999999" u="1"/>
        <n v="-39.401510000000002" u="1"/>
        <n v="-39.403680000000001" u="1"/>
        <n v="-39.403930000000003" u="1"/>
        <n v="-39.404040000000002" u="1"/>
        <n v="-39.404159999999997" u="1"/>
        <n v="-39.404220000000002" u="1"/>
        <n v="-39.404420000000002" u="1"/>
        <n v="-39.404679999999999" u="1"/>
        <n v="-39.404699999999998" u="1"/>
        <n v="-39.404960000000003" u="1"/>
        <n v="-39.405009999999997" u="1"/>
        <n v="-39.4054" u="1"/>
        <n v="-39.405630000000002" u="1"/>
        <n v="-39.405650000000001" u="1"/>
        <n v="-39.406030000000001" u="1"/>
        <n v="-39.407800000000002" u="1"/>
        <n v="-39.41001" u="1"/>
        <n v="-39.413919999999997" u="1"/>
        <n v="-39.415840000000003" u="1"/>
        <n v="-39.416710000000002" u="1"/>
        <n v="-39.417149999999999" u="1"/>
        <n v="-39.417450000000002" u="1"/>
        <n v="-39.41845" u="1"/>
        <n v="-39.421399999999998" u="1"/>
        <n v="-39.421930000000003" u="1"/>
        <n v="-39.42165" u="1"/>
        <n v="-39.421140000000001" u="1"/>
        <n v="-39.421169999999996" u="1"/>
        <n v="-39.421010000000003" u="1"/>
        <n v="-39.420990000000003" u="1"/>
        <n v="-79.721040000000002" u="1"/>
        <n v="-79.721059999999994" u="1"/>
        <n v="-79.721080000000001" u="1"/>
        <n v="-79.721119999999999" u="1"/>
        <n v="-79.72157" u="1"/>
        <n v="-79.721959999999996" u="1"/>
        <n v="-79.721980000000002" u="1"/>
        <n v="-79.722009999999997" u="1"/>
        <n v="-79.719319999999996" u="1"/>
        <n v="-79.718630000000005" u="1"/>
        <n v="-79.718090000000004" u="1"/>
        <n v="-79.717349999999996" u="1"/>
        <n v="-79.716300000000004" u="1"/>
        <n v="-79.715869999999995" u="1"/>
        <n v="-79.715429999999998" u="1"/>
        <n v="-79.714690000000004" u="1"/>
        <n v="-79.713790000000003" u="1"/>
        <n v="-79.712490000000003" u="1"/>
        <n v="-79.711690000000004" u="1"/>
        <n v="-79.711619999999996" u="1"/>
        <n v="-79.711539999999999" u="1"/>
        <n v="-79.711519999999993" u="1"/>
        <n v="-79.711200000000005" u="1"/>
        <n v="-79.710520000000002" u="1"/>
        <n v="-79.709559999999996" u="1"/>
        <n v="-79.7089" u="1"/>
        <n v="-79.708569999999995" u="1"/>
        <n v="-79.707539999999995" u="1"/>
        <n v="-79.705600000000004" u="1"/>
        <n v="-79.704319999999996" u="1"/>
        <n v="-79.702610000000007" u="1"/>
        <n v="-79.70102" u="1"/>
        <n v="-79.700530000000001" u="1"/>
        <n v="-79.700360000000003" u="1"/>
        <n v="-79.700329999999994" u="1"/>
        <n v="-79.699740000000006" u="1"/>
        <n v="-79.699200000000005" u="1"/>
        <n v="-79.698130000000006" u="1"/>
        <n v="-79.697429999999997" u="1"/>
        <n v="-79.695390000000003" u="1"/>
        <n v="-79.694000000000003" u="1"/>
        <n v="-79.692769999999996" u="1"/>
        <n v="-79.69144" u="1"/>
        <n v="-79.691220000000001" u="1"/>
        <n v="-79.690880000000007" u="1"/>
        <n v="-79.689520000000002" u="1"/>
        <n v="-79.68871" u="1"/>
        <n v="-79.688320000000004" u="1"/>
        <n v="-79.687759999999997" u="1"/>
        <n v="-79.687119999999993" u="1"/>
        <n v="-79.687089999999998" u="1"/>
        <n v="-79.687219999999996" u="1"/>
        <n v="-79.68732" u="1"/>
        <n v="-79.687290000000004" u="1"/>
        <n v="-79.687399999999997" u="1"/>
        <n v="-79.687370000000001" u="1"/>
        <n v="-79.687160000000006" u="1"/>
        <n v="-79.687010000000001" u="1"/>
        <n v="-79.686989999999994" u="1"/>
        <n v="-79.688630000000003" u="1"/>
        <n v="-79.689499999999995" u="1"/>
        <n v="-79.6905" u="1"/>
        <n v="-79.690860000000001" u="1"/>
        <n v="-79.691109999999995" u="1"/>
        <n v="-79.691310000000001" u="1"/>
        <n v="-79.691569999999999" u="1"/>
        <n v="-79.693010000000001" u="1"/>
        <n v="-79.693640000000002" u="1"/>
        <n v="-79.695869999999999" u="1"/>
        <n v="-79.696330000000003" u="1"/>
        <n v="-79.696719999999999" u="1"/>
        <n v="-79.698759999999993" u="1"/>
        <n v="-79.7" u="1"/>
        <n v="-79.700270000000003" u="1"/>
        <n v="-79.701509999999999" u="1"/>
        <n v="-79.703680000000006" u="1"/>
        <n v="-79.70393" u="1"/>
        <n v="-79.704040000000006" u="1"/>
        <n v="-79.704160000000002" u="1"/>
        <n v="-79.704220000000007" u="1"/>
        <n v="-79.704419999999999" u="1"/>
        <n v="-79.704679999999996" u="1"/>
        <n v="-79.704700000000003" u="1"/>
        <n v="-79.70496" u="1"/>
        <n v="-79.705010000000001" u="1"/>
        <n v="-79.705399999999997" u="1"/>
        <n v="-79.705629999999999" u="1"/>
        <n v="-79.705650000000006" u="1"/>
        <n v="-79.706029999999998" u="1"/>
        <n v="-79.707800000000006" u="1"/>
        <n v="-79.710009999999997" u="1"/>
        <n v="-79.713920000000002" u="1"/>
        <n v="-79.71584" u="1"/>
        <n v="-79.716710000000006" u="1"/>
        <n v="-79.717150000000004" u="1"/>
        <n v="-79.717449999999999" u="1"/>
        <n v="-79.718450000000004" u="1"/>
        <n v="-79.721400000000003" u="1"/>
        <n v="-79.72193" u="1"/>
        <n v="-79.721649999999997" u="1"/>
        <n v="-79.721140000000005" u="1"/>
        <n v="-79.721170000000001" u="1"/>
        <n v="-79.721010000000007" u="1"/>
        <n v="-79.72099" u="1"/>
        <n v="-79.374959000000004" u="1"/>
      </sharedItems>
    </cacheField>
    <cacheField name="Latitude" numFmtId="170">
      <sharedItems containsMixedTypes="1" containsNumber="1" minValue="33.726120000000002" maxValue="43.642417000000002" count="194">
        <s v=""/>
        <n v="33.736870000000003"/>
        <n v="33.736919999999998"/>
        <n v="33.73659"/>
        <n v="33.736310000000003"/>
        <n v="33.736280000000001"/>
        <n v="33.736229999999999"/>
        <n v="33.73621"/>
        <n v="33.73603"/>
        <n v="33.734229999999997"/>
        <n v="33.733750000000001"/>
        <n v="33.733260000000001"/>
        <n v="33.732309999999998"/>
        <n v="33.730930000000001"/>
        <n v="33.729190000000003"/>
        <n v="33.728499999999997"/>
        <n v="33.727960000000003"/>
        <n v="33.727400000000003"/>
        <n v="33.726709999999997"/>
        <n v="33.72625"/>
        <n v="33.726199999999999"/>
        <n v="33.726140000000001"/>
        <n v="33.726120000000002"/>
        <n v="33.726300000000002"/>
        <n v="33.726959999999998"/>
        <n v="33.727809999999998"/>
        <n v="33.728400000000001"/>
        <n v="33.72871"/>
        <n v="33.729599999999998"/>
        <n v="33.731369999999998"/>
        <n v="33.732469999999999"/>
        <n v="33.733980000000003"/>
        <n v="33.735340000000001"/>
        <n v="33.735770000000002"/>
        <n v="33.735900000000001"/>
        <n v="33.73592"/>
        <n v="33.736330000000002"/>
        <n v="33.73695"/>
        <n v="33.737940000000002"/>
        <n v="33.73856"/>
        <n v="33.740450000000003"/>
        <n v="33.741630000000001"/>
        <n v="33.742269999999998"/>
        <n v="33.742730000000002" u="1"/>
        <n v="33.742660000000001" u="1"/>
        <n v="33.740200000000002" u="1"/>
        <n v="33.738869999999999" u="1"/>
        <n v="33.738329999999998" u="1"/>
        <n v="33.738" u="1"/>
        <n v="33.73751" u="1"/>
        <n v="33.73733" u="1"/>
        <n v="33.737279999999998" u="1"/>
        <n v="33.73715" u="1"/>
        <n v="33.737050000000004" u="1"/>
        <n v="33.737029999999997" u="1"/>
        <n v="33.737000000000002" u="1"/>
        <n v="33.736969999999999" u="1"/>
        <n v="33.737099999999998" u="1"/>
        <n v="33.737380000000002" u="1"/>
        <n v="33.737409999999997" u="1"/>
        <n v="33.737609999999997" u="1"/>
        <n v="33.738889999999998" u="1"/>
        <n v="33.740349999999999" u="1"/>
        <n v="33.741970000000002" u="1"/>
        <n v="33.74248" u="1"/>
        <n v="33.742789999999999" u="1"/>
        <n v="33.74286" u="1"/>
        <n v="33.742809999999999" u="1"/>
        <n v="33.7423" u="1"/>
        <n v="33.74194" u="1"/>
        <n v="33.740099999999998" u="1"/>
        <n v="33.739710000000002" u="1"/>
        <n v="33.739350000000002" u="1"/>
        <n v="33.737479999999998" u="1"/>
        <n v="33.736490000000003" u="1"/>
        <n v="33.736539999999998" u="1"/>
        <n v="33.738970000000002" u="1"/>
        <n v="33.739170000000001" u="1"/>
        <n v="33.739229999999999" u="1"/>
        <n v="33.739249999999998" u="1"/>
        <n v="33.739049999999999" u="1"/>
        <n v="33.739019999999996" u="1"/>
        <n v="33.739069999999998" u="1"/>
        <n v="33.739280000000001" u="1"/>
        <n v="33.739100000000001" u="1"/>
        <n v="33.73912" u="1"/>
        <n v="33.736559999999997" u="1"/>
        <n v="33.734949999999998" u="1"/>
        <n v="33.732930000000003" u="1"/>
        <n v="33.732419999999998" u="1"/>
        <n v="33.732289999999999" u="1"/>
        <n v="33.732599999999998" u="1"/>
        <n v="33.733669999999996" u="1"/>
        <n v="33.735689999999998" u="1"/>
        <n v="33.736080000000001" u="1"/>
        <n v="33.736899999999999" u="1"/>
        <n v="33.736849999999997" u="1"/>
        <n v="43.53687" u="1"/>
        <n v="43.536920000000002" u="1"/>
        <n v="43.536589999999997" u="1"/>
        <n v="43.53631" u="1"/>
        <n v="43.536279999999998" u="1"/>
        <n v="43.536230000000003" u="1"/>
        <n v="43.536209999999997" u="1"/>
        <n v="43.536029999999997" u="1"/>
        <n v="43.534230000000001" u="1"/>
        <n v="43.533749999999998" u="1"/>
        <n v="43.533259999999999" u="1"/>
        <n v="43.532310000000003" u="1"/>
        <n v="43.530929999999998" u="1"/>
        <n v="43.52919" u="1"/>
        <n v="43.528500000000001" u="1"/>
        <n v="43.52796" u="1"/>
        <n v="43.5274" u="1"/>
        <n v="43.526710000000001" u="1"/>
        <n v="43.526249999999997" u="1"/>
        <n v="43.526200000000003" u="1"/>
        <n v="43.526139999999998" u="1"/>
        <n v="43.526119999999999" u="1"/>
        <n v="43.526299999999999" u="1"/>
        <n v="43.526960000000003" u="1"/>
        <n v="43.527810000000002" u="1"/>
        <n v="43.528399999999998" u="1"/>
        <n v="43.528709999999997" u="1"/>
        <n v="43.529600000000002" u="1"/>
        <n v="43.531370000000003" u="1"/>
        <n v="43.532470000000004" u="1"/>
        <n v="43.53398" u="1"/>
        <n v="43.535339999999998" u="1"/>
        <n v="43.535769999999999" u="1"/>
        <n v="43.535899999999998" u="1"/>
        <n v="43.535919999999997" u="1"/>
        <n v="43.536430000000003" u="1"/>
        <n v="43.536949999999997" u="1"/>
        <n v="43.537939999999999" u="1"/>
        <n v="43.538559999999997" u="1"/>
        <n v="43.54045" u="1"/>
        <n v="43.541629999999998" u="1"/>
        <n v="43.542270000000002" u="1"/>
        <n v="43.542729999999999" u="1"/>
        <n v="43.542659999999998" u="1"/>
        <n v="43.540199999999999" u="1"/>
        <n v="43.538870000000003" u="1"/>
        <n v="43.538429999999998" u="1"/>
        <n v="43.537999999999997" u="1"/>
        <n v="43.537509999999997" u="1"/>
        <n v="43.537430000000001" u="1"/>
        <n v="43.537280000000003" u="1"/>
        <n v="43.537149999999997" u="1"/>
        <n v="43.537050000000001" u="1"/>
        <n v="43.537030000000001" u="1"/>
        <n v="43.536999999999999" u="1"/>
        <n v="43.536969999999997" u="1"/>
        <n v="43.537100000000002" u="1"/>
        <n v="43.537379999999999" u="1"/>
        <n v="43.537410000000001" u="1"/>
        <n v="43.537610000000001" u="1"/>
        <n v="43.538890000000002" u="1"/>
        <n v="43.540349999999997" u="1"/>
        <n v="43.541969999999999" u="1"/>
        <n v="43.542479999999998" u="1"/>
        <n v="43.542789999999997" u="1"/>
        <n v="43.542859999999997" u="1"/>
        <n v="43.542810000000003" u="1"/>
        <n v="43.542299999999997" u="1"/>
        <n v="43.541939999999997" u="1"/>
        <n v="43.540100000000002" u="1"/>
        <n v="43.539709999999999" u="1"/>
        <n v="43.539349999999999" u="1"/>
        <n v="43.537480000000002" u="1"/>
        <n v="43.536490000000001" u="1"/>
        <n v="43.536540000000002" u="1"/>
        <n v="43.538969999999999" u="1"/>
        <n v="43.539169999999999" u="1"/>
        <n v="43.539230000000003" u="1"/>
        <n v="43.539250000000003" u="1"/>
        <n v="43.539050000000003" u="1"/>
        <n v="43.539020000000001" u="1"/>
        <n v="43.539070000000002" u="1"/>
        <n v="43.539279999999998" u="1"/>
        <n v="43.539099999999998" u="1"/>
        <n v="43.539119999999997" u="1"/>
        <n v="43.536560000000001" u="1"/>
        <n v="43.534950000000002" u="1"/>
        <n v="43.53293" u="1"/>
        <n v="43.532420000000002" u="1"/>
        <n v="43.532290000000003" u="1"/>
        <n v="43.532600000000002" u="1"/>
        <n v="43.533670000000001" u="1"/>
        <n v="43.535690000000002" u="1"/>
        <n v="43.536079999999998" u="1"/>
        <n v="43.536900000000003" u="1"/>
        <n v="43.536850000000001" u="1"/>
        <n v="43.642417000000002" u="1"/>
      </sharedItems>
    </cacheField>
    <cacheField name="Engine Diagnostic" numFmtId="169">
      <sharedItems containsMixedTypes="1" containsNumber="1" containsInteger="1" minValue="0" maxValue="0" count="67">
        <n v="0"/>
        <s v="Cranking voltage"/>
        <s v="Ignition"/>
        <s v="Vehicle active (idle or driving)"/>
        <s v="Generic vehicle data contract active"/>
        <s v="Generic incremental distance (based on engine road speed)"/>
        <s v="MSCAN 125k engine protocol detected"/>
        <s v="OBD\CAN 11bit 500k engine protocol detected"/>
        <s v="Standard harness detected"/>
        <s v="Driver seat belt (1 = unbuckled)"/>
        <s v="Gear position (negative #s = reverse gears / positive #s = forward gears / 0 = neutral / 126 = park / 127 = drive / 129 = intermediate)"/>
        <s v="Odometer"/>
        <s v="Raw odometer"/>
        <s v="Engine road speed"/>
        <s v="Generic engine data active (0 = inactive / 1 = active)"/>
        <s v="Engine speed"/>
        <s v="Trip distance accumulator odometer"/>
        <s v="Trip distance accumulator GPS"/>
        <s v="Trip stopped duration accumulator"/>
        <s v="Trip distance accumulator road speed"/>
        <s v="Raw outside air temperature"/>
        <s v="Fuel level while stopped (percent) tank 1"/>
        <s v="Generic warmups since codes cleared"/>
        <s v="Generic distance traveled since codes cleared"/>
        <s v="Engine coolant temperature"/>
        <s v="Generic OBD II heated catalyst monitor available (1 = available)"/>
        <s v="Generic OBD II fuel system monitor complete (1 = complete)"/>
        <s v="Generic OBD II components monitor complete (1 = complete)"/>
        <s v="Generic OBD II components monitor available (1 = available)"/>
        <s v="Generic OBD II catalyst monitor available (1 = available)"/>
        <s v="Generic OBD II fuel system monitor available (1 = available)"/>
        <s v="Generic OBD II misfire monitor available"/>
        <s v="Generic OBD II catalyst monitor complete (1 = complete)"/>
        <s v="Generic OBD II misfire monitor complete (1 = complete)"/>
        <s v="Generic OBD II oxygen sensor monitor available (1 = available)"/>
        <s v="Generic OBD II secondary air system monitor complete (1 = complete)"/>
        <s v="Generic OBD II evaporative system monitor available (1 = available)"/>
        <s v="Generic OBD II oxygen sensor heater monitor available (1 = available)"/>
        <s v="Generic OBD II EGR system monitor available (1 = available)"/>
        <s v="Generic OBD II AC refrigerant monitor available (1 = available)"/>
        <s v="Generic OBD II AC refrigerant monitor complete (1 = complete)"/>
        <s v="Generic OBD II evaporative system monitor complete (1 = complete)"/>
        <s v="Generic OBD II secondary air system monitor available (1 = available)"/>
        <s v="Generic OBD II oxygen sensor heater monitor complete (1 = complete)"/>
        <s v="Generic OBD II oxygen sensor monitor complete (1 = complete)"/>
        <s v="Generic OBD II heated catalyst monitor complete (1 = complete)"/>
        <s v="Generic OBD II EGR system monitor complete (1 = complete)"/>
        <s v="Generic distance traveled with MIL on"/>
        <s v="Passenger occupancy (1 = occupied)"/>
        <s v="Stop event duration"/>
        <s v="Stop event fuel"/>
        <s v="Telematics device voltage"/>
        <s v="PositionValidAtDevice"/>
        <s v="Cellular modem radio access technology"/>
        <s v="Cellular modem signal strength"/>
        <s v="Trip distance with tracked fuel accumulator"/>
        <s v="Total fuel used (since telematics device install)"/>
        <s v="Trip fuel accumulator"/>
        <s v="Camera recording status (0 = not recording / 1 = recording)"/>
        <s v="ADAS left lane departure warning"/>
        <s v="Fuel level (percentage)"/>
        <s v="Total fuel used while idling (since telematics device install)"/>
        <s v="Trip idle fuel accumulator"/>
        <s v="Outside air temperature"/>
        <s v="Acceleration forward or braking"/>
        <s v="Acceleration side to side"/>
        <s v="Acceleration up down"/>
      </sharedItems>
    </cacheField>
    <cacheField name="Engine Status" numFmtId="0">
      <sharedItems count="315">
        <s v=" "/>
        <s v="12.39364 V"/>
        <s v="12.21474 V"/>
        <s v="12.03584 V"/>
        <s v="8.77986 V"/>
        <s v="9.88904 V"/>
        <s v="10.74776 V"/>
        <s v="11.64226 V"/>
        <s v="12.71566 V"/>
        <s v="13.68172 V"/>
        <s v="1 None"/>
        <s v="0 km"/>
        <s v="-1 None"/>
        <s v="126 None"/>
        <s v="82832 km"/>
        <s v="0 km/h"/>
        <s v="826.75 RPM"/>
        <s v="0.0002777777778 h"/>
        <s v="39 C"/>
        <s v="13.5386 V"/>
        <s v="61.1676 %"/>
        <s v="255 None"/>
        <s v="25112 km"/>
        <s v="60 C"/>
        <s v="0 None"/>
        <s v="58.815 %"/>
        <s v="0.0019444444446 h"/>
        <s v="59.9913 %"/>
        <s v="58.0308 %"/>
        <s v="1 km/h"/>
        <s v="0.002777777778 h"/>
        <s v="0.001 L"/>
        <s v="2 km/h"/>
        <s v="13.4662218093872 V"/>
        <s v="7 None"/>
        <s v="99 None"/>
        <s v="1997.67 L"/>
        <s v="0.01 L"/>
        <s v="61.5597 %"/>
        <s v="0.0050000000004 h"/>
        <s v="0.002 L"/>
        <s v="50.973 %"/>
        <s v="54.1098 %"/>
        <s v="799.25 RPM"/>
        <s v="127 None"/>
        <s v="0.0061111111116 h"/>
        <s v="0.0011111111112 h"/>
        <s v="4 km/h"/>
        <s v="11 km/h"/>
        <s v="1615 RPM"/>
        <s v="37 C"/>
        <s v="28 km/h"/>
        <s v="22 km/h"/>
        <s v="654.5 RPM"/>
        <s v="8 km/h"/>
        <s v="7 km/h"/>
        <s v="1997.68 L"/>
        <s v="0.0063888888894 h"/>
        <s v="187.64 L"/>
        <s v="0.0080555555562 h"/>
        <s v="50.5809 %"/>
        <s v="0.008333333334 h"/>
        <s v="0.006 L"/>
        <s v="706.25 RPM"/>
        <s v="0.0147222222234 h"/>
        <s v="0 L"/>
        <s v="1997.69 L"/>
        <s v="1597.75 RPM"/>
        <s v="41 km/h"/>
        <s v="71 km/h"/>
        <s v="2118 RPM"/>
        <s v="1399.75 RPM"/>
        <s v="31 C"/>
        <s v="72 C"/>
        <s v="62 km/h"/>
        <s v="42 km/h"/>
        <s v="44 km/h"/>
        <s v="1803 RPM"/>
        <s v="73 km/h"/>
        <s v="28 C"/>
        <s v="55.2861 %"/>
        <s v="79 km/h"/>
        <s v="70 km/h"/>
        <s v="56 km/h"/>
        <s v="43 km/h"/>
        <s v="80 C"/>
        <s v="12 km/h"/>
        <s v="1997.78 L"/>
        <s v="0.0150000000012 h"/>
        <s v="559.75 RPM"/>
        <s v="0 G force"/>
        <s v="0.964999974433348 G force"/>
        <s v="3 km/h"/>
        <s v="0.0008333333334 h"/>
        <s v="0.261999979585653 G force"/>
        <s v="0.941000035618155 G force"/>
        <s v="14 km/h"/>
        <s v="1851.75 RPM"/>
        <s v="0.331999979580304 G force"/>
        <s v="0.946000010124867 G force"/>
        <s v="0.961999969334996 G force"/>
        <s v="55 km/h"/>
        <s v="1 km"/>
        <s v="82834 km"/>
        <s v="64 km/h"/>
        <s v="60 km/h"/>
        <s v="47 km/h"/>
        <s v="2 km"/>
        <s v="56.0703 %"/>
        <s v="2.1 km"/>
        <s v="37 km/h"/>
        <s v="1179.75 RPM"/>
        <s v="26 C"/>
        <s v="1972.5 RPM"/>
        <s v="68 km/h"/>
        <s v="82835 km"/>
        <s v="3 km"/>
        <s v="109 None"/>
        <s v="51 km/h"/>
        <s v="18 km/h"/>
        <s v="1997.85 L"/>
        <s v="0.0158333333346 h"/>
        <s v="0.0169444444458 h"/>
        <s v="81 C"/>
        <s v="615.5 RPM"/>
        <s v="0.023611111113 h"/>
        <s v="0.005 L"/>
        <s v="1997.86 L"/>
        <s v="1690.75 RPM"/>
        <s v="2014.25 RPM"/>
        <s v="57 km/h"/>
        <s v="1187.25 RPM"/>
        <s v="54 km/h"/>
        <s v="24 C"/>
        <s v="82836 km"/>
        <s v="1977.5 RPM"/>
        <s v="93 km/h"/>
        <s v="88 km/h"/>
        <s v="77 km/h" u="1"/>
        <s v="22 C" u="1"/>
        <s v="1.01200002031699 G force" u="1"/>
        <s v="1112.75 RPM" u="1"/>
        <s v="33 km/h" u="1"/>
        <s v="-0.36599999997203 G force" u="1"/>
        <s v="0.996999994825227 G force" u="1"/>
        <s v="-0.313999989778842 G force" u="1"/>
        <s v="1.07399998972076 G force" u="1"/>
        <s v="0.95000005091321 G force" u="1"/>
        <s v="2293.5 RPM" u="1"/>
        <s v="0.936999892858191 G force" u="1"/>
        <s v="1719.75 RPM" u="1"/>
        <s v="63 km/h" u="1"/>
        <s v="2067.25 RPM" u="1"/>
        <s v="1510.75 RPM" u="1"/>
        <s v="78 km/h" u="1"/>
        <s v="82837 km" u="1"/>
        <s v="0.993999887755254 G force" u="1"/>
        <s v="-0.226999994884071 G force" u="1"/>
        <s v="0.974999923446773 G force" u="1"/>
        <s v="20 km/h" u="1"/>
        <s v="-0.261999979585653 G force" u="1"/>
        <s v="0.960999984630816 G force" u="1"/>
        <s v="-0.478999994864813 G force" u="1"/>
        <s v="1.11600001011188 G force" u="1"/>
        <s v="-0.243999989784191 G force" u="1"/>
        <s v="0.89800003052286 G force" u="1"/>
        <s v="-0.30700000507512 G force" u="1"/>
        <s v="1.01999999992205 G force" u="1"/>
        <s v="0.799999969347376 G force" u="1"/>
        <s v="9 km/h" u="1"/>
        <s v="57.6387 %" u="1"/>
        <s v="67.8333 %" u="1"/>
        <s v="1997.97 L" u="1"/>
        <s v="82 C" u="1"/>
        <s v="0.0238888888908 h" u="1"/>
        <s v="657 RPM" u="1"/>
        <s v="4.8 km" u="1"/>
        <s v="96.6 %" u="1"/>
        <s v="187.65 L" u="1"/>
        <s v="0.02 L" u="1"/>
        <s v="25117 km" u="1"/>
        <s v="5 km" u="1"/>
        <s v="0.8 km" u="1"/>
        <s v="0.0255555555576 h" u="1"/>
        <s v="0.31 L" u="1"/>
        <s v="46 None" u="1"/>
        <s v="0.0022222222224 h" u="1"/>
        <s v="12.5002222061157 V" u="1"/>
        <s v="12.4652 V" u="1"/>
        <s v="12.35786 V" u="1"/>
        <s v="12.14318 V" u="1"/>
        <s v="8.81564 V" u="1"/>
        <s v="9.74592 V" u="1"/>
        <s v="10.96244 V" u="1"/>
        <s v="11.67804 V" u="1"/>
        <s v="13.96796 V" u="1"/>
        <s v="84 C" u="1"/>
        <s v="30 C" u="1"/>
        <s v="0.001388888889 h" u="1"/>
        <s v="0.0016666666668 h" u="1"/>
        <s v="13.5019998550415 V" u="1"/>
        <s v="91 None" u="1"/>
        <s v="1997.98 L" u="1"/>
        <s v="64.3044 %" u="1"/>
        <s v="65.0886 %" u="1"/>
        <s v="0.0030555555558 h" u="1"/>
        <s v="558 RPM" u="1"/>
        <s v="6 km/h" u="1"/>
        <s v="1587.5 RPM" u="1"/>
        <s v="39 km/h" u="1"/>
        <s v="66 km/h" u="1"/>
        <s v="991 RPM" u="1"/>
        <s v="1883 RPM" u="1"/>
        <s v="25 C" u="1"/>
        <s v="1924.75 RPM" u="1"/>
        <s v="52 km/h" u="1"/>
        <s v="1057.25 RPM" u="1"/>
        <s v="31 km/h" u="1"/>
        <s v="1768 RPM" u="1"/>
        <s v="26 km/h" u="1"/>
        <s v="600 RPM" u="1"/>
        <s v="10 km/h" u="1"/>
        <s v="1606 RPM" u="1"/>
        <s v="35 km/h" u="1"/>
        <s v="82839 km" u="1"/>
        <s v="1647.25 RPM" u="1"/>
        <s v="0.989999948938532 G force" u="1"/>
        <s v="-0.349999999973252 G force" u="1"/>
        <s v="0.999000066205209 G force" u="1"/>
        <s v="-0.410999984672848 G force" u="1"/>
        <s v="0.996000061106857 G force" u="1"/>
        <s v="1.11300005599933 G force" u="1"/>
        <s v="15 km/h" u="1"/>
        <s v="645.75 RPM" u="1"/>
        <s v="1.02999994893548 G force" u="1"/>
        <s v="-0.281999999978449 G force" u="1"/>
        <s v="1.02199996933041 G force" u="1"/>
        <s v="0.926999943844765 G force" u="1"/>
        <s v="10 m" u="1"/>
        <s v="1998.11 L" u="1"/>
        <s v="47.052 %" u="1"/>
        <s v="83 C" u="1"/>
        <s v="54.894 %" u="1"/>
        <s v="616.75 RPM" u="1"/>
        <s v="2.3 km" u="1"/>
        <s v="97.5 %" u="1"/>
        <s v="25120 km" u="1"/>
        <s v="0.3 km" u="1"/>
        <s v="0.0066666666672 h" u="1"/>
        <s v="0.15 L" u="1"/>
        <s v="1998.12 L" u="1"/>
        <s v="0.0036111111114 h" u="1"/>
        <s v="12.6433334350586 V" u="1"/>
        <s v="12.32208 V" u="1"/>
        <s v="12.2855548858643 V" u="1"/>
        <s v="12.2863 V" u="1"/>
        <s v="12.1074 V" u="1"/>
        <s v="8.63674 V" u="1"/>
        <s v="10.21106 V" u="1"/>
        <s v="9.92482 V" u="1"/>
        <s v="13.25236 V" u="1"/>
        <s v="780 RPM" u="1"/>
        <s v="13.50282 V" u="1"/>
        <s v="85 C" u="1"/>
        <s v="13.6451110839844 V" u="1"/>
        <s v="106 None" u="1"/>
        <s v="1998.13 L" u="1"/>
        <s v="93.3198 %" u="1"/>
        <s v="0.0058333333338 h" u="1"/>
        <s v="0.004 L" u="1"/>
        <s v="92.9277 %" u="1"/>
        <s v="29 C" u="1"/>
        <s v="610.5 RPM" u="1"/>
        <s v="1600.25 RPM" u="1"/>
        <s v="38 km/h" u="1"/>
        <s v="48 km/h" u="1"/>
        <s v="72 km/h" u="1"/>
        <s v="13.2515554428101 V" u="1"/>
        <s v="13.5735549926758 V" u="1"/>
        <s v="896 RPM" u="1"/>
        <s v="21 km/h" u="1"/>
        <s v="0.966999943841709 G force" u="1"/>
        <s v="-0.323999999975239 G force" u="1"/>
        <s v="1.0169999948237 G force" u="1"/>
        <s v="-0.164999994888809 G force" u="1"/>
        <s v="0.955999959138292 G force" u="1"/>
        <s v="1.02899996423129 G force" u="1"/>
        <s v="1913.5 RPM" u="1"/>
        <s v="45 km/h" u="1"/>
        <s v="82841 km" u="1"/>
        <s v="27 km/h" u="1"/>
        <s v="187.66 L" u="1"/>
        <s v="1998.24 L" u="1"/>
        <s v="0.006944444445 h" u="1"/>
        <s v="5 km/h" u="1"/>
        <s v="0.0072222222228 h" u="1"/>
        <s v="0.0005555555556 h" u="1"/>
        <s v="0.0086111111118 h" u="1"/>
        <s v="90.183 %" u="1"/>
        <s v="23 C" u="1"/>
        <s v="92.5356 %" u="1"/>
        <s v="649.5 RPM" u="1"/>
        <s v="95.2 %" u="1"/>
        <s v="25122 km" u="1"/>
        <s v="0.0116666666676 h" u="1"/>
        <s v="0.13 L" u="1"/>
        <s v="1998.25 L" u="1"/>
        <s v="0.0044444444448 h" u="1"/>
        <s v="12.57177734375 V" u="1"/>
        <s v="12.6433334350585 V" u="1"/>
        <s v="12.2855548858642 V" u="1"/>
        <s v="13.6451110839843 V" u="1"/>
        <s v="13.25155544281 V" u="1"/>
        <s v="13.5735549926757 V" u="1"/>
        <s v="12.75067 Volt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">
  <r>
    <x v="0"/>
    <x v="0"/>
    <x v="0"/>
    <x v="0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1"/>
    <s v=""/>
    <x v="0"/>
    <b v="0"/>
    <b v="0"/>
    <b v="0"/>
    <s v=""/>
    <s v=""/>
    <s v=","/>
    <s v=""/>
    <s v=""/>
    <s v=""/>
    <s v=""/>
    <s v=""/>
    <x v="0"/>
    <s v=""/>
    <s v=""/>
    <x v="0"/>
    <x v="0"/>
    <x v="1"/>
    <x v="1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1"/>
    <x v="2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1"/>
    <x v="3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1"/>
    <x v="4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1"/>
    <x v="5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2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3"/>
    <s v=""/>
    <x v="0"/>
    <b v="0"/>
    <b v="0"/>
    <b v="0"/>
    <s v=""/>
    <s v=""/>
    <s v=","/>
    <s v=""/>
    <s v=""/>
    <s v=""/>
    <s v=""/>
    <s v=""/>
    <x v="0"/>
    <s v=""/>
    <s v=""/>
    <x v="0"/>
    <x v="0"/>
    <x v="1"/>
    <x v="6"/>
  </r>
  <r>
    <x v="0"/>
    <x v="0"/>
    <x v="0"/>
    <x v="3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3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3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3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3"/>
    <s v=""/>
    <x v="0"/>
    <b v="0"/>
    <b v="0"/>
    <b v="0"/>
    <s v=""/>
    <s v=""/>
    <s v=","/>
    <s v=""/>
    <s v=""/>
    <s v=""/>
    <s v=""/>
    <s v=""/>
    <x v="0"/>
    <s v=""/>
    <s v=""/>
    <x v="0"/>
    <x v="0"/>
    <x v="1"/>
    <x v="7"/>
  </r>
  <r>
    <x v="0"/>
    <x v="0"/>
    <x v="0"/>
    <x v="3"/>
    <s v=""/>
    <x v="0"/>
    <b v="0"/>
    <b v="0"/>
    <b v="0"/>
    <s v=""/>
    <s v=""/>
    <s v=","/>
    <s v=""/>
    <s v=""/>
    <s v=""/>
    <s v=""/>
    <s v=""/>
    <x v="0"/>
    <s v=""/>
    <s v=""/>
    <x v="0"/>
    <x v="0"/>
    <x v="1"/>
    <x v="8"/>
  </r>
  <r>
    <x v="0"/>
    <x v="0"/>
    <x v="0"/>
    <x v="3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3"/>
    <s v=""/>
    <x v="0"/>
    <b v="0"/>
    <b v="0"/>
    <b v="0"/>
    <s v=""/>
    <s v=""/>
    <s v=","/>
    <s v=""/>
    <s v=""/>
    <s v=""/>
    <s v=""/>
    <s v=""/>
    <x v="0"/>
    <s v=""/>
    <s v=""/>
    <x v="0"/>
    <x v="0"/>
    <x v="0"/>
    <x v="0"/>
  </r>
  <r>
    <x v="0"/>
    <x v="0"/>
    <x v="0"/>
    <x v="4"/>
    <s v=""/>
    <x v="0"/>
    <b v="0"/>
    <b v="0"/>
    <b v="0"/>
    <s v=""/>
    <s v=""/>
    <s v=","/>
    <s v=""/>
    <s v=""/>
    <s v=""/>
    <s v=""/>
    <s v=""/>
    <x v="0"/>
    <s v=""/>
    <s v=""/>
    <x v="0"/>
    <x v="0"/>
    <x v="1"/>
    <x v="9"/>
  </r>
  <r>
    <x v="0"/>
    <x v="0"/>
    <x v="0"/>
    <x v="4"/>
    <s v="Whispering Pines, 401 Loblolly Cir, Clayton, NC 27520, USA"/>
    <x v="1"/>
    <b v="0"/>
    <b v="1"/>
    <b v="1"/>
    <s v="Whispering Pines, 401 Loblolly Cir, Clayton, NC 27520, USA"/>
    <s v=" USA"/>
    <s v=", USA"/>
    <s v="Whispering Pines, 401 Loblolly Cir, Clayton, NC 27520"/>
    <s v=" NC 27520"/>
    <s v="27520"/>
    <s v=" NC"/>
    <s v="NC"/>
    <x v="1"/>
    <n v="-39.421039999999998"/>
    <n v="33.736870000000003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2"/>
    <x v="1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3"/>
    <x v="1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4"/>
    <x v="1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5"/>
    <x v="11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6"/>
    <x v="1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7"/>
    <x v="1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8"/>
    <x v="1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9"/>
    <x v="12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10"/>
    <x v="13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11"/>
    <x v="14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12"/>
    <x v="14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13"/>
    <x v="15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14"/>
    <x v="1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4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5"/>
    <s v=""/>
    <x v="1"/>
    <b v="0"/>
    <b v="0"/>
    <b v="0"/>
    <s v=""/>
    <s v=""/>
    <s v=","/>
    <s v=""/>
    <s v=""/>
    <s v=""/>
    <s v=""/>
    <s v=""/>
    <x v="1"/>
    <s v=""/>
    <s v=""/>
    <x v="1"/>
    <x v="1"/>
    <x v="15"/>
    <x v="16"/>
  </r>
  <r>
    <x v="0"/>
    <x v="0"/>
    <x v="0"/>
    <x v="5"/>
    <s v=""/>
    <x v="1"/>
    <b v="0"/>
    <b v="0"/>
    <b v="0"/>
    <s v=""/>
    <s v=""/>
    <s v=","/>
    <s v=""/>
    <s v=""/>
    <s v=""/>
    <s v=""/>
    <s v=""/>
    <x v="1"/>
    <s v=""/>
    <s v=""/>
    <x v="1"/>
    <x v="1"/>
    <x v="16"/>
    <x v="11"/>
  </r>
  <r>
    <x v="0"/>
    <x v="0"/>
    <x v="0"/>
    <x v="5"/>
    <s v=""/>
    <x v="1"/>
    <b v="0"/>
    <b v="0"/>
    <b v="0"/>
    <s v=""/>
    <s v=""/>
    <s v=","/>
    <s v=""/>
    <s v=""/>
    <s v=""/>
    <s v=""/>
    <s v=""/>
    <x v="1"/>
    <s v=""/>
    <s v=""/>
    <x v="1"/>
    <x v="1"/>
    <x v="17"/>
    <x v="11"/>
  </r>
  <r>
    <x v="0"/>
    <x v="0"/>
    <x v="0"/>
    <x v="5"/>
    <s v=""/>
    <x v="1"/>
    <b v="0"/>
    <b v="0"/>
    <b v="0"/>
    <s v=""/>
    <s v=""/>
    <s v=","/>
    <s v=""/>
    <s v=""/>
    <s v=""/>
    <s v=""/>
    <s v=""/>
    <x v="1"/>
    <s v=""/>
    <s v=""/>
    <x v="1"/>
    <x v="1"/>
    <x v="18"/>
    <x v="17"/>
  </r>
  <r>
    <x v="0"/>
    <x v="0"/>
    <x v="0"/>
    <x v="5"/>
    <s v=""/>
    <x v="1"/>
    <b v="0"/>
    <b v="0"/>
    <b v="0"/>
    <s v=""/>
    <s v=""/>
    <s v=","/>
    <s v=""/>
    <s v=""/>
    <s v=""/>
    <s v=""/>
    <s v=""/>
    <x v="1"/>
    <s v=""/>
    <s v=""/>
    <x v="1"/>
    <x v="1"/>
    <x v="19"/>
    <x v="11"/>
  </r>
  <r>
    <x v="0"/>
    <x v="0"/>
    <x v="0"/>
    <x v="5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6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6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7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7"/>
    <s v="Whispering Pines, 401 Loblolly Cir, Clayton, NC 27520, USA"/>
    <x v="1"/>
    <b v="0"/>
    <b v="1"/>
    <b v="1"/>
    <s v="Whispering Pines, 401 Loblolly Cir, Clayton, NC 27520, USA"/>
    <s v=" USA"/>
    <s v=", USA"/>
    <s v="Whispering Pines, 401 Loblolly Cir, Clayton, NC 27520"/>
    <s v=" NC 27520"/>
    <s v="27520"/>
    <s v=" NC"/>
    <s v="NC"/>
    <x v="1"/>
    <n v="-39.421039999999998"/>
    <n v="33.736870000000003"/>
    <x v="1"/>
    <x v="1"/>
    <x v="0"/>
    <x v="0"/>
  </r>
  <r>
    <x v="0"/>
    <x v="0"/>
    <x v="0"/>
    <x v="7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7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20"/>
    <x v="18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1"/>
    <x v="19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21"/>
    <x v="20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22"/>
    <x v="21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23"/>
    <x v="22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8"/>
    <s v=""/>
    <x v="1"/>
    <b v="0"/>
    <b v="0"/>
    <b v="0"/>
    <s v=""/>
    <s v=""/>
    <s v=","/>
    <s v=""/>
    <s v=""/>
    <s v=""/>
    <s v=""/>
    <s v=""/>
    <x v="1"/>
    <s v=""/>
    <s v=""/>
    <x v="1"/>
    <x v="1"/>
    <x v="24"/>
    <x v="23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25"/>
    <x v="24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26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27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28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29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0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1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2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3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4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5"/>
    <x v="24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6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7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8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39"/>
    <x v="24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40"/>
    <x v="24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41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42"/>
    <x v="24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43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44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45"/>
    <x v="24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46"/>
    <x v="1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9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10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10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10"/>
    <s v=""/>
    <x v="1"/>
    <b v="0"/>
    <b v="0"/>
    <b v="0"/>
    <s v=""/>
    <s v=""/>
    <s v=","/>
    <s v=""/>
    <s v=""/>
    <s v=""/>
    <s v=""/>
    <s v=""/>
    <x v="1"/>
    <s v=""/>
    <s v=""/>
    <x v="1"/>
    <x v="1"/>
    <x v="47"/>
    <x v="11"/>
  </r>
  <r>
    <x v="0"/>
    <x v="0"/>
    <x v="0"/>
    <x v="10"/>
    <s v=""/>
    <x v="1"/>
    <b v="0"/>
    <b v="0"/>
    <b v="0"/>
    <s v=""/>
    <s v=""/>
    <s v=","/>
    <s v=""/>
    <s v=""/>
    <s v=""/>
    <s v=""/>
    <s v=""/>
    <x v="1"/>
    <s v=""/>
    <s v=""/>
    <x v="1"/>
    <x v="1"/>
    <x v="21"/>
    <x v="25"/>
  </r>
  <r>
    <x v="0"/>
    <x v="0"/>
    <x v="0"/>
    <x v="10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10"/>
    <s v=""/>
    <x v="1"/>
    <b v="0"/>
    <b v="0"/>
    <b v="0"/>
    <s v=""/>
    <s v=""/>
    <s v=","/>
    <s v=""/>
    <s v=""/>
    <s v=""/>
    <s v=""/>
    <s v=""/>
    <x v="1"/>
    <s v=""/>
    <s v=""/>
    <x v="1"/>
    <x v="1"/>
    <x v="18"/>
    <x v="26"/>
  </r>
  <r>
    <x v="0"/>
    <x v="0"/>
    <x v="0"/>
    <x v="11"/>
    <s v=""/>
    <x v="1"/>
    <b v="0"/>
    <b v="0"/>
    <b v="0"/>
    <s v=""/>
    <s v=""/>
    <s v=","/>
    <s v=""/>
    <s v=""/>
    <s v=""/>
    <s v=""/>
    <s v=""/>
    <x v="1"/>
    <s v=""/>
    <s v=""/>
    <x v="1"/>
    <x v="1"/>
    <x v="21"/>
    <x v="27"/>
  </r>
  <r>
    <x v="0"/>
    <x v="0"/>
    <x v="0"/>
    <x v="11"/>
    <s v=""/>
    <x v="1"/>
    <b v="0"/>
    <b v="0"/>
    <b v="0"/>
    <s v=""/>
    <s v=""/>
    <s v=","/>
    <s v=""/>
    <s v=""/>
    <s v=""/>
    <s v=""/>
    <s v=""/>
    <x v="1"/>
    <s v=""/>
    <s v=""/>
    <x v="1"/>
    <x v="1"/>
    <x v="10"/>
    <x v="24"/>
  </r>
  <r>
    <x v="0"/>
    <x v="0"/>
    <x v="0"/>
    <x v="11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12"/>
    <s v=""/>
    <x v="1"/>
    <b v="0"/>
    <b v="0"/>
    <b v="0"/>
    <s v=""/>
    <s v=""/>
    <s v=","/>
    <s v=""/>
    <s v=""/>
    <s v=""/>
    <s v=""/>
    <s v=""/>
    <x v="1"/>
    <s v=""/>
    <s v=""/>
    <x v="1"/>
    <x v="1"/>
    <x v="21"/>
    <x v="28"/>
  </r>
  <r>
    <x v="0"/>
    <x v="0"/>
    <x v="0"/>
    <x v="12"/>
    <s v=""/>
    <x v="1"/>
    <b v="0"/>
    <b v="0"/>
    <b v="0"/>
    <s v=""/>
    <s v=""/>
    <s v=","/>
    <s v=""/>
    <s v=""/>
    <s v=""/>
    <s v=""/>
    <s v=""/>
    <x v="1"/>
    <s v=""/>
    <s v=""/>
    <x v="1"/>
    <x v="1"/>
    <x v="9"/>
    <x v="10"/>
  </r>
  <r>
    <x v="0"/>
    <x v="0"/>
    <x v="0"/>
    <x v="12"/>
    <s v=""/>
    <x v="1"/>
    <b v="0"/>
    <b v="0"/>
    <b v="0"/>
    <s v=""/>
    <s v=""/>
    <s v=","/>
    <s v=""/>
    <s v=""/>
    <s v=""/>
    <s v=""/>
    <s v=""/>
    <x v="1"/>
    <s v=""/>
    <s v=""/>
    <x v="1"/>
    <x v="1"/>
    <x v="48"/>
    <x v="12"/>
  </r>
  <r>
    <x v="0"/>
    <x v="0"/>
    <x v="0"/>
    <x v="12"/>
    <s v=""/>
    <x v="1"/>
    <b v="0"/>
    <b v="0"/>
    <b v="0"/>
    <s v=""/>
    <s v=""/>
    <s v=","/>
    <s v=""/>
    <s v=""/>
    <s v=""/>
    <s v=""/>
    <s v=""/>
    <x v="1"/>
    <s v=""/>
    <s v=""/>
    <x v="1"/>
    <x v="1"/>
    <x v="0"/>
    <x v="0"/>
  </r>
  <r>
    <x v="0"/>
    <x v="0"/>
    <x v="0"/>
    <x v="13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039999999998"/>
    <n v="33.736870000000003"/>
    <x v="1"/>
    <x v="1"/>
    <x v="0"/>
    <x v="0"/>
  </r>
  <r>
    <x v="0"/>
    <x v="0"/>
    <x v="0"/>
    <x v="13"/>
    <s v=""/>
    <x v="2"/>
    <b v="0"/>
    <b v="0"/>
    <b v="0"/>
    <s v=""/>
    <s v=""/>
    <s v=","/>
    <s v=""/>
    <s v=""/>
    <s v=""/>
    <s v=""/>
    <s v=""/>
    <x v="2"/>
    <s v=""/>
    <s v=""/>
    <x v="1"/>
    <x v="1"/>
    <x v="13"/>
    <x v="29"/>
  </r>
  <r>
    <x v="0"/>
    <x v="0"/>
    <x v="0"/>
    <x v="13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3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3"/>
    <s v=""/>
    <x v="2"/>
    <b v="0"/>
    <b v="0"/>
    <b v="0"/>
    <s v=""/>
    <s v=""/>
    <s v=","/>
    <s v=""/>
    <s v=""/>
    <s v=""/>
    <s v=""/>
    <s v=""/>
    <x v="2"/>
    <s v=""/>
    <s v=""/>
    <x v="1"/>
    <x v="1"/>
    <x v="49"/>
    <x v="30"/>
  </r>
  <r>
    <x v="0"/>
    <x v="0"/>
    <x v="0"/>
    <x v="13"/>
    <s v=""/>
    <x v="2"/>
    <b v="0"/>
    <b v="0"/>
    <b v="0"/>
    <s v=""/>
    <s v=""/>
    <s v=","/>
    <s v=""/>
    <s v=""/>
    <s v=""/>
    <s v=""/>
    <s v=""/>
    <x v="2"/>
    <s v=""/>
    <s v=""/>
    <x v="1"/>
    <x v="1"/>
    <x v="50"/>
    <x v="31"/>
  </r>
  <r>
    <x v="0"/>
    <x v="0"/>
    <x v="0"/>
    <x v="13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3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3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4"/>
    <s v=""/>
    <x v="2"/>
    <b v="0"/>
    <b v="0"/>
    <b v="0"/>
    <s v=""/>
    <s v=""/>
    <s v=","/>
    <s v=""/>
    <s v=""/>
    <s v=""/>
    <s v=""/>
    <s v=""/>
    <x v="2"/>
    <s v=""/>
    <s v=""/>
    <x v="1"/>
    <x v="1"/>
    <x v="13"/>
    <x v="32"/>
  </r>
  <r>
    <x v="0"/>
    <x v="0"/>
    <x v="0"/>
    <x v="14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4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039999999998"/>
    <n v="33.736870000000003"/>
    <x v="1"/>
    <x v="1"/>
    <x v="0"/>
    <x v="0"/>
  </r>
  <r>
    <x v="0"/>
    <x v="0"/>
    <x v="0"/>
    <x v="14"/>
    <s v=""/>
    <x v="2"/>
    <b v="0"/>
    <b v="0"/>
    <b v="0"/>
    <s v=""/>
    <s v=""/>
    <s v=","/>
    <s v=""/>
    <s v=""/>
    <s v=""/>
    <s v=""/>
    <s v=""/>
    <x v="2"/>
    <s v=""/>
    <s v=""/>
    <x v="1"/>
    <x v="1"/>
    <x v="48"/>
    <x v="24"/>
  </r>
  <r>
    <x v="0"/>
    <x v="0"/>
    <x v="0"/>
    <x v="14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5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5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5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5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6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6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7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7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7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8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8"/>
    <s v=""/>
    <x v="2"/>
    <b v="0"/>
    <b v="0"/>
    <b v="0"/>
    <s v=""/>
    <s v=""/>
    <s v=","/>
    <s v=""/>
    <s v=""/>
    <s v=""/>
    <s v=""/>
    <s v=""/>
    <x v="2"/>
    <s v=""/>
    <s v=""/>
    <x v="1"/>
    <x v="1"/>
    <x v="51"/>
    <x v="33"/>
  </r>
  <r>
    <x v="0"/>
    <x v="0"/>
    <x v="0"/>
    <x v="19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9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19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20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20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20"/>
    <s v=""/>
    <x v="2"/>
    <b v="0"/>
    <b v="0"/>
    <b v="0"/>
    <s v=""/>
    <s v=""/>
    <s v=","/>
    <s v=""/>
    <s v=""/>
    <s v=""/>
    <s v=""/>
    <s v=""/>
    <x v="2"/>
    <s v=""/>
    <s v=""/>
    <x v="1"/>
    <x v="1"/>
    <x v="0"/>
    <x v="0"/>
  </r>
  <r>
    <x v="0"/>
    <x v="0"/>
    <x v="0"/>
    <x v="21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059999999997"/>
    <n v="33.736919999999998"/>
    <x v="2"/>
    <x v="2"/>
    <x v="0"/>
    <x v="0"/>
  </r>
  <r>
    <x v="0"/>
    <x v="0"/>
    <x v="0"/>
    <x v="21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1"/>
    <s v=""/>
    <x v="2"/>
    <b v="0"/>
    <b v="0"/>
    <b v="0"/>
    <s v=""/>
    <s v=""/>
    <s v=","/>
    <s v=""/>
    <s v=""/>
    <s v=""/>
    <s v=""/>
    <s v=""/>
    <x v="2"/>
    <s v=""/>
    <s v=""/>
    <x v="2"/>
    <x v="2"/>
    <x v="52"/>
    <x v="10"/>
  </r>
  <r>
    <x v="0"/>
    <x v="0"/>
    <x v="0"/>
    <x v="21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1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1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1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059999999997"/>
    <n v="33.736919999999998"/>
    <x v="2"/>
    <x v="2"/>
    <x v="0"/>
    <x v="0"/>
  </r>
  <r>
    <x v="0"/>
    <x v="0"/>
    <x v="0"/>
    <x v="21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2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2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2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3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3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3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3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3"/>
    <s v=""/>
    <x v="2"/>
    <b v="0"/>
    <b v="0"/>
    <b v="0"/>
    <s v=""/>
    <s v=""/>
    <s v=","/>
    <s v=""/>
    <s v=""/>
    <s v=""/>
    <s v=""/>
    <s v=""/>
    <x v="2"/>
    <s v=""/>
    <s v=""/>
    <x v="2"/>
    <x v="2"/>
    <x v="0"/>
    <x v="0"/>
  </r>
  <r>
    <x v="0"/>
    <x v="0"/>
    <x v="0"/>
    <x v="23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080000000003"/>
    <n v="33.736919999999998"/>
    <x v="3"/>
    <x v="2"/>
    <x v="0"/>
    <x v="0"/>
  </r>
  <r>
    <x v="0"/>
    <x v="0"/>
    <x v="0"/>
    <x v="2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23"/>
    <s v=""/>
    <x v="2"/>
    <b v="0"/>
    <b v="0"/>
    <b v="0"/>
    <s v=""/>
    <s v=""/>
    <s v=","/>
    <s v=""/>
    <s v=""/>
    <s v=""/>
    <s v=""/>
    <s v=""/>
    <x v="2"/>
    <s v=""/>
    <s v=""/>
    <x v="3"/>
    <x v="2"/>
    <x v="13"/>
    <x v="15"/>
  </r>
  <r>
    <x v="0"/>
    <x v="0"/>
    <x v="0"/>
    <x v="24"/>
    <s v=""/>
    <x v="2"/>
    <b v="0"/>
    <b v="0"/>
    <b v="0"/>
    <s v=""/>
    <s v=""/>
    <s v=","/>
    <s v=""/>
    <s v=""/>
    <s v=""/>
    <s v=""/>
    <s v=""/>
    <x v="2"/>
    <s v=""/>
    <s v=""/>
    <x v="3"/>
    <x v="2"/>
    <x v="13"/>
    <x v="15"/>
  </r>
  <r>
    <x v="0"/>
    <x v="0"/>
    <x v="0"/>
    <x v="24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080000000003"/>
    <n v="33.736919999999998"/>
    <x v="3"/>
    <x v="2"/>
    <x v="0"/>
    <x v="0"/>
  </r>
  <r>
    <x v="0"/>
    <x v="0"/>
    <x v="0"/>
    <x v="24"/>
    <s v=""/>
    <x v="2"/>
    <b v="0"/>
    <b v="0"/>
    <b v="0"/>
    <s v=""/>
    <s v=""/>
    <s v=","/>
    <s v=""/>
    <s v=""/>
    <s v=""/>
    <s v=""/>
    <s v=""/>
    <x v="2"/>
    <s v=""/>
    <s v=""/>
    <x v="3"/>
    <x v="2"/>
    <x v="21"/>
    <x v="20"/>
  </r>
  <r>
    <x v="0"/>
    <x v="0"/>
    <x v="0"/>
    <x v="24"/>
    <s v=""/>
    <x v="2"/>
    <b v="0"/>
    <b v="0"/>
    <b v="0"/>
    <s v=""/>
    <s v=""/>
    <s v=","/>
    <s v=""/>
    <s v=""/>
    <s v=""/>
    <s v=""/>
    <s v=""/>
    <x v="2"/>
    <s v=""/>
    <s v=""/>
    <x v="3"/>
    <x v="2"/>
    <x v="18"/>
    <x v="30"/>
  </r>
  <r>
    <x v="0"/>
    <x v="0"/>
    <x v="0"/>
    <x v="25"/>
    <s v=""/>
    <x v="2"/>
    <b v="0"/>
    <b v="0"/>
    <b v="0"/>
    <s v=""/>
    <s v=""/>
    <s v=","/>
    <s v=""/>
    <s v=""/>
    <s v=""/>
    <s v=""/>
    <s v=""/>
    <x v="2"/>
    <s v=""/>
    <s v=""/>
    <x v="3"/>
    <x v="2"/>
    <x v="21"/>
    <x v="20"/>
  </r>
  <r>
    <x v="0"/>
    <x v="0"/>
    <x v="0"/>
    <x v="26"/>
    <s v=""/>
    <x v="2"/>
    <b v="0"/>
    <b v="0"/>
    <b v="0"/>
    <s v=""/>
    <s v=""/>
    <s v=","/>
    <s v=""/>
    <s v=""/>
    <s v=""/>
    <s v=""/>
    <s v=""/>
    <x v="2"/>
    <s v=""/>
    <s v=""/>
    <x v="3"/>
    <x v="2"/>
    <x v="21"/>
    <x v="28"/>
  </r>
  <r>
    <x v="0"/>
    <x v="0"/>
    <x v="0"/>
    <x v="27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28"/>
    <s v=""/>
    <x v="2"/>
    <b v="0"/>
    <b v="0"/>
    <b v="0"/>
    <s v=""/>
    <s v=""/>
    <s v=","/>
    <s v=""/>
    <s v=""/>
    <s v=""/>
    <s v=""/>
    <s v=""/>
    <x v="2"/>
    <s v=""/>
    <s v=""/>
    <x v="3"/>
    <x v="2"/>
    <x v="21"/>
    <x v="28"/>
  </r>
  <r>
    <x v="0"/>
    <x v="0"/>
    <x v="0"/>
    <x v="29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29"/>
    <s v=""/>
    <x v="2"/>
    <b v="0"/>
    <b v="0"/>
    <b v="0"/>
    <s v=""/>
    <s v=""/>
    <s v=","/>
    <s v=""/>
    <s v=""/>
    <s v=""/>
    <s v=""/>
    <s v=""/>
    <x v="2"/>
    <s v=""/>
    <s v=""/>
    <x v="3"/>
    <x v="2"/>
    <x v="53"/>
    <x v="34"/>
  </r>
  <r>
    <x v="0"/>
    <x v="0"/>
    <x v="0"/>
    <x v="29"/>
    <s v=""/>
    <x v="2"/>
    <b v="0"/>
    <b v="0"/>
    <b v="0"/>
    <s v=""/>
    <s v=""/>
    <s v=","/>
    <s v=""/>
    <s v=""/>
    <s v=""/>
    <s v=""/>
    <s v=""/>
    <x v="2"/>
    <s v=""/>
    <s v=""/>
    <x v="3"/>
    <x v="2"/>
    <x v="54"/>
    <x v="35"/>
  </r>
  <r>
    <x v="0"/>
    <x v="0"/>
    <x v="0"/>
    <x v="29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29"/>
    <s v=""/>
    <x v="2"/>
    <b v="0"/>
    <b v="0"/>
    <b v="0"/>
    <s v=""/>
    <s v=""/>
    <s v=","/>
    <s v=""/>
    <s v=""/>
    <s v=""/>
    <s v=""/>
    <s v=""/>
    <x v="2"/>
    <s v=""/>
    <s v=""/>
    <x v="3"/>
    <x v="2"/>
    <x v="21"/>
    <x v="20"/>
  </r>
  <r>
    <x v="0"/>
    <x v="0"/>
    <x v="0"/>
    <x v="29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0"/>
    <s v=""/>
    <x v="2"/>
    <b v="0"/>
    <b v="0"/>
    <b v="0"/>
    <s v=""/>
    <s v=""/>
    <s v=","/>
    <s v=""/>
    <s v=""/>
    <s v=""/>
    <s v=""/>
    <s v=""/>
    <x v="2"/>
    <s v=""/>
    <s v=""/>
    <x v="3"/>
    <x v="2"/>
    <x v="21"/>
    <x v="20"/>
  </r>
  <r>
    <x v="0"/>
    <x v="0"/>
    <x v="0"/>
    <x v="31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1"/>
    <s v=""/>
    <x v="2"/>
    <b v="0"/>
    <b v="0"/>
    <b v="0"/>
    <s v=""/>
    <s v=""/>
    <s v=","/>
    <s v=""/>
    <s v=""/>
    <s v=""/>
    <s v=""/>
    <s v=""/>
    <x v="2"/>
    <s v=""/>
    <s v=""/>
    <x v="3"/>
    <x v="2"/>
    <x v="55"/>
    <x v="11"/>
  </r>
  <r>
    <x v="0"/>
    <x v="0"/>
    <x v="0"/>
    <x v="31"/>
    <s v=""/>
    <x v="2"/>
    <b v="0"/>
    <b v="0"/>
    <b v="0"/>
    <s v=""/>
    <s v=""/>
    <s v=","/>
    <s v=""/>
    <s v=""/>
    <s v=""/>
    <s v=""/>
    <s v=""/>
    <x v="2"/>
    <s v=""/>
    <s v=""/>
    <x v="3"/>
    <x v="2"/>
    <x v="56"/>
    <x v="36"/>
  </r>
  <r>
    <x v="0"/>
    <x v="0"/>
    <x v="0"/>
    <x v="31"/>
    <s v=""/>
    <x v="2"/>
    <b v="0"/>
    <b v="0"/>
    <b v="0"/>
    <s v=""/>
    <s v=""/>
    <s v=","/>
    <s v=""/>
    <s v=""/>
    <s v=""/>
    <s v=""/>
    <s v=""/>
    <x v="2"/>
    <s v=""/>
    <s v=""/>
    <x v="3"/>
    <x v="2"/>
    <x v="57"/>
    <x v="37"/>
  </r>
  <r>
    <x v="0"/>
    <x v="0"/>
    <x v="0"/>
    <x v="31"/>
    <s v=""/>
    <x v="2"/>
    <b v="0"/>
    <b v="0"/>
    <b v="0"/>
    <s v=""/>
    <s v=""/>
    <s v=","/>
    <s v=""/>
    <s v=""/>
    <s v=""/>
    <s v=""/>
    <s v=""/>
    <x v="2"/>
    <s v=""/>
    <s v=""/>
    <x v="3"/>
    <x v="2"/>
    <x v="21"/>
    <x v="28"/>
  </r>
  <r>
    <x v="0"/>
    <x v="0"/>
    <x v="0"/>
    <x v="32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080000000003"/>
    <n v="33.736919999999998"/>
    <x v="3"/>
    <x v="2"/>
    <x v="0"/>
    <x v="0"/>
  </r>
  <r>
    <x v="0"/>
    <x v="0"/>
    <x v="0"/>
    <x v="32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2"/>
    <s v=""/>
    <x v="2"/>
    <b v="0"/>
    <b v="0"/>
    <b v="0"/>
    <s v=""/>
    <s v=""/>
    <s v=","/>
    <s v=""/>
    <s v=""/>
    <s v=""/>
    <s v=""/>
    <s v=""/>
    <x v="2"/>
    <s v=""/>
    <s v=""/>
    <x v="3"/>
    <x v="2"/>
    <x v="21"/>
    <x v="38"/>
  </r>
  <r>
    <x v="0"/>
    <x v="0"/>
    <x v="0"/>
    <x v="32"/>
    <s v=""/>
    <x v="2"/>
    <b v="0"/>
    <b v="0"/>
    <b v="0"/>
    <s v=""/>
    <s v=""/>
    <s v=","/>
    <s v=""/>
    <s v=""/>
    <s v=""/>
    <s v=""/>
    <s v=""/>
    <x v="2"/>
    <s v=""/>
    <s v=""/>
    <x v="3"/>
    <x v="2"/>
    <x v="18"/>
    <x v="39"/>
  </r>
  <r>
    <x v="0"/>
    <x v="0"/>
    <x v="0"/>
    <x v="32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2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2"/>
    <s v=""/>
    <x v="2"/>
    <b v="0"/>
    <b v="0"/>
    <b v="0"/>
    <s v=""/>
    <s v=""/>
    <s v=","/>
    <s v=""/>
    <s v=""/>
    <s v=""/>
    <s v=""/>
    <s v=""/>
    <x v="2"/>
    <s v=""/>
    <s v=""/>
    <x v="3"/>
    <x v="2"/>
    <x v="58"/>
    <x v="1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3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080000000003"/>
    <n v="33.736919999999998"/>
    <x v="3"/>
    <x v="2"/>
    <x v="0"/>
    <x v="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13"/>
    <x v="29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49"/>
    <x v="3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50"/>
    <x v="4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56"/>
    <x v="36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3"/>
    <s v=""/>
    <x v="2"/>
    <b v="0"/>
    <b v="0"/>
    <b v="0"/>
    <s v=""/>
    <s v=""/>
    <s v=","/>
    <s v=""/>
    <s v=""/>
    <s v=""/>
    <s v=""/>
    <s v=""/>
    <x v="2"/>
    <s v=""/>
    <s v=""/>
    <x v="3"/>
    <x v="2"/>
    <x v="0"/>
    <x v="0"/>
  </r>
  <r>
    <x v="0"/>
    <x v="0"/>
    <x v="0"/>
    <x v="34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120000000002"/>
    <n v="33.736919999999998"/>
    <x v="4"/>
    <x v="2"/>
    <x v="0"/>
    <x v="0"/>
  </r>
  <r>
    <x v="0"/>
    <x v="0"/>
    <x v="0"/>
    <x v="34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4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4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4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4"/>
    <s v=""/>
    <x v="2"/>
    <b v="0"/>
    <b v="0"/>
    <b v="0"/>
    <s v=""/>
    <s v=""/>
    <s v=","/>
    <s v=""/>
    <s v=""/>
    <s v=""/>
    <s v=""/>
    <s v=""/>
    <x v="2"/>
    <s v=""/>
    <s v=""/>
    <x v="4"/>
    <x v="2"/>
    <x v="13"/>
    <x v="15"/>
  </r>
  <r>
    <x v="0"/>
    <x v="0"/>
    <x v="0"/>
    <x v="34"/>
    <s v=""/>
    <x v="2"/>
    <b v="0"/>
    <b v="0"/>
    <b v="0"/>
    <s v=""/>
    <s v=""/>
    <s v=","/>
    <s v=""/>
    <s v=""/>
    <s v=""/>
    <s v=""/>
    <s v=""/>
    <x v="2"/>
    <s v=""/>
    <s v=""/>
    <x v="4"/>
    <x v="2"/>
    <x v="56"/>
    <x v="36"/>
  </r>
  <r>
    <x v="0"/>
    <x v="0"/>
    <x v="0"/>
    <x v="34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4"/>
    <s v=""/>
    <x v="2"/>
    <b v="0"/>
    <b v="0"/>
    <b v="0"/>
    <s v=""/>
    <s v=""/>
    <s v=","/>
    <s v=""/>
    <s v=""/>
    <s v=""/>
    <s v=""/>
    <s v=""/>
    <x v="2"/>
    <s v=""/>
    <s v=""/>
    <x v="4"/>
    <x v="2"/>
    <x v="21"/>
    <x v="41"/>
  </r>
  <r>
    <x v="0"/>
    <x v="0"/>
    <x v="0"/>
    <x v="35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120000000002"/>
    <n v="33.736919999999998"/>
    <x v="4"/>
    <x v="2"/>
    <x v="0"/>
    <x v="0"/>
  </r>
  <r>
    <x v="0"/>
    <x v="0"/>
    <x v="0"/>
    <x v="35"/>
    <s v=""/>
    <x v="2"/>
    <b v="0"/>
    <b v="0"/>
    <b v="0"/>
    <s v=""/>
    <s v=""/>
    <s v=","/>
    <s v=""/>
    <s v=""/>
    <s v=""/>
    <s v=""/>
    <s v=""/>
    <x v="2"/>
    <s v=""/>
    <s v=""/>
    <x v="4"/>
    <x v="2"/>
    <x v="56"/>
    <x v="36"/>
  </r>
  <r>
    <x v="0"/>
    <x v="0"/>
    <x v="0"/>
    <x v="35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5"/>
    <s v=""/>
    <x v="2"/>
    <b v="0"/>
    <b v="0"/>
    <b v="0"/>
    <s v=""/>
    <s v=""/>
    <s v=","/>
    <s v=""/>
    <s v=""/>
    <s v=""/>
    <s v=""/>
    <s v=""/>
    <x v="2"/>
    <s v=""/>
    <s v=""/>
    <x v="4"/>
    <x v="2"/>
    <x v="21"/>
    <x v="20"/>
  </r>
  <r>
    <x v="0"/>
    <x v="0"/>
    <x v="0"/>
    <x v="36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6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6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6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6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6"/>
    <s v=""/>
    <x v="2"/>
    <b v="0"/>
    <b v="0"/>
    <b v="0"/>
    <s v=""/>
    <s v=""/>
    <s v=","/>
    <s v=""/>
    <s v=""/>
    <s v=""/>
    <s v=""/>
    <s v=""/>
    <x v="2"/>
    <s v=""/>
    <s v=""/>
    <x v="4"/>
    <x v="2"/>
    <x v="21"/>
    <x v="42"/>
  </r>
  <r>
    <x v="0"/>
    <x v="0"/>
    <x v="0"/>
    <x v="37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120000000002"/>
    <n v="33.736919999999998"/>
    <x v="4"/>
    <x v="2"/>
    <x v="0"/>
    <x v="0"/>
  </r>
  <r>
    <x v="0"/>
    <x v="0"/>
    <x v="0"/>
    <x v="37"/>
    <s v=""/>
    <x v="2"/>
    <b v="0"/>
    <b v="0"/>
    <b v="0"/>
    <s v=""/>
    <s v=""/>
    <s v=","/>
    <s v=""/>
    <s v=""/>
    <s v=""/>
    <s v=""/>
    <s v=""/>
    <x v="2"/>
    <s v=""/>
    <s v=""/>
    <x v="4"/>
    <x v="2"/>
    <x v="15"/>
    <x v="43"/>
  </r>
  <r>
    <x v="0"/>
    <x v="0"/>
    <x v="0"/>
    <x v="37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7"/>
    <s v=""/>
    <x v="2"/>
    <b v="0"/>
    <b v="0"/>
    <b v="0"/>
    <s v=""/>
    <s v=""/>
    <s v=","/>
    <s v=""/>
    <s v=""/>
    <s v=""/>
    <s v=""/>
    <s v=""/>
    <x v="2"/>
    <s v=""/>
    <s v=""/>
    <x v="4"/>
    <x v="2"/>
    <x v="10"/>
    <x v="44"/>
  </r>
  <r>
    <x v="0"/>
    <x v="0"/>
    <x v="0"/>
    <x v="37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38"/>
    <s v=""/>
    <x v="2"/>
    <b v="0"/>
    <b v="0"/>
    <b v="0"/>
    <s v=""/>
    <s v=""/>
    <s v=","/>
    <s v=""/>
    <s v=""/>
    <s v=""/>
    <s v=""/>
    <s v=""/>
    <x v="2"/>
    <s v=""/>
    <s v=""/>
    <x v="4"/>
    <x v="2"/>
    <x v="18"/>
    <x v="45"/>
  </r>
  <r>
    <x v="0"/>
    <x v="0"/>
    <x v="0"/>
    <x v="38"/>
    <s v=""/>
    <x v="2"/>
    <b v="0"/>
    <b v="0"/>
    <b v="0"/>
    <s v=""/>
    <s v=""/>
    <s v=","/>
    <s v=""/>
    <s v=""/>
    <s v=""/>
    <s v=""/>
    <s v=""/>
    <x v="2"/>
    <s v=""/>
    <s v=""/>
    <x v="4"/>
    <x v="2"/>
    <x v="13"/>
    <x v="32"/>
  </r>
  <r>
    <x v="0"/>
    <x v="0"/>
    <x v="0"/>
    <x v="38"/>
    <s v=""/>
    <x v="2"/>
    <b v="0"/>
    <b v="0"/>
    <b v="0"/>
    <s v=""/>
    <s v=""/>
    <s v=","/>
    <s v=""/>
    <s v=""/>
    <s v=""/>
    <s v=""/>
    <s v=""/>
    <x v="2"/>
    <s v=""/>
    <s v=""/>
    <x v="4"/>
    <x v="2"/>
    <x v="49"/>
    <x v="46"/>
  </r>
  <r>
    <x v="0"/>
    <x v="0"/>
    <x v="0"/>
    <x v="38"/>
    <s v=""/>
    <x v="2"/>
    <b v="0"/>
    <b v="0"/>
    <b v="0"/>
    <s v=""/>
    <s v=""/>
    <s v=","/>
    <s v=""/>
    <s v=""/>
    <s v=""/>
    <s v=""/>
    <s v=""/>
    <x v="2"/>
    <s v=""/>
    <s v=""/>
    <x v="4"/>
    <x v="2"/>
    <x v="50"/>
    <x v="31"/>
  </r>
  <r>
    <x v="0"/>
    <x v="0"/>
    <x v="0"/>
    <x v="38"/>
    <s v=""/>
    <x v="2"/>
    <b v="0"/>
    <b v="0"/>
    <b v="0"/>
    <s v=""/>
    <s v=""/>
    <s v=","/>
    <s v=""/>
    <s v=""/>
    <s v=""/>
    <s v=""/>
    <s v=""/>
    <x v="2"/>
    <s v=""/>
    <s v=""/>
    <x v="4"/>
    <x v="2"/>
    <x v="13"/>
    <x v="47"/>
  </r>
  <r>
    <x v="0"/>
    <x v="0"/>
    <x v="0"/>
    <x v="38"/>
    <s v=""/>
    <x v="2"/>
    <b v="0"/>
    <b v="0"/>
    <b v="0"/>
    <s v=""/>
    <s v=""/>
    <s v=","/>
    <s v=""/>
    <s v=""/>
    <s v=""/>
    <s v=""/>
    <s v=""/>
    <x v="2"/>
    <s v=""/>
    <s v=""/>
    <x v="4"/>
    <x v="2"/>
    <x v="56"/>
    <x v="36"/>
  </r>
  <r>
    <x v="0"/>
    <x v="0"/>
    <x v="0"/>
    <x v="39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120000000002"/>
    <n v="33.736919999999998"/>
    <x v="4"/>
    <x v="2"/>
    <x v="0"/>
    <x v="0"/>
  </r>
  <r>
    <x v="0"/>
    <x v="0"/>
    <x v="0"/>
    <x v="39"/>
    <s v=""/>
    <x v="2"/>
    <b v="0"/>
    <b v="0"/>
    <b v="0"/>
    <s v=""/>
    <s v=""/>
    <s v=","/>
    <s v=""/>
    <s v=""/>
    <s v=""/>
    <s v=""/>
    <s v=""/>
    <x v="2"/>
    <s v=""/>
    <s v=""/>
    <x v="4"/>
    <x v="2"/>
    <x v="56"/>
    <x v="36"/>
  </r>
  <r>
    <x v="0"/>
    <x v="0"/>
    <x v="0"/>
    <x v="39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40"/>
    <s v=""/>
    <x v="2"/>
    <b v="0"/>
    <b v="0"/>
    <b v="0"/>
    <s v=""/>
    <s v=""/>
    <s v=","/>
    <s v=""/>
    <s v=""/>
    <s v=""/>
    <s v=""/>
    <s v=""/>
    <x v="2"/>
    <s v=""/>
    <s v=""/>
    <x v="4"/>
    <x v="2"/>
    <x v="13"/>
    <x v="48"/>
  </r>
  <r>
    <x v="0"/>
    <x v="0"/>
    <x v="0"/>
    <x v="40"/>
    <s v=""/>
    <x v="2"/>
    <b v="0"/>
    <b v="0"/>
    <b v="0"/>
    <s v=""/>
    <s v=""/>
    <s v=","/>
    <s v=""/>
    <s v=""/>
    <s v=""/>
    <s v=""/>
    <s v=""/>
    <x v="2"/>
    <s v=""/>
    <s v=""/>
    <x v="4"/>
    <x v="2"/>
    <x v="15"/>
    <x v="49"/>
  </r>
  <r>
    <x v="0"/>
    <x v="0"/>
    <x v="0"/>
    <x v="40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41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42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43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44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44"/>
    <s v=""/>
    <x v="2"/>
    <b v="0"/>
    <b v="0"/>
    <b v="0"/>
    <s v=""/>
    <s v=""/>
    <s v=","/>
    <s v=""/>
    <s v=""/>
    <s v=""/>
    <s v=""/>
    <s v=""/>
    <x v="2"/>
    <s v=""/>
    <s v=""/>
    <x v="4"/>
    <x v="2"/>
    <x v="9"/>
    <x v="24"/>
  </r>
  <r>
    <x v="0"/>
    <x v="0"/>
    <x v="0"/>
    <x v="44"/>
    <s v=""/>
    <x v="2"/>
    <b v="0"/>
    <b v="0"/>
    <b v="0"/>
    <s v=""/>
    <s v=""/>
    <s v=","/>
    <s v=""/>
    <s v=""/>
    <s v=""/>
    <s v=""/>
    <s v=""/>
    <x v="2"/>
    <s v=""/>
    <s v=""/>
    <x v="4"/>
    <x v="2"/>
    <x v="20"/>
    <x v="50"/>
  </r>
  <r>
    <x v="0"/>
    <x v="0"/>
    <x v="0"/>
    <x v="44"/>
    <s v=""/>
    <x v="2"/>
    <b v="0"/>
    <b v="0"/>
    <b v="0"/>
    <s v=""/>
    <s v=""/>
    <s v=","/>
    <s v=""/>
    <s v=""/>
    <s v=""/>
    <s v=""/>
    <s v=""/>
    <x v="2"/>
    <s v=""/>
    <s v=""/>
    <x v="4"/>
    <x v="2"/>
    <x v="13"/>
    <x v="51"/>
  </r>
  <r>
    <x v="0"/>
    <x v="0"/>
    <x v="0"/>
    <x v="45"/>
    <s v=""/>
    <x v="2"/>
    <b v="0"/>
    <b v="0"/>
    <b v="0"/>
    <s v=""/>
    <s v=""/>
    <s v=","/>
    <s v=""/>
    <s v=""/>
    <s v=""/>
    <s v=""/>
    <s v=""/>
    <x v="2"/>
    <s v=""/>
    <s v=""/>
    <x v="4"/>
    <x v="2"/>
    <x v="0"/>
    <x v="0"/>
  </r>
  <r>
    <x v="0"/>
    <x v="0"/>
    <x v="0"/>
    <x v="45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570000000003"/>
    <n v="33.73659"/>
    <x v="5"/>
    <x v="3"/>
    <x v="0"/>
    <x v="0"/>
  </r>
  <r>
    <x v="0"/>
    <x v="0"/>
    <x v="0"/>
    <x v="45"/>
    <s v=""/>
    <x v="2"/>
    <b v="0"/>
    <b v="0"/>
    <b v="0"/>
    <s v=""/>
    <s v=""/>
    <s v=","/>
    <s v=""/>
    <s v=""/>
    <s v=""/>
    <s v=""/>
    <s v=""/>
    <x v="2"/>
    <s v=""/>
    <s v=""/>
    <x v="5"/>
    <x v="3"/>
    <x v="59"/>
    <x v="10"/>
  </r>
  <r>
    <x v="0"/>
    <x v="0"/>
    <x v="0"/>
    <x v="45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45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46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46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47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47"/>
    <s v=""/>
    <x v="2"/>
    <b v="0"/>
    <b v="0"/>
    <b v="0"/>
    <s v=""/>
    <s v=""/>
    <s v=","/>
    <s v=""/>
    <s v=""/>
    <s v=""/>
    <s v=""/>
    <s v=""/>
    <x v="2"/>
    <s v=""/>
    <s v=""/>
    <x v="5"/>
    <x v="3"/>
    <x v="13"/>
    <x v="52"/>
  </r>
  <r>
    <x v="0"/>
    <x v="0"/>
    <x v="0"/>
    <x v="48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49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50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50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50"/>
    <s v=""/>
    <x v="2"/>
    <b v="0"/>
    <b v="0"/>
    <b v="0"/>
    <s v=""/>
    <s v=""/>
    <s v=","/>
    <s v=""/>
    <s v=""/>
    <s v=""/>
    <s v=""/>
    <s v=""/>
    <x v="2"/>
    <s v=""/>
    <s v=""/>
    <x v="5"/>
    <x v="3"/>
    <x v="15"/>
    <x v="53"/>
  </r>
  <r>
    <x v="0"/>
    <x v="0"/>
    <x v="0"/>
    <x v="51"/>
    <s v=""/>
    <x v="2"/>
    <b v="0"/>
    <b v="0"/>
    <b v="0"/>
    <s v=""/>
    <s v=""/>
    <s v=","/>
    <s v=""/>
    <s v=""/>
    <s v=""/>
    <s v=""/>
    <s v=""/>
    <x v="2"/>
    <s v=""/>
    <s v=""/>
    <x v="5"/>
    <x v="3"/>
    <x v="0"/>
    <x v="0"/>
  </r>
  <r>
    <x v="0"/>
    <x v="0"/>
    <x v="0"/>
    <x v="51"/>
    <s v=""/>
    <x v="2"/>
    <b v="0"/>
    <b v="0"/>
    <b v="0"/>
    <s v=""/>
    <s v=""/>
    <s v=","/>
    <s v=""/>
    <s v=""/>
    <s v=""/>
    <s v=""/>
    <s v=""/>
    <x v="2"/>
    <s v=""/>
    <s v=""/>
    <x v="5"/>
    <x v="3"/>
    <x v="13"/>
    <x v="32"/>
  </r>
  <r>
    <x v="0"/>
    <x v="0"/>
    <x v="0"/>
    <x v="52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959999999999"/>
    <n v="33.736310000000003"/>
    <x v="6"/>
    <x v="4"/>
    <x v="0"/>
    <x v="0"/>
  </r>
  <r>
    <x v="0"/>
    <x v="0"/>
    <x v="0"/>
    <x v="52"/>
    <s v=""/>
    <x v="2"/>
    <b v="0"/>
    <b v="0"/>
    <b v="0"/>
    <s v=""/>
    <s v=""/>
    <s v=","/>
    <s v=""/>
    <s v=""/>
    <s v=""/>
    <s v=""/>
    <s v=""/>
    <x v="2"/>
    <s v=""/>
    <s v=""/>
    <x v="6"/>
    <x v="4"/>
    <x v="0"/>
    <x v="0"/>
  </r>
  <r>
    <x v="0"/>
    <x v="0"/>
    <x v="0"/>
    <x v="53"/>
    <s v=""/>
    <x v="2"/>
    <b v="0"/>
    <b v="0"/>
    <b v="0"/>
    <s v=""/>
    <s v=""/>
    <s v=","/>
    <s v=""/>
    <s v=""/>
    <s v=""/>
    <s v=""/>
    <s v=""/>
    <x v="2"/>
    <s v=""/>
    <s v=""/>
    <x v="6"/>
    <x v="4"/>
    <x v="0"/>
    <x v="0"/>
  </r>
  <r>
    <x v="0"/>
    <x v="0"/>
    <x v="0"/>
    <x v="54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1979999999998"/>
    <n v="33.736280000000001"/>
    <x v="7"/>
    <x v="5"/>
    <x v="0"/>
    <x v="0"/>
  </r>
  <r>
    <x v="0"/>
    <x v="0"/>
    <x v="0"/>
    <x v="54"/>
    <s v=""/>
    <x v="2"/>
    <b v="0"/>
    <b v="0"/>
    <b v="0"/>
    <s v=""/>
    <s v=""/>
    <s v=","/>
    <s v=""/>
    <s v=""/>
    <s v=""/>
    <s v=""/>
    <s v=""/>
    <x v="2"/>
    <s v=""/>
    <s v=""/>
    <x v="7"/>
    <x v="5"/>
    <x v="0"/>
    <x v="0"/>
  </r>
  <r>
    <x v="0"/>
    <x v="0"/>
    <x v="0"/>
    <x v="55"/>
    <s v=""/>
    <x v="2"/>
    <b v="0"/>
    <b v="0"/>
    <b v="0"/>
    <s v=""/>
    <s v=""/>
    <s v=","/>
    <s v=""/>
    <s v=""/>
    <s v=""/>
    <s v=""/>
    <s v=""/>
    <x v="2"/>
    <s v=""/>
    <s v=""/>
    <x v="7"/>
    <x v="5"/>
    <x v="13"/>
    <x v="54"/>
  </r>
  <r>
    <x v="0"/>
    <x v="0"/>
    <x v="0"/>
    <x v="55"/>
    <s v=""/>
    <x v="2"/>
    <b v="0"/>
    <b v="0"/>
    <b v="0"/>
    <s v=""/>
    <s v=""/>
    <s v=","/>
    <s v=""/>
    <s v=""/>
    <s v=""/>
    <s v=""/>
    <s v=""/>
    <x v="2"/>
    <s v=""/>
    <s v=""/>
    <x v="7"/>
    <x v="5"/>
    <x v="0"/>
    <x v="0"/>
  </r>
  <r>
    <x v="0"/>
    <x v="0"/>
    <x v="0"/>
    <x v="55"/>
    <s v=""/>
    <x v="2"/>
    <b v="0"/>
    <b v="0"/>
    <b v="0"/>
    <s v=""/>
    <s v=""/>
    <s v=","/>
    <s v=""/>
    <s v=""/>
    <s v=""/>
    <s v=""/>
    <s v=""/>
    <x v="2"/>
    <s v=""/>
    <s v=""/>
    <x v="7"/>
    <x v="5"/>
    <x v="13"/>
    <x v="55"/>
  </r>
  <r>
    <x v="0"/>
    <x v="0"/>
    <x v="0"/>
    <x v="56"/>
    <s v=""/>
    <x v="2"/>
    <b v="0"/>
    <b v="0"/>
    <b v="0"/>
    <s v=""/>
    <s v=""/>
    <s v=","/>
    <s v=""/>
    <s v=""/>
    <s v=""/>
    <s v=""/>
    <s v=""/>
    <x v="2"/>
    <s v=""/>
    <s v=""/>
    <x v="7"/>
    <x v="5"/>
    <x v="0"/>
    <x v="0"/>
  </r>
  <r>
    <x v="0"/>
    <x v="0"/>
    <x v="0"/>
    <x v="56"/>
    <s v=""/>
    <x v="2"/>
    <b v="0"/>
    <b v="0"/>
    <b v="0"/>
    <s v=""/>
    <s v=""/>
    <s v=","/>
    <s v=""/>
    <s v=""/>
    <s v=""/>
    <s v=""/>
    <s v=""/>
    <x v="2"/>
    <s v=""/>
    <s v=""/>
    <x v="7"/>
    <x v="5"/>
    <x v="0"/>
    <x v="0"/>
  </r>
  <r>
    <x v="0"/>
    <x v="0"/>
    <x v="0"/>
    <x v="56"/>
    <s v=""/>
    <x v="2"/>
    <b v="0"/>
    <b v="0"/>
    <b v="0"/>
    <s v=""/>
    <s v=""/>
    <s v=","/>
    <s v=""/>
    <s v=""/>
    <s v=""/>
    <s v=""/>
    <s v=""/>
    <x v="2"/>
    <s v=""/>
    <s v=""/>
    <x v="7"/>
    <x v="5"/>
    <x v="0"/>
    <x v="0"/>
  </r>
  <r>
    <x v="0"/>
    <x v="0"/>
    <x v="0"/>
    <x v="56"/>
    <s v=""/>
    <x v="2"/>
    <b v="0"/>
    <b v="0"/>
    <b v="0"/>
    <s v=""/>
    <s v=""/>
    <s v=","/>
    <s v=""/>
    <s v=""/>
    <s v=""/>
    <s v=""/>
    <s v=""/>
    <x v="2"/>
    <s v=""/>
    <s v=""/>
    <x v="7"/>
    <x v="5"/>
    <x v="0"/>
    <x v="0"/>
  </r>
  <r>
    <x v="0"/>
    <x v="0"/>
    <x v="0"/>
    <x v="57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201"/>
    <n v="33.736229999999999"/>
    <x v="8"/>
    <x v="6"/>
    <x v="0"/>
    <x v="0"/>
  </r>
  <r>
    <x v="0"/>
    <x v="0"/>
    <x v="0"/>
    <x v="57"/>
    <s v=""/>
    <x v="2"/>
    <b v="0"/>
    <b v="0"/>
    <b v="0"/>
    <s v=""/>
    <s v=""/>
    <s v=","/>
    <s v=""/>
    <s v=""/>
    <s v=""/>
    <s v=""/>
    <s v=""/>
    <x v="2"/>
    <s v=""/>
    <s v=""/>
    <x v="8"/>
    <x v="6"/>
    <x v="0"/>
    <x v="0"/>
  </r>
  <r>
    <x v="0"/>
    <x v="0"/>
    <x v="0"/>
    <x v="58"/>
    <s v=""/>
    <x v="2"/>
    <b v="0"/>
    <b v="0"/>
    <b v="0"/>
    <s v=""/>
    <s v=""/>
    <s v=","/>
    <s v=""/>
    <s v=""/>
    <s v=""/>
    <s v=""/>
    <s v=""/>
    <x v="2"/>
    <s v=""/>
    <s v=""/>
    <x v="8"/>
    <x v="6"/>
    <x v="13"/>
    <x v="15"/>
  </r>
  <r>
    <x v="0"/>
    <x v="0"/>
    <x v="0"/>
    <x v="58"/>
    <s v=""/>
    <x v="2"/>
    <b v="0"/>
    <b v="0"/>
    <b v="0"/>
    <s v=""/>
    <s v=""/>
    <s v=","/>
    <s v=""/>
    <s v=""/>
    <s v=""/>
    <s v=""/>
    <s v=""/>
    <x v="2"/>
    <s v=""/>
    <s v=""/>
    <x v="8"/>
    <x v="6"/>
    <x v="56"/>
    <x v="56"/>
  </r>
  <r>
    <x v="0"/>
    <x v="0"/>
    <x v="0"/>
    <x v="58"/>
    <s v=""/>
    <x v="2"/>
    <b v="0"/>
    <b v="0"/>
    <b v="0"/>
    <s v=""/>
    <s v=""/>
    <s v=","/>
    <s v=""/>
    <s v=""/>
    <s v=""/>
    <s v=""/>
    <s v=""/>
    <x v="2"/>
    <s v=""/>
    <s v=""/>
    <x v="8"/>
    <x v="6"/>
    <x v="0"/>
    <x v="0"/>
  </r>
  <r>
    <x v="0"/>
    <x v="0"/>
    <x v="0"/>
    <x v="58"/>
    <s v=""/>
    <x v="2"/>
    <b v="0"/>
    <b v="0"/>
    <b v="0"/>
    <s v=""/>
    <s v=""/>
    <s v=","/>
    <s v=""/>
    <s v=""/>
    <s v=""/>
    <s v=""/>
    <s v=""/>
    <x v="2"/>
    <s v=""/>
    <s v=""/>
    <x v="8"/>
    <x v="6"/>
    <x v="60"/>
    <x v="28"/>
  </r>
  <r>
    <x v="0"/>
    <x v="0"/>
    <x v="0"/>
    <x v="58"/>
    <s v=""/>
    <x v="2"/>
    <b v="0"/>
    <b v="0"/>
    <b v="0"/>
    <s v=""/>
    <s v=""/>
    <s v=","/>
    <s v=""/>
    <s v=""/>
    <s v=""/>
    <s v=""/>
    <s v=""/>
    <x v="2"/>
    <s v=""/>
    <s v=""/>
    <x v="8"/>
    <x v="6"/>
    <x v="21"/>
    <x v="42"/>
  </r>
  <r>
    <x v="0"/>
    <x v="0"/>
    <x v="0"/>
    <x v="58"/>
    <s v=""/>
    <x v="2"/>
    <b v="0"/>
    <b v="0"/>
    <b v="0"/>
    <s v=""/>
    <s v=""/>
    <s v=","/>
    <s v=""/>
    <s v=""/>
    <s v=""/>
    <s v=""/>
    <s v=""/>
    <x v="2"/>
    <s v=""/>
    <s v=""/>
    <x v="8"/>
    <x v="6"/>
    <x v="13"/>
    <x v="15"/>
  </r>
  <r>
    <x v="0"/>
    <x v="0"/>
    <x v="0"/>
    <x v="59"/>
    <s v=""/>
    <x v="2"/>
    <b v="0"/>
    <b v="0"/>
    <b v="0"/>
    <s v=""/>
    <s v=""/>
    <s v=","/>
    <s v=""/>
    <s v=""/>
    <s v=""/>
    <s v=""/>
    <s v=""/>
    <x v="2"/>
    <s v=""/>
    <s v=""/>
    <x v="8"/>
    <x v="6"/>
    <x v="18"/>
    <x v="57"/>
  </r>
  <r>
    <x v="0"/>
    <x v="0"/>
    <x v="0"/>
    <x v="59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201"/>
    <n v="33.736229999999999"/>
    <x v="8"/>
    <x v="6"/>
    <x v="0"/>
    <x v="0"/>
  </r>
  <r>
    <x v="0"/>
    <x v="0"/>
    <x v="0"/>
    <x v="59"/>
    <s v=""/>
    <x v="2"/>
    <b v="0"/>
    <b v="0"/>
    <b v="0"/>
    <s v=""/>
    <s v=""/>
    <s v=","/>
    <s v=""/>
    <s v=""/>
    <s v=""/>
    <s v=""/>
    <s v=""/>
    <x v="2"/>
    <s v=""/>
    <s v=""/>
    <x v="8"/>
    <x v="6"/>
    <x v="56"/>
    <x v="56"/>
  </r>
  <r>
    <x v="0"/>
    <x v="0"/>
    <x v="0"/>
    <x v="53"/>
    <s v=""/>
    <x v="2"/>
    <b v="0"/>
    <b v="0"/>
    <b v="0"/>
    <s v=""/>
    <s v=""/>
    <s v=","/>
    <s v=""/>
    <s v=""/>
    <s v=""/>
    <s v=""/>
    <s v=""/>
    <x v="2"/>
    <s v=""/>
    <s v=""/>
    <x v="8"/>
    <x v="6"/>
    <x v="0"/>
    <x v="0"/>
  </r>
  <r>
    <x v="0"/>
    <x v="0"/>
    <x v="0"/>
    <x v="53"/>
    <s v=""/>
    <x v="2"/>
    <b v="0"/>
    <b v="0"/>
    <b v="0"/>
    <s v=""/>
    <s v=""/>
    <s v=","/>
    <s v=""/>
    <s v=""/>
    <s v=""/>
    <s v=""/>
    <s v=""/>
    <x v="2"/>
    <s v=""/>
    <s v=""/>
    <x v="8"/>
    <x v="6"/>
    <x v="61"/>
    <x v="58"/>
  </r>
  <r>
    <x v="0"/>
    <x v="0"/>
    <x v="0"/>
    <x v="53"/>
    <s v=""/>
    <x v="2"/>
    <b v="0"/>
    <b v="0"/>
    <b v="0"/>
    <s v=""/>
    <s v=""/>
    <s v=","/>
    <s v=""/>
    <s v=""/>
    <s v=""/>
    <s v=""/>
    <s v=""/>
    <x v="2"/>
    <s v=""/>
    <s v=""/>
    <x v="8"/>
    <x v="6"/>
    <x v="62"/>
    <x v="37"/>
  </r>
  <r>
    <x v="0"/>
    <x v="0"/>
    <x v="0"/>
    <x v="60"/>
    <s v=""/>
    <x v="2"/>
    <b v="0"/>
    <b v="0"/>
    <b v="0"/>
    <s v=""/>
    <s v=""/>
    <s v=","/>
    <s v=""/>
    <s v=""/>
    <s v=""/>
    <s v=""/>
    <s v=""/>
    <x v="2"/>
    <s v=""/>
    <s v=""/>
    <x v="8"/>
    <x v="6"/>
    <x v="18"/>
    <x v="59"/>
  </r>
  <r>
    <x v="0"/>
    <x v="0"/>
    <x v="0"/>
    <x v="61"/>
    <s v=""/>
    <x v="2"/>
    <b v="0"/>
    <b v="0"/>
    <b v="0"/>
    <s v=""/>
    <s v=""/>
    <s v=","/>
    <s v=""/>
    <s v=""/>
    <s v=""/>
    <s v=""/>
    <s v=""/>
    <x v="2"/>
    <s v=""/>
    <s v=""/>
    <x v="8"/>
    <x v="6"/>
    <x v="0"/>
    <x v="0"/>
  </r>
  <r>
    <x v="0"/>
    <x v="0"/>
    <x v="0"/>
    <x v="61"/>
    <s v=""/>
    <x v="2"/>
    <b v="0"/>
    <b v="0"/>
    <b v="0"/>
    <s v=""/>
    <s v=""/>
    <s v=","/>
    <s v=""/>
    <s v=""/>
    <s v=""/>
    <s v=""/>
    <s v=""/>
    <x v="2"/>
    <s v=""/>
    <s v=""/>
    <x v="8"/>
    <x v="6"/>
    <x v="0"/>
    <x v="0"/>
  </r>
  <r>
    <x v="0"/>
    <x v="0"/>
    <x v="0"/>
    <x v="62"/>
    <s v=""/>
    <x v="2"/>
    <b v="0"/>
    <b v="0"/>
    <b v="0"/>
    <s v=""/>
    <s v=""/>
    <s v=","/>
    <s v=""/>
    <s v=""/>
    <s v=""/>
    <s v=""/>
    <s v=""/>
    <x v="2"/>
    <s v=""/>
    <s v=""/>
    <x v="8"/>
    <x v="6"/>
    <x v="0"/>
    <x v="0"/>
  </r>
  <r>
    <x v="0"/>
    <x v="0"/>
    <x v="0"/>
    <x v="62"/>
    <s v=""/>
    <x v="2"/>
    <b v="0"/>
    <b v="0"/>
    <b v="0"/>
    <s v=""/>
    <s v=""/>
    <s v=","/>
    <s v=""/>
    <s v=""/>
    <s v=""/>
    <s v=""/>
    <s v=""/>
    <x v="2"/>
    <s v=""/>
    <s v=""/>
    <x v="8"/>
    <x v="6"/>
    <x v="0"/>
    <x v="0"/>
  </r>
  <r>
    <x v="0"/>
    <x v="0"/>
    <x v="0"/>
    <x v="62"/>
    <s v=""/>
    <x v="2"/>
    <b v="0"/>
    <b v="0"/>
    <b v="0"/>
    <s v=""/>
    <s v=""/>
    <s v=","/>
    <s v=""/>
    <s v=""/>
    <s v=""/>
    <s v=""/>
    <s v=""/>
    <x v="2"/>
    <s v=""/>
    <s v=""/>
    <x v="8"/>
    <x v="6"/>
    <x v="0"/>
    <x v="0"/>
  </r>
  <r>
    <x v="0"/>
    <x v="0"/>
    <x v="0"/>
    <x v="63"/>
    <s v=""/>
    <x v="2"/>
    <b v="0"/>
    <b v="0"/>
    <b v="0"/>
    <s v=""/>
    <s v=""/>
    <s v=","/>
    <s v=""/>
    <s v=""/>
    <s v=""/>
    <s v=""/>
    <s v=""/>
    <x v="2"/>
    <s v=""/>
    <s v=""/>
    <x v="8"/>
    <x v="6"/>
    <x v="20"/>
    <x v="50"/>
  </r>
  <r>
    <x v="0"/>
    <x v="0"/>
    <x v="0"/>
    <x v="64"/>
    <s v=""/>
    <x v="2"/>
    <b v="0"/>
    <b v="0"/>
    <b v="0"/>
    <s v=""/>
    <s v=""/>
    <s v=","/>
    <s v=""/>
    <s v=""/>
    <s v=""/>
    <s v=""/>
    <s v=""/>
    <x v="2"/>
    <s v=""/>
    <s v=""/>
    <x v="8"/>
    <x v="6"/>
    <x v="21"/>
    <x v="42"/>
  </r>
  <r>
    <x v="0"/>
    <x v="0"/>
    <x v="0"/>
    <x v="64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201"/>
    <n v="33.736229999999999"/>
    <x v="8"/>
    <x v="6"/>
    <x v="0"/>
    <x v="0"/>
  </r>
  <r>
    <x v="0"/>
    <x v="0"/>
    <x v="0"/>
    <x v="65"/>
    <s v=""/>
    <x v="2"/>
    <b v="0"/>
    <b v="0"/>
    <b v="0"/>
    <s v=""/>
    <s v=""/>
    <s v=","/>
    <s v=""/>
    <s v=""/>
    <s v=""/>
    <s v=""/>
    <s v=""/>
    <x v="2"/>
    <s v=""/>
    <s v=""/>
    <x v="8"/>
    <x v="6"/>
    <x v="21"/>
    <x v="60"/>
  </r>
  <r>
    <x v="0"/>
    <x v="0"/>
    <x v="0"/>
    <x v="65"/>
    <s v=""/>
    <x v="2"/>
    <b v="0"/>
    <b v="0"/>
    <b v="0"/>
    <s v=""/>
    <s v=""/>
    <s v=","/>
    <s v=""/>
    <s v=""/>
    <s v=""/>
    <s v=""/>
    <s v=""/>
    <x v="2"/>
    <s v=""/>
    <s v=""/>
    <x v="8"/>
    <x v="6"/>
    <x v="13"/>
    <x v="29"/>
  </r>
  <r>
    <x v="0"/>
    <x v="0"/>
    <x v="0"/>
    <x v="65"/>
    <s v=""/>
    <x v="2"/>
    <b v="0"/>
    <b v="0"/>
    <b v="0"/>
    <s v=""/>
    <s v=""/>
    <s v=","/>
    <s v=""/>
    <s v=""/>
    <s v=""/>
    <s v=""/>
    <s v=""/>
    <x v="2"/>
    <s v=""/>
    <s v=""/>
    <x v="8"/>
    <x v="6"/>
    <x v="49"/>
    <x v="61"/>
  </r>
  <r>
    <x v="0"/>
    <x v="0"/>
    <x v="0"/>
    <x v="65"/>
    <s v=""/>
    <x v="2"/>
    <b v="0"/>
    <b v="0"/>
    <b v="0"/>
    <s v=""/>
    <s v=""/>
    <s v=","/>
    <s v=""/>
    <s v=""/>
    <s v=""/>
    <s v=""/>
    <s v=""/>
    <x v="2"/>
    <s v=""/>
    <s v=""/>
    <x v="8"/>
    <x v="6"/>
    <x v="50"/>
    <x v="62"/>
  </r>
  <r>
    <x v="0"/>
    <x v="0"/>
    <x v="0"/>
    <x v="65"/>
    <s v=""/>
    <x v="2"/>
    <b v="0"/>
    <b v="0"/>
    <b v="0"/>
    <s v=""/>
    <s v=""/>
    <s v=","/>
    <s v=""/>
    <s v=""/>
    <s v=""/>
    <s v=""/>
    <s v=""/>
    <x v="2"/>
    <s v=""/>
    <s v=""/>
    <x v="8"/>
    <x v="6"/>
    <x v="0"/>
    <x v="0"/>
  </r>
  <r>
    <x v="0"/>
    <x v="0"/>
    <x v="0"/>
    <x v="65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201"/>
    <n v="33.736229999999999"/>
    <x v="8"/>
    <x v="6"/>
    <x v="0"/>
    <x v="0"/>
  </r>
  <r>
    <x v="0"/>
    <x v="0"/>
    <x v="0"/>
    <x v="65"/>
    <s v=""/>
    <x v="2"/>
    <b v="0"/>
    <b v="0"/>
    <b v="0"/>
    <s v=""/>
    <s v=""/>
    <s v=","/>
    <s v=""/>
    <s v=""/>
    <s v=""/>
    <s v=""/>
    <s v=""/>
    <x v="2"/>
    <s v=""/>
    <s v=""/>
    <x v="8"/>
    <x v="6"/>
    <x v="56"/>
    <x v="56"/>
  </r>
  <r>
    <x v="0"/>
    <x v="0"/>
    <x v="0"/>
    <x v="66"/>
    <s v=""/>
    <x v="2"/>
    <b v="0"/>
    <b v="0"/>
    <b v="0"/>
    <s v=""/>
    <s v=""/>
    <s v=","/>
    <s v=""/>
    <s v=""/>
    <s v=""/>
    <s v=""/>
    <s v=""/>
    <x v="2"/>
    <s v=""/>
    <s v=""/>
    <x v="8"/>
    <x v="6"/>
    <x v="21"/>
    <x v="28"/>
  </r>
  <r>
    <x v="0"/>
    <x v="0"/>
    <x v="0"/>
    <x v="66"/>
    <s v=""/>
    <x v="2"/>
    <b v="0"/>
    <b v="0"/>
    <b v="0"/>
    <s v=""/>
    <s v=""/>
    <s v=","/>
    <s v=""/>
    <s v=""/>
    <s v=""/>
    <s v=""/>
    <s v=""/>
    <x v="2"/>
    <s v=""/>
    <s v=""/>
    <x v="8"/>
    <x v="6"/>
    <x v="13"/>
    <x v="15"/>
  </r>
  <r>
    <x v="0"/>
    <x v="0"/>
    <x v="0"/>
    <x v="66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201"/>
    <n v="33.73621"/>
    <x v="8"/>
    <x v="7"/>
    <x v="0"/>
    <x v="0"/>
  </r>
  <r>
    <x v="0"/>
    <x v="0"/>
    <x v="0"/>
    <x v="66"/>
    <s v=""/>
    <x v="2"/>
    <b v="0"/>
    <b v="0"/>
    <b v="0"/>
    <s v=""/>
    <s v=""/>
    <s v=","/>
    <s v=""/>
    <s v=""/>
    <s v=""/>
    <s v=""/>
    <s v=""/>
    <x v="2"/>
    <s v=""/>
    <s v=""/>
    <x v="8"/>
    <x v="7"/>
    <x v="15"/>
    <x v="63"/>
  </r>
  <r>
    <x v="0"/>
    <x v="0"/>
    <x v="0"/>
    <x v="66"/>
    <s v=""/>
    <x v="2"/>
    <b v="0"/>
    <b v="0"/>
    <b v="0"/>
    <s v=""/>
    <s v=""/>
    <s v=","/>
    <s v=""/>
    <s v=""/>
    <s v=""/>
    <s v=""/>
    <s v=""/>
    <x v="2"/>
    <s v=""/>
    <s v=""/>
    <x v="8"/>
    <x v="7"/>
    <x v="56"/>
    <x v="56"/>
  </r>
  <r>
    <x v="0"/>
    <x v="0"/>
    <x v="0"/>
    <x v="66"/>
    <s v=""/>
    <x v="2"/>
    <b v="0"/>
    <b v="0"/>
    <b v="0"/>
    <s v=""/>
    <s v=""/>
    <s v=","/>
    <s v=""/>
    <s v=""/>
    <s v=""/>
    <s v=""/>
    <s v=""/>
    <x v="2"/>
    <s v=""/>
    <s v=""/>
    <x v="8"/>
    <x v="7"/>
    <x v="18"/>
    <x v="64"/>
  </r>
  <r>
    <x v="0"/>
    <x v="0"/>
    <x v="0"/>
    <x v="66"/>
    <s v=""/>
    <x v="2"/>
    <b v="0"/>
    <b v="0"/>
    <b v="0"/>
    <s v=""/>
    <s v=""/>
    <s v=","/>
    <s v=""/>
    <s v=""/>
    <s v=""/>
    <s v=""/>
    <s v=""/>
    <x v="2"/>
    <s v=""/>
    <s v=""/>
    <x v="8"/>
    <x v="7"/>
    <x v="49"/>
    <x v="17"/>
  </r>
  <r>
    <x v="0"/>
    <x v="0"/>
    <x v="0"/>
    <x v="66"/>
    <s v=""/>
    <x v="2"/>
    <b v="0"/>
    <b v="0"/>
    <b v="0"/>
    <s v=""/>
    <s v=""/>
    <s v=","/>
    <s v=""/>
    <s v=""/>
    <s v=""/>
    <s v=""/>
    <s v=""/>
    <x v="2"/>
    <s v=""/>
    <s v=""/>
    <x v="8"/>
    <x v="7"/>
    <x v="50"/>
    <x v="65"/>
  </r>
  <r>
    <x v="0"/>
    <x v="0"/>
    <x v="0"/>
    <x v="67"/>
    <s v=""/>
    <x v="2"/>
    <b v="0"/>
    <b v="0"/>
    <b v="0"/>
    <s v=""/>
    <s v=""/>
    <s v=","/>
    <s v=""/>
    <s v=""/>
    <s v=""/>
    <s v=""/>
    <s v=""/>
    <x v="2"/>
    <s v=""/>
    <s v=""/>
    <x v="8"/>
    <x v="7"/>
    <x v="13"/>
    <x v="32"/>
  </r>
  <r>
    <x v="0"/>
    <x v="0"/>
    <x v="0"/>
    <x v="67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201"/>
    <n v="33.73621"/>
    <x v="8"/>
    <x v="7"/>
    <x v="0"/>
    <x v="0"/>
  </r>
  <r>
    <x v="0"/>
    <x v="0"/>
    <x v="0"/>
    <x v="67"/>
    <s v=""/>
    <x v="2"/>
    <b v="0"/>
    <b v="0"/>
    <b v="0"/>
    <s v=""/>
    <s v=""/>
    <s v=","/>
    <s v=""/>
    <s v=""/>
    <s v=""/>
    <s v=""/>
    <s v=""/>
    <x v="2"/>
    <s v=""/>
    <s v=""/>
    <x v="8"/>
    <x v="7"/>
    <x v="56"/>
    <x v="66"/>
  </r>
  <r>
    <x v="0"/>
    <x v="0"/>
    <x v="0"/>
    <x v="68"/>
    <s v=""/>
    <x v="2"/>
    <b v="0"/>
    <b v="0"/>
    <b v="0"/>
    <s v=""/>
    <s v=""/>
    <s v=","/>
    <s v=""/>
    <s v=""/>
    <s v=""/>
    <s v=""/>
    <s v=""/>
    <x v="2"/>
    <s v=""/>
    <s v=""/>
    <x v="8"/>
    <x v="7"/>
    <x v="13"/>
    <x v="54"/>
  </r>
  <r>
    <x v="0"/>
    <x v="0"/>
    <x v="0"/>
    <x v="68"/>
    <s v="Clarksburg, WV, HARRISON_20268, Clarksburg, WV: 500 Baltimore Ave, Clarksburg, WV 26301, USA"/>
    <x v="2"/>
    <b v="0"/>
    <b v="1"/>
    <b v="1"/>
    <s v="500 Baltimore Ave, Clarksburg, WV 26301, USA"/>
    <s v=" USA"/>
    <s v=", USA"/>
    <s v="500 Baltimore Ave, Clarksburg, WV 26301"/>
    <s v=" WV 26301"/>
    <s v="26301"/>
    <s v=" WV"/>
    <s v="WV"/>
    <x v="2"/>
    <n v="-39.42201"/>
    <n v="33.73621"/>
    <x v="8"/>
    <x v="7"/>
    <x v="0"/>
    <x v="0"/>
  </r>
  <r>
    <x v="0"/>
    <x v="0"/>
    <x v="0"/>
    <x v="68"/>
    <s v=""/>
    <x v="2"/>
    <b v="0"/>
    <b v="0"/>
    <b v="0"/>
    <s v=""/>
    <s v=""/>
    <s v=","/>
    <s v=""/>
    <s v=""/>
    <s v=""/>
    <s v=""/>
    <s v=""/>
    <x v="2"/>
    <s v=""/>
    <s v=""/>
    <x v="8"/>
    <x v="7"/>
    <x v="15"/>
    <x v="67"/>
  </r>
  <r>
    <x v="0"/>
    <x v="0"/>
    <x v="0"/>
    <x v="68"/>
    <s v=""/>
    <x v="2"/>
    <b v="0"/>
    <b v="0"/>
    <b v="0"/>
    <s v=""/>
    <s v=""/>
    <s v=","/>
    <s v=""/>
    <s v=""/>
    <s v=""/>
    <s v=""/>
    <s v=""/>
    <x v="2"/>
    <s v=""/>
    <s v=""/>
    <x v="8"/>
    <x v="7"/>
    <x v="56"/>
    <x v="66"/>
  </r>
  <r>
    <x v="0"/>
    <x v="0"/>
    <x v="0"/>
    <x v="68"/>
    <s v=""/>
    <x v="2"/>
    <b v="0"/>
    <b v="0"/>
    <b v="0"/>
    <s v=""/>
    <s v=""/>
    <s v=","/>
    <s v=""/>
    <s v=""/>
    <s v=""/>
    <s v=""/>
    <s v=""/>
    <x v="2"/>
    <s v=""/>
    <s v=""/>
    <x v="8"/>
    <x v="7"/>
    <x v="13"/>
    <x v="48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69"/>
    <s v=""/>
    <x v="2"/>
    <b v="0"/>
    <b v="0"/>
    <b v="0"/>
    <s v=""/>
    <s v=""/>
    <s v=","/>
    <s v=""/>
    <s v=""/>
    <s v=""/>
    <s v=""/>
    <s v=""/>
    <x v="2"/>
    <s v=""/>
    <s v=""/>
    <x v="8"/>
    <x v="7"/>
    <x v="0"/>
    <x v="0"/>
  </r>
  <r>
    <x v="0"/>
    <x v="0"/>
    <x v="0"/>
    <x v="70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21959999999999"/>
    <n v="33.73603"/>
    <x v="6"/>
    <x v="8"/>
    <x v="0"/>
    <x v="0"/>
  </r>
  <r>
    <x v="0"/>
    <x v="0"/>
    <x v="0"/>
    <x v="71"/>
    <s v=""/>
    <x v="3"/>
    <b v="0"/>
    <b v="0"/>
    <b v="0"/>
    <s v=""/>
    <s v=""/>
    <s v=","/>
    <s v=""/>
    <s v=""/>
    <s v=""/>
    <s v=""/>
    <s v=""/>
    <x v="3"/>
    <s v=""/>
    <s v=""/>
    <x v="6"/>
    <x v="8"/>
    <x v="13"/>
    <x v="68"/>
  </r>
  <r>
    <x v="0"/>
    <x v="0"/>
    <x v="0"/>
    <x v="72"/>
    <s v=""/>
    <x v="3"/>
    <b v="0"/>
    <b v="0"/>
    <b v="0"/>
    <s v=""/>
    <s v=""/>
    <s v=","/>
    <s v=""/>
    <s v=""/>
    <s v=""/>
    <s v=""/>
    <s v=""/>
    <x v="3"/>
    <s v=""/>
    <s v=""/>
    <x v="6"/>
    <x v="8"/>
    <x v="0"/>
    <x v="0"/>
  </r>
  <r>
    <x v="0"/>
    <x v="0"/>
    <x v="0"/>
    <x v="72"/>
    <s v=""/>
    <x v="3"/>
    <b v="0"/>
    <b v="0"/>
    <b v="0"/>
    <s v=""/>
    <s v=""/>
    <s v=","/>
    <s v=""/>
    <s v=""/>
    <s v=""/>
    <s v=""/>
    <s v=""/>
    <x v="3"/>
    <s v=""/>
    <s v=""/>
    <x v="6"/>
    <x v="8"/>
    <x v="0"/>
    <x v="0"/>
  </r>
  <r>
    <x v="0"/>
    <x v="0"/>
    <x v="0"/>
    <x v="72"/>
    <s v=""/>
    <x v="3"/>
    <b v="0"/>
    <b v="0"/>
    <b v="0"/>
    <s v=""/>
    <s v=""/>
    <s v=","/>
    <s v=""/>
    <s v=""/>
    <s v=""/>
    <s v=""/>
    <s v=""/>
    <x v="3"/>
    <s v=""/>
    <s v=""/>
    <x v="6"/>
    <x v="8"/>
    <x v="0"/>
    <x v="0"/>
  </r>
  <r>
    <x v="0"/>
    <x v="0"/>
    <x v="0"/>
    <x v="73"/>
    <s v=""/>
    <x v="3"/>
    <b v="0"/>
    <b v="0"/>
    <b v="0"/>
    <s v=""/>
    <s v=""/>
    <s v=","/>
    <s v=""/>
    <s v=""/>
    <s v=""/>
    <s v=""/>
    <s v=""/>
    <x v="3"/>
    <s v=""/>
    <s v=""/>
    <x v="6"/>
    <x v="8"/>
    <x v="13"/>
    <x v="69"/>
  </r>
  <r>
    <x v="0"/>
    <x v="0"/>
    <x v="0"/>
    <x v="73"/>
    <s v=""/>
    <x v="3"/>
    <b v="0"/>
    <b v="0"/>
    <b v="0"/>
    <s v=""/>
    <s v=""/>
    <s v=","/>
    <s v=""/>
    <s v=""/>
    <s v=""/>
    <s v=""/>
    <s v=""/>
    <x v="3"/>
    <s v=""/>
    <s v=""/>
    <x v="6"/>
    <x v="8"/>
    <x v="15"/>
    <x v="70"/>
  </r>
  <r>
    <x v="0"/>
    <x v="0"/>
    <x v="0"/>
    <x v="74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9319999999999"/>
    <n v="33.734229999999997"/>
    <x v="9"/>
    <x v="9"/>
    <x v="0"/>
    <x v="0"/>
  </r>
  <r>
    <x v="0"/>
    <x v="0"/>
    <x v="0"/>
    <x v="75"/>
    <s v=""/>
    <x v="3"/>
    <b v="0"/>
    <b v="0"/>
    <b v="0"/>
    <s v=""/>
    <s v=""/>
    <s v=","/>
    <s v=""/>
    <s v=""/>
    <s v=""/>
    <s v=""/>
    <s v=""/>
    <x v="3"/>
    <s v=""/>
    <s v=""/>
    <x v="9"/>
    <x v="9"/>
    <x v="15"/>
    <x v="71"/>
  </r>
  <r>
    <x v="0"/>
    <x v="0"/>
    <x v="0"/>
    <x v="76"/>
    <s v=""/>
    <x v="3"/>
    <b v="0"/>
    <b v="0"/>
    <b v="0"/>
    <s v=""/>
    <s v=""/>
    <s v=","/>
    <s v=""/>
    <s v=""/>
    <s v=""/>
    <s v=""/>
    <s v=""/>
    <x v="3"/>
    <s v=""/>
    <s v=""/>
    <x v="9"/>
    <x v="9"/>
    <x v="59"/>
    <x v="10"/>
  </r>
  <r>
    <x v="0"/>
    <x v="0"/>
    <x v="0"/>
    <x v="76"/>
    <s v=""/>
    <x v="3"/>
    <b v="0"/>
    <b v="0"/>
    <b v="0"/>
    <s v=""/>
    <s v=""/>
    <s v=","/>
    <s v=""/>
    <s v=""/>
    <s v=""/>
    <s v=""/>
    <s v=""/>
    <x v="3"/>
    <s v=""/>
    <s v=""/>
    <x v="9"/>
    <x v="9"/>
    <x v="0"/>
    <x v="0"/>
  </r>
  <r>
    <x v="0"/>
    <x v="0"/>
    <x v="0"/>
    <x v="76"/>
    <s v=""/>
    <x v="3"/>
    <b v="0"/>
    <b v="0"/>
    <b v="0"/>
    <s v=""/>
    <s v=""/>
    <s v=","/>
    <s v=""/>
    <s v=""/>
    <s v=""/>
    <s v=""/>
    <s v=""/>
    <x v="3"/>
    <s v=""/>
    <s v=""/>
    <x v="9"/>
    <x v="9"/>
    <x v="0"/>
    <x v="0"/>
  </r>
  <r>
    <x v="0"/>
    <x v="0"/>
    <x v="0"/>
    <x v="76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863"/>
    <n v="33.733750000000001"/>
    <x v="10"/>
    <x v="10"/>
    <x v="0"/>
    <x v="0"/>
  </r>
  <r>
    <x v="0"/>
    <x v="0"/>
    <x v="0"/>
    <x v="76"/>
    <s v=""/>
    <x v="3"/>
    <b v="0"/>
    <b v="0"/>
    <b v="0"/>
    <s v=""/>
    <s v=""/>
    <s v=","/>
    <s v=""/>
    <s v=""/>
    <s v=""/>
    <s v=""/>
    <s v=""/>
    <x v="3"/>
    <s v=""/>
    <s v=""/>
    <x v="10"/>
    <x v="10"/>
    <x v="20"/>
    <x v="72"/>
  </r>
  <r>
    <x v="0"/>
    <x v="0"/>
    <x v="0"/>
    <x v="77"/>
    <s v=""/>
    <x v="3"/>
    <b v="0"/>
    <b v="0"/>
    <b v="0"/>
    <s v=""/>
    <s v=""/>
    <s v=","/>
    <s v=""/>
    <s v=""/>
    <s v=""/>
    <s v=""/>
    <s v=""/>
    <x v="3"/>
    <s v=""/>
    <s v=""/>
    <x v="10"/>
    <x v="10"/>
    <x v="24"/>
    <x v="73"/>
  </r>
  <r>
    <x v="0"/>
    <x v="0"/>
    <x v="0"/>
    <x v="77"/>
    <s v=""/>
    <x v="3"/>
    <b v="0"/>
    <b v="0"/>
    <b v="0"/>
    <s v=""/>
    <s v=""/>
    <s v=","/>
    <s v=""/>
    <s v=""/>
    <s v=""/>
    <s v=""/>
    <s v=""/>
    <x v="3"/>
    <s v=""/>
    <s v=""/>
    <x v="10"/>
    <x v="10"/>
    <x v="0"/>
    <x v="0"/>
  </r>
  <r>
    <x v="0"/>
    <x v="0"/>
    <x v="0"/>
    <x v="77"/>
    <s v=""/>
    <x v="3"/>
    <b v="0"/>
    <b v="0"/>
    <b v="0"/>
    <s v=""/>
    <s v=""/>
    <s v=","/>
    <s v=""/>
    <s v=""/>
    <s v=""/>
    <s v=""/>
    <s v=""/>
    <x v="3"/>
    <s v=""/>
    <s v=""/>
    <x v="10"/>
    <x v="10"/>
    <x v="13"/>
    <x v="74"/>
  </r>
  <r>
    <x v="0"/>
    <x v="0"/>
    <x v="0"/>
    <x v="78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8089999999999"/>
    <n v="33.733260000000001"/>
    <x v="11"/>
    <x v="11"/>
    <x v="0"/>
    <x v="0"/>
  </r>
  <r>
    <x v="0"/>
    <x v="0"/>
    <x v="0"/>
    <x v="79"/>
    <s v=""/>
    <x v="3"/>
    <b v="0"/>
    <b v="0"/>
    <b v="0"/>
    <s v=""/>
    <s v=""/>
    <s v=","/>
    <s v=""/>
    <s v=""/>
    <s v=""/>
    <s v=""/>
    <s v=""/>
    <x v="3"/>
    <s v=""/>
    <s v=""/>
    <x v="11"/>
    <x v="11"/>
    <x v="0"/>
    <x v="0"/>
  </r>
  <r>
    <x v="0"/>
    <x v="0"/>
    <x v="0"/>
    <x v="79"/>
    <s v=""/>
    <x v="3"/>
    <b v="0"/>
    <b v="0"/>
    <b v="0"/>
    <s v=""/>
    <s v=""/>
    <s v=","/>
    <s v=""/>
    <s v=""/>
    <s v=""/>
    <s v=""/>
    <s v=""/>
    <x v="3"/>
    <s v=""/>
    <s v=""/>
    <x v="11"/>
    <x v="11"/>
    <x v="0"/>
    <x v="0"/>
  </r>
  <r>
    <x v="0"/>
    <x v="0"/>
    <x v="0"/>
    <x v="80"/>
    <s v=""/>
    <x v="3"/>
    <b v="0"/>
    <b v="0"/>
    <b v="0"/>
    <s v=""/>
    <s v=""/>
    <s v=","/>
    <s v=""/>
    <s v=""/>
    <s v=""/>
    <s v=""/>
    <s v=""/>
    <x v="3"/>
    <s v=""/>
    <s v=""/>
    <x v="11"/>
    <x v="11"/>
    <x v="13"/>
    <x v="75"/>
  </r>
  <r>
    <x v="0"/>
    <x v="0"/>
    <x v="0"/>
    <x v="81"/>
    <s v=""/>
    <x v="3"/>
    <b v="0"/>
    <b v="0"/>
    <b v="0"/>
    <s v=""/>
    <s v=""/>
    <s v=","/>
    <s v=""/>
    <s v=""/>
    <s v=""/>
    <s v=""/>
    <s v=""/>
    <x v="3"/>
    <s v=""/>
    <s v=""/>
    <x v="11"/>
    <x v="11"/>
    <x v="0"/>
    <x v="0"/>
  </r>
  <r>
    <x v="0"/>
    <x v="0"/>
    <x v="0"/>
    <x v="81"/>
    <s v=""/>
    <x v="3"/>
    <b v="0"/>
    <b v="0"/>
    <b v="0"/>
    <s v=""/>
    <s v=""/>
    <s v=","/>
    <s v=""/>
    <s v=""/>
    <s v=""/>
    <s v=""/>
    <s v=""/>
    <x v="3"/>
    <s v=""/>
    <s v=""/>
    <x v="11"/>
    <x v="11"/>
    <x v="0"/>
    <x v="0"/>
  </r>
  <r>
    <x v="0"/>
    <x v="0"/>
    <x v="0"/>
    <x v="81"/>
    <s v=""/>
    <x v="3"/>
    <b v="0"/>
    <b v="0"/>
    <b v="0"/>
    <s v=""/>
    <s v=""/>
    <s v=","/>
    <s v=""/>
    <s v=""/>
    <s v=""/>
    <s v=""/>
    <s v=""/>
    <x v="3"/>
    <s v=""/>
    <s v=""/>
    <x v="11"/>
    <x v="11"/>
    <x v="0"/>
    <x v="0"/>
  </r>
  <r>
    <x v="0"/>
    <x v="0"/>
    <x v="0"/>
    <x v="82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7349999999999"/>
    <n v="33.732309999999998"/>
    <x v="12"/>
    <x v="12"/>
    <x v="0"/>
    <x v="0"/>
  </r>
  <r>
    <x v="0"/>
    <x v="0"/>
    <x v="0"/>
    <x v="83"/>
    <s v=""/>
    <x v="3"/>
    <b v="0"/>
    <b v="0"/>
    <b v="0"/>
    <s v=""/>
    <s v=""/>
    <s v=","/>
    <s v=""/>
    <s v=""/>
    <s v=""/>
    <s v=""/>
    <s v=""/>
    <x v="3"/>
    <s v=""/>
    <s v=""/>
    <x v="12"/>
    <x v="12"/>
    <x v="13"/>
    <x v="76"/>
  </r>
  <r>
    <x v="0"/>
    <x v="0"/>
    <x v="0"/>
    <x v="84"/>
    <s v=""/>
    <x v="3"/>
    <b v="0"/>
    <b v="0"/>
    <b v="0"/>
    <s v=""/>
    <s v=""/>
    <s v=","/>
    <s v=""/>
    <s v=""/>
    <s v=""/>
    <s v=""/>
    <s v=""/>
    <x v="3"/>
    <s v=""/>
    <s v=""/>
    <x v="12"/>
    <x v="12"/>
    <x v="20"/>
    <x v="72"/>
  </r>
  <r>
    <x v="0"/>
    <x v="0"/>
    <x v="0"/>
    <x v="85"/>
    <s v=""/>
    <x v="3"/>
    <b v="0"/>
    <b v="0"/>
    <b v="0"/>
    <s v=""/>
    <s v=""/>
    <s v=","/>
    <s v=""/>
    <s v=""/>
    <s v=""/>
    <s v=""/>
    <s v=""/>
    <x v="3"/>
    <s v=""/>
    <s v=""/>
    <x v="12"/>
    <x v="12"/>
    <x v="15"/>
    <x v="77"/>
  </r>
  <r>
    <x v="0"/>
    <x v="0"/>
    <x v="0"/>
    <x v="86"/>
    <s v=""/>
    <x v="3"/>
    <b v="0"/>
    <b v="0"/>
    <b v="0"/>
    <s v=""/>
    <s v=""/>
    <s v=","/>
    <s v=""/>
    <s v=""/>
    <s v=""/>
    <s v=""/>
    <s v=""/>
    <x v="3"/>
    <s v=""/>
    <s v=""/>
    <x v="12"/>
    <x v="12"/>
    <x v="0"/>
    <x v="0"/>
  </r>
  <r>
    <x v="0"/>
    <x v="0"/>
    <x v="0"/>
    <x v="87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63"/>
    <n v="33.730930000000001"/>
    <x v="13"/>
    <x v="13"/>
    <x v="0"/>
    <x v="0"/>
  </r>
  <r>
    <x v="0"/>
    <x v="0"/>
    <x v="0"/>
    <x v="88"/>
    <s v=""/>
    <x v="3"/>
    <b v="0"/>
    <b v="0"/>
    <b v="0"/>
    <s v=""/>
    <s v=""/>
    <s v=","/>
    <s v=""/>
    <s v=""/>
    <s v=""/>
    <s v=""/>
    <s v=""/>
    <x v="3"/>
    <s v=""/>
    <s v=""/>
    <x v="13"/>
    <x v="13"/>
    <x v="59"/>
    <x v="10"/>
  </r>
  <r>
    <x v="0"/>
    <x v="0"/>
    <x v="0"/>
    <x v="88"/>
    <s v=""/>
    <x v="3"/>
    <b v="0"/>
    <b v="0"/>
    <b v="0"/>
    <s v=""/>
    <s v=""/>
    <s v=","/>
    <s v=""/>
    <s v=""/>
    <s v=""/>
    <s v=""/>
    <s v=""/>
    <x v="3"/>
    <s v=""/>
    <s v=""/>
    <x v="13"/>
    <x v="13"/>
    <x v="0"/>
    <x v="0"/>
  </r>
  <r>
    <x v="0"/>
    <x v="0"/>
    <x v="0"/>
    <x v="88"/>
    <s v=""/>
    <x v="3"/>
    <b v="0"/>
    <b v="0"/>
    <b v="0"/>
    <s v=""/>
    <s v=""/>
    <s v=","/>
    <s v=""/>
    <s v=""/>
    <s v=""/>
    <s v=""/>
    <s v=""/>
    <x v="3"/>
    <s v=""/>
    <s v=""/>
    <x v="13"/>
    <x v="13"/>
    <x v="0"/>
    <x v="0"/>
  </r>
  <r>
    <x v="0"/>
    <x v="0"/>
    <x v="0"/>
    <x v="88"/>
    <s v=""/>
    <x v="3"/>
    <b v="0"/>
    <b v="0"/>
    <b v="0"/>
    <s v=""/>
    <s v=""/>
    <s v=","/>
    <s v=""/>
    <s v=""/>
    <s v=""/>
    <s v=""/>
    <s v=""/>
    <x v="3"/>
    <s v=""/>
    <s v=""/>
    <x v="13"/>
    <x v="13"/>
    <x v="0"/>
    <x v="0"/>
  </r>
  <r>
    <x v="0"/>
    <x v="0"/>
    <x v="0"/>
    <x v="89"/>
    <s v=""/>
    <x v="3"/>
    <b v="0"/>
    <b v="0"/>
    <b v="0"/>
    <s v=""/>
    <s v=""/>
    <s v=","/>
    <s v=""/>
    <s v=""/>
    <s v=""/>
    <s v=""/>
    <s v=""/>
    <x v="3"/>
    <s v=""/>
    <s v=""/>
    <x v="13"/>
    <x v="13"/>
    <x v="13"/>
    <x v="78"/>
  </r>
  <r>
    <x v="0"/>
    <x v="0"/>
    <x v="0"/>
    <x v="90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5869999999998"/>
    <n v="33.729190000000003"/>
    <x v="14"/>
    <x v="14"/>
    <x v="0"/>
    <x v="0"/>
  </r>
  <r>
    <x v="0"/>
    <x v="0"/>
    <x v="0"/>
    <x v="91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5430000000001"/>
    <n v="33.728499999999997"/>
    <x v="15"/>
    <x v="15"/>
    <x v="0"/>
    <x v="0"/>
  </r>
  <r>
    <x v="0"/>
    <x v="0"/>
    <x v="0"/>
    <x v="92"/>
    <s v=""/>
    <x v="3"/>
    <b v="0"/>
    <b v="0"/>
    <b v="0"/>
    <s v=""/>
    <s v=""/>
    <s v=","/>
    <s v=""/>
    <s v=""/>
    <s v=""/>
    <s v=""/>
    <s v=""/>
    <x v="3"/>
    <s v=""/>
    <s v=""/>
    <x v="15"/>
    <x v="15"/>
    <x v="20"/>
    <x v="79"/>
  </r>
  <r>
    <x v="0"/>
    <x v="0"/>
    <x v="0"/>
    <x v="92"/>
    <s v=""/>
    <x v="3"/>
    <b v="0"/>
    <b v="0"/>
    <b v="0"/>
    <s v=""/>
    <s v=""/>
    <s v=","/>
    <s v=""/>
    <s v=""/>
    <s v=""/>
    <s v=""/>
    <s v=""/>
    <x v="3"/>
    <s v=""/>
    <s v=""/>
    <x v="15"/>
    <x v="15"/>
    <x v="63"/>
    <x v="79"/>
  </r>
  <r>
    <x v="0"/>
    <x v="0"/>
    <x v="0"/>
    <x v="93"/>
    <s v=""/>
    <x v="3"/>
    <b v="0"/>
    <b v="0"/>
    <b v="0"/>
    <s v=""/>
    <s v=""/>
    <s v=","/>
    <s v=""/>
    <s v=""/>
    <s v=""/>
    <s v=""/>
    <s v=""/>
    <x v="3"/>
    <s v=""/>
    <s v=""/>
    <x v="15"/>
    <x v="15"/>
    <x v="0"/>
    <x v="0"/>
  </r>
  <r>
    <x v="0"/>
    <x v="0"/>
    <x v="0"/>
    <x v="93"/>
    <s v=""/>
    <x v="3"/>
    <b v="0"/>
    <b v="0"/>
    <b v="0"/>
    <s v=""/>
    <s v=""/>
    <s v=","/>
    <s v=""/>
    <s v=""/>
    <s v=""/>
    <s v=""/>
    <s v=""/>
    <x v="3"/>
    <s v=""/>
    <s v=""/>
    <x v="15"/>
    <x v="15"/>
    <x v="0"/>
    <x v="0"/>
  </r>
  <r>
    <x v="0"/>
    <x v="0"/>
    <x v="0"/>
    <x v="93"/>
    <s v=""/>
    <x v="3"/>
    <b v="0"/>
    <b v="0"/>
    <b v="0"/>
    <s v=""/>
    <s v=""/>
    <s v=","/>
    <s v=""/>
    <s v=""/>
    <s v=""/>
    <s v=""/>
    <s v=""/>
    <x v="3"/>
    <s v=""/>
    <s v=""/>
    <x v="15"/>
    <x v="15"/>
    <x v="0"/>
    <x v="0"/>
  </r>
  <r>
    <x v="0"/>
    <x v="0"/>
    <x v="0"/>
    <x v="93"/>
    <s v=""/>
    <x v="3"/>
    <b v="0"/>
    <b v="0"/>
    <b v="0"/>
    <s v=""/>
    <s v=""/>
    <s v=","/>
    <s v=""/>
    <s v=""/>
    <s v=""/>
    <s v=""/>
    <s v=""/>
    <x v="3"/>
    <s v=""/>
    <s v=""/>
    <x v="15"/>
    <x v="15"/>
    <x v="60"/>
    <x v="80"/>
  </r>
  <r>
    <x v="0"/>
    <x v="0"/>
    <x v="0"/>
    <x v="94"/>
    <s v=""/>
    <x v="3"/>
    <b v="0"/>
    <b v="0"/>
    <b v="0"/>
    <s v=""/>
    <s v=""/>
    <s v=","/>
    <s v=""/>
    <s v=""/>
    <s v=""/>
    <s v=""/>
    <s v=""/>
    <x v="3"/>
    <s v=""/>
    <s v=""/>
    <x v="15"/>
    <x v="15"/>
    <x v="0"/>
    <x v="0"/>
  </r>
  <r>
    <x v="0"/>
    <x v="0"/>
    <x v="0"/>
    <x v="94"/>
    <s v=""/>
    <x v="3"/>
    <b v="0"/>
    <b v="0"/>
    <b v="0"/>
    <s v=""/>
    <s v=""/>
    <s v=","/>
    <s v=""/>
    <s v=""/>
    <s v=""/>
    <s v=""/>
    <s v=""/>
    <x v="3"/>
    <s v=""/>
    <s v=""/>
    <x v="15"/>
    <x v="15"/>
    <x v="13"/>
    <x v="81"/>
  </r>
  <r>
    <x v="0"/>
    <x v="0"/>
    <x v="0"/>
    <x v="95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469"/>
    <n v="33.727960000000003"/>
    <x v="16"/>
    <x v="16"/>
    <x v="0"/>
    <x v="0"/>
  </r>
  <r>
    <x v="0"/>
    <x v="0"/>
    <x v="0"/>
    <x v="96"/>
    <s v=""/>
    <x v="3"/>
    <b v="0"/>
    <b v="0"/>
    <b v="0"/>
    <s v=""/>
    <s v=""/>
    <s v=","/>
    <s v=""/>
    <s v=""/>
    <s v=""/>
    <s v=""/>
    <s v=""/>
    <x v="3"/>
    <s v=""/>
    <s v=""/>
    <x v="16"/>
    <x v="16"/>
    <x v="13"/>
    <x v="82"/>
  </r>
  <r>
    <x v="0"/>
    <x v="0"/>
    <x v="0"/>
    <x v="97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3789999999999"/>
    <n v="33.727400000000003"/>
    <x v="17"/>
    <x v="17"/>
    <x v="0"/>
    <x v="0"/>
  </r>
  <r>
    <x v="0"/>
    <x v="0"/>
    <x v="0"/>
    <x v="98"/>
    <s v=""/>
    <x v="3"/>
    <b v="0"/>
    <b v="0"/>
    <b v="0"/>
    <s v=""/>
    <s v=""/>
    <s v=","/>
    <s v=""/>
    <s v=""/>
    <s v=""/>
    <s v=""/>
    <s v=""/>
    <x v="3"/>
    <s v=""/>
    <s v=""/>
    <x v="17"/>
    <x v="17"/>
    <x v="13"/>
    <x v="83"/>
  </r>
  <r>
    <x v="0"/>
    <x v="0"/>
    <x v="0"/>
    <x v="99"/>
    <s v="5109 Hurontario St, Mississauga, ON L4Z 3X7, Canada"/>
    <x v="3"/>
    <b v="1"/>
    <b v="0"/>
    <b v="1"/>
    <s v="5109 Hurontario St, Mississauga, ON L4Z 3X7, Canada"/>
    <s v=" Canada"/>
    <s v=", Canada"/>
    <s v="5109 Hurontario St, Mississauga, ON L4Z 3X7"/>
    <s v=" ON L4Z 3X7"/>
    <s v="3X7"/>
    <s v=" ON L4Z"/>
    <s v="ON"/>
    <x v="3"/>
    <n v="-39.412489999999998"/>
    <n v="33.726709999999997"/>
    <x v="18"/>
    <x v="18"/>
    <x v="0"/>
    <x v="0"/>
  </r>
  <r>
    <x v="0"/>
    <x v="0"/>
    <x v="0"/>
    <x v="100"/>
    <s v=""/>
    <x v="3"/>
    <b v="0"/>
    <b v="0"/>
    <b v="0"/>
    <s v=""/>
    <s v=""/>
    <s v=","/>
    <s v=""/>
    <s v=""/>
    <s v=""/>
    <s v=""/>
    <s v=""/>
    <x v="3"/>
    <s v=""/>
    <s v=""/>
    <x v="18"/>
    <x v="18"/>
    <x v="13"/>
    <x v="84"/>
  </r>
  <r>
    <x v="0"/>
    <x v="0"/>
    <x v="0"/>
    <x v="101"/>
    <s v=""/>
    <x v="3"/>
    <b v="0"/>
    <b v="0"/>
    <b v="0"/>
    <s v=""/>
    <s v=""/>
    <s v=","/>
    <s v=""/>
    <s v=""/>
    <s v=""/>
    <s v=""/>
    <s v=""/>
    <x v="3"/>
    <s v=""/>
    <s v=""/>
    <x v="18"/>
    <x v="18"/>
    <x v="24"/>
    <x v="85"/>
  </r>
  <r>
    <x v="0"/>
    <x v="0"/>
    <x v="0"/>
    <x v="102"/>
    <s v=""/>
    <x v="3"/>
    <b v="0"/>
    <b v="0"/>
    <b v="0"/>
    <s v=""/>
    <s v=""/>
    <s v=","/>
    <s v=""/>
    <s v=""/>
    <s v=""/>
    <s v=""/>
    <s v=""/>
    <x v="3"/>
    <s v=""/>
    <s v=""/>
    <x v="18"/>
    <x v="18"/>
    <x v="13"/>
    <x v="86"/>
  </r>
  <r>
    <x v="0"/>
    <x v="0"/>
    <x v="0"/>
    <x v="103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1169"/>
    <n v="33.72625"/>
    <x v="19"/>
    <x v="19"/>
    <x v="0"/>
    <x v="0"/>
  </r>
  <r>
    <x v="0"/>
    <x v="0"/>
    <x v="0"/>
    <x v="104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11619999999999"/>
    <n v="33.726199999999999"/>
    <x v="20"/>
    <x v="20"/>
    <x v="0"/>
    <x v="0"/>
  </r>
  <r>
    <x v="0"/>
    <x v="0"/>
    <x v="0"/>
    <x v="105"/>
    <s v=""/>
    <x v="4"/>
    <b v="0"/>
    <b v="0"/>
    <b v="0"/>
    <s v=""/>
    <s v=""/>
    <s v=","/>
    <s v=""/>
    <s v=""/>
    <s v=""/>
    <s v=""/>
    <s v=""/>
    <x v="4"/>
    <s v=""/>
    <s v=""/>
    <x v="20"/>
    <x v="20"/>
    <x v="59"/>
    <x v="10"/>
  </r>
  <r>
    <x v="0"/>
    <x v="0"/>
    <x v="0"/>
    <x v="105"/>
    <s v=""/>
    <x v="4"/>
    <b v="0"/>
    <b v="0"/>
    <b v="0"/>
    <s v=""/>
    <s v=""/>
    <s v=","/>
    <s v=""/>
    <s v=""/>
    <s v=""/>
    <s v=""/>
    <s v=""/>
    <x v="4"/>
    <s v=""/>
    <s v=""/>
    <x v="20"/>
    <x v="20"/>
    <x v="0"/>
    <x v="0"/>
  </r>
  <r>
    <x v="0"/>
    <x v="0"/>
    <x v="0"/>
    <x v="105"/>
    <s v=""/>
    <x v="4"/>
    <b v="0"/>
    <b v="0"/>
    <b v="0"/>
    <s v=""/>
    <s v=""/>
    <s v=","/>
    <s v=""/>
    <s v=""/>
    <s v=""/>
    <s v=""/>
    <s v=""/>
    <x v="4"/>
    <s v=""/>
    <s v=""/>
    <x v="20"/>
    <x v="20"/>
    <x v="0"/>
    <x v="0"/>
  </r>
  <r>
    <x v="0"/>
    <x v="0"/>
    <x v="0"/>
    <x v="106"/>
    <s v=""/>
    <x v="4"/>
    <b v="0"/>
    <b v="0"/>
    <b v="0"/>
    <s v=""/>
    <s v=""/>
    <s v=","/>
    <s v=""/>
    <s v=""/>
    <s v=""/>
    <s v=""/>
    <s v=""/>
    <x v="4"/>
    <s v=""/>
    <s v=""/>
    <x v="20"/>
    <x v="20"/>
    <x v="0"/>
    <x v="0"/>
  </r>
  <r>
    <x v="0"/>
    <x v="0"/>
    <x v="0"/>
    <x v="106"/>
    <s v=""/>
    <x v="4"/>
    <b v="0"/>
    <b v="0"/>
    <b v="0"/>
    <s v=""/>
    <s v=""/>
    <s v=","/>
    <s v=""/>
    <s v=""/>
    <s v=""/>
    <s v=""/>
    <s v=""/>
    <x v="4"/>
    <s v=""/>
    <s v=""/>
    <x v="20"/>
    <x v="20"/>
    <x v="0"/>
    <x v="0"/>
  </r>
  <r>
    <x v="0"/>
    <x v="0"/>
    <x v="0"/>
    <x v="106"/>
    <s v=""/>
    <x v="4"/>
    <b v="0"/>
    <b v="0"/>
    <b v="0"/>
    <s v=""/>
    <s v=""/>
    <s v=","/>
    <s v=""/>
    <s v=""/>
    <s v=""/>
    <s v=""/>
    <s v=""/>
    <x v="4"/>
    <s v=""/>
    <s v=""/>
    <x v="20"/>
    <x v="20"/>
    <x v="0"/>
    <x v="0"/>
  </r>
  <r>
    <x v="0"/>
    <x v="0"/>
    <x v="0"/>
    <x v="107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11540000000002"/>
    <n v="33.726140000000001"/>
    <x v="21"/>
    <x v="21"/>
    <x v="0"/>
    <x v="0"/>
  </r>
  <r>
    <x v="0"/>
    <x v="0"/>
    <x v="0"/>
    <x v="107"/>
    <s v=""/>
    <x v="4"/>
    <b v="0"/>
    <b v="0"/>
    <b v="0"/>
    <s v=""/>
    <s v=""/>
    <s v=","/>
    <s v=""/>
    <s v=""/>
    <s v=""/>
    <s v=""/>
    <s v=""/>
    <x v="4"/>
    <s v=""/>
    <s v=""/>
    <x v="21"/>
    <x v="21"/>
    <x v="13"/>
    <x v="15"/>
  </r>
  <r>
    <x v="0"/>
    <x v="0"/>
    <x v="0"/>
    <x v="107"/>
    <s v=""/>
    <x v="4"/>
    <b v="0"/>
    <b v="0"/>
    <b v="0"/>
    <s v=""/>
    <s v=""/>
    <s v=","/>
    <s v=""/>
    <s v=""/>
    <s v=""/>
    <s v=""/>
    <s v=""/>
    <x v="4"/>
    <s v=""/>
    <s v=""/>
    <x v="21"/>
    <x v="21"/>
    <x v="56"/>
    <x v="87"/>
  </r>
  <r>
    <x v="0"/>
    <x v="0"/>
    <x v="0"/>
    <x v="108"/>
    <s v=""/>
    <x v="4"/>
    <b v="0"/>
    <b v="0"/>
    <b v="0"/>
    <s v=""/>
    <s v=""/>
    <s v=","/>
    <s v=""/>
    <s v=""/>
    <s v=""/>
    <s v=""/>
    <s v=""/>
    <x v="4"/>
    <s v=""/>
    <s v=""/>
    <x v="21"/>
    <x v="21"/>
    <x v="13"/>
    <x v="15"/>
  </r>
  <r>
    <x v="0"/>
    <x v="0"/>
    <x v="0"/>
    <x v="108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11540000000002"/>
    <n v="33.726140000000001"/>
    <x v="21"/>
    <x v="21"/>
    <x v="0"/>
    <x v="0"/>
  </r>
  <r>
    <x v="0"/>
    <x v="0"/>
    <x v="0"/>
    <x v="108"/>
    <s v=""/>
    <x v="4"/>
    <b v="0"/>
    <b v="0"/>
    <b v="0"/>
    <s v=""/>
    <s v=""/>
    <s v=","/>
    <s v=""/>
    <s v=""/>
    <s v=""/>
    <s v=""/>
    <s v=""/>
    <x v="4"/>
    <s v=""/>
    <s v=""/>
    <x v="21"/>
    <x v="21"/>
    <x v="21"/>
    <x v="20"/>
  </r>
  <r>
    <x v="0"/>
    <x v="0"/>
    <x v="0"/>
    <x v="108"/>
    <s v=""/>
    <x v="4"/>
    <b v="0"/>
    <b v="0"/>
    <b v="0"/>
    <s v=""/>
    <s v=""/>
    <s v=","/>
    <s v=""/>
    <s v=""/>
    <s v=""/>
    <s v=""/>
    <s v=""/>
    <x v="4"/>
    <s v=""/>
    <s v=""/>
    <x v="21"/>
    <x v="21"/>
    <x v="18"/>
    <x v="88"/>
  </r>
  <r>
    <x v="0"/>
    <x v="0"/>
    <x v="0"/>
    <x v="108"/>
    <s v=""/>
    <x v="4"/>
    <b v="0"/>
    <b v="0"/>
    <b v="0"/>
    <s v=""/>
    <s v=""/>
    <s v=","/>
    <s v=""/>
    <s v=""/>
    <s v=""/>
    <s v=""/>
    <s v=""/>
    <x v="4"/>
    <s v=""/>
    <s v=""/>
    <x v="21"/>
    <x v="21"/>
    <x v="56"/>
    <x v="87"/>
  </r>
  <r>
    <x v="0"/>
    <x v="0"/>
    <x v="0"/>
    <x v="108"/>
    <s v=""/>
    <x v="4"/>
    <b v="0"/>
    <b v="0"/>
    <b v="0"/>
    <s v=""/>
    <s v=""/>
    <s v=","/>
    <s v=""/>
    <s v=""/>
    <s v=""/>
    <s v=""/>
    <s v=""/>
    <x v="4"/>
    <s v=""/>
    <s v=""/>
    <x v="21"/>
    <x v="21"/>
    <x v="15"/>
    <x v="89"/>
  </r>
  <r>
    <x v="0"/>
    <x v="0"/>
    <x v="0"/>
    <x v="109"/>
    <s v=""/>
    <x v="4"/>
    <b v="0"/>
    <b v="0"/>
    <b v="0"/>
    <s v=""/>
    <s v=""/>
    <s v=","/>
    <s v=""/>
    <s v=""/>
    <s v=""/>
    <s v=""/>
    <s v=""/>
    <x v="4"/>
    <s v=""/>
    <s v=""/>
    <x v="21"/>
    <x v="21"/>
    <x v="21"/>
    <x v="20"/>
  </r>
  <r>
    <x v="0"/>
    <x v="0"/>
    <x v="0"/>
    <x v="110"/>
    <s v=""/>
    <x v="4"/>
    <b v="0"/>
    <b v="0"/>
    <b v="0"/>
    <s v=""/>
    <s v=""/>
    <s v=","/>
    <s v=""/>
    <s v=""/>
    <s v=""/>
    <s v=""/>
    <s v=""/>
    <x v="4"/>
    <s v=""/>
    <s v=""/>
    <x v="21"/>
    <x v="21"/>
    <x v="64"/>
    <x v="90"/>
  </r>
  <r>
    <x v="0"/>
    <x v="0"/>
    <x v="0"/>
    <x v="110"/>
    <s v=""/>
    <x v="4"/>
    <b v="0"/>
    <b v="0"/>
    <b v="0"/>
    <s v=""/>
    <s v=""/>
    <s v=","/>
    <s v=""/>
    <s v=""/>
    <s v=""/>
    <s v=""/>
    <s v=""/>
    <x v="4"/>
    <s v=""/>
    <s v=""/>
    <x v="21"/>
    <x v="21"/>
    <x v="65"/>
    <x v="90"/>
  </r>
  <r>
    <x v="0"/>
    <x v="0"/>
    <x v="0"/>
    <x v="110"/>
    <s v=""/>
    <x v="4"/>
    <b v="0"/>
    <b v="0"/>
    <b v="0"/>
    <s v=""/>
    <s v=""/>
    <s v=","/>
    <s v=""/>
    <s v=""/>
    <s v=""/>
    <s v=""/>
    <s v=""/>
    <x v="4"/>
    <s v=""/>
    <s v=""/>
    <x v="21"/>
    <x v="21"/>
    <x v="66"/>
    <x v="91"/>
  </r>
  <r>
    <x v="0"/>
    <x v="0"/>
    <x v="0"/>
    <x v="110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11540000000002"/>
    <n v="33.726140000000001"/>
    <x v="21"/>
    <x v="21"/>
    <x v="0"/>
    <x v="0"/>
  </r>
  <r>
    <x v="0"/>
    <x v="0"/>
    <x v="0"/>
    <x v="110"/>
    <s v=""/>
    <x v="4"/>
    <b v="0"/>
    <b v="0"/>
    <b v="0"/>
    <s v=""/>
    <s v=""/>
    <s v=","/>
    <s v=""/>
    <s v=""/>
    <s v=""/>
    <s v=""/>
    <s v=""/>
    <x v="4"/>
    <s v=""/>
    <s v=""/>
    <x v="21"/>
    <x v="21"/>
    <x v="21"/>
    <x v="42"/>
  </r>
  <r>
    <x v="0"/>
    <x v="0"/>
    <x v="0"/>
    <x v="110"/>
    <s v=""/>
    <x v="4"/>
    <b v="0"/>
    <b v="0"/>
    <b v="0"/>
    <s v=""/>
    <s v=""/>
    <s v=","/>
    <s v=""/>
    <s v=""/>
    <s v=""/>
    <s v=""/>
    <s v=""/>
    <x v="4"/>
    <s v=""/>
    <s v=""/>
    <x v="21"/>
    <x v="21"/>
    <x v="13"/>
    <x v="92"/>
  </r>
  <r>
    <x v="0"/>
    <x v="0"/>
    <x v="0"/>
    <x v="110"/>
    <s v=""/>
    <x v="4"/>
    <b v="0"/>
    <b v="0"/>
    <b v="0"/>
    <s v=""/>
    <s v=""/>
    <s v=","/>
    <s v=""/>
    <s v=""/>
    <s v=""/>
    <s v=""/>
    <s v=""/>
    <x v="4"/>
    <s v=""/>
    <s v=""/>
    <x v="21"/>
    <x v="21"/>
    <x v="49"/>
    <x v="93"/>
  </r>
  <r>
    <x v="0"/>
    <x v="0"/>
    <x v="0"/>
    <x v="110"/>
    <s v=""/>
    <x v="4"/>
    <b v="0"/>
    <b v="0"/>
    <b v="0"/>
    <s v=""/>
    <s v=""/>
    <s v=","/>
    <s v=""/>
    <s v=""/>
    <s v=""/>
    <s v=""/>
    <s v=""/>
    <x v="4"/>
    <s v=""/>
    <s v=""/>
    <x v="21"/>
    <x v="21"/>
    <x v="50"/>
    <x v="40"/>
  </r>
  <r>
    <x v="0"/>
    <x v="0"/>
    <x v="0"/>
    <x v="111"/>
    <s v=""/>
    <x v="4"/>
    <b v="0"/>
    <b v="0"/>
    <b v="0"/>
    <s v=""/>
    <s v=""/>
    <s v=","/>
    <s v=""/>
    <s v=""/>
    <s v=""/>
    <s v=""/>
    <s v=""/>
    <x v="4"/>
    <s v=""/>
    <s v=""/>
    <x v="21"/>
    <x v="21"/>
    <x v="13"/>
    <x v="55"/>
  </r>
  <r>
    <x v="0"/>
    <x v="0"/>
    <x v="0"/>
    <x v="111"/>
    <s v=""/>
    <x v="4"/>
    <b v="0"/>
    <b v="0"/>
    <b v="0"/>
    <s v=""/>
    <s v=""/>
    <s v=","/>
    <s v=""/>
    <s v=""/>
    <s v=""/>
    <s v=""/>
    <s v=""/>
    <x v="4"/>
    <s v=""/>
    <s v=""/>
    <x v="21"/>
    <x v="21"/>
    <x v="64"/>
    <x v="94"/>
  </r>
  <r>
    <x v="0"/>
    <x v="0"/>
    <x v="0"/>
    <x v="111"/>
    <s v=""/>
    <x v="4"/>
    <b v="0"/>
    <b v="0"/>
    <b v="0"/>
    <s v=""/>
    <s v=""/>
    <s v=","/>
    <s v=""/>
    <s v=""/>
    <s v=""/>
    <s v=""/>
    <s v=""/>
    <x v="4"/>
    <s v=""/>
    <s v=""/>
    <x v="21"/>
    <x v="21"/>
    <x v="66"/>
    <x v="95"/>
  </r>
  <r>
    <x v="0"/>
    <x v="0"/>
    <x v="0"/>
    <x v="111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11540000000002"/>
    <n v="33.726140000000001"/>
    <x v="21"/>
    <x v="21"/>
    <x v="0"/>
    <x v="0"/>
  </r>
  <r>
    <x v="0"/>
    <x v="0"/>
    <x v="0"/>
    <x v="111"/>
    <s v=""/>
    <x v="4"/>
    <b v="0"/>
    <b v="0"/>
    <b v="0"/>
    <s v=""/>
    <s v=""/>
    <s v=","/>
    <s v=""/>
    <s v=""/>
    <s v=""/>
    <s v=""/>
    <s v=""/>
    <x v="4"/>
    <s v=""/>
    <s v=""/>
    <x v="21"/>
    <x v="21"/>
    <x v="56"/>
    <x v="87"/>
  </r>
  <r>
    <x v="0"/>
    <x v="0"/>
    <x v="0"/>
    <x v="112"/>
    <s v=""/>
    <x v="4"/>
    <b v="0"/>
    <b v="0"/>
    <b v="0"/>
    <s v=""/>
    <s v=""/>
    <s v=","/>
    <s v=""/>
    <s v=""/>
    <s v=""/>
    <s v=""/>
    <s v=""/>
    <x v="4"/>
    <s v=""/>
    <s v=""/>
    <x v="21"/>
    <x v="21"/>
    <x v="13"/>
    <x v="96"/>
  </r>
  <r>
    <x v="0"/>
    <x v="0"/>
    <x v="0"/>
    <x v="112"/>
    <s v=""/>
    <x v="4"/>
    <b v="0"/>
    <b v="0"/>
    <b v="0"/>
    <s v=""/>
    <s v=""/>
    <s v=","/>
    <s v=""/>
    <s v=""/>
    <s v=""/>
    <s v=""/>
    <s v=""/>
    <x v="4"/>
    <s v=""/>
    <s v=""/>
    <x v="21"/>
    <x v="21"/>
    <x v="64"/>
    <x v="90"/>
  </r>
  <r>
    <x v="0"/>
    <x v="0"/>
    <x v="0"/>
    <x v="112"/>
    <s v=""/>
    <x v="4"/>
    <b v="0"/>
    <b v="0"/>
    <b v="0"/>
    <s v=""/>
    <s v=""/>
    <s v=","/>
    <s v=""/>
    <s v=""/>
    <s v=""/>
    <s v=""/>
    <s v=""/>
    <x v="4"/>
    <s v=""/>
    <s v=""/>
    <x v="21"/>
    <x v="21"/>
    <x v="66"/>
    <x v="95"/>
  </r>
  <r>
    <x v="0"/>
    <x v="0"/>
    <x v="0"/>
    <x v="112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11520000000003"/>
    <n v="33.726120000000002"/>
    <x v="22"/>
    <x v="22"/>
    <x v="0"/>
    <x v="0"/>
  </r>
  <r>
    <x v="0"/>
    <x v="0"/>
    <x v="0"/>
    <x v="112"/>
    <s v=""/>
    <x v="4"/>
    <b v="0"/>
    <b v="0"/>
    <b v="0"/>
    <s v=""/>
    <s v=""/>
    <s v=","/>
    <s v=""/>
    <s v=""/>
    <s v=""/>
    <s v=""/>
    <s v=""/>
    <x v="4"/>
    <s v=""/>
    <s v=""/>
    <x v="22"/>
    <x v="22"/>
    <x v="15"/>
    <x v="97"/>
  </r>
  <r>
    <x v="0"/>
    <x v="0"/>
    <x v="0"/>
    <x v="112"/>
    <s v=""/>
    <x v="4"/>
    <b v="0"/>
    <b v="0"/>
    <b v="0"/>
    <s v=""/>
    <s v=""/>
    <s v=","/>
    <s v=""/>
    <s v=""/>
    <s v=""/>
    <s v=""/>
    <s v=""/>
    <x v="4"/>
    <s v=""/>
    <s v=""/>
    <x v="22"/>
    <x v="22"/>
    <x v="56"/>
    <x v="87"/>
  </r>
  <r>
    <x v="0"/>
    <x v="0"/>
    <x v="0"/>
    <x v="113"/>
    <s v=""/>
    <x v="4"/>
    <b v="0"/>
    <b v="0"/>
    <b v="0"/>
    <s v=""/>
    <s v=""/>
    <s v=","/>
    <s v=""/>
    <s v=""/>
    <s v=""/>
    <s v=""/>
    <s v=""/>
    <x v="4"/>
    <s v=""/>
    <s v=""/>
    <x v="22"/>
    <x v="22"/>
    <x v="65"/>
    <x v="98"/>
  </r>
  <r>
    <x v="0"/>
    <x v="0"/>
    <x v="0"/>
    <x v="113"/>
    <s v=""/>
    <x v="4"/>
    <b v="0"/>
    <b v="0"/>
    <b v="0"/>
    <s v=""/>
    <s v=""/>
    <s v=","/>
    <s v=""/>
    <s v=""/>
    <s v=""/>
    <s v=""/>
    <s v=""/>
    <x v="4"/>
    <s v=""/>
    <s v=""/>
    <x v="22"/>
    <x v="22"/>
    <x v="66"/>
    <x v="99"/>
  </r>
  <r>
    <x v="0"/>
    <x v="0"/>
    <x v="0"/>
    <x v="114"/>
    <s v=""/>
    <x v="4"/>
    <b v="0"/>
    <b v="0"/>
    <b v="0"/>
    <s v=""/>
    <s v=""/>
    <s v=","/>
    <s v=""/>
    <s v=""/>
    <s v=""/>
    <s v=""/>
    <s v=""/>
    <x v="4"/>
    <s v=""/>
    <s v=""/>
    <x v="22"/>
    <x v="22"/>
    <x v="20"/>
    <x v="79"/>
  </r>
  <r>
    <x v="0"/>
    <x v="0"/>
    <x v="0"/>
    <x v="115"/>
    <s v=""/>
    <x v="4"/>
    <b v="0"/>
    <b v="0"/>
    <b v="0"/>
    <s v=""/>
    <s v=""/>
    <s v=","/>
    <s v=""/>
    <s v=""/>
    <s v=""/>
    <s v=""/>
    <s v=""/>
    <x v="4"/>
    <s v=""/>
    <s v=""/>
    <x v="22"/>
    <x v="22"/>
    <x v="64"/>
    <x v="90"/>
  </r>
  <r>
    <x v="0"/>
    <x v="0"/>
    <x v="0"/>
    <x v="115"/>
    <s v=""/>
    <x v="4"/>
    <b v="0"/>
    <b v="0"/>
    <b v="0"/>
    <s v=""/>
    <s v=""/>
    <s v=","/>
    <s v=""/>
    <s v=""/>
    <s v=""/>
    <s v=""/>
    <s v=""/>
    <x v="4"/>
    <s v=""/>
    <s v=""/>
    <x v="22"/>
    <x v="22"/>
    <x v="65"/>
    <x v="90"/>
  </r>
  <r>
    <x v="0"/>
    <x v="0"/>
    <x v="0"/>
    <x v="115"/>
    <s v=""/>
    <x v="4"/>
    <b v="0"/>
    <b v="0"/>
    <b v="0"/>
    <s v=""/>
    <s v=""/>
    <s v=","/>
    <s v=""/>
    <s v=""/>
    <s v=""/>
    <s v=""/>
    <s v=""/>
    <x v="4"/>
    <s v=""/>
    <s v=""/>
    <x v="22"/>
    <x v="22"/>
    <x v="66"/>
    <x v="100"/>
  </r>
  <r>
    <x v="0"/>
    <x v="0"/>
    <x v="0"/>
    <x v="116"/>
    <s v=""/>
    <x v="4"/>
    <b v="0"/>
    <b v="0"/>
    <b v="0"/>
    <s v=""/>
    <s v=""/>
    <s v=","/>
    <s v=""/>
    <s v=""/>
    <s v=""/>
    <s v=""/>
    <s v=""/>
    <x v="4"/>
    <s v=""/>
    <s v=""/>
    <x v="22"/>
    <x v="22"/>
    <x v="0"/>
    <x v="0"/>
  </r>
  <r>
    <x v="0"/>
    <x v="0"/>
    <x v="0"/>
    <x v="117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11200000000001"/>
    <n v="33.726300000000002"/>
    <x v="23"/>
    <x v="23"/>
    <x v="0"/>
    <x v="0"/>
  </r>
  <r>
    <x v="0"/>
    <x v="0"/>
    <x v="0"/>
    <x v="117"/>
    <s v=""/>
    <x v="4"/>
    <b v="0"/>
    <b v="0"/>
    <b v="0"/>
    <s v=""/>
    <s v=""/>
    <s v=","/>
    <s v=""/>
    <s v=""/>
    <s v=""/>
    <s v=""/>
    <s v=""/>
    <x v="4"/>
    <s v=""/>
    <s v=""/>
    <x v="23"/>
    <x v="23"/>
    <x v="59"/>
    <x v="10"/>
  </r>
  <r>
    <x v="0"/>
    <x v="0"/>
    <x v="0"/>
    <x v="117"/>
    <s v=""/>
    <x v="4"/>
    <b v="0"/>
    <b v="0"/>
    <b v="0"/>
    <s v=""/>
    <s v=""/>
    <s v=","/>
    <s v=""/>
    <s v=""/>
    <s v=""/>
    <s v=""/>
    <s v=""/>
    <x v="4"/>
    <s v=""/>
    <s v=""/>
    <x v="23"/>
    <x v="23"/>
    <x v="0"/>
    <x v="0"/>
  </r>
  <r>
    <x v="0"/>
    <x v="0"/>
    <x v="0"/>
    <x v="117"/>
    <s v=""/>
    <x v="4"/>
    <b v="0"/>
    <b v="0"/>
    <b v="0"/>
    <s v=""/>
    <s v=""/>
    <s v=","/>
    <s v=""/>
    <s v=""/>
    <s v=""/>
    <s v=""/>
    <s v=""/>
    <x v="4"/>
    <s v=""/>
    <s v=""/>
    <x v="23"/>
    <x v="23"/>
    <x v="0"/>
    <x v="0"/>
  </r>
  <r>
    <x v="0"/>
    <x v="0"/>
    <x v="0"/>
    <x v="118"/>
    <s v=""/>
    <x v="4"/>
    <b v="0"/>
    <b v="0"/>
    <b v="0"/>
    <s v=""/>
    <s v=""/>
    <s v=","/>
    <s v=""/>
    <s v=""/>
    <s v=""/>
    <s v=""/>
    <s v=""/>
    <x v="4"/>
    <s v=""/>
    <s v=""/>
    <x v="23"/>
    <x v="23"/>
    <x v="13"/>
    <x v="101"/>
  </r>
  <r>
    <x v="0"/>
    <x v="0"/>
    <x v="0"/>
    <x v="119"/>
    <s v=""/>
    <x v="4"/>
    <b v="0"/>
    <b v="0"/>
    <b v="0"/>
    <s v=""/>
    <s v=""/>
    <s v=","/>
    <s v=""/>
    <s v=""/>
    <s v=""/>
    <s v=""/>
    <s v=""/>
    <x v="4"/>
    <s v=""/>
    <s v=""/>
    <x v="23"/>
    <x v="23"/>
    <x v="55"/>
    <x v="102"/>
  </r>
  <r>
    <x v="0"/>
    <x v="0"/>
    <x v="0"/>
    <x v="120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10519999999998"/>
    <n v="33.726959999999998"/>
    <x v="24"/>
    <x v="24"/>
    <x v="0"/>
    <x v="0"/>
  </r>
  <r>
    <x v="0"/>
    <x v="0"/>
    <x v="0"/>
    <x v="120"/>
    <s v=""/>
    <x v="4"/>
    <b v="0"/>
    <b v="0"/>
    <b v="0"/>
    <s v=""/>
    <s v=""/>
    <s v=","/>
    <s v=""/>
    <s v=""/>
    <s v=""/>
    <s v=""/>
    <s v=""/>
    <x v="4"/>
    <s v=""/>
    <s v=""/>
    <x v="24"/>
    <x v="24"/>
    <x v="16"/>
    <x v="102"/>
  </r>
  <r>
    <x v="0"/>
    <x v="0"/>
    <x v="0"/>
    <x v="120"/>
    <s v=""/>
    <x v="4"/>
    <b v="0"/>
    <b v="0"/>
    <b v="0"/>
    <s v=""/>
    <s v=""/>
    <s v=","/>
    <s v=""/>
    <s v=""/>
    <s v=""/>
    <s v=""/>
    <s v=""/>
    <x v="4"/>
    <s v=""/>
    <s v=""/>
    <x v="24"/>
    <x v="24"/>
    <x v="11"/>
    <x v="103"/>
  </r>
  <r>
    <x v="0"/>
    <x v="0"/>
    <x v="0"/>
    <x v="120"/>
    <s v=""/>
    <x v="4"/>
    <b v="0"/>
    <b v="0"/>
    <b v="0"/>
    <s v=""/>
    <s v=""/>
    <s v=","/>
    <s v=""/>
    <s v=""/>
    <s v=""/>
    <s v=""/>
    <s v=""/>
    <x v="4"/>
    <s v=""/>
    <s v=""/>
    <x v="24"/>
    <x v="24"/>
    <x v="12"/>
    <x v="103"/>
  </r>
  <r>
    <x v="0"/>
    <x v="0"/>
    <x v="0"/>
    <x v="121"/>
    <s v=""/>
    <x v="4"/>
    <b v="0"/>
    <b v="0"/>
    <b v="0"/>
    <s v=""/>
    <s v=""/>
    <s v=","/>
    <s v=""/>
    <s v=""/>
    <s v=""/>
    <s v=""/>
    <s v=""/>
    <x v="4"/>
    <s v=""/>
    <s v=""/>
    <x v="24"/>
    <x v="24"/>
    <x v="13"/>
    <x v="104"/>
  </r>
  <r>
    <x v="0"/>
    <x v="0"/>
    <x v="0"/>
    <x v="122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09559999999999"/>
    <n v="33.727809999999998"/>
    <x v="25"/>
    <x v="25"/>
    <x v="0"/>
    <x v="0"/>
  </r>
  <r>
    <x v="0"/>
    <x v="0"/>
    <x v="0"/>
    <x v="123"/>
    <s v=""/>
    <x v="4"/>
    <b v="0"/>
    <b v="0"/>
    <b v="0"/>
    <s v=""/>
    <s v=""/>
    <s v=","/>
    <s v=""/>
    <s v=""/>
    <s v=""/>
    <s v=""/>
    <s v=""/>
    <x v="4"/>
    <s v=""/>
    <s v=""/>
    <x v="25"/>
    <x v="25"/>
    <x v="0"/>
    <x v="0"/>
  </r>
  <r>
    <x v="0"/>
    <x v="0"/>
    <x v="0"/>
    <x v="123"/>
    <s v=""/>
    <x v="4"/>
    <b v="0"/>
    <b v="0"/>
    <b v="0"/>
    <s v=""/>
    <s v=""/>
    <s v=","/>
    <s v=""/>
    <s v=""/>
    <s v=""/>
    <s v=""/>
    <s v=""/>
    <x v="4"/>
    <s v=""/>
    <s v=""/>
    <x v="25"/>
    <x v="25"/>
    <x v="0"/>
    <x v="0"/>
  </r>
  <r>
    <x v="0"/>
    <x v="0"/>
    <x v="0"/>
    <x v="124"/>
    <s v=""/>
    <x v="4"/>
    <b v="0"/>
    <b v="0"/>
    <b v="0"/>
    <s v=""/>
    <s v=""/>
    <s v=","/>
    <s v=""/>
    <s v=""/>
    <s v=""/>
    <s v=""/>
    <s v=""/>
    <x v="4"/>
    <s v=""/>
    <s v=""/>
    <x v="25"/>
    <x v="25"/>
    <x v="0"/>
    <x v="0"/>
  </r>
  <r>
    <x v="0"/>
    <x v="0"/>
    <x v="0"/>
    <x v="125"/>
    <s v=""/>
    <x v="4"/>
    <b v="0"/>
    <b v="0"/>
    <b v="0"/>
    <s v=""/>
    <s v=""/>
    <s v=","/>
    <s v=""/>
    <s v=""/>
    <s v=""/>
    <s v=""/>
    <s v=""/>
    <x v="4"/>
    <s v=""/>
    <s v=""/>
    <x v="25"/>
    <x v="25"/>
    <x v="0"/>
    <x v="0"/>
  </r>
  <r>
    <x v="0"/>
    <x v="0"/>
    <x v="0"/>
    <x v="125"/>
    <s v=""/>
    <x v="4"/>
    <b v="0"/>
    <b v="0"/>
    <b v="0"/>
    <s v=""/>
    <s v=""/>
    <s v=","/>
    <s v=""/>
    <s v=""/>
    <s v=""/>
    <s v=""/>
    <s v=""/>
    <x v="4"/>
    <s v=""/>
    <s v=""/>
    <x v="25"/>
    <x v="25"/>
    <x v="0"/>
    <x v="0"/>
  </r>
  <r>
    <x v="0"/>
    <x v="0"/>
    <x v="0"/>
    <x v="125"/>
    <s v=""/>
    <x v="4"/>
    <b v="0"/>
    <b v="0"/>
    <b v="0"/>
    <s v=""/>
    <s v=""/>
    <s v=","/>
    <s v=""/>
    <s v=""/>
    <s v=""/>
    <s v=""/>
    <s v=""/>
    <x v="4"/>
    <s v=""/>
    <s v=""/>
    <x v="25"/>
    <x v="25"/>
    <x v="0"/>
    <x v="0"/>
  </r>
  <r>
    <x v="0"/>
    <x v="0"/>
    <x v="0"/>
    <x v="125"/>
    <s v=""/>
    <x v="4"/>
    <b v="0"/>
    <b v="0"/>
    <b v="0"/>
    <s v=""/>
    <s v=""/>
    <s v=","/>
    <s v=""/>
    <s v=""/>
    <s v=""/>
    <s v=""/>
    <s v=""/>
    <x v="4"/>
    <s v=""/>
    <s v=""/>
    <x v="25"/>
    <x v="25"/>
    <x v="13"/>
    <x v="105"/>
  </r>
  <r>
    <x v="0"/>
    <x v="0"/>
    <x v="0"/>
    <x v="126"/>
    <s v="40840 Barto St, Leesburg, FL 34788, USA"/>
    <x v="4"/>
    <b v="0"/>
    <b v="1"/>
    <b v="1"/>
    <s v="40840 Barto St, Leesburg, FL 34788, USA"/>
    <s v=" USA"/>
    <s v=", USA"/>
    <s v="40840 Barto St, Leesburg, FL 34788"/>
    <s v=" FL 34788"/>
    <s v="34788"/>
    <s v=" FL"/>
    <s v="FL"/>
    <x v="4"/>
    <n v="-39.408900000000003"/>
    <n v="33.728400000000001"/>
    <x v="26"/>
    <x v="26"/>
    <x v="0"/>
    <x v="0"/>
  </r>
  <r>
    <x v="0"/>
    <x v="0"/>
    <x v="0"/>
    <x v="126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0"/>
    <x v="0"/>
  </r>
  <r>
    <x v="0"/>
    <x v="0"/>
    <x v="0"/>
    <x v="127"/>
    <s v=""/>
    <x v="4"/>
    <b v="0"/>
    <b v="0"/>
    <b v="0"/>
    <s v=""/>
    <s v=""/>
    <s v=","/>
    <s v=""/>
    <s v=""/>
    <s v=""/>
    <s v=""/>
    <s v=""/>
    <x v="4"/>
    <s v=""/>
    <s v=""/>
    <x v="26"/>
    <x v="26"/>
    <x v="13"/>
    <x v="106"/>
  </r>
  <r>
    <x v="0"/>
    <x v="0"/>
    <x v="0"/>
    <x v="128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8569999999997"/>
    <n v="33.72871"/>
    <x v="27"/>
    <x v="27"/>
    <x v="0"/>
    <x v="0"/>
  </r>
  <r>
    <x v="0"/>
    <x v="0"/>
    <x v="0"/>
    <x v="129"/>
    <s v=""/>
    <x v="5"/>
    <b v="0"/>
    <b v="0"/>
    <b v="0"/>
    <s v=""/>
    <s v=""/>
    <s v=","/>
    <s v=""/>
    <s v=""/>
    <s v=""/>
    <s v=""/>
    <s v=""/>
    <x v="5"/>
    <s v=""/>
    <s v=""/>
    <x v="27"/>
    <x v="27"/>
    <x v="5"/>
    <x v="107"/>
  </r>
  <r>
    <x v="0"/>
    <x v="0"/>
    <x v="0"/>
    <x v="130"/>
    <s v=""/>
    <x v="5"/>
    <b v="0"/>
    <b v="0"/>
    <b v="0"/>
    <s v=""/>
    <s v=""/>
    <s v=","/>
    <s v=""/>
    <s v=""/>
    <s v=""/>
    <s v=""/>
    <s v=""/>
    <x v="5"/>
    <s v=""/>
    <s v=""/>
    <x v="27"/>
    <x v="27"/>
    <x v="0"/>
    <x v="0"/>
  </r>
  <r>
    <x v="0"/>
    <x v="0"/>
    <x v="0"/>
    <x v="131"/>
    <s v=""/>
    <x v="5"/>
    <b v="0"/>
    <b v="0"/>
    <b v="0"/>
    <s v=""/>
    <s v=""/>
    <s v=","/>
    <s v=""/>
    <s v=""/>
    <s v=""/>
    <s v=""/>
    <s v=""/>
    <x v="5"/>
    <s v=""/>
    <s v=""/>
    <x v="27"/>
    <x v="27"/>
    <x v="60"/>
    <x v="108"/>
  </r>
  <r>
    <x v="0"/>
    <x v="0"/>
    <x v="0"/>
    <x v="132"/>
    <s v=""/>
    <x v="5"/>
    <b v="0"/>
    <b v="0"/>
    <b v="0"/>
    <s v=""/>
    <s v=""/>
    <s v=","/>
    <s v=""/>
    <s v=""/>
    <s v=""/>
    <s v=""/>
    <s v=""/>
    <x v="5"/>
    <s v=""/>
    <s v=""/>
    <x v="27"/>
    <x v="27"/>
    <x v="19"/>
    <x v="109"/>
  </r>
  <r>
    <x v="0"/>
    <x v="0"/>
    <x v="0"/>
    <x v="132"/>
    <s v=""/>
    <x v="5"/>
    <b v="0"/>
    <b v="0"/>
    <b v="0"/>
    <s v=""/>
    <s v=""/>
    <s v=","/>
    <s v=""/>
    <s v=""/>
    <s v=""/>
    <s v=""/>
    <s v=""/>
    <x v="5"/>
    <s v=""/>
    <s v=""/>
    <x v="27"/>
    <x v="27"/>
    <x v="17"/>
    <x v="109"/>
  </r>
  <r>
    <x v="0"/>
    <x v="0"/>
    <x v="0"/>
    <x v="133"/>
    <s v=""/>
    <x v="5"/>
    <b v="0"/>
    <b v="0"/>
    <b v="0"/>
    <s v=""/>
    <s v=""/>
    <s v=","/>
    <s v=""/>
    <s v=""/>
    <s v=""/>
    <s v=""/>
    <s v=""/>
    <x v="5"/>
    <s v=""/>
    <s v=""/>
    <x v="27"/>
    <x v="27"/>
    <x v="59"/>
    <x v="10"/>
  </r>
  <r>
    <x v="0"/>
    <x v="0"/>
    <x v="0"/>
    <x v="133"/>
    <s v=""/>
    <x v="5"/>
    <b v="0"/>
    <b v="0"/>
    <b v="0"/>
    <s v=""/>
    <s v=""/>
    <s v=","/>
    <s v=""/>
    <s v=""/>
    <s v=""/>
    <s v=""/>
    <s v=""/>
    <x v="5"/>
    <s v=""/>
    <s v=""/>
    <x v="27"/>
    <x v="27"/>
    <x v="0"/>
    <x v="0"/>
  </r>
  <r>
    <x v="0"/>
    <x v="0"/>
    <x v="0"/>
    <x v="133"/>
    <s v=""/>
    <x v="5"/>
    <b v="0"/>
    <b v="0"/>
    <b v="0"/>
    <s v=""/>
    <s v=""/>
    <s v=","/>
    <s v=""/>
    <s v=""/>
    <s v=""/>
    <s v=""/>
    <s v=""/>
    <x v="5"/>
    <s v=""/>
    <s v=""/>
    <x v="27"/>
    <x v="27"/>
    <x v="0"/>
    <x v="0"/>
  </r>
  <r>
    <x v="0"/>
    <x v="0"/>
    <x v="0"/>
    <x v="133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7539999999997"/>
    <n v="33.729599999999998"/>
    <x v="28"/>
    <x v="28"/>
    <x v="0"/>
    <x v="0"/>
  </r>
  <r>
    <x v="0"/>
    <x v="0"/>
    <x v="0"/>
    <x v="134"/>
    <s v=""/>
    <x v="5"/>
    <b v="0"/>
    <b v="0"/>
    <b v="0"/>
    <s v=""/>
    <s v=""/>
    <s v=","/>
    <s v=""/>
    <s v=""/>
    <s v=""/>
    <s v=""/>
    <s v=""/>
    <x v="5"/>
    <s v=""/>
    <s v=""/>
    <x v="28"/>
    <x v="28"/>
    <x v="0"/>
    <x v="0"/>
  </r>
  <r>
    <x v="0"/>
    <x v="0"/>
    <x v="0"/>
    <x v="135"/>
    <s v=""/>
    <x v="5"/>
    <b v="0"/>
    <b v="0"/>
    <b v="0"/>
    <s v=""/>
    <s v=""/>
    <s v=","/>
    <s v=""/>
    <s v=""/>
    <s v=""/>
    <s v=""/>
    <s v=""/>
    <x v="5"/>
    <s v=""/>
    <s v=""/>
    <x v="28"/>
    <x v="28"/>
    <x v="13"/>
    <x v="110"/>
  </r>
  <r>
    <x v="0"/>
    <x v="0"/>
    <x v="0"/>
    <x v="131"/>
    <s v=""/>
    <x v="5"/>
    <b v="0"/>
    <b v="0"/>
    <b v="0"/>
    <s v=""/>
    <s v=""/>
    <s v=","/>
    <s v=""/>
    <s v=""/>
    <s v=""/>
    <s v=""/>
    <s v=""/>
    <x v="5"/>
    <s v=""/>
    <s v=""/>
    <x v="28"/>
    <x v="28"/>
    <x v="0"/>
    <x v="0"/>
  </r>
  <r>
    <x v="0"/>
    <x v="0"/>
    <x v="0"/>
    <x v="136"/>
    <s v=""/>
    <x v="5"/>
    <b v="0"/>
    <b v="0"/>
    <b v="0"/>
    <s v=""/>
    <s v=""/>
    <s v=","/>
    <s v=""/>
    <s v=""/>
    <s v=""/>
    <s v=""/>
    <s v=""/>
    <x v="5"/>
    <s v=""/>
    <s v=""/>
    <x v="28"/>
    <x v="28"/>
    <x v="0"/>
    <x v="0"/>
  </r>
  <r>
    <x v="0"/>
    <x v="0"/>
    <x v="0"/>
    <x v="137"/>
    <s v=""/>
    <x v="5"/>
    <b v="0"/>
    <b v="0"/>
    <b v="0"/>
    <s v=""/>
    <s v=""/>
    <s v=","/>
    <s v=""/>
    <s v=""/>
    <s v=""/>
    <s v=""/>
    <s v=""/>
    <x v="5"/>
    <s v=""/>
    <s v=""/>
    <x v="28"/>
    <x v="28"/>
    <x v="0"/>
    <x v="0"/>
  </r>
  <r>
    <x v="0"/>
    <x v="0"/>
    <x v="0"/>
    <x v="137"/>
    <s v=""/>
    <x v="5"/>
    <b v="0"/>
    <b v="0"/>
    <b v="0"/>
    <s v=""/>
    <s v=""/>
    <s v=","/>
    <s v=""/>
    <s v=""/>
    <s v=""/>
    <s v=""/>
    <s v=""/>
    <x v="5"/>
    <s v=""/>
    <s v=""/>
    <x v="28"/>
    <x v="28"/>
    <x v="0"/>
    <x v="0"/>
  </r>
  <r>
    <x v="0"/>
    <x v="0"/>
    <x v="0"/>
    <x v="137"/>
    <s v=""/>
    <x v="5"/>
    <b v="0"/>
    <b v="0"/>
    <b v="0"/>
    <s v=""/>
    <s v=""/>
    <s v=","/>
    <s v=""/>
    <s v=""/>
    <s v=""/>
    <s v=""/>
    <s v=""/>
    <x v="5"/>
    <s v=""/>
    <s v=""/>
    <x v="28"/>
    <x v="28"/>
    <x v="0"/>
    <x v="0"/>
  </r>
  <r>
    <x v="0"/>
    <x v="0"/>
    <x v="0"/>
    <x v="138"/>
    <s v=""/>
    <x v="5"/>
    <b v="0"/>
    <b v="0"/>
    <b v="0"/>
    <s v=""/>
    <s v=""/>
    <s v=","/>
    <s v=""/>
    <s v=""/>
    <s v=""/>
    <s v=""/>
    <s v=""/>
    <x v="5"/>
    <s v=""/>
    <s v=""/>
    <x v="28"/>
    <x v="28"/>
    <x v="13"/>
    <x v="110"/>
  </r>
  <r>
    <x v="0"/>
    <x v="0"/>
    <x v="0"/>
    <x v="139"/>
    <s v=""/>
    <x v="5"/>
    <b v="0"/>
    <b v="0"/>
    <b v="0"/>
    <s v=""/>
    <s v=""/>
    <s v=","/>
    <s v=""/>
    <s v=""/>
    <s v=""/>
    <s v=""/>
    <s v=""/>
    <x v="5"/>
    <s v=""/>
    <s v=""/>
    <x v="28"/>
    <x v="28"/>
    <x v="15"/>
    <x v="111"/>
  </r>
  <r>
    <x v="0"/>
    <x v="0"/>
    <x v="0"/>
    <x v="140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56"/>
    <n v="33.731369999999998"/>
    <x v="29"/>
    <x v="29"/>
    <x v="0"/>
    <x v="0"/>
  </r>
  <r>
    <x v="0"/>
    <x v="0"/>
    <x v="0"/>
    <x v="141"/>
    <s v=""/>
    <x v="5"/>
    <b v="0"/>
    <b v="0"/>
    <b v="0"/>
    <s v=""/>
    <s v=""/>
    <s v=","/>
    <s v=""/>
    <s v=""/>
    <s v=""/>
    <s v=""/>
    <s v=""/>
    <x v="5"/>
    <s v=""/>
    <s v=""/>
    <x v="29"/>
    <x v="29"/>
    <x v="59"/>
    <x v="10"/>
  </r>
  <r>
    <x v="0"/>
    <x v="0"/>
    <x v="0"/>
    <x v="141"/>
    <s v=""/>
    <x v="5"/>
    <b v="0"/>
    <b v="0"/>
    <b v="0"/>
    <s v=""/>
    <s v=""/>
    <s v=","/>
    <s v=""/>
    <s v=""/>
    <s v=""/>
    <s v=""/>
    <s v=""/>
    <x v="5"/>
    <s v=""/>
    <s v=""/>
    <x v="29"/>
    <x v="29"/>
    <x v="0"/>
    <x v="0"/>
  </r>
  <r>
    <x v="0"/>
    <x v="0"/>
    <x v="0"/>
    <x v="141"/>
    <s v=""/>
    <x v="5"/>
    <b v="0"/>
    <b v="0"/>
    <b v="0"/>
    <s v=""/>
    <s v=""/>
    <s v=","/>
    <s v=""/>
    <s v=""/>
    <s v=""/>
    <s v=""/>
    <s v=""/>
    <x v="5"/>
    <s v=""/>
    <s v=""/>
    <x v="29"/>
    <x v="29"/>
    <x v="0"/>
    <x v="0"/>
  </r>
  <r>
    <x v="0"/>
    <x v="0"/>
    <x v="0"/>
    <x v="142"/>
    <s v=""/>
    <x v="5"/>
    <b v="0"/>
    <b v="0"/>
    <b v="0"/>
    <s v=""/>
    <s v=""/>
    <s v=","/>
    <s v=""/>
    <s v=""/>
    <s v=""/>
    <s v=""/>
    <s v=""/>
    <x v="5"/>
    <s v=""/>
    <s v=""/>
    <x v="29"/>
    <x v="29"/>
    <x v="13"/>
    <x v="106"/>
  </r>
  <r>
    <x v="0"/>
    <x v="0"/>
    <x v="0"/>
    <x v="143"/>
    <s v=""/>
    <x v="5"/>
    <b v="0"/>
    <b v="0"/>
    <b v="0"/>
    <s v=""/>
    <s v=""/>
    <s v=","/>
    <s v=""/>
    <s v=""/>
    <s v=""/>
    <s v=""/>
    <s v=""/>
    <x v="5"/>
    <s v=""/>
    <s v=""/>
    <x v="29"/>
    <x v="29"/>
    <x v="13"/>
    <x v="76"/>
  </r>
  <r>
    <x v="0"/>
    <x v="0"/>
    <x v="0"/>
    <x v="144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4319999999998"/>
    <n v="33.732469999999999"/>
    <x v="30"/>
    <x v="30"/>
    <x v="0"/>
    <x v="0"/>
  </r>
  <r>
    <x v="0"/>
    <x v="0"/>
    <x v="0"/>
    <x v="145"/>
    <s v=""/>
    <x v="5"/>
    <b v="0"/>
    <b v="0"/>
    <b v="0"/>
    <s v=""/>
    <s v=""/>
    <s v=","/>
    <s v=""/>
    <s v=""/>
    <s v=""/>
    <s v=""/>
    <s v=""/>
    <x v="5"/>
    <s v=""/>
    <s v=""/>
    <x v="30"/>
    <x v="30"/>
    <x v="59"/>
    <x v="10"/>
  </r>
  <r>
    <x v="0"/>
    <x v="0"/>
    <x v="0"/>
    <x v="145"/>
    <s v=""/>
    <x v="5"/>
    <b v="0"/>
    <b v="0"/>
    <b v="0"/>
    <s v=""/>
    <s v=""/>
    <s v=","/>
    <s v=""/>
    <s v=""/>
    <s v=""/>
    <s v=""/>
    <s v=""/>
    <x v="5"/>
    <s v=""/>
    <s v=""/>
    <x v="30"/>
    <x v="30"/>
    <x v="0"/>
    <x v="0"/>
  </r>
  <r>
    <x v="0"/>
    <x v="0"/>
    <x v="0"/>
    <x v="145"/>
    <s v=""/>
    <x v="5"/>
    <b v="0"/>
    <b v="0"/>
    <b v="0"/>
    <s v=""/>
    <s v=""/>
    <s v=","/>
    <s v=""/>
    <s v=""/>
    <s v=""/>
    <s v=""/>
    <s v=""/>
    <x v="5"/>
    <s v=""/>
    <s v=""/>
    <x v="30"/>
    <x v="30"/>
    <x v="0"/>
    <x v="0"/>
  </r>
  <r>
    <x v="0"/>
    <x v="0"/>
    <x v="0"/>
    <x v="146"/>
    <s v=""/>
    <x v="5"/>
    <b v="0"/>
    <b v="0"/>
    <b v="0"/>
    <s v=""/>
    <s v=""/>
    <s v=","/>
    <s v=""/>
    <s v=""/>
    <s v=""/>
    <s v=""/>
    <s v=""/>
    <x v="5"/>
    <s v=""/>
    <s v=""/>
    <x v="30"/>
    <x v="30"/>
    <x v="20"/>
    <x v="112"/>
  </r>
  <r>
    <x v="0"/>
    <x v="0"/>
    <x v="0"/>
    <x v="146"/>
    <s v=""/>
    <x v="5"/>
    <b v="0"/>
    <b v="0"/>
    <b v="0"/>
    <s v=""/>
    <s v=""/>
    <s v=","/>
    <s v=""/>
    <s v=""/>
    <s v=""/>
    <s v=""/>
    <s v=""/>
    <x v="5"/>
    <s v=""/>
    <s v=""/>
    <x v="30"/>
    <x v="30"/>
    <x v="15"/>
    <x v="113"/>
  </r>
  <r>
    <x v="0"/>
    <x v="0"/>
    <x v="0"/>
    <x v="146"/>
    <s v=""/>
    <x v="5"/>
    <b v="0"/>
    <b v="0"/>
    <b v="0"/>
    <s v=""/>
    <s v=""/>
    <s v=","/>
    <s v=""/>
    <s v=""/>
    <s v=""/>
    <s v=""/>
    <s v=""/>
    <x v="5"/>
    <s v=""/>
    <s v=""/>
    <x v="30"/>
    <x v="30"/>
    <x v="0"/>
    <x v="0"/>
  </r>
  <r>
    <x v="0"/>
    <x v="0"/>
    <x v="0"/>
    <x v="146"/>
    <s v=""/>
    <x v="5"/>
    <b v="0"/>
    <b v="0"/>
    <b v="0"/>
    <s v=""/>
    <s v=""/>
    <s v=","/>
    <s v=""/>
    <s v=""/>
    <s v=""/>
    <s v=""/>
    <s v=""/>
    <x v="5"/>
    <s v=""/>
    <s v=""/>
    <x v="30"/>
    <x v="30"/>
    <x v="0"/>
    <x v="0"/>
  </r>
  <r>
    <x v="0"/>
    <x v="0"/>
    <x v="0"/>
    <x v="146"/>
    <s v=""/>
    <x v="5"/>
    <b v="0"/>
    <b v="0"/>
    <b v="0"/>
    <s v=""/>
    <s v=""/>
    <s v=","/>
    <s v=""/>
    <s v=""/>
    <s v=""/>
    <s v=""/>
    <s v=""/>
    <x v="5"/>
    <s v=""/>
    <s v=""/>
    <x v="30"/>
    <x v="30"/>
    <x v="0"/>
    <x v="0"/>
  </r>
  <r>
    <x v="0"/>
    <x v="0"/>
    <x v="0"/>
    <x v="147"/>
    <s v=""/>
    <x v="5"/>
    <b v="0"/>
    <b v="0"/>
    <b v="0"/>
    <s v=""/>
    <s v=""/>
    <s v=","/>
    <s v=""/>
    <s v=""/>
    <s v=""/>
    <s v=""/>
    <s v=""/>
    <x v="5"/>
    <s v=""/>
    <s v=""/>
    <x v="30"/>
    <x v="30"/>
    <x v="13"/>
    <x v="114"/>
  </r>
  <r>
    <x v="0"/>
    <x v="0"/>
    <x v="0"/>
    <x v="148"/>
    <s v=""/>
    <x v="5"/>
    <b v="0"/>
    <b v="0"/>
    <b v="0"/>
    <s v=""/>
    <s v=""/>
    <s v=","/>
    <s v=""/>
    <s v=""/>
    <s v=""/>
    <s v=""/>
    <s v=""/>
    <x v="5"/>
    <s v=""/>
    <s v=""/>
    <x v="30"/>
    <x v="30"/>
    <x v="11"/>
    <x v="115"/>
  </r>
  <r>
    <x v="0"/>
    <x v="0"/>
    <x v="0"/>
    <x v="148"/>
    <s v=""/>
    <x v="5"/>
    <b v="0"/>
    <b v="0"/>
    <b v="0"/>
    <s v=""/>
    <s v=""/>
    <s v=","/>
    <s v=""/>
    <s v=""/>
    <s v=""/>
    <s v=""/>
    <s v=""/>
    <x v="5"/>
    <s v=""/>
    <s v=""/>
    <x v="30"/>
    <x v="30"/>
    <x v="12"/>
    <x v="115"/>
  </r>
  <r>
    <x v="0"/>
    <x v="0"/>
    <x v="0"/>
    <x v="148"/>
    <s v=""/>
    <x v="5"/>
    <b v="0"/>
    <b v="0"/>
    <b v="0"/>
    <s v=""/>
    <s v=""/>
    <s v=","/>
    <s v=""/>
    <s v=""/>
    <s v=""/>
    <s v=""/>
    <s v=""/>
    <x v="5"/>
    <s v=""/>
    <s v=""/>
    <x v="30"/>
    <x v="30"/>
    <x v="55"/>
    <x v="116"/>
  </r>
  <r>
    <x v="0"/>
    <x v="0"/>
    <x v="0"/>
    <x v="149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2610000000003"/>
    <n v="33.733980000000003"/>
    <x v="31"/>
    <x v="31"/>
    <x v="0"/>
    <x v="0"/>
  </r>
  <r>
    <x v="0"/>
    <x v="0"/>
    <x v="0"/>
    <x v="149"/>
    <s v=""/>
    <x v="5"/>
    <b v="0"/>
    <b v="0"/>
    <b v="0"/>
    <s v=""/>
    <s v=""/>
    <s v=","/>
    <s v=""/>
    <s v=""/>
    <s v=""/>
    <s v=""/>
    <s v=""/>
    <x v="5"/>
    <s v=""/>
    <s v=""/>
    <x v="31"/>
    <x v="31"/>
    <x v="16"/>
    <x v="116"/>
  </r>
  <r>
    <x v="0"/>
    <x v="0"/>
    <x v="0"/>
    <x v="150"/>
    <s v=""/>
    <x v="5"/>
    <b v="0"/>
    <b v="0"/>
    <b v="0"/>
    <s v=""/>
    <s v=""/>
    <s v=","/>
    <s v=""/>
    <s v=""/>
    <s v=""/>
    <s v=""/>
    <s v=""/>
    <x v="5"/>
    <s v=""/>
    <s v=""/>
    <x v="31"/>
    <x v="31"/>
    <x v="53"/>
    <x v="34"/>
  </r>
  <r>
    <x v="0"/>
    <x v="0"/>
    <x v="0"/>
    <x v="150"/>
    <s v=""/>
    <x v="5"/>
    <b v="0"/>
    <b v="0"/>
    <b v="0"/>
    <s v=""/>
    <s v=""/>
    <s v=","/>
    <s v=""/>
    <s v=""/>
    <s v=""/>
    <s v=""/>
    <s v=""/>
    <x v="5"/>
    <s v=""/>
    <s v=""/>
    <x v="31"/>
    <x v="31"/>
    <x v="0"/>
    <x v="0"/>
  </r>
  <r>
    <x v="0"/>
    <x v="0"/>
    <x v="0"/>
    <x v="150"/>
    <s v=""/>
    <x v="5"/>
    <b v="0"/>
    <b v="0"/>
    <b v="0"/>
    <s v=""/>
    <s v=""/>
    <s v=","/>
    <s v=""/>
    <s v=""/>
    <s v=""/>
    <s v=""/>
    <s v=""/>
    <x v="5"/>
    <s v=""/>
    <s v=""/>
    <x v="31"/>
    <x v="31"/>
    <x v="54"/>
    <x v="117"/>
  </r>
  <r>
    <x v="0"/>
    <x v="0"/>
    <x v="0"/>
    <x v="151"/>
    <s v=""/>
    <x v="5"/>
    <b v="0"/>
    <b v="0"/>
    <b v="0"/>
    <s v=""/>
    <s v=""/>
    <s v=","/>
    <s v=""/>
    <s v=""/>
    <s v=""/>
    <s v=""/>
    <s v=""/>
    <x v="5"/>
    <s v=""/>
    <s v=""/>
    <x v="31"/>
    <x v="31"/>
    <x v="13"/>
    <x v="118"/>
  </r>
  <r>
    <x v="0"/>
    <x v="0"/>
    <x v="0"/>
    <x v="152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1020000000003"/>
    <n v="33.735340000000001"/>
    <x v="32"/>
    <x v="32"/>
    <x v="0"/>
    <x v="0"/>
  </r>
  <r>
    <x v="0"/>
    <x v="0"/>
    <x v="0"/>
    <x v="153"/>
    <s v=""/>
    <x v="5"/>
    <b v="0"/>
    <b v="0"/>
    <b v="0"/>
    <s v=""/>
    <s v=""/>
    <s v=","/>
    <s v=""/>
    <s v=""/>
    <s v=""/>
    <s v=""/>
    <s v=""/>
    <x v="5"/>
    <s v=""/>
    <s v=""/>
    <x v="32"/>
    <x v="32"/>
    <x v="0"/>
    <x v="0"/>
  </r>
  <r>
    <x v="0"/>
    <x v="0"/>
    <x v="0"/>
    <x v="154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0530000000003"/>
    <n v="33.735770000000002"/>
    <x v="33"/>
    <x v="33"/>
    <x v="0"/>
    <x v="0"/>
  </r>
  <r>
    <x v="0"/>
    <x v="0"/>
    <x v="0"/>
    <x v="154"/>
    <s v=""/>
    <x v="5"/>
    <b v="0"/>
    <b v="0"/>
    <b v="0"/>
    <s v=""/>
    <s v=""/>
    <s v=","/>
    <s v=""/>
    <s v=""/>
    <s v=""/>
    <s v=""/>
    <s v=""/>
    <x v="5"/>
    <s v=""/>
    <s v=""/>
    <x v="33"/>
    <x v="33"/>
    <x v="13"/>
    <x v="119"/>
  </r>
  <r>
    <x v="0"/>
    <x v="0"/>
    <x v="0"/>
    <x v="155"/>
    <s v=""/>
    <x v="5"/>
    <b v="0"/>
    <b v="0"/>
    <b v="0"/>
    <s v=""/>
    <s v=""/>
    <s v=","/>
    <s v=""/>
    <s v=""/>
    <s v=""/>
    <s v=""/>
    <s v=""/>
    <x v="5"/>
    <s v=""/>
    <s v=""/>
    <x v="33"/>
    <x v="33"/>
    <x v="0"/>
    <x v="0"/>
  </r>
  <r>
    <x v="0"/>
    <x v="0"/>
    <x v="0"/>
    <x v="156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0359999999999"/>
    <n v="33.735900000000001"/>
    <x v="34"/>
    <x v="34"/>
    <x v="0"/>
    <x v="0"/>
  </r>
  <r>
    <x v="0"/>
    <x v="0"/>
    <x v="0"/>
    <x v="156"/>
    <s v=""/>
    <x v="5"/>
    <b v="0"/>
    <b v="0"/>
    <b v="0"/>
    <s v=""/>
    <s v=""/>
    <s v=","/>
    <s v=""/>
    <s v=""/>
    <s v=""/>
    <s v=""/>
    <s v=""/>
    <x v="5"/>
    <s v=""/>
    <s v=""/>
    <x v="34"/>
    <x v="34"/>
    <x v="59"/>
    <x v="10"/>
  </r>
  <r>
    <x v="0"/>
    <x v="0"/>
    <x v="0"/>
    <x v="156"/>
    <s v=""/>
    <x v="5"/>
    <b v="0"/>
    <b v="0"/>
    <b v="0"/>
    <s v=""/>
    <s v=""/>
    <s v=","/>
    <s v=""/>
    <s v=""/>
    <s v=""/>
    <s v=""/>
    <s v=""/>
    <x v="5"/>
    <s v=""/>
    <s v=""/>
    <x v="34"/>
    <x v="34"/>
    <x v="0"/>
    <x v="0"/>
  </r>
  <r>
    <x v="0"/>
    <x v="0"/>
    <x v="0"/>
    <x v="156"/>
    <s v=""/>
    <x v="5"/>
    <b v="0"/>
    <b v="0"/>
    <b v="0"/>
    <s v=""/>
    <s v=""/>
    <s v=","/>
    <s v=""/>
    <s v=""/>
    <s v=""/>
    <s v=""/>
    <s v=""/>
    <x v="5"/>
    <s v=""/>
    <s v=""/>
    <x v="34"/>
    <x v="34"/>
    <x v="0"/>
    <x v="0"/>
  </r>
  <r>
    <x v="0"/>
    <x v="0"/>
    <x v="0"/>
    <x v="157"/>
    <s v=""/>
    <x v="5"/>
    <b v="0"/>
    <b v="0"/>
    <b v="0"/>
    <s v=""/>
    <s v=""/>
    <s v=","/>
    <s v=""/>
    <s v=""/>
    <s v=""/>
    <s v=""/>
    <s v=""/>
    <x v="5"/>
    <s v=""/>
    <s v=""/>
    <x v="34"/>
    <x v="34"/>
    <x v="0"/>
    <x v="0"/>
  </r>
  <r>
    <x v="0"/>
    <x v="0"/>
    <x v="0"/>
    <x v="157"/>
    <s v=""/>
    <x v="5"/>
    <b v="0"/>
    <b v="0"/>
    <b v="0"/>
    <s v=""/>
    <s v=""/>
    <s v=","/>
    <s v=""/>
    <s v=""/>
    <s v=""/>
    <s v=""/>
    <s v=""/>
    <x v="5"/>
    <s v=""/>
    <s v=""/>
    <x v="34"/>
    <x v="34"/>
    <x v="0"/>
    <x v="0"/>
  </r>
  <r>
    <x v="0"/>
    <x v="0"/>
    <x v="0"/>
    <x v="157"/>
    <s v=""/>
    <x v="5"/>
    <b v="0"/>
    <b v="0"/>
    <b v="0"/>
    <s v=""/>
    <s v=""/>
    <s v=","/>
    <s v=""/>
    <s v=""/>
    <s v=""/>
    <s v=""/>
    <s v=""/>
    <x v="5"/>
    <s v=""/>
    <s v=""/>
    <x v="34"/>
    <x v="34"/>
    <x v="0"/>
    <x v="0"/>
  </r>
  <r>
    <x v="0"/>
    <x v="0"/>
    <x v="0"/>
    <x v="158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0329999999997"/>
    <n v="33.73592"/>
    <x v="35"/>
    <x v="35"/>
    <x v="0"/>
    <x v="0"/>
  </r>
  <r>
    <x v="0"/>
    <x v="0"/>
    <x v="0"/>
    <x v="158"/>
    <s v=""/>
    <x v="5"/>
    <b v="0"/>
    <b v="0"/>
    <b v="0"/>
    <s v=""/>
    <s v=""/>
    <s v=","/>
    <s v=""/>
    <s v=""/>
    <s v=""/>
    <s v=""/>
    <s v=""/>
    <x v="5"/>
    <s v=""/>
    <s v=""/>
    <x v="35"/>
    <x v="35"/>
    <x v="13"/>
    <x v="15"/>
  </r>
  <r>
    <x v="0"/>
    <x v="0"/>
    <x v="0"/>
    <x v="158"/>
    <s v=""/>
    <x v="5"/>
    <b v="0"/>
    <b v="0"/>
    <b v="0"/>
    <s v=""/>
    <s v=""/>
    <s v=","/>
    <s v=""/>
    <s v=""/>
    <s v=""/>
    <s v=""/>
    <s v=""/>
    <x v="5"/>
    <s v=""/>
    <s v=""/>
    <x v="35"/>
    <x v="35"/>
    <x v="56"/>
    <x v="120"/>
  </r>
  <r>
    <x v="0"/>
    <x v="0"/>
    <x v="0"/>
    <x v="159"/>
    <s v=""/>
    <x v="5"/>
    <b v="0"/>
    <b v="0"/>
    <b v="0"/>
    <s v=""/>
    <s v=""/>
    <s v=","/>
    <s v=""/>
    <s v=""/>
    <s v=""/>
    <s v=""/>
    <s v=""/>
    <x v="5"/>
    <s v=""/>
    <s v=""/>
    <x v="35"/>
    <x v="35"/>
    <x v="13"/>
    <x v="15"/>
  </r>
  <r>
    <x v="0"/>
    <x v="0"/>
    <x v="0"/>
    <x v="159"/>
    <s v=""/>
    <x v="5"/>
    <b v="0"/>
    <b v="0"/>
    <b v="0"/>
    <s v=""/>
    <s v=""/>
    <s v=","/>
    <s v=""/>
    <s v=""/>
    <s v=""/>
    <s v=""/>
    <s v=""/>
    <x v="5"/>
    <s v=""/>
    <s v=""/>
    <x v="35"/>
    <x v="35"/>
    <x v="21"/>
    <x v="28"/>
  </r>
  <r>
    <x v="0"/>
    <x v="0"/>
    <x v="0"/>
    <x v="159"/>
    <s v=""/>
    <x v="5"/>
    <b v="0"/>
    <b v="0"/>
    <b v="0"/>
    <s v=""/>
    <s v=""/>
    <s v=","/>
    <s v=""/>
    <s v=""/>
    <s v=""/>
    <s v=""/>
    <s v=""/>
    <x v="5"/>
    <s v=""/>
    <s v=""/>
    <x v="35"/>
    <x v="35"/>
    <x v="18"/>
    <x v="121"/>
  </r>
  <r>
    <x v="0"/>
    <x v="0"/>
    <x v="0"/>
    <x v="159"/>
    <s v=""/>
    <x v="5"/>
    <b v="0"/>
    <b v="0"/>
    <b v="0"/>
    <s v=""/>
    <s v=""/>
    <s v=","/>
    <s v=""/>
    <s v=""/>
    <s v=""/>
    <s v=""/>
    <s v=""/>
    <x v="5"/>
    <s v=""/>
    <s v=""/>
    <x v="35"/>
    <x v="35"/>
    <x v="56"/>
    <x v="120"/>
  </r>
  <r>
    <x v="0"/>
    <x v="0"/>
    <x v="0"/>
    <x v="160"/>
    <s v=""/>
    <x v="5"/>
    <b v="0"/>
    <b v="0"/>
    <b v="0"/>
    <s v=""/>
    <s v=""/>
    <s v=","/>
    <s v=""/>
    <s v=""/>
    <s v=""/>
    <s v=""/>
    <s v=""/>
    <x v="5"/>
    <s v=""/>
    <s v=""/>
    <x v="35"/>
    <x v="35"/>
    <x v="21"/>
    <x v="42"/>
  </r>
  <r>
    <x v="0"/>
    <x v="0"/>
    <x v="0"/>
    <x v="160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0329999999997"/>
    <n v="33.73592"/>
    <x v="35"/>
    <x v="35"/>
    <x v="0"/>
    <x v="0"/>
  </r>
  <r>
    <x v="0"/>
    <x v="0"/>
    <x v="0"/>
    <x v="161"/>
    <s v=""/>
    <x v="5"/>
    <b v="0"/>
    <b v="0"/>
    <b v="0"/>
    <s v=""/>
    <s v=""/>
    <s v=","/>
    <s v=""/>
    <s v=""/>
    <s v=""/>
    <s v=""/>
    <s v=""/>
    <x v="5"/>
    <s v=""/>
    <s v=""/>
    <x v="35"/>
    <x v="35"/>
    <x v="21"/>
    <x v="42"/>
  </r>
  <r>
    <x v="0"/>
    <x v="0"/>
    <x v="0"/>
    <x v="162"/>
    <s v=""/>
    <x v="5"/>
    <b v="0"/>
    <b v="0"/>
    <b v="0"/>
    <s v=""/>
    <s v=""/>
    <s v=","/>
    <s v=""/>
    <s v=""/>
    <s v=""/>
    <s v=""/>
    <s v=""/>
    <x v="5"/>
    <s v=""/>
    <s v=""/>
    <x v="35"/>
    <x v="35"/>
    <x v="18"/>
    <x v="122"/>
  </r>
  <r>
    <x v="0"/>
    <x v="0"/>
    <x v="0"/>
    <x v="163"/>
    <s v=""/>
    <x v="5"/>
    <b v="0"/>
    <b v="0"/>
    <b v="0"/>
    <s v=""/>
    <s v=""/>
    <s v=","/>
    <s v=""/>
    <s v=""/>
    <s v=""/>
    <s v=""/>
    <s v=""/>
    <x v="5"/>
    <s v=""/>
    <s v=""/>
    <x v="35"/>
    <x v="35"/>
    <x v="24"/>
    <x v="123"/>
  </r>
  <r>
    <x v="0"/>
    <x v="0"/>
    <x v="0"/>
    <x v="164"/>
    <s v=""/>
    <x v="5"/>
    <b v="0"/>
    <b v="0"/>
    <b v="0"/>
    <s v=""/>
    <s v=""/>
    <s v=","/>
    <s v=""/>
    <s v=""/>
    <s v=""/>
    <s v=""/>
    <s v=""/>
    <x v="5"/>
    <s v=""/>
    <s v=""/>
    <x v="35"/>
    <x v="35"/>
    <x v="0"/>
    <x v="0"/>
  </r>
  <r>
    <x v="0"/>
    <x v="0"/>
    <x v="0"/>
    <x v="165"/>
    <s v=""/>
    <x v="5"/>
    <b v="0"/>
    <b v="0"/>
    <b v="0"/>
    <s v=""/>
    <s v=""/>
    <s v=","/>
    <s v=""/>
    <s v=""/>
    <s v=""/>
    <s v=""/>
    <s v=""/>
    <x v="5"/>
    <s v=""/>
    <s v=""/>
    <x v="35"/>
    <x v="35"/>
    <x v="0"/>
    <x v="0"/>
  </r>
  <r>
    <x v="0"/>
    <x v="0"/>
    <x v="0"/>
    <x v="165"/>
    <s v=""/>
    <x v="5"/>
    <b v="0"/>
    <b v="0"/>
    <b v="0"/>
    <s v=""/>
    <s v=""/>
    <s v=","/>
    <s v=""/>
    <s v=""/>
    <s v=""/>
    <s v=""/>
    <s v=""/>
    <x v="5"/>
    <s v=""/>
    <s v=""/>
    <x v="35"/>
    <x v="35"/>
    <x v="0"/>
    <x v="0"/>
  </r>
  <r>
    <x v="0"/>
    <x v="0"/>
    <x v="0"/>
    <x v="165"/>
    <s v=""/>
    <x v="5"/>
    <b v="0"/>
    <b v="0"/>
    <b v="0"/>
    <s v=""/>
    <s v=""/>
    <s v=","/>
    <s v=""/>
    <s v=""/>
    <s v=""/>
    <s v=""/>
    <s v=""/>
    <x v="5"/>
    <s v=""/>
    <s v=""/>
    <x v="35"/>
    <x v="35"/>
    <x v="0"/>
    <x v="0"/>
  </r>
  <r>
    <x v="0"/>
    <x v="0"/>
    <x v="0"/>
    <x v="166"/>
    <s v=""/>
    <x v="5"/>
    <b v="0"/>
    <b v="0"/>
    <b v="0"/>
    <s v=""/>
    <s v=""/>
    <s v=","/>
    <s v=""/>
    <s v=""/>
    <s v=""/>
    <s v=""/>
    <s v=""/>
    <x v="5"/>
    <s v=""/>
    <s v=""/>
    <x v="35"/>
    <x v="35"/>
    <x v="21"/>
    <x v="42"/>
  </r>
  <r>
    <x v="0"/>
    <x v="0"/>
    <x v="0"/>
    <x v="166"/>
    <s v=""/>
    <x v="5"/>
    <b v="0"/>
    <b v="0"/>
    <b v="0"/>
    <s v=""/>
    <s v=""/>
    <s v=","/>
    <s v=""/>
    <s v=""/>
    <s v=""/>
    <s v=""/>
    <s v=""/>
    <x v="5"/>
    <s v=""/>
    <s v=""/>
    <x v="35"/>
    <x v="35"/>
    <x v="20"/>
    <x v="112"/>
  </r>
  <r>
    <x v="0"/>
    <x v="0"/>
    <x v="0"/>
    <x v="166"/>
    <s v=""/>
    <x v="5"/>
    <b v="0"/>
    <b v="0"/>
    <b v="0"/>
    <s v=""/>
    <s v=""/>
    <s v=","/>
    <s v=""/>
    <s v=""/>
    <s v=""/>
    <s v=""/>
    <s v=""/>
    <x v="5"/>
    <s v=""/>
    <s v=""/>
    <x v="35"/>
    <x v="35"/>
    <x v="15"/>
    <x v="124"/>
  </r>
  <r>
    <x v="0"/>
    <x v="0"/>
    <x v="0"/>
    <x v="166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0329999999997"/>
    <n v="33.73592"/>
    <x v="35"/>
    <x v="35"/>
    <x v="0"/>
    <x v="0"/>
  </r>
  <r>
    <x v="0"/>
    <x v="0"/>
    <x v="0"/>
    <x v="166"/>
    <s v=""/>
    <x v="5"/>
    <b v="0"/>
    <b v="0"/>
    <b v="0"/>
    <s v=""/>
    <s v=""/>
    <s v=","/>
    <s v=""/>
    <s v=""/>
    <s v=""/>
    <s v=""/>
    <s v=""/>
    <x v="5"/>
    <s v=""/>
    <s v=""/>
    <x v="35"/>
    <x v="35"/>
    <x v="0"/>
    <x v="0"/>
  </r>
  <r>
    <x v="0"/>
    <x v="0"/>
    <x v="0"/>
    <x v="166"/>
    <s v=""/>
    <x v="5"/>
    <b v="0"/>
    <b v="0"/>
    <b v="0"/>
    <s v=""/>
    <s v=""/>
    <s v=","/>
    <s v=""/>
    <s v=""/>
    <s v=""/>
    <s v=""/>
    <s v=""/>
    <x v="5"/>
    <s v=""/>
    <s v=""/>
    <x v="35"/>
    <x v="35"/>
    <x v="0"/>
    <x v="0"/>
  </r>
  <r>
    <x v="0"/>
    <x v="0"/>
    <x v="0"/>
    <x v="166"/>
    <s v=""/>
    <x v="5"/>
    <b v="0"/>
    <b v="0"/>
    <b v="0"/>
    <s v=""/>
    <s v=""/>
    <s v=","/>
    <s v=""/>
    <s v=""/>
    <s v=""/>
    <s v=""/>
    <s v=""/>
    <x v="5"/>
    <s v=""/>
    <s v=""/>
    <x v="35"/>
    <x v="35"/>
    <x v="59"/>
    <x v="10"/>
  </r>
  <r>
    <x v="0"/>
    <x v="0"/>
    <x v="0"/>
    <x v="166"/>
    <s v=""/>
    <x v="5"/>
    <b v="0"/>
    <b v="0"/>
    <b v="0"/>
    <s v=""/>
    <s v=""/>
    <s v=","/>
    <s v=""/>
    <s v=""/>
    <s v=""/>
    <s v=""/>
    <s v=""/>
    <x v="5"/>
    <s v=""/>
    <s v=""/>
    <x v="35"/>
    <x v="35"/>
    <x v="18"/>
    <x v="125"/>
  </r>
  <r>
    <x v="0"/>
    <x v="0"/>
    <x v="0"/>
    <x v="167"/>
    <s v=""/>
    <x v="5"/>
    <b v="0"/>
    <b v="0"/>
    <b v="0"/>
    <s v=""/>
    <s v=""/>
    <s v=","/>
    <s v=""/>
    <s v=""/>
    <s v=""/>
    <s v=""/>
    <s v=""/>
    <x v="5"/>
    <s v=""/>
    <s v=""/>
    <x v="35"/>
    <x v="35"/>
    <x v="21"/>
    <x v="60"/>
  </r>
  <r>
    <x v="0"/>
    <x v="0"/>
    <x v="0"/>
    <x v="167"/>
    <s v=""/>
    <x v="5"/>
    <b v="0"/>
    <b v="0"/>
    <b v="0"/>
    <s v=""/>
    <s v=""/>
    <s v=","/>
    <s v=""/>
    <s v=""/>
    <s v=""/>
    <s v=""/>
    <s v=""/>
    <x v="5"/>
    <s v=""/>
    <s v=""/>
    <x v="35"/>
    <x v="35"/>
    <x v="13"/>
    <x v="32"/>
  </r>
  <r>
    <x v="0"/>
    <x v="0"/>
    <x v="0"/>
    <x v="167"/>
    <s v=""/>
    <x v="5"/>
    <b v="0"/>
    <b v="0"/>
    <b v="0"/>
    <s v=""/>
    <s v=""/>
    <s v=","/>
    <s v=""/>
    <s v=""/>
    <s v=""/>
    <s v=""/>
    <s v=""/>
    <x v="5"/>
    <s v=""/>
    <s v=""/>
    <x v="35"/>
    <x v="35"/>
    <x v="49"/>
    <x v="59"/>
  </r>
  <r>
    <x v="0"/>
    <x v="0"/>
    <x v="0"/>
    <x v="167"/>
    <s v=""/>
    <x v="5"/>
    <b v="0"/>
    <b v="0"/>
    <b v="0"/>
    <s v=""/>
    <s v=""/>
    <s v=","/>
    <s v=""/>
    <s v=""/>
    <s v=""/>
    <s v=""/>
    <s v=""/>
    <x v="5"/>
    <s v=""/>
    <s v=""/>
    <x v="35"/>
    <x v="35"/>
    <x v="50"/>
    <x v="126"/>
  </r>
  <r>
    <x v="0"/>
    <x v="0"/>
    <x v="0"/>
    <x v="167"/>
    <s v=""/>
    <x v="5"/>
    <b v="0"/>
    <b v="0"/>
    <b v="0"/>
    <s v=""/>
    <s v=""/>
    <s v=","/>
    <s v=""/>
    <s v=""/>
    <s v=""/>
    <s v=""/>
    <s v=""/>
    <x v="5"/>
    <s v=""/>
    <s v=""/>
    <x v="35"/>
    <x v="35"/>
    <x v="13"/>
    <x v="92"/>
  </r>
  <r>
    <x v="0"/>
    <x v="0"/>
    <x v="0"/>
    <x v="167"/>
    <s v=""/>
    <x v="5"/>
    <b v="0"/>
    <b v="0"/>
    <b v="0"/>
    <s v=""/>
    <s v=""/>
    <s v=","/>
    <s v=""/>
    <s v=""/>
    <s v=""/>
    <s v=""/>
    <s v=""/>
    <x v="5"/>
    <s v=""/>
    <s v=""/>
    <x v="35"/>
    <x v="35"/>
    <x v="56"/>
    <x v="127"/>
  </r>
  <r>
    <x v="0"/>
    <x v="0"/>
    <x v="0"/>
    <x v="168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400329999999997"/>
    <n v="33.73592"/>
    <x v="35"/>
    <x v="35"/>
    <x v="0"/>
    <x v="0"/>
  </r>
  <r>
    <x v="0"/>
    <x v="0"/>
    <x v="0"/>
    <x v="169"/>
    <s v=""/>
    <x v="5"/>
    <b v="0"/>
    <b v="0"/>
    <b v="0"/>
    <s v=""/>
    <s v=""/>
    <s v=","/>
    <s v=""/>
    <s v=""/>
    <s v=""/>
    <s v=""/>
    <s v=""/>
    <x v="5"/>
    <s v=""/>
    <s v=""/>
    <x v="35"/>
    <x v="35"/>
    <x v="56"/>
    <x v="127"/>
  </r>
  <r>
    <x v="0"/>
    <x v="0"/>
    <x v="0"/>
    <x v="169"/>
    <s v=""/>
    <x v="5"/>
    <b v="0"/>
    <b v="0"/>
    <b v="0"/>
    <s v=""/>
    <s v=""/>
    <s v=","/>
    <s v=""/>
    <s v=""/>
    <s v=""/>
    <s v=""/>
    <s v=""/>
    <x v="5"/>
    <s v=""/>
    <s v=""/>
    <x v="35"/>
    <x v="35"/>
    <x v="13"/>
    <x v="86"/>
  </r>
  <r>
    <x v="0"/>
    <x v="0"/>
    <x v="0"/>
    <x v="169"/>
    <s v=""/>
    <x v="5"/>
    <b v="0"/>
    <b v="0"/>
    <b v="0"/>
    <s v=""/>
    <s v=""/>
    <s v=","/>
    <s v=""/>
    <s v=""/>
    <s v=""/>
    <s v=""/>
    <s v=""/>
    <x v="5"/>
    <s v=""/>
    <s v=""/>
    <x v="35"/>
    <x v="35"/>
    <x v="15"/>
    <x v="128"/>
  </r>
  <r>
    <x v="0"/>
    <x v="0"/>
    <x v="0"/>
    <x v="170"/>
    <s v=""/>
    <x v="5"/>
    <b v="0"/>
    <b v="0"/>
    <b v="0"/>
    <s v=""/>
    <s v=""/>
    <s v=","/>
    <s v=""/>
    <s v=""/>
    <s v=""/>
    <s v=""/>
    <s v=""/>
    <x v="5"/>
    <s v=""/>
    <s v=""/>
    <x v="35"/>
    <x v="35"/>
    <x v="15"/>
    <x v="129"/>
  </r>
  <r>
    <x v="0"/>
    <x v="0"/>
    <x v="0"/>
    <x v="171"/>
    <s v=""/>
    <x v="5"/>
    <b v="0"/>
    <b v="0"/>
    <b v="0"/>
    <s v=""/>
    <s v=""/>
    <s v=","/>
    <s v=""/>
    <s v=""/>
    <s v=""/>
    <s v=""/>
    <s v=""/>
    <x v="5"/>
    <s v=""/>
    <s v=""/>
    <x v="35"/>
    <x v="35"/>
    <x v="59"/>
    <x v="10"/>
  </r>
  <r>
    <x v="0"/>
    <x v="0"/>
    <x v="0"/>
    <x v="171"/>
    <s v=""/>
    <x v="5"/>
    <b v="0"/>
    <b v="0"/>
    <b v="0"/>
    <s v=""/>
    <s v=""/>
    <s v=","/>
    <s v=""/>
    <s v=""/>
    <s v=""/>
    <s v=""/>
    <s v=""/>
    <x v="5"/>
    <s v=""/>
    <s v=""/>
    <x v="35"/>
    <x v="35"/>
    <x v="0"/>
    <x v="0"/>
  </r>
  <r>
    <x v="0"/>
    <x v="0"/>
    <x v="0"/>
    <x v="171"/>
    <s v=""/>
    <x v="5"/>
    <b v="0"/>
    <b v="0"/>
    <b v="0"/>
    <s v=""/>
    <s v=""/>
    <s v=","/>
    <s v=""/>
    <s v=""/>
    <s v=""/>
    <s v=""/>
    <s v=""/>
    <x v="5"/>
    <s v=""/>
    <s v=""/>
    <x v="35"/>
    <x v="35"/>
    <x v="0"/>
    <x v="0"/>
  </r>
  <r>
    <x v="0"/>
    <x v="0"/>
    <x v="0"/>
    <x v="171"/>
    <s v=""/>
    <x v="5"/>
    <b v="0"/>
    <b v="0"/>
    <b v="0"/>
    <s v=""/>
    <s v=""/>
    <s v=","/>
    <s v=""/>
    <s v=""/>
    <s v=""/>
    <s v=""/>
    <s v=""/>
    <x v="5"/>
    <s v=""/>
    <s v=""/>
    <x v="35"/>
    <x v="35"/>
    <x v="0"/>
    <x v="0"/>
  </r>
  <r>
    <x v="0"/>
    <x v="0"/>
    <x v="0"/>
    <x v="171"/>
    <s v="1501 E U.s. 6, Hamlet, IN 46532, USA"/>
    <x v="5"/>
    <b v="0"/>
    <b v="1"/>
    <b v="1"/>
    <s v="1501 E U.s. 6, Hamlet, IN 46532, USA"/>
    <s v=" USA"/>
    <s v=", USA"/>
    <s v="1501 E U.s. 6, Hamlet, IN 46532"/>
    <s v=" IN 46532"/>
    <s v="46532"/>
    <s v=" IN"/>
    <s v="IN"/>
    <x v="5"/>
    <n v="-39.399740000000001"/>
    <n v="33.736330000000002"/>
    <x v="36"/>
    <x v="36"/>
    <x v="0"/>
    <x v="0"/>
  </r>
  <r>
    <x v="0"/>
    <x v="0"/>
    <x v="0"/>
    <x v="172"/>
    <s v=""/>
    <x v="5"/>
    <b v="0"/>
    <b v="0"/>
    <b v="0"/>
    <s v=""/>
    <s v=""/>
    <s v=","/>
    <s v=""/>
    <s v=""/>
    <s v=""/>
    <s v=""/>
    <s v=""/>
    <x v="5"/>
    <s v=""/>
    <s v=""/>
    <x v="36"/>
    <x v="36"/>
    <x v="13"/>
    <x v="130"/>
  </r>
  <r>
    <x v="0"/>
    <x v="0"/>
    <x v="0"/>
    <x v="173"/>
    <s v=""/>
    <x v="5"/>
    <b v="0"/>
    <b v="0"/>
    <b v="0"/>
    <s v=""/>
    <s v=""/>
    <s v=","/>
    <s v=""/>
    <s v=""/>
    <s v=""/>
    <s v=""/>
    <s v=""/>
    <x v="5"/>
    <s v=""/>
    <s v=""/>
    <x v="36"/>
    <x v="36"/>
    <x v="0"/>
    <x v="0"/>
  </r>
  <r>
    <x v="0"/>
    <x v="0"/>
    <x v="0"/>
    <x v="173"/>
    <s v=""/>
    <x v="5"/>
    <b v="0"/>
    <b v="0"/>
    <b v="0"/>
    <s v=""/>
    <s v=""/>
    <s v=","/>
    <s v=""/>
    <s v=""/>
    <s v=""/>
    <s v=""/>
    <s v=""/>
    <x v="5"/>
    <s v=""/>
    <s v=""/>
    <x v="36"/>
    <x v="36"/>
    <x v="0"/>
    <x v="0"/>
  </r>
  <r>
    <x v="0"/>
    <x v="0"/>
    <x v="0"/>
    <x v="173"/>
    <s v=""/>
    <x v="5"/>
    <b v="0"/>
    <b v="0"/>
    <b v="0"/>
    <s v=""/>
    <s v=""/>
    <s v=","/>
    <s v=""/>
    <s v=""/>
    <s v=""/>
    <s v=""/>
    <s v=""/>
    <x v="5"/>
    <s v=""/>
    <s v=""/>
    <x v="36"/>
    <x v="36"/>
    <x v="0"/>
    <x v="0"/>
  </r>
  <r>
    <x v="0"/>
    <x v="0"/>
    <x v="0"/>
    <x v="174"/>
    <s v="717 NE 122nd St, Oklahoma City, OK 73114, USA"/>
    <x v="6"/>
    <b v="0"/>
    <b v="1"/>
    <b v="1"/>
    <s v="717 NE 122nd St, Oklahoma City, OK 73114, USA"/>
    <s v=" USA"/>
    <s v=", USA"/>
    <s v="717 NE 122nd St, Oklahoma City, OK 73114"/>
    <s v=" OK 73114"/>
    <s v="73114"/>
    <s v=" OK"/>
    <s v="OK"/>
    <x v="6"/>
    <n v="-39.3992"/>
    <n v="33.73695"/>
    <x v="37"/>
    <x v="37"/>
    <x v="0"/>
    <x v="0"/>
  </r>
  <r>
    <x v="0"/>
    <x v="0"/>
    <x v="0"/>
    <x v="170"/>
    <s v=""/>
    <x v="6"/>
    <b v="0"/>
    <b v="0"/>
    <b v="0"/>
    <s v=""/>
    <s v=""/>
    <s v=","/>
    <s v=""/>
    <s v=""/>
    <s v=""/>
    <s v=""/>
    <s v=""/>
    <x v="6"/>
    <s v=""/>
    <s v=""/>
    <x v="37"/>
    <x v="37"/>
    <x v="15"/>
    <x v="131"/>
  </r>
  <r>
    <x v="0"/>
    <x v="0"/>
    <x v="0"/>
    <x v="175"/>
    <s v=""/>
    <x v="6"/>
    <b v="0"/>
    <b v="0"/>
    <b v="0"/>
    <s v=""/>
    <s v=""/>
    <s v=","/>
    <s v=""/>
    <s v=""/>
    <s v=""/>
    <s v=""/>
    <s v=""/>
    <x v="6"/>
    <s v=""/>
    <s v=""/>
    <x v="37"/>
    <x v="37"/>
    <x v="0"/>
    <x v="0"/>
  </r>
  <r>
    <x v="0"/>
    <x v="0"/>
    <x v="0"/>
    <x v="176"/>
    <s v=""/>
    <x v="6"/>
    <b v="0"/>
    <b v="0"/>
    <b v="0"/>
    <s v=""/>
    <s v=""/>
    <s v=","/>
    <s v=""/>
    <s v=""/>
    <s v=""/>
    <s v=""/>
    <s v=""/>
    <x v="6"/>
    <s v=""/>
    <s v=""/>
    <x v="37"/>
    <x v="37"/>
    <x v="55"/>
    <x v="116"/>
  </r>
  <r>
    <x v="0"/>
    <x v="0"/>
    <x v="0"/>
    <x v="176"/>
    <s v=""/>
    <x v="6"/>
    <b v="0"/>
    <b v="0"/>
    <b v="0"/>
    <s v=""/>
    <s v=""/>
    <s v=","/>
    <s v=""/>
    <s v=""/>
    <s v=""/>
    <s v=""/>
    <s v=""/>
    <x v="6"/>
    <s v=""/>
    <s v=""/>
    <x v="37"/>
    <x v="37"/>
    <x v="16"/>
    <x v="116"/>
  </r>
  <r>
    <x v="0"/>
    <x v="0"/>
    <x v="0"/>
    <x v="177"/>
    <s v="717 NE 122nd St, Oklahoma City, OK 73114, USA"/>
    <x v="6"/>
    <b v="0"/>
    <b v="1"/>
    <b v="1"/>
    <s v="717 NE 122nd St, Oklahoma City, OK 73114, USA"/>
    <s v=" USA"/>
    <s v=", USA"/>
    <s v="717 NE 122nd St, Oklahoma City, OK 73114"/>
    <s v=" OK 73114"/>
    <s v="73114"/>
    <s v=" OK"/>
    <s v="OK"/>
    <x v="6"/>
    <n v="-39.398130000000002"/>
    <n v="33.737940000000002"/>
    <x v="38"/>
    <x v="38"/>
    <x v="0"/>
    <x v="0"/>
  </r>
  <r>
    <x v="0"/>
    <x v="0"/>
    <x v="0"/>
    <x v="177"/>
    <s v=""/>
    <x v="6"/>
    <b v="0"/>
    <b v="0"/>
    <b v="0"/>
    <s v=""/>
    <s v=""/>
    <s v=","/>
    <s v=""/>
    <s v=""/>
    <s v=""/>
    <s v=""/>
    <s v=""/>
    <x v="6"/>
    <s v=""/>
    <s v=""/>
    <x v="38"/>
    <x v="38"/>
    <x v="59"/>
    <x v="10"/>
  </r>
  <r>
    <x v="0"/>
    <x v="0"/>
    <x v="0"/>
    <x v="177"/>
    <s v=""/>
    <x v="6"/>
    <b v="0"/>
    <b v="0"/>
    <b v="0"/>
    <s v=""/>
    <s v=""/>
    <s v=","/>
    <s v=""/>
    <s v=""/>
    <s v=""/>
    <s v=""/>
    <s v=""/>
    <x v="6"/>
    <s v=""/>
    <s v=""/>
    <x v="38"/>
    <x v="38"/>
    <x v="0"/>
    <x v="0"/>
  </r>
  <r>
    <x v="0"/>
    <x v="0"/>
    <x v="0"/>
    <x v="177"/>
    <s v=""/>
    <x v="6"/>
    <b v="0"/>
    <b v="0"/>
    <b v="0"/>
    <s v=""/>
    <s v=""/>
    <s v=","/>
    <s v=""/>
    <s v=""/>
    <s v=""/>
    <s v=""/>
    <s v=""/>
    <x v="6"/>
    <s v=""/>
    <s v=""/>
    <x v="38"/>
    <x v="38"/>
    <x v="0"/>
    <x v="0"/>
  </r>
  <r>
    <x v="0"/>
    <x v="0"/>
    <x v="0"/>
    <x v="178"/>
    <s v=""/>
    <x v="6"/>
    <b v="0"/>
    <b v="0"/>
    <b v="0"/>
    <s v=""/>
    <s v=""/>
    <s v=","/>
    <s v=""/>
    <s v=""/>
    <s v=""/>
    <s v=""/>
    <s v=""/>
    <x v="6"/>
    <s v=""/>
    <s v=""/>
    <x v="38"/>
    <x v="38"/>
    <x v="13"/>
    <x v="118"/>
  </r>
  <r>
    <x v="0"/>
    <x v="0"/>
    <x v="0"/>
    <x v="179"/>
    <s v="717 NE 122nd St, Oklahoma City, OK 73114, USA"/>
    <x v="6"/>
    <b v="0"/>
    <b v="1"/>
    <b v="1"/>
    <s v="717 NE 122nd St, Oklahoma City, OK 73114, USA"/>
    <s v=" USA"/>
    <s v=", USA"/>
    <s v="717 NE 122nd St, Oklahoma City, OK 73114"/>
    <s v=" OK 73114"/>
    <s v="73114"/>
    <s v=" OK"/>
    <s v="OK"/>
    <x v="6"/>
    <n v="-39.39743"/>
    <n v="33.73856"/>
    <x v="39"/>
    <x v="39"/>
    <x v="0"/>
    <x v="0"/>
  </r>
  <r>
    <x v="0"/>
    <x v="0"/>
    <x v="0"/>
    <x v="179"/>
    <s v=""/>
    <x v="6"/>
    <b v="0"/>
    <b v="0"/>
    <b v="0"/>
    <s v=""/>
    <s v=""/>
    <s v=","/>
    <s v=""/>
    <s v=""/>
    <s v=""/>
    <s v=""/>
    <s v=""/>
    <x v="6"/>
    <s v=""/>
    <s v=""/>
    <x v="39"/>
    <x v="39"/>
    <x v="13"/>
    <x v="132"/>
  </r>
  <r>
    <x v="0"/>
    <x v="0"/>
    <x v="0"/>
    <x v="180"/>
    <s v=""/>
    <x v="6"/>
    <b v="0"/>
    <b v="0"/>
    <b v="0"/>
    <s v=""/>
    <s v=""/>
    <s v=","/>
    <s v=""/>
    <s v=""/>
    <s v=""/>
    <s v=""/>
    <s v=""/>
    <x v="6"/>
    <s v=""/>
    <s v=""/>
    <x v="39"/>
    <x v="39"/>
    <x v="20"/>
    <x v="133"/>
  </r>
  <r>
    <x v="0"/>
    <x v="0"/>
    <x v="0"/>
    <x v="181"/>
    <s v=""/>
    <x v="6"/>
    <b v="0"/>
    <b v="0"/>
    <b v="0"/>
    <s v=""/>
    <s v=""/>
    <s v=","/>
    <s v=""/>
    <s v=""/>
    <s v=""/>
    <s v=""/>
    <s v=""/>
    <x v="6"/>
    <s v=""/>
    <s v=""/>
    <x v="39"/>
    <x v="39"/>
    <x v="0"/>
    <x v="0"/>
  </r>
  <r>
    <x v="0"/>
    <x v="0"/>
    <x v="0"/>
    <x v="182"/>
    <s v="717 NE 122nd St, Oklahoma City, OK 73114, USA"/>
    <x v="6"/>
    <b v="0"/>
    <b v="1"/>
    <b v="1"/>
    <s v="717 NE 122nd St, Oklahoma City, OK 73114, USA"/>
    <s v=" USA"/>
    <s v=", USA"/>
    <s v="717 NE 122nd St, Oklahoma City, OK 73114"/>
    <s v=" OK 73114"/>
    <s v="73114"/>
    <s v=" OK"/>
    <s v="OK"/>
    <x v="6"/>
    <n v="-39.395389999999999"/>
    <n v="33.740450000000003"/>
    <x v="40"/>
    <x v="40"/>
    <x v="0"/>
    <x v="0"/>
  </r>
  <r>
    <x v="0"/>
    <x v="0"/>
    <x v="0"/>
    <x v="182"/>
    <s v=""/>
    <x v="6"/>
    <b v="0"/>
    <b v="0"/>
    <b v="0"/>
    <s v=""/>
    <s v=""/>
    <s v=","/>
    <s v=""/>
    <s v=""/>
    <s v=""/>
    <s v=""/>
    <s v=""/>
    <x v="6"/>
    <s v=""/>
    <s v=""/>
    <x v="40"/>
    <x v="40"/>
    <x v="0"/>
    <x v="0"/>
  </r>
  <r>
    <x v="0"/>
    <x v="0"/>
    <x v="0"/>
    <x v="182"/>
    <s v=""/>
    <x v="6"/>
    <b v="0"/>
    <b v="0"/>
    <b v="0"/>
    <s v=""/>
    <s v=""/>
    <s v=","/>
    <s v=""/>
    <s v=""/>
    <s v=""/>
    <s v=""/>
    <s v=""/>
    <x v="6"/>
    <s v=""/>
    <s v=""/>
    <x v="40"/>
    <x v="40"/>
    <x v="0"/>
    <x v="0"/>
  </r>
  <r>
    <x v="0"/>
    <x v="0"/>
    <x v="0"/>
    <x v="182"/>
    <s v=""/>
    <x v="6"/>
    <b v="0"/>
    <b v="0"/>
    <b v="0"/>
    <s v=""/>
    <s v=""/>
    <s v=","/>
    <s v=""/>
    <s v=""/>
    <s v=""/>
    <s v=""/>
    <s v=""/>
    <x v="6"/>
    <s v=""/>
    <s v=""/>
    <x v="40"/>
    <x v="40"/>
    <x v="0"/>
    <x v="0"/>
  </r>
  <r>
    <x v="0"/>
    <x v="0"/>
    <x v="0"/>
    <x v="183"/>
    <s v=""/>
    <x v="6"/>
    <b v="0"/>
    <b v="0"/>
    <b v="0"/>
    <s v=""/>
    <s v=""/>
    <s v=","/>
    <s v=""/>
    <s v=""/>
    <s v=""/>
    <s v=""/>
    <s v=""/>
    <x v="6"/>
    <s v=""/>
    <s v=""/>
    <x v="40"/>
    <x v="40"/>
    <x v="59"/>
    <x v="10"/>
  </r>
  <r>
    <x v="0"/>
    <x v="0"/>
    <x v="0"/>
    <x v="183"/>
    <s v=""/>
    <x v="6"/>
    <b v="0"/>
    <b v="0"/>
    <b v="0"/>
    <s v=""/>
    <s v=""/>
    <s v=","/>
    <s v=""/>
    <s v=""/>
    <s v=""/>
    <s v=""/>
    <s v=""/>
    <x v="6"/>
    <s v=""/>
    <s v=""/>
    <x v="40"/>
    <x v="40"/>
    <x v="0"/>
    <x v="0"/>
  </r>
  <r>
    <x v="0"/>
    <x v="0"/>
    <x v="0"/>
    <x v="183"/>
    <s v=""/>
    <x v="6"/>
    <b v="0"/>
    <b v="0"/>
    <b v="0"/>
    <s v=""/>
    <s v=""/>
    <s v=","/>
    <s v=""/>
    <s v=""/>
    <s v=""/>
    <s v=""/>
    <s v=""/>
    <x v="6"/>
    <s v=""/>
    <s v=""/>
    <x v="40"/>
    <x v="40"/>
    <x v="0"/>
    <x v="0"/>
  </r>
  <r>
    <x v="0"/>
    <x v="0"/>
    <x v="0"/>
    <x v="184"/>
    <s v=""/>
    <x v="6"/>
    <b v="0"/>
    <b v="0"/>
    <b v="0"/>
    <s v=""/>
    <s v=""/>
    <s v=","/>
    <s v=""/>
    <s v=""/>
    <s v=""/>
    <s v=""/>
    <s v=""/>
    <x v="6"/>
    <s v=""/>
    <s v=""/>
    <x v="40"/>
    <x v="40"/>
    <x v="11"/>
    <x v="134"/>
  </r>
  <r>
    <x v="0"/>
    <x v="0"/>
    <x v="0"/>
    <x v="184"/>
    <s v=""/>
    <x v="6"/>
    <b v="0"/>
    <b v="0"/>
    <b v="0"/>
    <s v=""/>
    <s v=""/>
    <s v=","/>
    <s v=""/>
    <s v=""/>
    <s v=""/>
    <s v=""/>
    <s v=""/>
    <x v="6"/>
    <s v=""/>
    <s v=""/>
    <x v="40"/>
    <x v="40"/>
    <x v="12"/>
    <x v="134"/>
  </r>
  <r>
    <x v="0"/>
    <x v="0"/>
    <x v="0"/>
    <x v="185"/>
    <s v=""/>
    <x v="6"/>
    <b v="0"/>
    <b v="0"/>
    <b v="0"/>
    <s v=""/>
    <s v=""/>
    <s v=","/>
    <s v=""/>
    <s v=""/>
    <s v=""/>
    <s v=""/>
    <s v=""/>
    <x v="6"/>
    <s v=""/>
    <s v=""/>
    <x v="40"/>
    <x v="40"/>
    <x v="15"/>
    <x v="135"/>
  </r>
  <r>
    <x v="0"/>
    <x v="0"/>
    <x v="0"/>
    <x v="185"/>
    <s v=""/>
    <x v="6"/>
    <b v="0"/>
    <b v="0"/>
    <b v="0"/>
    <s v=""/>
    <s v=""/>
    <s v=","/>
    <s v=""/>
    <s v=""/>
    <s v=""/>
    <s v=""/>
    <s v=""/>
    <x v="6"/>
    <s v=""/>
    <s v=""/>
    <x v="40"/>
    <x v="40"/>
    <x v="13"/>
    <x v="136"/>
  </r>
  <r>
    <x v="0"/>
    <x v="0"/>
    <x v="0"/>
    <x v="186"/>
    <s v="717 NE 122nd St, Oklahoma City, OK 73114, USA"/>
    <x v="6"/>
    <b v="0"/>
    <b v="1"/>
    <b v="1"/>
    <s v="717 NE 122nd St, Oklahoma City, OK 73114, USA"/>
    <s v=" USA"/>
    <s v=", USA"/>
    <s v="717 NE 122nd St, Oklahoma City, OK 73114"/>
    <s v=" OK 73114"/>
    <s v="73114"/>
    <s v=" OK"/>
    <s v="OK"/>
    <x v="6"/>
    <n v="-39.393999999999998"/>
    <n v="33.741630000000001"/>
    <x v="41"/>
    <x v="41"/>
    <x v="0"/>
    <x v="0"/>
  </r>
  <r>
    <x v="0"/>
    <x v="0"/>
    <x v="0"/>
    <x v="187"/>
    <s v=""/>
    <x v="6"/>
    <b v="0"/>
    <b v="0"/>
    <b v="0"/>
    <s v=""/>
    <s v=""/>
    <s v=","/>
    <s v=""/>
    <s v=""/>
    <s v=""/>
    <s v=""/>
    <s v=""/>
    <x v="6"/>
    <s v=""/>
    <s v=""/>
    <x v="41"/>
    <x v="41"/>
    <x v="13"/>
    <x v="137"/>
  </r>
  <r>
    <x v="0"/>
    <x v="0"/>
    <x v="0"/>
    <x v="188"/>
    <s v="717 NE 122nd St, Oklahoma City, OK 73114, USA"/>
    <x v="6"/>
    <b v="0"/>
    <b v="1"/>
    <b v="1"/>
    <s v="717 NE 122nd St, Oklahoma City, OK 73114, USA"/>
    <s v=" USA"/>
    <s v=", USA"/>
    <s v="717 NE 122nd St, Oklahoma City, OK 73114"/>
    <s v=" OK 73114"/>
    <s v="73114"/>
    <s v=" OK"/>
    <s v="OK"/>
    <x v="6"/>
    <n v="-39.392769999999999"/>
    <n v="33.742269999999998"/>
    <x v="42"/>
    <x v="4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AD3BF-31D0-4B7B-B197-868A2F9968D8}" name="PivotTable1" cacheId="13" applyNumberFormats="0" applyBorderFormats="0" applyFontFormats="0" applyPatternFormats="0" applyAlignmentFormats="0" applyWidthHeightFormats="1" dataCaption="Values" updatedVersion="8" minRefreshableVersion="3" showDrill="0" rowGrandTotals="0" itemPrintTitles="1" createdVersion="7" indent="0" compact="0" compactData="0">
  <location ref="A12:J16" firstHeaderRow="1" firstDataRow="1" firstDataCol="10"/>
  <pivotFields count="24">
    <pivotField axis="axisRow" compact="0" outline="0" showAll="0" includeNewItemsInFilter="1" defaultSubtotal="0">
      <items count="5">
        <item m="1" x="2"/>
        <item m="1" x="3"/>
        <item m="1" x="4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6">
        <item m="1" x="3"/>
        <item m="1" x="4"/>
        <item m="1" x="5"/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ngine Reported VIN"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8" outline="0" showAll="0" sortType="ascending" defaultSubtotal="0">
      <items count="189">
        <item x="20"/>
        <item x="1"/>
        <item x="10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0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7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1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58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5"/>
        <item x="4"/>
        <item x="3"/>
        <item x="6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m="1" x="7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210">
        <item m="1" x="209"/>
        <item x="0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194">
        <item m="1" x="193"/>
        <item x="0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Odometer" axis="axisRow" compact="0" outline="0" showAll="0" includeNewItemsInFilter="1" defaultSubtotal="0">
      <items count="315">
        <item x="0"/>
        <item m="1" x="31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309"/>
        <item m="1" x="253"/>
        <item m="1" x="310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311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312"/>
        <item m="1" x="313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252"/>
        <item m="1" x="254"/>
        <item m="1" x="264"/>
        <item m="1" x="277"/>
        <item m="1" x="27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0">
    <field x="0"/>
    <field x="1"/>
    <field x="2"/>
    <field x="3"/>
    <field x="5"/>
    <field x="17"/>
    <field x="20"/>
    <field x="21"/>
    <field x="22"/>
    <field x="23"/>
  </rowFields>
  <rowItems count="4">
    <i>
      <x v="4"/>
      <x v="5"/>
      <x/>
      <x v="5"/>
      <x v="6"/>
      <x v="2"/>
      <x v="106"/>
      <x v="98"/>
      <x v="12"/>
      <x v="15"/>
    </i>
    <i r="3">
      <x v="120"/>
      <x v="2"/>
      <x v="5"/>
      <x v="129"/>
      <x v="121"/>
      <x v="12"/>
      <x v="104"/>
    </i>
    <i r="3">
      <x v="149"/>
      <x v="1"/>
      <x v="6"/>
      <x v="135"/>
      <x v="127"/>
      <x v="12"/>
      <x v="116"/>
    </i>
    <i r="3">
      <x v="184"/>
      <x v="4"/>
      <x v="7"/>
      <x v="145"/>
      <x v="137"/>
      <x v="12"/>
      <x v="135"/>
    </i>
  </rowItems>
  <colItems count="1">
    <i/>
  </colItems>
  <formats count="21">
    <format dxfId="42">
      <pivotArea type="all" dataOnly="0" outline="0" fieldPosition="0"/>
    </format>
    <format dxfId="41">
      <pivotArea field="0" type="button" dataOnly="0" labelOnly="1" outline="0" axis="axisRow" fieldPosition="0"/>
    </format>
    <format dxfId="40">
      <pivotArea field="1" type="button" dataOnly="0" labelOnly="1" outline="0" axis="axisRow" fieldPosition="1"/>
    </format>
    <format dxfId="39">
      <pivotArea field="20" type="button" dataOnly="0" labelOnly="1" outline="0" axis="axisRow" fieldPosition="6"/>
    </format>
    <format dxfId="38">
      <pivotArea field="21" type="button" dataOnly="0" labelOnly="1" outline="0" axis="axisRow" fieldPosition="7"/>
    </format>
    <format dxfId="37">
      <pivotArea field="23" type="button" dataOnly="0" labelOnly="1" outline="0" axis="axisRow" fieldPosition="9"/>
    </format>
    <format dxfId="36">
      <pivotArea dataOnly="0" labelOnly="1" outline="0" fieldPosition="0">
        <references count="1">
          <reference field="0" count="0"/>
        </references>
      </pivotArea>
    </format>
    <format dxfId="35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32">
      <pivotArea type="all" dataOnly="0" outline="0" fieldPosition="0"/>
    </format>
    <format dxfId="31">
      <pivotArea dataOnly="0" labelOnly="1" outline="0" fieldPosition="0">
        <references count="1">
          <reference field="0" count="0"/>
        </references>
      </pivotArea>
    </format>
    <format dxfId="30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27">
      <pivotArea field="0" type="button" dataOnly="0" labelOnly="1" outline="0" axis="axisRow" fieldPosition="0"/>
    </format>
    <format dxfId="26">
      <pivotArea field="1" type="button" dataOnly="0" labelOnly="1" outline="0" axis="axisRow" fieldPosition="1"/>
    </format>
    <format dxfId="25">
      <pivotArea field="20" type="button" dataOnly="0" labelOnly="1" outline="0" axis="axisRow" fieldPosition="6"/>
    </format>
    <format dxfId="24">
      <pivotArea field="21" type="button" dataOnly="0" labelOnly="1" outline="0" axis="axisRow" fieldPosition="7"/>
    </format>
    <format dxfId="23">
      <pivotArea field="22" type="button" dataOnly="0" labelOnly="1" outline="0" axis="axisRow" fieldPosition="8"/>
    </format>
    <format dxfId="22">
      <pivotArea field="23" type="button" dataOnly="0" labelOnly="1" outline="0" axis="axisRow" fieldPosition="9"/>
    </format>
  </formats>
  <pivotTableStyleInfo name="PivotTable Style 1" showRowHeaders="1" showColHeaders="1" showRowStripes="0" showColStripes="0" showLastColumn="1"/>
  <filters count="1">
    <filter fld="22" type="captionEqual" evalOrder="-1" id="1" stringValue1="Raw Odometer">
      <autoFilter ref="A1">
        <filterColumn colId="0">
          <filters>
            <filter val="Raw Odometer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geotab-excel-theme-v3">
  <a:themeElements>
    <a:clrScheme name="Custom 10">
      <a:dk1>
        <a:srgbClr val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19"/>
  <sheetViews>
    <sheetView zoomScaleNormal="100" workbookViewId="0">
      <pane ySplit="10" topLeftCell="A11" activePane="bottomLeft" state="frozen"/>
      <selection pane="bottomLeft"/>
    </sheetView>
  </sheetViews>
  <sheetFormatPr defaultColWidth="8.7109375" defaultRowHeight="12.75" x14ac:dyDescent="0.2"/>
  <cols>
    <col min="1" max="1" width="14.42578125" customWidth="1"/>
    <col min="2" max="3" width="18.5703125" customWidth="1"/>
    <col min="4" max="4" width="22.42578125" customWidth="1"/>
    <col min="5" max="5" width="14.85546875" customWidth="1"/>
    <col min="6" max="6" width="17.42578125" customWidth="1"/>
    <col min="7" max="7" width="18.42578125" customWidth="1"/>
    <col min="8" max="8" width="17.42578125" customWidth="1"/>
    <col min="9" max="9" width="31.85546875" customWidth="1"/>
    <col min="10" max="10" width="12" customWidth="1"/>
    <col min="11" max="11" width="12.5703125" customWidth="1"/>
    <col min="997" max="999" width="11.5703125" customWidth="1"/>
  </cols>
  <sheetData>
    <row r="1" spans="1:11" x14ac:dyDescent="0.2">
      <c r="A1" s="1" t="s">
        <v>0</v>
      </c>
      <c r="B1" s="2" t="s">
        <v>630</v>
      </c>
      <c r="C1" s="2"/>
    </row>
    <row r="2" spans="1:11" x14ac:dyDescent="0.2">
      <c r="A2" s="1" t="s">
        <v>1</v>
      </c>
      <c r="B2" s="2">
        <v>45443.578743275466</v>
      </c>
      <c r="C2" s="2"/>
    </row>
    <row r="3" spans="1:11" x14ac:dyDescent="0.2">
      <c r="A3" s="1" t="s">
        <v>2</v>
      </c>
      <c r="B3" s="2">
        <v>45442.854166666664</v>
      </c>
      <c r="C3" s="2"/>
    </row>
    <row r="4" spans="1:11" x14ac:dyDescent="0.2">
      <c r="A4" s="1" t="s">
        <v>3</v>
      </c>
      <c r="B4" s="2">
        <v>45442.895833333336</v>
      </c>
      <c r="C4" s="2"/>
    </row>
    <row r="5" spans="1:11" x14ac:dyDescent="0.2">
      <c r="A5" s="1" t="s">
        <v>4</v>
      </c>
      <c r="B5" s="2" t="s">
        <v>5</v>
      </c>
      <c r="C5" s="2"/>
    </row>
    <row r="6" spans="1:11" x14ac:dyDescent="0.2">
      <c r="A6" s="1" t="s">
        <v>6</v>
      </c>
      <c r="B6" s="2" t="s">
        <v>7</v>
      </c>
      <c r="C6" s="2"/>
    </row>
    <row r="7" spans="1:11" x14ac:dyDescent="0.2">
      <c r="A7" s="1" t="s">
        <v>8</v>
      </c>
      <c r="B7" s="2" t="b">
        <f>TRUE()</f>
        <v>1</v>
      </c>
      <c r="C7" s="2"/>
    </row>
    <row r="8" spans="1:11" x14ac:dyDescent="0.2">
      <c r="A8" s="1" t="s">
        <v>9</v>
      </c>
      <c r="B8" s="2" t="s">
        <v>538</v>
      </c>
      <c r="C8" s="2"/>
    </row>
    <row r="9" spans="1:11" x14ac:dyDescent="0.2">
      <c r="A9" s="1" t="s">
        <v>10</v>
      </c>
      <c r="B9" s="2" t="s">
        <v>11</v>
      </c>
      <c r="C9" s="2"/>
    </row>
    <row r="10" spans="1:11" ht="28.5" thickBot="1" x14ac:dyDescent="0.25">
      <c r="A10" s="3" t="s">
        <v>12</v>
      </c>
      <c r="B10" s="3" t="s">
        <v>13</v>
      </c>
      <c r="C10" s="3" t="s">
        <v>637</v>
      </c>
      <c r="D10" s="3" t="s">
        <v>14</v>
      </c>
      <c r="E10" s="3" t="s">
        <v>15</v>
      </c>
      <c r="F10" s="3" t="s">
        <v>641</v>
      </c>
      <c r="G10" s="3" t="s">
        <v>16</v>
      </c>
      <c r="H10" s="3" t="s">
        <v>17</v>
      </c>
      <c r="I10" s="3" t="s">
        <v>18</v>
      </c>
      <c r="J10" s="3" t="s">
        <v>539</v>
      </c>
      <c r="K10" s="3" t="s">
        <v>540</v>
      </c>
    </row>
    <row r="11" spans="1:11" x14ac:dyDescent="0.2">
      <c r="A11" s="4" t="s">
        <v>632</v>
      </c>
      <c r="B11" s="4" t="s">
        <v>631</v>
      </c>
      <c r="C11" s="4" t="s">
        <v>638</v>
      </c>
      <c r="D11" s="2">
        <v>45066.152708333335</v>
      </c>
      <c r="E11" s="4" t="s">
        <v>541</v>
      </c>
    </row>
    <row r="12" spans="1:11" x14ac:dyDescent="0.2">
      <c r="A12" s="4" t="s">
        <v>632</v>
      </c>
      <c r="B12" s="4" t="s">
        <v>631</v>
      </c>
      <c r="C12" s="4" t="s">
        <v>638</v>
      </c>
      <c r="D12" s="2">
        <v>45066.132152777776</v>
      </c>
      <c r="E12" s="4" t="s">
        <v>20</v>
      </c>
      <c r="I12" s="4" t="s">
        <v>542</v>
      </c>
      <c r="J12" s="4">
        <v>12.393640000000001</v>
      </c>
      <c r="K12" s="4" t="s">
        <v>543</v>
      </c>
    </row>
    <row r="13" spans="1:11" x14ac:dyDescent="0.2">
      <c r="A13" s="4" t="s">
        <v>632</v>
      </c>
      <c r="B13" s="4" t="s">
        <v>631</v>
      </c>
      <c r="C13" s="4" t="s">
        <v>638</v>
      </c>
      <c r="D13" s="2">
        <v>45066.132187499999</v>
      </c>
      <c r="E13" s="4" t="s">
        <v>20</v>
      </c>
      <c r="I13" s="4" t="s">
        <v>542</v>
      </c>
      <c r="J13" s="4">
        <v>12.214740000000001</v>
      </c>
      <c r="K13" s="4" t="s">
        <v>543</v>
      </c>
    </row>
    <row r="14" spans="1:11" x14ac:dyDescent="0.2">
      <c r="A14" s="4" t="s">
        <v>632</v>
      </c>
      <c r="B14" s="4" t="s">
        <v>631</v>
      </c>
      <c r="C14" s="4" t="s">
        <v>638</v>
      </c>
      <c r="D14" s="2">
        <v>45066.132187499999</v>
      </c>
      <c r="E14" s="4" t="s">
        <v>20</v>
      </c>
      <c r="I14" s="4" t="s">
        <v>542</v>
      </c>
      <c r="J14" s="4">
        <v>12.03584</v>
      </c>
      <c r="K14" s="4" t="s">
        <v>543</v>
      </c>
    </row>
    <row r="15" spans="1:11" x14ac:dyDescent="0.2">
      <c r="A15" s="4" t="s">
        <v>632</v>
      </c>
      <c r="B15" s="4" t="s">
        <v>631</v>
      </c>
      <c r="C15" s="4" t="s">
        <v>638</v>
      </c>
      <c r="D15" s="2">
        <v>45066.132187499999</v>
      </c>
      <c r="E15" s="4" t="s">
        <v>20</v>
      </c>
      <c r="I15" s="4" t="s">
        <v>542</v>
      </c>
      <c r="J15" s="4">
        <v>8.7798600000000011</v>
      </c>
      <c r="K15" s="4" t="s">
        <v>543</v>
      </c>
    </row>
    <row r="16" spans="1:11" x14ac:dyDescent="0.2">
      <c r="A16" s="4" t="s">
        <v>632</v>
      </c>
      <c r="B16" s="4" t="s">
        <v>631</v>
      </c>
      <c r="C16" s="4" t="s">
        <v>638</v>
      </c>
      <c r="D16" s="2">
        <v>45066.132187499999</v>
      </c>
      <c r="E16" s="4" t="s">
        <v>541</v>
      </c>
    </row>
    <row r="17" spans="1:11" x14ac:dyDescent="0.2">
      <c r="A17" s="4" t="s">
        <v>632</v>
      </c>
      <c r="B17" s="4" t="s">
        <v>631</v>
      </c>
      <c r="C17" s="4" t="s">
        <v>638</v>
      </c>
      <c r="D17" s="2">
        <v>45066.132187499999</v>
      </c>
      <c r="E17" s="4" t="s">
        <v>20</v>
      </c>
      <c r="I17" s="4" t="s">
        <v>542</v>
      </c>
      <c r="J17" s="4">
        <v>9.8890400000000014</v>
      </c>
      <c r="K17" s="4" t="s">
        <v>543</v>
      </c>
    </row>
    <row r="18" spans="1:11" x14ac:dyDescent="0.2">
      <c r="A18" s="4" t="s">
        <v>632</v>
      </c>
      <c r="B18" s="4" t="s">
        <v>631</v>
      </c>
      <c r="C18" s="4" t="s">
        <v>638</v>
      </c>
      <c r="D18" s="2">
        <v>45066.132187499999</v>
      </c>
      <c r="E18" s="4" t="s">
        <v>541</v>
      </c>
    </row>
    <row r="19" spans="1:11" x14ac:dyDescent="0.2">
      <c r="A19" s="4" t="s">
        <v>632</v>
      </c>
      <c r="B19" s="4" t="s">
        <v>631</v>
      </c>
      <c r="C19" s="4" t="s">
        <v>638</v>
      </c>
      <c r="D19" s="2">
        <v>45066.132187499999</v>
      </c>
      <c r="E19" s="4" t="s">
        <v>541</v>
      </c>
    </row>
    <row r="20" spans="1:11" x14ac:dyDescent="0.2">
      <c r="A20" s="4" t="s">
        <v>632</v>
      </c>
      <c r="B20" s="4" t="s">
        <v>631</v>
      </c>
      <c r="C20" s="4" t="s">
        <v>638</v>
      </c>
      <c r="D20" s="2">
        <v>45066.132187499999</v>
      </c>
      <c r="E20" s="4" t="s">
        <v>541</v>
      </c>
    </row>
    <row r="21" spans="1:11" x14ac:dyDescent="0.2">
      <c r="A21" s="4" t="s">
        <v>632</v>
      </c>
      <c r="B21" s="4" t="s">
        <v>631</v>
      </c>
      <c r="C21" s="4" t="s">
        <v>638</v>
      </c>
      <c r="D21" s="2">
        <v>45066.132187499999</v>
      </c>
      <c r="E21" s="4" t="s">
        <v>541</v>
      </c>
    </row>
    <row r="22" spans="1:11" x14ac:dyDescent="0.2">
      <c r="A22" s="4" t="s">
        <v>632</v>
      </c>
      <c r="B22" s="4" t="s">
        <v>631</v>
      </c>
      <c r="C22" s="4" t="s">
        <v>638</v>
      </c>
      <c r="D22" s="2">
        <v>45066.132187499999</v>
      </c>
      <c r="E22" s="4" t="s">
        <v>541</v>
      </c>
    </row>
    <row r="23" spans="1:11" x14ac:dyDescent="0.2">
      <c r="A23" s="4" t="s">
        <v>632</v>
      </c>
      <c r="B23" s="4" t="s">
        <v>631</v>
      </c>
      <c r="C23" s="4" t="s">
        <v>638</v>
      </c>
      <c r="D23" s="2">
        <v>45066.132187499999</v>
      </c>
      <c r="E23" s="4" t="s">
        <v>541</v>
      </c>
    </row>
    <row r="24" spans="1:11" x14ac:dyDescent="0.2">
      <c r="A24" s="4" t="s">
        <v>632</v>
      </c>
      <c r="B24" s="4" t="s">
        <v>631</v>
      </c>
      <c r="C24" s="4" t="s">
        <v>638</v>
      </c>
      <c r="D24" s="2">
        <v>45066.132187499999</v>
      </c>
      <c r="E24" s="4" t="s">
        <v>541</v>
      </c>
    </row>
    <row r="25" spans="1:11" x14ac:dyDescent="0.2">
      <c r="A25" s="4" t="s">
        <v>632</v>
      </c>
      <c r="B25" s="4" t="s">
        <v>631</v>
      </c>
      <c r="C25" s="4" t="s">
        <v>638</v>
      </c>
      <c r="D25" s="2">
        <v>45066.132187499999</v>
      </c>
      <c r="E25" s="4" t="s">
        <v>541</v>
      </c>
    </row>
    <row r="26" spans="1:11" x14ac:dyDescent="0.2">
      <c r="A26" s="4" t="s">
        <v>632</v>
      </c>
      <c r="B26" s="4" t="s">
        <v>631</v>
      </c>
      <c r="C26" s="4" t="s">
        <v>638</v>
      </c>
      <c r="D26" s="2">
        <v>45066.132187499999</v>
      </c>
      <c r="E26" s="4" t="s">
        <v>541</v>
      </c>
    </row>
    <row r="27" spans="1:11" x14ac:dyDescent="0.2">
      <c r="A27" s="4" t="s">
        <v>632</v>
      </c>
      <c r="B27" s="4" t="s">
        <v>631</v>
      </c>
      <c r="C27" s="4" t="s">
        <v>638</v>
      </c>
      <c r="D27" s="2">
        <v>45066.132187499999</v>
      </c>
      <c r="E27" s="4" t="s">
        <v>541</v>
      </c>
    </row>
    <row r="28" spans="1:11" x14ac:dyDescent="0.2">
      <c r="A28" s="4" t="s">
        <v>632</v>
      </c>
      <c r="B28" s="4" t="s">
        <v>631</v>
      </c>
      <c r="C28" s="4" t="s">
        <v>638</v>
      </c>
      <c r="D28" s="2">
        <v>45066.132187499999</v>
      </c>
      <c r="E28" s="4" t="s">
        <v>541</v>
      </c>
    </row>
    <row r="29" spans="1:11" x14ac:dyDescent="0.2">
      <c r="A29" s="4" t="s">
        <v>632</v>
      </c>
      <c r="B29" s="4" t="s">
        <v>631</v>
      </c>
      <c r="C29" s="4" t="s">
        <v>638</v>
      </c>
      <c r="D29" s="2">
        <v>45066.132187499999</v>
      </c>
      <c r="E29" s="4" t="s">
        <v>541</v>
      </c>
    </row>
    <row r="30" spans="1:11" x14ac:dyDescent="0.2">
      <c r="A30" s="4" t="s">
        <v>632</v>
      </c>
      <c r="B30" s="4" t="s">
        <v>631</v>
      </c>
      <c r="C30" s="4" t="s">
        <v>638</v>
      </c>
      <c r="D30" s="2">
        <v>45066.132187499999</v>
      </c>
      <c r="E30" s="4" t="s">
        <v>541</v>
      </c>
    </row>
    <row r="31" spans="1:11" x14ac:dyDescent="0.2">
      <c r="A31" s="4" t="s">
        <v>632</v>
      </c>
      <c r="B31" s="4" t="s">
        <v>631</v>
      </c>
      <c r="C31" s="4" t="s">
        <v>638</v>
      </c>
      <c r="D31" s="2">
        <v>45066.132187499999</v>
      </c>
      <c r="E31" s="4" t="s">
        <v>541</v>
      </c>
    </row>
    <row r="32" spans="1:11" x14ac:dyDescent="0.2">
      <c r="A32" s="4" t="s">
        <v>632</v>
      </c>
      <c r="B32" s="4" t="s">
        <v>631</v>
      </c>
      <c r="C32" s="4" t="s">
        <v>638</v>
      </c>
      <c r="D32" s="2">
        <v>45066.132187499999</v>
      </c>
      <c r="E32" s="4" t="s">
        <v>541</v>
      </c>
    </row>
    <row r="33" spans="1:11" x14ac:dyDescent="0.2">
      <c r="A33" s="4" t="s">
        <v>632</v>
      </c>
      <c r="B33" s="4" t="s">
        <v>631</v>
      </c>
      <c r="C33" s="4" t="s">
        <v>638</v>
      </c>
      <c r="D33" s="2">
        <v>45066.132187499999</v>
      </c>
      <c r="E33" s="4" t="s">
        <v>541</v>
      </c>
    </row>
    <row r="34" spans="1:11" x14ac:dyDescent="0.2">
      <c r="A34" s="4" t="s">
        <v>632</v>
      </c>
      <c r="B34" s="4" t="s">
        <v>631</v>
      </c>
      <c r="C34" s="4" t="s">
        <v>638</v>
      </c>
      <c r="D34" s="2">
        <v>45066.132199074076</v>
      </c>
      <c r="E34" s="4" t="s">
        <v>20</v>
      </c>
      <c r="I34" s="4" t="s">
        <v>542</v>
      </c>
      <c r="J34" s="4">
        <v>10.747760000000001</v>
      </c>
      <c r="K34" s="4" t="s">
        <v>543</v>
      </c>
    </row>
    <row r="35" spans="1:11" x14ac:dyDescent="0.2">
      <c r="A35" s="4" t="s">
        <v>632</v>
      </c>
      <c r="B35" s="4" t="s">
        <v>631</v>
      </c>
      <c r="C35" s="4" t="s">
        <v>638</v>
      </c>
      <c r="D35" s="2">
        <v>45066.132199074076</v>
      </c>
      <c r="E35" s="4" t="s">
        <v>541</v>
      </c>
    </row>
    <row r="36" spans="1:11" x14ac:dyDescent="0.2">
      <c r="A36" s="4" t="s">
        <v>632</v>
      </c>
      <c r="B36" s="4" t="s">
        <v>631</v>
      </c>
      <c r="C36" s="4" t="s">
        <v>638</v>
      </c>
      <c r="D36" s="2">
        <v>45066.132199074076</v>
      </c>
      <c r="E36" s="4" t="s">
        <v>541</v>
      </c>
    </row>
    <row r="37" spans="1:11" x14ac:dyDescent="0.2">
      <c r="A37" s="4" t="s">
        <v>632</v>
      </c>
      <c r="B37" s="4" t="s">
        <v>631</v>
      </c>
      <c r="C37" s="4" t="s">
        <v>638</v>
      </c>
      <c r="D37" s="2">
        <v>45066.132199074076</v>
      </c>
      <c r="E37" s="4" t="s">
        <v>541</v>
      </c>
    </row>
    <row r="38" spans="1:11" x14ac:dyDescent="0.2">
      <c r="A38" s="4" t="s">
        <v>632</v>
      </c>
      <c r="B38" s="4" t="s">
        <v>631</v>
      </c>
      <c r="C38" s="4" t="s">
        <v>638</v>
      </c>
      <c r="D38" s="2">
        <v>45066.132199074076</v>
      </c>
      <c r="E38" s="4" t="s">
        <v>541</v>
      </c>
    </row>
    <row r="39" spans="1:11" x14ac:dyDescent="0.2">
      <c r="A39" s="4" t="s">
        <v>632</v>
      </c>
      <c r="B39" s="4" t="s">
        <v>631</v>
      </c>
      <c r="C39" s="4" t="s">
        <v>638</v>
      </c>
      <c r="D39" s="2">
        <v>45066.132199074076</v>
      </c>
      <c r="E39" s="4" t="s">
        <v>20</v>
      </c>
      <c r="I39" s="4" t="s">
        <v>542</v>
      </c>
      <c r="J39" s="4">
        <v>11.64226</v>
      </c>
      <c r="K39" s="4" t="s">
        <v>543</v>
      </c>
    </row>
    <row r="40" spans="1:11" x14ac:dyDescent="0.2">
      <c r="A40" s="4" t="s">
        <v>632</v>
      </c>
      <c r="B40" s="4" t="s">
        <v>631</v>
      </c>
      <c r="C40" s="4" t="s">
        <v>638</v>
      </c>
      <c r="D40" s="2">
        <v>45066.132199074076</v>
      </c>
      <c r="E40" s="4" t="s">
        <v>20</v>
      </c>
      <c r="I40" s="4" t="s">
        <v>542</v>
      </c>
      <c r="J40" s="4">
        <v>12.71566</v>
      </c>
      <c r="K40" s="4" t="s">
        <v>543</v>
      </c>
    </row>
    <row r="41" spans="1:11" x14ac:dyDescent="0.2">
      <c r="A41" s="4" t="s">
        <v>632</v>
      </c>
      <c r="B41" s="4" t="s">
        <v>631</v>
      </c>
      <c r="C41" s="4" t="s">
        <v>638</v>
      </c>
      <c r="D41" s="2">
        <v>45066.132199074076</v>
      </c>
      <c r="E41" s="4" t="s">
        <v>541</v>
      </c>
    </row>
    <row r="42" spans="1:11" x14ac:dyDescent="0.2">
      <c r="A42" s="4" t="s">
        <v>632</v>
      </c>
      <c r="B42" s="4" t="s">
        <v>631</v>
      </c>
      <c r="C42" s="4" t="s">
        <v>638</v>
      </c>
      <c r="D42" s="2">
        <v>45066.132199074076</v>
      </c>
      <c r="E42" s="4" t="s">
        <v>541</v>
      </c>
    </row>
    <row r="43" spans="1:11" x14ac:dyDescent="0.2">
      <c r="A43" s="4" t="s">
        <v>632</v>
      </c>
      <c r="B43" s="4" t="s">
        <v>631</v>
      </c>
      <c r="C43" s="4" t="s">
        <v>638</v>
      </c>
      <c r="D43" s="2">
        <v>45066.132210648146</v>
      </c>
      <c r="E43" s="4" t="s">
        <v>20</v>
      </c>
      <c r="I43" s="4" t="s">
        <v>542</v>
      </c>
      <c r="J43" s="4">
        <v>13.68172</v>
      </c>
      <c r="K43" s="4" t="s">
        <v>543</v>
      </c>
    </row>
    <row r="44" spans="1:11" x14ac:dyDescent="0.2">
      <c r="A44" s="4" t="s">
        <v>632</v>
      </c>
      <c r="B44" s="4" t="s">
        <v>631</v>
      </c>
      <c r="C44" s="4" t="s">
        <v>638</v>
      </c>
      <c r="D44" s="2">
        <v>45066.132210648146</v>
      </c>
      <c r="E44" s="4" t="s">
        <v>19</v>
      </c>
      <c r="F44" s="4" t="s">
        <v>646</v>
      </c>
      <c r="G44" s="4">
        <v>-39.421039999999998</v>
      </c>
      <c r="H44" s="4">
        <v>33.736870000000003</v>
      </c>
    </row>
    <row r="45" spans="1:11" x14ac:dyDescent="0.2">
      <c r="A45" s="4" t="s">
        <v>632</v>
      </c>
      <c r="B45" s="4" t="s">
        <v>631</v>
      </c>
      <c r="C45" s="4" t="s">
        <v>638</v>
      </c>
      <c r="D45" s="2">
        <v>45066.132210648146</v>
      </c>
      <c r="E45" s="4" t="s">
        <v>20</v>
      </c>
      <c r="I45" s="4" t="s">
        <v>544</v>
      </c>
      <c r="J45" s="4">
        <v>1</v>
      </c>
      <c r="K45" s="4" t="s">
        <v>545</v>
      </c>
    </row>
    <row r="46" spans="1:11" x14ac:dyDescent="0.2">
      <c r="A46" s="4" t="s">
        <v>632</v>
      </c>
      <c r="B46" s="4" t="s">
        <v>631</v>
      </c>
      <c r="C46" s="4" t="s">
        <v>638</v>
      </c>
      <c r="D46" s="2">
        <v>45066.132210648146</v>
      </c>
      <c r="E46" s="4" t="s">
        <v>541</v>
      </c>
    </row>
    <row r="47" spans="1:11" x14ac:dyDescent="0.2">
      <c r="A47" s="4" t="s">
        <v>632</v>
      </c>
      <c r="B47" s="4" t="s">
        <v>631</v>
      </c>
      <c r="C47" s="4" t="s">
        <v>638</v>
      </c>
      <c r="D47" s="2">
        <v>45066.132210648146</v>
      </c>
      <c r="E47" s="4" t="s">
        <v>541</v>
      </c>
    </row>
    <row r="48" spans="1:11" x14ac:dyDescent="0.2">
      <c r="A48" s="4" t="s">
        <v>632</v>
      </c>
      <c r="B48" s="4" t="s">
        <v>631</v>
      </c>
      <c r="C48" s="4" t="s">
        <v>638</v>
      </c>
      <c r="D48" s="2">
        <v>45066.132210648146</v>
      </c>
      <c r="E48" s="4" t="s">
        <v>541</v>
      </c>
    </row>
    <row r="49" spans="1:11" x14ac:dyDescent="0.2">
      <c r="A49" s="4" t="s">
        <v>632</v>
      </c>
      <c r="B49" s="4" t="s">
        <v>631</v>
      </c>
      <c r="C49" s="4" t="s">
        <v>638</v>
      </c>
      <c r="D49" s="2">
        <v>45066.132210648146</v>
      </c>
      <c r="E49" s="4" t="s">
        <v>541</v>
      </c>
    </row>
    <row r="50" spans="1:11" x14ac:dyDescent="0.2">
      <c r="A50" s="4" t="s">
        <v>632</v>
      </c>
      <c r="B50" s="4" t="s">
        <v>631</v>
      </c>
      <c r="C50" s="4" t="s">
        <v>638</v>
      </c>
      <c r="D50" s="2">
        <v>45066.132210648146</v>
      </c>
      <c r="E50" s="4" t="s">
        <v>541</v>
      </c>
    </row>
    <row r="51" spans="1:11" x14ac:dyDescent="0.2">
      <c r="A51" s="4" t="s">
        <v>632</v>
      </c>
      <c r="B51" s="4" t="s">
        <v>631</v>
      </c>
      <c r="C51" s="4" t="s">
        <v>638</v>
      </c>
      <c r="D51" s="2">
        <v>45066.132210648146</v>
      </c>
      <c r="E51" s="4" t="s">
        <v>541</v>
      </c>
    </row>
    <row r="52" spans="1:11" x14ac:dyDescent="0.2">
      <c r="A52" s="4" t="s">
        <v>632</v>
      </c>
      <c r="B52" s="4" t="s">
        <v>631</v>
      </c>
      <c r="C52" s="4" t="s">
        <v>638</v>
      </c>
      <c r="D52" s="2">
        <v>45066.132210648146</v>
      </c>
      <c r="E52" s="4" t="s">
        <v>20</v>
      </c>
      <c r="I52" s="4" t="s">
        <v>546</v>
      </c>
      <c r="J52" s="4">
        <v>1</v>
      </c>
      <c r="K52" s="4" t="s">
        <v>545</v>
      </c>
    </row>
    <row r="53" spans="1:11" x14ac:dyDescent="0.2">
      <c r="A53" s="4" t="s">
        <v>632</v>
      </c>
      <c r="B53" s="4" t="s">
        <v>631</v>
      </c>
      <c r="C53" s="4" t="s">
        <v>638</v>
      </c>
      <c r="D53" s="2">
        <v>45066.132210648146</v>
      </c>
      <c r="E53" s="4" t="s">
        <v>541</v>
      </c>
    </row>
    <row r="54" spans="1:11" x14ac:dyDescent="0.2">
      <c r="A54" s="4" t="s">
        <v>632</v>
      </c>
      <c r="B54" s="4" t="s">
        <v>631</v>
      </c>
      <c r="C54" s="4" t="s">
        <v>638</v>
      </c>
      <c r="D54" s="2">
        <v>45066.132210648146</v>
      </c>
      <c r="E54" s="4" t="s">
        <v>541</v>
      </c>
    </row>
    <row r="55" spans="1:11" x14ac:dyDescent="0.2">
      <c r="A55" s="4" t="s">
        <v>632</v>
      </c>
      <c r="B55" s="4" t="s">
        <v>631</v>
      </c>
      <c r="C55" s="4" t="s">
        <v>638</v>
      </c>
      <c r="D55" s="2">
        <v>45066.132210648146</v>
      </c>
      <c r="E55" s="4" t="s">
        <v>541</v>
      </c>
    </row>
    <row r="56" spans="1:11" x14ac:dyDescent="0.2">
      <c r="A56" s="4" t="s">
        <v>632</v>
      </c>
      <c r="B56" s="4" t="s">
        <v>631</v>
      </c>
      <c r="C56" s="4" t="s">
        <v>638</v>
      </c>
      <c r="D56" s="2">
        <v>45066.132210648146</v>
      </c>
      <c r="E56" s="4" t="s">
        <v>541</v>
      </c>
    </row>
    <row r="57" spans="1:11" x14ac:dyDescent="0.2">
      <c r="A57" s="4" t="s">
        <v>632</v>
      </c>
      <c r="B57" s="4" t="s">
        <v>631</v>
      </c>
      <c r="C57" s="4" t="s">
        <v>638</v>
      </c>
      <c r="D57" s="2">
        <v>45066.132210648146</v>
      </c>
      <c r="E57" s="4" t="s">
        <v>541</v>
      </c>
    </row>
    <row r="58" spans="1:11" x14ac:dyDescent="0.2">
      <c r="A58" s="4" t="s">
        <v>632</v>
      </c>
      <c r="B58" s="4" t="s">
        <v>631</v>
      </c>
      <c r="C58" s="4" t="s">
        <v>638</v>
      </c>
      <c r="D58" s="2">
        <v>45066.132210648146</v>
      </c>
      <c r="E58" s="4" t="s">
        <v>541</v>
      </c>
    </row>
    <row r="59" spans="1:11" x14ac:dyDescent="0.2">
      <c r="A59" s="4" t="s">
        <v>632</v>
      </c>
      <c r="B59" s="4" t="s">
        <v>631</v>
      </c>
      <c r="C59" s="4" t="s">
        <v>638</v>
      </c>
      <c r="D59" s="2">
        <v>45066.132210648146</v>
      </c>
      <c r="E59" s="4" t="s">
        <v>20</v>
      </c>
      <c r="I59" s="4" t="s">
        <v>547</v>
      </c>
      <c r="J59" s="4">
        <v>1</v>
      </c>
      <c r="K59" s="4" t="s">
        <v>545</v>
      </c>
    </row>
    <row r="60" spans="1:11" x14ac:dyDescent="0.2">
      <c r="A60" s="4" t="s">
        <v>632</v>
      </c>
      <c r="B60" s="4" t="s">
        <v>631</v>
      </c>
      <c r="C60" s="4" t="s">
        <v>638</v>
      </c>
      <c r="D60" s="2">
        <v>45066.132210648146</v>
      </c>
      <c r="E60" s="4" t="s">
        <v>20</v>
      </c>
      <c r="I60" s="4" t="s">
        <v>548</v>
      </c>
      <c r="J60" s="4">
        <v>0</v>
      </c>
      <c r="K60" s="4" t="s">
        <v>549</v>
      </c>
    </row>
    <row r="61" spans="1:11" x14ac:dyDescent="0.2">
      <c r="A61" s="4" t="s">
        <v>632</v>
      </c>
      <c r="B61" s="4" t="s">
        <v>631</v>
      </c>
      <c r="C61" s="4" t="s">
        <v>638</v>
      </c>
      <c r="D61" s="2">
        <v>45066.132210648146</v>
      </c>
      <c r="E61" s="4" t="s">
        <v>541</v>
      </c>
    </row>
    <row r="62" spans="1:11" x14ac:dyDescent="0.2">
      <c r="A62" s="4" t="s">
        <v>632</v>
      </c>
      <c r="B62" s="4" t="s">
        <v>631</v>
      </c>
      <c r="C62" s="4" t="s">
        <v>638</v>
      </c>
      <c r="D62" s="2">
        <v>45066.132210648146</v>
      </c>
      <c r="E62" s="4" t="s">
        <v>541</v>
      </c>
    </row>
    <row r="63" spans="1:11" x14ac:dyDescent="0.2">
      <c r="A63" s="4" t="s">
        <v>632</v>
      </c>
      <c r="B63" s="4" t="s">
        <v>631</v>
      </c>
      <c r="C63" s="4" t="s">
        <v>638</v>
      </c>
      <c r="D63" s="2">
        <v>45066.132210648146</v>
      </c>
      <c r="E63" s="4" t="s">
        <v>541</v>
      </c>
    </row>
    <row r="64" spans="1:11" x14ac:dyDescent="0.2">
      <c r="A64" s="4" t="s">
        <v>632</v>
      </c>
      <c r="B64" s="4" t="s">
        <v>631</v>
      </c>
      <c r="C64" s="4" t="s">
        <v>638</v>
      </c>
      <c r="D64" s="2">
        <v>45066.132210648146</v>
      </c>
      <c r="E64" s="4" t="s">
        <v>20</v>
      </c>
      <c r="I64" s="4" t="s">
        <v>550</v>
      </c>
      <c r="J64" s="4">
        <v>1</v>
      </c>
      <c r="K64" s="4" t="s">
        <v>545</v>
      </c>
    </row>
    <row r="65" spans="1:11" x14ac:dyDescent="0.2">
      <c r="A65" s="4" t="s">
        <v>632</v>
      </c>
      <c r="B65" s="4" t="s">
        <v>631</v>
      </c>
      <c r="C65" s="4" t="s">
        <v>638</v>
      </c>
      <c r="D65" s="2">
        <v>45066.132210648146</v>
      </c>
      <c r="E65" s="4" t="s">
        <v>20</v>
      </c>
      <c r="I65" s="4" t="s">
        <v>551</v>
      </c>
      <c r="J65" s="4">
        <v>1</v>
      </c>
      <c r="K65" s="4" t="s">
        <v>545</v>
      </c>
    </row>
    <row r="66" spans="1:11" x14ac:dyDescent="0.2">
      <c r="A66" s="4" t="s">
        <v>632</v>
      </c>
      <c r="B66" s="4" t="s">
        <v>631</v>
      </c>
      <c r="C66" s="4" t="s">
        <v>638</v>
      </c>
      <c r="D66" s="2">
        <v>45066.132210648146</v>
      </c>
      <c r="E66" s="4" t="s">
        <v>20</v>
      </c>
      <c r="I66" s="4" t="s">
        <v>552</v>
      </c>
      <c r="J66" s="4">
        <v>1</v>
      </c>
      <c r="K66" s="4" t="s">
        <v>545</v>
      </c>
    </row>
    <row r="67" spans="1:11" x14ac:dyDescent="0.2">
      <c r="A67" s="4" t="s">
        <v>632</v>
      </c>
      <c r="B67" s="4" t="s">
        <v>631</v>
      </c>
      <c r="C67" s="4" t="s">
        <v>638</v>
      </c>
      <c r="D67" s="2">
        <v>45066.132210648146</v>
      </c>
      <c r="E67" s="4" t="s">
        <v>541</v>
      </c>
    </row>
    <row r="68" spans="1:11" x14ac:dyDescent="0.2">
      <c r="A68" s="4" t="s">
        <v>632</v>
      </c>
      <c r="B68" s="4" t="s">
        <v>631</v>
      </c>
      <c r="C68" s="4" t="s">
        <v>638</v>
      </c>
      <c r="D68" s="2">
        <v>45066.132210648146</v>
      </c>
      <c r="E68" s="4" t="s">
        <v>20</v>
      </c>
      <c r="I68" s="4" t="s">
        <v>553</v>
      </c>
      <c r="J68" s="4">
        <v>-1</v>
      </c>
      <c r="K68" s="4" t="s">
        <v>545</v>
      </c>
    </row>
    <row r="69" spans="1:11" x14ac:dyDescent="0.2">
      <c r="A69" s="4" t="s">
        <v>632</v>
      </c>
      <c r="B69" s="4" t="s">
        <v>631</v>
      </c>
      <c r="C69" s="4" t="s">
        <v>638</v>
      </c>
      <c r="D69" s="2">
        <v>45066.132210648146</v>
      </c>
      <c r="E69" s="4" t="s">
        <v>20</v>
      </c>
      <c r="I69" s="4" t="s">
        <v>554</v>
      </c>
      <c r="J69" s="4">
        <v>126</v>
      </c>
      <c r="K69" s="4" t="s">
        <v>545</v>
      </c>
    </row>
    <row r="70" spans="1:11" x14ac:dyDescent="0.2">
      <c r="A70" s="4" t="s">
        <v>632</v>
      </c>
      <c r="B70" s="4" t="s">
        <v>631</v>
      </c>
      <c r="C70" s="4" t="s">
        <v>638</v>
      </c>
      <c r="D70" s="2">
        <v>45066.132210648146</v>
      </c>
      <c r="E70" s="4" t="s">
        <v>20</v>
      </c>
      <c r="I70" s="4" t="s">
        <v>555</v>
      </c>
      <c r="J70" s="4">
        <v>82832</v>
      </c>
      <c r="K70" s="4" t="s">
        <v>549</v>
      </c>
    </row>
    <row r="71" spans="1:11" x14ac:dyDescent="0.2">
      <c r="A71" s="4" t="s">
        <v>632</v>
      </c>
      <c r="B71" s="4" t="s">
        <v>631</v>
      </c>
      <c r="C71" s="4" t="s">
        <v>638</v>
      </c>
      <c r="D71" s="2">
        <v>45066.132210648146</v>
      </c>
      <c r="E71" s="4" t="s">
        <v>20</v>
      </c>
      <c r="I71" s="4" t="s">
        <v>556</v>
      </c>
      <c r="J71" s="4">
        <v>82832</v>
      </c>
      <c r="K71" s="4" t="s">
        <v>549</v>
      </c>
    </row>
    <row r="72" spans="1:11" x14ac:dyDescent="0.2">
      <c r="A72" s="4" t="s">
        <v>632</v>
      </c>
      <c r="B72" s="4" t="s">
        <v>631</v>
      </c>
      <c r="C72" s="4" t="s">
        <v>638</v>
      </c>
      <c r="D72" s="2">
        <v>45066.132210648146</v>
      </c>
      <c r="E72" s="4" t="s">
        <v>20</v>
      </c>
      <c r="I72" s="4" t="s">
        <v>557</v>
      </c>
      <c r="J72" s="4">
        <v>0</v>
      </c>
      <c r="K72" s="4" t="s">
        <v>7</v>
      </c>
    </row>
    <row r="73" spans="1:11" x14ac:dyDescent="0.2">
      <c r="A73" s="4" t="s">
        <v>632</v>
      </c>
      <c r="B73" s="4" t="s">
        <v>631</v>
      </c>
      <c r="C73" s="4" t="s">
        <v>638</v>
      </c>
      <c r="D73" s="2">
        <v>45066.132210648146</v>
      </c>
      <c r="E73" s="4" t="s">
        <v>20</v>
      </c>
      <c r="I73" s="4" t="s">
        <v>558</v>
      </c>
      <c r="J73" s="4">
        <v>1</v>
      </c>
      <c r="K73" s="4" t="s">
        <v>545</v>
      </c>
    </row>
    <row r="74" spans="1:11" x14ac:dyDescent="0.2">
      <c r="A74" s="4" t="s">
        <v>632</v>
      </c>
      <c r="B74" s="4" t="s">
        <v>631</v>
      </c>
      <c r="C74" s="4" t="s">
        <v>638</v>
      </c>
      <c r="D74" s="2">
        <v>45066.132210648146</v>
      </c>
      <c r="E74" s="4" t="s">
        <v>541</v>
      </c>
    </row>
    <row r="75" spans="1:11" x14ac:dyDescent="0.2">
      <c r="A75" s="4" t="s">
        <v>632</v>
      </c>
      <c r="B75" s="4" t="s">
        <v>631</v>
      </c>
      <c r="C75" s="4" t="s">
        <v>638</v>
      </c>
      <c r="D75" s="2">
        <v>45066.132210648146</v>
      </c>
      <c r="E75" s="4" t="s">
        <v>541</v>
      </c>
    </row>
    <row r="76" spans="1:11" x14ac:dyDescent="0.2">
      <c r="A76" s="4" t="s">
        <v>632</v>
      </c>
      <c r="B76" s="4" t="s">
        <v>631</v>
      </c>
      <c r="C76" s="4" t="s">
        <v>638</v>
      </c>
      <c r="D76" s="2">
        <v>45066.132210648146</v>
      </c>
      <c r="E76" s="4" t="s">
        <v>541</v>
      </c>
    </row>
    <row r="77" spans="1:11" x14ac:dyDescent="0.2">
      <c r="A77" s="4" t="s">
        <v>632</v>
      </c>
      <c r="B77" s="4" t="s">
        <v>631</v>
      </c>
      <c r="C77" s="4" t="s">
        <v>638</v>
      </c>
      <c r="D77" s="2">
        <v>45066.132222222222</v>
      </c>
      <c r="E77" s="4" t="s">
        <v>20</v>
      </c>
      <c r="I77" s="4" t="s">
        <v>559</v>
      </c>
      <c r="J77" s="4">
        <v>826.75</v>
      </c>
      <c r="K77" s="4" t="s">
        <v>560</v>
      </c>
    </row>
    <row r="78" spans="1:11" x14ac:dyDescent="0.2">
      <c r="A78" s="4" t="s">
        <v>632</v>
      </c>
      <c r="B78" s="4" t="s">
        <v>631</v>
      </c>
      <c r="C78" s="4" t="s">
        <v>638</v>
      </c>
      <c r="D78" s="2">
        <v>45066.132222222222</v>
      </c>
      <c r="E78" s="4" t="s">
        <v>20</v>
      </c>
      <c r="I78" s="4" t="s">
        <v>561</v>
      </c>
      <c r="J78" s="4">
        <v>0</v>
      </c>
      <c r="K78" s="4" t="s">
        <v>549</v>
      </c>
    </row>
    <row r="79" spans="1:11" x14ac:dyDescent="0.2">
      <c r="A79" s="4" t="s">
        <v>632</v>
      </c>
      <c r="B79" s="4" t="s">
        <v>631</v>
      </c>
      <c r="C79" s="4" t="s">
        <v>638</v>
      </c>
      <c r="D79" s="2">
        <v>45066.132222222222</v>
      </c>
      <c r="E79" s="4" t="s">
        <v>20</v>
      </c>
      <c r="I79" s="4" t="s">
        <v>562</v>
      </c>
      <c r="J79" s="4">
        <v>0</v>
      </c>
      <c r="K79" s="4" t="s">
        <v>549</v>
      </c>
    </row>
    <row r="80" spans="1:11" x14ac:dyDescent="0.2">
      <c r="A80" s="4" t="s">
        <v>632</v>
      </c>
      <c r="B80" s="4" t="s">
        <v>631</v>
      </c>
      <c r="C80" s="4" t="s">
        <v>638</v>
      </c>
      <c r="D80" s="2">
        <v>45066.132222222222</v>
      </c>
      <c r="E80" s="4" t="s">
        <v>20</v>
      </c>
      <c r="I80" s="4" t="s">
        <v>563</v>
      </c>
      <c r="J80" s="4">
        <v>2.7777777780000002E-4</v>
      </c>
      <c r="K80" s="4" t="s">
        <v>564</v>
      </c>
    </row>
    <row r="81" spans="1:11" x14ac:dyDescent="0.2">
      <c r="A81" s="4" t="s">
        <v>632</v>
      </c>
      <c r="B81" s="4" t="s">
        <v>631</v>
      </c>
      <c r="C81" s="4" t="s">
        <v>638</v>
      </c>
      <c r="D81" s="2">
        <v>45066.132222222222</v>
      </c>
      <c r="E81" s="4" t="s">
        <v>20</v>
      </c>
      <c r="I81" s="4" t="s">
        <v>565</v>
      </c>
      <c r="J81" s="4">
        <v>0</v>
      </c>
      <c r="K81" s="4" t="s">
        <v>549</v>
      </c>
    </row>
    <row r="82" spans="1:11" x14ac:dyDescent="0.2">
      <c r="A82" s="4" t="s">
        <v>632</v>
      </c>
      <c r="B82" s="4" t="s">
        <v>631</v>
      </c>
      <c r="C82" s="4" t="s">
        <v>638</v>
      </c>
      <c r="D82" s="2">
        <v>45066.132222222222</v>
      </c>
      <c r="E82" s="4" t="s">
        <v>541</v>
      </c>
    </row>
    <row r="83" spans="1:11" x14ac:dyDescent="0.2">
      <c r="A83" s="4" t="s">
        <v>632</v>
      </c>
      <c r="B83" s="4" t="s">
        <v>631</v>
      </c>
      <c r="C83" s="4" t="s">
        <v>638</v>
      </c>
      <c r="D83" s="2">
        <v>45066.132233796299</v>
      </c>
      <c r="E83" s="4" t="s">
        <v>541</v>
      </c>
    </row>
    <row r="84" spans="1:11" x14ac:dyDescent="0.2">
      <c r="A84" s="4" t="s">
        <v>632</v>
      </c>
      <c r="B84" s="4" t="s">
        <v>631</v>
      </c>
      <c r="C84" s="4" t="s">
        <v>638</v>
      </c>
      <c r="D84" s="2">
        <v>45066.132233796299</v>
      </c>
      <c r="E84" s="4" t="s">
        <v>541</v>
      </c>
    </row>
    <row r="85" spans="1:11" x14ac:dyDescent="0.2">
      <c r="A85" s="4" t="s">
        <v>632</v>
      </c>
      <c r="B85" s="4" t="s">
        <v>631</v>
      </c>
      <c r="C85" s="4" t="s">
        <v>638</v>
      </c>
      <c r="D85" s="2">
        <v>45066.132245370369</v>
      </c>
      <c r="E85" s="4" t="s">
        <v>541</v>
      </c>
    </row>
    <row r="86" spans="1:11" x14ac:dyDescent="0.2">
      <c r="A86" s="4" t="s">
        <v>632</v>
      </c>
      <c r="B86" s="4" t="s">
        <v>631</v>
      </c>
      <c r="C86" s="4" t="s">
        <v>638</v>
      </c>
      <c r="D86" s="2">
        <v>45066.132245370369</v>
      </c>
      <c r="E86" s="4" t="s">
        <v>19</v>
      </c>
      <c r="F86" s="4" t="s">
        <v>646</v>
      </c>
      <c r="G86" s="4">
        <v>-39.421039999999998</v>
      </c>
      <c r="H86" s="4">
        <v>33.736870000000003</v>
      </c>
    </row>
    <row r="87" spans="1:11" x14ac:dyDescent="0.2">
      <c r="A87" s="4" t="s">
        <v>632</v>
      </c>
      <c r="B87" s="4" t="s">
        <v>631</v>
      </c>
      <c r="C87" s="4" t="s">
        <v>638</v>
      </c>
      <c r="D87" s="2">
        <v>45066.132245370369</v>
      </c>
      <c r="E87" s="4" t="s">
        <v>541</v>
      </c>
    </row>
    <row r="88" spans="1:11" x14ac:dyDescent="0.2">
      <c r="A88" s="4" t="s">
        <v>632</v>
      </c>
      <c r="B88" s="4" t="s">
        <v>631</v>
      </c>
      <c r="C88" s="4" t="s">
        <v>638</v>
      </c>
      <c r="D88" s="2">
        <v>45066.132245370369</v>
      </c>
      <c r="E88" s="4" t="s">
        <v>541</v>
      </c>
    </row>
    <row r="89" spans="1:11" x14ac:dyDescent="0.2">
      <c r="A89" s="4" t="s">
        <v>632</v>
      </c>
      <c r="B89" s="4" t="s">
        <v>631</v>
      </c>
      <c r="C89" s="4" t="s">
        <v>638</v>
      </c>
      <c r="D89" s="2">
        <v>45066.132268518515</v>
      </c>
      <c r="E89" s="4" t="s">
        <v>20</v>
      </c>
      <c r="I89" s="4" t="s">
        <v>566</v>
      </c>
      <c r="J89" s="4">
        <v>39</v>
      </c>
      <c r="K89" s="4" t="s">
        <v>567</v>
      </c>
    </row>
    <row r="90" spans="1:11" x14ac:dyDescent="0.2">
      <c r="A90" s="4" t="s">
        <v>632</v>
      </c>
      <c r="B90" s="4" t="s">
        <v>631</v>
      </c>
      <c r="C90" s="4" t="s">
        <v>638</v>
      </c>
      <c r="D90" s="2">
        <v>45066.132268518515</v>
      </c>
      <c r="E90" s="4" t="s">
        <v>20</v>
      </c>
      <c r="I90" s="4" t="s">
        <v>542</v>
      </c>
      <c r="J90" s="4">
        <v>13.538600000000001</v>
      </c>
      <c r="K90" s="4" t="s">
        <v>543</v>
      </c>
    </row>
    <row r="91" spans="1:11" x14ac:dyDescent="0.2">
      <c r="A91" s="4" t="s">
        <v>632</v>
      </c>
      <c r="B91" s="4" t="s">
        <v>631</v>
      </c>
      <c r="C91" s="4" t="s">
        <v>638</v>
      </c>
      <c r="D91" s="2">
        <v>45066.132268518515</v>
      </c>
      <c r="E91" s="4" t="s">
        <v>541</v>
      </c>
    </row>
    <row r="92" spans="1:11" x14ac:dyDescent="0.2">
      <c r="A92" s="4" t="s">
        <v>632</v>
      </c>
      <c r="B92" s="4" t="s">
        <v>631</v>
      </c>
      <c r="C92" s="4" t="s">
        <v>638</v>
      </c>
      <c r="D92" s="2">
        <v>45066.132268518515</v>
      </c>
      <c r="E92" s="4" t="s">
        <v>20</v>
      </c>
      <c r="I92" s="4" t="s">
        <v>568</v>
      </c>
      <c r="J92" s="4">
        <v>61.1676</v>
      </c>
      <c r="K92" s="4" t="s">
        <v>569</v>
      </c>
    </row>
    <row r="93" spans="1:11" x14ac:dyDescent="0.2">
      <c r="A93" s="4" t="s">
        <v>632</v>
      </c>
      <c r="B93" s="4" t="s">
        <v>631</v>
      </c>
      <c r="C93" s="4" t="s">
        <v>638</v>
      </c>
      <c r="D93" s="2">
        <v>45066.132268518515</v>
      </c>
      <c r="E93" s="4" t="s">
        <v>541</v>
      </c>
    </row>
    <row r="94" spans="1:11" x14ac:dyDescent="0.2">
      <c r="A94" s="4" t="s">
        <v>632</v>
      </c>
      <c r="B94" s="4" t="s">
        <v>631</v>
      </c>
      <c r="C94" s="4" t="s">
        <v>638</v>
      </c>
      <c r="D94" s="2">
        <v>45066.132268518515</v>
      </c>
      <c r="E94" s="4" t="s">
        <v>541</v>
      </c>
    </row>
    <row r="95" spans="1:11" x14ac:dyDescent="0.2">
      <c r="A95" s="4" t="s">
        <v>632</v>
      </c>
      <c r="B95" s="4" t="s">
        <v>631</v>
      </c>
      <c r="C95" s="4" t="s">
        <v>638</v>
      </c>
      <c r="D95" s="2">
        <v>45066.132268518515</v>
      </c>
      <c r="E95" s="4" t="s">
        <v>20</v>
      </c>
      <c r="I95" s="4" t="s">
        <v>570</v>
      </c>
      <c r="J95" s="4">
        <v>255</v>
      </c>
      <c r="K95" s="4" t="s">
        <v>545</v>
      </c>
    </row>
    <row r="96" spans="1:11" x14ac:dyDescent="0.2">
      <c r="A96" s="4" t="s">
        <v>632</v>
      </c>
      <c r="B96" s="4" t="s">
        <v>631</v>
      </c>
      <c r="C96" s="4" t="s">
        <v>638</v>
      </c>
      <c r="D96" s="2">
        <v>45066.132268518515</v>
      </c>
      <c r="E96" s="4" t="s">
        <v>20</v>
      </c>
      <c r="I96" s="4" t="s">
        <v>571</v>
      </c>
      <c r="J96" s="4">
        <v>25112</v>
      </c>
      <c r="K96" s="4" t="s">
        <v>549</v>
      </c>
    </row>
    <row r="97" spans="1:11" x14ac:dyDescent="0.2">
      <c r="A97" s="4" t="s">
        <v>632</v>
      </c>
      <c r="B97" s="4" t="s">
        <v>631</v>
      </c>
      <c r="C97" s="4" t="s">
        <v>638</v>
      </c>
      <c r="D97" s="2">
        <v>45066.132268518515</v>
      </c>
      <c r="E97" s="4" t="s">
        <v>541</v>
      </c>
    </row>
    <row r="98" spans="1:11" x14ac:dyDescent="0.2">
      <c r="A98" s="4" t="s">
        <v>632</v>
      </c>
      <c r="B98" s="4" t="s">
        <v>631</v>
      </c>
      <c r="C98" s="4" t="s">
        <v>638</v>
      </c>
      <c r="D98" s="2">
        <v>45066.132268518515</v>
      </c>
      <c r="E98" s="4" t="s">
        <v>20</v>
      </c>
      <c r="I98" s="4" t="s">
        <v>572</v>
      </c>
      <c r="J98" s="4">
        <v>60</v>
      </c>
      <c r="K98" s="4" t="s">
        <v>567</v>
      </c>
    </row>
    <row r="99" spans="1:11" x14ac:dyDescent="0.2">
      <c r="A99" s="4" t="s">
        <v>632</v>
      </c>
      <c r="B99" s="4" t="s">
        <v>631</v>
      </c>
      <c r="C99" s="4" t="s">
        <v>638</v>
      </c>
      <c r="D99" s="2">
        <v>45066.132280092592</v>
      </c>
      <c r="E99" s="4" t="s">
        <v>541</v>
      </c>
    </row>
    <row r="100" spans="1:11" x14ac:dyDescent="0.2">
      <c r="A100" s="4" t="s">
        <v>632</v>
      </c>
      <c r="B100" s="4" t="s">
        <v>631</v>
      </c>
      <c r="C100" s="4" t="s">
        <v>638</v>
      </c>
      <c r="D100" s="2">
        <v>45066.132280092592</v>
      </c>
      <c r="E100" s="4" t="s">
        <v>541</v>
      </c>
    </row>
    <row r="101" spans="1:11" x14ac:dyDescent="0.2">
      <c r="A101" s="4" t="s">
        <v>632</v>
      </c>
      <c r="B101" s="4" t="s">
        <v>631</v>
      </c>
      <c r="C101" s="4" t="s">
        <v>638</v>
      </c>
      <c r="D101" s="2">
        <v>45066.132280092592</v>
      </c>
      <c r="E101" s="4" t="s">
        <v>541</v>
      </c>
    </row>
    <row r="102" spans="1:11" x14ac:dyDescent="0.2">
      <c r="A102" s="4" t="s">
        <v>632</v>
      </c>
      <c r="B102" s="4" t="s">
        <v>631</v>
      </c>
      <c r="C102" s="4" t="s">
        <v>638</v>
      </c>
      <c r="D102" s="2">
        <v>45066.132280092592</v>
      </c>
      <c r="E102" s="4" t="s">
        <v>541</v>
      </c>
    </row>
    <row r="103" spans="1:11" x14ac:dyDescent="0.2">
      <c r="A103" s="4" t="s">
        <v>632</v>
      </c>
      <c r="B103" s="4" t="s">
        <v>631</v>
      </c>
      <c r="C103" s="4" t="s">
        <v>638</v>
      </c>
      <c r="D103" s="2">
        <v>45066.132280092592</v>
      </c>
      <c r="E103" s="4" t="s">
        <v>20</v>
      </c>
      <c r="I103" s="4" t="s">
        <v>573</v>
      </c>
      <c r="J103" s="4">
        <v>0</v>
      </c>
      <c r="K103" s="4" t="s">
        <v>545</v>
      </c>
    </row>
    <row r="104" spans="1:11" x14ac:dyDescent="0.2">
      <c r="A104" s="4" t="s">
        <v>632</v>
      </c>
      <c r="B104" s="4" t="s">
        <v>631</v>
      </c>
      <c r="C104" s="4" t="s">
        <v>638</v>
      </c>
      <c r="D104" s="2">
        <v>45066.132280092592</v>
      </c>
      <c r="E104" s="4" t="s">
        <v>20</v>
      </c>
      <c r="I104" s="4" t="s">
        <v>574</v>
      </c>
      <c r="J104" s="4">
        <v>1</v>
      </c>
      <c r="K104" s="4" t="s">
        <v>545</v>
      </c>
    </row>
    <row r="105" spans="1:11" x14ac:dyDescent="0.2">
      <c r="A105" s="4" t="s">
        <v>632</v>
      </c>
      <c r="B105" s="4" t="s">
        <v>631</v>
      </c>
      <c r="C105" s="4" t="s">
        <v>638</v>
      </c>
      <c r="D105" s="2">
        <v>45066.132280092592</v>
      </c>
      <c r="E105" s="4" t="s">
        <v>20</v>
      </c>
      <c r="I105" s="4" t="s">
        <v>575</v>
      </c>
      <c r="J105" s="4">
        <v>1</v>
      </c>
      <c r="K105" s="4" t="s">
        <v>545</v>
      </c>
    </row>
    <row r="106" spans="1:11" x14ac:dyDescent="0.2">
      <c r="A106" s="4" t="s">
        <v>632</v>
      </c>
      <c r="B106" s="4" t="s">
        <v>631</v>
      </c>
      <c r="C106" s="4" t="s">
        <v>638</v>
      </c>
      <c r="D106" s="2">
        <v>45066.132280092592</v>
      </c>
      <c r="E106" s="4" t="s">
        <v>20</v>
      </c>
      <c r="I106" s="4" t="s">
        <v>576</v>
      </c>
      <c r="J106" s="4">
        <v>1</v>
      </c>
      <c r="K106" s="4" t="s">
        <v>545</v>
      </c>
    </row>
    <row r="107" spans="1:11" x14ac:dyDescent="0.2">
      <c r="A107" s="4" t="s">
        <v>632</v>
      </c>
      <c r="B107" s="4" t="s">
        <v>631</v>
      </c>
      <c r="C107" s="4" t="s">
        <v>638</v>
      </c>
      <c r="D107" s="2">
        <v>45066.132280092592</v>
      </c>
      <c r="E107" s="4" t="s">
        <v>20</v>
      </c>
      <c r="I107" s="4" t="s">
        <v>577</v>
      </c>
      <c r="J107" s="4">
        <v>1</v>
      </c>
      <c r="K107" s="4" t="s">
        <v>545</v>
      </c>
    </row>
    <row r="108" spans="1:11" x14ac:dyDescent="0.2">
      <c r="A108" s="4" t="s">
        <v>632</v>
      </c>
      <c r="B108" s="4" t="s">
        <v>631</v>
      </c>
      <c r="C108" s="4" t="s">
        <v>638</v>
      </c>
      <c r="D108" s="2">
        <v>45066.132280092592</v>
      </c>
      <c r="E108" s="4" t="s">
        <v>20</v>
      </c>
      <c r="I108" s="4" t="s">
        <v>578</v>
      </c>
      <c r="J108" s="4">
        <v>1</v>
      </c>
      <c r="K108" s="4" t="s">
        <v>545</v>
      </c>
    </row>
    <row r="109" spans="1:11" x14ac:dyDescent="0.2">
      <c r="A109" s="4" t="s">
        <v>632</v>
      </c>
      <c r="B109" s="4" t="s">
        <v>631</v>
      </c>
      <c r="C109" s="4" t="s">
        <v>638</v>
      </c>
      <c r="D109" s="2">
        <v>45066.132280092592</v>
      </c>
      <c r="E109" s="4" t="s">
        <v>20</v>
      </c>
      <c r="I109" s="4" t="s">
        <v>579</v>
      </c>
      <c r="J109" s="4">
        <v>1</v>
      </c>
      <c r="K109" s="4" t="s">
        <v>545</v>
      </c>
    </row>
    <row r="110" spans="1:11" x14ac:dyDescent="0.2">
      <c r="A110" s="4" t="s">
        <v>632</v>
      </c>
      <c r="B110" s="4" t="s">
        <v>631</v>
      </c>
      <c r="C110" s="4" t="s">
        <v>638</v>
      </c>
      <c r="D110" s="2">
        <v>45066.132280092592</v>
      </c>
      <c r="E110" s="4" t="s">
        <v>20</v>
      </c>
      <c r="I110" s="4" t="s">
        <v>580</v>
      </c>
      <c r="J110" s="4">
        <v>1</v>
      </c>
      <c r="K110" s="4" t="s">
        <v>545</v>
      </c>
    </row>
    <row r="111" spans="1:11" x14ac:dyDescent="0.2">
      <c r="A111" s="4" t="s">
        <v>632</v>
      </c>
      <c r="B111" s="4" t="s">
        <v>631</v>
      </c>
      <c r="C111" s="4" t="s">
        <v>638</v>
      </c>
      <c r="D111" s="2">
        <v>45066.132280092592</v>
      </c>
      <c r="E111" s="4" t="s">
        <v>20</v>
      </c>
      <c r="I111" s="4" t="s">
        <v>581</v>
      </c>
      <c r="J111" s="4">
        <v>1</v>
      </c>
      <c r="K111" s="4" t="s">
        <v>545</v>
      </c>
    </row>
    <row r="112" spans="1:11" x14ac:dyDescent="0.2">
      <c r="A112" s="4" t="s">
        <v>632</v>
      </c>
      <c r="B112" s="4" t="s">
        <v>631</v>
      </c>
      <c r="C112" s="4" t="s">
        <v>638</v>
      </c>
      <c r="D112" s="2">
        <v>45066.132280092592</v>
      </c>
      <c r="E112" s="4" t="s">
        <v>20</v>
      </c>
      <c r="I112" s="4" t="s">
        <v>582</v>
      </c>
      <c r="J112" s="4">
        <v>1</v>
      </c>
      <c r="K112" s="4" t="s">
        <v>545</v>
      </c>
    </row>
    <row r="113" spans="1:11" x14ac:dyDescent="0.2">
      <c r="A113" s="4" t="s">
        <v>632</v>
      </c>
      <c r="B113" s="4" t="s">
        <v>631</v>
      </c>
      <c r="C113" s="4" t="s">
        <v>638</v>
      </c>
      <c r="D113" s="2">
        <v>45066.132280092592</v>
      </c>
      <c r="E113" s="4" t="s">
        <v>20</v>
      </c>
      <c r="I113" s="4" t="s">
        <v>583</v>
      </c>
      <c r="J113" s="4">
        <v>0</v>
      </c>
      <c r="K113" s="4" t="s">
        <v>545</v>
      </c>
    </row>
    <row r="114" spans="1:11" x14ac:dyDescent="0.2">
      <c r="A114" s="4" t="s">
        <v>632</v>
      </c>
      <c r="B114" s="4" t="s">
        <v>631</v>
      </c>
      <c r="C114" s="4" t="s">
        <v>638</v>
      </c>
      <c r="D114" s="2">
        <v>45066.132280092592</v>
      </c>
      <c r="E114" s="4" t="s">
        <v>20</v>
      </c>
      <c r="I114" s="4" t="s">
        <v>584</v>
      </c>
      <c r="J114" s="4">
        <v>1</v>
      </c>
      <c r="K114" s="4" t="s">
        <v>545</v>
      </c>
    </row>
    <row r="115" spans="1:11" x14ac:dyDescent="0.2">
      <c r="A115" s="4" t="s">
        <v>632</v>
      </c>
      <c r="B115" s="4" t="s">
        <v>631</v>
      </c>
      <c r="C115" s="4" t="s">
        <v>638</v>
      </c>
      <c r="D115" s="2">
        <v>45066.132280092592</v>
      </c>
      <c r="E115" s="4" t="s">
        <v>20</v>
      </c>
      <c r="I115" s="4" t="s">
        <v>585</v>
      </c>
      <c r="J115" s="4">
        <v>1</v>
      </c>
      <c r="K115" s="4" t="s">
        <v>545</v>
      </c>
    </row>
    <row r="116" spans="1:11" x14ac:dyDescent="0.2">
      <c r="A116" s="4" t="s">
        <v>632</v>
      </c>
      <c r="B116" s="4" t="s">
        <v>631</v>
      </c>
      <c r="C116" s="4" t="s">
        <v>638</v>
      </c>
      <c r="D116" s="2">
        <v>45066.132280092592</v>
      </c>
      <c r="E116" s="4" t="s">
        <v>20</v>
      </c>
      <c r="I116" s="4" t="s">
        <v>586</v>
      </c>
      <c r="J116" s="4">
        <v>1</v>
      </c>
      <c r="K116" s="4" t="s">
        <v>545</v>
      </c>
    </row>
    <row r="117" spans="1:11" x14ac:dyDescent="0.2">
      <c r="A117" s="4" t="s">
        <v>632</v>
      </c>
      <c r="B117" s="4" t="s">
        <v>631</v>
      </c>
      <c r="C117" s="4" t="s">
        <v>638</v>
      </c>
      <c r="D117" s="2">
        <v>45066.132280092592</v>
      </c>
      <c r="E117" s="4" t="s">
        <v>20</v>
      </c>
      <c r="I117" s="4" t="s">
        <v>587</v>
      </c>
      <c r="J117" s="4">
        <v>0</v>
      </c>
      <c r="K117" s="4" t="s">
        <v>545</v>
      </c>
    </row>
    <row r="118" spans="1:11" x14ac:dyDescent="0.2">
      <c r="A118" s="4" t="s">
        <v>632</v>
      </c>
      <c r="B118" s="4" t="s">
        <v>631</v>
      </c>
      <c r="C118" s="4" t="s">
        <v>638</v>
      </c>
      <c r="D118" s="2">
        <v>45066.132280092592</v>
      </c>
      <c r="E118" s="4" t="s">
        <v>20</v>
      </c>
      <c r="I118" s="4" t="s">
        <v>588</v>
      </c>
      <c r="J118" s="4">
        <v>0</v>
      </c>
      <c r="K118" s="4" t="s">
        <v>545</v>
      </c>
    </row>
    <row r="119" spans="1:11" x14ac:dyDescent="0.2">
      <c r="A119" s="4" t="s">
        <v>632</v>
      </c>
      <c r="B119" s="4" t="s">
        <v>631</v>
      </c>
      <c r="C119" s="4" t="s">
        <v>638</v>
      </c>
      <c r="D119" s="2">
        <v>45066.132280092592</v>
      </c>
      <c r="E119" s="4" t="s">
        <v>20</v>
      </c>
      <c r="I119" s="4" t="s">
        <v>589</v>
      </c>
      <c r="J119" s="4">
        <v>1</v>
      </c>
      <c r="K119" s="4" t="s">
        <v>545</v>
      </c>
    </row>
    <row r="120" spans="1:11" x14ac:dyDescent="0.2">
      <c r="A120" s="4" t="s">
        <v>632</v>
      </c>
      <c r="B120" s="4" t="s">
        <v>631</v>
      </c>
      <c r="C120" s="4" t="s">
        <v>638</v>
      </c>
      <c r="D120" s="2">
        <v>45066.132280092592</v>
      </c>
      <c r="E120" s="4" t="s">
        <v>20</v>
      </c>
      <c r="I120" s="4" t="s">
        <v>590</v>
      </c>
      <c r="J120" s="4">
        <v>0</v>
      </c>
      <c r="K120" s="4" t="s">
        <v>545</v>
      </c>
    </row>
    <row r="121" spans="1:11" x14ac:dyDescent="0.2">
      <c r="A121" s="4" t="s">
        <v>632</v>
      </c>
      <c r="B121" s="4" t="s">
        <v>631</v>
      </c>
      <c r="C121" s="4" t="s">
        <v>638</v>
      </c>
      <c r="D121" s="2">
        <v>45066.132280092592</v>
      </c>
      <c r="E121" s="4" t="s">
        <v>20</v>
      </c>
      <c r="I121" s="4" t="s">
        <v>591</v>
      </c>
      <c r="J121" s="4">
        <v>1</v>
      </c>
      <c r="K121" s="4" t="s">
        <v>545</v>
      </c>
    </row>
    <row r="122" spans="1:11" x14ac:dyDescent="0.2">
      <c r="A122" s="4" t="s">
        <v>632</v>
      </c>
      <c r="B122" s="4" t="s">
        <v>631</v>
      </c>
      <c r="C122" s="4" t="s">
        <v>638</v>
      </c>
      <c r="D122" s="2">
        <v>45066.132280092592</v>
      </c>
      <c r="E122" s="4" t="s">
        <v>20</v>
      </c>
      <c r="I122" s="4" t="s">
        <v>592</v>
      </c>
      <c r="J122" s="4">
        <v>1</v>
      </c>
      <c r="K122" s="4" t="s">
        <v>545</v>
      </c>
    </row>
    <row r="123" spans="1:11" x14ac:dyDescent="0.2">
      <c r="A123" s="4" t="s">
        <v>632</v>
      </c>
      <c r="B123" s="4" t="s">
        <v>631</v>
      </c>
      <c r="C123" s="4" t="s">
        <v>638</v>
      </c>
      <c r="D123" s="2">
        <v>45066.132280092592</v>
      </c>
      <c r="E123" s="4" t="s">
        <v>20</v>
      </c>
      <c r="I123" s="4" t="s">
        <v>593</v>
      </c>
      <c r="J123" s="4">
        <v>0</v>
      </c>
      <c r="K123" s="4" t="s">
        <v>545</v>
      </c>
    </row>
    <row r="124" spans="1:11" x14ac:dyDescent="0.2">
      <c r="A124" s="4" t="s">
        <v>632</v>
      </c>
      <c r="B124" s="4" t="s">
        <v>631</v>
      </c>
      <c r="C124" s="4" t="s">
        <v>638</v>
      </c>
      <c r="D124" s="2">
        <v>45066.132280092592</v>
      </c>
      <c r="E124" s="4" t="s">
        <v>20</v>
      </c>
      <c r="I124" s="4" t="s">
        <v>594</v>
      </c>
      <c r="J124" s="4">
        <v>1</v>
      </c>
      <c r="K124" s="4" t="s">
        <v>545</v>
      </c>
    </row>
    <row r="125" spans="1:11" x14ac:dyDescent="0.2">
      <c r="A125" s="4" t="s">
        <v>632</v>
      </c>
      <c r="B125" s="4" t="s">
        <v>631</v>
      </c>
      <c r="C125" s="4" t="s">
        <v>638</v>
      </c>
      <c r="D125" s="2">
        <v>45066.132280092592</v>
      </c>
      <c r="E125" s="4" t="s">
        <v>541</v>
      </c>
    </row>
    <row r="126" spans="1:11" x14ac:dyDescent="0.2">
      <c r="A126" s="4" t="s">
        <v>632</v>
      </c>
      <c r="B126" s="4" t="s">
        <v>631</v>
      </c>
      <c r="C126" s="4" t="s">
        <v>638</v>
      </c>
      <c r="D126" s="2">
        <v>45066.132280092592</v>
      </c>
      <c r="E126" s="4" t="s">
        <v>541</v>
      </c>
    </row>
    <row r="127" spans="1:11" x14ac:dyDescent="0.2">
      <c r="A127" s="4" t="s">
        <v>632</v>
      </c>
      <c r="B127" s="4" t="s">
        <v>631</v>
      </c>
      <c r="C127" s="4" t="s">
        <v>638</v>
      </c>
      <c r="D127" s="2">
        <v>45066.132280092592</v>
      </c>
      <c r="E127" s="4" t="s">
        <v>541</v>
      </c>
    </row>
    <row r="128" spans="1:11" x14ac:dyDescent="0.2">
      <c r="A128" s="4" t="s">
        <v>632</v>
      </c>
      <c r="B128" s="4" t="s">
        <v>631</v>
      </c>
      <c r="C128" s="4" t="s">
        <v>638</v>
      </c>
      <c r="D128" s="2">
        <v>45066.132175925923</v>
      </c>
      <c r="E128" s="4" t="s">
        <v>541</v>
      </c>
    </row>
    <row r="129" spans="1:11" x14ac:dyDescent="0.2">
      <c r="A129" s="4" t="s">
        <v>632</v>
      </c>
      <c r="B129" s="4" t="s">
        <v>631</v>
      </c>
      <c r="C129" s="4" t="s">
        <v>638</v>
      </c>
      <c r="D129" s="2">
        <v>45066.132175925923</v>
      </c>
      <c r="E129" s="4" t="s">
        <v>541</v>
      </c>
    </row>
    <row r="130" spans="1:11" x14ac:dyDescent="0.2">
      <c r="A130" s="4" t="s">
        <v>632</v>
      </c>
      <c r="B130" s="4" t="s">
        <v>631</v>
      </c>
      <c r="C130" s="4" t="s">
        <v>638</v>
      </c>
      <c r="D130" s="2">
        <v>45066.132175925923</v>
      </c>
      <c r="E130" s="4" t="s">
        <v>20</v>
      </c>
      <c r="I130" s="4" t="s">
        <v>595</v>
      </c>
      <c r="J130" s="4">
        <v>0</v>
      </c>
      <c r="K130" s="4" t="s">
        <v>549</v>
      </c>
    </row>
    <row r="131" spans="1:11" x14ac:dyDescent="0.2">
      <c r="A131" s="4" t="s">
        <v>632</v>
      </c>
      <c r="B131" s="4" t="s">
        <v>631</v>
      </c>
      <c r="C131" s="4" t="s">
        <v>638</v>
      </c>
      <c r="D131" s="2">
        <v>45066.132175925923</v>
      </c>
      <c r="E131" s="4" t="s">
        <v>20</v>
      </c>
      <c r="I131" s="4" t="s">
        <v>568</v>
      </c>
      <c r="J131" s="4">
        <v>58.814999999999998</v>
      </c>
      <c r="K131" s="4" t="s">
        <v>569</v>
      </c>
    </row>
    <row r="132" spans="1:11" x14ac:dyDescent="0.2">
      <c r="A132" s="4" t="s">
        <v>632</v>
      </c>
      <c r="B132" s="4" t="s">
        <v>631</v>
      </c>
      <c r="C132" s="4" t="s">
        <v>638</v>
      </c>
      <c r="D132" s="2">
        <v>45066.132175925923</v>
      </c>
      <c r="E132" s="4" t="s">
        <v>541</v>
      </c>
    </row>
    <row r="133" spans="1:11" x14ac:dyDescent="0.2">
      <c r="A133" s="4" t="s">
        <v>632</v>
      </c>
      <c r="B133" s="4" t="s">
        <v>631</v>
      </c>
      <c r="C133" s="4" t="s">
        <v>638</v>
      </c>
      <c r="D133" s="2">
        <v>45066.132175925923</v>
      </c>
      <c r="E133" s="4" t="s">
        <v>20</v>
      </c>
      <c r="I133" s="4" t="s">
        <v>563</v>
      </c>
      <c r="J133" s="4">
        <v>1.9444444446000001E-3</v>
      </c>
      <c r="K133" s="4" t="s">
        <v>564</v>
      </c>
    </row>
    <row r="134" spans="1:11" x14ac:dyDescent="0.2">
      <c r="A134" s="4" t="s">
        <v>632</v>
      </c>
      <c r="B134" s="4" t="s">
        <v>631</v>
      </c>
      <c r="C134" s="4" t="s">
        <v>638</v>
      </c>
      <c r="D134" s="2">
        <v>45066.132303240738</v>
      </c>
      <c r="E134" s="4" t="s">
        <v>20</v>
      </c>
      <c r="I134" s="4" t="s">
        <v>568</v>
      </c>
      <c r="J134" s="4">
        <v>59.991300000000003</v>
      </c>
      <c r="K134" s="4" t="s">
        <v>569</v>
      </c>
    </row>
    <row r="135" spans="1:11" x14ac:dyDescent="0.2">
      <c r="A135" s="4" t="s">
        <v>632</v>
      </c>
      <c r="B135" s="4" t="s">
        <v>631</v>
      </c>
      <c r="C135" s="4" t="s">
        <v>638</v>
      </c>
      <c r="D135" s="2">
        <v>45066.132303240738</v>
      </c>
      <c r="E135" s="4" t="s">
        <v>20</v>
      </c>
      <c r="I135" s="4" t="s">
        <v>554</v>
      </c>
      <c r="J135" s="4">
        <v>0</v>
      </c>
      <c r="K135" s="4" t="s">
        <v>545</v>
      </c>
    </row>
    <row r="136" spans="1:11" x14ac:dyDescent="0.2">
      <c r="A136" s="4" t="s">
        <v>632</v>
      </c>
      <c r="B136" s="4" t="s">
        <v>631</v>
      </c>
      <c r="C136" s="4" t="s">
        <v>638</v>
      </c>
      <c r="D136" s="2">
        <v>45066.132303240738</v>
      </c>
      <c r="E136" s="4" t="s">
        <v>541</v>
      </c>
    </row>
    <row r="137" spans="1:11" x14ac:dyDescent="0.2">
      <c r="A137" s="4" t="s">
        <v>632</v>
      </c>
      <c r="B137" s="4" t="s">
        <v>631</v>
      </c>
      <c r="C137" s="4" t="s">
        <v>638</v>
      </c>
      <c r="D137" s="2">
        <v>45066.132314814815</v>
      </c>
      <c r="E137" s="4" t="s">
        <v>20</v>
      </c>
      <c r="I137" s="4" t="s">
        <v>568</v>
      </c>
      <c r="J137" s="4">
        <v>58.030799999999999</v>
      </c>
      <c r="K137" s="4" t="s">
        <v>569</v>
      </c>
    </row>
    <row r="138" spans="1:11" x14ac:dyDescent="0.2">
      <c r="A138" s="4" t="s">
        <v>632</v>
      </c>
      <c r="B138" s="4" t="s">
        <v>631</v>
      </c>
      <c r="C138" s="4" t="s">
        <v>638</v>
      </c>
      <c r="D138" s="2">
        <v>45066.132314814815</v>
      </c>
      <c r="E138" s="4" t="s">
        <v>20</v>
      </c>
      <c r="I138" s="4" t="s">
        <v>553</v>
      </c>
      <c r="J138" s="4">
        <v>1</v>
      </c>
      <c r="K138" s="4" t="s">
        <v>545</v>
      </c>
    </row>
    <row r="139" spans="1:11" x14ac:dyDescent="0.2">
      <c r="A139" s="4" t="s">
        <v>632</v>
      </c>
      <c r="B139" s="4" t="s">
        <v>631</v>
      </c>
      <c r="C139" s="4" t="s">
        <v>638</v>
      </c>
      <c r="D139" s="2">
        <v>45066.132314814815</v>
      </c>
      <c r="E139" s="4" t="s">
        <v>20</v>
      </c>
      <c r="I139" s="4" t="s">
        <v>596</v>
      </c>
      <c r="J139" s="4">
        <v>-1</v>
      </c>
      <c r="K139" s="4" t="s">
        <v>545</v>
      </c>
    </row>
    <row r="140" spans="1:11" x14ac:dyDescent="0.2">
      <c r="A140" s="4" t="s">
        <v>632</v>
      </c>
      <c r="B140" s="4" t="s">
        <v>631</v>
      </c>
      <c r="C140" s="4" t="s">
        <v>638</v>
      </c>
      <c r="D140" s="2">
        <v>45066.132314814815</v>
      </c>
      <c r="E140" s="4" t="s">
        <v>541</v>
      </c>
    </row>
    <row r="141" spans="1:11" x14ac:dyDescent="0.2">
      <c r="A141" s="4" t="s">
        <v>632</v>
      </c>
      <c r="B141" s="4" t="s">
        <v>631</v>
      </c>
      <c r="C141" s="4" t="s">
        <v>638</v>
      </c>
      <c r="D141" s="2">
        <v>45066.132326388892</v>
      </c>
      <c r="E141" s="4" t="s">
        <v>19</v>
      </c>
      <c r="F141" s="4" t="s">
        <v>647</v>
      </c>
      <c r="G141" s="4">
        <v>-39.421039999999998</v>
      </c>
      <c r="H141" s="4">
        <v>33.736870000000003</v>
      </c>
    </row>
    <row r="142" spans="1:11" x14ac:dyDescent="0.2">
      <c r="A142" s="4" t="s">
        <v>632</v>
      </c>
      <c r="B142" s="4" t="s">
        <v>631</v>
      </c>
      <c r="C142" s="4" t="s">
        <v>638</v>
      </c>
      <c r="D142" s="2">
        <v>45066.132326388892</v>
      </c>
      <c r="E142" s="4" t="s">
        <v>20</v>
      </c>
      <c r="I142" s="4" t="s">
        <v>557</v>
      </c>
      <c r="J142" s="4">
        <v>1</v>
      </c>
      <c r="K142" s="4" t="s">
        <v>7</v>
      </c>
    </row>
    <row r="143" spans="1:11" x14ac:dyDescent="0.2">
      <c r="A143" s="4" t="s">
        <v>632</v>
      </c>
      <c r="B143" s="4" t="s">
        <v>631</v>
      </c>
      <c r="C143" s="4" t="s">
        <v>638</v>
      </c>
      <c r="D143" s="2">
        <v>45066.132326388892</v>
      </c>
      <c r="E143" s="4" t="s">
        <v>541</v>
      </c>
    </row>
    <row r="144" spans="1:11" x14ac:dyDescent="0.2">
      <c r="A144" s="4" t="s">
        <v>632</v>
      </c>
      <c r="B144" s="4" t="s">
        <v>631</v>
      </c>
      <c r="C144" s="4" t="s">
        <v>638</v>
      </c>
      <c r="D144" s="2">
        <v>45066.132326388892</v>
      </c>
      <c r="E144" s="4" t="s">
        <v>541</v>
      </c>
    </row>
    <row r="145" spans="1:11" x14ac:dyDescent="0.2">
      <c r="A145" s="4" t="s">
        <v>632</v>
      </c>
      <c r="B145" s="4" t="s">
        <v>631</v>
      </c>
      <c r="C145" s="4" t="s">
        <v>638</v>
      </c>
      <c r="D145" s="2">
        <v>45066.132326388892</v>
      </c>
      <c r="E145" s="4" t="s">
        <v>20</v>
      </c>
      <c r="I145" s="4" t="s">
        <v>597</v>
      </c>
      <c r="J145" s="4">
        <v>2.7777777780000003E-3</v>
      </c>
      <c r="K145" s="4" t="s">
        <v>564</v>
      </c>
    </row>
    <row r="146" spans="1:11" x14ac:dyDescent="0.2">
      <c r="A146" s="4" t="s">
        <v>632</v>
      </c>
      <c r="B146" s="4" t="s">
        <v>631</v>
      </c>
      <c r="C146" s="4" t="s">
        <v>638</v>
      </c>
      <c r="D146" s="2">
        <v>45066.132326388892</v>
      </c>
      <c r="E146" s="4" t="s">
        <v>20</v>
      </c>
      <c r="I146" s="4" t="s">
        <v>598</v>
      </c>
      <c r="J146" s="4">
        <v>1E-3</v>
      </c>
      <c r="K146" s="4" t="s">
        <v>599</v>
      </c>
    </row>
    <row r="147" spans="1:11" x14ac:dyDescent="0.2">
      <c r="A147" s="4" t="s">
        <v>632</v>
      </c>
      <c r="B147" s="4" t="s">
        <v>631</v>
      </c>
      <c r="C147" s="4" t="s">
        <v>638</v>
      </c>
      <c r="D147" s="2">
        <v>45066.132326388892</v>
      </c>
      <c r="E147" s="4" t="s">
        <v>541</v>
      </c>
    </row>
    <row r="148" spans="1:11" x14ac:dyDescent="0.2">
      <c r="A148" s="4" t="s">
        <v>632</v>
      </c>
      <c r="B148" s="4" t="s">
        <v>631</v>
      </c>
      <c r="C148" s="4" t="s">
        <v>638</v>
      </c>
      <c r="D148" s="2">
        <v>45066.132326388892</v>
      </c>
      <c r="E148" s="4" t="s">
        <v>541</v>
      </c>
    </row>
    <row r="149" spans="1:11" x14ac:dyDescent="0.2">
      <c r="A149" s="4" t="s">
        <v>632</v>
      </c>
      <c r="B149" s="4" t="s">
        <v>631</v>
      </c>
      <c r="C149" s="4" t="s">
        <v>638</v>
      </c>
      <c r="D149" s="2">
        <v>45066.132326388892</v>
      </c>
      <c r="E149" s="4" t="s">
        <v>541</v>
      </c>
    </row>
    <row r="150" spans="1:11" x14ac:dyDescent="0.2">
      <c r="A150" s="4" t="s">
        <v>632</v>
      </c>
      <c r="B150" s="4" t="s">
        <v>631</v>
      </c>
      <c r="C150" s="4" t="s">
        <v>638</v>
      </c>
      <c r="D150" s="2">
        <v>45066.132337962961</v>
      </c>
      <c r="E150" s="4" t="s">
        <v>20</v>
      </c>
      <c r="I150" s="4" t="s">
        <v>557</v>
      </c>
      <c r="J150" s="4">
        <v>2</v>
      </c>
      <c r="K150" s="4" t="s">
        <v>7</v>
      </c>
    </row>
    <row r="151" spans="1:11" x14ac:dyDescent="0.2">
      <c r="A151" s="4" t="s">
        <v>632</v>
      </c>
      <c r="B151" s="4" t="s">
        <v>631</v>
      </c>
      <c r="C151" s="4" t="s">
        <v>638</v>
      </c>
      <c r="D151" s="2">
        <v>45066.132337962961</v>
      </c>
      <c r="E151" s="4" t="s">
        <v>541</v>
      </c>
    </row>
    <row r="152" spans="1:11" x14ac:dyDescent="0.2">
      <c r="A152" s="4" t="s">
        <v>632</v>
      </c>
      <c r="B152" s="4" t="s">
        <v>631</v>
      </c>
      <c r="C152" s="4" t="s">
        <v>638</v>
      </c>
      <c r="D152" s="2">
        <v>45066.132337962961</v>
      </c>
      <c r="E152" s="4" t="s">
        <v>19</v>
      </c>
      <c r="F152" s="4" t="s">
        <v>647</v>
      </c>
      <c r="G152" s="4">
        <v>-39.421039999999998</v>
      </c>
      <c r="H152" s="4">
        <v>33.736870000000003</v>
      </c>
    </row>
    <row r="153" spans="1:11" x14ac:dyDescent="0.2">
      <c r="A153" s="4" t="s">
        <v>632</v>
      </c>
      <c r="B153" s="4" t="s">
        <v>631</v>
      </c>
      <c r="C153" s="4" t="s">
        <v>638</v>
      </c>
      <c r="D153" s="2">
        <v>45066.132337962961</v>
      </c>
      <c r="E153" s="4" t="s">
        <v>20</v>
      </c>
      <c r="I153" s="4" t="s">
        <v>596</v>
      </c>
      <c r="J153" s="4">
        <v>0</v>
      </c>
      <c r="K153" s="4" t="s">
        <v>545</v>
      </c>
    </row>
    <row r="154" spans="1:11" x14ac:dyDescent="0.2">
      <c r="A154" s="4" t="s">
        <v>632</v>
      </c>
      <c r="B154" s="4" t="s">
        <v>631</v>
      </c>
      <c r="C154" s="4" t="s">
        <v>638</v>
      </c>
      <c r="D154" s="2">
        <v>45066.132337962961</v>
      </c>
      <c r="E154" s="4" t="s">
        <v>541</v>
      </c>
    </row>
    <row r="155" spans="1:11" x14ac:dyDescent="0.2">
      <c r="A155" s="4" t="s">
        <v>632</v>
      </c>
      <c r="B155" s="4" t="s">
        <v>631</v>
      </c>
      <c r="C155" s="4" t="s">
        <v>638</v>
      </c>
      <c r="D155" s="2">
        <v>45066.132349537038</v>
      </c>
      <c r="E155" s="4" t="s">
        <v>541</v>
      </c>
    </row>
    <row r="156" spans="1:11" x14ac:dyDescent="0.2">
      <c r="A156" s="4" t="s">
        <v>632</v>
      </c>
      <c r="B156" s="4" t="s">
        <v>631</v>
      </c>
      <c r="C156" s="4" t="s">
        <v>638</v>
      </c>
      <c r="D156" s="2">
        <v>45066.132349537038</v>
      </c>
      <c r="E156" s="4" t="s">
        <v>541</v>
      </c>
    </row>
    <row r="157" spans="1:11" x14ac:dyDescent="0.2">
      <c r="A157" s="4" t="s">
        <v>632</v>
      </c>
      <c r="B157" s="4" t="s">
        <v>631</v>
      </c>
      <c r="C157" s="4" t="s">
        <v>638</v>
      </c>
      <c r="D157" s="2">
        <v>45066.132349537038</v>
      </c>
      <c r="E157" s="4" t="s">
        <v>541</v>
      </c>
    </row>
    <row r="158" spans="1:11" x14ac:dyDescent="0.2">
      <c r="A158" s="4" t="s">
        <v>632</v>
      </c>
      <c r="B158" s="4" t="s">
        <v>631</v>
      </c>
      <c r="C158" s="4" t="s">
        <v>638</v>
      </c>
      <c r="D158" s="2">
        <v>45066.132349537038</v>
      </c>
      <c r="E158" s="4" t="s">
        <v>541</v>
      </c>
    </row>
    <row r="159" spans="1:11" x14ac:dyDescent="0.2">
      <c r="A159" s="4" t="s">
        <v>632</v>
      </c>
      <c r="B159" s="4" t="s">
        <v>631</v>
      </c>
      <c r="C159" s="4" t="s">
        <v>638</v>
      </c>
      <c r="D159" s="2">
        <v>45066.132361111115</v>
      </c>
      <c r="E159" s="4" t="s">
        <v>541</v>
      </c>
    </row>
    <row r="160" spans="1:11" x14ac:dyDescent="0.2">
      <c r="A160" s="4" t="s">
        <v>632</v>
      </c>
      <c r="B160" s="4" t="s">
        <v>631</v>
      </c>
      <c r="C160" s="4" t="s">
        <v>638</v>
      </c>
      <c r="D160" s="2">
        <v>45066.132361111115</v>
      </c>
      <c r="E160" s="4" t="s">
        <v>541</v>
      </c>
    </row>
    <row r="161" spans="1:11" x14ac:dyDescent="0.2">
      <c r="A161" s="4" t="s">
        <v>632</v>
      </c>
      <c r="B161" s="4" t="s">
        <v>631</v>
      </c>
      <c r="C161" s="4" t="s">
        <v>638</v>
      </c>
      <c r="D161" s="2">
        <v>45066.132372685184</v>
      </c>
      <c r="E161" s="4" t="s">
        <v>541</v>
      </c>
    </row>
    <row r="162" spans="1:11" x14ac:dyDescent="0.2">
      <c r="A162" s="4" t="s">
        <v>632</v>
      </c>
      <c r="B162" s="4" t="s">
        <v>631</v>
      </c>
      <c r="C162" s="4" t="s">
        <v>638</v>
      </c>
      <c r="D162" s="2">
        <v>45066.132372685184</v>
      </c>
      <c r="E162" s="4" t="s">
        <v>541</v>
      </c>
    </row>
    <row r="163" spans="1:11" x14ac:dyDescent="0.2">
      <c r="A163" s="4" t="s">
        <v>632</v>
      </c>
      <c r="B163" s="4" t="s">
        <v>631</v>
      </c>
      <c r="C163" s="4" t="s">
        <v>638</v>
      </c>
      <c r="D163" s="2">
        <v>45066.132372685184</v>
      </c>
      <c r="E163" s="4" t="s">
        <v>541</v>
      </c>
    </row>
    <row r="164" spans="1:11" x14ac:dyDescent="0.2">
      <c r="A164" s="4" t="s">
        <v>632</v>
      </c>
      <c r="B164" s="4" t="s">
        <v>631</v>
      </c>
      <c r="C164" s="4" t="s">
        <v>638</v>
      </c>
      <c r="D164" s="2">
        <v>45066.132384259261</v>
      </c>
      <c r="E164" s="4" t="s">
        <v>541</v>
      </c>
    </row>
    <row r="165" spans="1:11" x14ac:dyDescent="0.2">
      <c r="A165" s="4" t="s">
        <v>632</v>
      </c>
      <c r="B165" s="4" t="s">
        <v>631</v>
      </c>
      <c r="C165" s="4" t="s">
        <v>638</v>
      </c>
      <c r="D165" s="2">
        <v>45066.132384259261</v>
      </c>
      <c r="E165" s="4" t="s">
        <v>20</v>
      </c>
      <c r="I165" s="4" t="s">
        <v>600</v>
      </c>
      <c r="J165" s="4">
        <v>13.466221809387207</v>
      </c>
      <c r="K165" s="4" t="s">
        <v>543</v>
      </c>
    </row>
    <row r="166" spans="1:11" x14ac:dyDescent="0.2">
      <c r="A166" s="4" t="s">
        <v>632</v>
      </c>
      <c r="B166" s="4" t="s">
        <v>631</v>
      </c>
      <c r="C166" s="4" t="s">
        <v>638</v>
      </c>
      <c r="D166" s="2">
        <v>45066.132395833331</v>
      </c>
      <c r="E166" s="4" t="s">
        <v>541</v>
      </c>
    </row>
    <row r="167" spans="1:11" x14ac:dyDescent="0.2">
      <c r="A167" s="4" t="s">
        <v>632</v>
      </c>
      <c r="B167" s="4" t="s">
        <v>631</v>
      </c>
      <c r="C167" s="4" t="s">
        <v>638</v>
      </c>
      <c r="D167" s="2">
        <v>45066.132395833331</v>
      </c>
      <c r="E167" s="4" t="s">
        <v>541</v>
      </c>
    </row>
    <row r="168" spans="1:11" x14ac:dyDescent="0.2">
      <c r="A168" s="4" t="s">
        <v>632</v>
      </c>
      <c r="B168" s="4" t="s">
        <v>631</v>
      </c>
      <c r="C168" s="4" t="s">
        <v>638</v>
      </c>
      <c r="D168" s="2">
        <v>45066.132395833331</v>
      </c>
      <c r="E168" s="4" t="s">
        <v>541</v>
      </c>
    </row>
    <row r="169" spans="1:11" x14ac:dyDescent="0.2">
      <c r="A169" s="4" t="s">
        <v>632</v>
      </c>
      <c r="B169" s="4" t="s">
        <v>631</v>
      </c>
      <c r="C169" s="4" t="s">
        <v>638</v>
      </c>
      <c r="D169" s="2">
        <v>45066.132060185184</v>
      </c>
      <c r="E169" s="4" t="s">
        <v>541</v>
      </c>
    </row>
    <row r="170" spans="1:11" x14ac:dyDescent="0.2">
      <c r="A170" s="4" t="s">
        <v>632</v>
      </c>
      <c r="B170" s="4" t="s">
        <v>631</v>
      </c>
      <c r="C170" s="4" t="s">
        <v>638</v>
      </c>
      <c r="D170" s="2">
        <v>45066.132060185184</v>
      </c>
      <c r="E170" s="4" t="s">
        <v>541</v>
      </c>
    </row>
    <row r="171" spans="1:11" x14ac:dyDescent="0.2">
      <c r="A171" s="4" t="s">
        <v>632</v>
      </c>
      <c r="B171" s="4" t="s">
        <v>631</v>
      </c>
      <c r="C171" s="4" t="s">
        <v>638</v>
      </c>
      <c r="D171" s="2">
        <v>45066.132060185184</v>
      </c>
      <c r="E171" s="4" t="s">
        <v>541</v>
      </c>
    </row>
    <row r="172" spans="1:11" x14ac:dyDescent="0.2">
      <c r="A172" s="4" t="s">
        <v>632</v>
      </c>
      <c r="B172" s="4" t="s">
        <v>631</v>
      </c>
      <c r="C172" s="4" t="s">
        <v>638</v>
      </c>
      <c r="D172" s="2">
        <v>45066.132418981484</v>
      </c>
      <c r="E172" s="4" t="s">
        <v>19</v>
      </c>
      <c r="F172" s="4" t="s">
        <v>647</v>
      </c>
      <c r="G172" s="4">
        <v>-39.421059999999997</v>
      </c>
      <c r="H172" s="4">
        <v>33.736919999999998</v>
      </c>
    </row>
    <row r="173" spans="1:11" x14ac:dyDescent="0.2">
      <c r="A173" s="4" t="s">
        <v>632</v>
      </c>
      <c r="B173" s="4" t="s">
        <v>631</v>
      </c>
      <c r="C173" s="4" t="s">
        <v>638</v>
      </c>
      <c r="D173" s="2">
        <v>45066.132418981484</v>
      </c>
      <c r="E173" s="4" t="s">
        <v>541</v>
      </c>
    </row>
    <row r="174" spans="1:11" x14ac:dyDescent="0.2">
      <c r="A174" s="4" t="s">
        <v>632</v>
      </c>
      <c r="B174" s="4" t="s">
        <v>631</v>
      </c>
      <c r="C174" s="4" t="s">
        <v>638</v>
      </c>
      <c r="D174" s="2">
        <v>45066.132418981484</v>
      </c>
      <c r="E174" s="4" t="s">
        <v>20</v>
      </c>
      <c r="I174" s="4" t="s">
        <v>601</v>
      </c>
      <c r="J174" s="4">
        <v>1</v>
      </c>
      <c r="K174" s="4" t="s">
        <v>545</v>
      </c>
    </row>
    <row r="175" spans="1:11" x14ac:dyDescent="0.2">
      <c r="A175" s="4" t="s">
        <v>632</v>
      </c>
      <c r="B175" s="4" t="s">
        <v>631</v>
      </c>
      <c r="C175" s="4" t="s">
        <v>638</v>
      </c>
      <c r="D175" s="2">
        <v>45066.132418981484</v>
      </c>
      <c r="E175" s="4" t="s">
        <v>541</v>
      </c>
    </row>
    <row r="176" spans="1:11" x14ac:dyDescent="0.2">
      <c r="A176" s="4" t="s">
        <v>632</v>
      </c>
      <c r="B176" s="4" t="s">
        <v>631</v>
      </c>
      <c r="C176" s="4" t="s">
        <v>638</v>
      </c>
      <c r="D176" s="2">
        <v>45066.132418981484</v>
      </c>
      <c r="E176" s="4" t="s">
        <v>541</v>
      </c>
    </row>
    <row r="177" spans="1:11" x14ac:dyDescent="0.2">
      <c r="A177" s="4" t="s">
        <v>632</v>
      </c>
      <c r="B177" s="4" t="s">
        <v>631</v>
      </c>
      <c r="C177" s="4" t="s">
        <v>638</v>
      </c>
      <c r="D177" s="2">
        <v>45066.132418981484</v>
      </c>
      <c r="E177" s="4" t="s">
        <v>541</v>
      </c>
    </row>
    <row r="178" spans="1:11" x14ac:dyDescent="0.2">
      <c r="A178" s="4" t="s">
        <v>632</v>
      </c>
      <c r="B178" s="4" t="s">
        <v>631</v>
      </c>
      <c r="C178" s="4" t="s">
        <v>638</v>
      </c>
      <c r="D178" s="2">
        <v>45066.132418981484</v>
      </c>
      <c r="E178" s="4" t="s">
        <v>19</v>
      </c>
      <c r="F178" s="4" t="s">
        <v>647</v>
      </c>
      <c r="G178" s="4">
        <v>-39.421059999999997</v>
      </c>
      <c r="H178" s="4">
        <v>33.736919999999998</v>
      </c>
    </row>
    <row r="179" spans="1:11" x14ac:dyDescent="0.2">
      <c r="A179" s="4" t="s">
        <v>632</v>
      </c>
      <c r="B179" s="4" t="s">
        <v>631</v>
      </c>
      <c r="C179" s="4" t="s">
        <v>638</v>
      </c>
      <c r="D179" s="2">
        <v>45066.132418981484</v>
      </c>
      <c r="E179" s="4" t="s">
        <v>541</v>
      </c>
    </row>
    <row r="180" spans="1:11" x14ac:dyDescent="0.2">
      <c r="A180" s="4" t="s">
        <v>632</v>
      </c>
      <c r="B180" s="4" t="s">
        <v>631</v>
      </c>
      <c r="C180" s="4" t="s">
        <v>638</v>
      </c>
      <c r="D180" s="2">
        <v>45066.132430555554</v>
      </c>
      <c r="E180" s="4" t="s">
        <v>541</v>
      </c>
    </row>
    <row r="181" spans="1:11" x14ac:dyDescent="0.2">
      <c r="A181" s="4" t="s">
        <v>632</v>
      </c>
      <c r="B181" s="4" t="s">
        <v>631</v>
      </c>
      <c r="C181" s="4" t="s">
        <v>638</v>
      </c>
      <c r="D181" s="2">
        <v>45066.132430555554</v>
      </c>
      <c r="E181" s="4" t="s">
        <v>541</v>
      </c>
    </row>
    <row r="182" spans="1:11" x14ac:dyDescent="0.2">
      <c r="A182" s="4" t="s">
        <v>632</v>
      </c>
      <c r="B182" s="4" t="s">
        <v>631</v>
      </c>
      <c r="C182" s="4" t="s">
        <v>638</v>
      </c>
      <c r="D182" s="2">
        <v>45066.132430555554</v>
      </c>
      <c r="E182" s="4" t="s">
        <v>541</v>
      </c>
    </row>
    <row r="183" spans="1:11" x14ac:dyDescent="0.2">
      <c r="A183" s="4" t="s">
        <v>632</v>
      </c>
      <c r="B183" s="4" t="s">
        <v>631</v>
      </c>
      <c r="C183" s="4" t="s">
        <v>638</v>
      </c>
      <c r="D183" s="2">
        <v>45066.13244212963</v>
      </c>
      <c r="E183" s="4" t="s">
        <v>541</v>
      </c>
    </row>
    <row r="184" spans="1:11" x14ac:dyDescent="0.2">
      <c r="A184" s="4" t="s">
        <v>632</v>
      </c>
      <c r="B184" s="4" t="s">
        <v>631</v>
      </c>
      <c r="C184" s="4" t="s">
        <v>638</v>
      </c>
      <c r="D184" s="2">
        <v>45066.13244212963</v>
      </c>
      <c r="E184" s="4" t="s">
        <v>541</v>
      </c>
    </row>
    <row r="185" spans="1:11" x14ac:dyDescent="0.2">
      <c r="A185" s="4" t="s">
        <v>632</v>
      </c>
      <c r="B185" s="4" t="s">
        <v>631</v>
      </c>
      <c r="C185" s="4" t="s">
        <v>638</v>
      </c>
      <c r="D185" s="2">
        <v>45066.13244212963</v>
      </c>
      <c r="E185" s="4" t="s">
        <v>541</v>
      </c>
    </row>
    <row r="186" spans="1:11" x14ac:dyDescent="0.2">
      <c r="A186" s="4" t="s">
        <v>632</v>
      </c>
      <c r="B186" s="4" t="s">
        <v>631</v>
      </c>
      <c r="C186" s="4" t="s">
        <v>638</v>
      </c>
      <c r="D186" s="2">
        <v>45066.13244212963</v>
      </c>
      <c r="E186" s="4" t="s">
        <v>541</v>
      </c>
    </row>
    <row r="187" spans="1:11" x14ac:dyDescent="0.2">
      <c r="A187" s="4" t="s">
        <v>632</v>
      </c>
      <c r="B187" s="4" t="s">
        <v>631</v>
      </c>
      <c r="C187" s="4" t="s">
        <v>638</v>
      </c>
      <c r="D187" s="2">
        <v>45066.13244212963</v>
      </c>
      <c r="E187" s="4" t="s">
        <v>541</v>
      </c>
    </row>
    <row r="188" spans="1:11" x14ac:dyDescent="0.2">
      <c r="A188" s="4" t="s">
        <v>632</v>
      </c>
      <c r="B188" s="4" t="s">
        <v>631</v>
      </c>
      <c r="C188" s="4" t="s">
        <v>638</v>
      </c>
      <c r="D188" s="2">
        <v>45066.13244212963</v>
      </c>
      <c r="E188" s="4" t="s">
        <v>19</v>
      </c>
      <c r="F188" s="4" t="s">
        <v>647</v>
      </c>
      <c r="G188" s="4">
        <v>-39.421080000000003</v>
      </c>
      <c r="H188" s="4">
        <v>33.736919999999998</v>
      </c>
    </row>
    <row r="189" spans="1:11" x14ac:dyDescent="0.2">
      <c r="A189" s="4" t="s">
        <v>632</v>
      </c>
      <c r="B189" s="4" t="s">
        <v>631</v>
      </c>
      <c r="C189" s="4" t="s">
        <v>638</v>
      </c>
      <c r="D189" s="2">
        <v>45066.13244212963</v>
      </c>
      <c r="E189" s="4" t="s">
        <v>541</v>
      </c>
    </row>
    <row r="190" spans="1:11" x14ac:dyDescent="0.2">
      <c r="A190" s="4" t="s">
        <v>632</v>
      </c>
      <c r="B190" s="4" t="s">
        <v>631</v>
      </c>
      <c r="C190" s="4" t="s">
        <v>638</v>
      </c>
      <c r="D190" s="2">
        <v>45066.13244212963</v>
      </c>
      <c r="E190" s="4" t="s">
        <v>20</v>
      </c>
      <c r="I190" s="4" t="s">
        <v>557</v>
      </c>
      <c r="J190" s="4">
        <v>0</v>
      </c>
      <c r="K190" s="4" t="s">
        <v>7</v>
      </c>
    </row>
    <row r="191" spans="1:11" x14ac:dyDescent="0.2">
      <c r="A191" s="4" t="s">
        <v>632</v>
      </c>
      <c r="B191" s="4" t="s">
        <v>631</v>
      </c>
      <c r="C191" s="4" t="s">
        <v>638</v>
      </c>
      <c r="D191" s="2">
        <v>45066.132453703707</v>
      </c>
      <c r="E191" s="4" t="s">
        <v>20</v>
      </c>
      <c r="I191" s="4" t="s">
        <v>557</v>
      </c>
      <c r="J191" s="4">
        <v>0</v>
      </c>
      <c r="K191" s="4" t="s">
        <v>7</v>
      </c>
    </row>
    <row r="192" spans="1:11" x14ac:dyDescent="0.2">
      <c r="A192" s="4" t="s">
        <v>632</v>
      </c>
      <c r="B192" s="4" t="s">
        <v>631</v>
      </c>
      <c r="C192" s="4" t="s">
        <v>638</v>
      </c>
      <c r="D192" s="2">
        <v>45066.132453703707</v>
      </c>
      <c r="E192" s="4" t="s">
        <v>19</v>
      </c>
      <c r="F192" s="4" t="s">
        <v>647</v>
      </c>
      <c r="G192" s="4">
        <v>-39.421080000000003</v>
      </c>
      <c r="H192" s="4">
        <v>33.736919999999998</v>
      </c>
    </row>
    <row r="193" spans="1:11" x14ac:dyDescent="0.2">
      <c r="A193" s="4" t="s">
        <v>632</v>
      </c>
      <c r="B193" s="4" t="s">
        <v>631</v>
      </c>
      <c r="C193" s="4" t="s">
        <v>638</v>
      </c>
      <c r="D193" s="2">
        <v>45066.132453703707</v>
      </c>
      <c r="E193" s="4" t="s">
        <v>20</v>
      </c>
      <c r="I193" s="4" t="s">
        <v>568</v>
      </c>
      <c r="J193" s="4">
        <v>61.1676</v>
      </c>
      <c r="K193" s="4" t="s">
        <v>569</v>
      </c>
    </row>
    <row r="194" spans="1:11" x14ac:dyDescent="0.2">
      <c r="A194" s="4" t="s">
        <v>632</v>
      </c>
      <c r="B194" s="4" t="s">
        <v>631</v>
      </c>
      <c r="C194" s="4" t="s">
        <v>638</v>
      </c>
      <c r="D194" s="2">
        <v>45066.132453703707</v>
      </c>
      <c r="E194" s="4" t="s">
        <v>20</v>
      </c>
      <c r="I194" s="4" t="s">
        <v>563</v>
      </c>
      <c r="J194" s="4">
        <v>2.7777777780000003E-3</v>
      </c>
      <c r="K194" s="4" t="s">
        <v>564</v>
      </c>
    </row>
    <row r="195" spans="1:11" x14ac:dyDescent="0.2">
      <c r="A195" s="4" t="s">
        <v>632</v>
      </c>
      <c r="B195" s="4" t="s">
        <v>631</v>
      </c>
      <c r="C195" s="4" t="s">
        <v>638</v>
      </c>
      <c r="D195" s="2">
        <v>45066.132465277777</v>
      </c>
      <c r="E195" s="4" t="s">
        <v>20</v>
      </c>
      <c r="I195" s="4" t="s">
        <v>568</v>
      </c>
      <c r="J195" s="4">
        <v>61.1676</v>
      </c>
      <c r="K195" s="4" t="s">
        <v>569</v>
      </c>
    </row>
    <row r="196" spans="1:11" x14ac:dyDescent="0.2">
      <c r="A196" s="4" t="s">
        <v>632</v>
      </c>
      <c r="B196" s="4" t="s">
        <v>631</v>
      </c>
      <c r="C196" s="4" t="s">
        <v>638</v>
      </c>
      <c r="D196" s="2">
        <v>45066.132476851853</v>
      </c>
      <c r="E196" s="4" t="s">
        <v>20</v>
      </c>
      <c r="I196" s="4" t="s">
        <v>568</v>
      </c>
      <c r="J196" s="4">
        <v>58.030799999999999</v>
      </c>
      <c r="K196" s="4" t="s">
        <v>569</v>
      </c>
    </row>
    <row r="197" spans="1:11" x14ac:dyDescent="0.2">
      <c r="A197" s="4" t="s">
        <v>632</v>
      </c>
      <c r="B197" s="4" t="s">
        <v>631</v>
      </c>
      <c r="C197" s="4" t="s">
        <v>638</v>
      </c>
      <c r="D197" s="2">
        <v>45066.132488425923</v>
      </c>
      <c r="E197" s="4" t="s">
        <v>541</v>
      </c>
    </row>
    <row r="198" spans="1:11" x14ac:dyDescent="0.2">
      <c r="A198" s="4" t="s">
        <v>632</v>
      </c>
      <c r="B198" s="4" t="s">
        <v>631</v>
      </c>
      <c r="C198" s="4" t="s">
        <v>638</v>
      </c>
      <c r="D198" s="2">
        <v>45066.1325</v>
      </c>
      <c r="E198" s="4" t="s">
        <v>20</v>
      </c>
      <c r="I198" s="4" t="s">
        <v>568</v>
      </c>
      <c r="J198" s="4">
        <v>58.030799999999999</v>
      </c>
      <c r="K198" s="4" t="s">
        <v>569</v>
      </c>
    </row>
    <row r="199" spans="1:11" x14ac:dyDescent="0.2">
      <c r="A199" s="4" t="s">
        <v>632</v>
      </c>
      <c r="B199" s="4" t="s">
        <v>631</v>
      </c>
      <c r="C199" s="4" t="s">
        <v>638</v>
      </c>
      <c r="D199" s="2">
        <v>45066.132511574076</v>
      </c>
      <c r="E199" s="4" t="s">
        <v>541</v>
      </c>
    </row>
    <row r="200" spans="1:11" x14ac:dyDescent="0.2">
      <c r="A200" s="4" t="s">
        <v>632</v>
      </c>
      <c r="B200" s="4" t="s">
        <v>631</v>
      </c>
      <c r="C200" s="4" t="s">
        <v>638</v>
      </c>
      <c r="D200" s="2">
        <v>45066.132511574076</v>
      </c>
      <c r="E200" s="4" t="s">
        <v>20</v>
      </c>
      <c r="I200" s="4" t="s">
        <v>602</v>
      </c>
      <c r="J200" s="4">
        <v>7</v>
      </c>
      <c r="K200" s="4" t="s">
        <v>545</v>
      </c>
    </row>
    <row r="201" spans="1:11" x14ac:dyDescent="0.2">
      <c r="A201" s="4" t="s">
        <v>632</v>
      </c>
      <c r="B201" s="4" t="s">
        <v>631</v>
      </c>
      <c r="C201" s="4" t="s">
        <v>638</v>
      </c>
      <c r="D201" s="2">
        <v>45066.132511574076</v>
      </c>
      <c r="E201" s="4" t="s">
        <v>20</v>
      </c>
      <c r="I201" s="4" t="s">
        <v>603</v>
      </c>
      <c r="J201" s="4">
        <v>99</v>
      </c>
      <c r="K201" s="4" t="s">
        <v>545</v>
      </c>
    </row>
    <row r="202" spans="1:11" x14ac:dyDescent="0.2">
      <c r="A202" s="4" t="s">
        <v>632</v>
      </c>
      <c r="B202" s="4" t="s">
        <v>631</v>
      </c>
      <c r="C202" s="4" t="s">
        <v>638</v>
      </c>
      <c r="D202" s="2">
        <v>45066.132511574076</v>
      </c>
      <c r="E202" s="4" t="s">
        <v>541</v>
      </c>
    </row>
    <row r="203" spans="1:11" x14ac:dyDescent="0.2">
      <c r="A203" s="4" t="s">
        <v>632</v>
      </c>
      <c r="B203" s="4" t="s">
        <v>631</v>
      </c>
      <c r="C203" s="4" t="s">
        <v>638</v>
      </c>
      <c r="D203" s="2">
        <v>45066.132511574076</v>
      </c>
      <c r="E203" s="4" t="s">
        <v>20</v>
      </c>
      <c r="I203" s="4" t="s">
        <v>568</v>
      </c>
      <c r="J203" s="4">
        <v>61.1676</v>
      </c>
      <c r="K203" s="4" t="s">
        <v>569</v>
      </c>
    </row>
    <row r="204" spans="1:11" x14ac:dyDescent="0.2">
      <c r="A204" s="4" t="s">
        <v>632</v>
      </c>
      <c r="B204" s="4" t="s">
        <v>631</v>
      </c>
      <c r="C204" s="4" t="s">
        <v>638</v>
      </c>
      <c r="D204" s="2">
        <v>45066.132511574076</v>
      </c>
      <c r="E204" s="4" t="s">
        <v>541</v>
      </c>
    </row>
    <row r="205" spans="1:11" x14ac:dyDescent="0.2">
      <c r="A205" s="4" t="s">
        <v>632</v>
      </c>
      <c r="B205" s="4" t="s">
        <v>631</v>
      </c>
      <c r="C205" s="4" t="s">
        <v>638</v>
      </c>
      <c r="D205" s="2">
        <v>45066.132523148146</v>
      </c>
      <c r="E205" s="4" t="s">
        <v>20</v>
      </c>
      <c r="I205" s="4" t="s">
        <v>568</v>
      </c>
      <c r="J205" s="4">
        <v>61.1676</v>
      </c>
      <c r="K205" s="4" t="s">
        <v>569</v>
      </c>
    </row>
    <row r="206" spans="1:11" x14ac:dyDescent="0.2">
      <c r="A206" s="4" t="s">
        <v>632</v>
      </c>
      <c r="B206" s="4" t="s">
        <v>631</v>
      </c>
      <c r="C206" s="4" t="s">
        <v>638</v>
      </c>
      <c r="D206" s="2">
        <v>45066.132534722223</v>
      </c>
      <c r="E206" s="4" t="s">
        <v>541</v>
      </c>
    </row>
    <row r="207" spans="1:11" x14ac:dyDescent="0.2">
      <c r="A207" s="4" t="s">
        <v>632</v>
      </c>
      <c r="B207" s="4" t="s">
        <v>631</v>
      </c>
      <c r="C207" s="4" t="s">
        <v>638</v>
      </c>
      <c r="D207" s="2">
        <v>45066.132534722223</v>
      </c>
      <c r="E207" s="4" t="s">
        <v>20</v>
      </c>
      <c r="I207" s="4" t="s">
        <v>604</v>
      </c>
      <c r="J207" s="4">
        <v>0</v>
      </c>
      <c r="K207" s="4" t="s">
        <v>549</v>
      </c>
    </row>
    <row r="208" spans="1:11" x14ac:dyDescent="0.2">
      <c r="A208" s="4" t="s">
        <v>632</v>
      </c>
      <c r="B208" s="4" t="s">
        <v>631</v>
      </c>
      <c r="C208" s="4" t="s">
        <v>638</v>
      </c>
      <c r="D208" s="2">
        <v>45066.132534722223</v>
      </c>
      <c r="E208" s="4" t="s">
        <v>20</v>
      </c>
      <c r="I208" s="4" t="s">
        <v>605</v>
      </c>
      <c r="J208" s="4">
        <v>1997.67</v>
      </c>
      <c r="K208" s="4" t="s">
        <v>599</v>
      </c>
    </row>
    <row r="209" spans="1:11" x14ac:dyDescent="0.2">
      <c r="A209" s="4" t="s">
        <v>632</v>
      </c>
      <c r="B209" s="4" t="s">
        <v>631</v>
      </c>
      <c r="C209" s="4" t="s">
        <v>638</v>
      </c>
      <c r="D209" s="2">
        <v>45066.132534722223</v>
      </c>
      <c r="E209" s="4" t="s">
        <v>20</v>
      </c>
      <c r="I209" s="4" t="s">
        <v>606</v>
      </c>
      <c r="J209" s="4">
        <v>0.01</v>
      </c>
      <c r="K209" s="4" t="s">
        <v>599</v>
      </c>
    </row>
    <row r="210" spans="1:11" x14ac:dyDescent="0.2">
      <c r="A210" s="4" t="s">
        <v>632</v>
      </c>
      <c r="B210" s="4" t="s">
        <v>631</v>
      </c>
      <c r="C210" s="4" t="s">
        <v>638</v>
      </c>
      <c r="D210" s="2">
        <v>45066.132534722223</v>
      </c>
      <c r="E210" s="4" t="s">
        <v>20</v>
      </c>
      <c r="I210" s="4" t="s">
        <v>568</v>
      </c>
      <c r="J210" s="4">
        <v>58.030799999999999</v>
      </c>
      <c r="K210" s="4" t="s">
        <v>569</v>
      </c>
    </row>
    <row r="211" spans="1:11" x14ac:dyDescent="0.2">
      <c r="A211" s="4" t="s">
        <v>632</v>
      </c>
      <c r="B211" s="4" t="s">
        <v>631</v>
      </c>
      <c r="C211" s="4" t="s">
        <v>638</v>
      </c>
      <c r="D211" s="2">
        <v>45066.1325462963</v>
      </c>
      <c r="E211" s="4" t="s">
        <v>19</v>
      </c>
      <c r="F211" s="4" t="s">
        <v>647</v>
      </c>
      <c r="G211" s="4">
        <v>-39.421080000000003</v>
      </c>
      <c r="H211" s="4">
        <v>33.736919999999998</v>
      </c>
    </row>
    <row r="212" spans="1:11" x14ac:dyDescent="0.2">
      <c r="A212" s="4" t="s">
        <v>632</v>
      </c>
      <c r="B212" s="4" t="s">
        <v>631</v>
      </c>
      <c r="C212" s="4" t="s">
        <v>638</v>
      </c>
      <c r="D212" s="2">
        <v>45066.1325462963</v>
      </c>
      <c r="E212" s="4" t="s">
        <v>541</v>
      </c>
    </row>
    <row r="213" spans="1:11" x14ac:dyDescent="0.2">
      <c r="A213" s="4" t="s">
        <v>632</v>
      </c>
      <c r="B213" s="4" t="s">
        <v>631</v>
      </c>
      <c r="C213" s="4" t="s">
        <v>638</v>
      </c>
      <c r="D213" s="2">
        <v>45066.1325462963</v>
      </c>
      <c r="E213" s="4" t="s">
        <v>20</v>
      </c>
      <c r="I213" s="4" t="s">
        <v>568</v>
      </c>
      <c r="J213" s="4">
        <v>61.559699999999999</v>
      </c>
      <c r="K213" s="4" t="s">
        <v>569</v>
      </c>
    </row>
    <row r="214" spans="1:11" x14ac:dyDescent="0.2">
      <c r="A214" s="4" t="s">
        <v>632</v>
      </c>
      <c r="B214" s="4" t="s">
        <v>631</v>
      </c>
      <c r="C214" s="4" t="s">
        <v>638</v>
      </c>
      <c r="D214" s="2">
        <v>45066.1325462963</v>
      </c>
      <c r="E214" s="4" t="s">
        <v>20</v>
      </c>
      <c r="I214" s="4" t="s">
        <v>563</v>
      </c>
      <c r="J214" s="4">
        <v>5.0000000004000004E-3</v>
      </c>
      <c r="K214" s="4" t="s">
        <v>564</v>
      </c>
    </row>
    <row r="215" spans="1:11" x14ac:dyDescent="0.2">
      <c r="A215" s="4" t="s">
        <v>632</v>
      </c>
      <c r="B215" s="4" t="s">
        <v>631</v>
      </c>
      <c r="C215" s="4" t="s">
        <v>638</v>
      </c>
      <c r="D215" s="2">
        <v>45066.1325462963</v>
      </c>
      <c r="E215" s="4" t="s">
        <v>541</v>
      </c>
    </row>
    <row r="216" spans="1:11" x14ac:dyDescent="0.2">
      <c r="A216" s="4" t="s">
        <v>632</v>
      </c>
      <c r="B216" s="4" t="s">
        <v>631</v>
      </c>
      <c r="C216" s="4" t="s">
        <v>638</v>
      </c>
      <c r="D216" s="2">
        <v>45066.1325462963</v>
      </c>
      <c r="E216" s="4" t="s">
        <v>541</v>
      </c>
    </row>
    <row r="217" spans="1:11" x14ac:dyDescent="0.2">
      <c r="A217" s="4" t="s">
        <v>632</v>
      </c>
      <c r="B217" s="4" t="s">
        <v>631</v>
      </c>
      <c r="C217" s="4" t="s">
        <v>638</v>
      </c>
      <c r="D217" s="2">
        <v>45066.1325462963</v>
      </c>
      <c r="E217" s="4" t="s">
        <v>20</v>
      </c>
      <c r="I217" s="4" t="s">
        <v>607</v>
      </c>
      <c r="J217" s="4">
        <v>1</v>
      </c>
      <c r="K217" s="4" t="s">
        <v>545</v>
      </c>
    </row>
    <row r="218" spans="1:11" x14ac:dyDescent="0.2">
      <c r="A218" s="4" t="s">
        <v>632</v>
      </c>
      <c r="B218" s="4" t="s">
        <v>631</v>
      </c>
      <c r="C218" s="4" t="s">
        <v>638</v>
      </c>
      <c r="D218" s="2">
        <v>45066.132557870369</v>
      </c>
      <c r="E218" s="4" t="s">
        <v>541</v>
      </c>
    </row>
    <row r="219" spans="1:11" x14ac:dyDescent="0.2">
      <c r="A219" s="4" t="s">
        <v>632</v>
      </c>
      <c r="B219" s="4" t="s">
        <v>631</v>
      </c>
      <c r="C219" s="4" t="s">
        <v>638</v>
      </c>
      <c r="D219" s="2">
        <v>45066.132557870369</v>
      </c>
      <c r="E219" s="4" t="s">
        <v>19</v>
      </c>
      <c r="F219" s="4" t="s">
        <v>647</v>
      </c>
      <c r="G219" s="4">
        <v>-39.421080000000003</v>
      </c>
      <c r="H219" s="4">
        <v>33.736919999999998</v>
      </c>
    </row>
    <row r="220" spans="1:11" x14ac:dyDescent="0.2">
      <c r="A220" s="4" t="s">
        <v>632</v>
      </c>
      <c r="B220" s="4" t="s">
        <v>631</v>
      </c>
      <c r="C220" s="4" t="s">
        <v>638</v>
      </c>
      <c r="D220" s="2">
        <v>45066.132557870369</v>
      </c>
      <c r="E220" s="4" t="s">
        <v>541</v>
      </c>
    </row>
    <row r="221" spans="1:11" x14ac:dyDescent="0.2">
      <c r="A221" s="4" t="s">
        <v>632</v>
      </c>
      <c r="B221" s="4" t="s">
        <v>631</v>
      </c>
      <c r="C221" s="4" t="s">
        <v>638</v>
      </c>
      <c r="D221" s="2">
        <v>45066.132557870369</v>
      </c>
      <c r="E221" s="4" t="s">
        <v>541</v>
      </c>
    </row>
    <row r="222" spans="1:11" x14ac:dyDescent="0.2">
      <c r="A222" s="4" t="s">
        <v>632</v>
      </c>
      <c r="B222" s="4" t="s">
        <v>631</v>
      </c>
      <c r="C222" s="4" t="s">
        <v>638</v>
      </c>
      <c r="D222" s="2">
        <v>45066.132557870369</v>
      </c>
      <c r="E222" s="4" t="s">
        <v>541</v>
      </c>
    </row>
    <row r="223" spans="1:11" x14ac:dyDescent="0.2">
      <c r="A223" s="4" t="s">
        <v>632</v>
      </c>
      <c r="B223" s="4" t="s">
        <v>631</v>
      </c>
      <c r="C223" s="4" t="s">
        <v>638</v>
      </c>
      <c r="D223" s="2">
        <v>45066.132557870369</v>
      </c>
      <c r="E223" s="4" t="s">
        <v>541</v>
      </c>
    </row>
    <row r="224" spans="1:11" x14ac:dyDescent="0.2">
      <c r="A224" s="4" t="s">
        <v>632</v>
      </c>
      <c r="B224" s="4" t="s">
        <v>631</v>
      </c>
      <c r="C224" s="4" t="s">
        <v>638</v>
      </c>
      <c r="D224" s="2">
        <v>45066.132557870369</v>
      </c>
      <c r="E224" s="4" t="s">
        <v>20</v>
      </c>
      <c r="I224" s="4" t="s">
        <v>557</v>
      </c>
      <c r="J224" s="4">
        <v>1</v>
      </c>
      <c r="K224" s="4" t="s">
        <v>7</v>
      </c>
    </row>
    <row r="225" spans="1:11" x14ac:dyDescent="0.2">
      <c r="A225" s="4" t="s">
        <v>632</v>
      </c>
      <c r="B225" s="4" t="s">
        <v>631</v>
      </c>
      <c r="C225" s="4" t="s">
        <v>638</v>
      </c>
      <c r="D225" s="2">
        <v>45066.132557870369</v>
      </c>
      <c r="E225" s="4" t="s">
        <v>20</v>
      </c>
      <c r="I225" s="4" t="s">
        <v>597</v>
      </c>
      <c r="J225" s="4">
        <v>2.7777777780000003E-3</v>
      </c>
      <c r="K225" s="4" t="s">
        <v>564</v>
      </c>
    </row>
    <row r="226" spans="1:11" x14ac:dyDescent="0.2">
      <c r="A226" s="4" t="s">
        <v>632</v>
      </c>
      <c r="B226" s="4" t="s">
        <v>631</v>
      </c>
      <c r="C226" s="4" t="s">
        <v>638</v>
      </c>
      <c r="D226" s="2">
        <v>45066.132557870369</v>
      </c>
      <c r="E226" s="4" t="s">
        <v>20</v>
      </c>
      <c r="I226" s="4" t="s">
        <v>598</v>
      </c>
      <c r="J226" s="4">
        <v>2E-3</v>
      </c>
      <c r="K226" s="4" t="s">
        <v>599</v>
      </c>
    </row>
    <row r="227" spans="1:11" x14ac:dyDescent="0.2">
      <c r="A227" s="4" t="s">
        <v>632</v>
      </c>
      <c r="B227" s="4" t="s">
        <v>631</v>
      </c>
      <c r="C227" s="4" t="s">
        <v>638</v>
      </c>
      <c r="D227" s="2">
        <v>45066.132557870369</v>
      </c>
      <c r="E227" s="4" t="s">
        <v>20</v>
      </c>
      <c r="I227" s="4" t="s">
        <v>605</v>
      </c>
      <c r="J227" s="4">
        <v>1997.67</v>
      </c>
      <c r="K227" s="4" t="s">
        <v>599</v>
      </c>
    </row>
    <row r="228" spans="1:11" x14ac:dyDescent="0.2">
      <c r="A228" s="4" t="s">
        <v>632</v>
      </c>
      <c r="B228" s="4" t="s">
        <v>631</v>
      </c>
      <c r="C228" s="4" t="s">
        <v>638</v>
      </c>
      <c r="D228" s="2">
        <v>45066.132557870369</v>
      </c>
      <c r="E228" s="4" t="s">
        <v>541</v>
      </c>
    </row>
    <row r="229" spans="1:11" x14ac:dyDescent="0.2">
      <c r="A229" s="4" t="s">
        <v>632</v>
      </c>
      <c r="B229" s="4" t="s">
        <v>631</v>
      </c>
      <c r="C229" s="4" t="s">
        <v>638</v>
      </c>
      <c r="D229" s="2">
        <v>45066.132557870369</v>
      </c>
      <c r="E229" s="4" t="s">
        <v>541</v>
      </c>
    </row>
    <row r="230" spans="1:11" x14ac:dyDescent="0.2">
      <c r="A230" s="4" t="s">
        <v>632</v>
      </c>
      <c r="B230" s="4" t="s">
        <v>631</v>
      </c>
      <c r="C230" s="4" t="s">
        <v>638</v>
      </c>
      <c r="D230" s="2">
        <v>45066.132557870369</v>
      </c>
      <c r="E230" s="4" t="s">
        <v>541</v>
      </c>
    </row>
    <row r="231" spans="1:11" x14ac:dyDescent="0.2">
      <c r="A231" s="4" t="s">
        <v>632</v>
      </c>
      <c r="B231" s="4" t="s">
        <v>631</v>
      </c>
      <c r="C231" s="4" t="s">
        <v>638</v>
      </c>
      <c r="D231" s="2">
        <v>45066.132557870369</v>
      </c>
      <c r="E231" s="4" t="s">
        <v>541</v>
      </c>
    </row>
    <row r="232" spans="1:11" x14ac:dyDescent="0.2">
      <c r="A232" s="4" t="s">
        <v>632</v>
      </c>
      <c r="B232" s="4" t="s">
        <v>631</v>
      </c>
      <c r="C232" s="4" t="s">
        <v>638</v>
      </c>
      <c r="D232" s="2">
        <v>45066.132569444446</v>
      </c>
      <c r="E232" s="4" t="s">
        <v>19</v>
      </c>
      <c r="F232" s="4" t="s">
        <v>647</v>
      </c>
      <c r="G232" s="4">
        <v>-39.421120000000002</v>
      </c>
      <c r="H232" s="4">
        <v>33.736919999999998</v>
      </c>
    </row>
    <row r="233" spans="1:11" x14ac:dyDescent="0.2">
      <c r="A233" s="4" t="s">
        <v>632</v>
      </c>
      <c r="B233" s="4" t="s">
        <v>631</v>
      </c>
      <c r="C233" s="4" t="s">
        <v>638</v>
      </c>
      <c r="D233" s="2">
        <v>45066.132569444446</v>
      </c>
      <c r="E233" s="4" t="s">
        <v>541</v>
      </c>
    </row>
    <row r="234" spans="1:11" x14ac:dyDescent="0.2">
      <c r="A234" s="4" t="s">
        <v>632</v>
      </c>
      <c r="B234" s="4" t="s">
        <v>631</v>
      </c>
      <c r="C234" s="4" t="s">
        <v>638</v>
      </c>
      <c r="D234" s="2">
        <v>45066.132569444446</v>
      </c>
      <c r="E234" s="4" t="s">
        <v>541</v>
      </c>
    </row>
    <row r="235" spans="1:11" x14ac:dyDescent="0.2">
      <c r="A235" s="4" t="s">
        <v>632</v>
      </c>
      <c r="B235" s="4" t="s">
        <v>631</v>
      </c>
      <c r="C235" s="4" t="s">
        <v>638</v>
      </c>
      <c r="D235" s="2">
        <v>45066.132569444446</v>
      </c>
      <c r="E235" s="4" t="s">
        <v>541</v>
      </c>
    </row>
    <row r="236" spans="1:11" x14ac:dyDescent="0.2">
      <c r="A236" s="4" t="s">
        <v>632</v>
      </c>
      <c r="B236" s="4" t="s">
        <v>631</v>
      </c>
      <c r="C236" s="4" t="s">
        <v>638</v>
      </c>
      <c r="D236" s="2">
        <v>45066.132569444446</v>
      </c>
      <c r="E236" s="4" t="s">
        <v>541</v>
      </c>
    </row>
    <row r="237" spans="1:11" x14ac:dyDescent="0.2">
      <c r="A237" s="4" t="s">
        <v>632</v>
      </c>
      <c r="B237" s="4" t="s">
        <v>631</v>
      </c>
      <c r="C237" s="4" t="s">
        <v>638</v>
      </c>
      <c r="D237" s="2">
        <v>45066.132569444446</v>
      </c>
      <c r="E237" s="4" t="s">
        <v>20</v>
      </c>
      <c r="I237" s="4" t="s">
        <v>557</v>
      </c>
      <c r="J237" s="4">
        <v>0</v>
      </c>
      <c r="K237" s="4" t="s">
        <v>7</v>
      </c>
    </row>
    <row r="238" spans="1:11" x14ac:dyDescent="0.2">
      <c r="A238" s="4" t="s">
        <v>632</v>
      </c>
      <c r="B238" s="4" t="s">
        <v>631</v>
      </c>
      <c r="C238" s="4" t="s">
        <v>638</v>
      </c>
      <c r="D238" s="2">
        <v>45066.132569444446</v>
      </c>
      <c r="E238" s="4" t="s">
        <v>20</v>
      </c>
      <c r="I238" s="4" t="s">
        <v>605</v>
      </c>
      <c r="J238" s="4">
        <v>1997.67</v>
      </c>
      <c r="K238" s="4" t="s">
        <v>599</v>
      </c>
    </row>
    <row r="239" spans="1:11" x14ac:dyDescent="0.2">
      <c r="A239" s="4" t="s">
        <v>632</v>
      </c>
      <c r="B239" s="4" t="s">
        <v>631</v>
      </c>
      <c r="C239" s="4" t="s">
        <v>638</v>
      </c>
      <c r="D239" s="2">
        <v>45066.132569444446</v>
      </c>
      <c r="E239" s="4" t="s">
        <v>541</v>
      </c>
    </row>
    <row r="240" spans="1:11" x14ac:dyDescent="0.2">
      <c r="A240" s="4" t="s">
        <v>632</v>
      </c>
      <c r="B240" s="4" t="s">
        <v>631</v>
      </c>
      <c r="C240" s="4" t="s">
        <v>638</v>
      </c>
      <c r="D240" s="2">
        <v>45066.132569444446</v>
      </c>
      <c r="E240" s="4" t="s">
        <v>20</v>
      </c>
      <c r="I240" s="4" t="s">
        <v>568</v>
      </c>
      <c r="J240" s="4">
        <v>50.972999999999999</v>
      </c>
      <c r="K240" s="4" t="s">
        <v>569</v>
      </c>
    </row>
    <row r="241" spans="1:11" x14ac:dyDescent="0.2">
      <c r="A241" s="4" t="s">
        <v>632</v>
      </c>
      <c r="B241" s="4" t="s">
        <v>631</v>
      </c>
      <c r="C241" s="4" t="s">
        <v>638</v>
      </c>
      <c r="D241" s="2">
        <v>45066.132581018515</v>
      </c>
      <c r="E241" s="4" t="s">
        <v>19</v>
      </c>
      <c r="F241" s="4" t="s">
        <v>647</v>
      </c>
      <c r="G241" s="4">
        <v>-39.421120000000002</v>
      </c>
      <c r="H241" s="4">
        <v>33.736919999999998</v>
      </c>
    </row>
    <row r="242" spans="1:11" x14ac:dyDescent="0.2">
      <c r="A242" s="4" t="s">
        <v>632</v>
      </c>
      <c r="B242" s="4" t="s">
        <v>631</v>
      </c>
      <c r="C242" s="4" t="s">
        <v>638</v>
      </c>
      <c r="D242" s="2">
        <v>45066.132581018515</v>
      </c>
      <c r="E242" s="4" t="s">
        <v>20</v>
      </c>
      <c r="I242" s="4" t="s">
        <v>605</v>
      </c>
      <c r="J242" s="4">
        <v>1997.67</v>
      </c>
      <c r="K242" s="4" t="s">
        <v>599</v>
      </c>
    </row>
    <row r="243" spans="1:11" x14ac:dyDescent="0.2">
      <c r="A243" s="4" t="s">
        <v>632</v>
      </c>
      <c r="B243" s="4" t="s">
        <v>631</v>
      </c>
      <c r="C243" s="4" t="s">
        <v>638</v>
      </c>
      <c r="D243" s="2">
        <v>45066.132581018515</v>
      </c>
      <c r="E243" s="4" t="s">
        <v>541</v>
      </c>
    </row>
    <row r="244" spans="1:11" x14ac:dyDescent="0.2">
      <c r="A244" s="4" t="s">
        <v>632</v>
      </c>
      <c r="B244" s="4" t="s">
        <v>631</v>
      </c>
      <c r="C244" s="4" t="s">
        <v>638</v>
      </c>
      <c r="D244" s="2">
        <v>45066.132581018515</v>
      </c>
      <c r="E244" s="4" t="s">
        <v>20</v>
      </c>
      <c r="I244" s="4" t="s">
        <v>568</v>
      </c>
      <c r="J244" s="4">
        <v>61.1676</v>
      </c>
      <c r="K244" s="4" t="s">
        <v>569</v>
      </c>
    </row>
    <row r="245" spans="1:11" x14ac:dyDescent="0.2">
      <c r="A245" s="4" t="s">
        <v>632</v>
      </c>
      <c r="B245" s="4" t="s">
        <v>631</v>
      </c>
      <c r="C245" s="4" t="s">
        <v>638</v>
      </c>
      <c r="D245" s="2">
        <v>45066.132592592592</v>
      </c>
      <c r="E245" s="4" t="s">
        <v>541</v>
      </c>
    </row>
    <row r="246" spans="1:11" x14ac:dyDescent="0.2">
      <c r="A246" s="4" t="s">
        <v>632</v>
      </c>
      <c r="B246" s="4" t="s">
        <v>631</v>
      </c>
      <c r="C246" s="4" t="s">
        <v>638</v>
      </c>
      <c r="D246" s="2">
        <v>45066.132592592592</v>
      </c>
      <c r="E246" s="4" t="s">
        <v>541</v>
      </c>
    </row>
    <row r="247" spans="1:11" x14ac:dyDescent="0.2">
      <c r="A247" s="4" t="s">
        <v>632</v>
      </c>
      <c r="B247" s="4" t="s">
        <v>631</v>
      </c>
      <c r="C247" s="4" t="s">
        <v>638</v>
      </c>
      <c r="D247" s="2">
        <v>45066.132592592592</v>
      </c>
      <c r="E247" s="4" t="s">
        <v>541</v>
      </c>
    </row>
    <row r="248" spans="1:11" x14ac:dyDescent="0.2">
      <c r="A248" s="4" t="s">
        <v>632</v>
      </c>
      <c r="B248" s="4" t="s">
        <v>631</v>
      </c>
      <c r="C248" s="4" t="s">
        <v>638</v>
      </c>
      <c r="D248" s="2">
        <v>45066.132592592592</v>
      </c>
      <c r="E248" s="4" t="s">
        <v>541</v>
      </c>
    </row>
    <row r="249" spans="1:11" x14ac:dyDescent="0.2">
      <c r="A249" s="4" t="s">
        <v>632</v>
      </c>
      <c r="B249" s="4" t="s">
        <v>631</v>
      </c>
      <c r="C249" s="4" t="s">
        <v>638</v>
      </c>
      <c r="D249" s="2">
        <v>45066.132592592592</v>
      </c>
      <c r="E249" s="4" t="s">
        <v>541</v>
      </c>
    </row>
    <row r="250" spans="1:11" x14ac:dyDescent="0.2">
      <c r="A250" s="4" t="s">
        <v>632</v>
      </c>
      <c r="B250" s="4" t="s">
        <v>631</v>
      </c>
      <c r="C250" s="4" t="s">
        <v>638</v>
      </c>
      <c r="D250" s="2">
        <v>45066.132592592592</v>
      </c>
      <c r="E250" s="4" t="s">
        <v>20</v>
      </c>
      <c r="I250" s="4" t="s">
        <v>568</v>
      </c>
      <c r="J250" s="4">
        <v>54.1098</v>
      </c>
      <c r="K250" s="4" t="s">
        <v>569</v>
      </c>
    </row>
    <row r="251" spans="1:11" x14ac:dyDescent="0.2">
      <c r="A251" s="4" t="s">
        <v>632</v>
      </c>
      <c r="B251" s="4" t="s">
        <v>631</v>
      </c>
      <c r="C251" s="4" t="s">
        <v>638</v>
      </c>
      <c r="D251" s="2">
        <v>45066.132604166669</v>
      </c>
      <c r="E251" s="4" t="s">
        <v>19</v>
      </c>
      <c r="F251" s="4" t="s">
        <v>647</v>
      </c>
      <c r="G251" s="4">
        <v>-39.421120000000002</v>
      </c>
      <c r="H251" s="4">
        <v>33.736919999999998</v>
      </c>
    </row>
    <row r="252" spans="1:11" x14ac:dyDescent="0.2">
      <c r="A252" s="4" t="s">
        <v>632</v>
      </c>
      <c r="B252" s="4" t="s">
        <v>631</v>
      </c>
      <c r="C252" s="4" t="s">
        <v>638</v>
      </c>
      <c r="D252" s="2">
        <v>45066.132604166669</v>
      </c>
      <c r="E252" s="4" t="s">
        <v>20</v>
      </c>
      <c r="I252" s="4" t="s">
        <v>559</v>
      </c>
      <c r="J252" s="4">
        <v>799.25</v>
      </c>
      <c r="K252" s="4" t="s">
        <v>560</v>
      </c>
    </row>
    <row r="253" spans="1:11" x14ac:dyDescent="0.2">
      <c r="A253" s="4" t="s">
        <v>632</v>
      </c>
      <c r="B253" s="4" t="s">
        <v>631</v>
      </c>
      <c r="C253" s="4" t="s">
        <v>638</v>
      </c>
      <c r="D253" s="2">
        <v>45066.132604166669</v>
      </c>
      <c r="E253" s="4" t="s">
        <v>541</v>
      </c>
    </row>
    <row r="254" spans="1:11" x14ac:dyDescent="0.2">
      <c r="A254" s="4" t="s">
        <v>632</v>
      </c>
      <c r="B254" s="4" t="s">
        <v>631</v>
      </c>
      <c r="C254" s="4" t="s">
        <v>638</v>
      </c>
      <c r="D254" s="2">
        <v>45066.132604166669</v>
      </c>
      <c r="E254" s="4" t="s">
        <v>20</v>
      </c>
      <c r="I254" s="4" t="s">
        <v>554</v>
      </c>
      <c r="J254" s="4">
        <v>127</v>
      </c>
      <c r="K254" s="4" t="s">
        <v>545</v>
      </c>
    </row>
    <row r="255" spans="1:11" x14ac:dyDescent="0.2">
      <c r="A255" s="4" t="s">
        <v>632</v>
      </c>
      <c r="B255" s="4" t="s">
        <v>631</v>
      </c>
      <c r="C255" s="4" t="s">
        <v>638</v>
      </c>
      <c r="D255" s="2">
        <v>45066.132604166669</v>
      </c>
      <c r="E255" s="4" t="s">
        <v>541</v>
      </c>
    </row>
    <row r="256" spans="1:11" x14ac:dyDescent="0.2">
      <c r="A256" s="4" t="s">
        <v>632</v>
      </c>
      <c r="B256" s="4" t="s">
        <v>631</v>
      </c>
      <c r="C256" s="4" t="s">
        <v>638</v>
      </c>
      <c r="D256" s="2">
        <v>45066.132615740738</v>
      </c>
      <c r="E256" s="4" t="s">
        <v>20</v>
      </c>
      <c r="I256" s="4" t="s">
        <v>563</v>
      </c>
      <c r="J256" s="4">
        <v>6.1111111116000007E-3</v>
      </c>
      <c r="K256" s="4" t="s">
        <v>564</v>
      </c>
    </row>
    <row r="257" spans="1:11" x14ac:dyDescent="0.2">
      <c r="A257" s="4" t="s">
        <v>632</v>
      </c>
      <c r="B257" s="4" t="s">
        <v>631</v>
      </c>
      <c r="C257" s="4" t="s">
        <v>638</v>
      </c>
      <c r="D257" s="2">
        <v>45066.132615740738</v>
      </c>
      <c r="E257" s="4" t="s">
        <v>20</v>
      </c>
      <c r="I257" s="4" t="s">
        <v>557</v>
      </c>
      <c r="J257" s="4">
        <v>2</v>
      </c>
      <c r="K257" s="4" t="s">
        <v>7</v>
      </c>
    </row>
    <row r="258" spans="1:11" x14ac:dyDescent="0.2">
      <c r="A258" s="4" t="s">
        <v>632</v>
      </c>
      <c r="B258" s="4" t="s">
        <v>631</v>
      </c>
      <c r="C258" s="4" t="s">
        <v>638</v>
      </c>
      <c r="D258" s="2">
        <v>45066.132615740738</v>
      </c>
      <c r="E258" s="4" t="s">
        <v>20</v>
      </c>
      <c r="I258" s="4" t="s">
        <v>597</v>
      </c>
      <c r="J258" s="4">
        <v>1.1111111112000001E-3</v>
      </c>
      <c r="K258" s="4" t="s">
        <v>564</v>
      </c>
    </row>
    <row r="259" spans="1:11" x14ac:dyDescent="0.2">
      <c r="A259" s="4" t="s">
        <v>632</v>
      </c>
      <c r="B259" s="4" t="s">
        <v>631</v>
      </c>
      <c r="C259" s="4" t="s">
        <v>638</v>
      </c>
      <c r="D259" s="2">
        <v>45066.132615740738</v>
      </c>
      <c r="E259" s="4" t="s">
        <v>20</v>
      </c>
      <c r="I259" s="4" t="s">
        <v>598</v>
      </c>
      <c r="J259" s="4">
        <v>1E-3</v>
      </c>
      <c r="K259" s="4" t="s">
        <v>599</v>
      </c>
    </row>
    <row r="260" spans="1:11" x14ac:dyDescent="0.2">
      <c r="A260" s="4" t="s">
        <v>632</v>
      </c>
      <c r="B260" s="4" t="s">
        <v>631</v>
      </c>
      <c r="C260" s="4" t="s">
        <v>638</v>
      </c>
      <c r="D260" s="2">
        <v>45066.132615740738</v>
      </c>
      <c r="E260" s="4" t="s">
        <v>20</v>
      </c>
      <c r="I260" s="4" t="s">
        <v>557</v>
      </c>
      <c r="J260" s="4">
        <v>4</v>
      </c>
      <c r="K260" s="4" t="s">
        <v>7</v>
      </c>
    </row>
    <row r="261" spans="1:11" x14ac:dyDescent="0.2">
      <c r="A261" s="4" t="s">
        <v>632</v>
      </c>
      <c r="B261" s="4" t="s">
        <v>631</v>
      </c>
      <c r="C261" s="4" t="s">
        <v>638</v>
      </c>
      <c r="D261" s="2">
        <v>45066.132615740738</v>
      </c>
      <c r="E261" s="4" t="s">
        <v>20</v>
      </c>
      <c r="I261" s="4" t="s">
        <v>605</v>
      </c>
      <c r="J261" s="4">
        <v>1997.67</v>
      </c>
      <c r="K261" s="4" t="s">
        <v>599</v>
      </c>
    </row>
    <row r="262" spans="1:11" x14ac:dyDescent="0.2">
      <c r="A262" s="4" t="s">
        <v>632</v>
      </c>
      <c r="B262" s="4" t="s">
        <v>631</v>
      </c>
      <c r="C262" s="4" t="s">
        <v>638</v>
      </c>
      <c r="D262" s="2">
        <v>45066.132627314815</v>
      </c>
      <c r="E262" s="4" t="s">
        <v>19</v>
      </c>
      <c r="F262" s="4" t="s">
        <v>647</v>
      </c>
      <c r="G262" s="4">
        <v>-39.421120000000002</v>
      </c>
      <c r="H262" s="4">
        <v>33.736919999999998</v>
      </c>
    </row>
    <row r="263" spans="1:11" x14ac:dyDescent="0.2">
      <c r="A263" s="4" t="s">
        <v>632</v>
      </c>
      <c r="B263" s="4" t="s">
        <v>631</v>
      </c>
      <c r="C263" s="4" t="s">
        <v>638</v>
      </c>
      <c r="D263" s="2">
        <v>45066.132627314815</v>
      </c>
      <c r="E263" s="4" t="s">
        <v>20</v>
      </c>
      <c r="I263" s="4" t="s">
        <v>605</v>
      </c>
      <c r="J263" s="4">
        <v>1997.67</v>
      </c>
      <c r="K263" s="4" t="s">
        <v>599</v>
      </c>
    </row>
    <row r="264" spans="1:11" x14ac:dyDescent="0.2">
      <c r="A264" s="4" t="s">
        <v>632</v>
      </c>
      <c r="B264" s="4" t="s">
        <v>631</v>
      </c>
      <c r="C264" s="4" t="s">
        <v>638</v>
      </c>
      <c r="D264" s="2">
        <v>45066.132627314815</v>
      </c>
      <c r="E264" s="4" t="s">
        <v>541</v>
      </c>
    </row>
    <row r="265" spans="1:11" x14ac:dyDescent="0.2">
      <c r="A265" s="4" t="s">
        <v>632</v>
      </c>
      <c r="B265" s="4" t="s">
        <v>631</v>
      </c>
      <c r="C265" s="4" t="s">
        <v>638</v>
      </c>
      <c r="D265" s="2">
        <v>45066.15347222222</v>
      </c>
      <c r="E265" s="4" t="s">
        <v>20</v>
      </c>
      <c r="I265" s="4" t="s">
        <v>557</v>
      </c>
      <c r="J265" s="4">
        <v>11</v>
      </c>
      <c r="K265" s="4" t="s">
        <v>7</v>
      </c>
    </row>
    <row r="266" spans="1:11" x14ac:dyDescent="0.2">
      <c r="A266" s="4" t="s">
        <v>632</v>
      </c>
      <c r="B266" s="4" t="s">
        <v>631</v>
      </c>
      <c r="C266" s="4" t="s">
        <v>638</v>
      </c>
      <c r="D266" s="2">
        <v>45066.15347222222</v>
      </c>
      <c r="E266" s="4" t="s">
        <v>20</v>
      </c>
      <c r="I266" s="4" t="s">
        <v>559</v>
      </c>
      <c r="J266" s="4">
        <v>1615</v>
      </c>
      <c r="K266" s="4" t="s">
        <v>560</v>
      </c>
    </row>
    <row r="267" spans="1:11" x14ac:dyDescent="0.2">
      <c r="A267" s="4" t="s">
        <v>632</v>
      </c>
      <c r="B267" s="4" t="s">
        <v>631</v>
      </c>
      <c r="C267" s="4" t="s">
        <v>638</v>
      </c>
      <c r="D267" s="2">
        <v>45066.15347222222</v>
      </c>
      <c r="E267" s="4" t="s">
        <v>541</v>
      </c>
    </row>
    <row r="268" spans="1:11" x14ac:dyDescent="0.2">
      <c r="A268" s="4" t="s">
        <v>632</v>
      </c>
      <c r="B268" s="4" t="s">
        <v>631</v>
      </c>
      <c r="C268" s="4" t="s">
        <v>638</v>
      </c>
      <c r="D268" s="2">
        <v>45066.153495370374</v>
      </c>
      <c r="E268" s="4" t="s">
        <v>541</v>
      </c>
    </row>
    <row r="269" spans="1:11" x14ac:dyDescent="0.2">
      <c r="A269" s="4" t="s">
        <v>632</v>
      </c>
      <c r="B269" s="4" t="s">
        <v>631</v>
      </c>
      <c r="C269" s="4" t="s">
        <v>638</v>
      </c>
      <c r="D269" s="2">
        <v>45066.15351851852</v>
      </c>
      <c r="E269" s="4" t="s">
        <v>541</v>
      </c>
    </row>
    <row r="270" spans="1:11" x14ac:dyDescent="0.2">
      <c r="A270" s="4" t="s">
        <v>632</v>
      </c>
      <c r="B270" s="4" t="s">
        <v>631</v>
      </c>
      <c r="C270" s="4" t="s">
        <v>638</v>
      </c>
      <c r="D270" s="2">
        <v>45066.153541666667</v>
      </c>
      <c r="E270" s="4" t="s">
        <v>541</v>
      </c>
    </row>
    <row r="271" spans="1:11" x14ac:dyDescent="0.2">
      <c r="A271" s="4" t="s">
        <v>632</v>
      </c>
      <c r="B271" s="4" t="s">
        <v>631</v>
      </c>
      <c r="C271" s="4" t="s">
        <v>638</v>
      </c>
      <c r="D271" s="2">
        <v>45066.153564814813</v>
      </c>
      <c r="E271" s="4" t="s">
        <v>541</v>
      </c>
    </row>
    <row r="272" spans="1:11" x14ac:dyDescent="0.2">
      <c r="A272" s="4" t="s">
        <v>632</v>
      </c>
      <c r="B272" s="4" t="s">
        <v>631</v>
      </c>
      <c r="C272" s="4" t="s">
        <v>638</v>
      </c>
      <c r="D272" s="2">
        <v>45066.153564814813</v>
      </c>
      <c r="E272" s="4" t="s">
        <v>20</v>
      </c>
      <c r="I272" s="4" t="s">
        <v>553</v>
      </c>
      <c r="J272" s="4">
        <v>0</v>
      </c>
      <c r="K272" s="4" t="s">
        <v>545</v>
      </c>
    </row>
    <row r="273" spans="1:11" x14ac:dyDescent="0.2">
      <c r="A273" s="4" t="s">
        <v>632</v>
      </c>
      <c r="B273" s="4" t="s">
        <v>631</v>
      </c>
      <c r="C273" s="4" t="s">
        <v>638</v>
      </c>
      <c r="D273" s="2">
        <v>45066.153564814813</v>
      </c>
      <c r="E273" s="4" t="s">
        <v>20</v>
      </c>
      <c r="I273" s="4" t="s">
        <v>566</v>
      </c>
      <c r="J273" s="4">
        <v>37</v>
      </c>
      <c r="K273" s="4" t="s">
        <v>567</v>
      </c>
    </row>
    <row r="274" spans="1:11" x14ac:dyDescent="0.2">
      <c r="A274" s="4" t="s">
        <v>632</v>
      </c>
      <c r="B274" s="4" t="s">
        <v>631</v>
      </c>
      <c r="C274" s="4" t="s">
        <v>638</v>
      </c>
      <c r="D274" s="2">
        <v>45066.153564814813</v>
      </c>
      <c r="E274" s="4" t="s">
        <v>20</v>
      </c>
      <c r="I274" s="4" t="s">
        <v>557</v>
      </c>
      <c r="J274" s="4">
        <v>28</v>
      </c>
      <c r="K274" s="4" t="s">
        <v>7</v>
      </c>
    </row>
    <row r="275" spans="1:11" x14ac:dyDescent="0.2">
      <c r="A275" s="4" t="s">
        <v>632</v>
      </c>
      <c r="B275" s="4" t="s">
        <v>631</v>
      </c>
      <c r="C275" s="4" t="s">
        <v>638</v>
      </c>
      <c r="D275" s="2">
        <v>45066.15357638889</v>
      </c>
      <c r="E275" s="4" t="s">
        <v>541</v>
      </c>
    </row>
    <row r="276" spans="1:11" x14ac:dyDescent="0.2">
      <c r="A276" s="4" t="s">
        <v>632</v>
      </c>
      <c r="B276" s="4" t="s">
        <v>631</v>
      </c>
      <c r="C276" s="4" t="s">
        <v>638</v>
      </c>
      <c r="D276" s="2">
        <v>45066.15357638889</v>
      </c>
      <c r="E276" s="4" t="s">
        <v>19</v>
      </c>
      <c r="F276" s="4" t="s">
        <v>647</v>
      </c>
      <c r="G276" s="4">
        <v>-39.421570000000003</v>
      </c>
      <c r="H276" s="4">
        <v>33.73659</v>
      </c>
    </row>
    <row r="277" spans="1:11" x14ac:dyDescent="0.2">
      <c r="A277" s="4" t="s">
        <v>632</v>
      </c>
      <c r="B277" s="4" t="s">
        <v>631</v>
      </c>
      <c r="C277" s="4" t="s">
        <v>638</v>
      </c>
      <c r="D277" s="2">
        <v>45066.15357638889</v>
      </c>
      <c r="E277" s="4" t="s">
        <v>20</v>
      </c>
      <c r="I277" s="4" t="s">
        <v>608</v>
      </c>
      <c r="J277" s="4">
        <v>1</v>
      </c>
      <c r="K277" s="4" t="s">
        <v>545</v>
      </c>
    </row>
    <row r="278" spans="1:11" x14ac:dyDescent="0.2">
      <c r="A278" s="4" t="s">
        <v>632</v>
      </c>
      <c r="B278" s="4" t="s">
        <v>631</v>
      </c>
      <c r="C278" s="4" t="s">
        <v>638</v>
      </c>
      <c r="D278" s="2">
        <v>45066.15357638889</v>
      </c>
      <c r="E278" s="4" t="s">
        <v>541</v>
      </c>
    </row>
    <row r="279" spans="1:11" x14ac:dyDescent="0.2">
      <c r="A279" s="4" t="s">
        <v>632</v>
      </c>
      <c r="B279" s="4" t="s">
        <v>631</v>
      </c>
      <c r="C279" s="4" t="s">
        <v>638</v>
      </c>
      <c r="D279" s="2">
        <v>45066.15357638889</v>
      </c>
      <c r="E279" s="4" t="s">
        <v>541</v>
      </c>
    </row>
    <row r="280" spans="1:11" x14ac:dyDescent="0.2">
      <c r="A280" s="4" t="s">
        <v>632</v>
      </c>
      <c r="B280" s="4" t="s">
        <v>631</v>
      </c>
      <c r="C280" s="4" t="s">
        <v>638</v>
      </c>
      <c r="D280" s="2">
        <v>45066.153587962966</v>
      </c>
      <c r="E280" s="4" t="s">
        <v>541</v>
      </c>
    </row>
    <row r="281" spans="1:11" x14ac:dyDescent="0.2">
      <c r="A281" s="4" t="s">
        <v>632</v>
      </c>
      <c r="B281" s="4" t="s">
        <v>631</v>
      </c>
      <c r="C281" s="4" t="s">
        <v>638</v>
      </c>
      <c r="D281" s="2">
        <v>45066.153587962966</v>
      </c>
      <c r="E281" s="4" t="s">
        <v>541</v>
      </c>
    </row>
    <row r="282" spans="1:11" x14ac:dyDescent="0.2">
      <c r="A282" s="4" t="s">
        <v>632</v>
      </c>
      <c r="B282" s="4" t="s">
        <v>631</v>
      </c>
      <c r="C282" s="4" t="s">
        <v>638</v>
      </c>
      <c r="D282" s="2">
        <v>45066.153611111113</v>
      </c>
      <c r="E282" s="4" t="s">
        <v>541</v>
      </c>
    </row>
    <row r="283" spans="1:11" x14ac:dyDescent="0.2">
      <c r="A283" s="4" t="s">
        <v>632</v>
      </c>
      <c r="B283" s="4" t="s">
        <v>631</v>
      </c>
      <c r="C283" s="4" t="s">
        <v>638</v>
      </c>
      <c r="D283" s="2">
        <v>45066.153611111113</v>
      </c>
      <c r="E283" s="4" t="s">
        <v>20</v>
      </c>
      <c r="I283" s="4" t="s">
        <v>557</v>
      </c>
      <c r="J283" s="4">
        <v>22</v>
      </c>
      <c r="K283" s="4" t="s">
        <v>7</v>
      </c>
    </row>
    <row r="284" spans="1:11" x14ac:dyDescent="0.2">
      <c r="A284" s="4" t="s">
        <v>632</v>
      </c>
      <c r="B284" s="4" t="s">
        <v>631</v>
      </c>
      <c r="C284" s="4" t="s">
        <v>638</v>
      </c>
      <c r="D284" s="2">
        <v>45066.153622685182</v>
      </c>
      <c r="E284" s="4" t="s">
        <v>541</v>
      </c>
    </row>
    <row r="285" spans="1:11" x14ac:dyDescent="0.2">
      <c r="A285" s="4" t="s">
        <v>632</v>
      </c>
      <c r="B285" s="4" t="s">
        <v>631</v>
      </c>
      <c r="C285" s="4" t="s">
        <v>638</v>
      </c>
      <c r="D285" s="2">
        <v>45066.153634259259</v>
      </c>
      <c r="E285" s="4" t="s">
        <v>541</v>
      </c>
    </row>
    <row r="286" spans="1:11" x14ac:dyDescent="0.2">
      <c r="A286" s="4" t="s">
        <v>632</v>
      </c>
      <c r="B286" s="4" t="s">
        <v>631</v>
      </c>
      <c r="C286" s="4" t="s">
        <v>638</v>
      </c>
      <c r="D286" s="2">
        <v>45066.153645833336</v>
      </c>
      <c r="E286" s="4" t="s">
        <v>541</v>
      </c>
    </row>
    <row r="287" spans="1:11" x14ac:dyDescent="0.2">
      <c r="A287" s="4" t="s">
        <v>632</v>
      </c>
      <c r="B287" s="4" t="s">
        <v>631</v>
      </c>
      <c r="C287" s="4" t="s">
        <v>638</v>
      </c>
      <c r="D287" s="2">
        <v>45066.153645833336</v>
      </c>
      <c r="E287" s="4" t="s">
        <v>541</v>
      </c>
    </row>
    <row r="288" spans="1:11" x14ac:dyDescent="0.2">
      <c r="A288" s="4" t="s">
        <v>632</v>
      </c>
      <c r="B288" s="4" t="s">
        <v>631</v>
      </c>
      <c r="C288" s="4" t="s">
        <v>638</v>
      </c>
      <c r="D288" s="2">
        <v>45066.153645833336</v>
      </c>
      <c r="E288" s="4" t="s">
        <v>20</v>
      </c>
      <c r="I288" s="4" t="s">
        <v>559</v>
      </c>
      <c r="J288" s="4">
        <v>654.5</v>
      </c>
      <c r="K288" s="4" t="s">
        <v>560</v>
      </c>
    </row>
    <row r="289" spans="1:11" x14ac:dyDescent="0.2">
      <c r="A289" s="4" t="s">
        <v>632</v>
      </c>
      <c r="B289" s="4" t="s">
        <v>631</v>
      </c>
      <c r="C289" s="4" t="s">
        <v>638</v>
      </c>
      <c r="D289" s="2">
        <v>45066.153668981482</v>
      </c>
      <c r="E289" s="4" t="s">
        <v>541</v>
      </c>
    </row>
    <row r="290" spans="1:11" x14ac:dyDescent="0.2">
      <c r="A290" s="4" t="s">
        <v>632</v>
      </c>
      <c r="B290" s="4" t="s">
        <v>631</v>
      </c>
      <c r="C290" s="4" t="s">
        <v>638</v>
      </c>
      <c r="D290" s="2">
        <v>45066.153668981482</v>
      </c>
      <c r="E290" s="4" t="s">
        <v>20</v>
      </c>
      <c r="I290" s="4" t="s">
        <v>557</v>
      </c>
      <c r="J290" s="4">
        <v>2</v>
      </c>
      <c r="K290" s="4" t="s">
        <v>7</v>
      </c>
    </row>
    <row r="291" spans="1:11" x14ac:dyDescent="0.2">
      <c r="A291" s="4" t="s">
        <v>632</v>
      </c>
      <c r="B291" s="4" t="s">
        <v>631</v>
      </c>
      <c r="C291" s="4" t="s">
        <v>638</v>
      </c>
      <c r="D291" s="2">
        <v>45066.153680555559</v>
      </c>
      <c r="E291" s="4" t="s">
        <v>19</v>
      </c>
      <c r="F291" s="4" t="s">
        <v>647</v>
      </c>
      <c r="G291" s="4">
        <v>-39.421959999999999</v>
      </c>
      <c r="H291" s="4">
        <v>33.736310000000003</v>
      </c>
    </row>
    <row r="292" spans="1:11" x14ac:dyDescent="0.2">
      <c r="A292" s="4" t="s">
        <v>632</v>
      </c>
      <c r="B292" s="4" t="s">
        <v>631</v>
      </c>
      <c r="C292" s="4" t="s">
        <v>638</v>
      </c>
      <c r="D292" s="2">
        <v>45066.153680555559</v>
      </c>
      <c r="E292" s="4" t="s">
        <v>541</v>
      </c>
    </row>
    <row r="293" spans="1:11" x14ac:dyDescent="0.2">
      <c r="A293" s="4" t="s">
        <v>632</v>
      </c>
      <c r="B293" s="4" t="s">
        <v>631</v>
      </c>
      <c r="C293" s="4" t="s">
        <v>638</v>
      </c>
      <c r="D293" s="2">
        <v>45066.153703703705</v>
      </c>
      <c r="E293" s="4" t="s">
        <v>541</v>
      </c>
    </row>
    <row r="294" spans="1:11" x14ac:dyDescent="0.2">
      <c r="A294" s="4" t="s">
        <v>632</v>
      </c>
      <c r="B294" s="4" t="s">
        <v>631</v>
      </c>
      <c r="C294" s="4" t="s">
        <v>638</v>
      </c>
      <c r="D294" s="2">
        <v>45066.153715277775</v>
      </c>
      <c r="E294" s="4" t="s">
        <v>19</v>
      </c>
      <c r="F294" s="4" t="s">
        <v>647</v>
      </c>
      <c r="G294" s="4">
        <v>-39.421979999999998</v>
      </c>
      <c r="H294" s="4">
        <v>33.736280000000001</v>
      </c>
    </row>
    <row r="295" spans="1:11" x14ac:dyDescent="0.2">
      <c r="A295" s="4" t="s">
        <v>632</v>
      </c>
      <c r="B295" s="4" t="s">
        <v>631</v>
      </c>
      <c r="C295" s="4" t="s">
        <v>638</v>
      </c>
      <c r="D295" s="2">
        <v>45066.153715277775</v>
      </c>
      <c r="E295" s="4" t="s">
        <v>541</v>
      </c>
    </row>
    <row r="296" spans="1:11" x14ac:dyDescent="0.2">
      <c r="A296" s="4" t="s">
        <v>632</v>
      </c>
      <c r="B296" s="4" t="s">
        <v>631</v>
      </c>
      <c r="C296" s="4" t="s">
        <v>638</v>
      </c>
      <c r="D296" s="2">
        <v>45066.153726851851</v>
      </c>
      <c r="E296" s="4" t="s">
        <v>20</v>
      </c>
      <c r="I296" s="4" t="s">
        <v>557</v>
      </c>
      <c r="J296" s="4">
        <v>8</v>
      </c>
      <c r="K296" s="4" t="s">
        <v>7</v>
      </c>
    </row>
    <row r="297" spans="1:11" x14ac:dyDescent="0.2">
      <c r="A297" s="4" t="s">
        <v>632</v>
      </c>
      <c r="B297" s="4" t="s">
        <v>631</v>
      </c>
      <c r="C297" s="4" t="s">
        <v>638</v>
      </c>
      <c r="D297" s="2">
        <v>45066.153726851851</v>
      </c>
      <c r="E297" s="4" t="s">
        <v>541</v>
      </c>
    </row>
    <row r="298" spans="1:11" x14ac:dyDescent="0.2">
      <c r="A298" s="4" t="s">
        <v>632</v>
      </c>
      <c r="B298" s="4" t="s">
        <v>631</v>
      </c>
      <c r="C298" s="4" t="s">
        <v>638</v>
      </c>
      <c r="D298" s="2">
        <v>45066.153726851851</v>
      </c>
      <c r="E298" s="4" t="s">
        <v>20</v>
      </c>
      <c r="I298" s="4" t="s">
        <v>557</v>
      </c>
      <c r="J298" s="4">
        <v>7</v>
      </c>
      <c r="K298" s="4" t="s">
        <v>7</v>
      </c>
    </row>
    <row r="299" spans="1:11" x14ac:dyDescent="0.2">
      <c r="A299" s="4" t="s">
        <v>632</v>
      </c>
      <c r="B299" s="4" t="s">
        <v>631</v>
      </c>
      <c r="C299" s="4" t="s">
        <v>638</v>
      </c>
      <c r="D299" s="2">
        <v>45066.153738425928</v>
      </c>
      <c r="E299" s="4" t="s">
        <v>541</v>
      </c>
    </row>
    <row r="300" spans="1:11" x14ac:dyDescent="0.2">
      <c r="A300" s="4" t="s">
        <v>632</v>
      </c>
      <c r="B300" s="4" t="s">
        <v>631</v>
      </c>
      <c r="C300" s="4" t="s">
        <v>638</v>
      </c>
      <c r="D300" s="2">
        <v>45066.153738425928</v>
      </c>
      <c r="E300" s="4" t="s">
        <v>541</v>
      </c>
    </row>
    <row r="301" spans="1:11" x14ac:dyDescent="0.2">
      <c r="A301" s="4" t="s">
        <v>632</v>
      </c>
      <c r="B301" s="4" t="s">
        <v>631</v>
      </c>
      <c r="C301" s="4" t="s">
        <v>638</v>
      </c>
      <c r="D301" s="2">
        <v>45066.153738425928</v>
      </c>
      <c r="E301" s="4" t="s">
        <v>541</v>
      </c>
    </row>
    <row r="302" spans="1:11" x14ac:dyDescent="0.2">
      <c r="A302" s="4" t="s">
        <v>632</v>
      </c>
      <c r="B302" s="4" t="s">
        <v>631</v>
      </c>
      <c r="C302" s="4" t="s">
        <v>638</v>
      </c>
      <c r="D302" s="2">
        <v>45066.153738425928</v>
      </c>
      <c r="E302" s="4" t="s">
        <v>541</v>
      </c>
    </row>
    <row r="303" spans="1:11" x14ac:dyDescent="0.2">
      <c r="A303" s="4" t="s">
        <v>632</v>
      </c>
      <c r="B303" s="4" t="s">
        <v>631</v>
      </c>
      <c r="C303" s="4" t="s">
        <v>638</v>
      </c>
      <c r="D303" s="2">
        <v>45066.153749999998</v>
      </c>
      <c r="E303" s="4" t="s">
        <v>19</v>
      </c>
      <c r="F303" s="4" t="s">
        <v>647</v>
      </c>
      <c r="G303" s="4">
        <v>-39.42201</v>
      </c>
      <c r="H303" s="4">
        <v>33.736229999999999</v>
      </c>
    </row>
    <row r="304" spans="1:11" x14ac:dyDescent="0.2">
      <c r="A304" s="4" t="s">
        <v>632</v>
      </c>
      <c r="B304" s="4" t="s">
        <v>631</v>
      </c>
      <c r="C304" s="4" t="s">
        <v>638</v>
      </c>
      <c r="D304" s="2">
        <v>45066.153749999998</v>
      </c>
      <c r="E304" s="4" t="s">
        <v>541</v>
      </c>
    </row>
    <row r="305" spans="1:11" x14ac:dyDescent="0.2">
      <c r="A305" s="4" t="s">
        <v>632</v>
      </c>
      <c r="B305" s="4" t="s">
        <v>631</v>
      </c>
      <c r="C305" s="4" t="s">
        <v>638</v>
      </c>
      <c r="D305" s="2">
        <v>45066.153761574074</v>
      </c>
      <c r="E305" s="4" t="s">
        <v>20</v>
      </c>
      <c r="I305" s="4" t="s">
        <v>557</v>
      </c>
      <c r="J305" s="4">
        <v>0</v>
      </c>
      <c r="K305" s="4" t="s">
        <v>7</v>
      </c>
    </row>
    <row r="306" spans="1:11" x14ac:dyDescent="0.2">
      <c r="A306" s="4" t="s">
        <v>632</v>
      </c>
      <c r="B306" s="4" t="s">
        <v>631</v>
      </c>
      <c r="C306" s="4" t="s">
        <v>638</v>
      </c>
      <c r="D306" s="2">
        <v>45066.153761574074</v>
      </c>
      <c r="E306" s="4" t="s">
        <v>20</v>
      </c>
      <c r="I306" s="4" t="s">
        <v>605</v>
      </c>
      <c r="J306" s="4">
        <v>1997.68</v>
      </c>
      <c r="K306" s="4" t="s">
        <v>599</v>
      </c>
    </row>
    <row r="307" spans="1:11" x14ac:dyDescent="0.2">
      <c r="A307" s="4" t="s">
        <v>632</v>
      </c>
      <c r="B307" s="4" t="s">
        <v>631</v>
      </c>
      <c r="C307" s="4" t="s">
        <v>638</v>
      </c>
      <c r="D307" s="2">
        <v>45066.153761574074</v>
      </c>
      <c r="E307" s="4" t="s">
        <v>541</v>
      </c>
    </row>
    <row r="308" spans="1:11" x14ac:dyDescent="0.2">
      <c r="A308" s="4" t="s">
        <v>632</v>
      </c>
      <c r="B308" s="4" t="s">
        <v>631</v>
      </c>
      <c r="C308" s="4" t="s">
        <v>638</v>
      </c>
      <c r="D308" s="2">
        <v>45066.153761574074</v>
      </c>
      <c r="E308" s="4" t="s">
        <v>20</v>
      </c>
      <c r="I308" s="4" t="s">
        <v>609</v>
      </c>
      <c r="J308" s="4">
        <v>58.030799999999999</v>
      </c>
      <c r="K308" s="4" t="s">
        <v>569</v>
      </c>
    </row>
    <row r="309" spans="1:11" x14ac:dyDescent="0.2">
      <c r="A309" s="4" t="s">
        <v>632</v>
      </c>
      <c r="B309" s="4" t="s">
        <v>631</v>
      </c>
      <c r="C309" s="4" t="s">
        <v>638</v>
      </c>
      <c r="D309" s="2">
        <v>45066.153761574074</v>
      </c>
      <c r="E309" s="4" t="s">
        <v>20</v>
      </c>
      <c r="I309" s="4" t="s">
        <v>568</v>
      </c>
      <c r="J309" s="4">
        <v>54.1098</v>
      </c>
      <c r="K309" s="4" t="s">
        <v>569</v>
      </c>
    </row>
    <row r="310" spans="1:11" x14ac:dyDescent="0.2">
      <c r="A310" s="4" t="s">
        <v>632</v>
      </c>
      <c r="B310" s="4" t="s">
        <v>631</v>
      </c>
      <c r="C310" s="4" t="s">
        <v>638</v>
      </c>
      <c r="D310" s="2">
        <v>45066.153761574074</v>
      </c>
      <c r="E310" s="4" t="s">
        <v>20</v>
      </c>
      <c r="I310" s="4" t="s">
        <v>557</v>
      </c>
      <c r="J310" s="4">
        <v>0</v>
      </c>
      <c r="K310" s="4" t="s">
        <v>7</v>
      </c>
    </row>
    <row r="311" spans="1:11" x14ac:dyDescent="0.2">
      <c r="A311" s="4" t="s">
        <v>632</v>
      </c>
      <c r="B311" s="4" t="s">
        <v>631</v>
      </c>
      <c r="C311" s="4" t="s">
        <v>638</v>
      </c>
      <c r="D311" s="2">
        <v>45066.153773148151</v>
      </c>
      <c r="E311" s="4" t="s">
        <v>20</v>
      </c>
      <c r="I311" s="4" t="s">
        <v>563</v>
      </c>
      <c r="J311" s="4">
        <v>6.3888888894000004E-3</v>
      </c>
      <c r="K311" s="4" t="s">
        <v>564</v>
      </c>
    </row>
    <row r="312" spans="1:11" x14ac:dyDescent="0.2">
      <c r="A312" s="4" t="s">
        <v>632</v>
      </c>
      <c r="B312" s="4" t="s">
        <v>631</v>
      </c>
      <c r="C312" s="4" t="s">
        <v>638</v>
      </c>
      <c r="D312" s="2">
        <v>45066.153773148151</v>
      </c>
      <c r="E312" s="4" t="s">
        <v>19</v>
      </c>
      <c r="F312" s="4" t="s">
        <v>647</v>
      </c>
      <c r="G312" s="4">
        <v>-39.42201</v>
      </c>
      <c r="H312" s="4">
        <v>33.736229999999999</v>
      </c>
    </row>
    <row r="313" spans="1:11" x14ac:dyDescent="0.2">
      <c r="A313" s="4" t="s">
        <v>632</v>
      </c>
      <c r="B313" s="4" t="s">
        <v>631</v>
      </c>
      <c r="C313" s="4" t="s">
        <v>638</v>
      </c>
      <c r="D313" s="2">
        <v>45066.153773148151</v>
      </c>
      <c r="E313" s="4" t="s">
        <v>20</v>
      </c>
      <c r="I313" s="4" t="s">
        <v>605</v>
      </c>
      <c r="J313" s="4">
        <v>1997.68</v>
      </c>
      <c r="K313" s="4" t="s">
        <v>599</v>
      </c>
    </row>
    <row r="314" spans="1:11" x14ac:dyDescent="0.2">
      <c r="A314" s="4" t="s">
        <v>632</v>
      </c>
      <c r="B314" s="4" t="s">
        <v>631</v>
      </c>
      <c r="C314" s="4" t="s">
        <v>638</v>
      </c>
      <c r="D314" s="2">
        <v>45066.153703703705</v>
      </c>
      <c r="E314" s="4" t="s">
        <v>541</v>
      </c>
    </row>
    <row r="315" spans="1:11" x14ac:dyDescent="0.2">
      <c r="A315" s="4" t="s">
        <v>632</v>
      </c>
      <c r="B315" s="4" t="s">
        <v>631</v>
      </c>
      <c r="C315" s="4" t="s">
        <v>638</v>
      </c>
      <c r="D315" s="2">
        <v>45066.153703703705</v>
      </c>
      <c r="E315" s="4" t="s">
        <v>20</v>
      </c>
      <c r="I315" s="4" t="s">
        <v>610</v>
      </c>
      <c r="J315" s="4">
        <v>187.64000000000001</v>
      </c>
      <c r="K315" s="4" t="s">
        <v>599</v>
      </c>
    </row>
    <row r="316" spans="1:11" x14ac:dyDescent="0.2">
      <c r="A316" s="4" t="s">
        <v>632</v>
      </c>
      <c r="B316" s="4" t="s">
        <v>631</v>
      </c>
      <c r="C316" s="4" t="s">
        <v>638</v>
      </c>
      <c r="D316" s="2">
        <v>45066.153703703705</v>
      </c>
      <c r="E316" s="4" t="s">
        <v>20</v>
      </c>
      <c r="I316" s="4" t="s">
        <v>611</v>
      </c>
      <c r="J316" s="4">
        <v>0.01</v>
      </c>
      <c r="K316" s="4" t="s">
        <v>599</v>
      </c>
    </row>
    <row r="317" spans="1:11" x14ac:dyDescent="0.2">
      <c r="A317" s="4" t="s">
        <v>632</v>
      </c>
      <c r="B317" s="4" t="s">
        <v>631</v>
      </c>
      <c r="C317" s="4" t="s">
        <v>638</v>
      </c>
      <c r="D317" s="2">
        <v>45066.15384259259</v>
      </c>
      <c r="E317" s="4" t="s">
        <v>20</v>
      </c>
      <c r="I317" s="4" t="s">
        <v>563</v>
      </c>
      <c r="J317" s="4">
        <v>8.0555555562E-3</v>
      </c>
      <c r="K317" s="4" t="s">
        <v>564</v>
      </c>
    </row>
    <row r="318" spans="1:11" x14ac:dyDescent="0.2">
      <c r="A318" s="4" t="s">
        <v>632</v>
      </c>
      <c r="B318" s="4" t="s">
        <v>631</v>
      </c>
      <c r="C318" s="4" t="s">
        <v>638</v>
      </c>
      <c r="D318" s="2">
        <v>45066.153877314813</v>
      </c>
      <c r="E318" s="4" t="s">
        <v>541</v>
      </c>
    </row>
    <row r="319" spans="1:11" x14ac:dyDescent="0.2">
      <c r="A319" s="4" t="s">
        <v>632</v>
      </c>
      <c r="B319" s="4" t="s">
        <v>631</v>
      </c>
      <c r="C319" s="4" t="s">
        <v>638</v>
      </c>
      <c r="D319" s="2">
        <v>45066.153877314813</v>
      </c>
      <c r="E319" s="4" t="s">
        <v>541</v>
      </c>
    </row>
    <row r="320" spans="1:11" x14ac:dyDescent="0.2">
      <c r="A320" s="4" t="s">
        <v>632</v>
      </c>
      <c r="B320" s="4" t="s">
        <v>631</v>
      </c>
      <c r="C320" s="4" t="s">
        <v>638</v>
      </c>
      <c r="D320" s="2">
        <v>45066.153923611113</v>
      </c>
      <c r="E320" s="4" t="s">
        <v>541</v>
      </c>
    </row>
    <row r="321" spans="1:11" x14ac:dyDescent="0.2">
      <c r="A321" s="4" t="s">
        <v>632</v>
      </c>
      <c r="B321" s="4" t="s">
        <v>631</v>
      </c>
      <c r="C321" s="4" t="s">
        <v>638</v>
      </c>
      <c r="D321" s="2">
        <v>45066.153923611113</v>
      </c>
      <c r="E321" s="4" t="s">
        <v>541</v>
      </c>
    </row>
    <row r="322" spans="1:11" x14ac:dyDescent="0.2">
      <c r="A322" s="4" t="s">
        <v>632</v>
      </c>
      <c r="B322" s="4" t="s">
        <v>631</v>
      </c>
      <c r="C322" s="4" t="s">
        <v>638</v>
      </c>
      <c r="D322" s="2">
        <v>45066.153923611113</v>
      </c>
      <c r="E322" s="4" t="s">
        <v>541</v>
      </c>
    </row>
    <row r="323" spans="1:11" x14ac:dyDescent="0.2">
      <c r="A323" s="4" t="s">
        <v>632</v>
      </c>
      <c r="B323" s="4" t="s">
        <v>631</v>
      </c>
      <c r="C323" s="4" t="s">
        <v>638</v>
      </c>
      <c r="D323" s="2">
        <v>45066.154027777775</v>
      </c>
      <c r="E323" s="4" t="s">
        <v>20</v>
      </c>
      <c r="I323" s="4" t="s">
        <v>566</v>
      </c>
      <c r="J323" s="4">
        <v>37</v>
      </c>
      <c r="K323" s="4" t="s">
        <v>567</v>
      </c>
    </row>
    <row r="324" spans="1:11" x14ac:dyDescent="0.2">
      <c r="A324" s="4" t="s">
        <v>632</v>
      </c>
      <c r="B324" s="4" t="s">
        <v>631</v>
      </c>
      <c r="C324" s="4" t="s">
        <v>638</v>
      </c>
      <c r="D324" s="2">
        <v>45066.154097222221</v>
      </c>
      <c r="E324" s="4" t="s">
        <v>20</v>
      </c>
      <c r="I324" s="4" t="s">
        <v>568</v>
      </c>
      <c r="J324" s="4">
        <v>54.1098</v>
      </c>
      <c r="K324" s="4" t="s">
        <v>569</v>
      </c>
    </row>
    <row r="325" spans="1:11" x14ac:dyDescent="0.2">
      <c r="A325" s="4" t="s">
        <v>632</v>
      </c>
      <c r="B325" s="4" t="s">
        <v>631</v>
      </c>
      <c r="C325" s="4" t="s">
        <v>638</v>
      </c>
      <c r="D325" s="2">
        <v>45066.154097222221</v>
      </c>
      <c r="E325" s="4" t="s">
        <v>19</v>
      </c>
      <c r="F325" s="4" t="s">
        <v>647</v>
      </c>
      <c r="G325" s="4">
        <v>-39.42201</v>
      </c>
      <c r="H325" s="4">
        <v>33.736229999999999</v>
      </c>
    </row>
    <row r="326" spans="1:11" x14ac:dyDescent="0.2">
      <c r="A326" s="4" t="s">
        <v>632</v>
      </c>
      <c r="B326" s="4" t="s">
        <v>631</v>
      </c>
      <c r="C326" s="4" t="s">
        <v>638</v>
      </c>
      <c r="D326" s="2">
        <v>45066.154108796298</v>
      </c>
      <c r="E326" s="4" t="s">
        <v>20</v>
      </c>
      <c r="I326" s="4" t="s">
        <v>568</v>
      </c>
      <c r="J326" s="4">
        <v>50.5809</v>
      </c>
      <c r="K326" s="4" t="s">
        <v>569</v>
      </c>
    </row>
    <row r="327" spans="1:11" x14ac:dyDescent="0.2">
      <c r="A327" s="4" t="s">
        <v>632</v>
      </c>
      <c r="B327" s="4" t="s">
        <v>631</v>
      </c>
      <c r="C327" s="4" t="s">
        <v>638</v>
      </c>
      <c r="D327" s="2">
        <v>45066.154108796298</v>
      </c>
      <c r="E327" s="4" t="s">
        <v>20</v>
      </c>
      <c r="I327" s="4" t="s">
        <v>557</v>
      </c>
      <c r="J327" s="4">
        <v>1</v>
      </c>
      <c r="K327" s="4" t="s">
        <v>7</v>
      </c>
    </row>
    <row r="328" spans="1:11" x14ac:dyDescent="0.2">
      <c r="A328" s="4" t="s">
        <v>632</v>
      </c>
      <c r="B328" s="4" t="s">
        <v>631</v>
      </c>
      <c r="C328" s="4" t="s">
        <v>638</v>
      </c>
      <c r="D328" s="2">
        <v>45066.154108796298</v>
      </c>
      <c r="E328" s="4" t="s">
        <v>20</v>
      </c>
      <c r="I328" s="4" t="s">
        <v>597</v>
      </c>
      <c r="J328" s="4">
        <v>8.3333333340000013E-3</v>
      </c>
      <c r="K328" s="4" t="s">
        <v>564</v>
      </c>
    </row>
    <row r="329" spans="1:11" x14ac:dyDescent="0.2">
      <c r="A329" s="4" t="s">
        <v>632</v>
      </c>
      <c r="B329" s="4" t="s">
        <v>631</v>
      </c>
      <c r="C329" s="4" t="s">
        <v>638</v>
      </c>
      <c r="D329" s="2">
        <v>45066.154108796298</v>
      </c>
      <c r="E329" s="4" t="s">
        <v>20</v>
      </c>
      <c r="I329" s="4" t="s">
        <v>598</v>
      </c>
      <c r="J329" s="4">
        <v>6.0000000000000001E-3</v>
      </c>
      <c r="K329" s="4" t="s">
        <v>599</v>
      </c>
    </row>
    <row r="330" spans="1:11" x14ac:dyDescent="0.2">
      <c r="A330" s="4" t="s">
        <v>632</v>
      </c>
      <c r="B330" s="4" t="s">
        <v>631</v>
      </c>
      <c r="C330" s="4" t="s">
        <v>638</v>
      </c>
      <c r="D330" s="2">
        <v>45066.154108796298</v>
      </c>
      <c r="E330" s="4" t="s">
        <v>541</v>
      </c>
    </row>
    <row r="331" spans="1:11" x14ac:dyDescent="0.2">
      <c r="A331" s="4" t="s">
        <v>632</v>
      </c>
      <c r="B331" s="4" t="s">
        <v>631</v>
      </c>
      <c r="C331" s="4" t="s">
        <v>638</v>
      </c>
      <c r="D331" s="2">
        <v>45066.154108796298</v>
      </c>
      <c r="E331" s="4" t="s">
        <v>19</v>
      </c>
      <c r="F331" s="4" t="s">
        <v>647</v>
      </c>
      <c r="G331" s="4">
        <v>-39.42201</v>
      </c>
      <c r="H331" s="4">
        <v>33.736229999999999</v>
      </c>
    </row>
    <row r="332" spans="1:11" x14ac:dyDescent="0.2">
      <c r="A332" s="4" t="s">
        <v>632</v>
      </c>
      <c r="B332" s="4" t="s">
        <v>631</v>
      </c>
      <c r="C332" s="4" t="s">
        <v>638</v>
      </c>
      <c r="D332" s="2">
        <v>45066.154108796298</v>
      </c>
      <c r="E332" s="4" t="s">
        <v>20</v>
      </c>
      <c r="I332" s="4" t="s">
        <v>605</v>
      </c>
      <c r="J332" s="4">
        <v>1997.68</v>
      </c>
      <c r="K332" s="4" t="s">
        <v>599</v>
      </c>
    </row>
    <row r="333" spans="1:11" x14ac:dyDescent="0.2">
      <c r="A333" s="4" t="s">
        <v>632</v>
      </c>
      <c r="B333" s="4" t="s">
        <v>631</v>
      </c>
      <c r="C333" s="4" t="s">
        <v>638</v>
      </c>
      <c r="D333" s="2">
        <v>45066.154120370367</v>
      </c>
      <c r="E333" s="4" t="s">
        <v>20</v>
      </c>
      <c r="I333" s="4" t="s">
        <v>568</v>
      </c>
      <c r="J333" s="4">
        <v>58.030799999999999</v>
      </c>
      <c r="K333" s="4" t="s">
        <v>569</v>
      </c>
    </row>
    <row r="334" spans="1:11" x14ac:dyDescent="0.2">
      <c r="A334" s="4" t="s">
        <v>632</v>
      </c>
      <c r="B334" s="4" t="s">
        <v>631</v>
      </c>
      <c r="C334" s="4" t="s">
        <v>638</v>
      </c>
      <c r="D334" s="2">
        <v>45066.154120370367</v>
      </c>
      <c r="E334" s="4" t="s">
        <v>20</v>
      </c>
      <c r="I334" s="4" t="s">
        <v>557</v>
      </c>
      <c r="J334" s="4">
        <v>0</v>
      </c>
      <c r="K334" s="4" t="s">
        <v>7</v>
      </c>
    </row>
    <row r="335" spans="1:11" x14ac:dyDescent="0.2">
      <c r="A335" s="4" t="s">
        <v>632</v>
      </c>
      <c r="B335" s="4" t="s">
        <v>631</v>
      </c>
      <c r="C335" s="4" t="s">
        <v>638</v>
      </c>
      <c r="D335" s="2">
        <v>45066.154120370367</v>
      </c>
      <c r="E335" s="4" t="s">
        <v>19</v>
      </c>
      <c r="F335" s="4" t="s">
        <v>647</v>
      </c>
      <c r="G335" s="4">
        <v>-39.42201</v>
      </c>
      <c r="H335" s="4">
        <v>33.73621</v>
      </c>
    </row>
    <row r="336" spans="1:11" x14ac:dyDescent="0.2">
      <c r="A336" s="4" t="s">
        <v>632</v>
      </c>
      <c r="B336" s="4" t="s">
        <v>631</v>
      </c>
      <c r="C336" s="4" t="s">
        <v>638</v>
      </c>
      <c r="D336" s="2">
        <v>45066.154120370367</v>
      </c>
      <c r="E336" s="4" t="s">
        <v>20</v>
      </c>
      <c r="I336" s="4" t="s">
        <v>559</v>
      </c>
      <c r="J336" s="4">
        <v>706.25</v>
      </c>
      <c r="K336" s="4" t="s">
        <v>560</v>
      </c>
    </row>
    <row r="337" spans="1:11" x14ac:dyDescent="0.2">
      <c r="A337" s="4" t="s">
        <v>632</v>
      </c>
      <c r="B337" s="4" t="s">
        <v>631</v>
      </c>
      <c r="C337" s="4" t="s">
        <v>638</v>
      </c>
      <c r="D337" s="2">
        <v>45066.154120370367</v>
      </c>
      <c r="E337" s="4" t="s">
        <v>20</v>
      </c>
      <c r="I337" s="4" t="s">
        <v>605</v>
      </c>
      <c r="J337" s="4">
        <v>1997.68</v>
      </c>
      <c r="K337" s="4" t="s">
        <v>599</v>
      </c>
    </row>
    <row r="338" spans="1:11" x14ac:dyDescent="0.2">
      <c r="A338" s="4" t="s">
        <v>632</v>
      </c>
      <c r="B338" s="4" t="s">
        <v>631</v>
      </c>
      <c r="C338" s="4" t="s">
        <v>638</v>
      </c>
      <c r="D338" s="2">
        <v>45066.154120370367</v>
      </c>
      <c r="E338" s="4" t="s">
        <v>20</v>
      </c>
      <c r="I338" s="4" t="s">
        <v>563</v>
      </c>
      <c r="J338" s="4">
        <v>1.4722222223400002E-2</v>
      </c>
      <c r="K338" s="4" t="s">
        <v>564</v>
      </c>
    </row>
    <row r="339" spans="1:11" x14ac:dyDescent="0.2">
      <c r="A339" s="4" t="s">
        <v>632</v>
      </c>
      <c r="B339" s="4" t="s">
        <v>631</v>
      </c>
      <c r="C339" s="4" t="s">
        <v>638</v>
      </c>
      <c r="D339" s="2">
        <v>45066.154120370367</v>
      </c>
      <c r="E339" s="4" t="s">
        <v>20</v>
      </c>
      <c r="I339" s="4" t="s">
        <v>597</v>
      </c>
      <c r="J339" s="4">
        <v>2.7777777780000002E-4</v>
      </c>
      <c r="K339" s="4" t="s">
        <v>564</v>
      </c>
    </row>
    <row r="340" spans="1:11" x14ac:dyDescent="0.2">
      <c r="A340" s="4" t="s">
        <v>632</v>
      </c>
      <c r="B340" s="4" t="s">
        <v>631</v>
      </c>
      <c r="C340" s="4" t="s">
        <v>638</v>
      </c>
      <c r="D340" s="2">
        <v>45066.154120370367</v>
      </c>
      <c r="E340" s="4" t="s">
        <v>20</v>
      </c>
      <c r="I340" s="4" t="s">
        <v>598</v>
      </c>
      <c r="J340" s="4">
        <v>0</v>
      </c>
      <c r="K340" s="4" t="s">
        <v>599</v>
      </c>
    </row>
    <row r="341" spans="1:11" x14ac:dyDescent="0.2">
      <c r="A341" s="4" t="s">
        <v>632</v>
      </c>
      <c r="B341" s="4" t="s">
        <v>631</v>
      </c>
      <c r="C341" s="4" t="s">
        <v>638</v>
      </c>
      <c r="D341" s="2">
        <v>45066.154131944444</v>
      </c>
      <c r="E341" s="4" t="s">
        <v>20</v>
      </c>
      <c r="I341" s="4" t="s">
        <v>557</v>
      </c>
      <c r="J341" s="4">
        <v>2</v>
      </c>
      <c r="K341" s="4" t="s">
        <v>7</v>
      </c>
    </row>
    <row r="342" spans="1:11" x14ac:dyDescent="0.2">
      <c r="A342" s="4" t="s">
        <v>632</v>
      </c>
      <c r="B342" s="4" t="s">
        <v>631</v>
      </c>
      <c r="C342" s="4" t="s">
        <v>638</v>
      </c>
      <c r="D342" s="2">
        <v>45066.154131944444</v>
      </c>
      <c r="E342" s="4" t="s">
        <v>19</v>
      </c>
      <c r="F342" s="4" t="s">
        <v>647</v>
      </c>
      <c r="G342" s="4">
        <v>-39.42201</v>
      </c>
      <c r="H342" s="4">
        <v>33.73621</v>
      </c>
    </row>
    <row r="343" spans="1:11" x14ac:dyDescent="0.2">
      <c r="A343" s="4" t="s">
        <v>632</v>
      </c>
      <c r="B343" s="4" t="s">
        <v>631</v>
      </c>
      <c r="C343" s="4" t="s">
        <v>638</v>
      </c>
      <c r="D343" s="2">
        <v>45066.154131944444</v>
      </c>
      <c r="E343" s="4" t="s">
        <v>20</v>
      </c>
      <c r="I343" s="4" t="s">
        <v>605</v>
      </c>
      <c r="J343" s="4">
        <v>1997.69</v>
      </c>
      <c r="K343" s="4" t="s">
        <v>599</v>
      </c>
    </row>
    <row r="344" spans="1:11" x14ac:dyDescent="0.2">
      <c r="A344" s="4" t="s">
        <v>632</v>
      </c>
      <c r="B344" s="4" t="s">
        <v>631</v>
      </c>
      <c r="C344" s="4" t="s">
        <v>638</v>
      </c>
      <c r="D344" s="2">
        <v>45066.154143518521</v>
      </c>
      <c r="E344" s="4" t="s">
        <v>20</v>
      </c>
      <c r="I344" s="4" t="s">
        <v>557</v>
      </c>
      <c r="J344" s="4">
        <v>8</v>
      </c>
      <c r="K344" s="4" t="s">
        <v>7</v>
      </c>
    </row>
    <row r="345" spans="1:11" x14ac:dyDescent="0.2">
      <c r="A345" s="4" t="s">
        <v>632</v>
      </c>
      <c r="B345" s="4" t="s">
        <v>631</v>
      </c>
      <c r="C345" s="4" t="s">
        <v>638</v>
      </c>
      <c r="D345" s="2">
        <v>45066.154143518521</v>
      </c>
      <c r="E345" s="4" t="s">
        <v>19</v>
      </c>
      <c r="F345" s="4" t="s">
        <v>647</v>
      </c>
      <c r="G345" s="4">
        <v>-39.42201</v>
      </c>
      <c r="H345" s="4">
        <v>33.73621</v>
      </c>
    </row>
    <row r="346" spans="1:11" x14ac:dyDescent="0.2">
      <c r="A346" s="4" t="s">
        <v>632</v>
      </c>
      <c r="B346" s="4" t="s">
        <v>631</v>
      </c>
      <c r="C346" s="4" t="s">
        <v>638</v>
      </c>
      <c r="D346" s="2">
        <v>45066.154143518521</v>
      </c>
      <c r="E346" s="4" t="s">
        <v>20</v>
      </c>
      <c r="I346" s="4" t="s">
        <v>559</v>
      </c>
      <c r="J346" s="4">
        <v>1597.75</v>
      </c>
      <c r="K346" s="4" t="s">
        <v>560</v>
      </c>
    </row>
    <row r="347" spans="1:11" x14ac:dyDescent="0.2">
      <c r="A347" s="4" t="s">
        <v>632</v>
      </c>
      <c r="B347" s="4" t="s">
        <v>631</v>
      </c>
      <c r="C347" s="4" t="s">
        <v>638</v>
      </c>
      <c r="D347" s="2">
        <v>45066.154143518521</v>
      </c>
      <c r="E347" s="4" t="s">
        <v>20</v>
      </c>
      <c r="I347" s="4" t="s">
        <v>605</v>
      </c>
      <c r="J347" s="4">
        <v>1997.69</v>
      </c>
      <c r="K347" s="4" t="s">
        <v>599</v>
      </c>
    </row>
    <row r="348" spans="1:11" x14ac:dyDescent="0.2">
      <c r="A348" s="4" t="s">
        <v>632</v>
      </c>
      <c r="B348" s="4" t="s">
        <v>631</v>
      </c>
      <c r="C348" s="4" t="s">
        <v>638</v>
      </c>
      <c r="D348" s="2">
        <v>45066.154143518521</v>
      </c>
      <c r="E348" s="4" t="s">
        <v>20</v>
      </c>
      <c r="I348" s="4" t="s">
        <v>557</v>
      </c>
      <c r="J348" s="4">
        <v>11</v>
      </c>
      <c r="K348" s="4" t="s">
        <v>7</v>
      </c>
    </row>
    <row r="349" spans="1:11" x14ac:dyDescent="0.2">
      <c r="A349" s="4" t="s">
        <v>632</v>
      </c>
      <c r="B349" s="4" t="s">
        <v>631</v>
      </c>
      <c r="C349" s="4" t="s">
        <v>638</v>
      </c>
      <c r="D349" s="2">
        <v>45066.15415509259</v>
      </c>
      <c r="E349" s="4" t="s">
        <v>541</v>
      </c>
    </row>
    <row r="350" spans="1:11" x14ac:dyDescent="0.2">
      <c r="A350" s="4" t="s">
        <v>632</v>
      </c>
      <c r="B350" s="4" t="s">
        <v>631</v>
      </c>
      <c r="C350" s="4" t="s">
        <v>638</v>
      </c>
      <c r="D350" s="2">
        <v>45066.15415509259</v>
      </c>
      <c r="E350" s="4" t="s">
        <v>541</v>
      </c>
    </row>
    <row r="351" spans="1:11" x14ac:dyDescent="0.2">
      <c r="A351" s="4" t="s">
        <v>632</v>
      </c>
      <c r="B351" s="4" t="s">
        <v>631</v>
      </c>
      <c r="C351" s="4" t="s">
        <v>638</v>
      </c>
      <c r="D351" s="2">
        <v>45066.15415509259</v>
      </c>
      <c r="E351" s="4" t="s">
        <v>541</v>
      </c>
    </row>
    <row r="352" spans="1:11" x14ac:dyDescent="0.2">
      <c r="A352" s="4" t="s">
        <v>632</v>
      </c>
      <c r="B352" s="4" t="s">
        <v>631</v>
      </c>
      <c r="C352" s="4" t="s">
        <v>638</v>
      </c>
      <c r="D352" s="2">
        <v>45066.15415509259</v>
      </c>
      <c r="E352" s="4" t="s">
        <v>541</v>
      </c>
    </row>
    <row r="353" spans="1:11" x14ac:dyDescent="0.2">
      <c r="A353" s="4" t="s">
        <v>632</v>
      </c>
      <c r="B353" s="4" t="s">
        <v>631</v>
      </c>
      <c r="C353" s="4" t="s">
        <v>638</v>
      </c>
      <c r="D353" s="2">
        <v>45066.15415509259</v>
      </c>
      <c r="E353" s="4" t="s">
        <v>541</v>
      </c>
    </row>
    <row r="354" spans="1:11" x14ac:dyDescent="0.2">
      <c r="A354" s="4" t="s">
        <v>632</v>
      </c>
      <c r="B354" s="4" t="s">
        <v>631</v>
      </c>
      <c r="C354" s="4" t="s">
        <v>638</v>
      </c>
      <c r="D354" s="2">
        <v>45066.15415509259</v>
      </c>
      <c r="E354" s="4" t="s">
        <v>541</v>
      </c>
    </row>
    <row r="355" spans="1:11" x14ac:dyDescent="0.2">
      <c r="A355" s="4" t="s">
        <v>632</v>
      </c>
      <c r="B355" s="4" t="s">
        <v>631</v>
      </c>
      <c r="C355" s="4" t="s">
        <v>638</v>
      </c>
      <c r="D355" s="2">
        <v>45066.15415509259</v>
      </c>
      <c r="E355" s="4" t="s">
        <v>541</v>
      </c>
    </row>
    <row r="356" spans="1:11" x14ac:dyDescent="0.2">
      <c r="A356" s="4" t="s">
        <v>632</v>
      </c>
      <c r="B356" s="4" t="s">
        <v>631</v>
      </c>
      <c r="C356" s="4" t="s">
        <v>638</v>
      </c>
      <c r="D356" s="2">
        <v>45066.15415509259</v>
      </c>
      <c r="E356" s="4" t="s">
        <v>541</v>
      </c>
    </row>
    <row r="357" spans="1:11" x14ac:dyDescent="0.2">
      <c r="A357" s="4" t="s">
        <v>632</v>
      </c>
      <c r="B357" s="4" t="s">
        <v>631</v>
      </c>
      <c r="C357" s="4" t="s">
        <v>638</v>
      </c>
      <c r="D357" s="2">
        <v>45066.15415509259</v>
      </c>
      <c r="E357" s="4" t="s">
        <v>541</v>
      </c>
    </row>
    <row r="358" spans="1:11" x14ac:dyDescent="0.2">
      <c r="A358" s="4" t="s">
        <v>632</v>
      </c>
      <c r="B358" s="4" t="s">
        <v>631</v>
      </c>
      <c r="C358" s="4" t="s">
        <v>638</v>
      </c>
      <c r="D358" s="2">
        <v>45066.15415509259</v>
      </c>
      <c r="E358" s="4" t="s">
        <v>541</v>
      </c>
    </row>
    <row r="359" spans="1:11" x14ac:dyDescent="0.2">
      <c r="A359" s="4" t="s">
        <v>632</v>
      </c>
      <c r="B359" s="4" t="s">
        <v>631</v>
      </c>
      <c r="C359" s="4" t="s">
        <v>638</v>
      </c>
      <c r="D359" s="2">
        <v>45066.15415509259</v>
      </c>
      <c r="E359" s="4" t="s">
        <v>541</v>
      </c>
    </row>
    <row r="360" spans="1:11" x14ac:dyDescent="0.2">
      <c r="A360" s="4" t="s">
        <v>632</v>
      </c>
      <c r="B360" s="4" t="s">
        <v>631</v>
      </c>
      <c r="C360" s="4" t="s">
        <v>638</v>
      </c>
      <c r="D360" s="2">
        <v>45066.15415509259</v>
      </c>
      <c r="E360" s="4" t="s">
        <v>541</v>
      </c>
    </row>
    <row r="361" spans="1:11" x14ac:dyDescent="0.2">
      <c r="A361" s="4" t="s">
        <v>632</v>
      </c>
      <c r="B361" s="4" t="s">
        <v>631</v>
      </c>
      <c r="C361" s="4" t="s">
        <v>638</v>
      </c>
      <c r="D361" s="2">
        <v>45066.15420138889</v>
      </c>
      <c r="E361" s="4" t="s">
        <v>19</v>
      </c>
      <c r="F361" s="4" t="s">
        <v>651</v>
      </c>
      <c r="G361" s="4">
        <v>-39.421959999999999</v>
      </c>
      <c r="H361" s="4">
        <v>33.73603</v>
      </c>
    </row>
    <row r="362" spans="1:11" x14ac:dyDescent="0.2">
      <c r="A362" s="4" t="s">
        <v>632</v>
      </c>
      <c r="B362" s="4" t="s">
        <v>631</v>
      </c>
      <c r="C362" s="4" t="s">
        <v>638</v>
      </c>
      <c r="D362" s="2">
        <v>45066.154247685183</v>
      </c>
      <c r="E362" s="4" t="s">
        <v>20</v>
      </c>
      <c r="I362" s="4" t="s">
        <v>557</v>
      </c>
      <c r="J362" s="4">
        <v>41</v>
      </c>
      <c r="K362" s="4" t="s">
        <v>7</v>
      </c>
    </row>
    <row r="363" spans="1:11" x14ac:dyDescent="0.2">
      <c r="A363" s="4" t="s">
        <v>632</v>
      </c>
      <c r="B363" s="4" t="s">
        <v>631</v>
      </c>
      <c r="C363" s="4" t="s">
        <v>638</v>
      </c>
      <c r="D363" s="2">
        <v>45066.154270833336</v>
      </c>
      <c r="E363" s="4" t="s">
        <v>541</v>
      </c>
    </row>
    <row r="364" spans="1:11" x14ac:dyDescent="0.2">
      <c r="A364" s="4" t="s">
        <v>632</v>
      </c>
      <c r="B364" s="4" t="s">
        <v>631</v>
      </c>
      <c r="C364" s="4" t="s">
        <v>638</v>
      </c>
      <c r="D364" s="2">
        <v>45066.154270833336</v>
      </c>
      <c r="E364" s="4" t="s">
        <v>541</v>
      </c>
    </row>
    <row r="365" spans="1:11" x14ac:dyDescent="0.2">
      <c r="A365" s="4" t="s">
        <v>632</v>
      </c>
      <c r="B365" s="4" t="s">
        <v>631</v>
      </c>
      <c r="C365" s="4" t="s">
        <v>638</v>
      </c>
      <c r="D365" s="2">
        <v>45066.154270833336</v>
      </c>
      <c r="E365" s="4" t="s">
        <v>541</v>
      </c>
    </row>
    <row r="366" spans="1:11" x14ac:dyDescent="0.2">
      <c r="A366" s="4" t="s">
        <v>632</v>
      </c>
      <c r="B366" s="4" t="s">
        <v>631</v>
      </c>
      <c r="C366" s="4" t="s">
        <v>638</v>
      </c>
      <c r="D366" s="2">
        <v>45066.154432870368</v>
      </c>
      <c r="E366" s="4" t="s">
        <v>20</v>
      </c>
      <c r="I366" s="4" t="s">
        <v>557</v>
      </c>
      <c r="J366" s="4">
        <v>71</v>
      </c>
      <c r="K366" s="4" t="s">
        <v>7</v>
      </c>
    </row>
    <row r="367" spans="1:11" x14ac:dyDescent="0.2">
      <c r="A367" s="4" t="s">
        <v>632</v>
      </c>
      <c r="B367" s="4" t="s">
        <v>631</v>
      </c>
      <c r="C367" s="4" t="s">
        <v>638</v>
      </c>
      <c r="D367" s="2">
        <v>45066.154432870368</v>
      </c>
      <c r="E367" s="4" t="s">
        <v>20</v>
      </c>
      <c r="I367" s="4" t="s">
        <v>559</v>
      </c>
      <c r="J367" s="4">
        <v>2118</v>
      </c>
      <c r="K367" s="4" t="s">
        <v>560</v>
      </c>
    </row>
    <row r="368" spans="1:11" x14ac:dyDescent="0.2">
      <c r="A368" s="4" t="s">
        <v>632</v>
      </c>
      <c r="B368" s="4" t="s">
        <v>631</v>
      </c>
      <c r="C368" s="4" t="s">
        <v>638</v>
      </c>
      <c r="D368" s="2">
        <v>45066.154444444444</v>
      </c>
      <c r="E368" s="4" t="s">
        <v>19</v>
      </c>
      <c r="F368" s="4" t="s">
        <v>651</v>
      </c>
      <c r="G368" s="4">
        <v>-39.419319999999999</v>
      </c>
      <c r="H368" s="4">
        <v>33.734229999999997</v>
      </c>
    </row>
    <row r="369" spans="1:11" x14ac:dyDescent="0.2">
      <c r="A369" s="4" t="s">
        <v>632</v>
      </c>
      <c r="B369" s="4" t="s">
        <v>631</v>
      </c>
      <c r="C369" s="4" t="s">
        <v>638</v>
      </c>
      <c r="D369" s="2">
        <v>45066.154456018521</v>
      </c>
      <c r="E369" s="4" t="s">
        <v>20</v>
      </c>
      <c r="I369" s="4" t="s">
        <v>559</v>
      </c>
      <c r="J369" s="4">
        <v>1399.75</v>
      </c>
      <c r="K369" s="4" t="s">
        <v>560</v>
      </c>
    </row>
    <row r="370" spans="1:11" x14ac:dyDescent="0.2">
      <c r="A370" s="4" t="s">
        <v>632</v>
      </c>
      <c r="B370" s="4" t="s">
        <v>631</v>
      </c>
      <c r="C370" s="4" t="s">
        <v>638</v>
      </c>
      <c r="D370" s="2">
        <v>45066.154490740744</v>
      </c>
      <c r="E370" s="4" t="s">
        <v>20</v>
      </c>
      <c r="I370" s="4" t="s">
        <v>608</v>
      </c>
      <c r="J370" s="4">
        <v>1</v>
      </c>
      <c r="K370" s="4" t="s">
        <v>545</v>
      </c>
    </row>
    <row r="371" spans="1:11" x14ac:dyDescent="0.2">
      <c r="A371" s="4" t="s">
        <v>632</v>
      </c>
      <c r="B371" s="4" t="s">
        <v>631</v>
      </c>
      <c r="C371" s="4" t="s">
        <v>638</v>
      </c>
      <c r="D371" s="2">
        <v>45066.154490740744</v>
      </c>
      <c r="E371" s="4" t="s">
        <v>541</v>
      </c>
    </row>
    <row r="372" spans="1:11" x14ac:dyDescent="0.2">
      <c r="A372" s="4" t="s">
        <v>632</v>
      </c>
      <c r="B372" s="4" t="s">
        <v>631</v>
      </c>
      <c r="C372" s="4" t="s">
        <v>638</v>
      </c>
      <c r="D372" s="2">
        <v>45066.154490740744</v>
      </c>
      <c r="E372" s="4" t="s">
        <v>541</v>
      </c>
    </row>
    <row r="373" spans="1:11" x14ac:dyDescent="0.2">
      <c r="A373" s="4" t="s">
        <v>632</v>
      </c>
      <c r="B373" s="4" t="s">
        <v>631</v>
      </c>
      <c r="C373" s="4" t="s">
        <v>638</v>
      </c>
      <c r="D373" s="2">
        <v>45066.154490740744</v>
      </c>
      <c r="E373" s="4" t="s">
        <v>19</v>
      </c>
      <c r="F373" s="4" t="s">
        <v>651</v>
      </c>
      <c r="G373" s="4">
        <v>-39.41863</v>
      </c>
      <c r="H373" s="4">
        <v>33.733750000000001</v>
      </c>
    </row>
    <row r="374" spans="1:11" x14ac:dyDescent="0.2">
      <c r="A374" s="4" t="s">
        <v>632</v>
      </c>
      <c r="B374" s="4" t="s">
        <v>631</v>
      </c>
      <c r="C374" s="4" t="s">
        <v>638</v>
      </c>
      <c r="D374" s="2">
        <v>45066.154490740744</v>
      </c>
      <c r="E374" s="4" t="s">
        <v>20</v>
      </c>
      <c r="I374" s="4" t="s">
        <v>566</v>
      </c>
      <c r="J374" s="4">
        <v>31</v>
      </c>
      <c r="K374" s="4" t="s">
        <v>567</v>
      </c>
    </row>
    <row r="375" spans="1:11" x14ac:dyDescent="0.2">
      <c r="A375" s="4" t="s">
        <v>632</v>
      </c>
      <c r="B375" s="4" t="s">
        <v>631</v>
      </c>
      <c r="C375" s="4" t="s">
        <v>638</v>
      </c>
      <c r="D375" s="2">
        <v>45066.154398148145</v>
      </c>
      <c r="E375" s="4" t="s">
        <v>20</v>
      </c>
      <c r="I375" s="4" t="s">
        <v>572</v>
      </c>
      <c r="J375" s="4">
        <v>72</v>
      </c>
      <c r="K375" s="4" t="s">
        <v>567</v>
      </c>
    </row>
    <row r="376" spans="1:11" x14ac:dyDescent="0.2">
      <c r="A376" s="4" t="s">
        <v>632</v>
      </c>
      <c r="B376" s="4" t="s">
        <v>631</v>
      </c>
      <c r="C376" s="4" t="s">
        <v>638</v>
      </c>
      <c r="D376" s="2">
        <v>45066.154398148145</v>
      </c>
      <c r="E376" s="4" t="s">
        <v>541</v>
      </c>
    </row>
    <row r="377" spans="1:11" x14ac:dyDescent="0.2">
      <c r="A377" s="4" t="s">
        <v>632</v>
      </c>
      <c r="B377" s="4" t="s">
        <v>631</v>
      </c>
      <c r="C377" s="4" t="s">
        <v>638</v>
      </c>
      <c r="D377" s="2">
        <v>45066.154398148145</v>
      </c>
      <c r="E377" s="4" t="s">
        <v>20</v>
      </c>
      <c r="I377" s="4" t="s">
        <v>557</v>
      </c>
      <c r="J377" s="4">
        <v>62</v>
      </c>
      <c r="K377" s="4" t="s">
        <v>7</v>
      </c>
    </row>
    <row r="378" spans="1:11" x14ac:dyDescent="0.2">
      <c r="A378" s="4" t="s">
        <v>632</v>
      </c>
      <c r="B378" s="4" t="s">
        <v>631</v>
      </c>
      <c r="C378" s="4" t="s">
        <v>638</v>
      </c>
      <c r="D378" s="2">
        <v>45066.154537037037</v>
      </c>
      <c r="E378" s="4" t="s">
        <v>19</v>
      </c>
      <c r="F378" s="4" t="s">
        <v>651</v>
      </c>
      <c r="G378" s="4">
        <v>-39.418089999999999</v>
      </c>
      <c r="H378" s="4">
        <v>33.733260000000001</v>
      </c>
    </row>
    <row r="379" spans="1:11" x14ac:dyDescent="0.2">
      <c r="A379" s="4" t="s">
        <v>632</v>
      </c>
      <c r="B379" s="4" t="s">
        <v>631</v>
      </c>
      <c r="C379" s="4" t="s">
        <v>638</v>
      </c>
      <c r="D379" s="2">
        <v>45066.15457175926</v>
      </c>
      <c r="E379" s="4" t="s">
        <v>541</v>
      </c>
    </row>
    <row r="380" spans="1:11" x14ac:dyDescent="0.2">
      <c r="A380" s="4" t="s">
        <v>632</v>
      </c>
      <c r="B380" s="4" t="s">
        <v>631</v>
      </c>
      <c r="C380" s="4" t="s">
        <v>638</v>
      </c>
      <c r="D380" s="2">
        <v>45066.15457175926</v>
      </c>
      <c r="E380" s="4" t="s">
        <v>541</v>
      </c>
    </row>
    <row r="381" spans="1:11" x14ac:dyDescent="0.2">
      <c r="A381" s="4" t="s">
        <v>632</v>
      </c>
      <c r="B381" s="4" t="s">
        <v>631</v>
      </c>
      <c r="C381" s="4" t="s">
        <v>638</v>
      </c>
      <c r="D381" s="2">
        <v>45066.154606481483</v>
      </c>
      <c r="E381" s="4" t="s">
        <v>20</v>
      </c>
      <c r="I381" s="4" t="s">
        <v>557</v>
      </c>
      <c r="J381" s="4">
        <v>42</v>
      </c>
      <c r="K381" s="4" t="s">
        <v>7</v>
      </c>
    </row>
    <row r="382" spans="1:11" x14ac:dyDescent="0.2">
      <c r="A382" s="4" t="s">
        <v>632</v>
      </c>
      <c r="B382" s="4" t="s">
        <v>631</v>
      </c>
      <c r="C382" s="4" t="s">
        <v>638</v>
      </c>
      <c r="D382" s="2">
        <v>45066.154618055552</v>
      </c>
      <c r="E382" s="4" t="s">
        <v>541</v>
      </c>
    </row>
    <row r="383" spans="1:11" x14ac:dyDescent="0.2">
      <c r="A383" s="4" t="s">
        <v>632</v>
      </c>
      <c r="B383" s="4" t="s">
        <v>631</v>
      </c>
      <c r="C383" s="4" t="s">
        <v>638</v>
      </c>
      <c r="D383" s="2">
        <v>45066.154618055552</v>
      </c>
      <c r="E383" s="4" t="s">
        <v>541</v>
      </c>
    </row>
    <row r="384" spans="1:11" x14ac:dyDescent="0.2">
      <c r="A384" s="4" t="s">
        <v>632</v>
      </c>
      <c r="B384" s="4" t="s">
        <v>631</v>
      </c>
      <c r="C384" s="4" t="s">
        <v>638</v>
      </c>
      <c r="D384" s="2">
        <v>45066.154618055552</v>
      </c>
      <c r="E384" s="4" t="s">
        <v>541</v>
      </c>
    </row>
    <row r="385" spans="1:11" x14ac:dyDescent="0.2">
      <c r="A385" s="4" t="s">
        <v>632</v>
      </c>
      <c r="B385" s="4" t="s">
        <v>631</v>
      </c>
      <c r="C385" s="4" t="s">
        <v>638</v>
      </c>
      <c r="D385" s="2">
        <v>45066.154641203706</v>
      </c>
      <c r="E385" s="4" t="s">
        <v>19</v>
      </c>
      <c r="F385" s="4" t="s">
        <v>651</v>
      </c>
      <c r="G385" s="4">
        <v>-39.417349999999999</v>
      </c>
      <c r="H385" s="4">
        <v>33.732309999999998</v>
      </c>
    </row>
    <row r="386" spans="1:11" x14ac:dyDescent="0.2">
      <c r="A386" s="4" t="s">
        <v>632</v>
      </c>
      <c r="B386" s="4" t="s">
        <v>631</v>
      </c>
      <c r="C386" s="4" t="s">
        <v>638</v>
      </c>
      <c r="D386" s="2">
        <v>45066.154652777775</v>
      </c>
      <c r="E386" s="4" t="s">
        <v>20</v>
      </c>
      <c r="I386" s="4" t="s">
        <v>557</v>
      </c>
      <c r="J386" s="4">
        <v>44</v>
      </c>
      <c r="K386" s="4" t="s">
        <v>7</v>
      </c>
    </row>
    <row r="387" spans="1:11" x14ac:dyDescent="0.2">
      <c r="A387" s="4" t="s">
        <v>632</v>
      </c>
      <c r="B387" s="4" t="s">
        <v>631</v>
      </c>
      <c r="C387" s="4" t="s">
        <v>638</v>
      </c>
      <c r="D387" s="2">
        <v>45066.154722222222</v>
      </c>
      <c r="E387" s="4" t="s">
        <v>20</v>
      </c>
      <c r="I387" s="4" t="s">
        <v>566</v>
      </c>
      <c r="J387" s="4">
        <v>31</v>
      </c>
      <c r="K387" s="4" t="s">
        <v>567</v>
      </c>
    </row>
    <row r="388" spans="1:11" x14ac:dyDescent="0.2">
      <c r="A388" s="4" t="s">
        <v>632</v>
      </c>
      <c r="B388" s="4" t="s">
        <v>631</v>
      </c>
      <c r="C388" s="4" t="s">
        <v>638</v>
      </c>
      <c r="D388" s="2">
        <v>45066.154733796298</v>
      </c>
      <c r="E388" s="4" t="s">
        <v>20</v>
      </c>
      <c r="I388" s="4" t="s">
        <v>559</v>
      </c>
      <c r="J388" s="4">
        <v>1803</v>
      </c>
      <c r="K388" s="4" t="s">
        <v>560</v>
      </c>
    </row>
    <row r="389" spans="1:11" x14ac:dyDescent="0.2">
      <c r="A389" s="4" t="s">
        <v>632</v>
      </c>
      <c r="B389" s="4" t="s">
        <v>631</v>
      </c>
      <c r="C389" s="4" t="s">
        <v>638</v>
      </c>
      <c r="D389" s="2">
        <v>45066.154745370368</v>
      </c>
      <c r="E389" s="4" t="s">
        <v>541</v>
      </c>
    </row>
    <row r="390" spans="1:11" x14ac:dyDescent="0.2">
      <c r="A390" s="4" t="s">
        <v>632</v>
      </c>
      <c r="B390" s="4" t="s">
        <v>631</v>
      </c>
      <c r="C390" s="4" t="s">
        <v>638</v>
      </c>
      <c r="D390" s="2">
        <v>45066.154780092591</v>
      </c>
      <c r="E390" s="4" t="s">
        <v>19</v>
      </c>
      <c r="F390" s="4" t="s">
        <v>651</v>
      </c>
      <c r="G390" s="4">
        <v>-39.4163</v>
      </c>
      <c r="H390" s="4">
        <v>33.730930000000001</v>
      </c>
    </row>
    <row r="391" spans="1:11" x14ac:dyDescent="0.2">
      <c r="A391" s="4" t="s">
        <v>632</v>
      </c>
      <c r="B391" s="4" t="s">
        <v>631</v>
      </c>
      <c r="C391" s="4" t="s">
        <v>638</v>
      </c>
      <c r="D391" s="2">
        <v>45066.154791666668</v>
      </c>
      <c r="E391" s="4" t="s">
        <v>20</v>
      </c>
      <c r="I391" s="4" t="s">
        <v>608</v>
      </c>
      <c r="J391" s="4">
        <v>1</v>
      </c>
      <c r="K391" s="4" t="s">
        <v>545</v>
      </c>
    </row>
    <row r="392" spans="1:11" x14ac:dyDescent="0.2">
      <c r="A392" s="4" t="s">
        <v>632</v>
      </c>
      <c r="B392" s="4" t="s">
        <v>631</v>
      </c>
      <c r="C392" s="4" t="s">
        <v>638</v>
      </c>
      <c r="D392" s="2">
        <v>45066.154791666668</v>
      </c>
      <c r="E392" s="4" t="s">
        <v>541</v>
      </c>
    </row>
    <row r="393" spans="1:11" x14ac:dyDescent="0.2">
      <c r="A393" s="4" t="s">
        <v>632</v>
      </c>
      <c r="B393" s="4" t="s">
        <v>631</v>
      </c>
      <c r="C393" s="4" t="s">
        <v>638</v>
      </c>
      <c r="D393" s="2">
        <v>45066.154791666668</v>
      </c>
      <c r="E393" s="4" t="s">
        <v>541</v>
      </c>
    </row>
    <row r="394" spans="1:11" x14ac:dyDescent="0.2">
      <c r="A394" s="4" t="s">
        <v>632</v>
      </c>
      <c r="B394" s="4" t="s">
        <v>631</v>
      </c>
      <c r="C394" s="4" t="s">
        <v>638</v>
      </c>
      <c r="D394" s="2">
        <v>45066.154791666668</v>
      </c>
      <c r="E394" s="4" t="s">
        <v>541</v>
      </c>
    </row>
    <row r="395" spans="1:11" x14ac:dyDescent="0.2">
      <c r="A395" s="4" t="s">
        <v>632</v>
      </c>
      <c r="B395" s="4" t="s">
        <v>631</v>
      </c>
      <c r="C395" s="4" t="s">
        <v>638</v>
      </c>
      <c r="D395" s="2">
        <v>45066.154826388891</v>
      </c>
      <c r="E395" s="4" t="s">
        <v>20</v>
      </c>
      <c r="I395" s="4" t="s">
        <v>557</v>
      </c>
      <c r="J395" s="4">
        <v>73</v>
      </c>
      <c r="K395" s="4" t="s">
        <v>7</v>
      </c>
    </row>
    <row r="396" spans="1:11" x14ac:dyDescent="0.2">
      <c r="A396" s="4" t="s">
        <v>632</v>
      </c>
      <c r="B396" s="4" t="s">
        <v>631</v>
      </c>
      <c r="C396" s="4" t="s">
        <v>638</v>
      </c>
      <c r="D396" s="2">
        <v>45066.154895833337</v>
      </c>
      <c r="E396" s="4" t="s">
        <v>19</v>
      </c>
      <c r="F396" s="4" t="s">
        <v>651</v>
      </c>
      <c r="G396" s="4">
        <v>-39.415869999999998</v>
      </c>
      <c r="H396" s="4">
        <v>33.729190000000003</v>
      </c>
    </row>
    <row r="397" spans="1:11" x14ac:dyDescent="0.2">
      <c r="A397" s="4" t="s">
        <v>632</v>
      </c>
      <c r="B397" s="4" t="s">
        <v>631</v>
      </c>
      <c r="C397" s="4" t="s">
        <v>638</v>
      </c>
      <c r="D397" s="2">
        <v>45066.154942129629</v>
      </c>
      <c r="E397" s="4" t="s">
        <v>19</v>
      </c>
      <c r="F397" s="4" t="s">
        <v>651</v>
      </c>
      <c r="G397" s="4">
        <v>-39.415430000000001</v>
      </c>
      <c r="H397" s="4">
        <v>33.728499999999997</v>
      </c>
    </row>
    <row r="398" spans="1:11" x14ac:dyDescent="0.2">
      <c r="A398" s="4" t="s">
        <v>632</v>
      </c>
      <c r="B398" s="4" t="s">
        <v>631</v>
      </c>
      <c r="C398" s="4" t="s">
        <v>638</v>
      </c>
      <c r="D398" s="2">
        <v>45066.154953703706</v>
      </c>
      <c r="E398" s="4" t="s">
        <v>20</v>
      </c>
      <c r="I398" s="4" t="s">
        <v>566</v>
      </c>
      <c r="J398" s="4">
        <v>28</v>
      </c>
      <c r="K398" s="4" t="s">
        <v>567</v>
      </c>
    </row>
    <row r="399" spans="1:11" x14ac:dyDescent="0.2">
      <c r="A399" s="4" t="s">
        <v>632</v>
      </c>
      <c r="B399" s="4" t="s">
        <v>631</v>
      </c>
      <c r="C399" s="4" t="s">
        <v>638</v>
      </c>
      <c r="D399" s="2">
        <v>45066.154953703706</v>
      </c>
      <c r="E399" s="4" t="s">
        <v>20</v>
      </c>
      <c r="I399" s="4" t="s">
        <v>612</v>
      </c>
      <c r="J399" s="4">
        <v>28</v>
      </c>
      <c r="K399" s="4" t="s">
        <v>567</v>
      </c>
    </row>
    <row r="400" spans="1:11" x14ac:dyDescent="0.2">
      <c r="A400" s="4" t="s">
        <v>632</v>
      </c>
      <c r="B400" s="4" t="s">
        <v>631</v>
      </c>
      <c r="C400" s="4" t="s">
        <v>638</v>
      </c>
      <c r="D400" s="2">
        <v>45066.154965277776</v>
      </c>
      <c r="E400" s="4" t="s">
        <v>541</v>
      </c>
    </row>
    <row r="401" spans="1:11" x14ac:dyDescent="0.2">
      <c r="A401" s="4" t="s">
        <v>632</v>
      </c>
      <c r="B401" s="4" t="s">
        <v>631</v>
      </c>
      <c r="C401" s="4" t="s">
        <v>638</v>
      </c>
      <c r="D401" s="2">
        <v>45066.154965277776</v>
      </c>
      <c r="E401" s="4" t="s">
        <v>541</v>
      </c>
    </row>
    <row r="402" spans="1:11" x14ac:dyDescent="0.2">
      <c r="A402" s="4" t="s">
        <v>632</v>
      </c>
      <c r="B402" s="4" t="s">
        <v>631</v>
      </c>
      <c r="C402" s="4" t="s">
        <v>638</v>
      </c>
      <c r="D402" s="2">
        <v>45066.154965277776</v>
      </c>
      <c r="E402" s="4" t="s">
        <v>541</v>
      </c>
    </row>
    <row r="403" spans="1:11" x14ac:dyDescent="0.2">
      <c r="A403" s="4" t="s">
        <v>632</v>
      </c>
      <c r="B403" s="4" t="s">
        <v>631</v>
      </c>
      <c r="C403" s="4" t="s">
        <v>638</v>
      </c>
      <c r="D403" s="2">
        <v>45066.154965277776</v>
      </c>
      <c r="E403" s="4" t="s">
        <v>20</v>
      </c>
      <c r="I403" s="4" t="s">
        <v>609</v>
      </c>
      <c r="J403" s="4">
        <v>55.286099999999998</v>
      </c>
      <c r="K403" s="4" t="s">
        <v>569</v>
      </c>
    </row>
    <row r="404" spans="1:11" x14ac:dyDescent="0.2">
      <c r="A404" s="4" t="s">
        <v>632</v>
      </c>
      <c r="B404" s="4" t="s">
        <v>631</v>
      </c>
      <c r="C404" s="4" t="s">
        <v>638</v>
      </c>
      <c r="D404" s="2">
        <v>45066.154976851853</v>
      </c>
      <c r="E404" s="4" t="s">
        <v>541</v>
      </c>
    </row>
    <row r="405" spans="1:11" x14ac:dyDescent="0.2">
      <c r="A405" s="4" t="s">
        <v>632</v>
      </c>
      <c r="B405" s="4" t="s">
        <v>631</v>
      </c>
      <c r="C405" s="4" t="s">
        <v>638</v>
      </c>
      <c r="D405" s="2">
        <v>45066.154976851853</v>
      </c>
      <c r="E405" s="4" t="s">
        <v>20</v>
      </c>
      <c r="I405" s="4" t="s">
        <v>557</v>
      </c>
      <c r="J405" s="4">
        <v>79</v>
      </c>
      <c r="K405" s="4" t="s">
        <v>7</v>
      </c>
    </row>
    <row r="406" spans="1:11" x14ac:dyDescent="0.2">
      <c r="A406" s="4" t="s">
        <v>632</v>
      </c>
      <c r="B406" s="4" t="s">
        <v>631</v>
      </c>
      <c r="C406" s="4" t="s">
        <v>638</v>
      </c>
      <c r="D406" s="2">
        <v>45066.154988425929</v>
      </c>
      <c r="E406" s="4" t="s">
        <v>19</v>
      </c>
      <c r="F406" s="4" t="s">
        <v>651</v>
      </c>
      <c r="G406" s="4">
        <v>-39.41469</v>
      </c>
      <c r="H406" s="4">
        <v>33.727960000000003</v>
      </c>
    </row>
    <row r="407" spans="1:11" x14ac:dyDescent="0.2">
      <c r="A407" s="4" t="s">
        <v>632</v>
      </c>
      <c r="B407" s="4" t="s">
        <v>631</v>
      </c>
      <c r="C407" s="4" t="s">
        <v>638</v>
      </c>
      <c r="D407" s="2">
        <v>45066.154999999999</v>
      </c>
      <c r="E407" s="4" t="s">
        <v>20</v>
      </c>
      <c r="I407" s="4" t="s">
        <v>557</v>
      </c>
      <c r="J407" s="4">
        <v>70</v>
      </c>
      <c r="K407" s="4" t="s">
        <v>7</v>
      </c>
    </row>
    <row r="408" spans="1:11" x14ac:dyDescent="0.2">
      <c r="A408" s="4" t="s">
        <v>632</v>
      </c>
      <c r="B408" s="4" t="s">
        <v>631</v>
      </c>
      <c r="C408" s="4" t="s">
        <v>638</v>
      </c>
      <c r="D408" s="2">
        <v>45066.155046296299</v>
      </c>
      <c r="E408" s="4" t="s">
        <v>19</v>
      </c>
      <c r="F408" s="4" t="s">
        <v>651</v>
      </c>
      <c r="G408" s="4">
        <v>-39.413789999999999</v>
      </c>
      <c r="H408" s="4">
        <v>33.727400000000003</v>
      </c>
    </row>
    <row r="409" spans="1:11" x14ac:dyDescent="0.2">
      <c r="A409" s="4" t="s">
        <v>632</v>
      </c>
      <c r="B409" s="4" t="s">
        <v>631</v>
      </c>
      <c r="C409" s="4" t="s">
        <v>638</v>
      </c>
      <c r="D409" s="2">
        <v>45066.155115740738</v>
      </c>
      <c r="E409" s="4" t="s">
        <v>20</v>
      </c>
      <c r="I409" s="4" t="s">
        <v>557</v>
      </c>
      <c r="J409" s="4">
        <v>56</v>
      </c>
      <c r="K409" s="4" t="s">
        <v>7</v>
      </c>
    </row>
    <row r="410" spans="1:11" x14ac:dyDescent="0.2">
      <c r="A410" s="4" t="s">
        <v>632</v>
      </c>
      <c r="B410" s="4" t="s">
        <v>631</v>
      </c>
      <c r="C410" s="4" t="s">
        <v>638</v>
      </c>
      <c r="D410" s="2">
        <v>45066.155138888891</v>
      </c>
      <c r="E410" s="4" t="s">
        <v>19</v>
      </c>
      <c r="F410" s="4" t="s">
        <v>651</v>
      </c>
      <c r="G410" s="4">
        <v>-39.412489999999998</v>
      </c>
      <c r="H410" s="4">
        <v>33.726709999999997</v>
      </c>
    </row>
    <row r="411" spans="1:11" x14ac:dyDescent="0.2">
      <c r="A411" s="4" t="s">
        <v>632</v>
      </c>
      <c r="B411" s="4" t="s">
        <v>631</v>
      </c>
      <c r="C411" s="4" t="s">
        <v>638</v>
      </c>
      <c r="D411" s="2">
        <v>45066.155162037037</v>
      </c>
      <c r="E411" s="4" t="s">
        <v>20</v>
      </c>
      <c r="I411" s="4" t="s">
        <v>557</v>
      </c>
      <c r="J411" s="4">
        <v>43</v>
      </c>
      <c r="K411" s="4" t="s">
        <v>7</v>
      </c>
    </row>
    <row r="412" spans="1:11" x14ac:dyDescent="0.2">
      <c r="A412" s="4" t="s">
        <v>632</v>
      </c>
      <c r="B412" s="4" t="s">
        <v>631</v>
      </c>
      <c r="C412" s="4" t="s">
        <v>638</v>
      </c>
      <c r="D412" s="2">
        <v>45066.155092592591</v>
      </c>
      <c r="E412" s="4" t="s">
        <v>20</v>
      </c>
      <c r="I412" s="4" t="s">
        <v>572</v>
      </c>
      <c r="J412" s="4">
        <v>80</v>
      </c>
      <c r="K412" s="4" t="s">
        <v>567</v>
      </c>
    </row>
    <row r="413" spans="1:11" x14ac:dyDescent="0.2">
      <c r="A413" s="4" t="s">
        <v>632</v>
      </c>
      <c r="B413" s="4" t="s">
        <v>631</v>
      </c>
      <c r="C413" s="4" t="s">
        <v>638</v>
      </c>
      <c r="D413" s="2">
        <v>45066.155231481483</v>
      </c>
      <c r="E413" s="4" t="s">
        <v>20</v>
      </c>
      <c r="I413" s="4" t="s">
        <v>557</v>
      </c>
      <c r="J413" s="4">
        <v>12</v>
      </c>
      <c r="K413" s="4" t="s">
        <v>7</v>
      </c>
    </row>
    <row r="414" spans="1:11" x14ac:dyDescent="0.2">
      <c r="A414" s="4" t="s">
        <v>632</v>
      </c>
      <c r="B414" s="4" t="s">
        <v>631</v>
      </c>
      <c r="C414" s="4" t="s">
        <v>638</v>
      </c>
      <c r="D414" s="2">
        <v>45066.155243055553</v>
      </c>
      <c r="E414" s="4" t="s">
        <v>19</v>
      </c>
      <c r="F414" s="4" t="s">
        <v>650</v>
      </c>
      <c r="G414" s="4">
        <v>-39.41169</v>
      </c>
      <c r="H414" s="4">
        <v>33.72625</v>
      </c>
    </row>
    <row r="415" spans="1:11" x14ac:dyDescent="0.2">
      <c r="A415" s="4" t="s">
        <v>632</v>
      </c>
      <c r="B415" s="4" t="s">
        <v>631</v>
      </c>
      <c r="C415" s="4" t="s">
        <v>638</v>
      </c>
      <c r="D415" s="2">
        <v>45066.155277777776</v>
      </c>
      <c r="E415" s="4" t="s">
        <v>19</v>
      </c>
      <c r="F415" s="4" t="s">
        <v>650</v>
      </c>
      <c r="G415" s="4">
        <v>-39.411619999999999</v>
      </c>
      <c r="H415" s="4">
        <v>33.726199999999999</v>
      </c>
    </row>
    <row r="416" spans="1:11" x14ac:dyDescent="0.2">
      <c r="A416" s="4" t="s">
        <v>632</v>
      </c>
      <c r="B416" s="4" t="s">
        <v>631</v>
      </c>
      <c r="C416" s="4" t="s">
        <v>638</v>
      </c>
      <c r="D416" s="2">
        <v>45066.155289351853</v>
      </c>
      <c r="E416" s="4" t="s">
        <v>20</v>
      </c>
      <c r="I416" s="4" t="s">
        <v>608</v>
      </c>
      <c r="J416" s="4">
        <v>1</v>
      </c>
      <c r="K416" s="4" t="s">
        <v>545</v>
      </c>
    </row>
    <row r="417" spans="1:11" x14ac:dyDescent="0.2">
      <c r="A417" s="4" t="s">
        <v>632</v>
      </c>
      <c r="B417" s="4" t="s">
        <v>631</v>
      </c>
      <c r="C417" s="4" t="s">
        <v>638</v>
      </c>
      <c r="D417" s="2">
        <v>45066.155289351853</v>
      </c>
      <c r="E417" s="4" t="s">
        <v>541</v>
      </c>
    </row>
    <row r="418" spans="1:11" x14ac:dyDescent="0.2">
      <c r="A418" s="4" t="s">
        <v>632</v>
      </c>
      <c r="B418" s="4" t="s">
        <v>631</v>
      </c>
      <c r="C418" s="4" t="s">
        <v>638</v>
      </c>
      <c r="D418" s="2">
        <v>45066.155289351853</v>
      </c>
      <c r="E418" s="4" t="s">
        <v>541</v>
      </c>
    </row>
    <row r="419" spans="1:11" x14ac:dyDescent="0.2">
      <c r="A419" s="4" t="s">
        <v>632</v>
      </c>
      <c r="B419" s="4" t="s">
        <v>631</v>
      </c>
      <c r="C419" s="4" t="s">
        <v>638</v>
      </c>
      <c r="D419" s="2">
        <v>45066.155312499999</v>
      </c>
      <c r="E419" s="4" t="s">
        <v>541</v>
      </c>
    </row>
    <row r="420" spans="1:11" x14ac:dyDescent="0.2">
      <c r="A420" s="4" t="s">
        <v>632</v>
      </c>
      <c r="B420" s="4" t="s">
        <v>631</v>
      </c>
      <c r="C420" s="4" t="s">
        <v>638</v>
      </c>
      <c r="D420" s="2">
        <v>45066.155312499999</v>
      </c>
      <c r="E420" s="4" t="s">
        <v>541</v>
      </c>
    </row>
    <row r="421" spans="1:11" x14ac:dyDescent="0.2">
      <c r="A421" s="4" t="s">
        <v>632</v>
      </c>
      <c r="B421" s="4" t="s">
        <v>631</v>
      </c>
      <c r="C421" s="4" t="s">
        <v>638</v>
      </c>
      <c r="D421" s="2">
        <v>45066.155312499999</v>
      </c>
      <c r="E421" s="4" t="s">
        <v>541</v>
      </c>
    </row>
    <row r="422" spans="1:11" x14ac:dyDescent="0.2">
      <c r="A422" s="4" t="s">
        <v>632</v>
      </c>
      <c r="B422" s="4" t="s">
        <v>631</v>
      </c>
      <c r="C422" s="4" t="s">
        <v>638</v>
      </c>
      <c r="D422" s="2">
        <v>45066.155335648145</v>
      </c>
      <c r="E422" s="4" t="s">
        <v>19</v>
      </c>
      <c r="F422" s="4" t="s">
        <v>650</v>
      </c>
      <c r="G422" s="4">
        <v>-39.411540000000002</v>
      </c>
      <c r="H422" s="4">
        <v>33.726140000000001</v>
      </c>
    </row>
    <row r="423" spans="1:11" x14ac:dyDescent="0.2">
      <c r="A423" s="4" t="s">
        <v>632</v>
      </c>
      <c r="B423" s="4" t="s">
        <v>631</v>
      </c>
      <c r="C423" s="4" t="s">
        <v>638</v>
      </c>
      <c r="D423" s="2">
        <v>45066.155335648145</v>
      </c>
      <c r="E423" s="4" t="s">
        <v>20</v>
      </c>
      <c r="I423" s="4" t="s">
        <v>557</v>
      </c>
      <c r="J423" s="4">
        <v>0</v>
      </c>
      <c r="K423" s="4" t="s">
        <v>7</v>
      </c>
    </row>
    <row r="424" spans="1:11" x14ac:dyDescent="0.2">
      <c r="A424" s="4" t="s">
        <v>632</v>
      </c>
      <c r="B424" s="4" t="s">
        <v>631</v>
      </c>
      <c r="C424" s="4" t="s">
        <v>638</v>
      </c>
      <c r="D424" s="2">
        <v>45066.155335648145</v>
      </c>
      <c r="E424" s="4" t="s">
        <v>20</v>
      </c>
      <c r="I424" s="4" t="s">
        <v>605</v>
      </c>
      <c r="J424" s="4">
        <v>1997.78</v>
      </c>
      <c r="K424" s="4" t="s">
        <v>599</v>
      </c>
    </row>
    <row r="425" spans="1:11" x14ac:dyDescent="0.2">
      <c r="A425" s="4" t="s">
        <v>632</v>
      </c>
      <c r="B425" s="4" t="s">
        <v>631</v>
      </c>
      <c r="C425" s="4" t="s">
        <v>638</v>
      </c>
      <c r="D425" s="2">
        <v>45066.155347222222</v>
      </c>
      <c r="E425" s="4" t="s">
        <v>20</v>
      </c>
      <c r="I425" s="4" t="s">
        <v>557</v>
      </c>
      <c r="J425" s="4">
        <v>0</v>
      </c>
      <c r="K425" s="4" t="s">
        <v>7</v>
      </c>
    </row>
    <row r="426" spans="1:11" x14ac:dyDescent="0.2">
      <c r="A426" s="4" t="s">
        <v>632</v>
      </c>
      <c r="B426" s="4" t="s">
        <v>631</v>
      </c>
      <c r="C426" s="4" t="s">
        <v>638</v>
      </c>
      <c r="D426" s="2">
        <v>45066.155347222222</v>
      </c>
      <c r="E426" s="4" t="s">
        <v>19</v>
      </c>
      <c r="F426" s="4" t="s">
        <v>650</v>
      </c>
      <c r="G426" s="4">
        <v>-39.411540000000002</v>
      </c>
      <c r="H426" s="4">
        <v>33.726140000000001</v>
      </c>
    </row>
    <row r="427" spans="1:11" x14ac:dyDescent="0.2">
      <c r="A427" s="4" t="s">
        <v>632</v>
      </c>
      <c r="B427" s="4" t="s">
        <v>631</v>
      </c>
      <c r="C427" s="4" t="s">
        <v>638</v>
      </c>
      <c r="D427" s="2">
        <v>45066.155347222222</v>
      </c>
      <c r="E427" s="4" t="s">
        <v>20</v>
      </c>
      <c r="I427" s="4" t="s">
        <v>568</v>
      </c>
      <c r="J427" s="4">
        <v>61.1676</v>
      </c>
      <c r="K427" s="4" t="s">
        <v>569</v>
      </c>
    </row>
    <row r="428" spans="1:11" x14ac:dyDescent="0.2">
      <c r="A428" s="4" t="s">
        <v>632</v>
      </c>
      <c r="B428" s="4" t="s">
        <v>631</v>
      </c>
      <c r="C428" s="4" t="s">
        <v>638</v>
      </c>
      <c r="D428" s="2">
        <v>45066.155347222222</v>
      </c>
      <c r="E428" s="4" t="s">
        <v>20</v>
      </c>
      <c r="I428" s="4" t="s">
        <v>563</v>
      </c>
      <c r="J428" s="4">
        <v>1.5000000001200001E-2</v>
      </c>
      <c r="K428" s="4" t="s">
        <v>564</v>
      </c>
    </row>
    <row r="429" spans="1:11" x14ac:dyDescent="0.2">
      <c r="A429" s="4" t="s">
        <v>632</v>
      </c>
      <c r="B429" s="4" t="s">
        <v>631</v>
      </c>
      <c r="C429" s="4" t="s">
        <v>638</v>
      </c>
      <c r="D429" s="2">
        <v>45066.155347222222</v>
      </c>
      <c r="E429" s="4" t="s">
        <v>20</v>
      </c>
      <c r="I429" s="4" t="s">
        <v>605</v>
      </c>
      <c r="J429" s="4">
        <v>1997.78</v>
      </c>
      <c r="K429" s="4" t="s">
        <v>599</v>
      </c>
    </row>
    <row r="430" spans="1:11" x14ac:dyDescent="0.2">
      <c r="A430" s="4" t="s">
        <v>632</v>
      </c>
      <c r="B430" s="4" t="s">
        <v>631</v>
      </c>
      <c r="C430" s="4" t="s">
        <v>638</v>
      </c>
      <c r="D430" s="2">
        <v>45066.155347222222</v>
      </c>
      <c r="E430" s="4" t="s">
        <v>20</v>
      </c>
      <c r="I430" s="4" t="s">
        <v>559</v>
      </c>
      <c r="J430" s="4">
        <v>559.75</v>
      </c>
      <c r="K430" s="4" t="s">
        <v>560</v>
      </c>
    </row>
    <row r="431" spans="1:11" x14ac:dyDescent="0.2">
      <c r="A431" s="4" t="s">
        <v>632</v>
      </c>
      <c r="B431" s="4" t="s">
        <v>631</v>
      </c>
      <c r="C431" s="4" t="s">
        <v>638</v>
      </c>
      <c r="D431" s="2">
        <v>45066.155358796299</v>
      </c>
      <c r="E431" s="4" t="s">
        <v>20</v>
      </c>
      <c r="I431" s="4" t="s">
        <v>568</v>
      </c>
      <c r="J431" s="4">
        <v>61.1676</v>
      </c>
      <c r="K431" s="4" t="s">
        <v>569</v>
      </c>
    </row>
    <row r="432" spans="1:11" x14ac:dyDescent="0.2">
      <c r="A432" s="4" t="s">
        <v>632</v>
      </c>
      <c r="B432" s="4" t="s">
        <v>631</v>
      </c>
      <c r="C432" s="4" t="s">
        <v>638</v>
      </c>
      <c r="D432" s="2">
        <v>45066.155370370368</v>
      </c>
      <c r="E432" s="4" t="s">
        <v>20</v>
      </c>
      <c r="I432" s="4" t="s">
        <v>613</v>
      </c>
      <c r="J432" s="4">
        <v>0</v>
      </c>
      <c r="K432" s="4" t="s">
        <v>614</v>
      </c>
    </row>
    <row r="433" spans="1:11" x14ac:dyDescent="0.2">
      <c r="A433" s="4" t="s">
        <v>632</v>
      </c>
      <c r="B433" s="4" t="s">
        <v>631</v>
      </c>
      <c r="C433" s="4" t="s">
        <v>638</v>
      </c>
      <c r="D433" s="2">
        <v>45066.155370370368</v>
      </c>
      <c r="E433" s="4" t="s">
        <v>20</v>
      </c>
      <c r="I433" s="4" t="s">
        <v>615</v>
      </c>
      <c r="J433" s="4">
        <v>0</v>
      </c>
      <c r="K433" s="4" t="s">
        <v>614</v>
      </c>
    </row>
    <row r="434" spans="1:11" x14ac:dyDescent="0.2">
      <c r="A434" s="4" t="s">
        <v>632</v>
      </c>
      <c r="B434" s="4" t="s">
        <v>631</v>
      </c>
      <c r="C434" s="4" t="s">
        <v>638</v>
      </c>
      <c r="D434" s="2">
        <v>45066.155370370368</v>
      </c>
      <c r="E434" s="4" t="s">
        <v>20</v>
      </c>
      <c r="I434" s="4" t="s">
        <v>616</v>
      </c>
      <c r="J434" s="4">
        <v>0.96499997443334784</v>
      </c>
      <c r="K434" s="4" t="s">
        <v>614</v>
      </c>
    </row>
    <row r="435" spans="1:11" x14ac:dyDescent="0.2">
      <c r="A435" s="4" t="s">
        <v>632</v>
      </c>
      <c r="B435" s="4" t="s">
        <v>631</v>
      </c>
      <c r="C435" s="4" t="s">
        <v>638</v>
      </c>
      <c r="D435" s="2">
        <v>45066.155370370368</v>
      </c>
      <c r="E435" s="4" t="s">
        <v>19</v>
      </c>
      <c r="F435" s="4" t="s">
        <v>650</v>
      </c>
      <c r="G435" s="4">
        <v>-39.411540000000002</v>
      </c>
      <c r="H435" s="4">
        <v>33.726140000000001</v>
      </c>
    </row>
    <row r="436" spans="1:11" x14ac:dyDescent="0.2">
      <c r="A436" s="4" t="s">
        <v>632</v>
      </c>
      <c r="B436" s="4" t="s">
        <v>631</v>
      </c>
      <c r="C436" s="4" t="s">
        <v>638</v>
      </c>
      <c r="D436" s="2">
        <v>45066.155370370368</v>
      </c>
      <c r="E436" s="4" t="s">
        <v>20</v>
      </c>
      <c r="I436" s="4" t="s">
        <v>568</v>
      </c>
      <c r="J436" s="4">
        <v>54.1098</v>
      </c>
      <c r="K436" s="4" t="s">
        <v>569</v>
      </c>
    </row>
    <row r="437" spans="1:11" x14ac:dyDescent="0.2">
      <c r="A437" s="4" t="s">
        <v>632</v>
      </c>
      <c r="B437" s="4" t="s">
        <v>631</v>
      </c>
      <c r="C437" s="4" t="s">
        <v>638</v>
      </c>
      <c r="D437" s="2">
        <v>45066.155370370368</v>
      </c>
      <c r="E437" s="4" t="s">
        <v>20</v>
      </c>
      <c r="I437" s="4" t="s">
        <v>557</v>
      </c>
      <c r="J437" s="4">
        <v>3</v>
      </c>
      <c r="K437" s="4" t="s">
        <v>7</v>
      </c>
    </row>
    <row r="438" spans="1:11" x14ac:dyDescent="0.2">
      <c r="A438" s="4" t="s">
        <v>632</v>
      </c>
      <c r="B438" s="4" t="s">
        <v>631</v>
      </c>
      <c r="C438" s="4" t="s">
        <v>638</v>
      </c>
      <c r="D438" s="2">
        <v>45066.155370370368</v>
      </c>
      <c r="E438" s="4" t="s">
        <v>20</v>
      </c>
      <c r="I438" s="4" t="s">
        <v>597</v>
      </c>
      <c r="J438" s="4">
        <v>8.333333334E-4</v>
      </c>
      <c r="K438" s="4" t="s">
        <v>564</v>
      </c>
    </row>
    <row r="439" spans="1:11" x14ac:dyDescent="0.2">
      <c r="A439" s="4" t="s">
        <v>632</v>
      </c>
      <c r="B439" s="4" t="s">
        <v>631</v>
      </c>
      <c r="C439" s="4" t="s">
        <v>638</v>
      </c>
      <c r="D439" s="2">
        <v>45066.155370370368</v>
      </c>
      <c r="E439" s="4" t="s">
        <v>20</v>
      </c>
      <c r="I439" s="4" t="s">
        <v>598</v>
      </c>
      <c r="J439" s="4">
        <v>2E-3</v>
      </c>
      <c r="K439" s="4" t="s">
        <v>599</v>
      </c>
    </row>
    <row r="440" spans="1:11" x14ac:dyDescent="0.2">
      <c r="A440" s="4" t="s">
        <v>632</v>
      </c>
      <c r="B440" s="4" t="s">
        <v>631</v>
      </c>
      <c r="C440" s="4" t="s">
        <v>638</v>
      </c>
      <c r="D440" s="2">
        <v>45066.155381944445</v>
      </c>
      <c r="E440" s="4" t="s">
        <v>20</v>
      </c>
      <c r="I440" s="4" t="s">
        <v>557</v>
      </c>
      <c r="J440" s="4">
        <v>7</v>
      </c>
      <c r="K440" s="4" t="s">
        <v>7</v>
      </c>
    </row>
    <row r="441" spans="1:11" x14ac:dyDescent="0.2">
      <c r="A441" s="4" t="s">
        <v>632</v>
      </c>
      <c r="B441" s="4" t="s">
        <v>631</v>
      </c>
      <c r="C441" s="4" t="s">
        <v>638</v>
      </c>
      <c r="D441" s="2">
        <v>45066.155381944445</v>
      </c>
      <c r="E441" s="4" t="s">
        <v>20</v>
      </c>
      <c r="I441" s="4" t="s">
        <v>613</v>
      </c>
      <c r="J441" s="4">
        <v>0.2619999795856533</v>
      </c>
      <c r="K441" s="4" t="s">
        <v>614</v>
      </c>
    </row>
    <row r="442" spans="1:11" x14ac:dyDescent="0.2">
      <c r="A442" s="4" t="s">
        <v>632</v>
      </c>
      <c r="B442" s="4" t="s">
        <v>631</v>
      </c>
      <c r="C442" s="4" t="s">
        <v>638</v>
      </c>
      <c r="D442" s="2">
        <v>45066.155381944445</v>
      </c>
      <c r="E442" s="4" t="s">
        <v>20</v>
      </c>
      <c r="I442" s="4" t="s">
        <v>616</v>
      </c>
      <c r="J442" s="4">
        <v>0.94100003561815482</v>
      </c>
      <c r="K442" s="4" t="s">
        <v>614</v>
      </c>
    </row>
    <row r="443" spans="1:11" x14ac:dyDescent="0.2">
      <c r="A443" s="4" t="s">
        <v>632</v>
      </c>
      <c r="B443" s="4" t="s">
        <v>631</v>
      </c>
      <c r="C443" s="4" t="s">
        <v>638</v>
      </c>
      <c r="D443" s="2">
        <v>45066.155381944445</v>
      </c>
      <c r="E443" s="4" t="s">
        <v>19</v>
      </c>
      <c r="F443" s="4" t="s">
        <v>650</v>
      </c>
      <c r="G443" s="4">
        <v>-39.411540000000002</v>
      </c>
      <c r="H443" s="4">
        <v>33.726140000000001</v>
      </c>
    </row>
    <row r="444" spans="1:11" x14ac:dyDescent="0.2">
      <c r="A444" s="4" t="s">
        <v>632</v>
      </c>
      <c r="B444" s="4" t="s">
        <v>631</v>
      </c>
      <c r="C444" s="4" t="s">
        <v>638</v>
      </c>
      <c r="D444" s="2">
        <v>45066.155381944445</v>
      </c>
      <c r="E444" s="4" t="s">
        <v>20</v>
      </c>
      <c r="I444" s="4" t="s">
        <v>605</v>
      </c>
      <c r="J444" s="4">
        <v>1997.78</v>
      </c>
      <c r="K444" s="4" t="s">
        <v>599</v>
      </c>
    </row>
    <row r="445" spans="1:11" x14ac:dyDescent="0.2">
      <c r="A445" s="4" t="s">
        <v>632</v>
      </c>
      <c r="B445" s="4" t="s">
        <v>631</v>
      </c>
      <c r="C445" s="4" t="s">
        <v>638</v>
      </c>
      <c r="D445" s="2">
        <v>45066.155393518522</v>
      </c>
      <c r="E445" s="4" t="s">
        <v>20</v>
      </c>
      <c r="I445" s="4" t="s">
        <v>557</v>
      </c>
      <c r="J445" s="4">
        <v>14</v>
      </c>
      <c r="K445" s="4" t="s">
        <v>7</v>
      </c>
    </row>
    <row r="446" spans="1:11" x14ac:dyDescent="0.2">
      <c r="A446" s="4" t="s">
        <v>632</v>
      </c>
      <c r="B446" s="4" t="s">
        <v>631</v>
      </c>
      <c r="C446" s="4" t="s">
        <v>638</v>
      </c>
      <c r="D446" s="2">
        <v>45066.155393518522</v>
      </c>
      <c r="E446" s="4" t="s">
        <v>20</v>
      </c>
      <c r="I446" s="4" t="s">
        <v>613</v>
      </c>
      <c r="J446" s="4">
        <v>0</v>
      </c>
      <c r="K446" s="4" t="s">
        <v>614</v>
      </c>
    </row>
    <row r="447" spans="1:11" x14ac:dyDescent="0.2">
      <c r="A447" s="4" t="s">
        <v>632</v>
      </c>
      <c r="B447" s="4" t="s">
        <v>631</v>
      </c>
      <c r="C447" s="4" t="s">
        <v>638</v>
      </c>
      <c r="D447" s="2">
        <v>45066.155393518522</v>
      </c>
      <c r="E447" s="4" t="s">
        <v>20</v>
      </c>
      <c r="I447" s="4" t="s">
        <v>616</v>
      </c>
      <c r="J447" s="4">
        <v>0.94100003561815482</v>
      </c>
      <c r="K447" s="4" t="s">
        <v>614</v>
      </c>
    </row>
    <row r="448" spans="1:11" x14ac:dyDescent="0.2">
      <c r="A448" s="4" t="s">
        <v>632</v>
      </c>
      <c r="B448" s="4" t="s">
        <v>631</v>
      </c>
      <c r="C448" s="4" t="s">
        <v>638</v>
      </c>
      <c r="D448" s="2">
        <v>45066.155393518522</v>
      </c>
      <c r="E448" s="4" t="s">
        <v>19</v>
      </c>
      <c r="F448" s="4" t="s">
        <v>650</v>
      </c>
      <c r="G448" s="4">
        <v>-39.411520000000003</v>
      </c>
      <c r="H448" s="4">
        <v>33.726120000000002</v>
      </c>
    </row>
    <row r="449" spans="1:11" x14ac:dyDescent="0.2">
      <c r="A449" s="4" t="s">
        <v>632</v>
      </c>
      <c r="B449" s="4" t="s">
        <v>631</v>
      </c>
      <c r="C449" s="4" t="s">
        <v>638</v>
      </c>
      <c r="D449" s="2">
        <v>45066.155393518522</v>
      </c>
      <c r="E449" s="4" t="s">
        <v>20</v>
      </c>
      <c r="I449" s="4" t="s">
        <v>559</v>
      </c>
      <c r="J449" s="4">
        <v>1851.75</v>
      </c>
      <c r="K449" s="4" t="s">
        <v>560</v>
      </c>
    </row>
    <row r="450" spans="1:11" x14ac:dyDescent="0.2">
      <c r="A450" s="4" t="s">
        <v>632</v>
      </c>
      <c r="B450" s="4" t="s">
        <v>631</v>
      </c>
      <c r="C450" s="4" t="s">
        <v>638</v>
      </c>
      <c r="D450" s="2">
        <v>45066.155393518522</v>
      </c>
      <c r="E450" s="4" t="s">
        <v>20</v>
      </c>
      <c r="I450" s="4" t="s">
        <v>605</v>
      </c>
      <c r="J450" s="4">
        <v>1997.78</v>
      </c>
      <c r="K450" s="4" t="s">
        <v>599</v>
      </c>
    </row>
    <row r="451" spans="1:11" x14ac:dyDescent="0.2">
      <c r="A451" s="4" t="s">
        <v>632</v>
      </c>
      <c r="B451" s="4" t="s">
        <v>631</v>
      </c>
      <c r="C451" s="4" t="s">
        <v>638</v>
      </c>
      <c r="D451" s="2">
        <v>45066.155405092592</v>
      </c>
      <c r="E451" s="4" t="s">
        <v>20</v>
      </c>
      <c r="I451" s="4" t="s">
        <v>615</v>
      </c>
      <c r="J451" s="4">
        <v>0.33199997958030375</v>
      </c>
      <c r="K451" s="4" t="s">
        <v>614</v>
      </c>
    </row>
    <row r="452" spans="1:11" x14ac:dyDescent="0.2">
      <c r="A452" s="4" t="s">
        <v>632</v>
      </c>
      <c r="B452" s="4" t="s">
        <v>631</v>
      </c>
      <c r="C452" s="4" t="s">
        <v>638</v>
      </c>
      <c r="D452" s="2">
        <v>45066.155405092592</v>
      </c>
      <c r="E452" s="4" t="s">
        <v>20</v>
      </c>
      <c r="I452" s="4" t="s">
        <v>616</v>
      </c>
      <c r="J452" s="4">
        <v>0.94600001012486734</v>
      </c>
      <c r="K452" s="4" t="s">
        <v>614</v>
      </c>
    </row>
    <row r="453" spans="1:11" x14ac:dyDescent="0.2">
      <c r="A453" s="4" t="s">
        <v>632</v>
      </c>
      <c r="B453" s="4" t="s">
        <v>631</v>
      </c>
      <c r="C453" s="4" t="s">
        <v>638</v>
      </c>
      <c r="D453" s="2">
        <v>45066.155416666668</v>
      </c>
      <c r="E453" s="4" t="s">
        <v>20</v>
      </c>
      <c r="I453" s="4" t="s">
        <v>566</v>
      </c>
      <c r="J453" s="4">
        <v>28</v>
      </c>
      <c r="K453" s="4" t="s">
        <v>567</v>
      </c>
    </row>
    <row r="454" spans="1:11" x14ac:dyDescent="0.2">
      <c r="A454" s="4" t="s">
        <v>632</v>
      </c>
      <c r="B454" s="4" t="s">
        <v>631</v>
      </c>
      <c r="C454" s="4" t="s">
        <v>638</v>
      </c>
      <c r="D454" s="2">
        <v>45066.155428240738</v>
      </c>
      <c r="E454" s="4" t="s">
        <v>20</v>
      </c>
      <c r="I454" s="4" t="s">
        <v>613</v>
      </c>
      <c r="J454" s="4">
        <v>0</v>
      </c>
      <c r="K454" s="4" t="s">
        <v>614</v>
      </c>
    </row>
    <row r="455" spans="1:11" x14ac:dyDescent="0.2">
      <c r="A455" s="4" t="s">
        <v>632</v>
      </c>
      <c r="B455" s="4" t="s">
        <v>631</v>
      </c>
      <c r="C455" s="4" t="s">
        <v>638</v>
      </c>
      <c r="D455" s="2">
        <v>45066.155428240738</v>
      </c>
      <c r="E455" s="4" t="s">
        <v>20</v>
      </c>
      <c r="I455" s="4" t="s">
        <v>615</v>
      </c>
      <c r="J455" s="4">
        <v>0</v>
      </c>
      <c r="K455" s="4" t="s">
        <v>614</v>
      </c>
    </row>
    <row r="456" spans="1:11" x14ac:dyDescent="0.2">
      <c r="A456" s="4" t="s">
        <v>632</v>
      </c>
      <c r="B456" s="4" t="s">
        <v>631</v>
      </c>
      <c r="C456" s="4" t="s">
        <v>638</v>
      </c>
      <c r="D456" s="2">
        <v>45066.155428240738</v>
      </c>
      <c r="E456" s="4" t="s">
        <v>20</v>
      </c>
      <c r="I456" s="4" t="s">
        <v>616</v>
      </c>
      <c r="J456" s="4">
        <v>0.9619999693349961</v>
      </c>
      <c r="K456" s="4" t="s">
        <v>614</v>
      </c>
    </row>
    <row r="457" spans="1:11" x14ac:dyDescent="0.2">
      <c r="A457" s="4" t="s">
        <v>632</v>
      </c>
      <c r="B457" s="4" t="s">
        <v>631</v>
      </c>
      <c r="C457" s="4" t="s">
        <v>638</v>
      </c>
      <c r="D457" s="2">
        <v>45066.155439814815</v>
      </c>
      <c r="E457" s="4" t="s">
        <v>541</v>
      </c>
    </row>
    <row r="458" spans="1:11" x14ac:dyDescent="0.2">
      <c r="A458" s="4" t="s">
        <v>632</v>
      </c>
      <c r="B458" s="4" t="s">
        <v>631</v>
      </c>
      <c r="C458" s="4" t="s">
        <v>638</v>
      </c>
      <c r="D458" s="2">
        <v>45066.155451388891</v>
      </c>
      <c r="E458" s="4" t="s">
        <v>19</v>
      </c>
      <c r="F458" s="4" t="s">
        <v>650</v>
      </c>
      <c r="G458" s="4">
        <v>-39.411200000000001</v>
      </c>
      <c r="H458" s="4">
        <v>33.726300000000002</v>
      </c>
    </row>
    <row r="459" spans="1:11" x14ac:dyDescent="0.2">
      <c r="A459" s="4" t="s">
        <v>632</v>
      </c>
      <c r="B459" s="4" t="s">
        <v>631</v>
      </c>
      <c r="C459" s="4" t="s">
        <v>638</v>
      </c>
      <c r="D459" s="2">
        <v>45066.155451388891</v>
      </c>
      <c r="E459" s="4" t="s">
        <v>20</v>
      </c>
      <c r="I459" s="4" t="s">
        <v>608</v>
      </c>
      <c r="J459" s="4">
        <v>1</v>
      </c>
      <c r="K459" s="4" t="s">
        <v>545</v>
      </c>
    </row>
    <row r="460" spans="1:11" x14ac:dyDescent="0.2">
      <c r="A460" s="4" t="s">
        <v>632</v>
      </c>
      <c r="B460" s="4" t="s">
        <v>631</v>
      </c>
      <c r="C460" s="4" t="s">
        <v>638</v>
      </c>
      <c r="D460" s="2">
        <v>45066.155451388891</v>
      </c>
      <c r="E460" s="4" t="s">
        <v>541</v>
      </c>
    </row>
    <row r="461" spans="1:11" x14ac:dyDescent="0.2">
      <c r="A461" s="4" t="s">
        <v>632</v>
      </c>
      <c r="B461" s="4" t="s">
        <v>631</v>
      </c>
      <c r="C461" s="4" t="s">
        <v>638</v>
      </c>
      <c r="D461" s="2">
        <v>45066.155451388891</v>
      </c>
      <c r="E461" s="4" t="s">
        <v>541</v>
      </c>
    </row>
    <row r="462" spans="1:11" x14ac:dyDescent="0.2">
      <c r="A462" s="4" t="s">
        <v>632</v>
      </c>
      <c r="B462" s="4" t="s">
        <v>631</v>
      </c>
      <c r="C462" s="4" t="s">
        <v>638</v>
      </c>
      <c r="D462" s="2">
        <v>45066.155509259261</v>
      </c>
      <c r="E462" s="4" t="s">
        <v>20</v>
      </c>
      <c r="I462" s="4" t="s">
        <v>557</v>
      </c>
      <c r="J462" s="4">
        <v>55</v>
      </c>
      <c r="K462" s="4" t="s">
        <v>7</v>
      </c>
    </row>
    <row r="463" spans="1:11" x14ac:dyDescent="0.2">
      <c r="A463" s="4" t="s">
        <v>632</v>
      </c>
      <c r="B463" s="4" t="s">
        <v>631</v>
      </c>
      <c r="C463" s="4" t="s">
        <v>638</v>
      </c>
      <c r="D463" s="2">
        <v>45066.15552083333</v>
      </c>
      <c r="E463" s="4" t="s">
        <v>20</v>
      </c>
      <c r="I463" s="4" t="s">
        <v>604</v>
      </c>
      <c r="J463" s="4">
        <v>1</v>
      </c>
      <c r="K463" s="4" t="s">
        <v>549</v>
      </c>
    </row>
    <row r="464" spans="1:11" x14ac:dyDescent="0.2">
      <c r="A464" s="4" t="s">
        <v>632</v>
      </c>
      <c r="B464" s="4" t="s">
        <v>631</v>
      </c>
      <c r="C464" s="4" t="s">
        <v>638</v>
      </c>
      <c r="D464" s="2">
        <v>45066.155532407407</v>
      </c>
      <c r="E464" s="4" t="s">
        <v>19</v>
      </c>
      <c r="F464" s="4" t="s">
        <v>650</v>
      </c>
      <c r="G464" s="4">
        <v>-39.410519999999998</v>
      </c>
      <c r="H464" s="4">
        <v>33.726959999999998</v>
      </c>
    </row>
    <row r="465" spans="1:11" x14ac:dyDescent="0.2">
      <c r="A465" s="4" t="s">
        <v>632</v>
      </c>
      <c r="B465" s="4" t="s">
        <v>631</v>
      </c>
      <c r="C465" s="4" t="s">
        <v>638</v>
      </c>
      <c r="D465" s="2">
        <v>45066.155532407407</v>
      </c>
      <c r="E465" s="4" t="s">
        <v>20</v>
      </c>
      <c r="I465" s="4" t="s">
        <v>561</v>
      </c>
      <c r="J465" s="4">
        <v>1</v>
      </c>
      <c r="K465" s="4" t="s">
        <v>549</v>
      </c>
    </row>
    <row r="466" spans="1:11" x14ac:dyDescent="0.2">
      <c r="A466" s="4" t="s">
        <v>632</v>
      </c>
      <c r="B466" s="4" t="s">
        <v>631</v>
      </c>
      <c r="C466" s="4" t="s">
        <v>638</v>
      </c>
      <c r="D466" s="2">
        <v>45066.155532407407</v>
      </c>
      <c r="E466" s="4" t="s">
        <v>20</v>
      </c>
      <c r="I466" s="4" t="s">
        <v>555</v>
      </c>
      <c r="J466" s="4">
        <v>82834</v>
      </c>
      <c r="K466" s="4" t="s">
        <v>549</v>
      </c>
    </row>
    <row r="467" spans="1:11" x14ac:dyDescent="0.2">
      <c r="A467" s="4" t="s">
        <v>632</v>
      </c>
      <c r="B467" s="4" t="s">
        <v>631</v>
      </c>
      <c r="C467" s="4" t="s">
        <v>638</v>
      </c>
      <c r="D467" s="2">
        <v>45066.155532407407</v>
      </c>
      <c r="E467" s="4" t="s">
        <v>20</v>
      </c>
      <c r="I467" s="4" t="s">
        <v>556</v>
      </c>
      <c r="J467" s="4">
        <v>82834</v>
      </c>
      <c r="K467" s="4" t="s">
        <v>549</v>
      </c>
    </row>
    <row r="468" spans="1:11" x14ac:dyDescent="0.2">
      <c r="A468" s="4" t="s">
        <v>632</v>
      </c>
      <c r="B468" s="4" t="s">
        <v>631</v>
      </c>
      <c r="C468" s="4" t="s">
        <v>638</v>
      </c>
      <c r="D468" s="2">
        <v>45066.155590277776</v>
      </c>
      <c r="E468" s="4" t="s">
        <v>20</v>
      </c>
      <c r="I468" s="4" t="s">
        <v>557</v>
      </c>
      <c r="J468" s="4">
        <v>64</v>
      </c>
      <c r="K468" s="4" t="s">
        <v>7</v>
      </c>
    </row>
    <row r="469" spans="1:11" x14ac:dyDescent="0.2">
      <c r="A469" s="4" t="s">
        <v>632</v>
      </c>
      <c r="B469" s="4" t="s">
        <v>631</v>
      </c>
      <c r="C469" s="4" t="s">
        <v>638</v>
      </c>
      <c r="D469" s="2">
        <v>45066.155578703707</v>
      </c>
      <c r="E469" s="4" t="s">
        <v>19</v>
      </c>
      <c r="F469" s="4" t="s">
        <v>650</v>
      </c>
      <c r="G469" s="4">
        <v>-39.409559999999999</v>
      </c>
      <c r="H469" s="4">
        <v>33.727809999999998</v>
      </c>
    </row>
    <row r="470" spans="1:11" x14ac:dyDescent="0.2">
      <c r="A470" s="4" t="s">
        <v>632</v>
      </c>
      <c r="B470" s="4" t="s">
        <v>631</v>
      </c>
      <c r="C470" s="4" t="s">
        <v>638</v>
      </c>
      <c r="D470" s="2">
        <v>45066.155636574076</v>
      </c>
      <c r="E470" s="4" t="s">
        <v>541</v>
      </c>
    </row>
    <row r="471" spans="1:11" x14ac:dyDescent="0.2">
      <c r="A471" s="4" t="s">
        <v>632</v>
      </c>
      <c r="B471" s="4" t="s">
        <v>631</v>
      </c>
      <c r="C471" s="4" t="s">
        <v>638</v>
      </c>
      <c r="D471" s="2">
        <v>45066.155636574076</v>
      </c>
      <c r="E471" s="4" t="s">
        <v>541</v>
      </c>
    </row>
    <row r="472" spans="1:11" x14ac:dyDescent="0.2">
      <c r="A472" s="4" t="s">
        <v>632</v>
      </c>
      <c r="B472" s="4" t="s">
        <v>631</v>
      </c>
      <c r="C472" s="4" t="s">
        <v>638</v>
      </c>
      <c r="D472" s="2">
        <v>45066.155648148146</v>
      </c>
      <c r="E472" s="4" t="s">
        <v>541</v>
      </c>
    </row>
    <row r="473" spans="1:11" x14ac:dyDescent="0.2">
      <c r="A473" s="4" t="s">
        <v>632</v>
      </c>
      <c r="B473" s="4" t="s">
        <v>631</v>
      </c>
      <c r="C473" s="4" t="s">
        <v>638</v>
      </c>
      <c r="D473" s="2">
        <v>45066.155659722222</v>
      </c>
      <c r="E473" s="4" t="s">
        <v>541</v>
      </c>
    </row>
    <row r="474" spans="1:11" x14ac:dyDescent="0.2">
      <c r="A474" s="4" t="s">
        <v>632</v>
      </c>
      <c r="B474" s="4" t="s">
        <v>631</v>
      </c>
      <c r="C474" s="4" t="s">
        <v>638</v>
      </c>
      <c r="D474" s="2">
        <v>45066.155659722222</v>
      </c>
      <c r="E474" s="4" t="s">
        <v>541</v>
      </c>
    </row>
    <row r="475" spans="1:11" x14ac:dyDescent="0.2">
      <c r="A475" s="4" t="s">
        <v>632</v>
      </c>
      <c r="B475" s="4" t="s">
        <v>631</v>
      </c>
      <c r="C475" s="4" t="s">
        <v>638</v>
      </c>
      <c r="D475" s="2">
        <v>45066.155659722222</v>
      </c>
      <c r="E475" s="4" t="s">
        <v>541</v>
      </c>
    </row>
    <row r="476" spans="1:11" x14ac:dyDescent="0.2">
      <c r="A476" s="4" t="s">
        <v>632</v>
      </c>
      <c r="B476" s="4" t="s">
        <v>631</v>
      </c>
      <c r="C476" s="4" t="s">
        <v>638</v>
      </c>
      <c r="D476" s="2">
        <v>45066.155659722222</v>
      </c>
      <c r="E476" s="4" t="s">
        <v>20</v>
      </c>
      <c r="I476" s="4" t="s">
        <v>557</v>
      </c>
      <c r="J476" s="4">
        <v>60</v>
      </c>
      <c r="K476" s="4" t="s">
        <v>7</v>
      </c>
    </row>
    <row r="477" spans="1:11" x14ac:dyDescent="0.2">
      <c r="A477" s="4" t="s">
        <v>632</v>
      </c>
      <c r="B477" s="4" t="s">
        <v>631</v>
      </c>
      <c r="C477" s="4" t="s">
        <v>638</v>
      </c>
      <c r="D477" s="2">
        <v>45066.155671296299</v>
      </c>
      <c r="E477" s="4" t="s">
        <v>19</v>
      </c>
      <c r="F477" s="4" t="s">
        <v>650</v>
      </c>
      <c r="G477" s="4">
        <v>-39.408900000000003</v>
      </c>
      <c r="H477" s="4">
        <v>33.728400000000001</v>
      </c>
    </row>
    <row r="478" spans="1:11" x14ac:dyDescent="0.2">
      <c r="A478" s="4" t="s">
        <v>632</v>
      </c>
      <c r="B478" s="4" t="s">
        <v>631</v>
      </c>
      <c r="C478" s="4" t="s">
        <v>638</v>
      </c>
      <c r="D478" s="2">
        <v>45066.155671296299</v>
      </c>
      <c r="E478" s="4" t="s">
        <v>541</v>
      </c>
    </row>
    <row r="479" spans="1:11" x14ac:dyDescent="0.2">
      <c r="A479" s="4" t="s">
        <v>632</v>
      </c>
      <c r="B479" s="4" t="s">
        <v>631</v>
      </c>
      <c r="C479" s="4" t="s">
        <v>638</v>
      </c>
      <c r="D479" s="2">
        <v>45066.155694444446</v>
      </c>
      <c r="E479" s="4" t="s">
        <v>541</v>
      </c>
    </row>
    <row r="480" spans="1:11" x14ac:dyDescent="0.2">
      <c r="A480" s="4" t="s">
        <v>632</v>
      </c>
      <c r="B480" s="4" t="s">
        <v>631</v>
      </c>
      <c r="C480" s="4" t="s">
        <v>638</v>
      </c>
      <c r="D480" s="2">
        <v>45066.155694444446</v>
      </c>
      <c r="E480" s="4" t="s">
        <v>541</v>
      </c>
    </row>
    <row r="481" spans="1:11" x14ac:dyDescent="0.2">
      <c r="A481" s="4" t="s">
        <v>632</v>
      </c>
      <c r="B481" s="4" t="s">
        <v>631</v>
      </c>
      <c r="C481" s="4" t="s">
        <v>638</v>
      </c>
      <c r="D481" s="2">
        <v>45066.155694444446</v>
      </c>
      <c r="E481" s="4" t="s">
        <v>541</v>
      </c>
    </row>
    <row r="482" spans="1:11" x14ac:dyDescent="0.2">
      <c r="A482" s="4" t="s">
        <v>632</v>
      </c>
      <c r="B482" s="4" t="s">
        <v>631</v>
      </c>
      <c r="C482" s="4" t="s">
        <v>638</v>
      </c>
      <c r="D482" s="2">
        <v>45066.155694444446</v>
      </c>
      <c r="E482" s="4" t="s">
        <v>541</v>
      </c>
    </row>
    <row r="483" spans="1:11" x14ac:dyDescent="0.2">
      <c r="A483" s="4" t="s">
        <v>632</v>
      </c>
      <c r="B483" s="4" t="s">
        <v>631</v>
      </c>
      <c r="C483" s="4" t="s">
        <v>638</v>
      </c>
      <c r="D483" s="2">
        <v>45066.155694444446</v>
      </c>
      <c r="E483" s="4" t="s">
        <v>541</v>
      </c>
    </row>
    <row r="484" spans="1:11" x14ac:dyDescent="0.2">
      <c r="A484" s="4" t="s">
        <v>632</v>
      </c>
      <c r="B484" s="4" t="s">
        <v>631</v>
      </c>
      <c r="C484" s="4" t="s">
        <v>638</v>
      </c>
      <c r="D484" s="2">
        <v>45066.155694444446</v>
      </c>
      <c r="E484" s="4" t="s">
        <v>541</v>
      </c>
    </row>
    <row r="485" spans="1:11" x14ac:dyDescent="0.2">
      <c r="A485" s="4" t="s">
        <v>632</v>
      </c>
      <c r="B485" s="4" t="s">
        <v>631</v>
      </c>
      <c r="C485" s="4" t="s">
        <v>638</v>
      </c>
      <c r="D485" s="2">
        <v>45066.155694444446</v>
      </c>
      <c r="E485" s="4" t="s">
        <v>541</v>
      </c>
    </row>
    <row r="486" spans="1:11" x14ac:dyDescent="0.2">
      <c r="A486" s="4" t="s">
        <v>632</v>
      </c>
      <c r="B486" s="4" t="s">
        <v>631</v>
      </c>
      <c r="C486" s="4" t="s">
        <v>638</v>
      </c>
      <c r="D486" s="2">
        <v>45066.155694444446</v>
      </c>
      <c r="E486" s="4" t="s">
        <v>541</v>
      </c>
    </row>
    <row r="487" spans="1:11" x14ac:dyDescent="0.2">
      <c r="A487" s="4" t="s">
        <v>632</v>
      </c>
      <c r="B487" s="4" t="s">
        <v>631</v>
      </c>
      <c r="C487" s="4" t="s">
        <v>638</v>
      </c>
      <c r="D487" s="2">
        <v>45066.155694444446</v>
      </c>
      <c r="E487" s="4" t="s">
        <v>541</v>
      </c>
    </row>
    <row r="488" spans="1:11" x14ac:dyDescent="0.2">
      <c r="A488" s="4" t="s">
        <v>632</v>
      </c>
      <c r="B488" s="4" t="s">
        <v>631</v>
      </c>
      <c r="C488" s="4" t="s">
        <v>638</v>
      </c>
      <c r="D488" s="2">
        <v>45066.155694444446</v>
      </c>
      <c r="E488" s="4" t="s">
        <v>541</v>
      </c>
    </row>
    <row r="489" spans="1:11" x14ac:dyDescent="0.2">
      <c r="A489" s="4" t="s">
        <v>632</v>
      </c>
      <c r="B489" s="4" t="s">
        <v>631</v>
      </c>
      <c r="C489" s="4" t="s">
        <v>638</v>
      </c>
      <c r="D489" s="2">
        <v>45066.155694444446</v>
      </c>
      <c r="E489" s="4" t="s">
        <v>541</v>
      </c>
    </row>
    <row r="490" spans="1:11" x14ac:dyDescent="0.2">
      <c r="A490" s="4" t="s">
        <v>632</v>
      </c>
      <c r="B490" s="4" t="s">
        <v>631</v>
      </c>
      <c r="C490" s="4" t="s">
        <v>638</v>
      </c>
      <c r="D490" s="2">
        <v>45066.155694444446</v>
      </c>
      <c r="E490" s="4" t="s">
        <v>541</v>
      </c>
    </row>
    <row r="491" spans="1:11" x14ac:dyDescent="0.2">
      <c r="A491" s="4" t="s">
        <v>632</v>
      </c>
      <c r="B491" s="4" t="s">
        <v>631</v>
      </c>
      <c r="C491" s="4" t="s">
        <v>638</v>
      </c>
      <c r="D491" s="2">
        <v>45066.155694444446</v>
      </c>
      <c r="E491" s="4" t="s">
        <v>20</v>
      </c>
      <c r="I491" s="4" t="s">
        <v>557</v>
      </c>
      <c r="J491" s="4">
        <v>47</v>
      </c>
      <c r="K491" s="4" t="s">
        <v>7</v>
      </c>
    </row>
    <row r="492" spans="1:11" x14ac:dyDescent="0.2">
      <c r="A492" s="4" t="s">
        <v>632</v>
      </c>
      <c r="B492" s="4" t="s">
        <v>631</v>
      </c>
      <c r="C492" s="4" t="s">
        <v>638</v>
      </c>
      <c r="D492" s="2">
        <v>45066.155706018515</v>
      </c>
      <c r="E492" s="4" t="s">
        <v>19</v>
      </c>
      <c r="F492" s="4" t="s">
        <v>649</v>
      </c>
      <c r="G492" s="4">
        <v>-39.408569999999997</v>
      </c>
      <c r="H492" s="4">
        <v>33.72871</v>
      </c>
    </row>
    <row r="493" spans="1:11" x14ac:dyDescent="0.2">
      <c r="A493" s="4" t="s">
        <v>632</v>
      </c>
      <c r="B493" s="4" t="s">
        <v>631</v>
      </c>
      <c r="C493" s="4" t="s">
        <v>638</v>
      </c>
      <c r="D493" s="2">
        <v>45066.155740740738</v>
      </c>
      <c r="E493" s="4" t="s">
        <v>20</v>
      </c>
      <c r="I493" s="4" t="s">
        <v>548</v>
      </c>
      <c r="J493" s="4">
        <v>2</v>
      </c>
      <c r="K493" s="4" t="s">
        <v>549</v>
      </c>
    </row>
    <row r="494" spans="1:11" x14ac:dyDescent="0.2">
      <c r="A494" s="4" t="s">
        <v>632</v>
      </c>
      <c r="B494" s="4" t="s">
        <v>631</v>
      </c>
      <c r="C494" s="4" t="s">
        <v>638</v>
      </c>
      <c r="D494" s="2">
        <v>45066.155763888892</v>
      </c>
      <c r="E494" s="4" t="s">
        <v>541</v>
      </c>
    </row>
    <row r="495" spans="1:11" x14ac:dyDescent="0.2">
      <c r="A495" s="4" t="s">
        <v>632</v>
      </c>
      <c r="B495" s="4" t="s">
        <v>631</v>
      </c>
      <c r="C495" s="4" t="s">
        <v>638</v>
      </c>
      <c r="D495" s="2">
        <v>45066.155787037038</v>
      </c>
      <c r="E495" s="4" t="s">
        <v>20</v>
      </c>
      <c r="I495" s="4" t="s">
        <v>609</v>
      </c>
      <c r="J495" s="4">
        <v>56.070300000000003</v>
      </c>
      <c r="K495" s="4" t="s">
        <v>569</v>
      </c>
    </row>
    <row r="496" spans="1:11" x14ac:dyDescent="0.2">
      <c r="A496" s="4" t="s">
        <v>632</v>
      </c>
      <c r="B496" s="4" t="s">
        <v>631</v>
      </c>
      <c r="C496" s="4" t="s">
        <v>638</v>
      </c>
      <c r="D496" s="2">
        <v>45066.155798611115</v>
      </c>
      <c r="E496" s="4" t="s">
        <v>20</v>
      </c>
      <c r="I496" s="4" t="s">
        <v>565</v>
      </c>
      <c r="J496" s="4">
        <v>2.1</v>
      </c>
      <c r="K496" s="4" t="s">
        <v>549</v>
      </c>
    </row>
    <row r="497" spans="1:11" x14ac:dyDescent="0.2">
      <c r="A497" s="4" t="s">
        <v>632</v>
      </c>
      <c r="B497" s="4" t="s">
        <v>631</v>
      </c>
      <c r="C497" s="4" t="s">
        <v>638</v>
      </c>
      <c r="D497" s="2">
        <v>45066.155798611115</v>
      </c>
      <c r="E497" s="4" t="s">
        <v>20</v>
      </c>
      <c r="I497" s="4" t="s">
        <v>562</v>
      </c>
      <c r="J497" s="4">
        <v>2.1</v>
      </c>
      <c r="K497" s="4" t="s">
        <v>549</v>
      </c>
    </row>
    <row r="498" spans="1:11" x14ac:dyDescent="0.2">
      <c r="A498" s="4" t="s">
        <v>632</v>
      </c>
      <c r="B498" s="4" t="s">
        <v>631</v>
      </c>
      <c r="C498" s="4" t="s">
        <v>638</v>
      </c>
      <c r="D498" s="2">
        <v>45066.155833333331</v>
      </c>
      <c r="E498" s="4" t="s">
        <v>20</v>
      </c>
      <c r="I498" s="4" t="s">
        <v>608</v>
      </c>
      <c r="J498" s="4">
        <v>1</v>
      </c>
      <c r="K498" s="4" t="s">
        <v>545</v>
      </c>
    </row>
    <row r="499" spans="1:11" x14ac:dyDescent="0.2">
      <c r="A499" s="4" t="s">
        <v>632</v>
      </c>
      <c r="B499" s="4" t="s">
        <v>631</v>
      </c>
      <c r="C499" s="4" t="s">
        <v>638</v>
      </c>
      <c r="D499" s="2">
        <v>45066.155833333331</v>
      </c>
      <c r="E499" s="4" t="s">
        <v>541</v>
      </c>
    </row>
    <row r="500" spans="1:11" x14ac:dyDescent="0.2">
      <c r="A500" s="4" t="s">
        <v>632</v>
      </c>
      <c r="B500" s="4" t="s">
        <v>631</v>
      </c>
      <c r="C500" s="4" t="s">
        <v>638</v>
      </c>
      <c r="D500" s="2">
        <v>45066.155833333331</v>
      </c>
      <c r="E500" s="4" t="s">
        <v>541</v>
      </c>
    </row>
    <row r="501" spans="1:11" x14ac:dyDescent="0.2">
      <c r="A501" s="4" t="s">
        <v>632</v>
      </c>
      <c r="B501" s="4" t="s">
        <v>631</v>
      </c>
      <c r="C501" s="4" t="s">
        <v>638</v>
      </c>
      <c r="D501" s="2">
        <v>45066.155833333331</v>
      </c>
      <c r="E501" s="4" t="s">
        <v>19</v>
      </c>
      <c r="F501" s="4" t="s">
        <v>649</v>
      </c>
      <c r="G501" s="4">
        <v>-39.407539999999997</v>
      </c>
      <c r="H501" s="4">
        <v>33.729599999999998</v>
      </c>
    </row>
    <row r="502" spans="1:11" x14ac:dyDescent="0.2">
      <c r="A502" s="4" t="s">
        <v>632</v>
      </c>
      <c r="B502" s="4" t="s">
        <v>631</v>
      </c>
      <c r="C502" s="4" t="s">
        <v>638</v>
      </c>
      <c r="D502" s="2">
        <v>45066.155856481484</v>
      </c>
      <c r="E502" s="4" t="s">
        <v>541</v>
      </c>
    </row>
    <row r="503" spans="1:11" x14ac:dyDescent="0.2">
      <c r="A503" s="4" t="s">
        <v>632</v>
      </c>
      <c r="B503" s="4" t="s">
        <v>631</v>
      </c>
      <c r="C503" s="4" t="s">
        <v>638</v>
      </c>
      <c r="D503" s="2">
        <v>45066.155891203707</v>
      </c>
      <c r="E503" s="4" t="s">
        <v>20</v>
      </c>
      <c r="I503" s="4" t="s">
        <v>557</v>
      </c>
      <c r="J503" s="4">
        <v>37</v>
      </c>
      <c r="K503" s="4" t="s">
        <v>7</v>
      </c>
    </row>
    <row r="504" spans="1:11" x14ac:dyDescent="0.2">
      <c r="A504" s="4" t="s">
        <v>632</v>
      </c>
      <c r="B504" s="4" t="s">
        <v>631</v>
      </c>
      <c r="C504" s="4" t="s">
        <v>638</v>
      </c>
      <c r="D504" s="2">
        <v>45066.155787037038</v>
      </c>
      <c r="E504" s="4" t="s">
        <v>541</v>
      </c>
    </row>
    <row r="505" spans="1:11" x14ac:dyDescent="0.2">
      <c r="A505" s="4" t="s">
        <v>632</v>
      </c>
      <c r="B505" s="4" t="s">
        <v>631</v>
      </c>
      <c r="C505" s="4" t="s">
        <v>638</v>
      </c>
      <c r="D505" s="2">
        <v>45066.155972222223</v>
      </c>
      <c r="E505" s="4" t="s">
        <v>541</v>
      </c>
    </row>
    <row r="506" spans="1:11" x14ac:dyDescent="0.2">
      <c r="A506" s="4" t="s">
        <v>632</v>
      </c>
      <c r="B506" s="4" t="s">
        <v>631</v>
      </c>
      <c r="C506" s="4" t="s">
        <v>638</v>
      </c>
      <c r="D506" s="2">
        <v>45066.156006944446</v>
      </c>
      <c r="E506" s="4" t="s">
        <v>541</v>
      </c>
    </row>
    <row r="507" spans="1:11" x14ac:dyDescent="0.2">
      <c r="A507" s="4" t="s">
        <v>632</v>
      </c>
      <c r="B507" s="4" t="s">
        <v>631</v>
      </c>
      <c r="C507" s="4" t="s">
        <v>638</v>
      </c>
      <c r="D507" s="2">
        <v>45066.156006944446</v>
      </c>
      <c r="E507" s="4" t="s">
        <v>541</v>
      </c>
    </row>
    <row r="508" spans="1:11" x14ac:dyDescent="0.2">
      <c r="A508" s="4" t="s">
        <v>632</v>
      </c>
      <c r="B508" s="4" t="s">
        <v>631</v>
      </c>
      <c r="C508" s="4" t="s">
        <v>638</v>
      </c>
      <c r="D508" s="2">
        <v>45066.156006944446</v>
      </c>
      <c r="E508" s="4" t="s">
        <v>541</v>
      </c>
    </row>
    <row r="509" spans="1:11" x14ac:dyDescent="0.2">
      <c r="A509" s="4" t="s">
        <v>632</v>
      </c>
      <c r="B509" s="4" t="s">
        <v>631</v>
      </c>
      <c r="C509" s="4" t="s">
        <v>638</v>
      </c>
      <c r="D509" s="2">
        <v>45066.156064814815</v>
      </c>
      <c r="E509" s="4" t="s">
        <v>20</v>
      </c>
      <c r="I509" s="4" t="s">
        <v>557</v>
      </c>
      <c r="J509" s="4">
        <v>37</v>
      </c>
      <c r="K509" s="4" t="s">
        <v>7</v>
      </c>
    </row>
    <row r="510" spans="1:11" x14ac:dyDescent="0.2">
      <c r="A510" s="4" t="s">
        <v>632</v>
      </c>
      <c r="B510" s="4" t="s">
        <v>631</v>
      </c>
      <c r="C510" s="4" t="s">
        <v>638</v>
      </c>
      <c r="D510" s="2">
        <v>45066.156076388892</v>
      </c>
      <c r="E510" s="4" t="s">
        <v>20</v>
      </c>
      <c r="I510" s="4" t="s">
        <v>559</v>
      </c>
      <c r="J510" s="4">
        <v>1179.75</v>
      </c>
      <c r="K510" s="4" t="s">
        <v>560</v>
      </c>
    </row>
    <row r="511" spans="1:11" x14ac:dyDescent="0.2">
      <c r="A511" s="4" t="s">
        <v>632</v>
      </c>
      <c r="B511" s="4" t="s">
        <v>631</v>
      </c>
      <c r="C511" s="4" t="s">
        <v>638</v>
      </c>
      <c r="D511" s="2">
        <v>45066.156111111108</v>
      </c>
      <c r="E511" s="4" t="s">
        <v>19</v>
      </c>
      <c r="F511" s="4" t="s">
        <v>649</v>
      </c>
      <c r="G511" s="4">
        <v>-39.4056</v>
      </c>
      <c r="H511" s="4">
        <v>33.731369999999998</v>
      </c>
    </row>
    <row r="512" spans="1:11" x14ac:dyDescent="0.2">
      <c r="A512" s="4" t="s">
        <v>632</v>
      </c>
      <c r="B512" s="4" t="s">
        <v>631</v>
      </c>
      <c r="C512" s="4" t="s">
        <v>638</v>
      </c>
      <c r="D512" s="2">
        <v>45066.156122685185</v>
      </c>
      <c r="E512" s="4" t="s">
        <v>20</v>
      </c>
      <c r="I512" s="4" t="s">
        <v>608</v>
      </c>
      <c r="J512" s="4">
        <v>1</v>
      </c>
      <c r="K512" s="4" t="s">
        <v>545</v>
      </c>
    </row>
    <row r="513" spans="1:11" x14ac:dyDescent="0.2">
      <c r="A513" s="4" t="s">
        <v>632</v>
      </c>
      <c r="B513" s="4" t="s">
        <v>631</v>
      </c>
      <c r="C513" s="4" t="s">
        <v>638</v>
      </c>
      <c r="D513" s="2">
        <v>45066.156122685185</v>
      </c>
      <c r="E513" s="4" t="s">
        <v>541</v>
      </c>
    </row>
    <row r="514" spans="1:11" x14ac:dyDescent="0.2">
      <c r="A514" s="4" t="s">
        <v>632</v>
      </c>
      <c r="B514" s="4" t="s">
        <v>631</v>
      </c>
      <c r="C514" s="4" t="s">
        <v>638</v>
      </c>
      <c r="D514" s="2">
        <v>45066.156122685185</v>
      </c>
      <c r="E514" s="4" t="s">
        <v>541</v>
      </c>
    </row>
    <row r="515" spans="1:11" x14ac:dyDescent="0.2">
      <c r="A515" s="4" t="s">
        <v>632</v>
      </c>
      <c r="B515" s="4" t="s">
        <v>631</v>
      </c>
      <c r="C515" s="4" t="s">
        <v>638</v>
      </c>
      <c r="D515" s="2">
        <v>45066.156157407408</v>
      </c>
      <c r="E515" s="4" t="s">
        <v>20</v>
      </c>
      <c r="I515" s="4" t="s">
        <v>557</v>
      </c>
      <c r="J515" s="4">
        <v>47</v>
      </c>
      <c r="K515" s="4" t="s">
        <v>7</v>
      </c>
    </row>
    <row r="516" spans="1:11" x14ac:dyDescent="0.2">
      <c r="A516" s="4" t="s">
        <v>632</v>
      </c>
      <c r="B516" s="4" t="s">
        <v>631</v>
      </c>
      <c r="C516" s="4" t="s">
        <v>638</v>
      </c>
      <c r="D516" s="2">
        <v>45066.156215277777</v>
      </c>
      <c r="E516" s="4" t="s">
        <v>20</v>
      </c>
      <c r="I516" s="4" t="s">
        <v>557</v>
      </c>
      <c r="J516" s="4">
        <v>44</v>
      </c>
      <c r="K516" s="4" t="s">
        <v>7</v>
      </c>
    </row>
    <row r="517" spans="1:11" x14ac:dyDescent="0.2">
      <c r="A517" s="4" t="s">
        <v>632</v>
      </c>
      <c r="B517" s="4" t="s">
        <v>631</v>
      </c>
      <c r="C517" s="4" t="s">
        <v>638</v>
      </c>
      <c r="D517" s="2">
        <v>45066.156261574077</v>
      </c>
      <c r="E517" s="4" t="s">
        <v>19</v>
      </c>
      <c r="F517" s="4" t="s">
        <v>649</v>
      </c>
      <c r="G517" s="4">
        <v>-39.404319999999998</v>
      </c>
      <c r="H517" s="4">
        <v>33.732469999999999</v>
      </c>
    </row>
    <row r="518" spans="1:11" x14ac:dyDescent="0.2">
      <c r="A518" s="4" t="s">
        <v>632</v>
      </c>
      <c r="B518" s="4" t="s">
        <v>631</v>
      </c>
      <c r="C518" s="4" t="s">
        <v>638</v>
      </c>
      <c r="D518" s="2">
        <v>45066.156273148146</v>
      </c>
      <c r="E518" s="4" t="s">
        <v>20</v>
      </c>
      <c r="I518" s="4" t="s">
        <v>608</v>
      </c>
      <c r="J518" s="4">
        <v>1</v>
      </c>
      <c r="K518" s="4" t="s">
        <v>545</v>
      </c>
    </row>
    <row r="519" spans="1:11" x14ac:dyDescent="0.2">
      <c r="A519" s="4" t="s">
        <v>632</v>
      </c>
      <c r="B519" s="4" t="s">
        <v>631</v>
      </c>
      <c r="C519" s="4" t="s">
        <v>638</v>
      </c>
      <c r="D519" s="2">
        <v>45066.156273148146</v>
      </c>
      <c r="E519" s="4" t="s">
        <v>541</v>
      </c>
    </row>
    <row r="520" spans="1:11" x14ac:dyDescent="0.2">
      <c r="A520" s="4" t="s">
        <v>632</v>
      </c>
      <c r="B520" s="4" t="s">
        <v>631</v>
      </c>
      <c r="C520" s="4" t="s">
        <v>638</v>
      </c>
      <c r="D520" s="2">
        <v>45066.156273148146</v>
      </c>
      <c r="E520" s="4" t="s">
        <v>541</v>
      </c>
    </row>
    <row r="521" spans="1:11" x14ac:dyDescent="0.2">
      <c r="A521" s="4" t="s">
        <v>632</v>
      </c>
      <c r="B521" s="4" t="s">
        <v>631</v>
      </c>
      <c r="C521" s="4" t="s">
        <v>638</v>
      </c>
      <c r="D521" s="2">
        <v>45066.156354166669</v>
      </c>
      <c r="E521" s="4" t="s">
        <v>20</v>
      </c>
      <c r="I521" s="4" t="s">
        <v>566</v>
      </c>
      <c r="J521" s="4">
        <v>26</v>
      </c>
      <c r="K521" s="4" t="s">
        <v>567</v>
      </c>
    </row>
    <row r="522" spans="1:11" x14ac:dyDescent="0.2">
      <c r="A522" s="4" t="s">
        <v>632</v>
      </c>
      <c r="B522" s="4" t="s">
        <v>631</v>
      </c>
      <c r="C522" s="4" t="s">
        <v>638</v>
      </c>
      <c r="D522" s="2">
        <v>45066.156354166669</v>
      </c>
      <c r="E522" s="4" t="s">
        <v>20</v>
      </c>
      <c r="I522" s="4" t="s">
        <v>559</v>
      </c>
      <c r="J522" s="4">
        <v>1972.5</v>
      </c>
      <c r="K522" s="4" t="s">
        <v>560</v>
      </c>
    </row>
    <row r="523" spans="1:11" x14ac:dyDescent="0.2">
      <c r="A523" s="4" t="s">
        <v>632</v>
      </c>
      <c r="B523" s="4" t="s">
        <v>631</v>
      </c>
      <c r="C523" s="4" t="s">
        <v>638</v>
      </c>
      <c r="D523" s="2">
        <v>45066.156354166669</v>
      </c>
      <c r="E523" s="4" t="s">
        <v>541</v>
      </c>
    </row>
    <row r="524" spans="1:11" x14ac:dyDescent="0.2">
      <c r="A524" s="4" t="s">
        <v>632</v>
      </c>
      <c r="B524" s="4" t="s">
        <v>631</v>
      </c>
      <c r="C524" s="4" t="s">
        <v>638</v>
      </c>
      <c r="D524" s="2">
        <v>45066.156354166669</v>
      </c>
      <c r="E524" s="4" t="s">
        <v>541</v>
      </c>
    </row>
    <row r="525" spans="1:11" x14ac:dyDescent="0.2">
      <c r="A525" s="4" t="s">
        <v>632</v>
      </c>
      <c r="B525" s="4" t="s">
        <v>631</v>
      </c>
      <c r="C525" s="4" t="s">
        <v>638</v>
      </c>
      <c r="D525" s="2">
        <v>45066.156354166669</v>
      </c>
      <c r="E525" s="4" t="s">
        <v>541</v>
      </c>
    </row>
    <row r="526" spans="1:11" x14ac:dyDescent="0.2">
      <c r="A526" s="4" t="s">
        <v>632</v>
      </c>
      <c r="B526" s="4" t="s">
        <v>631</v>
      </c>
      <c r="C526" s="4" t="s">
        <v>638</v>
      </c>
      <c r="D526" s="2">
        <v>45066.156377314815</v>
      </c>
      <c r="E526" s="4" t="s">
        <v>20</v>
      </c>
      <c r="I526" s="4" t="s">
        <v>557</v>
      </c>
      <c r="J526" s="4">
        <v>68</v>
      </c>
      <c r="K526" s="4" t="s">
        <v>7</v>
      </c>
    </row>
    <row r="527" spans="1:11" x14ac:dyDescent="0.2">
      <c r="A527" s="4" t="s">
        <v>632</v>
      </c>
      <c r="B527" s="4" t="s">
        <v>631</v>
      </c>
      <c r="C527" s="4" t="s">
        <v>638</v>
      </c>
      <c r="D527" s="2">
        <v>45066.156400462962</v>
      </c>
      <c r="E527" s="4" t="s">
        <v>20</v>
      </c>
      <c r="I527" s="4" t="s">
        <v>555</v>
      </c>
      <c r="J527" s="4">
        <v>82835</v>
      </c>
      <c r="K527" s="4" t="s">
        <v>549</v>
      </c>
    </row>
    <row r="528" spans="1:11" x14ac:dyDescent="0.2">
      <c r="A528" s="4" t="s">
        <v>632</v>
      </c>
      <c r="B528" s="4" t="s">
        <v>631</v>
      </c>
      <c r="C528" s="4" t="s">
        <v>638</v>
      </c>
      <c r="D528" s="2">
        <v>45066.156400462962</v>
      </c>
      <c r="E528" s="4" t="s">
        <v>20</v>
      </c>
      <c r="I528" s="4" t="s">
        <v>556</v>
      </c>
      <c r="J528" s="4">
        <v>82835</v>
      </c>
      <c r="K528" s="4" t="s">
        <v>549</v>
      </c>
    </row>
    <row r="529" spans="1:11" x14ac:dyDescent="0.2">
      <c r="A529" s="4" t="s">
        <v>632</v>
      </c>
      <c r="B529" s="4" t="s">
        <v>631</v>
      </c>
      <c r="C529" s="4" t="s">
        <v>638</v>
      </c>
      <c r="D529" s="2">
        <v>45066.156400462962</v>
      </c>
      <c r="E529" s="4" t="s">
        <v>20</v>
      </c>
      <c r="I529" s="4" t="s">
        <v>604</v>
      </c>
      <c r="J529" s="4">
        <v>3</v>
      </c>
      <c r="K529" s="4" t="s">
        <v>549</v>
      </c>
    </row>
    <row r="530" spans="1:11" x14ac:dyDescent="0.2">
      <c r="A530" s="4" t="s">
        <v>632</v>
      </c>
      <c r="B530" s="4" t="s">
        <v>631</v>
      </c>
      <c r="C530" s="4" t="s">
        <v>638</v>
      </c>
      <c r="D530" s="2">
        <v>45066.156412037039</v>
      </c>
      <c r="E530" s="4" t="s">
        <v>19</v>
      </c>
      <c r="F530" s="4" t="s">
        <v>649</v>
      </c>
      <c r="G530" s="4">
        <v>-39.402610000000003</v>
      </c>
      <c r="H530" s="4">
        <v>33.733980000000003</v>
      </c>
    </row>
    <row r="531" spans="1:11" x14ac:dyDescent="0.2">
      <c r="A531" s="4" t="s">
        <v>632</v>
      </c>
      <c r="B531" s="4" t="s">
        <v>631</v>
      </c>
      <c r="C531" s="4" t="s">
        <v>638</v>
      </c>
      <c r="D531" s="2">
        <v>45066.156412037039</v>
      </c>
      <c r="E531" s="4" t="s">
        <v>20</v>
      </c>
      <c r="I531" s="4" t="s">
        <v>561</v>
      </c>
      <c r="J531" s="4">
        <v>3</v>
      </c>
      <c r="K531" s="4" t="s">
        <v>549</v>
      </c>
    </row>
    <row r="532" spans="1:11" x14ac:dyDescent="0.2">
      <c r="A532" s="4" t="s">
        <v>632</v>
      </c>
      <c r="B532" s="4" t="s">
        <v>631</v>
      </c>
      <c r="C532" s="4" t="s">
        <v>638</v>
      </c>
      <c r="D532" s="2">
        <v>45066.1565162037</v>
      </c>
      <c r="E532" s="4" t="s">
        <v>20</v>
      </c>
      <c r="I532" s="4" t="s">
        <v>602</v>
      </c>
      <c r="J532" s="4">
        <v>7</v>
      </c>
      <c r="K532" s="4" t="s">
        <v>545</v>
      </c>
    </row>
    <row r="533" spans="1:11" x14ac:dyDescent="0.2">
      <c r="A533" s="4" t="s">
        <v>632</v>
      </c>
      <c r="B533" s="4" t="s">
        <v>631</v>
      </c>
      <c r="C533" s="4" t="s">
        <v>638</v>
      </c>
      <c r="D533" s="2">
        <v>45066.1565162037</v>
      </c>
      <c r="E533" s="4" t="s">
        <v>541</v>
      </c>
    </row>
    <row r="534" spans="1:11" x14ac:dyDescent="0.2">
      <c r="A534" s="4" t="s">
        <v>632</v>
      </c>
      <c r="B534" s="4" t="s">
        <v>631</v>
      </c>
      <c r="C534" s="4" t="s">
        <v>638</v>
      </c>
      <c r="D534" s="2">
        <v>45066.1565162037</v>
      </c>
      <c r="E534" s="4" t="s">
        <v>20</v>
      </c>
      <c r="I534" s="4" t="s">
        <v>603</v>
      </c>
      <c r="J534" s="4">
        <v>109</v>
      </c>
      <c r="K534" s="4" t="s">
        <v>545</v>
      </c>
    </row>
    <row r="535" spans="1:11" x14ac:dyDescent="0.2">
      <c r="A535" s="4" t="s">
        <v>632</v>
      </c>
      <c r="B535" s="4" t="s">
        <v>631</v>
      </c>
      <c r="C535" s="4" t="s">
        <v>638</v>
      </c>
      <c r="D535" s="2">
        <v>45066.156539351854</v>
      </c>
      <c r="E535" s="4" t="s">
        <v>20</v>
      </c>
      <c r="I535" s="4" t="s">
        <v>557</v>
      </c>
      <c r="J535" s="4">
        <v>51</v>
      </c>
      <c r="K535" s="4" t="s">
        <v>7</v>
      </c>
    </row>
    <row r="536" spans="1:11" x14ac:dyDescent="0.2">
      <c r="A536" s="4" t="s">
        <v>632</v>
      </c>
      <c r="B536" s="4" t="s">
        <v>631</v>
      </c>
      <c r="C536" s="4" t="s">
        <v>638</v>
      </c>
      <c r="D536" s="2">
        <v>45066.156550925924</v>
      </c>
      <c r="E536" s="4" t="s">
        <v>19</v>
      </c>
      <c r="F536" s="4" t="s">
        <v>649</v>
      </c>
      <c r="G536" s="4">
        <v>-39.401020000000003</v>
      </c>
      <c r="H536" s="4">
        <v>33.735340000000001</v>
      </c>
    </row>
    <row r="537" spans="1:11" x14ac:dyDescent="0.2">
      <c r="A537" s="4" t="s">
        <v>632</v>
      </c>
      <c r="B537" s="4" t="s">
        <v>631</v>
      </c>
      <c r="C537" s="4" t="s">
        <v>638</v>
      </c>
      <c r="D537" s="2">
        <v>45066.156608796293</v>
      </c>
      <c r="E537" s="4" t="s">
        <v>541</v>
      </c>
    </row>
    <row r="538" spans="1:11" x14ac:dyDescent="0.2">
      <c r="A538" s="4" t="s">
        <v>632</v>
      </c>
      <c r="B538" s="4" t="s">
        <v>631</v>
      </c>
      <c r="C538" s="4" t="s">
        <v>638</v>
      </c>
      <c r="D538" s="2">
        <v>45066.15662037037</v>
      </c>
      <c r="E538" s="4" t="s">
        <v>19</v>
      </c>
      <c r="F538" s="4" t="s">
        <v>649</v>
      </c>
      <c r="G538" s="4">
        <v>-39.400530000000003</v>
      </c>
      <c r="H538" s="4">
        <v>33.735770000000002</v>
      </c>
    </row>
    <row r="539" spans="1:11" x14ac:dyDescent="0.2">
      <c r="A539" s="4" t="s">
        <v>632</v>
      </c>
      <c r="B539" s="4" t="s">
        <v>631</v>
      </c>
      <c r="C539" s="4" t="s">
        <v>638</v>
      </c>
      <c r="D539" s="2">
        <v>45066.15662037037</v>
      </c>
      <c r="E539" s="4" t="s">
        <v>20</v>
      </c>
      <c r="I539" s="4" t="s">
        <v>557</v>
      </c>
      <c r="J539" s="4">
        <v>18</v>
      </c>
      <c r="K539" s="4" t="s">
        <v>7</v>
      </c>
    </row>
    <row r="540" spans="1:11" x14ac:dyDescent="0.2">
      <c r="A540" s="4" t="s">
        <v>632</v>
      </c>
      <c r="B540" s="4" t="s">
        <v>631</v>
      </c>
      <c r="C540" s="4" t="s">
        <v>638</v>
      </c>
      <c r="D540" s="2">
        <v>45066.156655092593</v>
      </c>
      <c r="E540" s="4" t="s">
        <v>541</v>
      </c>
    </row>
    <row r="541" spans="1:11" x14ac:dyDescent="0.2">
      <c r="A541" s="4" t="s">
        <v>632</v>
      </c>
      <c r="B541" s="4" t="s">
        <v>631</v>
      </c>
      <c r="C541" s="4" t="s">
        <v>638</v>
      </c>
      <c r="D541" s="2">
        <v>45066.156678240739</v>
      </c>
      <c r="E541" s="4" t="s">
        <v>19</v>
      </c>
      <c r="F541" s="4" t="s">
        <v>649</v>
      </c>
      <c r="G541" s="4">
        <v>-39.400359999999999</v>
      </c>
      <c r="H541" s="4">
        <v>33.735900000000001</v>
      </c>
    </row>
    <row r="542" spans="1:11" x14ac:dyDescent="0.2">
      <c r="A542" s="4" t="s">
        <v>632</v>
      </c>
      <c r="B542" s="4" t="s">
        <v>631</v>
      </c>
      <c r="C542" s="4" t="s">
        <v>638</v>
      </c>
      <c r="D542" s="2">
        <v>45066.156678240739</v>
      </c>
      <c r="E542" s="4" t="s">
        <v>20</v>
      </c>
      <c r="I542" s="4" t="s">
        <v>608</v>
      </c>
      <c r="J542" s="4">
        <v>1</v>
      </c>
      <c r="K542" s="4" t="s">
        <v>545</v>
      </c>
    </row>
    <row r="543" spans="1:11" x14ac:dyDescent="0.2">
      <c r="A543" s="4" t="s">
        <v>632</v>
      </c>
      <c r="B543" s="4" t="s">
        <v>631</v>
      </c>
      <c r="C543" s="4" t="s">
        <v>638</v>
      </c>
      <c r="D543" s="2">
        <v>45066.156678240739</v>
      </c>
      <c r="E543" s="4" t="s">
        <v>541</v>
      </c>
    </row>
    <row r="544" spans="1:11" x14ac:dyDescent="0.2">
      <c r="A544" s="4" t="s">
        <v>632</v>
      </c>
      <c r="B544" s="4" t="s">
        <v>631</v>
      </c>
      <c r="C544" s="4" t="s">
        <v>638</v>
      </c>
      <c r="D544" s="2">
        <v>45066.156678240739</v>
      </c>
      <c r="E544" s="4" t="s">
        <v>541</v>
      </c>
    </row>
    <row r="545" spans="1:11" x14ac:dyDescent="0.2">
      <c r="A545" s="4" t="s">
        <v>632</v>
      </c>
      <c r="B545" s="4" t="s">
        <v>631</v>
      </c>
      <c r="C545" s="4" t="s">
        <v>638</v>
      </c>
      <c r="D545" s="2">
        <v>45066.156701388885</v>
      </c>
      <c r="E545" s="4" t="s">
        <v>541</v>
      </c>
    </row>
    <row r="546" spans="1:11" x14ac:dyDescent="0.2">
      <c r="A546" s="4" t="s">
        <v>632</v>
      </c>
      <c r="B546" s="4" t="s">
        <v>631</v>
      </c>
      <c r="C546" s="4" t="s">
        <v>638</v>
      </c>
      <c r="D546" s="2">
        <v>45066.156701388885</v>
      </c>
      <c r="E546" s="4" t="s">
        <v>541</v>
      </c>
    </row>
    <row r="547" spans="1:11" x14ac:dyDescent="0.2">
      <c r="A547" s="4" t="s">
        <v>632</v>
      </c>
      <c r="B547" s="4" t="s">
        <v>631</v>
      </c>
      <c r="C547" s="4" t="s">
        <v>638</v>
      </c>
      <c r="D547" s="2">
        <v>45066.156701388885</v>
      </c>
      <c r="E547" s="4" t="s">
        <v>541</v>
      </c>
    </row>
    <row r="548" spans="1:11" x14ac:dyDescent="0.2">
      <c r="A548" s="4" t="s">
        <v>632</v>
      </c>
      <c r="B548" s="4" t="s">
        <v>631</v>
      </c>
      <c r="C548" s="4" t="s">
        <v>638</v>
      </c>
      <c r="D548" s="2">
        <v>45066.156365740739</v>
      </c>
      <c r="E548" s="4" t="s">
        <v>19</v>
      </c>
      <c r="F548" s="4" t="s">
        <v>649</v>
      </c>
      <c r="G548" s="4">
        <v>-39.400329999999997</v>
      </c>
      <c r="H548" s="4">
        <v>33.73592</v>
      </c>
    </row>
    <row r="549" spans="1:11" x14ac:dyDescent="0.2">
      <c r="A549" s="4" t="s">
        <v>632</v>
      </c>
      <c r="B549" s="4" t="s">
        <v>631</v>
      </c>
      <c r="C549" s="4" t="s">
        <v>638</v>
      </c>
      <c r="D549" s="2">
        <v>45066.156365740739</v>
      </c>
      <c r="E549" s="4" t="s">
        <v>20</v>
      </c>
      <c r="I549" s="4" t="s">
        <v>557</v>
      </c>
      <c r="J549" s="4">
        <v>0</v>
      </c>
      <c r="K549" s="4" t="s">
        <v>7</v>
      </c>
    </row>
    <row r="550" spans="1:11" x14ac:dyDescent="0.2">
      <c r="A550" s="4" t="s">
        <v>632</v>
      </c>
      <c r="B550" s="4" t="s">
        <v>631</v>
      </c>
      <c r="C550" s="4" t="s">
        <v>638</v>
      </c>
      <c r="D550" s="2">
        <v>45066.156365740739</v>
      </c>
      <c r="E550" s="4" t="s">
        <v>20</v>
      </c>
      <c r="I550" s="4" t="s">
        <v>605</v>
      </c>
      <c r="J550" s="4">
        <v>1997.8500000000001</v>
      </c>
      <c r="K550" s="4" t="s">
        <v>599</v>
      </c>
    </row>
    <row r="551" spans="1:11" x14ac:dyDescent="0.2">
      <c r="A551" s="4" t="s">
        <v>632</v>
      </c>
      <c r="B551" s="4" t="s">
        <v>631</v>
      </c>
      <c r="C551" s="4" t="s">
        <v>638</v>
      </c>
      <c r="D551" s="2">
        <v>45066.156724537039</v>
      </c>
      <c r="E551" s="4" t="s">
        <v>20</v>
      </c>
      <c r="I551" s="4" t="s">
        <v>557</v>
      </c>
      <c r="J551" s="4">
        <v>0</v>
      </c>
      <c r="K551" s="4" t="s">
        <v>7</v>
      </c>
    </row>
    <row r="552" spans="1:11" x14ac:dyDescent="0.2">
      <c r="A552" s="4" t="s">
        <v>632</v>
      </c>
      <c r="B552" s="4" t="s">
        <v>631</v>
      </c>
      <c r="C552" s="4" t="s">
        <v>638</v>
      </c>
      <c r="D552" s="2">
        <v>45066.156724537039</v>
      </c>
      <c r="E552" s="4" t="s">
        <v>20</v>
      </c>
      <c r="I552" s="4" t="s">
        <v>568</v>
      </c>
      <c r="J552" s="4">
        <v>58.030799999999999</v>
      </c>
      <c r="K552" s="4" t="s">
        <v>569</v>
      </c>
    </row>
    <row r="553" spans="1:11" x14ac:dyDescent="0.2">
      <c r="A553" s="4" t="s">
        <v>632</v>
      </c>
      <c r="B553" s="4" t="s">
        <v>631</v>
      </c>
      <c r="C553" s="4" t="s">
        <v>638</v>
      </c>
      <c r="D553" s="2">
        <v>45066.156724537039</v>
      </c>
      <c r="E553" s="4" t="s">
        <v>20</v>
      </c>
      <c r="I553" s="4" t="s">
        <v>563</v>
      </c>
      <c r="J553" s="4">
        <v>1.5833333334600002E-2</v>
      </c>
      <c r="K553" s="4" t="s">
        <v>564</v>
      </c>
    </row>
    <row r="554" spans="1:11" x14ac:dyDescent="0.2">
      <c r="A554" s="4" t="s">
        <v>632</v>
      </c>
      <c r="B554" s="4" t="s">
        <v>631</v>
      </c>
      <c r="C554" s="4" t="s">
        <v>638</v>
      </c>
      <c r="D554" s="2">
        <v>45066.156724537039</v>
      </c>
      <c r="E554" s="4" t="s">
        <v>20</v>
      </c>
      <c r="I554" s="4" t="s">
        <v>605</v>
      </c>
      <c r="J554" s="4">
        <v>1997.8500000000001</v>
      </c>
      <c r="K554" s="4" t="s">
        <v>599</v>
      </c>
    </row>
    <row r="555" spans="1:11" x14ac:dyDescent="0.2">
      <c r="A555" s="4" t="s">
        <v>632</v>
      </c>
      <c r="B555" s="4" t="s">
        <v>631</v>
      </c>
      <c r="C555" s="4" t="s">
        <v>638</v>
      </c>
      <c r="D555" s="2">
        <v>45066.156736111108</v>
      </c>
      <c r="E555" s="4" t="s">
        <v>20</v>
      </c>
      <c r="I555" s="4" t="s">
        <v>568</v>
      </c>
      <c r="J555" s="4">
        <v>54.1098</v>
      </c>
      <c r="K555" s="4" t="s">
        <v>569</v>
      </c>
    </row>
    <row r="556" spans="1:11" x14ac:dyDescent="0.2">
      <c r="A556" s="4" t="s">
        <v>632</v>
      </c>
      <c r="B556" s="4" t="s">
        <v>631</v>
      </c>
      <c r="C556" s="4" t="s">
        <v>638</v>
      </c>
      <c r="D556" s="2">
        <v>45066.156736111108</v>
      </c>
      <c r="E556" s="4" t="s">
        <v>19</v>
      </c>
      <c r="F556" s="4" t="s">
        <v>649</v>
      </c>
      <c r="G556" s="4">
        <v>-39.400329999999997</v>
      </c>
      <c r="H556" s="4">
        <v>33.73592</v>
      </c>
    </row>
    <row r="557" spans="1:11" x14ac:dyDescent="0.2">
      <c r="A557" s="4" t="s">
        <v>632</v>
      </c>
      <c r="B557" s="4" t="s">
        <v>631</v>
      </c>
      <c r="C557" s="4" t="s">
        <v>638</v>
      </c>
      <c r="D557" s="2">
        <v>45066.156759259262</v>
      </c>
      <c r="E557" s="4" t="s">
        <v>20</v>
      </c>
      <c r="I557" s="4" t="s">
        <v>568</v>
      </c>
      <c r="J557" s="4">
        <v>54.1098</v>
      </c>
      <c r="K557" s="4" t="s">
        <v>569</v>
      </c>
    </row>
    <row r="558" spans="1:11" x14ac:dyDescent="0.2">
      <c r="A558" s="4" t="s">
        <v>632</v>
      </c>
      <c r="B558" s="4" t="s">
        <v>631</v>
      </c>
      <c r="C558" s="4" t="s">
        <v>638</v>
      </c>
      <c r="D558" s="2">
        <v>45066.156770833331</v>
      </c>
      <c r="E558" s="4" t="s">
        <v>20</v>
      </c>
      <c r="I558" s="4" t="s">
        <v>563</v>
      </c>
      <c r="J558" s="4">
        <v>1.6944444445800001E-2</v>
      </c>
      <c r="K558" s="4" t="s">
        <v>564</v>
      </c>
    </row>
    <row r="559" spans="1:11" x14ac:dyDescent="0.2">
      <c r="A559" s="4" t="s">
        <v>632</v>
      </c>
      <c r="B559" s="4" t="s">
        <v>631</v>
      </c>
      <c r="C559" s="4" t="s">
        <v>638</v>
      </c>
      <c r="D559" s="2">
        <v>45066.156828703701</v>
      </c>
      <c r="E559" s="4" t="s">
        <v>20</v>
      </c>
      <c r="I559" s="4" t="s">
        <v>572</v>
      </c>
      <c r="J559" s="4">
        <v>81</v>
      </c>
      <c r="K559" s="4" t="s">
        <v>567</v>
      </c>
    </row>
    <row r="560" spans="1:11" x14ac:dyDescent="0.2">
      <c r="A560" s="4" t="s">
        <v>632</v>
      </c>
      <c r="B560" s="4" t="s">
        <v>631</v>
      </c>
      <c r="C560" s="4" t="s">
        <v>638</v>
      </c>
      <c r="D560" s="2">
        <v>45066.156840277778</v>
      </c>
      <c r="E560" s="4" t="s">
        <v>541</v>
      </c>
    </row>
    <row r="561" spans="1:11" x14ac:dyDescent="0.2">
      <c r="A561" s="4" t="s">
        <v>632</v>
      </c>
      <c r="B561" s="4" t="s">
        <v>631</v>
      </c>
      <c r="C561" s="4" t="s">
        <v>638</v>
      </c>
      <c r="D561" s="2">
        <v>45066.156886574077</v>
      </c>
      <c r="E561" s="4" t="s">
        <v>541</v>
      </c>
    </row>
    <row r="562" spans="1:11" x14ac:dyDescent="0.2">
      <c r="A562" s="4" t="s">
        <v>632</v>
      </c>
      <c r="B562" s="4" t="s">
        <v>631</v>
      </c>
      <c r="C562" s="4" t="s">
        <v>638</v>
      </c>
      <c r="D562" s="2">
        <v>45066.156886574077</v>
      </c>
      <c r="E562" s="4" t="s">
        <v>541</v>
      </c>
    </row>
    <row r="563" spans="1:11" x14ac:dyDescent="0.2">
      <c r="A563" s="4" t="s">
        <v>632</v>
      </c>
      <c r="B563" s="4" t="s">
        <v>631</v>
      </c>
      <c r="C563" s="4" t="s">
        <v>638</v>
      </c>
      <c r="D563" s="2">
        <v>45066.156886574077</v>
      </c>
      <c r="E563" s="4" t="s">
        <v>541</v>
      </c>
    </row>
    <row r="564" spans="1:11" x14ac:dyDescent="0.2">
      <c r="A564" s="4" t="s">
        <v>632</v>
      </c>
      <c r="B564" s="4" t="s">
        <v>631</v>
      </c>
      <c r="C564" s="4" t="s">
        <v>638</v>
      </c>
      <c r="D564" s="2">
        <v>45066.157048611109</v>
      </c>
      <c r="E564" s="4" t="s">
        <v>20</v>
      </c>
      <c r="I564" s="4" t="s">
        <v>568</v>
      </c>
      <c r="J564" s="4">
        <v>54.1098</v>
      </c>
      <c r="K564" s="4" t="s">
        <v>569</v>
      </c>
    </row>
    <row r="565" spans="1:11" x14ac:dyDescent="0.2">
      <c r="A565" s="4" t="s">
        <v>632</v>
      </c>
      <c r="B565" s="4" t="s">
        <v>631</v>
      </c>
      <c r="C565" s="4" t="s">
        <v>638</v>
      </c>
      <c r="D565" s="2">
        <v>45066.157048611109</v>
      </c>
      <c r="E565" s="4" t="s">
        <v>20</v>
      </c>
      <c r="I565" s="4" t="s">
        <v>566</v>
      </c>
      <c r="J565" s="4">
        <v>26</v>
      </c>
      <c r="K565" s="4" t="s">
        <v>567</v>
      </c>
    </row>
    <row r="566" spans="1:11" x14ac:dyDescent="0.2">
      <c r="A566" s="4" t="s">
        <v>632</v>
      </c>
      <c r="B566" s="4" t="s">
        <v>631</v>
      </c>
      <c r="C566" s="4" t="s">
        <v>638</v>
      </c>
      <c r="D566" s="2">
        <v>45066.157048611109</v>
      </c>
      <c r="E566" s="4" t="s">
        <v>20</v>
      </c>
      <c r="I566" s="4" t="s">
        <v>559</v>
      </c>
      <c r="J566" s="4">
        <v>615.5</v>
      </c>
      <c r="K566" s="4" t="s">
        <v>560</v>
      </c>
    </row>
    <row r="567" spans="1:11" x14ac:dyDescent="0.2">
      <c r="A567" s="4" t="s">
        <v>632</v>
      </c>
      <c r="B567" s="4" t="s">
        <v>631</v>
      </c>
      <c r="C567" s="4" t="s">
        <v>638</v>
      </c>
      <c r="D567" s="2">
        <v>45066.157048611109</v>
      </c>
      <c r="E567" s="4" t="s">
        <v>19</v>
      </c>
      <c r="F567" s="4" t="s">
        <v>649</v>
      </c>
      <c r="G567" s="4">
        <v>-39.400329999999997</v>
      </c>
      <c r="H567" s="4">
        <v>33.73592</v>
      </c>
    </row>
    <row r="568" spans="1:11" x14ac:dyDescent="0.2">
      <c r="A568" s="4" t="s">
        <v>632</v>
      </c>
      <c r="B568" s="4" t="s">
        <v>631</v>
      </c>
      <c r="C568" s="4" t="s">
        <v>638</v>
      </c>
      <c r="D568" s="2">
        <v>45066.157048611109</v>
      </c>
      <c r="E568" s="4" t="s">
        <v>541</v>
      </c>
    </row>
    <row r="569" spans="1:11" x14ac:dyDescent="0.2">
      <c r="A569" s="4" t="s">
        <v>632</v>
      </c>
      <c r="B569" s="4" t="s">
        <v>631</v>
      </c>
      <c r="C569" s="4" t="s">
        <v>638</v>
      </c>
      <c r="D569" s="2">
        <v>45066.157048611109</v>
      </c>
      <c r="E569" s="4" t="s">
        <v>541</v>
      </c>
    </row>
    <row r="570" spans="1:11" x14ac:dyDescent="0.2">
      <c r="A570" s="4" t="s">
        <v>632</v>
      </c>
      <c r="B570" s="4" t="s">
        <v>631</v>
      </c>
      <c r="C570" s="4" t="s">
        <v>638</v>
      </c>
      <c r="D570" s="2">
        <v>45066.157048611109</v>
      </c>
      <c r="E570" s="4" t="s">
        <v>20</v>
      </c>
      <c r="I570" s="4" t="s">
        <v>608</v>
      </c>
      <c r="J570" s="4">
        <v>1</v>
      </c>
      <c r="K570" s="4" t="s">
        <v>545</v>
      </c>
    </row>
    <row r="571" spans="1:11" x14ac:dyDescent="0.2">
      <c r="A571" s="4" t="s">
        <v>632</v>
      </c>
      <c r="B571" s="4" t="s">
        <v>631</v>
      </c>
      <c r="C571" s="4" t="s">
        <v>638</v>
      </c>
      <c r="D571" s="2">
        <v>45066.157048611109</v>
      </c>
      <c r="E571" s="4" t="s">
        <v>20</v>
      </c>
      <c r="I571" s="4" t="s">
        <v>563</v>
      </c>
      <c r="J571" s="4">
        <v>2.3611111113000002E-2</v>
      </c>
      <c r="K571" s="4" t="s">
        <v>564</v>
      </c>
    </row>
    <row r="572" spans="1:11" x14ac:dyDescent="0.2">
      <c r="A572" s="4" t="s">
        <v>632</v>
      </c>
      <c r="B572" s="4" t="s">
        <v>631</v>
      </c>
      <c r="C572" s="4" t="s">
        <v>638</v>
      </c>
      <c r="D572" s="2">
        <v>45066.157060185185</v>
      </c>
      <c r="E572" s="4" t="s">
        <v>20</v>
      </c>
      <c r="I572" s="4" t="s">
        <v>568</v>
      </c>
      <c r="J572" s="4">
        <v>50.5809</v>
      </c>
      <c r="K572" s="4" t="s">
        <v>569</v>
      </c>
    </row>
    <row r="573" spans="1:11" x14ac:dyDescent="0.2">
      <c r="A573" s="4" t="s">
        <v>632</v>
      </c>
      <c r="B573" s="4" t="s">
        <v>631</v>
      </c>
      <c r="C573" s="4" t="s">
        <v>638</v>
      </c>
      <c r="D573" s="2">
        <v>45066.157060185185</v>
      </c>
      <c r="E573" s="4" t="s">
        <v>20</v>
      </c>
      <c r="I573" s="4" t="s">
        <v>557</v>
      </c>
      <c r="J573" s="4">
        <v>2</v>
      </c>
      <c r="K573" s="4" t="s">
        <v>7</v>
      </c>
    </row>
    <row r="574" spans="1:11" x14ac:dyDescent="0.2">
      <c r="A574" s="4" t="s">
        <v>632</v>
      </c>
      <c r="B574" s="4" t="s">
        <v>631</v>
      </c>
      <c r="C574" s="4" t="s">
        <v>638</v>
      </c>
      <c r="D574" s="2">
        <v>45066.157060185185</v>
      </c>
      <c r="E574" s="4" t="s">
        <v>20</v>
      </c>
      <c r="I574" s="4" t="s">
        <v>597</v>
      </c>
      <c r="J574" s="4">
        <v>8.0555555562E-3</v>
      </c>
      <c r="K574" s="4" t="s">
        <v>564</v>
      </c>
    </row>
    <row r="575" spans="1:11" x14ac:dyDescent="0.2">
      <c r="A575" s="4" t="s">
        <v>632</v>
      </c>
      <c r="B575" s="4" t="s">
        <v>631</v>
      </c>
      <c r="C575" s="4" t="s">
        <v>638</v>
      </c>
      <c r="D575" s="2">
        <v>45066.157060185185</v>
      </c>
      <c r="E575" s="4" t="s">
        <v>20</v>
      </c>
      <c r="I575" s="4" t="s">
        <v>598</v>
      </c>
      <c r="J575" s="4">
        <v>5.0000000000000001E-3</v>
      </c>
      <c r="K575" s="4" t="s">
        <v>599</v>
      </c>
    </row>
    <row r="576" spans="1:11" x14ac:dyDescent="0.2">
      <c r="A576" s="4" t="s">
        <v>632</v>
      </c>
      <c r="B576" s="4" t="s">
        <v>631</v>
      </c>
      <c r="C576" s="4" t="s">
        <v>638</v>
      </c>
      <c r="D576" s="2">
        <v>45066.157060185185</v>
      </c>
      <c r="E576" s="4" t="s">
        <v>20</v>
      </c>
      <c r="I576" s="4" t="s">
        <v>557</v>
      </c>
      <c r="J576" s="4">
        <v>3</v>
      </c>
      <c r="K576" s="4" t="s">
        <v>7</v>
      </c>
    </row>
    <row r="577" spans="1:11" x14ac:dyDescent="0.2">
      <c r="A577" s="4" t="s">
        <v>632</v>
      </c>
      <c r="B577" s="4" t="s">
        <v>631</v>
      </c>
      <c r="C577" s="4" t="s">
        <v>638</v>
      </c>
      <c r="D577" s="2">
        <v>45066.157060185185</v>
      </c>
      <c r="E577" s="4" t="s">
        <v>20</v>
      </c>
      <c r="I577" s="4" t="s">
        <v>605</v>
      </c>
      <c r="J577" s="4">
        <v>1997.8600000000001</v>
      </c>
      <c r="K577" s="4" t="s">
        <v>599</v>
      </c>
    </row>
    <row r="578" spans="1:11" x14ac:dyDescent="0.2">
      <c r="A578" s="4" t="s">
        <v>632</v>
      </c>
      <c r="B578" s="4" t="s">
        <v>631</v>
      </c>
      <c r="C578" s="4" t="s">
        <v>638</v>
      </c>
      <c r="D578" s="2">
        <v>45066.157071759262</v>
      </c>
      <c r="E578" s="4" t="s">
        <v>19</v>
      </c>
      <c r="F578" s="4" t="s">
        <v>649</v>
      </c>
      <c r="G578" s="4">
        <v>-39.400329999999997</v>
      </c>
      <c r="H578" s="4">
        <v>33.73592</v>
      </c>
    </row>
    <row r="579" spans="1:11" x14ac:dyDescent="0.2">
      <c r="A579" s="4" t="s">
        <v>632</v>
      </c>
      <c r="B579" s="4" t="s">
        <v>631</v>
      </c>
      <c r="C579" s="4" t="s">
        <v>638</v>
      </c>
      <c r="D579" s="2">
        <v>45066.157083333332</v>
      </c>
      <c r="E579" s="4" t="s">
        <v>20</v>
      </c>
      <c r="I579" s="4" t="s">
        <v>605</v>
      </c>
      <c r="J579" s="4">
        <v>1997.8600000000001</v>
      </c>
      <c r="K579" s="4" t="s">
        <v>599</v>
      </c>
    </row>
    <row r="580" spans="1:11" x14ac:dyDescent="0.2">
      <c r="A580" s="4" t="s">
        <v>632</v>
      </c>
      <c r="B580" s="4" t="s">
        <v>631</v>
      </c>
      <c r="C580" s="4" t="s">
        <v>638</v>
      </c>
      <c r="D580" s="2">
        <v>45066.157083333332</v>
      </c>
      <c r="E580" s="4" t="s">
        <v>20</v>
      </c>
      <c r="I580" s="4" t="s">
        <v>557</v>
      </c>
      <c r="J580" s="4">
        <v>12</v>
      </c>
      <c r="K580" s="4" t="s">
        <v>7</v>
      </c>
    </row>
    <row r="581" spans="1:11" x14ac:dyDescent="0.2">
      <c r="A581" s="4" t="s">
        <v>632</v>
      </c>
      <c r="B581" s="4" t="s">
        <v>631</v>
      </c>
      <c r="C581" s="4" t="s">
        <v>638</v>
      </c>
      <c r="D581" s="2">
        <v>45066.157083333332</v>
      </c>
      <c r="E581" s="4" t="s">
        <v>20</v>
      </c>
      <c r="I581" s="4" t="s">
        <v>559</v>
      </c>
      <c r="J581" s="4">
        <v>1690.75</v>
      </c>
      <c r="K581" s="4" t="s">
        <v>560</v>
      </c>
    </row>
    <row r="582" spans="1:11" x14ac:dyDescent="0.2">
      <c r="A582" s="4" t="s">
        <v>632</v>
      </c>
      <c r="B582" s="4" t="s">
        <v>631</v>
      </c>
      <c r="C582" s="4" t="s">
        <v>638</v>
      </c>
      <c r="D582" s="2">
        <v>45066.157175925924</v>
      </c>
      <c r="E582" s="4" t="s">
        <v>20</v>
      </c>
      <c r="I582" s="4" t="s">
        <v>559</v>
      </c>
      <c r="J582" s="4">
        <v>2014.25</v>
      </c>
      <c r="K582" s="4" t="s">
        <v>560</v>
      </c>
    </row>
    <row r="583" spans="1:11" x14ac:dyDescent="0.2">
      <c r="A583" s="4" t="s">
        <v>632</v>
      </c>
      <c r="B583" s="4" t="s">
        <v>631</v>
      </c>
      <c r="C583" s="4" t="s">
        <v>638</v>
      </c>
      <c r="D583" s="2">
        <v>45066.157187500001</v>
      </c>
      <c r="E583" s="4" t="s">
        <v>20</v>
      </c>
      <c r="I583" s="4" t="s">
        <v>608</v>
      </c>
      <c r="J583" s="4">
        <v>1</v>
      </c>
      <c r="K583" s="4" t="s">
        <v>545</v>
      </c>
    </row>
    <row r="584" spans="1:11" x14ac:dyDescent="0.2">
      <c r="A584" s="4" t="s">
        <v>632</v>
      </c>
      <c r="B584" s="4" t="s">
        <v>631</v>
      </c>
      <c r="C584" s="4" t="s">
        <v>638</v>
      </c>
      <c r="D584" s="2">
        <v>45066.157187500001</v>
      </c>
      <c r="E584" s="4" t="s">
        <v>541</v>
      </c>
    </row>
    <row r="585" spans="1:11" x14ac:dyDescent="0.2">
      <c r="A585" s="4" t="s">
        <v>632</v>
      </c>
      <c r="B585" s="4" t="s">
        <v>631</v>
      </c>
      <c r="C585" s="4" t="s">
        <v>638</v>
      </c>
      <c r="D585" s="2">
        <v>45066.157187500001</v>
      </c>
      <c r="E585" s="4" t="s">
        <v>541</v>
      </c>
    </row>
    <row r="586" spans="1:11" x14ac:dyDescent="0.2">
      <c r="A586" s="4" t="s">
        <v>632</v>
      </c>
      <c r="B586" s="4" t="s">
        <v>631</v>
      </c>
      <c r="C586" s="4" t="s">
        <v>638</v>
      </c>
      <c r="D586" s="2">
        <v>45066.157187500001</v>
      </c>
      <c r="E586" s="4" t="s">
        <v>541</v>
      </c>
    </row>
    <row r="587" spans="1:11" x14ac:dyDescent="0.2">
      <c r="A587" s="4" t="s">
        <v>632</v>
      </c>
      <c r="B587" s="4" t="s">
        <v>631</v>
      </c>
      <c r="C587" s="4" t="s">
        <v>638</v>
      </c>
      <c r="D587" s="2">
        <v>45066.157187500001</v>
      </c>
      <c r="E587" s="4" t="s">
        <v>19</v>
      </c>
      <c r="F587" s="4" t="s">
        <v>649</v>
      </c>
      <c r="G587" s="4">
        <v>-39.399740000000001</v>
      </c>
      <c r="H587" s="4">
        <v>33.736330000000002</v>
      </c>
    </row>
    <row r="588" spans="1:11" x14ac:dyDescent="0.2">
      <c r="A588" s="4" t="s">
        <v>632</v>
      </c>
      <c r="B588" s="4" t="s">
        <v>631</v>
      </c>
      <c r="C588" s="4" t="s">
        <v>638</v>
      </c>
      <c r="D588" s="2">
        <v>45066.157222222224</v>
      </c>
      <c r="E588" s="4" t="s">
        <v>20</v>
      </c>
      <c r="I588" s="4" t="s">
        <v>557</v>
      </c>
      <c r="J588" s="4">
        <v>57</v>
      </c>
      <c r="K588" s="4" t="s">
        <v>7</v>
      </c>
    </row>
    <row r="589" spans="1:11" x14ac:dyDescent="0.2">
      <c r="A589" s="4" t="s">
        <v>632</v>
      </c>
      <c r="B589" s="4" t="s">
        <v>631</v>
      </c>
      <c r="C589" s="4" t="s">
        <v>638</v>
      </c>
      <c r="D589" s="2">
        <v>45066.157233796293</v>
      </c>
      <c r="E589" s="4" t="s">
        <v>541</v>
      </c>
    </row>
    <row r="590" spans="1:11" x14ac:dyDescent="0.2">
      <c r="A590" s="4" t="s">
        <v>632</v>
      </c>
      <c r="B590" s="4" t="s">
        <v>631</v>
      </c>
      <c r="C590" s="4" t="s">
        <v>638</v>
      </c>
      <c r="D590" s="2">
        <v>45066.157233796293</v>
      </c>
      <c r="E590" s="4" t="s">
        <v>541</v>
      </c>
    </row>
    <row r="591" spans="1:11" x14ac:dyDescent="0.2">
      <c r="A591" s="4" t="s">
        <v>632</v>
      </c>
      <c r="B591" s="4" t="s">
        <v>631</v>
      </c>
      <c r="C591" s="4" t="s">
        <v>638</v>
      </c>
      <c r="D591" s="2">
        <v>45066.157233796293</v>
      </c>
      <c r="E591" s="4" t="s">
        <v>541</v>
      </c>
    </row>
    <row r="592" spans="1:11" x14ac:dyDescent="0.2">
      <c r="A592" s="4" t="s">
        <v>632</v>
      </c>
      <c r="B592" s="4" t="s">
        <v>631</v>
      </c>
      <c r="C592" s="4" t="s">
        <v>638</v>
      </c>
      <c r="D592" s="2">
        <v>45066.15724537037</v>
      </c>
      <c r="E592" s="4" t="s">
        <v>19</v>
      </c>
      <c r="F592" s="4" t="s">
        <v>648</v>
      </c>
      <c r="G592" s="4">
        <v>-39.3992</v>
      </c>
      <c r="H592" s="4">
        <v>33.73695</v>
      </c>
    </row>
    <row r="593" spans="1:11" x14ac:dyDescent="0.2">
      <c r="A593" s="4" t="s">
        <v>632</v>
      </c>
      <c r="B593" s="4" t="s">
        <v>631</v>
      </c>
      <c r="C593" s="4" t="s">
        <v>638</v>
      </c>
      <c r="D593" s="2">
        <v>45066.157175925924</v>
      </c>
      <c r="E593" s="4" t="s">
        <v>20</v>
      </c>
      <c r="I593" s="4" t="s">
        <v>559</v>
      </c>
      <c r="J593" s="4">
        <v>1187.25</v>
      </c>
      <c r="K593" s="4" t="s">
        <v>560</v>
      </c>
    </row>
    <row r="594" spans="1:11" x14ac:dyDescent="0.2">
      <c r="A594" s="4" t="s">
        <v>632</v>
      </c>
      <c r="B594" s="4" t="s">
        <v>631</v>
      </c>
      <c r="C594" s="4" t="s">
        <v>638</v>
      </c>
      <c r="D594" s="2">
        <v>45066.15730324074</v>
      </c>
      <c r="E594" s="4" t="s">
        <v>541</v>
      </c>
    </row>
    <row r="595" spans="1:11" x14ac:dyDescent="0.2">
      <c r="A595" s="4" t="s">
        <v>632</v>
      </c>
      <c r="B595" s="4" t="s">
        <v>631</v>
      </c>
      <c r="C595" s="4" t="s">
        <v>638</v>
      </c>
      <c r="D595" s="2">
        <v>45066.157314814816</v>
      </c>
      <c r="E595" s="4" t="s">
        <v>20</v>
      </c>
      <c r="I595" s="4" t="s">
        <v>604</v>
      </c>
      <c r="J595" s="4">
        <v>3</v>
      </c>
      <c r="K595" s="4" t="s">
        <v>549</v>
      </c>
    </row>
    <row r="596" spans="1:11" x14ac:dyDescent="0.2">
      <c r="A596" s="4" t="s">
        <v>632</v>
      </c>
      <c r="B596" s="4" t="s">
        <v>631</v>
      </c>
      <c r="C596" s="4" t="s">
        <v>638</v>
      </c>
      <c r="D596" s="2">
        <v>45066.157314814816</v>
      </c>
      <c r="E596" s="4" t="s">
        <v>20</v>
      </c>
      <c r="I596" s="4" t="s">
        <v>561</v>
      </c>
      <c r="J596" s="4">
        <v>3</v>
      </c>
      <c r="K596" s="4" t="s">
        <v>549</v>
      </c>
    </row>
    <row r="597" spans="1:11" x14ac:dyDescent="0.2">
      <c r="A597" s="4" t="s">
        <v>632</v>
      </c>
      <c r="B597" s="4" t="s">
        <v>631</v>
      </c>
      <c r="C597" s="4" t="s">
        <v>638</v>
      </c>
      <c r="D597" s="2">
        <v>45066.157349537039</v>
      </c>
      <c r="E597" s="4" t="s">
        <v>19</v>
      </c>
      <c r="F597" s="4" t="s">
        <v>648</v>
      </c>
      <c r="G597" s="4">
        <v>-39.398130000000002</v>
      </c>
      <c r="H597" s="4">
        <v>33.737940000000002</v>
      </c>
    </row>
    <row r="598" spans="1:11" x14ac:dyDescent="0.2">
      <c r="A598" s="4" t="s">
        <v>632</v>
      </c>
      <c r="B598" s="4" t="s">
        <v>631</v>
      </c>
      <c r="C598" s="4" t="s">
        <v>638</v>
      </c>
      <c r="D598" s="2">
        <v>45066.157349537039</v>
      </c>
      <c r="E598" s="4" t="s">
        <v>20</v>
      </c>
      <c r="I598" s="4" t="s">
        <v>608</v>
      </c>
      <c r="J598" s="4">
        <v>1</v>
      </c>
      <c r="K598" s="4" t="s">
        <v>545</v>
      </c>
    </row>
    <row r="599" spans="1:11" x14ac:dyDescent="0.2">
      <c r="A599" s="4" t="s">
        <v>632</v>
      </c>
      <c r="B599" s="4" t="s">
        <v>631</v>
      </c>
      <c r="C599" s="4" t="s">
        <v>638</v>
      </c>
      <c r="D599" s="2">
        <v>45066.157349537039</v>
      </c>
      <c r="E599" s="4" t="s">
        <v>541</v>
      </c>
    </row>
    <row r="600" spans="1:11" x14ac:dyDescent="0.2">
      <c r="A600" s="4" t="s">
        <v>632</v>
      </c>
      <c r="B600" s="4" t="s">
        <v>631</v>
      </c>
      <c r="C600" s="4" t="s">
        <v>638</v>
      </c>
      <c r="D600" s="2">
        <v>45066.157349537039</v>
      </c>
      <c r="E600" s="4" t="s">
        <v>541</v>
      </c>
    </row>
    <row r="601" spans="1:11" x14ac:dyDescent="0.2">
      <c r="A601" s="4" t="s">
        <v>632</v>
      </c>
      <c r="B601" s="4" t="s">
        <v>631</v>
      </c>
      <c r="C601" s="4" t="s">
        <v>638</v>
      </c>
      <c r="D601" s="2">
        <v>45066.157372685186</v>
      </c>
      <c r="E601" s="4" t="s">
        <v>20</v>
      </c>
      <c r="I601" s="4" t="s">
        <v>557</v>
      </c>
      <c r="J601" s="4">
        <v>51</v>
      </c>
      <c r="K601" s="4" t="s">
        <v>7</v>
      </c>
    </row>
    <row r="602" spans="1:11" x14ac:dyDescent="0.2">
      <c r="A602" s="4" t="s">
        <v>632</v>
      </c>
      <c r="B602" s="4" t="s">
        <v>631</v>
      </c>
      <c r="C602" s="4" t="s">
        <v>638</v>
      </c>
      <c r="D602" s="2">
        <v>45066.157418981478</v>
      </c>
      <c r="E602" s="4" t="s">
        <v>19</v>
      </c>
      <c r="F602" s="4" t="s">
        <v>648</v>
      </c>
      <c r="G602" s="4">
        <v>-39.39743</v>
      </c>
      <c r="H602" s="4">
        <v>33.73856</v>
      </c>
    </row>
    <row r="603" spans="1:11" x14ac:dyDescent="0.2">
      <c r="A603" s="4" t="s">
        <v>632</v>
      </c>
      <c r="B603" s="4" t="s">
        <v>631</v>
      </c>
      <c r="C603" s="4" t="s">
        <v>638</v>
      </c>
      <c r="D603" s="2">
        <v>45066.157418981478</v>
      </c>
      <c r="E603" s="4" t="s">
        <v>20</v>
      </c>
      <c r="I603" s="4" t="s">
        <v>557</v>
      </c>
      <c r="J603" s="4">
        <v>54</v>
      </c>
      <c r="K603" s="4" t="s">
        <v>7</v>
      </c>
    </row>
    <row r="604" spans="1:11" x14ac:dyDescent="0.2">
      <c r="A604" s="4" t="s">
        <v>632</v>
      </c>
      <c r="B604" s="4" t="s">
        <v>631</v>
      </c>
      <c r="C604" s="4" t="s">
        <v>638</v>
      </c>
      <c r="D604" s="2">
        <v>45066.157511574071</v>
      </c>
      <c r="E604" s="4" t="s">
        <v>20</v>
      </c>
      <c r="I604" s="4" t="s">
        <v>566</v>
      </c>
      <c r="J604" s="4">
        <v>24</v>
      </c>
      <c r="K604" s="4" t="s">
        <v>567</v>
      </c>
    </row>
    <row r="605" spans="1:11" x14ac:dyDescent="0.2">
      <c r="A605" s="4" t="s">
        <v>632</v>
      </c>
      <c r="B605" s="4" t="s">
        <v>631</v>
      </c>
      <c r="C605" s="4" t="s">
        <v>638</v>
      </c>
      <c r="D605" s="2">
        <v>45066.157534722224</v>
      </c>
      <c r="E605" s="4" t="s">
        <v>541</v>
      </c>
    </row>
    <row r="606" spans="1:11" x14ac:dyDescent="0.2">
      <c r="A606" s="4" t="s">
        <v>632</v>
      </c>
      <c r="B606" s="4" t="s">
        <v>631</v>
      </c>
      <c r="C606" s="4" t="s">
        <v>638</v>
      </c>
      <c r="D606" s="2">
        <v>45066.157581018517</v>
      </c>
      <c r="E606" s="4" t="s">
        <v>19</v>
      </c>
      <c r="F606" s="4" t="s">
        <v>648</v>
      </c>
      <c r="G606" s="4">
        <v>-39.395389999999999</v>
      </c>
      <c r="H606" s="4">
        <v>33.740450000000003</v>
      </c>
    </row>
    <row r="607" spans="1:11" x14ac:dyDescent="0.2">
      <c r="A607" s="4" t="s">
        <v>632</v>
      </c>
      <c r="B607" s="4" t="s">
        <v>631</v>
      </c>
      <c r="C607" s="4" t="s">
        <v>638</v>
      </c>
      <c r="D607" s="2">
        <v>45066.157581018517</v>
      </c>
      <c r="E607" s="4" t="s">
        <v>541</v>
      </c>
    </row>
    <row r="608" spans="1:11" x14ac:dyDescent="0.2">
      <c r="A608" s="4" t="s">
        <v>632</v>
      </c>
      <c r="B608" s="4" t="s">
        <v>631</v>
      </c>
      <c r="C608" s="4" t="s">
        <v>638</v>
      </c>
      <c r="D608" s="2">
        <v>45066.157581018517</v>
      </c>
      <c r="E608" s="4" t="s">
        <v>541</v>
      </c>
    </row>
    <row r="609" spans="1:11" x14ac:dyDescent="0.2">
      <c r="A609" s="4" t="s">
        <v>632</v>
      </c>
      <c r="B609" s="4" t="s">
        <v>631</v>
      </c>
      <c r="C609" s="4" t="s">
        <v>638</v>
      </c>
      <c r="D609" s="2">
        <v>45066.157581018517</v>
      </c>
      <c r="E609" s="4" t="s">
        <v>541</v>
      </c>
    </row>
    <row r="610" spans="1:11" x14ac:dyDescent="0.2">
      <c r="A610" s="4" t="s">
        <v>632</v>
      </c>
      <c r="B610" s="4" t="s">
        <v>631</v>
      </c>
      <c r="C610" s="4" t="s">
        <v>638</v>
      </c>
      <c r="D610" s="2">
        <v>45066.157592592594</v>
      </c>
      <c r="E610" s="4" t="s">
        <v>20</v>
      </c>
      <c r="I610" s="4" t="s">
        <v>608</v>
      </c>
      <c r="J610" s="4">
        <v>1</v>
      </c>
      <c r="K610" s="4" t="s">
        <v>545</v>
      </c>
    </row>
    <row r="611" spans="1:11" x14ac:dyDescent="0.2">
      <c r="A611" s="4" t="s">
        <v>632</v>
      </c>
      <c r="B611" s="4" t="s">
        <v>631</v>
      </c>
      <c r="C611" s="4" t="s">
        <v>638</v>
      </c>
      <c r="D611" s="2">
        <v>45066.157592592594</v>
      </c>
      <c r="E611" s="4" t="s">
        <v>541</v>
      </c>
    </row>
    <row r="612" spans="1:11" x14ac:dyDescent="0.2">
      <c r="A612" s="4" t="s">
        <v>632</v>
      </c>
      <c r="B612" s="4" t="s">
        <v>631</v>
      </c>
      <c r="C612" s="4" t="s">
        <v>638</v>
      </c>
      <c r="D612" s="2">
        <v>45066.157592592594</v>
      </c>
      <c r="E612" s="4" t="s">
        <v>541</v>
      </c>
    </row>
    <row r="613" spans="1:11" x14ac:dyDescent="0.2">
      <c r="A613" s="4" t="s">
        <v>632</v>
      </c>
      <c r="B613" s="4" t="s">
        <v>631</v>
      </c>
      <c r="C613" s="4" t="s">
        <v>638</v>
      </c>
      <c r="D613" s="2">
        <v>45066.157604166663</v>
      </c>
      <c r="E613" s="4" t="s">
        <v>20</v>
      </c>
      <c r="I613" s="4" t="s">
        <v>555</v>
      </c>
      <c r="J613" s="4">
        <v>82836</v>
      </c>
      <c r="K613" s="4" t="s">
        <v>549</v>
      </c>
    </row>
    <row r="614" spans="1:11" x14ac:dyDescent="0.2">
      <c r="A614" s="4" t="s">
        <v>632</v>
      </c>
      <c r="B614" s="4" t="s">
        <v>631</v>
      </c>
      <c r="C614" s="4" t="s">
        <v>638</v>
      </c>
      <c r="D614" s="2">
        <v>45066.157604166663</v>
      </c>
      <c r="E614" s="4" t="s">
        <v>20</v>
      </c>
      <c r="I614" s="4" t="s">
        <v>556</v>
      </c>
      <c r="J614" s="4">
        <v>82836</v>
      </c>
      <c r="K614" s="4" t="s">
        <v>549</v>
      </c>
    </row>
    <row r="615" spans="1:11" x14ac:dyDescent="0.2">
      <c r="A615" s="4" t="s">
        <v>632</v>
      </c>
      <c r="B615" s="4" t="s">
        <v>631</v>
      </c>
      <c r="C615" s="4" t="s">
        <v>638</v>
      </c>
      <c r="D615" s="2">
        <v>45066.157627314817</v>
      </c>
      <c r="E615" s="4" t="s">
        <v>20</v>
      </c>
      <c r="I615" s="4" t="s">
        <v>559</v>
      </c>
      <c r="J615" s="4">
        <v>1977.5</v>
      </c>
      <c r="K615" s="4" t="s">
        <v>560</v>
      </c>
    </row>
    <row r="616" spans="1:11" x14ac:dyDescent="0.2">
      <c r="A616" s="4" t="s">
        <v>632</v>
      </c>
      <c r="B616" s="4" t="s">
        <v>631</v>
      </c>
      <c r="C616" s="4" t="s">
        <v>638</v>
      </c>
      <c r="D616" s="2">
        <v>45066.157627314817</v>
      </c>
      <c r="E616" s="4" t="s">
        <v>20</v>
      </c>
      <c r="I616" s="4" t="s">
        <v>557</v>
      </c>
      <c r="J616" s="4">
        <v>93</v>
      </c>
      <c r="K616" s="4" t="s">
        <v>7</v>
      </c>
    </row>
    <row r="617" spans="1:11" x14ac:dyDescent="0.2">
      <c r="A617" s="4" t="s">
        <v>632</v>
      </c>
      <c r="B617" s="4" t="s">
        <v>631</v>
      </c>
      <c r="C617" s="4" t="s">
        <v>638</v>
      </c>
      <c r="D617" s="2">
        <v>45066.15766203704</v>
      </c>
      <c r="E617" s="4" t="s">
        <v>19</v>
      </c>
      <c r="F617" s="4" t="s">
        <v>648</v>
      </c>
      <c r="G617" s="4">
        <v>-39.393999999999998</v>
      </c>
      <c r="H617" s="4">
        <v>33.741630000000001</v>
      </c>
    </row>
    <row r="618" spans="1:11" x14ac:dyDescent="0.2">
      <c r="A618" s="4" t="s">
        <v>632</v>
      </c>
      <c r="B618" s="4" t="s">
        <v>631</v>
      </c>
      <c r="C618" s="4" t="s">
        <v>638</v>
      </c>
      <c r="D618" s="2">
        <v>45066.157708333332</v>
      </c>
      <c r="E618" s="4" t="s">
        <v>20</v>
      </c>
      <c r="I618" s="4" t="s">
        <v>557</v>
      </c>
      <c r="J618" s="4">
        <v>88</v>
      </c>
      <c r="K618" s="4" t="s">
        <v>7</v>
      </c>
    </row>
    <row r="619" spans="1:11" x14ac:dyDescent="0.2">
      <c r="A619" s="4" t="s">
        <v>632</v>
      </c>
      <c r="B619" s="4" t="s">
        <v>631</v>
      </c>
      <c r="C619" s="4" t="s">
        <v>638</v>
      </c>
      <c r="D619" s="2">
        <v>45066.157719907409</v>
      </c>
      <c r="E619" s="4" t="s">
        <v>19</v>
      </c>
      <c r="F619" s="4" t="s">
        <v>648</v>
      </c>
      <c r="G619" s="4">
        <v>-39.392769999999999</v>
      </c>
      <c r="H619" s="4">
        <v>33.742269999999998</v>
      </c>
    </row>
  </sheetData>
  <autoFilter ref="A10:K10" xr:uid="{00000000-0001-0000-0000-000000000000}"/>
  <pageMargins left="0.75" right="0.75" top="1" bottom="1" header="0.51180555555555496" footer="0.51180555555555496"/>
  <pageSetup firstPageNumber="0" fitToHeight="10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23"/>
  <sheetViews>
    <sheetView showGridLines="0" zoomScaleNormal="100" workbookViewId="0">
      <pane ySplit="12" topLeftCell="A13" activePane="bottomLeft" state="frozen"/>
      <selection pane="bottomLeft"/>
    </sheetView>
  </sheetViews>
  <sheetFormatPr defaultColWidth="9.140625" defaultRowHeight="16.5" x14ac:dyDescent="0.3"/>
  <cols>
    <col min="1" max="3" width="25.5703125" style="5" customWidth="1"/>
    <col min="4" max="5" width="25.7109375" style="6" customWidth="1"/>
    <col min="6" max="6" width="25.7109375" style="63" hidden="1" customWidth="1"/>
    <col min="7" max="16" width="8.5703125" style="6" hidden="1" customWidth="1"/>
    <col min="17" max="17" width="8.5703125" style="6" customWidth="1"/>
    <col min="18" max="18" width="8.5703125" style="6" hidden="1" customWidth="1"/>
    <col min="19" max="19" width="18" style="7" customWidth="1"/>
    <col min="20" max="20" width="15.85546875" style="7" customWidth="1"/>
    <col min="21" max="22" width="15.85546875" style="7" hidden="1" customWidth="1"/>
    <col min="23" max="23" width="43.140625" style="5" customWidth="1"/>
    <col min="24" max="24" width="19.140625" style="5" customWidth="1"/>
    <col min="1019" max="1020" width="11.5703125" customWidth="1"/>
  </cols>
  <sheetData>
    <row r="1" spans="1:24" s="48" customFormat="1" ht="25.5" customHeight="1" x14ac:dyDescent="0.45">
      <c r="A1" s="44" t="s">
        <v>633</v>
      </c>
      <c r="B1" s="45"/>
      <c r="C1" s="46"/>
      <c r="D1" s="46"/>
      <c r="E1" s="46"/>
      <c r="F1" s="61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>
        <f>Data!B2</f>
        <v>45443.578743275466</v>
      </c>
      <c r="T1" s="47"/>
      <c r="U1" s="47"/>
      <c r="V1" s="47"/>
      <c r="W1" s="45"/>
      <c r="X1" s="45"/>
    </row>
    <row r="2" spans="1:24" ht="25.5" customHeight="1" x14ac:dyDescent="0.5">
      <c r="A2" s="8" t="str">
        <f>Data!B1</f>
        <v>abc_company</v>
      </c>
      <c r="D2" s="5"/>
      <c r="E2" s="5"/>
      <c r="F2" s="6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T2" s="9"/>
      <c r="U2" s="9"/>
      <c r="V2" s="9"/>
    </row>
    <row r="3" spans="1:24" ht="17.45" customHeight="1" x14ac:dyDescent="0.3">
      <c r="B3" s="10"/>
      <c r="C3" s="6"/>
    </row>
    <row r="4" spans="1:24" ht="17.45" customHeight="1" x14ac:dyDescent="0.3">
      <c r="A4" s="69" t="s">
        <v>23</v>
      </c>
      <c r="B4" s="69"/>
      <c r="C4" s="12"/>
      <c r="D4" s="12"/>
      <c r="E4" s="12"/>
      <c r="F4" s="64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W4" s="12"/>
    </row>
    <row r="5" spans="1:24" ht="17.45" customHeight="1" x14ac:dyDescent="0.3">
      <c r="A5" s="13" t="s">
        <v>617</v>
      </c>
      <c r="B5" s="14">
        <f>Data!B3</f>
        <v>45442.854166666664</v>
      </c>
      <c r="C5" s="12"/>
      <c r="D5" s="12"/>
      <c r="E5" s="12"/>
      <c r="F5" s="64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W5" s="12"/>
    </row>
    <row r="6" spans="1:24" ht="17.45" customHeight="1" x14ac:dyDescent="0.3">
      <c r="A6" s="13" t="s">
        <v>618</v>
      </c>
      <c r="B6" s="14">
        <f>Data!B4</f>
        <v>45442.895833333336</v>
      </c>
      <c r="C6" s="12"/>
      <c r="D6" s="12"/>
      <c r="E6" s="12"/>
      <c r="F6" s="64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W6" s="12"/>
    </row>
    <row r="7" spans="1:24" ht="17.45" customHeight="1" x14ac:dyDescent="0.3">
      <c r="A7" s="13" t="s">
        <v>619</v>
      </c>
      <c r="B7" s="15">
        <f>B6-B5</f>
        <v>4.1666666671517305E-2</v>
      </c>
      <c r="C7" s="12"/>
      <c r="D7" s="12"/>
      <c r="E7" s="12"/>
      <c r="F7" s="64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W7" s="12"/>
    </row>
    <row r="8" spans="1:24" ht="17.45" customHeight="1" x14ac:dyDescent="0.3">
      <c r="A8" s="16"/>
      <c r="B8" s="12"/>
      <c r="C8" s="12"/>
      <c r="D8" s="12"/>
      <c r="E8" s="12"/>
      <c r="F8" s="64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W8" s="12"/>
    </row>
    <row r="9" spans="1:24" ht="17.45" customHeight="1" x14ac:dyDescent="0.3">
      <c r="A9" s="11" t="s">
        <v>620</v>
      </c>
      <c r="B9" s="14" t="str">
        <f>Data!B5</f>
        <v>America/New_York</v>
      </c>
      <c r="C9" s="17"/>
      <c r="D9" s="17"/>
      <c r="E9" s="17"/>
      <c r="F9" s="65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W9" s="12"/>
    </row>
    <row r="10" spans="1:24" ht="17.45" customHeight="1" x14ac:dyDescent="0.3">
      <c r="A10" s="11" t="s">
        <v>621</v>
      </c>
      <c r="B10" s="14" t="str">
        <f>Data!B6</f>
        <v>km/h</v>
      </c>
      <c r="C10" s="18"/>
      <c r="D10" s="18"/>
      <c r="E10" s="18"/>
      <c r="F10" s="6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W10" s="12"/>
    </row>
    <row r="11" spans="1:24" ht="17.45" customHeight="1" x14ac:dyDescent="0.3">
      <c r="C11" s="6"/>
      <c r="G11" s="6" t="s">
        <v>665</v>
      </c>
      <c r="H11" s="6" t="s">
        <v>666</v>
      </c>
    </row>
    <row r="12" spans="1:24" s="48" customFormat="1" ht="17.45" customHeight="1" x14ac:dyDescent="0.3">
      <c r="A12" s="49" t="s">
        <v>622</v>
      </c>
      <c r="B12" s="49" t="s">
        <v>623</v>
      </c>
      <c r="C12" s="49" t="s">
        <v>639</v>
      </c>
      <c r="D12" s="50" t="s">
        <v>636</v>
      </c>
      <c r="E12" s="59" t="s">
        <v>642</v>
      </c>
      <c r="F12" s="67" t="s">
        <v>667</v>
      </c>
      <c r="G12" s="50" t="s">
        <v>644</v>
      </c>
      <c r="H12" s="50" t="s">
        <v>652</v>
      </c>
      <c r="I12" s="50" t="s">
        <v>653</v>
      </c>
      <c r="J12" s="50" t="s">
        <v>654</v>
      </c>
      <c r="K12" s="50" t="s">
        <v>655</v>
      </c>
      <c r="L12" s="50" t="s">
        <v>660</v>
      </c>
      <c r="M12" s="50" t="s">
        <v>661</v>
      </c>
      <c r="N12" s="50" t="s">
        <v>662</v>
      </c>
      <c r="O12" s="50" t="s">
        <v>663</v>
      </c>
      <c r="P12" s="50" t="s">
        <v>664</v>
      </c>
      <c r="Q12" s="50" t="s">
        <v>645</v>
      </c>
      <c r="R12" s="50" t="s">
        <v>643</v>
      </c>
      <c r="S12" s="51" t="s">
        <v>634</v>
      </c>
      <c r="T12" s="51" t="s">
        <v>635</v>
      </c>
      <c r="U12" s="51" t="s">
        <v>178</v>
      </c>
      <c r="V12" s="51" t="s">
        <v>189</v>
      </c>
      <c r="W12" s="49" t="s">
        <v>624</v>
      </c>
      <c r="X12" s="49" t="s">
        <v>625</v>
      </c>
    </row>
    <row r="13" spans="1:24" x14ac:dyDescent="0.3">
      <c r="A13" s="17" t="str">
        <f>Data!A11</f>
        <v>vehicle1</v>
      </c>
      <c r="B13" s="17" t="str">
        <f>Data!B11</f>
        <v>Vehicle, Gasoline or Petrol</v>
      </c>
      <c r="C13" s="17" t="str">
        <f>Data!C11</f>
        <v>1f2g3h4j5k6l</v>
      </c>
      <c r="D13" s="52">
        <f>Data!D11</f>
        <v>45066.152708333335</v>
      </c>
      <c r="E13" s="60" t="str">
        <f>IF(Data!E11="GpsRecord",Data!F11,"")</f>
        <v/>
      </c>
      <c r="F13" s="68" t="str">
        <f t="shared" ref="F13:F76" si="0">IF(E13&lt;&gt;"",E13, IF(F12&lt;&gt;$F$12, F12, ""))</f>
        <v/>
      </c>
      <c r="G13" t="b">
        <f>ISNUMBER(FIND($G$11,E13))</f>
        <v>0</v>
      </c>
      <c r="H13" t="b">
        <f>ISNUMBER(FIND($H$11,E13))</f>
        <v>0</v>
      </c>
      <c r="I13" t="b">
        <f>OR(G13,H13)</f>
        <v>0</v>
      </c>
      <c r="J13" t="str">
        <f>IFERROR(MID(E13,FIND(": ",E13)+2,255),E13)</f>
        <v/>
      </c>
      <c r="K13" t="str">
        <f t="shared" ref="K13" si="1">IFERROR(RIGHT(J13,LEN(J13)-FIND("@",SUBSTITUTE(J13,",","@",LEN(J13)-LEN(SUBSTITUTE(J13,",",""))),1)),J13)</f>
        <v/>
      </c>
      <c r="L13" t="str">
        <f t="shared" ref="L13" si="2">","&amp;K13</f>
        <v>,</v>
      </c>
      <c r="M13" t="str">
        <f>IF(I13,SUBSTITUTE(J13,L13,""),J13)</f>
        <v/>
      </c>
      <c r="N13" t="str">
        <f t="shared" ref="N13" si="3">IFERROR(RIGHT(M13,LEN(M13)-FIND("@",SUBSTITUTE(M13,",","@",LEN(M13)-LEN(SUBSTITUTE(M13,",",""))),1)),M13)</f>
        <v/>
      </c>
      <c r="O13" t="str">
        <f>IFERROR(RIGHT(N13,LEN(N13)-FIND("@",SUBSTITUTE(N13," ","@",LEN(N13)-LEN(SUBSTITUTE(N13," ",""))),1)),N13)</f>
        <v/>
      </c>
      <c r="P13" t="str">
        <f>SUBSTITUTE(N13,CONCATENATE(" ",O13),"")</f>
        <v/>
      </c>
      <c r="Q13" t="str">
        <f>IF(G13, MID(P13,2,2),RIGHT(P13,2))</f>
        <v/>
      </c>
      <c r="R13" s="20" t="str">
        <f>IF(Q13&lt;&gt;"",Q13, IF(R12&lt;&gt;$R$12, R12, ""))</f>
        <v/>
      </c>
      <c r="S13" s="20" t="str">
        <f>IF(Data!E11="GpsRecord",Data!G11,"")</f>
        <v/>
      </c>
      <c r="T13" s="20" t="str">
        <f>IF(Data!E11="GpsRecord",Data!H11,"")</f>
        <v/>
      </c>
      <c r="U13" s="20" t="str">
        <f>IF(S13&lt;&gt;"", S13, IF(U12&lt;&gt;$U$12, U12, ""))</f>
        <v/>
      </c>
      <c r="V13" s="20" t="str">
        <f>IF(T13&lt;&gt;"", T13, IF(V12&lt;&gt;$V$12, V12, ""))</f>
        <v/>
      </c>
      <c r="W13" s="19">
        <f>Data!I11</f>
        <v>0</v>
      </c>
      <c r="X13" s="17" t="str">
        <f>CONCATENATE(Data!J11, " ", Data!K11)</f>
        <v xml:space="preserve"> </v>
      </c>
    </row>
    <row r="14" spans="1:24" x14ac:dyDescent="0.3">
      <c r="A14" s="17" t="str">
        <f>Data!A12</f>
        <v>vehicle1</v>
      </c>
      <c r="B14" s="17" t="str">
        <f>Data!B12</f>
        <v>Vehicle, Gasoline or Petrol</v>
      </c>
      <c r="C14" s="17" t="str">
        <f>Data!C12</f>
        <v>1f2g3h4j5k6l</v>
      </c>
      <c r="D14" s="52">
        <f>Data!D12</f>
        <v>45066.132152777776</v>
      </c>
      <c r="E14" s="60" t="str">
        <f>IF(Data!E12="GpsRecord",Data!F12,"")</f>
        <v/>
      </c>
      <c r="F14" s="68" t="str">
        <f t="shared" si="0"/>
        <v/>
      </c>
      <c r="G14" t="b">
        <f t="shared" ref="G14:G77" si="4">ISNUMBER(FIND($G$11,E14))</f>
        <v>0</v>
      </c>
      <c r="H14" t="b">
        <f t="shared" ref="H14:H77" si="5">ISNUMBER(FIND($H$11,E14))</f>
        <v>0</v>
      </c>
      <c r="I14" t="b">
        <f t="shared" ref="I14:I77" si="6">OR(G14,H14)</f>
        <v>0</v>
      </c>
      <c r="J14" t="str">
        <f t="shared" ref="J14:J77" si="7">IFERROR(MID(E14,FIND(": ",E14)+2,255),E14)</f>
        <v/>
      </c>
      <c r="K14" t="str">
        <f t="shared" ref="K14:K77" si="8">IFERROR(RIGHT(J14,LEN(J14)-FIND("@",SUBSTITUTE(J14,",","@",LEN(J14)-LEN(SUBSTITUTE(J14,",",""))),1)),J14)</f>
        <v/>
      </c>
      <c r="L14" t="str">
        <f t="shared" ref="L14:L77" si="9">","&amp;K14</f>
        <v>,</v>
      </c>
      <c r="M14" t="str">
        <f t="shared" ref="M14:M77" si="10">IF(I14,SUBSTITUTE(J14,L14,""),J14)</f>
        <v/>
      </c>
      <c r="N14" t="str">
        <f t="shared" ref="N14:N77" si="11">IFERROR(RIGHT(M14,LEN(M14)-FIND("@",SUBSTITUTE(M14,",","@",LEN(M14)-LEN(SUBSTITUTE(M14,",",""))),1)),M14)</f>
        <v/>
      </c>
      <c r="O14" t="str">
        <f t="shared" ref="O14:O77" si="12">IFERROR(RIGHT(N14,LEN(N14)-FIND("@",SUBSTITUTE(N14," ","@",LEN(N14)-LEN(SUBSTITUTE(N14," ",""))),1)),N14)</f>
        <v/>
      </c>
      <c r="P14" t="str">
        <f t="shared" ref="P14:P77" si="13">SUBSTITUTE(N14,CONCATENATE(" ",O14),"")</f>
        <v/>
      </c>
      <c r="Q14" t="str">
        <f t="shared" ref="Q14:Q77" si="14">IF(G14, MID(P14,2,2),RIGHT(P14,2))</f>
        <v/>
      </c>
      <c r="R14" s="20" t="str">
        <f t="shared" ref="R14:R77" si="15">IF(Q14&lt;&gt;"",Q14, IF(R13&lt;&gt;$R$12, R13, ""))</f>
        <v/>
      </c>
      <c r="S14" s="20" t="str">
        <f>IF(Data!E12="GpsRecord",Data!G12,"")</f>
        <v/>
      </c>
      <c r="T14" s="20" t="str">
        <f>IF(Data!E12="GpsRecord",Data!H12,"")</f>
        <v/>
      </c>
      <c r="U14" s="20" t="str">
        <f t="shared" ref="U14:U77" si="16">IF(S14&lt;&gt;"", S14, IF(U13&lt;&gt;$U$12, U13, ""))</f>
        <v/>
      </c>
      <c r="V14" s="20" t="str">
        <f t="shared" ref="V14:V77" si="17">IF(T14&lt;&gt;"", T14, IF(V13&lt;&gt;$V$12, V13, ""))</f>
        <v/>
      </c>
      <c r="W14" s="19" t="str">
        <f>Data!I12</f>
        <v>Cranking voltage</v>
      </c>
      <c r="X14" s="17" t="str">
        <f>CONCATENATE(Data!J12, " ", Data!K12)</f>
        <v>12.39364 V</v>
      </c>
    </row>
    <row r="15" spans="1:24" x14ac:dyDescent="0.3">
      <c r="A15" s="17" t="str">
        <f>Data!A13</f>
        <v>vehicle1</v>
      </c>
      <c r="B15" s="17" t="str">
        <f>Data!B13</f>
        <v>Vehicle, Gasoline or Petrol</v>
      </c>
      <c r="C15" s="17" t="str">
        <f>Data!C13</f>
        <v>1f2g3h4j5k6l</v>
      </c>
      <c r="D15" s="52">
        <f>Data!D13</f>
        <v>45066.132187499999</v>
      </c>
      <c r="E15" s="60" t="str">
        <f>IF(Data!E13="GpsRecord",Data!F13,"")</f>
        <v/>
      </c>
      <c r="F15" s="68" t="str">
        <f t="shared" si="0"/>
        <v/>
      </c>
      <c r="G15" t="b">
        <f t="shared" si="4"/>
        <v>0</v>
      </c>
      <c r="H15" t="b">
        <f t="shared" si="5"/>
        <v>0</v>
      </c>
      <c r="I15" t="b">
        <f t="shared" si="6"/>
        <v>0</v>
      </c>
      <c r="J15" t="str">
        <f t="shared" si="7"/>
        <v/>
      </c>
      <c r="K15" t="str">
        <f t="shared" si="8"/>
        <v/>
      </c>
      <c r="L15" t="str">
        <f t="shared" si="9"/>
        <v>,</v>
      </c>
      <c r="M15" t="str">
        <f t="shared" si="10"/>
        <v/>
      </c>
      <c r="N15" t="str">
        <f t="shared" si="11"/>
        <v/>
      </c>
      <c r="O15" t="str">
        <f t="shared" si="12"/>
        <v/>
      </c>
      <c r="P15" t="str">
        <f t="shared" si="13"/>
        <v/>
      </c>
      <c r="Q15" t="str">
        <f t="shared" si="14"/>
        <v/>
      </c>
      <c r="R15" s="20" t="str">
        <f t="shared" si="15"/>
        <v/>
      </c>
      <c r="S15" s="20" t="str">
        <f>IF(Data!E13="GpsRecord",Data!G13,"")</f>
        <v/>
      </c>
      <c r="T15" s="20" t="str">
        <f>IF(Data!E13="GpsRecord",Data!H13,"")</f>
        <v/>
      </c>
      <c r="U15" s="20" t="str">
        <f t="shared" si="16"/>
        <v/>
      </c>
      <c r="V15" s="20" t="str">
        <f t="shared" si="17"/>
        <v/>
      </c>
      <c r="W15" s="19" t="str">
        <f>Data!I13</f>
        <v>Cranking voltage</v>
      </c>
      <c r="X15" s="17" t="str">
        <f>CONCATENATE(Data!J13, " ", Data!K13)</f>
        <v>12.21474 V</v>
      </c>
    </row>
    <row r="16" spans="1:24" x14ac:dyDescent="0.3">
      <c r="A16" s="17" t="str">
        <f>Data!A14</f>
        <v>vehicle1</v>
      </c>
      <c r="B16" s="17" t="str">
        <f>Data!B14</f>
        <v>Vehicle, Gasoline or Petrol</v>
      </c>
      <c r="C16" s="17" t="str">
        <f>Data!C14</f>
        <v>1f2g3h4j5k6l</v>
      </c>
      <c r="D16" s="52">
        <f>Data!D14</f>
        <v>45066.132187499999</v>
      </c>
      <c r="E16" s="60" t="str">
        <f>IF(Data!E14="GpsRecord",Data!F14,"")</f>
        <v/>
      </c>
      <c r="F16" s="68" t="str">
        <f t="shared" si="0"/>
        <v/>
      </c>
      <c r="G16" t="b">
        <f t="shared" si="4"/>
        <v>0</v>
      </c>
      <c r="H16" t="b">
        <f t="shared" si="5"/>
        <v>0</v>
      </c>
      <c r="I16" t="b">
        <f t="shared" si="6"/>
        <v>0</v>
      </c>
      <c r="J16" t="str">
        <f t="shared" si="7"/>
        <v/>
      </c>
      <c r="K16" t="str">
        <f t="shared" si="8"/>
        <v/>
      </c>
      <c r="L16" t="str">
        <f t="shared" si="9"/>
        <v>,</v>
      </c>
      <c r="M16" t="str">
        <f t="shared" si="10"/>
        <v/>
      </c>
      <c r="N16" t="str">
        <f t="shared" si="11"/>
        <v/>
      </c>
      <c r="O16" t="str">
        <f t="shared" si="12"/>
        <v/>
      </c>
      <c r="P16" t="str">
        <f t="shared" si="13"/>
        <v/>
      </c>
      <c r="Q16" t="str">
        <f t="shared" si="14"/>
        <v/>
      </c>
      <c r="R16" s="20" t="str">
        <f t="shared" si="15"/>
        <v/>
      </c>
      <c r="S16" s="20" t="str">
        <f>IF(Data!E14="GpsRecord",Data!G14,"")</f>
        <v/>
      </c>
      <c r="T16" s="20" t="str">
        <f>IF(Data!E14="GpsRecord",Data!H14,"")</f>
        <v/>
      </c>
      <c r="U16" s="20" t="str">
        <f t="shared" si="16"/>
        <v/>
      </c>
      <c r="V16" s="20" t="str">
        <f t="shared" si="17"/>
        <v/>
      </c>
      <c r="W16" s="19" t="str">
        <f>Data!I14</f>
        <v>Cranking voltage</v>
      </c>
      <c r="X16" s="17" t="str">
        <f>CONCATENATE(Data!J14, " ", Data!K14)</f>
        <v>12.03584 V</v>
      </c>
    </row>
    <row r="17" spans="1:24" x14ac:dyDescent="0.3">
      <c r="A17" s="17" t="str">
        <f>Data!A15</f>
        <v>vehicle1</v>
      </c>
      <c r="B17" s="17" t="str">
        <f>Data!B15</f>
        <v>Vehicle, Gasoline or Petrol</v>
      </c>
      <c r="C17" s="17" t="str">
        <f>Data!C15</f>
        <v>1f2g3h4j5k6l</v>
      </c>
      <c r="D17" s="52">
        <f>Data!D15</f>
        <v>45066.132187499999</v>
      </c>
      <c r="E17" s="60" t="str">
        <f>IF(Data!E15="GpsRecord",Data!F15,"")</f>
        <v/>
      </c>
      <c r="F17" s="68" t="str">
        <f t="shared" si="0"/>
        <v/>
      </c>
      <c r="G17" t="b">
        <f t="shared" si="4"/>
        <v>0</v>
      </c>
      <c r="H17" t="b">
        <f t="shared" si="5"/>
        <v>0</v>
      </c>
      <c r="I17" t="b">
        <f t="shared" si="6"/>
        <v>0</v>
      </c>
      <c r="J17" t="str">
        <f t="shared" si="7"/>
        <v/>
      </c>
      <c r="K17" t="str">
        <f t="shared" si="8"/>
        <v/>
      </c>
      <c r="L17" t="str">
        <f t="shared" si="9"/>
        <v>,</v>
      </c>
      <c r="M17" t="str">
        <f t="shared" si="10"/>
        <v/>
      </c>
      <c r="N17" t="str">
        <f t="shared" si="11"/>
        <v/>
      </c>
      <c r="O17" t="str">
        <f t="shared" si="12"/>
        <v/>
      </c>
      <c r="P17" t="str">
        <f t="shared" si="13"/>
        <v/>
      </c>
      <c r="Q17" t="str">
        <f t="shared" si="14"/>
        <v/>
      </c>
      <c r="R17" s="20" t="str">
        <f t="shared" si="15"/>
        <v/>
      </c>
      <c r="S17" s="20" t="str">
        <f>IF(Data!E15="GpsRecord",Data!G15,"")</f>
        <v/>
      </c>
      <c r="T17" s="20" t="str">
        <f>IF(Data!E15="GpsRecord",Data!H15,"")</f>
        <v/>
      </c>
      <c r="U17" s="20" t="str">
        <f t="shared" si="16"/>
        <v/>
      </c>
      <c r="V17" s="20" t="str">
        <f t="shared" si="17"/>
        <v/>
      </c>
      <c r="W17" s="19" t="str">
        <f>Data!I15</f>
        <v>Cranking voltage</v>
      </c>
      <c r="X17" s="17" t="str">
        <f>CONCATENATE(Data!J15, " ", Data!K15)</f>
        <v>8.77986 V</v>
      </c>
    </row>
    <row r="18" spans="1:24" x14ac:dyDescent="0.3">
      <c r="A18" s="17" t="str">
        <f>Data!A16</f>
        <v>vehicle1</v>
      </c>
      <c r="B18" s="17" t="str">
        <f>Data!B16</f>
        <v>Vehicle, Gasoline or Petrol</v>
      </c>
      <c r="C18" s="17" t="str">
        <f>Data!C16</f>
        <v>1f2g3h4j5k6l</v>
      </c>
      <c r="D18" s="52">
        <f>Data!D16</f>
        <v>45066.132187499999</v>
      </c>
      <c r="E18" s="60" t="str">
        <f>IF(Data!E16="GpsRecord",Data!F16,"")</f>
        <v/>
      </c>
      <c r="F18" s="68" t="str">
        <f t="shared" si="0"/>
        <v/>
      </c>
      <c r="G18" t="b">
        <f t="shared" si="4"/>
        <v>0</v>
      </c>
      <c r="H18" t="b">
        <f t="shared" si="5"/>
        <v>0</v>
      </c>
      <c r="I18" t="b">
        <f t="shared" si="6"/>
        <v>0</v>
      </c>
      <c r="J18" t="str">
        <f t="shared" si="7"/>
        <v/>
      </c>
      <c r="K18" t="str">
        <f t="shared" si="8"/>
        <v/>
      </c>
      <c r="L18" t="str">
        <f t="shared" si="9"/>
        <v>,</v>
      </c>
      <c r="M18" t="str">
        <f t="shared" si="10"/>
        <v/>
      </c>
      <c r="N18" t="str">
        <f t="shared" si="11"/>
        <v/>
      </c>
      <c r="O18" t="str">
        <f t="shared" si="12"/>
        <v/>
      </c>
      <c r="P18" t="str">
        <f t="shared" si="13"/>
        <v/>
      </c>
      <c r="Q18" t="str">
        <f t="shared" si="14"/>
        <v/>
      </c>
      <c r="R18" s="20" t="str">
        <f t="shared" si="15"/>
        <v/>
      </c>
      <c r="S18" s="20" t="str">
        <f>IF(Data!E16="GpsRecord",Data!G16,"")</f>
        <v/>
      </c>
      <c r="T18" s="20" t="str">
        <f>IF(Data!E16="GpsRecord",Data!H16,"")</f>
        <v/>
      </c>
      <c r="U18" s="20" t="str">
        <f t="shared" si="16"/>
        <v/>
      </c>
      <c r="V18" s="20" t="str">
        <f t="shared" si="17"/>
        <v/>
      </c>
      <c r="W18" s="19">
        <f>Data!I16</f>
        <v>0</v>
      </c>
      <c r="X18" s="17" t="str">
        <f>CONCATENATE(Data!J16, " ", Data!K16)</f>
        <v xml:space="preserve"> </v>
      </c>
    </row>
    <row r="19" spans="1:24" x14ac:dyDescent="0.3">
      <c r="A19" s="17" t="str">
        <f>Data!A17</f>
        <v>vehicle1</v>
      </c>
      <c r="B19" s="17" t="str">
        <f>Data!B17</f>
        <v>Vehicle, Gasoline or Petrol</v>
      </c>
      <c r="C19" s="17" t="str">
        <f>Data!C17</f>
        <v>1f2g3h4j5k6l</v>
      </c>
      <c r="D19" s="52">
        <f>Data!D17</f>
        <v>45066.132187499999</v>
      </c>
      <c r="E19" s="60" t="str">
        <f>IF(Data!E17="GpsRecord",Data!F17,"")</f>
        <v/>
      </c>
      <c r="F19" s="68" t="str">
        <f t="shared" si="0"/>
        <v/>
      </c>
      <c r="G19" t="b">
        <f t="shared" si="4"/>
        <v>0</v>
      </c>
      <c r="H19" t="b">
        <f t="shared" si="5"/>
        <v>0</v>
      </c>
      <c r="I19" t="b">
        <f t="shared" si="6"/>
        <v>0</v>
      </c>
      <c r="J19" t="str">
        <f t="shared" si="7"/>
        <v/>
      </c>
      <c r="K19" t="str">
        <f t="shared" si="8"/>
        <v/>
      </c>
      <c r="L19" t="str">
        <f t="shared" si="9"/>
        <v>,</v>
      </c>
      <c r="M19" t="str">
        <f t="shared" si="10"/>
        <v/>
      </c>
      <c r="N19" t="str">
        <f t="shared" si="11"/>
        <v/>
      </c>
      <c r="O19" t="str">
        <f t="shared" si="12"/>
        <v/>
      </c>
      <c r="P19" t="str">
        <f t="shared" si="13"/>
        <v/>
      </c>
      <c r="Q19" t="str">
        <f t="shared" si="14"/>
        <v/>
      </c>
      <c r="R19" s="20" t="str">
        <f t="shared" si="15"/>
        <v/>
      </c>
      <c r="S19" s="20" t="str">
        <f>IF(Data!E17="GpsRecord",Data!G17,"")</f>
        <v/>
      </c>
      <c r="T19" s="20" t="str">
        <f>IF(Data!E17="GpsRecord",Data!H17,"")</f>
        <v/>
      </c>
      <c r="U19" s="20" t="str">
        <f t="shared" si="16"/>
        <v/>
      </c>
      <c r="V19" s="20" t="str">
        <f t="shared" si="17"/>
        <v/>
      </c>
      <c r="W19" s="19" t="str">
        <f>Data!I17</f>
        <v>Cranking voltage</v>
      </c>
      <c r="X19" s="17" t="str">
        <f>CONCATENATE(Data!J17, " ", Data!K17)</f>
        <v>9.88904 V</v>
      </c>
    </row>
    <row r="20" spans="1:24" x14ac:dyDescent="0.3">
      <c r="A20" s="17" t="str">
        <f>Data!A18</f>
        <v>vehicle1</v>
      </c>
      <c r="B20" s="17" t="str">
        <f>Data!B18</f>
        <v>Vehicle, Gasoline or Petrol</v>
      </c>
      <c r="C20" s="17" t="str">
        <f>Data!C18</f>
        <v>1f2g3h4j5k6l</v>
      </c>
      <c r="D20" s="52">
        <f>Data!D18</f>
        <v>45066.132187499999</v>
      </c>
      <c r="E20" s="60" t="str">
        <f>IF(Data!E18="GpsRecord",Data!F18,"")</f>
        <v/>
      </c>
      <c r="F20" s="68" t="str">
        <f t="shared" si="0"/>
        <v/>
      </c>
      <c r="G20" t="b">
        <f t="shared" si="4"/>
        <v>0</v>
      </c>
      <c r="H20" t="b">
        <f t="shared" si="5"/>
        <v>0</v>
      </c>
      <c r="I20" t="b">
        <f t="shared" si="6"/>
        <v>0</v>
      </c>
      <c r="J20" t="str">
        <f t="shared" si="7"/>
        <v/>
      </c>
      <c r="K20" t="str">
        <f t="shared" si="8"/>
        <v/>
      </c>
      <c r="L20" t="str">
        <f t="shared" si="9"/>
        <v>,</v>
      </c>
      <c r="M20" t="str">
        <f t="shared" si="10"/>
        <v/>
      </c>
      <c r="N20" t="str">
        <f t="shared" si="11"/>
        <v/>
      </c>
      <c r="O20" t="str">
        <f t="shared" si="12"/>
        <v/>
      </c>
      <c r="P20" t="str">
        <f t="shared" si="13"/>
        <v/>
      </c>
      <c r="Q20" t="str">
        <f t="shared" si="14"/>
        <v/>
      </c>
      <c r="R20" s="20" t="str">
        <f t="shared" si="15"/>
        <v/>
      </c>
      <c r="S20" s="20" t="str">
        <f>IF(Data!E18="GpsRecord",Data!G18,"")</f>
        <v/>
      </c>
      <c r="T20" s="20" t="str">
        <f>IF(Data!E18="GpsRecord",Data!H18,"")</f>
        <v/>
      </c>
      <c r="U20" s="20" t="str">
        <f t="shared" si="16"/>
        <v/>
      </c>
      <c r="V20" s="20" t="str">
        <f t="shared" si="17"/>
        <v/>
      </c>
      <c r="W20" s="19">
        <f>Data!I18</f>
        <v>0</v>
      </c>
      <c r="X20" s="17" t="str">
        <f>CONCATENATE(Data!J18, " ", Data!K18)</f>
        <v xml:space="preserve"> </v>
      </c>
    </row>
    <row r="21" spans="1:24" x14ac:dyDescent="0.3">
      <c r="A21" s="17" t="str">
        <f>Data!A19</f>
        <v>vehicle1</v>
      </c>
      <c r="B21" s="17" t="str">
        <f>Data!B19</f>
        <v>Vehicle, Gasoline or Petrol</v>
      </c>
      <c r="C21" s="17" t="str">
        <f>Data!C19</f>
        <v>1f2g3h4j5k6l</v>
      </c>
      <c r="D21" s="52">
        <f>Data!D19</f>
        <v>45066.132187499999</v>
      </c>
      <c r="E21" s="60" t="str">
        <f>IF(Data!E19="GpsRecord",Data!F19,"")</f>
        <v/>
      </c>
      <c r="F21" s="68" t="str">
        <f t="shared" si="0"/>
        <v/>
      </c>
      <c r="G21" t="b">
        <f t="shared" si="4"/>
        <v>0</v>
      </c>
      <c r="H21" t="b">
        <f t="shared" si="5"/>
        <v>0</v>
      </c>
      <c r="I21" t="b">
        <f t="shared" si="6"/>
        <v>0</v>
      </c>
      <c r="J21" t="str">
        <f t="shared" si="7"/>
        <v/>
      </c>
      <c r="K21" t="str">
        <f t="shared" si="8"/>
        <v/>
      </c>
      <c r="L21" t="str">
        <f t="shared" si="9"/>
        <v>,</v>
      </c>
      <c r="M21" t="str">
        <f t="shared" si="10"/>
        <v/>
      </c>
      <c r="N21" t="str">
        <f t="shared" si="11"/>
        <v/>
      </c>
      <c r="O21" t="str">
        <f t="shared" si="12"/>
        <v/>
      </c>
      <c r="P21" t="str">
        <f t="shared" si="13"/>
        <v/>
      </c>
      <c r="Q21" t="str">
        <f t="shared" si="14"/>
        <v/>
      </c>
      <c r="R21" s="20" t="str">
        <f t="shared" si="15"/>
        <v/>
      </c>
      <c r="S21" s="20" t="str">
        <f>IF(Data!E19="GpsRecord",Data!G19,"")</f>
        <v/>
      </c>
      <c r="T21" s="20" t="str">
        <f>IF(Data!E19="GpsRecord",Data!H19,"")</f>
        <v/>
      </c>
      <c r="U21" s="20" t="str">
        <f t="shared" si="16"/>
        <v/>
      </c>
      <c r="V21" s="20" t="str">
        <f t="shared" si="17"/>
        <v/>
      </c>
      <c r="W21" s="19">
        <f>Data!I19</f>
        <v>0</v>
      </c>
      <c r="X21" s="17" t="str">
        <f>CONCATENATE(Data!J19, " ", Data!K19)</f>
        <v xml:space="preserve"> </v>
      </c>
    </row>
    <row r="22" spans="1:24" x14ac:dyDescent="0.3">
      <c r="A22" s="17" t="str">
        <f>Data!A20</f>
        <v>vehicle1</v>
      </c>
      <c r="B22" s="17" t="str">
        <f>Data!B20</f>
        <v>Vehicle, Gasoline or Petrol</v>
      </c>
      <c r="C22" s="17" t="str">
        <f>Data!C20</f>
        <v>1f2g3h4j5k6l</v>
      </c>
      <c r="D22" s="52">
        <f>Data!D20</f>
        <v>45066.132187499999</v>
      </c>
      <c r="E22" s="60" t="str">
        <f>IF(Data!E20="GpsRecord",Data!F20,"")</f>
        <v/>
      </c>
      <c r="F22" s="68" t="str">
        <f t="shared" si="0"/>
        <v/>
      </c>
      <c r="G22" t="b">
        <f t="shared" si="4"/>
        <v>0</v>
      </c>
      <c r="H22" t="b">
        <f t="shared" si="5"/>
        <v>0</v>
      </c>
      <c r="I22" t="b">
        <f t="shared" si="6"/>
        <v>0</v>
      </c>
      <c r="J22" t="str">
        <f t="shared" si="7"/>
        <v/>
      </c>
      <c r="K22" t="str">
        <f t="shared" si="8"/>
        <v/>
      </c>
      <c r="L22" t="str">
        <f t="shared" si="9"/>
        <v>,</v>
      </c>
      <c r="M22" t="str">
        <f t="shared" si="10"/>
        <v/>
      </c>
      <c r="N22" t="str">
        <f t="shared" si="11"/>
        <v/>
      </c>
      <c r="O22" t="str">
        <f t="shared" si="12"/>
        <v/>
      </c>
      <c r="P22" t="str">
        <f t="shared" si="13"/>
        <v/>
      </c>
      <c r="Q22" t="str">
        <f t="shared" si="14"/>
        <v/>
      </c>
      <c r="R22" s="20" t="str">
        <f t="shared" si="15"/>
        <v/>
      </c>
      <c r="S22" s="20" t="str">
        <f>IF(Data!E20="GpsRecord",Data!G20,"")</f>
        <v/>
      </c>
      <c r="T22" s="20" t="str">
        <f>IF(Data!E20="GpsRecord",Data!H20,"")</f>
        <v/>
      </c>
      <c r="U22" s="20" t="str">
        <f t="shared" si="16"/>
        <v/>
      </c>
      <c r="V22" s="20" t="str">
        <f t="shared" si="17"/>
        <v/>
      </c>
      <c r="W22" s="19">
        <f>Data!I20</f>
        <v>0</v>
      </c>
      <c r="X22" s="17" t="str">
        <f>CONCATENATE(Data!J20, " ", Data!K20)</f>
        <v xml:space="preserve"> </v>
      </c>
    </row>
    <row r="23" spans="1:24" x14ac:dyDescent="0.3">
      <c r="A23" s="17" t="str">
        <f>Data!A21</f>
        <v>vehicle1</v>
      </c>
      <c r="B23" s="17" t="str">
        <f>Data!B21</f>
        <v>Vehicle, Gasoline or Petrol</v>
      </c>
      <c r="C23" s="17" t="str">
        <f>Data!C21</f>
        <v>1f2g3h4j5k6l</v>
      </c>
      <c r="D23" s="52">
        <f>Data!D21</f>
        <v>45066.132187499999</v>
      </c>
      <c r="E23" s="60" t="str">
        <f>IF(Data!E21="GpsRecord",Data!F21,"")</f>
        <v/>
      </c>
      <c r="F23" s="68" t="str">
        <f t="shared" si="0"/>
        <v/>
      </c>
      <c r="G23" t="b">
        <f t="shared" si="4"/>
        <v>0</v>
      </c>
      <c r="H23" t="b">
        <f t="shared" si="5"/>
        <v>0</v>
      </c>
      <c r="I23" t="b">
        <f t="shared" si="6"/>
        <v>0</v>
      </c>
      <c r="J23" t="str">
        <f t="shared" si="7"/>
        <v/>
      </c>
      <c r="K23" t="str">
        <f t="shared" si="8"/>
        <v/>
      </c>
      <c r="L23" t="str">
        <f t="shared" si="9"/>
        <v>,</v>
      </c>
      <c r="M23" t="str">
        <f t="shared" si="10"/>
        <v/>
      </c>
      <c r="N23" t="str">
        <f t="shared" si="11"/>
        <v/>
      </c>
      <c r="O23" t="str">
        <f t="shared" si="12"/>
        <v/>
      </c>
      <c r="P23" t="str">
        <f t="shared" si="13"/>
        <v/>
      </c>
      <c r="Q23" t="str">
        <f t="shared" si="14"/>
        <v/>
      </c>
      <c r="R23" s="20" t="str">
        <f t="shared" si="15"/>
        <v/>
      </c>
      <c r="S23" s="20" t="str">
        <f>IF(Data!E21="GpsRecord",Data!G21,"")</f>
        <v/>
      </c>
      <c r="T23" s="20" t="str">
        <f>IF(Data!E21="GpsRecord",Data!H21,"")</f>
        <v/>
      </c>
      <c r="U23" s="20" t="str">
        <f t="shared" si="16"/>
        <v/>
      </c>
      <c r="V23" s="20" t="str">
        <f t="shared" si="17"/>
        <v/>
      </c>
      <c r="W23" s="19">
        <f>Data!I21</f>
        <v>0</v>
      </c>
      <c r="X23" s="17" t="str">
        <f>CONCATENATE(Data!J21, " ", Data!K21)</f>
        <v xml:space="preserve"> </v>
      </c>
    </row>
    <row r="24" spans="1:24" x14ac:dyDescent="0.3">
      <c r="A24" s="17" t="str">
        <f>Data!A22</f>
        <v>vehicle1</v>
      </c>
      <c r="B24" s="17" t="str">
        <f>Data!B22</f>
        <v>Vehicle, Gasoline or Petrol</v>
      </c>
      <c r="C24" s="17" t="str">
        <f>Data!C22</f>
        <v>1f2g3h4j5k6l</v>
      </c>
      <c r="D24" s="52">
        <f>Data!D22</f>
        <v>45066.132187499999</v>
      </c>
      <c r="E24" s="60" t="str">
        <f>IF(Data!E22="GpsRecord",Data!F22,"")</f>
        <v/>
      </c>
      <c r="F24" s="68" t="str">
        <f t="shared" si="0"/>
        <v/>
      </c>
      <c r="G24" t="b">
        <f t="shared" si="4"/>
        <v>0</v>
      </c>
      <c r="H24" t="b">
        <f t="shared" si="5"/>
        <v>0</v>
      </c>
      <c r="I24" t="b">
        <f t="shared" si="6"/>
        <v>0</v>
      </c>
      <c r="J24" t="str">
        <f t="shared" si="7"/>
        <v/>
      </c>
      <c r="K24" t="str">
        <f t="shared" si="8"/>
        <v/>
      </c>
      <c r="L24" t="str">
        <f t="shared" si="9"/>
        <v>,</v>
      </c>
      <c r="M24" t="str">
        <f t="shared" si="10"/>
        <v/>
      </c>
      <c r="N24" t="str">
        <f t="shared" si="11"/>
        <v/>
      </c>
      <c r="O24" t="str">
        <f t="shared" si="12"/>
        <v/>
      </c>
      <c r="P24" t="str">
        <f t="shared" si="13"/>
        <v/>
      </c>
      <c r="Q24" t="str">
        <f t="shared" si="14"/>
        <v/>
      </c>
      <c r="R24" s="20" t="str">
        <f t="shared" si="15"/>
        <v/>
      </c>
      <c r="S24" s="20" t="str">
        <f>IF(Data!E22="GpsRecord",Data!G22,"")</f>
        <v/>
      </c>
      <c r="T24" s="20" t="str">
        <f>IF(Data!E22="GpsRecord",Data!H22,"")</f>
        <v/>
      </c>
      <c r="U24" s="20" t="str">
        <f t="shared" si="16"/>
        <v/>
      </c>
      <c r="V24" s="20" t="str">
        <f t="shared" si="17"/>
        <v/>
      </c>
      <c r="W24" s="19">
        <f>Data!I22</f>
        <v>0</v>
      </c>
      <c r="X24" s="17" t="str">
        <f>CONCATENATE(Data!J22, " ", Data!K22)</f>
        <v xml:space="preserve"> </v>
      </c>
    </row>
    <row r="25" spans="1:24" x14ac:dyDescent="0.3">
      <c r="A25" s="17" t="str">
        <f>Data!A23</f>
        <v>vehicle1</v>
      </c>
      <c r="B25" s="17" t="str">
        <f>Data!B23</f>
        <v>Vehicle, Gasoline or Petrol</v>
      </c>
      <c r="C25" s="17" t="str">
        <f>Data!C23</f>
        <v>1f2g3h4j5k6l</v>
      </c>
      <c r="D25" s="52">
        <f>Data!D23</f>
        <v>45066.132187499999</v>
      </c>
      <c r="E25" s="60" t="str">
        <f>IF(Data!E23="GpsRecord",Data!F23,"")</f>
        <v/>
      </c>
      <c r="F25" s="68" t="str">
        <f t="shared" si="0"/>
        <v/>
      </c>
      <c r="G25" t="b">
        <f t="shared" si="4"/>
        <v>0</v>
      </c>
      <c r="H25" t="b">
        <f t="shared" si="5"/>
        <v>0</v>
      </c>
      <c r="I25" t="b">
        <f t="shared" si="6"/>
        <v>0</v>
      </c>
      <c r="J25" t="str">
        <f t="shared" si="7"/>
        <v/>
      </c>
      <c r="K25" t="str">
        <f t="shared" si="8"/>
        <v/>
      </c>
      <c r="L25" t="str">
        <f t="shared" si="9"/>
        <v>,</v>
      </c>
      <c r="M25" t="str">
        <f t="shared" si="10"/>
        <v/>
      </c>
      <c r="N25" t="str">
        <f t="shared" si="11"/>
        <v/>
      </c>
      <c r="O25" t="str">
        <f t="shared" si="12"/>
        <v/>
      </c>
      <c r="P25" t="str">
        <f t="shared" si="13"/>
        <v/>
      </c>
      <c r="Q25" t="str">
        <f t="shared" si="14"/>
        <v/>
      </c>
      <c r="R25" s="20" t="str">
        <f t="shared" si="15"/>
        <v/>
      </c>
      <c r="S25" s="20" t="str">
        <f>IF(Data!E23="GpsRecord",Data!G23,"")</f>
        <v/>
      </c>
      <c r="T25" s="20" t="str">
        <f>IF(Data!E23="GpsRecord",Data!H23,"")</f>
        <v/>
      </c>
      <c r="U25" s="20" t="str">
        <f t="shared" si="16"/>
        <v/>
      </c>
      <c r="V25" s="20" t="str">
        <f t="shared" si="17"/>
        <v/>
      </c>
      <c r="W25" s="19">
        <f>Data!I23</f>
        <v>0</v>
      </c>
      <c r="X25" s="17" t="str">
        <f>CONCATENATE(Data!J23, " ", Data!K23)</f>
        <v xml:space="preserve"> </v>
      </c>
    </row>
    <row r="26" spans="1:24" x14ac:dyDescent="0.3">
      <c r="A26" s="17" t="str">
        <f>Data!A24</f>
        <v>vehicle1</v>
      </c>
      <c r="B26" s="17" t="str">
        <f>Data!B24</f>
        <v>Vehicle, Gasoline or Petrol</v>
      </c>
      <c r="C26" s="17" t="str">
        <f>Data!C24</f>
        <v>1f2g3h4j5k6l</v>
      </c>
      <c r="D26" s="52">
        <f>Data!D24</f>
        <v>45066.132187499999</v>
      </c>
      <c r="E26" s="60" t="str">
        <f>IF(Data!E24="GpsRecord",Data!F24,"")</f>
        <v/>
      </c>
      <c r="F26" s="68" t="str">
        <f t="shared" si="0"/>
        <v/>
      </c>
      <c r="G26" t="b">
        <f t="shared" si="4"/>
        <v>0</v>
      </c>
      <c r="H26" t="b">
        <f t="shared" si="5"/>
        <v>0</v>
      </c>
      <c r="I26" t="b">
        <f t="shared" si="6"/>
        <v>0</v>
      </c>
      <c r="J26" t="str">
        <f t="shared" si="7"/>
        <v/>
      </c>
      <c r="K26" t="str">
        <f t="shared" si="8"/>
        <v/>
      </c>
      <c r="L26" t="str">
        <f t="shared" si="9"/>
        <v>,</v>
      </c>
      <c r="M26" t="str">
        <f t="shared" si="10"/>
        <v/>
      </c>
      <c r="N26" t="str">
        <f t="shared" si="11"/>
        <v/>
      </c>
      <c r="O26" t="str">
        <f t="shared" si="12"/>
        <v/>
      </c>
      <c r="P26" t="str">
        <f t="shared" si="13"/>
        <v/>
      </c>
      <c r="Q26" t="str">
        <f t="shared" si="14"/>
        <v/>
      </c>
      <c r="R26" s="20" t="str">
        <f t="shared" si="15"/>
        <v/>
      </c>
      <c r="S26" s="20" t="str">
        <f>IF(Data!E24="GpsRecord",Data!G24,"")</f>
        <v/>
      </c>
      <c r="T26" s="20" t="str">
        <f>IF(Data!E24="GpsRecord",Data!H24,"")</f>
        <v/>
      </c>
      <c r="U26" s="20" t="str">
        <f t="shared" si="16"/>
        <v/>
      </c>
      <c r="V26" s="20" t="str">
        <f t="shared" si="17"/>
        <v/>
      </c>
      <c r="W26" s="19">
        <f>Data!I24</f>
        <v>0</v>
      </c>
      <c r="X26" s="17" t="str">
        <f>CONCATENATE(Data!J24, " ", Data!K24)</f>
        <v xml:space="preserve"> </v>
      </c>
    </row>
    <row r="27" spans="1:24" x14ac:dyDescent="0.3">
      <c r="A27" s="17" t="str">
        <f>Data!A25</f>
        <v>vehicle1</v>
      </c>
      <c r="B27" s="17" t="str">
        <f>Data!B25</f>
        <v>Vehicle, Gasoline or Petrol</v>
      </c>
      <c r="C27" s="17" t="str">
        <f>Data!C25</f>
        <v>1f2g3h4j5k6l</v>
      </c>
      <c r="D27" s="52">
        <f>Data!D25</f>
        <v>45066.132187499999</v>
      </c>
      <c r="E27" s="60" t="str">
        <f>IF(Data!E25="GpsRecord",Data!F25,"")</f>
        <v/>
      </c>
      <c r="F27" s="68" t="str">
        <f t="shared" si="0"/>
        <v/>
      </c>
      <c r="G27" t="b">
        <f t="shared" si="4"/>
        <v>0</v>
      </c>
      <c r="H27" t="b">
        <f t="shared" si="5"/>
        <v>0</v>
      </c>
      <c r="I27" t="b">
        <f t="shared" si="6"/>
        <v>0</v>
      </c>
      <c r="J27" t="str">
        <f t="shared" si="7"/>
        <v/>
      </c>
      <c r="K27" t="str">
        <f t="shared" si="8"/>
        <v/>
      </c>
      <c r="L27" t="str">
        <f t="shared" si="9"/>
        <v>,</v>
      </c>
      <c r="M27" t="str">
        <f t="shared" si="10"/>
        <v/>
      </c>
      <c r="N27" t="str">
        <f t="shared" si="11"/>
        <v/>
      </c>
      <c r="O27" t="str">
        <f t="shared" si="12"/>
        <v/>
      </c>
      <c r="P27" t="str">
        <f t="shared" si="13"/>
        <v/>
      </c>
      <c r="Q27" t="str">
        <f t="shared" si="14"/>
        <v/>
      </c>
      <c r="R27" s="20" t="str">
        <f t="shared" si="15"/>
        <v/>
      </c>
      <c r="S27" s="20" t="str">
        <f>IF(Data!E25="GpsRecord",Data!G25,"")</f>
        <v/>
      </c>
      <c r="T27" s="20" t="str">
        <f>IF(Data!E25="GpsRecord",Data!H25,"")</f>
        <v/>
      </c>
      <c r="U27" s="20" t="str">
        <f t="shared" si="16"/>
        <v/>
      </c>
      <c r="V27" s="20" t="str">
        <f t="shared" si="17"/>
        <v/>
      </c>
      <c r="W27" s="19">
        <f>Data!I25</f>
        <v>0</v>
      </c>
      <c r="X27" s="17" t="str">
        <f>CONCATENATE(Data!J25, " ", Data!K25)</f>
        <v xml:space="preserve"> </v>
      </c>
    </row>
    <row r="28" spans="1:24" x14ac:dyDescent="0.3">
      <c r="A28" s="17" t="str">
        <f>Data!A26</f>
        <v>vehicle1</v>
      </c>
      <c r="B28" s="17" t="str">
        <f>Data!B26</f>
        <v>Vehicle, Gasoline or Petrol</v>
      </c>
      <c r="C28" s="17" t="str">
        <f>Data!C26</f>
        <v>1f2g3h4j5k6l</v>
      </c>
      <c r="D28" s="52">
        <f>Data!D26</f>
        <v>45066.132187499999</v>
      </c>
      <c r="E28" s="60" t="str">
        <f>IF(Data!E26="GpsRecord",Data!F26,"")</f>
        <v/>
      </c>
      <c r="F28" s="68" t="str">
        <f t="shared" si="0"/>
        <v/>
      </c>
      <c r="G28" t="b">
        <f t="shared" si="4"/>
        <v>0</v>
      </c>
      <c r="H28" t="b">
        <f t="shared" si="5"/>
        <v>0</v>
      </c>
      <c r="I28" t="b">
        <f t="shared" si="6"/>
        <v>0</v>
      </c>
      <c r="J28" t="str">
        <f t="shared" si="7"/>
        <v/>
      </c>
      <c r="K28" t="str">
        <f t="shared" si="8"/>
        <v/>
      </c>
      <c r="L28" t="str">
        <f t="shared" si="9"/>
        <v>,</v>
      </c>
      <c r="M28" t="str">
        <f t="shared" si="10"/>
        <v/>
      </c>
      <c r="N28" t="str">
        <f t="shared" si="11"/>
        <v/>
      </c>
      <c r="O28" t="str">
        <f t="shared" si="12"/>
        <v/>
      </c>
      <c r="P28" t="str">
        <f t="shared" si="13"/>
        <v/>
      </c>
      <c r="Q28" t="str">
        <f t="shared" si="14"/>
        <v/>
      </c>
      <c r="R28" s="20" t="str">
        <f t="shared" si="15"/>
        <v/>
      </c>
      <c r="S28" s="20" t="str">
        <f>IF(Data!E26="GpsRecord",Data!G26,"")</f>
        <v/>
      </c>
      <c r="T28" s="20" t="str">
        <f>IF(Data!E26="GpsRecord",Data!H26,"")</f>
        <v/>
      </c>
      <c r="U28" s="20" t="str">
        <f t="shared" si="16"/>
        <v/>
      </c>
      <c r="V28" s="20" t="str">
        <f t="shared" si="17"/>
        <v/>
      </c>
      <c r="W28" s="19">
        <f>Data!I26</f>
        <v>0</v>
      </c>
      <c r="X28" s="17" t="str">
        <f>CONCATENATE(Data!J26, " ", Data!K26)</f>
        <v xml:space="preserve"> </v>
      </c>
    </row>
    <row r="29" spans="1:24" x14ac:dyDescent="0.3">
      <c r="A29" s="17" t="str">
        <f>Data!A27</f>
        <v>vehicle1</v>
      </c>
      <c r="B29" s="17" t="str">
        <f>Data!B27</f>
        <v>Vehicle, Gasoline or Petrol</v>
      </c>
      <c r="C29" s="17" t="str">
        <f>Data!C27</f>
        <v>1f2g3h4j5k6l</v>
      </c>
      <c r="D29" s="52">
        <f>Data!D27</f>
        <v>45066.132187499999</v>
      </c>
      <c r="E29" s="60" t="str">
        <f>IF(Data!E27="GpsRecord",Data!F27,"")</f>
        <v/>
      </c>
      <c r="F29" s="68" t="str">
        <f t="shared" si="0"/>
        <v/>
      </c>
      <c r="G29" t="b">
        <f t="shared" si="4"/>
        <v>0</v>
      </c>
      <c r="H29" t="b">
        <f t="shared" si="5"/>
        <v>0</v>
      </c>
      <c r="I29" t="b">
        <f t="shared" si="6"/>
        <v>0</v>
      </c>
      <c r="J29" t="str">
        <f t="shared" si="7"/>
        <v/>
      </c>
      <c r="K29" t="str">
        <f t="shared" si="8"/>
        <v/>
      </c>
      <c r="L29" t="str">
        <f t="shared" si="9"/>
        <v>,</v>
      </c>
      <c r="M29" t="str">
        <f t="shared" si="10"/>
        <v/>
      </c>
      <c r="N29" t="str">
        <f t="shared" si="11"/>
        <v/>
      </c>
      <c r="O29" t="str">
        <f t="shared" si="12"/>
        <v/>
      </c>
      <c r="P29" t="str">
        <f t="shared" si="13"/>
        <v/>
      </c>
      <c r="Q29" t="str">
        <f t="shared" si="14"/>
        <v/>
      </c>
      <c r="R29" s="20" t="str">
        <f t="shared" si="15"/>
        <v/>
      </c>
      <c r="S29" s="20" t="str">
        <f>IF(Data!E27="GpsRecord",Data!G27,"")</f>
        <v/>
      </c>
      <c r="T29" s="20" t="str">
        <f>IF(Data!E27="GpsRecord",Data!H27,"")</f>
        <v/>
      </c>
      <c r="U29" s="20" t="str">
        <f t="shared" si="16"/>
        <v/>
      </c>
      <c r="V29" s="20" t="str">
        <f t="shared" si="17"/>
        <v/>
      </c>
      <c r="W29" s="19">
        <f>Data!I27</f>
        <v>0</v>
      </c>
      <c r="X29" s="17" t="str">
        <f>CONCATENATE(Data!J27, " ", Data!K27)</f>
        <v xml:space="preserve"> </v>
      </c>
    </row>
    <row r="30" spans="1:24" x14ac:dyDescent="0.3">
      <c r="A30" s="17" t="str">
        <f>Data!A28</f>
        <v>vehicle1</v>
      </c>
      <c r="B30" s="17" t="str">
        <f>Data!B28</f>
        <v>Vehicle, Gasoline or Petrol</v>
      </c>
      <c r="C30" s="17" t="str">
        <f>Data!C28</f>
        <v>1f2g3h4j5k6l</v>
      </c>
      <c r="D30" s="52">
        <f>Data!D28</f>
        <v>45066.132187499999</v>
      </c>
      <c r="E30" s="60" t="str">
        <f>IF(Data!E28="GpsRecord",Data!F28,"")</f>
        <v/>
      </c>
      <c r="F30" s="68" t="str">
        <f t="shared" si="0"/>
        <v/>
      </c>
      <c r="G30" t="b">
        <f t="shared" si="4"/>
        <v>0</v>
      </c>
      <c r="H30" t="b">
        <f t="shared" si="5"/>
        <v>0</v>
      </c>
      <c r="I30" t="b">
        <f t="shared" si="6"/>
        <v>0</v>
      </c>
      <c r="J30" t="str">
        <f t="shared" si="7"/>
        <v/>
      </c>
      <c r="K30" t="str">
        <f t="shared" si="8"/>
        <v/>
      </c>
      <c r="L30" t="str">
        <f t="shared" si="9"/>
        <v>,</v>
      </c>
      <c r="M30" t="str">
        <f t="shared" si="10"/>
        <v/>
      </c>
      <c r="N30" t="str">
        <f t="shared" si="11"/>
        <v/>
      </c>
      <c r="O30" t="str">
        <f t="shared" si="12"/>
        <v/>
      </c>
      <c r="P30" t="str">
        <f t="shared" si="13"/>
        <v/>
      </c>
      <c r="Q30" t="str">
        <f t="shared" si="14"/>
        <v/>
      </c>
      <c r="R30" s="20" t="str">
        <f t="shared" si="15"/>
        <v/>
      </c>
      <c r="S30" s="20" t="str">
        <f>IF(Data!E28="GpsRecord",Data!G28,"")</f>
        <v/>
      </c>
      <c r="T30" s="20" t="str">
        <f>IF(Data!E28="GpsRecord",Data!H28,"")</f>
        <v/>
      </c>
      <c r="U30" s="20" t="str">
        <f t="shared" si="16"/>
        <v/>
      </c>
      <c r="V30" s="20" t="str">
        <f t="shared" si="17"/>
        <v/>
      </c>
      <c r="W30" s="19">
        <f>Data!I28</f>
        <v>0</v>
      </c>
      <c r="X30" s="17" t="str">
        <f>CONCATENATE(Data!J28, " ", Data!K28)</f>
        <v xml:space="preserve"> </v>
      </c>
    </row>
    <row r="31" spans="1:24" x14ac:dyDescent="0.3">
      <c r="A31" s="17" t="str">
        <f>Data!A29</f>
        <v>vehicle1</v>
      </c>
      <c r="B31" s="17" t="str">
        <f>Data!B29</f>
        <v>Vehicle, Gasoline or Petrol</v>
      </c>
      <c r="C31" s="17" t="str">
        <f>Data!C29</f>
        <v>1f2g3h4j5k6l</v>
      </c>
      <c r="D31" s="52">
        <f>Data!D29</f>
        <v>45066.132187499999</v>
      </c>
      <c r="E31" s="60" t="str">
        <f>IF(Data!E29="GpsRecord",Data!F29,"")</f>
        <v/>
      </c>
      <c r="F31" s="68" t="str">
        <f t="shared" si="0"/>
        <v/>
      </c>
      <c r="G31" t="b">
        <f t="shared" si="4"/>
        <v>0</v>
      </c>
      <c r="H31" t="b">
        <f t="shared" si="5"/>
        <v>0</v>
      </c>
      <c r="I31" t="b">
        <f t="shared" si="6"/>
        <v>0</v>
      </c>
      <c r="J31" t="str">
        <f t="shared" si="7"/>
        <v/>
      </c>
      <c r="K31" t="str">
        <f t="shared" si="8"/>
        <v/>
      </c>
      <c r="L31" t="str">
        <f t="shared" si="9"/>
        <v>,</v>
      </c>
      <c r="M31" t="str">
        <f t="shared" si="10"/>
        <v/>
      </c>
      <c r="N31" t="str">
        <f t="shared" si="11"/>
        <v/>
      </c>
      <c r="O31" t="str">
        <f t="shared" si="12"/>
        <v/>
      </c>
      <c r="P31" t="str">
        <f t="shared" si="13"/>
        <v/>
      </c>
      <c r="Q31" t="str">
        <f t="shared" si="14"/>
        <v/>
      </c>
      <c r="R31" s="20" t="str">
        <f t="shared" si="15"/>
        <v/>
      </c>
      <c r="S31" s="20" t="str">
        <f>IF(Data!E29="GpsRecord",Data!G29,"")</f>
        <v/>
      </c>
      <c r="T31" s="20" t="str">
        <f>IF(Data!E29="GpsRecord",Data!H29,"")</f>
        <v/>
      </c>
      <c r="U31" s="20" t="str">
        <f t="shared" si="16"/>
        <v/>
      </c>
      <c r="V31" s="20" t="str">
        <f t="shared" si="17"/>
        <v/>
      </c>
      <c r="W31" s="19">
        <f>Data!I29</f>
        <v>0</v>
      </c>
      <c r="X31" s="17" t="str">
        <f>CONCATENATE(Data!J29, " ", Data!K29)</f>
        <v xml:space="preserve"> </v>
      </c>
    </row>
    <row r="32" spans="1:24" x14ac:dyDescent="0.3">
      <c r="A32" s="17" t="str">
        <f>Data!A30</f>
        <v>vehicle1</v>
      </c>
      <c r="B32" s="17" t="str">
        <f>Data!B30</f>
        <v>Vehicle, Gasoline or Petrol</v>
      </c>
      <c r="C32" s="17" t="str">
        <f>Data!C30</f>
        <v>1f2g3h4j5k6l</v>
      </c>
      <c r="D32" s="52">
        <f>Data!D30</f>
        <v>45066.132187499999</v>
      </c>
      <c r="E32" s="60" t="str">
        <f>IF(Data!E30="GpsRecord",Data!F30,"")</f>
        <v/>
      </c>
      <c r="F32" s="68" t="str">
        <f t="shared" si="0"/>
        <v/>
      </c>
      <c r="G32" t="b">
        <f t="shared" si="4"/>
        <v>0</v>
      </c>
      <c r="H32" t="b">
        <f t="shared" si="5"/>
        <v>0</v>
      </c>
      <c r="I32" t="b">
        <f t="shared" si="6"/>
        <v>0</v>
      </c>
      <c r="J32" t="str">
        <f t="shared" si="7"/>
        <v/>
      </c>
      <c r="K32" t="str">
        <f t="shared" si="8"/>
        <v/>
      </c>
      <c r="L32" t="str">
        <f t="shared" si="9"/>
        <v>,</v>
      </c>
      <c r="M32" t="str">
        <f t="shared" si="10"/>
        <v/>
      </c>
      <c r="N32" t="str">
        <f t="shared" si="11"/>
        <v/>
      </c>
      <c r="O32" t="str">
        <f t="shared" si="12"/>
        <v/>
      </c>
      <c r="P32" t="str">
        <f t="shared" si="13"/>
        <v/>
      </c>
      <c r="Q32" t="str">
        <f t="shared" si="14"/>
        <v/>
      </c>
      <c r="R32" s="20" t="str">
        <f t="shared" si="15"/>
        <v/>
      </c>
      <c r="S32" s="20" t="str">
        <f>IF(Data!E30="GpsRecord",Data!G30,"")</f>
        <v/>
      </c>
      <c r="T32" s="20" t="str">
        <f>IF(Data!E30="GpsRecord",Data!H30,"")</f>
        <v/>
      </c>
      <c r="U32" s="20" t="str">
        <f t="shared" si="16"/>
        <v/>
      </c>
      <c r="V32" s="20" t="str">
        <f t="shared" si="17"/>
        <v/>
      </c>
      <c r="W32" s="19">
        <f>Data!I30</f>
        <v>0</v>
      </c>
      <c r="X32" s="17" t="str">
        <f>CONCATENATE(Data!J30, " ", Data!K30)</f>
        <v xml:space="preserve"> </v>
      </c>
    </row>
    <row r="33" spans="1:24" x14ac:dyDescent="0.3">
      <c r="A33" s="17" t="str">
        <f>Data!A31</f>
        <v>vehicle1</v>
      </c>
      <c r="B33" s="17" t="str">
        <f>Data!B31</f>
        <v>Vehicle, Gasoline or Petrol</v>
      </c>
      <c r="C33" s="17" t="str">
        <f>Data!C31</f>
        <v>1f2g3h4j5k6l</v>
      </c>
      <c r="D33" s="52">
        <f>Data!D31</f>
        <v>45066.132187499999</v>
      </c>
      <c r="E33" s="60" t="str">
        <f>IF(Data!E31="GpsRecord",Data!F31,"")</f>
        <v/>
      </c>
      <c r="F33" s="68" t="str">
        <f t="shared" si="0"/>
        <v/>
      </c>
      <c r="G33" t="b">
        <f t="shared" si="4"/>
        <v>0</v>
      </c>
      <c r="H33" t="b">
        <f t="shared" si="5"/>
        <v>0</v>
      </c>
      <c r="I33" t="b">
        <f t="shared" si="6"/>
        <v>0</v>
      </c>
      <c r="J33" t="str">
        <f t="shared" si="7"/>
        <v/>
      </c>
      <c r="K33" t="str">
        <f t="shared" si="8"/>
        <v/>
      </c>
      <c r="L33" t="str">
        <f t="shared" si="9"/>
        <v>,</v>
      </c>
      <c r="M33" t="str">
        <f t="shared" si="10"/>
        <v/>
      </c>
      <c r="N33" t="str">
        <f t="shared" si="11"/>
        <v/>
      </c>
      <c r="O33" t="str">
        <f t="shared" si="12"/>
        <v/>
      </c>
      <c r="P33" t="str">
        <f t="shared" si="13"/>
        <v/>
      </c>
      <c r="Q33" t="str">
        <f t="shared" si="14"/>
        <v/>
      </c>
      <c r="R33" s="20" t="str">
        <f t="shared" si="15"/>
        <v/>
      </c>
      <c r="S33" s="20" t="str">
        <f>IF(Data!E31="GpsRecord",Data!G31,"")</f>
        <v/>
      </c>
      <c r="T33" s="20" t="str">
        <f>IF(Data!E31="GpsRecord",Data!H31,"")</f>
        <v/>
      </c>
      <c r="U33" s="20" t="str">
        <f t="shared" si="16"/>
        <v/>
      </c>
      <c r="V33" s="20" t="str">
        <f t="shared" si="17"/>
        <v/>
      </c>
      <c r="W33" s="19">
        <f>Data!I31</f>
        <v>0</v>
      </c>
      <c r="X33" s="17" t="str">
        <f>CONCATENATE(Data!J31, " ", Data!K31)</f>
        <v xml:space="preserve"> </v>
      </c>
    </row>
    <row r="34" spans="1:24" x14ac:dyDescent="0.3">
      <c r="A34" s="17" t="str">
        <f>Data!A32</f>
        <v>vehicle1</v>
      </c>
      <c r="B34" s="17" t="str">
        <f>Data!B32</f>
        <v>Vehicle, Gasoline or Petrol</v>
      </c>
      <c r="C34" s="17" t="str">
        <f>Data!C32</f>
        <v>1f2g3h4j5k6l</v>
      </c>
      <c r="D34" s="52">
        <f>Data!D32</f>
        <v>45066.132187499999</v>
      </c>
      <c r="E34" s="60" t="str">
        <f>IF(Data!E32="GpsRecord",Data!F32,"")</f>
        <v/>
      </c>
      <c r="F34" s="68" t="str">
        <f t="shared" si="0"/>
        <v/>
      </c>
      <c r="G34" t="b">
        <f t="shared" si="4"/>
        <v>0</v>
      </c>
      <c r="H34" t="b">
        <f t="shared" si="5"/>
        <v>0</v>
      </c>
      <c r="I34" t="b">
        <f t="shared" si="6"/>
        <v>0</v>
      </c>
      <c r="J34" t="str">
        <f t="shared" si="7"/>
        <v/>
      </c>
      <c r="K34" t="str">
        <f t="shared" si="8"/>
        <v/>
      </c>
      <c r="L34" t="str">
        <f t="shared" si="9"/>
        <v>,</v>
      </c>
      <c r="M34" t="str">
        <f t="shared" si="10"/>
        <v/>
      </c>
      <c r="N34" t="str">
        <f t="shared" si="11"/>
        <v/>
      </c>
      <c r="O34" t="str">
        <f t="shared" si="12"/>
        <v/>
      </c>
      <c r="P34" t="str">
        <f t="shared" si="13"/>
        <v/>
      </c>
      <c r="Q34" t="str">
        <f t="shared" si="14"/>
        <v/>
      </c>
      <c r="R34" s="20" t="str">
        <f t="shared" si="15"/>
        <v/>
      </c>
      <c r="S34" s="20" t="str">
        <f>IF(Data!E32="GpsRecord",Data!G32,"")</f>
        <v/>
      </c>
      <c r="T34" s="20" t="str">
        <f>IF(Data!E32="GpsRecord",Data!H32,"")</f>
        <v/>
      </c>
      <c r="U34" s="20" t="str">
        <f t="shared" si="16"/>
        <v/>
      </c>
      <c r="V34" s="20" t="str">
        <f t="shared" si="17"/>
        <v/>
      </c>
      <c r="W34" s="19">
        <f>Data!I32</f>
        <v>0</v>
      </c>
      <c r="X34" s="17" t="str">
        <f>CONCATENATE(Data!J32, " ", Data!K32)</f>
        <v xml:space="preserve"> </v>
      </c>
    </row>
    <row r="35" spans="1:24" x14ac:dyDescent="0.3">
      <c r="A35" s="17" t="str">
        <f>Data!A33</f>
        <v>vehicle1</v>
      </c>
      <c r="B35" s="17" t="str">
        <f>Data!B33</f>
        <v>Vehicle, Gasoline or Petrol</v>
      </c>
      <c r="C35" s="17" t="str">
        <f>Data!C33</f>
        <v>1f2g3h4j5k6l</v>
      </c>
      <c r="D35" s="52">
        <f>Data!D33</f>
        <v>45066.132187499999</v>
      </c>
      <c r="E35" s="60" t="str">
        <f>IF(Data!E33="GpsRecord",Data!F33,"")</f>
        <v/>
      </c>
      <c r="F35" s="68" t="str">
        <f t="shared" si="0"/>
        <v/>
      </c>
      <c r="G35" t="b">
        <f t="shared" si="4"/>
        <v>0</v>
      </c>
      <c r="H35" t="b">
        <f t="shared" si="5"/>
        <v>0</v>
      </c>
      <c r="I35" t="b">
        <f t="shared" si="6"/>
        <v>0</v>
      </c>
      <c r="J35" t="str">
        <f t="shared" si="7"/>
        <v/>
      </c>
      <c r="K35" t="str">
        <f t="shared" si="8"/>
        <v/>
      </c>
      <c r="L35" t="str">
        <f t="shared" si="9"/>
        <v>,</v>
      </c>
      <c r="M35" t="str">
        <f t="shared" si="10"/>
        <v/>
      </c>
      <c r="N35" t="str">
        <f t="shared" si="11"/>
        <v/>
      </c>
      <c r="O35" t="str">
        <f t="shared" si="12"/>
        <v/>
      </c>
      <c r="P35" t="str">
        <f t="shared" si="13"/>
        <v/>
      </c>
      <c r="Q35" t="str">
        <f t="shared" si="14"/>
        <v/>
      </c>
      <c r="R35" s="20" t="str">
        <f t="shared" si="15"/>
        <v/>
      </c>
      <c r="S35" s="20" t="str">
        <f>IF(Data!E33="GpsRecord",Data!G33,"")</f>
        <v/>
      </c>
      <c r="T35" s="20" t="str">
        <f>IF(Data!E33="GpsRecord",Data!H33,"")</f>
        <v/>
      </c>
      <c r="U35" s="20" t="str">
        <f t="shared" si="16"/>
        <v/>
      </c>
      <c r="V35" s="20" t="str">
        <f t="shared" si="17"/>
        <v/>
      </c>
      <c r="W35" s="19">
        <f>Data!I33</f>
        <v>0</v>
      </c>
      <c r="X35" s="17" t="str">
        <f>CONCATENATE(Data!J33, " ", Data!K33)</f>
        <v xml:space="preserve"> </v>
      </c>
    </row>
    <row r="36" spans="1:24" x14ac:dyDescent="0.3">
      <c r="A36" s="17" t="str">
        <f>Data!A34</f>
        <v>vehicle1</v>
      </c>
      <c r="B36" s="17" t="str">
        <f>Data!B34</f>
        <v>Vehicle, Gasoline or Petrol</v>
      </c>
      <c r="C36" s="17" t="str">
        <f>Data!C34</f>
        <v>1f2g3h4j5k6l</v>
      </c>
      <c r="D36" s="52">
        <f>Data!D34</f>
        <v>45066.132199074076</v>
      </c>
      <c r="E36" s="60" t="str">
        <f>IF(Data!E34="GpsRecord",Data!F34,"")</f>
        <v/>
      </c>
      <c r="F36" s="68" t="str">
        <f t="shared" si="0"/>
        <v/>
      </c>
      <c r="G36" t="b">
        <f t="shared" si="4"/>
        <v>0</v>
      </c>
      <c r="H36" t="b">
        <f t="shared" si="5"/>
        <v>0</v>
      </c>
      <c r="I36" t="b">
        <f t="shared" si="6"/>
        <v>0</v>
      </c>
      <c r="J36" t="str">
        <f t="shared" si="7"/>
        <v/>
      </c>
      <c r="K36" t="str">
        <f t="shared" si="8"/>
        <v/>
      </c>
      <c r="L36" t="str">
        <f t="shared" si="9"/>
        <v>,</v>
      </c>
      <c r="M36" t="str">
        <f t="shared" si="10"/>
        <v/>
      </c>
      <c r="N36" t="str">
        <f t="shared" si="11"/>
        <v/>
      </c>
      <c r="O36" t="str">
        <f t="shared" si="12"/>
        <v/>
      </c>
      <c r="P36" t="str">
        <f t="shared" si="13"/>
        <v/>
      </c>
      <c r="Q36" t="str">
        <f t="shared" si="14"/>
        <v/>
      </c>
      <c r="R36" s="20" t="str">
        <f t="shared" si="15"/>
        <v/>
      </c>
      <c r="S36" s="20" t="str">
        <f>IF(Data!E34="GpsRecord",Data!G34,"")</f>
        <v/>
      </c>
      <c r="T36" s="20" t="str">
        <f>IF(Data!E34="GpsRecord",Data!H34,"")</f>
        <v/>
      </c>
      <c r="U36" s="20" t="str">
        <f t="shared" si="16"/>
        <v/>
      </c>
      <c r="V36" s="20" t="str">
        <f t="shared" si="17"/>
        <v/>
      </c>
      <c r="W36" s="19" t="str">
        <f>Data!I34</f>
        <v>Cranking voltage</v>
      </c>
      <c r="X36" s="17" t="str">
        <f>CONCATENATE(Data!J34, " ", Data!K34)</f>
        <v>10.74776 V</v>
      </c>
    </row>
    <row r="37" spans="1:24" x14ac:dyDescent="0.3">
      <c r="A37" s="17" t="str">
        <f>Data!A35</f>
        <v>vehicle1</v>
      </c>
      <c r="B37" s="17" t="str">
        <f>Data!B35</f>
        <v>Vehicle, Gasoline or Petrol</v>
      </c>
      <c r="C37" s="17" t="str">
        <f>Data!C35</f>
        <v>1f2g3h4j5k6l</v>
      </c>
      <c r="D37" s="52">
        <f>Data!D35</f>
        <v>45066.132199074076</v>
      </c>
      <c r="E37" s="60" t="str">
        <f>IF(Data!E35="GpsRecord",Data!F35,"")</f>
        <v/>
      </c>
      <c r="F37" s="68" t="str">
        <f t="shared" si="0"/>
        <v/>
      </c>
      <c r="G37" t="b">
        <f t="shared" si="4"/>
        <v>0</v>
      </c>
      <c r="H37" t="b">
        <f t="shared" si="5"/>
        <v>0</v>
      </c>
      <c r="I37" t="b">
        <f t="shared" si="6"/>
        <v>0</v>
      </c>
      <c r="J37" t="str">
        <f t="shared" si="7"/>
        <v/>
      </c>
      <c r="K37" t="str">
        <f t="shared" si="8"/>
        <v/>
      </c>
      <c r="L37" t="str">
        <f t="shared" si="9"/>
        <v>,</v>
      </c>
      <c r="M37" t="str">
        <f t="shared" si="10"/>
        <v/>
      </c>
      <c r="N37" t="str">
        <f t="shared" si="11"/>
        <v/>
      </c>
      <c r="O37" t="str">
        <f t="shared" si="12"/>
        <v/>
      </c>
      <c r="P37" t="str">
        <f t="shared" si="13"/>
        <v/>
      </c>
      <c r="Q37" t="str">
        <f t="shared" si="14"/>
        <v/>
      </c>
      <c r="R37" s="20" t="str">
        <f t="shared" si="15"/>
        <v/>
      </c>
      <c r="S37" s="20" t="str">
        <f>IF(Data!E35="GpsRecord",Data!G35,"")</f>
        <v/>
      </c>
      <c r="T37" s="20" t="str">
        <f>IF(Data!E35="GpsRecord",Data!H35,"")</f>
        <v/>
      </c>
      <c r="U37" s="20" t="str">
        <f t="shared" si="16"/>
        <v/>
      </c>
      <c r="V37" s="20" t="str">
        <f t="shared" si="17"/>
        <v/>
      </c>
      <c r="W37" s="19">
        <f>Data!I35</f>
        <v>0</v>
      </c>
      <c r="X37" s="17" t="str">
        <f>CONCATENATE(Data!J35, " ", Data!K35)</f>
        <v xml:space="preserve"> </v>
      </c>
    </row>
    <row r="38" spans="1:24" x14ac:dyDescent="0.3">
      <c r="A38" s="17" t="str">
        <f>Data!A36</f>
        <v>vehicle1</v>
      </c>
      <c r="B38" s="17" t="str">
        <f>Data!B36</f>
        <v>Vehicle, Gasoline or Petrol</v>
      </c>
      <c r="C38" s="17" t="str">
        <f>Data!C36</f>
        <v>1f2g3h4j5k6l</v>
      </c>
      <c r="D38" s="52">
        <f>Data!D36</f>
        <v>45066.132199074076</v>
      </c>
      <c r="E38" s="60" t="str">
        <f>IF(Data!E36="GpsRecord",Data!F36,"")</f>
        <v/>
      </c>
      <c r="F38" s="68" t="str">
        <f t="shared" si="0"/>
        <v/>
      </c>
      <c r="G38" t="b">
        <f t="shared" si="4"/>
        <v>0</v>
      </c>
      <c r="H38" t="b">
        <f t="shared" si="5"/>
        <v>0</v>
      </c>
      <c r="I38" t="b">
        <f t="shared" si="6"/>
        <v>0</v>
      </c>
      <c r="J38" t="str">
        <f t="shared" si="7"/>
        <v/>
      </c>
      <c r="K38" t="str">
        <f t="shared" si="8"/>
        <v/>
      </c>
      <c r="L38" t="str">
        <f t="shared" si="9"/>
        <v>,</v>
      </c>
      <c r="M38" t="str">
        <f t="shared" si="10"/>
        <v/>
      </c>
      <c r="N38" t="str">
        <f t="shared" si="11"/>
        <v/>
      </c>
      <c r="O38" t="str">
        <f t="shared" si="12"/>
        <v/>
      </c>
      <c r="P38" t="str">
        <f t="shared" si="13"/>
        <v/>
      </c>
      <c r="Q38" t="str">
        <f t="shared" si="14"/>
        <v/>
      </c>
      <c r="R38" s="20" t="str">
        <f t="shared" si="15"/>
        <v/>
      </c>
      <c r="S38" s="20" t="str">
        <f>IF(Data!E36="GpsRecord",Data!G36,"")</f>
        <v/>
      </c>
      <c r="T38" s="20" t="str">
        <f>IF(Data!E36="GpsRecord",Data!H36,"")</f>
        <v/>
      </c>
      <c r="U38" s="20" t="str">
        <f t="shared" si="16"/>
        <v/>
      </c>
      <c r="V38" s="20" t="str">
        <f t="shared" si="17"/>
        <v/>
      </c>
      <c r="W38" s="19">
        <f>Data!I36</f>
        <v>0</v>
      </c>
      <c r="X38" s="17" t="str">
        <f>CONCATENATE(Data!J36, " ", Data!K36)</f>
        <v xml:space="preserve"> </v>
      </c>
    </row>
    <row r="39" spans="1:24" x14ac:dyDescent="0.3">
      <c r="A39" s="17" t="str">
        <f>Data!A37</f>
        <v>vehicle1</v>
      </c>
      <c r="B39" s="17" t="str">
        <f>Data!B37</f>
        <v>Vehicle, Gasoline or Petrol</v>
      </c>
      <c r="C39" s="17" t="str">
        <f>Data!C37</f>
        <v>1f2g3h4j5k6l</v>
      </c>
      <c r="D39" s="52">
        <f>Data!D37</f>
        <v>45066.132199074076</v>
      </c>
      <c r="E39" s="60" t="str">
        <f>IF(Data!E37="GpsRecord",Data!F37,"")</f>
        <v/>
      </c>
      <c r="F39" s="68" t="str">
        <f t="shared" si="0"/>
        <v/>
      </c>
      <c r="G39" t="b">
        <f t="shared" si="4"/>
        <v>0</v>
      </c>
      <c r="H39" t="b">
        <f t="shared" si="5"/>
        <v>0</v>
      </c>
      <c r="I39" t="b">
        <f t="shared" si="6"/>
        <v>0</v>
      </c>
      <c r="J39" t="str">
        <f t="shared" si="7"/>
        <v/>
      </c>
      <c r="K39" t="str">
        <f t="shared" si="8"/>
        <v/>
      </c>
      <c r="L39" t="str">
        <f t="shared" si="9"/>
        <v>,</v>
      </c>
      <c r="M39" t="str">
        <f t="shared" si="10"/>
        <v/>
      </c>
      <c r="N39" t="str">
        <f t="shared" si="11"/>
        <v/>
      </c>
      <c r="O39" t="str">
        <f t="shared" si="12"/>
        <v/>
      </c>
      <c r="P39" t="str">
        <f t="shared" si="13"/>
        <v/>
      </c>
      <c r="Q39" t="str">
        <f t="shared" si="14"/>
        <v/>
      </c>
      <c r="R39" s="20" t="str">
        <f t="shared" si="15"/>
        <v/>
      </c>
      <c r="S39" s="20" t="str">
        <f>IF(Data!E37="GpsRecord",Data!G37,"")</f>
        <v/>
      </c>
      <c r="T39" s="20" t="str">
        <f>IF(Data!E37="GpsRecord",Data!H37,"")</f>
        <v/>
      </c>
      <c r="U39" s="20" t="str">
        <f t="shared" si="16"/>
        <v/>
      </c>
      <c r="V39" s="20" t="str">
        <f t="shared" si="17"/>
        <v/>
      </c>
      <c r="W39" s="19">
        <f>Data!I37</f>
        <v>0</v>
      </c>
      <c r="X39" s="17" t="str">
        <f>CONCATENATE(Data!J37, " ", Data!K37)</f>
        <v xml:space="preserve"> </v>
      </c>
    </row>
    <row r="40" spans="1:24" x14ac:dyDescent="0.3">
      <c r="A40" s="17" t="str">
        <f>Data!A38</f>
        <v>vehicle1</v>
      </c>
      <c r="B40" s="17" t="str">
        <f>Data!B38</f>
        <v>Vehicle, Gasoline or Petrol</v>
      </c>
      <c r="C40" s="17" t="str">
        <f>Data!C38</f>
        <v>1f2g3h4j5k6l</v>
      </c>
      <c r="D40" s="52">
        <f>Data!D38</f>
        <v>45066.132199074076</v>
      </c>
      <c r="E40" s="60" t="str">
        <f>IF(Data!E38="GpsRecord",Data!F38,"")</f>
        <v/>
      </c>
      <c r="F40" s="68" t="str">
        <f t="shared" si="0"/>
        <v/>
      </c>
      <c r="G40" t="b">
        <f t="shared" si="4"/>
        <v>0</v>
      </c>
      <c r="H40" t="b">
        <f t="shared" si="5"/>
        <v>0</v>
      </c>
      <c r="I40" t="b">
        <f t="shared" si="6"/>
        <v>0</v>
      </c>
      <c r="J40" t="str">
        <f t="shared" si="7"/>
        <v/>
      </c>
      <c r="K40" t="str">
        <f t="shared" si="8"/>
        <v/>
      </c>
      <c r="L40" t="str">
        <f t="shared" si="9"/>
        <v>,</v>
      </c>
      <c r="M40" t="str">
        <f t="shared" si="10"/>
        <v/>
      </c>
      <c r="N40" t="str">
        <f t="shared" si="11"/>
        <v/>
      </c>
      <c r="O40" t="str">
        <f t="shared" si="12"/>
        <v/>
      </c>
      <c r="P40" t="str">
        <f t="shared" si="13"/>
        <v/>
      </c>
      <c r="Q40" t="str">
        <f t="shared" si="14"/>
        <v/>
      </c>
      <c r="R40" s="20" t="str">
        <f t="shared" si="15"/>
        <v/>
      </c>
      <c r="S40" s="20" t="str">
        <f>IF(Data!E38="GpsRecord",Data!G38,"")</f>
        <v/>
      </c>
      <c r="T40" s="20" t="str">
        <f>IF(Data!E38="GpsRecord",Data!H38,"")</f>
        <v/>
      </c>
      <c r="U40" s="20" t="str">
        <f t="shared" si="16"/>
        <v/>
      </c>
      <c r="V40" s="20" t="str">
        <f t="shared" si="17"/>
        <v/>
      </c>
      <c r="W40" s="19">
        <f>Data!I38</f>
        <v>0</v>
      </c>
      <c r="X40" s="17" t="str">
        <f>CONCATENATE(Data!J38, " ", Data!K38)</f>
        <v xml:space="preserve"> </v>
      </c>
    </row>
    <row r="41" spans="1:24" x14ac:dyDescent="0.3">
      <c r="A41" s="17" t="str">
        <f>Data!A39</f>
        <v>vehicle1</v>
      </c>
      <c r="B41" s="17" t="str">
        <f>Data!B39</f>
        <v>Vehicle, Gasoline or Petrol</v>
      </c>
      <c r="C41" s="17" t="str">
        <f>Data!C39</f>
        <v>1f2g3h4j5k6l</v>
      </c>
      <c r="D41" s="52">
        <f>Data!D39</f>
        <v>45066.132199074076</v>
      </c>
      <c r="E41" s="60" t="str">
        <f>IF(Data!E39="GpsRecord",Data!F39,"")</f>
        <v/>
      </c>
      <c r="F41" s="68" t="str">
        <f t="shared" si="0"/>
        <v/>
      </c>
      <c r="G41" t="b">
        <f t="shared" si="4"/>
        <v>0</v>
      </c>
      <c r="H41" t="b">
        <f t="shared" si="5"/>
        <v>0</v>
      </c>
      <c r="I41" t="b">
        <f t="shared" si="6"/>
        <v>0</v>
      </c>
      <c r="J41" t="str">
        <f t="shared" si="7"/>
        <v/>
      </c>
      <c r="K41" t="str">
        <f t="shared" si="8"/>
        <v/>
      </c>
      <c r="L41" t="str">
        <f t="shared" si="9"/>
        <v>,</v>
      </c>
      <c r="M41" t="str">
        <f t="shared" si="10"/>
        <v/>
      </c>
      <c r="N41" t="str">
        <f t="shared" si="11"/>
        <v/>
      </c>
      <c r="O41" t="str">
        <f t="shared" si="12"/>
        <v/>
      </c>
      <c r="P41" t="str">
        <f t="shared" si="13"/>
        <v/>
      </c>
      <c r="Q41" t="str">
        <f t="shared" si="14"/>
        <v/>
      </c>
      <c r="R41" s="20" t="str">
        <f t="shared" si="15"/>
        <v/>
      </c>
      <c r="S41" s="20" t="str">
        <f>IF(Data!E39="GpsRecord",Data!G39,"")</f>
        <v/>
      </c>
      <c r="T41" s="20" t="str">
        <f>IF(Data!E39="GpsRecord",Data!H39,"")</f>
        <v/>
      </c>
      <c r="U41" s="20" t="str">
        <f t="shared" si="16"/>
        <v/>
      </c>
      <c r="V41" s="20" t="str">
        <f t="shared" si="17"/>
        <v/>
      </c>
      <c r="W41" s="19" t="str">
        <f>Data!I39</f>
        <v>Cranking voltage</v>
      </c>
      <c r="X41" s="17" t="str">
        <f>CONCATENATE(Data!J39, " ", Data!K39)</f>
        <v>11.64226 V</v>
      </c>
    </row>
    <row r="42" spans="1:24" x14ac:dyDescent="0.3">
      <c r="A42" s="17" t="str">
        <f>Data!A40</f>
        <v>vehicle1</v>
      </c>
      <c r="B42" s="17" t="str">
        <f>Data!B40</f>
        <v>Vehicle, Gasoline or Petrol</v>
      </c>
      <c r="C42" s="17" t="str">
        <f>Data!C40</f>
        <v>1f2g3h4j5k6l</v>
      </c>
      <c r="D42" s="52">
        <f>Data!D40</f>
        <v>45066.132199074076</v>
      </c>
      <c r="E42" s="60" t="str">
        <f>IF(Data!E40="GpsRecord",Data!F40,"")</f>
        <v/>
      </c>
      <c r="F42" s="68" t="str">
        <f t="shared" si="0"/>
        <v/>
      </c>
      <c r="G42" t="b">
        <f t="shared" si="4"/>
        <v>0</v>
      </c>
      <c r="H42" t="b">
        <f t="shared" si="5"/>
        <v>0</v>
      </c>
      <c r="I42" t="b">
        <f t="shared" si="6"/>
        <v>0</v>
      </c>
      <c r="J42" t="str">
        <f t="shared" si="7"/>
        <v/>
      </c>
      <c r="K42" t="str">
        <f t="shared" si="8"/>
        <v/>
      </c>
      <c r="L42" t="str">
        <f t="shared" si="9"/>
        <v>,</v>
      </c>
      <c r="M42" t="str">
        <f t="shared" si="10"/>
        <v/>
      </c>
      <c r="N42" t="str">
        <f t="shared" si="11"/>
        <v/>
      </c>
      <c r="O42" t="str">
        <f t="shared" si="12"/>
        <v/>
      </c>
      <c r="P42" t="str">
        <f t="shared" si="13"/>
        <v/>
      </c>
      <c r="Q42" t="str">
        <f t="shared" si="14"/>
        <v/>
      </c>
      <c r="R42" s="20" t="str">
        <f t="shared" si="15"/>
        <v/>
      </c>
      <c r="S42" s="20" t="str">
        <f>IF(Data!E40="GpsRecord",Data!G40,"")</f>
        <v/>
      </c>
      <c r="T42" s="20" t="str">
        <f>IF(Data!E40="GpsRecord",Data!H40,"")</f>
        <v/>
      </c>
      <c r="U42" s="20" t="str">
        <f t="shared" si="16"/>
        <v/>
      </c>
      <c r="V42" s="20" t="str">
        <f t="shared" si="17"/>
        <v/>
      </c>
      <c r="W42" s="19" t="str">
        <f>Data!I40</f>
        <v>Cranking voltage</v>
      </c>
      <c r="X42" s="17" t="str">
        <f>CONCATENATE(Data!J40, " ", Data!K40)</f>
        <v>12.71566 V</v>
      </c>
    </row>
    <row r="43" spans="1:24" x14ac:dyDescent="0.3">
      <c r="A43" s="17" t="str">
        <f>Data!A41</f>
        <v>vehicle1</v>
      </c>
      <c r="B43" s="17" t="str">
        <f>Data!B41</f>
        <v>Vehicle, Gasoline or Petrol</v>
      </c>
      <c r="C43" s="17" t="str">
        <f>Data!C41</f>
        <v>1f2g3h4j5k6l</v>
      </c>
      <c r="D43" s="52">
        <f>Data!D41</f>
        <v>45066.132199074076</v>
      </c>
      <c r="E43" s="60" t="str">
        <f>IF(Data!E41="GpsRecord",Data!F41,"")</f>
        <v/>
      </c>
      <c r="F43" s="68" t="str">
        <f t="shared" si="0"/>
        <v/>
      </c>
      <c r="G43" t="b">
        <f t="shared" si="4"/>
        <v>0</v>
      </c>
      <c r="H43" t="b">
        <f t="shared" si="5"/>
        <v>0</v>
      </c>
      <c r="I43" t="b">
        <f t="shared" si="6"/>
        <v>0</v>
      </c>
      <c r="J43" t="str">
        <f t="shared" si="7"/>
        <v/>
      </c>
      <c r="K43" t="str">
        <f t="shared" si="8"/>
        <v/>
      </c>
      <c r="L43" t="str">
        <f t="shared" si="9"/>
        <v>,</v>
      </c>
      <c r="M43" t="str">
        <f t="shared" si="10"/>
        <v/>
      </c>
      <c r="N43" t="str">
        <f t="shared" si="11"/>
        <v/>
      </c>
      <c r="O43" t="str">
        <f t="shared" si="12"/>
        <v/>
      </c>
      <c r="P43" t="str">
        <f t="shared" si="13"/>
        <v/>
      </c>
      <c r="Q43" t="str">
        <f t="shared" si="14"/>
        <v/>
      </c>
      <c r="R43" s="20" t="str">
        <f t="shared" si="15"/>
        <v/>
      </c>
      <c r="S43" s="20" t="str">
        <f>IF(Data!E41="GpsRecord",Data!G41,"")</f>
        <v/>
      </c>
      <c r="T43" s="20" t="str">
        <f>IF(Data!E41="GpsRecord",Data!H41,"")</f>
        <v/>
      </c>
      <c r="U43" s="20" t="str">
        <f t="shared" si="16"/>
        <v/>
      </c>
      <c r="V43" s="20" t="str">
        <f t="shared" si="17"/>
        <v/>
      </c>
      <c r="W43" s="19">
        <f>Data!I41</f>
        <v>0</v>
      </c>
      <c r="X43" s="17" t="str">
        <f>CONCATENATE(Data!J41, " ", Data!K41)</f>
        <v xml:space="preserve"> </v>
      </c>
    </row>
    <row r="44" spans="1:24" x14ac:dyDescent="0.3">
      <c r="A44" s="17" t="str">
        <f>Data!A42</f>
        <v>vehicle1</v>
      </c>
      <c r="B44" s="17" t="str">
        <f>Data!B42</f>
        <v>Vehicle, Gasoline or Petrol</v>
      </c>
      <c r="C44" s="17" t="str">
        <f>Data!C42</f>
        <v>1f2g3h4j5k6l</v>
      </c>
      <c r="D44" s="52">
        <f>Data!D42</f>
        <v>45066.132199074076</v>
      </c>
      <c r="E44" s="60" t="str">
        <f>IF(Data!E42="GpsRecord",Data!F42,"")</f>
        <v/>
      </c>
      <c r="F44" s="68" t="str">
        <f t="shared" si="0"/>
        <v/>
      </c>
      <c r="G44" t="b">
        <f t="shared" si="4"/>
        <v>0</v>
      </c>
      <c r="H44" t="b">
        <f t="shared" si="5"/>
        <v>0</v>
      </c>
      <c r="I44" t="b">
        <f t="shared" si="6"/>
        <v>0</v>
      </c>
      <c r="J44" t="str">
        <f t="shared" si="7"/>
        <v/>
      </c>
      <c r="K44" t="str">
        <f t="shared" si="8"/>
        <v/>
      </c>
      <c r="L44" t="str">
        <f t="shared" si="9"/>
        <v>,</v>
      </c>
      <c r="M44" t="str">
        <f t="shared" si="10"/>
        <v/>
      </c>
      <c r="N44" t="str">
        <f t="shared" si="11"/>
        <v/>
      </c>
      <c r="O44" t="str">
        <f t="shared" si="12"/>
        <v/>
      </c>
      <c r="P44" t="str">
        <f t="shared" si="13"/>
        <v/>
      </c>
      <c r="Q44" t="str">
        <f t="shared" si="14"/>
        <v/>
      </c>
      <c r="R44" s="20" t="str">
        <f t="shared" si="15"/>
        <v/>
      </c>
      <c r="S44" s="20" t="str">
        <f>IF(Data!E42="GpsRecord",Data!G42,"")</f>
        <v/>
      </c>
      <c r="T44" s="20" t="str">
        <f>IF(Data!E42="GpsRecord",Data!H42,"")</f>
        <v/>
      </c>
      <c r="U44" s="20" t="str">
        <f t="shared" si="16"/>
        <v/>
      </c>
      <c r="V44" s="20" t="str">
        <f t="shared" si="17"/>
        <v/>
      </c>
      <c r="W44" s="19">
        <f>Data!I42</f>
        <v>0</v>
      </c>
      <c r="X44" s="17" t="str">
        <f>CONCATENATE(Data!J42, " ", Data!K42)</f>
        <v xml:space="preserve"> </v>
      </c>
    </row>
    <row r="45" spans="1:24" x14ac:dyDescent="0.3">
      <c r="A45" s="17" t="str">
        <f>Data!A43</f>
        <v>vehicle1</v>
      </c>
      <c r="B45" s="17" t="str">
        <f>Data!B43</f>
        <v>Vehicle, Gasoline or Petrol</v>
      </c>
      <c r="C45" s="17" t="str">
        <f>Data!C43</f>
        <v>1f2g3h4j5k6l</v>
      </c>
      <c r="D45" s="52">
        <f>Data!D43</f>
        <v>45066.132210648146</v>
      </c>
      <c r="E45" s="60" t="str">
        <f>IF(Data!E43="GpsRecord",Data!F43,"")</f>
        <v/>
      </c>
      <c r="F45" s="68" t="str">
        <f t="shared" si="0"/>
        <v/>
      </c>
      <c r="G45" t="b">
        <f t="shared" si="4"/>
        <v>0</v>
      </c>
      <c r="H45" t="b">
        <f t="shared" si="5"/>
        <v>0</v>
      </c>
      <c r="I45" t="b">
        <f t="shared" si="6"/>
        <v>0</v>
      </c>
      <c r="J45" t="str">
        <f t="shared" si="7"/>
        <v/>
      </c>
      <c r="K45" t="str">
        <f t="shared" si="8"/>
        <v/>
      </c>
      <c r="L45" t="str">
        <f t="shared" si="9"/>
        <v>,</v>
      </c>
      <c r="M45" t="str">
        <f t="shared" si="10"/>
        <v/>
      </c>
      <c r="N45" t="str">
        <f t="shared" si="11"/>
        <v/>
      </c>
      <c r="O45" t="str">
        <f t="shared" si="12"/>
        <v/>
      </c>
      <c r="P45" t="str">
        <f t="shared" si="13"/>
        <v/>
      </c>
      <c r="Q45" t="str">
        <f t="shared" si="14"/>
        <v/>
      </c>
      <c r="R45" s="20" t="str">
        <f t="shared" si="15"/>
        <v/>
      </c>
      <c r="S45" s="20" t="str">
        <f>IF(Data!E43="GpsRecord",Data!G43,"")</f>
        <v/>
      </c>
      <c r="T45" s="20" t="str">
        <f>IF(Data!E43="GpsRecord",Data!H43,"")</f>
        <v/>
      </c>
      <c r="U45" s="20" t="str">
        <f t="shared" si="16"/>
        <v/>
      </c>
      <c r="V45" s="20" t="str">
        <f t="shared" si="17"/>
        <v/>
      </c>
      <c r="W45" s="19" t="str">
        <f>Data!I43</f>
        <v>Cranking voltage</v>
      </c>
      <c r="X45" s="17" t="str">
        <f>CONCATENATE(Data!J43, " ", Data!K43)</f>
        <v>13.68172 V</v>
      </c>
    </row>
    <row r="46" spans="1:24" x14ac:dyDescent="0.3">
      <c r="A46" s="17" t="str">
        <f>Data!A44</f>
        <v>vehicle1</v>
      </c>
      <c r="B46" s="17" t="str">
        <f>Data!B44</f>
        <v>Vehicle, Gasoline or Petrol</v>
      </c>
      <c r="C46" s="17" t="str">
        <f>Data!C44</f>
        <v>1f2g3h4j5k6l</v>
      </c>
      <c r="D46" s="52">
        <f>Data!D44</f>
        <v>45066.132210648146</v>
      </c>
      <c r="E46" s="60" t="str">
        <f>IF(Data!E44="GpsRecord",Data!F44,"")</f>
        <v>Whispering Pines, 401 Loblolly Cir, Clayton, NC 27520, USA</v>
      </c>
      <c r="F46" s="68" t="str">
        <f t="shared" si="0"/>
        <v>Whispering Pines, 401 Loblolly Cir, Clayton, NC 27520, USA</v>
      </c>
      <c r="G46" t="b">
        <f t="shared" si="4"/>
        <v>0</v>
      </c>
      <c r="H46" t="b">
        <f t="shared" si="5"/>
        <v>1</v>
      </c>
      <c r="I46" t="b">
        <f t="shared" si="6"/>
        <v>1</v>
      </c>
      <c r="J46" t="str">
        <f t="shared" si="7"/>
        <v>Whispering Pines, 401 Loblolly Cir, Clayton, NC 27520, USA</v>
      </c>
      <c r="K46" t="str">
        <f t="shared" si="8"/>
        <v xml:space="preserve"> USA</v>
      </c>
      <c r="L46" t="str">
        <f t="shared" si="9"/>
        <v>, USA</v>
      </c>
      <c r="M46" t="str">
        <f t="shared" si="10"/>
        <v>Whispering Pines, 401 Loblolly Cir, Clayton, NC 27520</v>
      </c>
      <c r="N46" t="str">
        <f t="shared" si="11"/>
        <v xml:space="preserve"> NC 27520</v>
      </c>
      <c r="O46" t="str">
        <f t="shared" si="12"/>
        <v>27520</v>
      </c>
      <c r="P46" t="str">
        <f t="shared" si="13"/>
        <v xml:space="preserve"> NC</v>
      </c>
      <c r="Q46" t="str">
        <f t="shared" si="14"/>
        <v>NC</v>
      </c>
      <c r="R46" s="20" t="str">
        <f t="shared" si="15"/>
        <v>NC</v>
      </c>
      <c r="S46" s="20">
        <f>IF(Data!E44="GpsRecord",Data!G44,"")</f>
        <v>-39.421039999999998</v>
      </c>
      <c r="T46" s="20">
        <f>IF(Data!E44="GpsRecord",Data!H44,"")</f>
        <v>33.736870000000003</v>
      </c>
      <c r="U46" s="20">
        <f t="shared" si="16"/>
        <v>-39.421039999999998</v>
      </c>
      <c r="V46" s="20">
        <f t="shared" si="17"/>
        <v>33.736870000000003</v>
      </c>
      <c r="W46" s="19">
        <f>Data!I44</f>
        <v>0</v>
      </c>
      <c r="X46" s="17" t="str">
        <f>CONCATENATE(Data!J44, " ", Data!K44)</f>
        <v xml:space="preserve"> </v>
      </c>
    </row>
    <row r="47" spans="1:24" x14ac:dyDescent="0.3">
      <c r="A47" s="17" t="str">
        <f>Data!A45</f>
        <v>vehicle1</v>
      </c>
      <c r="B47" s="17" t="str">
        <f>Data!B45</f>
        <v>Vehicle, Gasoline or Petrol</v>
      </c>
      <c r="C47" s="17" t="str">
        <f>Data!C45</f>
        <v>1f2g3h4j5k6l</v>
      </c>
      <c r="D47" s="52">
        <f>Data!D45</f>
        <v>45066.132210648146</v>
      </c>
      <c r="E47" s="60" t="str">
        <f>IF(Data!E45="GpsRecord",Data!F45,"")</f>
        <v/>
      </c>
      <c r="F47" s="68" t="str">
        <f t="shared" si="0"/>
        <v>Whispering Pines, 401 Loblolly Cir, Clayton, NC 27520, USA</v>
      </c>
      <c r="G47" t="b">
        <f t="shared" si="4"/>
        <v>0</v>
      </c>
      <c r="H47" t="b">
        <f t="shared" si="5"/>
        <v>0</v>
      </c>
      <c r="I47" t="b">
        <f t="shared" si="6"/>
        <v>0</v>
      </c>
      <c r="J47" t="str">
        <f t="shared" si="7"/>
        <v/>
      </c>
      <c r="K47" t="str">
        <f t="shared" si="8"/>
        <v/>
      </c>
      <c r="L47" t="str">
        <f t="shared" si="9"/>
        <v>,</v>
      </c>
      <c r="M47" t="str">
        <f t="shared" si="10"/>
        <v/>
      </c>
      <c r="N47" t="str">
        <f t="shared" si="11"/>
        <v/>
      </c>
      <c r="O47" t="str">
        <f t="shared" si="12"/>
        <v/>
      </c>
      <c r="P47" t="str">
        <f t="shared" si="13"/>
        <v/>
      </c>
      <c r="Q47" t="str">
        <f t="shared" si="14"/>
        <v/>
      </c>
      <c r="R47" s="20" t="str">
        <f t="shared" si="15"/>
        <v>NC</v>
      </c>
      <c r="S47" s="20" t="str">
        <f>IF(Data!E45="GpsRecord",Data!G45,"")</f>
        <v/>
      </c>
      <c r="T47" s="20" t="str">
        <f>IF(Data!E45="GpsRecord",Data!H45,"")</f>
        <v/>
      </c>
      <c r="U47" s="20">
        <f t="shared" si="16"/>
        <v>-39.421039999999998</v>
      </c>
      <c r="V47" s="20">
        <f t="shared" si="17"/>
        <v>33.736870000000003</v>
      </c>
      <c r="W47" s="19" t="str">
        <f>Data!I45</f>
        <v>Ignition</v>
      </c>
      <c r="X47" s="17" t="str">
        <f>CONCATENATE(Data!J45, " ", Data!K45)</f>
        <v>1 None</v>
      </c>
    </row>
    <row r="48" spans="1:24" x14ac:dyDescent="0.3">
      <c r="A48" s="17" t="str">
        <f>Data!A46</f>
        <v>vehicle1</v>
      </c>
      <c r="B48" s="17" t="str">
        <f>Data!B46</f>
        <v>Vehicle, Gasoline or Petrol</v>
      </c>
      <c r="C48" s="17" t="str">
        <f>Data!C46</f>
        <v>1f2g3h4j5k6l</v>
      </c>
      <c r="D48" s="52">
        <f>Data!D46</f>
        <v>45066.132210648146</v>
      </c>
      <c r="E48" s="60" t="str">
        <f>IF(Data!E46="GpsRecord",Data!F46,"")</f>
        <v/>
      </c>
      <c r="F48" s="68" t="str">
        <f t="shared" si="0"/>
        <v>Whispering Pines, 401 Loblolly Cir, Clayton, NC 27520, USA</v>
      </c>
      <c r="G48" t="b">
        <f t="shared" si="4"/>
        <v>0</v>
      </c>
      <c r="H48" t="b">
        <f t="shared" si="5"/>
        <v>0</v>
      </c>
      <c r="I48" t="b">
        <f t="shared" si="6"/>
        <v>0</v>
      </c>
      <c r="J48" t="str">
        <f t="shared" si="7"/>
        <v/>
      </c>
      <c r="K48" t="str">
        <f t="shared" si="8"/>
        <v/>
      </c>
      <c r="L48" t="str">
        <f t="shared" si="9"/>
        <v>,</v>
      </c>
      <c r="M48" t="str">
        <f t="shared" si="10"/>
        <v/>
      </c>
      <c r="N48" t="str">
        <f t="shared" si="11"/>
        <v/>
      </c>
      <c r="O48" t="str">
        <f t="shared" si="12"/>
        <v/>
      </c>
      <c r="P48" t="str">
        <f t="shared" si="13"/>
        <v/>
      </c>
      <c r="Q48" t="str">
        <f t="shared" si="14"/>
        <v/>
      </c>
      <c r="R48" s="20" t="str">
        <f t="shared" si="15"/>
        <v>NC</v>
      </c>
      <c r="S48" s="20" t="str">
        <f>IF(Data!E46="GpsRecord",Data!G46,"")</f>
        <v/>
      </c>
      <c r="T48" s="20" t="str">
        <f>IF(Data!E46="GpsRecord",Data!H46,"")</f>
        <v/>
      </c>
      <c r="U48" s="20">
        <f t="shared" si="16"/>
        <v>-39.421039999999998</v>
      </c>
      <c r="V48" s="20">
        <f t="shared" si="17"/>
        <v>33.736870000000003</v>
      </c>
      <c r="W48" s="19">
        <f>Data!I46</f>
        <v>0</v>
      </c>
      <c r="X48" s="17" t="str">
        <f>CONCATENATE(Data!J46, " ", Data!K46)</f>
        <v xml:space="preserve"> </v>
      </c>
    </row>
    <row r="49" spans="1:24" x14ac:dyDescent="0.3">
      <c r="A49" s="17" t="str">
        <f>Data!A47</f>
        <v>vehicle1</v>
      </c>
      <c r="B49" s="17" t="str">
        <f>Data!B47</f>
        <v>Vehicle, Gasoline or Petrol</v>
      </c>
      <c r="C49" s="17" t="str">
        <f>Data!C47</f>
        <v>1f2g3h4j5k6l</v>
      </c>
      <c r="D49" s="52">
        <f>Data!D47</f>
        <v>45066.132210648146</v>
      </c>
      <c r="E49" s="60" t="str">
        <f>IF(Data!E47="GpsRecord",Data!F47,"")</f>
        <v/>
      </c>
      <c r="F49" s="68" t="str">
        <f t="shared" si="0"/>
        <v>Whispering Pines, 401 Loblolly Cir, Clayton, NC 27520, USA</v>
      </c>
      <c r="G49" t="b">
        <f t="shared" si="4"/>
        <v>0</v>
      </c>
      <c r="H49" t="b">
        <f t="shared" si="5"/>
        <v>0</v>
      </c>
      <c r="I49" t="b">
        <f t="shared" si="6"/>
        <v>0</v>
      </c>
      <c r="J49" t="str">
        <f t="shared" si="7"/>
        <v/>
      </c>
      <c r="K49" t="str">
        <f t="shared" si="8"/>
        <v/>
      </c>
      <c r="L49" t="str">
        <f t="shared" si="9"/>
        <v>,</v>
      </c>
      <c r="M49" t="str">
        <f t="shared" si="10"/>
        <v/>
      </c>
      <c r="N49" t="str">
        <f t="shared" si="11"/>
        <v/>
      </c>
      <c r="O49" t="str">
        <f t="shared" si="12"/>
        <v/>
      </c>
      <c r="P49" t="str">
        <f t="shared" si="13"/>
        <v/>
      </c>
      <c r="Q49" t="str">
        <f t="shared" si="14"/>
        <v/>
      </c>
      <c r="R49" s="20" t="str">
        <f t="shared" si="15"/>
        <v>NC</v>
      </c>
      <c r="S49" s="20" t="str">
        <f>IF(Data!E47="GpsRecord",Data!G47,"")</f>
        <v/>
      </c>
      <c r="T49" s="20" t="str">
        <f>IF(Data!E47="GpsRecord",Data!H47,"")</f>
        <v/>
      </c>
      <c r="U49" s="20">
        <f t="shared" si="16"/>
        <v>-39.421039999999998</v>
      </c>
      <c r="V49" s="20">
        <f t="shared" si="17"/>
        <v>33.736870000000003</v>
      </c>
      <c r="W49" s="19">
        <f>Data!I47</f>
        <v>0</v>
      </c>
      <c r="X49" s="17" t="str">
        <f>CONCATENATE(Data!J47, " ", Data!K47)</f>
        <v xml:space="preserve"> </v>
      </c>
    </row>
    <row r="50" spans="1:24" x14ac:dyDescent="0.3">
      <c r="A50" s="17" t="str">
        <f>Data!A48</f>
        <v>vehicle1</v>
      </c>
      <c r="B50" s="17" t="str">
        <f>Data!B48</f>
        <v>Vehicle, Gasoline or Petrol</v>
      </c>
      <c r="C50" s="17" t="str">
        <f>Data!C48</f>
        <v>1f2g3h4j5k6l</v>
      </c>
      <c r="D50" s="52">
        <f>Data!D48</f>
        <v>45066.132210648146</v>
      </c>
      <c r="E50" s="60" t="str">
        <f>IF(Data!E48="GpsRecord",Data!F48,"")</f>
        <v/>
      </c>
      <c r="F50" s="68" t="str">
        <f t="shared" si="0"/>
        <v>Whispering Pines, 401 Loblolly Cir, Clayton, NC 27520, USA</v>
      </c>
      <c r="G50" t="b">
        <f t="shared" si="4"/>
        <v>0</v>
      </c>
      <c r="H50" t="b">
        <f t="shared" si="5"/>
        <v>0</v>
      </c>
      <c r="I50" t="b">
        <f t="shared" si="6"/>
        <v>0</v>
      </c>
      <c r="J50" t="str">
        <f t="shared" si="7"/>
        <v/>
      </c>
      <c r="K50" t="str">
        <f t="shared" si="8"/>
        <v/>
      </c>
      <c r="L50" t="str">
        <f t="shared" si="9"/>
        <v>,</v>
      </c>
      <c r="M50" t="str">
        <f t="shared" si="10"/>
        <v/>
      </c>
      <c r="N50" t="str">
        <f t="shared" si="11"/>
        <v/>
      </c>
      <c r="O50" t="str">
        <f t="shared" si="12"/>
        <v/>
      </c>
      <c r="P50" t="str">
        <f t="shared" si="13"/>
        <v/>
      </c>
      <c r="Q50" t="str">
        <f t="shared" si="14"/>
        <v/>
      </c>
      <c r="R50" s="20" t="str">
        <f t="shared" si="15"/>
        <v>NC</v>
      </c>
      <c r="S50" s="20" t="str">
        <f>IF(Data!E48="GpsRecord",Data!G48,"")</f>
        <v/>
      </c>
      <c r="T50" s="20" t="str">
        <f>IF(Data!E48="GpsRecord",Data!H48,"")</f>
        <v/>
      </c>
      <c r="U50" s="20">
        <f t="shared" si="16"/>
        <v>-39.421039999999998</v>
      </c>
      <c r="V50" s="20">
        <f t="shared" si="17"/>
        <v>33.736870000000003</v>
      </c>
      <c r="W50" s="19">
        <f>Data!I48</f>
        <v>0</v>
      </c>
      <c r="X50" s="17" t="str">
        <f>CONCATENATE(Data!J48, " ", Data!K48)</f>
        <v xml:space="preserve"> </v>
      </c>
    </row>
    <row r="51" spans="1:24" x14ac:dyDescent="0.3">
      <c r="A51" s="17" t="str">
        <f>Data!A49</f>
        <v>vehicle1</v>
      </c>
      <c r="B51" s="17" t="str">
        <f>Data!B49</f>
        <v>Vehicle, Gasoline or Petrol</v>
      </c>
      <c r="C51" s="17" t="str">
        <f>Data!C49</f>
        <v>1f2g3h4j5k6l</v>
      </c>
      <c r="D51" s="52">
        <f>Data!D49</f>
        <v>45066.132210648146</v>
      </c>
      <c r="E51" s="60" t="str">
        <f>IF(Data!E49="GpsRecord",Data!F49,"")</f>
        <v/>
      </c>
      <c r="F51" s="68" t="str">
        <f t="shared" si="0"/>
        <v>Whispering Pines, 401 Loblolly Cir, Clayton, NC 27520, USA</v>
      </c>
      <c r="G51" t="b">
        <f t="shared" si="4"/>
        <v>0</v>
      </c>
      <c r="H51" t="b">
        <f t="shared" si="5"/>
        <v>0</v>
      </c>
      <c r="I51" t="b">
        <f t="shared" si="6"/>
        <v>0</v>
      </c>
      <c r="J51" t="str">
        <f t="shared" si="7"/>
        <v/>
      </c>
      <c r="K51" t="str">
        <f t="shared" si="8"/>
        <v/>
      </c>
      <c r="L51" t="str">
        <f t="shared" si="9"/>
        <v>,</v>
      </c>
      <c r="M51" t="str">
        <f t="shared" si="10"/>
        <v/>
      </c>
      <c r="N51" t="str">
        <f t="shared" si="11"/>
        <v/>
      </c>
      <c r="O51" t="str">
        <f t="shared" si="12"/>
        <v/>
      </c>
      <c r="P51" t="str">
        <f t="shared" si="13"/>
        <v/>
      </c>
      <c r="Q51" t="str">
        <f t="shared" si="14"/>
        <v/>
      </c>
      <c r="R51" s="20" t="str">
        <f t="shared" si="15"/>
        <v>NC</v>
      </c>
      <c r="S51" s="20" t="str">
        <f>IF(Data!E49="GpsRecord",Data!G49,"")</f>
        <v/>
      </c>
      <c r="T51" s="20" t="str">
        <f>IF(Data!E49="GpsRecord",Data!H49,"")</f>
        <v/>
      </c>
      <c r="U51" s="20">
        <f t="shared" si="16"/>
        <v>-39.421039999999998</v>
      </c>
      <c r="V51" s="20">
        <f t="shared" si="17"/>
        <v>33.736870000000003</v>
      </c>
      <c r="W51" s="19">
        <f>Data!I49</f>
        <v>0</v>
      </c>
      <c r="X51" s="17" t="str">
        <f>CONCATENATE(Data!J49, " ", Data!K49)</f>
        <v xml:space="preserve"> </v>
      </c>
    </row>
    <row r="52" spans="1:24" x14ac:dyDescent="0.3">
      <c r="A52" s="17" t="str">
        <f>Data!A50</f>
        <v>vehicle1</v>
      </c>
      <c r="B52" s="17" t="str">
        <f>Data!B50</f>
        <v>Vehicle, Gasoline or Petrol</v>
      </c>
      <c r="C52" s="17" t="str">
        <f>Data!C50</f>
        <v>1f2g3h4j5k6l</v>
      </c>
      <c r="D52" s="52">
        <f>Data!D50</f>
        <v>45066.132210648146</v>
      </c>
      <c r="E52" s="60" t="str">
        <f>IF(Data!E50="GpsRecord",Data!F50,"")</f>
        <v/>
      </c>
      <c r="F52" s="68" t="str">
        <f t="shared" si="0"/>
        <v>Whispering Pines, 401 Loblolly Cir, Clayton, NC 27520, USA</v>
      </c>
      <c r="G52" t="b">
        <f t="shared" si="4"/>
        <v>0</v>
      </c>
      <c r="H52" t="b">
        <f t="shared" si="5"/>
        <v>0</v>
      </c>
      <c r="I52" t="b">
        <f t="shared" si="6"/>
        <v>0</v>
      </c>
      <c r="J52" t="str">
        <f t="shared" si="7"/>
        <v/>
      </c>
      <c r="K52" t="str">
        <f t="shared" si="8"/>
        <v/>
      </c>
      <c r="L52" t="str">
        <f t="shared" si="9"/>
        <v>,</v>
      </c>
      <c r="M52" t="str">
        <f t="shared" si="10"/>
        <v/>
      </c>
      <c r="N52" t="str">
        <f t="shared" si="11"/>
        <v/>
      </c>
      <c r="O52" t="str">
        <f t="shared" si="12"/>
        <v/>
      </c>
      <c r="P52" t="str">
        <f t="shared" si="13"/>
        <v/>
      </c>
      <c r="Q52" t="str">
        <f t="shared" si="14"/>
        <v/>
      </c>
      <c r="R52" s="20" t="str">
        <f t="shared" si="15"/>
        <v>NC</v>
      </c>
      <c r="S52" s="20" t="str">
        <f>IF(Data!E50="GpsRecord",Data!G50,"")</f>
        <v/>
      </c>
      <c r="T52" s="20" t="str">
        <f>IF(Data!E50="GpsRecord",Data!H50,"")</f>
        <v/>
      </c>
      <c r="U52" s="20">
        <f t="shared" si="16"/>
        <v>-39.421039999999998</v>
      </c>
      <c r="V52" s="20">
        <f t="shared" si="17"/>
        <v>33.736870000000003</v>
      </c>
      <c r="W52" s="19">
        <f>Data!I50</f>
        <v>0</v>
      </c>
      <c r="X52" s="17" t="str">
        <f>CONCATENATE(Data!J50, " ", Data!K50)</f>
        <v xml:space="preserve"> </v>
      </c>
    </row>
    <row r="53" spans="1:24" x14ac:dyDescent="0.3">
      <c r="A53" s="17" t="str">
        <f>Data!A51</f>
        <v>vehicle1</v>
      </c>
      <c r="B53" s="17" t="str">
        <f>Data!B51</f>
        <v>Vehicle, Gasoline or Petrol</v>
      </c>
      <c r="C53" s="17" t="str">
        <f>Data!C51</f>
        <v>1f2g3h4j5k6l</v>
      </c>
      <c r="D53" s="52">
        <f>Data!D51</f>
        <v>45066.132210648146</v>
      </c>
      <c r="E53" s="60" t="str">
        <f>IF(Data!E51="GpsRecord",Data!F51,"")</f>
        <v/>
      </c>
      <c r="F53" s="68" t="str">
        <f t="shared" si="0"/>
        <v>Whispering Pines, 401 Loblolly Cir, Clayton, NC 27520, USA</v>
      </c>
      <c r="G53" t="b">
        <f t="shared" si="4"/>
        <v>0</v>
      </c>
      <c r="H53" t="b">
        <f t="shared" si="5"/>
        <v>0</v>
      </c>
      <c r="I53" t="b">
        <f t="shared" si="6"/>
        <v>0</v>
      </c>
      <c r="J53" t="str">
        <f t="shared" si="7"/>
        <v/>
      </c>
      <c r="K53" t="str">
        <f t="shared" si="8"/>
        <v/>
      </c>
      <c r="L53" t="str">
        <f t="shared" si="9"/>
        <v>,</v>
      </c>
      <c r="M53" t="str">
        <f t="shared" si="10"/>
        <v/>
      </c>
      <c r="N53" t="str">
        <f t="shared" si="11"/>
        <v/>
      </c>
      <c r="O53" t="str">
        <f t="shared" si="12"/>
        <v/>
      </c>
      <c r="P53" t="str">
        <f t="shared" si="13"/>
        <v/>
      </c>
      <c r="Q53" t="str">
        <f t="shared" si="14"/>
        <v/>
      </c>
      <c r="R53" s="20" t="str">
        <f t="shared" si="15"/>
        <v>NC</v>
      </c>
      <c r="S53" s="20" t="str">
        <f>IF(Data!E51="GpsRecord",Data!G51,"")</f>
        <v/>
      </c>
      <c r="T53" s="20" t="str">
        <f>IF(Data!E51="GpsRecord",Data!H51,"")</f>
        <v/>
      </c>
      <c r="U53" s="20">
        <f t="shared" si="16"/>
        <v>-39.421039999999998</v>
      </c>
      <c r="V53" s="20">
        <f t="shared" si="17"/>
        <v>33.736870000000003</v>
      </c>
      <c r="W53" s="19">
        <f>Data!I51</f>
        <v>0</v>
      </c>
      <c r="X53" s="17" t="str">
        <f>CONCATENATE(Data!J51, " ", Data!K51)</f>
        <v xml:space="preserve"> </v>
      </c>
    </row>
    <row r="54" spans="1:24" x14ac:dyDescent="0.3">
      <c r="A54" s="17" t="str">
        <f>Data!A52</f>
        <v>vehicle1</v>
      </c>
      <c r="B54" s="17" t="str">
        <f>Data!B52</f>
        <v>Vehicle, Gasoline or Petrol</v>
      </c>
      <c r="C54" s="17" t="str">
        <f>Data!C52</f>
        <v>1f2g3h4j5k6l</v>
      </c>
      <c r="D54" s="52">
        <f>Data!D52</f>
        <v>45066.132210648146</v>
      </c>
      <c r="E54" s="60" t="str">
        <f>IF(Data!E52="GpsRecord",Data!F52,"")</f>
        <v/>
      </c>
      <c r="F54" s="68" t="str">
        <f t="shared" si="0"/>
        <v>Whispering Pines, 401 Loblolly Cir, Clayton, NC 27520, USA</v>
      </c>
      <c r="G54" t="b">
        <f t="shared" si="4"/>
        <v>0</v>
      </c>
      <c r="H54" t="b">
        <f t="shared" si="5"/>
        <v>0</v>
      </c>
      <c r="I54" t="b">
        <f t="shared" si="6"/>
        <v>0</v>
      </c>
      <c r="J54" t="str">
        <f t="shared" si="7"/>
        <v/>
      </c>
      <c r="K54" t="str">
        <f t="shared" si="8"/>
        <v/>
      </c>
      <c r="L54" t="str">
        <f t="shared" si="9"/>
        <v>,</v>
      </c>
      <c r="M54" t="str">
        <f t="shared" si="10"/>
        <v/>
      </c>
      <c r="N54" t="str">
        <f t="shared" si="11"/>
        <v/>
      </c>
      <c r="O54" t="str">
        <f t="shared" si="12"/>
        <v/>
      </c>
      <c r="P54" t="str">
        <f t="shared" si="13"/>
        <v/>
      </c>
      <c r="Q54" t="str">
        <f t="shared" si="14"/>
        <v/>
      </c>
      <c r="R54" s="20" t="str">
        <f t="shared" si="15"/>
        <v>NC</v>
      </c>
      <c r="S54" s="20" t="str">
        <f>IF(Data!E52="GpsRecord",Data!G52,"")</f>
        <v/>
      </c>
      <c r="T54" s="20" t="str">
        <f>IF(Data!E52="GpsRecord",Data!H52,"")</f>
        <v/>
      </c>
      <c r="U54" s="20">
        <f t="shared" si="16"/>
        <v>-39.421039999999998</v>
      </c>
      <c r="V54" s="20">
        <f t="shared" si="17"/>
        <v>33.736870000000003</v>
      </c>
      <c r="W54" s="19" t="str">
        <f>Data!I52</f>
        <v>Vehicle active (idle or driving)</v>
      </c>
      <c r="X54" s="17" t="str">
        <f>CONCATENATE(Data!J52, " ", Data!K52)</f>
        <v>1 None</v>
      </c>
    </row>
    <row r="55" spans="1:24" x14ac:dyDescent="0.3">
      <c r="A55" s="17" t="str">
        <f>Data!A53</f>
        <v>vehicle1</v>
      </c>
      <c r="B55" s="17" t="str">
        <f>Data!B53</f>
        <v>Vehicle, Gasoline or Petrol</v>
      </c>
      <c r="C55" s="17" t="str">
        <f>Data!C53</f>
        <v>1f2g3h4j5k6l</v>
      </c>
      <c r="D55" s="52">
        <f>Data!D53</f>
        <v>45066.132210648146</v>
      </c>
      <c r="E55" s="60" t="str">
        <f>IF(Data!E53="GpsRecord",Data!F53,"")</f>
        <v/>
      </c>
      <c r="F55" s="68" t="str">
        <f t="shared" si="0"/>
        <v>Whispering Pines, 401 Loblolly Cir, Clayton, NC 27520, USA</v>
      </c>
      <c r="G55" t="b">
        <f t="shared" si="4"/>
        <v>0</v>
      </c>
      <c r="H55" t="b">
        <f t="shared" si="5"/>
        <v>0</v>
      </c>
      <c r="I55" t="b">
        <f t="shared" si="6"/>
        <v>0</v>
      </c>
      <c r="J55" t="str">
        <f t="shared" si="7"/>
        <v/>
      </c>
      <c r="K55" t="str">
        <f t="shared" si="8"/>
        <v/>
      </c>
      <c r="L55" t="str">
        <f t="shared" si="9"/>
        <v>,</v>
      </c>
      <c r="M55" t="str">
        <f t="shared" si="10"/>
        <v/>
      </c>
      <c r="N55" t="str">
        <f t="shared" si="11"/>
        <v/>
      </c>
      <c r="O55" t="str">
        <f t="shared" si="12"/>
        <v/>
      </c>
      <c r="P55" t="str">
        <f t="shared" si="13"/>
        <v/>
      </c>
      <c r="Q55" t="str">
        <f t="shared" si="14"/>
        <v/>
      </c>
      <c r="R55" s="20" t="str">
        <f t="shared" si="15"/>
        <v>NC</v>
      </c>
      <c r="S55" s="20" t="str">
        <f>IF(Data!E53="GpsRecord",Data!G53,"")</f>
        <v/>
      </c>
      <c r="T55" s="20" t="str">
        <f>IF(Data!E53="GpsRecord",Data!H53,"")</f>
        <v/>
      </c>
      <c r="U55" s="20">
        <f t="shared" si="16"/>
        <v>-39.421039999999998</v>
      </c>
      <c r="V55" s="20">
        <f t="shared" si="17"/>
        <v>33.736870000000003</v>
      </c>
      <c r="W55" s="19">
        <f>Data!I53</f>
        <v>0</v>
      </c>
      <c r="X55" s="17" t="str">
        <f>CONCATENATE(Data!J53, " ", Data!K53)</f>
        <v xml:space="preserve"> </v>
      </c>
    </row>
    <row r="56" spans="1:24" x14ac:dyDescent="0.3">
      <c r="A56" s="17" t="str">
        <f>Data!A54</f>
        <v>vehicle1</v>
      </c>
      <c r="B56" s="17" t="str">
        <f>Data!B54</f>
        <v>Vehicle, Gasoline or Petrol</v>
      </c>
      <c r="C56" s="17" t="str">
        <f>Data!C54</f>
        <v>1f2g3h4j5k6l</v>
      </c>
      <c r="D56" s="52">
        <f>Data!D54</f>
        <v>45066.132210648146</v>
      </c>
      <c r="E56" s="60" t="str">
        <f>IF(Data!E54="GpsRecord",Data!F54,"")</f>
        <v/>
      </c>
      <c r="F56" s="68" t="str">
        <f t="shared" si="0"/>
        <v>Whispering Pines, 401 Loblolly Cir, Clayton, NC 27520, USA</v>
      </c>
      <c r="G56" t="b">
        <f t="shared" si="4"/>
        <v>0</v>
      </c>
      <c r="H56" t="b">
        <f t="shared" si="5"/>
        <v>0</v>
      </c>
      <c r="I56" t="b">
        <f t="shared" si="6"/>
        <v>0</v>
      </c>
      <c r="J56" t="str">
        <f t="shared" si="7"/>
        <v/>
      </c>
      <c r="K56" t="str">
        <f t="shared" si="8"/>
        <v/>
      </c>
      <c r="L56" t="str">
        <f t="shared" si="9"/>
        <v>,</v>
      </c>
      <c r="M56" t="str">
        <f t="shared" si="10"/>
        <v/>
      </c>
      <c r="N56" t="str">
        <f t="shared" si="11"/>
        <v/>
      </c>
      <c r="O56" t="str">
        <f t="shared" si="12"/>
        <v/>
      </c>
      <c r="P56" t="str">
        <f t="shared" si="13"/>
        <v/>
      </c>
      <c r="Q56" t="str">
        <f t="shared" si="14"/>
        <v/>
      </c>
      <c r="R56" s="20" t="str">
        <f t="shared" si="15"/>
        <v>NC</v>
      </c>
      <c r="S56" s="20" t="str">
        <f>IF(Data!E54="GpsRecord",Data!G54,"")</f>
        <v/>
      </c>
      <c r="T56" s="20" t="str">
        <f>IF(Data!E54="GpsRecord",Data!H54,"")</f>
        <v/>
      </c>
      <c r="U56" s="20">
        <f t="shared" si="16"/>
        <v>-39.421039999999998</v>
      </c>
      <c r="V56" s="20">
        <f t="shared" si="17"/>
        <v>33.736870000000003</v>
      </c>
      <c r="W56" s="19">
        <f>Data!I54</f>
        <v>0</v>
      </c>
      <c r="X56" s="17" t="str">
        <f>CONCATENATE(Data!J54, " ", Data!K54)</f>
        <v xml:space="preserve"> </v>
      </c>
    </row>
    <row r="57" spans="1:24" x14ac:dyDescent="0.3">
      <c r="A57" s="17" t="str">
        <f>Data!A55</f>
        <v>vehicle1</v>
      </c>
      <c r="B57" s="17" t="str">
        <f>Data!B55</f>
        <v>Vehicle, Gasoline or Petrol</v>
      </c>
      <c r="C57" s="17" t="str">
        <f>Data!C55</f>
        <v>1f2g3h4j5k6l</v>
      </c>
      <c r="D57" s="52">
        <f>Data!D55</f>
        <v>45066.132210648146</v>
      </c>
      <c r="E57" s="60" t="str">
        <f>IF(Data!E55="GpsRecord",Data!F55,"")</f>
        <v/>
      </c>
      <c r="F57" s="68" t="str">
        <f t="shared" si="0"/>
        <v>Whispering Pines, 401 Loblolly Cir, Clayton, NC 27520, USA</v>
      </c>
      <c r="G57" t="b">
        <f t="shared" si="4"/>
        <v>0</v>
      </c>
      <c r="H57" t="b">
        <f t="shared" si="5"/>
        <v>0</v>
      </c>
      <c r="I57" t="b">
        <f t="shared" si="6"/>
        <v>0</v>
      </c>
      <c r="J57" t="str">
        <f t="shared" si="7"/>
        <v/>
      </c>
      <c r="K57" t="str">
        <f t="shared" si="8"/>
        <v/>
      </c>
      <c r="L57" t="str">
        <f t="shared" si="9"/>
        <v>,</v>
      </c>
      <c r="M57" t="str">
        <f t="shared" si="10"/>
        <v/>
      </c>
      <c r="N57" t="str">
        <f t="shared" si="11"/>
        <v/>
      </c>
      <c r="O57" t="str">
        <f t="shared" si="12"/>
        <v/>
      </c>
      <c r="P57" t="str">
        <f t="shared" si="13"/>
        <v/>
      </c>
      <c r="Q57" t="str">
        <f t="shared" si="14"/>
        <v/>
      </c>
      <c r="R57" s="20" t="str">
        <f t="shared" si="15"/>
        <v>NC</v>
      </c>
      <c r="S57" s="20" t="str">
        <f>IF(Data!E55="GpsRecord",Data!G55,"")</f>
        <v/>
      </c>
      <c r="T57" s="20" t="str">
        <f>IF(Data!E55="GpsRecord",Data!H55,"")</f>
        <v/>
      </c>
      <c r="U57" s="20">
        <f t="shared" si="16"/>
        <v>-39.421039999999998</v>
      </c>
      <c r="V57" s="20">
        <f t="shared" si="17"/>
        <v>33.736870000000003</v>
      </c>
      <c r="W57" s="19">
        <f>Data!I55</f>
        <v>0</v>
      </c>
      <c r="X57" s="17" t="str">
        <f>CONCATENATE(Data!J55, " ", Data!K55)</f>
        <v xml:space="preserve"> </v>
      </c>
    </row>
    <row r="58" spans="1:24" x14ac:dyDescent="0.3">
      <c r="A58" s="17" t="str">
        <f>Data!A56</f>
        <v>vehicle1</v>
      </c>
      <c r="B58" s="17" t="str">
        <f>Data!B56</f>
        <v>Vehicle, Gasoline or Petrol</v>
      </c>
      <c r="C58" s="17" t="str">
        <f>Data!C56</f>
        <v>1f2g3h4j5k6l</v>
      </c>
      <c r="D58" s="52">
        <f>Data!D56</f>
        <v>45066.132210648146</v>
      </c>
      <c r="E58" s="60" t="str">
        <f>IF(Data!E56="GpsRecord",Data!F56,"")</f>
        <v/>
      </c>
      <c r="F58" s="68" t="str">
        <f t="shared" si="0"/>
        <v>Whispering Pines, 401 Loblolly Cir, Clayton, NC 27520, USA</v>
      </c>
      <c r="G58" t="b">
        <f t="shared" si="4"/>
        <v>0</v>
      </c>
      <c r="H58" t="b">
        <f t="shared" si="5"/>
        <v>0</v>
      </c>
      <c r="I58" t="b">
        <f t="shared" si="6"/>
        <v>0</v>
      </c>
      <c r="J58" t="str">
        <f t="shared" si="7"/>
        <v/>
      </c>
      <c r="K58" t="str">
        <f t="shared" si="8"/>
        <v/>
      </c>
      <c r="L58" t="str">
        <f t="shared" si="9"/>
        <v>,</v>
      </c>
      <c r="M58" t="str">
        <f t="shared" si="10"/>
        <v/>
      </c>
      <c r="N58" t="str">
        <f t="shared" si="11"/>
        <v/>
      </c>
      <c r="O58" t="str">
        <f t="shared" si="12"/>
        <v/>
      </c>
      <c r="P58" t="str">
        <f t="shared" si="13"/>
        <v/>
      </c>
      <c r="Q58" t="str">
        <f t="shared" si="14"/>
        <v/>
      </c>
      <c r="R58" s="20" t="str">
        <f t="shared" si="15"/>
        <v>NC</v>
      </c>
      <c r="S58" s="20" t="str">
        <f>IF(Data!E56="GpsRecord",Data!G56,"")</f>
        <v/>
      </c>
      <c r="T58" s="20" t="str">
        <f>IF(Data!E56="GpsRecord",Data!H56,"")</f>
        <v/>
      </c>
      <c r="U58" s="20">
        <f t="shared" si="16"/>
        <v>-39.421039999999998</v>
      </c>
      <c r="V58" s="20">
        <f t="shared" si="17"/>
        <v>33.736870000000003</v>
      </c>
      <c r="W58" s="19">
        <f>Data!I56</f>
        <v>0</v>
      </c>
      <c r="X58" s="17" t="str">
        <f>CONCATENATE(Data!J56, " ", Data!K56)</f>
        <v xml:space="preserve"> </v>
      </c>
    </row>
    <row r="59" spans="1:24" x14ac:dyDescent="0.3">
      <c r="A59" s="17" t="str">
        <f>Data!A57</f>
        <v>vehicle1</v>
      </c>
      <c r="B59" s="17" t="str">
        <f>Data!B57</f>
        <v>Vehicle, Gasoline or Petrol</v>
      </c>
      <c r="C59" s="17" t="str">
        <f>Data!C57</f>
        <v>1f2g3h4j5k6l</v>
      </c>
      <c r="D59" s="52">
        <f>Data!D57</f>
        <v>45066.132210648146</v>
      </c>
      <c r="E59" s="60" t="str">
        <f>IF(Data!E57="GpsRecord",Data!F57,"")</f>
        <v/>
      </c>
      <c r="F59" s="68" t="str">
        <f t="shared" si="0"/>
        <v>Whispering Pines, 401 Loblolly Cir, Clayton, NC 27520, USA</v>
      </c>
      <c r="G59" t="b">
        <f t="shared" si="4"/>
        <v>0</v>
      </c>
      <c r="H59" t="b">
        <f t="shared" si="5"/>
        <v>0</v>
      </c>
      <c r="I59" t="b">
        <f t="shared" si="6"/>
        <v>0</v>
      </c>
      <c r="J59" t="str">
        <f t="shared" si="7"/>
        <v/>
      </c>
      <c r="K59" t="str">
        <f t="shared" si="8"/>
        <v/>
      </c>
      <c r="L59" t="str">
        <f t="shared" si="9"/>
        <v>,</v>
      </c>
      <c r="M59" t="str">
        <f t="shared" si="10"/>
        <v/>
      </c>
      <c r="N59" t="str">
        <f t="shared" si="11"/>
        <v/>
      </c>
      <c r="O59" t="str">
        <f t="shared" si="12"/>
        <v/>
      </c>
      <c r="P59" t="str">
        <f t="shared" si="13"/>
        <v/>
      </c>
      <c r="Q59" t="str">
        <f t="shared" si="14"/>
        <v/>
      </c>
      <c r="R59" s="20" t="str">
        <f t="shared" si="15"/>
        <v>NC</v>
      </c>
      <c r="S59" s="20" t="str">
        <f>IF(Data!E57="GpsRecord",Data!G57,"")</f>
        <v/>
      </c>
      <c r="T59" s="20" t="str">
        <f>IF(Data!E57="GpsRecord",Data!H57,"")</f>
        <v/>
      </c>
      <c r="U59" s="20">
        <f t="shared" si="16"/>
        <v>-39.421039999999998</v>
      </c>
      <c r="V59" s="20">
        <f t="shared" si="17"/>
        <v>33.736870000000003</v>
      </c>
      <c r="W59" s="19">
        <f>Data!I57</f>
        <v>0</v>
      </c>
      <c r="X59" s="17" t="str">
        <f>CONCATENATE(Data!J57, " ", Data!K57)</f>
        <v xml:space="preserve"> </v>
      </c>
    </row>
    <row r="60" spans="1:24" x14ac:dyDescent="0.3">
      <c r="A60" s="17" t="str">
        <f>Data!A58</f>
        <v>vehicle1</v>
      </c>
      <c r="B60" s="17" t="str">
        <f>Data!B58</f>
        <v>Vehicle, Gasoline or Petrol</v>
      </c>
      <c r="C60" s="17" t="str">
        <f>Data!C58</f>
        <v>1f2g3h4j5k6l</v>
      </c>
      <c r="D60" s="52">
        <f>Data!D58</f>
        <v>45066.132210648146</v>
      </c>
      <c r="E60" s="60" t="str">
        <f>IF(Data!E58="GpsRecord",Data!F58,"")</f>
        <v/>
      </c>
      <c r="F60" s="68" t="str">
        <f t="shared" si="0"/>
        <v>Whispering Pines, 401 Loblolly Cir, Clayton, NC 27520, USA</v>
      </c>
      <c r="G60" t="b">
        <f t="shared" si="4"/>
        <v>0</v>
      </c>
      <c r="H60" t="b">
        <f t="shared" si="5"/>
        <v>0</v>
      </c>
      <c r="I60" t="b">
        <f t="shared" si="6"/>
        <v>0</v>
      </c>
      <c r="J60" t="str">
        <f t="shared" si="7"/>
        <v/>
      </c>
      <c r="K60" t="str">
        <f t="shared" si="8"/>
        <v/>
      </c>
      <c r="L60" t="str">
        <f t="shared" si="9"/>
        <v>,</v>
      </c>
      <c r="M60" t="str">
        <f t="shared" si="10"/>
        <v/>
      </c>
      <c r="N60" t="str">
        <f t="shared" si="11"/>
        <v/>
      </c>
      <c r="O60" t="str">
        <f t="shared" si="12"/>
        <v/>
      </c>
      <c r="P60" t="str">
        <f t="shared" si="13"/>
        <v/>
      </c>
      <c r="Q60" t="str">
        <f t="shared" si="14"/>
        <v/>
      </c>
      <c r="R60" s="20" t="str">
        <f t="shared" si="15"/>
        <v>NC</v>
      </c>
      <c r="S60" s="20" t="str">
        <f>IF(Data!E58="GpsRecord",Data!G58,"")</f>
        <v/>
      </c>
      <c r="T60" s="20" t="str">
        <f>IF(Data!E58="GpsRecord",Data!H58,"")</f>
        <v/>
      </c>
      <c r="U60" s="20">
        <f t="shared" si="16"/>
        <v>-39.421039999999998</v>
      </c>
      <c r="V60" s="20">
        <f t="shared" si="17"/>
        <v>33.736870000000003</v>
      </c>
      <c r="W60" s="19">
        <f>Data!I58</f>
        <v>0</v>
      </c>
      <c r="X60" s="17" t="str">
        <f>CONCATENATE(Data!J58, " ", Data!K58)</f>
        <v xml:space="preserve"> </v>
      </c>
    </row>
    <row r="61" spans="1:24" x14ac:dyDescent="0.3">
      <c r="A61" s="17" t="str">
        <f>Data!A59</f>
        <v>vehicle1</v>
      </c>
      <c r="B61" s="17" t="str">
        <f>Data!B59</f>
        <v>Vehicle, Gasoline or Petrol</v>
      </c>
      <c r="C61" s="17" t="str">
        <f>Data!C59</f>
        <v>1f2g3h4j5k6l</v>
      </c>
      <c r="D61" s="52">
        <f>Data!D59</f>
        <v>45066.132210648146</v>
      </c>
      <c r="E61" s="60" t="str">
        <f>IF(Data!E59="GpsRecord",Data!F59,"")</f>
        <v/>
      </c>
      <c r="F61" s="68" t="str">
        <f t="shared" si="0"/>
        <v>Whispering Pines, 401 Loblolly Cir, Clayton, NC 27520, USA</v>
      </c>
      <c r="G61" t="b">
        <f t="shared" si="4"/>
        <v>0</v>
      </c>
      <c r="H61" t="b">
        <f t="shared" si="5"/>
        <v>0</v>
      </c>
      <c r="I61" t="b">
        <f t="shared" si="6"/>
        <v>0</v>
      </c>
      <c r="J61" t="str">
        <f t="shared" si="7"/>
        <v/>
      </c>
      <c r="K61" t="str">
        <f t="shared" si="8"/>
        <v/>
      </c>
      <c r="L61" t="str">
        <f t="shared" si="9"/>
        <v>,</v>
      </c>
      <c r="M61" t="str">
        <f t="shared" si="10"/>
        <v/>
      </c>
      <c r="N61" t="str">
        <f t="shared" si="11"/>
        <v/>
      </c>
      <c r="O61" t="str">
        <f t="shared" si="12"/>
        <v/>
      </c>
      <c r="P61" t="str">
        <f t="shared" si="13"/>
        <v/>
      </c>
      <c r="Q61" t="str">
        <f t="shared" si="14"/>
        <v/>
      </c>
      <c r="R61" s="20" t="str">
        <f t="shared" si="15"/>
        <v>NC</v>
      </c>
      <c r="S61" s="20" t="str">
        <f>IF(Data!E59="GpsRecord",Data!G59,"")</f>
        <v/>
      </c>
      <c r="T61" s="20" t="str">
        <f>IF(Data!E59="GpsRecord",Data!H59,"")</f>
        <v/>
      </c>
      <c r="U61" s="20">
        <f t="shared" si="16"/>
        <v>-39.421039999999998</v>
      </c>
      <c r="V61" s="20">
        <f t="shared" si="17"/>
        <v>33.736870000000003</v>
      </c>
      <c r="W61" s="19" t="str">
        <f>Data!I59</f>
        <v>Generic vehicle data contract active</v>
      </c>
      <c r="X61" s="17" t="str">
        <f>CONCATENATE(Data!J59, " ", Data!K59)</f>
        <v>1 None</v>
      </c>
    </row>
    <row r="62" spans="1:24" x14ac:dyDescent="0.3">
      <c r="A62" s="17" t="str">
        <f>Data!A60</f>
        <v>vehicle1</v>
      </c>
      <c r="B62" s="17" t="str">
        <f>Data!B60</f>
        <v>Vehicle, Gasoline or Petrol</v>
      </c>
      <c r="C62" s="17" t="str">
        <f>Data!C60</f>
        <v>1f2g3h4j5k6l</v>
      </c>
      <c r="D62" s="52">
        <f>Data!D60</f>
        <v>45066.132210648146</v>
      </c>
      <c r="E62" s="60" t="str">
        <f>IF(Data!E60="GpsRecord",Data!F60,"")</f>
        <v/>
      </c>
      <c r="F62" s="68" t="str">
        <f t="shared" si="0"/>
        <v>Whispering Pines, 401 Loblolly Cir, Clayton, NC 27520, USA</v>
      </c>
      <c r="G62" t="b">
        <f t="shared" si="4"/>
        <v>0</v>
      </c>
      <c r="H62" t="b">
        <f t="shared" si="5"/>
        <v>0</v>
      </c>
      <c r="I62" t="b">
        <f t="shared" si="6"/>
        <v>0</v>
      </c>
      <c r="J62" t="str">
        <f t="shared" si="7"/>
        <v/>
      </c>
      <c r="K62" t="str">
        <f t="shared" si="8"/>
        <v/>
      </c>
      <c r="L62" t="str">
        <f t="shared" si="9"/>
        <v>,</v>
      </c>
      <c r="M62" t="str">
        <f t="shared" si="10"/>
        <v/>
      </c>
      <c r="N62" t="str">
        <f t="shared" si="11"/>
        <v/>
      </c>
      <c r="O62" t="str">
        <f t="shared" si="12"/>
        <v/>
      </c>
      <c r="P62" t="str">
        <f t="shared" si="13"/>
        <v/>
      </c>
      <c r="Q62" t="str">
        <f t="shared" si="14"/>
        <v/>
      </c>
      <c r="R62" s="20" t="str">
        <f t="shared" si="15"/>
        <v>NC</v>
      </c>
      <c r="S62" s="20" t="str">
        <f>IF(Data!E60="GpsRecord",Data!G60,"")</f>
        <v/>
      </c>
      <c r="T62" s="20" t="str">
        <f>IF(Data!E60="GpsRecord",Data!H60,"")</f>
        <v/>
      </c>
      <c r="U62" s="20">
        <f t="shared" si="16"/>
        <v>-39.421039999999998</v>
      </c>
      <c r="V62" s="20">
        <f t="shared" si="17"/>
        <v>33.736870000000003</v>
      </c>
      <c r="W62" s="19" t="str">
        <f>Data!I60</f>
        <v>Generic incremental distance (based on engine road speed)</v>
      </c>
      <c r="X62" s="17" t="str">
        <f>CONCATENATE(Data!J60, " ", Data!K60)</f>
        <v>0 km</v>
      </c>
    </row>
    <row r="63" spans="1:24" x14ac:dyDescent="0.3">
      <c r="A63" s="17" t="str">
        <f>Data!A61</f>
        <v>vehicle1</v>
      </c>
      <c r="B63" s="17" t="str">
        <f>Data!B61</f>
        <v>Vehicle, Gasoline or Petrol</v>
      </c>
      <c r="C63" s="17" t="str">
        <f>Data!C61</f>
        <v>1f2g3h4j5k6l</v>
      </c>
      <c r="D63" s="52">
        <f>Data!D61</f>
        <v>45066.132210648146</v>
      </c>
      <c r="E63" s="60" t="str">
        <f>IF(Data!E61="GpsRecord",Data!F61,"")</f>
        <v/>
      </c>
      <c r="F63" s="68" t="str">
        <f t="shared" si="0"/>
        <v>Whispering Pines, 401 Loblolly Cir, Clayton, NC 27520, USA</v>
      </c>
      <c r="G63" t="b">
        <f t="shared" si="4"/>
        <v>0</v>
      </c>
      <c r="H63" t="b">
        <f t="shared" si="5"/>
        <v>0</v>
      </c>
      <c r="I63" t="b">
        <f t="shared" si="6"/>
        <v>0</v>
      </c>
      <c r="J63" t="str">
        <f t="shared" si="7"/>
        <v/>
      </c>
      <c r="K63" t="str">
        <f t="shared" si="8"/>
        <v/>
      </c>
      <c r="L63" t="str">
        <f t="shared" si="9"/>
        <v>,</v>
      </c>
      <c r="M63" t="str">
        <f t="shared" si="10"/>
        <v/>
      </c>
      <c r="N63" t="str">
        <f t="shared" si="11"/>
        <v/>
      </c>
      <c r="O63" t="str">
        <f t="shared" si="12"/>
        <v/>
      </c>
      <c r="P63" t="str">
        <f t="shared" si="13"/>
        <v/>
      </c>
      <c r="Q63" t="str">
        <f t="shared" si="14"/>
        <v/>
      </c>
      <c r="R63" s="20" t="str">
        <f t="shared" si="15"/>
        <v>NC</v>
      </c>
      <c r="S63" s="20" t="str">
        <f>IF(Data!E61="GpsRecord",Data!G61,"")</f>
        <v/>
      </c>
      <c r="T63" s="20" t="str">
        <f>IF(Data!E61="GpsRecord",Data!H61,"")</f>
        <v/>
      </c>
      <c r="U63" s="20">
        <f t="shared" si="16"/>
        <v>-39.421039999999998</v>
      </c>
      <c r="V63" s="20">
        <f t="shared" si="17"/>
        <v>33.736870000000003</v>
      </c>
      <c r="W63" s="19">
        <f>Data!I61</f>
        <v>0</v>
      </c>
      <c r="X63" s="17" t="str">
        <f>CONCATENATE(Data!J61, " ", Data!K61)</f>
        <v xml:space="preserve"> </v>
      </c>
    </row>
    <row r="64" spans="1:24" x14ac:dyDescent="0.3">
      <c r="A64" s="17" t="str">
        <f>Data!A62</f>
        <v>vehicle1</v>
      </c>
      <c r="B64" s="17" t="str">
        <f>Data!B62</f>
        <v>Vehicle, Gasoline or Petrol</v>
      </c>
      <c r="C64" s="17" t="str">
        <f>Data!C62</f>
        <v>1f2g3h4j5k6l</v>
      </c>
      <c r="D64" s="52">
        <f>Data!D62</f>
        <v>45066.132210648146</v>
      </c>
      <c r="E64" s="60" t="str">
        <f>IF(Data!E62="GpsRecord",Data!F62,"")</f>
        <v/>
      </c>
      <c r="F64" s="68" t="str">
        <f t="shared" si="0"/>
        <v>Whispering Pines, 401 Loblolly Cir, Clayton, NC 27520, USA</v>
      </c>
      <c r="G64" t="b">
        <f t="shared" si="4"/>
        <v>0</v>
      </c>
      <c r="H64" t="b">
        <f t="shared" si="5"/>
        <v>0</v>
      </c>
      <c r="I64" t="b">
        <f t="shared" si="6"/>
        <v>0</v>
      </c>
      <c r="J64" t="str">
        <f t="shared" si="7"/>
        <v/>
      </c>
      <c r="K64" t="str">
        <f t="shared" si="8"/>
        <v/>
      </c>
      <c r="L64" t="str">
        <f t="shared" si="9"/>
        <v>,</v>
      </c>
      <c r="M64" t="str">
        <f t="shared" si="10"/>
        <v/>
      </c>
      <c r="N64" t="str">
        <f t="shared" si="11"/>
        <v/>
      </c>
      <c r="O64" t="str">
        <f t="shared" si="12"/>
        <v/>
      </c>
      <c r="P64" t="str">
        <f t="shared" si="13"/>
        <v/>
      </c>
      <c r="Q64" t="str">
        <f t="shared" si="14"/>
        <v/>
      </c>
      <c r="R64" s="20" t="str">
        <f t="shared" si="15"/>
        <v>NC</v>
      </c>
      <c r="S64" s="20" t="str">
        <f>IF(Data!E62="GpsRecord",Data!G62,"")</f>
        <v/>
      </c>
      <c r="T64" s="20" t="str">
        <f>IF(Data!E62="GpsRecord",Data!H62,"")</f>
        <v/>
      </c>
      <c r="U64" s="20">
        <f t="shared" si="16"/>
        <v>-39.421039999999998</v>
      </c>
      <c r="V64" s="20">
        <f t="shared" si="17"/>
        <v>33.736870000000003</v>
      </c>
      <c r="W64" s="19">
        <f>Data!I62</f>
        <v>0</v>
      </c>
      <c r="X64" s="17" t="str">
        <f>CONCATENATE(Data!J62, " ", Data!K62)</f>
        <v xml:space="preserve"> </v>
      </c>
    </row>
    <row r="65" spans="1:24" x14ac:dyDescent="0.3">
      <c r="A65" s="17" t="str">
        <f>Data!A63</f>
        <v>vehicle1</v>
      </c>
      <c r="B65" s="17" t="str">
        <f>Data!B63</f>
        <v>Vehicle, Gasoline or Petrol</v>
      </c>
      <c r="C65" s="17" t="str">
        <f>Data!C63</f>
        <v>1f2g3h4j5k6l</v>
      </c>
      <c r="D65" s="52">
        <f>Data!D63</f>
        <v>45066.132210648146</v>
      </c>
      <c r="E65" s="60" t="str">
        <f>IF(Data!E63="GpsRecord",Data!F63,"")</f>
        <v/>
      </c>
      <c r="F65" s="68" t="str">
        <f t="shared" si="0"/>
        <v>Whispering Pines, 401 Loblolly Cir, Clayton, NC 27520, USA</v>
      </c>
      <c r="G65" t="b">
        <f t="shared" si="4"/>
        <v>0</v>
      </c>
      <c r="H65" t="b">
        <f t="shared" si="5"/>
        <v>0</v>
      </c>
      <c r="I65" t="b">
        <f t="shared" si="6"/>
        <v>0</v>
      </c>
      <c r="J65" t="str">
        <f t="shared" si="7"/>
        <v/>
      </c>
      <c r="K65" t="str">
        <f t="shared" si="8"/>
        <v/>
      </c>
      <c r="L65" t="str">
        <f t="shared" si="9"/>
        <v>,</v>
      </c>
      <c r="M65" t="str">
        <f t="shared" si="10"/>
        <v/>
      </c>
      <c r="N65" t="str">
        <f t="shared" si="11"/>
        <v/>
      </c>
      <c r="O65" t="str">
        <f t="shared" si="12"/>
        <v/>
      </c>
      <c r="P65" t="str">
        <f t="shared" si="13"/>
        <v/>
      </c>
      <c r="Q65" t="str">
        <f t="shared" si="14"/>
        <v/>
      </c>
      <c r="R65" s="20" t="str">
        <f t="shared" si="15"/>
        <v>NC</v>
      </c>
      <c r="S65" s="20" t="str">
        <f>IF(Data!E63="GpsRecord",Data!G63,"")</f>
        <v/>
      </c>
      <c r="T65" s="20" t="str">
        <f>IF(Data!E63="GpsRecord",Data!H63,"")</f>
        <v/>
      </c>
      <c r="U65" s="20">
        <f t="shared" si="16"/>
        <v>-39.421039999999998</v>
      </c>
      <c r="V65" s="20">
        <f t="shared" si="17"/>
        <v>33.736870000000003</v>
      </c>
      <c r="W65" s="19">
        <f>Data!I63</f>
        <v>0</v>
      </c>
      <c r="X65" s="17" t="str">
        <f>CONCATENATE(Data!J63, " ", Data!K63)</f>
        <v xml:space="preserve"> </v>
      </c>
    </row>
    <row r="66" spans="1:24" x14ac:dyDescent="0.3">
      <c r="A66" s="17" t="str">
        <f>Data!A64</f>
        <v>vehicle1</v>
      </c>
      <c r="B66" s="17" t="str">
        <f>Data!B64</f>
        <v>Vehicle, Gasoline or Petrol</v>
      </c>
      <c r="C66" s="17" t="str">
        <f>Data!C64</f>
        <v>1f2g3h4j5k6l</v>
      </c>
      <c r="D66" s="52">
        <f>Data!D64</f>
        <v>45066.132210648146</v>
      </c>
      <c r="E66" s="60" t="str">
        <f>IF(Data!E64="GpsRecord",Data!F64,"")</f>
        <v/>
      </c>
      <c r="F66" s="68" t="str">
        <f t="shared" si="0"/>
        <v>Whispering Pines, 401 Loblolly Cir, Clayton, NC 27520, USA</v>
      </c>
      <c r="G66" t="b">
        <f t="shared" si="4"/>
        <v>0</v>
      </c>
      <c r="H66" t="b">
        <f t="shared" si="5"/>
        <v>0</v>
      </c>
      <c r="I66" t="b">
        <f t="shared" si="6"/>
        <v>0</v>
      </c>
      <c r="J66" t="str">
        <f t="shared" si="7"/>
        <v/>
      </c>
      <c r="K66" t="str">
        <f t="shared" si="8"/>
        <v/>
      </c>
      <c r="L66" t="str">
        <f t="shared" si="9"/>
        <v>,</v>
      </c>
      <c r="M66" t="str">
        <f t="shared" si="10"/>
        <v/>
      </c>
      <c r="N66" t="str">
        <f t="shared" si="11"/>
        <v/>
      </c>
      <c r="O66" t="str">
        <f t="shared" si="12"/>
        <v/>
      </c>
      <c r="P66" t="str">
        <f t="shared" si="13"/>
        <v/>
      </c>
      <c r="Q66" t="str">
        <f t="shared" si="14"/>
        <v/>
      </c>
      <c r="R66" s="20" t="str">
        <f t="shared" si="15"/>
        <v>NC</v>
      </c>
      <c r="S66" s="20" t="str">
        <f>IF(Data!E64="GpsRecord",Data!G64,"")</f>
        <v/>
      </c>
      <c r="T66" s="20" t="str">
        <f>IF(Data!E64="GpsRecord",Data!H64,"")</f>
        <v/>
      </c>
      <c r="U66" s="20">
        <f t="shared" si="16"/>
        <v>-39.421039999999998</v>
      </c>
      <c r="V66" s="20">
        <f t="shared" si="17"/>
        <v>33.736870000000003</v>
      </c>
      <c r="W66" s="19" t="str">
        <f>Data!I64</f>
        <v>MSCAN 125k engine protocol detected</v>
      </c>
      <c r="X66" s="17" t="str">
        <f>CONCATENATE(Data!J64, " ", Data!K64)</f>
        <v>1 None</v>
      </c>
    </row>
    <row r="67" spans="1:24" x14ac:dyDescent="0.3">
      <c r="A67" s="17" t="str">
        <f>Data!A65</f>
        <v>vehicle1</v>
      </c>
      <c r="B67" s="17" t="str">
        <f>Data!B65</f>
        <v>Vehicle, Gasoline or Petrol</v>
      </c>
      <c r="C67" s="17" t="str">
        <f>Data!C65</f>
        <v>1f2g3h4j5k6l</v>
      </c>
      <c r="D67" s="52">
        <f>Data!D65</f>
        <v>45066.132210648146</v>
      </c>
      <c r="E67" s="60" t="str">
        <f>IF(Data!E65="GpsRecord",Data!F65,"")</f>
        <v/>
      </c>
      <c r="F67" s="68" t="str">
        <f t="shared" si="0"/>
        <v>Whispering Pines, 401 Loblolly Cir, Clayton, NC 27520, USA</v>
      </c>
      <c r="G67" t="b">
        <f t="shared" si="4"/>
        <v>0</v>
      </c>
      <c r="H67" t="b">
        <f t="shared" si="5"/>
        <v>0</v>
      </c>
      <c r="I67" t="b">
        <f t="shared" si="6"/>
        <v>0</v>
      </c>
      <c r="J67" t="str">
        <f t="shared" si="7"/>
        <v/>
      </c>
      <c r="K67" t="str">
        <f t="shared" si="8"/>
        <v/>
      </c>
      <c r="L67" t="str">
        <f t="shared" si="9"/>
        <v>,</v>
      </c>
      <c r="M67" t="str">
        <f t="shared" si="10"/>
        <v/>
      </c>
      <c r="N67" t="str">
        <f t="shared" si="11"/>
        <v/>
      </c>
      <c r="O67" t="str">
        <f t="shared" si="12"/>
        <v/>
      </c>
      <c r="P67" t="str">
        <f t="shared" si="13"/>
        <v/>
      </c>
      <c r="Q67" t="str">
        <f t="shared" si="14"/>
        <v/>
      </c>
      <c r="R67" s="20" t="str">
        <f t="shared" si="15"/>
        <v>NC</v>
      </c>
      <c r="S67" s="20" t="str">
        <f>IF(Data!E65="GpsRecord",Data!G65,"")</f>
        <v/>
      </c>
      <c r="T67" s="20" t="str">
        <f>IF(Data!E65="GpsRecord",Data!H65,"")</f>
        <v/>
      </c>
      <c r="U67" s="20">
        <f t="shared" si="16"/>
        <v>-39.421039999999998</v>
      </c>
      <c r="V67" s="20">
        <f t="shared" si="17"/>
        <v>33.736870000000003</v>
      </c>
      <c r="W67" s="19" t="str">
        <f>Data!I65</f>
        <v>OBD\CAN 11bit 500k engine protocol detected</v>
      </c>
      <c r="X67" s="17" t="str">
        <f>CONCATENATE(Data!J65, " ", Data!K65)</f>
        <v>1 None</v>
      </c>
    </row>
    <row r="68" spans="1:24" x14ac:dyDescent="0.3">
      <c r="A68" s="17" t="str">
        <f>Data!A66</f>
        <v>vehicle1</v>
      </c>
      <c r="B68" s="17" t="str">
        <f>Data!B66</f>
        <v>Vehicle, Gasoline or Petrol</v>
      </c>
      <c r="C68" s="17" t="str">
        <f>Data!C66</f>
        <v>1f2g3h4j5k6l</v>
      </c>
      <c r="D68" s="52">
        <f>Data!D66</f>
        <v>45066.132210648146</v>
      </c>
      <c r="E68" s="60" t="str">
        <f>IF(Data!E66="GpsRecord",Data!F66,"")</f>
        <v/>
      </c>
      <c r="F68" s="68" t="str">
        <f t="shared" si="0"/>
        <v>Whispering Pines, 401 Loblolly Cir, Clayton, NC 27520, USA</v>
      </c>
      <c r="G68" t="b">
        <f t="shared" si="4"/>
        <v>0</v>
      </c>
      <c r="H68" t="b">
        <f t="shared" si="5"/>
        <v>0</v>
      </c>
      <c r="I68" t="b">
        <f t="shared" si="6"/>
        <v>0</v>
      </c>
      <c r="J68" t="str">
        <f t="shared" si="7"/>
        <v/>
      </c>
      <c r="K68" t="str">
        <f t="shared" si="8"/>
        <v/>
      </c>
      <c r="L68" t="str">
        <f t="shared" si="9"/>
        <v>,</v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  <c r="Q68" t="str">
        <f t="shared" si="14"/>
        <v/>
      </c>
      <c r="R68" s="20" t="str">
        <f t="shared" si="15"/>
        <v>NC</v>
      </c>
      <c r="S68" s="20" t="str">
        <f>IF(Data!E66="GpsRecord",Data!G66,"")</f>
        <v/>
      </c>
      <c r="T68" s="20" t="str">
        <f>IF(Data!E66="GpsRecord",Data!H66,"")</f>
        <v/>
      </c>
      <c r="U68" s="20">
        <f t="shared" si="16"/>
        <v>-39.421039999999998</v>
      </c>
      <c r="V68" s="20">
        <f t="shared" si="17"/>
        <v>33.736870000000003</v>
      </c>
      <c r="W68" s="19" t="str">
        <f>Data!I66</f>
        <v>Standard harness detected</v>
      </c>
      <c r="X68" s="17" t="str">
        <f>CONCATENATE(Data!J66, " ", Data!K66)</f>
        <v>1 None</v>
      </c>
    </row>
    <row r="69" spans="1:24" x14ac:dyDescent="0.3">
      <c r="A69" s="17" t="str">
        <f>Data!A67</f>
        <v>vehicle1</v>
      </c>
      <c r="B69" s="17" t="str">
        <f>Data!B67</f>
        <v>Vehicle, Gasoline or Petrol</v>
      </c>
      <c r="C69" s="17" t="str">
        <f>Data!C67</f>
        <v>1f2g3h4j5k6l</v>
      </c>
      <c r="D69" s="52">
        <f>Data!D67</f>
        <v>45066.132210648146</v>
      </c>
      <c r="E69" s="60" t="str">
        <f>IF(Data!E67="GpsRecord",Data!F67,"")</f>
        <v/>
      </c>
      <c r="F69" s="68" t="str">
        <f t="shared" si="0"/>
        <v>Whispering Pines, 401 Loblolly Cir, Clayton, NC 27520, USA</v>
      </c>
      <c r="G69" t="b">
        <f t="shared" si="4"/>
        <v>0</v>
      </c>
      <c r="H69" t="b">
        <f t="shared" si="5"/>
        <v>0</v>
      </c>
      <c r="I69" t="b">
        <f t="shared" si="6"/>
        <v>0</v>
      </c>
      <c r="J69" t="str">
        <f t="shared" si="7"/>
        <v/>
      </c>
      <c r="K69" t="str">
        <f t="shared" si="8"/>
        <v/>
      </c>
      <c r="L69" t="str">
        <f t="shared" si="9"/>
        <v>,</v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  <c r="Q69" t="str">
        <f t="shared" si="14"/>
        <v/>
      </c>
      <c r="R69" s="20" t="str">
        <f t="shared" si="15"/>
        <v>NC</v>
      </c>
      <c r="S69" s="20" t="str">
        <f>IF(Data!E67="GpsRecord",Data!G67,"")</f>
        <v/>
      </c>
      <c r="T69" s="20" t="str">
        <f>IF(Data!E67="GpsRecord",Data!H67,"")</f>
        <v/>
      </c>
      <c r="U69" s="20">
        <f t="shared" si="16"/>
        <v>-39.421039999999998</v>
      </c>
      <c r="V69" s="20">
        <f t="shared" si="17"/>
        <v>33.736870000000003</v>
      </c>
      <c r="W69" s="19">
        <f>Data!I67</f>
        <v>0</v>
      </c>
      <c r="X69" s="17" t="str">
        <f>CONCATENATE(Data!J67, " ", Data!K67)</f>
        <v xml:space="preserve"> </v>
      </c>
    </row>
    <row r="70" spans="1:24" x14ac:dyDescent="0.3">
      <c r="A70" s="17" t="str">
        <f>Data!A68</f>
        <v>vehicle1</v>
      </c>
      <c r="B70" s="17" t="str">
        <f>Data!B68</f>
        <v>Vehicle, Gasoline or Petrol</v>
      </c>
      <c r="C70" s="17" t="str">
        <f>Data!C68</f>
        <v>1f2g3h4j5k6l</v>
      </c>
      <c r="D70" s="52">
        <f>Data!D68</f>
        <v>45066.132210648146</v>
      </c>
      <c r="E70" s="60" t="str">
        <f>IF(Data!E68="GpsRecord",Data!F68,"")</f>
        <v/>
      </c>
      <c r="F70" s="68" t="str">
        <f t="shared" si="0"/>
        <v>Whispering Pines, 401 Loblolly Cir, Clayton, NC 27520, USA</v>
      </c>
      <c r="G70" t="b">
        <f t="shared" si="4"/>
        <v>0</v>
      </c>
      <c r="H70" t="b">
        <f t="shared" si="5"/>
        <v>0</v>
      </c>
      <c r="I70" t="b">
        <f t="shared" si="6"/>
        <v>0</v>
      </c>
      <c r="J70" t="str">
        <f t="shared" si="7"/>
        <v/>
      </c>
      <c r="K70" t="str">
        <f t="shared" si="8"/>
        <v/>
      </c>
      <c r="L70" t="str">
        <f t="shared" si="9"/>
        <v>,</v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  <c r="Q70" t="str">
        <f t="shared" si="14"/>
        <v/>
      </c>
      <c r="R70" s="20" t="str">
        <f t="shared" si="15"/>
        <v>NC</v>
      </c>
      <c r="S70" s="20" t="str">
        <f>IF(Data!E68="GpsRecord",Data!G68,"")</f>
        <v/>
      </c>
      <c r="T70" s="20" t="str">
        <f>IF(Data!E68="GpsRecord",Data!H68,"")</f>
        <v/>
      </c>
      <c r="U70" s="20">
        <f t="shared" si="16"/>
        <v>-39.421039999999998</v>
      </c>
      <c r="V70" s="20">
        <f t="shared" si="17"/>
        <v>33.736870000000003</v>
      </c>
      <c r="W70" s="19" t="str">
        <f>Data!I68</f>
        <v>Driver seat belt (1 = unbuckled)</v>
      </c>
      <c r="X70" s="17" t="str">
        <f>CONCATENATE(Data!J68, " ", Data!K68)</f>
        <v>-1 None</v>
      </c>
    </row>
    <row r="71" spans="1:24" x14ac:dyDescent="0.3">
      <c r="A71" s="17" t="str">
        <f>Data!A69</f>
        <v>vehicle1</v>
      </c>
      <c r="B71" s="17" t="str">
        <f>Data!B69</f>
        <v>Vehicle, Gasoline or Petrol</v>
      </c>
      <c r="C71" s="17" t="str">
        <f>Data!C69</f>
        <v>1f2g3h4j5k6l</v>
      </c>
      <c r="D71" s="52">
        <f>Data!D69</f>
        <v>45066.132210648146</v>
      </c>
      <c r="E71" s="60" t="str">
        <f>IF(Data!E69="GpsRecord",Data!F69,"")</f>
        <v/>
      </c>
      <c r="F71" s="68" t="str">
        <f t="shared" si="0"/>
        <v>Whispering Pines, 401 Loblolly Cir, Clayton, NC 27520, USA</v>
      </c>
      <c r="G71" t="b">
        <f t="shared" si="4"/>
        <v>0</v>
      </c>
      <c r="H71" t="b">
        <f t="shared" si="5"/>
        <v>0</v>
      </c>
      <c r="I71" t="b">
        <f t="shared" si="6"/>
        <v>0</v>
      </c>
      <c r="J71" t="str">
        <f t="shared" si="7"/>
        <v/>
      </c>
      <c r="K71" t="str">
        <f t="shared" si="8"/>
        <v/>
      </c>
      <c r="L71" t="str">
        <f t="shared" si="9"/>
        <v>,</v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  <c r="Q71" t="str">
        <f t="shared" si="14"/>
        <v/>
      </c>
      <c r="R71" s="20" t="str">
        <f t="shared" si="15"/>
        <v>NC</v>
      </c>
      <c r="S71" s="20" t="str">
        <f>IF(Data!E69="GpsRecord",Data!G69,"")</f>
        <v/>
      </c>
      <c r="T71" s="20" t="str">
        <f>IF(Data!E69="GpsRecord",Data!H69,"")</f>
        <v/>
      </c>
      <c r="U71" s="20">
        <f t="shared" si="16"/>
        <v>-39.421039999999998</v>
      </c>
      <c r="V71" s="20">
        <f t="shared" si="17"/>
        <v>33.736870000000003</v>
      </c>
      <c r="W71" s="19" t="str">
        <f>Data!I69</f>
        <v>Gear position (negative #s = reverse gears / positive #s = forward gears / 0 = neutral / 126 = park / 127 = drive / 129 = intermediate)</v>
      </c>
      <c r="X71" s="17" t="str">
        <f>CONCATENATE(Data!J69, " ", Data!K69)</f>
        <v>126 None</v>
      </c>
    </row>
    <row r="72" spans="1:24" x14ac:dyDescent="0.3">
      <c r="A72" s="17" t="str">
        <f>Data!A70</f>
        <v>vehicle1</v>
      </c>
      <c r="B72" s="17" t="str">
        <f>Data!B70</f>
        <v>Vehicle, Gasoline or Petrol</v>
      </c>
      <c r="C72" s="17" t="str">
        <f>Data!C70</f>
        <v>1f2g3h4j5k6l</v>
      </c>
      <c r="D72" s="52">
        <f>Data!D70</f>
        <v>45066.132210648146</v>
      </c>
      <c r="E72" s="60" t="str">
        <f>IF(Data!E70="GpsRecord",Data!F70,"")</f>
        <v/>
      </c>
      <c r="F72" s="68" t="str">
        <f t="shared" si="0"/>
        <v>Whispering Pines, 401 Loblolly Cir, Clayton, NC 27520, USA</v>
      </c>
      <c r="G72" t="b">
        <f t="shared" si="4"/>
        <v>0</v>
      </c>
      <c r="H72" t="b">
        <f t="shared" si="5"/>
        <v>0</v>
      </c>
      <c r="I72" t="b">
        <f t="shared" si="6"/>
        <v>0</v>
      </c>
      <c r="J72" t="str">
        <f t="shared" si="7"/>
        <v/>
      </c>
      <c r="K72" t="str">
        <f t="shared" si="8"/>
        <v/>
      </c>
      <c r="L72" t="str">
        <f t="shared" si="9"/>
        <v>,</v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  <c r="Q72" t="str">
        <f t="shared" si="14"/>
        <v/>
      </c>
      <c r="R72" s="20" t="str">
        <f t="shared" si="15"/>
        <v>NC</v>
      </c>
      <c r="S72" s="20" t="str">
        <f>IF(Data!E70="GpsRecord",Data!G70,"")</f>
        <v/>
      </c>
      <c r="T72" s="20" t="str">
        <f>IF(Data!E70="GpsRecord",Data!H70,"")</f>
        <v/>
      </c>
      <c r="U72" s="20">
        <f t="shared" si="16"/>
        <v>-39.421039999999998</v>
      </c>
      <c r="V72" s="20">
        <f t="shared" si="17"/>
        <v>33.736870000000003</v>
      </c>
      <c r="W72" s="19" t="str">
        <f>Data!I70</f>
        <v>Odometer</v>
      </c>
      <c r="X72" s="17" t="str">
        <f>CONCATENATE(Data!J70, " ", Data!K70)</f>
        <v>82832 km</v>
      </c>
    </row>
    <row r="73" spans="1:24" x14ac:dyDescent="0.3">
      <c r="A73" s="17" t="str">
        <f>Data!A71</f>
        <v>vehicle1</v>
      </c>
      <c r="B73" s="17" t="str">
        <f>Data!B71</f>
        <v>Vehicle, Gasoline or Petrol</v>
      </c>
      <c r="C73" s="17" t="str">
        <f>Data!C71</f>
        <v>1f2g3h4j5k6l</v>
      </c>
      <c r="D73" s="52">
        <f>Data!D71</f>
        <v>45066.132210648146</v>
      </c>
      <c r="E73" s="60" t="str">
        <f>IF(Data!E71="GpsRecord",Data!F71,"")</f>
        <v/>
      </c>
      <c r="F73" s="68" t="str">
        <f t="shared" si="0"/>
        <v>Whispering Pines, 401 Loblolly Cir, Clayton, NC 27520, USA</v>
      </c>
      <c r="G73" t="b">
        <f t="shared" si="4"/>
        <v>0</v>
      </c>
      <c r="H73" t="b">
        <f t="shared" si="5"/>
        <v>0</v>
      </c>
      <c r="I73" t="b">
        <f t="shared" si="6"/>
        <v>0</v>
      </c>
      <c r="J73" t="str">
        <f t="shared" si="7"/>
        <v/>
      </c>
      <c r="K73" t="str">
        <f t="shared" si="8"/>
        <v/>
      </c>
      <c r="L73" t="str">
        <f t="shared" si="9"/>
        <v>,</v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  <c r="Q73" t="str">
        <f t="shared" si="14"/>
        <v/>
      </c>
      <c r="R73" s="20" t="str">
        <f t="shared" si="15"/>
        <v>NC</v>
      </c>
      <c r="S73" s="20" t="str">
        <f>IF(Data!E71="GpsRecord",Data!G71,"")</f>
        <v/>
      </c>
      <c r="T73" s="20" t="str">
        <f>IF(Data!E71="GpsRecord",Data!H71,"")</f>
        <v/>
      </c>
      <c r="U73" s="20">
        <f t="shared" si="16"/>
        <v>-39.421039999999998</v>
      </c>
      <c r="V73" s="20">
        <f t="shared" si="17"/>
        <v>33.736870000000003</v>
      </c>
      <c r="W73" s="19" t="str">
        <f>Data!I71</f>
        <v>Raw odometer</v>
      </c>
      <c r="X73" s="17" t="str">
        <f>CONCATENATE(Data!J71, " ", Data!K71)</f>
        <v>82832 km</v>
      </c>
    </row>
    <row r="74" spans="1:24" x14ac:dyDescent="0.3">
      <c r="A74" s="17" t="str">
        <f>Data!A72</f>
        <v>vehicle1</v>
      </c>
      <c r="B74" s="17" t="str">
        <f>Data!B72</f>
        <v>Vehicle, Gasoline or Petrol</v>
      </c>
      <c r="C74" s="17" t="str">
        <f>Data!C72</f>
        <v>1f2g3h4j5k6l</v>
      </c>
      <c r="D74" s="52">
        <f>Data!D72</f>
        <v>45066.132210648146</v>
      </c>
      <c r="E74" s="60" t="str">
        <f>IF(Data!E72="GpsRecord",Data!F72,"")</f>
        <v/>
      </c>
      <c r="F74" s="68" t="str">
        <f t="shared" si="0"/>
        <v>Whispering Pines, 401 Loblolly Cir, Clayton, NC 27520, USA</v>
      </c>
      <c r="G74" t="b">
        <f t="shared" si="4"/>
        <v>0</v>
      </c>
      <c r="H74" t="b">
        <f t="shared" si="5"/>
        <v>0</v>
      </c>
      <c r="I74" t="b">
        <f t="shared" si="6"/>
        <v>0</v>
      </c>
      <c r="J74" t="str">
        <f t="shared" si="7"/>
        <v/>
      </c>
      <c r="K74" t="str">
        <f t="shared" si="8"/>
        <v/>
      </c>
      <c r="L74" t="str">
        <f t="shared" si="9"/>
        <v>,</v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  <c r="Q74" t="str">
        <f t="shared" si="14"/>
        <v/>
      </c>
      <c r="R74" s="20" t="str">
        <f t="shared" si="15"/>
        <v>NC</v>
      </c>
      <c r="S74" s="20" t="str">
        <f>IF(Data!E72="GpsRecord",Data!G72,"")</f>
        <v/>
      </c>
      <c r="T74" s="20" t="str">
        <f>IF(Data!E72="GpsRecord",Data!H72,"")</f>
        <v/>
      </c>
      <c r="U74" s="20">
        <f t="shared" si="16"/>
        <v>-39.421039999999998</v>
      </c>
      <c r="V74" s="20">
        <f t="shared" si="17"/>
        <v>33.736870000000003</v>
      </c>
      <c r="W74" s="19" t="str">
        <f>Data!I72</f>
        <v>Engine road speed</v>
      </c>
      <c r="X74" s="17" t="str">
        <f>CONCATENATE(Data!J72, " ", Data!K72)</f>
        <v>0 km/h</v>
      </c>
    </row>
    <row r="75" spans="1:24" x14ac:dyDescent="0.3">
      <c r="A75" s="17" t="str">
        <f>Data!A73</f>
        <v>vehicle1</v>
      </c>
      <c r="B75" s="17" t="str">
        <f>Data!B73</f>
        <v>Vehicle, Gasoline or Petrol</v>
      </c>
      <c r="C75" s="17" t="str">
        <f>Data!C73</f>
        <v>1f2g3h4j5k6l</v>
      </c>
      <c r="D75" s="52">
        <f>Data!D73</f>
        <v>45066.132210648146</v>
      </c>
      <c r="E75" s="60" t="str">
        <f>IF(Data!E73="GpsRecord",Data!F73,"")</f>
        <v/>
      </c>
      <c r="F75" s="68" t="str">
        <f t="shared" si="0"/>
        <v>Whispering Pines, 401 Loblolly Cir, Clayton, NC 27520, USA</v>
      </c>
      <c r="G75" t="b">
        <f t="shared" si="4"/>
        <v>0</v>
      </c>
      <c r="H75" t="b">
        <f t="shared" si="5"/>
        <v>0</v>
      </c>
      <c r="I75" t="b">
        <f t="shared" si="6"/>
        <v>0</v>
      </c>
      <c r="J75" t="str">
        <f t="shared" si="7"/>
        <v/>
      </c>
      <c r="K75" t="str">
        <f t="shared" si="8"/>
        <v/>
      </c>
      <c r="L75" t="str">
        <f t="shared" si="9"/>
        <v>,</v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  <c r="Q75" t="str">
        <f t="shared" si="14"/>
        <v/>
      </c>
      <c r="R75" s="20" t="str">
        <f t="shared" si="15"/>
        <v>NC</v>
      </c>
      <c r="S75" s="20" t="str">
        <f>IF(Data!E73="GpsRecord",Data!G73,"")</f>
        <v/>
      </c>
      <c r="T75" s="20" t="str">
        <f>IF(Data!E73="GpsRecord",Data!H73,"")</f>
        <v/>
      </c>
      <c r="U75" s="20">
        <f t="shared" si="16"/>
        <v>-39.421039999999998</v>
      </c>
      <c r="V75" s="20">
        <f t="shared" si="17"/>
        <v>33.736870000000003</v>
      </c>
      <c r="W75" s="19" t="str">
        <f>Data!I73</f>
        <v>Generic engine data active (0 = inactive / 1 = active)</v>
      </c>
      <c r="X75" s="17" t="str">
        <f>CONCATENATE(Data!J73, " ", Data!K73)</f>
        <v>1 None</v>
      </c>
    </row>
    <row r="76" spans="1:24" x14ac:dyDescent="0.3">
      <c r="A76" s="17" t="str">
        <f>Data!A74</f>
        <v>vehicle1</v>
      </c>
      <c r="B76" s="17" t="str">
        <f>Data!B74</f>
        <v>Vehicle, Gasoline or Petrol</v>
      </c>
      <c r="C76" s="17" t="str">
        <f>Data!C74</f>
        <v>1f2g3h4j5k6l</v>
      </c>
      <c r="D76" s="52">
        <f>Data!D74</f>
        <v>45066.132210648146</v>
      </c>
      <c r="E76" s="60" t="str">
        <f>IF(Data!E74="GpsRecord",Data!F74,"")</f>
        <v/>
      </c>
      <c r="F76" s="68" t="str">
        <f t="shared" si="0"/>
        <v>Whispering Pines, 401 Loblolly Cir, Clayton, NC 27520, USA</v>
      </c>
      <c r="G76" t="b">
        <f t="shared" si="4"/>
        <v>0</v>
      </c>
      <c r="H76" t="b">
        <f t="shared" si="5"/>
        <v>0</v>
      </c>
      <c r="I76" t="b">
        <f t="shared" si="6"/>
        <v>0</v>
      </c>
      <c r="J76" t="str">
        <f t="shared" si="7"/>
        <v/>
      </c>
      <c r="K76" t="str">
        <f t="shared" si="8"/>
        <v/>
      </c>
      <c r="L76" t="str">
        <f t="shared" si="9"/>
        <v>,</v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  <c r="Q76" t="str">
        <f t="shared" si="14"/>
        <v/>
      </c>
      <c r="R76" s="20" t="str">
        <f t="shared" si="15"/>
        <v>NC</v>
      </c>
      <c r="S76" s="20" t="str">
        <f>IF(Data!E74="GpsRecord",Data!G74,"")</f>
        <v/>
      </c>
      <c r="T76" s="20" t="str">
        <f>IF(Data!E74="GpsRecord",Data!H74,"")</f>
        <v/>
      </c>
      <c r="U76" s="20">
        <f t="shared" si="16"/>
        <v>-39.421039999999998</v>
      </c>
      <c r="V76" s="20">
        <f t="shared" si="17"/>
        <v>33.736870000000003</v>
      </c>
      <c r="W76" s="19">
        <f>Data!I74</f>
        <v>0</v>
      </c>
      <c r="X76" s="17" t="str">
        <f>CONCATENATE(Data!J74, " ", Data!K74)</f>
        <v xml:space="preserve"> </v>
      </c>
    </row>
    <row r="77" spans="1:24" x14ac:dyDescent="0.3">
      <c r="A77" s="17" t="str">
        <f>Data!A75</f>
        <v>vehicle1</v>
      </c>
      <c r="B77" s="17" t="str">
        <f>Data!B75</f>
        <v>Vehicle, Gasoline or Petrol</v>
      </c>
      <c r="C77" s="17" t="str">
        <f>Data!C75</f>
        <v>1f2g3h4j5k6l</v>
      </c>
      <c r="D77" s="52">
        <f>Data!D75</f>
        <v>45066.132210648146</v>
      </c>
      <c r="E77" s="60" t="str">
        <f>IF(Data!E75="GpsRecord",Data!F75,"")</f>
        <v/>
      </c>
      <c r="F77" s="68" t="str">
        <f t="shared" ref="F77:F140" si="18">IF(E77&lt;&gt;"",E77, IF(F76&lt;&gt;$F$12, F76, ""))</f>
        <v>Whispering Pines, 401 Loblolly Cir, Clayton, NC 27520, USA</v>
      </c>
      <c r="G77" t="b">
        <f t="shared" si="4"/>
        <v>0</v>
      </c>
      <c r="H77" t="b">
        <f t="shared" si="5"/>
        <v>0</v>
      </c>
      <c r="I77" t="b">
        <f t="shared" si="6"/>
        <v>0</v>
      </c>
      <c r="J77" t="str">
        <f t="shared" si="7"/>
        <v/>
      </c>
      <c r="K77" t="str">
        <f t="shared" si="8"/>
        <v/>
      </c>
      <c r="L77" t="str">
        <f t="shared" si="9"/>
        <v>,</v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  <c r="Q77" t="str">
        <f t="shared" si="14"/>
        <v/>
      </c>
      <c r="R77" s="20" t="str">
        <f t="shared" si="15"/>
        <v>NC</v>
      </c>
      <c r="S77" s="20" t="str">
        <f>IF(Data!E75="GpsRecord",Data!G75,"")</f>
        <v/>
      </c>
      <c r="T77" s="20" t="str">
        <f>IF(Data!E75="GpsRecord",Data!H75,"")</f>
        <v/>
      </c>
      <c r="U77" s="20">
        <f t="shared" si="16"/>
        <v>-39.421039999999998</v>
      </c>
      <c r="V77" s="20">
        <f t="shared" si="17"/>
        <v>33.736870000000003</v>
      </c>
      <c r="W77" s="19">
        <f>Data!I75</f>
        <v>0</v>
      </c>
      <c r="X77" s="17" t="str">
        <f>CONCATENATE(Data!J75, " ", Data!K75)</f>
        <v xml:space="preserve"> </v>
      </c>
    </row>
    <row r="78" spans="1:24" x14ac:dyDescent="0.3">
      <c r="A78" s="17" t="str">
        <f>Data!A76</f>
        <v>vehicle1</v>
      </c>
      <c r="B78" s="17" t="str">
        <f>Data!B76</f>
        <v>Vehicle, Gasoline or Petrol</v>
      </c>
      <c r="C78" s="17" t="str">
        <f>Data!C76</f>
        <v>1f2g3h4j5k6l</v>
      </c>
      <c r="D78" s="52">
        <f>Data!D76</f>
        <v>45066.132210648146</v>
      </c>
      <c r="E78" s="60" t="str">
        <f>IF(Data!E76="GpsRecord",Data!F76,"")</f>
        <v/>
      </c>
      <c r="F78" s="68" t="str">
        <f t="shared" si="18"/>
        <v>Whispering Pines, 401 Loblolly Cir, Clayton, NC 27520, USA</v>
      </c>
      <c r="G78" t="b">
        <f t="shared" ref="G78:G141" si="19">ISNUMBER(FIND($G$11,E78))</f>
        <v>0</v>
      </c>
      <c r="H78" t="b">
        <f t="shared" ref="H78:H141" si="20">ISNUMBER(FIND($H$11,E78))</f>
        <v>0</v>
      </c>
      <c r="I78" t="b">
        <f t="shared" ref="I78:I141" si="21">OR(G78,H78)</f>
        <v>0</v>
      </c>
      <c r="J78" t="str">
        <f t="shared" ref="J78:J141" si="22">IFERROR(MID(E78,FIND(": ",E78)+2,255),E78)</f>
        <v/>
      </c>
      <c r="K78" t="str">
        <f t="shared" ref="K78:K141" si="23">IFERROR(RIGHT(J78,LEN(J78)-FIND("@",SUBSTITUTE(J78,",","@",LEN(J78)-LEN(SUBSTITUTE(J78,",",""))),1)),J78)</f>
        <v/>
      </c>
      <c r="L78" t="str">
        <f t="shared" ref="L78:L141" si="24">","&amp;K78</f>
        <v>,</v>
      </c>
      <c r="M78" t="str">
        <f t="shared" ref="M78:M141" si="25">IF(I78,SUBSTITUTE(J78,L78,""),J78)</f>
        <v/>
      </c>
      <c r="N78" t="str">
        <f t="shared" ref="N78:N141" si="26">IFERROR(RIGHT(M78,LEN(M78)-FIND("@",SUBSTITUTE(M78,",","@",LEN(M78)-LEN(SUBSTITUTE(M78,",",""))),1)),M78)</f>
        <v/>
      </c>
      <c r="O78" t="str">
        <f t="shared" ref="O78:O141" si="27">IFERROR(RIGHT(N78,LEN(N78)-FIND("@",SUBSTITUTE(N78," ","@",LEN(N78)-LEN(SUBSTITUTE(N78," ",""))),1)),N78)</f>
        <v/>
      </c>
      <c r="P78" t="str">
        <f t="shared" ref="P78:P141" si="28">SUBSTITUTE(N78,CONCATENATE(" ",O78),"")</f>
        <v/>
      </c>
      <c r="Q78" t="str">
        <f t="shared" ref="Q78:Q141" si="29">IF(G78, MID(P78,2,2),RIGHT(P78,2))</f>
        <v/>
      </c>
      <c r="R78" s="20" t="str">
        <f t="shared" ref="R78:R141" si="30">IF(Q78&lt;&gt;"",Q78, IF(R77&lt;&gt;$R$12, R77, ""))</f>
        <v>NC</v>
      </c>
      <c r="S78" s="20" t="str">
        <f>IF(Data!E76="GpsRecord",Data!G76,"")</f>
        <v/>
      </c>
      <c r="T78" s="20" t="str">
        <f>IF(Data!E76="GpsRecord",Data!H76,"")</f>
        <v/>
      </c>
      <c r="U78" s="20">
        <f t="shared" ref="U78:U141" si="31">IF(S78&lt;&gt;"", S78, IF(U77&lt;&gt;$U$12, U77, ""))</f>
        <v>-39.421039999999998</v>
      </c>
      <c r="V78" s="20">
        <f t="shared" ref="V78:V141" si="32">IF(T78&lt;&gt;"", T78, IF(V77&lt;&gt;$V$12, V77, ""))</f>
        <v>33.736870000000003</v>
      </c>
      <c r="W78" s="19">
        <f>Data!I76</f>
        <v>0</v>
      </c>
      <c r="X78" s="17" t="str">
        <f>CONCATENATE(Data!J76, " ", Data!K76)</f>
        <v xml:space="preserve"> </v>
      </c>
    </row>
    <row r="79" spans="1:24" x14ac:dyDescent="0.3">
      <c r="A79" s="17" t="str">
        <f>Data!A77</f>
        <v>vehicle1</v>
      </c>
      <c r="B79" s="17" t="str">
        <f>Data!B77</f>
        <v>Vehicle, Gasoline or Petrol</v>
      </c>
      <c r="C79" s="17" t="str">
        <f>Data!C77</f>
        <v>1f2g3h4j5k6l</v>
      </c>
      <c r="D79" s="52">
        <f>Data!D77</f>
        <v>45066.132222222222</v>
      </c>
      <c r="E79" s="60" t="str">
        <f>IF(Data!E77="GpsRecord",Data!F77,"")</f>
        <v/>
      </c>
      <c r="F79" s="68" t="str">
        <f t="shared" si="18"/>
        <v>Whispering Pines, 401 Loblolly Cir, Clayton, NC 27520, USA</v>
      </c>
      <c r="G79" t="b">
        <f t="shared" si="19"/>
        <v>0</v>
      </c>
      <c r="H79" t="b">
        <f t="shared" si="20"/>
        <v>0</v>
      </c>
      <c r="I79" t="b">
        <f t="shared" si="21"/>
        <v>0</v>
      </c>
      <c r="J79" t="str">
        <f t="shared" si="22"/>
        <v/>
      </c>
      <c r="K79" t="str">
        <f t="shared" si="23"/>
        <v/>
      </c>
      <c r="L79" t="str">
        <f t="shared" si="24"/>
        <v>,</v>
      </c>
      <c r="M79" t="str">
        <f t="shared" si="25"/>
        <v/>
      </c>
      <c r="N79" t="str">
        <f t="shared" si="26"/>
        <v/>
      </c>
      <c r="O79" t="str">
        <f t="shared" si="27"/>
        <v/>
      </c>
      <c r="P79" t="str">
        <f t="shared" si="28"/>
        <v/>
      </c>
      <c r="Q79" t="str">
        <f t="shared" si="29"/>
        <v/>
      </c>
      <c r="R79" s="20" t="str">
        <f t="shared" si="30"/>
        <v>NC</v>
      </c>
      <c r="S79" s="20" t="str">
        <f>IF(Data!E77="GpsRecord",Data!G77,"")</f>
        <v/>
      </c>
      <c r="T79" s="20" t="str">
        <f>IF(Data!E77="GpsRecord",Data!H77,"")</f>
        <v/>
      </c>
      <c r="U79" s="20">
        <f t="shared" si="31"/>
        <v>-39.421039999999998</v>
      </c>
      <c r="V79" s="20">
        <f t="shared" si="32"/>
        <v>33.736870000000003</v>
      </c>
      <c r="W79" s="19" t="str">
        <f>Data!I77</f>
        <v>Engine speed</v>
      </c>
      <c r="X79" s="17" t="str">
        <f>CONCATENATE(Data!J77, " ", Data!K77)</f>
        <v>826.75 RPM</v>
      </c>
    </row>
    <row r="80" spans="1:24" x14ac:dyDescent="0.3">
      <c r="A80" s="17" t="str">
        <f>Data!A78</f>
        <v>vehicle1</v>
      </c>
      <c r="B80" s="17" t="str">
        <f>Data!B78</f>
        <v>Vehicle, Gasoline or Petrol</v>
      </c>
      <c r="C80" s="17" t="str">
        <f>Data!C78</f>
        <v>1f2g3h4j5k6l</v>
      </c>
      <c r="D80" s="52">
        <f>Data!D78</f>
        <v>45066.132222222222</v>
      </c>
      <c r="E80" s="60" t="str">
        <f>IF(Data!E78="GpsRecord",Data!F78,"")</f>
        <v/>
      </c>
      <c r="F80" s="68" t="str">
        <f t="shared" si="18"/>
        <v>Whispering Pines, 401 Loblolly Cir, Clayton, NC 27520, USA</v>
      </c>
      <c r="G80" t="b">
        <f t="shared" si="19"/>
        <v>0</v>
      </c>
      <c r="H80" t="b">
        <f t="shared" si="20"/>
        <v>0</v>
      </c>
      <c r="I80" t="b">
        <f t="shared" si="21"/>
        <v>0</v>
      </c>
      <c r="J80" t="str">
        <f t="shared" si="22"/>
        <v/>
      </c>
      <c r="K80" t="str">
        <f t="shared" si="23"/>
        <v/>
      </c>
      <c r="L80" t="str">
        <f t="shared" si="24"/>
        <v>,</v>
      </c>
      <c r="M80" t="str">
        <f t="shared" si="25"/>
        <v/>
      </c>
      <c r="N80" t="str">
        <f t="shared" si="26"/>
        <v/>
      </c>
      <c r="O80" t="str">
        <f t="shared" si="27"/>
        <v/>
      </c>
      <c r="P80" t="str">
        <f t="shared" si="28"/>
        <v/>
      </c>
      <c r="Q80" t="str">
        <f t="shared" si="29"/>
        <v/>
      </c>
      <c r="R80" s="20" t="str">
        <f t="shared" si="30"/>
        <v>NC</v>
      </c>
      <c r="S80" s="20" t="str">
        <f>IF(Data!E78="GpsRecord",Data!G78,"")</f>
        <v/>
      </c>
      <c r="T80" s="20" t="str">
        <f>IF(Data!E78="GpsRecord",Data!H78,"")</f>
        <v/>
      </c>
      <c r="U80" s="20">
        <f t="shared" si="31"/>
        <v>-39.421039999999998</v>
      </c>
      <c r="V80" s="20">
        <f t="shared" si="32"/>
        <v>33.736870000000003</v>
      </c>
      <c r="W80" s="19" t="str">
        <f>Data!I78</f>
        <v>Trip distance accumulator odometer</v>
      </c>
      <c r="X80" s="17" t="str">
        <f>CONCATENATE(Data!J78, " ", Data!K78)</f>
        <v>0 km</v>
      </c>
    </row>
    <row r="81" spans="1:24" x14ac:dyDescent="0.3">
      <c r="A81" s="17" t="str">
        <f>Data!A79</f>
        <v>vehicle1</v>
      </c>
      <c r="B81" s="17" t="str">
        <f>Data!B79</f>
        <v>Vehicle, Gasoline or Petrol</v>
      </c>
      <c r="C81" s="17" t="str">
        <f>Data!C79</f>
        <v>1f2g3h4j5k6l</v>
      </c>
      <c r="D81" s="52">
        <f>Data!D79</f>
        <v>45066.132222222222</v>
      </c>
      <c r="E81" s="60" t="str">
        <f>IF(Data!E79="GpsRecord",Data!F79,"")</f>
        <v/>
      </c>
      <c r="F81" s="68" t="str">
        <f t="shared" si="18"/>
        <v>Whispering Pines, 401 Loblolly Cir, Clayton, NC 27520, USA</v>
      </c>
      <c r="G81" t="b">
        <f t="shared" si="19"/>
        <v>0</v>
      </c>
      <c r="H81" t="b">
        <f t="shared" si="20"/>
        <v>0</v>
      </c>
      <c r="I81" t="b">
        <f t="shared" si="21"/>
        <v>0</v>
      </c>
      <c r="J81" t="str">
        <f t="shared" si="22"/>
        <v/>
      </c>
      <c r="K81" t="str">
        <f t="shared" si="23"/>
        <v/>
      </c>
      <c r="L81" t="str">
        <f t="shared" si="24"/>
        <v>,</v>
      </c>
      <c r="M81" t="str">
        <f t="shared" si="25"/>
        <v/>
      </c>
      <c r="N81" t="str">
        <f t="shared" si="26"/>
        <v/>
      </c>
      <c r="O81" t="str">
        <f t="shared" si="27"/>
        <v/>
      </c>
      <c r="P81" t="str">
        <f t="shared" si="28"/>
        <v/>
      </c>
      <c r="Q81" t="str">
        <f t="shared" si="29"/>
        <v/>
      </c>
      <c r="R81" s="20" t="str">
        <f t="shared" si="30"/>
        <v>NC</v>
      </c>
      <c r="S81" s="20" t="str">
        <f>IF(Data!E79="GpsRecord",Data!G79,"")</f>
        <v/>
      </c>
      <c r="T81" s="20" t="str">
        <f>IF(Data!E79="GpsRecord",Data!H79,"")</f>
        <v/>
      </c>
      <c r="U81" s="20">
        <f t="shared" si="31"/>
        <v>-39.421039999999998</v>
      </c>
      <c r="V81" s="20">
        <f t="shared" si="32"/>
        <v>33.736870000000003</v>
      </c>
      <c r="W81" s="19" t="str">
        <f>Data!I79</f>
        <v>Trip distance accumulator GPS</v>
      </c>
      <c r="X81" s="17" t="str">
        <f>CONCATENATE(Data!J79, " ", Data!K79)</f>
        <v>0 km</v>
      </c>
    </row>
    <row r="82" spans="1:24" x14ac:dyDescent="0.3">
      <c r="A82" s="17" t="str">
        <f>Data!A80</f>
        <v>vehicle1</v>
      </c>
      <c r="B82" s="17" t="str">
        <f>Data!B80</f>
        <v>Vehicle, Gasoline or Petrol</v>
      </c>
      <c r="C82" s="17" t="str">
        <f>Data!C80</f>
        <v>1f2g3h4j5k6l</v>
      </c>
      <c r="D82" s="52">
        <f>Data!D80</f>
        <v>45066.132222222222</v>
      </c>
      <c r="E82" s="60" t="str">
        <f>IF(Data!E80="GpsRecord",Data!F80,"")</f>
        <v/>
      </c>
      <c r="F82" s="68" t="str">
        <f t="shared" si="18"/>
        <v>Whispering Pines, 401 Loblolly Cir, Clayton, NC 27520, USA</v>
      </c>
      <c r="G82" t="b">
        <f t="shared" si="19"/>
        <v>0</v>
      </c>
      <c r="H82" t="b">
        <f t="shared" si="20"/>
        <v>0</v>
      </c>
      <c r="I82" t="b">
        <f t="shared" si="21"/>
        <v>0</v>
      </c>
      <c r="J82" t="str">
        <f t="shared" si="22"/>
        <v/>
      </c>
      <c r="K82" t="str">
        <f t="shared" si="23"/>
        <v/>
      </c>
      <c r="L82" t="str">
        <f t="shared" si="24"/>
        <v>,</v>
      </c>
      <c r="M82" t="str">
        <f t="shared" si="25"/>
        <v/>
      </c>
      <c r="N82" t="str">
        <f t="shared" si="26"/>
        <v/>
      </c>
      <c r="O82" t="str">
        <f t="shared" si="27"/>
        <v/>
      </c>
      <c r="P82" t="str">
        <f t="shared" si="28"/>
        <v/>
      </c>
      <c r="Q82" t="str">
        <f t="shared" si="29"/>
        <v/>
      </c>
      <c r="R82" s="20" t="str">
        <f t="shared" si="30"/>
        <v>NC</v>
      </c>
      <c r="S82" s="20" t="str">
        <f>IF(Data!E80="GpsRecord",Data!G80,"")</f>
        <v/>
      </c>
      <c r="T82" s="20" t="str">
        <f>IF(Data!E80="GpsRecord",Data!H80,"")</f>
        <v/>
      </c>
      <c r="U82" s="20">
        <f t="shared" si="31"/>
        <v>-39.421039999999998</v>
      </c>
      <c r="V82" s="20">
        <f t="shared" si="32"/>
        <v>33.736870000000003</v>
      </c>
      <c r="W82" s="19" t="str">
        <f>Data!I80</f>
        <v>Trip stopped duration accumulator</v>
      </c>
      <c r="X82" s="17" t="str">
        <f>CONCATENATE(Data!J80, " ", Data!K80)</f>
        <v>0.0002777777778 h</v>
      </c>
    </row>
    <row r="83" spans="1:24" x14ac:dyDescent="0.3">
      <c r="A83" s="17" t="str">
        <f>Data!A81</f>
        <v>vehicle1</v>
      </c>
      <c r="B83" s="17" t="str">
        <f>Data!B81</f>
        <v>Vehicle, Gasoline or Petrol</v>
      </c>
      <c r="C83" s="17" t="str">
        <f>Data!C81</f>
        <v>1f2g3h4j5k6l</v>
      </c>
      <c r="D83" s="52">
        <f>Data!D81</f>
        <v>45066.132222222222</v>
      </c>
      <c r="E83" s="60" t="str">
        <f>IF(Data!E81="GpsRecord",Data!F81,"")</f>
        <v/>
      </c>
      <c r="F83" s="68" t="str">
        <f t="shared" si="18"/>
        <v>Whispering Pines, 401 Loblolly Cir, Clayton, NC 27520, USA</v>
      </c>
      <c r="G83" t="b">
        <f t="shared" si="19"/>
        <v>0</v>
      </c>
      <c r="H83" t="b">
        <f t="shared" si="20"/>
        <v>0</v>
      </c>
      <c r="I83" t="b">
        <f t="shared" si="21"/>
        <v>0</v>
      </c>
      <c r="J83" t="str">
        <f t="shared" si="22"/>
        <v/>
      </c>
      <c r="K83" t="str">
        <f t="shared" si="23"/>
        <v/>
      </c>
      <c r="L83" t="str">
        <f t="shared" si="24"/>
        <v>,</v>
      </c>
      <c r="M83" t="str">
        <f t="shared" si="25"/>
        <v/>
      </c>
      <c r="N83" t="str">
        <f t="shared" si="26"/>
        <v/>
      </c>
      <c r="O83" t="str">
        <f t="shared" si="27"/>
        <v/>
      </c>
      <c r="P83" t="str">
        <f t="shared" si="28"/>
        <v/>
      </c>
      <c r="Q83" t="str">
        <f t="shared" si="29"/>
        <v/>
      </c>
      <c r="R83" s="20" t="str">
        <f t="shared" si="30"/>
        <v>NC</v>
      </c>
      <c r="S83" s="20" t="str">
        <f>IF(Data!E81="GpsRecord",Data!G81,"")</f>
        <v/>
      </c>
      <c r="T83" s="20" t="str">
        <f>IF(Data!E81="GpsRecord",Data!H81,"")</f>
        <v/>
      </c>
      <c r="U83" s="20">
        <f t="shared" si="31"/>
        <v>-39.421039999999998</v>
      </c>
      <c r="V83" s="20">
        <f t="shared" si="32"/>
        <v>33.736870000000003</v>
      </c>
      <c r="W83" s="19" t="str">
        <f>Data!I81</f>
        <v>Trip distance accumulator road speed</v>
      </c>
      <c r="X83" s="17" t="str">
        <f>CONCATENATE(Data!J81, " ", Data!K81)</f>
        <v>0 km</v>
      </c>
    </row>
    <row r="84" spans="1:24" x14ac:dyDescent="0.3">
      <c r="A84" s="17" t="str">
        <f>Data!A82</f>
        <v>vehicle1</v>
      </c>
      <c r="B84" s="17" t="str">
        <f>Data!B82</f>
        <v>Vehicle, Gasoline or Petrol</v>
      </c>
      <c r="C84" s="17" t="str">
        <f>Data!C82</f>
        <v>1f2g3h4j5k6l</v>
      </c>
      <c r="D84" s="52">
        <f>Data!D82</f>
        <v>45066.132222222222</v>
      </c>
      <c r="E84" s="60" t="str">
        <f>IF(Data!E82="GpsRecord",Data!F82,"")</f>
        <v/>
      </c>
      <c r="F84" s="68" t="str">
        <f t="shared" si="18"/>
        <v>Whispering Pines, 401 Loblolly Cir, Clayton, NC 27520, USA</v>
      </c>
      <c r="G84" t="b">
        <f t="shared" si="19"/>
        <v>0</v>
      </c>
      <c r="H84" t="b">
        <f t="shared" si="20"/>
        <v>0</v>
      </c>
      <c r="I84" t="b">
        <f t="shared" si="21"/>
        <v>0</v>
      </c>
      <c r="J84" t="str">
        <f t="shared" si="22"/>
        <v/>
      </c>
      <c r="K84" t="str">
        <f t="shared" si="23"/>
        <v/>
      </c>
      <c r="L84" t="str">
        <f t="shared" si="24"/>
        <v>,</v>
      </c>
      <c r="M84" t="str">
        <f t="shared" si="25"/>
        <v/>
      </c>
      <c r="N84" t="str">
        <f t="shared" si="26"/>
        <v/>
      </c>
      <c r="O84" t="str">
        <f t="shared" si="27"/>
        <v/>
      </c>
      <c r="P84" t="str">
        <f t="shared" si="28"/>
        <v/>
      </c>
      <c r="Q84" t="str">
        <f t="shared" si="29"/>
        <v/>
      </c>
      <c r="R84" s="20" t="str">
        <f t="shared" si="30"/>
        <v>NC</v>
      </c>
      <c r="S84" s="20" t="str">
        <f>IF(Data!E82="GpsRecord",Data!G82,"")</f>
        <v/>
      </c>
      <c r="T84" s="20" t="str">
        <f>IF(Data!E82="GpsRecord",Data!H82,"")</f>
        <v/>
      </c>
      <c r="U84" s="20">
        <f t="shared" si="31"/>
        <v>-39.421039999999998</v>
      </c>
      <c r="V84" s="20">
        <f t="shared" si="32"/>
        <v>33.736870000000003</v>
      </c>
      <c r="W84" s="19">
        <f>Data!I82</f>
        <v>0</v>
      </c>
      <c r="X84" s="17" t="str">
        <f>CONCATENATE(Data!J82, " ", Data!K82)</f>
        <v xml:space="preserve"> </v>
      </c>
    </row>
    <row r="85" spans="1:24" x14ac:dyDescent="0.3">
      <c r="A85" s="17" t="str">
        <f>Data!A83</f>
        <v>vehicle1</v>
      </c>
      <c r="B85" s="17" t="str">
        <f>Data!B83</f>
        <v>Vehicle, Gasoline or Petrol</v>
      </c>
      <c r="C85" s="17" t="str">
        <f>Data!C83</f>
        <v>1f2g3h4j5k6l</v>
      </c>
      <c r="D85" s="52">
        <f>Data!D83</f>
        <v>45066.132233796299</v>
      </c>
      <c r="E85" s="60" t="str">
        <f>IF(Data!E83="GpsRecord",Data!F83,"")</f>
        <v/>
      </c>
      <c r="F85" s="68" t="str">
        <f t="shared" si="18"/>
        <v>Whispering Pines, 401 Loblolly Cir, Clayton, NC 27520, USA</v>
      </c>
      <c r="G85" t="b">
        <f t="shared" si="19"/>
        <v>0</v>
      </c>
      <c r="H85" t="b">
        <f t="shared" si="20"/>
        <v>0</v>
      </c>
      <c r="I85" t="b">
        <f t="shared" si="21"/>
        <v>0</v>
      </c>
      <c r="J85" t="str">
        <f t="shared" si="22"/>
        <v/>
      </c>
      <c r="K85" t="str">
        <f t="shared" si="23"/>
        <v/>
      </c>
      <c r="L85" t="str">
        <f t="shared" si="24"/>
        <v>,</v>
      </c>
      <c r="M85" t="str">
        <f t="shared" si="25"/>
        <v/>
      </c>
      <c r="N85" t="str">
        <f t="shared" si="26"/>
        <v/>
      </c>
      <c r="O85" t="str">
        <f t="shared" si="27"/>
        <v/>
      </c>
      <c r="P85" t="str">
        <f t="shared" si="28"/>
        <v/>
      </c>
      <c r="Q85" t="str">
        <f t="shared" si="29"/>
        <v/>
      </c>
      <c r="R85" s="20" t="str">
        <f t="shared" si="30"/>
        <v>NC</v>
      </c>
      <c r="S85" s="20" t="str">
        <f>IF(Data!E83="GpsRecord",Data!G83,"")</f>
        <v/>
      </c>
      <c r="T85" s="20" t="str">
        <f>IF(Data!E83="GpsRecord",Data!H83,"")</f>
        <v/>
      </c>
      <c r="U85" s="20">
        <f t="shared" si="31"/>
        <v>-39.421039999999998</v>
      </c>
      <c r="V85" s="20">
        <f t="shared" si="32"/>
        <v>33.736870000000003</v>
      </c>
      <c r="W85" s="19">
        <f>Data!I83</f>
        <v>0</v>
      </c>
      <c r="X85" s="17" t="str">
        <f>CONCATENATE(Data!J83, " ", Data!K83)</f>
        <v xml:space="preserve"> </v>
      </c>
    </row>
    <row r="86" spans="1:24" x14ac:dyDescent="0.3">
      <c r="A86" s="17" t="str">
        <f>Data!A84</f>
        <v>vehicle1</v>
      </c>
      <c r="B86" s="17" t="str">
        <f>Data!B84</f>
        <v>Vehicle, Gasoline or Petrol</v>
      </c>
      <c r="C86" s="17" t="str">
        <f>Data!C84</f>
        <v>1f2g3h4j5k6l</v>
      </c>
      <c r="D86" s="52">
        <f>Data!D84</f>
        <v>45066.132233796299</v>
      </c>
      <c r="E86" s="60" t="str">
        <f>IF(Data!E84="GpsRecord",Data!F84,"")</f>
        <v/>
      </c>
      <c r="F86" s="68" t="str">
        <f t="shared" si="18"/>
        <v>Whispering Pines, 401 Loblolly Cir, Clayton, NC 27520, USA</v>
      </c>
      <c r="G86" t="b">
        <f t="shared" si="19"/>
        <v>0</v>
      </c>
      <c r="H86" t="b">
        <f t="shared" si="20"/>
        <v>0</v>
      </c>
      <c r="I86" t="b">
        <f t="shared" si="21"/>
        <v>0</v>
      </c>
      <c r="J86" t="str">
        <f t="shared" si="22"/>
        <v/>
      </c>
      <c r="K86" t="str">
        <f t="shared" si="23"/>
        <v/>
      </c>
      <c r="L86" t="str">
        <f t="shared" si="24"/>
        <v>,</v>
      </c>
      <c r="M86" t="str">
        <f t="shared" si="25"/>
        <v/>
      </c>
      <c r="N86" t="str">
        <f t="shared" si="26"/>
        <v/>
      </c>
      <c r="O86" t="str">
        <f t="shared" si="27"/>
        <v/>
      </c>
      <c r="P86" t="str">
        <f t="shared" si="28"/>
        <v/>
      </c>
      <c r="Q86" t="str">
        <f t="shared" si="29"/>
        <v/>
      </c>
      <c r="R86" s="20" t="str">
        <f t="shared" si="30"/>
        <v>NC</v>
      </c>
      <c r="S86" s="20" t="str">
        <f>IF(Data!E84="GpsRecord",Data!G84,"")</f>
        <v/>
      </c>
      <c r="T86" s="20" t="str">
        <f>IF(Data!E84="GpsRecord",Data!H84,"")</f>
        <v/>
      </c>
      <c r="U86" s="20">
        <f t="shared" si="31"/>
        <v>-39.421039999999998</v>
      </c>
      <c r="V86" s="20">
        <f t="shared" si="32"/>
        <v>33.736870000000003</v>
      </c>
      <c r="W86" s="19">
        <f>Data!I84</f>
        <v>0</v>
      </c>
      <c r="X86" s="17" t="str">
        <f>CONCATENATE(Data!J84, " ", Data!K84)</f>
        <v xml:space="preserve"> </v>
      </c>
    </row>
    <row r="87" spans="1:24" x14ac:dyDescent="0.3">
      <c r="A87" s="17" t="str">
        <f>Data!A85</f>
        <v>vehicle1</v>
      </c>
      <c r="B87" s="17" t="str">
        <f>Data!B85</f>
        <v>Vehicle, Gasoline or Petrol</v>
      </c>
      <c r="C87" s="17" t="str">
        <f>Data!C85</f>
        <v>1f2g3h4j5k6l</v>
      </c>
      <c r="D87" s="52">
        <f>Data!D85</f>
        <v>45066.132245370369</v>
      </c>
      <c r="E87" s="60" t="str">
        <f>IF(Data!E85="GpsRecord",Data!F85,"")</f>
        <v/>
      </c>
      <c r="F87" s="68" t="str">
        <f t="shared" si="18"/>
        <v>Whispering Pines, 401 Loblolly Cir, Clayton, NC 27520, USA</v>
      </c>
      <c r="G87" t="b">
        <f t="shared" si="19"/>
        <v>0</v>
      </c>
      <c r="H87" t="b">
        <f t="shared" si="20"/>
        <v>0</v>
      </c>
      <c r="I87" t="b">
        <f t="shared" si="21"/>
        <v>0</v>
      </c>
      <c r="J87" t="str">
        <f t="shared" si="22"/>
        <v/>
      </c>
      <c r="K87" t="str">
        <f t="shared" si="23"/>
        <v/>
      </c>
      <c r="L87" t="str">
        <f t="shared" si="24"/>
        <v>,</v>
      </c>
      <c r="M87" t="str">
        <f t="shared" si="25"/>
        <v/>
      </c>
      <c r="N87" t="str">
        <f t="shared" si="26"/>
        <v/>
      </c>
      <c r="O87" t="str">
        <f t="shared" si="27"/>
        <v/>
      </c>
      <c r="P87" t="str">
        <f t="shared" si="28"/>
        <v/>
      </c>
      <c r="Q87" t="str">
        <f t="shared" si="29"/>
        <v/>
      </c>
      <c r="R87" s="20" t="str">
        <f t="shared" si="30"/>
        <v>NC</v>
      </c>
      <c r="S87" s="20" t="str">
        <f>IF(Data!E85="GpsRecord",Data!G85,"")</f>
        <v/>
      </c>
      <c r="T87" s="20" t="str">
        <f>IF(Data!E85="GpsRecord",Data!H85,"")</f>
        <v/>
      </c>
      <c r="U87" s="20">
        <f t="shared" si="31"/>
        <v>-39.421039999999998</v>
      </c>
      <c r="V87" s="20">
        <f t="shared" si="32"/>
        <v>33.736870000000003</v>
      </c>
      <c r="W87" s="19">
        <f>Data!I85</f>
        <v>0</v>
      </c>
      <c r="X87" s="17" t="str">
        <f>CONCATENATE(Data!J85, " ", Data!K85)</f>
        <v xml:space="preserve"> </v>
      </c>
    </row>
    <row r="88" spans="1:24" x14ac:dyDescent="0.3">
      <c r="A88" s="17" t="str">
        <f>Data!A86</f>
        <v>vehicle1</v>
      </c>
      <c r="B88" s="17" t="str">
        <f>Data!B86</f>
        <v>Vehicle, Gasoline or Petrol</v>
      </c>
      <c r="C88" s="17" t="str">
        <f>Data!C86</f>
        <v>1f2g3h4j5k6l</v>
      </c>
      <c r="D88" s="52">
        <f>Data!D86</f>
        <v>45066.132245370369</v>
      </c>
      <c r="E88" s="60" t="str">
        <f>IF(Data!E86="GpsRecord",Data!F86,"")</f>
        <v>Whispering Pines, 401 Loblolly Cir, Clayton, NC 27520, USA</v>
      </c>
      <c r="F88" s="68" t="str">
        <f t="shared" si="18"/>
        <v>Whispering Pines, 401 Loblolly Cir, Clayton, NC 27520, USA</v>
      </c>
      <c r="G88" t="b">
        <f t="shared" si="19"/>
        <v>0</v>
      </c>
      <c r="H88" t="b">
        <f t="shared" si="20"/>
        <v>1</v>
      </c>
      <c r="I88" t="b">
        <f t="shared" si="21"/>
        <v>1</v>
      </c>
      <c r="J88" t="str">
        <f t="shared" si="22"/>
        <v>Whispering Pines, 401 Loblolly Cir, Clayton, NC 27520, USA</v>
      </c>
      <c r="K88" t="str">
        <f t="shared" si="23"/>
        <v xml:space="preserve"> USA</v>
      </c>
      <c r="L88" t="str">
        <f t="shared" si="24"/>
        <v>, USA</v>
      </c>
      <c r="M88" t="str">
        <f t="shared" si="25"/>
        <v>Whispering Pines, 401 Loblolly Cir, Clayton, NC 27520</v>
      </c>
      <c r="N88" t="str">
        <f t="shared" si="26"/>
        <v xml:space="preserve"> NC 27520</v>
      </c>
      <c r="O88" t="str">
        <f t="shared" si="27"/>
        <v>27520</v>
      </c>
      <c r="P88" t="str">
        <f t="shared" si="28"/>
        <v xml:space="preserve"> NC</v>
      </c>
      <c r="Q88" t="str">
        <f t="shared" si="29"/>
        <v>NC</v>
      </c>
      <c r="R88" s="20" t="str">
        <f t="shared" si="30"/>
        <v>NC</v>
      </c>
      <c r="S88" s="20">
        <f>IF(Data!E86="GpsRecord",Data!G86,"")</f>
        <v>-39.421039999999998</v>
      </c>
      <c r="T88" s="20">
        <f>IF(Data!E86="GpsRecord",Data!H86,"")</f>
        <v>33.736870000000003</v>
      </c>
      <c r="U88" s="20">
        <f t="shared" si="31"/>
        <v>-39.421039999999998</v>
      </c>
      <c r="V88" s="20">
        <f t="shared" si="32"/>
        <v>33.736870000000003</v>
      </c>
      <c r="W88" s="19">
        <f>Data!I86</f>
        <v>0</v>
      </c>
      <c r="X88" s="17" t="str">
        <f>CONCATENATE(Data!J86, " ", Data!K86)</f>
        <v xml:space="preserve"> </v>
      </c>
    </row>
    <row r="89" spans="1:24" x14ac:dyDescent="0.3">
      <c r="A89" s="17" t="str">
        <f>Data!A87</f>
        <v>vehicle1</v>
      </c>
      <c r="B89" s="17" t="str">
        <f>Data!B87</f>
        <v>Vehicle, Gasoline or Petrol</v>
      </c>
      <c r="C89" s="17" t="str">
        <f>Data!C87</f>
        <v>1f2g3h4j5k6l</v>
      </c>
      <c r="D89" s="52">
        <f>Data!D87</f>
        <v>45066.132245370369</v>
      </c>
      <c r="E89" s="60" t="str">
        <f>IF(Data!E87="GpsRecord",Data!F87,"")</f>
        <v/>
      </c>
      <c r="F89" s="68" t="str">
        <f t="shared" si="18"/>
        <v>Whispering Pines, 401 Loblolly Cir, Clayton, NC 27520, USA</v>
      </c>
      <c r="G89" t="b">
        <f t="shared" si="19"/>
        <v>0</v>
      </c>
      <c r="H89" t="b">
        <f t="shared" si="20"/>
        <v>0</v>
      </c>
      <c r="I89" t="b">
        <f t="shared" si="21"/>
        <v>0</v>
      </c>
      <c r="J89" t="str">
        <f t="shared" si="22"/>
        <v/>
      </c>
      <c r="K89" t="str">
        <f t="shared" si="23"/>
        <v/>
      </c>
      <c r="L89" t="str">
        <f t="shared" si="24"/>
        <v>,</v>
      </c>
      <c r="M89" t="str">
        <f t="shared" si="25"/>
        <v/>
      </c>
      <c r="N89" t="str">
        <f t="shared" si="26"/>
        <v/>
      </c>
      <c r="O89" t="str">
        <f t="shared" si="27"/>
        <v/>
      </c>
      <c r="P89" t="str">
        <f t="shared" si="28"/>
        <v/>
      </c>
      <c r="Q89" t="str">
        <f t="shared" si="29"/>
        <v/>
      </c>
      <c r="R89" s="20" t="str">
        <f t="shared" si="30"/>
        <v>NC</v>
      </c>
      <c r="S89" s="20" t="str">
        <f>IF(Data!E87="GpsRecord",Data!G87,"")</f>
        <v/>
      </c>
      <c r="T89" s="20" t="str">
        <f>IF(Data!E87="GpsRecord",Data!H87,"")</f>
        <v/>
      </c>
      <c r="U89" s="20">
        <f t="shared" si="31"/>
        <v>-39.421039999999998</v>
      </c>
      <c r="V89" s="20">
        <f t="shared" si="32"/>
        <v>33.736870000000003</v>
      </c>
      <c r="W89" s="19">
        <f>Data!I87</f>
        <v>0</v>
      </c>
      <c r="X89" s="17" t="str">
        <f>CONCATENATE(Data!J87, " ", Data!K87)</f>
        <v xml:space="preserve"> </v>
      </c>
    </row>
    <row r="90" spans="1:24" x14ac:dyDescent="0.3">
      <c r="A90" s="17" t="str">
        <f>Data!A88</f>
        <v>vehicle1</v>
      </c>
      <c r="B90" s="17" t="str">
        <f>Data!B88</f>
        <v>Vehicle, Gasoline or Petrol</v>
      </c>
      <c r="C90" s="17" t="str">
        <f>Data!C88</f>
        <v>1f2g3h4j5k6l</v>
      </c>
      <c r="D90" s="52">
        <f>Data!D88</f>
        <v>45066.132245370369</v>
      </c>
      <c r="E90" s="60" t="str">
        <f>IF(Data!E88="GpsRecord",Data!F88,"")</f>
        <v/>
      </c>
      <c r="F90" s="68" t="str">
        <f t="shared" si="18"/>
        <v>Whispering Pines, 401 Loblolly Cir, Clayton, NC 27520, USA</v>
      </c>
      <c r="G90" t="b">
        <f t="shared" si="19"/>
        <v>0</v>
      </c>
      <c r="H90" t="b">
        <f t="shared" si="20"/>
        <v>0</v>
      </c>
      <c r="I90" t="b">
        <f t="shared" si="21"/>
        <v>0</v>
      </c>
      <c r="J90" t="str">
        <f t="shared" si="22"/>
        <v/>
      </c>
      <c r="K90" t="str">
        <f t="shared" si="23"/>
        <v/>
      </c>
      <c r="L90" t="str">
        <f t="shared" si="24"/>
        <v>,</v>
      </c>
      <c r="M90" t="str">
        <f t="shared" si="25"/>
        <v/>
      </c>
      <c r="N90" t="str">
        <f t="shared" si="26"/>
        <v/>
      </c>
      <c r="O90" t="str">
        <f t="shared" si="27"/>
        <v/>
      </c>
      <c r="P90" t="str">
        <f t="shared" si="28"/>
        <v/>
      </c>
      <c r="Q90" t="str">
        <f t="shared" si="29"/>
        <v/>
      </c>
      <c r="R90" s="20" t="str">
        <f t="shared" si="30"/>
        <v>NC</v>
      </c>
      <c r="S90" s="20" t="str">
        <f>IF(Data!E88="GpsRecord",Data!G88,"")</f>
        <v/>
      </c>
      <c r="T90" s="20" t="str">
        <f>IF(Data!E88="GpsRecord",Data!H88,"")</f>
        <v/>
      </c>
      <c r="U90" s="20">
        <f t="shared" si="31"/>
        <v>-39.421039999999998</v>
      </c>
      <c r="V90" s="20">
        <f t="shared" si="32"/>
        <v>33.736870000000003</v>
      </c>
      <c r="W90" s="19">
        <f>Data!I88</f>
        <v>0</v>
      </c>
      <c r="X90" s="17" t="str">
        <f>CONCATENATE(Data!J88, " ", Data!K88)</f>
        <v xml:space="preserve"> </v>
      </c>
    </row>
    <row r="91" spans="1:24" x14ac:dyDescent="0.3">
      <c r="A91" s="17" t="str">
        <f>Data!A89</f>
        <v>vehicle1</v>
      </c>
      <c r="B91" s="17" t="str">
        <f>Data!B89</f>
        <v>Vehicle, Gasoline or Petrol</v>
      </c>
      <c r="C91" s="17" t="str">
        <f>Data!C89</f>
        <v>1f2g3h4j5k6l</v>
      </c>
      <c r="D91" s="52">
        <f>Data!D89</f>
        <v>45066.132268518515</v>
      </c>
      <c r="E91" s="60" t="str">
        <f>IF(Data!E89="GpsRecord",Data!F89,"")</f>
        <v/>
      </c>
      <c r="F91" s="68" t="str">
        <f t="shared" si="18"/>
        <v>Whispering Pines, 401 Loblolly Cir, Clayton, NC 27520, USA</v>
      </c>
      <c r="G91" t="b">
        <f t="shared" si="19"/>
        <v>0</v>
      </c>
      <c r="H91" t="b">
        <f t="shared" si="20"/>
        <v>0</v>
      </c>
      <c r="I91" t="b">
        <f t="shared" si="21"/>
        <v>0</v>
      </c>
      <c r="J91" t="str">
        <f t="shared" si="22"/>
        <v/>
      </c>
      <c r="K91" t="str">
        <f t="shared" si="23"/>
        <v/>
      </c>
      <c r="L91" t="str">
        <f t="shared" si="24"/>
        <v>,</v>
      </c>
      <c r="M91" t="str">
        <f t="shared" si="25"/>
        <v/>
      </c>
      <c r="N91" t="str">
        <f t="shared" si="26"/>
        <v/>
      </c>
      <c r="O91" t="str">
        <f t="shared" si="27"/>
        <v/>
      </c>
      <c r="P91" t="str">
        <f t="shared" si="28"/>
        <v/>
      </c>
      <c r="Q91" t="str">
        <f t="shared" si="29"/>
        <v/>
      </c>
      <c r="R91" s="20" t="str">
        <f t="shared" si="30"/>
        <v>NC</v>
      </c>
      <c r="S91" s="20" t="str">
        <f>IF(Data!E89="GpsRecord",Data!G89,"")</f>
        <v/>
      </c>
      <c r="T91" s="20" t="str">
        <f>IF(Data!E89="GpsRecord",Data!H89,"")</f>
        <v/>
      </c>
      <c r="U91" s="20">
        <f t="shared" si="31"/>
        <v>-39.421039999999998</v>
      </c>
      <c r="V91" s="20">
        <f t="shared" si="32"/>
        <v>33.736870000000003</v>
      </c>
      <c r="W91" s="19" t="str">
        <f>Data!I89</f>
        <v>Raw outside air temperature</v>
      </c>
      <c r="X91" s="17" t="str">
        <f>CONCATENATE(Data!J89, " ", Data!K89)</f>
        <v>39 C</v>
      </c>
    </row>
    <row r="92" spans="1:24" x14ac:dyDescent="0.3">
      <c r="A92" s="17" t="str">
        <f>Data!A90</f>
        <v>vehicle1</v>
      </c>
      <c r="B92" s="17" t="str">
        <f>Data!B90</f>
        <v>Vehicle, Gasoline or Petrol</v>
      </c>
      <c r="C92" s="17" t="str">
        <f>Data!C90</f>
        <v>1f2g3h4j5k6l</v>
      </c>
      <c r="D92" s="52">
        <f>Data!D90</f>
        <v>45066.132268518515</v>
      </c>
      <c r="E92" s="60" t="str">
        <f>IF(Data!E90="GpsRecord",Data!F90,"")</f>
        <v/>
      </c>
      <c r="F92" s="68" t="str">
        <f t="shared" si="18"/>
        <v>Whispering Pines, 401 Loblolly Cir, Clayton, NC 27520, USA</v>
      </c>
      <c r="G92" t="b">
        <f t="shared" si="19"/>
        <v>0</v>
      </c>
      <c r="H92" t="b">
        <f t="shared" si="20"/>
        <v>0</v>
      </c>
      <c r="I92" t="b">
        <f t="shared" si="21"/>
        <v>0</v>
      </c>
      <c r="J92" t="str">
        <f t="shared" si="22"/>
        <v/>
      </c>
      <c r="K92" t="str">
        <f t="shared" si="23"/>
        <v/>
      </c>
      <c r="L92" t="str">
        <f t="shared" si="24"/>
        <v>,</v>
      </c>
      <c r="M92" t="str">
        <f t="shared" si="25"/>
        <v/>
      </c>
      <c r="N92" t="str">
        <f t="shared" si="26"/>
        <v/>
      </c>
      <c r="O92" t="str">
        <f t="shared" si="27"/>
        <v/>
      </c>
      <c r="P92" t="str">
        <f t="shared" si="28"/>
        <v/>
      </c>
      <c r="Q92" t="str">
        <f t="shared" si="29"/>
        <v/>
      </c>
      <c r="R92" s="20" t="str">
        <f t="shared" si="30"/>
        <v>NC</v>
      </c>
      <c r="S92" s="20" t="str">
        <f>IF(Data!E90="GpsRecord",Data!G90,"")</f>
        <v/>
      </c>
      <c r="T92" s="20" t="str">
        <f>IF(Data!E90="GpsRecord",Data!H90,"")</f>
        <v/>
      </c>
      <c r="U92" s="20">
        <f t="shared" si="31"/>
        <v>-39.421039999999998</v>
      </c>
      <c r="V92" s="20">
        <f t="shared" si="32"/>
        <v>33.736870000000003</v>
      </c>
      <c r="W92" s="19" t="str">
        <f>Data!I90</f>
        <v>Cranking voltage</v>
      </c>
      <c r="X92" s="17" t="str">
        <f>CONCATENATE(Data!J90, " ", Data!K90)</f>
        <v>13.5386 V</v>
      </c>
    </row>
    <row r="93" spans="1:24" x14ac:dyDescent="0.3">
      <c r="A93" s="17" t="str">
        <f>Data!A91</f>
        <v>vehicle1</v>
      </c>
      <c r="B93" s="17" t="str">
        <f>Data!B91</f>
        <v>Vehicle, Gasoline or Petrol</v>
      </c>
      <c r="C93" s="17" t="str">
        <f>Data!C91</f>
        <v>1f2g3h4j5k6l</v>
      </c>
      <c r="D93" s="52">
        <f>Data!D91</f>
        <v>45066.132268518515</v>
      </c>
      <c r="E93" s="60" t="str">
        <f>IF(Data!E91="GpsRecord",Data!F91,"")</f>
        <v/>
      </c>
      <c r="F93" s="68" t="str">
        <f t="shared" si="18"/>
        <v>Whispering Pines, 401 Loblolly Cir, Clayton, NC 27520, USA</v>
      </c>
      <c r="G93" t="b">
        <f t="shared" si="19"/>
        <v>0</v>
      </c>
      <c r="H93" t="b">
        <f t="shared" si="20"/>
        <v>0</v>
      </c>
      <c r="I93" t="b">
        <f t="shared" si="21"/>
        <v>0</v>
      </c>
      <c r="J93" t="str">
        <f t="shared" si="22"/>
        <v/>
      </c>
      <c r="K93" t="str">
        <f t="shared" si="23"/>
        <v/>
      </c>
      <c r="L93" t="str">
        <f t="shared" si="24"/>
        <v>,</v>
      </c>
      <c r="M93" t="str">
        <f t="shared" si="25"/>
        <v/>
      </c>
      <c r="N93" t="str">
        <f t="shared" si="26"/>
        <v/>
      </c>
      <c r="O93" t="str">
        <f t="shared" si="27"/>
        <v/>
      </c>
      <c r="P93" t="str">
        <f t="shared" si="28"/>
        <v/>
      </c>
      <c r="Q93" t="str">
        <f t="shared" si="29"/>
        <v/>
      </c>
      <c r="R93" s="20" t="str">
        <f t="shared" si="30"/>
        <v>NC</v>
      </c>
      <c r="S93" s="20" t="str">
        <f>IF(Data!E91="GpsRecord",Data!G91,"")</f>
        <v/>
      </c>
      <c r="T93" s="20" t="str">
        <f>IF(Data!E91="GpsRecord",Data!H91,"")</f>
        <v/>
      </c>
      <c r="U93" s="20">
        <f t="shared" si="31"/>
        <v>-39.421039999999998</v>
      </c>
      <c r="V93" s="20">
        <f t="shared" si="32"/>
        <v>33.736870000000003</v>
      </c>
      <c r="W93" s="19">
        <f>Data!I91</f>
        <v>0</v>
      </c>
      <c r="X93" s="17" t="str">
        <f>CONCATENATE(Data!J91, " ", Data!K91)</f>
        <v xml:space="preserve"> </v>
      </c>
    </row>
    <row r="94" spans="1:24" x14ac:dyDescent="0.3">
      <c r="A94" s="17" t="str">
        <f>Data!A92</f>
        <v>vehicle1</v>
      </c>
      <c r="B94" s="17" t="str">
        <f>Data!B92</f>
        <v>Vehicle, Gasoline or Petrol</v>
      </c>
      <c r="C94" s="17" t="str">
        <f>Data!C92</f>
        <v>1f2g3h4j5k6l</v>
      </c>
      <c r="D94" s="52">
        <f>Data!D92</f>
        <v>45066.132268518515</v>
      </c>
      <c r="E94" s="60" t="str">
        <f>IF(Data!E92="GpsRecord",Data!F92,"")</f>
        <v/>
      </c>
      <c r="F94" s="68" t="str">
        <f t="shared" si="18"/>
        <v>Whispering Pines, 401 Loblolly Cir, Clayton, NC 27520, USA</v>
      </c>
      <c r="G94" t="b">
        <f t="shared" si="19"/>
        <v>0</v>
      </c>
      <c r="H94" t="b">
        <f t="shared" si="20"/>
        <v>0</v>
      </c>
      <c r="I94" t="b">
        <f t="shared" si="21"/>
        <v>0</v>
      </c>
      <c r="J94" t="str">
        <f t="shared" si="22"/>
        <v/>
      </c>
      <c r="K94" t="str">
        <f t="shared" si="23"/>
        <v/>
      </c>
      <c r="L94" t="str">
        <f t="shared" si="24"/>
        <v>,</v>
      </c>
      <c r="M94" t="str">
        <f t="shared" si="25"/>
        <v/>
      </c>
      <c r="N94" t="str">
        <f t="shared" si="26"/>
        <v/>
      </c>
      <c r="O94" t="str">
        <f t="shared" si="27"/>
        <v/>
      </c>
      <c r="P94" t="str">
        <f t="shared" si="28"/>
        <v/>
      </c>
      <c r="Q94" t="str">
        <f t="shared" si="29"/>
        <v/>
      </c>
      <c r="R94" s="20" t="str">
        <f t="shared" si="30"/>
        <v>NC</v>
      </c>
      <c r="S94" s="20" t="str">
        <f>IF(Data!E92="GpsRecord",Data!G92,"")</f>
        <v/>
      </c>
      <c r="T94" s="20" t="str">
        <f>IF(Data!E92="GpsRecord",Data!H92,"")</f>
        <v/>
      </c>
      <c r="U94" s="20">
        <f t="shared" si="31"/>
        <v>-39.421039999999998</v>
      </c>
      <c r="V94" s="20">
        <f t="shared" si="32"/>
        <v>33.736870000000003</v>
      </c>
      <c r="W94" s="19" t="str">
        <f>Data!I92</f>
        <v>Fuel level while stopped (percent) tank 1</v>
      </c>
      <c r="X94" s="17" t="str">
        <f>CONCATENATE(Data!J92, " ", Data!K92)</f>
        <v>61.1676 %</v>
      </c>
    </row>
    <row r="95" spans="1:24" x14ac:dyDescent="0.3">
      <c r="A95" s="17" t="str">
        <f>Data!A93</f>
        <v>vehicle1</v>
      </c>
      <c r="B95" s="17" t="str">
        <f>Data!B93</f>
        <v>Vehicle, Gasoline or Petrol</v>
      </c>
      <c r="C95" s="17" t="str">
        <f>Data!C93</f>
        <v>1f2g3h4j5k6l</v>
      </c>
      <c r="D95" s="52">
        <f>Data!D93</f>
        <v>45066.132268518515</v>
      </c>
      <c r="E95" s="60" t="str">
        <f>IF(Data!E93="GpsRecord",Data!F93,"")</f>
        <v/>
      </c>
      <c r="F95" s="68" t="str">
        <f t="shared" si="18"/>
        <v>Whispering Pines, 401 Loblolly Cir, Clayton, NC 27520, USA</v>
      </c>
      <c r="G95" t="b">
        <f t="shared" si="19"/>
        <v>0</v>
      </c>
      <c r="H95" t="b">
        <f t="shared" si="20"/>
        <v>0</v>
      </c>
      <c r="I95" t="b">
        <f t="shared" si="21"/>
        <v>0</v>
      </c>
      <c r="J95" t="str">
        <f t="shared" si="22"/>
        <v/>
      </c>
      <c r="K95" t="str">
        <f t="shared" si="23"/>
        <v/>
      </c>
      <c r="L95" t="str">
        <f t="shared" si="24"/>
        <v>,</v>
      </c>
      <c r="M95" t="str">
        <f t="shared" si="25"/>
        <v/>
      </c>
      <c r="N95" t="str">
        <f t="shared" si="26"/>
        <v/>
      </c>
      <c r="O95" t="str">
        <f t="shared" si="27"/>
        <v/>
      </c>
      <c r="P95" t="str">
        <f t="shared" si="28"/>
        <v/>
      </c>
      <c r="Q95" t="str">
        <f t="shared" si="29"/>
        <v/>
      </c>
      <c r="R95" s="20" t="str">
        <f t="shared" si="30"/>
        <v>NC</v>
      </c>
      <c r="S95" s="20" t="str">
        <f>IF(Data!E93="GpsRecord",Data!G93,"")</f>
        <v/>
      </c>
      <c r="T95" s="20" t="str">
        <f>IF(Data!E93="GpsRecord",Data!H93,"")</f>
        <v/>
      </c>
      <c r="U95" s="20">
        <f t="shared" si="31"/>
        <v>-39.421039999999998</v>
      </c>
      <c r="V95" s="20">
        <f t="shared" si="32"/>
        <v>33.736870000000003</v>
      </c>
      <c r="W95" s="19">
        <f>Data!I93</f>
        <v>0</v>
      </c>
      <c r="X95" s="17" t="str">
        <f>CONCATENATE(Data!J93, " ", Data!K93)</f>
        <v xml:space="preserve"> </v>
      </c>
    </row>
    <row r="96" spans="1:24" x14ac:dyDescent="0.3">
      <c r="A96" s="17" t="str">
        <f>Data!A94</f>
        <v>vehicle1</v>
      </c>
      <c r="B96" s="17" t="str">
        <f>Data!B94</f>
        <v>Vehicle, Gasoline or Petrol</v>
      </c>
      <c r="C96" s="17" t="str">
        <f>Data!C94</f>
        <v>1f2g3h4j5k6l</v>
      </c>
      <c r="D96" s="52">
        <f>Data!D94</f>
        <v>45066.132268518515</v>
      </c>
      <c r="E96" s="60" t="str">
        <f>IF(Data!E94="GpsRecord",Data!F94,"")</f>
        <v/>
      </c>
      <c r="F96" s="68" t="str">
        <f t="shared" si="18"/>
        <v>Whispering Pines, 401 Loblolly Cir, Clayton, NC 27520, USA</v>
      </c>
      <c r="G96" t="b">
        <f t="shared" si="19"/>
        <v>0</v>
      </c>
      <c r="H96" t="b">
        <f t="shared" si="20"/>
        <v>0</v>
      </c>
      <c r="I96" t="b">
        <f t="shared" si="21"/>
        <v>0</v>
      </c>
      <c r="J96" t="str">
        <f t="shared" si="22"/>
        <v/>
      </c>
      <c r="K96" t="str">
        <f t="shared" si="23"/>
        <v/>
      </c>
      <c r="L96" t="str">
        <f t="shared" si="24"/>
        <v>,</v>
      </c>
      <c r="M96" t="str">
        <f t="shared" si="25"/>
        <v/>
      </c>
      <c r="N96" t="str">
        <f t="shared" si="26"/>
        <v/>
      </c>
      <c r="O96" t="str">
        <f t="shared" si="27"/>
        <v/>
      </c>
      <c r="P96" t="str">
        <f t="shared" si="28"/>
        <v/>
      </c>
      <c r="Q96" t="str">
        <f t="shared" si="29"/>
        <v/>
      </c>
      <c r="R96" s="20" t="str">
        <f t="shared" si="30"/>
        <v>NC</v>
      </c>
      <c r="S96" s="20" t="str">
        <f>IF(Data!E94="GpsRecord",Data!G94,"")</f>
        <v/>
      </c>
      <c r="T96" s="20" t="str">
        <f>IF(Data!E94="GpsRecord",Data!H94,"")</f>
        <v/>
      </c>
      <c r="U96" s="20">
        <f t="shared" si="31"/>
        <v>-39.421039999999998</v>
      </c>
      <c r="V96" s="20">
        <f t="shared" si="32"/>
        <v>33.736870000000003</v>
      </c>
      <c r="W96" s="19">
        <f>Data!I94</f>
        <v>0</v>
      </c>
      <c r="X96" s="17" t="str">
        <f>CONCATENATE(Data!J94, " ", Data!K94)</f>
        <v xml:space="preserve"> </v>
      </c>
    </row>
    <row r="97" spans="1:24" x14ac:dyDescent="0.3">
      <c r="A97" s="17" t="str">
        <f>Data!A95</f>
        <v>vehicle1</v>
      </c>
      <c r="B97" s="17" t="str">
        <f>Data!B95</f>
        <v>Vehicle, Gasoline or Petrol</v>
      </c>
      <c r="C97" s="17" t="str">
        <f>Data!C95</f>
        <v>1f2g3h4j5k6l</v>
      </c>
      <c r="D97" s="52">
        <f>Data!D95</f>
        <v>45066.132268518515</v>
      </c>
      <c r="E97" s="60" t="str">
        <f>IF(Data!E95="GpsRecord",Data!F95,"")</f>
        <v/>
      </c>
      <c r="F97" s="68" t="str">
        <f t="shared" si="18"/>
        <v>Whispering Pines, 401 Loblolly Cir, Clayton, NC 27520, USA</v>
      </c>
      <c r="G97" t="b">
        <f t="shared" si="19"/>
        <v>0</v>
      </c>
      <c r="H97" t="b">
        <f t="shared" si="20"/>
        <v>0</v>
      </c>
      <c r="I97" t="b">
        <f t="shared" si="21"/>
        <v>0</v>
      </c>
      <c r="J97" t="str">
        <f t="shared" si="22"/>
        <v/>
      </c>
      <c r="K97" t="str">
        <f t="shared" si="23"/>
        <v/>
      </c>
      <c r="L97" t="str">
        <f t="shared" si="24"/>
        <v>,</v>
      </c>
      <c r="M97" t="str">
        <f t="shared" si="25"/>
        <v/>
      </c>
      <c r="N97" t="str">
        <f t="shared" si="26"/>
        <v/>
      </c>
      <c r="O97" t="str">
        <f t="shared" si="27"/>
        <v/>
      </c>
      <c r="P97" t="str">
        <f t="shared" si="28"/>
        <v/>
      </c>
      <c r="Q97" t="str">
        <f t="shared" si="29"/>
        <v/>
      </c>
      <c r="R97" s="20" t="str">
        <f t="shared" si="30"/>
        <v>NC</v>
      </c>
      <c r="S97" s="20" t="str">
        <f>IF(Data!E95="GpsRecord",Data!G95,"")</f>
        <v/>
      </c>
      <c r="T97" s="20" t="str">
        <f>IF(Data!E95="GpsRecord",Data!H95,"")</f>
        <v/>
      </c>
      <c r="U97" s="20">
        <f t="shared" si="31"/>
        <v>-39.421039999999998</v>
      </c>
      <c r="V97" s="20">
        <f t="shared" si="32"/>
        <v>33.736870000000003</v>
      </c>
      <c r="W97" s="19" t="str">
        <f>Data!I95</f>
        <v>Generic warmups since codes cleared</v>
      </c>
      <c r="X97" s="17" t="str">
        <f>CONCATENATE(Data!J95, " ", Data!K95)</f>
        <v>255 None</v>
      </c>
    </row>
    <row r="98" spans="1:24" x14ac:dyDescent="0.3">
      <c r="A98" s="17" t="str">
        <f>Data!A96</f>
        <v>vehicle1</v>
      </c>
      <c r="B98" s="17" t="str">
        <f>Data!B96</f>
        <v>Vehicle, Gasoline or Petrol</v>
      </c>
      <c r="C98" s="17" t="str">
        <f>Data!C96</f>
        <v>1f2g3h4j5k6l</v>
      </c>
      <c r="D98" s="52">
        <f>Data!D96</f>
        <v>45066.132268518515</v>
      </c>
      <c r="E98" s="60" t="str">
        <f>IF(Data!E96="GpsRecord",Data!F96,"")</f>
        <v/>
      </c>
      <c r="F98" s="68" t="str">
        <f t="shared" si="18"/>
        <v>Whispering Pines, 401 Loblolly Cir, Clayton, NC 27520, USA</v>
      </c>
      <c r="G98" t="b">
        <f t="shared" si="19"/>
        <v>0</v>
      </c>
      <c r="H98" t="b">
        <f t="shared" si="20"/>
        <v>0</v>
      </c>
      <c r="I98" t="b">
        <f t="shared" si="21"/>
        <v>0</v>
      </c>
      <c r="J98" t="str">
        <f t="shared" si="22"/>
        <v/>
      </c>
      <c r="K98" t="str">
        <f t="shared" si="23"/>
        <v/>
      </c>
      <c r="L98" t="str">
        <f t="shared" si="24"/>
        <v>,</v>
      </c>
      <c r="M98" t="str">
        <f t="shared" si="25"/>
        <v/>
      </c>
      <c r="N98" t="str">
        <f t="shared" si="26"/>
        <v/>
      </c>
      <c r="O98" t="str">
        <f t="shared" si="27"/>
        <v/>
      </c>
      <c r="P98" t="str">
        <f t="shared" si="28"/>
        <v/>
      </c>
      <c r="Q98" t="str">
        <f t="shared" si="29"/>
        <v/>
      </c>
      <c r="R98" s="20" t="str">
        <f t="shared" si="30"/>
        <v>NC</v>
      </c>
      <c r="S98" s="20" t="str">
        <f>IF(Data!E96="GpsRecord",Data!G96,"")</f>
        <v/>
      </c>
      <c r="T98" s="20" t="str">
        <f>IF(Data!E96="GpsRecord",Data!H96,"")</f>
        <v/>
      </c>
      <c r="U98" s="20">
        <f t="shared" si="31"/>
        <v>-39.421039999999998</v>
      </c>
      <c r="V98" s="20">
        <f t="shared" si="32"/>
        <v>33.736870000000003</v>
      </c>
      <c r="W98" s="19" t="str">
        <f>Data!I96</f>
        <v>Generic distance traveled since codes cleared</v>
      </c>
      <c r="X98" s="17" t="str">
        <f>CONCATENATE(Data!J96, " ", Data!K96)</f>
        <v>25112 km</v>
      </c>
    </row>
    <row r="99" spans="1:24" x14ac:dyDescent="0.3">
      <c r="A99" s="17" t="str">
        <f>Data!A97</f>
        <v>vehicle1</v>
      </c>
      <c r="B99" s="17" t="str">
        <f>Data!B97</f>
        <v>Vehicle, Gasoline or Petrol</v>
      </c>
      <c r="C99" s="17" t="str">
        <f>Data!C97</f>
        <v>1f2g3h4j5k6l</v>
      </c>
      <c r="D99" s="52">
        <f>Data!D97</f>
        <v>45066.132268518515</v>
      </c>
      <c r="E99" s="60" t="str">
        <f>IF(Data!E97="GpsRecord",Data!F97,"")</f>
        <v/>
      </c>
      <c r="F99" s="68" t="str">
        <f t="shared" si="18"/>
        <v>Whispering Pines, 401 Loblolly Cir, Clayton, NC 27520, USA</v>
      </c>
      <c r="G99" t="b">
        <f t="shared" si="19"/>
        <v>0</v>
      </c>
      <c r="H99" t="b">
        <f t="shared" si="20"/>
        <v>0</v>
      </c>
      <c r="I99" t="b">
        <f t="shared" si="21"/>
        <v>0</v>
      </c>
      <c r="J99" t="str">
        <f t="shared" si="22"/>
        <v/>
      </c>
      <c r="K99" t="str">
        <f t="shared" si="23"/>
        <v/>
      </c>
      <c r="L99" t="str">
        <f t="shared" si="24"/>
        <v>,</v>
      </c>
      <c r="M99" t="str">
        <f t="shared" si="25"/>
        <v/>
      </c>
      <c r="N99" t="str">
        <f t="shared" si="26"/>
        <v/>
      </c>
      <c r="O99" t="str">
        <f t="shared" si="27"/>
        <v/>
      </c>
      <c r="P99" t="str">
        <f t="shared" si="28"/>
        <v/>
      </c>
      <c r="Q99" t="str">
        <f t="shared" si="29"/>
        <v/>
      </c>
      <c r="R99" s="20" t="str">
        <f t="shared" si="30"/>
        <v>NC</v>
      </c>
      <c r="S99" s="20" t="str">
        <f>IF(Data!E97="GpsRecord",Data!G97,"")</f>
        <v/>
      </c>
      <c r="T99" s="20" t="str">
        <f>IF(Data!E97="GpsRecord",Data!H97,"")</f>
        <v/>
      </c>
      <c r="U99" s="20">
        <f t="shared" si="31"/>
        <v>-39.421039999999998</v>
      </c>
      <c r="V99" s="20">
        <f t="shared" si="32"/>
        <v>33.736870000000003</v>
      </c>
      <c r="W99" s="19">
        <f>Data!I97</f>
        <v>0</v>
      </c>
      <c r="X99" s="17" t="str">
        <f>CONCATENATE(Data!J97, " ", Data!K97)</f>
        <v xml:space="preserve"> </v>
      </c>
    </row>
    <row r="100" spans="1:24" x14ac:dyDescent="0.3">
      <c r="A100" s="17" t="str">
        <f>Data!A98</f>
        <v>vehicle1</v>
      </c>
      <c r="B100" s="17" t="str">
        <f>Data!B98</f>
        <v>Vehicle, Gasoline or Petrol</v>
      </c>
      <c r="C100" s="17" t="str">
        <f>Data!C98</f>
        <v>1f2g3h4j5k6l</v>
      </c>
      <c r="D100" s="52">
        <f>Data!D98</f>
        <v>45066.132268518515</v>
      </c>
      <c r="E100" s="60" t="str">
        <f>IF(Data!E98="GpsRecord",Data!F98,"")</f>
        <v/>
      </c>
      <c r="F100" s="68" t="str">
        <f t="shared" si="18"/>
        <v>Whispering Pines, 401 Loblolly Cir, Clayton, NC 27520, USA</v>
      </c>
      <c r="G100" t="b">
        <f t="shared" si="19"/>
        <v>0</v>
      </c>
      <c r="H100" t="b">
        <f t="shared" si="20"/>
        <v>0</v>
      </c>
      <c r="I100" t="b">
        <f t="shared" si="21"/>
        <v>0</v>
      </c>
      <c r="J100" t="str">
        <f t="shared" si="22"/>
        <v/>
      </c>
      <c r="K100" t="str">
        <f t="shared" si="23"/>
        <v/>
      </c>
      <c r="L100" t="str">
        <f t="shared" si="24"/>
        <v>,</v>
      </c>
      <c r="M100" t="str">
        <f t="shared" si="25"/>
        <v/>
      </c>
      <c r="N100" t="str">
        <f t="shared" si="26"/>
        <v/>
      </c>
      <c r="O100" t="str">
        <f t="shared" si="27"/>
        <v/>
      </c>
      <c r="P100" t="str">
        <f t="shared" si="28"/>
        <v/>
      </c>
      <c r="Q100" t="str">
        <f t="shared" si="29"/>
        <v/>
      </c>
      <c r="R100" s="20" t="str">
        <f t="shared" si="30"/>
        <v>NC</v>
      </c>
      <c r="S100" s="20" t="str">
        <f>IF(Data!E98="GpsRecord",Data!G98,"")</f>
        <v/>
      </c>
      <c r="T100" s="20" t="str">
        <f>IF(Data!E98="GpsRecord",Data!H98,"")</f>
        <v/>
      </c>
      <c r="U100" s="20">
        <f t="shared" si="31"/>
        <v>-39.421039999999998</v>
      </c>
      <c r="V100" s="20">
        <f t="shared" si="32"/>
        <v>33.736870000000003</v>
      </c>
      <c r="W100" s="19" t="str">
        <f>Data!I98</f>
        <v>Engine coolant temperature</v>
      </c>
      <c r="X100" s="17" t="str">
        <f>CONCATENATE(Data!J98, " ", Data!K98)</f>
        <v>60 C</v>
      </c>
    </row>
    <row r="101" spans="1:24" x14ac:dyDescent="0.3">
      <c r="A101" s="17" t="str">
        <f>Data!A99</f>
        <v>vehicle1</v>
      </c>
      <c r="B101" s="17" t="str">
        <f>Data!B99</f>
        <v>Vehicle, Gasoline or Petrol</v>
      </c>
      <c r="C101" s="17" t="str">
        <f>Data!C99</f>
        <v>1f2g3h4j5k6l</v>
      </c>
      <c r="D101" s="52">
        <f>Data!D99</f>
        <v>45066.132280092592</v>
      </c>
      <c r="E101" s="60" t="str">
        <f>IF(Data!E99="GpsRecord",Data!F99,"")</f>
        <v/>
      </c>
      <c r="F101" s="68" t="str">
        <f t="shared" si="18"/>
        <v>Whispering Pines, 401 Loblolly Cir, Clayton, NC 27520, USA</v>
      </c>
      <c r="G101" t="b">
        <f t="shared" si="19"/>
        <v>0</v>
      </c>
      <c r="H101" t="b">
        <f t="shared" si="20"/>
        <v>0</v>
      </c>
      <c r="I101" t="b">
        <f t="shared" si="21"/>
        <v>0</v>
      </c>
      <c r="J101" t="str">
        <f t="shared" si="22"/>
        <v/>
      </c>
      <c r="K101" t="str">
        <f t="shared" si="23"/>
        <v/>
      </c>
      <c r="L101" t="str">
        <f t="shared" si="24"/>
        <v>,</v>
      </c>
      <c r="M101" t="str">
        <f t="shared" si="25"/>
        <v/>
      </c>
      <c r="N101" t="str">
        <f t="shared" si="26"/>
        <v/>
      </c>
      <c r="O101" t="str">
        <f t="shared" si="27"/>
        <v/>
      </c>
      <c r="P101" t="str">
        <f t="shared" si="28"/>
        <v/>
      </c>
      <c r="Q101" t="str">
        <f t="shared" si="29"/>
        <v/>
      </c>
      <c r="R101" s="20" t="str">
        <f t="shared" si="30"/>
        <v>NC</v>
      </c>
      <c r="S101" s="20" t="str">
        <f>IF(Data!E99="GpsRecord",Data!G99,"")</f>
        <v/>
      </c>
      <c r="T101" s="20" t="str">
        <f>IF(Data!E99="GpsRecord",Data!H99,"")</f>
        <v/>
      </c>
      <c r="U101" s="20">
        <f t="shared" si="31"/>
        <v>-39.421039999999998</v>
      </c>
      <c r="V101" s="20">
        <f t="shared" si="32"/>
        <v>33.736870000000003</v>
      </c>
      <c r="W101" s="19">
        <f>Data!I99</f>
        <v>0</v>
      </c>
      <c r="X101" s="17" t="str">
        <f>CONCATENATE(Data!J99, " ", Data!K99)</f>
        <v xml:space="preserve"> </v>
      </c>
    </row>
    <row r="102" spans="1:24" x14ac:dyDescent="0.3">
      <c r="A102" s="17" t="str">
        <f>Data!A100</f>
        <v>vehicle1</v>
      </c>
      <c r="B102" s="17" t="str">
        <f>Data!B100</f>
        <v>Vehicle, Gasoline or Petrol</v>
      </c>
      <c r="C102" s="17" t="str">
        <f>Data!C100</f>
        <v>1f2g3h4j5k6l</v>
      </c>
      <c r="D102" s="52">
        <f>Data!D100</f>
        <v>45066.132280092592</v>
      </c>
      <c r="E102" s="60" t="str">
        <f>IF(Data!E100="GpsRecord",Data!F100,"")</f>
        <v/>
      </c>
      <c r="F102" s="68" t="str">
        <f t="shared" si="18"/>
        <v>Whispering Pines, 401 Loblolly Cir, Clayton, NC 27520, USA</v>
      </c>
      <c r="G102" t="b">
        <f t="shared" si="19"/>
        <v>0</v>
      </c>
      <c r="H102" t="b">
        <f t="shared" si="20"/>
        <v>0</v>
      </c>
      <c r="I102" t="b">
        <f t="shared" si="21"/>
        <v>0</v>
      </c>
      <c r="J102" t="str">
        <f t="shared" si="22"/>
        <v/>
      </c>
      <c r="K102" t="str">
        <f t="shared" si="23"/>
        <v/>
      </c>
      <c r="L102" t="str">
        <f t="shared" si="24"/>
        <v>,</v>
      </c>
      <c r="M102" t="str">
        <f t="shared" si="25"/>
        <v/>
      </c>
      <c r="N102" t="str">
        <f t="shared" si="26"/>
        <v/>
      </c>
      <c r="O102" t="str">
        <f t="shared" si="27"/>
        <v/>
      </c>
      <c r="P102" t="str">
        <f t="shared" si="28"/>
        <v/>
      </c>
      <c r="Q102" t="str">
        <f t="shared" si="29"/>
        <v/>
      </c>
      <c r="R102" s="20" t="str">
        <f t="shared" si="30"/>
        <v>NC</v>
      </c>
      <c r="S102" s="20" t="str">
        <f>IF(Data!E100="GpsRecord",Data!G100,"")</f>
        <v/>
      </c>
      <c r="T102" s="20" t="str">
        <f>IF(Data!E100="GpsRecord",Data!H100,"")</f>
        <v/>
      </c>
      <c r="U102" s="20">
        <f t="shared" si="31"/>
        <v>-39.421039999999998</v>
      </c>
      <c r="V102" s="20">
        <f t="shared" si="32"/>
        <v>33.736870000000003</v>
      </c>
      <c r="W102" s="19">
        <f>Data!I100</f>
        <v>0</v>
      </c>
      <c r="X102" s="17" t="str">
        <f>CONCATENATE(Data!J100, " ", Data!K100)</f>
        <v xml:space="preserve"> </v>
      </c>
    </row>
    <row r="103" spans="1:24" x14ac:dyDescent="0.3">
      <c r="A103" s="17" t="str">
        <f>Data!A101</f>
        <v>vehicle1</v>
      </c>
      <c r="B103" s="17" t="str">
        <f>Data!B101</f>
        <v>Vehicle, Gasoline or Petrol</v>
      </c>
      <c r="C103" s="17" t="str">
        <f>Data!C101</f>
        <v>1f2g3h4j5k6l</v>
      </c>
      <c r="D103" s="52">
        <f>Data!D101</f>
        <v>45066.132280092592</v>
      </c>
      <c r="E103" s="60" t="str">
        <f>IF(Data!E101="GpsRecord",Data!F101,"")</f>
        <v/>
      </c>
      <c r="F103" s="68" t="str">
        <f t="shared" si="18"/>
        <v>Whispering Pines, 401 Loblolly Cir, Clayton, NC 27520, USA</v>
      </c>
      <c r="G103" t="b">
        <f t="shared" si="19"/>
        <v>0</v>
      </c>
      <c r="H103" t="b">
        <f t="shared" si="20"/>
        <v>0</v>
      </c>
      <c r="I103" t="b">
        <f t="shared" si="21"/>
        <v>0</v>
      </c>
      <c r="J103" t="str">
        <f t="shared" si="22"/>
        <v/>
      </c>
      <c r="K103" t="str">
        <f t="shared" si="23"/>
        <v/>
      </c>
      <c r="L103" t="str">
        <f t="shared" si="24"/>
        <v>,</v>
      </c>
      <c r="M103" t="str">
        <f t="shared" si="25"/>
        <v/>
      </c>
      <c r="N103" t="str">
        <f t="shared" si="26"/>
        <v/>
      </c>
      <c r="O103" t="str">
        <f t="shared" si="27"/>
        <v/>
      </c>
      <c r="P103" t="str">
        <f t="shared" si="28"/>
        <v/>
      </c>
      <c r="Q103" t="str">
        <f t="shared" si="29"/>
        <v/>
      </c>
      <c r="R103" s="20" t="str">
        <f t="shared" si="30"/>
        <v>NC</v>
      </c>
      <c r="S103" s="20" t="str">
        <f>IF(Data!E101="GpsRecord",Data!G101,"")</f>
        <v/>
      </c>
      <c r="T103" s="20" t="str">
        <f>IF(Data!E101="GpsRecord",Data!H101,"")</f>
        <v/>
      </c>
      <c r="U103" s="20">
        <f t="shared" si="31"/>
        <v>-39.421039999999998</v>
      </c>
      <c r="V103" s="20">
        <f t="shared" si="32"/>
        <v>33.736870000000003</v>
      </c>
      <c r="W103" s="19">
        <f>Data!I101</f>
        <v>0</v>
      </c>
      <c r="X103" s="17" t="str">
        <f>CONCATENATE(Data!J101, " ", Data!K101)</f>
        <v xml:space="preserve"> </v>
      </c>
    </row>
    <row r="104" spans="1:24" x14ac:dyDescent="0.3">
      <c r="A104" s="17" t="str">
        <f>Data!A102</f>
        <v>vehicle1</v>
      </c>
      <c r="B104" s="17" t="str">
        <f>Data!B102</f>
        <v>Vehicle, Gasoline or Petrol</v>
      </c>
      <c r="C104" s="17" t="str">
        <f>Data!C102</f>
        <v>1f2g3h4j5k6l</v>
      </c>
      <c r="D104" s="52">
        <f>Data!D102</f>
        <v>45066.132280092592</v>
      </c>
      <c r="E104" s="60" t="str">
        <f>IF(Data!E102="GpsRecord",Data!F102,"")</f>
        <v/>
      </c>
      <c r="F104" s="68" t="str">
        <f t="shared" si="18"/>
        <v>Whispering Pines, 401 Loblolly Cir, Clayton, NC 27520, USA</v>
      </c>
      <c r="G104" t="b">
        <f t="shared" si="19"/>
        <v>0</v>
      </c>
      <c r="H104" t="b">
        <f t="shared" si="20"/>
        <v>0</v>
      </c>
      <c r="I104" t="b">
        <f t="shared" si="21"/>
        <v>0</v>
      </c>
      <c r="J104" t="str">
        <f t="shared" si="22"/>
        <v/>
      </c>
      <c r="K104" t="str">
        <f t="shared" si="23"/>
        <v/>
      </c>
      <c r="L104" t="str">
        <f t="shared" si="24"/>
        <v>,</v>
      </c>
      <c r="M104" t="str">
        <f t="shared" si="25"/>
        <v/>
      </c>
      <c r="N104" t="str">
        <f t="shared" si="26"/>
        <v/>
      </c>
      <c r="O104" t="str">
        <f t="shared" si="27"/>
        <v/>
      </c>
      <c r="P104" t="str">
        <f t="shared" si="28"/>
        <v/>
      </c>
      <c r="Q104" t="str">
        <f t="shared" si="29"/>
        <v/>
      </c>
      <c r="R104" s="20" t="str">
        <f t="shared" si="30"/>
        <v>NC</v>
      </c>
      <c r="S104" s="20" t="str">
        <f>IF(Data!E102="GpsRecord",Data!G102,"")</f>
        <v/>
      </c>
      <c r="T104" s="20" t="str">
        <f>IF(Data!E102="GpsRecord",Data!H102,"")</f>
        <v/>
      </c>
      <c r="U104" s="20">
        <f t="shared" si="31"/>
        <v>-39.421039999999998</v>
      </c>
      <c r="V104" s="20">
        <f t="shared" si="32"/>
        <v>33.736870000000003</v>
      </c>
      <c r="W104" s="19">
        <f>Data!I102</f>
        <v>0</v>
      </c>
      <c r="X104" s="17" t="str">
        <f>CONCATENATE(Data!J102, " ", Data!K102)</f>
        <v xml:space="preserve"> </v>
      </c>
    </row>
    <row r="105" spans="1:24" x14ac:dyDescent="0.3">
      <c r="A105" s="17" t="str">
        <f>Data!A103</f>
        <v>vehicle1</v>
      </c>
      <c r="B105" s="17" t="str">
        <f>Data!B103</f>
        <v>Vehicle, Gasoline or Petrol</v>
      </c>
      <c r="C105" s="17" t="str">
        <f>Data!C103</f>
        <v>1f2g3h4j5k6l</v>
      </c>
      <c r="D105" s="52">
        <f>Data!D103</f>
        <v>45066.132280092592</v>
      </c>
      <c r="E105" s="60" t="str">
        <f>IF(Data!E103="GpsRecord",Data!F103,"")</f>
        <v/>
      </c>
      <c r="F105" s="68" t="str">
        <f t="shared" si="18"/>
        <v>Whispering Pines, 401 Loblolly Cir, Clayton, NC 27520, USA</v>
      </c>
      <c r="G105" t="b">
        <f t="shared" si="19"/>
        <v>0</v>
      </c>
      <c r="H105" t="b">
        <f t="shared" si="20"/>
        <v>0</v>
      </c>
      <c r="I105" t="b">
        <f t="shared" si="21"/>
        <v>0</v>
      </c>
      <c r="J105" t="str">
        <f t="shared" si="22"/>
        <v/>
      </c>
      <c r="K105" t="str">
        <f t="shared" si="23"/>
        <v/>
      </c>
      <c r="L105" t="str">
        <f t="shared" si="24"/>
        <v>,</v>
      </c>
      <c r="M105" t="str">
        <f t="shared" si="25"/>
        <v/>
      </c>
      <c r="N105" t="str">
        <f t="shared" si="26"/>
        <v/>
      </c>
      <c r="O105" t="str">
        <f t="shared" si="27"/>
        <v/>
      </c>
      <c r="P105" t="str">
        <f t="shared" si="28"/>
        <v/>
      </c>
      <c r="Q105" t="str">
        <f t="shared" si="29"/>
        <v/>
      </c>
      <c r="R105" s="20" t="str">
        <f t="shared" si="30"/>
        <v>NC</v>
      </c>
      <c r="S105" s="20" t="str">
        <f>IF(Data!E103="GpsRecord",Data!G103,"")</f>
        <v/>
      </c>
      <c r="T105" s="20" t="str">
        <f>IF(Data!E103="GpsRecord",Data!H103,"")</f>
        <v/>
      </c>
      <c r="U105" s="20">
        <f t="shared" si="31"/>
        <v>-39.421039999999998</v>
      </c>
      <c r="V105" s="20">
        <f t="shared" si="32"/>
        <v>33.736870000000003</v>
      </c>
      <c r="W105" s="19" t="str">
        <f>Data!I103</f>
        <v>Generic OBD II heated catalyst monitor available (1 = available)</v>
      </c>
      <c r="X105" s="17" t="str">
        <f>CONCATENATE(Data!J103, " ", Data!K103)</f>
        <v>0 None</v>
      </c>
    </row>
    <row r="106" spans="1:24" x14ac:dyDescent="0.3">
      <c r="A106" s="17" t="str">
        <f>Data!A104</f>
        <v>vehicle1</v>
      </c>
      <c r="B106" s="17" t="str">
        <f>Data!B104</f>
        <v>Vehicle, Gasoline or Petrol</v>
      </c>
      <c r="C106" s="17" t="str">
        <f>Data!C104</f>
        <v>1f2g3h4j5k6l</v>
      </c>
      <c r="D106" s="52">
        <f>Data!D104</f>
        <v>45066.132280092592</v>
      </c>
      <c r="E106" s="60" t="str">
        <f>IF(Data!E104="GpsRecord",Data!F104,"")</f>
        <v/>
      </c>
      <c r="F106" s="68" t="str">
        <f t="shared" si="18"/>
        <v>Whispering Pines, 401 Loblolly Cir, Clayton, NC 27520, USA</v>
      </c>
      <c r="G106" t="b">
        <f t="shared" si="19"/>
        <v>0</v>
      </c>
      <c r="H106" t="b">
        <f t="shared" si="20"/>
        <v>0</v>
      </c>
      <c r="I106" t="b">
        <f t="shared" si="21"/>
        <v>0</v>
      </c>
      <c r="J106" t="str">
        <f t="shared" si="22"/>
        <v/>
      </c>
      <c r="K106" t="str">
        <f t="shared" si="23"/>
        <v/>
      </c>
      <c r="L106" t="str">
        <f t="shared" si="24"/>
        <v>,</v>
      </c>
      <c r="M106" t="str">
        <f t="shared" si="25"/>
        <v/>
      </c>
      <c r="N106" t="str">
        <f t="shared" si="26"/>
        <v/>
      </c>
      <c r="O106" t="str">
        <f t="shared" si="27"/>
        <v/>
      </c>
      <c r="P106" t="str">
        <f t="shared" si="28"/>
        <v/>
      </c>
      <c r="Q106" t="str">
        <f t="shared" si="29"/>
        <v/>
      </c>
      <c r="R106" s="20" t="str">
        <f t="shared" si="30"/>
        <v>NC</v>
      </c>
      <c r="S106" s="20" t="str">
        <f>IF(Data!E104="GpsRecord",Data!G104,"")</f>
        <v/>
      </c>
      <c r="T106" s="20" t="str">
        <f>IF(Data!E104="GpsRecord",Data!H104,"")</f>
        <v/>
      </c>
      <c r="U106" s="20">
        <f t="shared" si="31"/>
        <v>-39.421039999999998</v>
      </c>
      <c r="V106" s="20">
        <f t="shared" si="32"/>
        <v>33.736870000000003</v>
      </c>
      <c r="W106" s="19" t="str">
        <f>Data!I104</f>
        <v>Generic OBD II fuel system monitor complete (1 = complete)</v>
      </c>
      <c r="X106" s="17" t="str">
        <f>CONCATENATE(Data!J104, " ", Data!K104)</f>
        <v>1 None</v>
      </c>
    </row>
    <row r="107" spans="1:24" x14ac:dyDescent="0.3">
      <c r="A107" s="17" t="str">
        <f>Data!A105</f>
        <v>vehicle1</v>
      </c>
      <c r="B107" s="17" t="str">
        <f>Data!B105</f>
        <v>Vehicle, Gasoline or Petrol</v>
      </c>
      <c r="C107" s="17" t="str">
        <f>Data!C105</f>
        <v>1f2g3h4j5k6l</v>
      </c>
      <c r="D107" s="52">
        <f>Data!D105</f>
        <v>45066.132280092592</v>
      </c>
      <c r="E107" s="60" t="str">
        <f>IF(Data!E105="GpsRecord",Data!F105,"")</f>
        <v/>
      </c>
      <c r="F107" s="68" t="str">
        <f t="shared" si="18"/>
        <v>Whispering Pines, 401 Loblolly Cir, Clayton, NC 27520, USA</v>
      </c>
      <c r="G107" t="b">
        <f t="shared" si="19"/>
        <v>0</v>
      </c>
      <c r="H107" t="b">
        <f t="shared" si="20"/>
        <v>0</v>
      </c>
      <c r="I107" t="b">
        <f t="shared" si="21"/>
        <v>0</v>
      </c>
      <c r="J107" t="str">
        <f t="shared" si="22"/>
        <v/>
      </c>
      <c r="K107" t="str">
        <f t="shared" si="23"/>
        <v/>
      </c>
      <c r="L107" t="str">
        <f t="shared" si="24"/>
        <v>,</v>
      </c>
      <c r="M107" t="str">
        <f t="shared" si="25"/>
        <v/>
      </c>
      <c r="N107" t="str">
        <f t="shared" si="26"/>
        <v/>
      </c>
      <c r="O107" t="str">
        <f t="shared" si="27"/>
        <v/>
      </c>
      <c r="P107" t="str">
        <f t="shared" si="28"/>
        <v/>
      </c>
      <c r="Q107" t="str">
        <f t="shared" si="29"/>
        <v/>
      </c>
      <c r="R107" s="20" t="str">
        <f t="shared" si="30"/>
        <v>NC</v>
      </c>
      <c r="S107" s="20" t="str">
        <f>IF(Data!E105="GpsRecord",Data!G105,"")</f>
        <v/>
      </c>
      <c r="T107" s="20" t="str">
        <f>IF(Data!E105="GpsRecord",Data!H105,"")</f>
        <v/>
      </c>
      <c r="U107" s="20">
        <f t="shared" si="31"/>
        <v>-39.421039999999998</v>
      </c>
      <c r="V107" s="20">
        <f t="shared" si="32"/>
        <v>33.736870000000003</v>
      </c>
      <c r="W107" s="19" t="str">
        <f>Data!I105</f>
        <v>Generic OBD II components monitor complete (1 = complete)</v>
      </c>
      <c r="X107" s="17" t="str">
        <f>CONCATENATE(Data!J105, " ", Data!K105)</f>
        <v>1 None</v>
      </c>
    </row>
    <row r="108" spans="1:24" x14ac:dyDescent="0.3">
      <c r="A108" s="17" t="str">
        <f>Data!A106</f>
        <v>vehicle1</v>
      </c>
      <c r="B108" s="17" t="str">
        <f>Data!B106</f>
        <v>Vehicle, Gasoline or Petrol</v>
      </c>
      <c r="C108" s="17" t="str">
        <f>Data!C106</f>
        <v>1f2g3h4j5k6l</v>
      </c>
      <c r="D108" s="52">
        <f>Data!D106</f>
        <v>45066.132280092592</v>
      </c>
      <c r="E108" s="60" t="str">
        <f>IF(Data!E106="GpsRecord",Data!F106,"")</f>
        <v/>
      </c>
      <c r="F108" s="68" t="str">
        <f t="shared" si="18"/>
        <v>Whispering Pines, 401 Loblolly Cir, Clayton, NC 27520, USA</v>
      </c>
      <c r="G108" t="b">
        <f t="shared" si="19"/>
        <v>0</v>
      </c>
      <c r="H108" t="b">
        <f t="shared" si="20"/>
        <v>0</v>
      </c>
      <c r="I108" t="b">
        <f t="shared" si="21"/>
        <v>0</v>
      </c>
      <c r="J108" t="str">
        <f t="shared" si="22"/>
        <v/>
      </c>
      <c r="K108" t="str">
        <f t="shared" si="23"/>
        <v/>
      </c>
      <c r="L108" t="str">
        <f t="shared" si="24"/>
        <v>,</v>
      </c>
      <c r="M108" t="str">
        <f t="shared" si="25"/>
        <v/>
      </c>
      <c r="N108" t="str">
        <f t="shared" si="26"/>
        <v/>
      </c>
      <c r="O108" t="str">
        <f t="shared" si="27"/>
        <v/>
      </c>
      <c r="P108" t="str">
        <f t="shared" si="28"/>
        <v/>
      </c>
      <c r="Q108" t="str">
        <f t="shared" si="29"/>
        <v/>
      </c>
      <c r="R108" s="20" t="str">
        <f t="shared" si="30"/>
        <v>NC</v>
      </c>
      <c r="S108" s="20" t="str">
        <f>IF(Data!E106="GpsRecord",Data!G106,"")</f>
        <v/>
      </c>
      <c r="T108" s="20" t="str">
        <f>IF(Data!E106="GpsRecord",Data!H106,"")</f>
        <v/>
      </c>
      <c r="U108" s="20">
        <f t="shared" si="31"/>
        <v>-39.421039999999998</v>
      </c>
      <c r="V108" s="20">
        <f t="shared" si="32"/>
        <v>33.736870000000003</v>
      </c>
      <c r="W108" s="19" t="str">
        <f>Data!I106</f>
        <v>Generic OBD II components monitor available (1 = available)</v>
      </c>
      <c r="X108" s="17" t="str">
        <f>CONCATENATE(Data!J106, " ", Data!K106)</f>
        <v>1 None</v>
      </c>
    </row>
    <row r="109" spans="1:24" x14ac:dyDescent="0.3">
      <c r="A109" s="17" t="str">
        <f>Data!A107</f>
        <v>vehicle1</v>
      </c>
      <c r="B109" s="17" t="str">
        <f>Data!B107</f>
        <v>Vehicle, Gasoline or Petrol</v>
      </c>
      <c r="C109" s="17" t="str">
        <f>Data!C107</f>
        <v>1f2g3h4j5k6l</v>
      </c>
      <c r="D109" s="52">
        <f>Data!D107</f>
        <v>45066.132280092592</v>
      </c>
      <c r="E109" s="60" t="str">
        <f>IF(Data!E107="GpsRecord",Data!F107,"")</f>
        <v/>
      </c>
      <c r="F109" s="68" t="str">
        <f t="shared" si="18"/>
        <v>Whispering Pines, 401 Loblolly Cir, Clayton, NC 27520, USA</v>
      </c>
      <c r="G109" t="b">
        <f t="shared" si="19"/>
        <v>0</v>
      </c>
      <c r="H109" t="b">
        <f t="shared" si="20"/>
        <v>0</v>
      </c>
      <c r="I109" t="b">
        <f t="shared" si="21"/>
        <v>0</v>
      </c>
      <c r="J109" t="str">
        <f t="shared" si="22"/>
        <v/>
      </c>
      <c r="K109" t="str">
        <f t="shared" si="23"/>
        <v/>
      </c>
      <c r="L109" t="str">
        <f t="shared" si="24"/>
        <v>,</v>
      </c>
      <c r="M109" t="str">
        <f t="shared" si="25"/>
        <v/>
      </c>
      <c r="N109" t="str">
        <f t="shared" si="26"/>
        <v/>
      </c>
      <c r="O109" t="str">
        <f t="shared" si="27"/>
        <v/>
      </c>
      <c r="P109" t="str">
        <f t="shared" si="28"/>
        <v/>
      </c>
      <c r="Q109" t="str">
        <f t="shared" si="29"/>
        <v/>
      </c>
      <c r="R109" s="20" t="str">
        <f t="shared" si="30"/>
        <v>NC</v>
      </c>
      <c r="S109" s="20" t="str">
        <f>IF(Data!E107="GpsRecord",Data!G107,"")</f>
        <v/>
      </c>
      <c r="T109" s="20" t="str">
        <f>IF(Data!E107="GpsRecord",Data!H107,"")</f>
        <v/>
      </c>
      <c r="U109" s="20">
        <f t="shared" si="31"/>
        <v>-39.421039999999998</v>
      </c>
      <c r="V109" s="20">
        <f t="shared" si="32"/>
        <v>33.736870000000003</v>
      </c>
      <c r="W109" s="19" t="str">
        <f>Data!I107</f>
        <v>Generic OBD II catalyst monitor available (1 = available)</v>
      </c>
      <c r="X109" s="17" t="str">
        <f>CONCATENATE(Data!J107, " ", Data!K107)</f>
        <v>1 None</v>
      </c>
    </row>
    <row r="110" spans="1:24" x14ac:dyDescent="0.3">
      <c r="A110" s="17" t="str">
        <f>Data!A108</f>
        <v>vehicle1</v>
      </c>
      <c r="B110" s="17" t="str">
        <f>Data!B108</f>
        <v>Vehicle, Gasoline or Petrol</v>
      </c>
      <c r="C110" s="17" t="str">
        <f>Data!C108</f>
        <v>1f2g3h4j5k6l</v>
      </c>
      <c r="D110" s="52">
        <f>Data!D108</f>
        <v>45066.132280092592</v>
      </c>
      <c r="E110" s="60" t="str">
        <f>IF(Data!E108="GpsRecord",Data!F108,"")</f>
        <v/>
      </c>
      <c r="F110" s="68" t="str">
        <f t="shared" si="18"/>
        <v>Whispering Pines, 401 Loblolly Cir, Clayton, NC 27520, USA</v>
      </c>
      <c r="G110" t="b">
        <f t="shared" si="19"/>
        <v>0</v>
      </c>
      <c r="H110" t="b">
        <f t="shared" si="20"/>
        <v>0</v>
      </c>
      <c r="I110" t="b">
        <f t="shared" si="21"/>
        <v>0</v>
      </c>
      <c r="J110" t="str">
        <f t="shared" si="22"/>
        <v/>
      </c>
      <c r="K110" t="str">
        <f t="shared" si="23"/>
        <v/>
      </c>
      <c r="L110" t="str">
        <f t="shared" si="24"/>
        <v>,</v>
      </c>
      <c r="M110" t="str">
        <f t="shared" si="25"/>
        <v/>
      </c>
      <c r="N110" t="str">
        <f t="shared" si="26"/>
        <v/>
      </c>
      <c r="O110" t="str">
        <f t="shared" si="27"/>
        <v/>
      </c>
      <c r="P110" t="str">
        <f t="shared" si="28"/>
        <v/>
      </c>
      <c r="Q110" t="str">
        <f t="shared" si="29"/>
        <v/>
      </c>
      <c r="R110" s="20" t="str">
        <f t="shared" si="30"/>
        <v>NC</v>
      </c>
      <c r="S110" s="20" t="str">
        <f>IF(Data!E108="GpsRecord",Data!G108,"")</f>
        <v/>
      </c>
      <c r="T110" s="20" t="str">
        <f>IF(Data!E108="GpsRecord",Data!H108,"")</f>
        <v/>
      </c>
      <c r="U110" s="20">
        <f t="shared" si="31"/>
        <v>-39.421039999999998</v>
      </c>
      <c r="V110" s="20">
        <f t="shared" si="32"/>
        <v>33.736870000000003</v>
      </c>
      <c r="W110" s="19" t="str">
        <f>Data!I108</f>
        <v>Generic OBD II fuel system monitor available (1 = available)</v>
      </c>
      <c r="X110" s="17" t="str">
        <f>CONCATENATE(Data!J108, " ", Data!K108)</f>
        <v>1 None</v>
      </c>
    </row>
    <row r="111" spans="1:24" x14ac:dyDescent="0.3">
      <c r="A111" s="17" t="str">
        <f>Data!A109</f>
        <v>vehicle1</v>
      </c>
      <c r="B111" s="17" t="str">
        <f>Data!B109</f>
        <v>Vehicle, Gasoline or Petrol</v>
      </c>
      <c r="C111" s="17" t="str">
        <f>Data!C109</f>
        <v>1f2g3h4j5k6l</v>
      </c>
      <c r="D111" s="52">
        <f>Data!D109</f>
        <v>45066.132280092592</v>
      </c>
      <c r="E111" s="60" t="str">
        <f>IF(Data!E109="GpsRecord",Data!F109,"")</f>
        <v/>
      </c>
      <c r="F111" s="68" t="str">
        <f t="shared" si="18"/>
        <v>Whispering Pines, 401 Loblolly Cir, Clayton, NC 27520, USA</v>
      </c>
      <c r="G111" t="b">
        <f t="shared" si="19"/>
        <v>0</v>
      </c>
      <c r="H111" t="b">
        <f t="shared" si="20"/>
        <v>0</v>
      </c>
      <c r="I111" t="b">
        <f t="shared" si="21"/>
        <v>0</v>
      </c>
      <c r="J111" t="str">
        <f t="shared" si="22"/>
        <v/>
      </c>
      <c r="K111" t="str">
        <f t="shared" si="23"/>
        <v/>
      </c>
      <c r="L111" t="str">
        <f t="shared" si="24"/>
        <v>,</v>
      </c>
      <c r="M111" t="str">
        <f t="shared" si="25"/>
        <v/>
      </c>
      <c r="N111" t="str">
        <f t="shared" si="26"/>
        <v/>
      </c>
      <c r="O111" t="str">
        <f t="shared" si="27"/>
        <v/>
      </c>
      <c r="P111" t="str">
        <f t="shared" si="28"/>
        <v/>
      </c>
      <c r="Q111" t="str">
        <f t="shared" si="29"/>
        <v/>
      </c>
      <c r="R111" s="20" t="str">
        <f t="shared" si="30"/>
        <v>NC</v>
      </c>
      <c r="S111" s="20" t="str">
        <f>IF(Data!E109="GpsRecord",Data!G109,"")</f>
        <v/>
      </c>
      <c r="T111" s="20" t="str">
        <f>IF(Data!E109="GpsRecord",Data!H109,"")</f>
        <v/>
      </c>
      <c r="U111" s="20">
        <f t="shared" si="31"/>
        <v>-39.421039999999998</v>
      </c>
      <c r="V111" s="20">
        <f t="shared" si="32"/>
        <v>33.736870000000003</v>
      </c>
      <c r="W111" s="19" t="str">
        <f>Data!I109</f>
        <v>Generic OBD II misfire monitor available</v>
      </c>
      <c r="X111" s="17" t="str">
        <f>CONCATENATE(Data!J109, " ", Data!K109)</f>
        <v>1 None</v>
      </c>
    </row>
    <row r="112" spans="1:24" x14ac:dyDescent="0.3">
      <c r="A112" s="17" t="str">
        <f>Data!A110</f>
        <v>vehicle1</v>
      </c>
      <c r="B112" s="17" t="str">
        <f>Data!B110</f>
        <v>Vehicle, Gasoline or Petrol</v>
      </c>
      <c r="C112" s="17" t="str">
        <f>Data!C110</f>
        <v>1f2g3h4j5k6l</v>
      </c>
      <c r="D112" s="52">
        <f>Data!D110</f>
        <v>45066.132280092592</v>
      </c>
      <c r="E112" s="60" t="str">
        <f>IF(Data!E110="GpsRecord",Data!F110,"")</f>
        <v/>
      </c>
      <c r="F112" s="68" t="str">
        <f t="shared" si="18"/>
        <v>Whispering Pines, 401 Loblolly Cir, Clayton, NC 27520, USA</v>
      </c>
      <c r="G112" t="b">
        <f t="shared" si="19"/>
        <v>0</v>
      </c>
      <c r="H112" t="b">
        <f t="shared" si="20"/>
        <v>0</v>
      </c>
      <c r="I112" t="b">
        <f t="shared" si="21"/>
        <v>0</v>
      </c>
      <c r="J112" t="str">
        <f t="shared" si="22"/>
        <v/>
      </c>
      <c r="K112" t="str">
        <f t="shared" si="23"/>
        <v/>
      </c>
      <c r="L112" t="str">
        <f t="shared" si="24"/>
        <v>,</v>
      </c>
      <c r="M112" t="str">
        <f t="shared" si="25"/>
        <v/>
      </c>
      <c r="N112" t="str">
        <f t="shared" si="26"/>
        <v/>
      </c>
      <c r="O112" t="str">
        <f t="shared" si="27"/>
        <v/>
      </c>
      <c r="P112" t="str">
        <f t="shared" si="28"/>
        <v/>
      </c>
      <c r="Q112" t="str">
        <f t="shared" si="29"/>
        <v/>
      </c>
      <c r="R112" s="20" t="str">
        <f t="shared" si="30"/>
        <v>NC</v>
      </c>
      <c r="S112" s="20" t="str">
        <f>IF(Data!E110="GpsRecord",Data!G110,"")</f>
        <v/>
      </c>
      <c r="T112" s="20" t="str">
        <f>IF(Data!E110="GpsRecord",Data!H110,"")</f>
        <v/>
      </c>
      <c r="U112" s="20">
        <f t="shared" si="31"/>
        <v>-39.421039999999998</v>
      </c>
      <c r="V112" s="20">
        <f t="shared" si="32"/>
        <v>33.736870000000003</v>
      </c>
      <c r="W112" s="19" t="str">
        <f>Data!I110</f>
        <v>Generic OBD II catalyst monitor complete (1 = complete)</v>
      </c>
      <c r="X112" s="17" t="str">
        <f>CONCATENATE(Data!J110, " ", Data!K110)</f>
        <v>1 None</v>
      </c>
    </row>
    <row r="113" spans="1:24" x14ac:dyDescent="0.3">
      <c r="A113" s="17" t="str">
        <f>Data!A111</f>
        <v>vehicle1</v>
      </c>
      <c r="B113" s="17" t="str">
        <f>Data!B111</f>
        <v>Vehicle, Gasoline or Petrol</v>
      </c>
      <c r="C113" s="17" t="str">
        <f>Data!C111</f>
        <v>1f2g3h4j5k6l</v>
      </c>
      <c r="D113" s="52">
        <f>Data!D111</f>
        <v>45066.132280092592</v>
      </c>
      <c r="E113" s="60" t="str">
        <f>IF(Data!E111="GpsRecord",Data!F111,"")</f>
        <v/>
      </c>
      <c r="F113" s="68" t="str">
        <f t="shared" si="18"/>
        <v>Whispering Pines, 401 Loblolly Cir, Clayton, NC 27520, USA</v>
      </c>
      <c r="G113" t="b">
        <f t="shared" si="19"/>
        <v>0</v>
      </c>
      <c r="H113" t="b">
        <f t="shared" si="20"/>
        <v>0</v>
      </c>
      <c r="I113" t="b">
        <f t="shared" si="21"/>
        <v>0</v>
      </c>
      <c r="J113" t="str">
        <f t="shared" si="22"/>
        <v/>
      </c>
      <c r="K113" t="str">
        <f t="shared" si="23"/>
        <v/>
      </c>
      <c r="L113" t="str">
        <f t="shared" si="24"/>
        <v>,</v>
      </c>
      <c r="M113" t="str">
        <f t="shared" si="25"/>
        <v/>
      </c>
      <c r="N113" t="str">
        <f t="shared" si="26"/>
        <v/>
      </c>
      <c r="O113" t="str">
        <f t="shared" si="27"/>
        <v/>
      </c>
      <c r="P113" t="str">
        <f t="shared" si="28"/>
        <v/>
      </c>
      <c r="Q113" t="str">
        <f t="shared" si="29"/>
        <v/>
      </c>
      <c r="R113" s="20" t="str">
        <f t="shared" si="30"/>
        <v>NC</v>
      </c>
      <c r="S113" s="20" t="str">
        <f>IF(Data!E111="GpsRecord",Data!G111,"")</f>
        <v/>
      </c>
      <c r="T113" s="20" t="str">
        <f>IF(Data!E111="GpsRecord",Data!H111,"")</f>
        <v/>
      </c>
      <c r="U113" s="20">
        <f t="shared" si="31"/>
        <v>-39.421039999999998</v>
      </c>
      <c r="V113" s="20">
        <f t="shared" si="32"/>
        <v>33.736870000000003</v>
      </c>
      <c r="W113" s="19" t="str">
        <f>Data!I111</f>
        <v>Generic OBD II misfire monitor complete (1 = complete)</v>
      </c>
      <c r="X113" s="17" t="str">
        <f>CONCATENATE(Data!J111, " ", Data!K111)</f>
        <v>1 None</v>
      </c>
    </row>
    <row r="114" spans="1:24" x14ac:dyDescent="0.3">
      <c r="A114" s="17" t="str">
        <f>Data!A112</f>
        <v>vehicle1</v>
      </c>
      <c r="B114" s="17" t="str">
        <f>Data!B112</f>
        <v>Vehicle, Gasoline or Petrol</v>
      </c>
      <c r="C114" s="17" t="str">
        <f>Data!C112</f>
        <v>1f2g3h4j5k6l</v>
      </c>
      <c r="D114" s="52">
        <f>Data!D112</f>
        <v>45066.132280092592</v>
      </c>
      <c r="E114" s="60" t="str">
        <f>IF(Data!E112="GpsRecord",Data!F112,"")</f>
        <v/>
      </c>
      <c r="F114" s="68" t="str">
        <f t="shared" si="18"/>
        <v>Whispering Pines, 401 Loblolly Cir, Clayton, NC 27520, USA</v>
      </c>
      <c r="G114" t="b">
        <f t="shared" si="19"/>
        <v>0</v>
      </c>
      <c r="H114" t="b">
        <f t="shared" si="20"/>
        <v>0</v>
      </c>
      <c r="I114" t="b">
        <f t="shared" si="21"/>
        <v>0</v>
      </c>
      <c r="J114" t="str">
        <f t="shared" si="22"/>
        <v/>
      </c>
      <c r="K114" t="str">
        <f t="shared" si="23"/>
        <v/>
      </c>
      <c r="L114" t="str">
        <f t="shared" si="24"/>
        <v>,</v>
      </c>
      <c r="M114" t="str">
        <f t="shared" si="25"/>
        <v/>
      </c>
      <c r="N114" t="str">
        <f t="shared" si="26"/>
        <v/>
      </c>
      <c r="O114" t="str">
        <f t="shared" si="27"/>
        <v/>
      </c>
      <c r="P114" t="str">
        <f t="shared" si="28"/>
        <v/>
      </c>
      <c r="Q114" t="str">
        <f t="shared" si="29"/>
        <v/>
      </c>
      <c r="R114" s="20" t="str">
        <f t="shared" si="30"/>
        <v>NC</v>
      </c>
      <c r="S114" s="20" t="str">
        <f>IF(Data!E112="GpsRecord",Data!G112,"")</f>
        <v/>
      </c>
      <c r="T114" s="20" t="str">
        <f>IF(Data!E112="GpsRecord",Data!H112,"")</f>
        <v/>
      </c>
      <c r="U114" s="20">
        <f t="shared" si="31"/>
        <v>-39.421039999999998</v>
      </c>
      <c r="V114" s="20">
        <f t="shared" si="32"/>
        <v>33.736870000000003</v>
      </c>
      <c r="W114" s="19" t="str">
        <f>Data!I112</f>
        <v>Generic OBD II oxygen sensor monitor available (1 = available)</v>
      </c>
      <c r="X114" s="17" t="str">
        <f>CONCATENATE(Data!J112, " ", Data!K112)</f>
        <v>1 None</v>
      </c>
    </row>
    <row r="115" spans="1:24" x14ac:dyDescent="0.3">
      <c r="A115" s="17" t="str">
        <f>Data!A113</f>
        <v>vehicle1</v>
      </c>
      <c r="B115" s="17" t="str">
        <f>Data!B113</f>
        <v>Vehicle, Gasoline or Petrol</v>
      </c>
      <c r="C115" s="17" t="str">
        <f>Data!C113</f>
        <v>1f2g3h4j5k6l</v>
      </c>
      <c r="D115" s="52">
        <f>Data!D113</f>
        <v>45066.132280092592</v>
      </c>
      <c r="E115" s="60" t="str">
        <f>IF(Data!E113="GpsRecord",Data!F113,"")</f>
        <v/>
      </c>
      <c r="F115" s="68" t="str">
        <f t="shared" si="18"/>
        <v>Whispering Pines, 401 Loblolly Cir, Clayton, NC 27520, USA</v>
      </c>
      <c r="G115" t="b">
        <f t="shared" si="19"/>
        <v>0</v>
      </c>
      <c r="H115" t="b">
        <f t="shared" si="20"/>
        <v>0</v>
      </c>
      <c r="I115" t="b">
        <f t="shared" si="21"/>
        <v>0</v>
      </c>
      <c r="J115" t="str">
        <f t="shared" si="22"/>
        <v/>
      </c>
      <c r="K115" t="str">
        <f t="shared" si="23"/>
        <v/>
      </c>
      <c r="L115" t="str">
        <f t="shared" si="24"/>
        <v>,</v>
      </c>
      <c r="M115" t="str">
        <f t="shared" si="25"/>
        <v/>
      </c>
      <c r="N115" t="str">
        <f t="shared" si="26"/>
        <v/>
      </c>
      <c r="O115" t="str">
        <f t="shared" si="27"/>
        <v/>
      </c>
      <c r="P115" t="str">
        <f t="shared" si="28"/>
        <v/>
      </c>
      <c r="Q115" t="str">
        <f t="shared" si="29"/>
        <v/>
      </c>
      <c r="R115" s="20" t="str">
        <f t="shared" si="30"/>
        <v>NC</v>
      </c>
      <c r="S115" s="20" t="str">
        <f>IF(Data!E113="GpsRecord",Data!G113,"")</f>
        <v/>
      </c>
      <c r="T115" s="20" t="str">
        <f>IF(Data!E113="GpsRecord",Data!H113,"")</f>
        <v/>
      </c>
      <c r="U115" s="20">
        <f t="shared" si="31"/>
        <v>-39.421039999999998</v>
      </c>
      <c r="V115" s="20">
        <f t="shared" si="32"/>
        <v>33.736870000000003</v>
      </c>
      <c r="W115" s="19" t="str">
        <f>Data!I113</f>
        <v>Generic OBD II secondary air system monitor complete (1 = complete)</v>
      </c>
      <c r="X115" s="17" t="str">
        <f>CONCATENATE(Data!J113, " ", Data!K113)</f>
        <v>0 None</v>
      </c>
    </row>
    <row r="116" spans="1:24" x14ac:dyDescent="0.3">
      <c r="A116" s="17" t="str">
        <f>Data!A114</f>
        <v>vehicle1</v>
      </c>
      <c r="B116" s="17" t="str">
        <f>Data!B114</f>
        <v>Vehicle, Gasoline or Petrol</v>
      </c>
      <c r="C116" s="17" t="str">
        <f>Data!C114</f>
        <v>1f2g3h4j5k6l</v>
      </c>
      <c r="D116" s="52">
        <f>Data!D114</f>
        <v>45066.132280092592</v>
      </c>
      <c r="E116" s="60" t="str">
        <f>IF(Data!E114="GpsRecord",Data!F114,"")</f>
        <v/>
      </c>
      <c r="F116" s="68" t="str">
        <f t="shared" si="18"/>
        <v>Whispering Pines, 401 Loblolly Cir, Clayton, NC 27520, USA</v>
      </c>
      <c r="G116" t="b">
        <f t="shared" si="19"/>
        <v>0</v>
      </c>
      <c r="H116" t="b">
        <f t="shared" si="20"/>
        <v>0</v>
      </c>
      <c r="I116" t="b">
        <f t="shared" si="21"/>
        <v>0</v>
      </c>
      <c r="J116" t="str">
        <f t="shared" si="22"/>
        <v/>
      </c>
      <c r="K116" t="str">
        <f t="shared" si="23"/>
        <v/>
      </c>
      <c r="L116" t="str">
        <f t="shared" si="24"/>
        <v>,</v>
      </c>
      <c r="M116" t="str">
        <f t="shared" si="25"/>
        <v/>
      </c>
      <c r="N116" t="str">
        <f t="shared" si="26"/>
        <v/>
      </c>
      <c r="O116" t="str">
        <f t="shared" si="27"/>
        <v/>
      </c>
      <c r="P116" t="str">
        <f t="shared" si="28"/>
        <v/>
      </c>
      <c r="Q116" t="str">
        <f t="shared" si="29"/>
        <v/>
      </c>
      <c r="R116" s="20" t="str">
        <f t="shared" si="30"/>
        <v>NC</v>
      </c>
      <c r="S116" s="20" t="str">
        <f>IF(Data!E114="GpsRecord",Data!G114,"")</f>
        <v/>
      </c>
      <c r="T116" s="20" t="str">
        <f>IF(Data!E114="GpsRecord",Data!H114,"")</f>
        <v/>
      </c>
      <c r="U116" s="20">
        <f t="shared" si="31"/>
        <v>-39.421039999999998</v>
      </c>
      <c r="V116" s="20">
        <f t="shared" si="32"/>
        <v>33.736870000000003</v>
      </c>
      <c r="W116" s="19" t="str">
        <f>Data!I114</f>
        <v>Generic OBD II evaporative system monitor available (1 = available)</v>
      </c>
      <c r="X116" s="17" t="str">
        <f>CONCATENATE(Data!J114, " ", Data!K114)</f>
        <v>1 None</v>
      </c>
    </row>
    <row r="117" spans="1:24" x14ac:dyDescent="0.3">
      <c r="A117" s="17" t="str">
        <f>Data!A115</f>
        <v>vehicle1</v>
      </c>
      <c r="B117" s="17" t="str">
        <f>Data!B115</f>
        <v>Vehicle, Gasoline or Petrol</v>
      </c>
      <c r="C117" s="17" t="str">
        <f>Data!C115</f>
        <v>1f2g3h4j5k6l</v>
      </c>
      <c r="D117" s="52">
        <f>Data!D115</f>
        <v>45066.132280092592</v>
      </c>
      <c r="E117" s="60" t="str">
        <f>IF(Data!E115="GpsRecord",Data!F115,"")</f>
        <v/>
      </c>
      <c r="F117" s="68" t="str">
        <f t="shared" si="18"/>
        <v>Whispering Pines, 401 Loblolly Cir, Clayton, NC 27520, USA</v>
      </c>
      <c r="G117" t="b">
        <f t="shared" si="19"/>
        <v>0</v>
      </c>
      <c r="H117" t="b">
        <f t="shared" si="20"/>
        <v>0</v>
      </c>
      <c r="I117" t="b">
        <f t="shared" si="21"/>
        <v>0</v>
      </c>
      <c r="J117" t="str">
        <f t="shared" si="22"/>
        <v/>
      </c>
      <c r="K117" t="str">
        <f t="shared" si="23"/>
        <v/>
      </c>
      <c r="L117" t="str">
        <f t="shared" si="24"/>
        <v>,</v>
      </c>
      <c r="M117" t="str">
        <f t="shared" si="25"/>
        <v/>
      </c>
      <c r="N117" t="str">
        <f t="shared" si="26"/>
        <v/>
      </c>
      <c r="O117" t="str">
        <f t="shared" si="27"/>
        <v/>
      </c>
      <c r="P117" t="str">
        <f t="shared" si="28"/>
        <v/>
      </c>
      <c r="Q117" t="str">
        <f t="shared" si="29"/>
        <v/>
      </c>
      <c r="R117" s="20" t="str">
        <f t="shared" si="30"/>
        <v>NC</v>
      </c>
      <c r="S117" s="20" t="str">
        <f>IF(Data!E115="GpsRecord",Data!G115,"")</f>
        <v/>
      </c>
      <c r="T117" s="20" t="str">
        <f>IF(Data!E115="GpsRecord",Data!H115,"")</f>
        <v/>
      </c>
      <c r="U117" s="20">
        <f t="shared" si="31"/>
        <v>-39.421039999999998</v>
      </c>
      <c r="V117" s="20">
        <f t="shared" si="32"/>
        <v>33.736870000000003</v>
      </c>
      <c r="W117" s="19" t="str">
        <f>Data!I115</f>
        <v>Generic OBD II oxygen sensor heater monitor available (1 = available)</v>
      </c>
      <c r="X117" s="17" t="str">
        <f>CONCATENATE(Data!J115, " ", Data!K115)</f>
        <v>1 None</v>
      </c>
    </row>
    <row r="118" spans="1:24" x14ac:dyDescent="0.3">
      <c r="A118" s="17" t="str">
        <f>Data!A116</f>
        <v>vehicle1</v>
      </c>
      <c r="B118" s="17" t="str">
        <f>Data!B116</f>
        <v>Vehicle, Gasoline or Petrol</v>
      </c>
      <c r="C118" s="17" t="str">
        <f>Data!C116</f>
        <v>1f2g3h4j5k6l</v>
      </c>
      <c r="D118" s="52">
        <f>Data!D116</f>
        <v>45066.132280092592</v>
      </c>
      <c r="E118" s="60" t="str">
        <f>IF(Data!E116="GpsRecord",Data!F116,"")</f>
        <v/>
      </c>
      <c r="F118" s="68" t="str">
        <f t="shared" si="18"/>
        <v>Whispering Pines, 401 Loblolly Cir, Clayton, NC 27520, USA</v>
      </c>
      <c r="G118" t="b">
        <f t="shared" si="19"/>
        <v>0</v>
      </c>
      <c r="H118" t="b">
        <f t="shared" si="20"/>
        <v>0</v>
      </c>
      <c r="I118" t="b">
        <f t="shared" si="21"/>
        <v>0</v>
      </c>
      <c r="J118" t="str">
        <f t="shared" si="22"/>
        <v/>
      </c>
      <c r="K118" t="str">
        <f t="shared" si="23"/>
        <v/>
      </c>
      <c r="L118" t="str">
        <f t="shared" si="24"/>
        <v>,</v>
      </c>
      <c r="M118" t="str">
        <f t="shared" si="25"/>
        <v/>
      </c>
      <c r="N118" t="str">
        <f t="shared" si="26"/>
        <v/>
      </c>
      <c r="O118" t="str">
        <f t="shared" si="27"/>
        <v/>
      </c>
      <c r="P118" t="str">
        <f t="shared" si="28"/>
        <v/>
      </c>
      <c r="Q118" t="str">
        <f t="shared" si="29"/>
        <v/>
      </c>
      <c r="R118" s="20" t="str">
        <f t="shared" si="30"/>
        <v>NC</v>
      </c>
      <c r="S118" s="20" t="str">
        <f>IF(Data!E116="GpsRecord",Data!G116,"")</f>
        <v/>
      </c>
      <c r="T118" s="20" t="str">
        <f>IF(Data!E116="GpsRecord",Data!H116,"")</f>
        <v/>
      </c>
      <c r="U118" s="20">
        <f t="shared" si="31"/>
        <v>-39.421039999999998</v>
      </c>
      <c r="V118" s="20">
        <f t="shared" si="32"/>
        <v>33.736870000000003</v>
      </c>
      <c r="W118" s="19" t="str">
        <f>Data!I116</f>
        <v>Generic OBD II EGR system monitor available (1 = available)</v>
      </c>
      <c r="X118" s="17" t="str">
        <f>CONCATENATE(Data!J116, " ", Data!K116)</f>
        <v>1 None</v>
      </c>
    </row>
    <row r="119" spans="1:24" x14ac:dyDescent="0.3">
      <c r="A119" s="17" t="str">
        <f>Data!A117</f>
        <v>vehicle1</v>
      </c>
      <c r="B119" s="17" t="str">
        <f>Data!B117</f>
        <v>Vehicle, Gasoline or Petrol</v>
      </c>
      <c r="C119" s="17" t="str">
        <f>Data!C117</f>
        <v>1f2g3h4j5k6l</v>
      </c>
      <c r="D119" s="52">
        <f>Data!D117</f>
        <v>45066.132280092592</v>
      </c>
      <c r="E119" s="60" t="str">
        <f>IF(Data!E117="GpsRecord",Data!F117,"")</f>
        <v/>
      </c>
      <c r="F119" s="68" t="str">
        <f t="shared" si="18"/>
        <v>Whispering Pines, 401 Loblolly Cir, Clayton, NC 27520, USA</v>
      </c>
      <c r="G119" t="b">
        <f t="shared" si="19"/>
        <v>0</v>
      </c>
      <c r="H119" t="b">
        <f t="shared" si="20"/>
        <v>0</v>
      </c>
      <c r="I119" t="b">
        <f t="shared" si="21"/>
        <v>0</v>
      </c>
      <c r="J119" t="str">
        <f t="shared" si="22"/>
        <v/>
      </c>
      <c r="K119" t="str">
        <f t="shared" si="23"/>
        <v/>
      </c>
      <c r="L119" t="str">
        <f t="shared" si="24"/>
        <v>,</v>
      </c>
      <c r="M119" t="str">
        <f t="shared" si="25"/>
        <v/>
      </c>
      <c r="N119" t="str">
        <f t="shared" si="26"/>
        <v/>
      </c>
      <c r="O119" t="str">
        <f t="shared" si="27"/>
        <v/>
      </c>
      <c r="P119" t="str">
        <f t="shared" si="28"/>
        <v/>
      </c>
      <c r="Q119" t="str">
        <f t="shared" si="29"/>
        <v/>
      </c>
      <c r="R119" s="20" t="str">
        <f t="shared" si="30"/>
        <v>NC</v>
      </c>
      <c r="S119" s="20" t="str">
        <f>IF(Data!E117="GpsRecord",Data!G117,"")</f>
        <v/>
      </c>
      <c r="T119" s="20" t="str">
        <f>IF(Data!E117="GpsRecord",Data!H117,"")</f>
        <v/>
      </c>
      <c r="U119" s="20">
        <f t="shared" si="31"/>
        <v>-39.421039999999998</v>
      </c>
      <c r="V119" s="20">
        <f t="shared" si="32"/>
        <v>33.736870000000003</v>
      </c>
      <c r="W119" s="19" t="str">
        <f>Data!I117</f>
        <v>Generic OBD II AC refrigerant monitor available (1 = available)</v>
      </c>
      <c r="X119" s="17" t="str">
        <f>CONCATENATE(Data!J117, " ", Data!K117)</f>
        <v>0 None</v>
      </c>
    </row>
    <row r="120" spans="1:24" x14ac:dyDescent="0.3">
      <c r="A120" s="17" t="str">
        <f>Data!A118</f>
        <v>vehicle1</v>
      </c>
      <c r="B120" s="17" t="str">
        <f>Data!B118</f>
        <v>Vehicle, Gasoline or Petrol</v>
      </c>
      <c r="C120" s="17" t="str">
        <f>Data!C118</f>
        <v>1f2g3h4j5k6l</v>
      </c>
      <c r="D120" s="52">
        <f>Data!D118</f>
        <v>45066.132280092592</v>
      </c>
      <c r="E120" s="60" t="str">
        <f>IF(Data!E118="GpsRecord",Data!F118,"")</f>
        <v/>
      </c>
      <c r="F120" s="68" t="str">
        <f t="shared" si="18"/>
        <v>Whispering Pines, 401 Loblolly Cir, Clayton, NC 27520, USA</v>
      </c>
      <c r="G120" t="b">
        <f t="shared" si="19"/>
        <v>0</v>
      </c>
      <c r="H120" t="b">
        <f t="shared" si="20"/>
        <v>0</v>
      </c>
      <c r="I120" t="b">
        <f t="shared" si="21"/>
        <v>0</v>
      </c>
      <c r="J120" t="str">
        <f t="shared" si="22"/>
        <v/>
      </c>
      <c r="K120" t="str">
        <f t="shared" si="23"/>
        <v/>
      </c>
      <c r="L120" t="str">
        <f t="shared" si="24"/>
        <v>,</v>
      </c>
      <c r="M120" t="str">
        <f t="shared" si="25"/>
        <v/>
      </c>
      <c r="N120" t="str">
        <f t="shared" si="26"/>
        <v/>
      </c>
      <c r="O120" t="str">
        <f t="shared" si="27"/>
        <v/>
      </c>
      <c r="P120" t="str">
        <f t="shared" si="28"/>
        <v/>
      </c>
      <c r="Q120" t="str">
        <f t="shared" si="29"/>
        <v/>
      </c>
      <c r="R120" s="20" t="str">
        <f t="shared" si="30"/>
        <v>NC</v>
      </c>
      <c r="S120" s="20" t="str">
        <f>IF(Data!E118="GpsRecord",Data!G118,"")</f>
        <v/>
      </c>
      <c r="T120" s="20" t="str">
        <f>IF(Data!E118="GpsRecord",Data!H118,"")</f>
        <v/>
      </c>
      <c r="U120" s="20">
        <f t="shared" si="31"/>
        <v>-39.421039999999998</v>
      </c>
      <c r="V120" s="20">
        <f t="shared" si="32"/>
        <v>33.736870000000003</v>
      </c>
      <c r="W120" s="19" t="str">
        <f>Data!I118</f>
        <v>Generic OBD II AC refrigerant monitor complete (1 = complete)</v>
      </c>
      <c r="X120" s="17" t="str">
        <f>CONCATENATE(Data!J118, " ", Data!K118)</f>
        <v>0 None</v>
      </c>
    </row>
    <row r="121" spans="1:24" x14ac:dyDescent="0.3">
      <c r="A121" s="17" t="str">
        <f>Data!A119</f>
        <v>vehicle1</v>
      </c>
      <c r="B121" s="17" t="str">
        <f>Data!B119</f>
        <v>Vehicle, Gasoline or Petrol</v>
      </c>
      <c r="C121" s="17" t="str">
        <f>Data!C119</f>
        <v>1f2g3h4j5k6l</v>
      </c>
      <c r="D121" s="52">
        <f>Data!D119</f>
        <v>45066.132280092592</v>
      </c>
      <c r="E121" s="60" t="str">
        <f>IF(Data!E119="GpsRecord",Data!F119,"")</f>
        <v/>
      </c>
      <c r="F121" s="68" t="str">
        <f t="shared" si="18"/>
        <v>Whispering Pines, 401 Loblolly Cir, Clayton, NC 27520, USA</v>
      </c>
      <c r="G121" t="b">
        <f t="shared" si="19"/>
        <v>0</v>
      </c>
      <c r="H121" t="b">
        <f t="shared" si="20"/>
        <v>0</v>
      </c>
      <c r="I121" t="b">
        <f t="shared" si="21"/>
        <v>0</v>
      </c>
      <c r="J121" t="str">
        <f t="shared" si="22"/>
        <v/>
      </c>
      <c r="K121" t="str">
        <f t="shared" si="23"/>
        <v/>
      </c>
      <c r="L121" t="str">
        <f t="shared" si="24"/>
        <v>,</v>
      </c>
      <c r="M121" t="str">
        <f t="shared" si="25"/>
        <v/>
      </c>
      <c r="N121" t="str">
        <f t="shared" si="26"/>
        <v/>
      </c>
      <c r="O121" t="str">
        <f t="shared" si="27"/>
        <v/>
      </c>
      <c r="P121" t="str">
        <f t="shared" si="28"/>
        <v/>
      </c>
      <c r="Q121" t="str">
        <f t="shared" si="29"/>
        <v/>
      </c>
      <c r="R121" s="20" t="str">
        <f t="shared" si="30"/>
        <v>NC</v>
      </c>
      <c r="S121" s="20" t="str">
        <f>IF(Data!E119="GpsRecord",Data!G119,"")</f>
        <v/>
      </c>
      <c r="T121" s="20" t="str">
        <f>IF(Data!E119="GpsRecord",Data!H119,"")</f>
        <v/>
      </c>
      <c r="U121" s="20">
        <f t="shared" si="31"/>
        <v>-39.421039999999998</v>
      </c>
      <c r="V121" s="20">
        <f t="shared" si="32"/>
        <v>33.736870000000003</v>
      </c>
      <c r="W121" s="19" t="str">
        <f>Data!I119</f>
        <v>Generic OBD II evaporative system monitor complete (1 = complete)</v>
      </c>
      <c r="X121" s="17" t="str">
        <f>CONCATENATE(Data!J119, " ", Data!K119)</f>
        <v>1 None</v>
      </c>
    </row>
    <row r="122" spans="1:24" x14ac:dyDescent="0.3">
      <c r="A122" s="17" t="str">
        <f>Data!A120</f>
        <v>vehicle1</v>
      </c>
      <c r="B122" s="17" t="str">
        <f>Data!B120</f>
        <v>Vehicle, Gasoline or Petrol</v>
      </c>
      <c r="C122" s="17" t="str">
        <f>Data!C120</f>
        <v>1f2g3h4j5k6l</v>
      </c>
      <c r="D122" s="52">
        <f>Data!D120</f>
        <v>45066.132280092592</v>
      </c>
      <c r="E122" s="60" t="str">
        <f>IF(Data!E120="GpsRecord",Data!F120,"")</f>
        <v/>
      </c>
      <c r="F122" s="68" t="str">
        <f t="shared" si="18"/>
        <v>Whispering Pines, 401 Loblolly Cir, Clayton, NC 27520, USA</v>
      </c>
      <c r="G122" t="b">
        <f t="shared" si="19"/>
        <v>0</v>
      </c>
      <c r="H122" t="b">
        <f t="shared" si="20"/>
        <v>0</v>
      </c>
      <c r="I122" t="b">
        <f t="shared" si="21"/>
        <v>0</v>
      </c>
      <c r="J122" t="str">
        <f t="shared" si="22"/>
        <v/>
      </c>
      <c r="K122" t="str">
        <f t="shared" si="23"/>
        <v/>
      </c>
      <c r="L122" t="str">
        <f t="shared" si="24"/>
        <v>,</v>
      </c>
      <c r="M122" t="str">
        <f t="shared" si="25"/>
        <v/>
      </c>
      <c r="N122" t="str">
        <f t="shared" si="26"/>
        <v/>
      </c>
      <c r="O122" t="str">
        <f t="shared" si="27"/>
        <v/>
      </c>
      <c r="P122" t="str">
        <f t="shared" si="28"/>
        <v/>
      </c>
      <c r="Q122" t="str">
        <f t="shared" si="29"/>
        <v/>
      </c>
      <c r="R122" s="20" t="str">
        <f t="shared" si="30"/>
        <v>NC</v>
      </c>
      <c r="S122" s="20" t="str">
        <f>IF(Data!E120="GpsRecord",Data!G120,"")</f>
        <v/>
      </c>
      <c r="T122" s="20" t="str">
        <f>IF(Data!E120="GpsRecord",Data!H120,"")</f>
        <v/>
      </c>
      <c r="U122" s="20">
        <f t="shared" si="31"/>
        <v>-39.421039999999998</v>
      </c>
      <c r="V122" s="20">
        <f t="shared" si="32"/>
        <v>33.736870000000003</v>
      </c>
      <c r="W122" s="19" t="str">
        <f>Data!I120</f>
        <v>Generic OBD II secondary air system monitor available (1 = available)</v>
      </c>
      <c r="X122" s="17" t="str">
        <f>CONCATENATE(Data!J120, " ", Data!K120)</f>
        <v>0 None</v>
      </c>
    </row>
    <row r="123" spans="1:24" x14ac:dyDescent="0.3">
      <c r="A123" s="17" t="str">
        <f>Data!A121</f>
        <v>vehicle1</v>
      </c>
      <c r="B123" s="17" t="str">
        <f>Data!B121</f>
        <v>Vehicle, Gasoline or Petrol</v>
      </c>
      <c r="C123" s="17" t="str">
        <f>Data!C121</f>
        <v>1f2g3h4j5k6l</v>
      </c>
      <c r="D123" s="52">
        <f>Data!D121</f>
        <v>45066.132280092592</v>
      </c>
      <c r="E123" s="60" t="str">
        <f>IF(Data!E121="GpsRecord",Data!F121,"")</f>
        <v/>
      </c>
      <c r="F123" s="68" t="str">
        <f t="shared" si="18"/>
        <v>Whispering Pines, 401 Loblolly Cir, Clayton, NC 27520, USA</v>
      </c>
      <c r="G123" t="b">
        <f t="shared" si="19"/>
        <v>0</v>
      </c>
      <c r="H123" t="b">
        <f t="shared" si="20"/>
        <v>0</v>
      </c>
      <c r="I123" t="b">
        <f t="shared" si="21"/>
        <v>0</v>
      </c>
      <c r="J123" t="str">
        <f t="shared" si="22"/>
        <v/>
      </c>
      <c r="K123" t="str">
        <f t="shared" si="23"/>
        <v/>
      </c>
      <c r="L123" t="str">
        <f t="shared" si="24"/>
        <v>,</v>
      </c>
      <c r="M123" t="str">
        <f t="shared" si="25"/>
        <v/>
      </c>
      <c r="N123" t="str">
        <f t="shared" si="26"/>
        <v/>
      </c>
      <c r="O123" t="str">
        <f t="shared" si="27"/>
        <v/>
      </c>
      <c r="P123" t="str">
        <f t="shared" si="28"/>
        <v/>
      </c>
      <c r="Q123" t="str">
        <f t="shared" si="29"/>
        <v/>
      </c>
      <c r="R123" s="20" t="str">
        <f t="shared" si="30"/>
        <v>NC</v>
      </c>
      <c r="S123" s="20" t="str">
        <f>IF(Data!E121="GpsRecord",Data!G121,"")</f>
        <v/>
      </c>
      <c r="T123" s="20" t="str">
        <f>IF(Data!E121="GpsRecord",Data!H121,"")</f>
        <v/>
      </c>
      <c r="U123" s="20">
        <f t="shared" si="31"/>
        <v>-39.421039999999998</v>
      </c>
      <c r="V123" s="20">
        <f t="shared" si="32"/>
        <v>33.736870000000003</v>
      </c>
      <c r="W123" s="19" t="str">
        <f>Data!I121</f>
        <v>Generic OBD II oxygen sensor heater monitor complete (1 = complete)</v>
      </c>
      <c r="X123" s="17" t="str">
        <f>CONCATENATE(Data!J121, " ", Data!K121)</f>
        <v>1 None</v>
      </c>
    </row>
    <row r="124" spans="1:24" x14ac:dyDescent="0.3">
      <c r="A124" s="17" t="str">
        <f>Data!A122</f>
        <v>vehicle1</v>
      </c>
      <c r="B124" s="17" t="str">
        <f>Data!B122</f>
        <v>Vehicle, Gasoline or Petrol</v>
      </c>
      <c r="C124" s="17" t="str">
        <f>Data!C122</f>
        <v>1f2g3h4j5k6l</v>
      </c>
      <c r="D124" s="52">
        <f>Data!D122</f>
        <v>45066.132280092592</v>
      </c>
      <c r="E124" s="60" t="str">
        <f>IF(Data!E122="GpsRecord",Data!F122,"")</f>
        <v/>
      </c>
      <c r="F124" s="68" t="str">
        <f t="shared" si="18"/>
        <v>Whispering Pines, 401 Loblolly Cir, Clayton, NC 27520, USA</v>
      </c>
      <c r="G124" t="b">
        <f t="shared" si="19"/>
        <v>0</v>
      </c>
      <c r="H124" t="b">
        <f t="shared" si="20"/>
        <v>0</v>
      </c>
      <c r="I124" t="b">
        <f t="shared" si="21"/>
        <v>0</v>
      </c>
      <c r="J124" t="str">
        <f t="shared" si="22"/>
        <v/>
      </c>
      <c r="K124" t="str">
        <f t="shared" si="23"/>
        <v/>
      </c>
      <c r="L124" t="str">
        <f t="shared" si="24"/>
        <v>,</v>
      </c>
      <c r="M124" t="str">
        <f t="shared" si="25"/>
        <v/>
      </c>
      <c r="N124" t="str">
        <f t="shared" si="26"/>
        <v/>
      </c>
      <c r="O124" t="str">
        <f t="shared" si="27"/>
        <v/>
      </c>
      <c r="P124" t="str">
        <f t="shared" si="28"/>
        <v/>
      </c>
      <c r="Q124" t="str">
        <f t="shared" si="29"/>
        <v/>
      </c>
      <c r="R124" s="20" t="str">
        <f t="shared" si="30"/>
        <v>NC</v>
      </c>
      <c r="S124" s="20" t="str">
        <f>IF(Data!E122="GpsRecord",Data!G122,"")</f>
        <v/>
      </c>
      <c r="T124" s="20" t="str">
        <f>IF(Data!E122="GpsRecord",Data!H122,"")</f>
        <v/>
      </c>
      <c r="U124" s="20">
        <f t="shared" si="31"/>
        <v>-39.421039999999998</v>
      </c>
      <c r="V124" s="20">
        <f t="shared" si="32"/>
        <v>33.736870000000003</v>
      </c>
      <c r="W124" s="19" t="str">
        <f>Data!I122</f>
        <v>Generic OBD II oxygen sensor monitor complete (1 = complete)</v>
      </c>
      <c r="X124" s="17" t="str">
        <f>CONCATENATE(Data!J122, " ", Data!K122)</f>
        <v>1 None</v>
      </c>
    </row>
    <row r="125" spans="1:24" x14ac:dyDescent="0.3">
      <c r="A125" s="17" t="str">
        <f>Data!A123</f>
        <v>vehicle1</v>
      </c>
      <c r="B125" s="17" t="str">
        <f>Data!B123</f>
        <v>Vehicle, Gasoline or Petrol</v>
      </c>
      <c r="C125" s="17" t="str">
        <f>Data!C123</f>
        <v>1f2g3h4j5k6l</v>
      </c>
      <c r="D125" s="52">
        <f>Data!D123</f>
        <v>45066.132280092592</v>
      </c>
      <c r="E125" s="60" t="str">
        <f>IF(Data!E123="GpsRecord",Data!F123,"")</f>
        <v/>
      </c>
      <c r="F125" s="68" t="str">
        <f t="shared" si="18"/>
        <v>Whispering Pines, 401 Loblolly Cir, Clayton, NC 27520, USA</v>
      </c>
      <c r="G125" t="b">
        <f t="shared" si="19"/>
        <v>0</v>
      </c>
      <c r="H125" t="b">
        <f t="shared" si="20"/>
        <v>0</v>
      </c>
      <c r="I125" t="b">
        <f t="shared" si="21"/>
        <v>0</v>
      </c>
      <c r="J125" t="str">
        <f t="shared" si="22"/>
        <v/>
      </c>
      <c r="K125" t="str">
        <f t="shared" si="23"/>
        <v/>
      </c>
      <c r="L125" t="str">
        <f t="shared" si="24"/>
        <v>,</v>
      </c>
      <c r="M125" t="str">
        <f t="shared" si="25"/>
        <v/>
      </c>
      <c r="N125" t="str">
        <f t="shared" si="26"/>
        <v/>
      </c>
      <c r="O125" t="str">
        <f t="shared" si="27"/>
        <v/>
      </c>
      <c r="P125" t="str">
        <f t="shared" si="28"/>
        <v/>
      </c>
      <c r="Q125" t="str">
        <f t="shared" si="29"/>
        <v/>
      </c>
      <c r="R125" s="20" t="str">
        <f t="shared" si="30"/>
        <v>NC</v>
      </c>
      <c r="S125" s="20" t="str">
        <f>IF(Data!E123="GpsRecord",Data!G123,"")</f>
        <v/>
      </c>
      <c r="T125" s="20" t="str">
        <f>IF(Data!E123="GpsRecord",Data!H123,"")</f>
        <v/>
      </c>
      <c r="U125" s="20">
        <f t="shared" si="31"/>
        <v>-39.421039999999998</v>
      </c>
      <c r="V125" s="20">
        <f t="shared" si="32"/>
        <v>33.736870000000003</v>
      </c>
      <c r="W125" s="19" t="str">
        <f>Data!I123</f>
        <v>Generic OBD II heated catalyst monitor complete (1 = complete)</v>
      </c>
      <c r="X125" s="17" t="str">
        <f>CONCATENATE(Data!J123, " ", Data!K123)</f>
        <v>0 None</v>
      </c>
    </row>
    <row r="126" spans="1:24" x14ac:dyDescent="0.3">
      <c r="A126" s="17" t="str">
        <f>Data!A124</f>
        <v>vehicle1</v>
      </c>
      <c r="B126" s="17" t="str">
        <f>Data!B124</f>
        <v>Vehicle, Gasoline or Petrol</v>
      </c>
      <c r="C126" s="17" t="str">
        <f>Data!C124</f>
        <v>1f2g3h4j5k6l</v>
      </c>
      <c r="D126" s="52">
        <f>Data!D124</f>
        <v>45066.132280092592</v>
      </c>
      <c r="E126" s="60" t="str">
        <f>IF(Data!E124="GpsRecord",Data!F124,"")</f>
        <v/>
      </c>
      <c r="F126" s="68" t="str">
        <f t="shared" si="18"/>
        <v>Whispering Pines, 401 Loblolly Cir, Clayton, NC 27520, USA</v>
      </c>
      <c r="G126" t="b">
        <f t="shared" si="19"/>
        <v>0</v>
      </c>
      <c r="H126" t="b">
        <f t="shared" si="20"/>
        <v>0</v>
      </c>
      <c r="I126" t="b">
        <f t="shared" si="21"/>
        <v>0</v>
      </c>
      <c r="J126" t="str">
        <f t="shared" si="22"/>
        <v/>
      </c>
      <c r="K126" t="str">
        <f t="shared" si="23"/>
        <v/>
      </c>
      <c r="L126" t="str">
        <f t="shared" si="24"/>
        <v>,</v>
      </c>
      <c r="M126" t="str">
        <f t="shared" si="25"/>
        <v/>
      </c>
      <c r="N126" t="str">
        <f t="shared" si="26"/>
        <v/>
      </c>
      <c r="O126" t="str">
        <f t="shared" si="27"/>
        <v/>
      </c>
      <c r="P126" t="str">
        <f t="shared" si="28"/>
        <v/>
      </c>
      <c r="Q126" t="str">
        <f t="shared" si="29"/>
        <v/>
      </c>
      <c r="R126" s="20" t="str">
        <f t="shared" si="30"/>
        <v>NC</v>
      </c>
      <c r="S126" s="20" t="str">
        <f>IF(Data!E124="GpsRecord",Data!G124,"")</f>
        <v/>
      </c>
      <c r="T126" s="20" t="str">
        <f>IF(Data!E124="GpsRecord",Data!H124,"")</f>
        <v/>
      </c>
      <c r="U126" s="20">
        <f t="shared" si="31"/>
        <v>-39.421039999999998</v>
      </c>
      <c r="V126" s="20">
        <f t="shared" si="32"/>
        <v>33.736870000000003</v>
      </c>
      <c r="W126" s="19" t="str">
        <f>Data!I124</f>
        <v>Generic OBD II EGR system monitor complete (1 = complete)</v>
      </c>
      <c r="X126" s="17" t="str">
        <f>CONCATENATE(Data!J124, " ", Data!K124)</f>
        <v>1 None</v>
      </c>
    </row>
    <row r="127" spans="1:24" x14ac:dyDescent="0.3">
      <c r="A127" s="17" t="str">
        <f>Data!A125</f>
        <v>vehicle1</v>
      </c>
      <c r="B127" s="17" t="str">
        <f>Data!B125</f>
        <v>Vehicle, Gasoline or Petrol</v>
      </c>
      <c r="C127" s="17" t="str">
        <f>Data!C125</f>
        <v>1f2g3h4j5k6l</v>
      </c>
      <c r="D127" s="52">
        <f>Data!D125</f>
        <v>45066.132280092592</v>
      </c>
      <c r="E127" s="60" t="str">
        <f>IF(Data!E125="GpsRecord",Data!F125,"")</f>
        <v/>
      </c>
      <c r="F127" s="68" t="str">
        <f t="shared" si="18"/>
        <v>Whispering Pines, 401 Loblolly Cir, Clayton, NC 27520, USA</v>
      </c>
      <c r="G127" t="b">
        <f t="shared" si="19"/>
        <v>0</v>
      </c>
      <c r="H127" t="b">
        <f t="shared" si="20"/>
        <v>0</v>
      </c>
      <c r="I127" t="b">
        <f t="shared" si="21"/>
        <v>0</v>
      </c>
      <c r="J127" t="str">
        <f t="shared" si="22"/>
        <v/>
      </c>
      <c r="K127" t="str">
        <f t="shared" si="23"/>
        <v/>
      </c>
      <c r="L127" t="str">
        <f t="shared" si="24"/>
        <v>,</v>
      </c>
      <c r="M127" t="str">
        <f t="shared" si="25"/>
        <v/>
      </c>
      <c r="N127" t="str">
        <f t="shared" si="26"/>
        <v/>
      </c>
      <c r="O127" t="str">
        <f t="shared" si="27"/>
        <v/>
      </c>
      <c r="P127" t="str">
        <f t="shared" si="28"/>
        <v/>
      </c>
      <c r="Q127" t="str">
        <f t="shared" si="29"/>
        <v/>
      </c>
      <c r="R127" s="20" t="str">
        <f t="shared" si="30"/>
        <v>NC</v>
      </c>
      <c r="S127" s="20" t="str">
        <f>IF(Data!E125="GpsRecord",Data!G125,"")</f>
        <v/>
      </c>
      <c r="T127" s="20" t="str">
        <f>IF(Data!E125="GpsRecord",Data!H125,"")</f>
        <v/>
      </c>
      <c r="U127" s="20">
        <f t="shared" si="31"/>
        <v>-39.421039999999998</v>
      </c>
      <c r="V127" s="20">
        <f t="shared" si="32"/>
        <v>33.736870000000003</v>
      </c>
      <c r="W127" s="19">
        <f>Data!I125</f>
        <v>0</v>
      </c>
      <c r="X127" s="17" t="str">
        <f>CONCATENATE(Data!J125, " ", Data!K125)</f>
        <v xml:space="preserve"> </v>
      </c>
    </row>
    <row r="128" spans="1:24" x14ac:dyDescent="0.3">
      <c r="A128" s="17" t="str">
        <f>Data!A126</f>
        <v>vehicle1</v>
      </c>
      <c r="B128" s="17" t="str">
        <f>Data!B126</f>
        <v>Vehicle, Gasoline or Petrol</v>
      </c>
      <c r="C128" s="17" t="str">
        <f>Data!C126</f>
        <v>1f2g3h4j5k6l</v>
      </c>
      <c r="D128" s="52">
        <f>Data!D126</f>
        <v>45066.132280092592</v>
      </c>
      <c r="E128" s="60" t="str">
        <f>IF(Data!E126="GpsRecord",Data!F126,"")</f>
        <v/>
      </c>
      <c r="F128" s="68" t="str">
        <f t="shared" si="18"/>
        <v>Whispering Pines, 401 Loblolly Cir, Clayton, NC 27520, USA</v>
      </c>
      <c r="G128" t="b">
        <f t="shared" si="19"/>
        <v>0</v>
      </c>
      <c r="H128" t="b">
        <f t="shared" si="20"/>
        <v>0</v>
      </c>
      <c r="I128" t="b">
        <f t="shared" si="21"/>
        <v>0</v>
      </c>
      <c r="J128" t="str">
        <f t="shared" si="22"/>
        <v/>
      </c>
      <c r="K128" t="str">
        <f t="shared" si="23"/>
        <v/>
      </c>
      <c r="L128" t="str">
        <f t="shared" si="24"/>
        <v>,</v>
      </c>
      <c r="M128" t="str">
        <f t="shared" si="25"/>
        <v/>
      </c>
      <c r="N128" t="str">
        <f t="shared" si="26"/>
        <v/>
      </c>
      <c r="O128" t="str">
        <f t="shared" si="27"/>
        <v/>
      </c>
      <c r="P128" t="str">
        <f t="shared" si="28"/>
        <v/>
      </c>
      <c r="Q128" t="str">
        <f t="shared" si="29"/>
        <v/>
      </c>
      <c r="R128" s="20" t="str">
        <f t="shared" si="30"/>
        <v>NC</v>
      </c>
      <c r="S128" s="20" t="str">
        <f>IF(Data!E126="GpsRecord",Data!G126,"")</f>
        <v/>
      </c>
      <c r="T128" s="20" t="str">
        <f>IF(Data!E126="GpsRecord",Data!H126,"")</f>
        <v/>
      </c>
      <c r="U128" s="20">
        <f t="shared" si="31"/>
        <v>-39.421039999999998</v>
      </c>
      <c r="V128" s="20">
        <f t="shared" si="32"/>
        <v>33.736870000000003</v>
      </c>
      <c r="W128" s="19">
        <f>Data!I126</f>
        <v>0</v>
      </c>
      <c r="X128" s="17" t="str">
        <f>CONCATENATE(Data!J126, " ", Data!K126)</f>
        <v xml:space="preserve"> </v>
      </c>
    </row>
    <row r="129" spans="1:24" x14ac:dyDescent="0.3">
      <c r="A129" s="17" t="str">
        <f>Data!A127</f>
        <v>vehicle1</v>
      </c>
      <c r="B129" s="17" t="str">
        <f>Data!B127</f>
        <v>Vehicle, Gasoline or Petrol</v>
      </c>
      <c r="C129" s="17" t="str">
        <f>Data!C127</f>
        <v>1f2g3h4j5k6l</v>
      </c>
      <c r="D129" s="52">
        <f>Data!D127</f>
        <v>45066.132280092592</v>
      </c>
      <c r="E129" s="60" t="str">
        <f>IF(Data!E127="GpsRecord",Data!F127,"")</f>
        <v/>
      </c>
      <c r="F129" s="68" t="str">
        <f t="shared" si="18"/>
        <v>Whispering Pines, 401 Loblolly Cir, Clayton, NC 27520, USA</v>
      </c>
      <c r="G129" t="b">
        <f t="shared" si="19"/>
        <v>0</v>
      </c>
      <c r="H129" t="b">
        <f t="shared" si="20"/>
        <v>0</v>
      </c>
      <c r="I129" t="b">
        <f t="shared" si="21"/>
        <v>0</v>
      </c>
      <c r="J129" t="str">
        <f t="shared" si="22"/>
        <v/>
      </c>
      <c r="K129" t="str">
        <f t="shared" si="23"/>
        <v/>
      </c>
      <c r="L129" t="str">
        <f t="shared" si="24"/>
        <v>,</v>
      </c>
      <c r="M129" t="str">
        <f t="shared" si="25"/>
        <v/>
      </c>
      <c r="N129" t="str">
        <f t="shared" si="26"/>
        <v/>
      </c>
      <c r="O129" t="str">
        <f t="shared" si="27"/>
        <v/>
      </c>
      <c r="P129" t="str">
        <f t="shared" si="28"/>
        <v/>
      </c>
      <c r="Q129" t="str">
        <f t="shared" si="29"/>
        <v/>
      </c>
      <c r="R129" s="20" t="str">
        <f t="shared" si="30"/>
        <v>NC</v>
      </c>
      <c r="S129" s="20" t="str">
        <f>IF(Data!E127="GpsRecord",Data!G127,"")</f>
        <v/>
      </c>
      <c r="T129" s="20" t="str">
        <f>IF(Data!E127="GpsRecord",Data!H127,"")</f>
        <v/>
      </c>
      <c r="U129" s="20">
        <f t="shared" si="31"/>
        <v>-39.421039999999998</v>
      </c>
      <c r="V129" s="20">
        <f t="shared" si="32"/>
        <v>33.736870000000003</v>
      </c>
      <c r="W129" s="19">
        <f>Data!I127</f>
        <v>0</v>
      </c>
      <c r="X129" s="17" t="str">
        <f>CONCATENATE(Data!J127, " ", Data!K127)</f>
        <v xml:space="preserve"> </v>
      </c>
    </row>
    <row r="130" spans="1:24" x14ac:dyDescent="0.3">
      <c r="A130" s="17" t="str">
        <f>Data!A128</f>
        <v>vehicle1</v>
      </c>
      <c r="B130" s="17" t="str">
        <f>Data!B128</f>
        <v>Vehicle, Gasoline or Petrol</v>
      </c>
      <c r="C130" s="17" t="str">
        <f>Data!C128</f>
        <v>1f2g3h4j5k6l</v>
      </c>
      <c r="D130" s="52">
        <f>Data!D128</f>
        <v>45066.132175925923</v>
      </c>
      <c r="E130" s="60" t="str">
        <f>IF(Data!E128="GpsRecord",Data!F128,"")</f>
        <v/>
      </c>
      <c r="F130" s="68" t="str">
        <f t="shared" si="18"/>
        <v>Whispering Pines, 401 Loblolly Cir, Clayton, NC 27520, USA</v>
      </c>
      <c r="G130" t="b">
        <f t="shared" si="19"/>
        <v>0</v>
      </c>
      <c r="H130" t="b">
        <f t="shared" si="20"/>
        <v>0</v>
      </c>
      <c r="I130" t="b">
        <f t="shared" si="21"/>
        <v>0</v>
      </c>
      <c r="J130" t="str">
        <f t="shared" si="22"/>
        <v/>
      </c>
      <c r="K130" t="str">
        <f t="shared" si="23"/>
        <v/>
      </c>
      <c r="L130" t="str">
        <f t="shared" si="24"/>
        <v>,</v>
      </c>
      <c r="M130" t="str">
        <f t="shared" si="25"/>
        <v/>
      </c>
      <c r="N130" t="str">
        <f t="shared" si="26"/>
        <v/>
      </c>
      <c r="O130" t="str">
        <f t="shared" si="27"/>
        <v/>
      </c>
      <c r="P130" t="str">
        <f t="shared" si="28"/>
        <v/>
      </c>
      <c r="Q130" t="str">
        <f t="shared" si="29"/>
        <v/>
      </c>
      <c r="R130" s="20" t="str">
        <f t="shared" si="30"/>
        <v>NC</v>
      </c>
      <c r="S130" s="20" t="str">
        <f>IF(Data!E128="GpsRecord",Data!G128,"")</f>
        <v/>
      </c>
      <c r="T130" s="20" t="str">
        <f>IF(Data!E128="GpsRecord",Data!H128,"")</f>
        <v/>
      </c>
      <c r="U130" s="20">
        <f t="shared" si="31"/>
        <v>-39.421039999999998</v>
      </c>
      <c r="V130" s="20">
        <f t="shared" si="32"/>
        <v>33.736870000000003</v>
      </c>
      <c r="W130" s="19">
        <f>Data!I128</f>
        <v>0</v>
      </c>
      <c r="X130" s="17" t="str">
        <f>CONCATENATE(Data!J128, " ", Data!K128)</f>
        <v xml:space="preserve"> </v>
      </c>
    </row>
    <row r="131" spans="1:24" x14ac:dyDescent="0.3">
      <c r="A131" s="17" t="str">
        <f>Data!A129</f>
        <v>vehicle1</v>
      </c>
      <c r="B131" s="17" t="str">
        <f>Data!B129</f>
        <v>Vehicle, Gasoline or Petrol</v>
      </c>
      <c r="C131" s="17" t="str">
        <f>Data!C129</f>
        <v>1f2g3h4j5k6l</v>
      </c>
      <c r="D131" s="52">
        <f>Data!D129</f>
        <v>45066.132175925923</v>
      </c>
      <c r="E131" s="60" t="str">
        <f>IF(Data!E129="GpsRecord",Data!F129,"")</f>
        <v/>
      </c>
      <c r="F131" s="68" t="str">
        <f t="shared" si="18"/>
        <v>Whispering Pines, 401 Loblolly Cir, Clayton, NC 27520, USA</v>
      </c>
      <c r="G131" t="b">
        <f t="shared" si="19"/>
        <v>0</v>
      </c>
      <c r="H131" t="b">
        <f t="shared" si="20"/>
        <v>0</v>
      </c>
      <c r="I131" t="b">
        <f t="shared" si="21"/>
        <v>0</v>
      </c>
      <c r="J131" t="str">
        <f t="shared" si="22"/>
        <v/>
      </c>
      <c r="K131" t="str">
        <f t="shared" si="23"/>
        <v/>
      </c>
      <c r="L131" t="str">
        <f t="shared" si="24"/>
        <v>,</v>
      </c>
      <c r="M131" t="str">
        <f t="shared" si="25"/>
        <v/>
      </c>
      <c r="N131" t="str">
        <f t="shared" si="26"/>
        <v/>
      </c>
      <c r="O131" t="str">
        <f t="shared" si="27"/>
        <v/>
      </c>
      <c r="P131" t="str">
        <f t="shared" si="28"/>
        <v/>
      </c>
      <c r="Q131" t="str">
        <f t="shared" si="29"/>
        <v/>
      </c>
      <c r="R131" s="20" t="str">
        <f t="shared" si="30"/>
        <v>NC</v>
      </c>
      <c r="S131" s="20" t="str">
        <f>IF(Data!E129="GpsRecord",Data!G129,"")</f>
        <v/>
      </c>
      <c r="T131" s="20" t="str">
        <f>IF(Data!E129="GpsRecord",Data!H129,"")</f>
        <v/>
      </c>
      <c r="U131" s="20">
        <f t="shared" si="31"/>
        <v>-39.421039999999998</v>
      </c>
      <c r="V131" s="20">
        <f t="shared" si="32"/>
        <v>33.736870000000003</v>
      </c>
      <c r="W131" s="19">
        <f>Data!I129</f>
        <v>0</v>
      </c>
      <c r="X131" s="17" t="str">
        <f>CONCATENATE(Data!J129, " ", Data!K129)</f>
        <v xml:space="preserve"> </v>
      </c>
    </row>
    <row r="132" spans="1:24" x14ac:dyDescent="0.3">
      <c r="A132" s="17" t="str">
        <f>Data!A130</f>
        <v>vehicle1</v>
      </c>
      <c r="B132" s="17" t="str">
        <f>Data!B130</f>
        <v>Vehicle, Gasoline or Petrol</v>
      </c>
      <c r="C132" s="17" t="str">
        <f>Data!C130</f>
        <v>1f2g3h4j5k6l</v>
      </c>
      <c r="D132" s="52">
        <f>Data!D130</f>
        <v>45066.132175925923</v>
      </c>
      <c r="E132" s="60" t="str">
        <f>IF(Data!E130="GpsRecord",Data!F130,"")</f>
        <v/>
      </c>
      <c r="F132" s="68" t="str">
        <f t="shared" si="18"/>
        <v>Whispering Pines, 401 Loblolly Cir, Clayton, NC 27520, USA</v>
      </c>
      <c r="G132" t="b">
        <f t="shared" si="19"/>
        <v>0</v>
      </c>
      <c r="H132" t="b">
        <f t="shared" si="20"/>
        <v>0</v>
      </c>
      <c r="I132" t="b">
        <f t="shared" si="21"/>
        <v>0</v>
      </c>
      <c r="J132" t="str">
        <f t="shared" si="22"/>
        <v/>
      </c>
      <c r="K132" t="str">
        <f t="shared" si="23"/>
        <v/>
      </c>
      <c r="L132" t="str">
        <f t="shared" si="24"/>
        <v>,</v>
      </c>
      <c r="M132" t="str">
        <f t="shared" si="25"/>
        <v/>
      </c>
      <c r="N132" t="str">
        <f t="shared" si="26"/>
        <v/>
      </c>
      <c r="O132" t="str">
        <f t="shared" si="27"/>
        <v/>
      </c>
      <c r="P132" t="str">
        <f t="shared" si="28"/>
        <v/>
      </c>
      <c r="Q132" t="str">
        <f t="shared" si="29"/>
        <v/>
      </c>
      <c r="R132" s="20" t="str">
        <f t="shared" si="30"/>
        <v>NC</v>
      </c>
      <c r="S132" s="20" t="str">
        <f>IF(Data!E130="GpsRecord",Data!G130,"")</f>
        <v/>
      </c>
      <c r="T132" s="20" t="str">
        <f>IF(Data!E130="GpsRecord",Data!H130,"")</f>
        <v/>
      </c>
      <c r="U132" s="20">
        <f t="shared" si="31"/>
        <v>-39.421039999999998</v>
      </c>
      <c r="V132" s="20">
        <f t="shared" si="32"/>
        <v>33.736870000000003</v>
      </c>
      <c r="W132" s="19" t="str">
        <f>Data!I130</f>
        <v>Generic distance traveled with MIL on</v>
      </c>
      <c r="X132" s="17" t="str">
        <f>CONCATENATE(Data!J130, " ", Data!K130)</f>
        <v>0 km</v>
      </c>
    </row>
    <row r="133" spans="1:24" x14ac:dyDescent="0.3">
      <c r="A133" s="17" t="str">
        <f>Data!A131</f>
        <v>vehicle1</v>
      </c>
      <c r="B133" s="17" t="str">
        <f>Data!B131</f>
        <v>Vehicle, Gasoline or Petrol</v>
      </c>
      <c r="C133" s="17" t="str">
        <f>Data!C131</f>
        <v>1f2g3h4j5k6l</v>
      </c>
      <c r="D133" s="52">
        <f>Data!D131</f>
        <v>45066.132175925923</v>
      </c>
      <c r="E133" s="60" t="str">
        <f>IF(Data!E131="GpsRecord",Data!F131,"")</f>
        <v/>
      </c>
      <c r="F133" s="68" t="str">
        <f t="shared" si="18"/>
        <v>Whispering Pines, 401 Loblolly Cir, Clayton, NC 27520, USA</v>
      </c>
      <c r="G133" t="b">
        <f t="shared" si="19"/>
        <v>0</v>
      </c>
      <c r="H133" t="b">
        <f t="shared" si="20"/>
        <v>0</v>
      </c>
      <c r="I133" t="b">
        <f t="shared" si="21"/>
        <v>0</v>
      </c>
      <c r="J133" t="str">
        <f t="shared" si="22"/>
        <v/>
      </c>
      <c r="K133" t="str">
        <f t="shared" si="23"/>
        <v/>
      </c>
      <c r="L133" t="str">
        <f t="shared" si="24"/>
        <v>,</v>
      </c>
      <c r="M133" t="str">
        <f t="shared" si="25"/>
        <v/>
      </c>
      <c r="N133" t="str">
        <f t="shared" si="26"/>
        <v/>
      </c>
      <c r="O133" t="str">
        <f t="shared" si="27"/>
        <v/>
      </c>
      <c r="P133" t="str">
        <f t="shared" si="28"/>
        <v/>
      </c>
      <c r="Q133" t="str">
        <f t="shared" si="29"/>
        <v/>
      </c>
      <c r="R133" s="20" t="str">
        <f t="shared" si="30"/>
        <v>NC</v>
      </c>
      <c r="S133" s="20" t="str">
        <f>IF(Data!E131="GpsRecord",Data!G131,"")</f>
        <v/>
      </c>
      <c r="T133" s="20" t="str">
        <f>IF(Data!E131="GpsRecord",Data!H131,"")</f>
        <v/>
      </c>
      <c r="U133" s="20">
        <f t="shared" si="31"/>
        <v>-39.421039999999998</v>
      </c>
      <c r="V133" s="20">
        <f t="shared" si="32"/>
        <v>33.736870000000003</v>
      </c>
      <c r="W133" s="19" t="str">
        <f>Data!I131</f>
        <v>Fuel level while stopped (percent) tank 1</v>
      </c>
      <c r="X133" s="17" t="str">
        <f>CONCATENATE(Data!J131, " ", Data!K131)</f>
        <v>58.815 %</v>
      </c>
    </row>
    <row r="134" spans="1:24" x14ac:dyDescent="0.3">
      <c r="A134" s="17" t="str">
        <f>Data!A132</f>
        <v>vehicle1</v>
      </c>
      <c r="B134" s="17" t="str">
        <f>Data!B132</f>
        <v>Vehicle, Gasoline or Petrol</v>
      </c>
      <c r="C134" s="17" t="str">
        <f>Data!C132</f>
        <v>1f2g3h4j5k6l</v>
      </c>
      <c r="D134" s="52">
        <f>Data!D132</f>
        <v>45066.132175925923</v>
      </c>
      <c r="E134" s="60" t="str">
        <f>IF(Data!E132="GpsRecord",Data!F132,"")</f>
        <v/>
      </c>
      <c r="F134" s="68" t="str">
        <f t="shared" si="18"/>
        <v>Whispering Pines, 401 Loblolly Cir, Clayton, NC 27520, USA</v>
      </c>
      <c r="G134" t="b">
        <f t="shared" si="19"/>
        <v>0</v>
      </c>
      <c r="H134" t="b">
        <f t="shared" si="20"/>
        <v>0</v>
      </c>
      <c r="I134" t="b">
        <f t="shared" si="21"/>
        <v>0</v>
      </c>
      <c r="J134" t="str">
        <f t="shared" si="22"/>
        <v/>
      </c>
      <c r="K134" t="str">
        <f t="shared" si="23"/>
        <v/>
      </c>
      <c r="L134" t="str">
        <f t="shared" si="24"/>
        <v>,</v>
      </c>
      <c r="M134" t="str">
        <f t="shared" si="25"/>
        <v/>
      </c>
      <c r="N134" t="str">
        <f t="shared" si="26"/>
        <v/>
      </c>
      <c r="O134" t="str">
        <f t="shared" si="27"/>
        <v/>
      </c>
      <c r="P134" t="str">
        <f t="shared" si="28"/>
        <v/>
      </c>
      <c r="Q134" t="str">
        <f t="shared" si="29"/>
        <v/>
      </c>
      <c r="R134" s="20" t="str">
        <f t="shared" si="30"/>
        <v>NC</v>
      </c>
      <c r="S134" s="20" t="str">
        <f>IF(Data!E132="GpsRecord",Data!G132,"")</f>
        <v/>
      </c>
      <c r="T134" s="20" t="str">
        <f>IF(Data!E132="GpsRecord",Data!H132,"")</f>
        <v/>
      </c>
      <c r="U134" s="20">
        <f t="shared" si="31"/>
        <v>-39.421039999999998</v>
      </c>
      <c r="V134" s="20">
        <f t="shared" si="32"/>
        <v>33.736870000000003</v>
      </c>
      <c r="W134" s="19">
        <f>Data!I132</f>
        <v>0</v>
      </c>
      <c r="X134" s="17" t="str">
        <f>CONCATENATE(Data!J132, " ", Data!K132)</f>
        <v xml:space="preserve"> </v>
      </c>
    </row>
    <row r="135" spans="1:24" x14ac:dyDescent="0.3">
      <c r="A135" s="17" t="str">
        <f>Data!A133</f>
        <v>vehicle1</v>
      </c>
      <c r="B135" s="17" t="str">
        <f>Data!B133</f>
        <v>Vehicle, Gasoline or Petrol</v>
      </c>
      <c r="C135" s="17" t="str">
        <f>Data!C133</f>
        <v>1f2g3h4j5k6l</v>
      </c>
      <c r="D135" s="52">
        <f>Data!D133</f>
        <v>45066.132175925923</v>
      </c>
      <c r="E135" s="60" t="str">
        <f>IF(Data!E133="GpsRecord",Data!F133,"")</f>
        <v/>
      </c>
      <c r="F135" s="68" t="str">
        <f t="shared" si="18"/>
        <v>Whispering Pines, 401 Loblolly Cir, Clayton, NC 27520, USA</v>
      </c>
      <c r="G135" t="b">
        <f t="shared" si="19"/>
        <v>0</v>
      </c>
      <c r="H135" t="b">
        <f t="shared" si="20"/>
        <v>0</v>
      </c>
      <c r="I135" t="b">
        <f t="shared" si="21"/>
        <v>0</v>
      </c>
      <c r="J135" t="str">
        <f t="shared" si="22"/>
        <v/>
      </c>
      <c r="K135" t="str">
        <f t="shared" si="23"/>
        <v/>
      </c>
      <c r="L135" t="str">
        <f t="shared" si="24"/>
        <v>,</v>
      </c>
      <c r="M135" t="str">
        <f t="shared" si="25"/>
        <v/>
      </c>
      <c r="N135" t="str">
        <f t="shared" si="26"/>
        <v/>
      </c>
      <c r="O135" t="str">
        <f t="shared" si="27"/>
        <v/>
      </c>
      <c r="P135" t="str">
        <f t="shared" si="28"/>
        <v/>
      </c>
      <c r="Q135" t="str">
        <f t="shared" si="29"/>
        <v/>
      </c>
      <c r="R135" s="20" t="str">
        <f t="shared" si="30"/>
        <v>NC</v>
      </c>
      <c r="S135" s="20" t="str">
        <f>IF(Data!E133="GpsRecord",Data!G133,"")</f>
        <v/>
      </c>
      <c r="T135" s="20" t="str">
        <f>IF(Data!E133="GpsRecord",Data!H133,"")</f>
        <v/>
      </c>
      <c r="U135" s="20">
        <f t="shared" si="31"/>
        <v>-39.421039999999998</v>
      </c>
      <c r="V135" s="20">
        <f t="shared" si="32"/>
        <v>33.736870000000003</v>
      </c>
      <c r="W135" s="19" t="str">
        <f>Data!I133</f>
        <v>Trip stopped duration accumulator</v>
      </c>
      <c r="X135" s="17" t="str">
        <f>CONCATENATE(Data!J133, " ", Data!K133)</f>
        <v>0.0019444444446 h</v>
      </c>
    </row>
    <row r="136" spans="1:24" x14ac:dyDescent="0.3">
      <c r="A136" s="17" t="str">
        <f>Data!A134</f>
        <v>vehicle1</v>
      </c>
      <c r="B136" s="17" t="str">
        <f>Data!B134</f>
        <v>Vehicle, Gasoline or Petrol</v>
      </c>
      <c r="C136" s="17" t="str">
        <f>Data!C134</f>
        <v>1f2g3h4j5k6l</v>
      </c>
      <c r="D136" s="52">
        <f>Data!D134</f>
        <v>45066.132303240738</v>
      </c>
      <c r="E136" s="60" t="str">
        <f>IF(Data!E134="GpsRecord",Data!F134,"")</f>
        <v/>
      </c>
      <c r="F136" s="68" t="str">
        <f t="shared" si="18"/>
        <v>Whispering Pines, 401 Loblolly Cir, Clayton, NC 27520, USA</v>
      </c>
      <c r="G136" t="b">
        <f t="shared" si="19"/>
        <v>0</v>
      </c>
      <c r="H136" t="b">
        <f t="shared" si="20"/>
        <v>0</v>
      </c>
      <c r="I136" t="b">
        <f t="shared" si="21"/>
        <v>0</v>
      </c>
      <c r="J136" t="str">
        <f t="shared" si="22"/>
        <v/>
      </c>
      <c r="K136" t="str">
        <f t="shared" si="23"/>
        <v/>
      </c>
      <c r="L136" t="str">
        <f t="shared" si="24"/>
        <v>,</v>
      </c>
      <c r="M136" t="str">
        <f t="shared" si="25"/>
        <v/>
      </c>
      <c r="N136" t="str">
        <f t="shared" si="26"/>
        <v/>
      </c>
      <c r="O136" t="str">
        <f t="shared" si="27"/>
        <v/>
      </c>
      <c r="P136" t="str">
        <f t="shared" si="28"/>
        <v/>
      </c>
      <c r="Q136" t="str">
        <f t="shared" si="29"/>
        <v/>
      </c>
      <c r="R136" s="20" t="str">
        <f t="shared" si="30"/>
        <v>NC</v>
      </c>
      <c r="S136" s="20" t="str">
        <f>IF(Data!E134="GpsRecord",Data!G134,"")</f>
        <v/>
      </c>
      <c r="T136" s="20" t="str">
        <f>IF(Data!E134="GpsRecord",Data!H134,"")</f>
        <v/>
      </c>
      <c r="U136" s="20">
        <f t="shared" si="31"/>
        <v>-39.421039999999998</v>
      </c>
      <c r="V136" s="20">
        <f t="shared" si="32"/>
        <v>33.736870000000003</v>
      </c>
      <c r="W136" s="19" t="str">
        <f>Data!I134</f>
        <v>Fuel level while stopped (percent) tank 1</v>
      </c>
      <c r="X136" s="17" t="str">
        <f>CONCATENATE(Data!J134, " ", Data!K134)</f>
        <v>59.9913 %</v>
      </c>
    </row>
    <row r="137" spans="1:24" x14ac:dyDescent="0.3">
      <c r="A137" s="17" t="str">
        <f>Data!A135</f>
        <v>vehicle1</v>
      </c>
      <c r="B137" s="17" t="str">
        <f>Data!B135</f>
        <v>Vehicle, Gasoline or Petrol</v>
      </c>
      <c r="C137" s="17" t="str">
        <f>Data!C135</f>
        <v>1f2g3h4j5k6l</v>
      </c>
      <c r="D137" s="52">
        <f>Data!D135</f>
        <v>45066.132303240738</v>
      </c>
      <c r="E137" s="60" t="str">
        <f>IF(Data!E135="GpsRecord",Data!F135,"")</f>
        <v/>
      </c>
      <c r="F137" s="68" t="str">
        <f t="shared" si="18"/>
        <v>Whispering Pines, 401 Loblolly Cir, Clayton, NC 27520, USA</v>
      </c>
      <c r="G137" t="b">
        <f t="shared" si="19"/>
        <v>0</v>
      </c>
      <c r="H137" t="b">
        <f t="shared" si="20"/>
        <v>0</v>
      </c>
      <c r="I137" t="b">
        <f t="shared" si="21"/>
        <v>0</v>
      </c>
      <c r="J137" t="str">
        <f t="shared" si="22"/>
        <v/>
      </c>
      <c r="K137" t="str">
        <f t="shared" si="23"/>
        <v/>
      </c>
      <c r="L137" t="str">
        <f t="shared" si="24"/>
        <v>,</v>
      </c>
      <c r="M137" t="str">
        <f t="shared" si="25"/>
        <v/>
      </c>
      <c r="N137" t="str">
        <f t="shared" si="26"/>
        <v/>
      </c>
      <c r="O137" t="str">
        <f t="shared" si="27"/>
        <v/>
      </c>
      <c r="P137" t="str">
        <f t="shared" si="28"/>
        <v/>
      </c>
      <c r="Q137" t="str">
        <f t="shared" si="29"/>
        <v/>
      </c>
      <c r="R137" s="20" t="str">
        <f t="shared" si="30"/>
        <v>NC</v>
      </c>
      <c r="S137" s="20" t="str">
        <f>IF(Data!E135="GpsRecord",Data!G135,"")</f>
        <v/>
      </c>
      <c r="T137" s="20" t="str">
        <f>IF(Data!E135="GpsRecord",Data!H135,"")</f>
        <v/>
      </c>
      <c r="U137" s="20">
        <f t="shared" si="31"/>
        <v>-39.421039999999998</v>
      </c>
      <c r="V137" s="20">
        <f t="shared" si="32"/>
        <v>33.736870000000003</v>
      </c>
      <c r="W137" s="19" t="str">
        <f>Data!I135</f>
        <v>Gear position (negative #s = reverse gears / positive #s = forward gears / 0 = neutral / 126 = park / 127 = drive / 129 = intermediate)</v>
      </c>
      <c r="X137" s="17" t="str">
        <f>CONCATENATE(Data!J135, " ", Data!K135)</f>
        <v>0 None</v>
      </c>
    </row>
    <row r="138" spans="1:24" x14ac:dyDescent="0.3">
      <c r="A138" s="17" t="str">
        <f>Data!A136</f>
        <v>vehicle1</v>
      </c>
      <c r="B138" s="17" t="str">
        <f>Data!B136</f>
        <v>Vehicle, Gasoline or Petrol</v>
      </c>
      <c r="C138" s="17" t="str">
        <f>Data!C136</f>
        <v>1f2g3h4j5k6l</v>
      </c>
      <c r="D138" s="52">
        <f>Data!D136</f>
        <v>45066.132303240738</v>
      </c>
      <c r="E138" s="60" t="str">
        <f>IF(Data!E136="GpsRecord",Data!F136,"")</f>
        <v/>
      </c>
      <c r="F138" s="68" t="str">
        <f t="shared" si="18"/>
        <v>Whispering Pines, 401 Loblolly Cir, Clayton, NC 27520, USA</v>
      </c>
      <c r="G138" t="b">
        <f t="shared" si="19"/>
        <v>0</v>
      </c>
      <c r="H138" t="b">
        <f t="shared" si="20"/>
        <v>0</v>
      </c>
      <c r="I138" t="b">
        <f t="shared" si="21"/>
        <v>0</v>
      </c>
      <c r="J138" t="str">
        <f t="shared" si="22"/>
        <v/>
      </c>
      <c r="K138" t="str">
        <f t="shared" si="23"/>
        <v/>
      </c>
      <c r="L138" t="str">
        <f t="shared" si="24"/>
        <v>,</v>
      </c>
      <c r="M138" t="str">
        <f t="shared" si="25"/>
        <v/>
      </c>
      <c r="N138" t="str">
        <f t="shared" si="26"/>
        <v/>
      </c>
      <c r="O138" t="str">
        <f t="shared" si="27"/>
        <v/>
      </c>
      <c r="P138" t="str">
        <f t="shared" si="28"/>
        <v/>
      </c>
      <c r="Q138" t="str">
        <f t="shared" si="29"/>
        <v/>
      </c>
      <c r="R138" s="20" t="str">
        <f t="shared" si="30"/>
        <v>NC</v>
      </c>
      <c r="S138" s="20" t="str">
        <f>IF(Data!E136="GpsRecord",Data!G136,"")</f>
        <v/>
      </c>
      <c r="T138" s="20" t="str">
        <f>IF(Data!E136="GpsRecord",Data!H136,"")</f>
        <v/>
      </c>
      <c r="U138" s="20">
        <f t="shared" si="31"/>
        <v>-39.421039999999998</v>
      </c>
      <c r="V138" s="20">
        <f t="shared" si="32"/>
        <v>33.736870000000003</v>
      </c>
      <c r="W138" s="19">
        <f>Data!I136</f>
        <v>0</v>
      </c>
      <c r="X138" s="17" t="str">
        <f>CONCATENATE(Data!J136, " ", Data!K136)</f>
        <v xml:space="preserve"> </v>
      </c>
    </row>
    <row r="139" spans="1:24" x14ac:dyDescent="0.3">
      <c r="A139" s="17" t="str">
        <f>Data!A137</f>
        <v>vehicle1</v>
      </c>
      <c r="B139" s="17" t="str">
        <f>Data!B137</f>
        <v>Vehicle, Gasoline or Petrol</v>
      </c>
      <c r="C139" s="17" t="str">
        <f>Data!C137</f>
        <v>1f2g3h4j5k6l</v>
      </c>
      <c r="D139" s="52">
        <f>Data!D137</f>
        <v>45066.132314814815</v>
      </c>
      <c r="E139" s="60" t="str">
        <f>IF(Data!E137="GpsRecord",Data!F137,"")</f>
        <v/>
      </c>
      <c r="F139" s="68" t="str">
        <f t="shared" si="18"/>
        <v>Whispering Pines, 401 Loblolly Cir, Clayton, NC 27520, USA</v>
      </c>
      <c r="G139" t="b">
        <f t="shared" si="19"/>
        <v>0</v>
      </c>
      <c r="H139" t="b">
        <f t="shared" si="20"/>
        <v>0</v>
      </c>
      <c r="I139" t="b">
        <f t="shared" si="21"/>
        <v>0</v>
      </c>
      <c r="J139" t="str">
        <f t="shared" si="22"/>
        <v/>
      </c>
      <c r="K139" t="str">
        <f t="shared" si="23"/>
        <v/>
      </c>
      <c r="L139" t="str">
        <f t="shared" si="24"/>
        <v>,</v>
      </c>
      <c r="M139" t="str">
        <f t="shared" si="25"/>
        <v/>
      </c>
      <c r="N139" t="str">
        <f t="shared" si="26"/>
        <v/>
      </c>
      <c r="O139" t="str">
        <f t="shared" si="27"/>
        <v/>
      </c>
      <c r="P139" t="str">
        <f t="shared" si="28"/>
        <v/>
      </c>
      <c r="Q139" t="str">
        <f t="shared" si="29"/>
        <v/>
      </c>
      <c r="R139" s="20" t="str">
        <f t="shared" si="30"/>
        <v>NC</v>
      </c>
      <c r="S139" s="20" t="str">
        <f>IF(Data!E137="GpsRecord",Data!G137,"")</f>
        <v/>
      </c>
      <c r="T139" s="20" t="str">
        <f>IF(Data!E137="GpsRecord",Data!H137,"")</f>
        <v/>
      </c>
      <c r="U139" s="20">
        <f t="shared" si="31"/>
        <v>-39.421039999999998</v>
      </c>
      <c r="V139" s="20">
        <f t="shared" si="32"/>
        <v>33.736870000000003</v>
      </c>
      <c r="W139" s="19" t="str">
        <f>Data!I137</f>
        <v>Fuel level while stopped (percent) tank 1</v>
      </c>
      <c r="X139" s="17" t="str">
        <f>CONCATENATE(Data!J137, " ", Data!K137)</f>
        <v>58.0308 %</v>
      </c>
    </row>
    <row r="140" spans="1:24" x14ac:dyDescent="0.3">
      <c r="A140" s="17" t="str">
        <f>Data!A138</f>
        <v>vehicle1</v>
      </c>
      <c r="B140" s="17" t="str">
        <f>Data!B138</f>
        <v>Vehicle, Gasoline or Petrol</v>
      </c>
      <c r="C140" s="17" t="str">
        <f>Data!C138</f>
        <v>1f2g3h4j5k6l</v>
      </c>
      <c r="D140" s="52">
        <f>Data!D138</f>
        <v>45066.132314814815</v>
      </c>
      <c r="E140" s="60" t="str">
        <f>IF(Data!E138="GpsRecord",Data!F138,"")</f>
        <v/>
      </c>
      <c r="F140" s="68" t="str">
        <f t="shared" si="18"/>
        <v>Whispering Pines, 401 Loblolly Cir, Clayton, NC 27520, USA</v>
      </c>
      <c r="G140" t="b">
        <f t="shared" si="19"/>
        <v>0</v>
      </c>
      <c r="H140" t="b">
        <f t="shared" si="20"/>
        <v>0</v>
      </c>
      <c r="I140" t="b">
        <f t="shared" si="21"/>
        <v>0</v>
      </c>
      <c r="J140" t="str">
        <f t="shared" si="22"/>
        <v/>
      </c>
      <c r="K140" t="str">
        <f t="shared" si="23"/>
        <v/>
      </c>
      <c r="L140" t="str">
        <f t="shared" si="24"/>
        <v>,</v>
      </c>
      <c r="M140" t="str">
        <f t="shared" si="25"/>
        <v/>
      </c>
      <c r="N140" t="str">
        <f t="shared" si="26"/>
        <v/>
      </c>
      <c r="O140" t="str">
        <f t="shared" si="27"/>
        <v/>
      </c>
      <c r="P140" t="str">
        <f t="shared" si="28"/>
        <v/>
      </c>
      <c r="Q140" t="str">
        <f t="shared" si="29"/>
        <v/>
      </c>
      <c r="R140" s="20" t="str">
        <f t="shared" si="30"/>
        <v>NC</v>
      </c>
      <c r="S140" s="20" t="str">
        <f>IF(Data!E138="GpsRecord",Data!G138,"")</f>
        <v/>
      </c>
      <c r="T140" s="20" t="str">
        <f>IF(Data!E138="GpsRecord",Data!H138,"")</f>
        <v/>
      </c>
      <c r="U140" s="20">
        <f t="shared" si="31"/>
        <v>-39.421039999999998</v>
      </c>
      <c r="V140" s="20">
        <f t="shared" si="32"/>
        <v>33.736870000000003</v>
      </c>
      <c r="W140" s="19" t="str">
        <f>Data!I138</f>
        <v>Driver seat belt (1 = unbuckled)</v>
      </c>
      <c r="X140" s="17" t="str">
        <f>CONCATENATE(Data!J138, " ", Data!K138)</f>
        <v>1 None</v>
      </c>
    </row>
    <row r="141" spans="1:24" x14ac:dyDescent="0.3">
      <c r="A141" s="17" t="str">
        <f>Data!A139</f>
        <v>vehicle1</v>
      </c>
      <c r="B141" s="17" t="str">
        <f>Data!B139</f>
        <v>Vehicle, Gasoline or Petrol</v>
      </c>
      <c r="C141" s="17" t="str">
        <f>Data!C139</f>
        <v>1f2g3h4j5k6l</v>
      </c>
      <c r="D141" s="52">
        <f>Data!D139</f>
        <v>45066.132314814815</v>
      </c>
      <c r="E141" s="60" t="str">
        <f>IF(Data!E139="GpsRecord",Data!F139,"")</f>
        <v/>
      </c>
      <c r="F141" s="68" t="str">
        <f t="shared" ref="F141:F204" si="33">IF(E141&lt;&gt;"",E141, IF(F140&lt;&gt;$F$12, F140, ""))</f>
        <v>Whispering Pines, 401 Loblolly Cir, Clayton, NC 27520, USA</v>
      </c>
      <c r="G141" t="b">
        <f t="shared" si="19"/>
        <v>0</v>
      </c>
      <c r="H141" t="b">
        <f t="shared" si="20"/>
        <v>0</v>
      </c>
      <c r="I141" t="b">
        <f t="shared" si="21"/>
        <v>0</v>
      </c>
      <c r="J141" t="str">
        <f t="shared" si="22"/>
        <v/>
      </c>
      <c r="K141" t="str">
        <f t="shared" si="23"/>
        <v/>
      </c>
      <c r="L141" t="str">
        <f t="shared" si="24"/>
        <v>,</v>
      </c>
      <c r="M141" t="str">
        <f t="shared" si="25"/>
        <v/>
      </c>
      <c r="N141" t="str">
        <f t="shared" si="26"/>
        <v/>
      </c>
      <c r="O141" t="str">
        <f t="shared" si="27"/>
        <v/>
      </c>
      <c r="P141" t="str">
        <f t="shared" si="28"/>
        <v/>
      </c>
      <c r="Q141" t="str">
        <f t="shared" si="29"/>
        <v/>
      </c>
      <c r="R141" s="20" t="str">
        <f t="shared" si="30"/>
        <v>NC</v>
      </c>
      <c r="S141" s="20" t="str">
        <f>IF(Data!E139="GpsRecord",Data!G139,"")</f>
        <v/>
      </c>
      <c r="T141" s="20" t="str">
        <f>IF(Data!E139="GpsRecord",Data!H139,"")</f>
        <v/>
      </c>
      <c r="U141" s="20">
        <f t="shared" si="31"/>
        <v>-39.421039999999998</v>
      </c>
      <c r="V141" s="20">
        <f t="shared" si="32"/>
        <v>33.736870000000003</v>
      </c>
      <c r="W141" s="19" t="str">
        <f>Data!I139</f>
        <v>Passenger occupancy (1 = occupied)</v>
      </c>
      <c r="X141" s="17" t="str">
        <f>CONCATENATE(Data!J139, " ", Data!K139)</f>
        <v>-1 None</v>
      </c>
    </row>
    <row r="142" spans="1:24" x14ac:dyDescent="0.3">
      <c r="A142" s="17" t="str">
        <f>Data!A140</f>
        <v>vehicle1</v>
      </c>
      <c r="B142" s="17" t="str">
        <f>Data!B140</f>
        <v>Vehicle, Gasoline or Petrol</v>
      </c>
      <c r="C142" s="17" t="str">
        <f>Data!C140</f>
        <v>1f2g3h4j5k6l</v>
      </c>
      <c r="D142" s="52">
        <f>Data!D140</f>
        <v>45066.132314814815</v>
      </c>
      <c r="E142" s="60" t="str">
        <f>IF(Data!E140="GpsRecord",Data!F140,"")</f>
        <v/>
      </c>
      <c r="F142" s="68" t="str">
        <f t="shared" si="33"/>
        <v>Whispering Pines, 401 Loblolly Cir, Clayton, NC 27520, USA</v>
      </c>
      <c r="G142" t="b">
        <f t="shared" ref="G142:G205" si="34">ISNUMBER(FIND($G$11,E142))</f>
        <v>0</v>
      </c>
      <c r="H142" t="b">
        <f t="shared" ref="H142:H205" si="35">ISNUMBER(FIND($H$11,E142))</f>
        <v>0</v>
      </c>
      <c r="I142" t="b">
        <f t="shared" ref="I142:I205" si="36">OR(G142,H142)</f>
        <v>0</v>
      </c>
      <c r="J142" t="str">
        <f t="shared" ref="J142:J205" si="37">IFERROR(MID(E142,FIND(": ",E142)+2,255),E142)</f>
        <v/>
      </c>
      <c r="K142" t="str">
        <f t="shared" ref="K142:K205" si="38">IFERROR(RIGHT(J142,LEN(J142)-FIND("@",SUBSTITUTE(J142,",","@",LEN(J142)-LEN(SUBSTITUTE(J142,",",""))),1)),J142)</f>
        <v/>
      </c>
      <c r="L142" t="str">
        <f t="shared" ref="L142:L205" si="39">","&amp;K142</f>
        <v>,</v>
      </c>
      <c r="M142" t="str">
        <f t="shared" ref="M142:M205" si="40">IF(I142,SUBSTITUTE(J142,L142,""),J142)</f>
        <v/>
      </c>
      <c r="N142" t="str">
        <f t="shared" ref="N142:N205" si="41">IFERROR(RIGHT(M142,LEN(M142)-FIND("@",SUBSTITUTE(M142,",","@",LEN(M142)-LEN(SUBSTITUTE(M142,",",""))),1)),M142)</f>
        <v/>
      </c>
      <c r="O142" t="str">
        <f t="shared" ref="O142:O205" si="42">IFERROR(RIGHT(N142,LEN(N142)-FIND("@",SUBSTITUTE(N142," ","@",LEN(N142)-LEN(SUBSTITUTE(N142," ",""))),1)),N142)</f>
        <v/>
      </c>
      <c r="P142" t="str">
        <f t="shared" ref="P142:P205" si="43">SUBSTITUTE(N142,CONCATENATE(" ",O142),"")</f>
        <v/>
      </c>
      <c r="Q142" t="str">
        <f t="shared" ref="Q142:Q205" si="44">IF(G142, MID(P142,2,2),RIGHT(P142,2))</f>
        <v/>
      </c>
      <c r="R142" s="20" t="str">
        <f t="shared" ref="R142:R205" si="45">IF(Q142&lt;&gt;"",Q142, IF(R141&lt;&gt;$R$12, R141, ""))</f>
        <v>NC</v>
      </c>
      <c r="S142" s="20" t="str">
        <f>IF(Data!E140="GpsRecord",Data!G140,"")</f>
        <v/>
      </c>
      <c r="T142" s="20" t="str">
        <f>IF(Data!E140="GpsRecord",Data!H140,"")</f>
        <v/>
      </c>
      <c r="U142" s="20">
        <f t="shared" ref="U142:U205" si="46">IF(S142&lt;&gt;"", S142, IF(U141&lt;&gt;$U$12, U141, ""))</f>
        <v>-39.421039999999998</v>
      </c>
      <c r="V142" s="20">
        <f t="shared" ref="V142:V205" si="47">IF(T142&lt;&gt;"", T142, IF(V141&lt;&gt;$V$12, V141, ""))</f>
        <v>33.736870000000003</v>
      </c>
      <c r="W142" s="19">
        <f>Data!I140</f>
        <v>0</v>
      </c>
      <c r="X142" s="17" t="str">
        <f>CONCATENATE(Data!J140, " ", Data!K140)</f>
        <v xml:space="preserve"> </v>
      </c>
    </row>
    <row r="143" spans="1:24" x14ac:dyDescent="0.3">
      <c r="A143" s="17" t="str">
        <f>Data!A141</f>
        <v>vehicle1</v>
      </c>
      <c r="B143" s="17" t="str">
        <f>Data!B141</f>
        <v>Vehicle, Gasoline or Petrol</v>
      </c>
      <c r="C143" s="17" t="str">
        <f>Data!C141</f>
        <v>1f2g3h4j5k6l</v>
      </c>
      <c r="D143" s="52">
        <f>Data!D141</f>
        <v>45066.132326388892</v>
      </c>
      <c r="E143" s="60" t="str">
        <f>IF(Data!E141="GpsRecord",Data!F141,"")</f>
        <v>Clarksburg, WV, HARRISON_20268, Clarksburg, WV: 500 Baltimore Ave, Clarksburg, WV 26301, USA</v>
      </c>
      <c r="F143" s="68" t="str">
        <f t="shared" si="33"/>
        <v>Clarksburg, WV, HARRISON_20268, Clarksburg, WV: 500 Baltimore Ave, Clarksburg, WV 26301, USA</v>
      </c>
      <c r="G143" t="b">
        <f t="shared" si="34"/>
        <v>0</v>
      </c>
      <c r="H143" t="b">
        <f t="shared" si="35"/>
        <v>1</v>
      </c>
      <c r="I143" t="b">
        <f t="shared" si="36"/>
        <v>1</v>
      </c>
      <c r="J143" t="str">
        <f t="shared" si="37"/>
        <v>500 Baltimore Ave, Clarksburg, WV 26301, USA</v>
      </c>
      <c r="K143" t="str">
        <f t="shared" si="38"/>
        <v xml:space="preserve"> USA</v>
      </c>
      <c r="L143" t="str">
        <f t="shared" si="39"/>
        <v>, USA</v>
      </c>
      <c r="M143" t="str">
        <f t="shared" si="40"/>
        <v>500 Baltimore Ave, Clarksburg, WV 26301</v>
      </c>
      <c r="N143" t="str">
        <f t="shared" si="41"/>
        <v xml:space="preserve"> WV 26301</v>
      </c>
      <c r="O143" t="str">
        <f t="shared" si="42"/>
        <v>26301</v>
      </c>
      <c r="P143" t="str">
        <f t="shared" si="43"/>
        <v xml:space="preserve"> WV</v>
      </c>
      <c r="Q143" t="str">
        <f t="shared" si="44"/>
        <v>WV</v>
      </c>
      <c r="R143" s="20" t="str">
        <f t="shared" si="45"/>
        <v>WV</v>
      </c>
      <c r="S143" s="20">
        <f>IF(Data!E141="GpsRecord",Data!G141,"")</f>
        <v>-39.421039999999998</v>
      </c>
      <c r="T143" s="20">
        <f>IF(Data!E141="GpsRecord",Data!H141,"")</f>
        <v>33.736870000000003</v>
      </c>
      <c r="U143" s="20">
        <f t="shared" si="46"/>
        <v>-39.421039999999998</v>
      </c>
      <c r="V143" s="20">
        <f t="shared" si="47"/>
        <v>33.736870000000003</v>
      </c>
      <c r="W143" s="19">
        <f>Data!I141</f>
        <v>0</v>
      </c>
      <c r="X143" s="17" t="str">
        <f>CONCATENATE(Data!J141, " ", Data!K141)</f>
        <v xml:space="preserve"> </v>
      </c>
    </row>
    <row r="144" spans="1:24" x14ac:dyDescent="0.3">
      <c r="A144" s="17" t="str">
        <f>Data!A142</f>
        <v>vehicle1</v>
      </c>
      <c r="B144" s="17" t="str">
        <f>Data!B142</f>
        <v>Vehicle, Gasoline or Petrol</v>
      </c>
      <c r="C144" s="17" t="str">
        <f>Data!C142</f>
        <v>1f2g3h4j5k6l</v>
      </c>
      <c r="D144" s="52">
        <f>Data!D142</f>
        <v>45066.132326388892</v>
      </c>
      <c r="E144" s="60" t="str">
        <f>IF(Data!E142="GpsRecord",Data!F142,"")</f>
        <v/>
      </c>
      <c r="F144" s="68" t="str">
        <f t="shared" si="33"/>
        <v>Clarksburg, WV, HARRISON_20268, Clarksburg, WV: 500 Baltimore Ave, Clarksburg, WV 26301, USA</v>
      </c>
      <c r="G144" t="b">
        <f t="shared" si="34"/>
        <v>0</v>
      </c>
      <c r="H144" t="b">
        <f t="shared" si="35"/>
        <v>0</v>
      </c>
      <c r="I144" t="b">
        <f t="shared" si="36"/>
        <v>0</v>
      </c>
      <c r="J144" t="str">
        <f t="shared" si="37"/>
        <v/>
      </c>
      <c r="K144" t="str">
        <f t="shared" si="38"/>
        <v/>
      </c>
      <c r="L144" t="str">
        <f t="shared" si="39"/>
        <v>,</v>
      </c>
      <c r="M144" t="str">
        <f t="shared" si="40"/>
        <v/>
      </c>
      <c r="N144" t="str">
        <f t="shared" si="41"/>
        <v/>
      </c>
      <c r="O144" t="str">
        <f t="shared" si="42"/>
        <v/>
      </c>
      <c r="P144" t="str">
        <f t="shared" si="43"/>
        <v/>
      </c>
      <c r="Q144" t="str">
        <f t="shared" si="44"/>
        <v/>
      </c>
      <c r="R144" s="20" t="str">
        <f t="shared" si="45"/>
        <v>WV</v>
      </c>
      <c r="S144" s="20" t="str">
        <f>IF(Data!E142="GpsRecord",Data!G142,"")</f>
        <v/>
      </c>
      <c r="T144" s="20" t="str">
        <f>IF(Data!E142="GpsRecord",Data!H142,"")</f>
        <v/>
      </c>
      <c r="U144" s="20">
        <f t="shared" si="46"/>
        <v>-39.421039999999998</v>
      </c>
      <c r="V144" s="20">
        <f t="shared" si="47"/>
        <v>33.736870000000003</v>
      </c>
      <c r="W144" s="19" t="str">
        <f>Data!I142</f>
        <v>Engine road speed</v>
      </c>
      <c r="X144" s="17" t="str">
        <f>CONCATENATE(Data!J142, " ", Data!K142)</f>
        <v>1 km/h</v>
      </c>
    </row>
    <row r="145" spans="1:24" x14ac:dyDescent="0.3">
      <c r="A145" s="17" t="str">
        <f>Data!A143</f>
        <v>vehicle1</v>
      </c>
      <c r="B145" s="17" t="str">
        <f>Data!B143</f>
        <v>Vehicle, Gasoline or Petrol</v>
      </c>
      <c r="C145" s="17" t="str">
        <f>Data!C143</f>
        <v>1f2g3h4j5k6l</v>
      </c>
      <c r="D145" s="52">
        <f>Data!D143</f>
        <v>45066.132326388892</v>
      </c>
      <c r="E145" s="60" t="str">
        <f>IF(Data!E143="GpsRecord",Data!F143,"")</f>
        <v/>
      </c>
      <c r="F145" s="68" t="str">
        <f t="shared" si="33"/>
        <v>Clarksburg, WV, HARRISON_20268, Clarksburg, WV: 500 Baltimore Ave, Clarksburg, WV 26301, USA</v>
      </c>
      <c r="G145" t="b">
        <f t="shared" si="34"/>
        <v>0</v>
      </c>
      <c r="H145" t="b">
        <f t="shared" si="35"/>
        <v>0</v>
      </c>
      <c r="I145" t="b">
        <f t="shared" si="36"/>
        <v>0</v>
      </c>
      <c r="J145" t="str">
        <f t="shared" si="37"/>
        <v/>
      </c>
      <c r="K145" t="str">
        <f t="shared" si="38"/>
        <v/>
      </c>
      <c r="L145" t="str">
        <f t="shared" si="39"/>
        <v>,</v>
      </c>
      <c r="M145" t="str">
        <f t="shared" si="40"/>
        <v/>
      </c>
      <c r="N145" t="str">
        <f t="shared" si="41"/>
        <v/>
      </c>
      <c r="O145" t="str">
        <f t="shared" si="42"/>
        <v/>
      </c>
      <c r="P145" t="str">
        <f t="shared" si="43"/>
        <v/>
      </c>
      <c r="Q145" t="str">
        <f t="shared" si="44"/>
        <v/>
      </c>
      <c r="R145" s="20" t="str">
        <f t="shared" si="45"/>
        <v>WV</v>
      </c>
      <c r="S145" s="20" t="str">
        <f>IF(Data!E143="GpsRecord",Data!G143,"")</f>
        <v/>
      </c>
      <c r="T145" s="20" t="str">
        <f>IF(Data!E143="GpsRecord",Data!H143,"")</f>
        <v/>
      </c>
      <c r="U145" s="20">
        <f t="shared" si="46"/>
        <v>-39.421039999999998</v>
      </c>
      <c r="V145" s="20">
        <f t="shared" si="47"/>
        <v>33.736870000000003</v>
      </c>
      <c r="W145" s="19">
        <f>Data!I143</f>
        <v>0</v>
      </c>
      <c r="X145" s="17" t="str">
        <f>CONCATENATE(Data!J143, " ", Data!K143)</f>
        <v xml:space="preserve"> </v>
      </c>
    </row>
    <row r="146" spans="1:24" x14ac:dyDescent="0.3">
      <c r="A146" s="17" t="str">
        <f>Data!A144</f>
        <v>vehicle1</v>
      </c>
      <c r="B146" s="17" t="str">
        <f>Data!B144</f>
        <v>Vehicle, Gasoline or Petrol</v>
      </c>
      <c r="C146" s="17" t="str">
        <f>Data!C144</f>
        <v>1f2g3h4j5k6l</v>
      </c>
      <c r="D146" s="52">
        <f>Data!D144</f>
        <v>45066.132326388892</v>
      </c>
      <c r="E146" s="60" t="str">
        <f>IF(Data!E144="GpsRecord",Data!F144,"")</f>
        <v/>
      </c>
      <c r="F146" s="68" t="str">
        <f t="shared" si="33"/>
        <v>Clarksburg, WV, HARRISON_20268, Clarksburg, WV: 500 Baltimore Ave, Clarksburg, WV 26301, USA</v>
      </c>
      <c r="G146" t="b">
        <f t="shared" si="34"/>
        <v>0</v>
      </c>
      <c r="H146" t="b">
        <f t="shared" si="35"/>
        <v>0</v>
      </c>
      <c r="I146" t="b">
        <f t="shared" si="36"/>
        <v>0</v>
      </c>
      <c r="J146" t="str">
        <f t="shared" si="37"/>
        <v/>
      </c>
      <c r="K146" t="str">
        <f t="shared" si="38"/>
        <v/>
      </c>
      <c r="L146" t="str">
        <f t="shared" si="39"/>
        <v>,</v>
      </c>
      <c r="M146" t="str">
        <f t="shared" si="40"/>
        <v/>
      </c>
      <c r="N146" t="str">
        <f t="shared" si="41"/>
        <v/>
      </c>
      <c r="O146" t="str">
        <f t="shared" si="42"/>
        <v/>
      </c>
      <c r="P146" t="str">
        <f t="shared" si="43"/>
        <v/>
      </c>
      <c r="Q146" t="str">
        <f t="shared" si="44"/>
        <v/>
      </c>
      <c r="R146" s="20" t="str">
        <f t="shared" si="45"/>
        <v>WV</v>
      </c>
      <c r="S146" s="20" t="str">
        <f>IF(Data!E144="GpsRecord",Data!G144,"")</f>
        <v/>
      </c>
      <c r="T146" s="20" t="str">
        <f>IF(Data!E144="GpsRecord",Data!H144,"")</f>
        <v/>
      </c>
      <c r="U146" s="20">
        <f t="shared" si="46"/>
        <v>-39.421039999999998</v>
      </c>
      <c r="V146" s="20">
        <f t="shared" si="47"/>
        <v>33.736870000000003</v>
      </c>
      <c r="W146" s="19">
        <f>Data!I144</f>
        <v>0</v>
      </c>
      <c r="X146" s="17" t="str">
        <f>CONCATENATE(Data!J144, " ", Data!K144)</f>
        <v xml:space="preserve"> </v>
      </c>
    </row>
    <row r="147" spans="1:24" x14ac:dyDescent="0.3">
      <c r="A147" s="17" t="str">
        <f>Data!A145</f>
        <v>vehicle1</v>
      </c>
      <c r="B147" s="17" t="str">
        <f>Data!B145</f>
        <v>Vehicle, Gasoline or Petrol</v>
      </c>
      <c r="C147" s="17" t="str">
        <f>Data!C145</f>
        <v>1f2g3h4j5k6l</v>
      </c>
      <c r="D147" s="52">
        <f>Data!D145</f>
        <v>45066.132326388892</v>
      </c>
      <c r="E147" s="60" t="str">
        <f>IF(Data!E145="GpsRecord",Data!F145,"")</f>
        <v/>
      </c>
      <c r="F147" s="68" t="str">
        <f t="shared" si="33"/>
        <v>Clarksburg, WV, HARRISON_20268, Clarksburg, WV: 500 Baltimore Ave, Clarksburg, WV 26301, USA</v>
      </c>
      <c r="G147" t="b">
        <f t="shared" si="34"/>
        <v>0</v>
      </c>
      <c r="H147" t="b">
        <f t="shared" si="35"/>
        <v>0</v>
      </c>
      <c r="I147" t="b">
        <f t="shared" si="36"/>
        <v>0</v>
      </c>
      <c r="J147" t="str">
        <f t="shared" si="37"/>
        <v/>
      </c>
      <c r="K147" t="str">
        <f t="shared" si="38"/>
        <v/>
      </c>
      <c r="L147" t="str">
        <f t="shared" si="39"/>
        <v>,</v>
      </c>
      <c r="M147" t="str">
        <f t="shared" si="40"/>
        <v/>
      </c>
      <c r="N147" t="str">
        <f t="shared" si="41"/>
        <v/>
      </c>
      <c r="O147" t="str">
        <f t="shared" si="42"/>
        <v/>
      </c>
      <c r="P147" t="str">
        <f t="shared" si="43"/>
        <v/>
      </c>
      <c r="Q147" t="str">
        <f t="shared" si="44"/>
        <v/>
      </c>
      <c r="R147" s="20" t="str">
        <f t="shared" si="45"/>
        <v>WV</v>
      </c>
      <c r="S147" s="20" t="str">
        <f>IF(Data!E145="GpsRecord",Data!G145,"")</f>
        <v/>
      </c>
      <c r="T147" s="20" t="str">
        <f>IF(Data!E145="GpsRecord",Data!H145,"")</f>
        <v/>
      </c>
      <c r="U147" s="20">
        <f t="shared" si="46"/>
        <v>-39.421039999999998</v>
      </c>
      <c r="V147" s="20">
        <f t="shared" si="47"/>
        <v>33.736870000000003</v>
      </c>
      <c r="W147" s="19" t="str">
        <f>Data!I145</f>
        <v>Stop event duration</v>
      </c>
      <c r="X147" s="17" t="str">
        <f>CONCATENATE(Data!J145, " ", Data!K145)</f>
        <v>0.002777777778 h</v>
      </c>
    </row>
    <row r="148" spans="1:24" x14ac:dyDescent="0.3">
      <c r="A148" s="17" t="str">
        <f>Data!A146</f>
        <v>vehicle1</v>
      </c>
      <c r="B148" s="17" t="str">
        <f>Data!B146</f>
        <v>Vehicle, Gasoline or Petrol</v>
      </c>
      <c r="C148" s="17" t="str">
        <f>Data!C146</f>
        <v>1f2g3h4j5k6l</v>
      </c>
      <c r="D148" s="52">
        <f>Data!D146</f>
        <v>45066.132326388892</v>
      </c>
      <c r="E148" s="60" t="str">
        <f>IF(Data!E146="GpsRecord",Data!F146,"")</f>
        <v/>
      </c>
      <c r="F148" s="68" t="str">
        <f t="shared" si="33"/>
        <v>Clarksburg, WV, HARRISON_20268, Clarksburg, WV: 500 Baltimore Ave, Clarksburg, WV 26301, USA</v>
      </c>
      <c r="G148" t="b">
        <f t="shared" si="34"/>
        <v>0</v>
      </c>
      <c r="H148" t="b">
        <f t="shared" si="35"/>
        <v>0</v>
      </c>
      <c r="I148" t="b">
        <f t="shared" si="36"/>
        <v>0</v>
      </c>
      <c r="J148" t="str">
        <f t="shared" si="37"/>
        <v/>
      </c>
      <c r="K148" t="str">
        <f t="shared" si="38"/>
        <v/>
      </c>
      <c r="L148" t="str">
        <f t="shared" si="39"/>
        <v>,</v>
      </c>
      <c r="M148" t="str">
        <f t="shared" si="40"/>
        <v/>
      </c>
      <c r="N148" t="str">
        <f t="shared" si="41"/>
        <v/>
      </c>
      <c r="O148" t="str">
        <f t="shared" si="42"/>
        <v/>
      </c>
      <c r="P148" t="str">
        <f t="shared" si="43"/>
        <v/>
      </c>
      <c r="Q148" t="str">
        <f t="shared" si="44"/>
        <v/>
      </c>
      <c r="R148" s="20" t="str">
        <f t="shared" si="45"/>
        <v>WV</v>
      </c>
      <c r="S148" s="20" t="str">
        <f>IF(Data!E146="GpsRecord",Data!G146,"")</f>
        <v/>
      </c>
      <c r="T148" s="20" t="str">
        <f>IF(Data!E146="GpsRecord",Data!H146,"")</f>
        <v/>
      </c>
      <c r="U148" s="20">
        <f t="shared" si="46"/>
        <v>-39.421039999999998</v>
      </c>
      <c r="V148" s="20">
        <f t="shared" si="47"/>
        <v>33.736870000000003</v>
      </c>
      <c r="W148" s="19" t="str">
        <f>Data!I146</f>
        <v>Stop event fuel</v>
      </c>
      <c r="X148" s="17" t="str">
        <f>CONCATENATE(Data!J146, " ", Data!K146)</f>
        <v>0.001 L</v>
      </c>
    </row>
    <row r="149" spans="1:24" x14ac:dyDescent="0.3">
      <c r="A149" s="17" t="str">
        <f>Data!A147</f>
        <v>vehicle1</v>
      </c>
      <c r="B149" s="17" t="str">
        <f>Data!B147</f>
        <v>Vehicle, Gasoline or Petrol</v>
      </c>
      <c r="C149" s="17" t="str">
        <f>Data!C147</f>
        <v>1f2g3h4j5k6l</v>
      </c>
      <c r="D149" s="52">
        <f>Data!D147</f>
        <v>45066.132326388892</v>
      </c>
      <c r="E149" s="60" t="str">
        <f>IF(Data!E147="GpsRecord",Data!F147,"")</f>
        <v/>
      </c>
      <c r="F149" s="68" t="str">
        <f t="shared" si="33"/>
        <v>Clarksburg, WV, HARRISON_20268, Clarksburg, WV: 500 Baltimore Ave, Clarksburg, WV 26301, USA</v>
      </c>
      <c r="G149" t="b">
        <f t="shared" si="34"/>
        <v>0</v>
      </c>
      <c r="H149" t="b">
        <f t="shared" si="35"/>
        <v>0</v>
      </c>
      <c r="I149" t="b">
        <f t="shared" si="36"/>
        <v>0</v>
      </c>
      <c r="J149" t="str">
        <f t="shared" si="37"/>
        <v/>
      </c>
      <c r="K149" t="str">
        <f t="shared" si="38"/>
        <v/>
      </c>
      <c r="L149" t="str">
        <f t="shared" si="39"/>
        <v>,</v>
      </c>
      <c r="M149" t="str">
        <f t="shared" si="40"/>
        <v/>
      </c>
      <c r="N149" t="str">
        <f t="shared" si="41"/>
        <v/>
      </c>
      <c r="O149" t="str">
        <f t="shared" si="42"/>
        <v/>
      </c>
      <c r="P149" t="str">
        <f t="shared" si="43"/>
        <v/>
      </c>
      <c r="Q149" t="str">
        <f t="shared" si="44"/>
        <v/>
      </c>
      <c r="R149" s="20" t="str">
        <f t="shared" si="45"/>
        <v>WV</v>
      </c>
      <c r="S149" s="20" t="str">
        <f>IF(Data!E147="GpsRecord",Data!G147,"")</f>
        <v/>
      </c>
      <c r="T149" s="20" t="str">
        <f>IF(Data!E147="GpsRecord",Data!H147,"")</f>
        <v/>
      </c>
      <c r="U149" s="20">
        <f t="shared" si="46"/>
        <v>-39.421039999999998</v>
      </c>
      <c r="V149" s="20">
        <f t="shared" si="47"/>
        <v>33.736870000000003</v>
      </c>
      <c r="W149" s="19">
        <f>Data!I147</f>
        <v>0</v>
      </c>
      <c r="X149" s="17" t="str">
        <f>CONCATENATE(Data!J147, " ", Data!K147)</f>
        <v xml:space="preserve"> </v>
      </c>
    </row>
    <row r="150" spans="1:24" x14ac:dyDescent="0.3">
      <c r="A150" s="17" t="str">
        <f>Data!A148</f>
        <v>vehicle1</v>
      </c>
      <c r="B150" s="17" t="str">
        <f>Data!B148</f>
        <v>Vehicle, Gasoline or Petrol</v>
      </c>
      <c r="C150" s="17" t="str">
        <f>Data!C148</f>
        <v>1f2g3h4j5k6l</v>
      </c>
      <c r="D150" s="52">
        <f>Data!D148</f>
        <v>45066.132326388892</v>
      </c>
      <c r="E150" s="60" t="str">
        <f>IF(Data!E148="GpsRecord",Data!F148,"")</f>
        <v/>
      </c>
      <c r="F150" s="68" t="str">
        <f t="shared" si="33"/>
        <v>Clarksburg, WV, HARRISON_20268, Clarksburg, WV: 500 Baltimore Ave, Clarksburg, WV 26301, USA</v>
      </c>
      <c r="G150" t="b">
        <f t="shared" si="34"/>
        <v>0</v>
      </c>
      <c r="H150" t="b">
        <f t="shared" si="35"/>
        <v>0</v>
      </c>
      <c r="I150" t="b">
        <f t="shared" si="36"/>
        <v>0</v>
      </c>
      <c r="J150" t="str">
        <f t="shared" si="37"/>
        <v/>
      </c>
      <c r="K150" t="str">
        <f t="shared" si="38"/>
        <v/>
      </c>
      <c r="L150" t="str">
        <f t="shared" si="39"/>
        <v>,</v>
      </c>
      <c r="M150" t="str">
        <f t="shared" si="40"/>
        <v/>
      </c>
      <c r="N150" t="str">
        <f t="shared" si="41"/>
        <v/>
      </c>
      <c r="O150" t="str">
        <f t="shared" si="42"/>
        <v/>
      </c>
      <c r="P150" t="str">
        <f t="shared" si="43"/>
        <v/>
      </c>
      <c r="Q150" t="str">
        <f t="shared" si="44"/>
        <v/>
      </c>
      <c r="R150" s="20" t="str">
        <f t="shared" si="45"/>
        <v>WV</v>
      </c>
      <c r="S150" s="20" t="str">
        <f>IF(Data!E148="GpsRecord",Data!G148,"")</f>
        <v/>
      </c>
      <c r="T150" s="20" t="str">
        <f>IF(Data!E148="GpsRecord",Data!H148,"")</f>
        <v/>
      </c>
      <c r="U150" s="20">
        <f t="shared" si="46"/>
        <v>-39.421039999999998</v>
      </c>
      <c r="V150" s="20">
        <f t="shared" si="47"/>
        <v>33.736870000000003</v>
      </c>
      <c r="W150" s="19">
        <f>Data!I148</f>
        <v>0</v>
      </c>
      <c r="X150" s="17" t="str">
        <f>CONCATENATE(Data!J148, " ", Data!K148)</f>
        <v xml:space="preserve"> </v>
      </c>
    </row>
    <row r="151" spans="1:24" x14ac:dyDescent="0.3">
      <c r="A151" s="17" t="str">
        <f>Data!A149</f>
        <v>vehicle1</v>
      </c>
      <c r="B151" s="17" t="str">
        <f>Data!B149</f>
        <v>Vehicle, Gasoline or Petrol</v>
      </c>
      <c r="C151" s="17" t="str">
        <f>Data!C149</f>
        <v>1f2g3h4j5k6l</v>
      </c>
      <c r="D151" s="52">
        <f>Data!D149</f>
        <v>45066.132326388892</v>
      </c>
      <c r="E151" s="60" t="str">
        <f>IF(Data!E149="GpsRecord",Data!F149,"")</f>
        <v/>
      </c>
      <c r="F151" s="68" t="str">
        <f t="shared" si="33"/>
        <v>Clarksburg, WV, HARRISON_20268, Clarksburg, WV: 500 Baltimore Ave, Clarksburg, WV 26301, USA</v>
      </c>
      <c r="G151" t="b">
        <f t="shared" si="34"/>
        <v>0</v>
      </c>
      <c r="H151" t="b">
        <f t="shared" si="35"/>
        <v>0</v>
      </c>
      <c r="I151" t="b">
        <f t="shared" si="36"/>
        <v>0</v>
      </c>
      <c r="J151" t="str">
        <f t="shared" si="37"/>
        <v/>
      </c>
      <c r="K151" t="str">
        <f t="shared" si="38"/>
        <v/>
      </c>
      <c r="L151" t="str">
        <f t="shared" si="39"/>
        <v>,</v>
      </c>
      <c r="M151" t="str">
        <f t="shared" si="40"/>
        <v/>
      </c>
      <c r="N151" t="str">
        <f t="shared" si="41"/>
        <v/>
      </c>
      <c r="O151" t="str">
        <f t="shared" si="42"/>
        <v/>
      </c>
      <c r="P151" t="str">
        <f t="shared" si="43"/>
        <v/>
      </c>
      <c r="Q151" t="str">
        <f t="shared" si="44"/>
        <v/>
      </c>
      <c r="R151" s="20" t="str">
        <f t="shared" si="45"/>
        <v>WV</v>
      </c>
      <c r="S151" s="20" t="str">
        <f>IF(Data!E149="GpsRecord",Data!G149,"")</f>
        <v/>
      </c>
      <c r="T151" s="20" t="str">
        <f>IF(Data!E149="GpsRecord",Data!H149,"")</f>
        <v/>
      </c>
      <c r="U151" s="20">
        <f t="shared" si="46"/>
        <v>-39.421039999999998</v>
      </c>
      <c r="V151" s="20">
        <f t="shared" si="47"/>
        <v>33.736870000000003</v>
      </c>
      <c r="W151" s="19">
        <f>Data!I149</f>
        <v>0</v>
      </c>
      <c r="X151" s="17" t="str">
        <f>CONCATENATE(Data!J149, " ", Data!K149)</f>
        <v xml:space="preserve"> </v>
      </c>
    </row>
    <row r="152" spans="1:24" x14ac:dyDescent="0.3">
      <c r="A152" s="17" t="str">
        <f>Data!A150</f>
        <v>vehicle1</v>
      </c>
      <c r="B152" s="17" t="str">
        <f>Data!B150</f>
        <v>Vehicle, Gasoline or Petrol</v>
      </c>
      <c r="C152" s="17" t="str">
        <f>Data!C150</f>
        <v>1f2g3h4j5k6l</v>
      </c>
      <c r="D152" s="52">
        <f>Data!D150</f>
        <v>45066.132337962961</v>
      </c>
      <c r="E152" s="60" t="str">
        <f>IF(Data!E150="GpsRecord",Data!F150,"")</f>
        <v/>
      </c>
      <c r="F152" s="68" t="str">
        <f t="shared" si="33"/>
        <v>Clarksburg, WV, HARRISON_20268, Clarksburg, WV: 500 Baltimore Ave, Clarksburg, WV 26301, USA</v>
      </c>
      <c r="G152" t="b">
        <f t="shared" si="34"/>
        <v>0</v>
      </c>
      <c r="H152" t="b">
        <f t="shared" si="35"/>
        <v>0</v>
      </c>
      <c r="I152" t="b">
        <f t="shared" si="36"/>
        <v>0</v>
      </c>
      <c r="J152" t="str">
        <f t="shared" si="37"/>
        <v/>
      </c>
      <c r="K152" t="str">
        <f t="shared" si="38"/>
        <v/>
      </c>
      <c r="L152" t="str">
        <f t="shared" si="39"/>
        <v>,</v>
      </c>
      <c r="M152" t="str">
        <f t="shared" si="40"/>
        <v/>
      </c>
      <c r="N152" t="str">
        <f t="shared" si="41"/>
        <v/>
      </c>
      <c r="O152" t="str">
        <f t="shared" si="42"/>
        <v/>
      </c>
      <c r="P152" t="str">
        <f t="shared" si="43"/>
        <v/>
      </c>
      <c r="Q152" t="str">
        <f t="shared" si="44"/>
        <v/>
      </c>
      <c r="R152" s="20" t="str">
        <f t="shared" si="45"/>
        <v>WV</v>
      </c>
      <c r="S152" s="20" t="str">
        <f>IF(Data!E150="GpsRecord",Data!G150,"")</f>
        <v/>
      </c>
      <c r="T152" s="20" t="str">
        <f>IF(Data!E150="GpsRecord",Data!H150,"")</f>
        <v/>
      </c>
      <c r="U152" s="20">
        <f t="shared" si="46"/>
        <v>-39.421039999999998</v>
      </c>
      <c r="V152" s="20">
        <f t="shared" si="47"/>
        <v>33.736870000000003</v>
      </c>
      <c r="W152" s="19" t="str">
        <f>Data!I150</f>
        <v>Engine road speed</v>
      </c>
      <c r="X152" s="17" t="str">
        <f>CONCATENATE(Data!J150, " ", Data!K150)</f>
        <v>2 km/h</v>
      </c>
    </row>
    <row r="153" spans="1:24" x14ac:dyDescent="0.3">
      <c r="A153" s="17" t="str">
        <f>Data!A151</f>
        <v>vehicle1</v>
      </c>
      <c r="B153" s="17" t="str">
        <f>Data!B151</f>
        <v>Vehicle, Gasoline or Petrol</v>
      </c>
      <c r="C153" s="17" t="str">
        <f>Data!C151</f>
        <v>1f2g3h4j5k6l</v>
      </c>
      <c r="D153" s="52">
        <f>Data!D151</f>
        <v>45066.132337962961</v>
      </c>
      <c r="E153" s="60" t="str">
        <f>IF(Data!E151="GpsRecord",Data!F151,"")</f>
        <v/>
      </c>
      <c r="F153" s="68" t="str">
        <f t="shared" si="33"/>
        <v>Clarksburg, WV, HARRISON_20268, Clarksburg, WV: 500 Baltimore Ave, Clarksburg, WV 26301, USA</v>
      </c>
      <c r="G153" t="b">
        <f t="shared" si="34"/>
        <v>0</v>
      </c>
      <c r="H153" t="b">
        <f t="shared" si="35"/>
        <v>0</v>
      </c>
      <c r="I153" t="b">
        <f t="shared" si="36"/>
        <v>0</v>
      </c>
      <c r="J153" t="str">
        <f t="shared" si="37"/>
        <v/>
      </c>
      <c r="K153" t="str">
        <f t="shared" si="38"/>
        <v/>
      </c>
      <c r="L153" t="str">
        <f t="shared" si="39"/>
        <v>,</v>
      </c>
      <c r="M153" t="str">
        <f t="shared" si="40"/>
        <v/>
      </c>
      <c r="N153" t="str">
        <f t="shared" si="41"/>
        <v/>
      </c>
      <c r="O153" t="str">
        <f t="shared" si="42"/>
        <v/>
      </c>
      <c r="P153" t="str">
        <f t="shared" si="43"/>
        <v/>
      </c>
      <c r="Q153" t="str">
        <f t="shared" si="44"/>
        <v/>
      </c>
      <c r="R153" s="20" t="str">
        <f t="shared" si="45"/>
        <v>WV</v>
      </c>
      <c r="S153" s="20" t="str">
        <f>IF(Data!E151="GpsRecord",Data!G151,"")</f>
        <v/>
      </c>
      <c r="T153" s="20" t="str">
        <f>IF(Data!E151="GpsRecord",Data!H151,"")</f>
        <v/>
      </c>
      <c r="U153" s="20">
        <f t="shared" si="46"/>
        <v>-39.421039999999998</v>
      </c>
      <c r="V153" s="20">
        <f t="shared" si="47"/>
        <v>33.736870000000003</v>
      </c>
      <c r="W153" s="19">
        <f>Data!I151</f>
        <v>0</v>
      </c>
      <c r="X153" s="17" t="str">
        <f>CONCATENATE(Data!J151, " ", Data!K151)</f>
        <v xml:space="preserve"> </v>
      </c>
    </row>
    <row r="154" spans="1:24" x14ac:dyDescent="0.3">
      <c r="A154" s="17" t="str">
        <f>Data!A152</f>
        <v>vehicle1</v>
      </c>
      <c r="B154" s="17" t="str">
        <f>Data!B152</f>
        <v>Vehicle, Gasoline or Petrol</v>
      </c>
      <c r="C154" s="17" t="str">
        <f>Data!C152</f>
        <v>1f2g3h4j5k6l</v>
      </c>
      <c r="D154" s="52">
        <f>Data!D152</f>
        <v>45066.132337962961</v>
      </c>
      <c r="E154" s="60" t="str">
        <f>IF(Data!E152="GpsRecord",Data!F152,"")</f>
        <v>Clarksburg, WV, HARRISON_20268, Clarksburg, WV: 500 Baltimore Ave, Clarksburg, WV 26301, USA</v>
      </c>
      <c r="F154" s="68" t="str">
        <f t="shared" si="33"/>
        <v>Clarksburg, WV, HARRISON_20268, Clarksburg, WV: 500 Baltimore Ave, Clarksburg, WV 26301, USA</v>
      </c>
      <c r="G154" t="b">
        <f t="shared" si="34"/>
        <v>0</v>
      </c>
      <c r="H154" t="b">
        <f t="shared" si="35"/>
        <v>1</v>
      </c>
      <c r="I154" t="b">
        <f t="shared" si="36"/>
        <v>1</v>
      </c>
      <c r="J154" t="str">
        <f t="shared" si="37"/>
        <v>500 Baltimore Ave, Clarksburg, WV 26301, USA</v>
      </c>
      <c r="K154" t="str">
        <f t="shared" si="38"/>
        <v xml:space="preserve"> USA</v>
      </c>
      <c r="L154" t="str">
        <f t="shared" si="39"/>
        <v>, USA</v>
      </c>
      <c r="M154" t="str">
        <f t="shared" si="40"/>
        <v>500 Baltimore Ave, Clarksburg, WV 26301</v>
      </c>
      <c r="N154" t="str">
        <f t="shared" si="41"/>
        <v xml:space="preserve"> WV 26301</v>
      </c>
      <c r="O154" t="str">
        <f t="shared" si="42"/>
        <v>26301</v>
      </c>
      <c r="P154" t="str">
        <f t="shared" si="43"/>
        <v xml:space="preserve"> WV</v>
      </c>
      <c r="Q154" t="str">
        <f t="shared" si="44"/>
        <v>WV</v>
      </c>
      <c r="R154" s="20" t="str">
        <f t="shared" si="45"/>
        <v>WV</v>
      </c>
      <c r="S154" s="20">
        <f>IF(Data!E152="GpsRecord",Data!G152,"")</f>
        <v>-39.421039999999998</v>
      </c>
      <c r="T154" s="20">
        <f>IF(Data!E152="GpsRecord",Data!H152,"")</f>
        <v>33.736870000000003</v>
      </c>
      <c r="U154" s="20">
        <f t="shared" si="46"/>
        <v>-39.421039999999998</v>
      </c>
      <c r="V154" s="20">
        <f t="shared" si="47"/>
        <v>33.736870000000003</v>
      </c>
      <c r="W154" s="19">
        <f>Data!I152</f>
        <v>0</v>
      </c>
      <c r="X154" s="17" t="str">
        <f>CONCATENATE(Data!J152, " ", Data!K152)</f>
        <v xml:space="preserve"> </v>
      </c>
    </row>
    <row r="155" spans="1:24" x14ac:dyDescent="0.3">
      <c r="A155" s="17" t="str">
        <f>Data!A153</f>
        <v>vehicle1</v>
      </c>
      <c r="B155" s="17" t="str">
        <f>Data!B153</f>
        <v>Vehicle, Gasoline or Petrol</v>
      </c>
      <c r="C155" s="17" t="str">
        <f>Data!C153</f>
        <v>1f2g3h4j5k6l</v>
      </c>
      <c r="D155" s="52">
        <f>Data!D153</f>
        <v>45066.132337962961</v>
      </c>
      <c r="E155" s="60" t="str">
        <f>IF(Data!E153="GpsRecord",Data!F153,"")</f>
        <v/>
      </c>
      <c r="F155" s="68" t="str">
        <f t="shared" si="33"/>
        <v>Clarksburg, WV, HARRISON_20268, Clarksburg, WV: 500 Baltimore Ave, Clarksburg, WV 26301, USA</v>
      </c>
      <c r="G155" t="b">
        <f t="shared" si="34"/>
        <v>0</v>
      </c>
      <c r="H155" t="b">
        <f t="shared" si="35"/>
        <v>0</v>
      </c>
      <c r="I155" t="b">
        <f t="shared" si="36"/>
        <v>0</v>
      </c>
      <c r="J155" t="str">
        <f t="shared" si="37"/>
        <v/>
      </c>
      <c r="K155" t="str">
        <f t="shared" si="38"/>
        <v/>
      </c>
      <c r="L155" t="str">
        <f t="shared" si="39"/>
        <v>,</v>
      </c>
      <c r="M155" t="str">
        <f t="shared" si="40"/>
        <v/>
      </c>
      <c r="N155" t="str">
        <f t="shared" si="41"/>
        <v/>
      </c>
      <c r="O155" t="str">
        <f t="shared" si="42"/>
        <v/>
      </c>
      <c r="P155" t="str">
        <f t="shared" si="43"/>
        <v/>
      </c>
      <c r="Q155" t="str">
        <f t="shared" si="44"/>
        <v/>
      </c>
      <c r="R155" s="20" t="str">
        <f t="shared" si="45"/>
        <v>WV</v>
      </c>
      <c r="S155" s="20" t="str">
        <f>IF(Data!E153="GpsRecord",Data!G153,"")</f>
        <v/>
      </c>
      <c r="T155" s="20" t="str">
        <f>IF(Data!E153="GpsRecord",Data!H153,"")</f>
        <v/>
      </c>
      <c r="U155" s="20">
        <f t="shared" si="46"/>
        <v>-39.421039999999998</v>
      </c>
      <c r="V155" s="20">
        <f t="shared" si="47"/>
        <v>33.736870000000003</v>
      </c>
      <c r="W155" s="19" t="str">
        <f>Data!I153</f>
        <v>Passenger occupancy (1 = occupied)</v>
      </c>
      <c r="X155" s="17" t="str">
        <f>CONCATENATE(Data!J153, " ", Data!K153)</f>
        <v>0 None</v>
      </c>
    </row>
    <row r="156" spans="1:24" x14ac:dyDescent="0.3">
      <c r="A156" s="17" t="str">
        <f>Data!A154</f>
        <v>vehicle1</v>
      </c>
      <c r="B156" s="17" t="str">
        <f>Data!B154</f>
        <v>Vehicle, Gasoline or Petrol</v>
      </c>
      <c r="C156" s="17" t="str">
        <f>Data!C154</f>
        <v>1f2g3h4j5k6l</v>
      </c>
      <c r="D156" s="52">
        <f>Data!D154</f>
        <v>45066.132337962961</v>
      </c>
      <c r="E156" s="60" t="str">
        <f>IF(Data!E154="GpsRecord",Data!F154,"")</f>
        <v/>
      </c>
      <c r="F156" s="68" t="str">
        <f t="shared" si="33"/>
        <v>Clarksburg, WV, HARRISON_20268, Clarksburg, WV: 500 Baltimore Ave, Clarksburg, WV 26301, USA</v>
      </c>
      <c r="G156" t="b">
        <f t="shared" si="34"/>
        <v>0</v>
      </c>
      <c r="H156" t="b">
        <f t="shared" si="35"/>
        <v>0</v>
      </c>
      <c r="I156" t="b">
        <f t="shared" si="36"/>
        <v>0</v>
      </c>
      <c r="J156" t="str">
        <f t="shared" si="37"/>
        <v/>
      </c>
      <c r="K156" t="str">
        <f t="shared" si="38"/>
        <v/>
      </c>
      <c r="L156" t="str">
        <f t="shared" si="39"/>
        <v>,</v>
      </c>
      <c r="M156" t="str">
        <f t="shared" si="40"/>
        <v/>
      </c>
      <c r="N156" t="str">
        <f t="shared" si="41"/>
        <v/>
      </c>
      <c r="O156" t="str">
        <f t="shared" si="42"/>
        <v/>
      </c>
      <c r="P156" t="str">
        <f t="shared" si="43"/>
        <v/>
      </c>
      <c r="Q156" t="str">
        <f t="shared" si="44"/>
        <v/>
      </c>
      <c r="R156" s="20" t="str">
        <f t="shared" si="45"/>
        <v>WV</v>
      </c>
      <c r="S156" s="20" t="str">
        <f>IF(Data!E154="GpsRecord",Data!G154,"")</f>
        <v/>
      </c>
      <c r="T156" s="20" t="str">
        <f>IF(Data!E154="GpsRecord",Data!H154,"")</f>
        <v/>
      </c>
      <c r="U156" s="20">
        <f t="shared" si="46"/>
        <v>-39.421039999999998</v>
      </c>
      <c r="V156" s="20">
        <f t="shared" si="47"/>
        <v>33.736870000000003</v>
      </c>
      <c r="W156" s="19">
        <f>Data!I154</f>
        <v>0</v>
      </c>
      <c r="X156" s="17" t="str">
        <f>CONCATENATE(Data!J154, " ", Data!K154)</f>
        <v xml:space="preserve"> </v>
      </c>
    </row>
    <row r="157" spans="1:24" x14ac:dyDescent="0.3">
      <c r="A157" s="17" t="str">
        <f>Data!A155</f>
        <v>vehicle1</v>
      </c>
      <c r="B157" s="17" t="str">
        <f>Data!B155</f>
        <v>Vehicle, Gasoline or Petrol</v>
      </c>
      <c r="C157" s="17" t="str">
        <f>Data!C155</f>
        <v>1f2g3h4j5k6l</v>
      </c>
      <c r="D157" s="52">
        <f>Data!D155</f>
        <v>45066.132349537038</v>
      </c>
      <c r="E157" s="60" t="str">
        <f>IF(Data!E155="GpsRecord",Data!F155,"")</f>
        <v/>
      </c>
      <c r="F157" s="68" t="str">
        <f t="shared" si="33"/>
        <v>Clarksburg, WV, HARRISON_20268, Clarksburg, WV: 500 Baltimore Ave, Clarksburg, WV 26301, USA</v>
      </c>
      <c r="G157" t="b">
        <f t="shared" si="34"/>
        <v>0</v>
      </c>
      <c r="H157" t="b">
        <f t="shared" si="35"/>
        <v>0</v>
      </c>
      <c r="I157" t="b">
        <f t="shared" si="36"/>
        <v>0</v>
      </c>
      <c r="J157" t="str">
        <f t="shared" si="37"/>
        <v/>
      </c>
      <c r="K157" t="str">
        <f t="shared" si="38"/>
        <v/>
      </c>
      <c r="L157" t="str">
        <f t="shared" si="39"/>
        <v>,</v>
      </c>
      <c r="M157" t="str">
        <f t="shared" si="40"/>
        <v/>
      </c>
      <c r="N157" t="str">
        <f t="shared" si="41"/>
        <v/>
      </c>
      <c r="O157" t="str">
        <f t="shared" si="42"/>
        <v/>
      </c>
      <c r="P157" t="str">
        <f t="shared" si="43"/>
        <v/>
      </c>
      <c r="Q157" t="str">
        <f t="shared" si="44"/>
        <v/>
      </c>
      <c r="R157" s="20" t="str">
        <f t="shared" si="45"/>
        <v>WV</v>
      </c>
      <c r="S157" s="20" t="str">
        <f>IF(Data!E155="GpsRecord",Data!G155,"")</f>
        <v/>
      </c>
      <c r="T157" s="20" t="str">
        <f>IF(Data!E155="GpsRecord",Data!H155,"")</f>
        <v/>
      </c>
      <c r="U157" s="20">
        <f t="shared" si="46"/>
        <v>-39.421039999999998</v>
      </c>
      <c r="V157" s="20">
        <f t="shared" si="47"/>
        <v>33.736870000000003</v>
      </c>
      <c r="W157" s="19">
        <f>Data!I155</f>
        <v>0</v>
      </c>
      <c r="X157" s="17" t="str">
        <f>CONCATENATE(Data!J155, " ", Data!K155)</f>
        <v xml:space="preserve"> </v>
      </c>
    </row>
    <row r="158" spans="1:24" x14ac:dyDescent="0.3">
      <c r="A158" s="17" t="str">
        <f>Data!A156</f>
        <v>vehicle1</v>
      </c>
      <c r="B158" s="17" t="str">
        <f>Data!B156</f>
        <v>Vehicle, Gasoline or Petrol</v>
      </c>
      <c r="C158" s="17" t="str">
        <f>Data!C156</f>
        <v>1f2g3h4j5k6l</v>
      </c>
      <c r="D158" s="52">
        <f>Data!D156</f>
        <v>45066.132349537038</v>
      </c>
      <c r="E158" s="60" t="str">
        <f>IF(Data!E156="GpsRecord",Data!F156,"")</f>
        <v/>
      </c>
      <c r="F158" s="68" t="str">
        <f t="shared" si="33"/>
        <v>Clarksburg, WV, HARRISON_20268, Clarksburg, WV: 500 Baltimore Ave, Clarksburg, WV 26301, USA</v>
      </c>
      <c r="G158" t="b">
        <f t="shared" si="34"/>
        <v>0</v>
      </c>
      <c r="H158" t="b">
        <f t="shared" si="35"/>
        <v>0</v>
      </c>
      <c r="I158" t="b">
        <f t="shared" si="36"/>
        <v>0</v>
      </c>
      <c r="J158" t="str">
        <f t="shared" si="37"/>
        <v/>
      </c>
      <c r="K158" t="str">
        <f t="shared" si="38"/>
        <v/>
      </c>
      <c r="L158" t="str">
        <f t="shared" si="39"/>
        <v>,</v>
      </c>
      <c r="M158" t="str">
        <f t="shared" si="40"/>
        <v/>
      </c>
      <c r="N158" t="str">
        <f t="shared" si="41"/>
        <v/>
      </c>
      <c r="O158" t="str">
        <f t="shared" si="42"/>
        <v/>
      </c>
      <c r="P158" t="str">
        <f t="shared" si="43"/>
        <v/>
      </c>
      <c r="Q158" t="str">
        <f t="shared" si="44"/>
        <v/>
      </c>
      <c r="R158" s="20" t="str">
        <f t="shared" si="45"/>
        <v>WV</v>
      </c>
      <c r="S158" s="20" t="str">
        <f>IF(Data!E156="GpsRecord",Data!G156,"")</f>
        <v/>
      </c>
      <c r="T158" s="20" t="str">
        <f>IF(Data!E156="GpsRecord",Data!H156,"")</f>
        <v/>
      </c>
      <c r="U158" s="20">
        <f t="shared" si="46"/>
        <v>-39.421039999999998</v>
      </c>
      <c r="V158" s="20">
        <f t="shared" si="47"/>
        <v>33.736870000000003</v>
      </c>
      <c r="W158" s="19">
        <f>Data!I156</f>
        <v>0</v>
      </c>
      <c r="X158" s="17" t="str">
        <f>CONCATENATE(Data!J156, " ", Data!K156)</f>
        <v xml:space="preserve"> </v>
      </c>
    </row>
    <row r="159" spans="1:24" x14ac:dyDescent="0.3">
      <c r="A159" s="17" t="str">
        <f>Data!A157</f>
        <v>vehicle1</v>
      </c>
      <c r="B159" s="17" t="str">
        <f>Data!B157</f>
        <v>Vehicle, Gasoline or Petrol</v>
      </c>
      <c r="C159" s="17" t="str">
        <f>Data!C157</f>
        <v>1f2g3h4j5k6l</v>
      </c>
      <c r="D159" s="52">
        <f>Data!D157</f>
        <v>45066.132349537038</v>
      </c>
      <c r="E159" s="60" t="str">
        <f>IF(Data!E157="GpsRecord",Data!F157,"")</f>
        <v/>
      </c>
      <c r="F159" s="68" t="str">
        <f t="shared" si="33"/>
        <v>Clarksburg, WV, HARRISON_20268, Clarksburg, WV: 500 Baltimore Ave, Clarksburg, WV 26301, USA</v>
      </c>
      <c r="G159" t="b">
        <f t="shared" si="34"/>
        <v>0</v>
      </c>
      <c r="H159" t="b">
        <f t="shared" si="35"/>
        <v>0</v>
      </c>
      <c r="I159" t="b">
        <f t="shared" si="36"/>
        <v>0</v>
      </c>
      <c r="J159" t="str">
        <f t="shared" si="37"/>
        <v/>
      </c>
      <c r="K159" t="str">
        <f t="shared" si="38"/>
        <v/>
      </c>
      <c r="L159" t="str">
        <f t="shared" si="39"/>
        <v>,</v>
      </c>
      <c r="M159" t="str">
        <f t="shared" si="40"/>
        <v/>
      </c>
      <c r="N159" t="str">
        <f t="shared" si="41"/>
        <v/>
      </c>
      <c r="O159" t="str">
        <f t="shared" si="42"/>
        <v/>
      </c>
      <c r="P159" t="str">
        <f t="shared" si="43"/>
        <v/>
      </c>
      <c r="Q159" t="str">
        <f t="shared" si="44"/>
        <v/>
      </c>
      <c r="R159" s="20" t="str">
        <f t="shared" si="45"/>
        <v>WV</v>
      </c>
      <c r="S159" s="20" t="str">
        <f>IF(Data!E157="GpsRecord",Data!G157,"")</f>
        <v/>
      </c>
      <c r="T159" s="20" t="str">
        <f>IF(Data!E157="GpsRecord",Data!H157,"")</f>
        <v/>
      </c>
      <c r="U159" s="20">
        <f t="shared" si="46"/>
        <v>-39.421039999999998</v>
      </c>
      <c r="V159" s="20">
        <f t="shared" si="47"/>
        <v>33.736870000000003</v>
      </c>
      <c r="W159" s="19">
        <f>Data!I157</f>
        <v>0</v>
      </c>
      <c r="X159" s="17" t="str">
        <f>CONCATENATE(Data!J157, " ", Data!K157)</f>
        <v xml:space="preserve"> </v>
      </c>
    </row>
    <row r="160" spans="1:24" x14ac:dyDescent="0.3">
      <c r="A160" s="17" t="str">
        <f>Data!A158</f>
        <v>vehicle1</v>
      </c>
      <c r="B160" s="17" t="str">
        <f>Data!B158</f>
        <v>Vehicle, Gasoline or Petrol</v>
      </c>
      <c r="C160" s="17" t="str">
        <f>Data!C158</f>
        <v>1f2g3h4j5k6l</v>
      </c>
      <c r="D160" s="52">
        <f>Data!D158</f>
        <v>45066.132349537038</v>
      </c>
      <c r="E160" s="60" t="str">
        <f>IF(Data!E158="GpsRecord",Data!F158,"")</f>
        <v/>
      </c>
      <c r="F160" s="68" t="str">
        <f t="shared" si="33"/>
        <v>Clarksburg, WV, HARRISON_20268, Clarksburg, WV: 500 Baltimore Ave, Clarksburg, WV 26301, USA</v>
      </c>
      <c r="G160" t="b">
        <f t="shared" si="34"/>
        <v>0</v>
      </c>
      <c r="H160" t="b">
        <f t="shared" si="35"/>
        <v>0</v>
      </c>
      <c r="I160" t="b">
        <f t="shared" si="36"/>
        <v>0</v>
      </c>
      <c r="J160" t="str">
        <f t="shared" si="37"/>
        <v/>
      </c>
      <c r="K160" t="str">
        <f t="shared" si="38"/>
        <v/>
      </c>
      <c r="L160" t="str">
        <f t="shared" si="39"/>
        <v>,</v>
      </c>
      <c r="M160" t="str">
        <f t="shared" si="40"/>
        <v/>
      </c>
      <c r="N160" t="str">
        <f t="shared" si="41"/>
        <v/>
      </c>
      <c r="O160" t="str">
        <f t="shared" si="42"/>
        <v/>
      </c>
      <c r="P160" t="str">
        <f t="shared" si="43"/>
        <v/>
      </c>
      <c r="Q160" t="str">
        <f t="shared" si="44"/>
        <v/>
      </c>
      <c r="R160" s="20" t="str">
        <f t="shared" si="45"/>
        <v>WV</v>
      </c>
      <c r="S160" s="20" t="str">
        <f>IF(Data!E158="GpsRecord",Data!G158,"")</f>
        <v/>
      </c>
      <c r="T160" s="20" t="str">
        <f>IF(Data!E158="GpsRecord",Data!H158,"")</f>
        <v/>
      </c>
      <c r="U160" s="20">
        <f t="shared" si="46"/>
        <v>-39.421039999999998</v>
      </c>
      <c r="V160" s="20">
        <f t="shared" si="47"/>
        <v>33.736870000000003</v>
      </c>
      <c r="W160" s="19">
        <f>Data!I158</f>
        <v>0</v>
      </c>
      <c r="X160" s="17" t="str">
        <f>CONCATENATE(Data!J158, " ", Data!K158)</f>
        <v xml:space="preserve"> </v>
      </c>
    </row>
    <row r="161" spans="1:24" x14ac:dyDescent="0.3">
      <c r="A161" s="17" t="str">
        <f>Data!A159</f>
        <v>vehicle1</v>
      </c>
      <c r="B161" s="17" t="str">
        <f>Data!B159</f>
        <v>Vehicle, Gasoline or Petrol</v>
      </c>
      <c r="C161" s="17" t="str">
        <f>Data!C159</f>
        <v>1f2g3h4j5k6l</v>
      </c>
      <c r="D161" s="52">
        <f>Data!D159</f>
        <v>45066.132361111115</v>
      </c>
      <c r="E161" s="60" t="str">
        <f>IF(Data!E159="GpsRecord",Data!F159,"")</f>
        <v/>
      </c>
      <c r="F161" s="68" t="str">
        <f t="shared" si="33"/>
        <v>Clarksburg, WV, HARRISON_20268, Clarksburg, WV: 500 Baltimore Ave, Clarksburg, WV 26301, USA</v>
      </c>
      <c r="G161" t="b">
        <f t="shared" si="34"/>
        <v>0</v>
      </c>
      <c r="H161" t="b">
        <f t="shared" si="35"/>
        <v>0</v>
      </c>
      <c r="I161" t="b">
        <f t="shared" si="36"/>
        <v>0</v>
      </c>
      <c r="J161" t="str">
        <f t="shared" si="37"/>
        <v/>
      </c>
      <c r="K161" t="str">
        <f t="shared" si="38"/>
        <v/>
      </c>
      <c r="L161" t="str">
        <f t="shared" si="39"/>
        <v>,</v>
      </c>
      <c r="M161" t="str">
        <f t="shared" si="40"/>
        <v/>
      </c>
      <c r="N161" t="str">
        <f t="shared" si="41"/>
        <v/>
      </c>
      <c r="O161" t="str">
        <f t="shared" si="42"/>
        <v/>
      </c>
      <c r="P161" t="str">
        <f t="shared" si="43"/>
        <v/>
      </c>
      <c r="Q161" t="str">
        <f t="shared" si="44"/>
        <v/>
      </c>
      <c r="R161" s="20" t="str">
        <f t="shared" si="45"/>
        <v>WV</v>
      </c>
      <c r="S161" s="20" t="str">
        <f>IF(Data!E159="GpsRecord",Data!G159,"")</f>
        <v/>
      </c>
      <c r="T161" s="20" t="str">
        <f>IF(Data!E159="GpsRecord",Data!H159,"")</f>
        <v/>
      </c>
      <c r="U161" s="20">
        <f t="shared" si="46"/>
        <v>-39.421039999999998</v>
      </c>
      <c r="V161" s="20">
        <f t="shared" si="47"/>
        <v>33.736870000000003</v>
      </c>
      <c r="W161" s="19">
        <f>Data!I159</f>
        <v>0</v>
      </c>
      <c r="X161" s="17" t="str">
        <f>CONCATENATE(Data!J159, " ", Data!K159)</f>
        <v xml:space="preserve"> </v>
      </c>
    </row>
    <row r="162" spans="1:24" x14ac:dyDescent="0.3">
      <c r="A162" s="17" t="str">
        <f>Data!A160</f>
        <v>vehicle1</v>
      </c>
      <c r="B162" s="17" t="str">
        <f>Data!B160</f>
        <v>Vehicle, Gasoline or Petrol</v>
      </c>
      <c r="C162" s="17" t="str">
        <f>Data!C160</f>
        <v>1f2g3h4j5k6l</v>
      </c>
      <c r="D162" s="52">
        <f>Data!D160</f>
        <v>45066.132361111115</v>
      </c>
      <c r="E162" s="60" t="str">
        <f>IF(Data!E160="GpsRecord",Data!F160,"")</f>
        <v/>
      </c>
      <c r="F162" s="68" t="str">
        <f t="shared" si="33"/>
        <v>Clarksburg, WV, HARRISON_20268, Clarksburg, WV: 500 Baltimore Ave, Clarksburg, WV 26301, USA</v>
      </c>
      <c r="G162" t="b">
        <f t="shared" si="34"/>
        <v>0</v>
      </c>
      <c r="H162" t="b">
        <f t="shared" si="35"/>
        <v>0</v>
      </c>
      <c r="I162" t="b">
        <f t="shared" si="36"/>
        <v>0</v>
      </c>
      <c r="J162" t="str">
        <f t="shared" si="37"/>
        <v/>
      </c>
      <c r="K162" t="str">
        <f t="shared" si="38"/>
        <v/>
      </c>
      <c r="L162" t="str">
        <f t="shared" si="39"/>
        <v>,</v>
      </c>
      <c r="M162" t="str">
        <f t="shared" si="40"/>
        <v/>
      </c>
      <c r="N162" t="str">
        <f t="shared" si="41"/>
        <v/>
      </c>
      <c r="O162" t="str">
        <f t="shared" si="42"/>
        <v/>
      </c>
      <c r="P162" t="str">
        <f t="shared" si="43"/>
        <v/>
      </c>
      <c r="Q162" t="str">
        <f t="shared" si="44"/>
        <v/>
      </c>
      <c r="R162" s="20" t="str">
        <f t="shared" si="45"/>
        <v>WV</v>
      </c>
      <c r="S162" s="20" t="str">
        <f>IF(Data!E160="GpsRecord",Data!G160,"")</f>
        <v/>
      </c>
      <c r="T162" s="20" t="str">
        <f>IF(Data!E160="GpsRecord",Data!H160,"")</f>
        <v/>
      </c>
      <c r="U162" s="20">
        <f t="shared" si="46"/>
        <v>-39.421039999999998</v>
      </c>
      <c r="V162" s="20">
        <f t="shared" si="47"/>
        <v>33.736870000000003</v>
      </c>
      <c r="W162" s="19">
        <f>Data!I160</f>
        <v>0</v>
      </c>
      <c r="X162" s="17" t="str">
        <f>CONCATENATE(Data!J160, " ", Data!K160)</f>
        <v xml:space="preserve"> </v>
      </c>
    </row>
    <row r="163" spans="1:24" x14ac:dyDescent="0.3">
      <c r="A163" s="17" t="str">
        <f>Data!A161</f>
        <v>vehicle1</v>
      </c>
      <c r="B163" s="17" t="str">
        <f>Data!B161</f>
        <v>Vehicle, Gasoline or Petrol</v>
      </c>
      <c r="C163" s="17" t="str">
        <f>Data!C161</f>
        <v>1f2g3h4j5k6l</v>
      </c>
      <c r="D163" s="52">
        <f>Data!D161</f>
        <v>45066.132372685184</v>
      </c>
      <c r="E163" s="60" t="str">
        <f>IF(Data!E161="GpsRecord",Data!F161,"")</f>
        <v/>
      </c>
      <c r="F163" s="68" t="str">
        <f t="shared" si="33"/>
        <v>Clarksburg, WV, HARRISON_20268, Clarksburg, WV: 500 Baltimore Ave, Clarksburg, WV 26301, USA</v>
      </c>
      <c r="G163" t="b">
        <f t="shared" si="34"/>
        <v>0</v>
      </c>
      <c r="H163" t="b">
        <f t="shared" si="35"/>
        <v>0</v>
      </c>
      <c r="I163" t="b">
        <f t="shared" si="36"/>
        <v>0</v>
      </c>
      <c r="J163" t="str">
        <f t="shared" si="37"/>
        <v/>
      </c>
      <c r="K163" t="str">
        <f t="shared" si="38"/>
        <v/>
      </c>
      <c r="L163" t="str">
        <f t="shared" si="39"/>
        <v>,</v>
      </c>
      <c r="M163" t="str">
        <f t="shared" si="40"/>
        <v/>
      </c>
      <c r="N163" t="str">
        <f t="shared" si="41"/>
        <v/>
      </c>
      <c r="O163" t="str">
        <f t="shared" si="42"/>
        <v/>
      </c>
      <c r="P163" t="str">
        <f t="shared" si="43"/>
        <v/>
      </c>
      <c r="Q163" t="str">
        <f t="shared" si="44"/>
        <v/>
      </c>
      <c r="R163" s="20" t="str">
        <f t="shared" si="45"/>
        <v>WV</v>
      </c>
      <c r="S163" s="20" t="str">
        <f>IF(Data!E161="GpsRecord",Data!G161,"")</f>
        <v/>
      </c>
      <c r="T163" s="20" t="str">
        <f>IF(Data!E161="GpsRecord",Data!H161,"")</f>
        <v/>
      </c>
      <c r="U163" s="20">
        <f t="shared" si="46"/>
        <v>-39.421039999999998</v>
      </c>
      <c r="V163" s="20">
        <f t="shared" si="47"/>
        <v>33.736870000000003</v>
      </c>
      <c r="W163" s="19">
        <f>Data!I161</f>
        <v>0</v>
      </c>
      <c r="X163" s="17" t="str">
        <f>CONCATENATE(Data!J161, " ", Data!K161)</f>
        <v xml:space="preserve"> </v>
      </c>
    </row>
    <row r="164" spans="1:24" x14ac:dyDescent="0.3">
      <c r="A164" s="17" t="str">
        <f>Data!A162</f>
        <v>vehicle1</v>
      </c>
      <c r="B164" s="17" t="str">
        <f>Data!B162</f>
        <v>Vehicle, Gasoline or Petrol</v>
      </c>
      <c r="C164" s="17" t="str">
        <f>Data!C162</f>
        <v>1f2g3h4j5k6l</v>
      </c>
      <c r="D164" s="52">
        <f>Data!D162</f>
        <v>45066.132372685184</v>
      </c>
      <c r="E164" s="60" t="str">
        <f>IF(Data!E162="GpsRecord",Data!F162,"")</f>
        <v/>
      </c>
      <c r="F164" s="68" t="str">
        <f t="shared" si="33"/>
        <v>Clarksburg, WV, HARRISON_20268, Clarksburg, WV: 500 Baltimore Ave, Clarksburg, WV 26301, USA</v>
      </c>
      <c r="G164" t="b">
        <f t="shared" si="34"/>
        <v>0</v>
      </c>
      <c r="H164" t="b">
        <f t="shared" si="35"/>
        <v>0</v>
      </c>
      <c r="I164" t="b">
        <f t="shared" si="36"/>
        <v>0</v>
      </c>
      <c r="J164" t="str">
        <f t="shared" si="37"/>
        <v/>
      </c>
      <c r="K164" t="str">
        <f t="shared" si="38"/>
        <v/>
      </c>
      <c r="L164" t="str">
        <f t="shared" si="39"/>
        <v>,</v>
      </c>
      <c r="M164" t="str">
        <f t="shared" si="40"/>
        <v/>
      </c>
      <c r="N164" t="str">
        <f t="shared" si="41"/>
        <v/>
      </c>
      <c r="O164" t="str">
        <f t="shared" si="42"/>
        <v/>
      </c>
      <c r="P164" t="str">
        <f t="shared" si="43"/>
        <v/>
      </c>
      <c r="Q164" t="str">
        <f t="shared" si="44"/>
        <v/>
      </c>
      <c r="R164" s="20" t="str">
        <f t="shared" si="45"/>
        <v>WV</v>
      </c>
      <c r="S164" s="20" t="str">
        <f>IF(Data!E162="GpsRecord",Data!G162,"")</f>
        <v/>
      </c>
      <c r="T164" s="20" t="str">
        <f>IF(Data!E162="GpsRecord",Data!H162,"")</f>
        <v/>
      </c>
      <c r="U164" s="20">
        <f t="shared" si="46"/>
        <v>-39.421039999999998</v>
      </c>
      <c r="V164" s="20">
        <f t="shared" si="47"/>
        <v>33.736870000000003</v>
      </c>
      <c r="W164" s="19">
        <f>Data!I162</f>
        <v>0</v>
      </c>
      <c r="X164" s="17" t="str">
        <f>CONCATENATE(Data!J162, " ", Data!K162)</f>
        <v xml:space="preserve"> </v>
      </c>
    </row>
    <row r="165" spans="1:24" x14ac:dyDescent="0.3">
      <c r="A165" s="17" t="str">
        <f>Data!A163</f>
        <v>vehicle1</v>
      </c>
      <c r="B165" s="17" t="str">
        <f>Data!B163</f>
        <v>Vehicle, Gasoline or Petrol</v>
      </c>
      <c r="C165" s="17" t="str">
        <f>Data!C163</f>
        <v>1f2g3h4j5k6l</v>
      </c>
      <c r="D165" s="52">
        <f>Data!D163</f>
        <v>45066.132372685184</v>
      </c>
      <c r="E165" s="60" t="str">
        <f>IF(Data!E163="GpsRecord",Data!F163,"")</f>
        <v/>
      </c>
      <c r="F165" s="68" t="str">
        <f t="shared" si="33"/>
        <v>Clarksburg, WV, HARRISON_20268, Clarksburg, WV: 500 Baltimore Ave, Clarksburg, WV 26301, USA</v>
      </c>
      <c r="G165" t="b">
        <f t="shared" si="34"/>
        <v>0</v>
      </c>
      <c r="H165" t="b">
        <f t="shared" si="35"/>
        <v>0</v>
      </c>
      <c r="I165" t="b">
        <f t="shared" si="36"/>
        <v>0</v>
      </c>
      <c r="J165" t="str">
        <f t="shared" si="37"/>
        <v/>
      </c>
      <c r="K165" t="str">
        <f t="shared" si="38"/>
        <v/>
      </c>
      <c r="L165" t="str">
        <f t="shared" si="39"/>
        <v>,</v>
      </c>
      <c r="M165" t="str">
        <f t="shared" si="40"/>
        <v/>
      </c>
      <c r="N165" t="str">
        <f t="shared" si="41"/>
        <v/>
      </c>
      <c r="O165" t="str">
        <f t="shared" si="42"/>
        <v/>
      </c>
      <c r="P165" t="str">
        <f t="shared" si="43"/>
        <v/>
      </c>
      <c r="Q165" t="str">
        <f t="shared" si="44"/>
        <v/>
      </c>
      <c r="R165" s="20" t="str">
        <f t="shared" si="45"/>
        <v>WV</v>
      </c>
      <c r="S165" s="20" t="str">
        <f>IF(Data!E163="GpsRecord",Data!G163,"")</f>
        <v/>
      </c>
      <c r="T165" s="20" t="str">
        <f>IF(Data!E163="GpsRecord",Data!H163,"")</f>
        <v/>
      </c>
      <c r="U165" s="20">
        <f t="shared" si="46"/>
        <v>-39.421039999999998</v>
      </c>
      <c r="V165" s="20">
        <f t="shared" si="47"/>
        <v>33.736870000000003</v>
      </c>
      <c r="W165" s="19">
        <f>Data!I163</f>
        <v>0</v>
      </c>
      <c r="X165" s="17" t="str">
        <f>CONCATENATE(Data!J163, " ", Data!K163)</f>
        <v xml:space="preserve"> </v>
      </c>
    </row>
    <row r="166" spans="1:24" x14ac:dyDescent="0.3">
      <c r="A166" s="17" t="str">
        <f>Data!A164</f>
        <v>vehicle1</v>
      </c>
      <c r="B166" s="17" t="str">
        <f>Data!B164</f>
        <v>Vehicle, Gasoline or Petrol</v>
      </c>
      <c r="C166" s="17" t="str">
        <f>Data!C164</f>
        <v>1f2g3h4j5k6l</v>
      </c>
      <c r="D166" s="52">
        <f>Data!D164</f>
        <v>45066.132384259261</v>
      </c>
      <c r="E166" s="60" t="str">
        <f>IF(Data!E164="GpsRecord",Data!F164,"")</f>
        <v/>
      </c>
      <c r="F166" s="68" t="str">
        <f t="shared" si="33"/>
        <v>Clarksburg, WV, HARRISON_20268, Clarksburg, WV: 500 Baltimore Ave, Clarksburg, WV 26301, USA</v>
      </c>
      <c r="G166" t="b">
        <f t="shared" si="34"/>
        <v>0</v>
      </c>
      <c r="H166" t="b">
        <f t="shared" si="35"/>
        <v>0</v>
      </c>
      <c r="I166" t="b">
        <f t="shared" si="36"/>
        <v>0</v>
      </c>
      <c r="J166" t="str">
        <f t="shared" si="37"/>
        <v/>
      </c>
      <c r="K166" t="str">
        <f t="shared" si="38"/>
        <v/>
      </c>
      <c r="L166" t="str">
        <f t="shared" si="39"/>
        <v>,</v>
      </c>
      <c r="M166" t="str">
        <f t="shared" si="40"/>
        <v/>
      </c>
      <c r="N166" t="str">
        <f t="shared" si="41"/>
        <v/>
      </c>
      <c r="O166" t="str">
        <f t="shared" si="42"/>
        <v/>
      </c>
      <c r="P166" t="str">
        <f t="shared" si="43"/>
        <v/>
      </c>
      <c r="Q166" t="str">
        <f t="shared" si="44"/>
        <v/>
      </c>
      <c r="R166" s="20" t="str">
        <f t="shared" si="45"/>
        <v>WV</v>
      </c>
      <c r="S166" s="20" t="str">
        <f>IF(Data!E164="GpsRecord",Data!G164,"")</f>
        <v/>
      </c>
      <c r="T166" s="20" t="str">
        <f>IF(Data!E164="GpsRecord",Data!H164,"")</f>
        <v/>
      </c>
      <c r="U166" s="20">
        <f t="shared" si="46"/>
        <v>-39.421039999999998</v>
      </c>
      <c r="V166" s="20">
        <f t="shared" si="47"/>
        <v>33.736870000000003</v>
      </c>
      <c r="W166" s="19">
        <f>Data!I164</f>
        <v>0</v>
      </c>
      <c r="X166" s="17" t="str">
        <f>CONCATENATE(Data!J164, " ", Data!K164)</f>
        <v xml:space="preserve"> </v>
      </c>
    </row>
    <row r="167" spans="1:24" x14ac:dyDescent="0.3">
      <c r="A167" s="17" t="str">
        <f>Data!A165</f>
        <v>vehicle1</v>
      </c>
      <c r="B167" s="17" t="str">
        <f>Data!B165</f>
        <v>Vehicle, Gasoline or Petrol</v>
      </c>
      <c r="C167" s="17" t="str">
        <f>Data!C165</f>
        <v>1f2g3h4j5k6l</v>
      </c>
      <c r="D167" s="52">
        <f>Data!D165</f>
        <v>45066.132384259261</v>
      </c>
      <c r="E167" s="60" t="str">
        <f>IF(Data!E165="GpsRecord",Data!F165,"")</f>
        <v/>
      </c>
      <c r="F167" s="68" t="str">
        <f t="shared" si="33"/>
        <v>Clarksburg, WV, HARRISON_20268, Clarksburg, WV: 500 Baltimore Ave, Clarksburg, WV 26301, USA</v>
      </c>
      <c r="G167" t="b">
        <f t="shared" si="34"/>
        <v>0</v>
      </c>
      <c r="H167" t="b">
        <f t="shared" si="35"/>
        <v>0</v>
      </c>
      <c r="I167" t="b">
        <f t="shared" si="36"/>
        <v>0</v>
      </c>
      <c r="J167" t="str">
        <f t="shared" si="37"/>
        <v/>
      </c>
      <c r="K167" t="str">
        <f t="shared" si="38"/>
        <v/>
      </c>
      <c r="L167" t="str">
        <f t="shared" si="39"/>
        <v>,</v>
      </c>
      <c r="M167" t="str">
        <f t="shared" si="40"/>
        <v/>
      </c>
      <c r="N167" t="str">
        <f t="shared" si="41"/>
        <v/>
      </c>
      <c r="O167" t="str">
        <f t="shared" si="42"/>
        <v/>
      </c>
      <c r="P167" t="str">
        <f t="shared" si="43"/>
        <v/>
      </c>
      <c r="Q167" t="str">
        <f t="shared" si="44"/>
        <v/>
      </c>
      <c r="R167" s="20" t="str">
        <f t="shared" si="45"/>
        <v>WV</v>
      </c>
      <c r="S167" s="20" t="str">
        <f>IF(Data!E165="GpsRecord",Data!G165,"")</f>
        <v/>
      </c>
      <c r="T167" s="20" t="str">
        <f>IF(Data!E165="GpsRecord",Data!H165,"")</f>
        <v/>
      </c>
      <c r="U167" s="20">
        <f t="shared" si="46"/>
        <v>-39.421039999999998</v>
      </c>
      <c r="V167" s="20">
        <f t="shared" si="47"/>
        <v>33.736870000000003</v>
      </c>
      <c r="W167" s="19" t="str">
        <f>Data!I165</f>
        <v>Telematics device voltage</v>
      </c>
      <c r="X167" s="17" t="str">
        <f>CONCATENATE(Data!J165, " ", Data!K165)</f>
        <v>13.4662218093872 V</v>
      </c>
    </row>
    <row r="168" spans="1:24" x14ac:dyDescent="0.3">
      <c r="A168" s="17" t="str">
        <f>Data!A166</f>
        <v>vehicle1</v>
      </c>
      <c r="B168" s="17" t="str">
        <f>Data!B166</f>
        <v>Vehicle, Gasoline or Petrol</v>
      </c>
      <c r="C168" s="17" t="str">
        <f>Data!C166</f>
        <v>1f2g3h4j5k6l</v>
      </c>
      <c r="D168" s="52">
        <f>Data!D166</f>
        <v>45066.132395833331</v>
      </c>
      <c r="E168" s="60" t="str">
        <f>IF(Data!E166="GpsRecord",Data!F166,"")</f>
        <v/>
      </c>
      <c r="F168" s="68" t="str">
        <f t="shared" si="33"/>
        <v>Clarksburg, WV, HARRISON_20268, Clarksburg, WV: 500 Baltimore Ave, Clarksburg, WV 26301, USA</v>
      </c>
      <c r="G168" t="b">
        <f t="shared" si="34"/>
        <v>0</v>
      </c>
      <c r="H168" t="b">
        <f t="shared" si="35"/>
        <v>0</v>
      </c>
      <c r="I168" t="b">
        <f t="shared" si="36"/>
        <v>0</v>
      </c>
      <c r="J168" t="str">
        <f t="shared" si="37"/>
        <v/>
      </c>
      <c r="K168" t="str">
        <f t="shared" si="38"/>
        <v/>
      </c>
      <c r="L168" t="str">
        <f t="shared" si="39"/>
        <v>,</v>
      </c>
      <c r="M168" t="str">
        <f t="shared" si="40"/>
        <v/>
      </c>
      <c r="N168" t="str">
        <f t="shared" si="41"/>
        <v/>
      </c>
      <c r="O168" t="str">
        <f t="shared" si="42"/>
        <v/>
      </c>
      <c r="P168" t="str">
        <f t="shared" si="43"/>
        <v/>
      </c>
      <c r="Q168" t="str">
        <f t="shared" si="44"/>
        <v/>
      </c>
      <c r="R168" s="20" t="str">
        <f t="shared" si="45"/>
        <v>WV</v>
      </c>
      <c r="S168" s="20" t="str">
        <f>IF(Data!E166="GpsRecord",Data!G166,"")</f>
        <v/>
      </c>
      <c r="T168" s="20" t="str">
        <f>IF(Data!E166="GpsRecord",Data!H166,"")</f>
        <v/>
      </c>
      <c r="U168" s="20">
        <f t="shared" si="46"/>
        <v>-39.421039999999998</v>
      </c>
      <c r="V168" s="20">
        <f t="shared" si="47"/>
        <v>33.736870000000003</v>
      </c>
      <c r="W168" s="19">
        <f>Data!I166</f>
        <v>0</v>
      </c>
      <c r="X168" s="17" t="str">
        <f>CONCATENATE(Data!J166, " ", Data!K166)</f>
        <v xml:space="preserve"> </v>
      </c>
    </row>
    <row r="169" spans="1:24" x14ac:dyDescent="0.3">
      <c r="A169" s="17" t="str">
        <f>Data!A167</f>
        <v>vehicle1</v>
      </c>
      <c r="B169" s="17" t="str">
        <f>Data!B167</f>
        <v>Vehicle, Gasoline or Petrol</v>
      </c>
      <c r="C169" s="17" t="str">
        <f>Data!C167</f>
        <v>1f2g3h4j5k6l</v>
      </c>
      <c r="D169" s="52">
        <f>Data!D167</f>
        <v>45066.132395833331</v>
      </c>
      <c r="E169" s="60" t="str">
        <f>IF(Data!E167="GpsRecord",Data!F167,"")</f>
        <v/>
      </c>
      <c r="F169" s="68" t="str">
        <f t="shared" si="33"/>
        <v>Clarksburg, WV, HARRISON_20268, Clarksburg, WV: 500 Baltimore Ave, Clarksburg, WV 26301, USA</v>
      </c>
      <c r="G169" t="b">
        <f t="shared" si="34"/>
        <v>0</v>
      </c>
      <c r="H169" t="b">
        <f t="shared" si="35"/>
        <v>0</v>
      </c>
      <c r="I169" t="b">
        <f t="shared" si="36"/>
        <v>0</v>
      </c>
      <c r="J169" t="str">
        <f t="shared" si="37"/>
        <v/>
      </c>
      <c r="K169" t="str">
        <f t="shared" si="38"/>
        <v/>
      </c>
      <c r="L169" t="str">
        <f t="shared" si="39"/>
        <v>,</v>
      </c>
      <c r="M169" t="str">
        <f t="shared" si="40"/>
        <v/>
      </c>
      <c r="N169" t="str">
        <f t="shared" si="41"/>
        <v/>
      </c>
      <c r="O169" t="str">
        <f t="shared" si="42"/>
        <v/>
      </c>
      <c r="P169" t="str">
        <f t="shared" si="43"/>
        <v/>
      </c>
      <c r="Q169" t="str">
        <f t="shared" si="44"/>
        <v/>
      </c>
      <c r="R169" s="20" t="str">
        <f t="shared" si="45"/>
        <v>WV</v>
      </c>
      <c r="S169" s="20" t="str">
        <f>IF(Data!E167="GpsRecord",Data!G167,"")</f>
        <v/>
      </c>
      <c r="T169" s="20" t="str">
        <f>IF(Data!E167="GpsRecord",Data!H167,"")</f>
        <v/>
      </c>
      <c r="U169" s="20">
        <f t="shared" si="46"/>
        <v>-39.421039999999998</v>
      </c>
      <c r="V169" s="20">
        <f t="shared" si="47"/>
        <v>33.736870000000003</v>
      </c>
      <c r="W169" s="19">
        <f>Data!I167</f>
        <v>0</v>
      </c>
      <c r="X169" s="17" t="str">
        <f>CONCATENATE(Data!J167, " ", Data!K167)</f>
        <v xml:space="preserve"> </v>
      </c>
    </row>
    <row r="170" spans="1:24" x14ac:dyDescent="0.3">
      <c r="A170" s="17" t="str">
        <f>Data!A168</f>
        <v>vehicle1</v>
      </c>
      <c r="B170" s="17" t="str">
        <f>Data!B168</f>
        <v>Vehicle, Gasoline or Petrol</v>
      </c>
      <c r="C170" s="17" t="str">
        <f>Data!C168</f>
        <v>1f2g3h4j5k6l</v>
      </c>
      <c r="D170" s="52">
        <f>Data!D168</f>
        <v>45066.132395833331</v>
      </c>
      <c r="E170" s="60" t="str">
        <f>IF(Data!E168="GpsRecord",Data!F168,"")</f>
        <v/>
      </c>
      <c r="F170" s="68" t="str">
        <f t="shared" si="33"/>
        <v>Clarksburg, WV, HARRISON_20268, Clarksburg, WV: 500 Baltimore Ave, Clarksburg, WV 26301, USA</v>
      </c>
      <c r="G170" t="b">
        <f t="shared" si="34"/>
        <v>0</v>
      </c>
      <c r="H170" t="b">
        <f t="shared" si="35"/>
        <v>0</v>
      </c>
      <c r="I170" t="b">
        <f t="shared" si="36"/>
        <v>0</v>
      </c>
      <c r="J170" t="str">
        <f t="shared" si="37"/>
        <v/>
      </c>
      <c r="K170" t="str">
        <f t="shared" si="38"/>
        <v/>
      </c>
      <c r="L170" t="str">
        <f t="shared" si="39"/>
        <v>,</v>
      </c>
      <c r="M170" t="str">
        <f t="shared" si="40"/>
        <v/>
      </c>
      <c r="N170" t="str">
        <f t="shared" si="41"/>
        <v/>
      </c>
      <c r="O170" t="str">
        <f t="shared" si="42"/>
        <v/>
      </c>
      <c r="P170" t="str">
        <f t="shared" si="43"/>
        <v/>
      </c>
      <c r="Q170" t="str">
        <f t="shared" si="44"/>
        <v/>
      </c>
      <c r="R170" s="20" t="str">
        <f t="shared" si="45"/>
        <v>WV</v>
      </c>
      <c r="S170" s="20" t="str">
        <f>IF(Data!E168="GpsRecord",Data!G168,"")</f>
        <v/>
      </c>
      <c r="T170" s="20" t="str">
        <f>IF(Data!E168="GpsRecord",Data!H168,"")</f>
        <v/>
      </c>
      <c r="U170" s="20">
        <f t="shared" si="46"/>
        <v>-39.421039999999998</v>
      </c>
      <c r="V170" s="20">
        <f t="shared" si="47"/>
        <v>33.736870000000003</v>
      </c>
      <c r="W170" s="19">
        <f>Data!I168</f>
        <v>0</v>
      </c>
      <c r="X170" s="17" t="str">
        <f>CONCATENATE(Data!J168, " ", Data!K168)</f>
        <v xml:space="preserve"> </v>
      </c>
    </row>
    <row r="171" spans="1:24" x14ac:dyDescent="0.3">
      <c r="A171" s="17" t="str">
        <f>Data!A169</f>
        <v>vehicle1</v>
      </c>
      <c r="B171" s="17" t="str">
        <f>Data!B169</f>
        <v>Vehicle, Gasoline or Petrol</v>
      </c>
      <c r="C171" s="17" t="str">
        <f>Data!C169</f>
        <v>1f2g3h4j5k6l</v>
      </c>
      <c r="D171" s="52">
        <f>Data!D169</f>
        <v>45066.132060185184</v>
      </c>
      <c r="E171" s="60" t="str">
        <f>IF(Data!E169="GpsRecord",Data!F169,"")</f>
        <v/>
      </c>
      <c r="F171" s="68" t="str">
        <f t="shared" si="33"/>
        <v>Clarksburg, WV, HARRISON_20268, Clarksburg, WV: 500 Baltimore Ave, Clarksburg, WV 26301, USA</v>
      </c>
      <c r="G171" t="b">
        <f t="shared" si="34"/>
        <v>0</v>
      </c>
      <c r="H171" t="b">
        <f t="shared" si="35"/>
        <v>0</v>
      </c>
      <c r="I171" t="b">
        <f t="shared" si="36"/>
        <v>0</v>
      </c>
      <c r="J171" t="str">
        <f t="shared" si="37"/>
        <v/>
      </c>
      <c r="K171" t="str">
        <f t="shared" si="38"/>
        <v/>
      </c>
      <c r="L171" t="str">
        <f t="shared" si="39"/>
        <v>,</v>
      </c>
      <c r="M171" t="str">
        <f t="shared" si="40"/>
        <v/>
      </c>
      <c r="N171" t="str">
        <f t="shared" si="41"/>
        <v/>
      </c>
      <c r="O171" t="str">
        <f t="shared" si="42"/>
        <v/>
      </c>
      <c r="P171" t="str">
        <f t="shared" si="43"/>
        <v/>
      </c>
      <c r="Q171" t="str">
        <f t="shared" si="44"/>
        <v/>
      </c>
      <c r="R171" s="20" t="str">
        <f t="shared" si="45"/>
        <v>WV</v>
      </c>
      <c r="S171" s="20" t="str">
        <f>IF(Data!E169="GpsRecord",Data!G169,"")</f>
        <v/>
      </c>
      <c r="T171" s="20" t="str">
        <f>IF(Data!E169="GpsRecord",Data!H169,"")</f>
        <v/>
      </c>
      <c r="U171" s="20">
        <f t="shared" si="46"/>
        <v>-39.421039999999998</v>
      </c>
      <c r="V171" s="20">
        <f t="shared" si="47"/>
        <v>33.736870000000003</v>
      </c>
      <c r="W171" s="19">
        <f>Data!I169</f>
        <v>0</v>
      </c>
      <c r="X171" s="17" t="str">
        <f>CONCATENATE(Data!J169, " ", Data!K169)</f>
        <v xml:space="preserve"> </v>
      </c>
    </row>
    <row r="172" spans="1:24" x14ac:dyDescent="0.3">
      <c r="A172" s="17" t="str">
        <f>Data!A170</f>
        <v>vehicle1</v>
      </c>
      <c r="B172" s="17" t="str">
        <f>Data!B170</f>
        <v>Vehicle, Gasoline or Petrol</v>
      </c>
      <c r="C172" s="17" t="str">
        <f>Data!C170</f>
        <v>1f2g3h4j5k6l</v>
      </c>
      <c r="D172" s="52">
        <f>Data!D170</f>
        <v>45066.132060185184</v>
      </c>
      <c r="E172" s="60" t="str">
        <f>IF(Data!E170="GpsRecord",Data!F170,"")</f>
        <v/>
      </c>
      <c r="F172" s="68" t="str">
        <f t="shared" si="33"/>
        <v>Clarksburg, WV, HARRISON_20268, Clarksburg, WV: 500 Baltimore Ave, Clarksburg, WV 26301, USA</v>
      </c>
      <c r="G172" t="b">
        <f t="shared" si="34"/>
        <v>0</v>
      </c>
      <c r="H172" t="b">
        <f t="shared" si="35"/>
        <v>0</v>
      </c>
      <c r="I172" t="b">
        <f t="shared" si="36"/>
        <v>0</v>
      </c>
      <c r="J172" t="str">
        <f t="shared" si="37"/>
        <v/>
      </c>
      <c r="K172" t="str">
        <f t="shared" si="38"/>
        <v/>
      </c>
      <c r="L172" t="str">
        <f t="shared" si="39"/>
        <v>,</v>
      </c>
      <c r="M172" t="str">
        <f t="shared" si="40"/>
        <v/>
      </c>
      <c r="N172" t="str">
        <f t="shared" si="41"/>
        <v/>
      </c>
      <c r="O172" t="str">
        <f t="shared" si="42"/>
        <v/>
      </c>
      <c r="P172" t="str">
        <f t="shared" si="43"/>
        <v/>
      </c>
      <c r="Q172" t="str">
        <f t="shared" si="44"/>
        <v/>
      </c>
      <c r="R172" s="20" t="str">
        <f t="shared" si="45"/>
        <v>WV</v>
      </c>
      <c r="S172" s="20" t="str">
        <f>IF(Data!E170="GpsRecord",Data!G170,"")</f>
        <v/>
      </c>
      <c r="T172" s="20" t="str">
        <f>IF(Data!E170="GpsRecord",Data!H170,"")</f>
        <v/>
      </c>
      <c r="U172" s="20">
        <f t="shared" si="46"/>
        <v>-39.421039999999998</v>
      </c>
      <c r="V172" s="20">
        <f t="shared" si="47"/>
        <v>33.736870000000003</v>
      </c>
      <c r="W172" s="19">
        <f>Data!I170</f>
        <v>0</v>
      </c>
      <c r="X172" s="17" t="str">
        <f>CONCATENATE(Data!J170, " ", Data!K170)</f>
        <v xml:space="preserve"> </v>
      </c>
    </row>
    <row r="173" spans="1:24" x14ac:dyDescent="0.3">
      <c r="A173" s="17" t="str">
        <f>Data!A171</f>
        <v>vehicle1</v>
      </c>
      <c r="B173" s="17" t="str">
        <f>Data!B171</f>
        <v>Vehicle, Gasoline or Petrol</v>
      </c>
      <c r="C173" s="17" t="str">
        <f>Data!C171</f>
        <v>1f2g3h4j5k6l</v>
      </c>
      <c r="D173" s="52">
        <f>Data!D171</f>
        <v>45066.132060185184</v>
      </c>
      <c r="E173" s="60" t="str">
        <f>IF(Data!E171="GpsRecord",Data!F171,"")</f>
        <v/>
      </c>
      <c r="F173" s="68" t="str">
        <f t="shared" si="33"/>
        <v>Clarksburg, WV, HARRISON_20268, Clarksburg, WV: 500 Baltimore Ave, Clarksburg, WV 26301, USA</v>
      </c>
      <c r="G173" t="b">
        <f t="shared" si="34"/>
        <v>0</v>
      </c>
      <c r="H173" t="b">
        <f t="shared" si="35"/>
        <v>0</v>
      </c>
      <c r="I173" t="b">
        <f t="shared" si="36"/>
        <v>0</v>
      </c>
      <c r="J173" t="str">
        <f t="shared" si="37"/>
        <v/>
      </c>
      <c r="K173" t="str">
        <f t="shared" si="38"/>
        <v/>
      </c>
      <c r="L173" t="str">
        <f t="shared" si="39"/>
        <v>,</v>
      </c>
      <c r="M173" t="str">
        <f t="shared" si="40"/>
        <v/>
      </c>
      <c r="N173" t="str">
        <f t="shared" si="41"/>
        <v/>
      </c>
      <c r="O173" t="str">
        <f t="shared" si="42"/>
        <v/>
      </c>
      <c r="P173" t="str">
        <f t="shared" si="43"/>
        <v/>
      </c>
      <c r="Q173" t="str">
        <f t="shared" si="44"/>
        <v/>
      </c>
      <c r="R173" s="20" t="str">
        <f t="shared" si="45"/>
        <v>WV</v>
      </c>
      <c r="S173" s="20" t="str">
        <f>IF(Data!E171="GpsRecord",Data!G171,"")</f>
        <v/>
      </c>
      <c r="T173" s="20" t="str">
        <f>IF(Data!E171="GpsRecord",Data!H171,"")</f>
        <v/>
      </c>
      <c r="U173" s="20">
        <f t="shared" si="46"/>
        <v>-39.421039999999998</v>
      </c>
      <c r="V173" s="20">
        <f t="shared" si="47"/>
        <v>33.736870000000003</v>
      </c>
      <c r="W173" s="19">
        <f>Data!I171</f>
        <v>0</v>
      </c>
      <c r="X173" s="17" t="str">
        <f>CONCATENATE(Data!J171, " ", Data!K171)</f>
        <v xml:space="preserve"> </v>
      </c>
    </row>
    <row r="174" spans="1:24" x14ac:dyDescent="0.3">
      <c r="A174" s="17" t="str">
        <f>Data!A172</f>
        <v>vehicle1</v>
      </c>
      <c r="B174" s="17" t="str">
        <f>Data!B172</f>
        <v>Vehicle, Gasoline or Petrol</v>
      </c>
      <c r="C174" s="17" t="str">
        <f>Data!C172</f>
        <v>1f2g3h4j5k6l</v>
      </c>
      <c r="D174" s="52">
        <f>Data!D172</f>
        <v>45066.132418981484</v>
      </c>
      <c r="E174" s="60" t="str">
        <f>IF(Data!E172="GpsRecord",Data!F172,"")</f>
        <v>Clarksburg, WV, HARRISON_20268, Clarksburg, WV: 500 Baltimore Ave, Clarksburg, WV 26301, USA</v>
      </c>
      <c r="F174" s="68" t="str">
        <f t="shared" si="33"/>
        <v>Clarksburg, WV, HARRISON_20268, Clarksburg, WV: 500 Baltimore Ave, Clarksburg, WV 26301, USA</v>
      </c>
      <c r="G174" t="b">
        <f t="shared" si="34"/>
        <v>0</v>
      </c>
      <c r="H174" t="b">
        <f t="shared" si="35"/>
        <v>1</v>
      </c>
      <c r="I174" t="b">
        <f t="shared" si="36"/>
        <v>1</v>
      </c>
      <c r="J174" t="str">
        <f t="shared" si="37"/>
        <v>500 Baltimore Ave, Clarksburg, WV 26301, USA</v>
      </c>
      <c r="K174" t="str">
        <f t="shared" si="38"/>
        <v xml:space="preserve"> USA</v>
      </c>
      <c r="L174" t="str">
        <f t="shared" si="39"/>
        <v>, USA</v>
      </c>
      <c r="M174" t="str">
        <f t="shared" si="40"/>
        <v>500 Baltimore Ave, Clarksburg, WV 26301</v>
      </c>
      <c r="N174" t="str">
        <f t="shared" si="41"/>
        <v xml:space="preserve"> WV 26301</v>
      </c>
      <c r="O174" t="str">
        <f t="shared" si="42"/>
        <v>26301</v>
      </c>
      <c r="P174" t="str">
        <f t="shared" si="43"/>
        <v xml:space="preserve"> WV</v>
      </c>
      <c r="Q174" t="str">
        <f t="shared" si="44"/>
        <v>WV</v>
      </c>
      <c r="R174" s="20" t="str">
        <f t="shared" si="45"/>
        <v>WV</v>
      </c>
      <c r="S174" s="20">
        <f>IF(Data!E172="GpsRecord",Data!G172,"")</f>
        <v>-39.421059999999997</v>
      </c>
      <c r="T174" s="20">
        <f>IF(Data!E172="GpsRecord",Data!H172,"")</f>
        <v>33.736919999999998</v>
      </c>
      <c r="U174" s="20">
        <f t="shared" si="46"/>
        <v>-39.421059999999997</v>
      </c>
      <c r="V174" s="20">
        <f t="shared" si="47"/>
        <v>33.736919999999998</v>
      </c>
      <c r="W174" s="19">
        <f>Data!I172</f>
        <v>0</v>
      </c>
      <c r="X174" s="17" t="str">
        <f>CONCATENATE(Data!J172, " ", Data!K172)</f>
        <v xml:space="preserve"> </v>
      </c>
    </row>
    <row r="175" spans="1:24" x14ac:dyDescent="0.3">
      <c r="A175" s="17" t="str">
        <f>Data!A173</f>
        <v>vehicle1</v>
      </c>
      <c r="B175" s="17" t="str">
        <f>Data!B173</f>
        <v>Vehicle, Gasoline or Petrol</v>
      </c>
      <c r="C175" s="17" t="str">
        <f>Data!C173</f>
        <v>1f2g3h4j5k6l</v>
      </c>
      <c r="D175" s="52">
        <f>Data!D173</f>
        <v>45066.132418981484</v>
      </c>
      <c r="E175" s="60" t="str">
        <f>IF(Data!E173="GpsRecord",Data!F173,"")</f>
        <v/>
      </c>
      <c r="F175" s="68" t="str">
        <f t="shared" si="33"/>
        <v>Clarksburg, WV, HARRISON_20268, Clarksburg, WV: 500 Baltimore Ave, Clarksburg, WV 26301, USA</v>
      </c>
      <c r="G175" t="b">
        <f t="shared" si="34"/>
        <v>0</v>
      </c>
      <c r="H175" t="b">
        <f t="shared" si="35"/>
        <v>0</v>
      </c>
      <c r="I175" t="b">
        <f t="shared" si="36"/>
        <v>0</v>
      </c>
      <c r="J175" t="str">
        <f t="shared" si="37"/>
        <v/>
      </c>
      <c r="K175" t="str">
        <f t="shared" si="38"/>
        <v/>
      </c>
      <c r="L175" t="str">
        <f t="shared" si="39"/>
        <v>,</v>
      </c>
      <c r="M175" t="str">
        <f t="shared" si="40"/>
        <v/>
      </c>
      <c r="N175" t="str">
        <f t="shared" si="41"/>
        <v/>
      </c>
      <c r="O175" t="str">
        <f t="shared" si="42"/>
        <v/>
      </c>
      <c r="P175" t="str">
        <f t="shared" si="43"/>
        <v/>
      </c>
      <c r="Q175" t="str">
        <f t="shared" si="44"/>
        <v/>
      </c>
      <c r="R175" s="20" t="str">
        <f t="shared" si="45"/>
        <v>WV</v>
      </c>
      <c r="S175" s="20" t="str">
        <f>IF(Data!E173="GpsRecord",Data!G173,"")</f>
        <v/>
      </c>
      <c r="T175" s="20" t="str">
        <f>IF(Data!E173="GpsRecord",Data!H173,"")</f>
        <v/>
      </c>
      <c r="U175" s="20">
        <f t="shared" si="46"/>
        <v>-39.421059999999997</v>
      </c>
      <c r="V175" s="20">
        <f t="shared" si="47"/>
        <v>33.736919999999998</v>
      </c>
      <c r="W175" s="19">
        <f>Data!I173</f>
        <v>0</v>
      </c>
      <c r="X175" s="17" t="str">
        <f>CONCATENATE(Data!J173, " ", Data!K173)</f>
        <v xml:space="preserve"> </v>
      </c>
    </row>
    <row r="176" spans="1:24" x14ac:dyDescent="0.3">
      <c r="A176" s="17" t="str">
        <f>Data!A174</f>
        <v>vehicle1</v>
      </c>
      <c r="B176" s="17" t="str">
        <f>Data!B174</f>
        <v>Vehicle, Gasoline or Petrol</v>
      </c>
      <c r="C176" s="17" t="str">
        <f>Data!C174</f>
        <v>1f2g3h4j5k6l</v>
      </c>
      <c r="D176" s="52">
        <f>Data!D174</f>
        <v>45066.132418981484</v>
      </c>
      <c r="E176" s="60" t="str">
        <f>IF(Data!E174="GpsRecord",Data!F174,"")</f>
        <v/>
      </c>
      <c r="F176" s="68" t="str">
        <f t="shared" si="33"/>
        <v>Clarksburg, WV, HARRISON_20268, Clarksburg, WV: 500 Baltimore Ave, Clarksburg, WV 26301, USA</v>
      </c>
      <c r="G176" t="b">
        <f t="shared" si="34"/>
        <v>0</v>
      </c>
      <c r="H176" t="b">
        <f t="shared" si="35"/>
        <v>0</v>
      </c>
      <c r="I176" t="b">
        <f t="shared" si="36"/>
        <v>0</v>
      </c>
      <c r="J176" t="str">
        <f t="shared" si="37"/>
        <v/>
      </c>
      <c r="K176" t="str">
        <f t="shared" si="38"/>
        <v/>
      </c>
      <c r="L176" t="str">
        <f t="shared" si="39"/>
        <v>,</v>
      </c>
      <c r="M176" t="str">
        <f t="shared" si="40"/>
        <v/>
      </c>
      <c r="N176" t="str">
        <f t="shared" si="41"/>
        <v/>
      </c>
      <c r="O176" t="str">
        <f t="shared" si="42"/>
        <v/>
      </c>
      <c r="P176" t="str">
        <f t="shared" si="43"/>
        <v/>
      </c>
      <c r="Q176" t="str">
        <f t="shared" si="44"/>
        <v/>
      </c>
      <c r="R176" s="20" t="str">
        <f t="shared" si="45"/>
        <v>WV</v>
      </c>
      <c r="S176" s="20" t="str">
        <f>IF(Data!E174="GpsRecord",Data!G174,"")</f>
        <v/>
      </c>
      <c r="T176" s="20" t="str">
        <f>IF(Data!E174="GpsRecord",Data!H174,"")</f>
        <v/>
      </c>
      <c r="U176" s="20">
        <f t="shared" si="46"/>
        <v>-39.421059999999997</v>
      </c>
      <c r="V176" s="20">
        <f t="shared" si="47"/>
        <v>33.736919999999998</v>
      </c>
      <c r="W176" s="19" t="str">
        <f>Data!I174</f>
        <v>PositionValidAtDevice</v>
      </c>
      <c r="X176" s="17" t="str">
        <f>CONCATENATE(Data!J174, " ", Data!K174)</f>
        <v>1 None</v>
      </c>
    </row>
    <row r="177" spans="1:24" x14ac:dyDescent="0.3">
      <c r="A177" s="17" t="str">
        <f>Data!A175</f>
        <v>vehicle1</v>
      </c>
      <c r="B177" s="17" t="str">
        <f>Data!B175</f>
        <v>Vehicle, Gasoline or Petrol</v>
      </c>
      <c r="C177" s="17" t="str">
        <f>Data!C175</f>
        <v>1f2g3h4j5k6l</v>
      </c>
      <c r="D177" s="52">
        <f>Data!D175</f>
        <v>45066.132418981484</v>
      </c>
      <c r="E177" s="60" t="str">
        <f>IF(Data!E175="GpsRecord",Data!F175,"")</f>
        <v/>
      </c>
      <c r="F177" s="68" t="str">
        <f t="shared" si="33"/>
        <v>Clarksburg, WV, HARRISON_20268, Clarksburg, WV: 500 Baltimore Ave, Clarksburg, WV 26301, USA</v>
      </c>
      <c r="G177" t="b">
        <f t="shared" si="34"/>
        <v>0</v>
      </c>
      <c r="H177" t="b">
        <f t="shared" si="35"/>
        <v>0</v>
      </c>
      <c r="I177" t="b">
        <f t="shared" si="36"/>
        <v>0</v>
      </c>
      <c r="J177" t="str">
        <f t="shared" si="37"/>
        <v/>
      </c>
      <c r="K177" t="str">
        <f t="shared" si="38"/>
        <v/>
      </c>
      <c r="L177" t="str">
        <f t="shared" si="39"/>
        <v>,</v>
      </c>
      <c r="M177" t="str">
        <f t="shared" si="40"/>
        <v/>
      </c>
      <c r="N177" t="str">
        <f t="shared" si="41"/>
        <v/>
      </c>
      <c r="O177" t="str">
        <f t="shared" si="42"/>
        <v/>
      </c>
      <c r="P177" t="str">
        <f t="shared" si="43"/>
        <v/>
      </c>
      <c r="Q177" t="str">
        <f t="shared" si="44"/>
        <v/>
      </c>
      <c r="R177" s="20" t="str">
        <f t="shared" si="45"/>
        <v>WV</v>
      </c>
      <c r="S177" s="20" t="str">
        <f>IF(Data!E175="GpsRecord",Data!G175,"")</f>
        <v/>
      </c>
      <c r="T177" s="20" t="str">
        <f>IF(Data!E175="GpsRecord",Data!H175,"")</f>
        <v/>
      </c>
      <c r="U177" s="20">
        <f t="shared" si="46"/>
        <v>-39.421059999999997</v>
      </c>
      <c r="V177" s="20">
        <f t="shared" si="47"/>
        <v>33.736919999999998</v>
      </c>
      <c r="W177" s="19">
        <f>Data!I175</f>
        <v>0</v>
      </c>
      <c r="X177" s="17" t="str">
        <f>CONCATENATE(Data!J175, " ", Data!K175)</f>
        <v xml:space="preserve"> </v>
      </c>
    </row>
    <row r="178" spans="1:24" x14ac:dyDescent="0.3">
      <c r="A178" s="17" t="str">
        <f>Data!A176</f>
        <v>vehicle1</v>
      </c>
      <c r="B178" s="17" t="str">
        <f>Data!B176</f>
        <v>Vehicle, Gasoline or Petrol</v>
      </c>
      <c r="C178" s="17" t="str">
        <f>Data!C176</f>
        <v>1f2g3h4j5k6l</v>
      </c>
      <c r="D178" s="52">
        <f>Data!D176</f>
        <v>45066.132418981484</v>
      </c>
      <c r="E178" s="60" t="str">
        <f>IF(Data!E176="GpsRecord",Data!F176,"")</f>
        <v/>
      </c>
      <c r="F178" s="68" t="str">
        <f t="shared" si="33"/>
        <v>Clarksburg, WV, HARRISON_20268, Clarksburg, WV: 500 Baltimore Ave, Clarksburg, WV 26301, USA</v>
      </c>
      <c r="G178" t="b">
        <f t="shared" si="34"/>
        <v>0</v>
      </c>
      <c r="H178" t="b">
        <f t="shared" si="35"/>
        <v>0</v>
      </c>
      <c r="I178" t="b">
        <f t="shared" si="36"/>
        <v>0</v>
      </c>
      <c r="J178" t="str">
        <f t="shared" si="37"/>
        <v/>
      </c>
      <c r="K178" t="str">
        <f t="shared" si="38"/>
        <v/>
      </c>
      <c r="L178" t="str">
        <f t="shared" si="39"/>
        <v>,</v>
      </c>
      <c r="M178" t="str">
        <f t="shared" si="40"/>
        <v/>
      </c>
      <c r="N178" t="str">
        <f t="shared" si="41"/>
        <v/>
      </c>
      <c r="O178" t="str">
        <f t="shared" si="42"/>
        <v/>
      </c>
      <c r="P178" t="str">
        <f t="shared" si="43"/>
        <v/>
      </c>
      <c r="Q178" t="str">
        <f t="shared" si="44"/>
        <v/>
      </c>
      <c r="R178" s="20" t="str">
        <f t="shared" si="45"/>
        <v>WV</v>
      </c>
      <c r="S178" s="20" t="str">
        <f>IF(Data!E176="GpsRecord",Data!G176,"")</f>
        <v/>
      </c>
      <c r="T178" s="20" t="str">
        <f>IF(Data!E176="GpsRecord",Data!H176,"")</f>
        <v/>
      </c>
      <c r="U178" s="20">
        <f t="shared" si="46"/>
        <v>-39.421059999999997</v>
      </c>
      <c r="V178" s="20">
        <f t="shared" si="47"/>
        <v>33.736919999999998</v>
      </c>
      <c r="W178" s="19">
        <f>Data!I176</f>
        <v>0</v>
      </c>
      <c r="X178" s="17" t="str">
        <f>CONCATENATE(Data!J176, " ", Data!K176)</f>
        <v xml:space="preserve"> </v>
      </c>
    </row>
    <row r="179" spans="1:24" x14ac:dyDescent="0.3">
      <c r="A179" s="17" t="str">
        <f>Data!A177</f>
        <v>vehicle1</v>
      </c>
      <c r="B179" s="17" t="str">
        <f>Data!B177</f>
        <v>Vehicle, Gasoline or Petrol</v>
      </c>
      <c r="C179" s="17" t="str">
        <f>Data!C177</f>
        <v>1f2g3h4j5k6l</v>
      </c>
      <c r="D179" s="52">
        <f>Data!D177</f>
        <v>45066.132418981484</v>
      </c>
      <c r="E179" s="60" t="str">
        <f>IF(Data!E177="GpsRecord",Data!F177,"")</f>
        <v/>
      </c>
      <c r="F179" s="68" t="str">
        <f t="shared" si="33"/>
        <v>Clarksburg, WV, HARRISON_20268, Clarksburg, WV: 500 Baltimore Ave, Clarksburg, WV 26301, USA</v>
      </c>
      <c r="G179" t="b">
        <f t="shared" si="34"/>
        <v>0</v>
      </c>
      <c r="H179" t="b">
        <f t="shared" si="35"/>
        <v>0</v>
      </c>
      <c r="I179" t="b">
        <f t="shared" si="36"/>
        <v>0</v>
      </c>
      <c r="J179" t="str">
        <f t="shared" si="37"/>
        <v/>
      </c>
      <c r="K179" t="str">
        <f t="shared" si="38"/>
        <v/>
      </c>
      <c r="L179" t="str">
        <f t="shared" si="39"/>
        <v>,</v>
      </c>
      <c r="M179" t="str">
        <f t="shared" si="40"/>
        <v/>
      </c>
      <c r="N179" t="str">
        <f t="shared" si="41"/>
        <v/>
      </c>
      <c r="O179" t="str">
        <f t="shared" si="42"/>
        <v/>
      </c>
      <c r="P179" t="str">
        <f t="shared" si="43"/>
        <v/>
      </c>
      <c r="Q179" t="str">
        <f t="shared" si="44"/>
        <v/>
      </c>
      <c r="R179" s="20" t="str">
        <f t="shared" si="45"/>
        <v>WV</v>
      </c>
      <c r="S179" s="20" t="str">
        <f>IF(Data!E177="GpsRecord",Data!G177,"")</f>
        <v/>
      </c>
      <c r="T179" s="20" t="str">
        <f>IF(Data!E177="GpsRecord",Data!H177,"")</f>
        <v/>
      </c>
      <c r="U179" s="20">
        <f t="shared" si="46"/>
        <v>-39.421059999999997</v>
      </c>
      <c r="V179" s="20">
        <f t="shared" si="47"/>
        <v>33.736919999999998</v>
      </c>
      <c r="W179" s="19">
        <f>Data!I177</f>
        <v>0</v>
      </c>
      <c r="X179" s="17" t="str">
        <f>CONCATENATE(Data!J177, " ", Data!K177)</f>
        <v xml:space="preserve"> </v>
      </c>
    </row>
    <row r="180" spans="1:24" x14ac:dyDescent="0.3">
      <c r="A180" s="17" t="str">
        <f>Data!A178</f>
        <v>vehicle1</v>
      </c>
      <c r="B180" s="17" t="str">
        <f>Data!B178</f>
        <v>Vehicle, Gasoline or Petrol</v>
      </c>
      <c r="C180" s="17" t="str">
        <f>Data!C178</f>
        <v>1f2g3h4j5k6l</v>
      </c>
      <c r="D180" s="52">
        <f>Data!D178</f>
        <v>45066.132418981484</v>
      </c>
      <c r="E180" s="60" t="str">
        <f>IF(Data!E178="GpsRecord",Data!F178,"")</f>
        <v>Clarksburg, WV, HARRISON_20268, Clarksburg, WV: 500 Baltimore Ave, Clarksburg, WV 26301, USA</v>
      </c>
      <c r="F180" s="68" t="str">
        <f t="shared" si="33"/>
        <v>Clarksburg, WV, HARRISON_20268, Clarksburg, WV: 500 Baltimore Ave, Clarksburg, WV 26301, USA</v>
      </c>
      <c r="G180" t="b">
        <f t="shared" si="34"/>
        <v>0</v>
      </c>
      <c r="H180" t="b">
        <f t="shared" si="35"/>
        <v>1</v>
      </c>
      <c r="I180" t="b">
        <f t="shared" si="36"/>
        <v>1</v>
      </c>
      <c r="J180" t="str">
        <f t="shared" si="37"/>
        <v>500 Baltimore Ave, Clarksburg, WV 26301, USA</v>
      </c>
      <c r="K180" t="str">
        <f t="shared" si="38"/>
        <v xml:space="preserve"> USA</v>
      </c>
      <c r="L180" t="str">
        <f t="shared" si="39"/>
        <v>, USA</v>
      </c>
      <c r="M180" t="str">
        <f t="shared" si="40"/>
        <v>500 Baltimore Ave, Clarksburg, WV 26301</v>
      </c>
      <c r="N180" t="str">
        <f t="shared" si="41"/>
        <v xml:space="preserve"> WV 26301</v>
      </c>
      <c r="O180" t="str">
        <f t="shared" si="42"/>
        <v>26301</v>
      </c>
      <c r="P180" t="str">
        <f t="shared" si="43"/>
        <v xml:space="preserve"> WV</v>
      </c>
      <c r="Q180" t="str">
        <f t="shared" si="44"/>
        <v>WV</v>
      </c>
      <c r="R180" s="20" t="str">
        <f t="shared" si="45"/>
        <v>WV</v>
      </c>
      <c r="S180" s="20">
        <f>IF(Data!E178="GpsRecord",Data!G178,"")</f>
        <v>-39.421059999999997</v>
      </c>
      <c r="T180" s="20">
        <f>IF(Data!E178="GpsRecord",Data!H178,"")</f>
        <v>33.736919999999998</v>
      </c>
      <c r="U180" s="20">
        <f t="shared" si="46"/>
        <v>-39.421059999999997</v>
      </c>
      <c r="V180" s="20">
        <f t="shared" si="47"/>
        <v>33.736919999999998</v>
      </c>
      <c r="W180" s="19">
        <f>Data!I178</f>
        <v>0</v>
      </c>
      <c r="X180" s="17" t="str">
        <f>CONCATENATE(Data!J178, " ", Data!K178)</f>
        <v xml:space="preserve"> </v>
      </c>
    </row>
    <row r="181" spans="1:24" x14ac:dyDescent="0.3">
      <c r="A181" s="17" t="str">
        <f>Data!A179</f>
        <v>vehicle1</v>
      </c>
      <c r="B181" s="17" t="str">
        <f>Data!B179</f>
        <v>Vehicle, Gasoline or Petrol</v>
      </c>
      <c r="C181" s="17" t="str">
        <f>Data!C179</f>
        <v>1f2g3h4j5k6l</v>
      </c>
      <c r="D181" s="52">
        <f>Data!D179</f>
        <v>45066.132418981484</v>
      </c>
      <c r="E181" s="60" t="str">
        <f>IF(Data!E179="GpsRecord",Data!F179,"")</f>
        <v/>
      </c>
      <c r="F181" s="68" t="str">
        <f t="shared" si="33"/>
        <v>Clarksburg, WV, HARRISON_20268, Clarksburg, WV: 500 Baltimore Ave, Clarksburg, WV 26301, USA</v>
      </c>
      <c r="G181" t="b">
        <f t="shared" si="34"/>
        <v>0</v>
      </c>
      <c r="H181" t="b">
        <f t="shared" si="35"/>
        <v>0</v>
      </c>
      <c r="I181" t="b">
        <f t="shared" si="36"/>
        <v>0</v>
      </c>
      <c r="J181" t="str">
        <f t="shared" si="37"/>
        <v/>
      </c>
      <c r="K181" t="str">
        <f t="shared" si="38"/>
        <v/>
      </c>
      <c r="L181" t="str">
        <f t="shared" si="39"/>
        <v>,</v>
      </c>
      <c r="M181" t="str">
        <f t="shared" si="40"/>
        <v/>
      </c>
      <c r="N181" t="str">
        <f t="shared" si="41"/>
        <v/>
      </c>
      <c r="O181" t="str">
        <f t="shared" si="42"/>
        <v/>
      </c>
      <c r="P181" t="str">
        <f t="shared" si="43"/>
        <v/>
      </c>
      <c r="Q181" t="str">
        <f t="shared" si="44"/>
        <v/>
      </c>
      <c r="R181" s="20" t="str">
        <f t="shared" si="45"/>
        <v>WV</v>
      </c>
      <c r="S181" s="20" t="str">
        <f>IF(Data!E179="GpsRecord",Data!G179,"")</f>
        <v/>
      </c>
      <c r="T181" s="20" t="str">
        <f>IF(Data!E179="GpsRecord",Data!H179,"")</f>
        <v/>
      </c>
      <c r="U181" s="20">
        <f t="shared" si="46"/>
        <v>-39.421059999999997</v>
      </c>
      <c r="V181" s="20">
        <f t="shared" si="47"/>
        <v>33.736919999999998</v>
      </c>
      <c r="W181" s="19">
        <f>Data!I179</f>
        <v>0</v>
      </c>
      <c r="X181" s="17" t="str">
        <f>CONCATENATE(Data!J179, " ", Data!K179)</f>
        <v xml:space="preserve"> </v>
      </c>
    </row>
    <row r="182" spans="1:24" x14ac:dyDescent="0.3">
      <c r="A182" s="17" t="str">
        <f>Data!A180</f>
        <v>vehicle1</v>
      </c>
      <c r="B182" s="17" t="str">
        <f>Data!B180</f>
        <v>Vehicle, Gasoline or Petrol</v>
      </c>
      <c r="C182" s="17" t="str">
        <f>Data!C180</f>
        <v>1f2g3h4j5k6l</v>
      </c>
      <c r="D182" s="52">
        <f>Data!D180</f>
        <v>45066.132430555554</v>
      </c>
      <c r="E182" s="60" t="str">
        <f>IF(Data!E180="GpsRecord",Data!F180,"")</f>
        <v/>
      </c>
      <c r="F182" s="68" t="str">
        <f t="shared" si="33"/>
        <v>Clarksburg, WV, HARRISON_20268, Clarksburg, WV: 500 Baltimore Ave, Clarksburg, WV 26301, USA</v>
      </c>
      <c r="G182" t="b">
        <f t="shared" si="34"/>
        <v>0</v>
      </c>
      <c r="H182" t="b">
        <f t="shared" si="35"/>
        <v>0</v>
      </c>
      <c r="I182" t="b">
        <f t="shared" si="36"/>
        <v>0</v>
      </c>
      <c r="J182" t="str">
        <f t="shared" si="37"/>
        <v/>
      </c>
      <c r="K182" t="str">
        <f t="shared" si="38"/>
        <v/>
      </c>
      <c r="L182" t="str">
        <f t="shared" si="39"/>
        <v>,</v>
      </c>
      <c r="M182" t="str">
        <f t="shared" si="40"/>
        <v/>
      </c>
      <c r="N182" t="str">
        <f t="shared" si="41"/>
        <v/>
      </c>
      <c r="O182" t="str">
        <f t="shared" si="42"/>
        <v/>
      </c>
      <c r="P182" t="str">
        <f t="shared" si="43"/>
        <v/>
      </c>
      <c r="Q182" t="str">
        <f t="shared" si="44"/>
        <v/>
      </c>
      <c r="R182" s="20" t="str">
        <f t="shared" si="45"/>
        <v>WV</v>
      </c>
      <c r="S182" s="20" t="str">
        <f>IF(Data!E180="GpsRecord",Data!G180,"")</f>
        <v/>
      </c>
      <c r="T182" s="20" t="str">
        <f>IF(Data!E180="GpsRecord",Data!H180,"")</f>
        <v/>
      </c>
      <c r="U182" s="20">
        <f t="shared" si="46"/>
        <v>-39.421059999999997</v>
      </c>
      <c r="V182" s="20">
        <f t="shared" si="47"/>
        <v>33.736919999999998</v>
      </c>
      <c r="W182" s="19">
        <f>Data!I180</f>
        <v>0</v>
      </c>
      <c r="X182" s="17" t="str">
        <f>CONCATENATE(Data!J180, " ", Data!K180)</f>
        <v xml:space="preserve"> </v>
      </c>
    </row>
    <row r="183" spans="1:24" x14ac:dyDescent="0.3">
      <c r="A183" s="17" t="str">
        <f>Data!A181</f>
        <v>vehicle1</v>
      </c>
      <c r="B183" s="17" t="str">
        <f>Data!B181</f>
        <v>Vehicle, Gasoline or Petrol</v>
      </c>
      <c r="C183" s="17" t="str">
        <f>Data!C181</f>
        <v>1f2g3h4j5k6l</v>
      </c>
      <c r="D183" s="52">
        <f>Data!D181</f>
        <v>45066.132430555554</v>
      </c>
      <c r="E183" s="60" t="str">
        <f>IF(Data!E181="GpsRecord",Data!F181,"")</f>
        <v/>
      </c>
      <c r="F183" s="68" t="str">
        <f t="shared" si="33"/>
        <v>Clarksburg, WV, HARRISON_20268, Clarksburg, WV: 500 Baltimore Ave, Clarksburg, WV 26301, USA</v>
      </c>
      <c r="G183" t="b">
        <f t="shared" si="34"/>
        <v>0</v>
      </c>
      <c r="H183" t="b">
        <f t="shared" si="35"/>
        <v>0</v>
      </c>
      <c r="I183" t="b">
        <f t="shared" si="36"/>
        <v>0</v>
      </c>
      <c r="J183" t="str">
        <f t="shared" si="37"/>
        <v/>
      </c>
      <c r="K183" t="str">
        <f t="shared" si="38"/>
        <v/>
      </c>
      <c r="L183" t="str">
        <f t="shared" si="39"/>
        <v>,</v>
      </c>
      <c r="M183" t="str">
        <f t="shared" si="40"/>
        <v/>
      </c>
      <c r="N183" t="str">
        <f t="shared" si="41"/>
        <v/>
      </c>
      <c r="O183" t="str">
        <f t="shared" si="42"/>
        <v/>
      </c>
      <c r="P183" t="str">
        <f t="shared" si="43"/>
        <v/>
      </c>
      <c r="Q183" t="str">
        <f t="shared" si="44"/>
        <v/>
      </c>
      <c r="R183" s="20" t="str">
        <f t="shared" si="45"/>
        <v>WV</v>
      </c>
      <c r="S183" s="20" t="str">
        <f>IF(Data!E181="GpsRecord",Data!G181,"")</f>
        <v/>
      </c>
      <c r="T183" s="20" t="str">
        <f>IF(Data!E181="GpsRecord",Data!H181,"")</f>
        <v/>
      </c>
      <c r="U183" s="20">
        <f t="shared" si="46"/>
        <v>-39.421059999999997</v>
      </c>
      <c r="V183" s="20">
        <f t="shared" si="47"/>
        <v>33.736919999999998</v>
      </c>
      <c r="W183" s="19">
        <f>Data!I181</f>
        <v>0</v>
      </c>
      <c r="X183" s="17" t="str">
        <f>CONCATENATE(Data!J181, " ", Data!K181)</f>
        <v xml:space="preserve"> </v>
      </c>
    </row>
    <row r="184" spans="1:24" x14ac:dyDescent="0.3">
      <c r="A184" s="17" t="str">
        <f>Data!A182</f>
        <v>vehicle1</v>
      </c>
      <c r="B184" s="17" t="str">
        <f>Data!B182</f>
        <v>Vehicle, Gasoline or Petrol</v>
      </c>
      <c r="C184" s="17" t="str">
        <f>Data!C182</f>
        <v>1f2g3h4j5k6l</v>
      </c>
      <c r="D184" s="52">
        <f>Data!D182</f>
        <v>45066.132430555554</v>
      </c>
      <c r="E184" s="60" t="str">
        <f>IF(Data!E182="GpsRecord",Data!F182,"")</f>
        <v/>
      </c>
      <c r="F184" s="68" t="str">
        <f t="shared" si="33"/>
        <v>Clarksburg, WV, HARRISON_20268, Clarksburg, WV: 500 Baltimore Ave, Clarksburg, WV 26301, USA</v>
      </c>
      <c r="G184" t="b">
        <f t="shared" si="34"/>
        <v>0</v>
      </c>
      <c r="H184" t="b">
        <f t="shared" si="35"/>
        <v>0</v>
      </c>
      <c r="I184" t="b">
        <f t="shared" si="36"/>
        <v>0</v>
      </c>
      <c r="J184" t="str">
        <f t="shared" si="37"/>
        <v/>
      </c>
      <c r="K184" t="str">
        <f t="shared" si="38"/>
        <v/>
      </c>
      <c r="L184" t="str">
        <f t="shared" si="39"/>
        <v>,</v>
      </c>
      <c r="M184" t="str">
        <f t="shared" si="40"/>
        <v/>
      </c>
      <c r="N184" t="str">
        <f t="shared" si="41"/>
        <v/>
      </c>
      <c r="O184" t="str">
        <f t="shared" si="42"/>
        <v/>
      </c>
      <c r="P184" t="str">
        <f t="shared" si="43"/>
        <v/>
      </c>
      <c r="Q184" t="str">
        <f t="shared" si="44"/>
        <v/>
      </c>
      <c r="R184" s="20" t="str">
        <f t="shared" si="45"/>
        <v>WV</v>
      </c>
      <c r="S184" s="20" t="str">
        <f>IF(Data!E182="GpsRecord",Data!G182,"")</f>
        <v/>
      </c>
      <c r="T184" s="20" t="str">
        <f>IF(Data!E182="GpsRecord",Data!H182,"")</f>
        <v/>
      </c>
      <c r="U184" s="20">
        <f t="shared" si="46"/>
        <v>-39.421059999999997</v>
      </c>
      <c r="V184" s="20">
        <f t="shared" si="47"/>
        <v>33.736919999999998</v>
      </c>
      <c r="W184" s="19">
        <f>Data!I182</f>
        <v>0</v>
      </c>
      <c r="X184" s="17" t="str">
        <f>CONCATENATE(Data!J182, " ", Data!K182)</f>
        <v xml:space="preserve"> </v>
      </c>
    </row>
    <row r="185" spans="1:24" x14ac:dyDescent="0.3">
      <c r="A185" s="17" t="str">
        <f>Data!A183</f>
        <v>vehicle1</v>
      </c>
      <c r="B185" s="17" t="str">
        <f>Data!B183</f>
        <v>Vehicle, Gasoline or Petrol</v>
      </c>
      <c r="C185" s="17" t="str">
        <f>Data!C183</f>
        <v>1f2g3h4j5k6l</v>
      </c>
      <c r="D185" s="52">
        <f>Data!D183</f>
        <v>45066.13244212963</v>
      </c>
      <c r="E185" s="60" t="str">
        <f>IF(Data!E183="GpsRecord",Data!F183,"")</f>
        <v/>
      </c>
      <c r="F185" s="68" t="str">
        <f t="shared" si="33"/>
        <v>Clarksburg, WV, HARRISON_20268, Clarksburg, WV: 500 Baltimore Ave, Clarksburg, WV 26301, USA</v>
      </c>
      <c r="G185" t="b">
        <f t="shared" si="34"/>
        <v>0</v>
      </c>
      <c r="H185" t="b">
        <f t="shared" si="35"/>
        <v>0</v>
      </c>
      <c r="I185" t="b">
        <f t="shared" si="36"/>
        <v>0</v>
      </c>
      <c r="J185" t="str">
        <f t="shared" si="37"/>
        <v/>
      </c>
      <c r="K185" t="str">
        <f t="shared" si="38"/>
        <v/>
      </c>
      <c r="L185" t="str">
        <f t="shared" si="39"/>
        <v>,</v>
      </c>
      <c r="M185" t="str">
        <f t="shared" si="40"/>
        <v/>
      </c>
      <c r="N185" t="str">
        <f t="shared" si="41"/>
        <v/>
      </c>
      <c r="O185" t="str">
        <f t="shared" si="42"/>
        <v/>
      </c>
      <c r="P185" t="str">
        <f t="shared" si="43"/>
        <v/>
      </c>
      <c r="Q185" t="str">
        <f t="shared" si="44"/>
        <v/>
      </c>
      <c r="R185" s="20" t="str">
        <f t="shared" si="45"/>
        <v>WV</v>
      </c>
      <c r="S185" s="20" t="str">
        <f>IF(Data!E183="GpsRecord",Data!G183,"")</f>
        <v/>
      </c>
      <c r="T185" s="20" t="str">
        <f>IF(Data!E183="GpsRecord",Data!H183,"")</f>
        <v/>
      </c>
      <c r="U185" s="20">
        <f t="shared" si="46"/>
        <v>-39.421059999999997</v>
      </c>
      <c r="V185" s="20">
        <f t="shared" si="47"/>
        <v>33.736919999999998</v>
      </c>
      <c r="W185" s="19">
        <f>Data!I183</f>
        <v>0</v>
      </c>
      <c r="X185" s="17" t="str">
        <f>CONCATENATE(Data!J183, " ", Data!K183)</f>
        <v xml:space="preserve"> </v>
      </c>
    </row>
    <row r="186" spans="1:24" x14ac:dyDescent="0.3">
      <c r="A186" s="17" t="str">
        <f>Data!A184</f>
        <v>vehicle1</v>
      </c>
      <c r="B186" s="17" t="str">
        <f>Data!B184</f>
        <v>Vehicle, Gasoline or Petrol</v>
      </c>
      <c r="C186" s="17" t="str">
        <f>Data!C184</f>
        <v>1f2g3h4j5k6l</v>
      </c>
      <c r="D186" s="52">
        <f>Data!D184</f>
        <v>45066.13244212963</v>
      </c>
      <c r="E186" s="60" t="str">
        <f>IF(Data!E184="GpsRecord",Data!F184,"")</f>
        <v/>
      </c>
      <c r="F186" s="68" t="str">
        <f t="shared" si="33"/>
        <v>Clarksburg, WV, HARRISON_20268, Clarksburg, WV: 500 Baltimore Ave, Clarksburg, WV 26301, USA</v>
      </c>
      <c r="G186" t="b">
        <f t="shared" si="34"/>
        <v>0</v>
      </c>
      <c r="H186" t="b">
        <f t="shared" si="35"/>
        <v>0</v>
      </c>
      <c r="I186" t="b">
        <f t="shared" si="36"/>
        <v>0</v>
      </c>
      <c r="J186" t="str">
        <f t="shared" si="37"/>
        <v/>
      </c>
      <c r="K186" t="str">
        <f t="shared" si="38"/>
        <v/>
      </c>
      <c r="L186" t="str">
        <f t="shared" si="39"/>
        <v>,</v>
      </c>
      <c r="M186" t="str">
        <f t="shared" si="40"/>
        <v/>
      </c>
      <c r="N186" t="str">
        <f t="shared" si="41"/>
        <v/>
      </c>
      <c r="O186" t="str">
        <f t="shared" si="42"/>
        <v/>
      </c>
      <c r="P186" t="str">
        <f t="shared" si="43"/>
        <v/>
      </c>
      <c r="Q186" t="str">
        <f t="shared" si="44"/>
        <v/>
      </c>
      <c r="R186" s="20" t="str">
        <f t="shared" si="45"/>
        <v>WV</v>
      </c>
      <c r="S186" s="20" t="str">
        <f>IF(Data!E184="GpsRecord",Data!G184,"")</f>
        <v/>
      </c>
      <c r="T186" s="20" t="str">
        <f>IF(Data!E184="GpsRecord",Data!H184,"")</f>
        <v/>
      </c>
      <c r="U186" s="20">
        <f t="shared" si="46"/>
        <v>-39.421059999999997</v>
      </c>
      <c r="V186" s="20">
        <f t="shared" si="47"/>
        <v>33.736919999999998</v>
      </c>
      <c r="W186" s="19">
        <f>Data!I184</f>
        <v>0</v>
      </c>
      <c r="X186" s="17" t="str">
        <f>CONCATENATE(Data!J184, " ", Data!K184)</f>
        <v xml:space="preserve"> </v>
      </c>
    </row>
    <row r="187" spans="1:24" x14ac:dyDescent="0.3">
      <c r="A187" s="17" t="str">
        <f>Data!A185</f>
        <v>vehicle1</v>
      </c>
      <c r="B187" s="17" t="str">
        <f>Data!B185</f>
        <v>Vehicle, Gasoline or Petrol</v>
      </c>
      <c r="C187" s="17" t="str">
        <f>Data!C185</f>
        <v>1f2g3h4j5k6l</v>
      </c>
      <c r="D187" s="52">
        <f>Data!D185</f>
        <v>45066.13244212963</v>
      </c>
      <c r="E187" s="60" t="str">
        <f>IF(Data!E185="GpsRecord",Data!F185,"")</f>
        <v/>
      </c>
      <c r="F187" s="68" t="str">
        <f t="shared" si="33"/>
        <v>Clarksburg, WV, HARRISON_20268, Clarksburg, WV: 500 Baltimore Ave, Clarksburg, WV 26301, USA</v>
      </c>
      <c r="G187" t="b">
        <f t="shared" si="34"/>
        <v>0</v>
      </c>
      <c r="H187" t="b">
        <f t="shared" si="35"/>
        <v>0</v>
      </c>
      <c r="I187" t="b">
        <f t="shared" si="36"/>
        <v>0</v>
      </c>
      <c r="J187" t="str">
        <f t="shared" si="37"/>
        <v/>
      </c>
      <c r="K187" t="str">
        <f t="shared" si="38"/>
        <v/>
      </c>
      <c r="L187" t="str">
        <f t="shared" si="39"/>
        <v>,</v>
      </c>
      <c r="M187" t="str">
        <f t="shared" si="40"/>
        <v/>
      </c>
      <c r="N187" t="str">
        <f t="shared" si="41"/>
        <v/>
      </c>
      <c r="O187" t="str">
        <f t="shared" si="42"/>
        <v/>
      </c>
      <c r="P187" t="str">
        <f t="shared" si="43"/>
        <v/>
      </c>
      <c r="Q187" t="str">
        <f t="shared" si="44"/>
        <v/>
      </c>
      <c r="R187" s="20" t="str">
        <f t="shared" si="45"/>
        <v>WV</v>
      </c>
      <c r="S187" s="20" t="str">
        <f>IF(Data!E185="GpsRecord",Data!G185,"")</f>
        <v/>
      </c>
      <c r="T187" s="20" t="str">
        <f>IF(Data!E185="GpsRecord",Data!H185,"")</f>
        <v/>
      </c>
      <c r="U187" s="20">
        <f t="shared" si="46"/>
        <v>-39.421059999999997</v>
      </c>
      <c r="V187" s="20">
        <f t="shared" si="47"/>
        <v>33.736919999999998</v>
      </c>
      <c r="W187" s="19">
        <f>Data!I185</f>
        <v>0</v>
      </c>
      <c r="X187" s="17" t="str">
        <f>CONCATENATE(Data!J185, " ", Data!K185)</f>
        <v xml:space="preserve"> </v>
      </c>
    </row>
    <row r="188" spans="1:24" x14ac:dyDescent="0.3">
      <c r="A188" s="17" t="str">
        <f>Data!A186</f>
        <v>vehicle1</v>
      </c>
      <c r="B188" s="17" t="str">
        <f>Data!B186</f>
        <v>Vehicle, Gasoline or Petrol</v>
      </c>
      <c r="C188" s="17" t="str">
        <f>Data!C186</f>
        <v>1f2g3h4j5k6l</v>
      </c>
      <c r="D188" s="52">
        <f>Data!D186</f>
        <v>45066.13244212963</v>
      </c>
      <c r="E188" s="60" t="str">
        <f>IF(Data!E186="GpsRecord",Data!F186,"")</f>
        <v/>
      </c>
      <c r="F188" s="68" t="str">
        <f t="shared" si="33"/>
        <v>Clarksburg, WV, HARRISON_20268, Clarksburg, WV: 500 Baltimore Ave, Clarksburg, WV 26301, USA</v>
      </c>
      <c r="G188" t="b">
        <f t="shared" si="34"/>
        <v>0</v>
      </c>
      <c r="H188" t="b">
        <f t="shared" si="35"/>
        <v>0</v>
      </c>
      <c r="I188" t="b">
        <f t="shared" si="36"/>
        <v>0</v>
      </c>
      <c r="J188" t="str">
        <f t="shared" si="37"/>
        <v/>
      </c>
      <c r="K188" t="str">
        <f t="shared" si="38"/>
        <v/>
      </c>
      <c r="L188" t="str">
        <f t="shared" si="39"/>
        <v>,</v>
      </c>
      <c r="M188" t="str">
        <f t="shared" si="40"/>
        <v/>
      </c>
      <c r="N188" t="str">
        <f t="shared" si="41"/>
        <v/>
      </c>
      <c r="O188" t="str">
        <f t="shared" si="42"/>
        <v/>
      </c>
      <c r="P188" t="str">
        <f t="shared" si="43"/>
        <v/>
      </c>
      <c r="Q188" t="str">
        <f t="shared" si="44"/>
        <v/>
      </c>
      <c r="R188" s="20" t="str">
        <f t="shared" si="45"/>
        <v>WV</v>
      </c>
      <c r="S188" s="20" t="str">
        <f>IF(Data!E186="GpsRecord",Data!G186,"")</f>
        <v/>
      </c>
      <c r="T188" s="20" t="str">
        <f>IF(Data!E186="GpsRecord",Data!H186,"")</f>
        <v/>
      </c>
      <c r="U188" s="20">
        <f t="shared" si="46"/>
        <v>-39.421059999999997</v>
      </c>
      <c r="V188" s="20">
        <f t="shared" si="47"/>
        <v>33.736919999999998</v>
      </c>
      <c r="W188" s="19">
        <f>Data!I186</f>
        <v>0</v>
      </c>
      <c r="X188" s="17" t="str">
        <f>CONCATENATE(Data!J186, " ", Data!K186)</f>
        <v xml:space="preserve"> </v>
      </c>
    </row>
    <row r="189" spans="1:24" x14ac:dyDescent="0.3">
      <c r="A189" s="17" t="str">
        <f>Data!A187</f>
        <v>vehicle1</v>
      </c>
      <c r="B189" s="17" t="str">
        <f>Data!B187</f>
        <v>Vehicle, Gasoline or Petrol</v>
      </c>
      <c r="C189" s="17" t="str">
        <f>Data!C187</f>
        <v>1f2g3h4j5k6l</v>
      </c>
      <c r="D189" s="52">
        <f>Data!D187</f>
        <v>45066.13244212963</v>
      </c>
      <c r="E189" s="60" t="str">
        <f>IF(Data!E187="GpsRecord",Data!F187,"")</f>
        <v/>
      </c>
      <c r="F189" s="68" t="str">
        <f t="shared" si="33"/>
        <v>Clarksburg, WV, HARRISON_20268, Clarksburg, WV: 500 Baltimore Ave, Clarksburg, WV 26301, USA</v>
      </c>
      <c r="G189" t="b">
        <f t="shared" si="34"/>
        <v>0</v>
      </c>
      <c r="H189" t="b">
        <f t="shared" si="35"/>
        <v>0</v>
      </c>
      <c r="I189" t="b">
        <f t="shared" si="36"/>
        <v>0</v>
      </c>
      <c r="J189" t="str">
        <f t="shared" si="37"/>
        <v/>
      </c>
      <c r="K189" t="str">
        <f t="shared" si="38"/>
        <v/>
      </c>
      <c r="L189" t="str">
        <f t="shared" si="39"/>
        <v>,</v>
      </c>
      <c r="M189" t="str">
        <f t="shared" si="40"/>
        <v/>
      </c>
      <c r="N189" t="str">
        <f t="shared" si="41"/>
        <v/>
      </c>
      <c r="O189" t="str">
        <f t="shared" si="42"/>
        <v/>
      </c>
      <c r="P189" t="str">
        <f t="shared" si="43"/>
        <v/>
      </c>
      <c r="Q189" t="str">
        <f t="shared" si="44"/>
        <v/>
      </c>
      <c r="R189" s="20" t="str">
        <f t="shared" si="45"/>
        <v>WV</v>
      </c>
      <c r="S189" s="20" t="str">
        <f>IF(Data!E187="GpsRecord",Data!G187,"")</f>
        <v/>
      </c>
      <c r="T189" s="20" t="str">
        <f>IF(Data!E187="GpsRecord",Data!H187,"")</f>
        <v/>
      </c>
      <c r="U189" s="20">
        <f t="shared" si="46"/>
        <v>-39.421059999999997</v>
      </c>
      <c r="V189" s="20">
        <f t="shared" si="47"/>
        <v>33.736919999999998</v>
      </c>
      <c r="W189" s="19">
        <f>Data!I187</f>
        <v>0</v>
      </c>
      <c r="X189" s="17" t="str">
        <f>CONCATENATE(Data!J187, " ", Data!K187)</f>
        <v xml:space="preserve"> </v>
      </c>
    </row>
    <row r="190" spans="1:24" x14ac:dyDescent="0.3">
      <c r="A190" s="17" t="str">
        <f>Data!A188</f>
        <v>vehicle1</v>
      </c>
      <c r="B190" s="17" t="str">
        <f>Data!B188</f>
        <v>Vehicle, Gasoline or Petrol</v>
      </c>
      <c r="C190" s="17" t="str">
        <f>Data!C188</f>
        <v>1f2g3h4j5k6l</v>
      </c>
      <c r="D190" s="52">
        <f>Data!D188</f>
        <v>45066.13244212963</v>
      </c>
      <c r="E190" s="60" t="str">
        <f>IF(Data!E188="GpsRecord",Data!F188,"")</f>
        <v>Clarksburg, WV, HARRISON_20268, Clarksburg, WV: 500 Baltimore Ave, Clarksburg, WV 26301, USA</v>
      </c>
      <c r="F190" s="68" t="str">
        <f t="shared" si="33"/>
        <v>Clarksburg, WV, HARRISON_20268, Clarksburg, WV: 500 Baltimore Ave, Clarksburg, WV 26301, USA</v>
      </c>
      <c r="G190" t="b">
        <f t="shared" si="34"/>
        <v>0</v>
      </c>
      <c r="H190" t="b">
        <f t="shared" si="35"/>
        <v>1</v>
      </c>
      <c r="I190" t="b">
        <f t="shared" si="36"/>
        <v>1</v>
      </c>
      <c r="J190" t="str">
        <f t="shared" si="37"/>
        <v>500 Baltimore Ave, Clarksburg, WV 26301, USA</v>
      </c>
      <c r="K190" t="str">
        <f t="shared" si="38"/>
        <v xml:space="preserve"> USA</v>
      </c>
      <c r="L190" t="str">
        <f t="shared" si="39"/>
        <v>, USA</v>
      </c>
      <c r="M190" t="str">
        <f t="shared" si="40"/>
        <v>500 Baltimore Ave, Clarksburg, WV 26301</v>
      </c>
      <c r="N190" t="str">
        <f t="shared" si="41"/>
        <v xml:space="preserve"> WV 26301</v>
      </c>
      <c r="O190" t="str">
        <f t="shared" si="42"/>
        <v>26301</v>
      </c>
      <c r="P190" t="str">
        <f t="shared" si="43"/>
        <v xml:space="preserve"> WV</v>
      </c>
      <c r="Q190" t="str">
        <f t="shared" si="44"/>
        <v>WV</v>
      </c>
      <c r="R190" s="20" t="str">
        <f t="shared" si="45"/>
        <v>WV</v>
      </c>
      <c r="S190" s="20">
        <f>IF(Data!E188="GpsRecord",Data!G188,"")</f>
        <v>-39.421080000000003</v>
      </c>
      <c r="T190" s="20">
        <f>IF(Data!E188="GpsRecord",Data!H188,"")</f>
        <v>33.736919999999998</v>
      </c>
      <c r="U190" s="20">
        <f t="shared" si="46"/>
        <v>-39.421080000000003</v>
      </c>
      <c r="V190" s="20">
        <f t="shared" si="47"/>
        <v>33.736919999999998</v>
      </c>
      <c r="W190" s="19">
        <f>Data!I188</f>
        <v>0</v>
      </c>
      <c r="X190" s="17" t="str">
        <f>CONCATENATE(Data!J188, " ", Data!K188)</f>
        <v xml:space="preserve"> </v>
      </c>
    </row>
    <row r="191" spans="1:24" x14ac:dyDescent="0.3">
      <c r="A191" s="17" t="str">
        <f>Data!A189</f>
        <v>vehicle1</v>
      </c>
      <c r="B191" s="17" t="str">
        <f>Data!B189</f>
        <v>Vehicle, Gasoline or Petrol</v>
      </c>
      <c r="C191" s="17" t="str">
        <f>Data!C189</f>
        <v>1f2g3h4j5k6l</v>
      </c>
      <c r="D191" s="52">
        <f>Data!D189</f>
        <v>45066.13244212963</v>
      </c>
      <c r="E191" s="60" t="str">
        <f>IF(Data!E189="GpsRecord",Data!F189,"")</f>
        <v/>
      </c>
      <c r="F191" s="68" t="str">
        <f t="shared" si="33"/>
        <v>Clarksburg, WV, HARRISON_20268, Clarksburg, WV: 500 Baltimore Ave, Clarksburg, WV 26301, USA</v>
      </c>
      <c r="G191" t="b">
        <f t="shared" si="34"/>
        <v>0</v>
      </c>
      <c r="H191" t="b">
        <f t="shared" si="35"/>
        <v>0</v>
      </c>
      <c r="I191" t="b">
        <f t="shared" si="36"/>
        <v>0</v>
      </c>
      <c r="J191" t="str">
        <f t="shared" si="37"/>
        <v/>
      </c>
      <c r="K191" t="str">
        <f t="shared" si="38"/>
        <v/>
      </c>
      <c r="L191" t="str">
        <f t="shared" si="39"/>
        <v>,</v>
      </c>
      <c r="M191" t="str">
        <f t="shared" si="40"/>
        <v/>
      </c>
      <c r="N191" t="str">
        <f t="shared" si="41"/>
        <v/>
      </c>
      <c r="O191" t="str">
        <f t="shared" si="42"/>
        <v/>
      </c>
      <c r="P191" t="str">
        <f t="shared" si="43"/>
        <v/>
      </c>
      <c r="Q191" t="str">
        <f t="shared" si="44"/>
        <v/>
      </c>
      <c r="R191" s="20" t="str">
        <f t="shared" si="45"/>
        <v>WV</v>
      </c>
      <c r="S191" s="20" t="str">
        <f>IF(Data!E189="GpsRecord",Data!G189,"")</f>
        <v/>
      </c>
      <c r="T191" s="20" t="str">
        <f>IF(Data!E189="GpsRecord",Data!H189,"")</f>
        <v/>
      </c>
      <c r="U191" s="20">
        <f t="shared" si="46"/>
        <v>-39.421080000000003</v>
      </c>
      <c r="V191" s="20">
        <f t="shared" si="47"/>
        <v>33.736919999999998</v>
      </c>
      <c r="W191" s="19">
        <f>Data!I189</f>
        <v>0</v>
      </c>
      <c r="X191" s="17" t="str">
        <f>CONCATENATE(Data!J189, " ", Data!K189)</f>
        <v xml:space="preserve"> </v>
      </c>
    </row>
    <row r="192" spans="1:24" x14ac:dyDescent="0.3">
      <c r="A192" s="17" t="str">
        <f>Data!A190</f>
        <v>vehicle1</v>
      </c>
      <c r="B192" s="17" t="str">
        <f>Data!B190</f>
        <v>Vehicle, Gasoline or Petrol</v>
      </c>
      <c r="C192" s="17" t="str">
        <f>Data!C190</f>
        <v>1f2g3h4j5k6l</v>
      </c>
      <c r="D192" s="52">
        <f>Data!D190</f>
        <v>45066.13244212963</v>
      </c>
      <c r="E192" s="60" t="str">
        <f>IF(Data!E190="GpsRecord",Data!F190,"")</f>
        <v/>
      </c>
      <c r="F192" s="68" t="str">
        <f t="shared" si="33"/>
        <v>Clarksburg, WV, HARRISON_20268, Clarksburg, WV: 500 Baltimore Ave, Clarksburg, WV 26301, USA</v>
      </c>
      <c r="G192" t="b">
        <f t="shared" si="34"/>
        <v>0</v>
      </c>
      <c r="H192" t="b">
        <f t="shared" si="35"/>
        <v>0</v>
      </c>
      <c r="I192" t="b">
        <f t="shared" si="36"/>
        <v>0</v>
      </c>
      <c r="J192" t="str">
        <f t="shared" si="37"/>
        <v/>
      </c>
      <c r="K192" t="str">
        <f t="shared" si="38"/>
        <v/>
      </c>
      <c r="L192" t="str">
        <f t="shared" si="39"/>
        <v>,</v>
      </c>
      <c r="M192" t="str">
        <f t="shared" si="40"/>
        <v/>
      </c>
      <c r="N192" t="str">
        <f t="shared" si="41"/>
        <v/>
      </c>
      <c r="O192" t="str">
        <f t="shared" si="42"/>
        <v/>
      </c>
      <c r="P192" t="str">
        <f t="shared" si="43"/>
        <v/>
      </c>
      <c r="Q192" t="str">
        <f t="shared" si="44"/>
        <v/>
      </c>
      <c r="R192" s="20" t="str">
        <f t="shared" si="45"/>
        <v>WV</v>
      </c>
      <c r="S192" s="20" t="str">
        <f>IF(Data!E190="GpsRecord",Data!G190,"")</f>
        <v/>
      </c>
      <c r="T192" s="20" t="str">
        <f>IF(Data!E190="GpsRecord",Data!H190,"")</f>
        <v/>
      </c>
      <c r="U192" s="20">
        <f t="shared" si="46"/>
        <v>-39.421080000000003</v>
      </c>
      <c r="V192" s="20">
        <f t="shared" si="47"/>
        <v>33.736919999999998</v>
      </c>
      <c r="W192" s="19" t="str">
        <f>Data!I190</f>
        <v>Engine road speed</v>
      </c>
      <c r="X192" s="17" t="str">
        <f>CONCATENATE(Data!J190, " ", Data!K190)</f>
        <v>0 km/h</v>
      </c>
    </row>
    <row r="193" spans="1:24" x14ac:dyDescent="0.3">
      <c r="A193" s="17" t="str">
        <f>Data!A191</f>
        <v>vehicle1</v>
      </c>
      <c r="B193" s="17" t="str">
        <f>Data!B191</f>
        <v>Vehicle, Gasoline or Petrol</v>
      </c>
      <c r="C193" s="17" t="str">
        <f>Data!C191</f>
        <v>1f2g3h4j5k6l</v>
      </c>
      <c r="D193" s="52">
        <f>Data!D191</f>
        <v>45066.132453703707</v>
      </c>
      <c r="E193" s="60" t="str">
        <f>IF(Data!E191="GpsRecord",Data!F191,"")</f>
        <v/>
      </c>
      <c r="F193" s="68" t="str">
        <f t="shared" si="33"/>
        <v>Clarksburg, WV, HARRISON_20268, Clarksburg, WV: 500 Baltimore Ave, Clarksburg, WV 26301, USA</v>
      </c>
      <c r="G193" t="b">
        <f t="shared" si="34"/>
        <v>0</v>
      </c>
      <c r="H193" t="b">
        <f t="shared" si="35"/>
        <v>0</v>
      </c>
      <c r="I193" t="b">
        <f t="shared" si="36"/>
        <v>0</v>
      </c>
      <c r="J193" t="str">
        <f t="shared" si="37"/>
        <v/>
      </c>
      <c r="K193" t="str">
        <f t="shared" si="38"/>
        <v/>
      </c>
      <c r="L193" t="str">
        <f t="shared" si="39"/>
        <v>,</v>
      </c>
      <c r="M193" t="str">
        <f t="shared" si="40"/>
        <v/>
      </c>
      <c r="N193" t="str">
        <f t="shared" si="41"/>
        <v/>
      </c>
      <c r="O193" t="str">
        <f t="shared" si="42"/>
        <v/>
      </c>
      <c r="P193" t="str">
        <f t="shared" si="43"/>
        <v/>
      </c>
      <c r="Q193" t="str">
        <f t="shared" si="44"/>
        <v/>
      </c>
      <c r="R193" s="20" t="str">
        <f t="shared" si="45"/>
        <v>WV</v>
      </c>
      <c r="S193" s="20" t="str">
        <f>IF(Data!E191="GpsRecord",Data!G191,"")</f>
        <v/>
      </c>
      <c r="T193" s="20" t="str">
        <f>IF(Data!E191="GpsRecord",Data!H191,"")</f>
        <v/>
      </c>
      <c r="U193" s="20">
        <f t="shared" si="46"/>
        <v>-39.421080000000003</v>
      </c>
      <c r="V193" s="20">
        <f t="shared" si="47"/>
        <v>33.736919999999998</v>
      </c>
      <c r="W193" s="19" t="str">
        <f>Data!I191</f>
        <v>Engine road speed</v>
      </c>
      <c r="X193" s="17" t="str">
        <f>CONCATENATE(Data!J191, " ", Data!K191)</f>
        <v>0 km/h</v>
      </c>
    </row>
    <row r="194" spans="1:24" x14ac:dyDescent="0.3">
      <c r="A194" s="17" t="str">
        <f>Data!A192</f>
        <v>vehicle1</v>
      </c>
      <c r="B194" s="17" t="str">
        <f>Data!B192</f>
        <v>Vehicle, Gasoline or Petrol</v>
      </c>
      <c r="C194" s="17" t="str">
        <f>Data!C192</f>
        <v>1f2g3h4j5k6l</v>
      </c>
      <c r="D194" s="52">
        <f>Data!D192</f>
        <v>45066.132453703707</v>
      </c>
      <c r="E194" s="60" t="str">
        <f>IF(Data!E192="GpsRecord",Data!F192,"")</f>
        <v>Clarksburg, WV, HARRISON_20268, Clarksburg, WV: 500 Baltimore Ave, Clarksburg, WV 26301, USA</v>
      </c>
      <c r="F194" s="68" t="str">
        <f t="shared" si="33"/>
        <v>Clarksburg, WV, HARRISON_20268, Clarksburg, WV: 500 Baltimore Ave, Clarksburg, WV 26301, USA</v>
      </c>
      <c r="G194" t="b">
        <f t="shared" si="34"/>
        <v>0</v>
      </c>
      <c r="H194" t="b">
        <f t="shared" si="35"/>
        <v>1</v>
      </c>
      <c r="I194" t="b">
        <f t="shared" si="36"/>
        <v>1</v>
      </c>
      <c r="J194" t="str">
        <f t="shared" si="37"/>
        <v>500 Baltimore Ave, Clarksburg, WV 26301, USA</v>
      </c>
      <c r="K194" t="str">
        <f t="shared" si="38"/>
        <v xml:space="preserve"> USA</v>
      </c>
      <c r="L194" t="str">
        <f t="shared" si="39"/>
        <v>, USA</v>
      </c>
      <c r="M194" t="str">
        <f t="shared" si="40"/>
        <v>500 Baltimore Ave, Clarksburg, WV 26301</v>
      </c>
      <c r="N194" t="str">
        <f t="shared" si="41"/>
        <v xml:space="preserve"> WV 26301</v>
      </c>
      <c r="O194" t="str">
        <f t="shared" si="42"/>
        <v>26301</v>
      </c>
      <c r="P194" t="str">
        <f t="shared" si="43"/>
        <v xml:space="preserve"> WV</v>
      </c>
      <c r="Q194" t="str">
        <f t="shared" si="44"/>
        <v>WV</v>
      </c>
      <c r="R194" s="20" t="str">
        <f t="shared" si="45"/>
        <v>WV</v>
      </c>
      <c r="S194" s="20">
        <f>IF(Data!E192="GpsRecord",Data!G192,"")</f>
        <v>-39.421080000000003</v>
      </c>
      <c r="T194" s="20">
        <f>IF(Data!E192="GpsRecord",Data!H192,"")</f>
        <v>33.736919999999998</v>
      </c>
      <c r="U194" s="20">
        <f t="shared" si="46"/>
        <v>-39.421080000000003</v>
      </c>
      <c r="V194" s="20">
        <f t="shared" si="47"/>
        <v>33.736919999999998</v>
      </c>
      <c r="W194" s="19">
        <f>Data!I192</f>
        <v>0</v>
      </c>
      <c r="X194" s="17" t="str">
        <f>CONCATENATE(Data!J192, " ", Data!K192)</f>
        <v xml:space="preserve"> </v>
      </c>
    </row>
    <row r="195" spans="1:24" x14ac:dyDescent="0.3">
      <c r="A195" s="17" t="str">
        <f>Data!A193</f>
        <v>vehicle1</v>
      </c>
      <c r="B195" s="17" t="str">
        <f>Data!B193</f>
        <v>Vehicle, Gasoline or Petrol</v>
      </c>
      <c r="C195" s="17" t="str">
        <f>Data!C193</f>
        <v>1f2g3h4j5k6l</v>
      </c>
      <c r="D195" s="52">
        <f>Data!D193</f>
        <v>45066.132453703707</v>
      </c>
      <c r="E195" s="60" t="str">
        <f>IF(Data!E193="GpsRecord",Data!F193,"")</f>
        <v/>
      </c>
      <c r="F195" s="68" t="str">
        <f t="shared" si="33"/>
        <v>Clarksburg, WV, HARRISON_20268, Clarksburg, WV: 500 Baltimore Ave, Clarksburg, WV 26301, USA</v>
      </c>
      <c r="G195" t="b">
        <f t="shared" si="34"/>
        <v>0</v>
      </c>
      <c r="H195" t="b">
        <f t="shared" si="35"/>
        <v>0</v>
      </c>
      <c r="I195" t="b">
        <f t="shared" si="36"/>
        <v>0</v>
      </c>
      <c r="J195" t="str">
        <f t="shared" si="37"/>
        <v/>
      </c>
      <c r="K195" t="str">
        <f t="shared" si="38"/>
        <v/>
      </c>
      <c r="L195" t="str">
        <f t="shared" si="39"/>
        <v>,</v>
      </c>
      <c r="M195" t="str">
        <f t="shared" si="40"/>
        <v/>
      </c>
      <c r="N195" t="str">
        <f t="shared" si="41"/>
        <v/>
      </c>
      <c r="O195" t="str">
        <f t="shared" si="42"/>
        <v/>
      </c>
      <c r="P195" t="str">
        <f t="shared" si="43"/>
        <v/>
      </c>
      <c r="Q195" t="str">
        <f t="shared" si="44"/>
        <v/>
      </c>
      <c r="R195" s="20" t="str">
        <f t="shared" si="45"/>
        <v>WV</v>
      </c>
      <c r="S195" s="20" t="str">
        <f>IF(Data!E193="GpsRecord",Data!G193,"")</f>
        <v/>
      </c>
      <c r="T195" s="20" t="str">
        <f>IF(Data!E193="GpsRecord",Data!H193,"")</f>
        <v/>
      </c>
      <c r="U195" s="20">
        <f t="shared" si="46"/>
        <v>-39.421080000000003</v>
      </c>
      <c r="V195" s="20">
        <f t="shared" si="47"/>
        <v>33.736919999999998</v>
      </c>
      <c r="W195" s="19" t="str">
        <f>Data!I193</f>
        <v>Fuel level while stopped (percent) tank 1</v>
      </c>
      <c r="X195" s="17" t="str">
        <f>CONCATENATE(Data!J193, " ", Data!K193)</f>
        <v>61.1676 %</v>
      </c>
    </row>
    <row r="196" spans="1:24" x14ac:dyDescent="0.3">
      <c r="A196" s="17" t="str">
        <f>Data!A194</f>
        <v>vehicle1</v>
      </c>
      <c r="B196" s="17" t="str">
        <f>Data!B194</f>
        <v>Vehicle, Gasoline or Petrol</v>
      </c>
      <c r="C196" s="17" t="str">
        <f>Data!C194</f>
        <v>1f2g3h4j5k6l</v>
      </c>
      <c r="D196" s="52">
        <f>Data!D194</f>
        <v>45066.132453703707</v>
      </c>
      <c r="E196" s="60" t="str">
        <f>IF(Data!E194="GpsRecord",Data!F194,"")</f>
        <v/>
      </c>
      <c r="F196" s="68" t="str">
        <f t="shared" si="33"/>
        <v>Clarksburg, WV, HARRISON_20268, Clarksburg, WV: 500 Baltimore Ave, Clarksburg, WV 26301, USA</v>
      </c>
      <c r="G196" t="b">
        <f t="shared" si="34"/>
        <v>0</v>
      </c>
      <c r="H196" t="b">
        <f t="shared" si="35"/>
        <v>0</v>
      </c>
      <c r="I196" t="b">
        <f t="shared" si="36"/>
        <v>0</v>
      </c>
      <c r="J196" t="str">
        <f t="shared" si="37"/>
        <v/>
      </c>
      <c r="K196" t="str">
        <f t="shared" si="38"/>
        <v/>
      </c>
      <c r="L196" t="str">
        <f t="shared" si="39"/>
        <v>,</v>
      </c>
      <c r="M196" t="str">
        <f t="shared" si="40"/>
        <v/>
      </c>
      <c r="N196" t="str">
        <f t="shared" si="41"/>
        <v/>
      </c>
      <c r="O196" t="str">
        <f t="shared" si="42"/>
        <v/>
      </c>
      <c r="P196" t="str">
        <f t="shared" si="43"/>
        <v/>
      </c>
      <c r="Q196" t="str">
        <f t="shared" si="44"/>
        <v/>
      </c>
      <c r="R196" s="20" t="str">
        <f t="shared" si="45"/>
        <v>WV</v>
      </c>
      <c r="S196" s="20" t="str">
        <f>IF(Data!E194="GpsRecord",Data!G194,"")</f>
        <v/>
      </c>
      <c r="T196" s="20" t="str">
        <f>IF(Data!E194="GpsRecord",Data!H194,"")</f>
        <v/>
      </c>
      <c r="U196" s="20">
        <f t="shared" si="46"/>
        <v>-39.421080000000003</v>
      </c>
      <c r="V196" s="20">
        <f t="shared" si="47"/>
        <v>33.736919999999998</v>
      </c>
      <c r="W196" s="19" t="str">
        <f>Data!I194</f>
        <v>Trip stopped duration accumulator</v>
      </c>
      <c r="X196" s="17" t="str">
        <f>CONCATENATE(Data!J194, " ", Data!K194)</f>
        <v>0.002777777778 h</v>
      </c>
    </row>
    <row r="197" spans="1:24" x14ac:dyDescent="0.3">
      <c r="A197" s="17" t="str">
        <f>Data!A195</f>
        <v>vehicle1</v>
      </c>
      <c r="B197" s="17" t="str">
        <f>Data!B195</f>
        <v>Vehicle, Gasoline or Petrol</v>
      </c>
      <c r="C197" s="17" t="str">
        <f>Data!C195</f>
        <v>1f2g3h4j5k6l</v>
      </c>
      <c r="D197" s="52">
        <f>Data!D195</f>
        <v>45066.132465277777</v>
      </c>
      <c r="E197" s="60" t="str">
        <f>IF(Data!E195="GpsRecord",Data!F195,"")</f>
        <v/>
      </c>
      <c r="F197" s="68" t="str">
        <f t="shared" si="33"/>
        <v>Clarksburg, WV, HARRISON_20268, Clarksburg, WV: 500 Baltimore Ave, Clarksburg, WV 26301, USA</v>
      </c>
      <c r="G197" t="b">
        <f t="shared" si="34"/>
        <v>0</v>
      </c>
      <c r="H197" t="b">
        <f t="shared" si="35"/>
        <v>0</v>
      </c>
      <c r="I197" t="b">
        <f t="shared" si="36"/>
        <v>0</v>
      </c>
      <c r="J197" t="str">
        <f t="shared" si="37"/>
        <v/>
      </c>
      <c r="K197" t="str">
        <f t="shared" si="38"/>
        <v/>
      </c>
      <c r="L197" t="str">
        <f t="shared" si="39"/>
        <v>,</v>
      </c>
      <c r="M197" t="str">
        <f t="shared" si="40"/>
        <v/>
      </c>
      <c r="N197" t="str">
        <f t="shared" si="41"/>
        <v/>
      </c>
      <c r="O197" t="str">
        <f t="shared" si="42"/>
        <v/>
      </c>
      <c r="P197" t="str">
        <f t="shared" si="43"/>
        <v/>
      </c>
      <c r="Q197" t="str">
        <f t="shared" si="44"/>
        <v/>
      </c>
      <c r="R197" s="20" t="str">
        <f t="shared" si="45"/>
        <v>WV</v>
      </c>
      <c r="S197" s="20" t="str">
        <f>IF(Data!E195="GpsRecord",Data!G195,"")</f>
        <v/>
      </c>
      <c r="T197" s="20" t="str">
        <f>IF(Data!E195="GpsRecord",Data!H195,"")</f>
        <v/>
      </c>
      <c r="U197" s="20">
        <f t="shared" si="46"/>
        <v>-39.421080000000003</v>
      </c>
      <c r="V197" s="20">
        <f t="shared" si="47"/>
        <v>33.736919999999998</v>
      </c>
      <c r="W197" s="19" t="str">
        <f>Data!I195</f>
        <v>Fuel level while stopped (percent) tank 1</v>
      </c>
      <c r="X197" s="17" t="str">
        <f>CONCATENATE(Data!J195, " ", Data!K195)</f>
        <v>61.1676 %</v>
      </c>
    </row>
    <row r="198" spans="1:24" x14ac:dyDescent="0.3">
      <c r="A198" s="17" t="str">
        <f>Data!A196</f>
        <v>vehicle1</v>
      </c>
      <c r="B198" s="17" t="str">
        <f>Data!B196</f>
        <v>Vehicle, Gasoline or Petrol</v>
      </c>
      <c r="C198" s="17" t="str">
        <f>Data!C196</f>
        <v>1f2g3h4j5k6l</v>
      </c>
      <c r="D198" s="52">
        <f>Data!D196</f>
        <v>45066.132476851853</v>
      </c>
      <c r="E198" s="60" t="str">
        <f>IF(Data!E196="GpsRecord",Data!F196,"")</f>
        <v/>
      </c>
      <c r="F198" s="68" t="str">
        <f t="shared" si="33"/>
        <v>Clarksburg, WV, HARRISON_20268, Clarksburg, WV: 500 Baltimore Ave, Clarksburg, WV 26301, USA</v>
      </c>
      <c r="G198" t="b">
        <f t="shared" si="34"/>
        <v>0</v>
      </c>
      <c r="H198" t="b">
        <f t="shared" si="35"/>
        <v>0</v>
      </c>
      <c r="I198" t="b">
        <f t="shared" si="36"/>
        <v>0</v>
      </c>
      <c r="J198" t="str">
        <f t="shared" si="37"/>
        <v/>
      </c>
      <c r="K198" t="str">
        <f t="shared" si="38"/>
        <v/>
      </c>
      <c r="L198" t="str">
        <f t="shared" si="39"/>
        <v>,</v>
      </c>
      <c r="M198" t="str">
        <f t="shared" si="40"/>
        <v/>
      </c>
      <c r="N198" t="str">
        <f t="shared" si="41"/>
        <v/>
      </c>
      <c r="O198" t="str">
        <f t="shared" si="42"/>
        <v/>
      </c>
      <c r="P198" t="str">
        <f t="shared" si="43"/>
        <v/>
      </c>
      <c r="Q198" t="str">
        <f t="shared" si="44"/>
        <v/>
      </c>
      <c r="R198" s="20" t="str">
        <f t="shared" si="45"/>
        <v>WV</v>
      </c>
      <c r="S198" s="20" t="str">
        <f>IF(Data!E196="GpsRecord",Data!G196,"")</f>
        <v/>
      </c>
      <c r="T198" s="20" t="str">
        <f>IF(Data!E196="GpsRecord",Data!H196,"")</f>
        <v/>
      </c>
      <c r="U198" s="20">
        <f t="shared" si="46"/>
        <v>-39.421080000000003</v>
      </c>
      <c r="V198" s="20">
        <f t="shared" si="47"/>
        <v>33.736919999999998</v>
      </c>
      <c r="W198" s="19" t="str">
        <f>Data!I196</f>
        <v>Fuel level while stopped (percent) tank 1</v>
      </c>
      <c r="X198" s="17" t="str">
        <f>CONCATENATE(Data!J196, " ", Data!K196)</f>
        <v>58.0308 %</v>
      </c>
    </row>
    <row r="199" spans="1:24" x14ac:dyDescent="0.3">
      <c r="A199" s="17" t="str">
        <f>Data!A197</f>
        <v>vehicle1</v>
      </c>
      <c r="B199" s="17" t="str">
        <f>Data!B197</f>
        <v>Vehicle, Gasoline or Petrol</v>
      </c>
      <c r="C199" s="17" t="str">
        <f>Data!C197</f>
        <v>1f2g3h4j5k6l</v>
      </c>
      <c r="D199" s="52">
        <f>Data!D197</f>
        <v>45066.132488425923</v>
      </c>
      <c r="E199" s="60" t="str">
        <f>IF(Data!E197="GpsRecord",Data!F197,"")</f>
        <v/>
      </c>
      <c r="F199" s="68" t="str">
        <f t="shared" si="33"/>
        <v>Clarksburg, WV, HARRISON_20268, Clarksburg, WV: 500 Baltimore Ave, Clarksburg, WV 26301, USA</v>
      </c>
      <c r="G199" t="b">
        <f t="shared" si="34"/>
        <v>0</v>
      </c>
      <c r="H199" t="b">
        <f t="shared" si="35"/>
        <v>0</v>
      </c>
      <c r="I199" t="b">
        <f t="shared" si="36"/>
        <v>0</v>
      </c>
      <c r="J199" t="str">
        <f t="shared" si="37"/>
        <v/>
      </c>
      <c r="K199" t="str">
        <f t="shared" si="38"/>
        <v/>
      </c>
      <c r="L199" t="str">
        <f t="shared" si="39"/>
        <v>,</v>
      </c>
      <c r="M199" t="str">
        <f t="shared" si="40"/>
        <v/>
      </c>
      <c r="N199" t="str">
        <f t="shared" si="41"/>
        <v/>
      </c>
      <c r="O199" t="str">
        <f t="shared" si="42"/>
        <v/>
      </c>
      <c r="P199" t="str">
        <f t="shared" si="43"/>
        <v/>
      </c>
      <c r="Q199" t="str">
        <f t="shared" si="44"/>
        <v/>
      </c>
      <c r="R199" s="20" t="str">
        <f t="shared" si="45"/>
        <v>WV</v>
      </c>
      <c r="S199" s="20" t="str">
        <f>IF(Data!E197="GpsRecord",Data!G197,"")</f>
        <v/>
      </c>
      <c r="T199" s="20" t="str">
        <f>IF(Data!E197="GpsRecord",Data!H197,"")</f>
        <v/>
      </c>
      <c r="U199" s="20">
        <f t="shared" si="46"/>
        <v>-39.421080000000003</v>
      </c>
      <c r="V199" s="20">
        <f t="shared" si="47"/>
        <v>33.736919999999998</v>
      </c>
      <c r="W199" s="19">
        <f>Data!I197</f>
        <v>0</v>
      </c>
      <c r="X199" s="17" t="str">
        <f>CONCATENATE(Data!J197, " ", Data!K197)</f>
        <v xml:space="preserve"> </v>
      </c>
    </row>
    <row r="200" spans="1:24" x14ac:dyDescent="0.3">
      <c r="A200" s="17" t="str">
        <f>Data!A198</f>
        <v>vehicle1</v>
      </c>
      <c r="B200" s="17" t="str">
        <f>Data!B198</f>
        <v>Vehicle, Gasoline or Petrol</v>
      </c>
      <c r="C200" s="17" t="str">
        <f>Data!C198</f>
        <v>1f2g3h4j5k6l</v>
      </c>
      <c r="D200" s="52">
        <f>Data!D198</f>
        <v>45066.1325</v>
      </c>
      <c r="E200" s="60" t="str">
        <f>IF(Data!E198="GpsRecord",Data!F198,"")</f>
        <v/>
      </c>
      <c r="F200" s="68" t="str">
        <f t="shared" si="33"/>
        <v>Clarksburg, WV, HARRISON_20268, Clarksburg, WV: 500 Baltimore Ave, Clarksburg, WV 26301, USA</v>
      </c>
      <c r="G200" t="b">
        <f t="shared" si="34"/>
        <v>0</v>
      </c>
      <c r="H200" t="b">
        <f t="shared" si="35"/>
        <v>0</v>
      </c>
      <c r="I200" t="b">
        <f t="shared" si="36"/>
        <v>0</v>
      </c>
      <c r="J200" t="str">
        <f t="shared" si="37"/>
        <v/>
      </c>
      <c r="K200" t="str">
        <f t="shared" si="38"/>
        <v/>
      </c>
      <c r="L200" t="str">
        <f t="shared" si="39"/>
        <v>,</v>
      </c>
      <c r="M200" t="str">
        <f t="shared" si="40"/>
        <v/>
      </c>
      <c r="N200" t="str">
        <f t="shared" si="41"/>
        <v/>
      </c>
      <c r="O200" t="str">
        <f t="shared" si="42"/>
        <v/>
      </c>
      <c r="P200" t="str">
        <f t="shared" si="43"/>
        <v/>
      </c>
      <c r="Q200" t="str">
        <f t="shared" si="44"/>
        <v/>
      </c>
      <c r="R200" s="20" t="str">
        <f t="shared" si="45"/>
        <v>WV</v>
      </c>
      <c r="S200" s="20" t="str">
        <f>IF(Data!E198="GpsRecord",Data!G198,"")</f>
        <v/>
      </c>
      <c r="T200" s="20" t="str">
        <f>IF(Data!E198="GpsRecord",Data!H198,"")</f>
        <v/>
      </c>
      <c r="U200" s="20">
        <f t="shared" si="46"/>
        <v>-39.421080000000003</v>
      </c>
      <c r="V200" s="20">
        <f t="shared" si="47"/>
        <v>33.736919999999998</v>
      </c>
      <c r="W200" s="19" t="str">
        <f>Data!I198</f>
        <v>Fuel level while stopped (percent) tank 1</v>
      </c>
      <c r="X200" s="17" t="str">
        <f>CONCATENATE(Data!J198, " ", Data!K198)</f>
        <v>58.0308 %</v>
      </c>
    </row>
    <row r="201" spans="1:24" x14ac:dyDescent="0.3">
      <c r="A201" s="17" t="str">
        <f>Data!A199</f>
        <v>vehicle1</v>
      </c>
      <c r="B201" s="17" t="str">
        <f>Data!B199</f>
        <v>Vehicle, Gasoline or Petrol</v>
      </c>
      <c r="C201" s="17" t="str">
        <f>Data!C199</f>
        <v>1f2g3h4j5k6l</v>
      </c>
      <c r="D201" s="52">
        <f>Data!D199</f>
        <v>45066.132511574076</v>
      </c>
      <c r="E201" s="60" t="str">
        <f>IF(Data!E199="GpsRecord",Data!F199,"")</f>
        <v/>
      </c>
      <c r="F201" s="68" t="str">
        <f t="shared" si="33"/>
        <v>Clarksburg, WV, HARRISON_20268, Clarksburg, WV: 500 Baltimore Ave, Clarksburg, WV 26301, USA</v>
      </c>
      <c r="G201" t="b">
        <f t="shared" si="34"/>
        <v>0</v>
      </c>
      <c r="H201" t="b">
        <f t="shared" si="35"/>
        <v>0</v>
      </c>
      <c r="I201" t="b">
        <f t="shared" si="36"/>
        <v>0</v>
      </c>
      <c r="J201" t="str">
        <f t="shared" si="37"/>
        <v/>
      </c>
      <c r="K201" t="str">
        <f t="shared" si="38"/>
        <v/>
      </c>
      <c r="L201" t="str">
        <f t="shared" si="39"/>
        <v>,</v>
      </c>
      <c r="M201" t="str">
        <f t="shared" si="40"/>
        <v/>
      </c>
      <c r="N201" t="str">
        <f t="shared" si="41"/>
        <v/>
      </c>
      <c r="O201" t="str">
        <f t="shared" si="42"/>
        <v/>
      </c>
      <c r="P201" t="str">
        <f t="shared" si="43"/>
        <v/>
      </c>
      <c r="Q201" t="str">
        <f t="shared" si="44"/>
        <v/>
      </c>
      <c r="R201" s="20" t="str">
        <f t="shared" si="45"/>
        <v>WV</v>
      </c>
      <c r="S201" s="20" t="str">
        <f>IF(Data!E199="GpsRecord",Data!G199,"")</f>
        <v/>
      </c>
      <c r="T201" s="20" t="str">
        <f>IF(Data!E199="GpsRecord",Data!H199,"")</f>
        <v/>
      </c>
      <c r="U201" s="20">
        <f t="shared" si="46"/>
        <v>-39.421080000000003</v>
      </c>
      <c r="V201" s="20">
        <f t="shared" si="47"/>
        <v>33.736919999999998</v>
      </c>
      <c r="W201" s="19">
        <f>Data!I199</f>
        <v>0</v>
      </c>
      <c r="X201" s="17" t="str">
        <f>CONCATENATE(Data!J199, " ", Data!K199)</f>
        <v xml:space="preserve"> </v>
      </c>
    </row>
    <row r="202" spans="1:24" x14ac:dyDescent="0.3">
      <c r="A202" s="17" t="str">
        <f>Data!A200</f>
        <v>vehicle1</v>
      </c>
      <c r="B202" s="17" t="str">
        <f>Data!B200</f>
        <v>Vehicle, Gasoline or Petrol</v>
      </c>
      <c r="C202" s="17" t="str">
        <f>Data!C200</f>
        <v>1f2g3h4j5k6l</v>
      </c>
      <c r="D202" s="52">
        <f>Data!D200</f>
        <v>45066.132511574076</v>
      </c>
      <c r="E202" s="60" t="str">
        <f>IF(Data!E200="GpsRecord",Data!F200,"")</f>
        <v/>
      </c>
      <c r="F202" s="68" t="str">
        <f t="shared" si="33"/>
        <v>Clarksburg, WV, HARRISON_20268, Clarksburg, WV: 500 Baltimore Ave, Clarksburg, WV 26301, USA</v>
      </c>
      <c r="G202" t="b">
        <f t="shared" si="34"/>
        <v>0</v>
      </c>
      <c r="H202" t="b">
        <f t="shared" si="35"/>
        <v>0</v>
      </c>
      <c r="I202" t="b">
        <f t="shared" si="36"/>
        <v>0</v>
      </c>
      <c r="J202" t="str">
        <f t="shared" si="37"/>
        <v/>
      </c>
      <c r="K202" t="str">
        <f t="shared" si="38"/>
        <v/>
      </c>
      <c r="L202" t="str">
        <f t="shared" si="39"/>
        <v>,</v>
      </c>
      <c r="M202" t="str">
        <f t="shared" si="40"/>
        <v/>
      </c>
      <c r="N202" t="str">
        <f t="shared" si="41"/>
        <v/>
      </c>
      <c r="O202" t="str">
        <f t="shared" si="42"/>
        <v/>
      </c>
      <c r="P202" t="str">
        <f t="shared" si="43"/>
        <v/>
      </c>
      <c r="Q202" t="str">
        <f t="shared" si="44"/>
        <v/>
      </c>
      <c r="R202" s="20" t="str">
        <f t="shared" si="45"/>
        <v>WV</v>
      </c>
      <c r="S202" s="20" t="str">
        <f>IF(Data!E200="GpsRecord",Data!G200,"")</f>
        <v/>
      </c>
      <c r="T202" s="20" t="str">
        <f>IF(Data!E200="GpsRecord",Data!H200,"")</f>
        <v/>
      </c>
      <c r="U202" s="20">
        <f t="shared" si="46"/>
        <v>-39.421080000000003</v>
      </c>
      <c r="V202" s="20">
        <f t="shared" si="47"/>
        <v>33.736919999999998</v>
      </c>
      <c r="W202" s="19" t="str">
        <f>Data!I200</f>
        <v>Cellular modem radio access technology</v>
      </c>
      <c r="X202" s="17" t="str">
        <f>CONCATENATE(Data!J200, " ", Data!K200)</f>
        <v>7 None</v>
      </c>
    </row>
    <row r="203" spans="1:24" x14ac:dyDescent="0.3">
      <c r="A203" s="17" t="str">
        <f>Data!A201</f>
        <v>vehicle1</v>
      </c>
      <c r="B203" s="17" t="str">
        <f>Data!B201</f>
        <v>Vehicle, Gasoline or Petrol</v>
      </c>
      <c r="C203" s="17" t="str">
        <f>Data!C201</f>
        <v>1f2g3h4j5k6l</v>
      </c>
      <c r="D203" s="52">
        <f>Data!D201</f>
        <v>45066.132511574076</v>
      </c>
      <c r="E203" s="60" t="str">
        <f>IF(Data!E201="GpsRecord",Data!F201,"")</f>
        <v/>
      </c>
      <c r="F203" s="68" t="str">
        <f t="shared" si="33"/>
        <v>Clarksburg, WV, HARRISON_20268, Clarksburg, WV: 500 Baltimore Ave, Clarksburg, WV 26301, USA</v>
      </c>
      <c r="G203" t="b">
        <f t="shared" si="34"/>
        <v>0</v>
      </c>
      <c r="H203" t="b">
        <f t="shared" si="35"/>
        <v>0</v>
      </c>
      <c r="I203" t="b">
        <f t="shared" si="36"/>
        <v>0</v>
      </c>
      <c r="J203" t="str">
        <f t="shared" si="37"/>
        <v/>
      </c>
      <c r="K203" t="str">
        <f t="shared" si="38"/>
        <v/>
      </c>
      <c r="L203" t="str">
        <f t="shared" si="39"/>
        <v>,</v>
      </c>
      <c r="M203" t="str">
        <f t="shared" si="40"/>
        <v/>
      </c>
      <c r="N203" t="str">
        <f t="shared" si="41"/>
        <v/>
      </c>
      <c r="O203" t="str">
        <f t="shared" si="42"/>
        <v/>
      </c>
      <c r="P203" t="str">
        <f t="shared" si="43"/>
        <v/>
      </c>
      <c r="Q203" t="str">
        <f t="shared" si="44"/>
        <v/>
      </c>
      <c r="R203" s="20" t="str">
        <f t="shared" si="45"/>
        <v>WV</v>
      </c>
      <c r="S203" s="20" t="str">
        <f>IF(Data!E201="GpsRecord",Data!G201,"")</f>
        <v/>
      </c>
      <c r="T203" s="20" t="str">
        <f>IF(Data!E201="GpsRecord",Data!H201,"")</f>
        <v/>
      </c>
      <c r="U203" s="20">
        <f t="shared" si="46"/>
        <v>-39.421080000000003</v>
      </c>
      <c r="V203" s="20">
        <f t="shared" si="47"/>
        <v>33.736919999999998</v>
      </c>
      <c r="W203" s="19" t="str">
        <f>Data!I201</f>
        <v>Cellular modem signal strength</v>
      </c>
      <c r="X203" s="17" t="str">
        <f>CONCATENATE(Data!J201, " ", Data!K201)</f>
        <v>99 None</v>
      </c>
    </row>
    <row r="204" spans="1:24" x14ac:dyDescent="0.3">
      <c r="A204" s="17" t="str">
        <f>Data!A202</f>
        <v>vehicle1</v>
      </c>
      <c r="B204" s="17" t="str">
        <f>Data!B202</f>
        <v>Vehicle, Gasoline or Petrol</v>
      </c>
      <c r="C204" s="17" t="str">
        <f>Data!C202</f>
        <v>1f2g3h4j5k6l</v>
      </c>
      <c r="D204" s="52">
        <f>Data!D202</f>
        <v>45066.132511574076</v>
      </c>
      <c r="E204" s="60" t="str">
        <f>IF(Data!E202="GpsRecord",Data!F202,"")</f>
        <v/>
      </c>
      <c r="F204" s="68" t="str">
        <f t="shared" si="33"/>
        <v>Clarksburg, WV, HARRISON_20268, Clarksburg, WV: 500 Baltimore Ave, Clarksburg, WV 26301, USA</v>
      </c>
      <c r="G204" t="b">
        <f t="shared" si="34"/>
        <v>0</v>
      </c>
      <c r="H204" t="b">
        <f t="shared" si="35"/>
        <v>0</v>
      </c>
      <c r="I204" t="b">
        <f t="shared" si="36"/>
        <v>0</v>
      </c>
      <c r="J204" t="str">
        <f t="shared" si="37"/>
        <v/>
      </c>
      <c r="K204" t="str">
        <f t="shared" si="38"/>
        <v/>
      </c>
      <c r="L204" t="str">
        <f t="shared" si="39"/>
        <v>,</v>
      </c>
      <c r="M204" t="str">
        <f t="shared" si="40"/>
        <v/>
      </c>
      <c r="N204" t="str">
        <f t="shared" si="41"/>
        <v/>
      </c>
      <c r="O204" t="str">
        <f t="shared" si="42"/>
        <v/>
      </c>
      <c r="P204" t="str">
        <f t="shared" si="43"/>
        <v/>
      </c>
      <c r="Q204" t="str">
        <f t="shared" si="44"/>
        <v/>
      </c>
      <c r="R204" s="20" t="str">
        <f t="shared" si="45"/>
        <v>WV</v>
      </c>
      <c r="S204" s="20" t="str">
        <f>IF(Data!E202="GpsRecord",Data!G202,"")</f>
        <v/>
      </c>
      <c r="T204" s="20" t="str">
        <f>IF(Data!E202="GpsRecord",Data!H202,"")</f>
        <v/>
      </c>
      <c r="U204" s="20">
        <f t="shared" si="46"/>
        <v>-39.421080000000003</v>
      </c>
      <c r="V204" s="20">
        <f t="shared" si="47"/>
        <v>33.736919999999998</v>
      </c>
      <c r="W204" s="19">
        <f>Data!I202</f>
        <v>0</v>
      </c>
      <c r="X204" s="17" t="str">
        <f>CONCATENATE(Data!J202, " ", Data!K202)</f>
        <v xml:space="preserve"> </v>
      </c>
    </row>
    <row r="205" spans="1:24" x14ac:dyDescent="0.3">
      <c r="A205" s="17" t="str">
        <f>Data!A203</f>
        <v>vehicle1</v>
      </c>
      <c r="B205" s="17" t="str">
        <f>Data!B203</f>
        <v>Vehicle, Gasoline or Petrol</v>
      </c>
      <c r="C205" s="17" t="str">
        <f>Data!C203</f>
        <v>1f2g3h4j5k6l</v>
      </c>
      <c r="D205" s="52">
        <f>Data!D203</f>
        <v>45066.132511574076</v>
      </c>
      <c r="E205" s="60" t="str">
        <f>IF(Data!E203="GpsRecord",Data!F203,"")</f>
        <v/>
      </c>
      <c r="F205" s="68" t="str">
        <f t="shared" ref="F205:F268" si="48">IF(E205&lt;&gt;"",E205, IF(F204&lt;&gt;$F$12, F204, ""))</f>
        <v>Clarksburg, WV, HARRISON_20268, Clarksburg, WV: 500 Baltimore Ave, Clarksburg, WV 26301, USA</v>
      </c>
      <c r="G205" t="b">
        <f t="shared" si="34"/>
        <v>0</v>
      </c>
      <c r="H205" t="b">
        <f t="shared" si="35"/>
        <v>0</v>
      </c>
      <c r="I205" t="b">
        <f t="shared" si="36"/>
        <v>0</v>
      </c>
      <c r="J205" t="str">
        <f t="shared" si="37"/>
        <v/>
      </c>
      <c r="K205" t="str">
        <f t="shared" si="38"/>
        <v/>
      </c>
      <c r="L205" t="str">
        <f t="shared" si="39"/>
        <v>,</v>
      </c>
      <c r="M205" t="str">
        <f t="shared" si="40"/>
        <v/>
      </c>
      <c r="N205" t="str">
        <f t="shared" si="41"/>
        <v/>
      </c>
      <c r="O205" t="str">
        <f t="shared" si="42"/>
        <v/>
      </c>
      <c r="P205" t="str">
        <f t="shared" si="43"/>
        <v/>
      </c>
      <c r="Q205" t="str">
        <f t="shared" si="44"/>
        <v/>
      </c>
      <c r="R205" s="20" t="str">
        <f t="shared" si="45"/>
        <v>WV</v>
      </c>
      <c r="S205" s="20" t="str">
        <f>IF(Data!E203="GpsRecord",Data!G203,"")</f>
        <v/>
      </c>
      <c r="T205" s="20" t="str">
        <f>IF(Data!E203="GpsRecord",Data!H203,"")</f>
        <v/>
      </c>
      <c r="U205" s="20">
        <f t="shared" si="46"/>
        <v>-39.421080000000003</v>
      </c>
      <c r="V205" s="20">
        <f t="shared" si="47"/>
        <v>33.736919999999998</v>
      </c>
      <c r="W205" s="19" t="str">
        <f>Data!I203</f>
        <v>Fuel level while stopped (percent) tank 1</v>
      </c>
      <c r="X205" s="17" t="str">
        <f>CONCATENATE(Data!J203, " ", Data!K203)</f>
        <v>61.1676 %</v>
      </c>
    </row>
    <row r="206" spans="1:24" x14ac:dyDescent="0.3">
      <c r="A206" s="17" t="str">
        <f>Data!A204</f>
        <v>vehicle1</v>
      </c>
      <c r="B206" s="17" t="str">
        <f>Data!B204</f>
        <v>Vehicle, Gasoline or Petrol</v>
      </c>
      <c r="C206" s="17" t="str">
        <f>Data!C204</f>
        <v>1f2g3h4j5k6l</v>
      </c>
      <c r="D206" s="52">
        <f>Data!D204</f>
        <v>45066.132511574076</v>
      </c>
      <c r="E206" s="60" t="str">
        <f>IF(Data!E204="GpsRecord",Data!F204,"")</f>
        <v/>
      </c>
      <c r="F206" s="68" t="str">
        <f t="shared" si="48"/>
        <v>Clarksburg, WV, HARRISON_20268, Clarksburg, WV: 500 Baltimore Ave, Clarksburg, WV 26301, USA</v>
      </c>
      <c r="G206" t="b">
        <f t="shared" ref="G206:G269" si="49">ISNUMBER(FIND($G$11,E206))</f>
        <v>0</v>
      </c>
      <c r="H206" t="b">
        <f t="shared" ref="H206:H269" si="50">ISNUMBER(FIND($H$11,E206))</f>
        <v>0</v>
      </c>
      <c r="I206" t="b">
        <f t="shared" ref="I206:I269" si="51">OR(G206,H206)</f>
        <v>0</v>
      </c>
      <c r="J206" t="str">
        <f t="shared" ref="J206:J269" si="52">IFERROR(MID(E206,FIND(": ",E206)+2,255),E206)</f>
        <v/>
      </c>
      <c r="K206" t="str">
        <f t="shared" ref="K206:K269" si="53">IFERROR(RIGHT(J206,LEN(J206)-FIND("@",SUBSTITUTE(J206,",","@",LEN(J206)-LEN(SUBSTITUTE(J206,",",""))),1)),J206)</f>
        <v/>
      </c>
      <c r="L206" t="str">
        <f t="shared" ref="L206:L269" si="54">","&amp;K206</f>
        <v>,</v>
      </c>
      <c r="M206" t="str">
        <f t="shared" ref="M206:M269" si="55">IF(I206,SUBSTITUTE(J206,L206,""),J206)</f>
        <v/>
      </c>
      <c r="N206" t="str">
        <f t="shared" ref="N206:N269" si="56">IFERROR(RIGHT(M206,LEN(M206)-FIND("@",SUBSTITUTE(M206,",","@",LEN(M206)-LEN(SUBSTITUTE(M206,",",""))),1)),M206)</f>
        <v/>
      </c>
      <c r="O206" t="str">
        <f t="shared" ref="O206:O269" si="57">IFERROR(RIGHT(N206,LEN(N206)-FIND("@",SUBSTITUTE(N206," ","@",LEN(N206)-LEN(SUBSTITUTE(N206," ",""))),1)),N206)</f>
        <v/>
      </c>
      <c r="P206" t="str">
        <f t="shared" ref="P206:P269" si="58">SUBSTITUTE(N206,CONCATENATE(" ",O206),"")</f>
        <v/>
      </c>
      <c r="Q206" t="str">
        <f t="shared" ref="Q206:Q269" si="59">IF(G206, MID(P206,2,2),RIGHT(P206,2))</f>
        <v/>
      </c>
      <c r="R206" s="20" t="str">
        <f t="shared" ref="R206:R269" si="60">IF(Q206&lt;&gt;"",Q206, IF(R205&lt;&gt;$R$12, R205, ""))</f>
        <v>WV</v>
      </c>
      <c r="S206" s="20" t="str">
        <f>IF(Data!E204="GpsRecord",Data!G204,"")</f>
        <v/>
      </c>
      <c r="T206" s="20" t="str">
        <f>IF(Data!E204="GpsRecord",Data!H204,"")</f>
        <v/>
      </c>
      <c r="U206" s="20">
        <f t="shared" ref="U206:U269" si="61">IF(S206&lt;&gt;"", S206, IF(U205&lt;&gt;$U$12, U205, ""))</f>
        <v>-39.421080000000003</v>
      </c>
      <c r="V206" s="20">
        <f t="shared" ref="V206:V269" si="62">IF(T206&lt;&gt;"", T206, IF(V205&lt;&gt;$V$12, V205, ""))</f>
        <v>33.736919999999998</v>
      </c>
      <c r="W206" s="19">
        <f>Data!I204</f>
        <v>0</v>
      </c>
      <c r="X206" s="17" t="str">
        <f>CONCATENATE(Data!J204, " ", Data!K204)</f>
        <v xml:space="preserve"> </v>
      </c>
    </row>
    <row r="207" spans="1:24" x14ac:dyDescent="0.3">
      <c r="A207" s="17" t="str">
        <f>Data!A205</f>
        <v>vehicle1</v>
      </c>
      <c r="B207" s="17" t="str">
        <f>Data!B205</f>
        <v>Vehicle, Gasoline or Petrol</v>
      </c>
      <c r="C207" s="17" t="str">
        <f>Data!C205</f>
        <v>1f2g3h4j5k6l</v>
      </c>
      <c r="D207" s="52">
        <f>Data!D205</f>
        <v>45066.132523148146</v>
      </c>
      <c r="E207" s="60" t="str">
        <f>IF(Data!E205="GpsRecord",Data!F205,"")</f>
        <v/>
      </c>
      <c r="F207" s="68" t="str">
        <f t="shared" si="48"/>
        <v>Clarksburg, WV, HARRISON_20268, Clarksburg, WV: 500 Baltimore Ave, Clarksburg, WV 26301, USA</v>
      </c>
      <c r="G207" t="b">
        <f t="shared" si="49"/>
        <v>0</v>
      </c>
      <c r="H207" t="b">
        <f t="shared" si="50"/>
        <v>0</v>
      </c>
      <c r="I207" t="b">
        <f t="shared" si="51"/>
        <v>0</v>
      </c>
      <c r="J207" t="str">
        <f t="shared" si="52"/>
        <v/>
      </c>
      <c r="K207" t="str">
        <f t="shared" si="53"/>
        <v/>
      </c>
      <c r="L207" t="str">
        <f t="shared" si="54"/>
        <v>,</v>
      </c>
      <c r="M207" t="str">
        <f t="shared" si="55"/>
        <v/>
      </c>
      <c r="N207" t="str">
        <f t="shared" si="56"/>
        <v/>
      </c>
      <c r="O207" t="str">
        <f t="shared" si="57"/>
        <v/>
      </c>
      <c r="P207" t="str">
        <f t="shared" si="58"/>
        <v/>
      </c>
      <c r="Q207" t="str">
        <f t="shared" si="59"/>
        <v/>
      </c>
      <c r="R207" s="20" t="str">
        <f t="shared" si="60"/>
        <v>WV</v>
      </c>
      <c r="S207" s="20" t="str">
        <f>IF(Data!E205="GpsRecord",Data!G205,"")</f>
        <v/>
      </c>
      <c r="T207" s="20" t="str">
        <f>IF(Data!E205="GpsRecord",Data!H205,"")</f>
        <v/>
      </c>
      <c r="U207" s="20">
        <f t="shared" si="61"/>
        <v>-39.421080000000003</v>
      </c>
      <c r="V207" s="20">
        <f t="shared" si="62"/>
        <v>33.736919999999998</v>
      </c>
      <c r="W207" s="19" t="str">
        <f>Data!I205</f>
        <v>Fuel level while stopped (percent) tank 1</v>
      </c>
      <c r="X207" s="17" t="str">
        <f>CONCATENATE(Data!J205, " ", Data!K205)</f>
        <v>61.1676 %</v>
      </c>
    </row>
    <row r="208" spans="1:24" x14ac:dyDescent="0.3">
      <c r="A208" s="17" t="str">
        <f>Data!A206</f>
        <v>vehicle1</v>
      </c>
      <c r="B208" s="17" t="str">
        <f>Data!B206</f>
        <v>Vehicle, Gasoline or Petrol</v>
      </c>
      <c r="C208" s="17" t="str">
        <f>Data!C206</f>
        <v>1f2g3h4j5k6l</v>
      </c>
      <c r="D208" s="52">
        <f>Data!D206</f>
        <v>45066.132534722223</v>
      </c>
      <c r="E208" s="60" t="str">
        <f>IF(Data!E206="GpsRecord",Data!F206,"")</f>
        <v/>
      </c>
      <c r="F208" s="68" t="str">
        <f t="shared" si="48"/>
        <v>Clarksburg, WV, HARRISON_20268, Clarksburg, WV: 500 Baltimore Ave, Clarksburg, WV 26301, USA</v>
      </c>
      <c r="G208" t="b">
        <f t="shared" si="49"/>
        <v>0</v>
      </c>
      <c r="H208" t="b">
        <f t="shared" si="50"/>
        <v>0</v>
      </c>
      <c r="I208" t="b">
        <f t="shared" si="51"/>
        <v>0</v>
      </c>
      <c r="J208" t="str">
        <f t="shared" si="52"/>
        <v/>
      </c>
      <c r="K208" t="str">
        <f t="shared" si="53"/>
        <v/>
      </c>
      <c r="L208" t="str">
        <f t="shared" si="54"/>
        <v>,</v>
      </c>
      <c r="M208" t="str">
        <f t="shared" si="55"/>
        <v/>
      </c>
      <c r="N208" t="str">
        <f t="shared" si="56"/>
        <v/>
      </c>
      <c r="O208" t="str">
        <f t="shared" si="57"/>
        <v/>
      </c>
      <c r="P208" t="str">
        <f t="shared" si="58"/>
        <v/>
      </c>
      <c r="Q208" t="str">
        <f t="shared" si="59"/>
        <v/>
      </c>
      <c r="R208" s="20" t="str">
        <f t="shared" si="60"/>
        <v>WV</v>
      </c>
      <c r="S208" s="20" t="str">
        <f>IF(Data!E206="GpsRecord",Data!G206,"")</f>
        <v/>
      </c>
      <c r="T208" s="20" t="str">
        <f>IF(Data!E206="GpsRecord",Data!H206,"")</f>
        <v/>
      </c>
      <c r="U208" s="20">
        <f t="shared" si="61"/>
        <v>-39.421080000000003</v>
      </c>
      <c r="V208" s="20">
        <f t="shared" si="62"/>
        <v>33.736919999999998</v>
      </c>
      <c r="W208" s="19">
        <f>Data!I206</f>
        <v>0</v>
      </c>
      <c r="X208" s="17" t="str">
        <f>CONCATENATE(Data!J206, " ", Data!K206)</f>
        <v xml:space="preserve"> </v>
      </c>
    </row>
    <row r="209" spans="1:24" x14ac:dyDescent="0.3">
      <c r="A209" s="17" t="str">
        <f>Data!A207</f>
        <v>vehicle1</v>
      </c>
      <c r="B209" s="17" t="str">
        <f>Data!B207</f>
        <v>Vehicle, Gasoline or Petrol</v>
      </c>
      <c r="C209" s="17" t="str">
        <f>Data!C207</f>
        <v>1f2g3h4j5k6l</v>
      </c>
      <c r="D209" s="52">
        <f>Data!D207</f>
        <v>45066.132534722223</v>
      </c>
      <c r="E209" s="60" t="str">
        <f>IF(Data!E207="GpsRecord",Data!F207,"")</f>
        <v/>
      </c>
      <c r="F209" s="68" t="str">
        <f t="shared" si="48"/>
        <v>Clarksburg, WV, HARRISON_20268, Clarksburg, WV: 500 Baltimore Ave, Clarksburg, WV 26301, USA</v>
      </c>
      <c r="G209" t="b">
        <f t="shared" si="49"/>
        <v>0</v>
      </c>
      <c r="H209" t="b">
        <f t="shared" si="50"/>
        <v>0</v>
      </c>
      <c r="I209" t="b">
        <f t="shared" si="51"/>
        <v>0</v>
      </c>
      <c r="J209" t="str">
        <f t="shared" si="52"/>
        <v/>
      </c>
      <c r="K209" t="str">
        <f t="shared" si="53"/>
        <v/>
      </c>
      <c r="L209" t="str">
        <f t="shared" si="54"/>
        <v>,</v>
      </c>
      <c r="M209" t="str">
        <f t="shared" si="55"/>
        <v/>
      </c>
      <c r="N209" t="str">
        <f t="shared" si="56"/>
        <v/>
      </c>
      <c r="O209" t="str">
        <f t="shared" si="57"/>
        <v/>
      </c>
      <c r="P209" t="str">
        <f t="shared" si="58"/>
        <v/>
      </c>
      <c r="Q209" t="str">
        <f t="shared" si="59"/>
        <v/>
      </c>
      <c r="R209" s="20" t="str">
        <f t="shared" si="60"/>
        <v>WV</v>
      </c>
      <c r="S209" s="20" t="str">
        <f>IF(Data!E207="GpsRecord",Data!G207,"")</f>
        <v/>
      </c>
      <c r="T209" s="20" t="str">
        <f>IF(Data!E207="GpsRecord",Data!H207,"")</f>
        <v/>
      </c>
      <c r="U209" s="20">
        <f t="shared" si="61"/>
        <v>-39.421080000000003</v>
      </c>
      <c r="V209" s="20">
        <f t="shared" si="62"/>
        <v>33.736919999999998</v>
      </c>
      <c r="W209" s="19" t="str">
        <f>Data!I207</f>
        <v>Trip distance with tracked fuel accumulator</v>
      </c>
      <c r="X209" s="17" t="str">
        <f>CONCATENATE(Data!J207, " ", Data!K207)</f>
        <v>0 km</v>
      </c>
    </row>
    <row r="210" spans="1:24" x14ac:dyDescent="0.3">
      <c r="A210" s="17" t="str">
        <f>Data!A208</f>
        <v>vehicle1</v>
      </c>
      <c r="B210" s="17" t="str">
        <f>Data!B208</f>
        <v>Vehicle, Gasoline or Petrol</v>
      </c>
      <c r="C210" s="17" t="str">
        <f>Data!C208</f>
        <v>1f2g3h4j5k6l</v>
      </c>
      <c r="D210" s="52">
        <f>Data!D208</f>
        <v>45066.132534722223</v>
      </c>
      <c r="E210" s="60" t="str">
        <f>IF(Data!E208="GpsRecord",Data!F208,"")</f>
        <v/>
      </c>
      <c r="F210" s="68" t="str">
        <f t="shared" si="48"/>
        <v>Clarksburg, WV, HARRISON_20268, Clarksburg, WV: 500 Baltimore Ave, Clarksburg, WV 26301, USA</v>
      </c>
      <c r="G210" t="b">
        <f t="shared" si="49"/>
        <v>0</v>
      </c>
      <c r="H210" t="b">
        <f t="shared" si="50"/>
        <v>0</v>
      </c>
      <c r="I210" t="b">
        <f t="shared" si="51"/>
        <v>0</v>
      </c>
      <c r="J210" t="str">
        <f t="shared" si="52"/>
        <v/>
      </c>
      <c r="K210" t="str">
        <f t="shared" si="53"/>
        <v/>
      </c>
      <c r="L210" t="str">
        <f t="shared" si="54"/>
        <v>,</v>
      </c>
      <c r="M210" t="str">
        <f t="shared" si="55"/>
        <v/>
      </c>
      <c r="N210" t="str">
        <f t="shared" si="56"/>
        <v/>
      </c>
      <c r="O210" t="str">
        <f t="shared" si="57"/>
        <v/>
      </c>
      <c r="P210" t="str">
        <f t="shared" si="58"/>
        <v/>
      </c>
      <c r="Q210" t="str">
        <f t="shared" si="59"/>
        <v/>
      </c>
      <c r="R210" s="20" t="str">
        <f t="shared" si="60"/>
        <v>WV</v>
      </c>
      <c r="S210" s="20" t="str">
        <f>IF(Data!E208="GpsRecord",Data!G208,"")</f>
        <v/>
      </c>
      <c r="T210" s="20" t="str">
        <f>IF(Data!E208="GpsRecord",Data!H208,"")</f>
        <v/>
      </c>
      <c r="U210" s="20">
        <f t="shared" si="61"/>
        <v>-39.421080000000003</v>
      </c>
      <c r="V210" s="20">
        <f t="shared" si="62"/>
        <v>33.736919999999998</v>
      </c>
      <c r="W210" s="19" t="str">
        <f>Data!I208</f>
        <v>Total fuel used (since telematics device install)</v>
      </c>
      <c r="X210" s="17" t="str">
        <f>CONCATENATE(Data!J208, " ", Data!K208)</f>
        <v>1997.67 L</v>
      </c>
    </row>
    <row r="211" spans="1:24" x14ac:dyDescent="0.3">
      <c r="A211" s="17" t="str">
        <f>Data!A209</f>
        <v>vehicle1</v>
      </c>
      <c r="B211" s="17" t="str">
        <f>Data!B209</f>
        <v>Vehicle, Gasoline or Petrol</v>
      </c>
      <c r="C211" s="17" t="str">
        <f>Data!C209</f>
        <v>1f2g3h4j5k6l</v>
      </c>
      <c r="D211" s="52">
        <f>Data!D209</f>
        <v>45066.132534722223</v>
      </c>
      <c r="E211" s="60" t="str">
        <f>IF(Data!E209="GpsRecord",Data!F209,"")</f>
        <v/>
      </c>
      <c r="F211" s="68" t="str">
        <f t="shared" si="48"/>
        <v>Clarksburg, WV, HARRISON_20268, Clarksburg, WV: 500 Baltimore Ave, Clarksburg, WV 26301, USA</v>
      </c>
      <c r="G211" t="b">
        <f t="shared" si="49"/>
        <v>0</v>
      </c>
      <c r="H211" t="b">
        <f t="shared" si="50"/>
        <v>0</v>
      </c>
      <c r="I211" t="b">
        <f t="shared" si="51"/>
        <v>0</v>
      </c>
      <c r="J211" t="str">
        <f t="shared" si="52"/>
        <v/>
      </c>
      <c r="K211" t="str">
        <f t="shared" si="53"/>
        <v/>
      </c>
      <c r="L211" t="str">
        <f t="shared" si="54"/>
        <v>,</v>
      </c>
      <c r="M211" t="str">
        <f t="shared" si="55"/>
        <v/>
      </c>
      <c r="N211" t="str">
        <f t="shared" si="56"/>
        <v/>
      </c>
      <c r="O211" t="str">
        <f t="shared" si="57"/>
        <v/>
      </c>
      <c r="P211" t="str">
        <f t="shared" si="58"/>
        <v/>
      </c>
      <c r="Q211" t="str">
        <f t="shared" si="59"/>
        <v/>
      </c>
      <c r="R211" s="20" t="str">
        <f t="shared" si="60"/>
        <v>WV</v>
      </c>
      <c r="S211" s="20" t="str">
        <f>IF(Data!E209="GpsRecord",Data!G209,"")</f>
        <v/>
      </c>
      <c r="T211" s="20" t="str">
        <f>IF(Data!E209="GpsRecord",Data!H209,"")</f>
        <v/>
      </c>
      <c r="U211" s="20">
        <f t="shared" si="61"/>
        <v>-39.421080000000003</v>
      </c>
      <c r="V211" s="20">
        <f t="shared" si="62"/>
        <v>33.736919999999998</v>
      </c>
      <c r="W211" s="19" t="str">
        <f>Data!I209</f>
        <v>Trip fuel accumulator</v>
      </c>
      <c r="X211" s="17" t="str">
        <f>CONCATENATE(Data!J209, " ", Data!K209)</f>
        <v>0.01 L</v>
      </c>
    </row>
    <row r="212" spans="1:24" x14ac:dyDescent="0.3">
      <c r="A212" s="17" t="str">
        <f>Data!A210</f>
        <v>vehicle1</v>
      </c>
      <c r="B212" s="17" t="str">
        <f>Data!B210</f>
        <v>Vehicle, Gasoline or Petrol</v>
      </c>
      <c r="C212" s="17" t="str">
        <f>Data!C210</f>
        <v>1f2g3h4j5k6l</v>
      </c>
      <c r="D212" s="52">
        <f>Data!D210</f>
        <v>45066.132534722223</v>
      </c>
      <c r="E212" s="60" t="str">
        <f>IF(Data!E210="GpsRecord",Data!F210,"")</f>
        <v/>
      </c>
      <c r="F212" s="68" t="str">
        <f t="shared" si="48"/>
        <v>Clarksburg, WV, HARRISON_20268, Clarksburg, WV: 500 Baltimore Ave, Clarksburg, WV 26301, USA</v>
      </c>
      <c r="G212" t="b">
        <f t="shared" si="49"/>
        <v>0</v>
      </c>
      <c r="H212" t="b">
        <f t="shared" si="50"/>
        <v>0</v>
      </c>
      <c r="I212" t="b">
        <f t="shared" si="51"/>
        <v>0</v>
      </c>
      <c r="J212" t="str">
        <f t="shared" si="52"/>
        <v/>
      </c>
      <c r="K212" t="str">
        <f t="shared" si="53"/>
        <v/>
      </c>
      <c r="L212" t="str">
        <f t="shared" si="54"/>
        <v>,</v>
      </c>
      <c r="M212" t="str">
        <f t="shared" si="55"/>
        <v/>
      </c>
      <c r="N212" t="str">
        <f t="shared" si="56"/>
        <v/>
      </c>
      <c r="O212" t="str">
        <f t="shared" si="57"/>
        <v/>
      </c>
      <c r="P212" t="str">
        <f t="shared" si="58"/>
        <v/>
      </c>
      <c r="Q212" t="str">
        <f t="shared" si="59"/>
        <v/>
      </c>
      <c r="R212" s="20" t="str">
        <f t="shared" si="60"/>
        <v>WV</v>
      </c>
      <c r="S212" s="20" t="str">
        <f>IF(Data!E210="GpsRecord",Data!G210,"")</f>
        <v/>
      </c>
      <c r="T212" s="20" t="str">
        <f>IF(Data!E210="GpsRecord",Data!H210,"")</f>
        <v/>
      </c>
      <c r="U212" s="20">
        <f t="shared" si="61"/>
        <v>-39.421080000000003</v>
      </c>
      <c r="V212" s="20">
        <f t="shared" si="62"/>
        <v>33.736919999999998</v>
      </c>
      <c r="W212" s="19" t="str">
        <f>Data!I210</f>
        <v>Fuel level while stopped (percent) tank 1</v>
      </c>
      <c r="X212" s="17" t="str">
        <f>CONCATENATE(Data!J210, " ", Data!K210)</f>
        <v>58.0308 %</v>
      </c>
    </row>
    <row r="213" spans="1:24" x14ac:dyDescent="0.3">
      <c r="A213" s="17" t="str">
        <f>Data!A211</f>
        <v>vehicle1</v>
      </c>
      <c r="B213" s="17" t="str">
        <f>Data!B211</f>
        <v>Vehicle, Gasoline or Petrol</v>
      </c>
      <c r="C213" s="17" t="str">
        <f>Data!C211</f>
        <v>1f2g3h4j5k6l</v>
      </c>
      <c r="D213" s="52">
        <f>Data!D211</f>
        <v>45066.1325462963</v>
      </c>
      <c r="E213" s="60" t="str">
        <f>IF(Data!E211="GpsRecord",Data!F211,"")</f>
        <v>Clarksburg, WV, HARRISON_20268, Clarksburg, WV: 500 Baltimore Ave, Clarksburg, WV 26301, USA</v>
      </c>
      <c r="F213" s="68" t="str">
        <f t="shared" si="48"/>
        <v>Clarksburg, WV, HARRISON_20268, Clarksburg, WV: 500 Baltimore Ave, Clarksburg, WV 26301, USA</v>
      </c>
      <c r="G213" t="b">
        <f t="shared" si="49"/>
        <v>0</v>
      </c>
      <c r="H213" t="b">
        <f t="shared" si="50"/>
        <v>1</v>
      </c>
      <c r="I213" t="b">
        <f t="shared" si="51"/>
        <v>1</v>
      </c>
      <c r="J213" t="str">
        <f t="shared" si="52"/>
        <v>500 Baltimore Ave, Clarksburg, WV 26301, USA</v>
      </c>
      <c r="K213" t="str">
        <f t="shared" si="53"/>
        <v xml:space="preserve"> USA</v>
      </c>
      <c r="L213" t="str">
        <f t="shared" si="54"/>
        <v>, USA</v>
      </c>
      <c r="M213" t="str">
        <f t="shared" si="55"/>
        <v>500 Baltimore Ave, Clarksburg, WV 26301</v>
      </c>
      <c r="N213" t="str">
        <f t="shared" si="56"/>
        <v xml:space="preserve"> WV 26301</v>
      </c>
      <c r="O213" t="str">
        <f t="shared" si="57"/>
        <v>26301</v>
      </c>
      <c r="P213" t="str">
        <f t="shared" si="58"/>
        <v xml:space="preserve"> WV</v>
      </c>
      <c r="Q213" t="str">
        <f t="shared" si="59"/>
        <v>WV</v>
      </c>
      <c r="R213" s="20" t="str">
        <f t="shared" si="60"/>
        <v>WV</v>
      </c>
      <c r="S213" s="20">
        <f>IF(Data!E211="GpsRecord",Data!G211,"")</f>
        <v>-39.421080000000003</v>
      </c>
      <c r="T213" s="20">
        <f>IF(Data!E211="GpsRecord",Data!H211,"")</f>
        <v>33.736919999999998</v>
      </c>
      <c r="U213" s="20">
        <f t="shared" si="61"/>
        <v>-39.421080000000003</v>
      </c>
      <c r="V213" s="20">
        <f t="shared" si="62"/>
        <v>33.736919999999998</v>
      </c>
      <c r="W213" s="19">
        <f>Data!I211</f>
        <v>0</v>
      </c>
      <c r="X213" s="17" t="str">
        <f>CONCATENATE(Data!J211, " ", Data!K211)</f>
        <v xml:space="preserve"> </v>
      </c>
    </row>
    <row r="214" spans="1:24" x14ac:dyDescent="0.3">
      <c r="A214" s="17" t="str">
        <f>Data!A212</f>
        <v>vehicle1</v>
      </c>
      <c r="B214" s="17" t="str">
        <f>Data!B212</f>
        <v>Vehicle, Gasoline or Petrol</v>
      </c>
      <c r="C214" s="17" t="str">
        <f>Data!C212</f>
        <v>1f2g3h4j5k6l</v>
      </c>
      <c r="D214" s="52">
        <f>Data!D212</f>
        <v>45066.1325462963</v>
      </c>
      <c r="E214" s="60" t="str">
        <f>IF(Data!E212="GpsRecord",Data!F212,"")</f>
        <v/>
      </c>
      <c r="F214" s="68" t="str">
        <f t="shared" si="48"/>
        <v>Clarksburg, WV, HARRISON_20268, Clarksburg, WV: 500 Baltimore Ave, Clarksburg, WV 26301, USA</v>
      </c>
      <c r="G214" t="b">
        <f t="shared" si="49"/>
        <v>0</v>
      </c>
      <c r="H214" t="b">
        <f t="shared" si="50"/>
        <v>0</v>
      </c>
      <c r="I214" t="b">
        <f t="shared" si="51"/>
        <v>0</v>
      </c>
      <c r="J214" t="str">
        <f t="shared" si="52"/>
        <v/>
      </c>
      <c r="K214" t="str">
        <f t="shared" si="53"/>
        <v/>
      </c>
      <c r="L214" t="str">
        <f t="shared" si="54"/>
        <v>,</v>
      </c>
      <c r="M214" t="str">
        <f t="shared" si="55"/>
        <v/>
      </c>
      <c r="N214" t="str">
        <f t="shared" si="56"/>
        <v/>
      </c>
      <c r="O214" t="str">
        <f t="shared" si="57"/>
        <v/>
      </c>
      <c r="P214" t="str">
        <f t="shared" si="58"/>
        <v/>
      </c>
      <c r="Q214" t="str">
        <f t="shared" si="59"/>
        <v/>
      </c>
      <c r="R214" s="20" t="str">
        <f t="shared" si="60"/>
        <v>WV</v>
      </c>
      <c r="S214" s="20" t="str">
        <f>IF(Data!E212="GpsRecord",Data!G212,"")</f>
        <v/>
      </c>
      <c r="T214" s="20" t="str">
        <f>IF(Data!E212="GpsRecord",Data!H212,"")</f>
        <v/>
      </c>
      <c r="U214" s="20">
        <f t="shared" si="61"/>
        <v>-39.421080000000003</v>
      </c>
      <c r="V214" s="20">
        <f t="shared" si="62"/>
        <v>33.736919999999998</v>
      </c>
      <c r="W214" s="19">
        <f>Data!I212</f>
        <v>0</v>
      </c>
      <c r="X214" s="17" t="str">
        <f>CONCATENATE(Data!J212, " ", Data!K212)</f>
        <v xml:space="preserve"> </v>
      </c>
    </row>
    <row r="215" spans="1:24" x14ac:dyDescent="0.3">
      <c r="A215" s="17" t="str">
        <f>Data!A213</f>
        <v>vehicle1</v>
      </c>
      <c r="B215" s="17" t="str">
        <f>Data!B213</f>
        <v>Vehicle, Gasoline or Petrol</v>
      </c>
      <c r="C215" s="17" t="str">
        <f>Data!C213</f>
        <v>1f2g3h4j5k6l</v>
      </c>
      <c r="D215" s="52">
        <f>Data!D213</f>
        <v>45066.1325462963</v>
      </c>
      <c r="E215" s="60" t="str">
        <f>IF(Data!E213="GpsRecord",Data!F213,"")</f>
        <v/>
      </c>
      <c r="F215" s="68" t="str">
        <f t="shared" si="48"/>
        <v>Clarksburg, WV, HARRISON_20268, Clarksburg, WV: 500 Baltimore Ave, Clarksburg, WV 26301, USA</v>
      </c>
      <c r="G215" t="b">
        <f t="shared" si="49"/>
        <v>0</v>
      </c>
      <c r="H215" t="b">
        <f t="shared" si="50"/>
        <v>0</v>
      </c>
      <c r="I215" t="b">
        <f t="shared" si="51"/>
        <v>0</v>
      </c>
      <c r="J215" t="str">
        <f t="shared" si="52"/>
        <v/>
      </c>
      <c r="K215" t="str">
        <f t="shared" si="53"/>
        <v/>
      </c>
      <c r="L215" t="str">
        <f t="shared" si="54"/>
        <v>,</v>
      </c>
      <c r="M215" t="str">
        <f t="shared" si="55"/>
        <v/>
      </c>
      <c r="N215" t="str">
        <f t="shared" si="56"/>
        <v/>
      </c>
      <c r="O215" t="str">
        <f t="shared" si="57"/>
        <v/>
      </c>
      <c r="P215" t="str">
        <f t="shared" si="58"/>
        <v/>
      </c>
      <c r="Q215" t="str">
        <f t="shared" si="59"/>
        <v/>
      </c>
      <c r="R215" s="20" t="str">
        <f t="shared" si="60"/>
        <v>WV</v>
      </c>
      <c r="S215" s="20" t="str">
        <f>IF(Data!E213="GpsRecord",Data!G213,"")</f>
        <v/>
      </c>
      <c r="T215" s="20" t="str">
        <f>IF(Data!E213="GpsRecord",Data!H213,"")</f>
        <v/>
      </c>
      <c r="U215" s="20">
        <f t="shared" si="61"/>
        <v>-39.421080000000003</v>
      </c>
      <c r="V215" s="20">
        <f t="shared" si="62"/>
        <v>33.736919999999998</v>
      </c>
      <c r="W215" s="19" t="str">
        <f>Data!I213</f>
        <v>Fuel level while stopped (percent) tank 1</v>
      </c>
      <c r="X215" s="17" t="str">
        <f>CONCATENATE(Data!J213, " ", Data!K213)</f>
        <v>61.5597 %</v>
      </c>
    </row>
    <row r="216" spans="1:24" x14ac:dyDescent="0.3">
      <c r="A216" s="17" t="str">
        <f>Data!A214</f>
        <v>vehicle1</v>
      </c>
      <c r="B216" s="17" t="str">
        <f>Data!B214</f>
        <v>Vehicle, Gasoline or Petrol</v>
      </c>
      <c r="C216" s="17" t="str">
        <f>Data!C214</f>
        <v>1f2g3h4j5k6l</v>
      </c>
      <c r="D216" s="52">
        <f>Data!D214</f>
        <v>45066.1325462963</v>
      </c>
      <c r="E216" s="60" t="str">
        <f>IF(Data!E214="GpsRecord",Data!F214,"")</f>
        <v/>
      </c>
      <c r="F216" s="68" t="str">
        <f t="shared" si="48"/>
        <v>Clarksburg, WV, HARRISON_20268, Clarksburg, WV: 500 Baltimore Ave, Clarksburg, WV 26301, USA</v>
      </c>
      <c r="G216" t="b">
        <f t="shared" si="49"/>
        <v>0</v>
      </c>
      <c r="H216" t="b">
        <f t="shared" si="50"/>
        <v>0</v>
      </c>
      <c r="I216" t="b">
        <f t="shared" si="51"/>
        <v>0</v>
      </c>
      <c r="J216" t="str">
        <f t="shared" si="52"/>
        <v/>
      </c>
      <c r="K216" t="str">
        <f t="shared" si="53"/>
        <v/>
      </c>
      <c r="L216" t="str">
        <f t="shared" si="54"/>
        <v>,</v>
      </c>
      <c r="M216" t="str">
        <f t="shared" si="55"/>
        <v/>
      </c>
      <c r="N216" t="str">
        <f t="shared" si="56"/>
        <v/>
      </c>
      <c r="O216" t="str">
        <f t="shared" si="57"/>
        <v/>
      </c>
      <c r="P216" t="str">
        <f t="shared" si="58"/>
        <v/>
      </c>
      <c r="Q216" t="str">
        <f t="shared" si="59"/>
        <v/>
      </c>
      <c r="R216" s="20" t="str">
        <f t="shared" si="60"/>
        <v>WV</v>
      </c>
      <c r="S216" s="20" t="str">
        <f>IF(Data!E214="GpsRecord",Data!G214,"")</f>
        <v/>
      </c>
      <c r="T216" s="20" t="str">
        <f>IF(Data!E214="GpsRecord",Data!H214,"")</f>
        <v/>
      </c>
      <c r="U216" s="20">
        <f t="shared" si="61"/>
        <v>-39.421080000000003</v>
      </c>
      <c r="V216" s="20">
        <f t="shared" si="62"/>
        <v>33.736919999999998</v>
      </c>
      <c r="W216" s="19" t="str">
        <f>Data!I214</f>
        <v>Trip stopped duration accumulator</v>
      </c>
      <c r="X216" s="17" t="str">
        <f>CONCATENATE(Data!J214, " ", Data!K214)</f>
        <v>0.0050000000004 h</v>
      </c>
    </row>
    <row r="217" spans="1:24" x14ac:dyDescent="0.3">
      <c r="A217" s="17" t="str">
        <f>Data!A215</f>
        <v>vehicle1</v>
      </c>
      <c r="B217" s="17" t="str">
        <f>Data!B215</f>
        <v>Vehicle, Gasoline or Petrol</v>
      </c>
      <c r="C217" s="17" t="str">
        <f>Data!C215</f>
        <v>1f2g3h4j5k6l</v>
      </c>
      <c r="D217" s="52">
        <f>Data!D215</f>
        <v>45066.1325462963</v>
      </c>
      <c r="E217" s="60" t="str">
        <f>IF(Data!E215="GpsRecord",Data!F215,"")</f>
        <v/>
      </c>
      <c r="F217" s="68" t="str">
        <f t="shared" si="48"/>
        <v>Clarksburg, WV, HARRISON_20268, Clarksburg, WV: 500 Baltimore Ave, Clarksburg, WV 26301, USA</v>
      </c>
      <c r="G217" t="b">
        <f t="shared" si="49"/>
        <v>0</v>
      </c>
      <c r="H217" t="b">
        <f t="shared" si="50"/>
        <v>0</v>
      </c>
      <c r="I217" t="b">
        <f t="shared" si="51"/>
        <v>0</v>
      </c>
      <c r="J217" t="str">
        <f t="shared" si="52"/>
        <v/>
      </c>
      <c r="K217" t="str">
        <f t="shared" si="53"/>
        <v/>
      </c>
      <c r="L217" t="str">
        <f t="shared" si="54"/>
        <v>,</v>
      </c>
      <c r="M217" t="str">
        <f t="shared" si="55"/>
        <v/>
      </c>
      <c r="N217" t="str">
        <f t="shared" si="56"/>
        <v/>
      </c>
      <c r="O217" t="str">
        <f t="shared" si="57"/>
        <v/>
      </c>
      <c r="P217" t="str">
        <f t="shared" si="58"/>
        <v/>
      </c>
      <c r="Q217" t="str">
        <f t="shared" si="59"/>
        <v/>
      </c>
      <c r="R217" s="20" t="str">
        <f t="shared" si="60"/>
        <v>WV</v>
      </c>
      <c r="S217" s="20" t="str">
        <f>IF(Data!E215="GpsRecord",Data!G215,"")</f>
        <v/>
      </c>
      <c r="T217" s="20" t="str">
        <f>IF(Data!E215="GpsRecord",Data!H215,"")</f>
        <v/>
      </c>
      <c r="U217" s="20">
        <f t="shared" si="61"/>
        <v>-39.421080000000003</v>
      </c>
      <c r="V217" s="20">
        <f t="shared" si="62"/>
        <v>33.736919999999998</v>
      </c>
      <c r="W217" s="19">
        <f>Data!I215</f>
        <v>0</v>
      </c>
      <c r="X217" s="17" t="str">
        <f>CONCATENATE(Data!J215, " ", Data!K215)</f>
        <v xml:space="preserve"> </v>
      </c>
    </row>
    <row r="218" spans="1:24" x14ac:dyDescent="0.3">
      <c r="A218" s="17" t="str">
        <f>Data!A216</f>
        <v>vehicle1</v>
      </c>
      <c r="B218" s="17" t="str">
        <f>Data!B216</f>
        <v>Vehicle, Gasoline or Petrol</v>
      </c>
      <c r="C218" s="17" t="str">
        <f>Data!C216</f>
        <v>1f2g3h4j5k6l</v>
      </c>
      <c r="D218" s="52">
        <f>Data!D216</f>
        <v>45066.1325462963</v>
      </c>
      <c r="E218" s="60" t="str">
        <f>IF(Data!E216="GpsRecord",Data!F216,"")</f>
        <v/>
      </c>
      <c r="F218" s="68" t="str">
        <f t="shared" si="48"/>
        <v>Clarksburg, WV, HARRISON_20268, Clarksburg, WV: 500 Baltimore Ave, Clarksburg, WV 26301, USA</v>
      </c>
      <c r="G218" t="b">
        <f t="shared" si="49"/>
        <v>0</v>
      </c>
      <c r="H218" t="b">
        <f t="shared" si="50"/>
        <v>0</v>
      </c>
      <c r="I218" t="b">
        <f t="shared" si="51"/>
        <v>0</v>
      </c>
      <c r="J218" t="str">
        <f t="shared" si="52"/>
        <v/>
      </c>
      <c r="K218" t="str">
        <f t="shared" si="53"/>
        <v/>
      </c>
      <c r="L218" t="str">
        <f t="shared" si="54"/>
        <v>,</v>
      </c>
      <c r="M218" t="str">
        <f t="shared" si="55"/>
        <v/>
      </c>
      <c r="N218" t="str">
        <f t="shared" si="56"/>
        <v/>
      </c>
      <c r="O218" t="str">
        <f t="shared" si="57"/>
        <v/>
      </c>
      <c r="P218" t="str">
        <f t="shared" si="58"/>
        <v/>
      </c>
      <c r="Q218" t="str">
        <f t="shared" si="59"/>
        <v/>
      </c>
      <c r="R218" s="20" t="str">
        <f t="shared" si="60"/>
        <v>WV</v>
      </c>
      <c r="S218" s="20" t="str">
        <f>IF(Data!E216="GpsRecord",Data!G216,"")</f>
        <v/>
      </c>
      <c r="T218" s="20" t="str">
        <f>IF(Data!E216="GpsRecord",Data!H216,"")</f>
        <v/>
      </c>
      <c r="U218" s="20">
        <f t="shared" si="61"/>
        <v>-39.421080000000003</v>
      </c>
      <c r="V218" s="20">
        <f t="shared" si="62"/>
        <v>33.736919999999998</v>
      </c>
      <c r="W218" s="19">
        <f>Data!I216</f>
        <v>0</v>
      </c>
      <c r="X218" s="17" t="str">
        <f>CONCATENATE(Data!J216, " ", Data!K216)</f>
        <v xml:space="preserve"> </v>
      </c>
    </row>
    <row r="219" spans="1:24" x14ac:dyDescent="0.3">
      <c r="A219" s="17" t="str">
        <f>Data!A217</f>
        <v>vehicle1</v>
      </c>
      <c r="B219" s="17" t="str">
        <f>Data!B217</f>
        <v>Vehicle, Gasoline or Petrol</v>
      </c>
      <c r="C219" s="17" t="str">
        <f>Data!C217</f>
        <v>1f2g3h4j5k6l</v>
      </c>
      <c r="D219" s="52">
        <f>Data!D217</f>
        <v>45066.1325462963</v>
      </c>
      <c r="E219" s="60" t="str">
        <f>IF(Data!E217="GpsRecord",Data!F217,"")</f>
        <v/>
      </c>
      <c r="F219" s="68" t="str">
        <f t="shared" si="48"/>
        <v>Clarksburg, WV, HARRISON_20268, Clarksburg, WV: 500 Baltimore Ave, Clarksburg, WV 26301, USA</v>
      </c>
      <c r="G219" t="b">
        <f t="shared" si="49"/>
        <v>0</v>
      </c>
      <c r="H219" t="b">
        <f t="shared" si="50"/>
        <v>0</v>
      </c>
      <c r="I219" t="b">
        <f t="shared" si="51"/>
        <v>0</v>
      </c>
      <c r="J219" t="str">
        <f t="shared" si="52"/>
        <v/>
      </c>
      <c r="K219" t="str">
        <f t="shared" si="53"/>
        <v/>
      </c>
      <c r="L219" t="str">
        <f t="shared" si="54"/>
        <v>,</v>
      </c>
      <c r="M219" t="str">
        <f t="shared" si="55"/>
        <v/>
      </c>
      <c r="N219" t="str">
        <f t="shared" si="56"/>
        <v/>
      </c>
      <c r="O219" t="str">
        <f t="shared" si="57"/>
        <v/>
      </c>
      <c r="P219" t="str">
        <f t="shared" si="58"/>
        <v/>
      </c>
      <c r="Q219" t="str">
        <f t="shared" si="59"/>
        <v/>
      </c>
      <c r="R219" s="20" t="str">
        <f t="shared" si="60"/>
        <v>WV</v>
      </c>
      <c r="S219" s="20" t="str">
        <f>IF(Data!E217="GpsRecord",Data!G217,"")</f>
        <v/>
      </c>
      <c r="T219" s="20" t="str">
        <f>IF(Data!E217="GpsRecord",Data!H217,"")</f>
        <v/>
      </c>
      <c r="U219" s="20">
        <f t="shared" si="61"/>
        <v>-39.421080000000003</v>
      </c>
      <c r="V219" s="20">
        <f t="shared" si="62"/>
        <v>33.736919999999998</v>
      </c>
      <c r="W219" s="19" t="str">
        <f>Data!I217</f>
        <v>Camera recording status (0 = not recording / 1 = recording)</v>
      </c>
      <c r="X219" s="17" t="str">
        <f>CONCATENATE(Data!J217, " ", Data!K217)</f>
        <v>1 None</v>
      </c>
    </row>
    <row r="220" spans="1:24" x14ac:dyDescent="0.3">
      <c r="A220" s="17" t="str">
        <f>Data!A218</f>
        <v>vehicle1</v>
      </c>
      <c r="B220" s="17" t="str">
        <f>Data!B218</f>
        <v>Vehicle, Gasoline or Petrol</v>
      </c>
      <c r="C220" s="17" t="str">
        <f>Data!C218</f>
        <v>1f2g3h4j5k6l</v>
      </c>
      <c r="D220" s="52">
        <f>Data!D218</f>
        <v>45066.132557870369</v>
      </c>
      <c r="E220" s="60" t="str">
        <f>IF(Data!E218="GpsRecord",Data!F218,"")</f>
        <v/>
      </c>
      <c r="F220" s="68" t="str">
        <f t="shared" si="48"/>
        <v>Clarksburg, WV, HARRISON_20268, Clarksburg, WV: 500 Baltimore Ave, Clarksburg, WV 26301, USA</v>
      </c>
      <c r="G220" t="b">
        <f t="shared" si="49"/>
        <v>0</v>
      </c>
      <c r="H220" t="b">
        <f t="shared" si="50"/>
        <v>0</v>
      </c>
      <c r="I220" t="b">
        <f t="shared" si="51"/>
        <v>0</v>
      </c>
      <c r="J220" t="str">
        <f t="shared" si="52"/>
        <v/>
      </c>
      <c r="K220" t="str">
        <f t="shared" si="53"/>
        <v/>
      </c>
      <c r="L220" t="str">
        <f t="shared" si="54"/>
        <v>,</v>
      </c>
      <c r="M220" t="str">
        <f t="shared" si="55"/>
        <v/>
      </c>
      <c r="N220" t="str">
        <f t="shared" si="56"/>
        <v/>
      </c>
      <c r="O220" t="str">
        <f t="shared" si="57"/>
        <v/>
      </c>
      <c r="P220" t="str">
        <f t="shared" si="58"/>
        <v/>
      </c>
      <c r="Q220" t="str">
        <f t="shared" si="59"/>
        <v/>
      </c>
      <c r="R220" s="20" t="str">
        <f t="shared" si="60"/>
        <v>WV</v>
      </c>
      <c r="S220" s="20" t="str">
        <f>IF(Data!E218="GpsRecord",Data!G218,"")</f>
        <v/>
      </c>
      <c r="T220" s="20" t="str">
        <f>IF(Data!E218="GpsRecord",Data!H218,"")</f>
        <v/>
      </c>
      <c r="U220" s="20">
        <f t="shared" si="61"/>
        <v>-39.421080000000003</v>
      </c>
      <c r="V220" s="20">
        <f t="shared" si="62"/>
        <v>33.736919999999998</v>
      </c>
      <c r="W220" s="19">
        <f>Data!I218</f>
        <v>0</v>
      </c>
      <c r="X220" s="17" t="str">
        <f>CONCATENATE(Data!J218, " ", Data!K218)</f>
        <v xml:space="preserve"> </v>
      </c>
    </row>
    <row r="221" spans="1:24" x14ac:dyDescent="0.3">
      <c r="A221" s="17" t="str">
        <f>Data!A219</f>
        <v>vehicle1</v>
      </c>
      <c r="B221" s="17" t="str">
        <f>Data!B219</f>
        <v>Vehicle, Gasoline or Petrol</v>
      </c>
      <c r="C221" s="17" t="str">
        <f>Data!C219</f>
        <v>1f2g3h4j5k6l</v>
      </c>
      <c r="D221" s="52">
        <f>Data!D219</f>
        <v>45066.132557870369</v>
      </c>
      <c r="E221" s="60" t="str">
        <f>IF(Data!E219="GpsRecord",Data!F219,"")</f>
        <v>Clarksburg, WV, HARRISON_20268, Clarksburg, WV: 500 Baltimore Ave, Clarksburg, WV 26301, USA</v>
      </c>
      <c r="F221" s="68" t="str">
        <f t="shared" si="48"/>
        <v>Clarksburg, WV, HARRISON_20268, Clarksburg, WV: 500 Baltimore Ave, Clarksburg, WV 26301, USA</v>
      </c>
      <c r="G221" t="b">
        <f t="shared" si="49"/>
        <v>0</v>
      </c>
      <c r="H221" t="b">
        <f t="shared" si="50"/>
        <v>1</v>
      </c>
      <c r="I221" t="b">
        <f t="shared" si="51"/>
        <v>1</v>
      </c>
      <c r="J221" t="str">
        <f t="shared" si="52"/>
        <v>500 Baltimore Ave, Clarksburg, WV 26301, USA</v>
      </c>
      <c r="K221" t="str">
        <f t="shared" si="53"/>
        <v xml:space="preserve"> USA</v>
      </c>
      <c r="L221" t="str">
        <f t="shared" si="54"/>
        <v>, USA</v>
      </c>
      <c r="M221" t="str">
        <f t="shared" si="55"/>
        <v>500 Baltimore Ave, Clarksburg, WV 26301</v>
      </c>
      <c r="N221" t="str">
        <f t="shared" si="56"/>
        <v xml:space="preserve"> WV 26301</v>
      </c>
      <c r="O221" t="str">
        <f t="shared" si="57"/>
        <v>26301</v>
      </c>
      <c r="P221" t="str">
        <f t="shared" si="58"/>
        <v xml:space="preserve"> WV</v>
      </c>
      <c r="Q221" t="str">
        <f t="shared" si="59"/>
        <v>WV</v>
      </c>
      <c r="R221" s="20" t="str">
        <f t="shared" si="60"/>
        <v>WV</v>
      </c>
      <c r="S221" s="20">
        <f>IF(Data!E219="GpsRecord",Data!G219,"")</f>
        <v>-39.421080000000003</v>
      </c>
      <c r="T221" s="20">
        <f>IF(Data!E219="GpsRecord",Data!H219,"")</f>
        <v>33.736919999999998</v>
      </c>
      <c r="U221" s="20">
        <f t="shared" si="61"/>
        <v>-39.421080000000003</v>
      </c>
      <c r="V221" s="20">
        <f t="shared" si="62"/>
        <v>33.736919999999998</v>
      </c>
      <c r="W221" s="19">
        <f>Data!I219</f>
        <v>0</v>
      </c>
      <c r="X221" s="17" t="str">
        <f>CONCATENATE(Data!J219, " ", Data!K219)</f>
        <v xml:space="preserve"> </v>
      </c>
    </row>
    <row r="222" spans="1:24" x14ac:dyDescent="0.3">
      <c r="A222" s="17" t="str">
        <f>Data!A220</f>
        <v>vehicle1</v>
      </c>
      <c r="B222" s="17" t="str">
        <f>Data!B220</f>
        <v>Vehicle, Gasoline or Petrol</v>
      </c>
      <c r="C222" s="17" t="str">
        <f>Data!C220</f>
        <v>1f2g3h4j5k6l</v>
      </c>
      <c r="D222" s="52">
        <f>Data!D220</f>
        <v>45066.132557870369</v>
      </c>
      <c r="E222" s="60" t="str">
        <f>IF(Data!E220="GpsRecord",Data!F220,"")</f>
        <v/>
      </c>
      <c r="F222" s="68" t="str">
        <f t="shared" si="48"/>
        <v>Clarksburg, WV, HARRISON_20268, Clarksburg, WV: 500 Baltimore Ave, Clarksburg, WV 26301, USA</v>
      </c>
      <c r="G222" t="b">
        <f t="shared" si="49"/>
        <v>0</v>
      </c>
      <c r="H222" t="b">
        <f t="shared" si="50"/>
        <v>0</v>
      </c>
      <c r="I222" t="b">
        <f t="shared" si="51"/>
        <v>0</v>
      </c>
      <c r="J222" t="str">
        <f t="shared" si="52"/>
        <v/>
      </c>
      <c r="K222" t="str">
        <f t="shared" si="53"/>
        <v/>
      </c>
      <c r="L222" t="str">
        <f t="shared" si="54"/>
        <v>,</v>
      </c>
      <c r="M222" t="str">
        <f t="shared" si="55"/>
        <v/>
      </c>
      <c r="N222" t="str">
        <f t="shared" si="56"/>
        <v/>
      </c>
      <c r="O222" t="str">
        <f t="shared" si="57"/>
        <v/>
      </c>
      <c r="P222" t="str">
        <f t="shared" si="58"/>
        <v/>
      </c>
      <c r="Q222" t="str">
        <f t="shared" si="59"/>
        <v/>
      </c>
      <c r="R222" s="20" t="str">
        <f t="shared" si="60"/>
        <v>WV</v>
      </c>
      <c r="S222" s="20" t="str">
        <f>IF(Data!E220="GpsRecord",Data!G220,"")</f>
        <v/>
      </c>
      <c r="T222" s="20" t="str">
        <f>IF(Data!E220="GpsRecord",Data!H220,"")</f>
        <v/>
      </c>
      <c r="U222" s="20">
        <f t="shared" si="61"/>
        <v>-39.421080000000003</v>
      </c>
      <c r="V222" s="20">
        <f t="shared" si="62"/>
        <v>33.736919999999998</v>
      </c>
      <c r="W222" s="19">
        <f>Data!I220</f>
        <v>0</v>
      </c>
      <c r="X222" s="17" t="str">
        <f>CONCATENATE(Data!J220, " ", Data!K220)</f>
        <v xml:space="preserve"> </v>
      </c>
    </row>
    <row r="223" spans="1:24" x14ac:dyDescent="0.3">
      <c r="A223" s="17" t="str">
        <f>Data!A221</f>
        <v>vehicle1</v>
      </c>
      <c r="B223" s="17" t="str">
        <f>Data!B221</f>
        <v>Vehicle, Gasoline or Petrol</v>
      </c>
      <c r="C223" s="17" t="str">
        <f>Data!C221</f>
        <v>1f2g3h4j5k6l</v>
      </c>
      <c r="D223" s="52">
        <f>Data!D221</f>
        <v>45066.132557870369</v>
      </c>
      <c r="E223" s="60" t="str">
        <f>IF(Data!E221="GpsRecord",Data!F221,"")</f>
        <v/>
      </c>
      <c r="F223" s="68" t="str">
        <f t="shared" si="48"/>
        <v>Clarksburg, WV, HARRISON_20268, Clarksburg, WV: 500 Baltimore Ave, Clarksburg, WV 26301, USA</v>
      </c>
      <c r="G223" t="b">
        <f t="shared" si="49"/>
        <v>0</v>
      </c>
      <c r="H223" t="b">
        <f t="shared" si="50"/>
        <v>0</v>
      </c>
      <c r="I223" t="b">
        <f t="shared" si="51"/>
        <v>0</v>
      </c>
      <c r="J223" t="str">
        <f t="shared" si="52"/>
        <v/>
      </c>
      <c r="K223" t="str">
        <f t="shared" si="53"/>
        <v/>
      </c>
      <c r="L223" t="str">
        <f t="shared" si="54"/>
        <v>,</v>
      </c>
      <c r="M223" t="str">
        <f t="shared" si="55"/>
        <v/>
      </c>
      <c r="N223" t="str">
        <f t="shared" si="56"/>
        <v/>
      </c>
      <c r="O223" t="str">
        <f t="shared" si="57"/>
        <v/>
      </c>
      <c r="P223" t="str">
        <f t="shared" si="58"/>
        <v/>
      </c>
      <c r="Q223" t="str">
        <f t="shared" si="59"/>
        <v/>
      </c>
      <c r="R223" s="20" t="str">
        <f t="shared" si="60"/>
        <v>WV</v>
      </c>
      <c r="S223" s="20" t="str">
        <f>IF(Data!E221="GpsRecord",Data!G221,"")</f>
        <v/>
      </c>
      <c r="T223" s="20" t="str">
        <f>IF(Data!E221="GpsRecord",Data!H221,"")</f>
        <v/>
      </c>
      <c r="U223" s="20">
        <f t="shared" si="61"/>
        <v>-39.421080000000003</v>
      </c>
      <c r="V223" s="20">
        <f t="shared" si="62"/>
        <v>33.736919999999998</v>
      </c>
      <c r="W223" s="19">
        <f>Data!I221</f>
        <v>0</v>
      </c>
      <c r="X223" s="17" t="str">
        <f>CONCATENATE(Data!J221, " ", Data!K221)</f>
        <v xml:space="preserve"> </v>
      </c>
    </row>
    <row r="224" spans="1:24" x14ac:dyDescent="0.3">
      <c r="A224" s="17" t="str">
        <f>Data!A222</f>
        <v>vehicle1</v>
      </c>
      <c r="B224" s="17" t="str">
        <f>Data!B222</f>
        <v>Vehicle, Gasoline or Petrol</v>
      </c>
      <c r="C224" s="17" t="str">
        <f>Data!C222</f>
        <v>1f2g3h4j5k6l</v>
      </c>
      <c r="D224" s="52">
        <f>Data!D222</f>
        <v>45066.132557870369</v>
      </c>
      <c r="E224" s="60" t="str">
        <f>IF(Data!E222="GpsRecord",Data!F222,"")</f>
        <v/>
      </c>
      <c r="F224" s="68" t="str">
        <f t="shared" si="48"/>
        <v>Clarksburg, WV, HARRISON_20268, Clarksburg, WV: 500 Baltimore Ave, Clarksburg, WV 26301, USA</v>
      </c>
      <c r="G224" t="b">
        <f t="shared" si="49"/>
        <v>0</v>
      </c>
      <c r="H224" t="b">
        <f t="shared" si="50"/>
        <v>0</v>
      </c>
      <c r="I224" t="b">
        <f t="shared" si="51"/>
        <v>0</v>
      </c>
      <c r="J224" t="str">
        <f t="shared" si="52"/>
        <v/>
      </c>
      <c r="K224" t="str">
        <f t="shared" si="53"/>
        <v/>
      </c>
      <c r="L224" t="str">
        <f t="shared" si="54"/>
        <v>,</v>
      </c>
      <c r="M224" t="str">
        <f t="shared" si="55"/>
        <v/>
      </c>
      <c r="N224" t="str">
        <f t="shared" si="56"/>
        <v/>
      </c>
      <c r="O224" t="str">
        <f t="shared" si="57"/>
        <v/>
      </c>
      <c r="P224" t="str">
        <f t="shared" si="58"/>
        <v/>
      </c>
      <c r="Q224" t="str">
        <f t="shared" si="59"/>
        <v/>
      </c>
      <c r="R224" s="20" t="str">
        <f t="shared" si="60"/>
        <v>WV</v>
      </c>
      <c r="S224" s="20" t="str">
        <f>IF(Data!E222="GpsRecord",Data!G222,"")</f>
        <v/>
      </c>
      <c r="T224" s="20" t="str">
        <f>IF(Data!E222="GpsRecord",Data!H222,"")</f>
        <v/>
      </c>
      <c r="U224" s="20">
        <f t="shared" si="61"/>
        <v>-39.421080000000003</v>
      </c>
      <c r="V224" s="20">
        <f t="shared" si="62"/>
        <v>33.736919999999998</v>
      </c>
      <c r="W224" s="19">
        <f>Data!I222</f>
        <v>0</v>
      </c>
      <c r="X224" s="17" t="str">
        <f>CONCATENATE(Data!J222, " ", Data!K222)</f>
        <v xml:space="preserve"> </v>
      </c>
    </row>
    <row r="225" spans="1:24" x14ac:dyDescent="0.3">
      <c r="A225" s="17" t="str">
        <f>Data!A223</f>
        <v>vehicle1</v>
      </c>
      <c r="B225" s="17" t="str">
        <f>Data!B223</f>
        <v>Vehicle, Gasoline or Petrol</v>
      </c>
      <c r="C225" s="17" t="str">
        <f>Data!C223</f>
        <v>1f2g3h4j5k6l</v>
      </c>
      <c r="D225" s="52">
        <f>Data!D223</f>
        <v>45066.132557870369</v>
      </c>
      <c r="E225" s="60" t="str">
        <f>IF(Data!E223="GpsRecord",Data!F223,"")</f>
        <v/>
      </c>
      <c r="F225" s="68" t="str">
        <f t="shared" si="48"/>
        <v>Clarksburg, WV, HARRISON_20268, Clarksburg, WV: 500 Baltimore Ave, Clarksburg, WV 26301, USA</v>
      </c>
      <c r="G225" t="b">
        <f t="shared" si="49"/>
        <v>0</v>
      </c>
      <c r="H225" t="b">
        <f t="shared" si="50"/>
        <v>0</v>
      </c>
      <c r="I225" t="b">
        <f t="shared" si="51"/>
        <v>0</v>
      </c>
      <c r="J225" t="str">
        <f t="shared" si="52"/>
        <v/>
      </c>
      <c r="K225" t="str">
        <f t="shared" si="53"/>
        <v/>
      </c>
      <c r="L225" t="str">
        <f t="shared" si="54"/>
        <v>,</v>
      </c>
      <c r="M225" t="str">
        <f t="shared" si="55"/>
        <v/>
      </c>
      <c r="N225" t="str">
        <f t="shared" si="56"/>
        <v/>
      </c>
      <c r="O225" t="str">
        <f t="shared" si="57"/>
        <v/>
      </c>
      <c r="P225" t="str">
        <f t="shared" si="58"/>
        <v/>
      </c>
      <c r="Q225" t="str">
        <f t="shared" si="59"/>
        <v/>
      </c>
      <c r="R225" s="20" t="str">
        <f t="shared" si="60"/>
        <v>WV</v>
      </c>
      <c r="S225" s="20" t="str">
        <f>IF(Data!E223="GpsRecord",Data!G223,"")</f>
        <v/>
      </c>
      <c r="T225" s="20" t="str">
        <f>IF(Data!E223="GpsRecord",Data!H223,"")</f>
        <v/>
      </c>
      <c r="U225" s="20">
        <f t="shared" si="61"/>
        <v>-39.421080000000003</v>
      </c>
      <c r="V225" s="20">
        <f t="shared" si="62"/>
        <v>33.736919999999998</v>
      </c>
      <c r="W225" s="19">
        <f>Data!I223</f>
        <v>0</v>
      </c>
      <c r="X225" s="17" t="str">
        <f>CONCATENATE(Data!J223, " ", Data!K223)</f>
        <v xml:space="preserve"> </v>
      </c>
    </row>
    <row r="226" spans="1:24" x14ac:dyDescent="0.3">
      <c r="A226" s="17" t="str">
        <f>Data!A224</f>
        <v>vehicle1</v>
      </c>
      <c r="B226" s="17" t="str">
        <f>Data!B224</f>
        <v>Vehicle, Gasoline or Petrol</v>
      </c>
      <c r="C226" s="17" t="str">
        <f>Data!C224</f>
        <v>1f2g3h4j5k6l</v>
      </c>
      <c r="D226" s="52">
        <f>Data!D224</f>
        <v>45066.132557870369</v>
      </c>
      <c r="E226" s="60" t="str">
        <f>IF(Data!E224="GpsRecord",Data!F224,"")</f>
        <v/>
      </c>
      <c r="F226" s="68" t="str">
        <f t="shared" si="48"/>
        <v>Clarksburg, WV, HARRISON_20268, Clarksburg, WV: 500 Baltimore Ave, Clarksburg, WV 26301, USA</v>
      </c>
      <c r="G226" t="b">
        <f t="shared" si="49"/>
        <v>0</v>
      </c>
      <c r="H226" t="b">
        <f t="shared" si="50"/>
        <v>0</v>
      </c>
      <c r="I226" t="b">
        <f t="shared" si="51"/>
        <v>0</v>
      </c>
      <c r="J226" t="str">
        <f t="shared" si="52"/>
        <v/>
      </c>
      <c r="K226" t="str">
        <f t="shared" si="53"/>
        <v/>
      </c>
      <c r="L226" t="str">
        <f t="shared" si="54"/>
        <v>,</v>
      </c>
      <c r="M226" t="str">
        <f t="shared" si="55"/>
        <v/>
      </c>
      <c r="N226" t="str">
        <f t="shared" si="56"/>
        <v/>
      </c>
      <c r="O226" t="str">
        <f t="shared" si="57"/>
        <v/>
      </c>
      <c r="P226" t="str">
        <f t="shared" si="58"/>
        <v/>
      </c>
      <c r="Q226" t="str">
        <f t="shared" si="59"/>
        <v/>
      </c>
      <c r="R226" s="20" t="str">
        <f t="shared" si="60"/>
        <v>WV</v>
      </c>
      <c r="S226" s="20" t="str">
        <f>IF(Data!E224="GpsRecord",Data!G224,"")</f>
        <v/>
      </c>
      <c r="T226" s="20" t="str">
        <f>IF(Data!E224="GpsRecord",Data!H224,"")</f>
        <v/>
      </c>
      <c r="U226" s="20">
        <f t="shared" si="61"/>
        <v>-39.421080000000003</v>
      </c>
      <c r="V226" s="20">
        <f t="shared" si="62"/>
        <v>33.736919999999998</v>
      </c>
      <c r="W226" s="19" t="str">
        <f>Data!I224</f>
        <v>Engine road speed</v>
      </c>
      <c r="X226" s="17" t="str">
        <f>CONCATENATE(Data!J224, " ", Data!K224)</f>
        <v>1 km/h</v>
      </c>
    </row>
    <row r="227" spans="1:24" x14ac:dyDescent="0.3">
      <c r="A227" s="17" t="str">
        <f>Data!A225</f>
        <v>vehicle1</v>
      </c>
      <c r="B227" s="17" t="str">
        <f>Data!B225</f>
        <v>Vehicle, Gasoline or Petrol</v>
      </c>
      <c r="C227" s="17" t="str">
        <f>Data!C225</f>
        <v>1f2g3h4j5k6l</v>
      </c>
      <c r="D227" s="52">
        <f>Data!D225</f>
        <v>45066.132557870369</v>
      </c>
      <c r="E227" s="60" t="str">
        <f>IF(Data!E225="GpsRecord",Data!F225,"")</f>
        <v/>
      </c>
      <c r="F227" s="68" t="str">
        <f t="shared" si="48"/>
        <v>Clarksburg, WV, HARRISON_20268, Clarksburg, WV: 500 Baltimore Ave, Clarksburg, WV 26301, USA</v>
      </c>
      <c r="G227" t="b">
        <f t="shared" si="49"/>
        <v>0</v>
      </c>
      <c r="H227" t="b">
        <f t="shared" si="50"/>
        <v>0</v>
      </c>
      <c r="I227" t="b">
        <f t="shared" si="51"/>
        <v>0</v>
      </c>
      <c r="J227" t="str">
        <f t="shared" si="52"/>
        <v/>
      </c>
      <c r="K227" t="str">
        <f t="shared" si="53"/>
        <v/>
      </c>
      <c r="L227" t="str">
        <f t="shared" si="54"/>
        <v>,</v>
      </c>
      <c r="M227" t="str">
        <f t="shared" si="55"/>
        <v/>
      </c>
      <c r="N227" t="str">
        <f t="shared" si="56"/>
        <v/>
      </c>
      <c r="O227" t="str">
        <f t="shared" si="57"/>
        <v/>
      </c>
      <c r="P227" t="str">
        <f t="shared" si="58"/>
        <v/>
      </c>
      <c r="Q227" t="str">
        <f t="shared" si="59"/>
        <v/>
      </c>
      <c r="R227" s="20" t="str">
        <f t="shared" si="60"/>
        <v>WV</v>
      </c>
      <c r="S227" s="20" t="str">
        <f>IF(Data!E225="GpsRecord",Data!G225,"")</f>
        <v/>
      </c>
      <c r="T227" s="20" t="str">
        <f>IF(Data!E225="GpsRecord",Data!H225,"")</f>
        <v/>
      </c>
      <c r="U227" s="20">
        <f t="shared" si="61"/>
        <v>-39.421080000000003</v>
      </c>
      <c r="V227" s="20">
        <f t="shared" si="62"/>
        <v>33.736919999999998</v>
      </c>
      <c r="W227" s="19" t="str">
        <f>Data!I225</f>
        <v>Stop event duration</v>
      </c>
      <c r="X227" s="17" t="str">
        <f>CONCATENATE(Data!J225, " ", Data!K225)</f>
        <v>0.002777777778 h</v>
      </c>
    </row>
    <row r="228" spans="1:24" x14ac:dyDescent="0.3">
      <c r="A228" s="17" t="str">
        <f>Data!A226</f>
        <v>vehicle1</v>
      </c>
      <c r="B228" s="17" t="str">
        <f>Data!B226</f>
        <v>Vehicle, Gasoline or Petrol</v>
      </c>
      <c r="C228" s="17" t="str">
        <f>Data!C226</f>
        <v>1f2g3h4j5k6l</v>
      </c>
      <c r="D228" s="52">
        <f>Data!D226</f>
        <v>45066.132557870369</v>
      </c>
      <c r="E228" s="60" t="str">
        <f>IF(Data!E226="GpsRecord",Data!F226,"")</f>
        <v/>
      </c>
      <c r="F228" s="68" t="str">
        <f t="shared" si="48"/>
        <v>Clarksburg, WV, HARRISON_20268, Clarksburg, WV: 500 Baltimore Ave, Clarksburg, WV 26301, USA</v>
      </c>
      <c r="G228" t="b">
        <f t="shared" si="49"/>
        <v>0</v>
      </c>
      <c r="H228" t="b">
        <f t="shared" si="50"/>
        <v>0</v>
      </c>
      <c r="I228" t="b">
        <f t="shared" si="51"/>
        <v>0</v>
      </c>
      <c r="J228" t="str">
        <f t="shared" si="52"/>
        <v/>
      </c>
      <c r="K228" t="str">
        <f t="shared" si="53"/>
        <v/>
      </c>
      <c r="L228" t="str">
        <f t="shared" si="54"/>
        <v>,</v>
      </c>
      <c r="M228" t="str">
        <f t="shared" si="55"/>
        <v/>
      </c>
      <c r="N228" t="str">
        <f t="shared" si="56"/>
        <v/>
      </c>
      <c r="O228" t="str">
        <f t="shared" si="57"/>
        <v/>
      </c>
      <c r="P228" t="str">
        <f t="shared" si="58"/>
        <v/>
      </c>
      <c r="Q228" t="str">
        <f t="shared" si="59"/>
        <v/>
      </c>
      <c r="R228" s="20" t="str">
        <f t="shared" si="60"/>
        <v>WV</v>
      </c>
      <c r="S228" s="20" t="str">
        <f>IF(Data!E226="GpsRecord",Data!G226,"")</f>
        <v/>
      </c>
      <c r="T228" s="20" t="str">
        <f>IF(Data!E226="GpsRecord",Data!H226,"")</f>
        <v/>
      </c>
      <c r="U228" s="20">
        <f t="shared" si="61"/>
        <v>-39.421080000000003</v>
      </c>
      <c r="V228" s="20">
        <f t="shared" si="62"/>
        <v>33.736919999999998</v>
      </c>
      <c r="W228" s="19" t="str">
        <f>Data!I226</f>
        <v>Stop event fuel</v>
      </c>
      <c r="X228" s="17" t="str">
        <f>CONCATENATE(Data!J226, " ", Data!K226)</f>
        <v>0.002 L</v>
      </c>
    </row>
    <row r="229" spans="1:24" x14ac:dyDescent="0.3">
      <c r="A229" s="17" t="str">
        <f>Data!A227</f>
        <v>vehicle1</v>
      </c>
      <c r="B229" s="17" t="str">
        <f>Data!B227</f>
        <v>Vehicle, Gasoline or Petrol</v>
      </c>
      <c r="C229" s="17" t="str">
        <f>Data!C227</f>
        <v>1f2g3h4j5k6l</v>
      </c>
      <c r="D229" s="52">
        <f>Data!D227</f>
        <v>45066.132557870369</v>
      </c>
      <c r="E229" s="60" t="str">
        <f>IF(Data!E227="GpsRecord",Data!F227,"")</f>
        <v/>
      </c>
      <c r="F229" s="68" t="str">
        <f t="shared" si="48"/>
        <v>Clarksburg, WV, HARRISON_20268, Clarksburg, WV: 500 Baltimore Ave, Clarksburg, WV 26301, USA</v>
      </c>
      <c r="G229" t="b">
        <f t="shared" si="49"/>
        <v>0</v>
      </c>
      <c r="H229" t="b">
        <f t="shared" si="50"/>
        <v>0</v>
      </c>
      <c r="I229" t="b">
        <f t="shared" si="51"/>
        <v>0</v>
      </c>
      <c r="J229" t="str">
        <f t="shared" si="52"/>
        <v/>
      </c>
      <c r="K229" t="str">
        <f t="shared" si="53"/>
        <v/>
      </c>
      <c r="L229" t="str">
        <f t="shared" si="54"/>
        <v>,</v>
      </c>
      <c r="M229" t="str">
        <f t="shared" si="55"/>
        <v/>
      </c>
      <c r="N229" t="str">
        <f t="shared" si="56"/>
        <v/>
      </c>
      <c r="O229" t="str">
        <f t="shared" si="57"/>
        <v/>
      </c>
      <c r="P229" t="str">
        <f t="shared" si="58"/>
        <v/>
      </c>
      <c r="Q229" t="str">
        <f t="shared" si="59"/>
        <v/>
      </c>
      <c r="R229" s="20" t="str">
        <f t="shared" si="60"/>
        <v>WV</v>
      </c>
      <c r="S229" s="20" t="str">
        <f>IF(Data!E227="GpsRecord",Data!G227,"")</f>
        <v/>
      </c>
      <c r="T229" s="20" t="str">
        <f>IF(Data!E227="GpsRecord",Data!H227,"")</f>
        <v/>
      </c>
      <c r="U229" s="20">
        <f t="shared" si="61"/>
        <v>-39.421080000000003</v>
      </c>
      <c r="V229" s="20">
        <f t="shared" si="62"/>
        <v>33.736919999999998</v>
      </c>
      <c r="W229" s="19" t="str">
        <f>Data!I227</f>
        <v>Total fuel used (since telematics device install)</v>
      </c>
      <c r="X229" s="17" t="str">
        <f>CONCATENATE(Data!J227, " ", Data!K227)</f>
        <v>1997.67 L</v>
      </c>
    </row>
    <row r="230" spans="1:24" x14ac:dyDescent="0.3">
      <c r="A230" s="17" t="str">
        <f>Data!A228</f>
        <v>vehicle1</v>
      </c>
      <c r="B230" s="17" t="str">
        <f>Data!B228</f>
        <v>Vehicle, Gasoline or Petrol</v>
      </c>
      <c r="C230" s="17" t="str">
        <f>Data!C228</f>
        <v>1f2g3h4j5k6l</v>
      </c>
      <c r="D230" s="52">
        <f>Data!D228</f>
        <v>45066.132557870369</v>
      </c>
      <c r="E230" s="60" t="str">
        <f>IF(Data!E228="GpsRecord",Data!F228,"")</f>
        <v/>
      </c>
      <c r="F230" s="68" t="str">
        <f t="shared" si="48"/>
        <v>Clarksburg, WV, HARRISON_20268, Clarksburg, WV: 500 Baltimore Ave, Clarksburg, WV 26301, USA</v>
      </c>
      <c r="G230" t="b">
        <f t="shared" si="49"/>
        <v>0</v>
      </c>
      <c r="H230" t="b">
        <f t="shared" si="50"/>
        <v>0</v>
      </c>
      <c r="I230" t="b">
        <f t="shared" si="51"/>
        <v>0</v>
      </c>
      <c r="J230" t="str">
        <f t="shared" si="52"/>
        <v/>
      </c>
      <c r="K230" t="str">
        <f t="shared" si="53"/>
        <v/>
      </c>
      <c r="L230" t="str">
        <f t="shared" si="54"/>
        <v>,</v>
      </c>
      <c r="M230" t="str">
        <f t="shared" si="55"/>
        <v/>
      </c>
      <c r="N230" t="str">
        <f t="shared" si="56"/>
        <v/>
      </c>
      <c r="O230" t="str">
        <f t="shared" si="57"/>
        <v/>
      </c>
      <c r="P230" t="str">
        <f t="shared" si="58"/>
        <v/>
      </c>
      <c r="Q230" t="str">
        <f t="shared" si="59"/>
        <v/>
      </c>
      <c r="R230" s="20" t="str">
        <f t="shared" si="60"/>
        <v>WV</v>
      </c>
      <c r="S230" s="20" t="str">
        <f>IF(Data!E228="GpsRecord",Data!G228,"")</f>
        <v/>
      </c>
      <c r="T230" s="20" t="str">
        <f>IF(Data!E228="GpsRecord",Data!H228,"")</f>
        <v/>
      </c>
      <c r="U230" s="20">
        <f t="shared" si="61"/>
        <v>-39.421080000000003</v>
      </c>
      <c r="V230" s="20">
        <f t="shared" si="62"/>
        <v>33.736919999999998</v>
      </c>
      <c r="W230" s="19">
        <f>Data!I228</f>
        <v>0</v>
      </c>
      <c r="X230" s="17" t="str">
        <f>CONCATENATE(Data!J228, " ", Data!K228)</f>
        <v xml:space="preserve"> </v>
      </c>
    </row>
    <row r="231" spans="1:24" x14ac:dyDescent="0.3">
      <c r="A231" s="17" t="str">
        <f>Data!A229</f>
        <v>vehicle1</v>
      </c>
      <c r="B231" s="17" t="str">
        <f>Data!B229</f>
        <v>Vehicle, Gasoline or Petrol</v>
      </c>
      <c r="C231" s="17" t="str">
        <f>Data!C229</f>
        <v>1f2g3h4j5k6l</v>
      </c>
      <c r="D231" s="52">
        <f>Data!D229</f>
        <v>45066.132557870369</v>
      </c>
      <c r="E231" s="60" t="str">
        <f>IF(Data!E229="GpsRecord",Data!F229,"")</f>
        <v/>
      </c>
      <c r="F231" s="68" t="str">
        <f t="shared" si="48"/>
        <v>Clarksburg, WV, HARRISON_20268, Clarksburg, WV: 500 Baltimore Ave, Clarksburg, WV 26301, USA</v>
      </c>
      <c r="G231" t="b">
        <f t="shared" si="49"/>
        <v>0</v>
      </c>
      <c r="H231" t="b">
        <f t="shared" si="50"/>
        <v>0</v>
      </c>
      <c r="I231" t="b">
        <f t="shared" si="51"/>
        <v>0</v>
      </c>
      <c r="J231" t="str">
        <f t="shared" si="52"/>
        <v/>
      </c>
      <c r="K231" t="str">
        <f t="shared" si="53"/>
        <v/>
      </c>
      <c r="L231" t="str">
        <f t="shared" si="54"/>
        <v>,</v>
      </c>
      <c r="M231" t="str">
        <f t="shared" si="55"/>
        <v/>
      </c>
      <c r="N231" t="str">
        <f t="shared" si="56"/>
        <v/>
      </c>
      <c r="O231" t="str">
        <f t="shared" si="57"/>
        <v/>
      </c>
      <c r="P231" t="str">
        <f t="shared" si="58"/>
        <v/>
      </c>
      <c r="Q231" t="str">
        <f t="shared" si="59"/>
        <v/>
      </c>
      <c r="R231" s="20" t="str">
        <f t="shared" si="60"/>
        <v>WV</v>
      </c>
      <c r="S231" s="20" t="str">
        <f>IF(Data!E229="GpsRecord",Data!G229,"")</f>
        <v/>
      </c>
      <c r="T231" s="20" t="str">
        <f>IF(Data!E229="GpsRecord",Data!H229,"")</f>
        <v/>
      </c>
      <c r="U231" s="20">
        <f t="shared" si="61"/>
        <v>-39.421080000000003</v>
      </c>
      <c r="V231" s="20">
        <f t="shared" si="62"/>
        <v>33.736919999999998</v>
      </c>
      <c r="W231" s="19">
        <f>Data!I229</f>
        <v>0</v>
      </c>
      <c r="X231" s="17" t="str">
        <f>CONCATENATE(Data!J229, " ", Data!K229)</f>
        <v xml:space="preserve"> </v>
      </c>
    </row>
    <row r="232" spans="1:24" x14ac:dyDescent="0.3">
      <c r="A232" s="17" t="str">
        <f>Data!A230</f>
        <v>vehicle1</v>
      </c>
      <c r="B232" s="17" t="str">
        <f>Data!B230</f>
        <v>Vehicle, Gasoline or Petrol</v>
      </c>
      <c r="C232" s="17" t="str">
        <f>Data!C230</f>
        <v>1f2g3h4j5k6l</v>
      </c>
      <c r="D232" s="52">
        <f>Data!D230</f>
        <v>45066.132557870369</v>
      </c>
      <c r="E232" s="60" t="str">
        <f>IF(Data!E230="GpsRecord",Data!F230,"")</f>
        <v/>
      </c>
      <c r="F232" s="68" t="str">
        <f t="shared" si="48"/>
        <v>Clarksburg, WV, HARRISON_20268, Clarksburg, WV: 500 Baltimore Ave, Clarksburg, WV 26301, USA</v>
      </c>
      <c r="G232" t="b">
        <f t="shared" si="49"/>
        <v>0</v>
      </c>
      <c r="H232" t="b">
        <f t="shared" si="50"/>
        <v>0</v>
      </c>
      <c r="I232" t="b">
        <f t="shared" si="51"/>
        <v>0</v>
      </c>
      <c r="J232" t="str">
        <f t="shared" si="52"/>
        <v/>
      </c>
      <c r="K232" t="str">
        <f t="shared" si="53"/>
        <v/>
      </c>
      <c r="L232" t="str">
        <f t="shared" si="54"/>
        <v>,</v>
      </c>
      <c r="M232" t="str">
        <f t="shared" si="55"/>
        <v/>
      </c>
      <c r="N232" t="str">
        <f t="shared" si="56"/>
        <v/>
      </c>
      <c r="O232" t="str">
        <f t="shared" si="57"/>
        <v/>
      </c>
      <c r="P232" t="str">
        <f t="shared" si="58"/>
        <v/>
      </c>
      <c r="Q232" t="str">
        <f t="shared" si="59"/>
        <v/>
      </c>
      <c r="R232" s="20" t="str">
        <f t="shared" si="60"/>
        <v>WV</v>
      </c>
      <c r="S232" s="20" t="str">
        <f>IF(Data!E230="GpsRecord",Data!G230,"")</f>
        <v/>
      </c>
      <c r="T232" s="20" t="str">
        <f>IF(Data!E230="GpsRecord",Data!H230,"")</f>
        <v/>
      </c>
      <c r="U232" s="20">
        <f t="shared" si="61"/>
        <v>-39.421080000000003</v>
      </c>
      <c r="V232" s="20">
        <f t="shared" si="62"/>
        <v>33.736919999999998</v>
      </c>
      <c r="W232" s="19">
        <f>Data!I230</f>
        <v>0</v>
      </c>
      <c r="X232" s="17" t="str">
        <f>CONCATENATE(Data!J230, " ", Data!K230)</f>
        <v xml:space="preserve"> </v>
      </c>
    </row>
    <row r="233" spans="1:24" x14ac:dyDescent="0.3">
      <c r="A233" s="17" t="str">
        <f>Data!A231</f>
        <v>vehicle1</v>
      </c>
      <c r="B233" s="17" t="str">
        <f>Data!B231</f>
        <v>Vehicle, Gasoline or Petrol</v>
      </c>
      <c r="C233" s="17" t="str">
        <f>Data!C231</f>
        <v>1f2g3h4j5k6l</v>
      </c>
      <c r="D233" s="52">
        <f>Data!D231</f>
        <v>45066.132557870369</v>
      </c>
      <c r="E233" s="60" t="str">
        <f>IF(Data!E231="GpsRecord",Data!F231,"")</f>
        <v/>
      </c>
      <c r="F233" s="68" t="str">
        <f t="shared" si="48"/>
        <v>Clarksburg, WV, HARRISON_20268, Clarksburg, WV: 500 Baltimore Ave, Clarksburg, WV 26301, USA</v>
      </c>
      <c r="G233" t="b">
        <f t="shared" si="49"/>
        <v>0</v>
      </c>
      <c r="H233" t="b">
        <f t="shared" si="50"/>
        <v>0</v>
      </c>
      <c r="I233" t="b">
        <f t="shared" si="51"/>
        <v>0</v>
      </c>
      <c r="J233" t="str">
        <f t="shared" si="52"/>
        <v/>
      </c>
      <c r="K233" t="str">
        <f t="shared" si="53"/>
        <v/>
      </c>
      <c r="L233" t="str">
        <f t="shared" si="54"/>
        <v>,</v>
      </c>
      <c r="M233" t="str">
        <f t="shared" si="55"/>
        <v/>
      </c>
      <c r="N233" t="str">
        <f t="shared" si="56"/>
        <v/>
      </c>
      <c r="O233" t="str">
        <f t="shared" si="57"/>
        <v/>
      </c>
      <c r="P233" t="str">
        <f t="shared" si="58"/>
        <v/>
      </c>
      <c r="Q233" t="str">
        <f t="shared" si="59"/>
        <v/>
      </c>
      <c r="R233" s="20" t="str">
        <f t="shared" si="60"/>
        <v>WV</v>
      </c>
      <c r="S233" s="20" t="str">
        <f>IF(Data!E231="GpsRecord",Data!G231,"")</f>
        <v/>
      </c>
      <c r="T233" s="20" t="str">
        <f>IF(Data!E231="GpsRecord",Data!H231,"")</f>
        <v/>
      </c>
      <c r="U233" s="20">
        <f t="shared" si="61"/>
        <v>-39.421080000000003</v>
      </c>
      <c r="V233" s="20">
        <f t="shared" si="62"/>
        <v>33.736919999999998</v>
      </c>
      <c r="W233" s="19">
        <f>Data!I231</f>
        <v>0</v>
      </c>
      <c r="X233" s="17" t="str">
        <f>CONCATENATE(Data!J231, " ", Data!K231)</f>
        <v xml:space="preserve"> </v>
      </c>
    </row>
    <row r="234" spans="1:24" x14ac:dyDescent="0.3">
      <c r="A234" s="17" t="str">
        <f>Data!A232</f>
        <v>vehicle1</v>
      </c>
      <c r="B234" s="17" t="str">
        <f>Data!B232</f>
        <v>Vehicle, Gasoline or Petrol</v>
      </c>
      <c r="C234" s="17" t="str">
        <f>Data!C232</f>
        <v>1f2g3h4j5k6l</v>
      </c>
      <c r="D234" s="52">
        <f>Data!D232</f>
        <v>45066.132569444446</v>
      </c>
      <c r="E234" s="60" t="str">
        <f>IF(Data!E232="GpsRecord",Data!F232,"")</f>
        <v>Clarksburg, WV, HARRISON_20268, Clarksburg, WV: 500 Baltimore Ave, Clarksburg, WV 26301, USA</v>
      </c>
      <c r="F234" s="68" t="str">
        <f t="shared" si="48"/>
        <v>Clarksburg, WV, HARRISON_20268, Clarksburg, WV: 500 Baltimore Ave, Clarksburg, WV 26301, USA</v>
      </c>
      <c r="G234" t="b">
        <f t="shared" si="49"/>
        <v>0</v>
      </c>
      <c r="H234" t="b">
        <f t="shared" si="50"/>
        <v>1</v>
      </c>
      <c r="I234" t="b">
        <f t="shared" si="51"/>
        <v>1</v>
      </c>
      <c r="J234" t="str">
        <f t="shared" si="52"/>
        <v>500 Baltimore Ave, Clarksburg, WV 26301, USA</v>
      </c>
      <c r="K234" t="str">
        <f t="shared" si="53"/>
        <v xml:space="preserve"> USA</v>
      </c>
      <c r="L234" t="str">
        <f t="shared" si="54"/>
        <v>, USA</v>
      </c>
      <c r="M234" t="str">
        <f t="shared" si="55"/>
        <v>500 Baltimore Ave, Clarksburg, WV 26301</v>
      </c>
      <c r="N234" t="str">
        <f t="shared" si="56"/>
        <v xml:space="preserve"> WV 26301</v>
      </c>
      <c r="O234" t="str">
        <f t="shared" si="57"/>
        <v>26301</v>
      </c>
      <c r="P234" t="str">
        <f t="shared" si="58"/>
        <v xml:space="preserve"> WV</v>
      </c>
      <c r="Q234" t="str">
        <f t="shared" si="59"/>
        <v>WV</v>
      </c>
      <c r="R234" s="20" t="str">
        <f t="shared" si="60"/>
        <v>WV</v>
      </c>
      <c r="S234" s="20">
        <f>IF(Data!E232="GpsRecord",Data!G232,"")</f>
        <v>-39.421120000000002</v>
      </c>
      <c r="T234" s="20">
        <f>IF(Data!E232="GpsRecord",Data!H232,"")</f>
        <v>33.736919999999998</v>
      </c>
      <c r="U234" s="20">
        <f t="shared" si="61"/>
        <v>-39.421120000000002</v>
      </c>
      <c r="V234" s="20">
        <f t="shared" si="62"/>
        <v>33.736919999999998</v>
      </c>
      <c r="W234" s="19">
        <f>Data!I232</f>
        <v>0</v>
      </c>
      <c r="X234" s="17" t="str">
        <f>CONCATENATE(Data!J232, " ", Data!K232)</f>
        <v xml:space="preserve"> </v>
      </c>
    </row>
    <row r="235" spans="1:24" x14ac:dyDescent="0.3">
      <c r="A235" s="17" t="str">
        <f>Data!A233</f>
        <v>vehicle1</v>
      </c>
      <c r="B235" s="17" t="str">
        <f>Data!B233</f>
        <v>Vehicle, Gasoline or Petrol</v>
      </c>
      <c r="C235" s="17" t="str">
        <f>Data!C233</f>
        <v>1f2g3h4j5k6l</v>
      </c>
      <c r="D235" s="52">
        <f>Data!D233</f>
        <v>45066.132569444446</v>
      </c>
      <c r="E235" s="60" t="str">
        <f>IF(Data!E233="GpsRecord",Data!F233,"")</f>
        <v/>
      </c>
      <c r="F235" s="68" t="str">
        <f t="shared" si="48"/>
        <v>Clarksburg, WV, HARRISON_20268, Clarksburg, WV: 500 Baltimore Ave, Clarksburg, WV 26301, USA</v>
      </c>
      <c r="G235" t="b">
        <f t="shared" si="49"/>
        <v>0</v>
      </c>
      <c r="H235" t="b">
        <f t="shared" si="50"/>
        <v>0</v>
      </c>
      <c r="I235" t="b">
        <f t="shared" si="51"/>
        <v>0</v>
      </c>
      <c r="J235" t="str">
        <f t="shared" si="52"/>
        <v/>
      </c>
      <c r="K235" t="str">
        <f t="shared" si="53"/>
        <v/>
      </c>
      <c r="L235" t="str">
        <f t="shared" si="54"/>
        <v>,</v>
      </c>
      <c r="M235" t="str">
        <f t="shared" si="55"/>
        <v/>
      </c>
      <c r="N235" t="str">
        <f t="shared" si="56"/>
        <v/>
      </c>
      <c r="O235" t="str">
        <f t="shared" si="57"/>
        <v/>
      </c>
      <c r="P235" t="str">
        <f t="shared" si="58"/>
        <v/>
      </c>
      <c r="Q235" t="str">
        <f t="shared" si="59"/>
        <v/>
      </c>
      <c r="R235" s="20" t="str">
        <f t="shared" si="60"/>
        <v>WV</v>
      </c>
      <c r="S235" s="20" t="str">
        <f>IF(Data!E233="GpsRecord",Data!G233,"")</f>
        <v/>
      </c>
      <c r="T235" s="20" t="str">
        <f>IF(Data!E233="GpsRecord",Data!H233,"")</f>
        <v/>
      </c>
      <c r="U235" s="20">
        <f t="shared" si="61"/>
        <v>-39.421120000000002</v>
      </c>
      <c r="V235" s="20">
        <f t="shared" si="62"/>
        <v>33.736919999999998</v>
      </c>
      <c r="W235" s="19">
        <f>Data!I233</f>
        <v>0</v>
      </c>
      <c r="X235" s="17" t="str">
        <f>CONCATENATE(Data!J233, " ", Data!K233)</f>
        <v xml:space="preserve"> </v>
      </c>
    </row>
    <row r="236" spans="1:24" x14ac:dyDescent="0.3">
      <c r="A236" s="17" t="str">
        <f>Data!A234</f>
        <v>vehicle1</v>
      </c>
      <c r="B236" s="17" t="str">
        <f>Data!B234</f>
        <v>Vehicle, Gasoline or Petrol</v>
      </c>
      <c r="C236" s="17" t="str">
        <f>Data!C234</f>
        <v>1f2g3h4j5k6l</v>
      </c>
      <c r="D236" s="52">
        <f>Data!D234</f>
        <v>45066.132569444446</v>
      </c>
      <c r="E236" s="60" t="str">
        <f>IF(Data!E234="GpsRecord",Data!F234,"")</f>
        <v/>
      </c>
      <c r="F236" s="68" t="str">
        <f t="shared" si="48"/>
        <v>Clarksburg, WV, HARRISON_20268, Clarksburg, WV: 500 Baltimore Ave, Clarksburg, WV 26301, USA</v>
      </c>
      <c r="G236" t="b">
        <f t="shared" si="49"/>
        <v>0</v>
      </c>
      <c r="H236" t="b">
        <f t="shared" si="50"/>
        <v>0</v>
      </c>
      <c r="I236" t="b">
        <f t="shared" si="51"/>
        <v>0</v>
      </c>
      <c r="J236" t="str">
        <f t="shared" si="52"/>
        <v/>
      </c>
      <c r="K236" t="str">
        <f t="shared" si="53"/>
        <v/>
      </c>
      <c r="L236" t="str">
        <f t="shared" si="54"/>
        <v>,</v>
      </c>
      <c r="M236" t="str">
        <f t="shared" si="55"/>
        <v/>
      </c>
      <c r="N236" t="str">
        <f t="shared" si="56"/>
        <v/>
      </c>
      <c r="O236" t="str">
        <f t="shared" si="57"/>
        <v/>
      </c>
      <c r="P236" t="str">
        <f t="shared" si="58"/>
        <v/>
      </c>
      <c r="Q236" t="str">
        <f t="shared" si="59"/>
        <v/>
      </c>
      <c r="R236" s="20" t="str">
        <f t="shared" si="60"/>
        <v>WV</v>
      </c>
      <c r="S236" s="20" t="str">
        <f>IF(Data!E234="GpsRecord",Data!G234,"")</f>
        <v/>
      </c>
      <c r="T236" s="20" t="str">
        <f>IF(Data!E234="GpsRecord",Data!H234,"")</f>
        <v/>
      </c>
      <c r="U236" s="20">
        <f t="shared" si="61"/>
        <v>-39.421120000000002</v>
      </c>
      <c r="V236" s="20">
        <f t="shared" si="62"/>
        <v>33.736919999999998</v>
      </c>
      <c r="W236" s="19">
        <f>Data!I234</f>
        <v>0</v>
      </c>
      <c r="X236" s="17" t="str">
        <f>CONCATENATE(Data!J234, " ", Data!K234)</f>
        <v xml:space="preserve"> </v>
      </c>
    </row>
    <row r="237" spans="1:24" x14ac:dyDescent="0.3">
      <c r="A237" s="17" t="str">
        <f>Data!A235</f>
        <v>vehicle1</v>
      </c>
      <c r="B237" s="17" t="str">
        <f>Data!B235</f>
        <v>Vehicle, Gasoline or Petrol</v>
      </c>
      <c r="C237" s="17" t="str">
        <f>Data!C235</f>
        <v>1f2g3h4j5k6l</v>
      </c>
      <c r="D237" s="52">
        <f>Data!D235</f>
        <v>45066.132569444446</v>
      </c>
      <c r="E237" s="60" t="str">
        <f>IF(Data!E235="GpsRecord",Data!F235,"")</f>
        <v/>
      </c>
      <c r="F237" s="68" t="str">
        <f t="shared" si="48"/>
        <v>Clarksburg, WV, HARRISON_20268, Clarksburg, WV: 500 Baltimore Ave, Clarksburg, WV 26301, USA</v>
      </c>
      <c r="G237" t="b">
        <f t="shared" si="49"/>
        <v>0</v>
      </c>
      <c r="H237" t="b">
        <f t="shared" si="50"/>
        <v>0</v>
      </c>
      <c r="I237" t="b">
        <f t="shared" si="51"/>
        <v>0</v>
      </c>
      <c r="J237" t="str">
        <f t="shared" si="52"/>
        <v/>
      </c>
      <c r="K237" t="str">
        <f t="shared" si="53"/>
        <v/>
      </c>
      <c r="L237" t="str">
        <f t="shared" si="54"/>
        <v>,</v>
      </c>
      <c r="M237" t="str">
        <f t="shared" si="55"/>
        <v/>
      </c>
      <c r="N237" t="str">
        <f t="shared" si="56"/>
        <v/>
      </c>
      <c r="O237" t="str">
        <f t="shared" si="57"/>
        <v/>
      </c>
      <c r="P237" t="str">
        <f t="shared" si="58"/>
        <v/>
      </c>
      <c r="Q237" t="str">
        <f t="shared" si="59"/>
        <v/>
      </c>
      <c r="R237" s="20" t="str">
        <f t="shared" si="60"/>
        <v>WV</v>
      </c>
      <c r="S237" s="20" t="str">
        <f>IF(Data!E235="GpsRecord",Data!G235,"")</f>
        <v/>
      </c>
      <c r="T237" s="20" t="str">
        <f>IF(Data!E235="GpsRecord",Data!H235,"")</f>
        <v/>
      </c>
      <c r="U237" s="20">
        <f t="shared" si="61"/>
        <v>-39.421120000000002</v>
      </c>
      <c r="V237" s="20">
        <f t="shared" si="62"/>
        <v>33.736919999999998</v>
      </c>
      <c r="W237" s="19">
        <f>Data!I235</f>
        <v>0</v>
      </c>
      <c r="X237" s="17" t="str">
        <f>CONCATENATE(Data!J235, " ", Data!K235)</f>
        <v xml:space="preserve"> </v>
      </c>
    </row>
    <row r="238" spans="1:24" x14ac:dyDescent="0.3">
      <c r="A238" s="17" t="str">
        <f>Data!A236</f>
        <v>vehicle1</v>
      </c>
      <c r="B238" s="17" t="str">
        <f>Data!B236</f>
        <v>Vehicle, Gasoline or Petrol</v>
      </c>
      <c r="C238" s="17" t="str">
        <f>Data!C236</f>
        <v>1f2g3h4j5k6l</v>
      </c>
      <c r="D238" s="52">
        <f>Data!D236</f>
        <v>45066.132569444446</v>
      </c>
      <c r="E238" s="60" t="str">
        <f>IF(Data!E236="GpsRecord",Data!F236,"")</f>
        <v/>
      </c>
      <c r="F238" s="68" t="str">
        <f t="shared" si="48"/>
        <v>Clarksburg, WV, HARRISON_20268, Clarksburg, WV: 500 Baltimore Ave, Clarksburg, WV 26301, USA</v>
      </c>
      <c r="G238" t="b">
        <f t="shared" si="49"/>
        <v>0</v>
      </c>
      <c r="H238" t="b">
        <f t="shared" si="50"/>
        <v>0</v>
      </c>
      <c r="I238" t="b">
        <f t="shared" si="51"/>
        <v>0</v>
      </c>
      <c r="J238" t="str">
        <f t="shared" si="52"/>
        <v/>
      </c>
      <c r="K238" t="str">
        <f t="shared" si="53"/>
        <v/>
      </c>
      <c r="L238" t="str">
        <f t="shared" si="54"/>
        <v>,</v>
      </c>
      <c r="M238" t="str">
        <f t="shared" si="55"/>
        <v/>
      </c>
      <c r="N238" t="str">
        <f t="shared" si="56"/>
        <v/>
      </c>
      <c r="O238" t="str">
        <f t="shared" si="57"/>
        <v/>
      </c>
      <c r="P238" t="str">
        <f t="shared" si="58"/>
        <v/>
      </c>
      <c r="Q238" t="str">
        <f t="shared" si="59"/>
        <v/>
      </c>
      <c r="R238" s="20" t="str">
        <f t="shared" si="60"/>
        <v>WV</v>
      </c>
      <c r="S238" s="20" t="str">
        <f>IF(Data!E236="GpsRecord",Data!G236,"")</f>
        <v/>
      </c>
      <c r="T238" s="20" t="str">
        <f>IF(Data!E236="GpsRecord",Data!H236,"")</f>
        <v/>
      </c>
      <c r="U238" s="20">
        <f t="shared" si="61"/>
        <v>-39.421120000000002</v>
      </c>
      <c r="V238" s="20">
        <f t="shared" si="62"/>
        <v>33.736919999999998</v>
      </c>
      <c r="W238" s="19">
        <f>Data!I236</f>
        <v>0</v>
      </c>
      <c r="X238" s="17" t="str">
        <f>CONCATENATE(Data!J236, " ", Data!K236)</f>
        <v xml:space="preserve"> </v>
      </c>
    </row>
    <row r="239" spans="1:24" x14ac:dyDescent="0.3">
      <c r="A239" s="17" t="str">
        <f>Data!A237</f>
        <v>vehicle1</v>
      </c>
      <c r="B239" s="17" t="str">
        <f>Data!B237</f>
        <v>Vehicle, Gasoline or Petrol</v>
      </c>
      <c r="C239" s="17" t="str">
        <f>Data!C237</f>
        <v>1f2g3h4j5k6l</v>
      </c>
      <c r="D239" s="52">
        <f>Data!D237</f>
        <v>45066.132569444446</v>
      </c>
      <c r="E239" s="60" t="str">
        <f>IF(Data!E237="GpsRecord",Data!F237,"")</f>
        <v/>
      </c>
      <c r="F239" s="68" t="str">
        <f t="shared" si="48"/>
        <v>Clarksburg, WV, HARRISON_20268, Clarksburg, WV: 500 Baltimore Ave, Clarksburg, WV 26301, USA</v>
      </c>
      <c r="G239" t="b">
        <f t="shared" si="49"/>
        <v>0</v>
      </c>
      <c r="H239" t="b">
        <f t="shared" si="50"/>
        <v>0</v>
      </c>
      <c r="I239" t="b">
        <f t="shared" si="51"/>
        <v>0</v>
      </c>
      <c r="J239" t="str">
        <f t="shared" si="52"/>
        <v/>
      </c>
      <c r="K239" t="str">
        <f t="shared" si="53"/>
        <v/>
      </c>
      <c r="L239" t="str">
        <f t="shared" si="54"/>
        <v>,</v>
      </c>
      <c r="M239" t="str">
        <f t="shared" si="55"/>
        <v/>
      </c>
      <c r="N239" t="str">
        <f t="shared" si="56"/>
        <v/>
      </c>
      <c r="O239" t="str">
        <f t="shared" si="57"/>
        <v/>
      </c>
      <c r="P239" t="str">
        <f t="shared" si="58"/>
        <v/>
      </c>
      <c r="Q239" t="str">
        <f t="shared" si="59"/>
        <v/>
      </c>
      <c r="R239" s="20" t="str">
        <f t="shared" si="60"/>
        <v>WV</v>
      </c>
      <c r="S239" s="20" t="str">
        <f>IF(Data!E237="GpsRecord",Data!G237,"")</f>
        <v/>
      </c>
      <c r="T239" s="20" t="str">
        <f>IF(Data!E237="GpsRecord",Data!H237,"")</f>
        <v/>
      </c>
      <c r="U239" s="20">
        <f t="shared" si="61"/>
        <v>-39.421120000000002</v>
      </c>
      <c r="V239" s="20">
        <f t="shared" si="62"/>
        <v>33.736919999999998</v>
      </c>
      <c r="W239" s="19" t="str">
        <f>Data!I237</f>
        <v>Engine road speed</v>
      </c>
      <c r="X239" s="17" t="str">
        <f>CONCATENATE(Data!J237, " ", Data!K237)</f>
        <v>0 km/h</v>
      </c>
    </row>
    <row r="240" spans="1:24" x14ac:dyDescent="0.3">
      <c r="A240" s="17" t="str">
        <f>Data!A238</f>
        <v>vehicle1</v>
      </c>
      <c r="B240" s="17" t="str">
        <f>Data!B238</f>
        <v>Vehicle, Gasoline or Petrol</v>
      </c>
      <c r="C240" s="17" t="str">
        <f>Data!C238</f>
        <v>1f2g3h4j5k6l</v>
      </c>
      <c r="D240" s="52">
        <f>Data!D238</f>
        <v>45066.132569444446</v>
      </c>
      <c r="E240" s="60" t="str">
        <f>IF(Data!E238="GpsRecord",Data!F238,"")</f>
        <v/>
      </c>
      <c r="F240" s="68" t="str">
        <f t="shared" si="48"/>
        <v>Clarksburg, WV, HARRISON_20268, Clarksburg, WV: 500 Baltimore Ave, Clarksburg, WV 26301, USA</v>
      </c>
      <c r="G240" t="b">
        <f t="shared" si="49"/>
        <v>0</v>
      </c>
      <c r="H240" t="b">
        <f t="shared" si="50"/>
        <v>0</v>
      </c>
      <c r="I240" t="b">
        <f t="shared" si="51"/>
        <v>0</v>
      </c>
      <c r="J240" t="str">
        <f t="shared" si="52"/>
        <v/>
      </c>
      <c r="K240" t="str">
        <f t="shared" si="53"/>
        <v/>
      </c>
      <c r="L240" t="str">
        <f t="shared" si="54"/>
        <v>,</v>
      </c>
      <c r="M240" t="str">
        <f t="shared" si="55"/>
        <v/>
      </c>
      <c r="N240" t="str">
        <f t="shared" si="56"/>
        <v/>
      </c>
      <c r="O240" t="str">
        <f t="shared" si="57"/>
        <v/>
      </c>
      <c r="P240" t="str">
        <f t="shared" si="58"/>
        <v/>
      </c>
      <c r="Q240" t="str">
        <f t="shared" si="59"/>
        <v/>
      </c>
      <c r="R240" s="20" t="str">
        <f t="shared" si="60"/>
        <v>WV</v>
      </c>
      <c r="S240" s="20" t="str">
        <f>IF(Data!E238="GpsRecord",Data!G238,"")</f>
        <v/>
      </c>
      <c r="T240" s="20" t="str">
        <f>IF(Data!E238="GpsRecord",Data!H238,"")</f>
        <v/>
      </c>
      <c r="U240" s="20">
        <f t="shared" si="61"/>
        <v>-39.421120000000002</v>
      </c>
      <c r="V240" s="20">
        <f t="shared" si="62"/>
        <v>33.736919999999998</v>
      </c>
      <c r="W240" s="19" t="str">
        <f>Data!I238</f>
        <v>Total fuel used (since telematics device install)</v>
      </c>
      <c r="X240" s="17" t="str">
        <f>CONCATENATE(Data!J238, " ", Data!K238)</f>
        <v>1997.67 L</v>
      </c>
    </row>
    <row r="241" spans="1:24" x14ac:dyDescent="0.3">
      <c r="A241" s="17" t="str">
        <f>Data!A239</f>
        <v>vehicle1</v>
      </c>
      <c r="B241" s="17" t="str">
        <f>Data!B239</f>
        <v>Vehicle, Gasoline or Petrol</v>
      </c>
      <c r="C241" s="17" t="str">
        <f>Data!C239</f>
        <v>1f2g3h4j5k6l</v>
      </c>
      <c r="D241" s="52">
        <f>Data!D239</f>
        <v>45066.132569444446</v>
      </c>
      <c r="E241" s="60" t="str">
        <f>IF(Data!E239="GpsRecord",Data!F239,"")</f>
        <v/>
      </c>
      <c r="F241" s="68" t="str">
        <f t="shared" si="48"/>
        <v>Clarksburg, WV, HARRISON_20268, Clarksburg, WV: 500 Baltimore Ave, Clarksburg, WV 26301, USA</v>
      </c>
      <c r="G241" t="b">
        <f t="shared" si="49"/>
        <v>0</v>
      </c>
      <c r="H241" t="b">
        <f t="shared" si="50"/>
        <v>0</v>
      </c>
      <c r="I241" t="b">
        <f t="shared" si="51"/>
        <v>0</v>
      </c>
      <c r="J241" t="str">
        <f t="shared" si="52"/>
        <v/>
      </c>
      <c r="K241" t="str">
        <f t="shared" si="53"/>
        <v/>
      </c>
      <c r="L241" t="str">
        <f t="shared" si="54"/>
        <v>,</v>
      </c>
      <c r="M241" t="str">
        <f t="shared" si="55"/>
        <v/>
      </c>
      <c r="N241" t="str">
        <f t="shared" si="56"/>
        <v/>
      </c>
      <c r="O241" t="str">
        <f t="shared" si="57"/>
        <v/>
      </c>
      <c r="P241" t="str">
        <f t="shared" si="58"/>
        <v/>
      </c>
      <c r="Q241" t="str">
        <f t="shared" si="59"/>
        <v/>
      </c>
      <c r="R241" s="20" t="str">
        <f t="shared" si="60"/>
        <v>WV</v>
      </c>
      <c r="S241" s="20" t="str">
        <f>IF(Data!E239="GpsRecord",Data!G239,"")</f>
        <v/>
      </c>
      <c r="T241" s="20" t="str">
        <f>IF(Data!E239="GpsRecord",Data!H239,"")</f>
        <v/>
      </c>
      <c r="U241" s="20">
        <f t="shared" si="61"/>
        <v>-39.421120000000002</v>
      </c>
      <c r="V241" s="20">
        <f t="shared" si="62"/>
        <v>33.736919999999998</v>
      </c>
      <c r="W241" s="19">
        <f>Data!I239</f>
        <v>0</v>
      </c>
      <c r="X241" s="17" t="str">
        <f>CONCATENATE(Data!J239, " ", Data!K239)</f>
        <v xml:space="preserve"> </v>
      </c>
    </row>
    <row r="242" spans="1:24" x14ac:dyDescent="0.3">
      <c r="A242" s="17" t="str">
        <f>Data!A240</f>
        <v>vehicle1</v>
      </c>
      <c r="B242" s="17" t="str">
        <f>Data!B240</f>
        <v>Vehicle, Gasoline or Petrol</v>
      </c>
      <c r="C242" s="17" t="str">
        <f>Data!C240</f>
        <v>1f2g3h4j5k6l</v>
      </c>
      <c r="D242" s="52">
        <f>Data!D240</f>
        <v>45066.132569444446</v>
      </c>
      <c r="E242" s="60" t="str">
        <f>IF(Data!E240="GpsRecord",Data!F240,"")</f>
        <v/>
      </c>
      <c r="F242" s="68" t="str">
        <f t="shared" si="48"/>
        <v>Clarksburg, WV, HARRISON_20268, Clarksburg, WV: 500 Baltimore Ave, Clarksburg, WV 26301, USA</v>
      </c>
      <c r="G242" t="b">
        <f t="shared" si="49"/>
        <v>0</v>
      </c>
      <c r="H242" t="b">
        <f t="shared" si="50"/>
        <v>0</v>
      </c>
      <c r="I242" t="b">
        <f t="shared" si="51"/>
        <v>0</v>
      </c>
      <c r="J242" t="str">
        <f t="shared" si="52"/>
        <v/>
      </c>
      <c r="K242" t="str">
        <f t="shared" si="53"/>
        <v/>
      </c>
      <c r="L242" t="str">
        <f t="shared" si="54"/>
        <v>,</v>
      </c>
      <c r="M242" t="str">
        <f t="shared" si="55"/>
        <v/>
      </c>
      <c r="N242" t="str">
        <f t="shared" si="56"/>
        <v/>
      </c>
      <c r="O242" t="str">
        <f t="shared" si="57"/>
        <v/>
      </c>
      <c r="P242" t="str">
        <f t="shared" si="58"/>
        <v/>
      </c>
      <c r="Q242" t="str">
        <f t="shared" si="59"/>
        <v/>
      </c>
      <c r="R242" s="20" t="str">
        <f t="shared" si="60"/>
        <v>WV</v>
      </c>
      <c r="S242" s="20" t="str">
        <f>IF(Data!E240="GpsRecord",Data!G240,"")</f>
        <v/>
      </c>
      <c r="T242" s="20" t="str">
        <f>IF(Data!E240="GpsRecord",Data!H240,"")</f>
        <v/>
      </c>
      <c r="U242" s="20">
        <f t="shared" si="61"/>
        <v>-39.421120000000002</v>
      </c>
      <c r="V242" s="20">
        <f t="shared" si="62"/>
        <v>33.736919999999998</v>
      </c>
      <c r="W242" s="19" t="str">
        <f>Data!I240</f>
        <v>Fuel level while stopped (percent) tank 1</v>
      </c>
      <c r="X242" s="17" t="str">
        <f>CONCATENATE(Data!J240, " ", Data!K240)</f>
        <v>50.973 %</v>
      </c>
    </row>
    <row r="243" spans="1:24" x14ac:dyDescent="0.3">
      <c r="A243" s="17" t="str">
        <f>Data!A241</f>
        <v>vehicle1</v>
      </c>
      <c r="B243" s="17" t="str">
        <f>Data!B241</f>
        <v>Vehicle, Gasoline or Petrol</v>
      </c>
      <c r="C243" s="17" t="str">
        <f>Data!C241</f>
        <v>1f2g3h4j5k6l</v>
      </c>
      <c r="D243" s="52">
        <f>Data!D241</f>
        <v>45066.132581018515</v>
      </c>
      <c r="E243" s="60" t="str">
        <f>IF(Data!E241="GpsRecord",Data!F241,"")</f>
        <v>Clarksburg, WV, HARRISON_20268, Clarksburg, WV: 500 Baltimore Ave, Clarksburg, WV 26301, USA</v>
      </c>
      <c r="F243" s="68" t="str">
        <f t="shared" si="48"/>
        <v>Clarksburg, WV, HARRISON_20268, Clarksburg, WV: 500 Baltimore Ave, Clarksburg, WV 26301, USA</v>
      </c>
      <c r="G243" t="b">
        <f t="shared" si="49"/>
        <v>0</v>
      </c>
      <c r="H243" t="b">
        <f t="shared" si="50"/>
        <v>1</v>
      </c>
      <c r="I243" t="b">
        <f t="shared" si="51"/>
        <v>1</v>
      </c>
      <c r="J243" t="str">
        <f t="shared" si="52"/>
        <v>500 Baltimore Ave, Clarksburg, WV 26301, USA</v>
      </c>
      <c r="K243" t="str">
        <f t="shared" si="53"/>
        <v xml:space="preserve"> USA</v>
      </c>
      <c r="L243" t="str">
        <f t="shared" si="54"/>
        <v>, USA</v>
      </c>
      <c r="M243" t="str">
        <f t="shared" si="55"/>
        <v>500 Baltimore Ave, Clarksburg, WV 26301</v>
      </c>
      <c r="N243" t="str">
        <f t="shared" si="56"/>
        <v xml:space="preserve"> WV 26301</v>
      </c>
      <c r="O243" t="str">
        <f t="shared" si="57"/>
        <v>26301</v>
      </c>
      <c r="P243" t="str">
        <f t="shared" si="58"/>
        <v xml:space="preserve"> WV</v>
      </c>
      <c r="Q243" t="str">
        <f t="shared" si="59"/>
        <v>WV</v>
      </c>
      <c r="R243" s="20" t="str">
        <f t="shared" si="60"/>
        <v>WV</v>
      </c>
      <c r="S243" s="20">
        <f>IF(Data!E241="GpsRecord",Data!G241,"")</f>
        <v>-39.421120000000002</v>
      </c>
      <c r="T243" s="20">
        <f>IF(Data!E241="GpsRecord",Data!H241,"")</f>
        <v>33.736919999999998</v>
      </c>
      <c r="U243" s="20">
        <f t="shared" si="61"/>
        <v>-39.421120000000002</v>
      </c>
      <c r="V243" s="20">
        <f t="shared" si="62"/>
        <v>33.736919999999998</v>
      </c>
      <c r="W243" s="19">
        <f>Data!I241</f>
        <v>0</v>
      </c>
      <c r="X243" s="17" t="str">
        <f>CONCATENATE(Data!J241, " ", Data!K241)</f>
        <v xml:space="preserve"> </v>
      </c>
    </row>
    <row r="244" spans="1:24" x14ac:dyDescent="0.3">
      <c r="A244" s="17" t="str">
        <f>Data!A242</f>
        <v>vehicle1</v>
      </c>
      <c r="B244" s="17" t="str">
        <f>Data!B242</f>
        <v>Vehicle, Gasoline or Petrol</v>
      </c>
      <c r="C244" s="17" t="str">
        <f>Data!C242</f>
        <v>1f2g3h4j5k6l</v>
      </c>
      <c r="D244" s="52">
        <f>Data!D242</f>
        <v>45066.132581018515</v>
      </c>
      <c r="E244" s="60" t="str">
        <f>IF(Data!E242="GpsRecord",Data!F242,"")</f>
        <v/>
      </c>
      <c r="F244" s="68" t="str">
        <f t="shared" si="48"/>
        <v>Clarksburg, WV, HARRISON_20268, Clarksburg, WV: 500 Baltimore Ave, Clarksburg, WV 26301, USA</v>
      </c>
      <c r="G244" t="b">
        <f t="shared" si="49"/>
        <v>0</v>
      </c>
      <c r="H244" t="b">
        <f t="shared" si="50"/>
        <v>0</v>
      </c>
      <c r="I244" t="b">
        <f t="shared" si="51"/>
        <v>0</v>
      </c>
      <c r="J244" t="str">
        <f t="shared" si="52"/>
        <v/>
      </c>
      <c r="K244" t="str">
        <f t="shared" si="53"/>
        <v/>
      </c>
      <c r="L244" t="str">
        <f t="shared" si="54"/>
        <v>,</v>
      </c>
      <c r="M244" t="str">
        <f t="shared" si="55"/>
        <v/>
      </c>
      <c r="N244" t="str">
        <f t="shared" si="56"/>
        <v/>
      </c>
      <c r="O244" t="str">
        <f t="shared" si="57"/>
        <v/>
      </c>
      <c r="P244" t="str">
        <f t="shared" si="58"/>
        <v/>
      </c>
      <c r="Q244" t="str">
        <f t="shared" si="59"/>
        <v/>
      </c>
      <c r="R244" s="20" t="str">
        <f t="shared" si="60"/>
        <v>WV</v>
      </c>
      <c r="S244" s="20" t="str">
        <f>IF(Data!E242="GpsRecord",Data!G242,"")</f>
        <v/>
      </c>
      <c r="T244" s="20" t="str">
        <f>IF(Data!E242="GpsRecord",Data!H242,"")</f>
        <v/>
      </c>
      <c r="U244" s="20">
        <f t="shared" si="61"/>
        <v>-39.421120000000002</v>
      </c>
      <c r="V244" s="20">
        <f t="shared" si="62"/>
        <v>33.736919999999998</v>
      </c>
      <c r="W244" s="19" t="str">
        <f>Data!I242</f>
        <v>Total fuel used (since telematics device install)</v>
      </c>
      <c r="X244" s="17" t="str">
        <f>CONCATENATE(Data!J242, " ", Data!K242)</f>
        <v>1997.67 L</v>
      </c>
    </row>
    <row r="245" spans="1:24" x14ac:dyDescent="0.3">
      <c r="A245" s="17" t="str">
        <f>Data!A243</f>
        <v>vehicle1</v>
      </c>
      <c r="B245" s="17" t="str">
        <f>Data!B243</f>
        <v>Vehicle, Gasoline or Petrol</v>
      </c>
      <c r="C245" s="17" t="str">
        <f>Data!C243</f>
        <v>1f2g3h4j5k6l</v>
      </c>
      <c r="D245" s="52">
        <f>Data!D243</f>
        <v>45066.132581018515</v>
      </c>
      <c r="E245" s="60" t="str">
        <f>IF(Data!E243="GpsRecord",Data!F243,"")</f>
        <v/>
      </c>
      <c r="F245" s="68" t="str">
        <f t="shared" si="48"/>
        <v>Clarksburg, WV, HARRISON_20268, Clarksburg, WV: 500 Baltimore Ave, Clarksburg, WV 26301, USA</v>
      </c>
      <c r="G245" t="b">
        <f t="shared" si="49"/>
        <v>0</v>
      </c>
      <c r="H245" t="b">
        <f t="shared" si="50"/>
        <v>0</v>
      </c>
      <c r="I245" t="b">
        <f t="shared" si="51"/>
        <v>0</v>
      </c>
      <c r="J245" t="str">
        <f t="shared" si="52"/>
        <v/>
      </c>
      <c r="K245" t="str">
        <f t="shared" si="53"/>
        <v/>
      </c>
      <c r="L245" t="str">
        <f t="shared" si="54"/>
        <v>,</v>
      </c>
      <c r="M245" t="str">
        <f t="shared" si="55"/>
        <v/>
      </c>
      <c r="N245" t="str">
        <f t="shared" si="56"/>
        <v/>
      </c>
      <c r="O245" t="str">
        <f t="shared" si="57"/>
        <v/>
      </c>
      <c r="P245" t="str">
        <f t="shared" si="58"/>
        <v/>
      </c>
      <c r="Q245" t="str">
        <f t="shared" si="59"/>
        <v/>
      </c>
      <c r="R245" s="20" t="str">
        <f t="shared" si="60"/>
        <v>WV</v>
      </c>
      <c r="S245" s="20" t="str">
        <f>IF(Data!E243="GpsRecord",Data!G243,"")</f>
        <v/>
      </c>
      <c r="T245" s="20" t="str">
        <f>IF(Data!E243="GpsRecord",Data!H243,"")</f>
        <v/>
      </c>
      <c r="U245" s="20">
        <f t="shared" si="61"/>
        <v>-39.421120000000002</v>
      </c>
      <c r="V245" s="20">
        <f t="shared" si="62"/>
        <v>33.736919999999998</v>
      </c>
      <c r="W245" s="19">
        <f>Data!I243</f>
        <v>0</v>
      </c>
      <c r="X245" s="17" t="str">
        <f>CONCATENATE(Data!J243, " ", Data!K243)</f>
        <v xml:space="preserve"> </v>
      </c>
    </row>
    <row r="246" spans="1:24" x14ac:dyDescent="0.3">
      <c r="A246" s="17" t="str">
        <f>Data!A244</f>
        <v>vehicle1</v>
      </c>
      <c r="B246" s="17" t="str">
        <f>Data!B244</f>
        <v>Vehicle, Gasoline or Petrol</v>
      </c>
      <c r="C246" s="17" t="str">
        <f>Data!C244</f>
        <v>1f2g3h4j5k6l</v>
      </c>
      <c r="D246" s="52">
        <f>Data!D244</f>
        <v>45066.132581018515</v>
      </c>
      <c r="E246" s="60" t="str">
        <f>IF(Data!E244="GpsRecord",Data!F244,"")</f>
        <v/>
      </c>
      <c r="F246" s="68" t="str">
        <f t="shared" si="48"/>
        <v>Clarksburg, WV, HARRISON_20268, Clarksburg, WV: 500 Baltimore Ave, Clarksburg, WV 26301, USA</v>
      </c>
      <c r="G246" t="b">
        <f t="shared" si="49"/>
        <v>0</v>
      </c>
      <c r="H246" t="b">
        <f t="shared" si="50"/>
        <v>0</v>
      </c>
      <c r="I246" t="b">
        <f t="shared" si="51"/>
        <v>0</v>
      </c>
      <c r="J246" t="str">
        <f t="shared" si="52"/>
        <v/>
      </c>
      <c r="K246" t="str">
        <f t="shared" si="53"/>
        <v/>
      </c>
      <c r="L246" t="str">
        <f t="shared" si="54"/>
        <v>,</v>
      </c>
      <c r="M246" t="str">
        <f t="shared" si="55"/>
        <v/>
      </c>
      <c r="N246" t="str">
        <f t="shared" si="56"/>
        <v/>
      </c>
      <c r="O246" t="str">
        <f t="shared" si="57"/>
        <v/>
      </c>
      <c r="P246" t="str">
        <f t="shared" si="58"/>
        <v/>
      </c>
      <c r="Q246" t="str">
        <f t="shared" si="59"/>
        <v/>
      </c>
      <c r="R246" s="20" t="str">
        <f t="shared" si="60"/>
        <v>WV</v>
      </c>
      <c r="S246" s="20" t="str">
        <f>IF(Data!E244="GpsRecord",Data!G244,"")</f>
        <v/>
      </c>
      <c r="T246" s="20" t="str">
        <f>IF(Data!E244="GpsRecord",Data!H244,"")</f>
        <v/>
      </c>
      <c r="U246" s="20">
        <f t="shared" si="61"/>
        <v>-39.421120000000002</v>
      </c>
      <c r="V246" s="20">
        <f t="shared" si="62"/>
        <v>33.736919999999998</v>
      </c>
      <c r="W246" s="19" t="str">
        <f>Data!I244</f>
        <v>Fuel level while stopped (percent) tank 1</v>
      </c>
      <c r="X246" s="17" t="str">
        <f>CONCATENATE(Data!J244, " ", Data!K244)</f>
        <v>61.1676 %</v>
      </c>
    </row>
    <row r="247" spans="1:24" x14ac:dyDescent="0.3">
      <c r="A247" s="17" t="str">
        <f>Data!A245</f>
        <v>vehicle1</v>
      </c>
      <c r="B247" s="17" t="str">
        <f>Data!B245</f>
        <v>Vehicle, Gasoline or Petrol</v>
      </c>
      <c r="C247" s="17" t="str">
        <f>Data!C245</f>
        <v>1f2g3h4j5k6l</v>
      </c>
      <c r="D247" s="52">
        <f>Data!D245</f>
        <v>45066.132592592592</v>
      </c>
      <c r="E247" s="60" t="str">
        <f>IF(Data!E245="GpsRecord",Data!F245,"")</f>
        <v/>
      </c>
      <c r="F247" s="68" t="str">
        <f t="shared" si="48"/>
        <v>Clarksburg, WV, HARRISON_20268, Clarksburg, WV: 500 Baltimore Ave, Clarksburg, WV 26301, USA</v>
      </c>
      <c r="G247" t="b">
        <f t="shared" si="49"/>
        <v>0</v>
      </c>
      <c r="H247" t="b">
        <f t="shared" si="50"/>
        <v>0</v>
      </c>
      <c r="I247" t="b">
        <f t="shared" si="51"/>
        <v>0</v>
      </c>
      <c r="J247" t="str">
        <f t="shared" si="52"/>
        <v/>
      </c>
      <c r="K247" t="str">
        <f t="shared" si="53"/>
        <v/>
      </c>
      <c r="L247" t="str">
        <f t="shared" si="54"/>
        <v>,</v>
      </c>
      <c r="M247" t="str">
        <f t="shared" si="55"/>
        <v/>
      </c>
      <c r="N247" t="str">
        <f t="shared" si="56"/>
        <v/>
      </c>
      <c r="O247" t="str">
        <f t="shared" si="57"/>
        <v/>
      </c>
      <c r="P247" t="str">
        <f t="shared" si="58"/>
        <v/>
      </c>
      <c r="Q247" t="str">
        <f t="shared" si="59"/>
        <v/>
      </c>
      <c r="R247" s="20" t="str">
        <f t="shared" si="60"/>
        <v>WV</v>
      </c>
      <c r="S247" s="20" t="str">
        <f>IF(Data!E245="GpsRecord",Data!G245,"")</f>
        <v/>
      </c>
      <c r="T247" s="20" t="str">
        <f>IF(Data!E245="GpsRecord",Data!H245,"")</f>
        <v/>
      </c>
      <c r="U247" s="20">
        <f t="shared" si="61"/>
        <v>-39.421120000000002</v>
      </c>
      <c r="V247" s="20">
        <f t="shared" si="62"/>
        <v>33.736919999999998</v>
      </c>
      <c r="W247" s="19">
        <f>Data!I245</f>
        <v>0</v>
      </c>
      <c r="X247" s="17" t="str">
        <f>CONCATENATE(Data!J245, " ", Data!K245)</f>
        <v xml:space="preserve"> </v>
      </c>
    </row>
    <row r="248" spans="1:24" x14ac:dyDescent="0.3">
      <c r="A248" s="17" t="str">
        <f>Data!A246</f>
        <v>vehicle1</v>
      </c>
      <c r="B248" s="17" t="str">
        <f>Data!B246</f>
        <v>Vehicle, Gasoline or Petrol</v>
      </c>
      <c r="C248" s="17" t="str">
        <f>Data!C246</f>
        <v>1f2g3h4j5k6l</v>
      </c>
      <c r="D248" s="52">
        <f>Data!D246</f>
        <v>45066.132592592592</v>
      </c>
      <c r="E248" s="60" t="str">
        <f>IF(Data!E246="GpsRecord",Data!F246,"")</f>
        <v/>
      </c>
      <c r="F248" s="68" t="str">
        <f t="shared" si="48"/>
        <v>Clarksburg, WV, HARRISON_20268, Clarksburg, WV: 500 Baltimore Ave, Clarksburg, WV 26301, USA</v>
      </c>
      <c r="G248" t="b">
        <f t="shared" si="49"/>
        <v>0</v>
      </c>
      <c r="H248" t="b">
        <f t="shared" si="50"/>
        <v>0</v>
      </c>
      <c r="I248" t="b">
        <f t="shared" si="51"/>
        <v>0</v>
      </c>
      <c r="J248" t="str">
        <f t="shared" si="52"/>
        <v/>
      </c>
      <c r="K248" t="str">
        <f t="shared" si="53"/>
        <v/>
      </c>
      <c r="L248" t="str">
        <f t="shared" si="54"/>
        <v>,</v>
      </c>
      <c r="M248" t="str">
        <f t="shared" si="55"/>
        <v/>
      </c>
      <c r="N248" t="str">
        <f t="shared" si="56"/>
        <v/>
      </c>
      <c r="O248" t="str">
        <f t="shared" si="57"/>
        <v/>
      </c>
      <c r="P248" t="str">
        <f t="shared" si="58"/>
        <v/>
      </c>
      <c r="Q248" t="str">
        <f t="shared" si="59"/>
        <v/>
      </c>
      <c r="R248" s="20" t="str">
        <f t="shared" si="60"/>
        <v>WV</v>
      </c>
      <c r="S248" s="20" t="str">
        <f>IF(Data!E246="GpsRecord",Data!G246,"")</f>
        <v/>
      </c>
      <c r="T248" s="20" t="str">
        <f>IF(Data!E246="GpsRecord",Data!H246,"")</f>
        <v/>
      </c>
      <c r="U248" s="20">
        <f t="shared" si="61"/>
        <v>-39.421120000000002</v>
      </c>
      <c r="V248" s="20">
        <f t="shared" si="62"/>
        <v>33.736919999999998</v>
      </c>
      <c r="W248" s="19">
        <f>Data!I246</f>
        <v>0</v>
      </c>
      <c r="X248" s="17" t="str">
        <f>CONCATENATE(Data!J246, " ", Data!K246)</f>
        <v xml:space="preserve"> </v>
      </c>
    </row>
    <row r="249" spans="1:24" x14ac:dyDescent="0.3">
      <c r="A249" s="17" t="str">
        <f>Data!A247</f>
        <v>vehicle1</v>
      </c>
      <c r="B249" s="17" t="str">
        <f>Data!B247</f>
        <v>Vehicle, Gasoline or Petrol</v>
      </c>
      <c r="C249" s="17" t="str">
        <f>Data!C247</f>
        <v>1f2g3h4j5k6l</v>
      </c>
      <c r="D249" s="52">
        <f>Data!D247</f>
        <v>45066.132592592592</v>
      </c>
      <c r="E249" s="60" t="str">
        <f>IF(Data!E247="GpsRecord",Data!F247,"")</f>
        <v/>
      </c>
      <c r="F249" s="68" t="str">
        <f t="shared" si="48"/>
        <v>Clarksburg, WV, HARRISON_20268, Clarksburg, WV: 500 Baltimore Ave, Clarksburg, WV 26301, USA</v>
      </c>
      <c r="G249" t="b">
        <f t="shared" si="49"/>
        <v>0</v>
      </c>
      <c r="H249" t="b">
        <f t="shared" si="50"/>
        <v>0</v>
      </c>
      <c r="I249" t="b">
        <f t="shared" si="51"/>
        <v>0</v>
      </c>
      <c r="J249" t="str">
        <f t="shared" si="52"/>
        <v/>
      </c>
      <c r="K249" t="str">
        <f t="shared" si="53"/>
        <v/>
      </c>
      <c r="L249" t="str">
        <f t="shared" si="54"/>
        <v>,</v>
      </c>
      <c r="M249" t="str">
        <f t="shared" si="55"/>
        <v/>
      </c>
      <c r="N249" t="str">
        <f t="shared" si="56"/>
        <v/>
      </c>
      <c r="O249" t="str">
        <f t="shared" si="57"/>
        <v/>
      </c>
      <c r="P249" t="str">
        <f t="shared" si="58"/>
        <v/>
      </c>
      <c r="Q249" t="str">
        <f t="shared" si="59"/>
        <v/>
      </c>
      <c r="R249" s="20" t="str">
        <f t="shared" si="60"/>
        <v>WV</v>
      </c>
      <c r="S249" s="20" t="str">
        <f>IF(Data!E247="GpsRecord",Data!G247,"")</f>
        <v/>
      </c>
      <c r="T249" s="20" t="str">
        <f>IF(Data!E247="GpsRecord",Data!H247,"")</f>
        <v/>
      </c>
      <c r="U249" s="20">
        <f t="shared" si="61"/>
        <v>-39.421120000000002</v>
      </c>
      <c r="V249" s="20">
        <f t="shared" si="62"/>
        <v>33.736919999999998</v>
      </c>
      <c r="W249" s="19">
        <f>Data!I247</f>
        <v>0</v>
      </c>
      <c r="X249" s="17" t="str">
        <f>CONCATENATE(Data!J247, " ", Data!K247)</f>
        <v xml:space="preserve"> </v>
      </c>
    </row>
    <row r="250" spans="1:24" x14ac:dyDescent="0.3">
      <c r="A250" s="17" t="str">
        <f>Data!A248</f>
        <v>vehicle1</v>
      </c>
      <c r="B250" s="17" t="str">
        <f>Data!B248</f>
        <v>Vehicle, Gasoline or Petrol</v>
      </c>
      <c r="C250" s="17" t="str">
        <f>Data!C248</f>
        <v>1f2g3h4j5k6l</v>
      </c>
      <c r="D250" s="52">
        <f>Data!D248</f>
        <v>45066.132592592592</v>
      </c>
      <c r="E250" s="60" t="str">
        <f>IF(Data!E248="GpsRecord",Data!F248,"")</f>
        <v/>
      </c>
      <c r="F250" s="68" t="str">
        <f t="shared" si="48"/>
        <v>Clarksburg, WV, HARRISON_20268, Clarksburg, WV: 500 Baltimore Ave, Clarksburg, WV 26301, USA</v>
      </c>
      <c r="G250" t="b">
        <f t="shared" si="49"/>
        <v>0</v>
      </c>
      <c r="H250" t="b">
        <f t="shared" si="50"/>
        <v>0</v>
      </c>
      <c r="I250" t="b">
        <f t="shared" si="51"/>
        <v>0</v>
      </c>
      <c r="J250" t="str">
        <f t="shared" si="52"/>
        <v/>
      </c>
      <c r="K250" t="str">
        <f t="shared" si="53"/>
        <v/>
      </c>
      <c r="L250" t="str">
        <f t="shared" si="54"/>
        <v>,</v>
      </c>
      <c r="M250" t="str">
        <f t="shared" si="55"/>
        <v/>
      </c>
      <c r="N250" t="str">
        <f t="shared" si="56"/>
        <v/>
      </c>
      <c r="O250" t="str">
        <f t="shared" si="57"/>
        <v/>
      </c>
      <c r="P250" t="str">
        <f t="shared" si="58"/>
        <v/>
      </c>
      <c r="Q250" t="str">
        <f t="shared" si="59"/>
        <v/>
      </c>
      <c r="R250" s="20" t="str">
        <f t="shared" si="60"/>
        <v>WV</v>
      </c>
      <c r="S250" s="20" t="str">
        <f>IF(Data!E248="GpsRecord",Data!G248,"")</f>
        <v/>
      </c>
      <c r="T250" s="20" t="str">
        <f>IF(Data!E248="GpsRecord",Data!H248,"")</f>
        <v/>
      </c>
      <c r="U250" s="20">
        <f t="shared" si="61"/>
        <v>-39.421120000000002</v>
      </c>
      <c r="V250" s="20">
        <f t="shared" si="62"/>
        <v>33.736919999999998</v>
      </c>
      <c r="W250" s="19">
        <f>Data!I248</f>
        <v>0</v>
      </c>
      <c r="X250" s="17" t="str">
        <f>CONCATENATE(Data!J248, " ", Data!K248)</f>
        <v xml:space="preserve"> </v>
      </c>
    </row>
    <row r="251" spans="1:24" x14ac:dyDescent="0.3">
      <c r="A251" s="17" t="str">
        <f>Data!A249</f>
        <v>vehicle1</v>
      </c>
      <c r="B251" s="17" t="str">
        <f>Data!B249</f>
        <v>Vehicle, Gasoline or Petrol</v>
      </c>
      <c r="C251" s="17" t="str">
        <f>Data!C249</f>
        <v>1f2g3h4j5k6l</v>
      </c>
      <c r="D251" s="52">
        <f>Data!D249</f>
        <v>45066.132592592592</v>
      </c>
      <c r="E251" s="60" t="str">
        <f>IF(Data!E249="GpsRecord",Data!F249,"")</f>
        <v/>
      </c>
      <c r="F251" s="68" t="str">
        <f t="shared" si="48"/>
        <v>Clarksburg, WV, HARRISON_20268, Clarksburg, WV: 500 Baltimore Ave, Clarksburg, WV 26301, USA</v>
      </c>
      <c r="G251" t="b">
        <f t="shared" si="49"/>
        <v>0</v>
      </c>
      <c r="H251" t="b">
        <f t="shared" si="50"/>
        <v>0</v>
      </c>
      <c r="I251" t="b">
        <f t="shared" si="51"/>
        <v>0</v>
      </c>
      <c r="J251" t="str">
        <f t="shared" si="52"/>
        <v/>
      </c>
      <c r="K251" t="str">
        <f t="shared" si="53"/>
        <v/>
      </c>
      <c r="L251" t="str">
        <f t="shared" si="54"/>
        <v>,</v>
      </c>
      <c r="M251" t="str">
        <f t="shared" si="55"/>
        <v/>
      </c>
      <c r="N251" t="str">
        <f t="shared" si="56"/>
        <v/>
      </c>
      <c r="O251" t="str">
        <f t="shared" si="57"/>
        <v/>
      </c>
      <c r="P251" t="str">
        <f t="shared" si="58"/>
        <v/>
      </c>
      <c r="Q251" t="str">
        <f t="shared" si="59"/>
        <v/>
      </c>
      <c r="R251" s="20" t="str">
        <f t="shared" si="60"/>
        <v>WV</v>
      </c>
      <c r="S251" s="20" t="str">
        <f>IF(Data!E249="GpsRecord",Data!G249,"")</f>
        <v/>
      </c>
      <c r="T251" s="20" t="str">
        <f>IF(Data!E249="GpsRecord",Data!H249,"")</f>
        <v/>
      </c>
      <c r="U251" s="20">
        <f t="shared" si="61"/>
        <v>-39.421120000000002</v>
      </c>
      <c r="V251" s="20">
        <f t="shared" si="62"/>
        <v>33.736919999999998</v>
      </c>
      <c r="W251" s="19">
        <f>Data!I249</f>
        <v>0</v>
      </c>
      <c r="X251" s="17" t="str">
        <f>CONCATENATE(Data!J249, " ", Data!K249)</f>
        <v xml:space="preserve"> </v>
      </c>
    </row>
    <row r="252" spans="1:24" x14ac:dyDescent="0.3">
      <c r="A252" s="17" t="str">
        <f>Data!A250</f>
        <v>vehicle1</v>
      </c>
      <c r="B252" s="17" t="str">
        <f>Data!B250</f>
        <v>Vehicle, Gasoline or Petrol</v>
      </c>
      <c r="C252" s="17" t="str">
        <f>Data!C250</f>
        <v>1f2g3h4j5k6l</v>
      </c>
      <c r="D252" s="52">
        <f>Data!D250</f>
        <v>45066.132592592592</v>
      </c>
      <c r="E252" s="60" t="str">
        <f>IF(Data!E250="GpsRecord",Data!F250,"")</f>
        <v/>
      </c>
      <c r="F252" s="68" t="str">
        <f t="shared" si="48"/>
        <v>Clarksburg, WV, HARRISON_20268, Clarksburg, WV: 500 Baltimore Ave, Clarksburg, WV 26301, USA</v>
      </c>
      <c r="G252" t="b">
        <f t="shared" si="49"/>
        <v>0</v>
      </c>
      <c r="H252" t="b">
        <f t="shared" si="50"/>
        <v>0</v>
      </c>
      <c r="I252" t="b">
        <f t="shared" si="51"/>
        <v>0</v>
      </c>
      <c r="J252" t="str">
        <f t="shared" si="52"/>
        <v/>
      </c>
      <c r="K252" t="str">
        <f t="shared" si="53"/>
        <v/>
      </c>
      <c r="L252" t="str">
        <f t="shared" si="54"/>
        <v>,</v>
      </c>
      <c r="M252" t="str">
        <f t="shared" si="55"/>
        <v/>
      </c>
      <c r="N252" t="str">
        <f t="shared" si="56"/>
        <v/>
      </c>
      <c r="O252" t="str">
        <f t="shared" si="57"/>
        <v/>
      </c>
      <c r="P252" t="str">
        <f t="shared" si="58"/>
        <v/>
      </c>
      <c r="Q252" t="str">
        <f t="shared" si="59"/>
        <v/>
      </c>
      <c r="R252" s="20" t="str">
        <f t="shared" si="60"/>
        <v>WV</v>
      </c>
      <c r="S252" s="20" t="str">
        <f>IF(Data!E250="GpsRecord",Data!G250,"")</f>
        <v/>
      </c>
      <c r="T252" s="20" t="str">
        <f>IF(Data!E250="GpsRecord",Data!H250,"")</f>
        <v/>
      </c>
      <c r="U252" s="20">
        <f t="shared" si="61"/>
        <v>-39.421120000000002</v>
      </c>
      <c r="V252" s="20">
        <f t="shared" si="62"/>
        <v>33.736919999999998</v>
      </c>
      <c r="W252" s="19" t="str">
        <f>Data!I250</f>
        <v>Fuel level while stopped (percent) tank 1</v>
      </c>
      <c r="X252" s="17" t="str">
        <f>CONCATENATE(Data!J250, " ", Data!K250)</f>
        <v>54.1098 %</v>
      </c>
    </row>
    <row r="253" spans="1:24" x14ac:dyDescent="0.3">
      <c r="A253" s="17" t="str">
        <f>Data!A251</f>
        <v>vehicle1</v>
      </c>
      <c r="B253" s="17" t="str">
        <f>Data!B251</f>
        <v>Vehicle, Gasoline or Petrol</v>
      </c>
      <c r="C253" s="17" t="str">
        <f>Data!C251</f>
        <v>1f2g3h4j5k6l</v>
      </c>
      <c r="D253" s="52">
        <f>Data!D251</f>
        <v>45066.132604166669</v>
      </c>
      <c r="E253" s="60" t="str">
        <f>IF(Data!E251="GpsRecord",Data!F251,"")</f>
        <v>Clarksburg, WV, HARRISON_20268, Clarksburg, WV: 500 Baltimore Ave, Clarksburg, WV 26301, USA</v>
      </c>
      <c r="F253" s="68" t="str">
        <f t="shared" si="48"/>
        <v>Clarksburg, WV, HARRISON_20268, Clarksburg, WV: 500 Baltimore Ave, Clarksburg, WV 26301, USA</v>
      </c>
      <c r="G253" t="b">
        <f t="shared" si="49"/>
        <v>0</v>
      </c>
      <c r="H253" t="b">
        <f t="shared" si="50"/>
        <v>1</v>
      </c>
      <c r="I253" t="b">
        <f t="shared" si="51"/>
        <v>1</v>
      </c>
      <c r="J253" t="str">
        <f t="shared" si="52"/>
        <v>500 Baltimore Ave, Clarksburg, WV 26301, USA</v>
      </c>
      <c r="K253" t="str">
        <f t="shared" si="53"/>
        <v xml:space="preserve"> USA</v>
      </c>
      <c r="L253" t="str">
        <f t="shared" si="54"/>
        <v>, USA</v>
      </c>
      <c r="M253" t="str">
        <f t="shared" si="55"/>
        <v>500 Baltimore Ave, Clarksburg, WV 26301</v>
      </c>
      <c r="N253" t="str">
        <f t="shared" si="56"/>
        <v xml:space="preserve"> WV 26301</v>
      </c>
      <c r="O253" t="str">
        <f t="shared" si="57"/>
        <v>26301</v>
      </c>
      <c r="P253" t="str">
        <f t="shared" si="58"/>
        <v xml:space="preserve"> WV</v>
      </c>
      <c r="Q253" t="str">
        <f t="shared" si="59"/>
        <v>WV</v>
      </c>
      <c r="R253" s="20" t="str">
        <f t="shared" si="60"/>
        <v>WV</v>
      </c>
      <c r="S253" s="20">
        <f>IF(Data!E251="GpsRecord",Data!G251,"")</f>
        <v>-39.421120000000002</v>
      </c>
      <c r="T253" s="20">
        <f>IF(Data!E251="GpsRecord",Data!H251,"")</f>
        <v>33.736919999999998</v>
      </c>
      <c r="U253" s="20">
        <f t="shared" si="61"/>
        <v>-39.421120000000002</v>
      </c>
      <c r="V253" s="20">
        <f t="shared" si="62"/>
        <v>33.736919999999998</v>
      </c>
      <c r="W253" s="19">
        <f>Data!I251</f>
        <v>0</v>
      </c>
      <c r="X253" s="17" t="str">
        <f>CONCATENATE(Data!J251, " ", Data!K251)</f>
        <v xml:space="preserve"> </v>
      </c>
    </row>
    <row r="254" spans="1:24" x14ac:dyDescent="0.3">
      <c r="A254" s="17" t="str">
        <f>Data!A252</f>
        <v>vehicle1</v>
      </c>
      <c r="B254" s="17" t="str">
        <f>Data!B252</f>
        <v>Vehicle, Gasoline or Petrol</v>
      </c>
      <c r="C254" s="17" t="str">
        <f>Data!C252</f>
        <v>1f2g3h4j5k6l</v>
      </c>
      <c r="D254" s="52">
        <f>Data!D252</f>
        <v>45066.132604166669</v>
      </c>
      <c r="E254" s="60" t="str">
        <f>IF(Data!E252="GpsRecord",Data!F252,"")</f>
        <v/>
      </c>
      <c r="F254" s="68" t="str">
        <f t="shared" si="48"/>
        <v>Clarksburg, WV, HARRISON_20268, Clarksburg, WV: 500 Baltimore Ave, Clarksburg, WV 26301, USA</v>
      </c>
      <c r="G254" t="b">
        <f t="shared" si="49"/>
        <v>0</v>
      </c>
      <c r="H254" t="b">
        <f t="shared" si="50"/>
        <v>0</v>
      </c>
      <c r="I254" t="b">
        <f t="shared" si="51"/>
        <v>0</v>
      </c>
      <c r="J254" t="str">
        <f t="shared" si="52"/>
        <v/>
      </c>
      <c r="K254" t="str">
        <f t="shared" si="53"/>
        <v/>
      </c>
      <c r="L254" t="str">
        <f t="shared" si="54"/>
        <v>,</v>
      </c>
      <c r="M254" t="str">
        <f t="shared" si="55"/>
        <v/>
      </c>
      <c r="N254" t="str">
        <f t="shared" si="56"/>
        <v/>
      </c>
      <c r="O254" t="str">
        <f t="shared" si="57"/>
        <v/>
      </c>
      <c r="P254" t="str">
        <f t="shared" si="58"/>
        <v/>
      </c>
      <c r="Q254" t="str">
        <f t="shared" si="59"/>
        <v/>
      </c>
      <c r="R254" s="20" t="str">
        <f t="shared" si="60"/>
        <v>WV</v>
      </c>
      <c r="S254" s="20" t="str">
        <f>IF(Data!E252="GpsRecord",Data!G252,"")</f>
        <v/>
      </c>
      <c r="T254" s="20" t="str">
        <f>IF(Data!E252="GpsRecord",Data!H252,"")</f>
        <v/>
      </c>
      <c r="U254" s="20">
        <f t="shared" si="61"/>
        <v>-39.421120000000002</v>
      </c>
      <c r="V254" s="20">
        <f t="shared" si="62"/>
        <v>33.736919999999998</v>
      </c>
      <c r="W254" s="19" t="str">
        <f>Data!I252</f>
        <v>Engine speed</v>
      </c>
      <c r="X254" s="17" t="str">
        <f>CONCATENATE(Data!J252, " ", Data!K252)</f>
        <v>799.25 RPM</v>
      </c>
    </row>
    <row r="255" spans="1:24" x14ac:dyDescent="0.3">
      <c r="A255" s="17" t="str">
        <f>Data!A253</f>
        <v>vehicle1</v>
      </c>
      <c r="B255" s="17" t="str">
        <f>Data!B253</f>
        <v>Vehicle, Gasoline or Petrol</v>
      </c>
      <c r="C255" s="17" t="str">
        <f>Data!C253</f>
        <v>1f2g3h4j5k6l</v>
      </c>
      <c r="D255" s="52">
        <f>Data!D253</f>
        <v>45066.132604166669</v>
      </c>
      <c r="E255" s="60" t="str">
        <f>IF(Data!E253="GpsRecord",Data!F253,"")</f>
        <v/>
      </c>
      <c r="F255" s="68" t="str">
        <f t="shared" si="48"/>
        <v>Clarksburg, WV, HARRISON_20268, Clarksburg, WV: 500 Baltimore Ave, Clarksburg, WV 26301, USA</v>
      </c>
      <c r="G255" t="b">
        <f t="shared" si="49"/>
        <v>0</v>
      </c>
      <c r="H255" t="b">
        <f t="shared" si="50"/>
        <v>0</v>
      </c>
      <c r="I255" t="b">
        <f t="shared" si="51"/>
        <v>0</v>
      </c>
      <c r="J255" t="str">
        <f t="shared" si="52"/>
        <v/>
      </c>
      <c r="K255" t="str">
        <f t="shared" si="53"/>
        <v/>
      </c>
      <c r="L255" t="str">
        <f t="shared" si="54"/>
        <v>,</v>
      </c>
      <c r="M255" t="str">
        <f t="shared" si="55"/>
        <v/>
      </c>
      <c r="N255" t="str">
        <f t="shared" si="56"/>
        <v/>
      </c>
      <c r="O255" t="str">
        <f t="shared" si="57"/>
        <v/>
      </c>
      <c r="P255" t="str">
        <f t="shared" si="58"/>
        <v/>
      </c>
      <c r="Q255" t="str">
        <f t="shared" si="59"/>
        <v/>
      </c>
      <c r="R255" s="20" t="str">
        <f t="shared" si="60"/>
        <v>WV</v>
      </c>
      <c r="S255" s="20" t="str">
        <f>IF(Data!E253="GpsRecord",Data!G253,"")</f>
        <v/>
      </c>
      <c r="T255" s="20" t="str">
        <f>IF(Data!E253="GpsRecord",Data!H253,"")</f>
        <v/>
      </c>
      <c r="U255" s="20">
        <f t="shared" si="61"/>
        <v>-39.421120000000002</v>
      </c>
      <c r="V255" s="20">
        <f t="shared" si="62"/>
        <v>33.736919999999998</v>
      </c>
      <c r="W255" s="19">
        <f>Data!I253</f>
        <v>0</v>
      </c>
      <c r="X255" s="17" t="str">
        <f>CONCATENATE(Data!J253, " ", Data!K253)</f>
        <v xml:space="preserve"> </v>
      </c>
    </row>
    <row r="256" spans="1:24" x14ac:dyDescent="0.3">
      <c r="A256" s="17" t="str">
        <f>Data!A254</f>
        <v>vehicle1</v>
      </c>
      <c r="B256" s="17" t="str">
        <f>Data!B254</f>
        <v>Vehicle, Gasoline or Petrol</v>
      </c>
      <c r="C256" s="17" t="str">
        <f>Data!C254</f>
        <v>1f2g3h4j5k6l</v>
      </c>
      <c r="D256" s="52">
        <f>Data!D254</f>
        <v>45066.132604166669</v>
      </c>
      <c r="E256" s="60" t="str">
        <f>IF(Data!E254="GpsRecord",Data!F254,"")</f>
        <v/>
      </c>
      <c r="F256" s="68" t="str">
        <f t="shared" si="48"/>
        <v>Clarksburg, WV, HARRISON_20268, Clarksburg, WV: 500 Baltimore Ave, Clarksburg, WV 26301, USA</v>
      </c>
      <c r="G256" t="b">
        <f t="shared" si="49"/>
        <v>0</v>
      </c>
      <c r="H256" t="b">
        <f t="shared" si="50"/>
        <v>0</v>
      </c>
      <c r="I256" t="b">
        <f t="shared" si="51"/>
        <v>0</v>
      </c>
      <c r="J256" t="str">
        <f t="shared" si="52"/>
        <v/>
      </c>
      <c r="K256" t="str">
        <f t="shared" si="53"/>
        <v/>
      </c>
      <c r="L256" t="str">
        <f t="shared" si="54"/>
        <v>,</v>
      </c>
      <c r="M256" t="str">
        <f t="shared" si="55"/>
        <v/>
      </c>
      <c r="N256" t="str">
        <f t="shared" si="56"/>
        <v/>
      </c>
      <c r="O256" t="str">
        <f t="shared" si="57"/>
        <v/>
      </c>
      <c r="P256" t="str">
        <f t="shared" si="58"/>
        <v/>
      </c>
      <c r="Q256" t="str">
        <f t="shared" si="59"/>
        <v/>
      </c>
      <c r="R256" s="20" t="str">
        <f t="shared" si="60"/>
        <v>WV</v>
      </c>
      <c r="S256" s="20" t="str">
        <f>IF(Data!E254="GpsRecord",Data!G254,"")</f>
        <v/>
      </c>
      <c r="T256" s="20" t="str">
        <f>IF(Data!E254="GpsRecord",Data!H254,"")</f>
        <v/>
      </c>
      <c r="U256" s="20">
        <f t="shared" si="61"/>
        <v>-39.421120000000002</v>
      </c>
      <c r="V256" s="20">
        <f t="shared" si="62"/>
        <v>33.736919999999998</v>
      </c>
      <c r="W256" s="19" t="str">
        <f>Data!I254</f>
        <v>Gear position (negative #s = reverse gears / positive #s = forward gears / 0 = neutral / 126 = park / 127 = drive / 129 = intermediate)</v>
      </c>
      <c r="X256" s="17" t="str">
        <f>CONCATENATE(Data!J254, " ", Data!K254)</f>
        <v>127 None</v>
      </c>
    </row>
    <row r="257" spans="1:24" x14ac:dyDescent="0.3">
      <c r="A257" s="17" t="str">
        <f>Data!A255</f>
        <v>vehicle1</v>
      </c>
      <c r="B257" s="17" t="str">
        <f>Data!B255</f>
        <v>Vehicle, Gasoline or Petrol</v>
      </c>
      <c r="C257" s="17" t="str">
        <f>Data!C255</f>
        <v>1f2g3h4j5k6l</v>
      </c>
      <c r="D257" s="52">
        <f>Data!D255</f>
        <v>45066.132604166669</v>
      </c>
      <c r="E257" s="60" t="str">
        <f>IF(Data!E255="GpsRecord",Data!F255,"")</f>
        <v/>
      </c>
      <c r="F257" s="68" t="str">
        <f t="shared" si="48"/>
        <v>Clarksburg, WV, HARRISON_20268, Clarksburg, WV: 500 Baltimore Ave, Clarksburg, WV 26301, USA</v>
      </c>
      <c r="G257" t="b">
        <f t="shared" si="49"/>
        <v>0</v>
      </c>
      <c r="H257" t="b">
        <f t="shared" si="50"/>
        <v>0</v>
      </c>
      <c r="I257" t="b">
        <f t="shared" si="51"/>
        <v>0</v>
      </c>
      <c r="J257" t="str">
        <f t="shared" si="52"/>
        <v/>
      </c>
      <c r="K257" t="str">
        <f t="shared" si="53"/>
        <v/>
      </c>
      <c r="L257" t="str">
        <f t="shared" si="54"/>
        <v>,</v>
      </c>
      <c r="M257" t="str">
        <f t="shared" si="55"/>
        <v/>
      </c>
      <c r="N257" t="str">
        <f t="shared" si="56"/>
        <v/>
      </c>
      <c r="O257" t="str">
        <f t="shared" si="57"/>
        <v/>
      </c>
      <c r="P257" t="str">
        <f t="shared" si="58"/>
        <v/>
      </c>
      <c r="Q257" t="str">
        <f t="shared" si="59"/>
        <v/>
      </c>
      <c r="R257" s="20" t="str">
        <f t="shared" si="60"/>
        <v>WV</v>
      </c>
      <c r="S257" s="20" t="str">
        <f>IF(Data!E255="GpsRecord",Data!G255,"")</f>
        <v/>
      </c>
      <c r="T257" s="20" t="str">
        <f>IF(Data!E255="GpsRecord",Data!H255,"")</f>
        <v/>
      </c>
      <c r="U257" s="20">
        <f t="shared" si="61"/>
        <v>-39.421120000000002</v>
      </c>
      <c r="V257" s="20">
        <f t="shared" si="62"/>
        <v>33.736919999999998</v>
      </c>
      <c r="W257" s="19">
        <f>Data!I255</f>
        <v>0</v>
      </c>
      <c r="X257" s="17" t="str">
        <f>CONCATENATE(Data!J255, " ", Data!K255)</f>
        <v xml:space="preserve"> </v>
      </c>
    </row>
    <row r="258" spans="1:24" x14ac:dyDescent="0.3">
      <c r="A258" s="17" t="str">
        <f>Data!A256</f>
        <v>vehicle1</v>
      </c>
      <c r="B258" s="17" t="str">
        <f>Data!B256</f>
        <v>Vehicle, Gasoline or Petrol</v>
      </c>
      <c r="C258" s="17" t="str">
        <f>Data!C256</f>
        <v>1f2g3h4j5k6l</v>
      </c>
      <c r="D258" s="52">
        <f>Data!D256</f>
        <v>45066.132615740738</v>
      </c>
      <c r="E258" s="60" t="str">
        <f>IF(Data!E256="GpsRecord",Data!F256,"")</f>
        <v/>
      </c>
      <c r="F258" s="68" t="str">
        <f t="shared" si="48"/>
        <v>Clarksburg, WV, HARRISON_20268, Clarksburg, WV: 500 Baltimore Ave, Clarksburg, WV 26301, USA</v>
      </c>
      <c r="G258" t="b">
        <f t="shared" si="49"/>
        <v>0</v>
      </c>
      <c r="H258" t="b">
        <f t="shared" si="50"/>
        <v>0</v>
      </c>
      <c r="I258" t="b">
        <f t="shared" si="51"/>
        <v>0</v>
      </c>
      <c r="J258" t="str">
        <f t="shared" si="52"/>
        <v/>
      </c>
      <c r="K258" t="str">
        <f t="shared" si="53"/>
        <v/>
      </c>
      <c r="L258" t="str">
        <f t="shared" si="54"/>
        <v>,</v>
      </c>
      <c r="M258" t="str">
        <f t="shared" si="55"/>
        <v/>
      </c>
      <c r="N258" t="str">
        <f t="shared" si="56"/>
        <v/>
      </c>
      <c r="O258" t="str">
        <f t="shared" si="57"/>
        <v/>
      </c>
      <c r="P258" t="str">
        <f t="shared" si="58"/>
        <v/>
      </c>
      <c r="Q258" t="str">
        <f t="shared" si="59"/>
        <v/>
      </c>
      <c r="R258" s="20" t="str">
        <f t="shared" si="60"/>
        <v>WV</v>
      </c>
      <c r="S258" s="20" t="str">
        <f>IF(Data!E256="GpsRecord",Data!G256,"")</f>
        <v/>
      </c>
      <c r="T258" s="20" t="str">
        <f>IF(Data!E256="GpsRecord",Data!H256,"")</f>
        <v/>
      </c>
      <c r="U258" s="20">
        <f t="shared" si="61"/>
        <v>-39.421120000000002</v>
      </c>
      <c r="V258" s="20">
        <f t="shared" si="62"/>
        <v>33.736919999999998</v>
      </c>
      <c r="W258" s="19" t="str">
        <f>Data!I256</f>
        <v>Trip stopped duration accumulator</v>
      </c>
      <c r="X258" s="17" t="str">
        <f>CONCATENATE(Data!J256, " ", Data!K256)</f>
        <v>0.0061111111116 h</v>
      </c>
    </row>
    <row r="259" spans="1:24" x14ac:dyDescent="0.3">
      <c r="A259" s="17" t="str">
        <f>Data!A257</f>
        <v>vehicle1</v>
      </c>
      <c r="B259" s="17" t="str">
        <f>Data!B257</f>
        <v>Vehicle, Gasoline or Petrol</v>
      </c>
      <c r="C259" s="17" t="str">
        <f>Data!C257</f>
        <v>1f2g3h4j5k6l</v>
      </c>
      <c r="D259" s="52">
        <f>Data!D257</f>
        <v>45066.132615740738</v>
      </c>
      <c r="E259" s="60" t="str">
        <f>IF(Data!E257="GpsRecord",Data!F257,"")</f>
        <v/>
      </c>
      <c r="F259" s="68" t="str">
        <f t="shared" si="48"/>
        <v>Clarksburg, WV, HARRISON_20268, Clarksburg, WV: 500 Baltimore Ave, Clarksburg, WV 26301, USA</v>
      </c>
      <c r="G259" t="b">
        <f t="shared" si="49"/>
        <v>0</v>
      </c>
      <c r="H259" t="b">
        <f t="shared" si="50"/>
        <v>0</v>
      </c>
      <c r="I259" t="b">
        <f t="shared" si="51"/>
        <v>0</v>
      </c>
      <c r="J259" t="str">
        <f t="shared" si="52"/>
        <v/>
      </c>
      <c r="K259" t="str">
        <f t="shared" si="53"/>
        <v/>
      </c>
      <c r="L259" t="str">
        <f t="shared" si="54"/>
        <v>,</v>
      </c>
      <c r="M259" t="str">
        <f t="shared" si="55"/>
        <v/>
      </c>
      <c r="N259" t="str">
        <f t="shared" si="56"/>
        <v/>
      </c>
      <c r="O259" t="str">
        <f t="shared" si="57"/>
        <v/>
      </c>
      <c r="P259" t="str">
        <f t="shared" si="58"/>
        <v/>
      </c>
      <c r="Q259" t="str">
        <f t="shared" si="59"/>
        <v/>
      </c>
      <c r="R259" s="20" t="str">
        <f t="shared" si="60"/>
        <v>WV</v>
      </c>
      <c r="S259" s="20" t="str">
        <f>IF(Data!E257="GpsRecord",Data!G257,"")</f>
        <v/>
      </c>
      <c r="T259" s="20" t="str">
        <f>IF(Data!E257="GpsRecord",Data!H257,"")</f>
        <v/>
      </c>
      <c r="U259" s="20">
        <f t="shared" si="61"/>
        <v>-39.421120000000002</v>
      </c>
      <c r="V259" s="20">
        <f t="shared" si="62"/>
        <v>33.736919999999998</v>
      </c>
      <c r="W259" s="19" t="str">
        <f>Data!I257</f>
        <v>Engine road speed</v>
      </c>
      <c r="X259" s="17" t="str">
        <f>CONCATENATE(Data!J257, " ", Data!K257)</f>
        <v>2 km/h</v>
      </c>
    </row>
    <row r="260" spans="1:24" x14ac:dyDescent="0.3">
      <c r="A260" s="17" t="str">
        <f>Data!A258</f>
        <v>vehicle1</v>
      </c>
      <c r="B260" s="17" t="str">
        <f>Data!B258</f>
        <v>Vehicle, Gasoline or Petrol</v>
      </c>
      <c r="C260" s="17" t="str">
        <f>Data!C258</f>
        <v>1f2g3h4j5k6l</v>
      </c>
      <c r="D260" s="52">
        <f>Data!D258</f>
        <v>45066.132615740738</v>
      </c>
      <c r="E260" s="60" t="str">
        <f>IF(Data!E258="GpsRecord",Data!F258,"")</f>
        <v/>
      </c>
      <c r="F260" s="68" t="str">
        <f t="shared" si="48"/>
        <v>Clarksburg, WV, HARRISON_20268, Clarksburg, WV: 500 Baltimore Ave, Clarksburg, WV 26301, USA</v>
      </c>
      <c r="G260" t="b">
        <f t="shared" si="49"/>
        <v>0</v>
      </c>
      <c r="H260" t="b">
        <f t="shared" si="50"/>
        <v>0</v>
      </c>
      <c r="I260" t="b">
        <f t="shared" si="51"/>
        <v>0</v>
      </c>
      <c r="J260" t="str">
        <f t="shared" si="52"/>
        <v/>
      </c>
      <c r="K260" t="str">
        <f t="shared" si="53"/>
        <v/>
      </c>
      <c r="L260" t="str">
        <f t="shared" si="54"/>
        <v>,</v>
      </c>
      <c r="M260" t="str">
        <f t="shared" si="55"/>
        <v/>
      </c>
      <c r="N260" t="str">
        <f t="shared" si="56"/>
        <v/>
      </c>
      <c r="O260" t="str">
        <f t="shared" si="57"/>
        <v/>
      </c>
      <c r="P260" t="str">
        <f t="shared" si="58"/>
        <v/>
      </c>
      <c r="Q260" t="str">
        <f t="shared" si="59"/>
        <v/>
      </c>
      <c r="R260" s="20" t="str">
        <f t="shared" si="60"/>
        <v>WV</v>
      </c>
      <c r="S260" s="20" t="str">
        <f>IF(Data!E258="GpsRecord",Data!G258,"")</f>
        <v/>
      </c>
      <c r="T260" s="20" t="str">
        <f>IF(Data!E258="GpsRecord",Data!H258,"")</f>
        <v/>
      </c>
      <c r="U260" s="20">
        <f t="shared" si="61"/>
        <v>-39.421120000000002</v>
      </c>
      <c r="V260" s="20">
        <f t="shared" si="62"/>
        <v>33.736919999999998</v>
      </c>
      <c r="W260" s="19" t="str">
        <f>Data!I258</f>
        <v>Stop event duration</v>
      </c>
      <c r="X260" s="17" t="str">
        <f>CONCATENATE(Data!J258, " ", Data!K258)</f>
        <v>0.0011111111112 h</v>
      </c>
    </row>
    <row r="261" spans="1:24" x14ac:dyDescent="0.3">
      <c r="A261" s="17" t="str">
        <f>Data!A259</f>
        <v>vehicle1</v>
      </c>
      <c r="B261" s="17" t="str">
        <f>Data!B259</f>
        <v>Vehicle, Gasoline or Petrol</v>
      </c>
      <c r="C261" s="17" t="str">
        <f>Data!C259</f>
        <v>1f2g3h4j5k6l</v>
      </c>
      <c r="D261" s="52">
        <f>Data!D259</f>
        <v>45066.132615740738</v>
      </c>
      <c r="E261" s="60" t="str">
        <f>IF(Data!E259="GpsRecord",Data!F259,"")</f>
        <v/>
      </c>
      <c r="F261" s="68" t="str">
        <f t="shared" si="48"/>
        <v>Clarksburg, WV, HARRISON_20268, Clarksburg, WV: 500 Baltimore Ave, Clarksburg, WV 26301, USA</v>
      </c>
      <c r="G261" t="b">
        <f t="shared" si="49"/>
        <v>0</v>
      </c>
      <c r="H261" t="b">
        <f t="shared" si="50"/>
        <v>0</v>
      </c>
      <c r="I261" t="b">
        <f t="shared" si="51"/>
        <v>0</v>
      </c>
      <c r="J261" t="str">
        <f t="shared" si="52"/>
        <v/>
      </c>
      <c r="K261" t="str">
        <f t="shared" si="53"/>
        <v/>
      </c>
      <c r="L261" t="str">
        <f t="shared" si="54"/>
        <v>,</v>
      </c>
      <c r="M261" t="str">
        <f t="shared" si="55"/>
        <v/>
      </c>
      <c r="N261" t="str">
        <f t="shared" si="56"/>
        <v/>
      </c>
      <c r="O261" t="str">
        <f t="shared" si="57"/>
        <v/>
      </c>
      <c r="P261" t="str">
        <f t="shared" si="58"/>
        <v/>
      </c>
      <c r="Q261" t="str">
        <f t="shared" si="59"/>
        <v/>
      </c>
      <c r="R261" s="20" t="str">
        <f t="shared" si="60"/>
        <v>WV</v>
      </c>
      <c r="S261" s="20" t="str">
        <f>IF(Data!E259="GpsRecord",Data!G259,"")</f>
        <v/>
      </c>
      <c r="T261" s="20" t="str">
        <f>IF(Data!E259="GpsRecord",Data!H259,"")</f>
        <v/>
      </c>
      <c r="U261" s="20">
        <f t="shared" si="61"/>
        <v>-39.421120000000002</v>
      </c>
      <c r="V261" s="20">
        <f t="shared" si="62"/>
        <v>33.736919999999998</v>
      </c>
      <c r="W261" s="19" t="str">
        <f>Data!I259</f>
        <v>Stop event fuel</v>
      </c>
      <c r="X261" s="17" t="str">
        <f>CONCATENATE(Data!J259, " ", Data!K259)</f>
        <v>0.001 L</v>
      </c>
    </row>
    <row r="262" spans="1:24" x14ac:dyDescent="0.3">
      <c r="A262" s="17" t="str">
        <f>Data!A260</f>
        <v>vehicle1</v>
      </c>
      <c r="B262" s="17" t="str">
        <f>Data!B260</f>
        <v>Vehicle, Gasoline or Petrol</v>
      </c>
      <c r="C262" s="17" t="str">
        <f>Data!C260</f>
        <v>1f2g3h4j5k6l</v>
      </c>
      <c r="D262" s="52">
        <f>Data!D260</f>
        <v>45066.132615740738</v>
      </c>
      <c r="E262" s="60" t="str">
        <f>IF(Data!E260="GpsRecord",Data!F260,"")</f>
        <v/>
      </c>
      <c r="F262" s="68" t="str">
        <f t="shared" si="48"/>
        <v>Clarksburg, WV, HARRISON_20268, Clarksburg, WV: 500 Baltimore Ave, Clarksburg, WV 26301, USA</v>
      </c>
      <c r="G262" t="b">
        <f t="shared" si="49"/>
        <v>0</v>
      </c>
      <c r="H262" t="b">
        <f t="shared" si="50"/>
        <v>0</v>
      </c>
      <c r="I262" t="b">
        <f t="shared" si="51"/>
        <v>0</v>
      </c>
      <c r="J262" t="str">
        <f t="shared" si="52"/>
        <v/>
      </c>
      <c r="K262" t="str">
        <f t="shared" si="53"/>
        <v/>
      </c>
      <c r="L262" t="str">
        <f t="shared" si="54"/>
        <v>,</v>
      </c>
      <c r="M262" t="str">
        <f t="shared" si="55"/>
        <v/>
      </c>
      <c r="N262" t="str">
        <f t="shared" si="56"/>
        <v/>
      </c>
      <c r="O262" t="str">
        <f t="shared" si="57"/>
        <v/>
      </c>
      <c r="P262" t="str">
        <f t="shared" si="58"/>
        <v/>
      </c>
      <c r="Q262" t="str">
        <f t="shared" si="59"/>
        <v/>
      </c>
      <c r="R262" s="20" t="str">
        <f t="shared" si="60"/>
        <v>WV</v>
      </c>
      <c r="S262" s="20" t="str">
        <f>IF(Data!E260="GpsRecord",Data!G260,"")</f>
        <v/>
      </c>
      <c r="T262" s="20" t="str">
        <f>IF(Data!E260="GpsRecord",Data!H260,"")</f>
        <v/>
      </c>
      <c r="U262" s="20">
        <f t="shared" si="61"/>
        <v>-39.421120000000002</v>
      </c>
      <c r="V262" s="20">
        <f t="shared" si="62"/>
        <v>33.736919999999998</v>
      </c>
      <c r="W262" s="19" t="str">
        <f>Data!I260</f>
        <v>Engine road speed</v>
      </c>
      <c r="X262" s="17" t="str">
        <f>CONCATENATE(Data!J260, " ", Data!K260)</f>
        <v>4 km/h</v>
      </c>
    </row>
    <row r="263" spans="1:24" x14ac:dyDescent="0.3">
      <c r="A263" s="17" t="str">
        <f>Data!A261</f>
        <v>vehicle1</v>
      </c>
      <c r="B263" s="17" t="str">
        <f>Data!B261</f>
        <v>Vehicle, Gasoline or Petrol</v>
      </c>
      <c r="C263" s="17" t="str">
        <f>Data!C261</f>
        <v>1f2g3h4j5k6l</v>
      </c>
      <c r="D263" s="52">
        <f>Data!D261</f>
        <v>45066.132615740738</v>
      </c>
      <c r="E263" s="60" t="str">
        <f>IF(Data!E261="GpsRecord",Data!F261,"")</f>
        <v/>
      </c>
      <c r="F263" s="68" t="str">
        <f t="shared" si="48"/>
        <v>Clarksburg, WV, HARRISON_20268, Clarksburg, WV: 500 Baltimore Ave, Clarksburg, WV 26301, USA</v>
      </c>
      <c r="G263" t="b">
        <f t="shared" si="49"/>
        <v>0</v>
      </c>
      <c r="H263" t="b">
        <f t="shared" si="50"/>
        <v>0</v>
      </c>
      <c r="I263" t="b">
        <f t="shared" si="51"/>
        <v>0</v>
      </c>
      <c r="J263" t="str">
        <f t="shared" si="52"/>
        <v/>
      </c>
      <c r="K263" t="str">
        <f t="shared" si="53"/>
        <v/>
      </c>
      <c r="L263" t="str">
        <f t="shared" si="54"/>
        <v>,</v>
      </c>
      <c r="M263" t="str">
        <f t="shared" si="55"/>
        <v/>
      </c>
      <c r="N263" t="str">
        <f t="shared" si="56"/>
        <v/>
      </c>
      <c r="O263" t="str">
        <f t="shared" si="57"/>
        <v/>
      </c>
      <c r="P263" t="str">
        <f t="shared" si="58"/>
        <v/>
      </c>
      <c r="Q263" t="str">
        <f t="shared" si="59"/>
        <v/>
      </c>
      <c r="R263" s="20" t="str">
        <f t="shared" si="60"/>
        <v>WV</v>
      </c>
      <c r="S263" s="20" t="str">
        <f>IF(Data!E261="GpsRecord",Data!G261,"")</f>
        <v/>
      </c>
      <c r="T263" s="20" t="str">
        <f>IF(Data!E261="GpsRecord",Data!H261,"")</f>
        <v/>
      </c>
      <c r="U263" s="20">
        <f t="shared" si="61"/>
        <v>-39.421120000000002</v>
      </c>
      <c r="V263" s="20">
        <f t="shared" si="62"/>
        <v>33.736919999999998</v>
      </c>
      <c r="W263" s="19" t="str">
        <f>Data!I261</f>
        <v>Total fuel used (since telematics device install)</v>
      </c>
      <c r="X263" s="17" t="str">
        <f>CONCATENATE(Data!J261, " ", Data!K261)</f>
        <v>1997.67 L</v>
      </c>
    </row>
    <row r="264" spans="1:24" x14ac:dyDescent="0.3">
      <c r="A264" s="17" t="str">
        <f>Data!A262</f>
        <v>vehicle1</v>
      </c>
      <c r="B264" s="17" t="str">
        <f>Data!B262</f>
        <v>Vehicle, Gasoline or Petrol</v>
      </c>
      <c r="C264" s="17" t="str">
        <f>Data!C262</f>
        <v>1f2g3h4j5k6l</v>
      </c>
      <c r="D264" s="52">
        <f>Data!D262</f>
        <v>45066.132627314815</v>
      </c>
      <c r="E264" s="60" t="str">
        <f>IF(Data!E262="GpsRecord",Data!F262,"")</f>
        <v>Clarksburg, WV, HARRISON_20268, Clarksburg, WV: 500 Baltimore Ave, Clarksburg, WV 26301, USA</v>
      </c>
      <c r="F264" s="68" t="str">
        <f t="shared" si="48"/>
        <v>Clarksburg, WV, HARRISON_20268, Clarksburg, WV: 500 Baltimore Ave, Clarksburg, WV 26301, USA</v>
      </c>
      <c r="G264" t="b">
        <f t="shared" si="49"/>
        <v>0</v>
      </c>
      <c r="H264" t="b">
        <f t="shared" si="50"/>
        <v>1</v>
      </c>
      <c r="I264" t="b">
        <f t="shared" si="51"/>
        <v>1</v>
      </c>
      <c r="J264" t="str">
        <f t="shared" si="52"/>
        <v>500 Baltimore Ave, Clarksburg, WV 26301, USA</v>
      </c>
      <c r="K264" t="str">
        <f t="shared" si="53"/>
        <v xml:space="preserve"> USA</v>
      </c>
      <c r="L264" t="str">
        <f t="shared" si="54"/>
        <v>, USA</v>
      </c>
      <c r="M264" t="str">
        <f t="shared" si="55"/>
        <v>500 Baltimore Ave, Clarksburg, WV 26301</v>
      </c>
      <c r="N264" t="str">
        <f t="shared" si="56"/>
        <v xml:space="preserve"> WV 26301</v>
      </c>
      <c r="O264" t="str">
        <f t="shared" si="57"/>
        <v>26301</v>
      </c>
      <c r="P264" t="str">
        <f t="shared" si="58"/>
        <v xml:space="preserve"> WV</v>
      </c>
      <c r="Q264" t="str">
        <f t="shared" si="59"/>
        <v>WV</v>
      </c>
      <c r="R264" s="20" t="str">
        <f t="shared" si="60"/>
        <v>WV</v>
      </c>
      <c r="S264" s="20">
        <f>IF(Data!E262="GpsRecord",Data!G262,"")</f>
        <v>-39.421120000000002</v>
      </c>
      <c r="T264" s="20">
        <f>IF(Data!E262="GpsRecord",Data!H262,"")</f>
        <v>33.736919999999998</v>
      </c>
      <c r="U264" s="20">
        <f t="shared" si="61"/>
        <v>-39.421120000000002</v>
      </c>
      <c r="V264" s="20">
        <f t="shared" si="62"/>
        <v>33.736919999999998</v>
      </c>
      <c r="W264" s="19">
        <f>Data!I262</f>
        <v>0</v>
      </c>
      <c r="X264" s="17" t="str">
        <f>CONCATENATE(Data!J262, " ", Data!K262)</f>
        <v xml:space="preserve"> </v>
      </c>
    </row>
    <row r="265" spans="1:24" x14ac:dyDescent="0.3">
      <c r="A265" s="17" t="str">
        <f>Data!A263</f>
        <v>vehicle1</v>
      </c>
      <c r="B265" s="17" t="str">
        <f>Data!B263</f>
        <v>Vehicle, Gasoline or Petrol</v>
      </c>
      <c r="C265" s="17" t="str">
        <f>Data!C263</f>
        <v>1f2g3h4j5k6l</v>
      </c>
      <c r="D265" s="52">
        <f>Data!D263</f>
        <v>45066.132627314815</v>
      </c>
      <c r="E265" s="60" t="str">
        <f>IF(Data!E263="GpsRecord",Data!F263,"")</f>
        <v/>
      </c>
      <c r="F265" s="68" t="str">
        <f t="shared" si="48"/>
        <v>Clarksburg, WV, HARRISON_20268, Clarksburg, WV: 500 Baltimore Ave, Clarksburg, WV 26301, USA</v>
      </c>
      <c r="G265" t="b">
        <f t="shared" si="49"/>
        <v>0</v>
      </c>
      <c r="H265" t="b">
        <f t="shared" si="50"/>
        <v>0</v>
      </c>
      <c r="I265" t="b">
        <f t="shared" si="51"/>
        <v>0</v>
      </c>
      <c r="J265" t="str">
        <f t="shared" si="52"/>
        <v/>
      </c>
      <c r="K265" t="str">
        <f t="shared" si="53"/>
        <v/>
      </c>
      <c r="L265" t="str">
        <f t="shared" si="54"/>
        <v>,</v>
      </c>
      <c r="M265" t="str">
        <f t="shared" si="55"/>
        <v/>
      </c>
      <c r="N265" t="str">
        <f t="shared" si="56"/>
        <v/>
      </c>
      <c r="O265" t="str">
        <f t="shared" si="57"/>
        <v/>
      </c>
      <c r="P265" t="str">
        <f t="shared" si="58"/>
        <v/>
      </c>
      <c r="Q265" t="str">
        <f t="shared" si="59"/>
        <v/>
      </c>
      <c r="R265" s="20" t="str">
        <f t="shared" si="60"/>
        <v>WV</v>
      </c>
      <c r="S265" s="20" t="str">
        <f>IF(Data!E263="GpsRecord",Data!G263,"")</f>
        <v/>
      </c>
      <c r="T265" s="20" t="str">
        <f>IF(Data!E263="GpsRecord",Data!H263,"")</f>
        <v/>
      </c>
      <c r="U265" s="20">
        <f t="shared" si="61"/>
        <v>-39.421120000000002</v>
      </c>
      <c r="V265" s="20">
        <f t="shared" si="62"/>
        <v>33.736919999999998</v>
      </c>
      <c r="W265" s="19" t="str">
        <f>Data!I263</f>
        <v>Total fuel used (since telematics device install)</v>
      </c>
      <c r="X265" s="17" t="str">
        <f>CONCATENATE(Data!J263, " ", Data!K263)</f>
        <v>1997.67 L</v>
      </c>
    </row>
    <row r="266" spans="1:24" x14ac:dyDescent="0.3">
      <c r="A266" s="17" t="str">
        <f>Data!A264</f>
        <v>vehicle1</v>
      </c>
      <c r="B266" s="17" t="str">
        <f>Data!B264</f>
        <v>Vehicle, Gasoline or Petrol</v>
      </c>
      <c r="C266" s="17" t="str">
        <f>Data!C264</f>
        <v>1f2g3h4j5k6l</v>
      </c>
      <c r="D266" s="52">
        <f>Data!D264</f>
        <v>45066.132627314815</v>
      </c>
      <c r="E266" s="60" t="str">
        <f>IF(Data!E264="GpsRecord",Data!F264,"")</f>
        <v/>
      </c>
      <c r="F266" s="68" t="str">
        <f t="shared" si="48"/>
        <v>Clarksburg, WV, HARRISON_20268, Clarksburg, WV: 500 Baltimore Ave, Clarksburg, WV 26301, USA</v>
      </c>
      <c r="G266" t="b">
        <f t="shared" si="49"/>
        <v>0</v>
      </c>
      <c r="H266" t="b">
        <f t="shared" si="50"/>
        <v>0</v>
      </c>
      <c r="I266" t="b">
        <f t="shared" si="51"/>
        <v>0</v>
      </c>
      <c r="J266" t="str">
        <f t="shared" si="52"/>
        <v/>
      </c>
      <c r="K266" t="str">
        <f t="shared" si="53"/>
        <v/>
      </c>
      <c r="L266" t="str">
        <f t="shared" si="54"/>
        <v>,</v>
      </c>
      <c r="M266" t="str">
        <f t="shared" si="55"/>
        <v/>
      </c>
      <c r="N266" t="str">
        <f t="shared" si="56"/>
        <v/>
      </c>
      <c r="O266" t="str">
        <f t="shared" si="57"/>
        <v/>
      </c>
      <c r="P266" t="str">
        <f t="shared" si="58"/>
        <v/>
      </c>
      <c r="Q266" t="str">
        <f t="shared" si="59"/>
        <v/>
      </c>
      <c r="R266" s="20" t="str">
        <f t="shared" si="60"/>
        <v>WV</v>
      </c>
      <c r="S266" s="20" t="str">
        <f>IF(Data!E264="GpsRecord",Data!G264,"")</f>
        <v/>
      </c>
      <c r="T266" s="20" t="str">
        <f>IF(Data!E264="GpsRecord",Data!H264,"")</f>
        <v/>
      </c>
      <c r="U266" s="20">
        <f t="shared" si="61"/>
        <v>-39.421120000000002</v>
      </c>
      <c r="V266" s="20">
        <f t="shared" si="62"/>
        <v>33.736919999999998</v>
      </c>
      <c r="W266" s="19">
        <f>Data!I264</f>
        <v>0</v>
      </c>
      <c r="X266" s="17" t="str">
        <f>CONCATENATE(Data!J264, " ", Data!K264)</f>
        <v xml:space="preserve"> </v>
      </c>
    </row>
    <row r="267" spans="1:24" x14ac:dyDescent="0.3">
      <c r="A267" s="17" t="str">
        <f>Data!A265</f>
        <v>vehicle1</v>
      </c>
      <c r="B267" s="17" t="str">
        <f>Data!B265</f>
        <v>Vehicle, Gasoline or Petrol</v>
      </c>
      <c r="C267" s="17" t="str">
        <f>Data!C265</f>
        <v>1f2g3h4j5k6l</v>
      </c>
      <c r="D267" s="52">
        <f>Data!D265</f>
        <v>45066.15347222222</v>
      </c>
      <c r="E267" s="60" t="str">
        <f>IF(Data!E265="GpsRecord",Data!F265,"")</f>
        <v/>
      </c>
      <c r="F267" s="68" t="str">
        <f t="shared" si="48"/>
        <v>Clarksburg, WV, HARRISON_20268, Clarksburg, WV: 500 Baltimore Ave, Clarksburg, WV 26301, USA</v>
      </c>
      <c r="G267" t="b">
        <f t="shared" si="49"/>
        <v>0</v>
      </c>
      <c r="H267" t="b">
        <f t="shared" si="50"/>
        <v>0</v>
      </c>
      <c r="I267" t="b">
        <f t="shared" si="51"/>
        <v>0</v>
      </c>
      <c r="J267" t="str">
        <f t="shared" si="52"/>
        <v/>
      </c>
      <c r="K267" t="str">
        <f t="shared" si="53"/>
        <v/>
      </c>
      <c r="L267" t="str">
        <f t="shared" si="54"/>
        <v>,</v>
      </c>
      <c r="M267" t="str">
        <f t="shared" si="55"/>
        <v/>
      </c>
      <c r="N267" t="str">
        <f t="shared" si="56"/>
        <v/>
      </c>
      <c r="O267" t="str">
        <f t="shared" si="57"/>
        <v/>
      </c>
      <c r="P267" t="str">
        <f t="shared" si="58"/>
        <v/>
      </c>
      <c r="Q267" t="str">
        <f t="shared" si="59"/>
        <v/>
      </c>
      <c r="R267" s="20" t="str">
        <f t="shared" si="60"/>
        <v>WV</v>
      </c>
      <c r="S267" s="20" t="str">
        <f>IF(Data!E265="GpsRecord",Data!G265,"")</f>
        <v/>
      </c>
      <c r="T267" s="20" t="str">
        <f>IF(Data!E265="GpsRecord",Data!H265,"")</f>
        <v/>
      </c>
      <c r="U267" s="20">
        <f t="shared" si="61"/>
        <v>-39.421120000000002</v>
      </c>
      <c r="V267" s="20">
        <f t="shared" si="62"/>
        <v>33.736919999999998</v>
      </c>
      <c r="W267" s="19" t="str">
        <f>Data!I265</f>
        <v>Engine road speed</v>
      </c>
      <c r="X267" s="17" t="str">
        <f>CONCATENATE(Data!J265, " ", Data!K265)</f>
        <v>11 km/h</v>
      </c>
    </row>
    <row r="268" spans="1:24" x14ac:dyDescent="0.3">
      <c r="A268" s="17" t="str">
        <f>Data!A266</f>
        <v>vehicle1</v>
      </c>
      <c r="B268" s="17" t="str">
        <f>Data!B266</f>
        <v>Vehicle, Gasoline or Petrol</v>
      </c>
      <c r="C268" s="17" t="str">
        <f>Data!C266</f>
        <v>1f2g3h4j5k6l</v>
      </c>
      <c r="D268" s="52">
        <f>Data!D266</f>
        <v>45066.15347222222</v>
      </c>
      <c r="E268" s="60" t="str">
        <f>IF(Data!E266="GpsRecord",Data!F266,"")</f>
        <v/>
      </c>
      <c r="F268" s="68" t="str">
        <f t="shared" si="48"/>
        <v>Clarksburg, WV, HARRISON_20268, Clarksburg, WV: 500 Baltimore Ave, Clarksburg, WV 26301, USA</v>
      </c>
      <c r="G268" t="b">
        <f t="shared" si="49"/>
        <v>0</v>
      </c>
      <c r="H268" t="b">
        <f t="shared" si="50"/>
        <v>0</v>
      </c>
      <c r="I268" t="b">
        <f t="shared" si="51"/>
        <v>0</v>
      </c>
      <c r="J268" t="str">
        <f t="shared" si="52"/>
        <v/>
      </c>
      <c r="K268" t="str">
        <f t="shared" si="53"/>
        <v/>
      </c>
      <c r="L268" t="str">
        <f t="shared" si="54"/>
        <v>,</v>
      </c>
      <c r="M268" t="str">
        <f t="shared" si="55"/>
        <v/>
      </c>
      <c r="N268" t="str">
        <f t="shared" si="56"/>
        <v/>
      </c>
      <c r="O268" t="str">
        <f t="shared" si="57"/>
        <v/>
      </c>
      <c r="P268" t="str">
        <f t="shared" si="58"/>
        <v/>
      </c>
      <c r="Q268" t="str">
        <f t="shared" si="59"/>
        <v/>
      </c>
      <c r="R268" s="20" t="str">
        <f t="shared" si="60"/>
        <v>WV</v>
      </c>
      <c r="S268" s="20" t="str">
        <f>IF(Data!E266="GpsRecord",Data!G266,"")</f>
        <v/>
      </c>
      <c r="T268" s="20" t="str">
        <f>IF(Data!E266="GpsRecord",Data!H266,"")</f>
        <v/>
      </c>
      <c r="U268" s="20">
        <f t="shared" si="61"/>
        <v>-39.421120000000002</v>
      </c>
      <c r="V268" s="20">
        <f t="shared" si="62"/>
        <v>33.736919999999998</v>
      </c>
      <c r="W268" s="19" t="str">
        <f>Data!I266</f>
        <v>Engine speed</v>
      </c>
      <c r="X268" s="17" t="str">
        <f>CONCATENATE(Data!J266, " ", Data!K266)</f>
        <v>1615 RPM</v>
      </c>
    </row>
    <row r="269" spans="1:24" x14ac:dyDescent="0.3">
      <c r="A269" s="17" t="str">
        <f>Data!A267</f>
        <v>vehicle1</v>
      </c>
      <c r="B269" s="17" t="str">
        <f>Data!B267</f>
        <v>Vehicle, Gasoline or Petrol</v>
      </c>
      <c r="C269" s="17" t="str">
        <f>Data!C267</f>
        <v>1f2g3h4j5k6l</v>
      </c>
      <c r="D269" s="52">
        <f>Data!D267</f>
        <v>45066.15347222222</v>
      </c>
      <c r="E269" s="60" t="str">
        <f>IF(Data!E267="GpsRecord",Data!F267,"")</f>
        <v/>
      </c>
      <c r="F269" s="68" t="str">
        <f t="shared" ref="F269:F332" si="63">IF(E269&lt;&gt;"",E269, IF(F268&lt;&gt;$F$12, F268, ""))</f>
        <v>Clarksburg, WV, HARRISON_20268, Clarksburg, WV: 500 Baltimore Ave, Clarksburg, WV 26301, USA</v>
      </c>
      <c r="G269" t="b">
        <f t="shared" si="49"/>
        <v>0</v>
      </c>
      <c r="H269" t="b">
        <f t="shared" si="50"/>
        <v>0</v>
      </c>
      <c r="I269" t="b">
        <f t="shared" si="51"/>
        <v>0</v>
      </c>
      <c r="J269" t="str">
        <f t="shared" si="52"/>
        <v/>
      </c>
      <c r="K269" t="str">
        <f t="shared" si="53"/>
        <v/>
      </c>
      <c r="L269" t="str">
        <f t="shared" si="54"/>
        <v>,</v>
      </c>
      <c r="M269" t="str">
        <f t="shared" si="55"/>
        <v/>
      </c>
      <c r="N269" t="str">
        <f t="shared" si="56"/>
        <v/>
      </c>
      <c r="O269" t="str">
        <f t="shared" si="57"/>
        <v/>
      </c>
      <c r="P269" t="str">
        <f t="shared" si="58"/>
        <v/>
      </c>
      <c r="Q269" t="str">
        <f t="shared" si="59"/>
        <v/>
      </c>
      <c r="R269" s="20" t="str">
        <f t="shared" si="60"/>
        <v>WV</v>
      </c>
      <c r="S269" s="20" t="str">
        <f>IF(Data!E267="GpsRecord",Data!G267,"")</f>
        <v/>
      </c>
      <c r="T269" s="20" t="str">
        <f>IF(Data!E267="GpsRecord",Data!H267,"")</f>
        <v/>
      </c>
      <c r="U269" s="20">
        <f t="shared" si="61"/>
        <v>-39.421120000000002</v>
      </c>
      <c r="V269" s="20">
        <f t="shared" si="62"/>
        <v>33.736919999999998</v>
      </c>
      <c r="W269" s="19">
        <f>Data!I267</f>
        <v>0</v>
      </c>
      <c r="X269" s="17" t="str">
        <f>CONCATENATE(Data!J267, " ", Data!K267)</f>
        <v xml:space="preserve"> </v>
      </c>
    </row>
    <row r="270" spans="1:24" x14ac:dyDescent="0.3">
      <c r="A270" s="17" t="str">
        <f>Data!A268</f>
        <v>vehicle1</v>
      </c>
      <c r="B270" s="17" t="str">
        <f>Data!B268</f>
        <v>Vehicle, Gasoline or Petrol</v>
      </c>
      <c r="C270" s="17" t="str">
        <f>Data!C268</f>
        <v>1f2g3h4j5k6l</v>
      </c>
      <c r="D270" s="52">
        <f>Data!D268</f>
        <v>45066.153495370374</v>
      </c>
      <c r="E270" s="60" t="str">
        <f>IF(Data!E268="GpsRecord",Data!F268,"")</f>
        <v/>
      </c>
      <c r="F270" s="68" t="str">
        <f t="shared" si="63"/>
        <v>Clarksburg, WV, HARRISON_20268, Clarksburg, WV: 500 Baltimore Ave, Clarksburg, WV 26301, USA</v>
      </c>
      <c r="G270" t="b">
        <f t="shared" ref="G270:G333" si="64">ISNUMBER(FIND($G$11,E270))</f>
        <v>0</v>
      </c>
      <c r="H270" t="b">
        <f t="shared" ref="H270:H333" si="65">ISNUMBER(FIND($H$11,E270))</f>
        <v>0</v>
      </c>
      <c r="I270" t="b">
        <f t="shared" ref="I270:I333" si="66">OR(G270,H270)</f>
        <v>0</v>
      </c>
      <c r="J270" t="str">
        <f t="shared" ref="J270:J333" si="67">IFERROR(MID(E270,FIND(": ",E270)+2,255),E270)</f>
        <v/>
      </c>
      <c r="K270" t="str">
        <f t="shared" ref="K270:K333" si="68">IFERROR(RIGHT(J270,LEN(J270)-FIND("@",SUBSTITUTE(J270,",","@",LEN(J270)-LEN(SUBSTITUTE(J270,",",""))),1)),J270)</f>
        <v/>
      </c>
      <c r="L270" t="str">
        <f t="shared" ref="L270:L333" si="69">","&amp;K270</f>
        <v>,</v>
      </c>
      <c r="M270" t="str">
        <f t="shared" ref="M270:M333" si="70">IF(I270,SUBSTITUTE(J270,L270,""),J270)</f>
        <v/>
      </c>
      <c r="N270" t="str">
        <f t="shared" ref="N270:N333" si="71">IFERROR(RIGHT(M270,LEN(M270)-FIND("@",SUBSTITUTE(M270,",","@",LEN(M270)-LEN(SUBSTITUTE(M270,",",""))),1)),M270)</f>
        <v/>
      </c>
      <c r="O270" t="str">
        <f t="shared" ref="O270:O333" si="72">IFERROR(RIGHT(N270,LEN(N270)-FIND("@",SUBSTITUTE(N270," ","@",LEN(N270)-LEN(SUBSTITUTE(N270," ",""))),1)),N270)</f>
        <v/>
      </c>
      <c r="P270" t="str">
        <f t="shared" ref="P270:P333" si="73">SUBSTITUTE(N270,CONCATENATE(" ",O270),"")</f>
        <v/>
      </c>
      <c r="Q270" t="str">
        <f t="shared" ref="Q270:Q333" si="74">IF(G270, MID(P270,2,2),RIGHT(P270,2))</f>
        <v/>
      </c>
      <c r="R270" s="20" t="str">
        <f t="shared" ref="R270:R333" si="75">IF(Q270&lt;&gt;"",Q270, IF(R269&lt;&gt;$R$12, R269, ""))</f>
        <v>WV</v>
      </c>
      <c r="S270" s="20" t="str">
        <f>IF(Data!E268="GpsRecord",Data!G268,"")</f>
        <v/>
      </c>
      <c r="T270" s="20" t="str">
        <f>IF(Data!E268="GpsRecord",Data!H268,"")</f>
        <v/>
      </c>
      <c r="U270" s="20">
        <f t="shared" ref="U270:U333" si="76">IF(S270&lt;&gt;"", S270, IF(U269&lt;&gt;$U$12, U269, ""))</f>
        <v>-39.421120000000002</v>
      </c>
      <c r="V270" s="20">
        <f t="shared" ref="V270:V333" si="77">IF(T270&lt;&gt;"", T270, IF(V269&lt;&gt;$V$12, V269, ""))</f>
        <v>33.736919999999998</v>
      </c>
      <c r="W270" s="19">
        <f>Data!I268</f>
        <v>0</v>
      </c>
      <c r="X270" s="17" t="str">
        <f>CONCATENATE(Data!J268, " ", Data!K268)</f>
        <v xml:space="preserve"> </v>
      </c>
    </row>
    <row r="271" spans="1:24" x14ac:dyDescent="0.3">
      <c r="A271" s="17" t="str">
        <f>Data!A269</f>
        <v>vehicle1</v>
      </c>
      <c r="B271" s="17" t="str">
        <f>Data!B269</f>
        <v>Vehicle, Gasoline or Petrol</v>
      </c>
      <c r="C271" s="17" t="str">
        <f>Data!C269</f>
        <v>1f2g3h4j5k6l</v>
      </c>
      <c r="D271" s="52">
        <f>Data!D269</f>
        <v>45066.15351851852</v>
      </c>
      <c r="E271" s="60" t="str">
        <f>IF(Data!E269="GpsRecord",Data!F269,"")</f>
        <v/>
      </c>
      <c r="F271" s="68" t="str">
        <f t="shared" si="63"/>
        <v>Clarksburg, WV, HARRISON_20268, Clarksburg, WV: 500 Baltimore Ave, Clarksburg, WV 26301, USA</v>
      </c>
      <c r="G271" t="b">
        <f t="shared" si="64"/>
        <v>0</v>
      </c>
      <c r="H271" t="b">
        <f t="shared" si="65"/>
        <v>0</v>
      </c>
      <c r="I271" t="b">
        <f t="shared" si="66"/>
        <v>0</v>
      </c>
      <c r="J271" t="str">
        <f t="shared" si="67"/>
        <v/>
      </c>
      <c r="K271" t="str">
        <f t="shared" si="68"/>
        <v/>
      </c>
      <c r="L271" t="str">
        <f t="shared" si="69"/>
        <v>,</v>
      </c>
      <c r="M271" t="str">
        <f t="shared" si="70"/>
        <v/>
      </c>
      <c r="N271" t="str">
        <f t="shared" si="71"/>
        <v/>
      </c>
      <c r="O271" t="str">
        <f t="shared" si="72"/>
        <v/>
      </c>
      <c r="P271" t="str">
        <f t="shared" si="73"/>
        <v/>
      </c>
      <c r="Q271" t="str">
        <f t="shared" si="74"/>
        <v/>
      </c>
      <c r="R271" s="20" t="str">
        <f t="shared" si="75"/>
        <v>WV</v>
      </c>
      <c r="S271" s="20" t="str">
        <f>IF(Data!E269="GpsRecord",Data!G269,"")</f>
        <v/>
      </c>
      <c r="T271" s="20" t="str">
        <f>IF(Data!E269="GpsRecord",Data!H269,"")</f>
        <v/>
      </c>
      <c r="U271" s="20">
        <f t="shared" si="76"/>
        <v>-39.421120000000002</v>
      </c>
      <c r="V271" s="20">
        <f t="shared" si="77"/>
        <v>33.736919999999998</v>
      </c>
      <c r="W271" s="19">
        <f>Data!I269</f>
        <v>0</v>
      </c>
      <c r="X271" s="17" t="str">
        <f>CONCATENATE(Data!J269, " ", Data!K269)</f>
        <v xml:space="preserve"> </v>
      </c>
    </row>
    <row r="272" spans="1:24" x14ac:dyDescent="0.3">
      <c r="A272" s="17" t="str">
        <f>Data!A270</f>
        <v>vehicle1</v>
      </c>
      <c r="B272" s="17" t="str">
        <f>Data!B270</f>
        <v>Vehicle, Gasoline or Petrol</v>
      </c>
      <c r="C272" s="17" t="str">
        <f>Data!C270</f>
        <v>1f2g3h4j5k6l</v>
      </c>
      <c r="D272" s="52">
        <f>Data!D270</f>
        <v>45066.153541666667</v>
      </c>
      <c r="E272" s="60" t="str">
        <f>IF(Data!E270="GpsRecord",Data!F270,"")</f>
        <v/>
      </c>
      <c r="F272" s="68" t="str">
        <f t="shared" si="63"/>
        <v>Clarksburg, WV, HARRISON_20268, Clarksburg, WV: 500 Baltimore Ave, Clarksburg, WV 26301, USA</v>
      </c>
      <c r="G272" t="b">
        <f t="shared" si="64"/>
        <v>0</v>
      </c>
      <c r="H272" t="b">
        <f t="shared" si="65"/>
        <v>0</v>
      </c>
      <c r="I272" t="b">
        <f t="shared" si="66"/>
        <v>0</v>
      </c>
      <c r="J272" t="str">
        <f t="shared" si="67"/>
        <v/>
      </c>
      <c r="K272" t="str">
        <f t="shared" si="68"/>
        <v/>
      </c>
      <c r="L272" t="str">
        <f t="shared" si="69"/>
        <v>,</v>
      </c>
      <c r="M272" t="str">
        <f t="shared" si="70"/>
        <v/>
      </c>
      <c r="N272" t="str">
        <f t="shared" si="71"/>
        <v/>
      </c>
      <c r="O272" t="str">
        <f t="shared" si="72"/>
        <v/>
      </c>
      <c r="P272" t="str">
        <f t="shared" si="73"/>
        <v/>
      </c>
      <c r="Q272" t="str">
        <f t="shared" si="74"/>
        <v/>
      </c>
      <c r="R272" s="20" t="str">
        <f t="shared" si="75"/>
        <v>WV</v>
      </c>
      <c r="S272" s="20" t="str">
        <f>IF(Data!E270="GpsRecord",Data!G270,"")</f>
        <v/>
      </c>
      <c r="T272" s="20" t="str">
        <f>IF(Data!E270="GpsRecord",Data!H270,"")</f>
        <v/>
      </c>
      <c r="U272" s="20">
        <f t="shared" si="76"/>
        <v>-39.421120000000002</v>
      </c>
      <c r="V272" s="20">
        <f t="shared" si="77"/>
        <v>33.736919999999998</v>
      </c>
      <c r="W272" s="19">
        <f>Data!I270</f>
        <v>0</v>
      </c>
      <c r="X272" s="17" t="str">
        <f>CONCATENATE(Data!J270, " ", Data!K270)</f>
        <v xml:space="preserve"> </v>
      </c>
    </row>
    <row r="273" spans="1:24" x14ac:dyDescent="0.3">
      <c r="A273" s="17" t="str">
        <f>Data!A271</f>
        <v>vehicle1</v>
      </c>
      <c r="B273" s="17" t="str">
        <f>Data!B271</f>
        <v>Vehicle, Gasoline or Petrol</v>
      </c>
      <c r="C273" s="17" t="str">
        <f>Data!C271</f>
        <v>1f2g3h4j5k6l</v>
      </c>
      <c r="D273" s="52">
        <f>Data!D271</f>
        <v>45066.153564814813</v>
      </c>
      <c r="E273" s="60" t="str">
        <f>IF(Data!E271="GpsRecord",Data!F271,"")</f>
        <v/>
      </c>
      <c r="F273" s="68" t="str">
        <f t="shared" si="63"/>
        <v>Clarksburg, WV, HARRISON_20268, Clarksburg, WV: 500 Baltimore Ave, Clarksburg, WV 26301, USA</v>
      </c>
      <c r="G273" t="b">
        <f t="shared" si="64"/>
        <v>0</v>
      </c>
      <c r="H273" t="b">
        <f t="shared" si="65"/>
        <v>0</v>
      </c>
      <c r="I273" t="b">
        <f t="shared" si="66"/>
        <v>0</v>
      </c>
      <c r="J273" t="str">
        <f t="shared" si="67"/>
        <v/>
      </c>
      <c r="K273" t="str">
        <f t="shared" si="68"/>
        <v/>
      </c>
      <c r="L273" t="str">
        <f t="shared" si="69"/>
        <v>,</v>
      </c>
      <c r="M273" t="str">
        <f t="shared" si="70"/>
        <v/>
      </c>
      <c r="N273" t="str">
        <f t="shared" si="71"/>
        <v/>
      </c>
      <c r="O273" t="str">
        <f t="shared" si="72"/>
        <v/>
      </c>
      <c r="P273" t="str">
        <f t="shared" si="73"/>
        <v/>
      </c>
      <c r="Q273" t="str">
        <f t="shared" si="74"/>
        <v/>
      </c>
      <c r="R273" s="20" t="str">
        <f t="shared" si="75"/>
        <v>WV</v>
      </c>
      <c r="S273" s="20" t="str">
        <f>IF(Data!E271="GpsRecord",Data!G271,"")</f>
        <v/>
      </c>
      <c r="T273" s="20" t="str">
        <f>IF(Data!E271="GpsRecord",Data!H271,"")</f>
        <v/>
      </c>
      <c r="U273" s="20">
        <f t="shared" si="76"/>
        <v>-39.421120000000002</v>
      </c>
      <c r="V273" s="20">
        <f t="shared" si="77"/>
        <v>33.736919999999998</v>
      </c>
      <c r="W273" s="19">
        <f>Data!I271</f>
        <v>0</v>
      </c>
      <c r="X273" s="17" t="str">
        <f>CONCATENATE(Data!J271, " ", Data!K271)</f>
        <v xml:space="preserve"> </v>
      </c>
    </row>
    <row r="274" spans="1:24" x14ac:dyDescent="0.3">
      <c r="A274" s="17" t="str">
        <f>Data!A272</f>
        <v>vehicle1</v>
      </c>
      <c r="B274" s="17" t="str">
        <f>Data!B272</f>
        <v>Vehicle, Gasoline or Petrol</v>
      </c>
      <c r="C274" s="17" t="str">
        <f>Data!C272</f>
        <v>1f2g3h4j5k6l</v>
      </c>
      <c r="D274" s="52">
        <f>Data!D272</f>
        <v>45066.153564814813</v>
      </c>
      <c r="E274" s="60" t="str">
        <f>IF(Data!E272="GpsRecord",Data!F272,"")</f>
        <v/>
      </c>
      <c r="F274" s="68" t="str">
        <f t="shared" si="63"/>
        <v>Clarksburg, WV, HARRISON_20268, Clarksburg, WV: 500 Baltimore Ave, Clarksburg, WV 26301, USA</v>
      </c>
      <c r="G274" t="b">
        <f t="shared" si="64"/>
        <v>0</v>
      </c>
      <c r="H274" t="b">
        <f t="shared" si="65"/>
        <v>0</v>
      </c>
      <c r="I274" t="b">
        <f t="shared" si="66"/>
        <v>0</v>
      </c>
      <c r="J274" t="str">
        <f t="shared" si="67"/>
        <v/>
      </c>
      <c r="K274" t="str">
        <f t="shared" si="68"/>
        <v/>
      </c>
      <c r="L274" t="str">
        <f t="shared" si="69"/>
        <v>,</v>
      </c>
      <c r="M274" t="str">
        <f t="shared" si="70"/>
        <v/>
      </c>
      <c r="N274" t="str">
        <f t="shared" si="71"/>
        <v/>
      </c>
      <c r="O274" t="str">
        <f t="shared" si="72"/>
        <v/>
      </c>
      <c r="P274" t="str">
        <f t="shared" si="73"/>
        <v/>
      </c>
      <c r="Q274" t="str">
        <f t="shared" si="74"/>
        <v/>
      </c>
      <c r="R274" s="20" t="str">
        <f t="shared" si="75"/>
        <v>WV</v>
      </c>
      <c r="S274" s="20" t="str">
        <f>IF(Data!E272="GpsRecord",Data!G272,"")</f>
        <v/>
      </c>
      <c r="T274" s="20" t="str">
        <f>IF(Data!E272="GpsRecord",Data!H272,"")</f>
        <v/>
      </c>
      <c r="U274" s="20">
        <f t="shared" si="76"/>
        <v>-39.421120000000002</v>
      </c>
      <c r="V274" s="20">
        <f t="shared" si="77"/>
        <v>33.736919999999998</v>
      </c>
      <c r="W274" s="19" t="str">
        <f>Data!I272</f>
        <v>Driver seat belt (1 = unbuckled)</v>
      </c>
      <c r="X274" s="17" t="str">
        <f>CONCATENATE(Data!J272, " ", Data!K272)</f>
        <v>0 None</v>
      </c>
    </row>
    <row r="275" spans="1:24" x14ac:dyDescent="0.3">
      <c r="A275" s="17" t="str">
        <f>Data!A273</f>
        <v>vehicle1</v>
      </c>
      <c r="B275" s="17" t="str">
        <f>Data!B273</f>
        <v>Vehicle, Gasoline or Petrol</v>
      </c>
      <c r="C275" s="17" t="str">
        <f>Data!C273</f>
        <v>1f2g3h4j5k6l</v>
      </c>
      <c r="D275" s="52">
        <f>Data!D273</f>
        <v>45066.153564814813</v>
      </c>
      <c r="E275" s="60" t="str">
        <f>IF(Data!E273="GpsRecord",Data!F273,"")</f>
        <v/>
      </c>
      <c r="F275" s="68" t="str">
        <f t="shared" si="63"/>
        <v>Clarksburg, WV, HARRISON_20268, Clarksburg, WV: 500 Baltimore Ave, Clarksburg, WV 26301, USA</v>
      </c>
      <c r="G275" t="b">
        <f t="shared" si="64"/>
        <v>0</v>
      </c>
      <c r="H275" t="b">
        <f t="shared" si="65"/>
        <v>0</v>
      </c>
      <c r="I275" t="b">
        <f t="shared" si="66"/>
        <v>0</v>
      </c>
      <c r="J275" t="str">
        <f t="shared" si="67"/>
        <v/>
      </c>
      <c r="K275" t="str">
        <f t="shared" si="68"/>
        <v/>
      </c>
      <c r="L275" t="str">
        <f t="shared" si="69"/>
        <v>,</v>
      </c>
      <c r="M275" t="str">
        <f t="shared" si="70"/>
        <v/>
      </c>
      <c r="N275" t="str">
        <f t="shared" si="71"/>
        <v/>
      </c>
      <c r="O275" t="str">
        <f t="shared" si="72"/>
        <v/>
      </c>
      <c r="P275" t="str">
        <f t="shared" si="73"/>
        <v/>
      </c>
      <c r="Q275" t="str">
        <f t="shared" si="74"/>
        <v/>
      </c>
      <c r="R275" s="20" t="str">
        <f t="shared" si="75"/>
        <v>WV</v>
      </c>
      <c r="S275" s="20" t="str">
        <f>IF(Data!E273="GpsRecord",Data!G273,"")</f>
        <v/>
      </c>
      <c r="T275" s="20" t="str">
        <f>IF(Data!E273="GpsRecord",Data!H273,"")</f>
        <v/>
      </c>
      <c r="U275" s="20">
        <f t="shared" si="76"/>
        <v>-39.421120000000002</v>
      </c>
      <c r="V275" s="20">
        <f t="shared" si="77"/>
        <v>33.736919999999998</v>
      </c>
      <c r="W275" s="19" t="str">
        <f>Data!I273</f>
        <v>Raw outside air temperature</v>
      </c>
      <c r="X275" s="17" t="str">
        <f>CONCATENATE(Data!J273, " ", Data!K273)</f>
        <v>37 C</v>
      </c>
    </row>
    <row r="276" spans="1:24" x14ac:dyDescent="0.3">
      <c r="A276" s="17" t="str">
        <f>Data!A274</f>
        <v>vehicle1</v>
      </c>
      <c r="B276" s="17" t="str">
        <f>Data!B274</f>
        <v>Vehicle, Gasoline or Petrol</v>
      </c>
      <c r="C276" s="17" t="str">
        <f>Data!C274</f>
        <v>1f2g3h4j5k6l</v>
      </c>
      <c r="D276" s="52">
        <f>Data!D274</f>
        <v>45066.153564814813</v>
      </c>
      <c r="E276" s="60" t="str">
        <f>IF(Data!E274="GpsRecord",Data!F274,"")</f>
        <v/>
      </c>
      <c r="F276" s="68" t="str">
        <f t="shared" si="63"/>
        <v>Clarksburg, WV, HARRISON_20268, Clarksburg, WV: 500 Baltimore Ave, Clarksburg, WV 26301, USA</v>
      </c>
      <c r="G276" t="b">
        <f t="shared" si="64"/>
        <v>0</v>
      </c>
      <c r="H276" t="b">
        <f t="shared" si="65"/>
        <v>0</v>
      </c>
      <c r="I276" t="b">
        <f t="shared" si="66"/>
        <v>0</v>
      </c>
      <c r="J276" t="str">
        <f t="shared" si="67"/>
        <v/>
      </c>
      <c r="K276" t="str">
        <f t="shared" si="68"/>
        <v/>
      </c>
      <c r="L276" t="str">
        <f t="shared" si="69"/>
        <v>,</v>
      </c>
      <c r="M276" t="str">
        <f t="shared" si="70"/>
        <v/>
      </c>
      <c r="N276" t="str">
        <f t="shared" si="71"/>
        <v/>
      </c>
      <c r="O276" t="str">
        <f t="shared" si="72"/>
        <v/>
      </c>
      <c r="P276" t="str">
        <f t="shared" si="73"/>
        <v/>
      </c>
      <c r="Q276" t="str">
        <f t="shared" si="74"/>
        <v/>
      </c>
      <c r="R276" s="20" t="str">
        <f t="shared" si="75"/>
        <v>WV</v>
      </c>
      <c r="S276" s="20" t="str">
        <f>IF(Data!E274="GpsRecord",Data!G274,"")</f>
        <v/>
      </c>
      <c r="T276" s="20" t="str">
        <f>IF(Data!E274="GpsRecord",Data!H274,"")</f>
        <v/>
      </c>
      <c r="U276" s="20">
        <f t="shared" si="76"/>
        <v>-39.421120000000002</v>
      </c>
      <c r="V276" s="20">
        <f t="shared" si="77"/>
        <v>33.736919999999998</v>
      </c>
      <c r="W276" s="19" t="str">
        <f>Data!I274</f>
        <v>Engine road speed</v>
      </c>
      <c r="X276" s="17" t="str">
        <f>CONCATENATE(Data!J274, " ", Data!K274)</f>
        <v>28 km/h</v>
      </c>
    </row>
    <row r="277" spans="1:24" x14ac:dyDescent="0.3">
      <c r="A277" s="17" t="str">
        <f>Data!A275</f>
        <v>vehicle1</v>
      </c>
      <c r="B277" s="17" t="str">
        <f>Data!B275</f>
        <v>Vehicle, Gasoline or Petrol</v>
      </c>
      <c r="C277" s="17" t="str">
        <f>Data!C275</f>
        <v>1f2g3h4j5k6l</v>
      </c>
      <c r="D277" s="52">
        <f>Data!D275</f>
        <v>45066.15357638889</v>
      </c>
      <c r="E277" s="60" t="str">
        <f>IF(Data!E275="GpsRecord",Data!F275,"")</f>
        <v/>
      </c>
      <c r="F277" s="68" t="str">
        <f t="shared" si="63"/>
        <v>Clarksburg, WV, HARRISON_20268, Clarksburg, WV: 500 Baltimore Ave, Clarksburg, WV 26301, USA</v>
      </c>
      <c r="G277" t="b">
        <f t="shared" si="64"/>
        <v>0</v>
      </c>
      <c r="H277" t="b">
        <f t="shared" si="65"/>
        <v>0</v>
      </c>
      <c r="I277" t="b">
        <f t="shared" si="66"/>
        <v>0</v>
      </c>
      <c r="J277" t="str">
        <f t="shared" si="67"/>
        <v/>
      </c>
      <c r="K277" t="str">
        <f t="shared" si="68"/>
        <v/>
      </c>
      <c r="L277" t="str">
        <f t="shared" si="69"/>
        <v>,</v>
      </c>
      <c r="M277" t="str">
        <f t="shared" si="70"/>
        <v/>
      </c>
      <c r="N277" t="str">
        <f t="shared" si="71"/>
        <v/>
      </c>
      <c r="O277" t="str">
        <f t="shared" si="72"/>
        <v/>
      </c>
      <c r="P277" t="str">
        <f t="shared" si="73"/>
        <v/>
      </c>
      <c r="Q277" t="str">
        <f t="shared" si="74"/>
        <v/>
      </c>
      <c r="R277" s="20" t="str">
        <f t="shared" si="75"/>
        <v>WV</v>
      </c>
      <c r="S277" s="20" t="str">
        <f>IF(Data!E275="GpsRecord",Data!G275,"")</f>
        <v/>
      </c>
      <c r="T277" s="20" t="str">
        <f>IF(Data!E275="GpsRecord",Data!H275,"")</f>
        <v/>
      </c>
      <c r="U277" s="20">
        <f t="shared" si="76"/>
        <v>-39.421120000000002</v>
      </c>
      <c r="V277" s="20">
        <f t="shared" si="77"/>
        <v>33.736919999999998</v>
      </c>
      <c r="W277" s="19">
        <f>Data!I275</f>
        <v>0</v>
      </c>
      <c r="X277" s="17" t="str">
        <f>CONCATENATE(Data!J275, " ", Data!K275)</f>
        <v xml:space="preserve"> </v>
      </c>
    </row>
    <row r="278" spans="1:24" x14ac:dyDescent="0.3">
      <c r="A278" s="17" t="str">
        <f>Data!A276</f>
        <v>vehicle1</v>
      </c>
      <c r="B278" s="17" t="str">
        <f>Data!B276</f>
        <v>Vehicle, Gasoline or Petrol</v>
      </c>
      <c r="C278" s="17" t="str">
        <f>Data!C276</f>
        <v>1f2g3h4j5k6l</v>
      </c>
      <c r="D278" s="52">
        <f>Data!D276</f>
        <v>45066.15357638889</v>
      </c>
      <c r="E278" s="60" t="str">
        <f>IF(Data!E276="GpsRecord",Data!F276,"")</f>
        <v>Clarksburg, WV, HARRISON_20268, Clarksburg, WV: 500 Baltimore Ave, Clarksburg, WV 26301, USA</v>
      </c>
      <c r="F278" s="68" t="str">
        <f t="shared" si="63"/>
        <v>Clarksburg, WV, HARRISON_20268, Clarksburg, WV: 500 Baltimore Ave, Clarksburg, WV 26301, USA</v>
      </c>
      <c r="G278" t="b">
        <f t="shared" si="64"/>
        <v>0</v>
      </c>
      <c r="H278" t="b">
        <f t="shared" si="65"/>
        <v>1</v>
      </c>
      <c r="I278" t="b">
        <f t="shared" si="66"/>
        <v>1</v>
      </c>
      <c r="J278" t="str">
        <f t="shared" si="67"/>
        <v>500 Baltimore Ave, Clarksburg, WV 26301, USA</v>
      </c>
      <c r="K278" t="str">
        <f t="shared" si="68"/>
        <v xml:space="preserve"> USA</v>
      </c>
      <c r="L278" t="str">
        <f t="shared" si="69"/>
        <v>, USA</v>
      </c>
      <c r="M278" t="str">
        <f t="shared" si="70"/>
        <v>500 Baltimore Ave, Clarksburg, WV 26301</v>
      </c>
      <c r="N278" t="str">
        <f t="shared" si="71"/>
        <v xml:space="preserve"> WV 26301</v>
      </c>
      <c r="O278" t="str">
        <f t="shared" si="72"/>
        <v>26301</v>
      </c>
      <c r="P278" t="str">
        <f t="shared" si="73"/>
        <v xml:space="preserve"> WV</v>
      </c>
      <c r="Q278" t="str">
        <f t="shared" si="74"/>
        <v>WV</v>
      </c>
      <c r="R278" s="20" t="str">
        <f t="shared" si="75"/>
        <v>WV</v>
      </c>
      <c r="S278" s="20">
        <f>IF(Data!E276="GpsRecord",Data!G276,"")</f>
        <v>-39.421570000000003</v>
      </c>
      <c r="T278" s="20">
        <f>IF(Data!E276="GpsRecord",Data!H276,"")</f>
        <v>33.73659</v>
      </c>
      <c r="U278" s="20">
        <f t="shared" si="76"/>
        <v>-39.421570000000003</v>
      </c>
      <c r="V278" s="20">
        <f t="shared" si="77"/>
        <v>33.73659</v>
      </c>
      <c r="W278" s="19">
        <f>Data!I276</f>
        <v>0</v>
      </c>
      <c r="X278" s="17" t="str">
        <f>CONCATENATE(Data!J276, " ", Data!K276)</f>
        <v xml:space="preserve"> </v>
      </c>
    </row>
    <row r="279" spans="1:24" x14ac:dyDescent="0.3">
      <c r="A279" s="17" t="str">
        <f>Data!A277</f>
        <v>vehicle1</v>
      </c>
      <c r="B279" s="17" t="str">
        <f>Data!B277</f>
        <v>Vehicle, Gasoline or Petrol</v>
      </c>
      <c r="C279" s="17" t="str">
        <f>Data!C277</f>
        <v>1f2g3h4j5k6l</v>
      </c>
      <c r="D279" s="52">
        <f>Data!D277</f>
        <v>45066.15357638889</v>
      </c>
      <c r="E279" s="60" t="str">
        <f>IF(Data!E277="GpsRecord",Data!F277,"")</f>
        <v/>
      </c>
      <c r="F279" s="68" t="str">
        <f t="shared" si="63"/>
        <v>Clarksburg, WV, HARRISON_20268, Clarksburg, WV: 500 Baltimore Ave, Clarksburg, WV 26301, USA</v>
      </c>
      <c r="G279" t="b">
        <f t="shared" si="64"/>
        <v>0</v>
      </c>
      <c r="H279" t="b">
        <f t="shared" si="65"/>
        <v>0</v>
      </c>
      <c r="I279" t="b">
        <f t="shared" si="66"/>
        <v>0</v>
      </c>
      <c r="J279" t="str">
        <f t="shared" si="67"/>
        <v/>
      </c>
      <c r="K279" t="str">
        <f t="shared" si="68"/>
        <v/>
      </c>
      <c r="L279" t="str">
        <f t="shared" si="69"/>
        <v>,</v>
      </c>
      <c r="M279" t="str">
        <f t="shared" si="70"/>
        <v/>
      </c>
      <c r="N279" t="str">
        <f t="shared" si="71"/>
        <v/>
      </c>
      <c r="O279" t="str">
        <f t="shared" si="72"/>
        <v/>
      </c>
      <c r="P279" t="str">
        <f t="shared" si="73"/>
        <v/>
      </c>
      <c r="Q279" t="str">
        <f t="shared" si="74"/>
        <v/>
      </c>
      <c r="R279" s="20" t="str">
        <f t="shared" si="75"/>
        <v>WV</v>
      </c>
      <c r="S279" s="20" t="str">
        <f>IF(Data!E277="GpsRecord",Data!G277,"")</f>
        <v/>
      </c>
      <c r="T279" s="20" t="str">
        <f>IF(Data!E277="GpsRecord",Data!H277,"")</f>
        <v/>
      </c>
      <c r="U279" s="20">
        <f t="shared" si="76"/>
        <v>-39.421570000000003</v>
      </c>
      <c r="V279" s="20">
        <f t="shared" si="77"/>
        <v>33.73659</v>
      </c>
      <c r="W279" s="19" t="str">
        <f>Data!I277</f>
        <v>ADAS left lane departure warning</v>
      </c>
      <c r="X279" s="17" t="str">
        <f>CONCATENATE(Data!J277, " ", Data!K277)</f>
        <v>1 None</v>
      </c>
    </row>
    <row r="280" spans="1:24" x14ac:dyDescent="0.3">
      <c r="A280" s="17" t="str">
        <f>Data!A278</f>
        <v>vehicle1</v>
      </c>
      <c r="B280" s="17" t="str">
        <f>Data!B278</f>
        <v>Vehicle, Gasoline or Petrol</v>
      </c>
      <c r="C280" s="17" t="str">
        <f>Data!C278</f>
        <v>1f2g3h4j5k6l</v>
      </c>
      <c r="D280" s="52">
        <f>Data!D278</f>
        <v>45066.15357638889</v>
      </c>
      <c r="E280" s="60" t="str">
        <f>IF(Data!E278="GpsRecord",Data!F278,"")</f>
        <v/>
      </c>
      <c r="F280" s="68" t="str">
        <f t="shared" si="63"/>
        <v>Clarksburg, WV, HARRISON_20268, Clarksburg, WV: 500 Baltimore Ave, Clarksburg, WV 26301, USA</v>
      </c>
      <c r="G280" t="b">
        <f t="shared" si="64"/>
        <v>0</v>
      </c>
      <c r="H280" t="b">
        <f t="shared" si="65"/>
        <v>0</v>
      </c>
      <c r="I280" t="b">
        <f t="shared" si="66"/>
        <v>0</v>
      </c>
      <c r="J280" t="str">
        <f t="shared" si="67"/>
        <v/>
      </c>
      <c r="K280" t="str">
        <f t="shared" si="68"/>
        <v/>
      </c>
      <c r="L280" t="str">
        <f t="shared" si="69"/>
        <v>,</v>
      </c>
      <c r="M280" t="str">
        <f t="shared" si="70"/>
        <v/>
      </c>
      <c r="N280" t="str">
        <f t="shared" si="71"/>
        <v/>
      </c>
      <c r="O280" t="str">
        <f t="shared" si="72"/>
        <v/>
      </c>
      <c r="P280" t="str">
        <f t="shared" si="73"/>
        <v/>
      </c>
      <c r="Q280" t="str">
        <f t="shared" si="74"/>
        <v/>
      </c>
      <c r="R280" s="20" t="str">
        <f t="shared" si="75"/>
        <v>WV</v>
      </c>
      <c r="S280" s="20" t="str">
        <f>IF(Data!E278="GpsRecord",Data!G278,"")</f>
        <v/>
      </c>
      <c r="T280" s="20" t="str">
        <f>IF(Data!E278="GpsRecord",Data!H278,"")</f>
        <v/>
      </c>
      <c r="U280" s="20">
        <f t="shared" si="76"/>
        <v>-39.421570000000003</v>
      </c>
      <c r="V280" s="20">
        <f t="shared" si="77"/>
        <v>33.73659</v>
      </c>
      <c r="W280" s="19">
        <f>Data!I278</f>
        <v>0</v>
      </c>
      <c r="X280" s="17" t="str">
        <f>CONCATENATE(Data!J278, " ", Data!K278)</f>
        <v xml:space="preserve"> </v>
      </c>
    </row>
    <row r="281" spans="1:24" x14ac:dyDescent="0.3">
      <c r="A281" s="17" t="str">
        <f>Data!A279</f>
        <v>vehicle1</v>
      </c>
      <c r="B281" s="17" t="str">
        <f>Data!B279</f>
        <v>Vehicle, Gasoline or Petrol</v>
      </c>
      <c r="C281" s="17" t="str">
        <f>Data!C279</f>
        <v>1f2g3h4j5k6l</v>
      </c>
      <c r="D281" s="52">
        <f>Data!D279</f>
        <v>45066.15357638889</v>
      </c>
      <c r="E281" s="60" t="str">
        <f>IF(Data!E279="GpsRecord",Data!F279,"")</f>
        <v/>
      </c>
      <c r="F281" s="68" t="str">
        <f t="shared" si="63"/>
        <v>Clarksburg, WV, HARRISON_20268, Clarksburg, WV: 500 Baltimore Ave, Clarksburg, WV 26301, USA</v>
      </c>
      <c r="G281" t="b">
        <f t="shared" si="64"/>
        <v>0</v>
      </c>
      <c r="H281" t="b">
        <f t="shared" si="65"/>
        <v>0</v>
      </c>
      <c r="I281" t="b">
        <f t="shared" si="66"/>
        <v>0</v>
      </c>
      <c r="J281" t="str">
        <f t="shared" si="67"/>
        <v/>
      </c>
      <c r="K281" t="str">
        <f t="shared" si="68"/>
        <v/>
      </c>
      <c r="L281" t="str">
        <f t="shared" si="69"/>
        <v>,</v>
      </c>
      <c r="M281" t="str">
        <f t="shared" si="70"/>
        <v/>
      </c>
      <c r="N281" t="str">
        <f t="shared" si="71"/>
        <v/>
      </c>
      <c r="O281" t="str">
        <f t="shared" si="72"/>
        <v/>
      </c>
      <c r="P281" t="str">
        <f t="shared" si="73"/>
        <v/>
      </c>
      <c r="Q281" t="str">
        <f t="shared" si="74"/>
        <v/>
      </c>
      <c r="R281" s="20" t="str">
        <f t="shared" si="75"/>
        <v>WV</v>
      </c>
      <c r="S281" s="20" t="str">
        <f>IF(Data!E279="GpsRecord",Data!G279,"")</f>
        <v/>
      </c>
      <c r="T281" s="20" t="str">
        <f>IF(Data!E279="GpsRecord",Data!H279,"")</f>
        <v/>
      </c>
      <c r="U281" s="20">
        <f t="shared" si="76"/>
        <v>-39.421570000000003</v>
      </c>
      <c r="V281" s="20">
        <f t="shared" si="77"/>
        <v>33.73659</v>
      </c>
      <c r="W281" s="19">
        <f>Data!I279</f>
        <v>0</v>
      </c>
      <c r="X281" s="17" t="str">
        <f>CONCATENATE(Data!J279, " ", Data!K279)</f>
        <v xml:space="preserve"> </v>
      </c>
    </row>
    <row r="282" spans="1:24" x14ac:dyDescent="0.3">
      <c r="A282" s="17" t="str">
        <f>Data!A280</f>
        <v>vehicle1</v>
      </c>
      <c r="B282" s="17" t="str">
        <f>Data!B280</f>
        <v>Vehicle, Gasoline or Petrol</v>
      </c>
      <c r="C282" s="17" t="str">
        <f>Data!C280</f>
        <v>1f2g3h4j5k6l</v>
      </c>
      <c r="D282" s="52">
        <f>Data!D280</f>
        <v>45066.153587962966</v>
      </c>
      <c r="E282" s="60" t="str">
        <f>IF(Data!E280="GpsRecord",Data!F280,"")</f>
        <v/>
      </c>
      <c r="F282" s="68" t="str">
        <f t="shared" si="63"/>
        <v>Clarksburg, WV, HARRISON_20268, Clarksburg, WV: 500 Baltimore Ave, Clarksburg, WV 26301, USA</v>
      </c>
      <c r="G282" t="b">
        <f t="shared" si="64"/>
        <v>0</v>
      </c>
      <c r="H282" t="b">
        <f t="shared" si="65"/>
        <v>0</v>
      </c>
      <c r="I282" t="b">
        <f t="shared" si="66"/>
        <v>0</v>
      </c>
      <c r="J282" t="str">
        <f t="shared" si="67"/>
        <v/>
      </c>
      <c r="K282" t="str">
        <f t="shared" si="68"/>
        <v/>
      </c>
      <c r="L282" t="str">
        <f t="shared" si="69"/>
        <v>,</v>
      </c>
      <c r="M282" t="str">
        <f t="shared" si="70"/>
        <v/>
      </c>
      <c r="N282" t="str">
        <f t="shared" si="71"/>
        <v/>
      </c>
      <c r="O282" t="str">
        <f t="shared" si="72"/>
        <v/>
      </c>
      <c r="P282" t="str">
        <f t="shared" si="73"/>
        <v/>
      </c>
      <c r="Q282" t="str">
        <f t="shared" si="74"/>
        <v/>
      </c>
      <c r="R282" s="20" t="str">
        <f t="shared" si="75"/>
        <v>WV</v>
      </c>
      <c r="S282" s="20" t="str">
        <f>IF(Data!E280="GpsRecord",Data!G280,"")</f>
        <v/>
      </c>
      <c r="T282" s="20" t="str">
        <f>IF(Data!E280="GpsRecord",Data!H280,"")</f>
        <v/>
      </c>
      <c r="U282" s="20">
        <f t="shared" si="76"/>
        <v>-39.421570000000003</v>
      </c>
      <c r="V282" s="20">
        <f t="shared" si="77"/>
        <v>33.73659</v>
      </c>
      <c r="W282" s="19">
        <f>Data!I280</f>
        <v>0</v>
      </c>
      <c r="X282" s="17" t="str">
        <f>CONCATENATE(Data!J280, " ", Data!K280)</f>
        <v xml:space="preserve"> </v>
      </c>
    </row>
    <row r="283" spans="1:24" x14ac:dyDescent="0.3">
      <c r="A283" s="17" t="str">
        <f>Data!A281</f>
        <v>vehicle1</v>
      </c>
      <c r="B283" s="17" t="str">
        <f>Data!B281</f>
        <v>Vehicle, Gasoline or Petrol</v>
      </c>
      <c r="C283" s="17" t="str">
        <f>Data!C281</f>
        <v>1f2g3h4j5k6l</v>
      </c>
      <c r="D283" s="52">
        <f>Data!D281</f>
        <v>45066.153587962966</v>
      </c>
      <c r="E283" s="60" t="str">
        <f>IF(Data!E281="GpsRecord",Data!F281,"")</f>
        <v/>
      </c>
      <c r="F283" s="68" t="str">
        <f t="shared" si="63"/>
        <v>Clarksburg, WV, HARRISON_20268, Clarksburg, WV: 500 Baltimore Ave, Clarksburg, WV 26301, USA</v>
      </c>
      <c r="G283" t="b">
        <f t="shared" si="64"/>
        <v>0</v>
      </c>
      <c r="H283" t="b">
        <f t="shared" si="65"/>
        <v>0</v>
      </c>
      <c r="I283" t="b">
        <f t="shared" si="66"/>
        <v>0</v>
      </c>
      <c r="J283" t="str">
        <f t="shared" si="67"/>
        <v/>
      </c>
      <c r="K283" t="str">
        <f t="shared" si="68"/>
        <v/>
      </c>
      <c r="L283" t="str">
        <f t="shared" si="69"/>
        <v>,</v>
      </c>
      <c r="M283" t="str">
        <f t="shared" si="70"/>
        <v/>
      </c>
      <c r="N283" t="str">
        <f t="shared" si="71"/>
        <v/>
      </c>
      <c r="O283" t="str">
        <f t="shared" si="72"/>
        <v/>
      </c>
      <c r="P283" t="str">
        <f t="shared" si="73"/>
        <v/>
      </c>
      <c r="Q283" t="str">
        <f t="shared" si="74"/>
        <v/>
      </c>
      <c r="R283" s="20" t="str">
        <f t="shared" si="75"/>
        <v>WV</v>
      </c>
      <c r="S283" s="20" t="str">
        <f>IF(Data!E281="GpsRecord",Data!G281,"")</f>
        <v/>
      </c>
      <c r="T283" s="20" t="str">
        <f>IF(Data!E281="GpsRecord",Data!H281,"")</f>
        <v/>
      </c>
      <c r="U283" s="20">
        <f t="shared" si="76"/>
        <v>-39.421570000000003</v>
      </c>
      <c r="V283" s="20">
        <f t="shared" si="77"/>
        <v>33.73659</v>
      </c>
      <c r="W283" s="19">
        <f>Data!I281</f>
        <v>0</v>
      </c>
      <c r="X283" s="17" t="str">
        <f>CONCATENATE(Data!J281, " ", Data!K281)</f>
        <v xml:space="preserve"> </v>
      </c>
    </row>
    <row r="284" spans="1:24" x14ac:dyDescent="0.3">
      <c r="A284" s="17" t="str">
        <f>Data!A282</f>
        <v>vehicle1</v>
      </c>
      <c r="B284" s="17" t="str">
        <f>Data!B282</f>
        <v>Vehicle, Gasoline or Petrol</v>
      </c>
      <c r="C284" s="17" t="str">
        <f>Data!C282</f>
        <v>1f2g3h4j5k6l</v>
      </c>
      <c r="D284" s="52">
        <f>Data!D282</f>
        <v>45066.153611111113</v>
      </c>
      <c r="E284" s="60" t="str">
        <f>IF(Data!E282="GpsRecord",Data!F282,"")</f>
        <v/>
      </c>
      <c r="F284" s="68" t="str">
        <f t="shared" si="63"/>
        <v>Clarksburg, WV, HARRISON_20268, Clarksburg, WV: 500 Baltimore Ave, Clarksburg, WV 26301, USA</v>
      </c>
      <c r="G284" t="b">
        <f t="shared" si="64"/>
        <v>0</v>
      </c>
      <c r="H284" t="b">
        <f t="shared" si="65"/>
        <v>0</v>
      </c>
      <c r="I284" t="b">
        <f t="shared" si="66"/>
        <v>0</v>
      </c>
      <c r="J284" t="str">
        <f t="shared" si="67"/>
        <v/>
      </c>
      <c r="K284" t="str">
        <f t="shared" si="68"/>
        <v/>
      </c>
      <c r="L284" t="str">
        <f t="shared" si="69"/>
        <v>,</v>
      </c>
      <c r="M284" t="str">
        <f t="shared" si="70"/>
        <v/>
      </c>
      <c r="N284" t="str">
        <f t="shared" si="71"/>
        <v/>
      </c>
      <c r="O284" t="str">
        <f t="shared" si="72"/>
        <v/>
      </c>
      <c r="P284" t="str">
        <f t="shared" si="73"/>
        <v/>
      </c>
      <c r="Q284" t="str">
        <f t="shared" si="74"/>
        <v/>
      </c>
      <c r="R284" s="20" t="str">
        <f t="shared" si="75"/>
        <v>WV</v>
      </c>
      <c r="S284" s="20" t="str">
        <f>IF(Data!E282="GpsRecord",Data!G282,"")</f>
        <v/>
      </c>
      <c r="T284" s="20" t="str">
        <f>IF(Data!E282="GpsRecord",Data!H282,"")</f>
        <v/>
      </c>
      <c r="U284" s="20">
        <f t="shared" si="76"/>
        <v>-39.421570000000003</v>
      </c>
      <c r="V284" s="20">
        <f t="shared" si="77"/>
        <v>33.73659</v>
      </c>
      <c r="W284" s="19">
        <f>Data!I282</f>
        <v>0</v>
      </c>
      <c r="X284" s="17" t="str">
        <f>CONCATENATE(Data!J282, " ", Data!K282)</f>
        <v xml:space="preserve"> </v>
      </c>
    </row>
    <row r="285" spans="1:24" x14ac:dyDescent="0.3">
      <c r="A285" s="17" t="str">
        <f>Data!A283</f>
        <v>vehicle1</v>
      </c>
      <c r="B285" s="17" t="str">
        <f>Data!B283</f>
        <v>Vehicle, Gasoline or Petrol</v>
      </c>
      <c r="C285" s="17" t="str">
        <f>Data!C283</f>
        <v>1f2g3h4j5k6l</v>
      </c>
      <c r="D285" s="52">
        <f>Data!D283</f>
        <v>45066.153611111113</v>
      </c>
      <c r="E285" s="60" t="str">
        <f>IF(Data!E283="GpsRecord",Data!F283,"")</f>
        <v/>
      </c>
      <c r="F285" s="68" t="str">
        <f t="shared" si="63"/>
        <v>Clarksburg, WV, HARRISON_20268, Clarksburg, WV: 500 Baltimore Ave, Clarksburg, WV 26301, USA</v>
      </c>
      <c r="G285" t="b">
        <f t="shared" si="64"/>
        <v>0</v>
      </c>
      <c r="H285" t="b">
        <f t="shared" si="65"/>
        <v>0</v>
      </c>
      <c r="I285" t="b">
        <f t="shared" si="66"/>
        <v>0</v>
      </c>
      <c r="J285" t="str">
        <f t="shared" si="67"/>
        <v/>
      </c>
      <c r="K285" t="str">
        <f t="shared" si="68"/>
        <v/>
      </c>
      <c r="L285" t="str">
        <f t="shared" si="69"/>
        <v>,</v>
      </c>
      <c r="M285" t="str">
        <f t="shared" si="70"/>
        <v/>
      </c>
      <c r="N285" t="str">
        <f t="shared" si="71"/>
        <v/>
      </c>
      <c r="O285" t="str">
        <f t="shared" si="72"/>
        <v/>
      </c>
      <c r="P285" t="str">
        <f t="shared" si="73"/>
        <v/>
      </c>
      <c r="Q285" t="str">
        <f t="shared" si="74"/>
        <v/>
      </c>
      <c r="R285" s="20" t="str">
        <f t="shared" si="75"/>
        <v>WV</v>
      </c>
      <c r="S285" s="20" t="str">
        <f>IF(Data!E283="GpsRecord",Data!G283,"")</f>
        <v/>
      </c>
      <c r="T285" s="20" t="str">
        <f>IF(Data!E283="GpsRecord",Data!H283,"")</f>
        <v/>
      </c>
      <c r="U285" s="20">
        <f t="shared" si="76"/>
        <v>-39.421570000000003</v>
      </c>
      <c r="V285" s="20">
        <f t="shared" si="77"/>
        <v>33.73659</v>
      </c>
      <c r="W285" s="19" t="str">
        <f>Data!I283</f>
        <v>Engine road speed</v>
      </c>
      <c r="X285" s="17" t="str">
        <f>CONCATENATE(Data!J283, " ", Data!K283)</f>
        <v>22 km/h</v>
      </c>
    </row>
    <row r="286" spans="1:24" x14ac:dyDescent="0.3">
      <c r="A286" s="17" t="str">
        <f>Data!A284</f>
        <v>vehicle1</v>
      </c>
      <c r="B286" s="17" t="str">
        <f>Data!B284</f>
        <v>Vehicle, Gasoline or Petrol</v>
      </c>
      <c r="C286" s="17" t="str">
        <f>Data!C284</f>
        <v>1f2g3h4j5k6l</v>
      </c>
      <c r="D286" s="52">
        <f>Data!D284</f>
        <v>45066.153622685182</v>
      </c>
      <c r="E286" s="60" t="str">
        <f>IF(Data!E284="GpsRecord",Data!F284,"")</f>
        <v/>
      </c>
      <c r="F286" s="68" t="str">
        <f t="shared" si="63"/>
        <v>Clarksburg, WV, HARRISON_20268, Clarksburg, WV: 500 Baltimore Ave, Clarksburg, WV 26301, USA</v>
      </c>
      <c r="G286" t="b">
        <f t="shared" si="64"/>
        <v>0</v>
      </c>
      <c r="H286" t="b">
        <f t="shared" si="65"/>
        <v>0</v>
      </c>
      <c r="I286" t="b">
        <f t="shared" si="66"/>
        <v>0</v>
      </c>
      <c r="J286" t="str">
        <f t="shared" si="67"/>
        <v/>
      </c>
      <c r="K286" t="str">
        <f t="shared" si="68"/>
        <v/>
      </c>
      <c r="L286" t="str">
        <f t="shared" si="69"/>
        <v>,</v>
      </c>
      <c r="M286" t="str">
        <f t="shared" si="70"/>
        <v/>
      </c>
      <c r="N286" t="str">
        <f t="shared" si="71"/>
        <v/>
      </c>
      <c r="O286" t="str">
        <f t="shared" si="72"/>
        <v/>
      </c>
      <c r="P286" t="str">
        <f t="shared" si="73"/>
        <v/>
      </c>
      <c r="Q286" t="str">
        <f t="shared" si="74"/>
        <v/>
      </c>
      <c r="R286" s="20" t="str">
        <f t="shared" si="75"/>
        <v>WV</v>
      </c>
      <c r="S286" s="20" t="str">
        <f>IF(Data!E284="GpsRecord",Data!G284,"")</f>
        <v/>
      </c>
      <c r="T286" s="20" t="str">
        <f>IF(Data!E284="GpsRecord",Data!H284,"")</f>
        <v/>
      </c>
      <c r="U286" s="20">
        <f t="shared" si="76"/>
        <v>-39.421570000000003</v>
      </c>
      <c r="V286" s="20">
        <f t="shared" si="77"/>
        <v>33.73659</v>
      </c>
      <c r="W286" s="19">
        <f>Data!I284</f>
        <v>0</v>
      </c>
      <c r="X286" s="17" t="str">
        <f>CONCATENATE(Data!J284, " ", Data!K284)</f>
        <v xml:space="preserve"> </v>
      </c>
    </row>
    <row r="287" spans="1:24" x14ac:dyDescent="0.3">
      <c r="A287" s="17" t="str">
        <f>Data!A285</f>
        <v>vehicle1</v>
      </c>
      <c r="B287" s="17" t="str">
        <f>Data!B285</f>
        <v>Vehicle, Gasoline or Petrol</v>
      </c>
      <c r="C287" s="17" t="str">
        <f>Data!C285</f>
        <v>1f2g3h4j5k6l</v>
      </c>
      <c r="D287" s="52">
        <f>Data!D285</f>
        <v>45066.153634259259</v>
      </c>
      <c r="E287" s="60" t="str">
        <f>IF(Data!E285="GpsRecord",Data!F285,"")</f>
        <v/>
      </c>
      <c r="F287" s="68" t="str">
        <f t="shared" si="63"/>
        <v>Clarksburg, WV, HARRISON_20268, Clarksburg, WV: 500 Baltimore Ave, Clarksburg, WV 26301, USA</v>
      </c>
      <c r="G287" t="b">
        <f t="shared" si="64"/>
        <v>0</v>
      </c>
      <c r="H287" t="b">
        <f t="shared" si="65"/>
        <v>0</v>
      </c>
      <c r="I287" t="b">
        <f t="shared" si="66"/>
        <v>0</v>
      </c>
      <c r="J287" t="str">
        <f t="shared" si="67"/>
        <v/>
      </c>
      <c r="K287" t="str">
        <f t="shared" si="68"/>
        <v/>
      </c>
      <c r="L287" t="str">
        <f t="shared" si="69"/>
        <v>,</v>
      </c>
      <c r="M287" t="str">
        <f t="shared" si="70"/>
        <v/>
      </c>
      <c r="N287" t="str">
        <f t="shared" si="71"/>
        <v/>
      </c>
      <c r="O287" t="str">
        <f t="shared" si="72"/>
        <v/>
      </c>
      <c r="P287" t="str">
        <f t="shared" si="73"/>
        <v/>
      </c>
      <c r="Q287" t="str">
        <f t="shared" si="74"/>
        <v/>
      </c>
      <c r="R287" s="20" t="str">
        <f t="shared" si="75"/>
        <v>WV</v>
      </c>
      <c r="S287" s="20" t="str">
        <f>IF(Data!E285="GpsRecord",Data!G285,"")</f>
        <v/>
      </c>
      <c r="T287" s="20" t="str">
        <f>IF(Data!E285="GpsRecord",Data!H285,"")</f>
        <v/>
      </c>
      <c r="U287" s="20">
        <f t="shared" si="76"/>
        <v>-39.421570000000003</v>
      </c>
      <c r="V287" s="20">
        <f t="shared" si="77"/>
        <v>33.73659</v>
      </c>
      <c r="W287" s="19">
        <f>Data!I285</f>
        <v>0</v>
      </c>
      <c r="X287" s="17" t="str">
        <f>CONCATENATE(Data!J285, " ", Data!K285)</f>
        <v xml:space="preserve"> </v>
      </c>
    </row>
    <row r="288" spans="1:24" x14ac:dyDescent="0.3">
      <c r="A288" s="17" t="str">
        <f>Data!A286</f>
        <v>vehicle1</v>
      </c>
      <c r="B288" s="17" t="str">
        <f>Data!B286</f>
        <v>Vehicle, Gasoline or Petrol</v>
      </c>
      <c r="C288" s="17" t="str">
        <f>Data!C286</f>
        <v>1f2g3h4j5k6l</v>
      </c>
      <c r="D288" s="52">
        <f>Data!D286</f>
        <v>45066.153645833336</v>
      </c>
      <c r="E288" s="60" t="str">
        <f>IF(Data!E286="GpsRecord",Data!F286,"")</f>
        <v/>
      </c>
      <c r="F288" s="68" t="str">
        <f t="shared" si="63"/>
        <v>Clarksburg, WV, HARRISON_20268, Clarksburg, WV: 500 Baltimore Ave, Clarksburg, WV 26301, USA</v>
      </c>
      <c r="G288" t="b">
        <f t="shared" si="64"/>
        <v>0</v>
      </c>
      <c r="H288" t="b">
        <f t="shared" si="65"/>
        <v>0</v>
      </c>
      <c r="I288" t="b">
        <f t="shared" si="66"/>
        <v>0</v>
      </c>
      <c r="J288" t="str">
        <f t="shared" si="67"/>
        <v/>
      </c>
      <c r="K288" t="str">
        <f t="shared" si="68"/>
        <v/>
      </c>
      <c r="L288" t="str">
        <f t="shared" si="69"/>
        <v>,</v>
      </c>
      <c r="M288" t="str">
        <f t="shared" si="70"/>
        <v/>
      </c>
      <c r="N288" t="str">
        <f t="shared" si="71"/>
        <v/>
      </c>
      <c r="O288" t="str">
        <f t="shared" si="72"/>
        <v/>
      </c>
      <c r="P288" t="str">
        <f t="shared" si="73"/>
        <v/>
      </c>
      <c r="Q288" t="str">
        <f t="shared" si="74"/>
        <v/>
      </c>
      <c r="R288" s="20" t="str">
        <f t="shared" si="75"/>
        <v>WV</v>
      </c>
      <c r="S288" s="20" t="str">
        <f>IF(Data!E286="GpsRecord",Data!G286,"")</f>
        <v/>
      </c>
      <c r="T288" s="20" t="str">
        <f>IF(Data!E286="GpsRecord",Data!H286,"")</f>
        <v/>
      </c>
      <c r="U288" s="20">
        <f t="shared" si="76"/>
        <v>-39.421570000000003</v>
      </c>
      <c r="V288" s="20">
        <f t="shared" si="77"/>
        <v>33.73659</v>
      </c>
      <c r="W288" s="19">
        <f>Data!I286</f>
        <v>0</v>
      </c>
      <c r="X288" s="17" t="str">
        <f>CONCATENATE(Data!J286, " ", Data!K286)</f>
        <v xml:space="preserve"> </v>
      </c>
    </row>
    <row r="289" spans="1:24" x14ac:dyDescent="0.3">
      <c r="A289" s="17" t="str">
        <f>Data!A287</f>
        <v>vehicle1</v>
      </c>
      <c r="B289" s="17" t="str">
        <f>Data!B287</f>
        <v>Vehicle, Gasoline or Petrol</v>
      </c>
      <c r="C289" s="17" t="str">
        <f>Data!C287</f>
        <v>1f2g3h4j5k6l</v>
      </c>
      <c r="D289" s="52">
        <f>Data!D287</f>
        <v>45066.153645833336</v>
      </c>
      <c r="E289" s="60" t="str">
        <f>IF(Data!E287="GpsRecord",Data!F287,"")</f>
        <v/>
      </c>
      <c r="F289" s="68" t="str">
        <f t="shared" si="63"/>
        <v>Clarksburg, WV, HARRISON_20268, Clarksburg, WV: 500 Baltimore Ave, Clarksburg, WV 26301, USA</v>
      </c>
      <c r="G289" t="b">
        <f t="shared" si="64"/>
        <v>0</v>
      </c>
      <c r="H289" t="b">
        <f t="shared" si="65"/>
        <v>0</v>
      </c>
      <c r="I289" t="b">
        <f t="shared" si="66"/>
        <v>0</v>
      </c>
      <c r="J289" t="str">
        <f t="shared" si="67"/>
        <v/>
      </c>
      <c r="K289" t="str">
        <f t="shared" si="68"/>
        <v/>
      </c>
      <c r="L289" t="str">
        <f t="shared" si="69"/>
        <v>,</v>
      </c>
      <c r="M289" t="str">
        <f t="shared" si="70"/>
        <v/>
      </c>
      <c r="N289" t="str">
        <f t="shared" si="71"/>
        <v/>
      </c>
      <c r="O289" t="str">
        <f t="shared" si="72"/>
        <v/>
      </c>
      <c r="P289" t="str">
        <f t="shared" si="73"/>
        <v/>
      </c>
      <c r="Q289" t="str">
        <f t="shared" si="74"/>
        <v/>
      </c>
      <c r="R289" s="20" t="str">
        <f t="shared" si="75"/>
        <v>WV</v>
      </c>
      <c r="S289" s="20" t="str">
        <f>IF(Data!E287="GpsRecord",Data!G287,"")</f>
        <v/>
      </c>
      <c r="T289" s="20" t="str">
        <f>IF(Data!E287="GpsRecord",Data!H287,"")</f>
        <v/>
      </c>
      <c r="U289" s="20">
        <f t="shared" si="76"/>
        <v>-39.421570000000003</v>
      </c>
      <c r="V289" s="20">
        <f t="shared" si="77"/>
        <v>33.73659</v>
      </c>
      <c r="W289" s="19">
        <f>Data!I287</f>
        <v>0</v>
      </c>
      <c r="X289" s="17" t="str">
        <f>CONCATENATE(Data!J287, " ", Data!K287)</f>
        <v xml:space="preserve"> </v>
      </c>
    </row>
    <row r="290" spans="1:24" x14ac:dyDescent="0.3">
      <c r="A290" s="17" t="str">
        <f>Data!A288</f>
        <v>vehicle1</v>
      </c>
      <c r="B290" s="17" t="str">
        <f>Data!B288</f>
        <v>Vehicle, Gasoline or Petrol</v>
      </c>
      <c r="C290" s="17" t="str">
        <f>Data!C288</f>
        <v>1f2g3h4j5k6l</v>
      </c>
      <c r="D290" s="52">
        <f>Data!D288</f>
        <v>45066.153645833336</v>
      </c>
      <c r="E290" s="60" t="str">
        <f>IF(Data!E288="GpsRecord",Data!F288,"")</f>
        <v/>
      </c>
      <c r="F290" s="68" t="str">
        <f t="shared" si="63"/>
        <v>Clarksburg, WV, HARRISON_20268, Clarksburg, WV: 500 Baltimore Ave, Clarksburg, WV 26301, USA</v>
      </c>
      <c r="G290" t="b">
        <f t="shared" si="64"/>
        <v>0</v>
      </c>
      <c r="H290" t="b">
        <f t="shared" si="65"/>
        <v>0</v>
      </c>
      <c r="I290" t="b">
        <f t="shared" si="66"/>
        <v>0</v>
      </c>
      <c r="J290" t="str">
        <f t="shared" si="67"/>
        <v/>
      </c>
      <c r="K290" t="str">
        <f t="shared" si="68"/>
        <v/>
      </c>
      <c r="L290" t="str">
        <f t="shared" si="69"/>
        <v>,</v>
      </c>
      <c r="M290" t="str">
        <f t="shared" si="70"/>
        <v/>
      </c>
      <c r="N290" t="str">
        <f t="shared" si="71"/>
        <v/>
      </c>
      <c r="O290" t="str">
        <f t="shared" si="72"/>
        <v/>
      </c>
      <c r="P290" t="str">
        <f t="shared" si="73"/>
        <v/>
      </c>
      <c r="Q290" t="str">
        <f t="shared" si="74"/>
        <v/>
      </c>
      <c r="R290" s="20" t="str">
        <f t="shared" si="75"/>
        <v>WV</v>
      </c>
      <c r="S290" s="20" t="str">
        <f>IF(Data!E288="GpsRecord",Data!G288,"")</f>
        <v/>
      </c>
      <c r="T290" s="20" t="str">
        <f>IF(Data!E288="GpsRecord",Data!H288,"")</f>
        <v/>
      </c>
      <c r="U290" s="20">
        <f t="shared" si="76"/>
        <v>-39.421570000000003</v>
      </c>
      <c r="V290" s="20">
        <f t="shared" si="77"/>
        <v>33.73659</v>
      </c>
      <c r="W290" s="19" t="str">
        <f>Data!I288</f>
        <v>Engine speed</v>
      </c>
      <c r="X290" s="17" t="str">
        <f>CONCATENATE(Data!J288, " ", Data!K288)</f>
        <v>654.5 RPM</v>
      </c>
    </row>
    <row r="291" spans="1:24" x14ac:dyDescent="0.3">
      <c r="A291" s="17" t="str">
        <f>Data!A289</f>
        <v>vehicle1</v>
      </c>
      <c r="B291" s="17" t="str">
        <f>Data!B289</f>
        <v>Vehicle, Gasoline or Petrol</v>
      </c>
      <c r="C291" s="17" t="str">
        <f>Data!C289</f>
        <v>1f2g3h4j5k6l</v>
      </c>
      <c r="D291" s="52">
        <f>Data!D289</f>
        <v>45066.153668981482</v>
      </c>
      <c r="E291" s="60" t="str">
        <f>IF(Data!E289="GpsRecord",Data!F289,"")</f>
        <v/>
      </c>
      <c r="F291" s="68" t="str">
        <f t="shared" si="63"/>
        <v>Clarksburg, WV, HARRISON_20268, Clarksburg, WV: 500 Baltimore Ave, Clarksburg, WV 26301, USA</v>
      </c>
      <c r="G291" t="b">
        <f t="shared" si="64"/>
        <v>0</v>
      </c>
      <c r="H291" t="b">
        <f t="shared" si="65"/>
        <v>0</v>
      </c>
      <c r="I291" t="b">
        <f t="shared" si="66"/>
        <v>0</v>
      </c>
      <c r="J291" t="str">
        <f t="shared" si="67"/>
        <v/>
      </c>
      <c r="K291" t="str">
        <f t="shared" si="68"/>
        <v/>
      </c>
      <c r="L291" t="str">
        <f t="shared" si="69"/>
        <v>,</v>
      </c>
      <c r="M291" t="str">
        <f t="shared" si="70"/>
        <v/>
      </c>
      <c r="N291" t="str">
        <f t="shared" si="71"/>
        <v/>
      </c>
      <c r="O291" t="str">
        <f t="shared" si="72"/>
        <v/>
      </c>
      <c r="P291" t="str">
        <f t="shared" si="73"/>
        <v/>
      </c>
      <c r="Q291" t="str">
        <f t="shared" si="74"/>
        <v/>
      </c>
      <c r="R291" s="20" t="str">
        <f t="shared" si="75"/>
        <v>WV</v>
      </c>
      <c r="S291" s="20" t="str">
        <f>IF(Data!E289="GpsRecord",Data!G289,"")</f>
        <v/>
      </c>
      <c r="T291" s="20" t="str">
        <f>IF(Data!E289="GpsRecord",Data!H289,"")</f>
        <v/>
      </c>
      <c r="U291" s="20">
        <f t="shared" si="76"/>
        <v>-39.421570000000003</v>
      </c>
      <c r="V291" s="20">
        <f t="shared" si="77"/>
        <v>33.73659</v>
      </c>
      <c r="W291" s="19">
        <f>Data!I289</f>
        <v>0</v>
      </c>
      <c r="X291" s="17" t="str">
        <f>CONCATENATE(Data!J289, " ", Data!K289)</f>
        <v xml:space="preserve"> </v>
      </c>
    </row>
    <row r="292" spans="1:24" x14ac:dyDescent="0.3">
      <c r="A292" s="17" t="str">
        <f>Data!A290</f>
        <v>vehicle1</v>
      </c>
      <c r="B292" s="17" t="str">
        <f>Data!B290</f>
        <v>Vehicle, Gasoline or Petrol</v>
      </c>
      <c r="C292" s="17" t="str">
        <f>Data!C290</f>
        <v>1f2g3h4j5k6l</v>
      </c>
      <c r="D292" s="52">
        <f>Data!D290</f>
        <v>45066.153668981482</v>
      </c>
      <c r="E292" s="60" t="str">
        <f>IF(Data!E290="GpsRecord",Data!F290,"")</f>
        <v/>
      </c>
      <c r="F292" s="68" t="str">
        <f t="shared" si="63"/>
        <v>Clarksburg, WV, HARRISON_20268, Clarksburg, WV: 500 Baltimore Ave, Clarksburg, WV 26301, USA</v>
      </c>
      <c r="G292" t="b">
        <f t="shared" si="64"/>
        <v>0</v>
      </c>
      <c r="H292" t="b">
        <f t="shared" si="65"/>
        <v>0</v>
      </c>
      <c r="I292" t="b">
        <f t="shared" si="66"/>
        <v>0</v>
      </c>
      <c r="J292" t="str">
        <f t="shared" si="67"/>
        <v/>
      </c>
      <c r="K292" t="str">
        <f t="shared" si="68"/>
        <v/>
      </c>
      <c r="L292" t="str">
        <f t="shared" si="69"/>
        <v>,</v>
      </c>
      <c r="M292" t="str">
        <f t="shared" si="70"/>
        <v/>
      </c>
      <c r="N292" t="str">
        <f t="shared" si="71"/>
        <v/>
      </c>
      <c r="O292" t="str">
        <f t="shared" si="72"/>
        <v/>
      </c>
      <c r="P292" t="str">
        <f t="shared" si="73"/>
        <v/>
      </c>
      <c r="Q292" t="str">
        <f t="shared" si="74"/>
        <v/>
      </c>
      <c r="R292" s="20" t="str">
        <f t="shared" si="75"/>
        <v>WV</v>
      </c>
      <c r="S292" s="20" t="str">
        <f>IF(Data!E290="GpsRecord",Data!G290,"")</f>
        <v/>
      </c>
      <c r="T292" s="20" t="str">
        <f>IF(Data!E290="GpsRecord",Data!H290,"")</f>
        <v/>
      </c>
      <c r="U292" s="20">
        <f t="shared" si="76"/>
        <v>-39.421570000000003</v>
      </c>
      <c r="V292" s="20">
        <f t="shared" si="77"/>
        <v>33.73659</v>
      </c>
      <c r="W292" s="19" t="str">
        <f>Data!I290</f>
        <v>Engine road speed</v>
      </c>
      <c r="X292" s="17" t="str">
        <f>CONCATENATE(Data!J290, " ", Data!K290)</f>
        <v>2 km/h</v>
      </c>
    </row>
    <row r="293" spans="1:24" x14ac:dyDescent="0.3">
      <c r="A293" s="17" t="str">
        <f>Data!A291</f>
        <v>vehicle1</v>
      </c>
      <c r="B293" s="17" t="str">
        <f>Data!B291</f>
        <v>Vehicle, Gasoline or Petrol</v>
      </c>
      <c r="C293" s="17" t="str">
        <f>Data!C291</f>
        <v>1f2g3h4j5k6l</v>
      </c>
      <c r="D293" s="52">
        <f>Data!D291</f>
        <v>45066.153680555559</v>
      </c>
      <c r="E293" s="60" t="str">
        <f>IF(Data!E291="GpsRecord",Data!F291,"")</f>
        <v>Clarksburg, WV, HARRISON_20268, Clarksburg, WV: 500 Baltimore Ave, Clarksburg, WV 26301, USA</v>
      </c>
      <c r="F293" s="68" t="str">
        <f t="shared" si="63"/>
        <v>Clarksburg, WV, HARRISON_20268, Clarksburg, WV: 500 Baltimore Ave, Clarksburg, WV 26301, USA</v>
      </c>
      <c r="G293" t="b">
        <f t="shared" si="64"/>
        <v>0</v>
      </c>
      <c r="H293" t="b">
        <f t="shared" si="65"/>
        <v>1</v>
      </c>
      <c r="I293" t="b">
        <f t="shared" si="66"/>
        <v>1</v>
      </c>
      <c r="J293" t="str">
        <f t="shared" si="67"/>
        <v>500 Baltimore Ave, Clarksburg, WV 26301, USA</v>
      </c>
      <c r="K293" t="str">
        <f t="shared" si="68"/>
        <v xml:space="preserve"> USA</v>
      </c>
      <c r="L293" t="str">
        <f t="shared" si="69"/>
        <v>, USA</v>
      </c>
      <c r="M293" t="str">
        <f t="shared" si="70"/>
        <v>500 Baltimore Ave, Clarksburg, WV 26301</v>
      </c>
      <c r="N293" t="str">
        <f t="shared" si="71"/>
        <v xml:space="preserve"> WV 26301</v>
      </c>
      <c r="O293" t="str">
        <f t="shared" si="72"/>
        <v>26301</v>
      </c>
      <c r="P293" t="str">
        <f t="shared" si="73"/>
        <v xml:space="preserve"> WV</v>
      </c>
      <c r="Q293" t="str">
        <f t="shared" si="74"/>
        <v>WV</v>
      </c>
      <c r="R293" s="20" t="str">
        <f t="shared" si="75"/>
        <v>WV</v>
      </c>
      <c r="S293" s="20">
        <f>IF(Data!E291="GpsRecord",Data!G291,"")</f>
        <v>-39.421959999999999</v>
      </c>
      <c r="T293" s="20">
        <f>IF(Data!E291="GpsRecord",Data!H291,"")</f>
        <v>33.736310000000003</v>
      </c>
      <c r="U293" s="20">
        <f t="shared" si="76"/>
        <v>-39.421959999999999</v>
      </c>
      <c r="V293" s="20">
        <f t="shared" si="77"/>
        <v>33.736310000000003</v>
      </c>
      <c r="W293" s="19">
        <f>Data!I291</f>
        <v>0</v>
      </c>
      <c r="X293" s="17" t="str">
        <f>CONCATENATE(Data!J291, " ", Data!K291)</f>
        <v xml:space="preserve"> </v>
      </c>
    </row>
    <row r="294" spans="1:24" x14ac:dyDescent="0.3">
      <c r="A294" s="17" t="str">
        <f>Data!A292</f>
        <v>vehicle1</v>
      </c>
      <c r="B294" s="17" t="str">
        <f>Data!B292</f>
        <v>Vehicle, Gasoline or Petrol</v>
      </c>
      <c r="C294" s="17" t="str">
        <f>Data!C292</f>
        <v>1f2g3h4j5k6l</v>
      </c>
      <c r="D294" s="52">
        <f>Data!D292</f>
        <v>45066.153680555559</v>
      </c>
      <c r="E294" s="60" t="str">
        <f>IF(Data!E292="GpsRecord",Data!F292,"")</f>
        <v/>
      </c>
      <c r="F294" s="68" t="str">
        <f t="shared" si="63"/>
        <v>Clarksburg, WV, HARRISON_20268, Clarksburg, WV: 500 Baltimore Ave, Clarksburg, WV 26301, USA</v>
      </c>
      <c r="G294" t="b">
        <f t="shared" si="64"/>
        <v>0</v>
      </c>
      <c r="H294" t="b">
        <f t="shared" si="65"/>
        <v>0</v>
      </c>
      <c r="I294" t="b">
        <f t="shared" si="66"/>
        <v>0</v>
      </c>
      <c r="J294" t="str">
        <f t="shared" si="67"/>
        <v/>
      </c>
      <c r="K294" t="str">
        <f t="shared" si="68"/>
        <v/>
      </c>
      <c r="L294" t="str">
        <f t="shared" si="69"/>
        <v>,</v>
      </c>
      <c r="M294" t="str">
        <f t="shared" si="70"/>
        <v/>
      </c>
      <c r="N294" t="str">
        <f t="shared" si="71"/>
        <v/>
      </c>
      <c r="O294" t="str">
        <f t="shared" si="72"/>
        <v/>
      </c>
      <c r="P294" t="str">
        <f t="shared" si="73"/>
        <v/>
      </c>
      <c r="Q294" t="str">
        <f t="shared" si="74"/>
        <v/>
      </c>
      <c r="R294" s="20" t="str">
        <f t="shared" si="75"/>
        <v>WV</v>
      </c>
      <c r="S294" s="20" t="str">
        <f>IF(Data!E292="GpsRecord",Data!G292,"")</f>
        <v/>
      </c>
      <c r="T294" s="20" t="str">
        <f>IF(Data!E292="GpsRecord",Data!H292,"")</f>
        <v/>
      </c>
      <c r="U294" s="20">
        <f t="shared" si="76"/>
        <v>-39.421959999999999</v>
      </c>
      <c r="V294" s="20">
        <f t="shared" si="77"/>
        <v>33.736310000000003</v>
      </c>
      <c r="W294" s="19">
        <f>Data!I292</f>
        <v>0</v>
      </c>
      <c r="X294" s="17" t="str">
        <f>CONCATENATE(Data!J292, " ", Data!K292)</f>
        <v xml:space="preserve"> </v>
      </c>
    </row>
    <row r="295" spans="1:24" x14ac:dyDescent="0.3">
      <c r="A295" s="17" t="str">
        <f>Data!A293</f>
        <v>vehicle1</v>
      </c>
      <c r="B295" s="17" t="str">
        <f>Data!B293</f>
        <v>Vehicle, Gasoline or Petrol</v>
      </c>
      <c r="C295" s="17" t="str">
        <f>Data!C293</f>
        <v>1f2g3h4j5k6l</v>
      </c>
      <c r="D295" s="52">
        <f>Data!D293</f>
        <v>45066.153703703705</v>
      </c>
      <c r="E295" s="60" t="str">
        <f>IF(Data!E293="GpsRecord",Data!F293,"")</f>
        <v/>
      </c>
      <c r="F295" s="68" t="str">
        <f t="shared" si="63"/>
        <v>Clarksburg, WV, HARRISON_20268, Clarksburg, WV: 500 Baltimore Ave, Clarksburg, WV 26301, USA</v>
      </c>
      <c r="G295" t="b">
        <f t="shared" si="64"/>
        <v>0</v>
      </c>
      <c r="H295" t="b">
        <f t="shared" si="65"/>
        <v>0</v>
      </c>
      <c r="I295" t="b">
        <f t="shared" si="66"/>
        <v>0</v>
      </c>
      <c r="J295" t="str">
        <f t="shared" si="67"/>
        <v/>
      </c>
      <c r="K295" t="str">
        <f t="shared" si="68"/>
        <v/>
      </c>
      <c r="L295" t="str">
        <f t="shared" si="69"/>
        <v>,</v>
      </c>
      <c r="M295" t="str">
        <f t="shared" si="70"/>
        <v/>
      </c>
      <c r="N295" t="str">
        <f t="shared" si="71"/>
        <v/>
      </c>
      <c r="O295" t="str">
        <f t="shared" si="72"/>
        <v/>
      </c>
      <c r="P295" t="str">
        <f t="shared" si="73"/>
        <v/>
      </c>
      <c r="Q295" t="str">
        <f t="shared" si="74"/>
        <v/>
      </c>
      <c r="R295" s="20" t="str">
        <f t="shared" si="75"/>
        <v>WV</v>
      </c>
      <c r="S295" s="20" t="str">
        <f>IF(Data!E293="GpsRecord",Data!G293,"")</f>
        <v/>
      </c>
      <c r="T295" s="20" t="str">
        <f>IF(Data!E293="GpsRecord",Data!H293,"")</f>
        <v/>
      </c>
      <c r="U295" s="20">
        <f t="shared" si="76"/>
        <v>-39.421959999999999</v>
      </c>
      <c r="V295" s="20">
        <f t="shared" si="77"/>
        <v>33.736310000000003</v>
      </c>
      <c r="W295" s="19">
        <f>Data!I293</f>
        <v>0</v>
      </c>
      <c r="X295" s="17" t="str">
        <f>CONCATENATE(Data!J293, " ", Data!K293)</f>
        <v xml:space="preserve"> </v>
      </c>
    </row>
    <row r="296" spans="1:24" x14ac:dyDescent="0.3">
      <c r="A296" s="17" t="str">
        <f>Data!A294</f>
        <v>vehicle1</v>
      </c>
      <c r="B296" s="17" t="str">
        <f>Data!B294</f>
        <v>Vehicle, Gasoline or Petrol</v>
      </c>
      <c r="C296" s="17" t="str">
        <f>Data!C294</f>
        <v>1f2g3h4j5k6l</v>
      </c>
      <c r="D296" s="52">
        <f>Data!D294</f>
        <v>45066.153715277775</v>
      </c>
      <c r="E296" s="60" t="str">
        <f>IF(Data!E294="GpsRecord",Data!F294,"")</f>
        <v>Clarksburg, WV, HARRISON_20268, Clarksburg, WV: 500 Baltimore Ave, Clarksburg, WV 26301, USA</v>
      </c>
      <c r="F296" s="68" t="str">
        <f t="shared" si="63"/>
        <v>Clarksburg, WV, HARRISON_20268, Clarksburg, WV: 500 Baltimore Ave, Clarksburg, WV 26301, USA</v>
      </c>
      <c r="G296" t="b">
        <f t="shared" si="64"/>
        <v>0</v>
      </c>
      <c r="H296" t="b">
        <f t="shared" si="65"/>
        <v>1</v>
      </c>
      <c r="I296" t="b">
        <f t="shared" si="66"/>
        <v>1</v>
      </c>
      <c r="J296" t="str">
        <f t="shared" si="67"/>
        <v>500 Baltimore Ave, Clarksburg, WV 26301, USA</v>
      </c>
      <c r="K296" t="str">
        <f t="shared" si="68"/>
        <v xml:space="preserve"> USA</v>
      </c>
      <c r="L296" t="str">
        <f t="shared" si="69"/>
        <v>, USA</v>
      </c>
      <c r="M296" t="str">
        <f t="shared" si="70"/>
        <v>500 Baltimore Ave, Clarksburg, WV 26301</v>
      </c>
      <c r="N296" t="str">
        <f t="shared" si="71"/>
        <v xml:space="preserve"> WV 26301</v>
      </c>
      <c r="O296" t="str">
        <f t="shared" si="72"/>
        <v>26301</v>
      </c>
      <c r="P296" t="str">
        <f t="shared" si="73"/>
        <v xml:space="preserve"> WV</v>
      </c>
      <c r="Q296" t="str">
        <f t="shared" si="74"/>
        <v>WV</v>
      </c>
      <c r="R296" s="20" t="str">
        <f t="shared" si="75"/>
        <v>WV</v>
      </c>
      <c r="S296" s="20">
        <f>IF(Data!E294="GpsRecord",Data!G294,"")</f>
        <v>-39.421979999999998</v>
      </c>
      <c r="T296" s="20">
        <f>IF(Data!E294="GpsRecord",Data!H294,"")</f>
        <v>33.736280000000001</v>
      </c>
      <c r="U296" s="20">
        <f t="shared" si="76"/>
        <v>-39.421979999999998</v>
      </c>
      <c r="V296" s="20">
        <f t="shared" si="77"/>
        <v>33.736280000000001</v>
      </c>
      <c r="W296" s="19">
        <f>Data!I294</f>
        <v>0</v>
      </c>
      <c r="X296" s="17" t="str">
        <f>CONCATENATE(Data!J294, " ", Data!K294)</f>
        <v xml:space="preserve"> </v>
      </c>
    </row>
    <row r="297" spans="1:24" x14ac:dyDescent="0.3">
      <c r="A297" s="17" t="str">
        <f>Data!A295</f>
        <v>vehicle1</v>
      </c>
      <c r="B297" s="17" t="str">
        <f>Data!B295</f>
        <v>Vehicle, Gasoline or Petrol</v>
      </c>
      <c r="C297" s="17" t="str">
        <f>Data!C295</f>
        <v>1f2g3h4j5k6l</v>
      </c>
      <c r="D297" s="52">
        <f>Data!D295</f>
        <v>45066.153715277775</v>
      </c>
      <c r="E297" s="60" t="str">
        <f>IF(Data!E295="GpsRecord",Data!F295,"")</f>
        <v/>
      </c>
      <c r="F297" s="68" t="str">
        <f t="shared" si="63"/>
        <v>Clarksburg, WV, HARRISON_20268, Clarksburg, WV: 500 Baltimore Ave, Clarksburg, WV 26301, USA</v>
      </c>
      <c r="G297" t="b">
        <f t="shared" si="64"/>
        <v>0</v>
      </c>
      <c r="H297" t="b">
        <f t="shared" si="65"/>
        <v>0</v>
      </c>
      <c r="I297" t="b">
        <f t="shared" si="66"/>
        <v>0</v>
      </c>
      <c r="J297" t="str">
        <f t="shared" si="67"/>
        <v/>
      </c>
      <c r="K297" t="str">
        <f t="shared" si="68"/>
        <v/>
      </c>
      <c r="L297" t="str">
        <f t="shared" si="69"/>
        <v>,</v>
      </c>
      <c r="M297" t="str">
        <f t="shared" si="70"/>
        <v/>
      </c>
      <c r="N297" t="str">
        <f t="shared" si="71"/>
        <v/>
      </c>
      <c r="O297" t="str">
        <f t="shared" si="72"/>
        <v/>
      </c>
      <c r="P297" t="str">
        <f t="shared" si="73"/>
        <v/>
      </c>
      <c r="Q297" t="str">
        <f t="shared" si="74"/>
        <v/>
      </c>
      <c r="R297" s="20" t="str">
        <f t="shared" si="75"/>
        <v>WV</v>
      </c>
      <c r="S297" s="20" t="str">
        <f>IF(Data!E295="GpsRecord",Data!G295,"")</f>
        <v/>
      </c>
      <c r="T297" s="20" t="str">
        <f>IF(Data!E295="GpsRecord",Data!H295,"")</f>
        <v/>
      </c>
      <c r="U297" s="20">
        <f t="shared" si="76"/>
        <v>-39.421979999999998</v>
      </c>
      <c r="V297" s="20">
        <f t="shared" si="77"/>
        <v>33.736280000000001</v>
      </c>
      <c r="W297" s="19">
        <f>Data!I295</f>
        <v>0</v>
      </c>
      <c r="X297" s="17" t="str">
        <f>CONCATENATE(Data!J295, " ", Data!K295)</f>
        <v xml:space="preserve"> </v>
      </c>
    </row>
    <row r="298" spans="1:24" x14ac:dyDescent="0.3">
      <c r="A298" s="17" t="str">
        <f>Data!A296</f>
        <v>vehicle1</v>
      </c>
      <c r="B298" s="17" t="str">
        <f>Data!B296</f>
        <v>Vehicle, Gasoline or Petrol</v>
      </c>
      <c r="C298" s="17" t="str">
        <f>Data!C296</f>
        <v>1f2g3h4j5k6l</v>
      </c>
      <c r="D298" s="52">
        <f>Data!D296</f>
        <v>45066.153726851851</v>
      </c>
      <c r="E298" s="60" t="str">
        <f>IF(Data!E296="GpsRecord",Data!F296,"")</f>
        <v/>
      </c>
      <c r="F298" s="68" t="str">
        <f t="shared" si="63"/>
        <v>Clarksburg, WV, HARRISON_20268, Clarksburg, WV: 500 Baltimore Ave, Clarksburg, WV 26301, USA</v>
      </c>
      <c r="G298" t="b">
        <f t="shared" si="64"/>
        <v>0</v>
      </c>
      <c r="H298" t="b">
        <f t="shared" si="65"/>
        <v>0</v>
      </c>
      <c r="I298" t="b">
        <f t="shared" si="66"/>
        <v>0</v>
      </c>
      <c r="J298" t="str">
        <f t="shared" si="67"/>
        <v/>
      </c>
      <c r="K298" t="str">
        <f t="shared" si="68"/>
        <v/>
      </c>
      <c r="L298" t="str">
        <f t="shared" si="69"/>
        <v>,</v>
      </c>
      <c r="M298" t="str">
        <f t="shared" si="70"/>
        <v/>
      </c>
      <c r="N298" t="str">
        <f t="shared" si="71"/>
        <v/>
      </c>
      <c r="O298" t="str">
        <f t="shared" si="72"/>
        <v/>
      </c>
      <c r="P298" t="str">
        <f t="shared" si="73"/>
        <v/>
      </c>
      <c r="Q298" t="str">
        <f t="shared" si="74"/>
        <v/>
      </c>
      <c r="R298" s="20" t="str">
        <f t="shared" si="75"/>
        <v>WV</v>
      </c>
      <c r="S298" s="20" t="str">
        <f>IF(Data!E296="GpsRecord",Data!G296,"")</f>
        <v/>
      </c>
      <c r="T298" s="20" t="str">
        <f>IF(Data!E296="GpsRecord",Data!H296,"")</f>
        <v/>
      </c>
      <c r="U298" s="20">
        <f t="shared" si="76"/>
        <v>-39.421979999999998</v>
      </c>
      <c r="V298" s="20">
        <f t="shared" si="77"/>
        <v>33.736280000000001</v>
      </c>
      <c r="W298" s="19" t="str">
        <f>Data!I296</f>
        <v>Engine road speed</v>
      </c>
      <c r="X298" s="17" t="str">
        <f>CONCATENATE(Data!J296, " ", Data!K296)</f>
        <v>8 km/h</v>
      </c>
    </row>
    <row r="299" spans="1:24" x14ac:dyDescent="0.3">
      <c r="A299" s="17" t="str">
        <f>Data!A297</f>
        <v>vehicle1</v>
      </c>
      <c r="B299" s="17" t="str">
        <f>Data!B297</f>
        <v>Vehicle, Gasoline or Petrol</v>
      </c>
      <c r="C299" s="17" t="str">
        <f>Data!C297</f>
        <v>1f2g3h4j5k6l</v>
      </c>
      <c r="D299" s="52">
        <f>Data!D297</f>
        <v>45066.153726851851</v>
      </c>
      <c r="E299" s="60" t="str">
        <f>IF(Data!E297="GpsRecord",Data!F297,"")</f>
        <v/>
      </c>
      <c r="F299" s="68" t="str">
        <f t="shared" si="63"/>
        <v>Clarksburg, WV, HARRISON_20268, Clarksburg, WV: 500 Baltimore Ave, Clarksburg, WV 26301, USA</v>
      </c>
      <c r="G299" t="b">
        <f t="shared" si="64"/>
        <v>0</v>
      </c>
      <c r="H299" t="b">
        <f t="shared" si="65"/>
        <v>0</v>
      </c>
      <c r="I299" t="b">
        <f t="shared" si="66"/>
        <v>0</v>
      </c>
      <c r="J299" t="str">
        <f t="shared" si="67"/>
        <v/>
      </c>
      <c r="K299" t="str">
        <f t="shared" si="68"/>
        <v/>
      </c>
      <c r="L299" t="str">
        <f t="shared" si="69"/>
        <v>,</v>
      </c>
      <c r="M299" t="str">
        <f t="shared" si="70"/>
        <v/>
      </c>
      <c r="N299" t="str">
        <f t="shared" si="71"/>
        <v/>
      </c>
      <c r="O299" t="str">
        <f t="shared" si="72"/>
        <v/>
      </c>
      <c r="P299" t="str">
        <f t="shared" si="73"/>
        <v/>
      </c>
      <c r="Q299" t="str">
        <f t="shared" si="74"/>
        <v/>
      </c>
      <c r="R299" s="20" t="str">
        <f t="shared" si="75"/>
        <v>WV</v>
      </c>
      <c r="S299" s="20" t="str">
        <f>IF(Data!E297="GpsRecord",Data!G297,"")</f>
        <v/>
      </c>
      <c r="T299" s="20" t="str">
        <f>IF(Data!E297="GpsRecord",Data!H297,"")</f>
        <v/>
      </c>
      <c r="U299" s="20">
        <f t="shared" si="76"/>
        <v>-39.421979999999998</v>
      </c>
      <c r="V299" s="20">
        <f t="shared" si="77"/>
        <v>33.736280000000001</v>
      </c>
      <c r="W299" s="19">
        <f>Data!I297</f>
        <v>0</v>
      </c>
      <c r="X299" s="17" t="str">
        <f>CONCATENATE(Data!J297, " ", Data!K297)</f>
        <v xml:space="preserve"> </v>
      </c>
    </row>
    <row r="300" spans="1:24" x14ac:dyDescent="0.3">
      <c r="A300" s="17" t="str">
        <f>Data!A298</f>
        <v>vehicle1</v>
      </c>
      <c r="B300" s="17" t="str">
        <f>Data!B298</f>
        <v>Vehicle, Gasoline or Petrol</v>
      </c>
      <c r="C300" s="17" t="str">
        <f>Data!C298</f>
        <v>1f2g3h4j5k6l</v>
      </c>
      <c r="D300" s="52">
        <f>Data!D298</f>
        <v>45066.153726851851</v>
      </c>
      <c r="E300" s="60" t="str">
        <f>IF(Data!E298="GpsRecord",Data!F298,"")</f>
        <v/>
      </c>
      <c r="F300" s="68" t="str">
        <f t="shared" si="63"/>
        <v>Clarksburg, WV, HARRISON_20268, Clarksburg, WV: 500 Baltimore Ave, Clarksburg, WV 26301, USA</v>
      </c>
      <c r="G300" t="b">
        <f t="shared" si="64"/>
        <v>0</v>
      </c>
      <c r="H300" t="b">
        <f t="shared" si="65"/>
        <v>0</v>
      </c>
      <c r="I300" t="b">
        <f t="shared" si="66"/>
        <v>0</v>
      </c>
      <c r="J300" t="str">
        <f t="shared" si="67"/>
        <v/>
      </c>
      <c r="K300" t="str">
        <f t="shared" si="68"/>
        <v/>
      </c>
      <c r="L300" t="str">
        <f t="shared" si="69"/>
        <v>,</v>
      </c>
      <c r="M300" t="str">
        <f t="shared" si="70"/>
        <v/>
      </c>
      <c r="N300" t="str">
        <f t="shared" si="71"/>
        <v/>
      </c>
      <c r="O300" t="str">
        <f t="shared" si="72"/>
        <v/>
      </c>
      <c r="P300" t="str">
        <f t="shared" si="73"/>
        <v/>
      </c>
      <c r="Q300" t="str">
        <f t="shared" si="74"/>
        <v/>
      </c>
      <c r="R300" s="20" t="str">
        <f t="shared" si="75"/>
        <v>WV</v>
      </c>
      <c r="S300" s="20" t="str">
        <f>IF(Data!E298="GpsRecord",Data!G298,"")</f>
        <v/>
      </c>
      <c r="T300" s="20" t="str">
        <f>IF(Data!E298="GpsRecord",Data!H298,"")</f>
        <v/>
      </c>
      <c r="U300" s="20">
        <f t="shared" si="76"/>
        <v>-39.421979999999998</v>
      </c>
      <c r="V300" s="20">
        <f t="shared" si="77"/>
        <v>33.736280000000001</v>
      </c>
      <c r="W300" s="19" t="str">
        <f>Data!I298</f>
        <v>Engine road speed</v>
      </c>
      <c r="X300" s="17" t="str">
        <f>CONCATENATE(Data!J298, " ", Data!K298)</f>
        <v>7 km/h</v>
      </c>
    </row>
    <row r="301" spans="1:24" x14ac:dyDescent="0.3">
      <c r="A301" s="17" t="str">
        <f>Data!A299</f>
        <v>vehicle1</v>
      </c>
      <c r="B301" s="17" t="str">
        <f>Data!B299</f>
        <v>Vehicle, Gasoline or Petrol</v>
      </c>
      <c r="C301" s="17" t="str">
        <f>Data!C299</f>
        <v>1f2g3h4j5k6l</v>
      </c>
      <c r="D301" s="52">
        <f>Data!D299</f>
        <v>45066.153738425928</v>
      </c>
      <c r="E301" s="60" t="str">
        <f>IF(Data!E299="GpsRecord",Data!F299,"")</f>
        <v/>
      </c>
      <c r="F301" s="68" t="str">
        <f t="shared" si="63"/>
        <v>Clarksburg, WV, HARRISON_20268, Clarksburg, WV: 500 Baltimore Ave, Clarksburg, WV 26301, USA</v>
      </c>
      <c r="G301" t="b">
        <f t="shared" si="64"/>
        <v>0</v>
      </c>
      <c r="H301" t="b">
        <f t="shared" si="65"/>
        <v>0</v>
      </c>
      <c r="I301" t="b">
        <f t="shared" si="66"/>
        <v>0</v>
      </c>
      <c r="J301" t="str">
        <f t="shared" si="67"/>
        <v/>
      </c>
      <c r="K301" t="str">
        <f t="shared" si="68"/>
        <v/>
      </c>
      <c r="L301" t="str">
        <f t="shared" si="69"/>
        <v>,</v>
      </c>
      <c r="M301" t="str">
        <f t="shared" si="70"/>
        <v/>
      </c>
      <c r="N301" t="str">
        <f t="shared" si="71"/>
        <v/>
      </c>
      <c r="O301" t="str">
        <f t="shared" si="72"/>
        <v/>
      </c>
      <c r="P301" t="str">
        <f t="shared" si="73"/>
        <v/>
      </c>
      <c r="Q301" t="str">
        <f t="shared" si="74"/>
        <v/>
      </c>
      <c r="R301" s="20" t="str">
        <f t="shared" si="75"/>
        <v>WV</v>
      </c>
      <c r="S301" s="20" t="str">
        <f>IF(Data!E299="GpsRecord",Data!G299,"")</f>
        <v/>
      </c>
      <c r="T301" s="20" t="str">
        <f>IF(Data!E299="GpsRecord",Data!H299,"")</f>
        <v/>
      </c>
      <c r="U301" s="20">
        <f t="shared" si="76"/>
        <v>-39.421979999999998</v>
      </c>
      <c r="V301" s="20">
        <f t="shared" si="77"/>
        <v>33.736280000000001</v>
      </c>
      <c r="W301" s="19">
        <f>Data!I299</f>
        <v>0</v>
      </c>
      <c r="X301" s="17" t="str">
        <f>CONCATENATE(Data!J299, " ", Data!K299)</f>
        <v xml:space="preserve"> </v>
      </c>
    </row>
    <row r="302" spans="1:24" x14ac:dyDescent="0.3">
      <c r="A302" s="17" t="str">
        <f>Data!A300</f>
        <v>vehicle1</v>
      </c>
      <c r="B302" s="17" t="str">
        <f>Data!B300</f>
        <v>Vehicle, Gasoline or Petrol</v>
      </c>
      <c r="C302" s="17" t="str">
        <f>Data!C300</f>
        <v>1f2g3h4j5k6l</v>
      </c>
      <c r="D302" s="52">
        <f>Data!D300</f>
        <v>45066.153738425928</v>
      </c>
      <c r="E302" s="60" t="str">
        <f>IF(Data!E300="GpsRecord",Data!F300,"")</f>
        <v/>
      </c>
      <c r="F302" s="68" t="str">
        <f t="shared" si="63"/>
        <v>Clarksburg, WV, HARRISON_20268, Clarksburg, WV: 500 Baltimore Ave, Clarksburg, WV 26301, USA</v>
      </c>
      <c r="G302" t="b">
        <f t="shared" si="64"/>
        <v>0</v>
      </c>
      <c r="H302" t="b">
        <f t="shared" si="65"/>
        <v>0</v>
      </c>
      <c r="I302" t="b">
        <f t="shared" si="66"/>
        <v>0</v>
      </c>
      <c r="J302" t="str">
        <f t="shared" si="67"/>
        <v/>
      </c>
      <c r="K302" t="str">
        <f t="shared" si="68"/>
        <v/>
      </c>
      <c r="L302" t="str">
        <f t="shared" si="69"/>
        <v>,</v>
      </c>
      <c r="M302" t="str">
        <f t="shared" si="70"/>
        <v/>
      </c>
      <c r="N302" t="str">
        <f t="shared" si="71"/>
        <v/>
      </c>
      <c r="O302" t="str">
        <f t="shared" si="72"/>
        <v/>
      </c>
      <c r="P302" t="str">
        <f t="shared" si="73"/>
        <v/>
      </c>
      <c r="Q302" t="str">
        <f t="shared" si="74"/>
        <v/>
      </c>
      <c r="R302" s="20" t="str">
        <f t="shared" si="75"/>
        <v>WV</v>
      </c>
      <c r="S302" s="20" t="str">
        <f>IF(Data!E300="GpsRecord",Data!G300,"")</f>
        <v/>
      </c>
      <c r="T302" s="20" t="str">
        <f>IF(Data!E300="GpsRecord",Data!H300,"")</f>
        <v/>
      </c>
      <c r="U302" s="20">
        <f t="shared" si="76"/>
        <v>-39.421979999999998</v>
      </c>
      <c r="V302" s="20">
        <f t="shared" si="77"/>
        <v>33.736280000000001</v>
      </c>
      <c r="W302" s="19">
        <f>Data!I300</f>
        <v>0</v>
      </c>
      <c r="X302" s="17" t="str">
        <f>CONCATENATE(Data!J300, " ", Data!K300)</f>
        <v xml:space="preserve"> </v>
      </c>
    </row>
    <row r="303" spans="1:24" x14ac:dyDescent="0.3">
      <c r="A303" s="17" t="str">
        <f>Data!A301</f>
        <v>vehicle1</v>
      </c>
      <c r="B303" s="17" t="str">
        <f>Data!B301</f>
        <v>Vehicle, Gasoline or Petrol</v>
      </c>
      <c r="C303" s="17" t="str">
        <f>Data!C301</f>
        <v>1f2g3h4j5k6l</v>
      </c>
      <c r="D303" s="52">
        <f>Data!D301</f>
        <v>45066.153738425928</v>
      </c>
      <c r="E303" s="60" t="str">
        <f>IF(Data!E301="GpsRecord",Data!F301,"")</f>
        <v/>
      </c>
      <c r="F303" s="68" t="str">
        <f t="shared" si="63"/>
        <v>Clarksburg, WV, HARRISON_20268, Clarksburg, WV: 500 Baltimore Ave, Clarksburg, WV 26301, USA</v>
      </c>
      <c r="G303" t="b">
        <f t="shared" si="64"/>
        <v>0</v>
      </c>
      <c r="H303" t="b">
        <f t="shared" si="65"/>
        <v>0</v>
      </c>
      <c r="I303" t="b">
        <f t="shared" si="66"/>
        <v>0</v>
      </c>
      <c r="J303" t="str">
        <f t="shared" si="67"/>
        <v/>
      </c>
      <c r="K303" t="str">
        <f t="shared" si="68"/>
        <v/>
      </c>
      <c r="L303" t="str">
        <f t="shared" si="69"/>
        <v>,</v>
      </c>
      <c r="M303" t="str">
        <f t="shared" si="70"/>
        <v/>
      </c>
      <c r="N303" t="str">
        <f t="shared" si="71"/>
        <v/>
      </c>
      <c r="O303" t="str">
        <f t="shared" si="72"/>
        <v/>
      </c>
      <c r="P303" t="str">
        <f t="shared" si="73"/>
        <v/>
      </c>
      <c r="Q303" t="str">
        <f t="shared" si="74"/>
        <v/>
      </c>
      <c r="R303" s="20" t="str">
        <f t="shared" si="75"/>
        <v>WV</v>
      </c>
      <c r="S303" s="20" t="str">
        <f>IF(Data!E301="GpsRecord",Data!G301,"")</f>
        <v/>
      </c>
      <c r="T303" s="20" t="str">
        <f>IF(Data!E301="GpsRecord",Data!H301,"")</f>
        <v/>
      </c>
      <c r="U303" s="20">
        <f t="shared" si="76"/>
        <v>-39.421979999999998</v>
      </c>
      <c r="V303" s="20">
        <f t="shared" si="77"/>
        <v>33.736280000000001</v>
      </c>
      <c r="W303" s="19">
        <f>Data!I301</f>
        <v>0</v>
      </c>
      <c r="X303" s="17" t="str">
        <f>CONCATENATE(Data!J301, " ", Data!K301)</f>
        <v xml:space="preserve"> </v>
      </c>
    </row>
    <row r="304" spans="1:24" x14ac:dyDescent="0.3">
      <c r="A304" s="17" t="str">
        <f>Data!A302</f>
        <v>vehicle1</v>
      </c>
      <c r="B304" s="17" t="str">
        <f>Data!B302</f>
        <v>Vehicle, Gasoline or Petrol</v>
      </c>
      <c r="C304" s="17" t="str">
        <f>Data!C302</f>
        <v>1f2g3h4j5k6l</v>
      </c>
      <c r="D304" s="52">
        <f>Data!D302</f>
        <v>45066.153738425928</v>
      </c>
      <c r="E304" s="60" t="str">
        <f>IF(Data!E302="GpsRecord",Data!F302,"")</f>
        <v/>
      </c>
      <c r="F304" s="68" t="str">
        <f t="shared" si="63"/>
        <v>Clarksburg, WV, HARRISON_20268, Clarksburg, WV: 500 Baltimore Ave, Clarksburg, WV 26301, USA</v>
      </c>
      <c r="G304" t="b">
        <f t="shared" si="64"/>
        <v>0</v>
      </c>
      <c r="H304" t="b">
        <f t="shared" si="65"/>
        <v>0</v>
      </c>
      <c r="I304" t="b">
        <f t="shared" si="66"/>
        <v>0</v>
      </c>
      <c r="J304" t="str">
        <f t="shared" si="67"/>
        <v/>
      </c>
      <c r="K304" t="str">
        <f t="shared" si="68"/>
        <v/>
      </c>
      <c r="L304" t="str">
        <f t="shared" si="69"/>
        <v>,</v>
      </c>
      <c r="M304" t="str">
        <f t="shared" si="70"/>
        <v/>
      </c>
      <c r="N304" t="str">
        <f t="shared" si="71"/>
        <v/>
      </c>
      <c r="O304" t="str">
        <f t="shared" si="72"/>
        <v/>
      </c>
      <c r="P304" t="str">
        <f t="shared" si="73"/>
        <v/>
      </c>
      <c r="Q304" t="str">
        <f t="shared" si="74"/>
        <v/>
      </c>
      <c r="R304" s="20" t="str">
        <f t="shared" si="75"/>
        <v>WV</v>
      </c>
      <c r="S304" s="20" t="str">
        <f>IF(Data!E302="GpsRecord",Data!G302,"")</f>
        <v/>
      </c>
      <c r="T304" s="20" t="str">
        <f>IF(Data!E302="GpsRecord",Data!H302,"")</f>
        <v/>
      </c>
      <c r="U304" s="20">
        <f t="shared" si="76"/>
        <v>-39.421979999999998</v>
      </c>
      <c r="V304" s="20">
        <f t="shared" si="77"/>
        <v>33.736280000000001</v>
      </c>
      <c r="W304" s="19">
        <f>Data!I302</f>
        <v>0</v>
      </c>
      <c r="X304" s="17" t="str">
        <f>CONCATENATE(Data!J302, " ", Data!K302)</f>
        <v xml:space="preserve"> </v>
      </c>
    </row>
    <row r="305" spans="1:24" x14ac:dyDescent="0.3">
      <c r="A305" s="17" t="str">
        <f>Data!A303</f>
        <v>vehicle1</v>
      </c>
      <c r="B305" s="17" t="str">
        <f>Data!B303</f>
        <v>Vehicle, Gasoline or Petrol</v>
      </c>
      <c r="C305" s="17" t="str">
        <f>Data!C303</f>
        <v>1f2g3h4j5k6l</v>
      </c>
      <c r="D305" s="52">
        <f>Data!D303</f>
        <v>45066.153749999998</v>
      </c>
      <c r="E305" s="60" t="str">
        <f>IF(Data!E303="GpsRecord",Data!F303,"")</f>
        <v>Clarksburg, WV, HARRISON_20268, Clarksburg, WV: 500 Baltimore Ave, Clarksburg, WV 26301, USA</v>
      </c>
      <c r="F305" s="68" t="str">
        <f t="shared" si="63"/>
        <v>Clarksburg, WV, HARRISON_20268, Clarksburg, WV: 500 Baltimore Ave, Clarksburg, WV 26301, USA</v>
      </c>
      <c r="G305" t="b">
        <f t="shared" si="64"/>
        <v>0</v>
      </c>
      <c r="H305" t="b">
        <f t="shared" si="65"/>
        <v>1</v>
      </c>
      <c r="I305" t="b">
        <f t="shared" si="66"/>
        <v>1</v>
      </c>
      <c r="J305" t="str">
        <f t="shared" si="67"/>
        <v>500 Baltimore Ave, Clarksburg, WV 26301, USA</v>
      </c>
      <c r="K305" t="str">
        <f t="shared" si="68"/>
        <v xml:space="preserve"> USA</v>
      </c>
      <c r="L305" t="str">
        <f t="shared" si="69"/>
        <v>, USA</v>
      </c>
      <c r="M305" t="str">
        <f t="shared" si="70"/>
        <v>500 Baltimore Ave, Clarksburg, WV 26301</v>
      </c>
      <c r="N305" t="str">
        <f t="shared" si="71"/>
        <v xml:space="preserve"> WV 26301</v>
      </c>
      <c r="O305" t="str">
        <f t="shared" si="72"/>
        <v>26301</v>
      </c>
      <c r="P305" t="str">
        <f t="shared" si="73"/>
        <v xml:space="preserve"> WV</v>
      </c>
      <c r="Q305" t="str">
        <f t="shared" si="74"/>
        <v>WV</v>
      </c>
      <c r="R305" s="20" t="str">
        <f t="shared" si="75"/>
        <v>WV</v>
      </c>
      <c r="S305" s="20">
        <f>IF(Data!E303="GpsRecord",Data!G303,"")</f>
        <v>-39.42201</v>
      </c>
      <c r="T305" s="20">
        <f>IF(Data!E303="GpsRecord",Data!H303,"")</f>
        <v>33.736229999999999</v>
      </c>
      <c r="U305" s="20">
        <f t="shared" si="76"/>
        <v>-39.42201</v>
      </c>
      <c r="V305" s="20">
        <f t="shared" si="77"/>
        <v>33.736229999999999</v>
      </c>
      <c r="W305" s="19">
        <f>Data!I303</f>
        <v>0</v>
      </c>
      <c r="X305" s="17" t="str">
        <f>CONCATENATE(Data!J303, " ", Data!K303)</f>
        <v xml:space="preserve"> </v>
      </c>
    </row>
    <row r="306" spans="1:24" x14ac:dyDescent="0.3">
      <c r="A306" s="17" t="str">
        <f>Data!A304</f>
        <v>vehicle1</v>
      </c>
      <c r="B306" s="17" t="str">
        <f>Data!B304</f>
        <v>Vehicle, Gasoline or Petrol</v>
      </c>
      <c r="C306" s="17" t="str">
        <f>Data!C304</f>
        <v>1f2g3h4j5k6l</v>
      </c>
      <c r="D306" s="52">
        <f>Data!D304</f>
        <v>45066.153749999998</v>
      </c>
      <c r="E306" s="60" t="str">
        <f>IF(Data!E304="GpsRecord",Data!F304,"")</f>
        <v/>
      </c>
      <c r="F306" s="68" t="str">
        <f t="shared" si="63"/>
        <v>Clarksburg, WV, HARRISON_20268, Clarksburg, WV: 500 Baltimore Ave, Clarksburg, WV 26301, USA</v>
      </c>
      <c r="G306" t="b">
        <f t="shared" si="64"/>
        <v>0</v>
      </c>
      <c r="H306" t="b">
        <f t="shared" si="65"/>
        <v>0</v>
      </c>
      <c r="I306" t="b">
        <f t="shared" si="66"/>
        <v>0</v>
      </c>
      <c r="J306" t="str">
        <f t="shared" si="67"/>
        <v/>
      </c>
      <c r="K306" t="str">
        <f t="shared" si="68"/>
        <v/>
      </c>
      <c r="L306" t="str">
        <f t="shared" si="69"/>
        <v>,</v>
      </c>
      <c r="M306" t="str">
        <f t="shared" si="70"/>
        <v/>
      </c>
      <c r="N306" t="str">
        <f t="shared" si="71"/>
        <v/>
      </c>
      <c r="O306" t="str">
        <f t="shared" si="72"/>
        <v/>
      </c>
      <c r="P306" t="str">
        <f t="shared" si="73"/>
        <v/>
      </c>
      <c r="Q306" t="str">
        <f t="shared" si="74"/>
        <v/>
      </c>
      <c r="R306" s="20" t="str">
        <f t="shared" si="75"/>
        <v>WV</v>
      </c>
      <c r="S306" s="20" t="str">
        <f>IF(Data!E304="GpsRecord",Data!G304,"")</f>
        <v/>
      </c>
      <c r="T306" s="20" t="str">
        <f>IF(Data!E304="GpsRecord",Data!H304,"")</f>
        <v/>
      </c>
      <c r="U306" s="20">
        <f t="shared" si="76"/>
        <v>-39.42201</v>
      </c>
      <c r="V306" s="20">
        <f t="shared" si="77"/>
        <v>33.736229999999999</v>
      </c>
      <c r="W306" s="19">
        <f>Data!I304</f>
        <v>0</v>
      </c>
      <c r="X306" s="17" t="str">
        <f>CONCATENATE(Data!J304, " ", Data!K304)</f>
        <v xml:space="preserve"> </v>
      </c>
    </row>
    <row r="307" spans="1:24" x14ac:dyDescent="0.3">
      <c r="A307" s="17" t="str">
        <f>Data!A305</f>
        <v>vehicle1</v>
      </c>
      <c r="B307" s="17" t="str">
        <f>Data!B305</f>
        <v>Vehicle, Gasoline or Petrol</v>
      </c>
      <c r="C307" s="17" t="str">
        <f>Data!C305</f>
        <v>1f2g3h4j5k6l</v>
      </c>
      <c r="D307" s="52">
        <f>Data!D305</f>
        <v>45066.153761574074</v>
      </c>
      <c r="E307" s="60" t="str">
        <f>IF(Data!E305="GpsRecord",Data!F305,"")</f>
        <v/>
      </c>
      <c r="F307" s="68" t="str">
        <f t="shared" si="63"/>
        <v>Clarksburg, WV, HARRISON_20268, Clarksburg, WV: 500 Baltimore Ave, Clarksburg, WV 26301, USA</v>
      </c>
      <c r="G307" t="b">
        <f t="shared" si="64"/>
        <v>0</v>
      </c>
      <c r="H307" t="b">
        <f t="shared" si="65"/>
        <v>0</v>
      </c>
      <c r="I307" t="b">
        <f t="shared" si="66"/>
        <v>0</v>
      </c>
      <c r="J307" t="str">
        <f t="shared" si="67"/>
        <v/>
      </c>
      <c r="K307" t="str">
        <f t="shared" si="68"/>
        <v/>
      </c>
      <c r="L307" t="str">
        <f t="shared" si="69"/>
        <v>,</v>
      </c>
      <c r="M307" t="str">
        <f t="shared" si="70"/>
        <v/>
      </c>
      <c r="N307" t="str">
        <f t="shared" si="71"/>
        <v/>
      </c>
      <c r="O307" t="str">
        <f t="shared" si="72"/>
        <v/>
      </c>
      <c r="P307" t="str">
        <f t="shared" si="73"/>
        <v/>
      </c>
      <c r="Q307" t="str">
        <f t="shared" si="74"/>
        <v/>
      </c>
      <c r="R307" s="20" t="str">
        <f t="shared" si="75"/>
        <v>WV</v>
      </c>
      <c r="S307" s="20" t="str">
        <f>IF(Data!E305="GpsRecord",Data!G305,"")</f>
        <v/>
      </c>
      <c r="T307" s="20" t="str">
        <f>IF(Data!E305="GpsRecord",Data!H305,"")</f>
        <v/>
      </c>
      <c r="U307" s="20">
        <f t="shared" si="76"/>
        <v>-39.42201</v>
      </c>
      <c r="V307" s="20">
        <f t="shared" si="77"/>
        <v>33.736229999999999</v>
      </c>
      <c r="W307" s="19" t="str">
        <f>Data!I305</f>
        <v>Engine road speed</v>
      </c>
      <c r="X307" s="17" t="str">
        <f>CONCATENATE(Data!J305, " ", Data!K305)</f>
        <v>0 km/h</v>
      </c>
    </row>
    <row r="308" spans="1:24" x14ac:dyDescent="0.3">
      <c r="A308" s="17" t="str">
        <f>Data!A306</f>
        <v>vehicle1</v>
      </c>
      <c r="B308" s="17" t="str">
        <f>Data!B306</f>
        <v>Vehicle, Gasoline or Petrol</v>
      </c>
      <c r="C308" s="17" t="str">
        <f>Data!C306</f>
        <v>1f2g3h4j5k6l</v>
      </c>
      <c r="D308" s="52">
        <f>Data!D306</f>
        <v>45066.153761574074</v>
      </c>
      <c r="E308" s="60" t="str">
        <f>IF(Data!E306="GpsRecord",Data!F306,"")</f>
        <v/>
      </c>
      <c r="F308" s="68" t="str">
        <f t="shared" si="63"/>
        <v>Clarksburg, WV, HARRISON_20268, Clarksburg, WV: 500 Baltimore Ave, Clarksburg, WV 26301, USA</v>
      </c>
      <c r="G308" t="b">
        <f t="shared" si="64"/>
        <v>0</v>
      </c>
      <c r="H308" t="b">
        <f t="shared" si="65"/>
        <v>0</v>
      </c>
      <c r="I308" t="b">
        <f t="shared" si="66"/>
        <v>0</v>
      </c>
      <c r="J308" t="str">
        <f t="shared" si="67"/>
        <v/>
      </c>
      <c r="K308" t="str">
        <f t="shared" si="68"/>
        <v/>
      </c>
      <c r="L308" t="str">
        <f t="shared" si="69"/>
        <v>,</v>
      </c>
      <c r="M308" t="str">
        <f t="shared" si="70"/>
        <v/>
      </c>
      <c r="N308" t="str">
        <f t="shared" si="71"/>
        <v/>
      </c>
      <c r="O308" t="str">
        <f t="shared" si="72"/>
        <v/>
      </c>
      <c r="P308" t="str">
        <f t="shared" si="73"/>
        <v/>
      </c>
      <c r="Q308" t="str">
        <f t="shared" si="74"/>
        <v/>
      </c>
      <c r="R308" s="20" t="str">
        <f t="shared" si="75"/>
        <v>WV</v>
      </c>
      <c r="S308" s="20" t="str">
        <f>IF(Data!E306="GpsRecord",Data!G306,"")</f>
        <v/>
      </c>
      <c r="T308" s="20" t="str">
        <f>IF(Data!E306="GpsRecord",Data!H306,"")</f>
        <v/>
      </c>
      <c r="U308" s="20">
        <f t="shared" si="76"/>
        <v>-39.42201</v>
      </c>
      <c r="V308" s="20">
        <f t="shared" si="77"/>
        <v>33.736229999999999</v>
      </c>
      <c r="W308" s="19" t="str">
        <f>Data!I306</f>
        <v>Total fuel used (since telematics device install)</v>
      </c>
      <c r="X308" s="17" t="str">
        <f>CONCATENATE(Data!J306, " ", Data!K306)</f>
        <v>1997.68 L</v>
      </c>
    </row>
    <row r="309" spans="1:24" x14ac:dyDescent="0.3">
      <c r="A309" s="17" t="str">
        <f>Data!A307</f>
        <v>vehicle1</v>
      </c>
      <c r="B309" s="17" t="str">
        <f>Data!B307</f>
        <v>Vehicle, Gasoline or Petrol</v>
      </c>
      <c r="C309" s="17" t="str">
        <f>Data!C307</f>
        <v>1f2g3h4j5k6l</v>
      </c>
      <c r="D309" s="52">
        <f>Data!D307</f>
        <v>45066.153761574074</v>
      </c>
      <c r="E309" s="60" t="str">
        <f>IF(Data!E307="GpsRecord",Data!F307,"")</f>
        <v/>
      </c>
      <c r="F309" s="68" t="str">
        <f t="shared" si="63"/>
        <v>Clarksburg, WV, HARRISON_20268, Clarksburg, WV: 500 Baltimore Ave, Clarksburg, WV 26301, USA</v>
      </c>
      <c r="G309" t="b">
        <f t="shared" si="64"/>
        <v>0</v>
      </c>
      <c r="H309" t="b">
        <f t="shared" si="65"/>
        <v>0</v>
      </c>
      <c r="I309" t="b">
        <f t="shared" si="66"/>
        <v>0</v>
      </c>
      <c r="J309" t="str">
        <f t="shared" si="67"/>
        <v/>
      </c>
      <c r="K309" t="str">
        <f t="shared" si="68"/>
        <v/>
      </c>
      <c r="L309" t="str">
        <f t="shared" si="69"/>
        <v>,</v>
      </c>
      <c r="M309" t="str">
        <f t="shared" si="70"/>
        <v/>
      </c>
      <c r="N309" t="str">
        <f t="shared" si="71"/>
        <v/>
      </c>
      <c r="O309" t="str">
        <f t="shared" si="72"/>
        <v/>
      </c>
      <c r="P309" t="str">
        <f t="shared" si="73"/>
        <v/>
      </c>
      <c r="Q309" t="str">
        <f t="shared" si="74"/>
        <v/>
      </c>
      <c r="R309" s="20" t="str">
        <f t="shared" si="75"/>
        <v>WV</v>
      </c>
      <c r="S309" s="20" t="str">
        <f>IF(Data!E307="GpsRecord",Data!G307,"")</f>
        <v/>
      </c>
      <c r="T309" s="20" t="str">
        <f>IF(Data!E307="GpsRecord",Data!H307,"")</f>
        <v/>
      </c>
      <c r="U309" s="20">
        <f t="shared" si="76"/>
        <v>-39.42201</v>
      </c>
      <c r="V309" s="20">
        <f t="shared" si="77"/>
        <v>33.736229999999999</v>
      </c>
      <c r="W309" s="19">
        <f>Data!I307</f>
        <v>0</v>
      </c>
      <c r="X309" s="17" t="str">
        <f>CONCATENATE(Data!J307, " ", Data!K307)</f>
        <v xml:space="preserve"> </v>
      </c>
    </row>
    <row r="310" spans="1:24" x14ac:dyDescent="0.3">
      <c r="A310" s="17" t="str">
        <f>Data!A308</f>
        <v>vehicle1</v>
      </c>
      <c r="B310" s="17" t="str">
        <f>Data!B308</f>
        <v>Vehicle, Gasoline or Petrol</v>
      </c>
      <c r="C310" s="17" t="str">
        <f>Data!C308</f>
        <v>1f2g3h4j5k6l</v>
      </c>
      <c r="D310" s="52">
        <f>Data!D308</f>
        <v>45066.153761574074</v>
      </c>
      <c r="E310" s="60" t="str">
        <f>IF(Data!E308="GpsRecord",Data!F308,"")</f>
        <v/>
      </c>
      <c r="F310" s="68" t="str">
        <f t="shared" si="63"/>
        <v>Clarksburg, WV, HARRISON_20268, Clarksburg, WV: 500 Baltimore Ave, Clarksburg, WV 26301, USA</v>
      </c>
      <c r="G310" t="b">
        <f t="shared" si="64"/>
        <v>0</v>
      </c>
      <c r="H310" t="b">
        <f t="shared" si="65"/>
        <v>0</v>
      </c>
      <c r="I310" t="b">
        <f t="shared" si="66"/>
        <v>0</v>
      </c>
      <c r="J310" t="str">
        <f t="shared" si="67"/>
        <v/>
      </c>
      <c r="K310" t="str">
        <f t="shared" si="68"/>
        <v/>
      </c>
      <c r="L310" t="str">
        <f t="shared" si="69"/>
        <v>,</v>
      </c>
      <c r="M310" t="str">
        <f t="shared" si="70"/>
        <v/>
      </c>
      <c r="N310" t="str">
        <f t="shared" si="71"/>
        <v/>
      </c>
      <c r="O310" t="str">
        <f t="shared" si="72"/>
        <v/>
      </c>
      <c r="P310" t="str">
        <f t="shared" si="73"/>
        <v/>
      </c>
      <c r="Q310" t="str">
        <f t="shared" si="74"/>
        <v/>
      </c>
      <c r="R310" s="20" t="str">
        <f t="shared" si="75"/>
        <v>WV</v>
      </c>
      <c r="S310" s="20" t="str">
        <f>IF(Data!E308="GpsRecord",Data!G308,"")</f>
        <v/>
      </c>
      <c r="T310" s="20" t="str">
        <f>IF(Data!E308="GpsRecord",Data!H308,"")</f>
        <v/>
      </c>
      <c r="U310" s="20">
        <f t="shared" si="76"/>
        <v>-39.42201</v>
      </c>
      <c r="V310" s="20">
        <f t="shared" si="77"/>
        <v>33.736229999999999</v>
      </c>
      <c r="W310" s="19" t="str">
        <f>Data!I308</f>
        <v>Fuel level (percentage)</v>
      </c>
      <c r="X310" s="17" t="str">
        <f>CONCATENATE(Data!J308, " ", Data!K308)</f>
        <v>58.0308 %</v>
      </c>
    </row>
    <row r="311" spans="1:24" x14ac:dyDescent="0.3">
      <c r="A311" s="17" t="str">
        <f>Data!A309</f>
        <v>vehicle1</v>
      </c>
      <c r="B311" s="17" t="str">
        <f>Data!B309</f>
        <v>Vehicle, Gasoline or Petrol</v>
      </c>
      <c r="C311" s="17" t="str">
        <f>Data!C309</f>
        <v>1f2g3h4j5k6l</v>
      </c>
      <c r="D311" s="52">
        <f>Data!D309</f>
        <v>45066.153761574074</v>
      </c>
      <c r="E311" s="60" t="str">
        <f>IF(Data!E309="GpsRecord",Data!F309,"")</f>
        <v/>
      </c>
      <c r="F311" s="68" t="str">
        <f t="shared" si="63"/>
        <v>Clarksburg, WV, HARRISON_20268, Clarksburg, WV: 500 Baltimore Ave, Clarksburg, WV 26301, USA</v>
      </c>
      <c r="G311" t="b">
        <f t="shared" si="64"/>
        <v>0</v>
      </c>
      <c r="H311" t="b">
        <f t="shared" si="65"/>
        <v>0</v>
      </c>
      <c r="I311" t="b">
        <f t="shared" si="66"/>
        <v>0</v>
      </c>
      <c r="J311" t="str">
        <f t="shared" si="67"/>
        <v/>
      </c>
      <c r="K311" t="str">
        <f t="shared" si="68"/>
        <v/>
      </c>
      <c r="L311" t="str">
        <f t="shared" si="69"/>
        <v>,</v>
      </c>
      <c r="M311" t="str">
        <f t="shared" si="70"/>
        <v/>
      </c>
      <c r="N311" t="str">
        <f t="shared" si="71"/>
        <v/>
      </c>
      <c r="O311" t="str">
        <f t="shared" si="72"/>
        <v/>
      </c>
      <c r="P311" t="str">
        <f t="shared" si="73"/>
        <v/>
      </c>
      <c r="Q311" t="str">
        <f t="shared" si="74"/>
        <v/>
      </c>
      <c r="R311" s="20" t="str">
        <f t="shared" si="75"/>
        <v>WV</v>
      </c>
      <c r="S311" s="20" t="str">
        <f>IF(Data!E309="GpsRecord",Data!G309,"")</f>
        <v/>
      </c>
      <c r="T311" s="20" t="str">
        <f>IF(Data!E309="GpsRecord",Data!H309,"")</f>
        <v/>
      </c>
      <c r="U311" s="20">
        <f t="shared" si="76"/>
        <v>-39.42201</v>
      </c>
      <c r="V311" s="20">
        <f t="shared" si="77"/>
        <v>33.736229999999999</v>
      </c>
      <c r="W311" s="19" t="str">
        <f>Data!I309</f>
        <v>Fuel level while stopped (percent) tank 1</v>
      </c>
      <c r="X311" s="17" t="str">
        <f>CONCATENATE(Data!J309, " ", Data!K309)</f>
        <v>54.1098 %</v>
      </c>
    </row>
    <row r="312" spans="1:24" x14ac:dyDescent="0.3">
      <c r="A312" s="17" t="str">
        <f>Data!A310</f>
        <v>vehicle1</v>
      </c>
      <c r="B312" s="17" t="str">
        <f>Data!B310</f>
        <v>Vehicle, Gasoline or Petrol</v>
      </c>
      <c r="C312" s="17" t="str">
        <f>Data!C310</f>
        <v>1f2g3h4j5k6l</v>
      </c>
      <c r="D312" s="52">
        <f>Data!D310</f>
        <v>45066.153761574074</v>
      </c>
      <c r="E312" s="60" t="str">
        <f>IF(Data!E310="GpsRecord",Data!F310,"")</f>
        <v/>
      </c>
      <c r="F312" s="68" t="str">
        <f t="shared" si="63"/>
        <v>Clarksburg, WV, HARRISON_20268, Clarksburg, WV: 500 Baltimore Ave, Clarksburg, WV 26301, USA</v>
      </c>
      <c r="G312" t="b">
        <f t="shared" si="64"/>
        <v>0</v>
      </c>
      <c r="H312" t="b">
        <f t="shared" si="65"/>
        <v>0</v>
      </c>
      <c r="I312" t="b">
        <f t="shared" si="66"/>
        <v>0</v>
      </c>
      <c r="J312" t="str">
        <f t="shared" si="67"/>
        <v/>
      </c>
      <c r="K312" t="str">
        <f t="shared" si="68"/>
        <v/>
      </c>
      <c r="L312" t="str">
        <f t="shared" si="69"/>
        <v>,</v>
      </c>
      <c r="M312" t="str">
        <f t="shared" si="70"/>
        <v/>
      </c>
      <c r="N312" t="str">
        <f t="shared" si="71"/>
        <v/>
      </c>
      <c r="O312" t="str">
        <f t="shared" si="72"/>
        <v/>
      </c>
      <c r="P312" t="str">
        <f t="shared" si="73"/>
        <v/>
      </c>
      <c r="Q312" t="str">
        <f t="shared" si="74"/>
        <v/>
      </c>
      <c r="R312" s="20" t="str">
        <f t="shared" si="75"/>
        <v>WV</v>
      </c>
      <c r="S312" s="20" t="str">
        <f>IF(Data!E310="GpsRecord",Data!G310,"")</f>
        <v/>
      </c>
      <c r="T312" s="20" t="str">
        <f>IF(Data!E310="GpsRecord",Data!H310,"")</f>
        <v/>
      </c>
      <c r="U312" s="20">
        <f t="shared" si="76"/>
        <v>-39.42201</v>
      </c>
      <c r="V312" s="20">
        <f t="shared" si="77"/>
        <v>33.736229999999999</v>
      </c>
      <c r="W312" s="19" t="str">
        <f>Data!I310</f>
        <v>Engine road speed</v>
      </c>
      <c r="X312" s="17" t="str">
        <f>CONCATENATE(Data!J310, " ", Data!K310)</f>
        <v>0 km/h</v>
      </c>
    </row>
    <row r="313" spans="1:24" x14ac:dyDescent="0.3">
      <c r="A313" s="17" t="str">
        <f>Data!A311</f>
        <v>vehicle1</v>
      </c>
      <c r="B313" s="17" t="str">
        <f>Data!B311</f>
        <v>Vehicle, Gasoline or Petrol</v>
      </c>
      <c r="C313" s="17" t="str">
        <f>Data!C311</f>
        <v>1f2g3h4j5k6l</v>
      </c>
      <c r="D313" s="52">
        <f>Data!D311</f>
        <v>45066.153773148151</v>
      </c>
      <c r="E313" s="60" t="str">
        <f>IF(Data!E311="GpsRecord",Data!F311,"")</f>
        <v/>
      </c>
      <c r="F313" s="68" t="str">
        <f t="shared" si="63"/>
        <v>Clarksburg, WV, HARRISON_20268, Clarksburg, WV: 500 Baltimore Ave, Clarksburg, WV 26301, USA</v>
      </c>
      <c r="G313" t="b">
        <f t="shared" si="64"/>
        <v>0</v>
      </c>
      <c r="H313" t="b">
        <f t="shared" si="65"/>
        <v>0</v>
      </c>
      <c r="I313" t="b">
        <f t="shared" si="66"/>
        <v>0</v>
      </c>
      <c r="J313" t="str">
        <f t="shared" si="67"/>
        <v/>
      </c>
      <c r="K313" t="str">
        <f t="shared" si="68"/>
        <v/>
      </c>
      <c r="L313" t="str">
        <f t="shared" si="69"/>
        <v>,</v>
      </c>
      <c r="M313" t="str">
        <f t="shared" si="70"/>
        <v/>
      </c>
      <c r="N313" t="str">
        <f t="shared" si="71"/>
        <v/>
      </c>
      <c r="O313" t="str">
        <f t="shared" si="72"/>
        <v/>
      </c>
      <c r="P313" t="str">
        <f t="shared" si="73"/>
        <v/>
      </c>
      <c r="Q313" t="str">
        <f t="shared" si="74"/>
        <v/>
      </c>
      <c r="R313" s="20" t="str">
        <f t="shared" si="75"/>
        <v>WV</v>
      </c>
      <c r="S313" s="20" t="str">
        <f>IF(Data!E311="GpsRecord",Data!G311,"")</f>
        <v/>
      </c>
      <c r="T313" s="20" t="str">
        <f>IF(Data!E311="GpsRecord",Data!H311,"")</f>
        <v/>
      </c>
      <c r="U313" s="20">
        <f t="shared" si="76"/>
        <v>-39.42201</v>
      </c>
      <c r="V313" s="20">
        <f t="shared" si="77"/>
        <v>33.736229999999999</v>
      </c>
      <c r="W313" s="19" t="str">
        <f>Data!I311</f>
        <v>Trip stopped duration accumulator</v>
      </c>
      <c r="X313" s="17" t="str">
        <f>CONCATENATE(Data!J311, " ", Data!K311)</f>
        <v>0.0063888888894 h</v>
      </c>
    </row>
    <row r="314" spans="1:24" x14ac:dyDescent="0.3">
      <c r="A314" s="17" t="str">
        <f>Data!A312</f>
        <v>vehicle1</v>
      </c>
      <c r="B314" s="17" t="str">
        <f>Data!B312</f>
        <v>Vehicle, Gasoline or Petrol</v>
      </c>
      <c r="C314" s="17" t="str">
        <f>Data!C312</f>
        <v>1f2g3h4j5k6l</v>
      </c>
      <c r="D314" s="52">
        <f>Data!D312</f>
        <v>45066.153773148151</v>
      </c>
      <c r="E314" s="60" t="str">
        <f>IF(Data!E312="GpsRecord",Data!F312,"")</f>
        <v>Clarksburg, WV, HARRISON_20268, Clarksburg, WV: 500 Baltimore Ave, Clarksburg, WV 26301, USA</v>
      </c>
      <c r="F314" s="68" t="str">
        <f t="shared" si="63"/>
        <v>Clarksburg, WV, HARRISON_20268, Clarksburg, WV: 500 Baltimore Ave, Clarksburg, WV 26301, USA</v>
      </c>
      <c r="G314" t="b">
        <f t="shared" si="64"/>
        <v>0</v>
      </c>
      <c r="H314" t="b">
        <f t="shared" si="65"/>
        <v>1</v>
      </c>
      <c r="I314" t="b">
        <f t="shared" si="66"/>
        <v>1</v>
      </c>
      <c r="J314" t="str">
        <f t="shared" si="67"/>
        <v>500 Baltimore Ave, Clarksburg, WV 26301, USA</v>
      </c>
      <c r="K314" t="str">
        <f t="shared" si="68"/>
        <v xml:space="preserve"> USA</v>
      </c>
      <c r="L314" t="str">
        <f t="shared" si="69"/>
        <v>, USA</v>
      </c>
      <c r="M314" t="str">
        <f t="shared" si="70"/>
        <v>500 Baltimore Ave, Clarksburg, WV 26301</v>
      </c>
      <c r="N314" t="str">
        <f t="shared" si="71"/>
        <v xml:space="preserve"> WV 26301</v>
      </c>
      <c r="O314" t="str">
        <f t="shared" si="72"/>
        <v>26301</v>
      </c>
      <c r="P314" t="str">
        <f t="shared" si="73"/>
        <v xml:space="preserve"> WV</v>
      </c>
      <c r="Q314" t="str">
        <f t="shared" si="74"/>
        <v>WV</v>
      </c>
      <c r="R314" s="20" t="str">
        <f t="shared" si="75"/>
        <v>WV</v>
      </c>
      <c r="S314" s="20">
        <f>IF(Data!E312="GpsRecord",Data!G312,"")</f>
        <v>-39.42201</v>
      </c>
      <c r="T314" s="20">
        <f>IF(Data!E312="GpsRecord",Data!H312,"")</f>
        <v>33.736229999999999</v>
      </c>
      <c r="U314" s="20">
        <f t="shared" si="76"/>
        <v>-39.42201</v>
      </c>
      <c r="V314" s="20">
        <f t="shared" si="77"/>
        <v>33.736229999999999</v>
      </c>
      <c r="W314" s="19">
        <f>Data!I312</f>
        <v>0</v>
      </c>
      <c r="X314" s="17" t="str">
        <f>CONCATENATE(Data!J312, " ", Data!K312)</f>
        <v xml:space="preserve"> </v>
      </c>
    </row>
    <row r="315" spans="1:24" x14ac:dyDescent="0.3">
      <c r="A315" s="17" t="str">
        <f>Data!A313</f>
        <v>vehicle1</v>
      </c>
      <c r="B315" s="17" t="str">
        <f>Data!B313</f>
        <v>Vehicle, Gasoline or Petrol</v>
      </c>
      <c r="C315" s="17" t="str">
        <f>Data!C313</f>
        <v>1f2g3h4j5k6l</v>
      </c>
      <c r="D315" s="52">
        <f>Data!D313</f>
        <v>45066.153773148151</v>
      </c>
      <c r="E315" s="60" t="str">
        <f>IF(Data!E313="GpsRecord",Data!F313,"")</f>
        <v/>
      </c>
      <c r="F315" s="68" t="str">
        <f t="shared" si="63"/>
        <v>Clarksburg, WV, HARRISON_20268, Clarksburg, WV: 500 Baltimore Ave, Clarksburg, WV 26301, USA</v>
      </c>
      <c r="G315" t="b">
        <f t="shared" si="64"/>
        <v>0</v>
      </c>
      <c r="H315" t="b">
        <f t="shared" si="65"/>
        <v>0</v>
      </c>
      <c r="I315" t="b">
        <f t="shared" si="66"/>
        <v>0</v>
      </c>
      <c r="J315" t="str">
        <f t="shared" si="67"/>
        <v/>
      </c>
      <c r="K315" t="str">
        <f t="shared" si="68"/>
        <v/>
      </c>
      <c r="L315" t="str">
        <f t="shared" si="69"/>
        <v>,</v>
      </c>
      <c r="M315" t="str">
        <f t="shared" si="70"/>
        <v/>
      </c>
      <c r="N315" t="str">
        <f t="shared" si="71"/>
        <v/>
      </c>
      <c r="O315" t="str">
        <f t="shared" si="72"/>
        <v/>
      </c>
      <c r="P315" t="str">
        <f t="shared" si="73"/>
        <v/>
      </c>
      <c r="Q315" t="str">
        <f t="shared" si="74"/>
        <v/>
      </c>
      <c r="R315" s="20" t="str">
        <f t="shared" si="75"/>
        <v>WV</v>
      </c>
      <c r="S315" s="20" t="str">
        <f>IF(Data!E313="GpsRecord",Data!G313,"")</f>
        <v/>
      </c>
      <c r="T315" s="20" t="str">
        <f>IF(Data!E313="GpsRecord",Data!H313,"")</f>
        <v/>
      </c>
      <c r="U315" s="20">
        <f t="shared" si="76"/>
        <v>-39.42201</v>
      </c>
      <c r="V315" s="20">
        <f t="shared" si="77"/>
        <v>33.736229999999999</v>
      </c>
      <c r="W315" s="19" t="str">
        <f>Data!I313</f>
        <v>Total fuel used (since telematics device install)</v>
      </c>
      <c r="X315" s="17" t="str">
        <f>CONCATENATE(Data!J313, " ", Data!K313)</f>
        <v>1997.68 L</v>
      </c>
    </row>
    <row r="316" spans="1:24" x14ac:dyDescent="0.3">
      <c r="A316" s="17" t="str">
        <f>Data!A314</f>
        <v>vehicle1</v>
      </c>
      <c r="B316" s="17" t="str">
        <f>Data!B314</f>
        <v>Vehicle, Gasoline or Petrol</v>
      </c>
      <c r="C316" s="17" t="str">
        <f>Data!C314</f>
        <v>1f2g3h4j5k6l</v>
      </c>
      <c r="D316" s="52">
        <f>Data!D314</f>
        <v>45066.153703703705</v>
      </c>
      <c r="E316" s="60" t="str">
        <f>IF(Data!E314="GpsRecord",Data!F314,"")</f>
        <v/>
      </c>
      <c r="F316" s="68" t="str">
        <f t="shared" si="63"/>
        <v>Clarksburg, WV, HARRISON_20268, Clarksburg, WV: 500 Baltimore Ave, Clarksburg, WV 26301, USA</v>
      </c>
      <c r="G316" t="b">
        <f t="shared" si="64"/>
        <v>0</v>
      </c>
      <c r="H316" t="b">
        <f t="shared" si="65"/>
        <v>0</v>
      </c>
      <c r="I316" t="b">
        <f t="shared" si="66"/>
        <v>0</v>
      </c>
      <c r="J316" t="str">
        <f t="shared" si="67"/>
        <v/>
      </c>
      <c r="K316" t="str">
        <f t="shared" si="68"/>
        <v/>
      </c>
      <c r="L316" t="str">
        <f t="shared" si="69"/>
        <v>,</v>
      </c>
      <c r="M316" t="str">
        <f t="shared" si="70"/>
        <v/>
      </c>
      <c r="N316" t="str">
        <f t="shared" si="71"/>
        <v/>
      </c>
      <c r="O316" t="str">
        <f t="shared" si="72"/>
        <v/>
      </c>
      <c r="P316" t="str">
        <f t="shared" si="73"/>
        <v/>
      </c>
      <c r="Q316" t="str">
        <f t="shared" si="74"/>
        <v/>
      </c>
      <c r="R316" s="20" t="str">
        <f t="shared" si="75"/>
        <v>WV</v>
      </c>
      <c r="S316" s="20" t="str">
        <f>IF(Data!E314="GpsRecord",Data!G314,"")</f>
        <v/>
      </c>
      <c r="T316" s="20" t="str">
        <f>IF(Data!E314="GpsRecord",Data!H314,"")</f>
        <v/>
      </c>
      <c r="U316" s="20">
        <f t="shared" si="76"/>
        <v>-39.42201</v>
      </c>
      <c r="V316" s="20">
        <f t="shared" si="77"/>
        <v>33.736229999999999</v>
      </c>
      <c r="W316" s="19">
        <f>Data!I314</f>
        <v>0</v>
      </c>
      <c r="X316" s="17" t="str">
        <f>CONCATENATE(Data!J314, " ", Data!K314)</f>
        <v xml:space="preserve"> </v>
      </c>
    </row>
    <row r="317" spans="1:24" x14ac:dyDescent="0.3">
      <c r="A317" s="17" t="str">
        <f>Data!A315</f>
        <v>vehicle1</v>
      </c>
      <c r="B317" s="17" t="str">
        <f>Data!B315</f>
        <v>Vehicle, Gasoline or Petrol</v>
      </c>
      <c r="C317" s="17" t="str">
        <f>Data!C315</f>
        <v>1f2g3h4j5k6l</v>
      </c>
      <c r="D317" s="52">
        <f>Data!D315</f>
        <v>45066.153703703705</v>
      </c>
      <c r="E317" s="60" t="str">
        <f>IF(Data!E315="GpsRecord",Data!F315,"")</f>
        <v/>
      </c>
      <c r="F317" s="68" t="str">
        <f t="shared" si="63"/>
        <v>Clarksburg, WV, HARRISON_20268, Clarksburg, WV: 500 Baltimore Ave, Clarksburg, WV 26301, USA</v>
      </c>
      <c r="G317" t="b">
        <f t="shared" si="64"/>
        <v>0</v>
      </c>
      <c r="H317" t="b">
        <f t="shared" si="65"/>
        <v>0</v>
      </c>
      <c r="I317" t="b">
        <f t="shared" si="66"/>
        <v>0</v>
      </c>
      <c r="J317" t="str">
        <f t="shared" si="67"/>
        <v/>
      </c>
      <c r="K317" t="str">
        <f t="shared" si="68"/>
        <v/>
      </c>
      <c r="L317" t="str">
        <f t="shared" si="69"/>
        <v>,</v>
      </c>
      <c r="M317" t="str">
        <f t="shared" si="70"/>
        <v/>
      </c>
      <c r="N317" t="str">
        <f t="shared" si="71"/>
        <v/>
      </c>
      <c r="O317" t="str">
        <f t="shared" si="72"/>
        <v/>
      </c>
      <c r="P317" t="str">
        <f t="shared" si="73"/>
        <v/>
      </c>
      <c r="Q317" t="str">
        <f t="shared" si="74"/>
        <v/>
      </c>
      <c r="R317" s="20" t="str">
        <f t="shared" si="75"/>
        <v>WV</v>
      </c>
      <c r="S317" s="20" t="str">
        <f>IF(Data!E315="GpsRecord",Data!G315,"")</f>
        <v/>
      </c>
      <c r="T317" s="20" t="str">
        <f>IF(Data!E315="GpsRecord",Data!H315,"")</f>
        <v/>
      </c>
      <c r="U317" s="20">
        <f t="shared" si="76"/>
        <v>-39.42201</v>
      </c>
      <c r="V317" s="20">
        <f t="shared" si="77"/>
        <v>33.736229999999999</v>
      </c>
      <c r="W317" s="19" t="str">
        <f>Data!I315</f>
        <v>Total fuel used while idling (since telematics device install)</v>
      </c>
      <c r="X317" s="17" t="str">
        <f>CONCATENATE(Data!J315, " ", Data!K315)</f>
        <v>187.64 L</v>
      </c>
    </row>
    <row r="318" spans="1:24" x14ac:dyDescent="0.3">
      <c r="A318" s="17" t="str">
        <f>Data!A316</f>
        <v>vehicle1</v>
      </c>
      <c r="B318" s="17" t="str">
        <f>Data!B316</f>
        <v>Vehicle, Gasoline or Petrol</v>
      </c>
      <c r="C318" s="17" t="str">
        <f>Data!C316</f>
        <v>1f2g3h4j5k6l</v>
      </c>
      <c r="D318" s="52">
        <f>Data!D316</f>
        <v>45066.153703703705</v>
      </c>
      <c r="E318" s="60" t="str">
        <f>IF(Data!E316="GpsRecord",Data!F316,"")</f>
        <v/>
      </c>
      <c r="F318" s="68" t="str">
        <f t="shared" si="63"/>
        <v>Clarksburg, WV, HARRISON_20268, Clarksburg, WV: 500 Baltimore Ave, Clarksburg, WV 26301, USA</v>
      </c>
      <c r="G318" t="b">
        <f t="shared" si="64"/>
        <v>0</v>
      </c>
      <c r="H318" t="b">
        <f t="shared" si="65"/>
        <v>0</v>
      </c>
      <c r="I318" t="b">
        <f t="shared" si="66"/>
        <v>0</v>
      </c>
      <c r="J318" t="str">
        <f t="shared" si="67"/>
        <v/>
      </c>
      <c r="K318" t="str">
        <f t="shared" si="68"/>
        <v/>
      </c>
      <c r="L318" t="str">
        <f t="shared" si="69"/>
        <v>,</v>
      </c>
      <c r="M318" t="str">
        <f t="shared" si="70"/>
        <v/>
      </c>
      <c r="N318" t="str">
        <f t="shared" si="71"/>
        <v/>
      </c>
      <c r="O318" t="str">
        <f t="shared" si="72"/>
        <v/>
      </c>
      <c r="P318" t="str">
        <f t="shared" si="73"/>
        <v/>
      </c>
      <c r="Q318" t="str">
        <f t="shared" si="74"/>
        <v/>
      </c>
      <c r="R318" s="20" t="str">
        <f t="shared" si="75"/>
        <v>WV</v>
      </c>
      <c r="S318" s="20" t="str">
        <f>IF(Data!E316="GpsRecord",Data!G316,"")</f>
        <v/>
      </c>
      <c r="T318" s="20" t="str">
        <f>IF(Data!E316="GpsRecord",Data!H316,"")</f>
        <v/>
      </c>
      <c r="U318" s="20">
        <f t="shared" si="76"/>
        <v>-39.42201</v>
      </c>
      <c r="V318" s="20">
        <f t="shared" si="77"/>
        <v>33.736229999999999</v>
      </c>
      <c r="W318" s="19" t="str">
        <f>Data!I316</f>
        <v>Trip idle fuel accumulator</v>
      </c>
      <c r="X318" s="17" t="str">
        <f>CONCATENATE(Data!J316, " ", Data!K316)</f>
        <v>0.01 L</v>
      </c>
    </row>
    <row r="319" spans="1:24" x14ac:dyDescent="0.3">
      <c r="A319" s="17" t="str">
        <f>Data!A317</f>
        <v>vehicle1</v>
      </c>
      <c r="B319" s="17" t="str">
        <f>Data!B317</f>
        <v>Vehicle, Gasoline or Petrol</v>
      </c>
      <c r="C319" s="17" t="str">
        <f>Data!C317</f>
        <v>1f2g3h4j5k6l</v>
      </c>
      <c r="D319" s="52">
        <f>Data!D317</f>
        <v>45066.15384259259</v>
      </c>
      <c r="E319" s="60" t="str">
        <f>IF(Data!E317="GpsRecord",Data!F317,"")</f>
        <v/>
      </c>
      <c r="F319" s="68" t="str">
        <f t="shared" si="63"/>
        <v>Clarksburg, WV, HARRISON_20268, Clarksburg, WV: 500 Baltimore Ave, Clarksburg, WV 26301, USA</v>
      </c>
      <c r="G319" t="b">
        <f t="shared" si="64"/>
        <v>0</v>
      </c>
      <c r="H319" t="b">
        <f t="shared" si="65"/>
        <v>0</v>
      </c>
      <c r="I319" t="b">
        <f t="shared" si="66"/>
        <v>0</v>
      </c>
      <c r="J319" t="str">
        <f t="shared" si="67"/>
        <v/>
      </c>
      <c r="K319" t="str">
        <f t="shared" si="68"/>
        <v/>
      </c>
      <c r="L319" t="str">
        <f t="shared" si="69"/>
        <v>,</v>
      </c>
      <c r="M319" t="str">
        <f t="shared" si="70"/>
        <v/>
      </c>
      <c r="N319" t="str">
        <f t="shared" si="71"/>
        <v/>
      </c>
      <c r="O319" t="str">
        <f t="shared" si="72"/>
        <v/>
      </c>
      <c r="P319" t="str">
        <f t="shared" si="73"/>
        <v/>
      </c>
      <c r="Q319" t="str">
        <f t="shared" si="74"/>
        <v/>
      </c>
      <c r="R319" s="20" t="str">
        <f t="shared" si="75"/>
        <v>WV</v>
      </c>
      <c r="S319" s="20" t="str">
        <f>IF(Data!E317="GpsRecord",Data!G317,"")</f>
        <v/>
      </c>
      <c r="T319" s="20" t="str">
        <f>IF(Data!E317="GpsRecord",Data!H317,"")</f>
        <v/>
      </c>
      <c r="U319" s="20">
        <f t="shared" si="76"/>
        <v>-39.42201</v>
      </c>
      <c r="V319" s="20">
        <f t="shared" si="77"/>
        <v>33.736229999999999</v>
      </c>
      <c r="W319" s="19" t="str">
        <f>Data!I317</f>
        <v>Trip stopped duration accumulator</v>
      </c>
      <c r="X319" s="17" t="str">
        <f>CONCATENATE(Data!J317, " ", Data!K317)</f>
        <v>0.0080555555562 h</v>
      </c>
    </row>
    <row r="320" spans="1:24" x14ac:dyDescent="0.3">
      <c r="A320" s="17" t="str">
        <f>Data!A318</f>
        <v>vehicle1</v>
      </c>
      <c r="B320" s="17" t="str">
        <f>Data!B318</f>
        <v>Vehicle, Gasoline or Petrol</v>
      </c>
      <c r="C320" s="17" t="str">
        <f>Data!C318</f>
        <v>1f2g3h4j5k6l</v>
      </c>
      <c r="D320" s="52">
        <f>Data!D318</f>
        <v>45066.153877314813</v>
      </c>
      <c r="E320" s="60" t="str">
        <f>IF(Data!E318="GpsRecord",Data!F318,"")</f>
        <v/>
      </c>
      <c r="F320" s="68" t="str">
        <f t="shared" si="63"/>
        <v>Clarksburg, WV, HARRISON_20268, Clarksburg, WV: 500 Baltimore Ave, Clarksburg, WV 26301, USA</v>
      </c>
      <c r="G320" t="b">
        <f t="shared" si="64"/>
        <v>0</v>
      </c>
      <c r="H320" t="b">
        <f t="shared" si="65"/>
        <v>0</v>
      </c>
      <c r="I320" t="b">
        <f t="shared" si="66"/>
        <v>0</v>
      </c>
      <c r="J320" t="str">
        <f t="shared" si="67"/>
        <v/>
      </c>
      <c r="K320" t="str">
        <f t="shared" si="68"/>
        <v/>
      </c>
      <c r="L320" t="str">
        <f t="shared" si="69"/>
        <v>,</v>
      </c>
      <c r="M320" t="str">
        <f t="shared" si="70"/>
        <v/>
      </c>
      <c r="N320" t="str">
        <f t="shared" si="71"/>
        <v/>
      </c>
      <c r="O320" t="str">
        <f t="shared" si="72"/>
        <v/>
      </c>
      <c r="P320" t="str">
        <f t="shared" si="73"/>
        <v/>
      </c>
      <c r="Q320" t="str">
        <f t="shared" si="74"/>
        <v/>
      </c>
      <c r="R320" s="20" t="str">
        <f t="shared" si="75"/>
        <v>WV</v>
      </c>
      <c r="S320" s="20" t="str">
        <f>IF(Data!E318="GpsRecord",Data!G318,"")</f>
        <v/>
      </c>
      <c r="T320" s="20" t="str">
        <f>IF(Data!E318="GpsRecord",Data!H318,"")</f>
        <v/>
      </c>
      <c r="U320" s="20">
        <f t="shared" si="76"/>
        <v>-39.42201</v>
      </c>
      <c r="V320" s="20">
        <f t="shared" si="77"/>
        <v>33.736229999999999</v>
      </c>
      <c r="W320" s="19">
        <f>Data!I318</f>
        <v>0</v>
      </c>
      <c r="X320" s="17" t="str">
        <f>CONCATENATE(Data!J318, " ", Data!K318)</f>
        <v xml:space="preserve"> </v>
      </c>
    </row>
    <row r="321" spans="1:24" x14ac:dyDescent="0.3">
      <c r="A321" s="17" t="str">
        <f>Data!A319</f>
        <v>vehicle1</v>
      </c>
      <c r="B321" s="17" t="str">
        <f>Data!B319</f>
        <v>Vehicle, Gasoline or Petrol</v>
      </c>
      <c r="C321" s="17" t="str">
        <f>Data!C319</f>
        <v>1f2g3h4j5k6l</v>
      </c>
      <c r="D321" s="52">
        <f>Data!D319</f>
        <v>45066.153877314813</v>
      </c>
      <c r="E321" s="60" t="str">
        <f>IF(Data!E319="GpsRecord",Data!F319,"")</f>
        <v/>
      </c>
      <c r="F321" s="68" t="str">
        <f t="shared" si="63"/>
        <v>Clarksburg, WV, HARRISON_20268, Clarksburg, WV: 500 Baltimore Ave, Clarksburg, WV 26301, USA</v>
      </c>
      <c r="G321" t="b">
        <f t="shared" si="64"/>
        <v>0</v>
      </c>
      <c r="H321" t="b">
        <f t="shared" si="65"/>
        <v>0</v>
      </c>
      <c r="I321" t="b">
        <f t="shared" si="66"/>
        <v>0</v>
      </c>
      <c r="J321" t="str">
        <f t="shared" si="67"/>
        <v/>
      </c>
      <c r="K321" t="str">
        <f t="shared" si="68"/>
        <v/>
      </c>
      <c r="L321" t="str">
        <f t="shared" si="69"/>
        <v>,</v>
      </c>
      <c r="M321" t="str">
        <f t="shared" si="70"/>
        <v/>
      </c>
      <c r="N321" t="str">
        <f t="shared" si="71"/>
        <v/>
      </c>
      <c r="O321" t="str">
        <f t="shared" si="72"/>
        <v/>
      </c>
      <c r="P321" t="str">
        <f t="shared" si="73"/>
        <v/>
      </c>
      <c r="Q321" t="str">
        <f t="shared" si="74"/>
        <v/>
      </c>
      <c r="R321" s="20" t="str">
        <f t="shared" si="75"/>
        <v>WV</v>
      </c>
      <c r="S321" s="20" t="str">
        <f>IF(Data!E319="GpsRecord",Data!G319,"")</f>
        <v/>
      </c>
      <c r="T321" s="20" t="str">
        <f>IF(Data!E319="GpsRecord",Data!H319,"")</f>
        <v/>
      </c>
      <c r="U321" s="20">
        <f t="shared" si="76"/>
        <v>-39.42201</v>
      </c>
      <c r="V321" s="20">
        <f t="shared" si="77"/>
        <v>33.736229999999999</v>
      </c>
      <c r="W321" s="19">
        <f>Data!I319</f>
        <v>0</v>
      </c>
      <c r="X321" s="17" t="str">
        <f>CONCATENATE(Data!J319, " ", Data!K319)</f>
        <v xml:space="preserve"> </v>
      </c>
    </row>
    <row r="322" spans="1:24" x14ac:dyDescent="0.3">
      <c r="A322" s="17" t="str">
        <f>Data!A320</f>
        <v>vehicle1</v>
      </c>
      <c r="B322" s="17" t="str">
        <f>Data!B320</f>
        <v>Vehicle, Gasoline or Petrol</v>
      </c>
      <c r="C322" s="17" t="str">
        <f>Data!C320</f>
        <v>1f2g3h4j5k6l</v>
      </c>
      <c r="D322" s="52">
        <f>Data!D320</f>
        <v>45066.153923611113</v>
      </c>
      <c r="E322" s="60" t="str">
        <f>IF(Data!E320="GpsRecord",Data!F320,"")</f>
        <v/>
      </c>
      <c r="F322" s="68" t="str">
        <f t="shared" si="63"/>
        <v>Clarksburg, WV, HARRISON_20268, Clarksburg, WV: 500 Baltimore Ave, Clarksburg, WV 26301, USA</v>
      </c>
      <c r="G322" t="b">
        <f t="shared" si="64"/>
        <v>0</v>
      </c>
      <c r="H322" t="b">
        <f t="shared" si="65"/>
        <v>0</v>
      </c>
      <c r="I322" t="b">
        <f t="shared" si="66"/>
        <v>0</v>
      </c>
      <c r="J322" t="str">
        <f t="shared" si="67"/>
        <v/>
      </c>
      <c r="K322" t="str">
        <f t="shared" si="68"/>
        <v/>
      </c>
      <c r="L322" t="str">
        <f t="shared" si="69"/>
        <v>,</v>
      </c>
      <c r="M322" t="str">
        <f t="shared" si="70"/>
        <v/>
      </c>
      <c r="N322" t="str">
        <f t="shared" si="71"/>
        <v/>
      </c>
      <c r="O322" t="str">
        <f t="shared" si="72"/>
        <v/>
      </c>
      <c r="P322" t="str">
        <f t="shared" si="73"/>
        <v/>
      </c>
      <c r="Q322" t="str">
        <f t="shared" si="74"/>
        <v/>
      </c>
      <c r="R322" s="20" t="str">
        <f t="shared" si="75"/>
        <v>WV</v>
      </c>
      <c r="S322" s="20" t="str">
        <f>IF(Data!E320="GpsRecord",Data!G320,"")</f>
        <v/>
      </c>
      <c r="T322" s="20" t="str">
        <f>IF(Data!E320="GpsRecord",Data!H320,"")</f>
        <v/>
      </c>
      <c r="U322" s="20">
        <f t="shared" si="76"/>
        <v>-39.42201</v>
      </c>
      <c r="V322" s="20">
        <f t="shared" si="77"/>
        <v>33.736229999999999</v>
      </c>
      <c r="W322" s="19">
        <f>Data!I320</f>
        <v>0</v>
      </c>
      <c r="X322" s="17" t="str">
        <f>CONCATENATE(Data!J320, " ", Data!K320)</f>
        <v xml:space="preserve"> </v>
      </c>
    </row>
    <row r="323" spans="1:24" x14ac:dyDescent="0.3">
      <c r="A323" s="17" t="str">
        <f>Data!A321</f>
        <v>vehicle1</v>
      </c>
      <c r="B323" s="17" t="str">
        <f>Data!B321</f>
        <v>Vehicle, Gasoline or Petrol</v>
      </c>
      <c r="C323" s="17" t="str">
        <f>Data!C321</f>
        <v>1f2g3h4j5k6l</v>
      </c>
      <c r="D323" s="52">
        <f>Data!D321</f>
        <v>45066.153923611113</v>
      </c>
      <c r="E323" s="60" t="str">
        <f>IF(Data!E321="GpsRecord",Data!F321,"")</f>
        <v/>
      </c>
      <c r="F323" s="68" t="str">
        <f t="shared" si="63"/>
        <v>Clarksburg, WV, HARRISON_20268, Clarksburg, WV: 500 Baltimore Ave, Clarksburg, WV 26301, USA</v>
      </c>
      <c r="G323" t="b">
        <f t="shared" si="64"/>
        <v>0</v>
      </c>
      <c r="H323" t="b">
        <f t="shared" si="65"/>
        <v>0</v>
      </c>
      <c r="I323" t="b">
        <f t="shared" si="66"/>
        <v>0</v>
      </c>
      <c r="J323" t="str">
        <f t="shared" si="67"/>
        <v/>
      </c>
      <c r="K323" t="str">
        <f t="shared" si="68"/>
        <v/>
      </c>
      <c r="L323" t="str">
        <f t="shared" si="69"/>
        <v>,</v>
      </c>
      <c r="M323" t="str">
        <f t="shared" si="70"/>
        <v/>
      </c>
      <c r="N323" t="str">
        <f t="shared" si="71"/>
        <v/>
      </c>
      <c r="O323" t="str">
        <f t="shared" si="72"/>
        <v/>
      </c>
      <c r="P323" t="str">
        <f t="shared" si="73"/>
        <v/>
      </c>
      <c r="Q323" t="str">
        <f t="shared" si="74"/>
        <v/>
      </c>
      <c r="R323" s="20" t="str">
        <f t="shared" si="75"/>
        <v>WV</v>
      </c>
      <c r="S323" s="20" t="str">
        <f>IF(Data!E321="GpsRecord",Data!G321,"")</f>
        <v/>
      </c>
      <c r="T323" s="20" t="str">
        <f>IF(Data!E321="GpsRecord",Data!H321,"")</f>
        <v/>
      </c>
      <c r="U323" s="20">
        <f t="shared" si="76"/>
        <v>-39.42201</v>
      </c>
      <c r="V323" s="20">
        <f t="shared" si="77"/>
        <v>33.736229999999999</v>
      </c>
      <c r="W323" s="19">
        <f>Data!I321</f>
        <v>0</v>
      </c>
      <c r="X323" s="17" t="str">
        <f>CONCATENATE(Data!J321, " ", Data!K321)</f>
        <v xml:space="preserve"> </v>
      </c>
    </row>
    <row r="324" spans="1:24" x14ac:dyDescent="0.3">
      <c r="A324" s="17" t="str">
        <f>Data!A322</f>
        <v>vehicle1</v>
      </c>
      <c r="B324" s="17" t="str">
        <f>Data!B322</f>
        <v>Vehicle, Gasoline or Petrol</v>
      </c>
      <c r="C324" s="17" t="str">
        <f>Data!C322</f>
        <v>1f2g3h4j5k6l</v>
      </c>
      <c r="D324" s="52">
        <f>Data!D322</f>
        <v>45066.153923611113</v>
      </c>
      <c r="E324" s="60" t="str">
        <f>IF(Data!E322="GpsRecord",Data!F322,"")</f>
        <v/>
      </c>
      <c r="F324" s="68" t="str">
        <f t="shared" si="63"/>
        <v>Clarksburg, WV, HARRISON_20268, Clarksburg, WV: 500 Baltimore Ave, Clarksburg, WV 26301, USA</v>
      </c>
      <c r="G324" t="b">
        <f t="shared" si="64"/>
        <v>0</v>
      </c>
      <c r="H324" t="b">
        <f t="shared" si="65"/>
        <v>0</v>
      </c>
      <c r="I324" t="b">
        <f t="shared" si="66"/>
        <v>0</v>
      </c>
      <c r="J324" t="str">
        <f t="shared" si="67"/>
        <v/>
      </c>
      <c r="K324" t="str">
        <f t="shared" si="68"/>
        <v/>
      </c>
      <c r="L324" t="str">
        <f t="shared" si="69"/>
        <v>,</v>
      </c>
      <c r="M324" t="str">
        <f t="shared" si="70"/>
        <v/>
      </c>
      <c r="N324" t="str">
        <f t="shared" si="71"/>
        <v/>
      </c>
      <c r="O324" t="str">
        <f t="shared" si="72"/>
        <v/>
      </c>
      <c r="P324" t="str">
        <f t="shared" si="73"/>
        <v/>
      </c>
      <c r="Q324" t="str">
        <f t="shared" si="74"/>
        <v/>
      </c>
      <c r="R324" s="20" t="str">
        <f t="shared" si="75"/>
        <v>WV</v>
      </c>
      <c r="S324" s="20" t="str">
        <f>IF(Data!E322="GpsRecord",Data!G322,"")</f>
        <v/>
      </c>
      <c r="T324" s="20" t="str">
        <f>IF(Data!E322="GpsRecord",Data!H322,"")</f>
        <v/>
      </c>
      <c r="U324" s="20">
        <f t="shared" si="76"/>
        <v>-39.42201</v>
      </c>
      <c r="V324" s="20">
        <f t="shared" si="77"/>
        <v>33.736229999999999</v>
      </c>
      <c r="W324" s="19">
        <f>Data!I322</f>
        <v>0</v>
      </c>
      <c r="X324" s="17" t="str">
        <f>CONCATENATE(Data!J322, " ", Data!K322)</f>
        <v xml:space="preserve"> </v>
      </c>
    </row>
    <row r="325" spans="1:24" x14ac:dyDescent="0.3">
      <c r="A325" s="17" t="str">
        <f>Data!A323</f>
        <v>vehicle1</v>
      </c>
      <c r="B325" s="17" t="str">
        <f>Data!B323</f>
        <v>Vehicle, Gasoline or Petrol</v>
      </c>
      <c r="C325" s="17" t="str">
        <f>Data!C323</f>
        <v>1f2g3h4j5k6l</v>
      </c>
      <c r="D325" s="52">
        <f>Data!D323</f>
        <v>45066.154027777775</v>
      </c>
      <c r="E325" s="60" t="str">
        <f>IF(Data!E323="GpsRecord",Data!F323,"")</f>
        <v/>
      </c>
      <c r="F325" s="68" t="str">
        <f t="shared" si="63"/>
        <v>Clarksburg, WV, HARRISON_20268, Clarksburg, WV: 500 Baltimore Ave, Clarksburg, WV 26301, USA</v>
      </c>
      <c r="G325" t="b">
        <f t="shared" si="64"/>
        <v>0</v>
      </c>
      <c r="H325" t="b">
        <f t="shared" si="65"/>
        <v>0</v>
      </c>
      <c r="I325" t="b">
        <f t="shared" si="66"/>
        <v>0</v>
      </c>
      <c r="J325" t="str">
        <f t="shared" si="67"/>
        <v/>
      </c>
      <c r="K325" t="str">
        <f t="shared" si="68"/>
        <v/>
      </c>
      <c r="L325" t="str">
        <f t="shared" si="69"/>
        <v>,</v>
      </c>
      <c r="M325" t="str">
        <f t="shared" si="70"/>
        <v/>
      </c>
      <c r="N325" t="str">
        <f t="shared" si="71"/>
        <v/>
      </c>
      <c r="O325" t="str">
        <f t="shared" si="72"/>
        <v/>
      </c>
      <c r="P325" t="str">
        <f t="shared" si="73"/>
        <v/>
      </c>
      <c r="Q325" t="str">
        <f t="shared" si="74"/>
        <v/>
      </c>
      <c r="R325" s="20" t="str">
        <f t="shared" si="75"/>
        <v>WV</v>
      </c>
      <c r="S325" s="20" t="str">
        <f>IF(Data!E323="GpsRecord",Data!G323,"")</f>
        <v/>
      </c>
      <c r="T325" s="20" t="str">
        <f>IF(Data!E323="GpsRecord",Data!H323,"")</f>
        <v/>
      </c>
      <c r="U325" s="20">
        <f t="shared" si="76"/>
        <v>-39.42201</v>
      </c>
      <c r="V325" s="20">
        <f t="shared" si="77"/>
        <v>33.736229999999999</v>
      </c>
      <c r="W325" s="19" t="str">
        <f>Data!I323</f>
        <v>Raw outside air temperature</v>
      </c>
      <c r="X325" s="17" t="str">
        <f>CONCATENATE(Data!J323, " ", Data!K323)</f>
        <v>37 C</v>
      </c>
    </row>
    <row r="326" spans="1:24" x14ac:dyDescent="0.3">
      <c r="A326" s="17" t="str">
        <f>Data!A324</f>
        <v>vehicle1</v>
      </c>
      <c r="B326" s="17" t="str">
        <f>Data!B324</f>
        <v>Vehicle, Gasoline or Petrol</v>
      </c>
      <c r="C326" s="17" t="str">
        <f>Data!C324</f>
        <v>1f2g3h4j5k6l</v>
      </c>
      <c r="D326" s="52">
        <f>Data!D324</f>
        <v>45066.154097222221</v>
      </c>
      <c r="E326" s="60" t="str">
        <f>IF(Data!E324="GpsRecord",Data!F324,"")</f>
        <v/>
      </c>
      <c r="F326" s="68" t="str">
        <f t="shared" si="63"/>
        <v>Clarksburg, WV, HARRISON_20268, Clarksburg, WV: 500 Baltimore Ave, Clarksburg, WV 26301, USA</v>
      </c>
      <c r="G326" t="b">
        <f t="shared" si="64"/>
        <v>0</v>
      </c>
      <c r="H326" t="b">
        <f t="shared" si="65"/>
        <v>0</v>
      </c>
      <c r="I326" t="b">
        <f t="shared" si="66"/>
        <v>0</v>
      </c>
      <c r="J326" t="str">
        <f t="shared" si="67"/>
        <v/>
      </c>
      <c r="K326" t="str">
        <f t="shared" si="68"/>
        <v/>
      </c>
      <c r="L326" t="str">
        <f t="shared" si="69"/>
        <v>,</v>
      </c>
      <c r="M326" t="str">
        <f t="shared" si="70"/>
        <v/>
      </c>
      <c r="N326" t="str">
        <f t="shared" si="71"/>
        <v/>
      </c>
      <c r="O326" t="str">
        <f t="shared" si="72"/>
        <v/>
      </c>
      <c r="P326" t="str">
        <f t="shared" si="73"/>
        <v/>
      </c>
      <c r="Q326" t="str">
        <f t="shared" si="74"/>
        <v/>
      </c>
      <c r="R326" s="20" t="str">
        <f t="shared" si="75"/>
        <v>WV</v>
      </c>
      <c r="S326" s="20" t="str">
        <f>IF(Data!E324="GpsRecord",Data!G324,"")</f>
        <v/>
      </c>
      <c r="T326" s="20" t="str">
        <f>IF(Data!E324="GpsRecord",Data!H324,"")</f>
        <v/>
      </c>
      <c r="U326" s="20">
        <f t="shared" si="76"/>
        <v>-39.42201</v>
      </c>
      <c r="V326" s="20">
        <f t="shared" si="77"/>
        <v>33.736229999999999</v>
      </c>
      <c r="W326" s="19" t="str">
        <f>Data!I324</f>
        <v>Fuel level while stopped (percent) tank 1</v>
      </c>
      <c r="X326" s="17" t="str">
        <f>CONCATENATE(Data!J324, " ", Data!K324)</f>
        <v>54.1098 %</v>
      </c>
    </row>
    <row r="327" spans="1:24" x14ac:dyDescent="0.3">
      <c r="A327" s="17" t="str">
        <f>Data!A325</f>
        <v>vehicle1</v>
      </c>
      <c r="B327" s="17" t="str">
        <f>Data!B325</f>
        <v>Vehicle, Gasoline or Petrol</v>
      </c>
      <c r="C327" s="17" t="str">
        <f>Data!C325</f>
        <v>1f2g3h4j5k6l</v>
      </c>
      <c r="D327" s="52">
        <f>Data!D325</f>
        <v>45066.154097222221</v>
      </c>
      <c r="E327" s="60" t="str">
        <f>IF(Data!E325="GpsRecord",Data!F325,"")</f>
        <v>Clarksburg, WV, HARRISON_20268, Clarksburg, WV: 500 Baltimore Ave, Clarksburg, WV 26301, USA</v>
      </c>
      <c r="F327" s="68" t="str">
        <f t="shared" si="63"/>
        <v>Clarksburg, WV, HARRISON_20268, Clarksburg, WV: 500 Baltimore Ave, Clarksburg, WV 26301, USA</v>
      </c>
      <c r="G327" t="b">
        <f t="shared" si="64"/>
        <v>0</v>
      </c>
      <c r="H327" t="b">
        <f t="shared" si="65"/>
        <v>1</v>
      </c>
      <c r="I327" t="b">
        <f t="shared" si="66"/>
        <v>1</v>
      </c>
      <c r="J327" t="str">
        <f t="shared" si="67"/>
        <v>500 Baltimore Ave, Clarksburg, WV 26301, USA</v>
      </c>
      <c r="K327" t="str">
        <f t="shared" si="68"/>
        <v xml:space="preserve"> USA</v>
      </c>
      <c r="L327" t="str">
        <f t="shared" si="69"/>
        <v>, USA</v>
      </c>
      <c r="M327" t="str">
        <f t="shared" si="70"/>
        <v>500 Baltimore Ave, Clarksburg, WV 26301</v>
      </c>
      <c r="N327" t="str">
        <f t="shared" si="71"/>
        <v xml:space="preserve"> WV 26301</v>
      </c>
      <c r="O327" t="str">
        <f t="shared" si="72"/>
        <v>26301</v>
      </c>
      <c r="P327" t="str">
        <f t="shared" si="73"/>
        <v xml:space="preserve"> WV</v>
      </c>
      <c r="Q327" t="str">
        <f t="shared" si="74"/>
        <v>WV</v>
      </c>
      <c r="R327" s="20" t="str">
        <f t="shared" si="75"/>
        <v>WV</v>
      </c>
      <c r="S327" s="20">
        <f>IF(Data!E325="GpsRecord",Data!G325,"")</f>
        <v>-39.42201</v>
      </c>
      <c r="T327" s="20">
        <f>IF(Data!E325="GpsRecord",Data!H325,"")</f>
        <v>33.736229999999999</v>
      </c>
      <c r="U327" s="20">
        <f t="shared" si="76"/>
        <v>-39.42201</v>
      </c>
      <c r="V327" s="20">
        <f t="shared" si="77"/>
        <v>33.736229999999999</v>
      </c>
      <c r="W327" s="19">
        <f>Data!I325</f>
        <v>0</v>
      </c>
      <c r="X327" s="17" t="str">
        <f>CONCATENATE(Data!J325, " ", Data!K325)</f>
        <v xml:space="preserve"> </v>
      </c>
    </row>
    <row r="328" spans="1:24" x14ac:dyDescent="0.3">
      <c r="A328" s="17" t="str">
        <f>Data!A326</f>
        <v>vehicle1</v>
      </c>
      <c r="B328" s="17" t="str">
        <f>Data!B326</f>
        <v>Vehicle, Gasoline or Petrol</v>
      </c>
      <c r="C328" s="17" t="str">
        <f>Data!C326</f>
        <v>1f2g3h4j5k6l</v>
      </c>
      <c r="D328" s="52">
        <f>Data!D326</f>
        <v>45066.154108796298</v>
      </c>
      <c r="E328" s="60" t="str">
        <f>IF(Data!E326="GpsRecord",Data!F326,"")</f>
        <v/>
      </c>
      <c r="F328" s="68" t="str">
        <f t="shared" si="63"/>
        <v>Clarksburg, WV, HARRISON_20268, Clarksburg, WV: 500 Baltimore Ave, Clarksburg, WV 26301, USA</v>
      </c>
      <c r="G328" t="b">
        <f t="shared" si="64"/>
        <v>0</v>
      </c>
      <c r="H328" t="b">
        <f t="shared" si="65"/>
        <v>0</v>
      </c>
      <c r="I328" t="b">
        <f t="shared" si="66"/>
        <v>0</v>
      </c>
      <c r="J328" t="str">
        <f t="shared" si="67"/>
        <v/>
      </c>
      <c r="K328" t="str">
        <f t="shared" si="68"/>
        <v/>
      </c>
      <c r="L328" t="str">
        <f t="shared" si="69"/>
        <v>,</v>
      </c>
      <c r="M328" t="str">
        <f t="shared" si="70"/>
        <v/>
      </c>
      <c r="N328" t="str">
        <f t="shared" si="71"/>
        <v/>
      </c>
      <c r="O328" t="str">
        <f t="shared" si="72"/>
        <v/>
      </c>
      <c r="P328" t="str">
        <f t="shared" si="73"/>
        <v/>
      </c>
      <c r="Q328" t="str">
        <f t="shared" si="74"/>
        <v/>
      </c>
      <c r="R328" s="20" t="str">
        <f t="shared" si="75"/>
        <v>WV</v>
      </c>
      <c r="S328" s="20" t="str">
        <f>IF(Data!E326="GpsRecord",Data!G326,"")</f>
        <v/>
      </c>
      <c r="T328" s="20" t="str">
        <f>IF(Data!E326="GpsRecord",Data!H326,"")</f>
        <v/>
      </c>
      <c r="U328" s="20">
        <f t="shared" si="76"/>
        <v>-39.42201</v>
      </c>
      <c r="V328" s="20">
        <f t="shared" si="77"/>
        <v>33.736229999999999</v>
      </c>
      <c r="W328" s="19" t="str">
        <f>Data!I326</f>
        <v>Fuel level while stopped (percent) tank 1</v>
      </c>
      <c r="X328" s="17" t="str">
        <f>CONCATENATE(Data!J326, " ", Data!K326)</f>
        <v>50.5809 %</v>
      </c>
    </row>
    <row r="329" spans="1:24" x14ac:dyDescent="0.3">
      <c r="A329" s="17" t="str">
        <f>Data!A327</f>
        <v>vehicle1</v>
      </c>
      <c r="B329" s="17" t="str">
        <f>Data!B327</f>
        <v>Vehicle, Gasoline or Petrol</v>
      </c>
      <c r="C329" s="17" t="str">
        <f>Data!C327</f>
        <v>1f2g3h4j5k6l</v>
      </c>
      <c r="D329" s="52">
        <f>Data!D327</f>
        <v>45066.154108796298</v>
      </c>
      <c r="E329" s="60" t="str">
        <f>IF(Data!E327="GpsRecord",Data!F327,"")</f>
        <v/>
      </c>
      <c r="F329" s="68" t="str">
        <f t="shared" si="63"/>
        <v>Clarksburg, WV, HARRISON_20268, Clarksburg, WV: 500 Baltimore Ave, Clarksburg, WV 26301, USA</v>
      </c>
      <c r="G329" t="b">
        <f t="shared" si="64"/>
        <v>0</v>
      </c>
      <c r="H329" t="b">
        <f t="shared" si="65"/>
        <v>0</v>
      </c>
      <c r="I329" t="b">
        <f t="shared" si="66"/>
        <v>0</v>
      </c>
      <c r="J329" t="str">
        <f t="shared" si="67"/>
        <v/>
      </c>
      <c r="K329" t="str">
        <f t="shared" si="68"/>
        <v/>
      </c>
      <c r="L329" t="str">
        <f t="shared" si="69"/>
        <v>,</v>
      </c>
      <c r="M329" t="str">
        <f t="shared" si="70"/>
        <v/>
      </c>
      <c r="N329" t="str">
        <f t="shared" si="71"/>
        <v/>
      </c>
      <c r="O329" t="str">
        <f t="shared" si="72"/>
        <v/>
      </c>
      <c r="P329" t="str">
        <f t="shared" si="73"/>
        <v/>
      </c>
      <c r="Q329" t="str">
        <f t="shared" si="74"/>
        <v/>
      </c>
      <c r="R329" s="20" t="str">
        <f t="shared" si="75"/>
        <v>WV</v>
      </c>
      <c r="S329" s="20" t="str">
        <f>IF(Data!E327="GpsRecord",Data!G327,"")</f>
        <v/>
      </c>
      <c r="T329" s="20" t="str">
        <f>IF(Data!E327="GpsRecord",Data!H327,"")</f>
        <v/>
      </c>
      <c r="U329" s="20">
        <f t="shared" si="76"/>
        <v>-39.42201</v>
      </c>
      <c r="V329" s="20">
        <f t="shared" si="77"/>
        <v>33.736229999999999</v>
      </c>
      <c r="W329" s="19" t="str">
        <f>Data!I327</f>
        <v>Engine road speed</v>
      </c>
      <c r="X329" s="17" t="str">
        <f>CONCATENATE(Data!J327, " ", Data!K327)</f>
        <v>1 km/h</v>
      </c>
    </row>
    <row r="330" spans="1:24" x14ac:dyDescent="0.3">
      <c r="A330" s="17" t="str">
        <f>Data!A328</f>
        <v>vehicle1</v>
      </c>
      <c r="B330" s="17" t="str">
        <f>Data!B328</f>
        <v>Vehicle, Gasoline or Petrol</v>
      </c>
      <c r="C330" s="17" t="str">
        <f>Data!C328</f>
        <v>1f2g3h4j5k6l</v>
      </c>
      <c r="D330" s="52">
        <f>Data!D328</f>
        <v>45066.154108796298</v>
      </c>
      <c r="E330" s="60" t="str">
        <f>IF(Data!E328="GpsRecord",Data!F328,"")</f>
        <v/>
      </c>
      <c r="F330" s="68" t="str">
        <f t="shared" si="63"/>
        <v>Clarksburg, WV, HARRISON_20268, Clarksburg, WV: 500 Baltimore Ave, Clarksburg, WV 26301, USA</v>
      </c>
      <c r="G330" t="b">
        <f t="shared" si="64"/>
        <v>0</v>
      </c>
      <c r="H330" t="b">
        <f t="shared" si="65"/>
        <v>0</v>
      </c>
      <c r="I330" t="b">
        <f t="shared" si="66"/>
        <v>0</v>
      </c>
      <c r="J330" t="str">
        <f t="shared" si="67"/>
        <v/>
      </c>
      <c r="K330" t="str">
        <f t="shared" si="68"/>
        <v/>
      </c>
      <c r="L330" t="str">
        <f t="shared" si="69"/>
        <v>,</v>
      </c>
      <c r="M330" t="str">
        <f t="shared" si="70"/>
        <v/>
      </c>
      <c r="N330" t="str">
        <f t="shared" si="71"/>
        <v/>
      </c>
      <c r="O330" t="str">
        <f t="shared" si="72"/>
        <v/>
      </c>
      <c r="P330" t="str">
        <f t="shared" si="73"/>
        <v/>
      </c>
      <c r="Q330" t="str">
        <f t="shared" si="74"/>
        <v/>
      </c>
      <c r="R330" s="20" t="str">
        <f t="shared" si="75"/>
        <v>WV</v>
      </c>
      <c r="S330" s="20" t="str">
        <f>IF(Data!E328="GpsRecord",Data!G328,"")</f>
        <v/>
      </c>
      <c r="T330" s="20" t="str">
        <f>IF(Data!E328="GpsRecord",Data!H328,"")</f>
        <v/>
      </c>
      <c r="U330" s="20">
        <f t="shared" si="76"/>
        <v>-39.42201</v>
      </c>
      <c r="V330" s="20">
        <f t="shared" si="77"/>
        <v>33.736229999999999</v>
      </c>
      <c r="W330" s="19" t="str">
        <f>Data!I328</f>
        <v>Stop event duration</v>
      </c>
      <c r="X330" s="17" t="str">
        <f>CONCATENATE(Data!J328, " ", Data!K328)</f>
        <v>0.008333333334 h</v>
      </c>
    </row>
    <row r="331" spans="1:24" x14ac:dyDescent="0.3">
      <c r="A331" s="17" t="str">
        <f>Data!A329</f>
        <v>vehicle1</v>
      </c>
      <c r="B331" s="17" t="str">
        <f>Data!B329</f>
        <v>Vehicle, Gasoline or Petrol</v>
      </c>
      <c r="C331" s="17" t="str">
        <f>Data!C329</f>
        <v>1f2g3h4j5k6l</v>
      </c>
      <c r="D331" s="52">
        <f>Data!D329</f>
        <v>45066.154108796298</v>
      </c>
      <c r="E331" s="60" t="str">
        <f>IF(Data!E329="GpsRecord",Data!F329,"")</f>
        <v/>
      </c>
      <c r="F331" s="68" t="str">
        <f t="shared" si="63"/>
        <v>Clarksburg, WV, HARRISON_20268, Clarksburg, WV: 500 Baltimore Ave, Clarksburg, WV 26301, USA</v>
      </c>
      <c r="G331" t="b">
        <f t="shared" si="64"/>
        <v>0</v>
      </c>
      <c r="H331" t="b">
        <f t="shared" si="65"/>
        <v>0</v>
      </c>
      <c r="I331" t="b">
        <f t="shared" si="66"/>
        <v>0</v>
      </c>
      <c r="J331" t="str">
        <f t="shared" si="67"/>
        <v/>
      </c>
      <c r="K331" t="str">
        <f t="shared" si="68"/>
        <v/>
      </c>
      <c r="L331" t="str">
        <f t="shared" si="69"/>
        <v>,</v>
      </c>
      <c r="M331" t="str">
        <f t="shared" si="70"/>
        <v/>
      </c>
      <c r="N331" t="str">
        <f t="shared" si="71"/>
        <v/>
      </c>
      <c r="O331" t="str">
        <f t="shared" si="72"/>
        <v/>
      </c>
      <c r="P331" t="str">
        <f t="shared" si="73"/>
        <v/>
      </c>
      <c r="Q331" t="str">
        <f t="shared" si="74"/>
        <v/>
      </c>
      <c r="R331" s="20" t="str">
        <f t="shared" si="75"/>
        <v>WV</v>
      </c>
      <c r="S331" s="20" t="str">
        <f>IF(Data!E329="GpsRecord",Data!G329,"")</f>
        <v/>
      </c>
      <c r="T331" s="20" t="str">
        <f>IF(Data!E329="GpsRecord",Data!H329,"")</f>
        <v/>
      </c>
      <c r="U331" s="20">
        <f t="shared" si="76"/>
        <v>-39.42201</v>
      </c>
      <c r="V331" s="20">
        <f t="shared" si="77"/>
        <v>33.736229999999999</v>
      </c>
      <c r="W331" s="19" t="str">
        <f>Data!I329</f>
        <v>Stop event fuel</v>
      </c>
      <c r="X331" s="17" t="str">
        <f>CONCATENATE(Data!J329, " ", Data!K329)</f>
        <v>0.006 L</v>
      </c>
    </row>
    <row r="332" spans="1:24" x14ac:dyDescent="0.3">
      <c r="A332" s="17" t="str">
        <f>Data!A330</f>
        <v>vehicle1</v>
      </c>
      <c r="B332" s="17" t="str">
        <f>Data!B330</f>
        <v>Vehicle, Gasoline or Petrol</v>
      </c>
      <c r="C332" s="17" t="str">
        <f>Data!C330</f>
        <v>1f2g3h4j5k6l</v>
      </c>
      <c r="D332" s="52">
        <f>Data!D330</f>
        <v>45066.154108796298</v>
      </c>
      <c r="E332" s="60" t="str">
        <f>IF(Data!E330="GpsRecord",Data!F330,"")</f>
        <v/>
      </c>
      <c r="F332" s="68" t="str">
        <f t="shared" si="63"/>
        <v>Clarksburg, WV, HARRISON_20268, Clarksburg, WV: 500 Baltimore Ave, Clarksburg, WV 26301, USA</v>
      </c>
      <c r="G332" t="b">
        <f t="shared" si="64"/>
        <v>0</v>
      </c>
      <c r="H332" t="b">
        <f t="shared" si="65"/>
        <v>0</v>
      </c>
      <c r="I332" t="b">
        <f t="shared" si="66"/>
        <v>0</v>
      </c>
      <c r="J332" t="str">
        <f t="shared" si="67"/>
        <v/>
      </c>
      <c r="K332" t="str">
        <f t="shared" si="68"/>
        <v/>
      </c>
      <c r="L332" t="str">
        <f t="shared" si="69"/>
        <v>,</v>
      </c>
      <c r="M332" t="str">
        <f t="shared" si="70"/>
        <v/>
      </c>
      <c r="N332" t="str">
        <f t="shared" si="71"/>
        <v/>
      </c>
      <c r="O332" t="str">
        <f t="shared" si="72"/>
        <v/>
      </c>
      <c r="P332" t="str">
        <f t="shared" si="73"/>
        <v/>
      </c>
      <c r="Q332" t="str">
        <f t="shared" si="74"/>
        <v/>
      </c>
      <c r="R332" s="20" t="str">
        <f t="shared" si="75"/>
        <v>WV</v>
      </c>
      <c r="S332" s="20" t="str">
        <f>IF(Data!E330="GpsRecord",Data!G330,"")</f>
        <v/>
      </c>
      <c r="T332" s="20" t="str">
        <f>IF(Data!E330="GpsRecord",Data!H330,"")</f>
        <v/>
      </c>
      <c r="U332" s="20">
        <f t="shared" si="76"/>
        <v>-39.42201</v>
      </c>
      <c r="V332" s="20">
        <f t="shared" si="77"/>
        <v>33.736229999999999</v>
      </c>
      <c r="W332" s="19">
        <f>Data!I330</f>
        <v>0</v>
      </c>
      <c r="X332" s="17" t="str">
        <f>CONCATENATE(Data!J330, " ", Data!K330)</f>
        <v xml:space="preserve"> </v>
      </c>
    </row>
    <row r="333" spans="1:24" x14ac:dyDescent="0.3">
      <c r="A333" s="17" t="str">
        <f>Data!A331</f>
        <v>vehicle1</v>
      </c>
      <c r="B333" s="17" t="str">
        <f>Data!B331</f>
        <v>Vehicle, Gasoline or Petrol</v>
      </c>
      <c r="C333" s="17" t="str">
        <f>Data!C331</f>
        <v>1f2g3h4j5k6l</v>
      </c>
      <c r="D333" s="52">
        <f>Data!D331</f>
        <v>45066.154108796298</v>
      </c>
      <c r="E333" s="60" t="str">
        <f>IF(Data!E331="GpsRecord",Data!F331,"")</f>
        <v>Clarksburg, WV, HARRISON_20268, Clarksburg, WV: 500 Baltimore Ave, Clarksburg, WV 26301, USA</v>
      </c>
      <c r="F333" s="68" t="str">
        <f t="shared" ref="F333:F396" si="78">IF(E333&lt;&gt;"",E333, IF(F332&lt;&gt;$F$12, F332, ""))</f>
        <v>Clarksburg, WV, HARRISON_20268, Clarksburg, WV: 500 Baltimore Ave, Clarksburg, WV 26301, USA</v>
      </c>
      <c r="G333" t="b">
        <f t="shared" si="64"/>
        <v>0</v>
      </c>
      <c r="H333" t="b">
        <f t="shared" si="65"/>
        <v>1</v>
      </c>
      <c r="I333" t="b">
        <f t="shared" si="66"/>
        <v>1</v>
      </c>
      <c r="J333" t="str">
        <f t="shared" si="67"/>
        <v>500 Baltimore Ave, Clarksburg, WV 26301, USA</v>
      </c>
      <c r="K333" t="str">
        <f t="shared" si="68"/>
        <v xml:space="preserve"> USA</v>
      </c>
      <c r="L333" t="str">
        <f t="shared" si="69"/>
        <v>, USA</v>
      </c>
      <c r="M333" t="str">
        <f t="shared" si="70"/>
        <v>500 Baltimore Ave, Clarksburg, WV 26301</v>
      </c>
      <c r="N333" t="str">
        <f t="shared" si="71"/>
        <v xml:space="preserve"> WV 26301</v>
      </c>
      <c r="O333" t="str">
        <f t="shared" si="72"/>
        <v>26301</v>
      </c>
      <c r="P333" t="str">
        <f t="shared" si="73"/>
        <v xml:space="preserve"> WV</v>
      </c>
      <c r="Q333" t="str">
        <f t="shared" si="74"/>
        <v>WV</v>
      </c>
      <c r="R333" s="20" t="str">
        <f t="shared" si="75"/>
        <v>WV</v>
      </c>
      <c r="S333" s="20">
        <f>IF(Data!E331="GpsRecord",Data!G331,"")</f>
        <v>-39.42201</v>
      </c>
      <c r="T333" s="20">
        <f>IF(Data!E331="GpsRecord",Data!H331,"")</f>
        <v>33.736229999999999</v>
      </c>
      <c r="U333" s="20">
        <f t="shared" si="76"/>
        <v>-39.42201</v>
      </c>
      <c r="V333" s="20">
        <f t="shared" si="77"/>
        <v>33.736229999999999</v>
      </c>
      <c r="W333" s="19">
        <f>Data!I331</f>
        <v>0</v>
      </c>
      <c r="X333" s="17" t="str">
        <f>CONCATENATE(Data!J331, " ", Data!K331)</f>
        <v xml:space="preserve"> </v>
      </c>
    </row>
    <row r="334" spans="1:24" x14ac:dyDescent="0.3">
      <c r="A334" s="17" t="str">
        <f>Data!A332</f>
        <v>vehicle1</v>
      </c>
      <c r="B334" s="17" t="str">
        <f>Data!B332</f>
        <v>Vehicle, Gasoline or Petrol</v>
      </c>
      <c r="C334" s="17" t="str">
        <f>Data!C332</f>
        <v>1f2g3h4j5k6l</v>
      </c>
      <c r="D334" s="52">
        <f>Data!D332</f>
        <v>45066.154108796298</v>
      </c>
      <c r="E334" s="60" t="str">
        <f>IF(Data!E332="GpsRecord",Data!F332,"")</f>
        <v/>
      </c>
      <c r="F334" s="68" t="str">
        <f t="shared" si="78"/>
        <v>Clarksburg, WV, HARRISON_20268, Clarksburg, WV: 500 Baltimore Ave, Clarksburg, WV 26301, USA</v>
      </c>
      <c r="G334" t="b">
        <f t="shared" ref="G334:G397" si="79">ISNUMBER(FIND($G$11,E334))</f>
        <v>0</v>
      </c>
      <c r="H334" t="b">
        <f t="shared" ref="H334:H397" si="80">ISNUMBER(FIND($H$11,E334))</f>
        <v>0</v>
      </c>
      <c r="I334" t="b">
        <f t="shared" ref="I334:I397" si="81">OR(G334,H334)</f>
        <v>0</v>
      </c>
      <c r="J334" t="str">
        <f t="shared" ref="J334:J397" si="82">IFERROR(MID(E334,FIND(": ",E334)+2,255),E334)</f>
        <v/>
      </c>
      <c r="K334" t="str">
        <f t="shared" ref="K334:K397" si="83">IFERROR(RIGHT(J334,LEN(J334)-FIND("@",SUBSTITUTE(J334,",","@",LEN(J334)-LEN(SUBSTITUTE(J334,",",""))),1)),J334)</f>
        <v/>
      </c>
      <c r="L334" t="str">
        <f t="shared" ref="L334:L397" si="84">","&amp;K334</f>
        <v>,</v>
      </c>
      <c r="M334" t="str">
        <f t="shared" ref="M334:M397" si="85">IF(I334,SUBSTITUTE(J334,L334,""),J334)</f>
        <v/>
      </c>
      <c r="N334" t="str">
        <f t="shared" ref="N334:N397" si="86">IFERROR(RIGHT(M334,LEN(M334)-FIND("@",SUBSTITUTE(M334,",","@",LEN(M334)-LEN(SUBSTITUTE(M334,",",""))),1)),M334)</f>
        <v/>
      </c>
      <c r="O334" t="str">
        <f t="shared" ref="O334:O397" si="87">IFERROR(RIGHT(N334,LEN(N334)-FIND("@",SUBSTITUTE(N334," ","@",LEN(N334)-LEN(SUBSTITUTE(N334," ",""))),1)),N334)</f>
        <v/>
      </c>
      <c r="P334" t="str">
        <f t="shared" ref="P334:P397" si="88">SUBSTITUTE(N334,CONCATENATE(" ",O334),"")</f>
        <v/>
      </c>
      <c r="Q334" t="str">
        <f t="shared" ref="Q334:Q397" si="89">IF(G334, MID(P334,2,2),RIGHT(P334,2))</f>
        <v/>
      </c>
      <c r="R334" s="20" t="str">
        <f t="shared" ref="R334:R397" si="90">IF(Q334&lt;&gt;"",Q334, IF(R333&lt;&gt;$R$12, R333, ""))</f>
        <v>WV</v>
      </c>
      <c r="S334" s="20" t="str">
        <f>IF(Data!E332="GpsRecord",Data!G332,"")</f>
        <v/>
      </c>
      <c r="T334" s="20" t="str">
        <f>IF(Data!E332="GpsRecord",Data!H332,"")</f>
        <v/>
      </c>
      <c r="U334" s="20">
        <f t="shared" ref="U334:U397" si="91">IF(S334&lt;&gt;"", S334, IF(U333&lt;&gt;$U$12, U333, ""))</f>
        <v>-39.42201</v>
      </c>
      <c r="V334" s="20">
        <f t="shared" ref="V334:V397" si="92">IF(T334&lt;&gt;"", T334, IF(V333&lt;&gt;$V$12, V333, ""))</f>
        <v>33.736229999999999</v>
      </c>
      <c r="W334" s="19" t="str">
        <f>Data!I332</f>
        <v>Total fuel used (since telematics device install)</v>
      </c>
      <c r="X334" s="17" t="str">
        <f>CONCATENATE(Data!J332, " ", Data!K332)</f>
        <v>1997.68 L</v>
      </c>
    </row>
    <row r="335" spans="1:24" x14ac:dyDescent="0.3">
      <c r="A335" s="17" t="str">
        <f>Data!A333</f>
        <v>vehicle1</v>
      </c>
      <c r="B335" s="17" t="str">
        <f>Data!B333</f>
        <v>Vehicle, Gasoline or Petrol</v>
      </c>
      <c r="C335" s="17" t="str">
        <f>Data!C333</f>
        <v>1f2g3h4j5k6l</v>
      </c>
      <c r="D335" s="52">
        <f>Data!D333</f>
        <v>45066.154120370367</v>
      </c>
      <c r="E335" s="60" t="str">
        <f>IF(Data!E333="GpsRecord",Data!F333,"")</f>
        <v/>
      </c>
      <c r="F335" s="68" t="str">
        <f t="shared" si="78"/>
        <v>Clarksburg, WV, HARRISON_20268, Clarksburg, WV: 500 Baltimore Ave, Clarksburg, WV 26301, USA</v>
      </c>
      <c r="G335" t="b">
        <f t="shared" si="79"/>
        <v>0</v>
      </c>
      <c r="H335" t="b">
        <f t="shared" si="80"/>
        <v>0</v>
      </c>
      <c r="I335" t="b">
        <f t="shared" si="81"/>
        <v>0</v>
      </c>
      <c r="J335" t="str">
        <f t="shared" si="82"/>
        <v/>
      </c>
      <c r="K335" t="str">
        <f t="shared" si="83"/>
        <v/>
      </c>
      <c r="L335" t="str">
        <f t="shared" si="84"/>
        <v>,</v>
      </c>
      <c r="M335" t="str">
        <f t="shared" si="85"/>
        <v/>
      </c>
      <c r="N335" t="str">
        <f t="shared" si="86"/>
        <v/>
      </c>
      <c r="O335" t="str">
        <f t="shared" si="87"/>
        <v/>
      </c>
      <c r="P335" t="str">
        <f t="shared" si="88"/>
        <v/>
      </c>
      <c r="Q335" t="str">
        <f t="shared" si="89"/>
        <v/>
      </c>
      <c r="R335" s="20" t="str">
        <f t="shared" si="90"/>
        <v>WV</v>
      </c>
      <c r="S335" s="20" t="str">
        <f>IF(Data!E333="GpsRecord",Data!G333,"")</f>
        <v/>
      </c>
      <c r="T335" s="20" t="str">
        <f>IF(Data!E333="GpsRecord",Data!H333,"")</f>
        <v/>
      </c>
      <c r="U335" s="20">
        <f t="shared" si="91"/>
        <v>-39.42201</v>
      </c>
      <c r="V335" s="20">
        <f t="shared" si="92"/>
        <v>33.736229999999999</v>
      </c>
      <c r="W335" s="19" t="str">
        <f>Data!I333</f>
        <v>Fuel level while stopped (percent) tank 1</v>
      </c>
      <c r="X335" s="17" t="str">
        <f>CONCATENATE(Data!J333, " ", Data!K333)</f>
        <v>58.0308 %</v>
      </c>
    </row>
    <row r="336" spans="1:24" x14ac:dyDescent="0.3">
      <c r="A336" s="17" t="str">
        <f>Data!A334</f>
        <v>vehicle1</v>
      </c>
      <c r="B336" s="17" t="str">
        <f>Data!B334</f>
        <v>Vehicle, Gasoline or Petrol</v>
      </c>
      <c r="C336" s="17" t="str">
        <f>Data!C334</f>
        <v>1f2g3h4j5k6l</v>
      </c>
      <c r="D336" s="52">
        <f>Data!D334</f>
        <v>45066.154120370367</v>
      </c>
      <c r="E336" s="60" t="str">
        <f>IF(Data!E334="GpsRecord",Data!F334,"")</f>
        <v/>
      </c>
      <c r="F336" s="68" t="str">
        <f t="shared" si="78"/>
        <v>Clarksburg, WV, HARRISON_20268, Clarksburg, WV: 500 Baltimore Ave, Clarksburg, WV 26301, USA</v>
      </c>
      <c r="G336" t="b">
        <f t="shared" si="79"/>
        <v>0</v>
      </c>
      <c r="H336" t="b">
        <f t="shared" si="80"/>
        <v>0</v>
      </c>
      <c r="I336" t="b">
        <f t="shared" si="81"/>
        <v>0</v>
      </c>
      <c r="J336" t="str">
        <f t="shared" si="82"/>
        <v/>
      </c>
      <c r="K336" t="str">
        <f t="shared" si="83"/>
        <v/>
      </c>
      <c r="L336" t="str">
        <f t="shared" si="84"/>
        <v>,</v>
      </c>
      <c r="M336" t="str">
        <f t="shared" si="85"/>
        <v/>
      </c>
      <c r="N336" t="str">
        <f t="shared" si="86"/>
        <v/>
      </c>
      <c r="O336" t="str">
        <f t="shared" si="87"/>
        <v/>
      </c>
      <c r="P336" t="str">
        <f t="shared" si="88"/>
        <v/>
      </c>
      <c r="Q336" t="str">
        <f t="shared" si="89"/>
        <v/>
      </c>
      <c r="R336" s="20" t="str">
        <f t="shared" si="90"/>
        <v>WV</v>
      </c>
      <c r="S336" s="20" t="str">
        <f>IF(Data!E334="GpsRecord",Data!G334,"")</f>
        <v/>
      </c>
      <c r="T336" s="20" t="str">
        <f>IF(Data!E334="GpsRecord",Data!H334,"")</f>
        <v/>
      </c>
      <c r="U336" s="20">
        <f t="shared" si="91"/>
        <v>-39.42201</v>
      </c>
      <c r="V336" s="20">
        <f t="shared" si="92"/>
        <v>33.736229999999999</v>
      </c>
      <c r="W336" s="19" t="str">
        <f>Data!I334</f>
        <v>Engine road speed</v>
      </c>
      <c r="X336" s="17" t="str">
        <f>CONCATENATE(Data!J334, " ", Data!K334)</f>
        <v>0 km/h</v>
      </c>
    </row>
    <row r="337" spans="1:24" x14ac:dyDescent="0.3">
      <c r="A337" s="17" t="str">
        <f>Data!A335</f>
        <v>vehicle1</v>
      </c>
      <c r="B337" s="17" t="str">
        <f>Data!B335</f>
        <v>Vehicle, Gasoline or Petrol</v>
      </c>
      <c r="C337" s="17" t="str">
        <f>Data!C335</f>
        <v>1f2g3h4j5k6l</v>
      </c>
      <c r="D337" s="52">
        <f>Data!D335</f>
        <v>45066.154120370367</v>
      </c>
      <c r="E337" s="60" t="str">
        <f>IF(Data!E335="GpsRecord",Data!F335,"")</f>
        <v>Clarksburg, WV, HARRISON_20268, Clarksburg, WV: 500 Baltimore Ave, Clarksburg, WV 26301, USA</v>
      </c>
      <c r="F337" s="68" t="str">
        <f t="shared" si="78"/>
        <v>Clarksburg, WV, HARRISON_20268, Clarksburg, WV: 500 Baltimore Ave, Clarksburg, WV 26301, USA</v>
      </c>
      <c r="G337" t="b">
        <f t="shared" si="79"/>
        <v>0</v>
      </c>
      <c r="H337" t="b">
        <f t="shared" si="80"/>
        <v>1</v>
      </c>
      <c r="I337" t="b">
        <f t="shared" si="81"/>
        <v>1</v>
      </c>
      <c r="J337" t="str">
        <f t="shared" si="82"/>
        <v>500 Baltimore Ave, Clarksburg, WV 26301, USA</v>
      </c>
      <c r="K337" t="str">
        <f t="shared" si="83"/>
        <v xml:space="preserve"> USA</v>
      </c>
      <c r="L337" t="str">
        <f t="shared" si="84"/>
        <v>, USA</v>
      </c>
      <c r="M337" t="str">
        <f t="shared" si="85"/>
        <v>500 Baltimore Ave, Clarksburg, WV 26301</v>
      </c>
      <c r="N337" t="str">
        <f t="shared" si="86"/>
        <v xml:space="preserve"> WV 26301</v>
      </c>
      <c r="O337" t="str">
        <f t="shared" si="87"/>
        <v>26301</v>
      </c>
      <c r="P337" t="str">
        <f t="shared" si="88"/>
        <v xml:space="preserve"> WV</v>
      </c>
      <c r="Q337" t="str">
        <f t="shared" si="89"/>
        <v>WV</v>
      </c>
      <c r="R337" s="20" t="str">
        <f t="shared" si="90"/>
        <v>WV</v>
      </c>
      <c r="S337" s="20">
        <f>IF(Data!E335="GpsRecord",Data!G335,"")</f>
        <v>-39.42201</v>
      </c>
      <c r="T337" s="20">
        <f>IF(Data!E335="GpsRecord",Data!H335,"")</f>
        <v>33.73621</v>
      </c>
      <c r="U337" s="20">
        <f t="shared" si="91"/>
        <v>-39.42201</v>
      </c>
      <c r="V337" s="20">
        <f t="shared" si="92"/>
        <v>33.73621</v>
      </c>
      <c r="W337" s="19">
        <f>Data!I335</f>
        <v>0</v>
      </c>
      <c r="X337" s="17" t="str">
        <f>CONCATENATE(Data!J335, " ", Data!K335)</f>
        <v xml:space="preserve"> </v>
      </c>
    </row>
    <row r="338" spans="1:24" x14ac:dyDescent="0.3">
      <c r="A338" s="17" t="str">
        <f>Data!A336</f>
        <v>vehicle1</v>
      </c>
      <c r="B338" s="17" t="str">
        <f>Data!B336</f>
        <v>Vehicle, Gasoline or Petrol</v>
      </c>
      <c r="C338" s="17" t="str">
        <f>Data!C336</f>
        <v>1f2g3h4j5k6l</v>
      </c>
      <c r="D338" s="52">
        <f>Data!D336</f>
        <v>45066.154120370367</v>
      </c>
      <c r="E338" s="60" t="str">
        <f>IF(Data!E336="GpsRecord",Data!F336,"")</f>
        <v/>
      </c>
      <c r="F338" s="68" t="str">
        <f t="shared" si="78"/>
        <v>Clarksburg, WV, HARRISON_20268, Clarksburg, WV: 500 Baltimore Ave, Clarksburg, WV 26301, USA</v>
      </c>
      <c r="G338" t="b">
        <f t="shared" si="79"/>
        <v>0</v>
      </c>
      <c r="H338" t="b">
        <f t="shared" si="80"/>
        <v>0</v>
      </c>
      <c r="I338" t="b">
        <f t="shared" si="81"/>
        <v>0</v>
      </c>
      <c r="J338" t="str">
        <f t="shared" si="82"/>
        <v/>
      </c>
      <c r="K338" t="str">
        <f t="shared" si="83"/>
        <v/>
      </c>
      <c r="L338" t="str">
        <f t="shared" si="84"/>
        <v>,</v>
      </c>
      <c r="M338" t="str">
        <f t="shared" si="85"/>
        <v/>
      </c>
      <c r="N338" t="str">
        <f t="shared" si="86"/>
        <v/>
      </c>
      <c r="O338" t="str">
        <f t="shared" si="87"/>
        <v/>
      </c>
      <c r="P338" t="str">
        <f t="shared" si="88"/>
        <v/>
      </c>
      <c r="Q338" t="str">
        <f t="shared" si="89"/>
        <v/>
      </c>
      <c r="R338" s="20" t="str">
        <f t="shared" si="90"/>
        <v>WV</v>
      </c>
      <c r="S338" s="20" t="str">
        <f>IF(Data!E336="GpsRecord",Data!G336,"")</f>
        <v/>
      </c>
      <c r="T338" s="20" t="str">
        <f>IF(Data!E336="GpsRecord",Data!H336,"")</f>
        <v/>
      </c>
      <c r="U338" s="20">
        <f t="shared" si="91"/>
        <v>-39.42201</v>
      </c>
      <c r="V338" s="20">
        <f t="shared" si="92"/>
        <v>33.73621</v>
      </c>
      <c r="W338" s="19" t="str">
        <f>Data!I336</f>
        <v>Engine speed</v>
      </c>
      <c r="X338" s="17" t="str">
        <f>CONCATENATE(Data!J336, " ", Data!K336)</f>
        <v>706.25 RPM</v>
      </c>
    </row>
    <row r="339" spans="1:24" x14ac:dyDescent="0.3">
      <c r="A339" s="17" t="str">
        <f>Data!A337</f>
        <v>vehicle1</v>
      </c>
      <c r="B339" s="17" t="str">
        <f>Data!B337</f>
        <v>Vehicle, Gasoline or Petrol</v>
      </c>
      <c r="C339" s="17" t="str">
        <f>Data!C337</f>
        <v>1f2g3h4j5k6l</v>
      </c>
      <c r="D339" s="52">
        <f>Data!D337</f>
        <v>45066.154120370367</v>
      </c>
      <c r="E339" s="60" t="str">
        <f>IF(Data!E337="GpsRecord",Data!F337,"")</f>
        <v/>
      </c>
      <c r="F339" s="68" t="str">
        <f t="shared" si="78"/>
        <v>Clarksburg, WV, HARRISON_20268, Clarksburg, WV: 500 Baltimore Ave, Clarksburg, WV 26301, USA</v>
      </c>
      <c r="G339" t="b">
        <f t="shared" si="79"/>
        <v>0</v>
      </c>
      <c r="H339" t="b">
        <f t="shared" si="80"/>
        <v>0</v>
      </c>
      <c r="I339" t="b">
        <f t="shared" si="81"/>
        <v>0</v>
      </c>
      <c r="J339" t="str">
        <f t="shared" si="82"/>
        <v/>
      </c>
      <c r="K339" t="str">
        <f t="shared" si="83"/>
        <v/>
      </c>
      <c r="L339" t="str">
        <f t="shared" si="84"/>
        <v>,</v>
      </c>
      <c r="M339" t="str">
        <f t="shared" si="85"/>
        <v/>
      </c>
      <c r="N339" t="str">
        <f t="shared" si="86"/>
        <v/>
      </c>
      <c r="O339" t="str">
        <f t="shared" si="87"/>
        <v/>
      </c>
      <c r="P339" t="str">
        <f t="shared" si="88"/>
        <v/>
      </c>
      <c r="Q339" t="str">
        <f t="shared" si="89"/>
        <v/>
      </c>
      <c r="R339" s="20" t="str">
        <f t="shared" si="90"/>
        <v>WV</v>
      </c>
      <c r="S339" s="20" t="str">
        <f>IF(Data!E337="GpsRecord",Data!G337,"")</f>
        <v/>
      </c>
      <c r="T339" s="20" t="str">
        <f>IF(Data!E337="GpsRecord",Data!H337,"")</f>
        <v/>
      </c>
      <c r="U339" s="20">
        <f t="shared" si="91"/>
        <v>-39.42201</v>
      </c>
      <c r="V339" s="20">
        <f t="shared" si="92"/>
        <v>33.73621</v>
      </c>
      <c r="W339" s="19" t="str">
        <f>Data!I337</f>
        <v>Total fuel used (since telematics device install)</v>
      </c>
      <c r="X339" s="17" t="str">
        <f>CONCATENATE(Data!J337, " ", Data!K337)</f>
        <v>1997.68 L</v>
      </c>
    </row>
    <row r="340" spans="1:24" x14ac:dyDescent="0.3">
      <c r="A340" s="17" t="str">
        <f>Data!A338</f>
        <v>vehicle1</v>
      </c>
      <c r="B340" s="17" t="str">
        <f>Data!B338</f>
        <v>Vehicle, Gasoline or Petrol</v>
      </c>
      <c r="C340" s="17" t="str">
        <f>Data!C338</f>
        <v>1f2g3h4j5k6l</v>
      </c>
      <c r="D340" s="52">
        <f>Data!D338</f>
        <v>45066.154120370367</v>
      </c>
      <c r="E340" s="60" t="str">
        <f>IF(Data!E338="GpsRecord",Data!F338,"")</f>
        <v/>
      </c>
      <c r="F340" s="68" t="str">
        <f t="shared" si="78"/>
        <v>Clarksburg, WV, HARRISON_20268, Clarksburg, WV: 500 Baltimore Ave, Clarksburg, WV 26301, USA</v>
      </c>
      <c r="G340" t="b">
        <f t="shared" si="79"/>
        <v>0</v>
      </c>
      <c r="H340" t="b">
        <f t="shared" si="80"/>
        <v>0</v>
      </c>
      <c r="I340" t="b">
        <f t="shared" si="81"/>
        <v>0</v>
      </c>
      <c r="J340" t="str">
        <f t="shared" si="82"/>
        <v/>
      </c>
      <c r="K340" t="str">
        <f t="shared" si="83"/>
        <v/>
      </c>
      <c r="L340" t="str">
        <f t="shared" si="84"/>
        <v>,</v>
      </c>
      <c r="M340" t="str">
        <f t="shared" si="85"/>
        <v/>
      </c>
      <c r="N340" t="str">
        <f t="shared" si="86"/>
        <v/>
      </c>
      <c r="O340" t="str">
        <f t="shared" si="87"/>
        <v/>
      </c>
      <c r="P340" t="str">
        <f t="shared" si="88"/>
        <v/>
      </c>
      <c r="Q340" t="str">
        <f t="shared" si="89"/>
        <v/>
      </c>
      <c r="R340" s="20" t="str">
        <f t="shared" si="90"/>
        <v>WV</v>
      </c>
      <c r="S340" s="20" t="str">
        <f>IF(Data!E338="GpsRecord",Data!G338,"")</f>
        <v/>
      </c>
      <c r="T340" s="20" t="str">
        <f>IF(Data!E338="GpsRecord",Data!H338,"")</f>
        <v/>
      </c>
      <c r="U340" s="20">
        <f t="shared" si="91"/>
        <v>-39.42201</v>
      </c>
      <c r="V340" s="20">
        <f t="shared" si="92"/>
        <v>33.73621</v>
      </c>
      <c r="W340" s="19" t="str">
        <f>Data!I338</f>
        <v>Trip stopped duration accumulator</v>
      </c>
      <c r="X340" s="17" t="str">
        <f>CONCATENATE(Data!J338, " ", Data!K338)</f>
        <v>0.0147222222234 h</v>
      </c>
    </row>
    <row r="341" spans="1:24" x14ac:dyDescent="0.3">
      <c r="A341" s="17" t="str">
        <f>Data!A339</f>
        <v>vehicle1</v>
      </c>
      <c r="B341" s="17" t="str">
        <f>Data!B339</f>
        <v>Vehicle, Gasoline or Petrol</v>
      </c>
      <c r="C341" s="17" t="str">
        <f>Data!C339</f>
        <v>1f2g3h4j5k6l</v>
      </c>
      <c r="D341" s="52">
        <f>Data!D339</f>
        <v>45066.154120370367</v>
      </c>
      <c r="E341" s="60" t="str">
        <f>IF(Data!E339="GpsRecord",Data!F339,"")</f>
        <v/>
      </c>
      <c r="F341" s="68" t="str">
        <f t="shared" si="78"/>
        <v>Clarksburg, WV, HARRISON_20268, Clarksburg, WV: 500 Baltimore Ave, Clarksburg, WV 26301, USA</v>
      </c>
      <c r="G341" t="b">
        <f t="shared" si="79"/>
        <v>0</v>
      </c>
      <c r="H341" t="b">
        <f t="shared" si="80"/>
        <v>0</v>
      </c>
      <c r="I341" t="b">
        <f t="shared" si="81"/>
        <v>0</v>
      </c>
      <c r="J341" t="str">
        <f t="shared" si="82"/>
        <v/>
      </c>
      <c r="K341" t="str">
        <f t="shared" si="83"/>
        <v/>
      </c>
      <c r="L341" t="str">
        <f t="shared" si="84"/>
        <v>,</v>
      </c>
      <c r="M341" t="str">
        <f t="shared" si="85"/>
        <v/>
      </c>
      <c r="N341" t="str">
        <f t="shared" si="86"/>
        <v/>
      </c>
      <c r="O341" t="str">
        <f t="shared" si="87"/>
        <v/>
      </c>
      <c r="P341" t="str">
        <f t="shared" si="88"/>
        <v/>
      </c>
      <c r="Q341" t="str">
        <f t="shared" si="89"/>
        <v/>
      </c>
      <c r="R341" s="20" t="str">
        <f t="shared" si="90"/>
        <v>WV</v>
      </c>
      <c r="S341" s="20" t="str">
        <f>IF(Data!E339="GpsRecord",Data!G339,"")</f>
        <v/>
      </c>
      <c r="T341" s="20" t="str">
        <f>IF(Data!E339="GpsRecord",Data!H339,"")</f>
        <v/>
      </c>
      <c r="U341" s="20">
        <f t="shared" si="91"/>
        <v>-39.42201</v>
      </c>
      <c r="V341" s="20">
        <f t="shared" si="92"/>
        <v>33.73621</v>
      </c>
      <c r="W341" s="19" t="str">
        <f>Data!I339</f>
        <v>Stop event duration</v>
      </c>
      <c r="X341" s="17" t="str">
        <f>CONCATENATE(Data!J339, " ", Data!K339)</f>
        <v>0.0002777777778 h</v>
      </c>
    </row>
    <row r="342" spans="1:24" x14ac:dyDescent="0.3">
      <c r="A342" s="17" t="str">
        <f>Data!A340</f>
        <v>vehicle1</v>
      </c>
      <c r="B342" s="17" t="str">
        <f>Data!B340</f>
        <v>Vehicle, Gasoline or Petrol</v>
      </c>
      <c r="C342" s="17" t="str">
        <f>Data!C340</f>
        <v>1f2g3h4j5k6l</v>
      </c>
      <c r="D342" s="52">
        <f>Data!D340</f>
        <v>45066.154120370367</v>
      </c>
      <c r="E342" s="60" t="str">
        <f>IF(Data!E340="GpsRecord",Data!F340,"")</f>
        <v/>
      </c>
      <c r="F342" s="68" t="str">
        <f t="shared" si="78"/>
        <v>Clarksburg, WV, HARRISON_20268, Clarksburg, WV: 500 Baltimore Ave, Clarksburg, WV 26301, USA</v>
      </c>
      <c r="G342" t="b">
        <f t="shared" si="79"/>
        <v>0</v>
      </c>
      <c r="H342" t="b">
        <f t="shared" si="80"/>
        <v>0</v>
      </c>
      <c r="I342" t="b">
        <f t="shared" si="81"/>
        <v>0</v>
      </c>
      <c r="J342" t="str">
        <f t="shared" si="82"/>
        <v/>
      </c>
      <c r="K342" t="str">
        <f t="shared" si="83"/>
        <v/>
      </c>
      <c r="L342" t="str">
        <f t="shared" si="84"/>
        <v>,</v>
      </c>
      <c r="M342" t="str">
        <f t="shared" si="85"/>
        <v/>
      </c>
      <c r="N342" t="str">
        <f t="shared" si="86"/>
        <v/>
      </c>
      <c r="O342" t="str">
        <f t="shared" si="87"/>
        <v/>
      </c>
      <c r="P342" t="str">
        <f t="shared" si="88"/>
        <v/>
      </c>
      <c r="Q342" t="str">
        <f t="shared" si="89"/>
        <v/>
      </c>
      <c r="R342" s="20" t="str">
        <f t="shared" si="90"/>
        <v>WV</v>
      </c>
      <c r="S342" s="20" t="str">
        <f>IF(Data!E340="GpsRecord",Data!G340,"")</f>
        <v/>
      </c>
      <c r="T342" s="20" t="str">
        <f>IF(Data!E340="GpsRecord",Data!H340,"")</f>
        <v/>
      </c>
      <c r="U342" s="20">
        <f t="shared" si="91"/>
        <v>-39.42201</v>
      </c>
      <c r="V342" s="20">
        <f t="shared" si="92"/>
        <v>33.73621</v>
      </c>
      <c r="W342" s="19" t="str">
        <f>Data!I340</f>
        <v>Stop event fuel</v>
      </c>
      <c r="X342" s="17" t="str">
        <f>CONCATENATE(Data!J340, " ", Data!K340)</f>
        <v>0 L</v>
      </c>
    </row>
    <row r="343" spans="1:24" x14ac:dyDescent="0.3">
      <c r="A343" s="17" t="str">
        <f>Data!A341</f>
        <v>vehicle1</v>
      </c>
      <c r="B343" s="17" t="str">
        <f>Data!B341</f>
        <v>Vehicle, Gasoline or Petrol</v>
      </c>
      <c r="C343" s="17" t="str">
        <f>Data!C341</f>
        <v>1f2g3h4j5k6l</v>
      </c>
      <c r="D343" s="52">
        <f>Data!D341</f>
        <v>45066.154131944444</v>
      </c>
      <c r="E343" s="60" t="str">
        <f>IF(Data!E341="GpsRecord",Data!F341,"")</f>
        <v/>
      </c>
      <c r="F343" s="68" t="str">
        <f t="shared" si="78"/>
        <v>Clarksburg, WV, HARRISON_20268, Clarksburg, WV: 500 Baltimore Ave, Clarksburg, WV 26301, USA</v>
      </c>
      <c r="G343" t="b">
        <f t="shared" si="79"/>
        <v>0</v>
      </c>
      <c r="H343" t="b">
        <f t="shared" si="80"/>
        <v>0</v>
      </c>
      <c r="I343" t="b">
        <f t="shared" si="81"/>
        <v>0</v>
      </c>
      <c r="J343" t="str">
        <f t="shared" si="82"/>
        <v/>
      </c>
      <c r="K343" t="str">
        <f t="shared" si="83"/>
        <v/>
      </c>
      <c r="L343" t="str">
        <f t="shared" si="84"/>
        <v>,</v>
      </c>
      <c r="M343" t="str">
        <f t="shared" si="85"/>
        <v/>
      </c>
      <c r="N343" t="str">
        <f t="shared" si="86"/>
        <v/>
      </c>
      <c r="O343" t="str">
        <f t="shared" si="87"/>
        <v/>
      </c>
      <c r="P343" t="str">
        <f t="shared" si="88"/>
        <v/>
      </c>
      <c r="Q343" t="str">
        <f t="shared" si="89"/>
        <v/>
      </c>
      <c r="R343" s="20" t="str">
        <f t="shared" si="90"/>
        <v>WV</v>
      </c>
      <c r="S343" s="20" t="str">
        <f>IF(Data!E341="GpsRecord",Data!G341,"")</f>
        <v/>
      </c>
      <c r="T343" s="20" t="str">
        <f>IF(Data!E341="GpsRecord",Data!H341,"")</f>
        <v/>
      </c>
      <c r="U343" s="20">
        <f t="shared" si="91"/>
        <v>-39.42201</v>
      </c>
      <c r="V343" s="20">
        <f t="shared" si="92"/>
        <v>33.73621</v>
      </c>
      <c r="W343" s="19" t="str">
        <f>Data!I341</f>
        <v>Engine road speed</v>
      </c>
      <c r="X343" s="17" t="str">
        <f>CONCATENATE(Data!J341, " ", Data!K341)</f>
        <v>2 km/h</v>
      </c>
    </row>
    <row r="344" spans="1:24" x14ac:dyDescent="0.3">
      <c r="A344" s="17" t="str">
        <f>Data!A342</f>
        <v>vehicle1</v>
      </c>
      <c r="B344" s="17" t="str">
        <f>Data!B342</f>
        <v>Vehicle, Gasoline or Petrol</v>
      </c>
      <c r="C344" s="17" t="str">
        <f>Data!C342</f>
        <v>1f2g3h4j5k6l</v>
      </c>
      <c r="D344" s="52">
        <f>Data!D342</f>
        <v>45066.154131944444</v>
      </c>
      <c r="E344" s="60" t="str">
        <f>IF(Data!E342="GpsRecord",Data!F342,"")</f>
        <v>Clarksburg, WV, HARRISON_20268, Clarksburg, WV: 500 Baltimore Ave, Clarksburg, WV 26301, USA</v>
      </c>
      <c r="F344" s="68" t="str">
        <f t="shared" si="78"/>
        <v>Clarksburg, WV, HARRISON_20268, Clarksburg, WV: 500 Baltimore Ave, Clarksburg, WV 26301, USA</v>
      </c>
      <c r="G344" t="b">
        <f t="shared" si="79"/>
        <v>0</v>
      </c>
      <c r="H344" t="b">
        <f t="shared" si="80"/>
        <v>1</v>
      </c>
      <c r="I344" t="b">
        <f t="shared" si="81"/>
        <v>1</v>
      </c>
      <c r="J344" t="str">
        <f t="shared" si="82"/>
        <v>500 Baltimore Ave, Clarksburg, WV 26301, USA</v>
      </c>
      <c r="K344" t="str">
        <f t="shared" si="83"/>
        <v xml:space="preserve"> USA</v>
      </c>
      <c r="L344" t="str">
        <f t="shared" si="84"/>
        <v>, USA</v>
      </c>
      <c r="M344" t="str">
        <f t="shared" si="85"/>
        <v>500 Baltimore Ave, Clarksburg, WV 26301</v>
      </c>
      <c r="N344" t="str">
        <f t="shared" si="86"/>
        <v xml:space="preserve"> WV 26301</v>
      </c>
      <c r="O344" t="str">
        <f t="shared" si="87"/>
        <v>26301</v>
      </c>
      <c r="P344" t="str">
        <f t="shared" si="88"/>
        <v xml:space="preserve"> WV</v>
      </c>
      <c r="Q344" t="str">
        <f t="shared" si="89"/>
        <v>WV</v>
      </c>
      <c r="R344" s="20" t="str">
        <f t="shared" si="90"/>
        <v>WV</v>
      </c>
      <c r="S344" s="20">
        <f>IF(Data!E342="GpsRecord",Data!G342,"")</f>
        <v>-39.42201</v>
      </c>
      <c r="T344" s="20">
        <f>IF(Data!E342="GpsRecord",Data!H342,"")</f>
        <v>33.73621</v>
      </c>
      <c r="U344" s="20">
        <f t="shared" si="91"/>
        <v>-39.42201</v>
      </c>
      <c r="V344" s="20">
        <f t="shared" si="92"/>
        <v>33.73621</v>
      </c>
      <c r="W344" s="19">
        <f>Data!I342</f>
        <v>0</v>
      </c>
      <c r="X344" s="17" t="str">
        <f>CONCATENATE(Data!J342, " ", Data!K342)</f>
        <v xml:space="preserve"> </v>
      </c>
    </row>
    <row r="345" spans="1:24" x14ac:dyDescent="0.3">
      <c r="A345" s="17" t="str">
        <f>Data!A343</f>
        <v>vehicle1</v>
      </c>
      <c r="B345" s="17" t="str">
        <f>Data!B343</f>
        <v>Vehicle, Gasoline or Petrol</v>
      </c>
      <c r="C345" s="17" t="str">
        <f>Data!C343</f>
        <v>1f2g3h4j5k6l</v>
      </c>
      <c r="D345" s="52">
        <f>Data!D343</f>
        <v>45066.154131944444</v>
      </c>
      <c r="E345" s="60" t="str">
        <f>IF(Data!E343="GpsRecord",Data!F343,"")</f>
        <v/>
      </c>
      <c r="F345" s="68" t="str">
        <f t="shared" si="78"/>
        <v>Clarksburg, WV, HARRISON_20268, Clarksburg, WV: 500 Baltimore Ave, Clarksburg, WV 26301, USA</v>
      </c>
      <c r="G345" t="b">
        <f t="shared" si="79"/>
        <v>0</v>
      </c>
      <c r="H345" t="b">
        <f t="shared" si="80"/>
        <v>0</v>
      </c>
      <c r="I345" t="b">
        <f t="shared" si="81"/>
        <v>0</v>
      </c>
      <c r="J345" t="str">
        <f t="shared" si="82"/>
        <v/>
      </c>
      <c r="K345" t="str">
        <f t="shared" si="83"/>
        <v/>
      </c>
      <c r="L345" t="str">
        <f t="shared" si="84"/>
        <v>,</v>
      </c>
      <c r="M345" t="str">
        <f t="shared" si="85"/>
        <v/>
      </c>
      <c r="N345" t="str">
        <f t="shared" si="86"/>
        <v/>
      </c>
      <c r="O345" t="str">
        <f t="shared" si="87"/>
        <v/>
      </c>
      <c r="P345" t="str">
        <f t="shared" si="88"/>
        <v/>
      </c>
      <c r="Q345" t="str">
        <f t="shared" si="89"/>
        <v/>
      </c>
      <c r="R345" s="20" t="str">
        <f t="shared" si="90"/>
        <v>WV</v>
      </c>
      <c r="S345" s="20" t="str">
        <f>IF(Data!E343="GpsRecord",Data!G343,"")</f>
        <v/>
      </c>
      <c r="T345" s="20" t="str">
        <f>IF(Data!E343="GpsRecord",Data!H343,"")</f>
        <v/>
      </c>
      <c r="U345" s="20">
        <f t="shared" si="91"/>
        <v>-39.42201</v>
      </c>
      <c r="V345" s="20">
        <f t="shared" si="92"/>
        <v>33.73621</v>
      </c>
      <c r="W345" s="19" t="str">
        <f>Data!I343</f>
        <v>Total fuel used (since telematics device install)</v>
      </c>
      <c r="X345" s="17" t="str">
        <f>CONCATENATE(Data!J343, " ", Data!K343)</f>
        <v>1997.69 L</v>
      </c>
    </row>
    <row r="346" spans="1:24" x14ac:dyDescent="0.3">
      <c r="A346" s="17" t="str">
        <f>Data!A344</f>
        <v>vehicle1</v>
      </c>
      <c r="B346" s="17" t="str">
        <f>Data!B344</f>
        <v>Vehicle, Gasoline or Petrol</v>
      </c>
      <c r="C346" s="17" t="str">
        <f>Data!C344</f>
        <v>1f2g3h4j5k6l</v>
      </c>
      <c r="D346" s="52">
        <f>Data!D344</f>
        <v>45066.154143518521</v>
      </c>
      <c r="E346" s="60" t="str">
        <f>IF(Data!E344="GpsRecord",Data!F344,"")</f>
        <v/>
      </c>
      <c r="F346" s="68" t="str">
        <f t="shared" si="78"/>
        <v>Clarksburg, WV, HARRISON_20268, Clarksburg, WV: 500 Baltimore Ave, Clarksburg, WV 26301, USA</v>
      </c>
      <c r="G346" t="b">
        <f t="shared" si="79"/>
        <v>0</v>
      </c>
      <c r="H346" t="b">
        <f t="shared" si="80"/>
        <v>0</v>
      </c>
      <c r="I346" t="b">
        <f t="shared" si="81"/>
        <v>0</v>
      </c>
      <c r="J346" t="str">
        <f t="shared" si="82"/>
        <v/>
      </c>
      <c r="K346" t="str">
        <f t="shared" si="83"/>
        <v/>
      </c>
      <c r="L346" t="str">
        <f t="shared" si="84"/>
        <v>,</v>
      </c>
      <c r="M346" t="str">
        <f t="shared" si="85"/>
        <v/>
      </c>
      <c r="N346" t="str">
        <f t="shared" si="86"/>
        <v/>
      </c>
      <c r="O346" t="str">
        <f t="shared" si="87"/>
        <v/>
      </c>
      <c r="P346" t="str">
        <f t="shared" si="88"/>
        <v/>
      </c>
      <c r="Q346" t="str">
        <f t="shared" si="89"/>
        <v/>
      </c>
      <c r="R346" s="20" t="str">
        <f t="shared" si="90"/>
        <v>WV</v>
      </c>
      <c r="S346" s="20" t="str">
        <f>IF(Data!E344="GpsRecord",Data!G344,"")</f>
        <v/>
      </c>
      <c r="T346" s="20" t="str">
        <f>IF(Data!E344="GpsRecord",Data!H344,"")</f>
        <v/>
      </c>
      <c r="U346" s="20">
        <f t="shared" si="91"/>
        <v>-39.42201</v>
      </c>
      <c r="V346" s="20">
        <f t="shared" si="92"/>
        <v>33.73621</v>
      </c>
      <c r="W346" s="19" t="str">
        <f>Data!I344</f>
        <v>Engine road speed</v>
      </c>
      <c r="X346" s="17" t="str">
        <f>CONCATENATE(Data!J344, " ", Data!K344)</f>
        <v>8 km/h</v>
      </c>
    </row>
    <row r="347" spans="1:24" x14ac:dyDescent="0.3">
      <c r="A347" s="17" t="str">
        <f>Data!A345</f>
        <v>vehicle1</v>
      </c>
      <c r="B347" s="17" t="str">
        <f>Data!B345</f>
        <v>Vehicle, Gasoline or Petrol</v>
      </c>
      <c r="C347" s="17" t="str">
        <f>Data!C345</f>
        <v>1f2g3h4j5k6l</v>
      </c>
      <c r="D347" s="52">
        <f>Data!D345</f>
        <v>45066.154143518521</v>
      </c>
      <c r="E347" s="60" t="str">
        <f>IF(Data!E345="GpsRecord",Data!F345,"")</f>
        <v>Clarksburg, WV, HARRISON_20268, Clarksburg, WV: 500 Baltimore Ave, Clarksburg, WV 26301, USA</v>
      </c>
      <c r="F347" s="68" t="str">
        <f t="shared" si="78"/>
        <v>Clarksburg, WV, HARRISON_20268, Clarksburg, WV: 500 Baltimore Ave, Clarksburg, WV 26301, USA</v>
      </c>
      <c r="G347" t="b">
        <f t="shared" si="79"/>
        <v>0</v>
      </c>
      <c r="H347" t="b">
        <f t="shared" si="80"/>
        <v>1</v>
      </c>
      <c r="I347" t="b">
        <f t="shared" si="81"/>
        <v>1</v>
      </c>
      <c r="J347" t="str">
        <f t="shared" si="82"/>
        <v>500 Baltimore Ave, Clarksburg, WV 26301, USA</v>
      </c>
      <c r="K347" t="str">
        <f t="shared" si="83"/>
        <v xml:space="preserve"> USA</v>
      </c>
      <c r="L347" t="str">
        <f t="shared" si="84"/>
        <v>, USA</v>
      </c>
      <c r="M347" t="str">
        <f t="shared" si="85"/>
        <v>500 Baltimore Ave, Clarksburg, WV 26301</v>
      </c>
      <c r="N347" t="str">
        <f t="shared" si="86"/>
        <v xml:space="preserve"> WV 26301</v>
      </c>
      <c r="O347" t="str">
        <f t="shared" si="87"/>
        <v>26301</v>
      </c>
      <c r="P347" t="str">
        <f t="shared" si="88"/>
        <v xml:space="preserve"> WV</v>
      </c>
      <c r="Q347" t="str">
        <f t="shared" si="89"/>
        <v>WV</v>
      </c>
      <c r="R347" s="20" t="str">
        <f t="shared" si="90"/>
        <v>WV</v>
      </c>
      <c r="S347" s="20">
        <f>IF(Data!E345="GpsRecord",Data!G345,"")</f>
        <v>-39.42201</v>
      </c>
      <c r="T347" s="20">
        <f>IF(Data!E345="GpsRecord",Data!H345,"")</f>
        <v>33.73621</v>
      </c>
      <c r="U347" s="20">
        <f t="shared" si="91"/>
        <v>-39.42201</v>
      </c>
      <c r="V347" s="20">
        <f t="shared" si="92"/>
        <v>33.73621</v>
      </c>
      <c r="W347" s="19">
        <f>Data!I345</f>
        <v>0</v>
      </c>
      <c r="X347" s="17" t="str">
        <f>CONCATENATE(Data!J345, " ", Data!K345)</f>
        <v xml:space="preserve"> </v>
      </c>
    </row>
    <row r="348" spans="1:24" x14ac:dyDescent="0.3">
      <c r="A348" s="17" t="str">
        <f>Data!A346</f>
        <v>vehicle1</v>
      </c>
      <c r="B348" s="17" t="str">
        <f>Data!B346</f>
        <v>Vehicle, Gasoline or Petrol</v>
      </c>
      <c r="C348" s="17" t="str">
        <f>Data!C346</f>
        <v>1f2g3h4j5k6l</v>
      </c>
      <c r="D348" s="52">
        <f>Data!D346</f>
        <v>45066.154143518521</v>
      </c>
      <c r="E348" s="60" t="str">
        <f>IF(Data!E346="GpsRecord",Data!F346,"")</f>
        <v/>
      </c>
      <c r="F348" s="68" t="str">
        <f t="shared" si="78"/>
        <v>Clarksburg, WV, HARRISON_20268, Clarksburg, WV: 500 Baltimore Ave, Clarksburg, WV 26301, USA</v>
      </c>
      <c r="G348" t="b">
        <f t="shared" si="79"/>
        <v>0</v>
      </c>
      <c r="H348" t="b">
        <f t="shared" si="80"/>
        <v>0</v>
      </c>
      <c r="I348" t="b">
        <f t="shared" si="81"/>
        <v>0</v>
      </c>
      <c r="J348" t="str">
        <f t="shared" si="82"/>
        <v/>
      </c>
      <c r="K348" t="str">
        <f t="shared" si="83"/>
        <v/>
      </c>
      <c r="L348" t="str">
        <f t="shared" si="84"/>
        <v>,</v>
      </c>
      <c r="M348" t="str">
        <f t="shared" si="85"/>
        <v/>
      </c>
      <c r="N348" t="str">
        <f t="shared" si="86"/>
        <v/>
      </c>
      <c r="O348" t="str">
        <f t="shared" si="87"/>
        <v/>
      </c>
      <c r="P348" t="str">
        <f t="shared" si="88"/>
        <v/>
      </c>
      <c r="Q348" t="str">
        <f t="shared" si="89"/>
        <v/>
      </c>
      <c r="R348" s="20" t="str">
        <f t="shared" si="90"/>
        <v>WV</v>
      </c>
      <c r="S348" s="20" t="str">
        <f>IF(Data!E346="GpsRecord",Data!G346,"")</f>
        <v/>
      </c>
      <c r="T348" s="20" t="str">
        <f>IF(Data!E346="GpsRecord",Data!H346,"")</f>
        <v/>
      </c>
      <c r="U348" s="20">
        <f t="shared" si="91"/>
        <v>-39.42201</v>
      </c>
      <c r="V348" s="20">
        <f t="shared" si="92"/>
        <v>33.73621</v>
      </c>
      <c r="W348" s="19" t="str">
        <f>Data!I346</f>
        <v>Engine speed</v>
      </c>
      <c r="X348" s="17" t="str">
        <f>CONCATENATE(Data!J346, " ", Data!K346)</f>
        <v>1597.75 RPM</v>
      </c>
    </row>
    <row r="349" spans="1:24" x14ac:dyDescent="0.3">
      <c r="A349" s="17" t="str">
        <f>Data!A347</f>
        <v>vehicle1</v>
      </c>
      <c r="B349" s="17" t="str">
        <f>Data!B347</f>
        <v>Vehicle, Gasoline or Petrol</v>
      </c>
      <c r="C349" s="17" t="str">
        <f>Data!C347</f>
        <v>1f2g3h4j5k6l</v>
      </c>
      <c r="D349" s="52">
        <f>Data!D347</f>
        <v>45066.154143518521</v>
      </c>
      <c r="E349" s="60" t="str">
        <f>IF(Data!E347="GpsRecord",Data!F347,"")</f>
        <v/>
      </c>
      <c r="F349" s="68" t="str">
        <f t="shared" si="78"/>
        <v>Clarksburg, WV, HARRISON_20268, Clarksburg, WV: 500 Baltimore Ave, Clarksburg, WV 26301, USA</v>
      </c>
      <c r="G349" t="b">
        <f t="shared" si="79"/>
        <v>0</v>
      </c>
      <c r="H349" t="b">
        <f t="shared" si="80"/>
        <v>0</v>
      </c>
      <c r="I349" t="b">
        <f t="shared" si="81"/>
        <v>0</v>
      </c>
      <c r="J349" t="str">
        <f t="shared" si="82"/>
        <v/>
      </c>
      <c r="K349" t="str">
        <f t="shared" si="83"/>
        <v/>
      </c>
      <c r="L349" t="str">
        <f t="shared" si="84"/>
        <v>,</v>
      </c>
      <c r="M349" t="str">
        <f t="shared" si="85"/>
        <v/>
      </c>
      <c r="N349" t="str">
        <f t="shared" si="86"/>
        <v/>
      </c>
      <c r="O349" t="str">
        <f t="shared" si="87"/>
        <v/>
      </c>
      <c r="P349" t="str">
        <f t="shared" si="88"/>
        <v/>
      </c>
      <c r="Q349" t="str">
        <f t="shared" si="89"/>
        <v/>
      </c>
      <c r="R349" s="20" t="str">
        <f t="shared" si="90"/>
        <v>WV</v>
      </c>
      <c r="S349" s="20" t="str">
        <f>IF(Data!E347="GpsRecord",Data!G347,"")</f>
        <v/>
      </c>
      <c r="T349" s="20" t="str">
        <f>IF(Data!E347="GpsRecord",Data!H347,"")</f>
        <v/>
      </c>
      <c r="U349" s="20">
        <f t="shared" si="91"/>
        <v>-39.42201</v>
      </c>
      <c r="V349" s="20">
        <f t="shared" si="92"/>
        <v>33.73621</v>
      </c>
      <c r="W349" s="19" t="str">
        <f>Data!I347</f>
        <v>Total fuel used (since telematics device install)</v>
      </c>
      <c r="X349" s="17" t="str">
        <f>CONCATENATE(Data!J347, " ", Data!K347)</f>
        <v>1997.69 L</v>
      </c>
    </row>
    <row r="350" spans="1:24" x14ac:dyDescent="0.3">
      <c r="A350" s="17" t="str">
        <f>Data!A348</f>
        <v>vehicle1</v>
      </c>
      <c r="B350" s="17" t="str">
        <f>Data!B348</f>
        <v>Vehicle, Gasoline or Petrol</v>
      </c>
      <c r="C350" s="17" t="str">
        <f>Data!C348</f>
        <v>1f2g3h4j5k6l</v>
      </c>
      <c r="D350" s="52">
        <f>Data!D348</f>
        <v>45066.154143518521</v>
      </c>
      <c r="E350" s="60" t="str">
        <f>IF(Data!E348="GpsRecord",Data!F348,"")</f>
        <v/>
      </c>
      <c r="F350" s="68" t="str">
        <f t="shared" si="78"/>
        <v>Clarksburg, WV, HARRISON_20268, Clarksburg, WV: 500 Baltimore Ave, Clarksburg, WV 26301, USA</v>
      </c>
      <c r="G350" t="b">
        <f t="shared" si="79"/>
        <v>0</v>
      </c>
      <c r="H350" t="b">
        <f t="shared" si="80"/>
        <v>0</v>
      </c>
      <c r="I350" t="b">
        <f t="shared" si="81"/>
        <v>0</v>
      </c>
      <c r="J350" t="str">
        <f t="shared" si="82"/>
        <v/>
      </c>
      <c r="K350" t="str">
        <f t="shared" si="83"/>
        <v/>
      </c>
      <c r="L350" t="str">
        <f t="shared" si="84"/>
        <v>,</v>
      </c>
      <c r="M350" t="str">
        <f t="shared" si="85"/>
        <v/>
      </c>
      <c r="N350" t="str">
        <f t="shared" si="86"/>
        <v/>
      </c>
      <c r="O350" t="str">
        <f t="shared" si="87"/>
        <v/>
      </c>
      <c r="P350" t="str">
        <f t="shared" si="88"/>
        <v/>
      </c>
      <c r="Q350" t="str">
        <f t="shared" si="89"/>
        <v/>
      </c>
      <c r="R350" s="20" t="str">
        <f t="shared" si="90"/>
        <v>WV</v>
      </c>
      <c r="S350" s="20" t="str">
        <f>IF(Data!E348="GpsRecord",Data!G348,"")</f>
        <v/>
      </c>
      <c r="T350" s="20" t="str">
        <f>IF(Data!E348="GpsRecord",Data!H348,"")</f>
        <v/>
      </c>
      <c r="U350" s="20">
        <f t="shared" si="91"/>
        <v>-39.42201</v>
      </c>
      <c r="V350" s="20">
        <f t="shared" si="92"/>
        <v>33.73621</v>
      </c>
      <c r="W350" s="19" t="str">
        <f>Data!I348</f>
        <v>Engine road speed</v>
      </c>
      <c r="X350" s="17" t="str">
        <f>CONCATENATE(Data!J348, " ", Data!K348)</f>
        <v>11 km/h</v>
      </c>
    </row>
    <row r="351" spans="1:24" x14ac:dyDescent="0.3">
      <c r="A351" s="17" t="str">
        <f>Data!A349</f>
        <v>vehicle1</v>
      </c>
      <c r="B351" s="17" t="str">
        <f>Data!B349</f>
        <v>Vehicle, Gasoline or Petrol</v>
      </c>
      <c r="C351" s="17" t="str">
        <f>Data!C349</f>
        <v>1f2g3h4j5k6l</v>
      </c>
      <c r="D351" s="52">
        <f>Data!D349</f>
        <v>45066.15415509259</v>
      </c>
      <c r="E351" s="60" t="str">
        <f>IF(Data!E349="GpsRecord",Data!F349,"")</f>
        <v/>
      </c>
      <c r="F351" s="68" t="str">
        <f t="shared" si="78"/>
        <v>Clarksburg, WV, HARRISON_20268, Clarksburg, WV: 500 Baltimore Ave, Clarksburg, WV 26301, USA</v>
      </c>
      <c r="G351" t="b">
        <f t="shared" si="79"/>
        <v>0</v>
      </c>
      <c r="H351" t="b">
        <f t="shared" si="80"/>
        <v>0</v>
      </c>
      <c r="I351" t="b">
        <f t="shared" si="81"/>
        <v>0</v>
      </c>
      <c r="J351" t="str">
        <f t="shared" si="82"/>
        <v/>
      </c>
      <c r="K351" t="str">
        <f t="shared" si="83"/>
        <v/>
      </c>
      <c r="L351" t="str">
        <f t="shared" si="84"/>
        <v>,</v>
      </c>
      <c r="M351" t="str">
        <f t="shared" si="85"/>
        <v/>
      </c>
      <c r="N351" t="str">
        <f t="shared" si="86"/>
        <v/>
      </c>
      <c r="O351" t="str">
        <f t="shared" si="87"/>
        <v/>
      </c>
      <c r="P351" t="str">
        <f t="shared" si="88"/>
        <v/>
      </c>
      <c r="Q351" t="str">
        <f t="shared" si="89"/>
        <v/>
      </c>
      <c r="R351" s="20" t="str">
        <f t="shared" si="90"/>
        <v>WV</v>
      </c>
      <c r="S351" s="20" t="str">
        <f>IF(Data!E349="GpsRecord",Data!G349,"")</f>
        <v/>
      </c>
      <c r="T351" s="20" t="str">
        <f>IF(Data!E349="GpsRecord",Data!H349,"")</f>
        <v/>
      </c>
      <c r="U351" s="20">
        <f t="shared" si="91"/>
        <v>-39.42201</v>
      </c>
      <c r="V351" s="20">
        <f t="shared" si="92"/>
        <v>33.73621</v>
      </c>
      <c r="W351" s="19">
        <f>Data!I349</f>
        <v>0</v>
      </c>
      <c r="X351" s="17" t="str">
        <f>CONCATENATE(Data!J349, " ", Data!K349)</f>
        <v xml:space="preserve"> </v>
      </c>
    </row>
    <row r="352" spans="1:24" x14ac:dyDescent="0.3">
      <c r="A352" s="17" t="str">
        <f>Data!A350</f>
        <v>vehicle1</v>
      </c>
      <c r="B352" s="17" t="str">
        <f>Data!B350</f>
        <v>Vehicle, Gasoline or Petrol</v>
      </c>
      <c r="C352" s="17" t="str">
        <f>Data!C350</f>
        <v>1f2g3h4j5k6l</v>
      </c>
      <c r="D352" s="52">
        <f>Data!D350</f>
        <v>45066.15415509259</v>
      </c>
      <c r="E352" s="60" t="str">
        <f>IF(Data!E350="GpsRecord",Data!F350,"")</f>
        <v/>
      </c>
      <c r="F352" s="68" t="str">
        <f t="shared" si="78"/>
        <v>Clarksburg, WV, HARRISON_20268, Clarksburg, WV: 500 Baltimore Ave, Clarksburg, WV 26301, USA</v>
      </c>
      <c r="G352" t="b">
        <f t="shared" si="79"/>
        <v>0</v>
      </c>
      <c r="H352" t="b">
        <f t="shared" si="80"/>
        <v>0</v>
      </c>
      <c r="I352" t="b">
        <f t="shared" si="81"/>
        <v>0</v>
      </c>
      <c r="J352" t="str">
        <f t="shared" si="82"/>
        <v/>
      </c>
      <c r="K352" t="str">
        <f t="shared" si="83"/>
        <v/>
      </c>
      <c r="L352" t="str">
        <f t="shared" si="84"/>
        <v>,</v>
      </c>
      <c r="M352" t="str">
        <f t="shared" si="85"/>
        <v/>
      </c>
      <c r="N352" t="str">
        <f t="shared" si="86"/>
        <v/>
      </c>
      <c r="O352" t="str">
        <f t="shared" si="87"/>
        <v/>
      </c>
      <c r="P352" t="str">
        <f t="shared" si="88"/>
        <v/>
      </c>
      <c r="Q352" t="str">
        <f t="shared" si="89"/>
        <v/>
      </c>
      <c r="R352" s="20" t="str">
        <f t="shared" si="90"/>
        <v>WV</v>
      </c>
      <c r="S352" s="20" t="str">
        <f>IF(Data!E350="GpsRecord",Data!G350,"")</f>
        <v/>
      </c>
      <c r="T352" s="20" t="str">
        <f>IF(Data!E350="GpsRecord",Data!H350,"")</f>
        <v/>
      </c>
      <c r="U352" s="20">
        <f t="shared" si="91"/>
        <v>-39.42201</v>
      </c>
      <c r="V352" s="20">
        <f t="shared" si="92"/>
        <v>33.73621</v>
      </c>
      <c r="W352" s="19">
        <f>Data!I350</f>
        <v>0</v>
      </c>
      <c r="X352" s="17" t="str">
        <f>CONCATENATE(Data!J350, " ", Data!K350)</f>
        <v xml:space="preserve"> </v>
      </c>
    </row>
    <row r="353" spans="1:24" x14ac:dyDescent="0.3">
      <c r="A353" s="17" t="str">
        <f>Data!A351</f>
        <v>vehicle1</v>
      </c>
      <c r="B353" s="17" t="str">
        <f>Data!B351</f>
        <v>Vehicle, Gasoline or Petrol</v>
      </c>
      <c r="C353" s="17" t="str">
        <f>Data!C351</f>
        <v>1f2g3h4j5k6l</v>
      </c>
      <c r="D353" s="52">
        <f>Data!D351</f>
        <v>45066.15415509259</v>
      </c>
      <c r="E353" s="60" t="str">
        <f>IF(Data!E351="GpsRecord",Data!F351,"")</f>
        <v/>
      </c>
      <c r="F353" s="68" t="str">
        <f t="shared" si="78"/>
        <v>Clarksburg, WV, HARRISON_20268, Clarksburg, WV: 500 Baltimore Ave, Clarksburg, WV 26301, USA</v>
      </c>
      <c r="G353" t="b">
        <f t="shared" si="79"/>
        <v>0</v>
      </c>
      <c r="H353" t="b">
        <f t="shared" si="80"/>
        <v>0</v>
      </c>
      <c r="I353" t="b">
        <f t="shared" si="81"/>
        <v>0</v>
      </c>
      <c r="J353" t="str">
        <f t="shared" si="82"/>
        <v/>
      </c>
      <c r="K353" t="str">
        <f t="shared" si="83"/>
        <v/>
      </c>
      <c r="L353" t="str">
        <f t="shared" si="84"/>
        <v>,</v>
      </c>
      <c r="M353" t="str">
        <f t="shared" si="85"/>
        <v/>
      </c>
      <c r="N353" t="str">
        <f t="shared" si="86"/>
        <v/>
      </c>
      <c r="O353" t="str">
        <f t="shared" si="87"/>
        <v/>
      </c>
      <c r="P353" t="str">
        <f t="shared" si="88"/>
        <v/>
      </c>
      <c r="Q353" t="str">
        <f t="shared" si="89"/>
        <v/>
      </c>
      <c r="R353" s="20" t="str">
        <f t="shared" si="90"/>
        <v>WV</v>
      </c>
      <c r="S353" s="20" t="str">
        <f>IF(Data!E351="GpsRecord",Data!G351,"")</f>
        <v/>
      </c>
      <c r="T353" s="20" t="str">
        <f>IF(Data!E351="GpsRecord",Data!H351,"")</f>
        <v/>
      </c>
      <c r="U353" s="20">
        <f t="shared" si="91"/>
        <v>-39.42201</v>
      </c>
      <c r="V353" s="20">
        <f t="shared" si="92"/>
        <v>33.73621</v>
      </c>
      <c r="W353" s="19">
        <f>Data!I351</f>
        <v>0</v>
      </c>
      <c r="X353" s="17" t="str">
        <f>CONCATENATE(Data!J351, " ", Data!K351)</f>
        <v xml:space="preserve"> </v>
      </c>
    </row>
    <row r="354" spans="1:24" x14ac:dyDescent="0.3">
      <c r="A354" s="17" t="str">
        <f>Data!A352</f>
        <v>vehicle1</v>
      </c>
      <c r="B354" s="17" t="str">
        <f>Data!B352</f>
        <v>Vehicle, Gasoline or Petrol</v>
      </c>
      <c r="C354" s="17" t="str">
        <f>Data!C352</f>
        <v>1f2g3h4j5k6l</v>
      </c>
      <c r="D354" s="52">
        <f>Data!D352</f>
        <v>45066.15415509259</v>
      </c>
      <c r="E354" s="60" t="str">
        <f>IF(Data!E352="GpsRecord",Data!F352,"")</f>
        <v/>
      </c>
      <c r="F354" s="68" t="str">
        <f t="shared" si="78"/>
        <v>Clarksburg, WV, HARRISON_20268, Clarksburg, WV: 500 Baltimore Ave, Clarksburg, WV 26301, USA</v>
      </c>
      <c r="G354" t="b">
        <f t="shared" si="79"/>
        <v>0</v>
      </c>
      <c r="H354" t="b">
        <f t="shared" si="80"/>
        <v>0</v>
      </c>
      <c r="I354" t="b">
        <f t="shared" si="81"/>
        <v>0</v>
      </c>
      <c r="J354" t="str">
        <f t="shared" si="82"/>
        <v/>
      </c>
      <c r="K354" t="str">
        <f t="shared" si="83"/>
        <v/>
      </c>
      <c r="L354" t="str">
        <f t="shared" si="84"/>
        <v>,</v>
      </c>
      <c r="M354" t="str">
        <f t="shared" si="85"/>
        <v/>
      </c>
      <c r="N354" t="str">
        <f t="shared" si="86"/>
        <v/>
      </c>
      <c r="O354" t="str">
        <f t="shared" si="87"/>
        <v/>
      </c>
      <c r="P354" t="str">
        <f t="shared" si="88"/>
        <v/>
      </c>
      <c r="Q354" t="str">
        <f t="shared" si="89"/>
        <v/>
      </c>
      <c r="R354" s="20" t="str">
        <f t="shared" si="90"/>
        <v>WV</v>
      </c>
      <c r="S354" s="20" t="str">
        <f>IF(Data!E352="GpsRecord",Data!G352,"")</f>
        <v/>
      </c>
      <c r="T354" s="20" t="str">
        <f>IF(Data!E352="GpsRecord",Data!H352,"")</f>
        <v/>
      </c>
      <c r="U354" s="20">
        <f t="shared" si="91"/>
        <v>-39.42201</v>
      </c>
      <c r="V354" s="20">
        <f t="shared" si="92"/>
        <v>33.73621</v>
      </c>
      <c r="W354" s="19">
        <f>Data!I352</f>
        <v>0</v>
      </c>
      <c r="X354" s="17" t="str">
        <f>CONCATENATE(Data!J352, " ", Data!K352)</f>
        <v xml:space="preserve"> </v>
      </c>
    </row>
    <row r="355" spans="1:24" x14ac:dyDescent="0.3">
      <c r="A355" s="17" t="str">
        <f>Data!A353</f>
        <v>vehicle1</v>
      </c>
      <c r="B355" s="17" t="str">
        <f>Data!B353</f>
        <v>Vehicle, Gasoline or Petrol</v>
      </c>
      <c r="C355" s="17" t="str">
        <f>Data!C353</f>
        <v>1f2g3h4j5k6l</v>
      </c>
      <c r="D355" s="52">
        <f>Data!D353</f>
        <v>45066.15415509259</v>
      </c>
      <c r="E355" s="60" t="str">
        <f>IF(Data!E353="GpsRecord",Data!F353,"")</f>
        <v/>
      </c>
      <c r="F355" s="68" t="str">
        <f t="shared" si="78"/>
        <v>Clarksburg, WV, HARRISON_20268, Clarksburg, WV: 500 Baltimore Ave, Clarksburg, WV 26301, USA</v>
      </c>
      <c r="G355" t="b">
        <f t="shared" si="79"/>
        <v>0</v>
      </c>
      <c r="H355" t="b">
        <f t="shared" si="80"/>
        <v>0</v>
      </c>
      <c r="I355" t="b">
        <f t="shared" si="81"/>
        <v>0</v>
      </c>
      <c r="J355" t="str">
        <f t="shared" si="82"/>
        <v/>
      </c>
      <c r="K355" t="str">
        <f t="shared" si="83"/>
        <v/>
      </c>
      <c r="L355" t="str">
        <f t="shared" si="84"/>
        <v>,</v>
      </c>
      <c r="M355" t="str">
        <f t="shared" si="85"/>
        <v/>
      </c>
      <c r="N355" t="str">
        <f t="shared" si="86"/>
        <v/>
      </c>
      <c r="O355" t="str">
        <f t="shared" si="87"/>
        <v/>
      </c>
      <c r="P355" t="str">
        <f t="shared" si="88"/>
        <v/>
      </c>
      <c r="Q355" t="str">
        <f t="shared" si="89"/>
        <v/>
      </c>
      <c r="R355" s="20" t="str">
        <f t="shared" si="90"/>
        <v>WV</v>
      </c>
      <c r="S355" s="20" t="str">
        <f>IF(Data!E353="GpsRecord",Data!G353,"")</f>
        <v/>
      </c>
      <c r="T355" s="20" t="str">
        <f>IF(Data!E353="GpsRecord",Data!H353,"")</f>
        <v/>
      </c>
      <c r="U355" s="20">
        <f t="shared" si="91"/>
        <v>-39.42201</v>
      </c>
      <c r="V355" s="20">
        <f t="shared" si="92"/>
        <v>33.73621</v>
      </c>
      <c r="W355" s="19">
        <f>Data!I353</f>
        <v>0</v>
      </c>
      <c r="X355" s="17" t="str">
        <f>CONCATENATE(Data!J353, " ", Data!K353)</f>
        <v xml:space="preserve"> </v>
      </c>
    </row>
    <row r="356" spans="1:24" x14ac:dyDescent="0.3">
      <c r="A356" s="17" t="str">
        <f>Data!A354</f>
        <v>vehicle1</v>
      </c>
      <c r="B356" s="17" t="str">
        <f>Data!B354</f>
        <v>Vehicle, Gasoline or Petrol</v>
      </c>
      <c r="C356" s="17" t="str">
        <f>Data!C354</f>
        <v>1f2g3h4j5k6l</v>
      </c>
      <c r="D356" s="52">
        <f>Data!D354</f>
        <v>45066.15415509259</v>
      </c>
      <c r="E356" s="60" t="str">
        <f>IF(Data!E354="GpsRecord",Data!F354,"")</f>
        <v/>
      </c>
      <c r="F356" s="68" t="str">
        <f t="shared" si="78"/>
        <v>Clarksburg, WV, HARRISON_20268, Clarksburg, WV: 500 Baltimore Ave, Clarksburg, WV 26301, USA</v>
      </c>
      <c r="G356" t="b">
        <f t="shared" si="79"/>
        <v>0</v>
      </c>
      <c r="H356" t="b">
        <f t="shared" si="80"/>
        <v>0</v>
      </c>
      <c r="I356" t="b">
        <f t="shared" si="81"/>
        <v>0</v>
      </c>
      <c r="J356" t="str">
        <f t="shared" si="82"/>
        <v/>
      </c>
      <c r="K356" t="str">
        <f t="shared" si="83"/>
        <v/>
      </c>
      <c r="L356" t="str">
        <f t="shared" si="84"/>
        <v>,</v>
      </c>
      <c r="M356" t="str">
        <f t="shared" si="85"/>
        <v/>
      </c>
      <c r="N356" t="str">
        <f t="shared" si="86"/>
        <v/>
      </c>
      <c r="O356" t="str">
        <f t="shared" si="87"/>
        <v/>
      </c>
      <c r="P356" t="str">
        <f t="shared" si="88"/>
        <v/>
      </c>
      <c r="Q356" t="str">
        <f t="shared" si="89"/>
        <v/>
      </c>
      <c r="R356" s="20" t="str">
        <f t="shared" si="90"/>
        <v>WV</v>
      </c>
      <c r="S356" s="20" t="str">
        <f>IF(Data!E354="GpsRecord",Data!G354,"")</f>
        <v/>
      </c>
      <c r="T356" s="20" t="str">
        <f>IF(Data!E354="GpsRecord",Data!H354,"")</f>
        <v/>
      </c>
      <c r="U356" s="20">
        <f t="shared" si="91"/>
        <v>-39.42201</v>
      </c>
      <c r="V356" s="20">
        <f t="shared" si="92"/>
        <v>33.73621</v>
      </c>
      <c r="W356" s="19">
        <f>Data!I354</f>
        <v>0</v>
      </c>
      <c r="X356" s="17" t="str">
        <f>CONCATENATE(Data!J354, " ", Data!K354)</f>
        <v xml:space="preserve"> </v>
      </c>
    </row>
    <row r="357" spans="1:24" x14ac:dyDescent="0.3">
      <c r="A357" s="17" t="str">
        <f>Data!A355</f>
        <v>vehicle1</v>
      </c>
      <c r="B357" s="17" t="str">
        <f>Data!B355</f>
        <v>Vehicle, Gasoline or Petrol</v>
      </c>
      <c r="C357" s="17" t="str">
        <f>Data!C355</f>
        <v>1f2g3h4j5k6l</v>
      </c>
      <c r="D357" s="52">
        <f>Data!D355</f>
        <v>45066.15415509259</v>
      </c>
      <c r="E357" s="60" t="str">
        <f>IF(Data!E355="GpsRecord",Data!F355,"")</f>
        <v/>
      </c>
      <c r="F357" s="68" t="str">
        <f t="shared" si="78"/>
        <v>Clarksburg, WV, HARRISON_20268, Clarksburg, WV: 500 Baltimore Ave, Clarksburg, WV 26301, USA</v>
      </c>
      <c r="G357" t="b">
        <f t="shared" si="79"/>
        <v>0</v>
      </c>
      <c r="H357" t="b">
        <f t="shared" si="80"/>
        <v>0</v>
      </c>
      <c r="I357" t="b">
        <f t="shared" si="81"/>
        <v>0</v>
      </c>
      <c r="J357" t="str">
        <f t="shared" si="82"/>
        <v/>
      </c>
      <c r="K357" t="str">
        <f t="shared" si="83"/>
        <v/>
      </c>
      <c r="L357" t="str">
        <f t="shared" si="84"/>
        <v>,</v>
      </c>
      <c r="M357" t="str">
        <f t="shared" si="85"/>
        <v/>
      </c>
      <c r="N357" t="str">
        <f t="shared" si="86"/>
        <v/>
      </c>
      <c r="O357" t="str">
        <f t="shared" si="87"/>
        <v/>
      </c>
      <c r="P357" t="str">
        <f t="shared" si="88"/>
        <v/>
      </c>
      <c r="Q357" t="str">
        <f t="shared" si="89"/>
        <v/>
      </c>
      <c r="R357" s="20" t="str">
        <f t="shared" si="90"/>
        <v>WV</v>
      </c>
      <c r="S357" s="20" t="str">
        <f>IF(Data!E355="GpsRecord",Data!G355,"")</f>
        <v/>
      </c>
      <c r="T357" s="20" t="str">
        <f>IF(Data!E355="GpsRecord",Data!H355,"")</f>
        <v/>
      </c>
      <c r="U357" s="20">
        <f t="shared" si="91"/>
        <v>-39.42201</v>
      </c>
      <c r="V357" s="20">
        <f t="shared" si="92"/>
        <v>33.73621</v>
      </c>
      <c r="W357" s="19">
        <f>Data!I355</f>
        <v>0</v>
      </c>
      <c r="X357" s="17" t="str">
        <f>CONCATENATE(Data!J355, " ", Data!K355)</f>
        <v xml:space="preserve"> </v>
      </c>
    </row>
    <row r="358" spans="1:24" x14ac:dyDescent="0.3">
      <c r="A358" s="17" t="str">
        <f>Data!A356</f>
        <v>vehicle1</v>
      </c>
      <c r="B358" s="17" t="str">
        <f>Data!B356</f>
        <v>Vehicle, Gasoline or Petrol</v>
      </c>
      <c r="C358" s="17" t="str">
        <f>Data!C356</f>
        <v>1f2g3h4j5k6l</v>
      </c>
      <c r="D358" s="52">
        <f>Data!D356</f>
        <v>45066.15415509259</v>
      </c>
      <c r="E358" s="60" t="str">
        <f>IF(Data!E356="GpsRecord",Data!F356,"")</f>
        <v/>
      </c>
      <c r="F358" s="68" t="str">
        <f t="shared" si="78"/>
        <v>Clarksburg, WV, HARRISON_20268, Clarksburg, WV: 500 Baltimore Ave, Clarksburg, WV 26301, USA</v>
      </c>
      <c r="G358" t="b">
        <f t="shared" si="79"/>
        <v>0</v>
      </c>
      <c r="H358" t="b">
        <f t="shared" si="80"/>
        <v>0</v>
      </c>
      <c r="I358" t="b">
        <f t="shared" si="81"/>
        <v>0</v>
      </c>
      <c r="J358" t="str">
        <f t="shared" si="82"/>
        <v/>
      </c>
      <c r="K358" t="str">
        <f t="shared" si="83"/>
        <v/>
      </c>
      <c r="L358" t="str">
        <f t="shared" si="84"/>
        <v>,</v>
      </c>
      <c r="M358" t="str">
        <f t="shared" si="85"/>
        <v/>
      </c>
      <c r="N358" t="str">
        <f t="shared" si="86"/>
        <v/>
      </c>
      <c r="O358" t="str">
        <f t="shared" si="87"/>
        <v/>
      </c>
      <c r="P358" t="str">
        <f t="shared" si="88"/>
        <v/>
      </c>
      <c r="Q358" t="str">
        <f t="shared" si="89"/>
        <v/>
      </c>
      <c r="R358" s="20" t="str">
        <f t="shared" si="90"/>
        <v>WV</v>
      </c>
      <c r="S358" s="20" t="str">
        <f>IF(Data!E356="GpsRecord",Data!G356,"")</f>
        <v/>
      </c>
      <c r="T358" s="20" t="str">
        <f>IF(Data!E356="GpsRecord",Data!H356,"")</f>
        <v/>
      </c>
      <c r="U358" s="20">
        <f t="shared" si="91"/>
        <v>-39.42201</v>
      </c>
      <c r="V358" s="20">
        <f t="shared" si="92"/>
        <v>33.73621</v>
      </c>
      <c r="W358" s="19">
        <f>Data!I356</f>
        <v>0</v>
      </c>
      <c r="X358" s="17" t="str">
        <f>CONCATENATE(Data!J356, " ", Data!K356)</f>
        <v xml:space="preserve"> </v>
      </c>
    </row>
    <row r="359" spans="1:24" x14ac:dyDescent="0.3">
      <c r="A359" s="17" t="str">
        <f>Data!A357</f>
        <v>vehicle1</v>
      </c>
      <c r="B359" s="17" t="str">
        <f>Data!B357</f>
        <v>Vehicle, Gasoline or Petrol</v>
      </c>
      <c r="C359" s="17" t="str">
        <f>Data!C357</f>
        <v>1f2g3h4j5k6l</v>
      </c>
      <c r="D359" s="52">
        <f>Data!D357</f>
        <v>45066.15415509259</v>
      </c>
      <c r="E359" s="60" t="str">
        <f>IF(Data!E357="GpsRecord",Data!F357,"")</f>
        <v/>
      </c>
      <c r="F359" s="68" t="str">
        <f t="shared" si="78"/>
        <v>Clarksburg, WV, HARRISON_20268, Clarksburg, WV: 500 Baltimore Ave, Clarksburg, WV 26301, USA</v>
      </c>
      <c r="G359" t="b">
        <f t="shared" si="79"/>
        <v>0</v>
      </c>
      <c r="H359" t="b">
        <f t="shared" si="80"/>
        <v>0</v>
      </c>
      <c r="I359" t="b">
        <f t="shared" si="81"/>
        <v>0</v>
      </c>
      <c r="J359" t="str">
        <f t="shared" si="82"/>
        <v/>
      </c>
      <c r="K359" t="str">
        <f t="shared" si="83"/>
        <v/>
      </c>
      <c r="L359" t="str">
        <f t="shared" si="84"/>
        <v>,</v>
      </c>
      <c r="M359" t="str">
        <f t="shared" si="85"/>
        <v/>
      </c>
      <c r="N359" t="str">
        <f t="shared" si="86"/>
        <v/>
      </c>
      <c r="O359" t="str">
        <f t="shared" si="87"/>
        <v/>
      </c>
      <c r="P359" t="str">
        <f t="shared" si="88"/>
        <v/>
      </c>
      <c r="Q359" t="str">
        <f t="shared" si="89"/>
        <v/>
      </c>
      <c r="R359" s="20" t="str">
        <f t="shared" si="90"/>
        <v>WV</v>
      </c>
      <c r="S359" s="20" t="str">
        <f>IF(Data!E357="GpsRecord",Data!G357,"")</f>
        <v/>
      </c>
      <c r="T359" s="20" t="str">
        <f>IF(Data!E357="GpsRecord",Data!H357,"")</f>
        <v/>
      </c>
      <c r="U359" s="20">
        <f t="shared" si="91"/>
        <v>-39.42201</v>
      </c>
      <c r="V359" s="20">
        <f t="shared" si="92"/>
        <v>33.73621</v>
      </c>
      <c r="W359" s="19">
        <f>Data!I357</f>
        <v>0</v>
      </c>
      <c r="X359" s="17" t="str">
        <f>CONCATENATE(Data!J357, " ", Data!K357)</f>
        <v xml:space="preserve"> </v>
      </c>
    </row>
    <row r="360" spans="1:24" x14ac:dyDescent="0.3">
      <c r="A360" s="17" t="str">
        <f>Data!A358</f>
        <v>vehicle1</v>
      </c>
      <c r="B360" s="17" t="str">
        <f>Data!B358</f>
        <v>Vehicle, Gasoline or Petrol</v>
      </c>
      <c r="C360" s="17" t="str">
        <f>Data!C358</f>
        <v>1f2g3h4j5k6l</v>
      </c>
      <c r="D360" s="52">
        <f>Data!D358</f>
        <v>45066.15415509259</v>
      </c>
      <c r="E360" s="60" t="str">
        <f>IF(Data!E358="GpsRecord",Data!F358,"")</f>
        <v/>
      </c>
      <c r="F360" s="68" t="str">
        <f t="shared" si="78"/>
        <v>Clarksburg, WV, HARRISON_20268, Clarksburg, WV: 500 Baltimore Ave, Clarksburg, WV 26301, USA</v>
      </c>
      <c r="G360" t="b">
        <f t="shared" si="79"/>
        <v>0</v>
      </c>
      <c r="H360" t="b">
        <f t="shared" si="80"/>
        <v>0</v>
      </c>
      <c r="I360" t="b">
        <f t="shared" si="81"/>
        <v>0</v>
      </c>
      <c r="J360" t="str">
        <f t="shared" si="82"/>
        <v/>
      </c>
      <c r="K360" t="str">
        <f t="shared" si="83"/>
        <v/>
      </c>
      <c r="L360" t="str">
        <f t="shared" si="84"/>
        <v>,</v>
      </c>
      <c r="M360" t="str">
        <f t="shared" si="85"/>
        <v/>
      </c>
      <c r="N360" t="str">
        <f t="shared" si="86"/>
        <v/>
      </c>
      <c r="O360" t="str">
        <f t="shared" si="87"/>
        <v/>
      </c>
      <c r="P360" t="str">
        <f t="shared" si="88"/>
        <v/>
      </c>
      <c r="Q360" t="str">
        <f t="shared" si="89"/>
        <v/>
      </c>
      <c r="R360" s="20" t="str">
        <f t="shared" si="90"/>
        <v>WV</v>
      </c>
      <c r="S360" s="20" t="str">
        <f>IF(Data!E358="GpsRecord",Data!G358,"")</f>
        <v/>
      </c>
      <c r="T360" s="20" t="str">
        <f>IF(Data!E358="GpsRecord",Data!H358,"")</f>
        <v/>
      </c>
      <c r="U360" s="20">
        <f t="shared" si="91"/>
        <v>-39.42201</v>
      </c>
      <c r="V360" s="20">
        <f t="shared" si="92"/>
        <v>33.73621</v>
      </c>
      <c r="W360" s="19">
        <f>Data!I358</f>
        <v>0</v>
      </c>
      <c r="X360" s="17" t="str">
        <f>CONCATENATE(Data!J358, " ", Data!K358)</f>
        <v xml:space="preserve"> </v>
      </c>
    </row>
    <row r="361" spans="1:24" x14ac:dyDescent="0.3">
      <c r="A361" s="17" t="str">
        <f>Data!A359</f>
        <v>vehicle1</v>
      </c>
      <c r="B361" s="17" t="str">
        <f>Data!B359</f>
        <v>Vehicle, Gasoline or Petrol</v>
      </c>
      <c r="C361" s="17" t="str">
        <f>Data!C359</f>
        <v>1f2g3h4j5k6l</v>
      </c>
      <c r="D361" s="52">
        <f>Data!D359</f>
        <v>45066.15415509259</v>
      </c>
      <c r="E361" s="60" t="str">
        <f>IF(Data!E359="GpsRecord",Data!F359,"")</f>
        <v/>
      </c>
      <c r="F361" s="68" t="str">
        <f t="shared" si="78"/>
        <v>Clarksburg, WV, HARRISON_20268, Clarksburg, WV: 500 Baltimore Ave, Clarksburg, WV 26301, USA</v>
      </c>
      <c r="G361" t="b">
        <f t="shared" si="79"/>
        <v>0</v>
      </c>
      <c r="H361" t="b">
        <f t="shared" si="80"/>
        <v>0</v>
      </c>
      <c r="I361" t="b">
        <f t="shared" si="81"/>
        <v>0</v>
      </c>
      <c r="J361" t="str">
        <f t="shared" si="82"/>
        <v/>
      </c>
      <c r="K361" t="str">
        <f t="shared" si="83"/>
        <v/>
      </c>
      <c r="L361" t="str">
        <f t="shared" si="84"/>
        <v>,</v>
      </c>
      <c r="M361" t="str">
        <f t="shared" si="85"/>
        <v/>
      </c>
      <c r="N361" t="str">
        <f t="shared" si="86"/>
        <v/>
      </c>
      <c r="O361" t="str">
        <f t="shared" si="87"/>
        <v/>
      </c>
      <c r="P361" t="str">
        <f t="shared" si="88"/>
        <v/>
      </c>
      <c r="Q361" t="str">
        <f t="shared" si="89"/>
        <v/>
      </c>
      <c r="R361" s="20" t="str">
        <f t="shared" si="90"/>
        <v>WV</v>
      </c>
      <c r="S361" s="20" t="str">
        <f>IF(Data!E359="GpsRecord",Data!G359,"")</f>
        <v/>
      </c>
      <c r="T361" s="20" t="str">
        <f>IF(Data!E359="GpsRecord",Data!H359,"")</f>
        <v/>
      </c>
      <c r="U361" s="20">
        <f t="shared" si="91"/>
        <v>-39.42201</v>
      </c>
      <c r="V361" s="20">
        <f t="shared" si="92"/>
        <v>33.73621</v>
      </c>
      <c r="W361" s="19">
        <f>Data!I359</f>
        <v>0</v>
      </c>
      <c r="X361" s="17" t="str">
        <f>CONCATENATE(Data!J359, " ", Data!K359)</f>
        <v xml:space="preserve"> </v>
      </c>
    </row>
    <row r="362" spans="1:24" x14ac:dyDescent="0.3">
      <c r="A362" s="17" t="str">
        <f>Data!A360</f>
        <v>vehicle1</v>
      </c>
      <c r="B362" s="17" t="str">
        <f>Data!B360</f>
        <v>Vehicle, Gasoline or Petrol</v>
      </c>
      <c r="C362" s="17" t="str">
        <f>Data!C360</f>
        <v>1f2g3h4j5k6l</v>
      </c>
      <c r="D362" s="52">
        <f>Data!D360</f>
        <v>45066.15415509259</v>
      </c>
      <c r="E362" s="60" t="str">
        <f>IF(Data!E360="GpsRecord",Data!F360,"")</f>
        <v/>
      </c>
      <c r="F362" s="68" t="str">
        <f t="shared" si="78"/>
        <v>Clarksburg, WV, HARRISON_20268, Clarksburg, WV: 500 Baltimore Ave, Clarksburg, WV 26301, USA</v>
      </c>
      <c r="G362" t="b">
        <f t="shared" si="79"/>
        <v>0</v>
      </c>
      <c r="H362" t="b">
        <f t="shared" si="80"/>
        <v>0</v>
      </c>
      <c r="I362" t="b">
        <f t="shared" si="81"/>
        <v>0</v>
      </c>
      <c r="J362" t="str">
        <f t="shared" si="82"/>
        <v/>
      </c>
      <c r="K362" t="str">
        <f t="shared" si="83"/>
        <v/>
      </c>
      <c r="L362" t="str">
        <f t="shared" si="84"/>
        <v>,</v>
      </c>
      <c r="M362" t="str">
        <f t="shared" si="85"/>
        <v/>
      </c>
      <c r="N362" t="str">
        <f t="shared" si="86"/>
        <v/>
      </c>
      <c r="O362" t="str">
        <f t="shared" si="87"/>
        <v/>
      </c>
      <c r="P362" t="str">
        <f t="shared" si="88"/>
        <v/>
      </c>
      <c r="Q362" t="str">
        <f t="shared" si="89"/>
        <v/>
      </c>
      <c r="R362" s="20" t="str">
        <f t="shared" si="90"/>
        <v>WV</v>
      </c>
      <c r="S362" s="20" t="str">
        <f>IF(Data!E360="GpsRecord",Data!G360,"")</f>
        <v/>
      </c>
      <c r="T362" s="20" t="str">
        <f>IF(Data!E360="GpsRecord",Data!H360,"")</f>
        <v/>
      </c>
      <c r="U362" s="20">
        <f t="shared" si="91"/>
        <v>-39.42201</v>
      </c>
      <c r="V362" s="20">
        <f t="shared" si="92"/>
        <v>33.73621</v>
      </c>
      <c r="W362" s="19">
        <f>Data!I360</f>
        <v>0</v>
      </c>
      <c r="X362" s="17" t="str">
        <f>CONCATENATE(Data!J360, " ", Data!K360)</f>
        <v xml:space="preserve"> </v>
      </c>
    </row>
    <row r="363" spans="1:24" x14ac:dyDescent="0.3">
      <c r="A363" s="17" t="str">
        <f>Data!A361</f>
        <v>vehicle1</v>
      </c>
      <c r="B363" s="17" t="str">
        <f>Data!B361</f>
        <v>Vehicle, Gasoline or Petrol</v>
      </c>
      <c r="C363" s="17" t="str">
        <f>Data!C361</f>
        <v>1f2g3h4j5k6l</v>
      </c>
      <c r="D363" s="52">
        <f>Data!D361</f>
        <v>45066.15420138889</v>
      </c>
      <c r="E363" s="60" t="str">
        <f>IF(Data!E361="GpsRecord",Data!F361,"")</f>
        <v>5109 Hurontario St, Mississauga, ON L4Z 3X7, Canada</v>
      </c>
      <c r="F363" s="68" t="str">
        <f t="shared" si="78"/>
        <v>5109 Hurontario St, Mississauga, ON L4Z 3X7, Canada</v>
      </c>
      <c r="G363" t="b">
        <f t="shared" si="79"/>
        <v>1</v>
      </c>
      <c r="H363" t="b">
        <f t="shared" si="80"/>
        <v>0</v>
      </c>
      <c r="I363" t="b">
        <f t="shared" si="81"/>
        <v>1</v>
      </c>
      <c r="J363" t="str">
        <f t="shared" si="82"/>
        <v>5109 Hurontario St, Mississauga, ON L4Z 3X7, Canada</v>
      </c>
      <c r="K363" t="str">
        <f t="shared" si="83"/>
        <v xml:space="preserve"> Canada</v>
      </c>
      <c r="L363" t="str">
        <f t="shared" si="84"/>
        <v>, Canada</v>
      </c>
      <c r="M363" t="str">
        <f t="shared" si="85"/>
        <v>5109 Hurontario St, Mississauga, ON L4Z 3X7</v>
      </c>
      <c r="N363" t="str">
        <f t="shared" si="86"/>
        <v xml:space="preserve"> ON L4Z 3X7</v>
      </c>
      <c r="O363" t="str">
        <f t="shared" si="87"/>
        <v>3X7</v>
      </c>
      <c r="P363" t="str">
        <f t="shared" si="88"/>
        <v xml:space="preserve"> ON L4Z</v>
      </c>
      <c r="Q363" t="str">
        <f t="shared" si="89"/>
        <v>ON</v>
      </c>
      <c r="R363" s="20" t="str">
        <f t="shared" si="90"/>
        <v>ON</v>
      </c>
      <c r="S363" s="20">
        <f>IF(Data!E361="GpsRecord",Data!G361,"")</f>
        <v>-39.421959999999999</v>
      </c>
      <c r="T363" s="20">
        <f>IF(Data!E361="GpsRecord",Data!H361,"")</f>
        <v>33.73603</v>
      </c>
      <c r="U363" s="20">
        <f t="shared" si="91"/>
        <v>-39.421959999999999</v>
      </c>
      <c r="V363" s="20">
        <f t="shared" si="92"/>
        <v>33.73603</v>
      </c>
      <c r="W363" s="19">
        <f>Data!I361</f>
        <v>0</v>
      </c>
      <c r="X363" s="17" t="str">
        <f>CONCATENATE(Data!J361, " ", Data!K361)</f>
        <v xml:space="preserve"> </v>
      </c>
    </row>
    <row r="364" spans="1:24" x14ac:dyDescent="0.3">
      <c r="A364" s="17" t="str">
        <f>Data!A362</f>
        <v>vehicle1</v>
      </c>
      <c r="B364" s="17" t="str">
        <f>Data!B362</f>
        <v>Vehicle, Gasoline or Petrol</v>
      </c>
      <c r="C364" s="17" t="str">
        <f>Data!C362</f>
        <v>1f2g3h4j5k6l</v>
      </c>
      <c r="D364" s="52">
        <f>Data!D362</f>
        <v>45066.154247685183</v>
      </c>
      <c r="E364" s="60" t="str">
        <f>IF(Data!E362="GpsRecord",Data!F362,"")</f>
        <v/>
      </c>
      <c r="F364" s="68" t="str">
        <f t="shared" si="78"/>
        <v>5109 Hurontario St, Mississauga, ON L4Z 3X7, Canada</v>
      </c>
      <c r="G364" t="b">
        <f t="shared" si="79"/>
        <v>0</v>
      </c>
      <c r="H364" t="b">
        <f t="shared" si="80"/>
        <v>0</v>
      </c>
      <c r="I364" t="b">
        <f t="shared" si="81"/>
        <v>0</v>
      </c>
      <c r="J364" t="str">
        <f t="shared" si="82"/>
        <v/>
      </c>
      <c r="K364" t="str">
        <f t="shared" si="83"/>
        <v/>
      </c>
      <c r="L364" t="str">
        <f t="shared" si="84"/>
        <v>,</v>
      </c>
      <c r="M364" t="str">
        <f t="shared" si="85"/>
        <v/>
      </c>
      <c r="N364" t="str">
        <f t="shared" si="86"/>
        <v/>
      </c>
      <c r="O364" t="str">
        <f t="shared" si="87"/>
        <v/>
      </c>
      <c r="P364" t="str">
        <f t="shared" si="88"/>
        <v/>
      </c>
      <c r="Q364" t="str">
        <f t="shared" si="89"/>
        <v/>
      </c>
      <c r="R364" s="20" t="str">
        <f t="shared" si="90"/>
        <v>ON</v>
      </c>
      <c r="S364" s="20" t="str">
        <f>IF(Data!E362="GpsRecord",Data!G362,"")</f>
        <v/>
      </c>
      <c r="T364" s="20" t="str">
        <f>IF(Data!E362="GpsRecord",Data!H362,"")</f>
        <v/>
      </c>
      <c r="U364" s="20">
        <f t="shared" si="91"/>
        <v>-39.421959999999999</v>
      </c>
      <c r="V364" s="20">
        <f t="shared" si="92"/>
        <v>33.73603</v>
      </c>
      <c r="W364" s="19" t="str">
        <f>Data!I362</f>
        <v>Engine road speed</v>
      </c>
      <c r="X364" s="17" t="str">
        <f>CONCATENATE(Data!J362, " ", Data!K362)</f>
        <v>41 km/h</v>
      </c>
    </row>
    <row r="365" spans="1:24" x14ac:dyDescent="0.3">
      <c r="A365" s="17" t="str">
        <f>Data!A363</f>
        <v>vehicle1</v>
      </c>
      <c r="B365" s="17" t="str">
        <f>Data!B363</f>
        <v>Vehicle, Gasoline or Petrol</v>
      </c>
      <c r="C365" s="17" t="str">
        <f>Data!C363</f>
        <v>1f2g3h4j5k6l</v>
      </c>
      <c r="D365" s="52">
        <f>Data!D363</f>
        <v>45066.154270833336</v>
      </c>
      <c r="E365" s="60" t="str">
        <f>IF(Data!E363="GpsRecord",Data!F363,"")</f>
        <v/>
      </c>
      <c r="F365" s="68" t="str">
        <f t="shared" si="78"/>
        <v>5109 Hurontario St, Mississauga, ON L4Z 3X7, Canada</v>
      </c>
      <c r="G365" t="b">
        <f t="shared" si="79"/>
        <v>0</v>
      </c>
      <c r="H365" t="b">
        <f t="shared" si="80"/>
        <v>0</v>
      </c>
      <c r="I365" t="b">
        <f t="shared" si="81"/>
        <v>0</v>
      </c>
      <c r="J365" t="str">
        <f t="shared" si="82"/>
        <v/>
      </c>
      <c r="K365" t="str">
        <f t="shared" si="83"/>
        <v/>
      </c>
      <c r="L365" t="str">
        <f t="shared" si="84"/>
        <v>,</v>
      </c>
      <c r="M365" t="str">
        <f t="shared" si="85"/>
        <v/>
      </c>
      <c r="N365" t="str">
        <f t="shared" si="86"/>
        <v/>
      </c>
      <c r="O365" t="str">
        <f t="shared" si="87"/>
        <v/>
      </c>
      <c r="P365" t="str">
        <f t="shared" si="88"/>
        <v/>
      </c>
      <c r="Q365" t="str">
        <f t="shared" si="89"/>
        <v/>
      </c>
      <c r="R365" s="20" t="str">
        <f t="shared" si="90"/>
        <v>ON</v>
      </c>
      <c r="S365" s="20" t="str">
        <f>IF(Data!E363="GpsRecord",Data!G363,"")</f>
        <v/>
      </c>
      <c r="T365" s="20" t="str">
        <f>IF(Data!E363="GpsRecord",Data!H363,"")</f>
        <v/>
      </c>
      <c r="U365" s="20">
        <f t="shared" si="91"/>
        <v>-39.421959999999999</v>
      </c>
      <c r="V365" s="20">
        <f t="shared" si="92"/>
        <v>33.73603</v>
      </c>
      <c r="W365" s="19">
        <f>Data!I363</f>
        <v>0</v>
      </c>
      <c r="X365" s="17" t="str">
        <f>CONCATENATE(Data!J363, " ", Data!K363)</f>
        <v xml:space="preserve"> </v>
      </c>
    </row>
    <row r="366" spans="1:24" x14ac:dyDescent="0.3">
      <c r="A366" s="17" t="str">
        <f>Data!A364</f>
        <v>vehicle1</v>
      </c>
      <c r="B366" s="17" t="str">
        <f>Data!B364</f>
        <v>Vehicle, Gasoline or Petrol</v>
      </c>
      <c r="C366" s="17" t="str">
        <f>Data!C364</f>
        <v>1f2g3h4j5k6l</v>
      </c>
      <c r="D366" s="52">
        <f>Data!D364</f>
        <v>45066.154270833336</v>
      </c>
      <c r="E366" s="60" t="str">
        <f>IF(Data!E364="GpsRecord",Data!F364,"")</f>
        <v/>
      </c>
      <c r="F366" s="68" t="str">
        <f t="shared" si="78"/>
        <v>5109 Hurontario St, Mississauga, ON L4Z 3X7, Canada</v>
      </c>
      <c r="G366" t="b">
        <f t="shared" si="79"/>
        <v>0</v>
      </c>
      <c r="H366" t="b">
        <f t="shared" si="80"/>
        <v>0</v>
      </c>
      <c r="I366" t="b">
        <f t="shared" si="81"/>
        <v>0</v>
      </c>
      <c r="J366" t="str">
        <f t="shared" si="82"/>
        <v/>
      </c>
      <c r="K366" t="str">
        <f t="shared" si="83"/>
        <v/>
      </c>
      <c r="L366" t="str">
        <f t="shared" si="84"/>
        <v>,</v>
      </c>
      <c r="M366" t="str">
        <f t="shared" si="85"/>
        <v/>
      </c>
      <c r="N366" t="str">
        <f t="shared" si="86"/>
        <v/>
      </c>
      <c r="O366" t="str">
        <f t="shared" si="87"/>
        <v/>
      </c>
      <c r="P366" t="str">
        <f t="shared" si="88"/>
        <v/>
      </c>
      <c r="Q366" t="str">
        <f t="shared" si="89"/>
        <v/>
      </c>
      <c r="R366" s="20" t="str">
        <f t="shared" si="90"/>
        <v>ON</v>
      </c>
      <c r="S366" s="20" t="str">
        <f>IF(Data!E364="GpsRecord",Data!G364,"")</f>
        <v/>
      </c>
      <c r="T366" s="20" t="str">
        <f>IF(Data!E364="GpsRecord",Data!H364,"")</f>
        <v/>
      </c>
      <c r="U366" s="20">
        <f t="shared" si="91"/>
        <v>-39.421959999999999</v>
      </c>
      <c r="V366" s="20">
        <f t="shared" si="92"/>
        <v>33.73603</v>
      </c>
      <c r="W366" s="19">
        <f>Data!I364</f>
        <v>0</v>
      </c>
      <c r="X366" s="17" t="str">
        <f>CONCATENATE(Data!J364, " ", Data!K364)</f>
        <v xml:space="preserve"> </v>
      </c>
    </row>
    <row r="367" spans="1:24" x14ac:dyDescent="0.3">
      <c r="A367" s="17" t="str">
        <f>Data!A365</f>
        <v>vehicle1</v>
      </c>
      <c r="B367" s="17" t="str">
        <f>Data!B365</f>
        <v>Vehicle, Gasoline or Petrol</v>
      </c>
      <c r="C367" s="17" t="str">
        <f>Data!C365</f>
        <v>1f2g3h4j5k6l</v>
      </c>
      <c r="D367" s="52">
        <f>Data!D365</f>
        <v>45066.154270833336</v>
      </c>
      <c r="E367" s="60" t="str">
        <f>IF(Data!E365="GpsRecord",Data!F365,"")</f>
        <v/>
      </c>
      <c r="F367" s="68" t="str">
        <f t="shared" si="78"/>
        <v>5109 Hurontario St, Mississauga, ON L4Z 3X7, Canada</v>
      </c>
      <c r="G367" t="b">
        <f t="shared" si="79"/>
        <v>0</v>
      </c>
      <c r="H367" t="b">
        <f t="shared" si="80"/>
        <v>0</v>
      </c>
      <c r="I367" t="b">
        <f t="shared" si="81"/>
        <v>0</v>
      </c>
      <c r="J367" t="str">
        <f t="shared" si="82"/>
        <v/>
      </c>
      <c r="K367" t="str">
        <f t="shared" si="83"/>
        <v/>
      </c>
      <c r="L367" t="str">
        <f t="shared" si="84"/>
        <v>,</v>
      </c>
      <c r="M367" t="str">
        <f t="shared" si="85"/>
        <v/>
      </c>
      <c r="N367" t="str">
        <f t="shared" si="86"/>
        <v/>
      </c>
      <c r="O367" t="str">
        <f t="shared" si="87"/>
        <v/>
      </c>
      <c r="P367" t="str">
        <f t="shared" si="88"/>
        <v/>
      </c>
      <c r="Q367" t="str">
        <f t="shared" si="89"/>
        <v/>
      </c>
      <c r="R367" s="20" t="str">
        <f t="shared" si="90"/>
        <v>ON</v>
      </c>
      <c r="S367" s="20" t="str">
        <f>IF(Data!E365="GpsRecord",Data!G365,"")</f>
        <v/>
      </c>
      <c r="T367" s="20" t="str">
        <f>IF(Data!E365="GpsRecord",Data!H365,"")</f>
        <v/>
      </c>
      <c r="U367" s="20">
        <f t="shared" si="91"/>
        <v>-39.421959999999999</v>
      </c>
      <c r="V367" s="20">
        <f t="shared" si="92"/>
        <v>33.73603</v>
      </c>
      <c r="W367" s="19">
        <f>Data!I365</f>
        <v>0</v>
      </c>
      <c r="X367" s="17" t="str">
        <f>CONCATENATE(Data!J365, " ", Data!K365)</f>
        <v xml:space="preserve"> </v>
      </c>
    </row>
    <row r="368" spans="1:24" x14ac:dyDescent="0.3">
      <c r="A368" s="17" t="str">
        <f>Data!A366</f>
        <v>vehicle1</v>
      </c>
      <c r="B368" s="17" t="str">
        <f>Data!B366</f>
        <v>Vehicle, Gasoline or Petrol</v>
      </c>
      <c r="C368" s="17" t="str">
        <f>Data!C366</f>
        <v>1f2g3h4j5k6l</v>
      </c>
      <c r="D368" s="52">
        <f>Data!D366</f>
        <v>45066.154432870368</v>
      </c>
      <c r="E368" s="60" t="str">
        <f>IF(Data!E366="GpsRecord",Data!F366,"")</f>
        <v/>
      </c>
      <c r="F368" s="68" t="str">
        <f t="shared" si="78"/>
        <v>5109 Hurontario St, Mississauga, ON L4Z 3X7, Canada</v>
      </c>
      <c r="G368" t="b">
        <f t="shared" si="79"/>
        <v>0</v>
      </c>
      <c r="H368" t="b">
        <f t="shared" si="80"/>
        <v>0</v>
      </c>
      <c r="I368" t="b">
        <f t="shared" si="81"/>
        <v>0</v>
      </c>
      <c r="J368" t="str">
        <f t="shared" si="82"/>
        <v/>
      </c>
      <c r="K368" t="str">
        <f t="shared" si="83"/>
        <v/>
      </c>
      <c r="L368" t="str">
        <f t="shared" si="84"/>
        <v>,</v>
      </c>
      <c r="M368" t="str">
        <f t="shared" si="85"/>
        <v/>
      </c>
      <c r="N368" t="str">
        <f t="shared" si="86"/>
        <v/>
      </c>
      <c r="O368" t="str">
        <f t="shared" si="87"/>
        <v/>
      </c>
      <c r="P368" t="str">
        <f t="shared" si="88"/>
        <v/>
      </c>
      <c r="Q368" t="str">
        <f t="shared" si="89"/>
        <v/>
      </c>
      <c r="R368" s="20" t="str">
        <f t="shared" si="90"/>
        <v>ON</v>
      </c>
      <c r="S368" s="20" t="str">
        <f>IF(Data!E366="GpsRecord",Data!G366,"")</f>
        <v/>
      </c>
      <c r="T368" s="20" t="str">
        <f>IF(Data!E366="GpsRecord",Data!H366,"")</f>
        <v/>
      </c>
      <c r="U368" s="20">
        <f t="shared" si="91"/>
        <v>-39.421959999999999</v>
      </c>
      <c r="V368" s="20">
        <f t="shared" si="92"/>
        <v>33.73603</v>
      </c>
      <c r="W368" s="19" t="str">
        <f>Data!I366</f>
        <v>Engine road speed</v>
      </c>
      <c r="X368" s="17" t="str">
        <f>CONCATENATE(Data!J366, " ", Data!K366)</f>
        <v>71 km/h</v>
      </c>
    </row>
    <row r="369" spans="1:24" x14ac:dyDescent="0.3">
      <c r="A369" s="17" t="str">
        <f>Data!A367</f>
        <v>vehicle1</v>
      </c>
      <c r="B369" s="17" t="str">
        <f>Data!B367</f>
        <v>Vehicle, Gasoline or Petrol</v>
      </c>
      <c r="C369" s="17" t="str">
        <f>Data!C367</f>
        <v>1f2g3h4j5k6l</v>
      </c>
      <c r="D369" s="52">
        <f>Data!D367</f>
        <v>45066.154432870368</v>
      </c>
      <c r="E369" s="60" t="str">
        <f>IF(Data!E367="GpsRecord",Data!F367,"")</f>
        <v/>
      </c>
      <c r="F369" s="68" t="str">
        <f t="shared" si="78"/>
        <v>5109 Hurontario St, Mississauga, ON L4Z 3X7, Canada</v>
      </c>
      <c r="G369" t="b">
        <f t="shared" si="79"/>
        <v>0</v>
      </c>
      <c r="H369" t="b">
        <f t="shared" si="80"/>
        <v>0</v>
      </c>
      <c r="I369" t="b">
        <f t="shared" si="81"/>
        <v>0</v>
      </c>
      <c r="J369" t="str">
        <f t="shared" si="82"/>
        <v/>
      </c>
      <c r="K369" t="str">
        <f t="shared" si="83"/>
        <v/>
      </c>
      <c r="L369" t="str">
        <f t="shared" si="84"/>
        <v>,</v>
      </c>
      <c r="M369" t="str">
        <f t="shared" si="85"/>
        <v/>
      </c>
      <c r="N369" t="str">
        <f t="shared" si="86"/>
        <v/>
      </c>
      <c r="O369" t="str">
        <f t="shared" si="87"/>
        <v/>
      </c>
      <c r="P369" t="str">
        <f t="shared" si="88"/>
        <v/>
      </c>
      <c r="Q369" t="str">
        <f t="shared" si="89"/>
        <v/>
      </c>
      <c r="R369" s="20" t="str">
        <f t="shared" si="90"/>
        <v>ON</v>
      </c>
      <c r="S369" s="20" t="str">
        <f>IF(Data!E367="GpsRecord",Data!G367,"")</f>
        <v/>
      </c>
      <c r="T369" s="20" t="str">
        <f>IF(Data!E367="GpsRecord",Data!H367,"")</f>
        <v/>
      </c>
      <c r="U369" s="20">
        <f t="shared" si="91"/>
        <v>-39.421959999999999</v>
      </c>
      <c r="V369" s="20">
        <f t="shared" si="92"/>
        <v>33.73603</v>
      </c>
      <c r="W369" s="19" t="str">
        <f>Data!I367</f>
        <v>Engine speed</v>
      </c>
      <c r="X369" s="17" t="str">
        <f>CONCATENATE(Data!J367, " ", Data!K367)</f>
        <v>2118 RPM</v>
      </c>
    </row>
    <row r="370" spans="1:24" x14ac:dyDescent="0.3">
      <c r="A370" s="17" t="str">
        <f>Data!A368</f>
        <v>vehicle1</v>
      </c>
      <c r="B370" s="17" t="str">
        <f>Data!B368</f>
        <v>Vehicle, Gasoline or Petrol</v>
      </c>
      <c r="C370" s="17" t="str">
        <f>Data!C368</f>
        <v>1f2g3h4j5k6l</v>
      </c>
      <c r="D370" s="52">
        <f>Data!D368</f>
        <v>45066.154444444444</v>
      </c>
      <c r="E370" s="60" t="str">
        <f>IF(Data!E368="GpsRecord",Data!F368,"")</f>
        <v>5109 Hurontario St, Mississauga, ON L4Z 3X7, Canada</v>
      </c>
      <c r="F370" s="68" t="str">
        <f t="shared" si="78"/>
        <v>5109 Hurontario St, Mississauga, ON L4Z 3X7, Canada</v>
      </c>
      <c r="G370" t="b">
        <f t="shared" si="79"/>
        <v>1</v>
      </c>
      <c r="H370" t="b">
        <f t="shared" si="80"/>
        <v>0</v>
      </c>
      <c r="I370" t="b">
        <f t="shared" si="81"/>
        <v>1</v>
      </c>
      <c r="J370" t="str">
        <f t="shared" si="82"/>
        <v>5109 Hurontario St, Mississauga, ON L4Z 3X7, Canada</v>
      </c>
      <c r="K370" t="str">
        <f t="shared" si="83"/>
        <v xml:space="preserve"> Canada</v>
      </c>
      <c r="L370" t="str">
        <f t="shared" si="84"/>
        <v>, Canada</v>
      </c>
      <c r="M370" t="str">
        <f t="shared" si="85"/>
        <v>5109 Hurontario St, Mississauga, ON L4Z 3X7</v>
      </c>
      <c r="N370" t="str">
        <f t="shared" si="86"/>
        <v xml:space="preserve"> ON L4Z 3X7</v>
      </c>
      <c r="O370" t="str">
        <f t="shared" si="87"/>
        <v>3X7</v>
      </c>
      <c r="P370" t="str">
        <f t="shared" si="88"/>
        <v xml:space="preserve"> ON L4Z</v>
      </c>
      <c r="Q370" t="str">
        <f t="shared" si="89"/>
        <v>ON</v>
      </c>
      <c r="R370" s="20" t="str">
        <f t="shared" si="90"/>
        <v>ON</v>
      </c>
      <c r="S370" s="20">
        <f>IF(Data!E368="GpsRecord",Data!G368,"")</f>
        <v>-39.419319999999999</v>
      </c>
      <c r="T370" s="20">
        <f>IF(Data!E368="GpsRecord",Data!H368,"")</f>
        <v>33.734229999999997</v>
      </c>
      <c r="U370" s="20">
        <f t="shared" si="91"/>
        <v>-39.419319999999999</v>
      </c>
      <c r="V370" s="20">
        <f t="shared" si="92"/>
        <v>33.734229999999997</v>
      </c>
      <c r="W370" s="19">
        <f>Data!I368</f>
        <v>0</v>
      </c>
      <c r="X370" s="17" t="str">
        <f>CONCATENATE(Data!J368, " ", Data!K368)</f>
        <v xml:space="preserve"> </v>
      </c>
    </row>
    <row r="371" spans="1:24" x14ac:dyDescent="0.3">
      <c r="A371" s="17" t="str">
        <f>Data!A369</f>
        <v>vehicle1</v>
      </c>
      <c r="B371" s="17" t="str">
        <f>Data!B369</f>
        <v>Vehicle, Gasoline or Petrol</v>
      </c>
      <c r="C371" s="17" t="str">
        <f>Data!C369</f>
        <v>1f2g3h4j5k6l</v>
      </c>
      <c r="D371" s="52">
        <f>Data!D369</f>
        <v>45066.154456018521</v>
      </c>
      <c r="E371" s="60" t="str">
        <f>IF(Data!E369="GpsRecord",Data!F369,"")</f>
        <v/>
      </c>
      <c r="F371" s="68" t="str">
        <f t="shared" si="78"/>
        <v>5109 Hurontario St, Mississauga, ON L4Z 3X7, Canada</v>
      </c>
      <c r="G371" t="b">
        <f t="shared" si="79"/>
        <v>0</v>
      </c>
      <c r="H371" t="b">
        <f t="shared" si="80"/>
        <v>0</v>
      </c>
      <c r="I371" t="b">
        <f t="shared" si="81"/>
        <v>0</v>
      </c>
      <c r="J371" t="str">
        <f t="shared" si="82"/>
        <v/>
      </c>
      <c r="K371" t="str">
        <f t="shared" si="83"/>
        <v/>
      </c>
      <c r="L371" t="str">
        <f t="shared" si="84"/>
        <v>,</v>
      </c>
      <c r="M371" t="str">
        <f t="shared" si="85"/>
        <v/>
      </c>
      <c r="N371" t="str">
        <f t="shared" si="86"/>
        <v/>
      </c>
      <c r="O371" t="str">
        <f t="shared" si="87"/>
        <v/>
      </c>
      <c r="P371" t="str">
        <f t="shared" si="88"/>
        <v/>
      </c>
      <c r="Q371" t="str">
        <f t="shared" si="89"/>
        <v/>
      </c>
      <c r="R371" s="20" t="str">
        <f t="shared" si="90"/>
        <v>ON</v>
      </c>
      <c r="S371" s="20" t="str">
        <f>IF(Data!E369="GpsRecord",Data!G369,"")</f>
        <v/>
      </c>
      <c r="T371" s="20" t="str">
        <f>IF(Data!E369="GpsRecord",Data!H369,"")</f>
        <v/>
      </c>
      <c r="U371" s="20">
        <f t="shared" si="91"/>
        <v>-39.419319999999999</v>
      </c>
      <c r="V371" s="20">
        <f t="shared" si="92"/>
        <v>33.734229999999997</v>
      </c>
      <c r="W371" s="19" t="str">
        <f>Data!I369</f>
        <v>Engine speed</v>
      </c>
      <c r="X371" s="17" t="str">
        <f>CONCATENATE(Data!J369, " ", Data!K369)</f>
        <v>1399.75 RPM</v>
      </c>
    </row>
    <row r="372" spans="1:24" x14ac:dyDescent="0.3">
      <c r="A372" s="17" t="str">
        <f>Data!A370</f>
        <v>vehicle1</v>
      </c>
      <c r="B372" s="17" t="str">
        <f>Data!B370</f>
        <v>Vehicle, Gasoline or Petrol</v>
      </c>
      <c r="C372" s="17" t="str">
        <f>Data!C370</f>
        <v>1f2g3h4j5k6l</v>
      </c>
      <c r="D372" s="52">
        <f>Data!D370</f>
        <v>45066.154490740744</v>
      </c>
      <c r="E372" s="60" t="str">
        <f>IF(Data!E370="GpsRecord",Data!F370,"")</f>
        <v/>
      </c>
      <c r="F372" s="68" t="str">
        <f t="shared" si="78"/>
        <v>5109 Hurontario St, Mississauga, ON L4Z 3X7, Canada</v>
      </c>
      <c r="G372" t="b">
        <f t="shared" si="79"/>
        <v>0</v>
      </c>
      <c r="H372" t="b">
        <f t="shared" si="80"/>
        <v>0</v>
      </c>
      <c r="I372" t="b">
        <f t="shared" si="81"/>
        <v>0</v>
      </c>
      <c r="J372" t="str">
        <f t="shared" si="82"/>
        <v/>
      </c>
      <c r="K372" t="str">
        <f t="shared" si="83"/>
        <v/>
      </c>
      <c r="L372" t="str">
        <f t="shared" si="84"/>
        <v>,</v>
      </c>
      <c r="M372" t="str">
        <f t="shared" si="85"/>
        <v/>
      </c>
      <c r="N372" t="str">
        <f t="shared" si="86"/>
        <v/>
      </c>
      <c r="O372" t="str">
        <f t="shared" si="87"/>
        <v/>
      </c>
      <c r="P372" t="str">
        <f t="shared" si="88"/>
        <v/>
      </c>
      <c r="Q372" t="str">
        <f t="shared" si="89"/>
        <v/>
      </c>
      <c r="R372" s="20" t="str">
        <f t="shared" si="90"/>
        <v>ON</v>
      </c>
      <c r="S372" s="20" t="str">
        <f>IF(Data!E370="GpsRecord",Data!G370,"")</f>
        <v/>
      </c>
      <c r="T372" s="20" t="str">
        <f>IF(Data!E370="GpsRecord",Data!H370,"")</f>
        <v/>
      </c>
      <c r="U372" s="20">
        <f t="shared" si="91"/>
        <v>-39.419319999999999</v>
      </c>
      <c r="V372" s="20">
        <f t="shared" si="92"/>
        <v>33.734229999999997</v>
      </c>
      <c r="W372" s="19" t="str">
        <f>Data!I370</f>
        <v>ADAS left lane departure warning</v>
      </c>
      <c r="X372" s="17" t="str">
        <f>CONCATENATE(Data!J370, " ", Data!K370)</f>
        <v>1 None</v>
      </c>
    </row>
    <row r="373" spans="1:24" x14ac:dyDescent="0.3">
      <c r="A373" s="17" t="str">
        <f>Data!A371</f>
        <v>vehicle1</v>
      </c>
      <c r="B373" s="17" t="str">
        <f>Data!B371</f>
        <v>Vehicle, Gasoline or Petrol</v>
      </c>
      <c r="C373" s="17" t="str">
        <f>Data!C371</f>
        <v>1f2g3h4j5k6l</v>
      </c>
      <c r="D373" s="52">
        <f>Data!D371</f>
        <v>45066.154490740744</v>
      </c>
      <c r="E373" s="60" t="str">
        <f>IF(Data!E371="GpsRecord",Data!F371,"")</f>
        <v/>
      </c>
      <c r="F373" s="68" t="str">
        <f t="shared" si="78"/>
        <v>5109 Hurontario St, Mississauga, ON L4Z 3X7, Canada</v>
      </c>
      <c r="G373" t="b">
        <f t="shared" si="79"/>
        <v>0</v>
      </c>
      <c r="H373" t="b">
        <f t="shared" si="80"/>
        <v>0</v>
      </c>
      <c r="I373" t="b">
        <f t="shared" si="81"/>
        <v>0</v>
      </c>
      <c r="J373" t="str">
        <f t="shared" si="82"/>
        <v/>
      </c>
      <c r="K373" t="str">
        <f t="shared" si="83"/>
        <v/>
      </c>
      <c r="L373" t="str">
        <f t="shared" si="84"/>
        <v>,</v>
      </c>
      <c r="M373" t="str">
        <f t="shared" si="85"/>
        <v/>
      </c>
      <c r="N373" t="str">
        <f t="shared" si="86"/>
        <v/>
      </c>
      <c r="O373" t="str">
        <f t="shared" si="87"/>
        <v/>
      </c>
      <c r="P373" t="str">
        <f t="shared" si="88"/>
        <v/>
      </c>
      <c r="Q373" t="str">
        <f t="shared" si="89"/>
        <v/>
      </c>
      <c r="R373" s="20" t="str">
        <f t="shared" si="90"/>
        <v>ON</v>
      </c>
      <c r="S373" s="20" t="str">
        <f>IF(Data!E371="GpsRecord",Data!G371,"")</f>
        <v/>
      </c>
      <c r="T373" s="20" t="str">
        <f>IF(Data!E371="GpsRecord",Data!H371,"")</f>
        <v/>
      </c>
      <c r="U373" s="20">
        <f t="shared" si="91"/>
        <v>-39.419319999999999</v>
      </c>
      <c r="V373" s="20">
        <f t="shared" si="92"/>
        <v>33.734229999999997</v>
      </c>
      <c r="W373" s="19">
        <f>Data!I371</f>
        <v>0</v>
      </c>
      <c r="X373" s="17" t="str">
        <f>CONCATENATE(Data!J371, " ", Data!K371)</f>
        <v xml:space="preserve"> </v>
      </c>
    </row>
    <row r="374" spans="1:24" x14ac:dyDescent="0.3">
      <c r="A374" s="17" t="str">
        <f>Data!A372</f>
        <v>vehicle1</v>
      </c>
      <c r="B374" s="17" t="str">
        <f>Data!B372</f>
        <v>Vehicle, Gasoline or Petrol</v>
      </c>
      <c r="C374" s="17" t="str">
        <f>Data!C372</f>
        <v>1f2g3h4j5k6l</v>
      </c>
      <c r="D374" s="52">
        <f>Data!D372</f>
        <v>45066.154490740744</v>
      </c>
      <c r="E374" s="60" t="str">
        <f>IF(Data!E372="GpsRecord",Data!F372,"")</f>
        <v/>
      </c>
      <c r="F374" s="68" t="str">
        <f t="shared" si="78"/>
        <v>5109 Hurontario St, Mississauga, ON L4Z 3X7, Canada</v>
      </c>
      <c r="G374" t="b">
        <f t="shared" si="79"/>
        <v>0</v>
      </c>
      <c r="H374" t="b">
        <f t="shared" si="80"/>
        <v>0</v>
      </c>
      <c r="I374" t="b">
        <f t="shared" si="81"/>
        <v>0</v>
      </c>
      <c r="J374" t="str">
        <f t="shared" si="82"/>
        <v/>
      </c>
      <c r="K374" t="str">
        <f t="shared" si="83"/>
        <v/>
      </c>
      <c r="L374" t="str">
        <f t="shared" si="84"/>
        <v>,</v>
      </c>
      <c r="M374" t="str">
        <f t="shared" si="85"/>
        <v/>
      </c>
      <c r="N374" t="str">
        <f t="shared" si="86"/>
        <v/>
      </c>
      <c r="O374" t="str">
        <f t="shared" si="87"/>
        <v/>
      </c>
      <c r="P374" t="str">
        <f t="shared" si="88"/>
        <v/>
      </c>
      <c r="Q374" t="str">
        <f t="shared" si="89"/>
        <v/>
      </c>
      <c r="R374" s="20" t="str">
        <f t="shared" si="90"/>
        <v>ON</v>
      </c>
      <c r="S374" s="20" t="str">
        <f>IF(Data!E372="GpsRecord",Data!G372,"")</f>
        <v/>
      </c>
      <c r="T374" s="20" t="str">
        <f>IF(Data!E372="GpsRecord",Data!H372,"")</f>
        <v/>
      </c>
      <c r="U374" s="20">
        <f t="shared" si="91"/>
        <v>-39.419319999999999</v>
      </c>
      <c r="V374" s="20">
        <f t="shared" si="92"/>
        <v>33.734229999999997</v>
      </c>
      <c r="W374" s="19">
        <f>Data!I372</f>
        <v>0</v>
      </c>
      <c r="X374" s="17" t="str">
        <f>CONCATENATE(Data!J372, " ", Data!K372)</f>
        <v xml:space="preserve"> </v>
      </c>
    </row>
    <row r="375" spans="1:24" x14ac:dyDescent="0.3">
      <c r="A375" s="17" t="str">
        <f>Data!A373</f>
        <v>vehicle1</v>
      </c>
      <c r="B375" s="17" t="str">
        <f>Data!B373</f>
        <v>Vehicle, Gasoline or Petrol</v>
      </c>
      <c r="C375" s="17" t="str">
        <f>Data!C373</f>
        <v>1f2g3h4j5k6l</v>
      </c>
      <c r="D375" s="52">
        <f>Data!D373</f>
        <v>45066.154490740744</v>
      </c>
      <c r="E375" s="60" t="str">
        <f>IF(Data!E373="GpsRecord",Data!F373,"")</f>
        <v>5109 Hurontario St, Mississauga, ON L4Z 3X7, Canada</v>
      </c>
      <c r="F375" s="68" t="str">
        <f t="shared" si="78"/>
        <v>5109 Hurontario St, Mississauga, ON L4Z 3X7, Canada</v>
      </c>
      <c r="G375" t="b">
        <f t="shared" si="79"/>
        <v>1</v>
      </c>
      <c r="H375" t="b">
        <f t="shared" si="80"/>
        <v>0</v>
      </c>
      <c r="I375" t="b">
        <f t="shared" si="81"/>
        <v>1</v>
      </c>
      <c r="J375" t="str">
        <f t="shared" si="82"/>
        <v>5109 Hurontario St, Mississauga, ON L4Z 3X7, Canada</v>
      </c>
      <c r="K375" t="str">
        <f t="shared" si="83"/>
        <v xml:space="preserve"> Canada</v>
      </c>
      <c r="L375" t="str">
        <f t="shared" si="84"/>
        <v>, Canada</v>
      </c>
      <c r="M375" t="str">
        <f t="shared" si="85"/>
        <v>5109 Hurontario St, Mississauga, ON L4Z 3X7</v>
      </c>
      <c r="N375" t="str">
        <f t="shared" si="86"/>
        <v xml:space="preserve"> ON L4Z 3X7</v>
      </c>
      <c r="O375" t="str">
        <f t="shared" si="87"/>
        <v>3X7</v>
      </c>
      <c r="P375" t="str">
        <f t="shared" si="88"/>
        <v xml:space="preserve"> ON L4Z</v>
      </c>
      <c r="Q375" t="str">
        <f t="shared" si="89"/>
        <v>ON</v>
      </c>
      <c r="R375" s="20" t="str">
        <f t="shared" si="90"/>
        <v>ON</v>
      </c>
      <c r="S375" s="20">
        <f>IF(Data!E373="GpsRecord",Data!G373,"")</f>
        <v>-39.41863</v>
      </c>
      <c r="T375" s="20">
        <f>IF(Data!E373="GpsRecord",Data!H373,"")</f>
        <v>33.733750000000001</v>
      </c>
      <c r="U375" s="20">
        <f t="shared" si="91"/>
        <v>-39.41863</v>
      </c>
      <c r="V375" s="20">
        <f t="shared" si="92"/>
        <v>33.733750000000001</v>
      </c>
      <c r="W375" s="19">
        <f>Data!I373</f>
        <v>0</v>
      </c>
      <c r="X375" s="17" t="str">
        <f>CONCATENATE(Data!J373, " ", Data!K373)</f>
        <v xml:space="preserve"> </v>
      </c>
    </row>
    <row r="376" spans="1:24" x14ac:dyDescent="0.3">
      <c r="A376" s="17" t="str">
        <f>Data!A374</f>
        <v>vehicle1</v>
      </c>
      <c r="B376" s="17" t="str">
        <f>Data!B374</f>
        <v>Vehicle, Gasoline or Petrol</v>
      </c>
      <c r="C376" s="17" t="str">
        <f>Data!C374</f>
        <v>1f2g3h4j5k6l</v>
      </c>
      <c r="D376" s="52">
        <f>Data!D374</f>
        <v>45066.154490740744</v>
      </c>
      <c r="E376" s="60" t="str">
        <f>IF(Data!E374="GpsRecord",Data!F374,"")</f>
        <v/>
      </c>
      <c r="F376" s="68" t="str">
        <f t="shared" si="78"/>
        <v>5109 Hurontario St, Mississauga, ON L4Z 3X7, Canada</v>
      </c>
      <c r="G376" t="b">
        <f t="shared" si="79"/>
        <v>0</v>
      </c>
      <c r="H376" t="b">
        <f t="shared" si="80"/>
        <v>0</v>
      </c>
      <c r="I376" t="b">
        <f t="shared" si="81"/>
        <v>0</v>
      </c>
      <c r="J376" t="str">
        <f t="shared" si="82"/>
        <v/>
      </c>
      <c r="K376" t="str">
        <f t="shared" si="83"/>
        <v/>
      </c>
      <c r="L376" t="str">
        <f t="shared" si="84"/>
        <v>,</v>
      </c>
      <c r="M376" t="str">
        <f t="shared" si="85"/>
        <v/>
      </c>
      <c r="N376" t="str">
        <f t="shared" si="86"/>
        <v/>
      </c>
      <c r="O376" t="str">
        <f t="shared" si="87"/>
        <v/>
      </c>
      <c r="P376" t="str">
        <f t="shared" si="88"/>
        <v/>
      </c>
      <c r="Q376" t="str">
        <f t="shared" si="89"/>
        <v/>
      </c>
      <c r="R376" s="20" t="str">
        <f t="shared" si="90"/>
        <v>ON</v>
      </c>
      <c r="S376" s="20" t="str">
        <f>IF(Data!E374="GpsRecord",Data!G374,"")</f>
        <v/>
      </c>
      <c r="T376" s="20" t="str">
        <f>IF(Data!E374="GpsRecord",Data!H374,"")</f>
        <v/>
      </c>
      <c r="U376" s="20">
        <f t="shared" si="91"/>
        <v>-39.41863</v>
      </c>
      <c r="V376" s="20">
        <f t="shared" si="92"/>
        <v>33.733750000000001</v>
      </c>
      <c r="W376" s="19" t="str">
        <f>Data!I374</f>
        <v>Raw outside air temperature</v>
      </c>
      <c r="X376" s="17" t="str">
        <f>CONCATENATE(Data!J374, " ", Data!K374)</f>
        <v>31 C</v>
      </c>
    </row>
    <row r="377" spans="1:24" x14ac:dyDescent="0.3">
      <c r="A377" s="17" t="str">
        <f>Data!A375</f>
        <v>vehicle1</v>
      </c>
      <c r="B377" s="17" t="str">
        <f>Data!B375</f>
        <v>Vehicle, Gasoline or Petrol</v>
      </c>
      <c r="C377" s="17" t="str">
        <f>Data!C375</f>
        <v>1f2g3h4j5k6l</v>
      </c>
      <c r="D377" s="52">
        <f>Data!D375</f>
        <v>45066.154398148145</v>
      </c>
      <c r="E377" s="60" t="str">
        <f>IF(Data!E375="GpsRecord",Data!F375,"")</f>
        <v/>
      </c>
      <c r="F377" s="68" t="str">
        <f t="shared" si="78"/>
        <v>5109 Hurontario St, Mississauga, ON L4Z 3X7, Canada</v>
      </c>
      <c r="G377" t="b">
        <f t="shared" si="79"/>
        <v>0</v>
      </c>
      <c r="H377" t="b">
        <f t="shared" si="80"/>
        <v>0</v>
      </c>
      <c r="I377" t="b">
        <f t="shared" si="81"/>
        <v>0</v>
      </c>
      <c r="J377" t="str">
        <f t="shared" si="82"/>
        <v/>
      </c>
      <c r="K377" t="str">
        <f t="shared" si="83"/>
        <v/>
      </c>
      <c r="L377" t="str">
        <f t="shared" si="84"/>
        <v>,</v>
      </c>
      <c r="M377" t="str">
        <f t="shared" si="85"/>
        <v/>
      </c>
      <c r="N377" t="str">
        <f t="shared" si="86"/>
        <v/>
      </c>
      <c r="O377" t="str">
        <f t="shared" si="87"/>
        <v/>
      </c>
      <c r="P377" t="str">
        <f t="shared" si="88"/>
        <v/>
      </c>
      <c r="Q377" t="str">
        <f t="shared" si="89"/>
        <v/>
      </c>
      <c r="R377" s="20" t="str">
        <f t="shared" si="90"/>
        <v>ON</v>
      </c>
      <c r="S377" s="20" t="str">
        <f>IF(Data!E375="GpsRecord",Data!G375,"")</f>
        <v/>
      </c>
      <c r="T377" s="20" t="str">
        <f>IF(Data!E375="GpsRecord",Data!H375,"")</f>
        <v/>
      </c>
      <c r="U377" s="20">
        <f t="shared" si="91"/>
        <v>-39.41863</v>
      </c>
      <c r="V377" s="20">
        <f t="shared" si="92"/>
        <v>33.733750000000001</v>
      </c>
      <c r="W377" s="19" t="str">
        <f>Data!I375</f>
        <v>Engine coolant temperature</v>
      </c>
      <c r="X377" s="17" t="str">
        <f>CONCATENATE(Data!J375, " ", Data!K375)</f>
        <v>72 C</v>
      </c>
    </row>
    <row r="378" spans="1:24" x14ac:dyDescent="0.3">
      <c r="A378" s="17" t="str">
        <f>Data!A376</f>
        <v>vehicle1</v>
      </c>
      <c r="B378" s="17" t="str">
        <f>Data!B376</f>
        <v>Vehicle, Gasoline or Petrol</v>
      </c>
      <c r="C378" s="17" t="str">
        <f>Data!C376</f>
        <v>1f2g3h4j5k6l</v>
      </c>
      <c r="D378" s="52">
        <f>Data!D376</f>
        <v>45066.154398148145</v>
      </c>
      <c r="E378" s="60" t="str">
        <f>IF(Data!E376="GpsRecord",Data!F376,"")</f>
        <v/>
      </c>
      <c r="F378" s="68" t="str">
        <f t="shared" si="78"/>
        <v>5109 Hurontario St, Mississauga, ON L4Z 3X7, Canada</v>
      </c>
      <c r="G378" t="b">
        <f t="shared" si="79"/>
        <v>0</v>
      </c>
      <c r="H378" t="b">
        <f t="shared" si="80"/>
        <v>0</v>
      </c>
      <c r="I378" t="b">
        <f t="shared" si="81"/>
        <v>0</v>
      </c>
      <c r="J378" t="str">
        <f t="shared" si="82"/>
        <v/>
      </c>
      <c r="K378" t="str">
        <f t="shared" si="83"/>
        <v/>
      </c>
      <c r="L378" t="str">
        <f t="shared" si="84"/>
        <v>,</v>
      </c>
      <c r="M378" t="str">
        <f t="shared" si="85"/>
        <v/>
      </c>
      <c r="N378" t="str">
        <f t="shared" si="86"/>
        <v/>
      </c>
      <c r="O378" t="str">
        <f t="shared" si="87"/>
        <v/>
      </c>
      <c r="P378" t="str">
        <f t="shared" si="88"/>
        <v/>
      </c>
      <c r="Q378" t="str">
        <f t="shared" si="89"/>
        <v/>
      </c>
      <c r="R378" s="20" t="str">
        <f t="shared" si="90"/>
        <v>ON</v>
      </c>
      <c r="S378" s="20" t="str">
        <f>IF(Data!E376="GpsRecord",Data!G376,"")</f>
        <v/>
      </c>
      <c r="T378" s="20" t="str">
        <f>IF(Data!E376="GpsRecord",Data!H376,"")</f>
        <v/>
      </c>
      <c r="U378" s="20">
        <f t="shared" si="91"/>
        <v>-39.41863</v>
      </c>
      <c r="V378" s="20">
        <f t="shared" si="92"/>
        <v>33.733750000000001</v>
      </c>
      <c r="W378" s="19">
        <f>Data!I376</f>
        <v>0</v>
      </c>
      <c r="X378" s="17" t="str">
        <f>CONCATENATE(Data!J376, " ", Data!K376)</f>
        <v xml:space="preserve"> </v>
      </c>
    </row>
    <row r="379" spans="1:24" x14ac:dyDescent="0.3">
      <c r="A379" s="17" t="str">
        <f>Data!A377</f>
        <v>vehicle1</v>
      </c>
      <c r="B379" s="17" t="str">
        <f>Data!B377</f>
        <v>Vehicle, Gasoline or Petrol</v>
      </c>
      <c r="C379" s="17" t="str">
        <f>Data!C377</f>
        <v>1f2g3h4j5k6l</v>
      </c>
      <c r="D379" s="52">
        <f>Data!D377</f>
        <v>45066.154398148145</v>
      </c>
      <c r="E379" s="60" t="str">
        <f>IF(Data!E377="GpsRecord",Data!F377,"")</f>
        <v/>
      </c>
      <c r="F379" s="68" t="str">
        <f t="shared" si="78"/>
        <v>5109 Hurontario St, Mississauga, ON L4Z 3X7, Canada</v>
      </c>
      <c r="G379" t="b">
        <f t="shared" si="79"/>
        <v>0</v>
      </c>
      <c r="H379" t="b">
        <f t="shared" si="80"/>
        <v>0</v>
      </c>
      <c r="I379" t="b">
        <f t="shared" si="81"/>
        <v>0</v>
      </c>
      <c r="J379" t="str">
        <f t="shared" si="82"/>
        <v/>
      </c>
      <c r="K379" t="str">
        <f t="shared" si="83"/>
        <v/>
      </c>
      <c r="L379" t="str">
        <f t="shared" si="84"/>
        <v>,</v>
      </c>
      <c r="M379" t="str">
        <f t="shared" si="85"/>
        <v/>
      </c>
      <c r="N379" t="str">
        <f t="shared" si="86"/>
        <v/>
      </c>
      <c r="O379" t="str">
        <f t="shared" si="87"/>
        <v/>
      </c>
      <c r="P379" t="str">
        <f t="shared" si="88"/>
        <v/>
      </c>
      <c r="Q379" t="str">
        <f t="shared" si="89"/>
        <v/>
      </c>
      <c r="R379" s="20" t="str">
        <f t="shared" si="90"/>
        <v>ON</v>
      </c>
      <c r="S379" s="20" t="str">
        <f>IF(Data!E377="GpsRecord",Data!G377,"")</f>
        <v/>
      </c>
      <c r="T379" s="20" t="str">
        <f>IF(Data!E377="GpsRecord",Data!H377,"")</f>
        <v/>
      </c>
      <c r="U379" s="20">
        <f t="shared" si="91"/>
        <v>-39.41863</v>
      </c>
      <c r="V379" s="20">
        <f t="shared" si="92"/>
        <v>33.733750000000001</v>
      </c>
      <c r="W379" s="19" t="str">
        <f>Data!I377</f>
        <v>Engine road speed</v>
      </c>
      <c r="X379" s="17" t="str">
        <f>CONCATENATE(Data!J377, " ", Data!K377)</f>
        <v>62 km/h</v>
      </c>
    </row>
    <row r="380" spans="1:24" x14ac:dyDescent="0.3">
      <c r="A380" s="17" t="str">
        <f>Data!A378</f>
        <v>vehicle1</v>
      </c>
      <c r="B380" s="17" t="str">
        <f>Data!B378</f>
        <v>Vehicle, Gasoline or Petrol</v>
      </c>
      <c r="C380" s="17" t="str">
        <f>Data!C378</f>
        <v>1f2g3h4j5k6l</v>
      </c>
      <c r="D380" s="52">
        <f>Data!D378</f>
        <v>45066.154537037037</v>
      </c>
      <c r="E380" s="60" t="str">
        <f>IF(Data!E378="GpsRecord",Data!F378,"")</f>
        <v>5109 Hurontario St, Mississauga, ON L4Z 3X7, Canada</v>
      </c>
      <c r="F380" s="68" t="str">
        <f t="shared" si="78"/>
        <v>5109 Hurontario St, Mississauga, ON L4Z 3X7, Canada</v>
      </c>
      <c r="G380" t="b">
        <f t="shared" si="79"/>
        <v>1</v>
      </c>
      <c r="H380" t="b">
        <f t="shared" si="80"/>
        <v>0</v>
      </c>
      <c r="I380" t="b">
        <f t="shared" si="81"/>
        <v>1</v>
      </c>
      <c r="J380" t="str">
        <f t="shared" si="82"/>
        <v>5109 Hurontario St, Mississauga, ON L4Z 3X7, Canada</v>
      </c>
      <c r="K380" t="str">
        <f t="shared" si="83"/>
        <v xml:space="preserve"> Canada</v>
      </c>
      <c r="L380" t="str">
        <f t="shared" si="84"/>
        <v>, Canada</v>
      </c>
      <c r="M380" t="str">
        <f t="shared" si="85"/>
        <v>5109 Hurontario St, Mississauga, ON L4Z 3X7</v>
      </c>
      <c r="N380" t="str">
        <f t="shared" si="86"/>
        <v xml:space="preserve"> ON L4Z 3X7</v>
      </c>
      <c r="O380" t="str">
        <f t="shared" si="87"/>
        <v>3X7</v>
      </c>
      <c r="P380" t="str">
        <f t="shared" si="88"/>
        <v xml:space="preserve"> ON L4Z</v>
      </c>
      <c r="Q380" t="str">
        <f t="shared" si="89"/>
        <v>ON</v>
      </c>
      <c r="R380" s="20" t="str">
        <f t="shared" si="90"/>
        <v>ON</v>
      </c>
      <c r="S380" s="20">
        <f>IF(Data!E378="GpsRecord",Data!G378,"")</f>
        <v>-39.418089999999999</v>
      </c>
      <c r="T380" s="20">
        <f>IF(Data!E378="GpsRecord",Data!H378,"")</f>
        <v>33.733260000000001</v>
      </c>
      <c r="U380" s="20">
        <f t="shared" si="91"/>
        <v>-39.418089999999999</v>
      </c>
      <c r="V380" s="20">
        <f t="shared" si="92"/>
        <v>33.733260000000001</v>
      </c>
      <c r="W380" s="19">
        <f>Data!I378</f>
        <v>0</v>
      </c>
      <c r="X380" s="17" t="str">
        <f>CONCATENATE(Data!J378, " ", Data!K378)</f>
        <v xml:space="preserve"> </v>
      </c>
    </row>
    <row r="381" spans="1:24" x14ac:dyDescent="0.3">
      <c r="A381" s="17" t="str">
        <f>Data!A379</f>
        <v>vehicle1</v>
      </c>
      <c r="B381" s="17" t="str">
        <f>Data!B379</f>
        <v>Vehicle, Gasoline or Petrol</v>
      </c>
      <c r="C381" s="17" t="str">
        <f>Data!C379</f>
        <v>1f2g3h4j5k6l</v>
      </c>
      <c r="D381" s="52">
        <f>Data!D379</f>
        <v>45066.15457175926</v>
      </c>
      <c r="E381" s="60" t="str">
        <f>IF(Data!E379="GpsRecord",Data!F379,"")</f>
        <v/>
      </c>
      <c r="F381" s="68" t="str">
        <f t="shared" si="78"/>
        <v>5109 Hurontario St, Mississauga, ON L4Z 3X7, Canada</v>
      </c>
      <c r="G381" t="b">
        <f t="shared" si="79"/>
        <v>0</v>
      </c>
      <c r="H381" t="b">
        <f t="shared" si="80"/>
        <v>0</v>
      </c>
      <c r="I381" t="b">
        <f t="shared" si="81"/>
        <v>0</v>
      </c>
      <c r="J381" t="str">
        <f t="shared" si="82"/>
        <v/>
      </c>
      <c r="K381" t="str">
        <f t="shared" si="83"/>
        <v/>
      </c>
      <c r="L381" t="str">
        <f t="shared" si="84"/>
        <v>,</v>
      </c>
      <c r="M381" t="str">
        <f t="shared" si="85"/>
        <v/>
      </c>
      <c r="N381" t="str">
        <f t="shared" si="86"/>
        <v/>
      </c>
      <c r="O381" t="str">
        <f t="shared" si="87"/>
        <v/>
      </c>
      <c r="P381" t="str">
        <f t="shared" si="88"/>
        <v/>
      </c>
      <c r="Q381" t="str">
        <f t="shared" si="89"/>
        <v/>
      </c>
      <c r="R381" s="20" t="str">
        <f t="shared" si="90"/>
        <v>ON</v>
      </c>
      <c r="S381" s="20" t="str">
        <f>IF(Data!E379="GpsRecord",Data!G379,"")</f>
        <v/>
      </c>
      <c r="T381" s="20" t="str">
        <f>IF(Data!E379="GpsRecord",Data!H379,"")</f>
        <v/>
      </c>
      <c r="U381" s="20">
        <f t="shared" si="91"/>
        <v>-39.418089999999999</v>
      </c>
      <c r="V381" s="20">
        <f t="shared" si="92"/>
        <v>33.733260000000001</v>
      </c>
      <c r="W381" s="19">
        <f>Data!I379</f>
        <v>0</v>
      </c>
      <c r="X381" s="17" t="str">
        <f>CONCATENATE(Data!J379, " ", Data!K379)</f>
        <v xml:space="preserve"> </v>
      </c>
    </row>
    <row r="382" spans="1:24" x14ac:dyDescent="0.3">
      <c r="A382" s="17" t="str">
        <f>Data!A380</f>
        <v>vehicle1</v>
      </c>
      <c r="B382" s="17" t="str">
        <f>Data!B380</f>
        <v>Vehicle, Gasoline or Petrol</v>
      </c>
      <c r="C382" s="17" t="str">
        <f>Data!C380</f>
        <v>1f2g3h4j5k6l</v>
      </c>
      <c r="D382" s="52">
        <f>Data!D380</f>
        <v>45066.15457175926</v>
      </c>
      <c r="E382" s="60" t="str">
        <f>IF(Data!E380="GpsRecord",Data!F380,"")</f>
        <v/>
      </c>
      <c r="F382" s="68" t="str">
        <f t="shared" si="78"/>
        <v>5109 Hurontario St, Mississauga, ON L4Z 3X7, Canada</v>
      </c>
      <c r="G382" t="b">
        <f t="shared" si="79"/>
        <v>0</v>
      </c>
      <c r="H382" t="b">
        <f t="shared" si="80"/>
        <v>0</v>
      </c>
      <c r="I382" t="b">
        <f t="shared" si="81"/>
        <v>0</v>
      </c>
      <c r="J382" t="str">
        <f t="shared" si="82"/>
        <v/>
      </c>
      <c r="K382" t="str">
        <f t="shared" si="83"/>
        <v/>
      </c>
      <c r="L382" t="str">
        <f t="shared" si="84"/>
        <v>,</v>
      </c>
      <c r="M382" t="str">
        <f t="shared" si="85"/>
        <v/>
      </c>
      <c r="N382" t="str">
        <f t="shared" si="86"/>
        <v/>
      </c>
      <c r="O382" t="str">
        <f t="shared" si="87"/>
        <v/>
      </c>
      <c r="P382" t="str">
        <f t="shared" si="88"/>
        <v/>
      </c>
      <c r="Q382" t="str">
        <f t="shared" si="89"/>
        <v/>
      </c>
      <c r="R382" s="20" t="str">
        <f t="shared" si="90"/>
        <v>ON</v>
      </c>
      <c r="S382" s="20" t="str">
        <f>IF(Data!E380="GpsRecord",Data!G380,"")</f>
        <v/>
      </c>
      <c r="T382" s="20" t="str">
        <f>IF(Data!E380="GpsRecord",Data!H380,"")</f>
        <v/>
      </c>
      <c r="U382" s="20">
        <f t="shared" si="91"/>
        <v>-39.418089999999999</v>
      </c>
      <c r="V382" s="20">
        <f t="shared" si="92"/>
        <v>33.733260000000001</v>
      </c>
      <c r="W382" s="19">
        <f>Data!I380</f>
        <v>0</v>
      </c>
      <c r="X382" s="17" t="str">
        <f>CONCATENATE(Data!J380, " ", Data!K380)</f>
        <v xml:space="preserve"> </v>
      </c>
    </row>
    <row r="383" spans="1:24" x14ac:dyDescent="0.3">
      <c r="A383" s="17" t="str">
        <f>Data!A381</f>
        <v>vehicle1</v>
      </c>
      <c r="B383" s="17" t="str">
        <f>Data!B381</f>
        <v>Vehicle, Gasoline or Petrol</v>
      </c>
      <c r="C383" s="17" t="str">
        <f>Data!C381</f>
        <v>1f2g3h4j5k6l</v>
      </c>
      <c r="D383" s="52">
        <f>Data!D381</f>
        <v>45066.154606481483</v>
      </c>
      <c r="E383" s="60" t="str">
        <f>IF(Data!E381="GpsRecord",Data!F381,"")</f>
        <v/>
      </c>
      <c r="F383" s="68" t="str">
        <f t="shared" si="78"/>
        <v>5109 Hurontario St, Mississauga, ON L4Z 3X7, Canada</v>
      </c>
      <c r="G383" t="b">
        <f t="shared" si="79"/>
        <v>0</v>
      </c>
      <c r="H383" t="b">
        <f t="shared" si="80"/>
        <v>0</v>
      </c>
      <c r="I383" t="b">
        <f t="shared" si="81"/>
        <v>0</v>
      </c>
      <c r="J383" t="str">
        <f t="shared" si="82"/>
        <v/>
      </c>
      <c r="K383" t="str">
        <f t="shared" si="83"/>
        <v/>
      </c>
      <c r="L383" t="str">
        <f t="shared" si="84"/>
        <v>,</v>
      </c>
      <c r="M383" t="str">
        <f t="shared" si="85"/>
        <v/>
      </c>
      <c r="N383" t="str">
        <f t="shared" si="86"/>
        <v/>
      </c>
      <c r="O383" t="str">
        <f t="shared" si="87"/>
        <v/>
      </c>
      <c r="P383" t="str">
        <f t="shared" si="88"/>
        <v/>
      </c>
      <c r="Q383" t="str">
        <f t="shared" si="89"/>
        <v/>
      </c>
      <c r="R383" s="20" t="str">
        <f t="shared" si="90"/>
        <v>ON</v>
      </c>
      <c r="S383" s="20" t="str">
        <f>IF(Data!E381="GpsRecord",Data!G381,"")</f>
        <v/>
      </c>
      <c r="T383" s="20" t="str">
        <f>IF(Data!E381="GpsRecord",Data!H381,"")</f>
        <v/>
      </c>
      <c r="U383" s="20">
        <f t="shared" si="91"/>
        <v>-39.418089999999999</v>
      </c>
      <c r="V383" s="20">
        <f t="shared" si="92"/>
        <v>33.733260000000001</v>
      </c>
      <c r="W383" s="19" t="str">
        <f>Data!I381</f>
        <v>Engine road speed</v>
      </c>
      <c r="X383" s="17" t="str">
        <f>CONCATENATE(Data!J381, " ", Data!K381)</f>
        <v>42 km/h</v>
      </c>
    </row>
    <row r="384" spans="1:24" x14ac:dyDescent="0.3">
      <c r="A384" s="17" t="str">
        <f>Data!A382</f>
        <v>vehicle1</v>
      </c>
      <c r="B384" s="17" t="str">
        <f>Data!B382</f>
        <v>Vehicle, Gasoline or Petrol</v>
      </c>
      <c r="C384" s="17" t="str">
        <f>Data!C382</f>
        <v>1f2g3h4j5k6l</v>
      </c>
      <c r="D384" s="52">
        <f>Data!D382</f>
        <v>45066.154618055552</v>
      </c>
      <c r="E384" s="60" t="str">
        <f>IF(Data!E382="GpsRecord",Data!F382,"")</f>
        <v/>
      </c>
      <c r="F384" s="68" t="str">
        <f t="shared" si="78"/>
        <v>5109 Hurontario St, Mississauga, ON L4Z 3X7, Canada</v>
      </c>
      <c r="G384" t="b">
        <f t="shared" si="79"/>
        <v>0</v>
      </c>
      <c r="H384" t="b">
        <f t="shared" si="80"/>
        <v>0</v>
      </c>
      <c r="I384" t="b">
        <f t="shared" si="81"/>
        <v>0</v>
      </c>
      <c r="J384" t="str">
        <f t="shared" si="82"/>
        <v/>
      </c>
      <c r="K384" t="str">
        <f t="shared" si="83"/>
        <v/>
      </c>
      <c r="L384" t="str">
        <f t="shared" si="84"/>
        <v>,</v>
      </c>
      <c r="M384" t="str">
        <f t="shared" si="85"/>
        <v/>
      </c>
      <c r="N384" t="str">
        <f t="shared" si="86"/>
        <v/>
      </c>
      <c r="O384" t="str">
        <f t="shared" si="87"/>
        <v/>
      </c>
      <c r="P384" t="str">
        <f t="shared" si="88"/>
        <v/>
      </c>
      <c r="Q384" t="str">
        <f t="shared" si="89"/>
        <v/>
      </c>
      <c r="R384" s="20" t="str">
        <f t="shared" si="90"/>
        <v>ON</v>
      </c>
      <c r="S384" s="20" t="str">
        <f>IF(Data!E382="GpsRecord",Data!G382,"")</f>
        <v/>
      </c>
      <c r="T384" s="20" t="str">
        <f>IF(Data!E382="GpsRecord",Data!H382,"")</f>
        <v/>
      </c>
      <c r="U384" s="20">
        <f t="shared" si="91"/>
        <v>-39.418089999999999</v>
      </c>
      <c r="V384" s="20">
        <f t="shared" si="92"/>
        <v>33.733260000000001</v>
      </c>
      <c r="W384" s="19">
        <f>Data!I382</f>
        <v>0</v>
      </c>
      <c r="X384" s="17" t="str">
        <f>CONCATENATE(Data!J382, " ", Data!K382)</f>
        <v xml:space="preserve"> </v>
      </c>
    </row>
    <row r="385" spans="1:24" x14ac:dyDescent="0.3">
      <c r="A385" s="17" t="str">
        <f>Data!A383</f>
        <v>vehicle1</v>
      </c>
      <c r="B385" s="17" t="str">
        <f>Data!B383</f>
        <v>Vehicle, Gasoline or Petrol</v>
      </c>
      <c r="C385" s="17" t="str">
        <f>Data!C383</f>
        <v>1f2g3h4j5k6l</v>
      </c>
      <c r="D385" s="52">
        <f>Data!D383</f>
        <v>45066.154618055552</v>
      </c>
      <c r="E385" s="60" t="str">
        <f>IF(Data!E383="GpsRecord",Data!F383,"")</f>
        <v/>
      </c>
      <c r="F385" s="68" t="str">
        <f t="shared" si="78"/>
        <v>5109 Hurontario St, Mississauga, ON L4Z 3X7, Canada</v>
      </c>
      <c r="G385" t="b">
        <f t="shared" si="79"/>
        <v>0</v>
      </c>
      <c r="H385" t="b">
        <f t="shared" si="80"/>
        <v>0</v>
      </c>
      <c r="I385" t="b">
        <f t="shared" si="81"/>
        <v>0</v>
      </c>
      <c r="J385" t="str">
        <f t="shared" si="82"/>
        <v/>
      </c>
      <c r="K385" t="str">
        <f t="shared" si="83"/>
        <v/>
      </c>
      <c r="L385" t="str">
        <f t="shared" si="84"/>
        <v>,</v>
      </c>
      <c r="M385" t="str">
        <f t="shared" si="85"/>
        <v/>
      </c>
      <c r="N385" t="str">
        <f t="shared" si="86"/>
        <v/>
      </c>
      <c r="O385" t="str">
        <f t="shared" si="87"/>
        <v/>
      </c>
      <c r="P385" t="str">
        <f t="shared" si="88"/>
        <v/>
      </c>
      <c r="Q385" t="str">
        <f t="shared" si="89"/>
        <v/>
      </c>
      <c r="R385" s="20" t="str">
        <f t="shared" si="90"/>
        <v>ON</v>
      </c>
      <c r="S385" s="20" t="str">
        <f>IF(Data!E383="GpsRecord",Data!G383,"")</f>
        <v/>
      </c>
      <c r="T385" s="20" t="str">
        <f>IF(Data!E383="GpsRecord",Data!H383,"")</f>
        <v/>
      </c>
      <c r="U385" s="20">
        <f t="shared" si="91"/>
        <v>-39.418089999999999</v>
      </c>
      <c r="V385" s="20">
        <f t="shared" si="92"/>
        <v>33.733260000000001</v>
      </c>
      <c r="W385" s="19">
        <f>Data!I383</f>
        <v>0</v>
      </c>
      <c r="X385" s="17" t="str">
        <f>CONCATENATE(Data!J383, " ", Data!K383)</f>
        <v xml:space="preserve"> </v>
      </c>
    </row>
    <row r="386" spans="1:24" x14ac:dyDescent="0.3">
      <c r="A386" s="17" t="str">
        <f>Data!A384</f>
        <v>vehicle1</v>
      </c>
      <c r="B386" s="17" t="str">
        <f>Data!B384</f>
        <v>Vehicle, Gasoline or Petrol</v>
      </c>
      <c r="C386" s="17" t="str">
        <f>Data!C384</f>
        <v>1f2g3h4j5k6l</v>
      </c>
      <c r="D386" s="52">
        <f>Data!D384</f>
        <v>45066.154618055552</v>
      </c>
      <c r="E386" s="60" t="str">
        <f>IF(Data!E384="GpsRecord",Data!F384,"")</f>
        <v/>
      </c>
      <c r="F386" s="68" t="str">
        <f t="shared" si="78"/>
        <v>5109 Hurontario St, Mississauga, ON L4Z 3X7, Canada</v>
      </c>
      <c r="G386" t="b">
        <f t="shared" si="79"/>
        <v>0</v>
      </c>
      <c r="H386" t="b">
        <f t="shared" si="80"/>
        <v>0</v>
      </c>
      <c r="I386" t="b">
        <f t="shared" si="81"/>
        <v>0</v>
      </c>
      <c r="J386" t="str">
        <f t="shared" si="82"/>
        <v/>
      </c>
      <c r="K386" t="str">
        <f t="shared" si="83"/>
        <v/>
      </c>
      <c r="L386" t="str">
        <f t="shared" si="84"/>
        <v>,</v>
      </c>
      <c r="M386" t="str">
        <f t="shared" si="85"/>
        <v/>
      </c>
      <c r="N386" t="str">
        <f t="shared" si="86"/>
        <v/>
      </c>
      <c r="O386" t="str">
        <f t="shared" si="87"/>
        <v/>
      </c>
      <c r="P386" t="str">
        <f t="shared" si="88"/>
        <v/>
      </c>
      <c r="Q386" t="str">
        <f t="shared" si="89"/>
        <v/>
      </c>
      <c r="R386" s="20" t="str">
        <f t="shared" si="90"/>
        <v>ON</v>
      </c>
      <c r="S386" s="20" t="str">
        <f>IF(Data!E384="GpsRecord",Data!G384,"")</f>
        <v/>
      </c>
      <c r="T386" s="20" t="str">
        <f>IF(Data!E384="GpsRecord",Data!H384,"")</f>
        <v/>
      </c>
      <c r="U386" s="20">
        <f t="shared" si="91"/>
        <v>-39.418089999999999</v>
      </c>
      <c r="V386" s="20">
        <f t="shared" si="92"/>
        <v>33.733260000000001</v>
      </c>
      <c r="W386" s="19">
        <f>Data!I384</f>
        <v>0</v>
      </c>
      <c r="X386" s="17" t="str">
        <f>CONCATENATE(Data!J384, " ", Data!K384)</f>
        <v xml:space="preserve"> </v>
      </c>
    </row>
    <row r="387" spans="1:24" x14ac:dyDescent="0.3">
      <c r="A387" s="17" t="str">
        <f>Data!A385</f>
        <v>vehicle1</v>
      </c>
      <c r="B387" s="17" t="str">
        <f>Data!B385</f>
        <v>Vehicle, Gasoline or Petrol</v>
      </c>
      <c r="C387" s="17" t="str">
        <f>Data!C385</f>
        <v>1f2g3h4j5k6l</v>
      </c>
      <c r="D387" s="52">
        <f>Data!D385</f>
        <v>45066.154641203706</v>
      </c>
      <c r="E387" s="60" t="str">
        <f>IF(Data!E385="GpsRecord",Data!F385,"")</f>
        <v>5109 Hurontario St, Mississauga, ON L4Z 3X7, Canada</v>
      </c>
      <c r="F387" s="68" t="str">
        <f t="shared" si="78"/>
        <v>5109 Hurontario St, Mississauga, ON L4Z 3X7, Canada</v>
      </c>
      <c r="G387" t="b">
        <f t="shared" si="79"/>
        <v>1</v>
      </c>
      <c r="H387" t="b">
        <f t="shared" si="80"/>
        <v>0</v>
      </c>
      <c r="I387" t="b">
        <f t="shared" si="81"/>
        <v>1</v>
      </c>
      <c r="J387" t="str">
        <f t="shared" si="82"/>
        <v>5109 Hurontario St, Mississauga, ON L4Z 3X7, Canada</v>
      </c>
      <c r="K387" t="str">
        <f t="shared" si="83"/>
        <v xml:space="preserve"> Canada</v>
      </c>
      <c r="L387" t="str">
        <f t="shared" si="84"/>
        <v>, Canada</v>
      </c>
      <c r="M387" t="str">
        <f t="shared" si="85"/>
        <v>5109 Hurontario St, Mississauga, ON L4Z 3X7</v>
      </c>
      <c r="N387" t="str">
        <f t="shared" si="86"/>
        <v xml:space="preserve"> ON L4Z 3X7</v>
      </c>
      <c r="O387" t="str">
        <f t="shared" si="87"/>
        <v>3X7</v>
      </c>
      <c r="P387" t="str">
        <f t="shared" si="88"/>
        <v xml:space="preserve"> ON L4Z</v>
      </c>
      <c r="Q387" t="str">
        <f t="shared" si="89"/>
        <v>ON</v>
      </c>
      <c r="R387" s="20" t="str">
        <f t="shared" si="90"/>
        <v>ON</v>
      </c>
      <c r="S387" s="20">
        <f>IF(Data!E385="GpsRecord",Data!G385,"")</f>
        <v>-39.417349999999999</v>
      </c>
      <c r="T387" s="20">
        <f>IF(Data!E385="GpsRecord",Data!H385,"")</f>
        <v>33.732309999999998</v>
      </c>
      <c r="U387" s="20">
        <f t="shared" si="91"/>
        <v>-39.417349999999999</v>
      </c>
      <c r="V387" s="20">
        <f t="shared" si="92"/>
        <v>33.732309999999998</v>
      </c>
      <c r="W387" s="19">
        <f>Data!I385</f>
        <v>0</v>
      </c>
      <c r="X387" s="17" t="str">
        <f>CONCATENATE(Data!J385, " ", Data!K385)</f>
        <v xml:space="preserve"> </v>
      </c>
    </row>
    <row r="388" spans="1:24" x14ac:dyDescent="0.3">
      <c r="A388" s="17" t="str">
        <f>Data!A386</f>
        <v>vehicle1</v>
      </c>
      <c r="B388" s="17" t="str">
        <f>Data!B386</f>
        <v>Vehicle, Gasoline or Petrol</v>
      </c>
      <c r="C388" s="17" t="str">
        <f>Data!C386</f>
        <v>1f2g3h4j5k6l</v>
      </c>
      <c r="D388" s="52">
        <f>Data!D386</f>
        <v>45066.154652777775</v>
      </c>
      <c r="E388" s="60" t="str">
        <f>IF(Data!E386="GpsRecord",Data!F386,"")</f>
        <v/>
      </c>
      <c r="F388" s="68" t="str">
        <f t="shared" si="78"/>
        <v>5109 Hurontario St, Mississauga, ON L4Z 3X7, Canada</v>
      </c>
      <c r="G388" t="b">
        <f t="shared" si="79"/>
        <v>0</v>
      </c>
      <c r="H388" t="b">
        <f t="shared" si="80"/>
        <v>0</v>
      </c>
      <c r="I388" t="b">
        <f t="shared" si="81"/>
        <v>0</v>
      </c>
      <c r="J388" t="str">
        <f t="shared" si="82"/>
        <v/>
      </c>
      <c r="K388" t="str">
        <f t="shared" si="83"/>
        <v/>
      </c>
      <c r="L388" t="str">
        <f t="shared" si="84"/>
        <v>,</v>
      </c>
      <c r="M388" t="str">
        <f t="shared" si="85"/>
        <v/>
      </c>
      <c r="N388" t="str">
        <f t="shared" si="86"/>
        <v/>
      </c>
      <c r="O388" t="str">
        <f t="shared" si="87"/>
        <v/>
      </c>
      <c r="P388" t="str">
        <f t="shared" si="88"/>
        <v/>
      </c>
      <c r="Q388" t="str">
        <f t="shared" si="89"/>
        <v/>
      </c>
      <c r="R388" s="20" t="str">
        <f t="shared" si="90"/>
        <v>ON</v>
      </c>
      <c r="S388" s="20" t="str">
        <f>IF(Data!E386="GpsRecord",Data!G386,"")</f>
        <v/>
      </c>
      <c r="T388" s="20" t="str">
        <f>IF(Data!E386="GpsRecord",Data!H386,"")</f>
        <v/>
      </c>
      <c r="U388" s="20">
        <f t="shared" si="91"/>
        <v>-39.417349999999999</v>
      </c>
      <c r="V388" s="20">
        <f t="shared" si="92"/>
        <v>33.732309999999998</v>
      </c>
      <c r="W388" s="19" t="str">
        <f>Data!I386</f>
        <v>Engine road speed</v>
      </c>
      <c r="X388" s="17" t="str">
        <f>CONCATENATE(Data!J386, " ", Data!K386)</f>
        <v>44 km/h</v>
      </c>
    </row>
    <row r="389" spans="1:24" x14ac:dyDescent="0.3">
      <c r="A389" s="17" t="str">
        <f>Data!A387</f>
        <v>vehicle1</v>
      </c>
      <c r="B389" s="17" t="str">
        <f>Data!B387</f>
        <v>Vehicle, Gasoline or Petrol</v>
      </c>
      <c r="C389" s="17" t="str">
        <f>Data!C387</f>
        <v>1f2g3h4j5k6l</v>
      </c>
      <c r="D389" s="52">
        <f>Data!D387</f>
        <v>45066.154722222222</v>
      </c>
      <c r="E389" s="60" t="str">
        <f>IF(Data!E387="GpsRecord",Data!F387,"")</f>
        <v/>
      </c>
      <c r="F389" s="68" t="str">
        <f t="shared" si="78"/>
        <v>5109 Hurontario St, Mississauga, ON L4Z 3X7, Canada</v>
      </c>
      <c r="G389" t="b">
        <f t="shared" si="79"/>
        <v>0</v>
      </c>
      <c r="H389" t="b">
        <f t="shared" si="80"/>
        <v>0</v>
      </c>
      <c r="I389" t="b">
        <f t="shared" si="81"/>
        <v>0</v>
      </c>
      <c r="J389" t="str">
        <f t="shared" si="82"/>
        <v/>
      </c>
      <c r="K389" t="str">
        <f t="shared" si="83"/>
        <v/>
      </c>
      <c r="L389" t="str">
        <f t="shared" si="84"/>
        <v>,</v>
      </c>
      <c r="M389" t="str">
        <f t="shared" si="85"/>
        <v/>
      </c>
      <c r="N389" t="str">
        <f t="shared" si="86"/>
        <v/>
      </c>
      <c r="O389" t="str">
        <f t="shared" si="87"/>
        <v/>
      </c>
      <c r="P389" t="str">
        <f t="shared" si="88"/>
        <v/>
      </c>
      <c r="Q389" t="str">
        <f t="shared" si="89"/>
        <v/>
      </c>
      <c r="R389" s="20" t="str">
        <f t="shared" si="90"/>
        <v>ON</v>
      </c>
      <c r="S389" s="20" t="str">
        <f>IF(Data!E387="GpsRecord",Data!G387,"")</f>
        <v/>
      </c>
      <c r="T389" s="20" t="str">
        <f>IF(Data!E387="GpsRecord",Data!H387,"")</f>
        <v/>
      </c>
      <c r="U389" s="20">
        <f t="shared" si="91"/>
        <v>-39.417349999999999</v>
      </c>
      <c r="V389" s="20">
        <f t="shared" si="92"/>
        <v>33.732309999999998</v>
      </c>
      <c r="W389" s="19" t="str">
        <f>Data!I387</f>
        <v>Raw outside air temperature</v>
      </c>
      <c r="X389" s="17" t="str">
        <f>CONCATENATE(Data!J387, " ", Data!K387)</f>
        <v>31 C</v>
      </c>
    </row>
    <row r="390" spans="1:24" x14ac:dyDescent="0.3">
      <c r="A390" s="17" t="str">
        <f>Data!A388</f>
        <v>vehicle1</v>
      </c>
      <c r="B390" s="17" t="str">
        <f>Data!B388</f>
        <v>Vehicle, Gasoline or Petrol</v>
      </c>
      <c r="C390" s="17" t="str">
        <f>Data!C388</f>
        <v>1f2g3h4j5k6l</v>
      </c>
      <c r="D390" s="52">
        <f>Data!D388</f>
        <v>45066.154733796298</v>
      </c>
      <c r="E390" s="60" t="str">
        <f>IF(Data!E388="GpsRecord",Data!F388,"")</f>
        <v/>
      </c>
      <c r="F390" s="68" t="str">
        <f t="shared" si="78"/>
        <v>5109 Hurontario St, Mississauga, ON L4Z 3X7, Canada</v>
      </c>
      <c r="G390" t="b">
        <f t="shared" si="79"/>
        <v>0</v>
      </c>
      <c r="H390" t="b">
        <f t="shared" si="80"/>
        <v>0</v>
      </c>
      <c r="I390" t="b">
        <f t="shared" si="81"/>
        <v>0</v>
      </c>
      <c r="J390" t="str">
        <f t="shared" si="82"/>
        <v/>
      </c>
      <c r="K390" t="str">
        <f t="shared" si="83"/>
        <v/>
      </c>
      <c r="L390" t="str">
        <f t="shared" si="84"/>
        <v>,</v>
      </c>
      <c r="M390" t="str">
        <f t="shared" si="85"/>
        <v/>
      </c>
      <c r="N390" t="str">
        <f t="shared" si="86"/>
        <v/>
      </c>
      <c r="O390" t="str">
        <f t="shared" si="87"/>
        <v/>
      </c>
      <c r="P390" t="str">
        <f t="shared" si="88"/>
        <v/>
      </c>
      <c r="Q390" t="str">
        <f t="shared" si="89"/>
        <v/>
      </c>
      <c r="R390" s="20" t="str">
        <f t="shared" si="90"/>
        <v>ON</v>
      </c>
      <c r="S390" s="20" t="str">
        <f>IF(Data!E388="GpsRecord",Data!G388,"")</f>
        <v/>
      </c>
      <c r="T390" s="20" t="str">
        <f>IF(Data!E388="GpsRecord",Data!H388,"")</f>
        <v/>
      </c>
      <c r="U390" s="20">
        <f t="shared" si="91"/>
        <v>-39.417349999999999</v>
      </c>
      <c r="V390" s="20">
        <f t="shared" si="92"/>
        <v>33.732309999999998</v>
      </c>
      <c r="W390" s="19" t="str">
        <f>Data!I388</f>
        <v>Engine speed</v>
      </c>
      <c r="X390" s="17" t="str">
        <f>CONCATENATE(Data!J388, " ", Data!K388)</f>
        <v>1803 RPM</v>
      </c>
    </row>
    <row r="391" spans="1:24" x14ac:dyDescent="0.3">
      <c r="A391" s="17" t="str">
        <f>Data!A389</f>
        <v>vehicle1</v>
      </c>
      <c r="B391" s="17" t="str">
        <f>Data!B389</f>
        <v>Vehicle, Gasoline or Petrol</v>
      </c>
      <c r="C391" s="17" t="str">
        <f>Data!C389</f>
        <v>1f2g3h4j5k6l</v>
      </c>
      <c r="D391" s="52">
        <f>Data!D389</f>
        <v>45066.154745370368</v>
      </c>
      <c r="E391" s="60" t="str">
        <f>IF(Data!E389="GpsRecord",Data!F389,"")</f>
        <v/>
      </c>
      <c r="F391" s="68" t="str">
        <f t="shared" si="78"/>
        <v>5109 Hurontario St, Mississauga, ON L4Z 3X7, Canada</v>
      </c>
      <c r="G391" t="b">
        <f t="shared" si="79"/>
        <v>0</v>
      </c>
      <c r="H391" t="b">
        <f t="shared" si="80"/>
        <v>0</v>
      </c>
      <c r="I391" t="b">
        <f t="shared" si="81"/>
        <v>0</v>
      </c>
      <c r="J391" t="str">
        <f t="shared" si="82"/>
        <v/>
      </c>
      <c r="K391" t="str">
        <f t="shared" si="83"/>
        <v/>
      </c>
      <c r="L391" t="str">
        <f t="shared" si="84"/>
        <v>,</v>
      </c>
      <c r="M391" t="str">
        <f t="shared" si="85"/>
        <v/>
      </c>
      <c r="N391" t="str">
        <f t="shared" si="86"/>
        <v/>
      </c>
      <c r="O391" t="str">
        <f t="shared" si="87"/>
        <v/>
      </c>
      <c r="P391" t="str">
        <f t="shared" si="88"/>
        <v/>
      </c>
      <c r="Q391" t="str">
        <f t="shared" si="89"/>
        <v/>
      </c>
      <c r="R391" s="20" t="str">
        <f t="shared" si="90"/>
        <v>ON</v>
      </c>
      <c r="S391" s="20" t="str">
        <f>IF(Data!E389="GpsRecord",Data!G389,"")</f>
        <v/>
      </c>
      <c r="T391" s="20" t="str">
        <f>IF(Data!E389="GpsRecord",Data!H389,"")</f>
        <v/>
      </c>
      <c r="U391" s="20">
        <f t="shared" si="91"/>
        <v>-39.417349999999999</v>
      </c>
      <c r="V391" s="20">
        <f t="shared" si="92"/>
        <v>33.732309999999998</v>
      </c>
      <c r="W391" s="19">
        <f>Data!I389</f>
        <v>0</v>
      </c>
      <c r="X391" s="17" t="str">
        <f>CONCATENATE(Data!J389, " ", Data!K389)</f>
        <v xml:space="preserve"> </v>
      </c>
    </row>
    <row r="392" spans="1:24" x14ac:dyDescent="0.3">
      <c r="A392" s="17" t="str">
        <f>Data!A390</f>
        <v>vehicle1</v>
      </c>
      <c r="B392" s="17" t="str">
        <f>Data!B390</f>
        <v>Vehicle, Gasoline or Petrol</v>
      </c>
      <c r="C392" s="17" t="str">
        <f>Data!C390</f>
        <v>1f2g3h4j5k6l</v>
      </c>
      <c r="D392" s="52">
        <f>Data!D390</f>
        <v>45066.154780092591</v>
      </c>
      <c r="E392" s="60" t="str">
        <f>IF(Data!E390="GpsRecord",Data!F390,"")</f>
        <v>5109 Hurontario St, Mississauga, ON L4Z 3X7, Canada</v>
      </c>
      <c r="F392" s="68" t="str">
        <f t="shared" si="78"/>
        <v>5109 Hurontario St, Mississauga, ON L4Z 3X7, Canada</v>
      </c>
      <c r="G392" t="b">
        <f t="shared" si="79"/>
        <v>1</v>
      </c>
      <c r="H392" t="b">
        <f t="shared" si="80"/>
        <v>0</v>
      </c>
      <c r="I392" t="b">
        <f t="shared" si="81"/>
        <v>1</v>
      </c>
      <c r="J392" t="str">
        <f t="shared" si="82"/>
        <v>5109 Hurontario St, Mississauga, ON L4Z 3X7, Canada</v>
      </c>
      <c r="K392" t="str">
        <f t="shared" si="83"/>
        <v xml:space="preserve"> Canada</v>
      </c>
      <c r="L392" t="str">
        <f t="shared" si="84"/>
        <v>, Canada</v>
      </c>
      <c r="M392" t="str">
        <f t="shared" si="85"/>
        <v>5109 Hurontario St, Mississauga, ON L4Z 3X7</v>
      </c>
      <c r="N392" t="str">
        <f t="shared" si="86"/>
        <v xml:space="preserve"> ON L4Z 3X7</v>
      </c>
      <c r="O392" t="str">
        <f t="shared" si="87"/>
        <v>3X7</v>
      </c>
      <c r="P392" t="str">
        <f t="shared" si="88"/>
        <v xml:space="preserve"> ON L4Z</v>
      </c>
      <c r="Q392" t="str">
        <f t="shared" si="89"/>
        <v>ON</v>
      </c>
      <c r="R392" s="20" t="str">
        <f t="shared" si="90"/>
        <v>ON</v>
      </c>
      <c r="S392" s="20">
        <f>IF(Data!E390="GpsRecord",Data!G390,"")</f>
        <v>-39.4163</v>
      </c>
      <c r="T392" s="20">
        <f>IF(Data!E390="GpsRecord",Data!H390,"")</f>
        <v>33.730930000000001</v>
      </c>
      <c r="U392" s="20">
        <f t="shared" si="91"/>
        <v>-39.4163</v>
      </c>
      <c r="V392" s="20">
        <f t="shared" si="92"/>
        <v>33.730930000000001</v>
      </c>
      <c r="W392" s="19">
        <f>Data!I390</f>
        <v>0</v>
      </c>
      <c r="X392" s="17" t="str">
        <f>CONCATENATE(Data!J390, " ", Data!K390)</f>
        <v xml:space="preserve"> </v>
      </c>
    </row>
    <row r="393" spans="1:24" x14ac:dyDescent="0.3">
      <c r="A393" s="17" t="str">
        <f>Data!A391</f>
        <v>vehicle1</v>
      </c>
      <c r="B393" s="17" t="str">
        <f>Data!B391</f>
        <v>Vehicle, Gasoline or Petrol</v>
      </c>
      <c r="C393" s="17" t="str">
        <f>Data!C391</f>
        <v>1f2g3h4j5k6l</v>
      </c>
      <c r="D393" s="52">
        <f>Data!D391</f>
        <v>45066.154791666668</v>
      </c>
      <c r="E393" s="60" t="str">
        <f>IF(Data!E391="GpsRecord",Data!F391,"")</f>
        <v/>
      </c>
      <c r="F393" s="68" t="str">
        <f t="shared" si="78"/>
        <v>5109 Hurontario St, Mississauga, ON L4Z 3X7, Canada</v>
      </c>
      <c r="G393" t="b">
        <f t="shared" si="79"/>
        <v>0</v>
      </c>
      <c r="H393" t="b">
        <f t="shared" si="80"/>
        <v>0</v>
      </c>
      <c r="I393" t="b">
        <f t="shared" si="81"/>
        <v>0</v>
      </c>
      <c r="J393" t="str">
        <f t="shared" si="82"/>
        <v/>
      </c>
      <c r="K393" t="str">
        <f t="shared" si="83"/>
        <v/>
      </c>
      <c r="L393" t="str">
        <f t="shared" si="84"/>
        <v>,</v>
      </c>
      <c r="M393" t="str">
        <f t="shared" si="85"/>
        <v/>
      </c>
      <c r="N393" t="str">
        <f t="shared" si="86"/>
        <v/>
      </c>
      <c r="O393" t="str">
        <f t="shared" si="87"/>
        <v/>
      </c>
      <c r="P393" t="str">
        <f t="shared" si="88"/>
        <v/>
      </c>
      <c r="Q393" t="str">
        <f t="shared" si="89"/>
        <v/>
      </c>
      <c r="R393" s="20" t="str">
        <f t="shared" si="90"/>
        <v>ON</v>
      </c>
      <c r="S393" s="20" t="str">
        <f>IF(Data!E391="GpsRecord",Data!G391,"")</f>
        <v/>
      </c>
      <c r="T393" s="20" t="str">
        <f>IF(Data!E391="GpsRecord",Data!H391,"")</f>
        <v/>
      </c>
      <c r="U393" s="20">
        <f t="shared" si="91"/>
        <v>-39.4163</v>
      </c>
      <c r="V393" s="20">
        <f t="shared" si="92"/>
        <v>33.730930000000001</v>
      </c>
      <c r="W393" s="19" t="str">
        <f>Data!I391</f>
        <v>ADAS left lane departure warning</v>
      </c>
      <c r="X393" s="17" t="str">
        <f>CONCATENATE(Data!J391, " ", Data!K391)</f>
        <v>1 None</v>
      </c>
    </row>
    <row r="394" spans="1:24" x14ac:dyDescent="0.3">
      <c r="A394" s="17" t="str">
        <f>Data!A392</f>
        <v>vehicle1</v>
      </c>
      <c r="B394" s="17" t="str">
        <f>Data!B392</f>
        <v>Vehicle, Gasoline or Petrol</v>
      </c>
      <c r="C394" s="17" t="str">
        <f>Data!C392</f>
        <v>1f2g3h4j5k6l</v>
      </c>
      <c r="D394" s="52">
        <f>Data!D392</f>
        <v>45066.154791666668</v>
      </c>
      <c r="E394" s="60" t="str">
        <f>IF(Data!E392="GpsRecord",Data!F392,"")</f>
        <v/>
      </c>
      <c r="F394" s="68" t="str">
        <f t="shared" si="78"/>
        <v>5109 Hurontario St, Mississauga, ON L4Z 3X7, Canada</v>
      </c>
      <c r="G394" t="b">
        <f t="shared" si="79"/>
        <v>0</v>
      </c>
      <c r="H394" t="b">
        <f t="shared" si="80"/>
        <v>0</v>
      </c>
      <c r="I394" t="b">
        <f t="shared" si="81"/>
        <v>0</v>
      </c>
      <c r="J394" t="str">
        <f t="shared" si="82"/>
        <v/>
      </c>
      <c r="K394" t="str">
        <f t="shared" si="83"/>
        <v/>
      </c>
      <c r="L394" t="str">
        <f t="shared" si="84"/>
        <v>,</v>
      </c>
      <c r="M394" t="str">
        <f t="shared" si="85"/>
        <v/>
      </c>
      <c r="N394" t="str">
        <f t="shared" si="86"/>
        <v/>
      </c>
      <c r="O394" t="str">
        <f t="shared" si="87"/>
        <v/>
      </c>
      <c r="P394" t="str">
        <f t="shared" si="88"/>
        <v/>
      </c>
      <c r="Q394" t="str">
        <f t="shared" si="89"/>
        <v/>
      </c>
      <c r="R394" s="20" t="str">
        <f t="shared" si="90"/>
        <v>ON</v>
      </c>
      <c r="S394" s="20" t="str">
        <f>IF(Data!E392="GpsRecord",Data!G392,"")</f>
        <v/>
      </c>
      <c r="T394" s="20" t="str">
        <f>IF(Data!E392="GpsRecord",Data!H392,"")</f>
        <v/>
      </c>
      <c r="U394" s="20">
        <f t="shared" si="91"/>
        <v>-39.4163</v>
      </c>
      <c r="V394" s="20">
        <f t="shared" si="92"/>
        <v>33.730930000000001</v>
      </c>
      <c r="W394" s="19">
        <f>Data!I392</f>
        <v>0</v>
      </c>
      <c r="X394" s="17" t="str">
        <f>CONCATENATE(Data!J392, " ", Data!K392)</f>
        <v xml:space="preserve"> </v>
      </c>
    </row>
    <row r="395" spans="1:24" x14ac:dyDescent="0.3">
      <c r="A395" s="17" t="str">
        <f>Data!A393</f>
        <v>vehicle1</v>
      </c>
      <c r="B395" s="17" t="str">
        <f>Data!B393</f>
        <v>Vehicle, Gasoline or Petrol</v>
      </c>
      <c r="C395" s="17" t="str">
        <f>Data!C393</f>
        <v>1f2g3h4j5k6l</v>
      </c>
      <c r="D395" s="52">
        <f>Data!D393</f>
        <v>45066.154791666668</v>
      </c>
      <c r="E395" s="60" t="str">
        <f>IF(Data!E393="GpsRecord",Data!F393,"")</f>
        <v/>
      </c>
      <c r="F395" s="68" t="str">
        <f t="shared" si="78"/>
        <v>5109 Hurontario St, Mississauga, ON L4Z 3X7, Canada</v>
      </c>
      <c r="G395" t="b">
        <f t="shared" si="79"/>
        <v>0</v>
      </c>
      <c r="H395" t="b">
        <f t="shared" si="80"/>
        <v>0</v>
      </c>
      <c r="I395" t="b">
        <f t="shared" si="81"/>
        <v>0</v>
      </c>
      <c r="J395" t="str">
        <f t="shared" si="82"/>
        <v/>
      </c>
      <c r="K395" t="str">
        <f t="shared" si="83"/>
        <v/>
      </c>
      <c r="L395" t="str">
        <f t="shared" si="84"/>
        <v>,</v>
      </c>
      <c r="M395" t="str">
        <f t="shared" si="85"/>
        <v/>
      </c>
      <c r="N395" t="str">
        <f t="shared" si="86"/>
        <v/>
      </c>
      <c r="O395" t="str">
        <f t="shared" si="87"/>
        <v/>
      </c>
      <c r="P395" t="str">
        <f t="shared" si="88"/>
        <v/>
      </c>
      <c r="Q395" t="str">
        <f t="shared" si="89"/>
        <v/>
      </c>
      <c r="R395" s="20" t="str">
        <f t="shared" si="90"/>
        <v>ON</v>
      </c>
      <c r="S395" s="20" t="str">
        <f>IF(Data!E393="GpsRecord",Data!G393,"")</f>
        <v/>
      </c>
      <c r="T395" s="20" t="str">
        <f>IF(Data!E393="GpsRecord",Data!H393,"")</f>
        <v/>
      </c>
      <c r="U395" s="20">
        <f t="shared" si="91"/>
        <v>-39.4163</v>
      </c>
      <c r="V395" s="20">
        <f t="shared" si="92"/>
        <v>33.730930000000001</v>
      </c>
      <c r="W395" s="19">
        <f>Data!I393</f>
        <v>0</v>
      </c>
      <c r="X395" s="17" t="str">
        <f>CONCATENATE(Data!J393, " ", Data!K393)</f>
        <v xml:space="preserve"> </v>
      </c>
    </row>
    <row r="396" spans="1:24" x14ac:dyDescent="0.3">
      <c r="A396" s="17" t="str">
        <f>Data!A394</f>
        <v>vehicle1</v>
      </c>
      <c r="B396" s="17" t="str">
        <f>Data!B394</f>
        <v>Vehicle, Gasoline or Petrol</v>
      </c>
      <c r="C396" s="17" t="str">
        <f>Data!C394</f>
        <v>1f2g3h4j5k6l</v>
      </c>
      <c r="D396" s="52">
        <f>Data!D394</f>
        <v>45066.154791666668</v>
      </c>
      <c r="E396" s="60" t="str">
        <f>IF(Data!E394="GpsRecord",Data!F394,"")</f>
        <v/>
      </c>
      <c r="F396" s="68" t="str">
        <f t="shared" si="78"/>
        <v>5109 Hurontario St, Mississauga, ON L4Z 3X7, Canada</v>
      </c>
      <c r="G396" t="b">
        <f t="shared" si="79"/>
        <v>0</v>
      </c>
      <c r="H396" t="b">
        <f t="shared" si="80"/>
        <v>0</v>
      </c>
      <c r="I396" t="b">
        <f t="shared" si="81"/>
        <v>0</v>
      </c>
      <c r="J396" t="str">
        <f t="shared" si="82"/>
        <v/>
      </c>
      <c r="K396" t="str">
        <f t="shared" si="83"/>
        <v/>
      </c>
      <c r="L396" t="str">
        <f t="shared" si="84"/>
        <v>,</v>
      </c>
      <c r="M396" t="str">
        <f t="shared" si="85"/>
        <v/>
      </c>
      <c r="N396" t="str">
        <f t="shared" si="86"/>
        <v/>
      </c>
      <c r="O396" t="str">
        <f t="shared" si="87"/>
        <v/>
      </c>
      <c r="P396" t="str">
        <f t="shared" si="88"/>
        <v/>
      </c>
      <c r="Q396" t="str">
        <f t="shared" si="89"/>
        <v/>
      </c>
      <c r="R396" s="20" t="str">
        <f t="shared" si="90"/>
        <v>ON</v>
      </c>
      <c r="S396" s="20" t="str">
        <f>IF(Data!E394="GpsRecord",Data!G394,"")</f>
        <v/>
      </c>
      <c r="T396" s="20" t="str">
        <f>IF(Data!E394="GpsRecord",Data!H394,"")</f>
        <v/>
      </c>
      <c r="U396" s="20">
        <f t="shared" si="91"/>
        <v>-39.4163</v>
      </c>
      <c r="V396" s="20">
        <f t="shared" si="92"/>
        <v>33.730930000000001</v>
      </c>
      <c r="W396" s="19">
        <f>Data!I394</f>
        <v>0</v>
      </c>
      <c r="X396" s="17" t="str">
        <f>CONCATENATE(Data!J394, " ", Data!K394)</f>
        <v xml:space="preserve"> </v>
      </c>
    </row>
    <row r="397" spans="1:24" x14ac:dyDescent="0.3">
      <c r="A397" s="17" t="str">
        <f>Data!A395</f>
        <v>vehicle1</v>
      </c>
      <c r="B397" s="17" t="str">
        <f>Data!B395</f>
        <v>Vehicle, Gasoline or Petrol</v>
      </c>
      <c r="C397" s="17" t="str">
        <f>Data!C395</f>
        <v>1f2g3h4j5k6l</v>
      </c>
      <c r="D397" s="52">
        <f>Data!D395</f>
        <v>45066.154826388891</v>
      </c>
      <c r="E397" s="60" t="str">
        <f>IF(Data!E395="GpsRecord",Data!F395,"")</f>
        <v/>
      </c>
      <c r="F397" s="68" t="str">
        <f t="shared" ref="F397:F460" si="93">IF(E397&lt;&gt;"",E397, IF(F396&lt;&gt;$F$12, F396, ""))</f>
        <v>5109 Hurontario St, Mississauga, ON L4Z 3X7, Canada</v>
      </c>
      <c r="G397" t="b">
        <f t="shared" si="79"/>
        <v>0</v>
      </c>
      <c r="H397" t="b">
        <f t="shared" si="80"/>
        <v>0</v>
      </c>
      <c r="I397" t="b">
        <f t="shared" si="81"/>
        <v>0</v>
      </c>
      <c r="J397" t="str">
        <f t="shared" si="82"/>
        <v/>
      </c>
      <c r="K397" t="str">
        <f t="shared" si="83"/>
        <v/>
      </c>
      <c r="L397" t="str">
        <f t="shared" si="84"/>
        <v>,</v>
      </c>
      <c r="M397" t="str">
        <f t="shared" si="85"/>
        <v/>
      </c>
      <c r="N397" t="str">
        <f t="shared" si="86"/>
        <v/>
      </c>
      <c r="O397" t="str">
        <f t="shared" si="87"/>
        <v/>
      </c>
      <c r="P397" t="str">
        <f t="shared" si="88"/>
        <v/>
      </c>
      <c r="Q397" t="str">
        <f t="shared" si="89"/>
        <v/>
      </c>
      <c r="R397" s="20" t="str">
        <f t="shared" si="90"/>
        <v>ON</v>
      </c>
      <c r="S397" s="20" t="str">
        <f>IF(Data!E395="GpsRecord",Data!G395,"")</f>
        <v/>
      </c>
      <c r="T397" s="20" t="str">
        <f>IF(Data!E395="GpsRecord",Data!H395,"")</f>
        <v/>
      </c>
      <c r="U397" s="20">
        <f t="shared" si="91"/>
        <v>-39.4163</v>
      </c>
      <c r="V397" s="20">
        <f t="shared" si="92"/>
        <v>33.730930000000001</v>
      </c>
      <c r="W397" s="19" t="str">
        <f>Data!I395</f>
        <v>Engine road speed</v>
      </c>
      <c r="X397" s="17" t="str">
        <f>CONCATENATE(Data!J395, " ", Data!K395)</f>
        <v>73 km/h</v>
      </c>
    </row>
    <row r="398" spans="1:24" x14ac:dyDescent="0.3">
      <c r="A398" s="17" t="str">
        <f>Data!A396</f>
        <v>vehicle1</v>
      </c>
      <c r="B398" s="17" t="str">
        <f>Data!B396</f>
        <v>Vehicle, Gasoline or Petrol</v>
      </c>
      <c r="C398" s="17" t="str">
        <f>Data!C396</f>
        <v>1f2g3h4j5k6l</v>
      </c>
      <c r="D398" s="52">
        <f>Data!D396</f>
        <v>45066.154895833337</v>
      </c>
      <c r="E398" s="60" t="str">
        <f>IF(Data!E396="GpsRecord",Data!F396,"")</f>
        <v>5109 Hurontario St, Mississauga, ON L4Z 3X7, Canada</v>
      </c>
      <c r="F398" s="68" t="str">
        <f t="shared" si="93"/>
        <v>5109 Hurontario St, Mississauga, ON L4Z 3X7, Canada</v>
      </c>
      <c r="G398" t="b">
        <f t="shared" ref="G398:G461" si="94">ISNUMBER(FIND($G$11,E398))</f>
        <v>1</v>
      </c>
      <c r="H398" t="b">
        <f t="shared" ref="H398:H461" si="95">ISNUMBER(FIND($H$11,E398))</f>
        <v>0</v>
      </c>
      <c r="I398" t="b">
        <f t="shared" ref="I398:I461" si="96">OR(G398,H398)</f>
        <v>1</v>
      </c>
      <c r="J398" t="str">
        <f t="shared" ref="J398:J461" si="97">IFERROR(MID(E398,FIND(": ",E398)+2,255),E398)</f>
        <v>5109 Hurontario St, Mississauga, ON L4Z 3X7, Canada</v>
      </c>
      <c r="K398" t="str">
        <f t="shared" ref="K398:K461" si="98">IFERROR(RIGHT(J398,LEN(J398)-FIND("@",SUBSTITUTE(J398,",","@",LEN(J398)-LEN(SUBSTITUTE(J398,",",""))),1)),J398)</f>
        <v xml:space="preserve"> Canada</v>
      </c>
      <c r="L398" t="str">
        <f t="shared" ref="L398:L461" si="99">","&amp;K398</f>
        <v>, Canada</v>
      </c>
      <c r="M398" t="str">
        <f t="shared" ref="M398:M461" si="100">IF(I398,SUBSTITUTE(J398,L398,""),J398)</f>
        <v>5109 Hurontario St, Mississauga, ON L4Z 3X7</v>
      </c>
      <c r="N398" t="str">
        <f t="shared" ref="N398:N461" si="101">IFERROR(RIGHT(M398,LEN(M398)-FIND("@",SUBSTITUTE(M398,",","@",LEN(M398)-LEN(SUBSTITUTE(M398,",",""))),1)),M398)</f>
        <v xml:space="preserve"> ON L4Z 3X7</v>
      </c>
      <c r="O398" t="str">
        <f t="shared" ref="O398:O461" si="102">IFERROR(RIGHT(N398,LEN(N398)-FIND("@",SUBSTITUTE(N398," ","@",LEN(N398)-LEN(SUBSTITUTE(N398," ",""))),1)),N398)</f>
        <v>3X7</v>
      </c>
      <c r="P398" t="str">
        <f t="shared" ref="P398:P461" si="103">SUBSTITUTE(N398,CONCATENATE(" ",O398),"")</f>
        <v xml:space="preserve"> ON L4Z</v>
      </c>
      <c r="Q398" t="str">
        <f t="shared" ref="Q398:Q461" si="104">IF(G398, MID(P398,2,2),RIGHT(P398,2))</f>
        <v>ON</v>
      </c>
      <c r="R398" s="20" t="str">
        <f t="shared" ref="R398:R461" si="105">IF(Q398&lt;&gt;"",Q398, IF(R397&lt;&gt;$R$12, R397, ""))</f>
        <v>ON</v>
      </c>
      <c r="S398" s="20">
        <f>IF(Data!E396="GpsRecord",Data!G396,"")</f>
        <v>-39.415869999999998</v>
      </c>
      <c r="T398" s="20">
        <f>IF(Data!E396="GpsRecord",Data!H396,"")</f>
        <v>33.729190000000003</v>
      </c>
      <c r="U398" s="20">
        <f t="shared" ref="U398:U461" si="106">IF(S398&lt;&gt;"", S398, IF(U397&lt;&gt;$U$12, U397, ""))</f>
        <v>-39.415869999999998</v>
      </c>
      <c r="V398" s="20">
        <f t="shared" ref="V398:V461" si="107">IF(T398&lt;&gt;"", T398, IF(V397&lt;&gt;$V$12, V397, ""))</f>
        <v>33.729190000000003</v>
      </c>
      <c r="W398" s="19">
        <f>Data!I396</f>
        <v>0</v>
      </c>
      <c r="X398" s="17" t="str">
        <f>CONCATENATE(Data!J396, " ", Data!K396)</f>
        <v xml:space="preserve"> </v>
      </c>
    </row>
    <row r="399" spans="1:24" x14ac:dyDescent="0.3">
      <c r="A399" s="17" t="str">
        <f>Data!A397</f>
        <v>vehicle1</v>
      </c>
      <c r="B399" s="17" t="str">
        <f>Data!B397</f>
        <v>Vehicle, Gasoline or Petrol</v>
      </c>
      <c r="C399" s="17" t="str">
        <f>Data!C397</f>
        <v>1f2g3h4j5k6l</v>
      </c>
      <c r="D399" s="52">
        <f>Data!D397</f>
        <v>45066.154942129629</v>
      </c>
      <c r="E399" s="60" t="str">
        <f>IF(Data!E397="GpsRecord",Data!F397,"")</f>
        <v>5109 Hurontario St, Mississauga, ON L4Z 3X7, Canada</v>
      </c>
      <c r="F399" s="68" t="str">
        <f t="shared" si="93"/>
        <v>5109 Hurontario St, Mississauga, ON L4Z 3X7, Canada</v>
      </c>
      <c r="G399" t="b">
        <f t="shared" si="94"/>
        <v>1</v>
      </c>
      <c r="H399" t="b">
        <f t="shared" si="95"/>
        <v>0</v>
      </c>
      <c r="I399" t="b">
        <f t="shared" si="96"/>
        <v>1</v>
      </c>
      <c r="J399" t="str">
        <f t="shared" si="97"/>
        <v>5109 Hurontario St, Mississauga, ON L4Z 3X7, Canada</v>
      </c>
      <c r="K399" t="str">
        <f t="shared" si="98"/>
        <v xml:space="preserve"> Canada</v>
      </c>
      <c r="L399" t="str">
        <f t="shared" si="99"/>
        <v>, Canada</v>
      </c>
      <c r="M399" t="str">
        <f t="shared" si="100"/>
        <v>5109 Hurontario St, Mississauga, ON L4Z 3X7</v>
      </c>
      <c r="N399" t="str">
        <f t="shared" si="101"/>
        <v xml:space="preserve"> ON L4Z 3X7</v>
      </c>
      <c r="O399" t="str">
        <f t="shared" si="102"/>
        <v>3X7</v>
      </c>
      <c r="P399" t="str">
        <f t="shared" si="103"/>
        <v xml:space="preserve"> ON L4Z</v>
      </c>
      <c r="Q399" t="str">
        <f t="shared" si="104"/>
        <v>ON</v>
      </c>
      <c r="R399" s="20" t="str">
        <f t="shared" si="105"/>
        <v>ON</v>
      </c>
      <c r="S399" s="20">
        <f>IF(Data!E397="GpsRecord",Data!G397,"")</f>
        <v>-39.415430000000001</v>
      </c>
      <c r="T399" s="20">
        <f>IF(Data!E397="GpsRecord",Data!H397,"")</f>
        <v>33.728499999999997</v>
      </c>
      <c r="U399" s="20">
        <f t="shared" si="106"/>
        <v>-39.415430000000001</v>
      </c>
      <c r="V399" s="20">
        <f t="shared" si="107"/>
        <v>33.728499999999997</v>
      </c>
      <c r="W399" s="19">
        <f>Data!I397</f>
        <v>0</v>
      </c>
      <c r="X399" s="17" t="str">
        <f>CONCATENATE(Data!J397, " ", Data!K397)</f>
        <v xml:space="preserve"> </v>
      </c>
    </row>
    <row r="400" spans="1:24" x14ac:dyDescent="0.3">
      <c r="A400" s="17" t="str">
        <f>Data!A398</f>
        <v>vehicle1</v>
      </c>
      <c r="B400" s="17" t="str">
        <f>Data!B398</f>
        <v>Vehicle, Gasoline or Petrol</v>
      </c>
      <c r="C400" s="17" t="str">
        <f>Data!C398</f>
        <v>1f2g3h4j5k6l</v>
      </c>
      <c r="D400" s="52">
        <f>Data!D398</f>
        <v>45066.154953703706</v>
      </c>
      <c r="E400" s="60" t="str">
        <f>IF(Data!E398="GpsRecord",Data!F398,"")</f>
        <v/>
      </c>
      <c r="F400" s="68" t="str">
        <f t="shared" si="93"/>
        <v>5109 Hurontario St, Mississauga, ON L4Z 3X7, Canada</v>
      </c>
      <c r="G400" t="b">
        <f t="shared" si="94"/>
        <v>0</v>
      </c>
      <c r="H400" t="b">
        <f t="shared" si="95"/>
        <v>0</v>
      </c>
      <c r="I400" t="b">
        <f t="shared" si="96"/>
        <v>0</v>
      </c>
      <c r="J400" t="str">
        <f t="shared" si="97"/>
        <v/>
      </c>
      <c r="K400" t="str">
        <f t="shared" si="98"/>
        <v/>
      </c>
      <c r="L400" t="str">
        <f t="shared" si="99"/>
        <v>,</v>
      </c>
      <c r="M400" t="str">
        <f t="shared" si="100"/>
        <v/>
      </c>
      <c r="N400" t="str">
        <f t="shared" si="101"/>
        <v/>
      </c>
      <c r="O400" t="str">
        <f t="shared" si="102"/>
        <v/>
      </c>
      <c r="P400" t="str">
        <f t="shared" si="103"/>
        <v/>
      </c>
      <c r="Q400" t="str">
        <f t="shared" si="104"/>
        <v/>
      </c>
      <c r="R400" s="20" t="str">
        <f t="shared" si="105"/>
        <v>ON</v>
      </c>
      <c r="S400" s="20" t="str">
        <f>IF(Data!E398="GpsRecord",Data!G398,"")</f>
        <v/>
      </c>
      <c r="T400" s="20" t="str">
        <f>IF(Data!E398="GpsRecord",Data!H398,"")</f>
        <v/>
      </c>
      <c r="U400" s="20">
        <f t="shared" si="106"/>
        <v>-39.415430000000001</v>
      </c>
      <c r="V400" s="20">
        <f t="shared" si="107"/>
        <v>33.728499999999997</v>
      </c>
      <c r="W400" s="19" t="str">
        <f>Data!I398</f>
        <v>Raw outside air temperature</v>
      </c>
      <c r="X400" s="17" t="str">
        <f>CONCATENATE(Data!J398, " ", Data!K398)</f>
        <v>28 C</v>
      </c>
    </row>
    <row r="401" spans="1:24" x14ac:dyDescent="0.3">
      <c r="A401" s="17" t="str">
        <f>Data!A399</f>
        <v>vehicle1</v>
      </c>
      <c r="B401" s="17" t="str">
        <f>Data!B399</f>
        <v>Vehicle, Gasoline or Petrol</v>
      </c>
      <c r="C401" s="17" t="str">
        <f>Data!C399</f>
        <v>1f2g3h4j5k6l</v>
      </c>
      <c r="D401" s="52">
        <f>Data!D399</f>
        <v>45066.154953703706</v>
      </c>
      <c r="E401" s="60" t="str">
        <f>IF(Data!E399="GpsRecord",Data!F399,"")</f>
        <v/>
      </c>
      <c r="F401" s="68" t="str">
        <f t="shared" si="93"/>
        <v>5109 Hurontario St, Mississauga, ON L4Z 3X7, Canada</v>
      </c>
      <c r="G401" t="b">
        <f t="shared" si="94"/>
        <v>0</v>
      </c>
      <c r="H401" t="b">
        <f t="shared" si="95"/>
        <v>0</v>
      </c>
      <c r="I401" t="b">
        <f t="shared" si="96"/>
        <v>0</v>
      </c>
      <c r="J401" t="str">
        <f t="shared" si="97"/>
        <v/>
      </c>
      <c r="K401" t="str">
        <f t="shared" si="98"/>
        <v/>
      </c>
      <c r="L401" t="str">
        <f t="shared" si="99"/>
        <v>,</v>
      </c>
      <c r="M401" t="str">
        <f t="shared" si="100"/>
        <v/>
      </c>
      <c r="N401" t="str">
        <f t="shared" si="101"/>
        <v/>
      </c>
      <c r="O401" t="str">
        <f t="shared" si="102"/>
        <v/>
      </c>
      <c r="P401" t="str">
        <f t="shared" si="103"/>
        <v/>
      </c>
      <c r="Q401" t="str">
        <f t="shared" si="104"/>
        <v/>
      </c>
      <c r="R401" s="20" t="str">
        <f t="shared" si="105"/>
        <v>ON</v>
      </c>
      <c r="S401" s="20" t="str">
        <f>IF(Data!E399="GpsRecord",Data!G399,"")</f>
        <v/>
      </c>
      <c r="T401" s="20" t="str">
        <f>IF(Data!E399="GpsRecord",Data!H399,"")</f>
        <v/>
      </c>
      <c r="U401" s="20">
        <f t="shared" si="106"/>
        <v>-39.415430000000001</v>
      </c>
      <c r="V401" s="20">
        <f t="shared" si="107"/>
        <v>33.728499999999997</v>
      </c>
      <c r="W401" s="19" t="str">
        <f>Data!I399</f>
        <v>Outside air temperature</v>
      </c>
      <c r="X401" s="17" t="str">
        <f>CONCATENATE(Data!J399, " ", Data!K399)</f>
        <v>28 C</v>
      </c>
    </row>
    <row r="402" spans="1:24" x14ac:dyDescent="0.3">
      <c r="A402" s="17" t="str">
        <f>Data!A400</f>
        <v>vehicle1</v>
      </c>
      <c r="B402" s="17" t="str">
        <f>Data!B400</f>
        <v>Vehicle, Gasoline or Petrol</v>
      </c>
      <c r="C402" s="17" t="str">
        <f>Data!C400</f>
        <v>1f2g3h4j5k6l</v>
      </c>
      <c r="D402" s="52">
        <f>Data!D400</f>
        <v>45066.154965277776</v>
      </c>
      <c r="E402" s="60" t="str">
        <f>IF(Data!E400="GpsRecord",Data!F400,"")</f>
        <v/>
      </c>
      <c r="F402" s="68" t="str">
        <f t="shared" si="93"/>
        <v>5109 Hurontario St, Mississauga, ON L4Z 3X7, Canada</v>
      </c>
      <c r="G402" t="b">
        <f t="shared" si="94"/>
        <v>0</v>
      </c>
      <c r="H402" t="b">
        <f t="shared" si="95"/>
        <v>0</v>
      </c>
      <c r="I402" t="b">
        <f t="shared" si="96"/>
        <v>0</v>
      </c>
      <c r="J402" t="str">
        <f t="shared" si="97"/>
        <v/>
      </c>
      <c r="K402" t="str">
        <f t="shared" si="98"/>
        <v/>
      </c>
      <c r="L402" t="str">
        <f t="shared" si="99"/>
        <v>,</v>
      </c>
      <c r="M402" t="str">
        <f t="shared" si="100"/>
        <v/>
      </c>
      <c r="N402" t="str">
        <f t="shared" si="101"/>
        <v/>
      </c>
      <c r="O402" t="str">
        <f t="shared" si="102"/>
        <v/>
      </c>
      <c r="P402" t="str">
        <f t="shared" si="103"/>
        <v/>
      </c>
      <c r="Q402" t="str">
        <f t="shared" si="104"/>
        <v/>
      </c>
      <c r="R402" s="20" t="str">
        <f t="shared" si="105"/>
        <v>ON</v>
      </c>
      <c r="S402" s="20" t="str">
        <f>IF(Data!E400="GpsRecord",Data!G400,"")</f>
        <v/>
      </c>
      <c r="T402" s="20" t="str">
        <f>IF(Data!E400="GpsRecord",Data!H400,"")</f>
        <v/>
      </c>
      <c r="U402" s="20">
        <f t="shared" si="106"/>
        <v>-39.415430000000001</v>
      </c>
      <c r="V402" s="20">
        <f t="shared" si="107"/>
        <v>33.728499999999997</v>
      </c>
      <c r="W402" s="19">
        <f>Data!I400</f>
        <v>0</v>
      </c>
      <c r="X402" s="17" t="str">
        <f>CONCATENATE(Data!J400, " ", Data!K400)</f>
        <v xml:space="preserve"> </v>
      </c>
    </row>
    <row r="403" spans="1:24" x14ac:dyDescent="0.3">
      <c r="A403" s="17" t="str">
        <f>Data!A401</f>
        <v>vehicle1</v>
      </c>
      <c r="B403" s="17" t="str">
        <f>Data!B401</f>
        <v>Vehicle, Gasoline or Petrol</v>
      </c>
      <c r="C403" s="17" t="str">
        <f>Data!C401</f>
        <v>1f2g3h4j5k6l</v>
      </c>
      <c r="D403" s="52">
        <f>Data!D401</f>
        <v>45066.154965277776</v>
      </c>
      <c r="E403" s="60" t="str">
        <f>IF(Data!E401="GpsRecord",Data!F401,"")</f>
        <v/>
      </c>
      <c r="F403" s="68" t="str">
        <f t="shared" si="93"/>
        <v>5109 Hurontario St, Mississauga, ON L4Z 3X7, Canada</v>
      </c>
      <c r="G403" t="b">
        <f t="shared" si="94"/>
        <v>0</v>
      </c>
      <c r="H403" t="b">
        <f t="shared" si="95"/>
        <v>0</v>
      </c>
      <c r="I403" t="b">
        <f t="shared" si="96"/>
        <v>0</v>
      </c>
      <c r="J403" t="str">
        <f t="shared" si="97"/>
        <v/>
      </c>
      <c r="K403" t="str">
        <f t="shared" si="98"/>
        <v/>
      </c>
      <c r="L403" t="str">
        <f t="shared" si="99"/>
        <v>,</v>
      </c>
      <c r="M403" t="str">
        <f t="shared" si="100"/>
        <v/>
      </c>
      <c r="N403" t="str">
        <f t="shared" si="101"/>
        <v/>
      </c>
      <c r="O403" t="str">
        <f t="shared" si="102"/>
        <v/>
      </c>
      <c r="P403" t="str">
        <f t="shared" si="103"/>
        <v/>
      </c>
      <c r="Q403" t="str">
        <f t="shared" si="104"/>
        <v/>
      </c>
      <c r="R403" s="20" t="str">
        <f t="shared" si="105"/>
        <v>ON</v>
      </c>
      <c r="S403" s="20" t="str">
        <f>IF(Data!E401="GpsRecord",Data!G401,"")</f>
        <v/>
      </c>
      <c r="T403" s="20" t="str">
        <f>IF(Data!E401="GpsRecord",Data!H401,"")</f>
        <v/>
      </c>
      <c r="U403" s="20">
        <f t="shared" si="106"/>
        <v>-39.415430000000001</v>
      </c>
      <c r="V403" s="20">
        <f t="shared" si="107"/>
        <v>33.728499999999997</v>
      </c>
      <c r="W403" s="19">
        <f>Data!I401</f>
        <v>0</v>
      </c>
      <c r="X403" s="17" t="str">
        <f>CONCATENATE(Data!J401, " ", Data!K401)</f>
        <v xml:space="preserve"> </v>
      </c>
    </row>
    <row r="404" spans="1:24" x14ac:dyDescent="0.3">
      <c r="A404" s="17" t="str">
        <f>Data!A402</f>
        <v>vehicle1</v>
      </c>
      <c r="B404" s="17" t="str">
        <f>Data!B402</f>
        <v>Vehicle, Gasoline or Petrol</v>
      </c>
      <c r="C404" s="17" t="str">
        <f>Data!C402</f>
        <v>1f2g3h4j5k6l</v>
      </c>
      <c r="D404" s="52">
        <f>Data!D402</f>
        <v>45066.154965277776</v>
      </c>
      <c r="E404" s="60" t="str">
        <f>IF(Data!E402="GpsRecord",Data!F402,"")</f>
        <v/>
      </c>
      <c r="F404" s="68" t="str">
        <f t="shared" si="93"/>
        <v>5109 Hurontario St, Mississauga, ON L4Z 3X7, Canada</v>
      </c>
      <c r="G404" t="b">
        <f t="shared" si="94"/>
        <v>0</v>
      </c>
      <c r="H404" t="b">
        <f t="shared" si="95"/>
        <v>0</v>
      </c>
      <c r="I404" t="b">
        <f t="shared" si="96"/>
        <v>0</v>
      </c>
      <c r="J404" t="str">
        <f t="shared" si="97"/>
        <v/>
      </c>
      <c r="K404" t="str">
        <f t="shared" si="98"/>
        <v/>
      </c>
      <c r="L404" t="str">
        <f t="shared" si="99"/>
        <v>,</v>
      </c>
      <c r="M404" t="str">
        <f t="shared" si="100"/>
        <v/>
      </c>
      <c r="N404" t="str">
        <f t="shared" si="101"/>
        <v/>
      </c>
      <c r="O404" t="str">
        <f t="shared" si="102"/>
        <v/>
      </c>
      <c r="P404" t="str">
        <f t="shared" si="103"/>
        <v/>
      </c>
      <c r="Q404" t="str">
        <f t="shared" si="104"/>
        <v/>
      </c>
      <c r="R404" s="20" t="str">
        <f t="shared" si="105"/>
        <v>ON</v>
      </c>
      <c r="S404" s="20" t="str">
        <f>IF(Data!E402="GpsRecord",Data!G402,"")</f>
        <v/>
      </c>
      <c r="T404" s="20" t="str">
        <f>IF(Data!E402="GpsRecord",Data!H402,"")</f>
        <v/>
      </c>
      <c r="U404" s="20">
        <f t="shared" si="106"/>
        <v>-39.415430000000001</v>
      </c>
      <c r="V404" s="20">
        <f t="shared" si="107"/>
        <v>33.728499999999997</v>
      </c>
      <c r="W404" s="19">
        <f>Data!I402</f>
        <v>0</v>
      </c>
      <c r="X404" s="17" t="str">
        <f>CONCATENATE(Data!J402, " ", Data!K402)</f>
        <v xml:space="preserve"> </v>
      </c>
    </row>
    <row r="405" spans="1:24" x14ac:dyDescent="0.3">
      <c r="A405" s="17" t="str">
        <f>Data!A403</f>
        <v>vehicle1</v>
      </c>
      <c r="B405" s="17" t="str">
        <f>Data!B403</f>
        <v>Vehicle, Gasoline or Petrol</v>
      </c>
      <c r="C405" s="17" t="str">
        <f>Data!C403</f>
        <v>1f2g3h4j5k6l</v>
      </c>
      <c r="D405" s="52">
        <f>Data!D403</f>
        <v>45066.154965277776</v>
      </c>
      <c r="E405" s="60" t="str">
        <f>IF(Data!E403="GpsRecord",Data!F403,"")</f>
        <v/>
      </c>
      <c r="F405" s="68" t="str">
        <f t="shared" si="93"/>
        <v>5109 Hurontario St, Mississauga, ON L4Z 3X7, Canada</v>
      </c>
      <c r="G405" t="b">
        <f t="shared" si="94"/>
        <v>0</v>
      </c>
      <c r="H405" t="b">
        <f t="shared" si="95"/>
        <v>0</v>
      </c>
      <c r="I405" t="b">
        <f t="shared" si="96"/>
        <v>0</v>
      </c>
      <c r="J405" t="str">
        <f t="shared" si="97"/>
        <v/>
      </c>
      <c r="K405" t="str">
        <f t="shared" si="98"/>
        <v/>
      </c>
      <c r="L405" t="str">
        <f t="shared" si="99"/>
        <v>,</v>
      </c>
      <c r="M405" t="str">
        <f t="shared" si="100"/>
        <v/>
      </c>
      <c r="N405" t="str">
        <f t="shared" si="101"/>
        <v/>
      </c>
      <c r="O405" t="str">
        <f t="shared" si="102"/>
        <v/>
      </c>
      <c r="P405" t="str">
        <f t="shared" si="103"/>
        <v/>
      </c>
      <c r="Q405" t="str">
        <f t="shared" si="104"/>
        <v/>
      </c>
      <c r="R405" s="20" t="str">
        <f t="shared" si="105"/>
        <v>ON</v>
      </c>
      <c r="S405" s="20" t="str">
        <f>IF(Data!E403="GpsRecord",Data!G403,"")</f>
        <v/>
      </c>
      <c r="T405" s="20" t="str">
        <f>IF(Data!E403="GpsRecord",Data!H403,"")</f>
        <v/>
      </c>
      <c r="U405" s="20">
        <f t="shared" si="106"/>
        <v>-39.415430000000001</v>
      </c>
      <c r="V405" s="20">
        <f t="shared" si="107"/>
        <v>33.728499999999997</v>
      </c>
      <c r="W405" s="19" t="str">
        <f>Data!I403</f>
        <v>Fuel level (percentage)</v>
      </c>
      <c r="X405" s="17" t="str">
        <f>CONCATENATE(Data!J403, " ", Data!K403)</f>
        <v>55.2861 %</v>
      </c>
    </row>
    <row r="406" spans="1:24" x14ac:dyDescent="0.3">
      <c r="A406" s="17" t="str">
        <f>Data!A404</f>
        <v>vehicle1</v>
      </c>
      <c r="B406" s="17" t="str">
        <f>Data!B404</f>
        <v>Vehicle, Gasoline or Petrol</v>
      </c>
      <c r="C406" s="17" t="str">
        <f>Data!C404</f>
        <v>1f2g3h4j5k6l</v>
      </c>
      <c r="D406" s="52">
        <f>Data!D404</f>
        <v>45066.154976851853</v>
      </c>
      <c r="E406" s="60" t="str">
        <f>IF(Data!E404="GpsRecord",Data!F404,"")</f>
        <v/>
      </c>
      <c r="F406" s="68" t="str">
        <f t="shared" si="93"/>
        <v>5109 Hurontario St, Mississauga, ON L4Z 3X7, Canada</v>
      </c>
      <c r="G406" t="b">
        <f t="shared" si="94"/>
        <v>0</v>
      </c>
      <c r="H406" t="b">
        <f t="shared" si="95"/>
        <v>0</v>
      </c>
      <c r="I406" t="b">
        <f t="shared" si="96"/>
        <v>0</v>
      </c>
      <c r="J406" t="str">
        <f t="shared" si="97"/>
        <v/>
      </c>
      <c r="K406" t="str">
        <f t="shared" si="98"/>
        <v/>
      </c>
      <c r="L406" t="str">
        <f t="shared" si="99"/>
        <v>,</v>
      </c>
      <c r="M406" t="str">
        <f t="shared" si="100"/>
        <v/>
      </c>
      <c r="N406" t="str">
        <f t="shared" si="101"/>
        <v/>
      </c>
      <c r="O406" t="str">
        <f t="shared" si="102"/>
        <v/>
      </c>
      <c r="P406" t="str">
        <f t="shared" si="103"/>
        <v/>
      </c>
      <c r="Q406" t="str">
        <f t="shared" si="104"/>
        <v/>
      </c>
      <c r="R406" s="20" t="str">
        <f t="shared" si="105"/>
        <v>ON</v>
      </c>
      <c r="S406" s="20" t="str">
        <f>IF(Data!E404="GpsRecord",Data!G404,"")</f>
        <v/>
      </c>
      <c r="T406" s="20" t="str">
        <f>IF(Data!E404="GpsRecord",Data!H404,"")</f>
        <v/>
      </c>
      <c r="U406" s="20">
        <f t="shared" si="106"/>
        <v>-39.415430000000001</v>
      </c>
      <c r="V406" s="20">
        <f t="shared" si="107"/>
        <v>33.728499999999997</v>
      </c>
      <c r="W406" s="19">
        <f>Data!I404</f>
        <v>0</v>
      </c>
      <c r="X406" s="17" t="str">
        <f>CONCATENATE(Data!J404, " ", Data!K404)</f>
        <v xml:space="preserve"> </v>
      </c>
    </row>
    <row r="407" spans="1:24" x14ac:dyDescent="0.3">
      <c r="A407" s="17" t="str">
        <f>Data!A405</f>
        <v>vehicle1</v>
      </c>
      <c r="B407" s="17" t="str">
        <f>Data!B405</f>
        <v>Vehicle, Gasoline or Petrol</v>
      </c>
      <c r="C407" s="17" t="str">
        <f>Data!C405</f>
        <v>1f2g3h4j5k6l</v>
      </c>
      <c r="D407" s="52">
        <f>Data!D405</f>
        <v>45066.154976851853</v>
      </c>
      <c r="E407" s="60" t="str">
        <f>IF(Data!E405="GpsRecord",Data!F405,"")</f>
        <v/>
      </c>
      <c r="F407" s="68" t="str">
        <f t="shared" si="93"/>
        <v>5109 Hurontario St, Mississauga, ON L4Z 3X7, Canada</v>
      </c>
      <c r="G407" t="b">
        <f t="shared" si="94"/>
        <v>0</v>
      </c>
      <c r="H407" t="b">
        <f t="shared" si="95"/>
        <v>0</v>
      </c>
      <c r="I407" t="b">
        <f t="shared" si="96"/>
        <v>0</v>
      </c>
      <c r="J407" t="str">
        <f t="shared" si="97"/>
        <v/>
      </c>
      <c r="K407" t="str">
        <f t="shared" si="98"/>
        <v/>
      </c>
      <c r="L407" t="str">
        <f t="shared" si="99"/>
        <v>,</v>
      </c>
      <c r="M407" t="str">
        <f t="shared" si="100"/>
        <v/>
      </c>
      <c r="N407" t="str">
        <f t="shared" si="101"/>
        <v/>
      </c>
      <c r="O407" t="str">
        <f t="shared" si="102"/>
        <v/>
      </c>
      <c r="P407" t="str">
        <f t="shared" si="103"/>
        <v/>
      </c>
      <c r="Q407" t="str">
        <f t="shared" si="104"/>
        <v/>
      </c>
      <c r="R407" s="20" t="str">
        <f t="shared" si="105"/>
        <v>ON</v>
      </c>
      <c r="S407" s="20" t="str">
        <f>IF(Data!E405="GpsRecord",Data!G405,"")</f>
        <v/>
      </c>
      <c r="T407" s="20" t="str">
        <f>IF(Data!E405="GpsRecord",Data!H405,"")</f>
        <v/>
      </c>
      <c r="U407" s="20">
        <f t="shared" si="106"/>
        <v>-39.415430000000001</v>
      </c>
      <c r="V407" s="20">
        <f t="shared" si="107"/>
        <v>33.728499999999997</v>
      </c>
      <c r="W407" s="19" t="str">
        <f>Data!I405</f>
        <v>Engine road speed</v>
      </c>
      <c r="X407" s="17" t="str">
        <f>CONCATENATE(Data!J405, " ", Data!K405)</f>
        <v>79 km/h</v>
      </c>
    </row>
    <row r="408" spans="1:24" x14ac:dyDescent="0.3">
      <c r="A408" s="17" t="str">
        <f>Data!A406</f>
        <v>vehicle1</v>
      </c>
      <c r="B408" s="17" t="str">
        <f>Data!B406</f>
        <v>Vehicle, Gasoline or Petrol</v>
      </c>
      <c r="C408" s="17" t="str">
        <f>Data!C406</f>
        <v>1f2g3h4j5k6l</v>
      </c>
      <c r="D408" s="52">
        <f>Data!D406</f>
        <v>45066.154988425929</v>
      </c>
      <c r="E408" s="60" t="str">
        <f>IF(Data!E406="GpsRecord",Data!F406,"")</f>
        <v>5109 Hurontario St, Mississauga, ON L4Z 3X7, Canada</v>
      </c>
      <c r="F408" s="68" t="str">
        <f t="shared" si="93"/>
        <v>5109 Hurontario St, Mississauga, ON L4Z 3X7, Canada</v>
      </c>
      <c r="G408" t="b">
        <f t="shared" si="94"/>
        <v>1</v>
      </c>
      <c r="H408" t="b">
        <f t="shared" si="95"/>
        <v>0</v>
      </c>
      <c r="I408" t="b">
        <f t="shared" si="96"/>
        <v>1</v>
      </c>
      <c r="J408" t="str">
        <f t="shared" si="97"/>
        <v>5109 Hurontario St, Mississauga, ON L4Z 3X7, Canada</v>
      </c>
      <c r="K408" t="str">
        <f t="shared" si="98"/>
        <v xml:space="preserve"> Canada</v>
      </c>
      <c r="L408" t="str">
        <f t="shared" si="99"/>
        <v>, Canada</v>
      </c>
      <c r="M408" t="str">
        <f t="shared" si="100"/>
        <v>5109 Hurontario St, Mississauga, ON L4Z 3X7</v>
      </c>
      <c r="N408" t="str">
        <f t="shared" si="101"/>
        <v xml:space="preserve"> ON L4Z 3X7</v>
      </c>
      <c r="O408" t="str">
        <f t="shared" si="102"/>
        <v>3X7</v>
      </c>
      <c r="P408" t="str">
        <f t="shared" si="103"/>
        <v xml:space="preserve"> ON L4Z</v>
      </c>
      <c r="Q408" t="str">
        <f t="shared" si="104"/>
        <v>ON</v>
      </c>
      <c r="R408" s="20" t="str">
        <f t="shared" si="105"/>
        <v>ON</v>
      </c>
      <c r="S408" s="20">
        <f>IF(Data!E406="GpsRecord",Data!G406,"")</f>
        <v>-39.41469</v>
      </c>
      <c r="T408" s="20">
        <f>IF(Data!E406="GpsRecord",Data!H406,"")</f>
        <v>33.727960000000003</v>
      </c>
      <c r="U408" s="20">
        <f t="shared" si="106"/>
        <v>-39.41469</v>
      </c>
      <c r="V408" s="20">
        <f t="shared" si="107"/>
        <v>33.727960000000003</v>
      </c>
      <c r="W408" s="19">
        <f>Data!I406</f>
        <v>0</v>
      </c>
      <c r="X408" s="17" t="str">
        <f>CONCATENATE(Data!J406, " ", Data!K406)</f>
        <v xml:space="preserve"> </v>
      </c>
    </row>
    <row r="409" spans="1:24" x14ac:dyDescent="0.3">
      <c r="A409" s="17" t="str">
        <f>Data!A407</f>
        <v>vehicle1</v>
      </c>
      <c r="B409" s="17" t="str">
        <f>Data!B407</f>
        <v>Vehicle, Gasoline or Petrol</v>
      </c>
      <c r="C409" s="17" t="str">
        <f>Data!C407</f>
        <v>1f2g3h4j5k6l</v>
      </c>
      <c r="D409" s="52">
        <f>Data!D407</f>
        <v>45066.154999999999</v>
      </c>
      <c r="E409" s="60" t="str">
        <f>IF(Data!E407="GpsRecord",Data!F407,"")</f>
        <v/>
      </c>
      <c r="F409" s="68" t="str">
        <f t="shared" si="93"/>
        <v>5109 Hurontario St, Mississauga, ON L4Z 3X7, Canada</v>
      </c>
      <c r="G409" t="b">
        <f t="shared" si="94"/>
        <v>0</v>
      </c>
      <c r="H409" t="b">
        <f t="shared" si="95"/>
        <v>0</v>
      </c>
      <c r="I409" t="b">
        <f t="shared" si="96"/>
        <v>0</v>
      </c>
      <c r="J409" t="str">
        <f t="shared" si="97"/>
        <v/>
      </c>
      <c r="K409" t="str">
        <f t="shared" si="98"/>
        <v/>
      </c>
      <c r="L409" t="str">
        <f t="shared" si="99"/>
        <v>,</v>
      </c>
      <c r="M409" t="str">
        <f t="shared" si="100"/>
        <v/>
      </c>
      <c r="N409" t="str">
        <f t="shared" si="101"/>
        <v/>
      </c>
      <c r="O409" t="str">
        <f t="shared" si="102"/>
        <v/>
      </c>
      <c r="P409" t="str">
        <f t="shared" si="103"/>
        <v/>
      </c>
      <c r="Q409" t="str">
        <f t="shared" si="104"/>
        <v/>
      </c>
      <c r="R409" s="20" t="str">
        <f t="shared" si="105"/>
        <v>ON</v>
      </c>
      <c r="S409" s="20" t="str">
        <f>IF(Data!E407="GpsRecord",Data!G407,"")</f>
        <v/>
      </c>
      <c r="T409" s="20" t="str">
        <f>IF(Data!E407="GpsRecord",Data!H407,"")</f>
        <v/>
      </c>
      <c r="U409" s="20">
        <f t="shared" si="106"/>
        <v>-39.41469</v>
      </c>
      <c r="V409" s="20">
        <f t="shared" si="107"/>
        <v>33.727960000000003</v>
      </c>
      <c r="W409" s="19" t="str">
        <f>Data!I407</f>
        <v>Engine road speed</v>
      </c>
      <c r="X409" s="17" t="str">
        <f>CONCATENATE(Data!J407, " ", Data!K407)</f>
        <v>70 km/h</v>
      </c>
    </row>
    <row r="410" spans="1:24" x14ac:dyDescent="0.3">
      <c r="A410" s="17" t="str">
        <f>Data!A408</f>
        <v>vehicle1</v>
      </c>
      <c r="B410" s="17" t="str">
        <f>Data!B408</f>
        <v>Vehicle, Gasoline or Petrol</v>
      </c>
      <c r="C410" s="17" t="str">
        <f>Data!C408</f>
        <v>1f2g3h4j5k6l</v>
      </c>
      <c r="D410" s="52">
        <f>Data!D408</f>
        <v>45066.155046296299</v>
      </c>
      <c r="E410" s="60" t="str">
        <f>IF(Data!E408="GpsRecord",Data!F408,"")</f>
        <v>5109 Hurontario St, Mississauga, ON L4Z 3X7, Canada</v>
      </c>
      <c r="F410" s="68" t="str">
        <f t="shared" si="93"/>
        <v>5109 Hurontario St, Mississauga, ON L4Z 3X7, Canada</v>
      </c>
      <c r="G410" t="b">
        <f t="shared" si="94"/>
        <v>1</v>
      </c>
      <c r="H410" t="b">
        <f t="shared" si="95"/>
        <v>0</v>
      </c>
      <c r="I410" t="b">
        <f t="shared" si="96"/>
        <v>1</v>
      </c>
      <c r="J410" t="str">
        <f t="shared" si="97"/>
        <v>5109 Hurontario St, Mississauga, ON L4Z 3X7, Canada</v>
      </c>
      <c r="K410" t="str">
        <f t="shared" si="98"/>
        <v xml:space="preserve"> Canada</v>
      </c>
      <c r="L410" t="str">
        <f t="shared" si="99"/>
        <v>, Canada</v>
      </c>
      <c r="M410" t="str">
        <f t="shared" si="100"/>
        <v>5109 Hurontario St, Mississauga, ON L4Z 3X7</v>
      </c>
      <c r="N410" t="str">
        <f t="shared" si="101"/>
        <v xml:space="preserve"> ON L4Z 3X7</v>
      </c>
      <c r="O410" t="str">
        <f t="shared" si="102"/>
        <v>3X7</v>
      </c>
      <c r="P410" t="str">
        <f t="shared" si="103"/>
        <v xml:space="preserve"> ON L4Z</v>
      </c>
      <c r="Q410" t="str">
        <f t="shared" si="104"/>
        <v>ON</v>
      </c>
      <c r="R410" s="20" t="str">
        <f t="shared" si="105"/>
        <v>ON</v>
      </c>
      <c r="S410" s="20">
        <f>IF(Data!E408="GpsRecord",Data!G408,"")</f>
        <v>-39.413789999999999</v>
      </c>
      <c r="T410" s="20">
        <f>IF(Data!E408="GpsRecord",Data!H408,"")</f>
        <v>33.727400000000003</v>
      </c>
      <c r="U410" s="20">
        <f t="shared" si="106"/>
        <v>-39.413789999999999</v>
      </c>
      <c r="V410" s="20">
        <f t="shared" si="107"/>
        <v>33.727400000000003</v>
      </c>
      <c r="W410" s="19">
        <f>Data!I408</f>
        <v>0</v>
      </c>
      <c r="X410" s="17" t="str">
        <f>CONCATENATE(Data!J408, " ", Data!K408)</f>
        <v xml:space="preserve"> </v>
      </c>
    </row>
    <row r="411" spans="1:24" x14ac:dyDescent="0.3">
      <c r="A411" s="17" t="str">
        <f>Data!A409</f>
        <v>vehicle1</v>
      </c>
      <c r="B411" s="17" t="str">
        <f>Data!B409</f>
        <v>Vehicle, Gasoline or Petrol</v>
      </c>
      <c r="C411" s="17" t="str">
        <f>Data!C409</f>
        <v>1f2g3h4j5k6l</v>
      </c>
      <c r="D411" s="52">
        <f>Data!D409</f>
        <v>45066.155115740738</v>
      </c>
      <c r="E411" s="60" t="str">
        <f>IF(Data!E409="GpsRecord",Data!F409,"")</f>
        <v/>
      </c>
      <c r="F411" s="68" t="str">
        <f t="shared" si="93"/>
        <v>5109 Hurontario St, Mississauga, ON L4Z 3X7, Canada</v>
      </c>
      <c r="G411" t="b">
        <f t="shared" si="94"/>
        <v>0</v>
      </c>
      <c r="H411" t="b">
        <f t="shared" si="95"/>
        <v>0</v>
      </c>
      <c r="I411" t="b">
        <f t="shared" si="96"/>
        <v>0</v>
      </c>
      <c r="J411" t="str">
        <f t="shared" si="97"/>
        <v/>
      </c>
      <c r="K411" t="str">
        <f t="shared" si="98"/>
        <v/>
      </c>
      <c r="L411" t="str">
        <f t="shared" si="99"/>
        <v>,</v>
      </c>
      <c r="M411" t="str">
        <f t="shared" si="100"/>
        <v/>
      </c>
      <c r="N411" t="str">
        <f t="shared" si="101"/>
        <v/>
      </c>
      <c r="O411" t="str">
        <f t="shared" si="102"/>
        <v/>
      </c>
      <c r="P411" t="str">
        <f t="shared" si="103"/>
        <v/>
      </c>
      <c r="Q411" t="str">
        <f t="shared" si="104"/>
        <v/>
      </c>
      <c r="R411" s="20" t="str">
        <f t="shared" si="105"/>
        <v>ON</v>
      </c>
      <c r="S411" s="20" t="str">
        <f>IF(Data!E409="GpsRecord",Data!G409,"")</f>
        <v/>
      </c>
      <c r="T411" s="20" t="str">
        <f>IF(Data!E409="GpsRecord",Data!H409,"")</f>
        <v/>
      </c>
      <c r="U411" s="20">
        <f t="shared" si="106"/>
        <v>-39.413789999999999</v>
      </c>
      <c r="V411" s="20">
        <f t="shared" si="107"/>
        <v>33.727400000000003</v>
      </c>
      <c r="W411" s="19" t="str">
        <f>Data!I409</f>
        <v>Engine road speed</v>
      </c>
      <c r="X411" s="17" t="str">
        <f>CONCATENATE(Data!J409, " ", Data!K409)</f>
        <v>56 km/h</v>
      </c>
    </row>
    <row r="412" spans="1:24" x14ac:dyDescent="0.3">
      <c r="A412" s="17" t="str">
        <f>Data!A410</f>
        <v>vehicle1</v>
      </c>
      <c r="B412" s="17" t="str">
        <f>Data!B410</f>
        <v>Vehicle, Gasoline or Petrol</v>
      </c>
      <c r="C412" s="17" t="str">
        <f>Data!C410</f>
        <v>1f2g3h4j5k6l</v>
      </c>
      <c r="D412" s="52">
        <f>Data!D410</f>
        <v>45066.155138888891</v>
      </c>
      <c r="E412" s="60" t="str">
        <f>IF(Data!E410="GpsRecord",Data!F410,"")</f>
        <v>5109 Hurontario St, Mississauga, ON L4Z 3X7, Canada</v>
      </c>
      <c r="F412" s="68" t="str">
        <f t="shared" si="93"/>
        <v>5109 Hurontario St, Mississauga, ON L4Z 3X7, Canada</v>
      </c>
      <c r="G412" t="b">
        <f t="shared" si="94"/>
        <v>1</v>
      </c>
      <c r="H412" t="b">
        <f t="shared" si="95"/>
        <v>0</v>
      </c>
      <c r="I412" t="b">
        <f t="shared" si="96"/>
        <v>1</v>
      </c>
      <c r="J412" t="str">
        <f t="shared" si="97"/>
        <v>5109 Hurontario St, Mississauga, ON L4Z 3X7, Canada</v>
      </c>
      <c r="K412" t="str">
        <f t="shared" si="98"/>
        <v xml:space="preserve"> Canada</v>
      </c>
      <c r="L412" t="str">
        <f t="shared" si="99"/>
        <v>, Canada</v>
      </c>
      <c r="M412" t="str">
        <f t="shared" si="100"/>
        <v>5109 Hurontario St, Mississauga, ON L4Z 3X7</v>
      </c>
      <c r="N412" t="str">
        <f t="shared" si="101"/>
        <v xml:space="preserve"> ON L4Z 3X7</v>
      </c>
      <c r="O412" t="str">
        <f t="shared" si="102"/>
        <v>3X7</v>
      </c>
      <c r="P412" t="str">
        <f t="shared" si="103"/>
        <v xml:space="preserve"> ON L4Z</v>
      </c>
      <c r="Q412" t="str">
        <f t="shared" si="104"/>
        <v>ON</v>
      </c>
      <c r="R412" s="20" t="str">
        <f t="shared" si="105"/>
        <v>ON</v>
      </c>
      <c r="S412" s="20">
        <f>IF(Data!E410="GpsRecord",Data!G410,"")</f>
        <v>-39.412489999999998</v>
      </c>
      <c r="T412" s="20">
        <f>IF(Data!E410="GpsRecord",Data!H410,"")</f>
        <v>33.726709999999997</v>
      </c>
      <c r="U412" s="20">
        <f t="shared" si="106"/>
        <v>-39.412489999999998</v>
      </c>
      <c r="V412" s="20">
        <f t="shared" si="107"/>
        <v>33.726709999999997</v>
      </c>
      <c r="W412" s="19">
        <f>Data!I410</f>
        <v>0</v>
      </c>
      <c r="X412" s="17" t="str">
        <f>CONCATENATE(Data!J410, " ", Data!K410)</f>
        <v xml:space="preserve"> </v>
      </c>
    </row>
    <row r="413" spans="1:24" x14ac:dyDescent="0.3">
      <c r="A413" s="17" t="str">
        <f>Data!A411</f>
        <v>vehicle1</v>
      </c>
      <c r="B413" s="17" t="str">
        <f>Data!B411</f>
        <v>Vehicle, Gasoline or Petrol</v>
      </c>
      <c r="C413" s="17" t="str">
        <f>Data!C411</f>
        <v>1f2g3h4j5k6l</v>
      </c>
      <c r="D413" s="52">
        <f>Data!D411</f>
        <v>45066.155162037037</v>
      </c>
      <c r="E413" s="60" t="str">
        <f>IF(Data!E411="GpsRecord",Data!F411,"")</f>
        <v/>
      </c>
      <c r="F413" s="68" t="str">
        <f t="shared" si="93"/>
        <v>5109 Hurontario St, Mississauga, ON L4Z 3X7, Canada</v>
      </c>
      <c r="G413" t="b">
        <f t="shared" si="94"/>
        <v>0</v>
      </c>
      <c r="H413" t="b">
        <f t="shared" si="95"/>
        <v>0</v>
      </c>
      <c r="I413" t="b">
        <f t="shared" si="96"/>
        <v>0</v>
      </c>
      <c r="J413" t="str">
        <f t="shared" si="97"/>
        <v/>
      </c>
      <c r="K413" t="str">
        <f t="shared" si="98"/>
        <v/>
      </c>
      <c r="L413" t="str">
        <f t="shared" si="99"/>
        <v>,</v>
      </c>
      <c r="M413" t="str">
        <f t="shared" si="100"/>
        <v/>
      </c>
      <c r="N413" t="str">
        <f t="shared" si="101"/>
        <v/>
      </c>
      <c r="O413" t="str">
        <f t="shared" si="102"/>
        <v/>
      </c>
      <c r="P413" t="str">
        <f t="shared" si="103"/>
        <v/>
      </c>
      <c r="Q413" t="str">
        <f t="shared" si="104"/>
        <v/>
      </c>
      <c r="R413" s="20" t="str">
        <f t="shared" si="105"/>
        <v>ON</v>
      </c>
      <c r="S413" s="20" t="str">
        <f>IF(Data!E411="GpsRecord",Data!G411,"")</f>
        <v/>
      </c>
      <c r="T413" s="20" t="str">
        <f>IF(Data!E411="GpsRecord",Data!H411,"")</f>
        <v/>
      </c>
      <c r="U413" s="20">
        <f t="shared" si="106"/>
        <v>-39.412489999999998</v>
      </c>
      <c r="V413" s="20">
        <f t="shared" si="107"/>
        <v>33.726709999999997</v>
      </c>
      <c r="W413" s="19" t="str">
        <f>Data!I411</f>
        <v>Engine road speed</v>
      </c>
      <c r="X413" s="17" t="str">
        <f>CONCATENATE(Data!J411, " ", Data!K411)</f>
        <v>43 km/h</v>
      </c>
    </row>
    <row r="414" spans="1:24" x14ac:dyDescent="0.3">
      <c r="A414" s="17" t="str">
        <f>Data!A412</f>
        <v>vehicle1</v>
      </c>
      <c r="B414" s="17" t="str">
        <f>Data!B412</f>
        <v>Vehicle, Gasoline or Petrol</v>
      </c>
      <c r="C414" s="17" t="str">
        <f>Data!C412</f>
        <v>1f2g3h4j5k6l</v>
      </c>
      <c r="D414" s="52">
        <f>Data!D412</f>
        <v>45066.155092592591</v>
      </c>
      <c r="E414" s="60" t="str">
        <f>IF(Data!E412="GpsRecord",Data!F412,"")</f>
        <v/>
      </c>
      <c r="F414" s="68" t="str">
        <f t="shared" si="93"/>
        <v>5109 Hurontario St, Mississauga, ON L4Z 3X7, Canada</v>
      </c>
      <c r="G414" t="b">
        <f t="shared" si="94"/>
        <v>0</v>
      </c>
      <c r="H414" t="b">
        <f t="shared" si="95"/>
        <v>0</v>
      </c>
      <c r="I414" t="b">
        <f t="shared" si="96"/>
        <v>0</v>
      </c>
      <c r="J414" t="str">
        <f t="shared" si="97"/>
        <v/>
      </c>
      <c r="K414" t="str">
        <f t="shared" si="98"/>
        <v/>
      </c>
      <c r="L414" t="str">
        <f t="shared" si="99"/>
        <v>,</v>
      </c>
      <c r="M414" t="str">
        <f t="shared" si="100"/>
        <v/>
      </c>
      <c r="N414" t="str">
        <f t="shared" si="101"/>
        <v/>
      </c>
      <c r="O414" t="str">
        <f t="shared" si="102"/>
        <v/>
      </c>
      <c r="P414" t="str">
        <f t="shared" si="103"/>
        <v/>
      </c>
      <c r="Q414" t="str">
        <f t="shared" si="104"/>
        <v/>
      </c>
      <c r="R414" s="20" t="str">
        <f t="shared" si="105"/>
        <v>ON</v>
      </c>
      <c r="S414" s="20" t="str">
        <f>IF(Data!E412="GpsRecord",Data!G412,"")</f>
        <v/>
      </c>
      <c r="T414" s="20" t="str">
        <f>IF(Data!E412="GpsRecord",Data!H412,"")</f>
        <v/>
      </c>
      <c r="U414" s="20">
        <f t="shared" si="106"/>
        <v>-39.412489999999998</v>
      </c>
      <c r="V414" s="20">
        <f t="shared" si="107"/>
        <v>33.726709999999997</v>
      </c>
      <c r="W414" s="19" t="str">
        <f>Data!I412</f>
        <v>Engine coolant temperature</v>
      </c>
      <c r="X414" s="17" t="str">
        <f>CONCATENATE(Data!J412, " ", Data!K412)</f>
        <v>80 C</v>
      </c>
    </row>
    <row r="415" spans="1:24" x14ac:dyDescent="0.3">
      <c r="A415" s="17" t="str">
        <f>Data!A413</f>
        <v>vehicle1</v>
      </c>
      <c r="B415" s="17" t="str">
        <f>Data!B413</f>
        <v>Vehicle, Gasoline or Petrol</v>
      </c>
      <c r="C415" s="17" t="str">
        <f>Data!C413</f>
        <v>1f2g3h4j5k6l</v>
      </c>
      <c r="D415" s="52">
        <f>Data!D413</f>
        <v>45066.155231481483</v>
      </c>
      <c r="E415" s="60" t="str">
        <f>IF(Data!E413="GpsRecord",Data!F413,"")</f>
        <v/>
      </c>
      <c r="F415" s="68" t="str">
        <f t="shared" si="93"/>
        <v>5109 Hurontario St, Mississauga, ON L4Z 3X7, Canada</v>
      </c>
      <c r="G415" t="b">
        <f t="shared" si="94"/>
        <v>0</v>
      </c>
      <c r="H415" t="b">
        <f t="shared" si="95"/>
        <v>0</v>
      </c>
      <c r="I415" t="b">
        <f t="shared" si="96"/>
        <v>0</v>
      </c>
      <c r="J415" t="str">
        <f t="shared" si="97"/>
        <v/>
      </c>
      <c r="K415" t="str">
        <f t="shared" si="98"/>
        <v/>
      </c>
      <c r="L415" t="str">
        <f t="shared" si="99"/>
        <v>,</v>
      </c>
      <c r="M415" t="str">
        <f t="shared" si="100"/>
        <v/>
      </c>
      <c r="N415" t="str">
        <f t="shared" si="101"/>
        <v/>
      </c>
      <c r="O415" t="str">
        <f t="shared" si="102"/>
        <v/>
      </c>
      <c r="P415" t="str">
        <f t="shared" si="103"/>
        <v/>
      </c>
      <c r="Q415" t="str">
        <f t="shared" si="104"/>
        <v/>
      </c>
      <c r="R415" s="20" t="str">
        <f t="shared" si="105"/>
        <v>ON</v>
      </c>
      <c r="S415" s="20" t="str">
        <f>IF(Data!E413="GpsRecord",Data!G413,"")</f>
        <v/>
      </c>
      <c r="T415" s="20" t="str">
        <f>IF(Data!E413="GpsRecord",Data!H413,"")</f>
        <v/>
      </c>
      <c r="U415" s="20">
        <f t="shared" si="106"/>
        <v>-39.412489999999998</v>
      </c>
      <c r="V415" s="20">
        <f t="shared" si="107"/>
        <v>33.726709999999997</v>
      </c>
      <c r="W415" s="19" t="str">
        <f>Data!I413</f>
        <v>Engine road speed</v>
      </c>
      <c r="X415" s="17" t="str">
        <f>CONCATENATE(Data!J413, " ", Data!K413)</f>
        <v>12 km/h</v>
      </c>
    </row>
    <row r="416" spans="1:24" x14ac:dyDescent="0.3">
      <c r="A416" s="17" t="str">
        <f>Data!A414</f>
        <v>vehicle1</v>
      </c>
      <c r="B416" s="17" t="str">
        <f>Data!B414</f>
        <v>Vehicle, Gasoline or Petrol</v>
      </c>
      <c r="C416" s="17" t="str">
        <f>Data!C414</f>
        <v>1f2g3h4j5k6l</v>
      </c>
      <c r="D416" s="52">
        <f>Data!D414</f>
        <v>45066.155243055553</v>
      </c>
      <c r="E416" s="60" t="str">
        <f>IF(Data!E414="GpsRecord",Data!F414,"")</f>
        <v>40840 Barto St, Leesburg, FL 34788, USA</v>
      </c>
      <c r="F416" s="68" t="str">
        <f t="shared" si="93"/>
        <v>40840 Barto St, Leesburg, FL 34788, USA</v>
      </c>
      <c r="G416" t="b">
        <f t="shared" si="94"/>
        <v>0</v>
      </c>
      <c r="H416" t="b">
        <f t="shared" si="95"/>
        <v>1</v>
      </c>
      <c r="I416" t="b">
        <f t="shared" si="96"/>
        <v>1</v>
      </c>
      <c r="J416" t="str">
        <f t="shared" si="97"/>
        <v>40840 Barto St, Leesburg, FL 34788, USA</v>
      </c>
      <c r="K416" t="str">
        <f t="shared" si="98"/>
        <v xml:space="preserve"> USA</v>
      </c>
      <c r="L416" t="str">
        <f t="shared" si="99"/>
        <v>, USA</v>
      </c>
      <c r="M416" t="str">
        <f t="shared" si="100"/>
        <v>40840 Barto St, Leesburg, FL 34788</v>
      </c>
      <c r="N416" t="str">
        <f t="shared" si="101"/>
        <v xml:space="preserve"> FL 34788</v>
      </c>
      <c r="O416" t="str">
        <f t="shared" si="102"/>
        <v>34788</v>
      </c>
      <c r="P416" t="str">
        <f t="shared" si="103"/>
        <v xml:space="preserve"> FL</v>
      </c>
      <c r="Q416" t="str">
        <f t="shared" si="104"/>
        <v>FL</v>
      </c>
      <c r="R416" s="20" t="str">
        <f t="shared" si="105"/>
        <v>FL</v>
      </c>
      <c r="S416" s="20">
        <f>IF(Data!E414="GpsRecord",Data!G414,"")</f>
        <v>-39.41169</v>
      </c>
      <c r="T416" s="20">
        <f>IF(Data!E414="GpsRecord",Data!H414,"")</f>
        <v>33.72625</v>
      </c>
      <c r="U416" s="20">
        <f t="shared" si="106"/>
        <v>-39.41169</v>
      </c>
      <c r="V416" s="20">
        <f t="shared" si="107"/>
        <v>33.72625</v>
      </c>
      <c r="W416" s="19">
        <f>Data!I414</f>
        <v>0</v>
      </c>
      <c r="X416" s="17" t="str">
        <f>CONCATENATE(Data!J414, " ", Data!K414)</f>
        <v xml:space="preserve"> </v>
      </c>
    </row>
    <row r="417" spans="1:24" x14ac:dyDescent="0.3">
      <c r="A417" s="17" t="str">
        <f>Data!A415</f>
        <v>vehicle1</v>
      </c>
      <c r="B417" s="17" t="str">
        <f>Data!B415</f>
        <v>Vehicle, Gasoline or Petrol</v>
      </c>
      <c r="C417" s="17" t="str">
        <f>Data!C415</f>
        <v>1f2g3h4j5k6l</v>
      </c>
      <c r="D417" s="52">
        <f>Data!D415</f>
        <v>45066.155277777776</v>
      </c>
      <c r="E417" s="60" t="str">
        <f>IF(Data!E415="GpsRecord",Data!F415,"")</f>
        <v>40840 Barto St, Leesburg, FL 34788, USA</v>
      </c>
      <c r="F417" s="68" t="str">
        <f t="shared" si="93"/>
        <v>40840 Barto St, Leesburg, FL 34788, USA</v>
      </c>
      <c r="G417" t="b">
        <f t="shared" si="94"/>
        <v>0</v>
      </c>
      <c r="H417" t="b">
        <f t="shared" si="95"/>
        <v>1</v>
      </c>
      <c r="I417" t="b">
        <f t="shared" si="96"/>
        <v>1</v>
      </c>
      <c r="J417" t="str">
        <f t="shared" si="97"/>
        <v>40840 Barto St, Leesburg, FL 34788, USA</v>
      </c>
      <c r="K417" t="str">
        <f t="shared" si="98"/>
        <v xml:space="preserve"> USA</v>
      </c>
      <c r="L417" t="str">
        <f t="shared" si="99"/>
        <v>, USA</v>
      </c>
      <c r="M417" t="str">
        <f t="shared" si="100"/>
        <v>40840 Barto St, Leesburg, FL 34788</v>
      </c>
      <c r="N417" t="str">
        <f t="shared" si="101"/>
        <v xml:space="preserve"> FL 34788</v>
      </c>
      <c r="O417" t="str">
        <f t="shared" si="102"/>
        <v>34788</v>
      </c>
      <c r="P417" t="str">
        <f t="shared" si="103"/>
        <v xml:space="preserve"> FL</v>
      </c>
      <c r="Q417" t="str">
        <f t="shared" si="104"/>
        <v>FL</v>
      </c>
      <c r="R417" s="20" t="str">
        <f t="shared" si="105"/>
        <v>FL</v>
      </c>
      <c r="S417" s="20">
        <f>IF(Data!E415="GpsRecord",Data!G415,"")</f>
        <v>-39.411619999999999</v>
      </c>
      <c r="T417" s="20">
        <f>IF(Data!E415="GpsRecord",Data!H415,"")</f>
        <v>33.726199999999999</v>
      </c>
      <c r="U417" s="20">
        <f t="shared" si="106"/>
        <v>-39.411619999999999</v>
      </c>
      <c r="V417" s="20">
        <f t="shared" si="107"/>
        <v>33.726199999999999</v>
      </c>
      <c r="W417" s="19">
        <f>Data!I415</f>
        <v>0</v>
      </c>
      <c r="X417" s="17" t="str">
        <f>CONCATENATE(Data!J415, " ", Data!K415)</f>
        <v xml:space="preserve"> </v>
      </c>
    </row>
    <row r="418" spans="1:24" x14ac:dyDescent="0.3">
      <c r="A418" s="17" t="str">
        <f>Data!A416</f>
        <v>vehicle1</v>
      </c>
      <c r="B418" s="17" t="str">
        <f>Data!B416</f>
        <v>Vehicle, Gasoline or Petrol</v>
      </c>
      <c r="C418" s="17" t="str">
        <f>Data!C416</f>
        <v>1f2g3h4j5k6l</v>
      </c>
      <c r="D418" s="52">
        <f>Data!D416</f>
        <v>45066.155289351853</v>
      </c>
      <c r="E418" s="60" t="str">
        <f>IF(Data!E416="GpsRecord",Data!F416,"")</f>
        <v/>
      </c>
      <c r="F418" s="68" t="str">
        <f t="shared" si="93"/>
        <v>40840 Barto St, Leesburg, FL 34788, USA</v>
      </c>
      <c r="G418" t="b">
        <f t="shared" si="94"/>
        <v>0</v>
      </c>
      <c r="H418" t="b">
        <f t="shared" si="95"/>
        <v>0</v>
      </c>
      <c r="I418" t="b">
        <f t="shared" si="96"/>
        <v>0</v>
      </c>
      <c r="J418" t="str">
        <f t="shared" si="97"/>
        <v/>
      </c>
      <c r="K418" t="str">
        <f t="shared" si="98"/>
        <v/>
      </c>
      <c r="L418" t="str">
        <f t="shared" si="99"/>
        <v>,</v>
      </c>
      <c r="M418" t="str">
        <f t="shared" si="100"/>
        <v/>
      </c>
      <c r="N418" t="str">
        <f t="shared" si="101"/>
        <v/>
      </c>
      <c r="O418" t="str">
        <f t="shared" si="102"/>
        <v/>
      </c>
      <c r="P418" t="str">
        <f t="shared" si="103"/>
        <v/>
      </c>
      <c r="Q418" t="str">
        <f t="shared" si="104"/>
        <v/>
      </c>
      <c r="R418" s="20" t="str">
        <f t="shared" si="105"/>
        <v>FL</v>
      </c>
      <c r="S418" s="20" t="str">
        <f>IF(Data!E416="GpsRecord",Data!G416,"")</f>
        <v/>
      </c>
      <c r="T418" s="20" t="str">
        <f>IF(Data!E416="GpsRecord",Data!H416,"")</f>
        <v/>
      </c>
      <c r="U418" s="20">
        <f t="shared" si="106"/>
        <v>-39.411619999999999</v>
      </c>
      <c r="V418" s="20">
        <f t="shared" si="107"/>
        <v>33.726199999999999</v>
      </c>
      <c r="W418" s="19" t="str">
        <f>Data!I416</f>
        <v>ADAS left lane departure warning</v>
      </c>
      <c r="X418" s="17" t="str">
        <f>CONCATENATE(Data!J416, " ", Data!K416)</f>
        <v>1 None</v>
      </c>
    </row>
    <row r="419" spans="1:24" x14ac:dyDescent="0.3">
      <c r="A419" s="17" t="str">
        <f>Data!A417</f>
        <v>vehicle1</v>
      </c>
      <c r="B419" s="17" t="str">
        <f>Data!B417</f>
        <v>Vehicle, Gasoline or Petrol</v>
      </c>
      <c r="C419" s="17" t="str">
        <f>Data!C417</f>
        <v>1f2g3h4j5k6l</v>
      </c>
      <c r="D419" s="52">
        <f>Data!D417</f>
        <v>45066.155289351853</v>
      </c>
      <c r="E419" s="60" t="str">
        <f>IF(Data!E417="GpsRecord",Data!F417,"")</f>
        <v/>
      </c>
      <c r="F419" s="68" t="str">
        <f t="shared" si="93"/>
        <v>40840 Barto St, Leesburg, FL 34788, USA</v>
      </c>
      <c r="G419" t="b">
        <f t="shared" si="94"/>
        <v>0</v>
      </c>
      <c r="H419" t="b">
        <f t="shared" si="95"/>
        <v>0</v>
      </c>
      <c r="I419" t="b">
        <f t="shared" si="96"/>
        <v>0</v>
      </c>
      <c r="J419" t="str">
        <f t="shared" si="97"/>
        <v/>
      </c>
      <c r="K419" t="str">
        <f t="shared" si="98"/>
        <v/>
      </c>
      <c r="L419" t="str">
        <f t="shared" si="99"/>
        <v>,</v>
      </c>
      <c r="M419" t="str">
        <f t="shared" si="100"/>
        <v/>
      </c>
      <c r="N419" t="str">
        <f t="shared" si="101"/>
        <v/>
      </c>
      <c r="O419" t="str">
        <f t="shared" si="102"/>
        <v/>
      </c>
      <c r="P419" t="str">
        <f t="shared" si="103"/>
        <v/>
      </c>
      <c r="Q419" t="str">
        <f t="shared" si="104"/>
        <v/>
      </c>
      <c r="R419" s="20" t="str">
        <f t="shared" si="105"/>
        <v>FL</v>
      </c>
      <c r="S419" s="20" t="str">
        <f>IF(Data!E417="GpsRecord",Data!G417,"")</f>
        <v/>
      </c>
      <c r="T419" s="20" t="str">
        <f>IF(Data!E417="GpsRecord",Data!H417,"")</f>
        <v/>
      </c>
      <c r="U419" s="20">
        <f t="shared" si="106"/>
        <v>-39.411619999999999</v>
      </c>
      <c r="V419" s="20">
        <f t="shared" si="107"/>
        <v>33.726199999999999</v>
      </c>
      <c r="W419" s="19">
        <f>Data!I417</f>
        <v>0</v>
      </c>
      <c r="X419" s="17" t="str">
        <f>CONCATENATE(Data!J417, " ", Data!K417)</f>
        <v xml:space="preserve"> </v>
      </c>
    </row>
    <row r="420" spans="1:24" x14ac:dyDescent="0.3">
      <c r="A420" s="17" t="str">
        <f>Data!A418</f>
        <v>vehicle1</v>
      </c>
      <c r="B420" s="17" t="str">
        <f>Data!B418</f>
        <v>Vehicle, Gasoline or Petrol</v>
      </c>
      <c r="C420" s="17" t="str">
        <f>Data!C418</f>
        <v>1f2g3h4j5k6l</v>
      </c>
      <c r="D420" s="52">
        <f>Data!D418</f>
        <v>45066.155289351853</v>
      </c>
      <c r="E420" s="60" t="str">
        <f>IF(Data!E418="GpsRecord",Data!F418,"")</f>
        <v/>
      </c>
      <c r="F420" s="68" t="str">
        <f t="shared" si="93"/>
        <v>40840 Barto St, Leesburg, FL 34788, USA</v>
      </c>
      <c r="G420" t="b">
        <f t="shared" si="94"/>
        <v>0</v>
      </c>
      <c r="H420" t="b">
        <f t="shared" si="95"/>
        <v>0</v>
      </c>
      <c r="I420" t="b">
        <f t="shared" si="96"/>
        <v>0</v>
      </c>
      <c r="J420" t="str">
        <f t="shared" si="97"/>
        <v/>
      </c>
      <c r="K420" t="str">
        <f t="shared" si="98"/>
        <v/>
      </c>
      <c r="L420" t="str">
        <f t="shared" si="99"/>
        <v>,</v>
      </c>
      <c r="M420" t="str">
        <f t="shared" si="100"/>
        <v/>
      </c>
      <c r="N420" t="str">
        <f t="shared" si="101"/>
        <v/>
      </c>
      <c r="O420" t="str">
        <f t="shared" si="102"/>
        <v/>
      </c>
      <c r="P420" t="str">
        <f t="shared" si="103"/>
        <v/>
      </c>
      <c r="Q420" t="str">
        <f t="shared" si="104"/>
        <v/>
      </c>
      <c r="R420" s="20" t="str">
        <f t="shared" si="105"/>
        <v>FL</v>
      </c>
      <c r="S420" s="20" t="str">
        <f>IF(Data!E418="GpsRecord",Data!G418,"")</f>
        <v/>
      </c>
      <c r="T420" s="20" t="str">
        <f>IF(Data!E418="GpsRecord",Data!H418,"")</f>
        <v/>
      </c>
      <c r="U420" s="20">
        <f t="shared" si="106"/>
        <v>-39.411619999999999</v>
      </c>
      <c r="V420" s="20">
        <f t="shared" si="107"/>
        <v>33.726199999999999</v>
      </c>
      <c r="W420" s="19">
        <f>Data!I418</f>
        <v>0</v>
      </c>
      <c r="X420" s="17" t="str">
        <f>CONCATENATE(Data!J418, " ", Data!K418)</f>
        <v xml:space="preserve"> </v>
      </c>
    </row>
    <row r="421" spans="1:24" x14ac:dyDescent="0.3">
      <c r="A421" s="17" t="str">
        <f>Data!A419</f>
        <v>vehicle1</v>
      </c>
      <c r="B421" s="17" t="str">
        <f>Data!B419</f>
        <v>Vehicle, Gasoline or Petrol</v>
      </c>
      <c r="C421" s="17" t="str">
        <f>Data!C419</f>
        <v>1f2g3h4j5k6l</v>
      </c>
      <c r="D421" s="52">
        <f>Data!D419</f>
        <v>45066.155312499999</v>
      </c>
      <c r="E421" s="60" t="str">
        <f>IF(Data!E419="GpsRecord",Data!F419,"")</f>
        <v/>
      </c>
      <c r="F421" s="68" t="str">
        <f t="shared" si="93"/>
        <v>40840 Barto St, Leesburg, FL 34788, USA</v>
      </c>
      <c r="G421" t="b">
        <f t="shared" si="94"/>
        <v>0</v>
      </c>
      <c r="H421" t="b">
        <f t="shared" si="95"/>
        <v>0</v>
      </c>
      <c r="I421" t="b">
        <f t="shared" si="96"/>
        <v>0</v>
      </c>
      <c r="J421" t="str">
        <f t="shared" si="97"/>
        <v/>
      </c>
      <c r="K421" t="str">
        <f t="shared" si="98"/>
        <v/>
      </c>
      <c r="L421" t="str">
        <f t="shared" si="99"/>
        <v>,</v>
      </c>
      <c r="M421" t="str">
        <f t="shared" si="100"/>
        <v/>
      </c>
      <c r="N421" t="str">
        <f t="shared" si="101"/>
        <v/>
      </c>
      <c r="O421" t="str">
        <f t="shared" si="102"/>
        <v/>
      </c>
      <c r="P421" t="str">
        <f t="shared" si="103"/>
        <v/>
      </c>
      <c r="Q421" t="str">
        <f t="shared" si="104"/>
        <v/>
      </c>
      <c r="R421" s="20" t="str">
        <f t="shared" si="105"/>
        <v>FL</v>
      </c>
      <c r="S421" s="20" t="str">
        <f>IF(Data!E419="GpsRecord",Data!G419,"")</f>
        <v/>
      </c>
      <c r="T421" s="20" t="str">
        <f>IF(Data!E419="GpsRecord",Data!H419,"")</f>
        <v/>
      </c>
      <c r="U421" s="20">
        <f t="shared" si="106"/>
        <v>-39.411619999999999</v>
      </c>
      <c r="V421" s="20">
        <f t="shared" si="107"/>
        <v>33.726199999999999</v>
      </c>
      <c r="W421" s="19">
        <f>Data!I419</f>
        <v>0</v>
      </c>
      <c r="X421" s="17" t="str">
        <f>CONCATENATE(Data!J419, " ", Data!K419)</f>
        <v xml:space="preserve"> </v>
      </c>
    </row>
    <row r="422" spans="1:24" x14ac:dyDescent="0.3">
      <c r="A422" s="17" t="str">
        <f>Data!A420</f>
        <v>vehicle1</v>
      </c>
      <c r="B422" s="17" t="str">
        <f>Data!B420</f>
        <v>Vehicle, Gasoline or Petrol</v>
      </c>
      <c r="C422" s="17" t="str">
        <f>Data!C420</f>
        <v>1f2g3h4j5k6l</v>
      </c>
      <c r="D422" s="52">
        <f>Data!D420</f>
        <v>45066.155312499999</v>
      </c>
      <c r="E422" s="60" t="str">
        <f>IF(Data!E420="GpsRecord",Data!F420,"")</f>
        <v/>
      </c>
      <c r="F422" s="68" t="str">
        <f t="shared" si="93"/>
        <v>40840 Barto St, Leesburg, FL 34788, USA</v>
      </c>
      <c r="G422" t="b">
        <f t="shared" si="94"/>
        <v>0</v>
      </c>
      <c r="H422" t="b">
        <f t="shared" si="95"/>
        <v>0</v>
      </c>
      <c r="I422" t="b">
        <f t="shared" si="96"/>
        <v>0</v>
      </c>
      <c r="J422" t="str">
        <f t="shared" si="97"/>
        <v/>
      </c>
      <c r="K422" t="str">
        <f t="shared" si="98"/>
        <v/>
      </c>
      <c r="L422" t="str">
        <f t="shared" si="99"/>
        <v>,</v>
      </c>
      <c r="M422" t="str">
        <f t="shared" si="100"/>
        <v/>
      </c>
      <c r="N422" t="str">
        <f t="shared" si="101"/>
        <v/>
      </c>
      <c r="O422" t="str">
        <f t="shared" si="102"/>
        <v/>
      </c>
      <c r="P422" t="str">
        <f t="shared" si="103"/>
        <v/>
      </c>
      <c r="Q422" t="str">
        <f t="shared" si="104"/>
        <v/>
      </c>
      <c r="R422" s="20" t="str">
        <f t="shared" si="105"/>
        <v>FL</v>
      </c>
      <c r="S422" s="20" t="str">
        <f>IF(Data!E420="GpsRecord",Data!G420,"")</f>
        <v/>
      </c>
      <c r="T422" s="20" t="str">
        <f>IF(Data!E420="GpsRecord",Data!H420,"")</f>
        <v/>
      </c>
      <c r="U422" s="20">
        <f t="shared" si="106"/>
        <v>-39.411619999999999</v>
      </c>
      <c r="V422" s="20">
        <f t="shared" si="107"/>
        <v>33.726199999999999</v>
      </c>
      <c r="W422" s="19">
        <f>Data!I420</f>
        <v>0</v>
      </c>
      <c r="X422" s="17" t="str">
        <f>CONCATENATE(Data!J420, " ", Data!K420)</f>
        <v xml:space="preserve"> </v>
      </c>
    </row>
    <row r="423" spans="1:24" x14ac:dyDescent="0.3">
      <c r="A423" s="17" t="str">
        <f>Data!A421</f>
        <v>vehicle1</v>
      </c>
      <c r="B423" s="17" t="str">
        <f>Data!B421</f>
        <v>Vehicle, Gasoline or Petrol</v>
      </c>
      <c r="C423" s="17" t="str">
        <f>Data!C421</f>
        <v>1f2g3h4j5k6l</v>
      </c>
      <c r="D423" s="52">
        <f>Data!D421</f>
        <v>45066.155312499999</v>
      </c>
      <c r="E423" s="60" t="str">
        <f>IF(Data!E421="GpsRecord",Data!F421,"")</f>
        <v/>
      </c>
      <c r="F423" s="68" t="str">
        <f t="shared" si="93"/>
        <v>40840 Barto St, Leesburg, FL 34788, USA</v>
      </c>
      <c r="G423" t="b">
        <f t="shared" si="94"/>
        <v>0</v>
      </c>
      <c r="H423" t="b">
        <f t="shared" si="95"/>
        <v>0</v>
      </c>
      <c r="I423" t="b">
        <f t="shared" si="96"/>
        <v>0</v>
      </c>
      <c r="J423" t="str">
        <f t="shared" si="97"/>
        <v/>
      </c>
      <c r="K423" t="str">
        <f t="shared" si="98"/>
        <v/>
      </c>
      <c r="L423" t="str">
        <f t="shared" si="99"/>
        <v>,</v>
      </c>
      <c r="M423" t="str">
        <f t="shared" si="100"/>
        <v/>
      </c>
      <c r="N423" t="str">
        <f t="shared" si="101"/>
        <v/>
      </c>
      <c r="O423" t="str">
        <f t="shared" si="102"/>
        <v/>
      </c>
      <c r="P423" t="str">
        <f t="shared" si="103"/>
        <v/>
      </c>
      <c r="Q423" t="str">
        <f t="shared" si="104"/>
        <v/>
      </c>
      <c r="R423" s="20" t="str">
        <f t="shared" si="105"/>
        <v>FL</v>
      </c>
      <c r="S423" s="20" t="str">
        <f>IF(Data!E421="GpsRecord",Data!G421,"")</f>
        <v/>
      </c>
      <c r="T423" s="20" t="str">
        <f>IF(Data!E421="GpsRecord",Data!H421,"")</f>
        <v/>
      </c>
      <c r="U423" s="20">
        <f t="shared" si="106"/>
        <v>-39.411619999999999</v>
      </c>
      <c r="V423" s="20">
        <f t="shared" si="107"/>
        <v>33.726199999999999</v>
      </c>
      <c r="W423" s="19">
        <f>Data!I421</f>
        <v>0</v>
      </c>
      <c r="X423" s="17" t="str">
        <f>CONCATENATE(Data!J421, " ", Data!K421)</f>
        <v xml:space="preserve"> </v>
      </c>
    </row>
    <row r="424" spans="1:24" x14ac:dyDescent="0.3">
      <c r="A424" s="17" t="str">
        <f>Data!A422</f>
        <v>vehicle1</v>
      </c>
      <c r="B424" s="17" t="str">
        <f>Data!B422</f>
        <v>Vehicle, Gasoline or Petrol</v>
      </c>
      <c r="C424" s="17" t="str">
        <f>Data!C422</f>
        <v>1f2g3h4j5k6l</v>
      </c>
      <c r="D424" s="52">
        <f>Data!D422</f>
        <v>45066.155335648145</v>
      </c>
      <c r="E424" s="60" t="str">
        <f>IF(Data!E422="GpsRecord",Data!F422,"")</f>
        <v>40840 Barto St, Leesburg, FL 34788, USA</v>
      </c>
      <c r="F424" s="68" t="str">
        <f t="shared" si="93"/>
        <v>40840 Barto St, Leesburg, FL 34788, USA</v>
      </c>
      <c r="G424" t="b">
        <f t="shared" si="94"/>
        <v>0</v>
      </c>
      <c r="H424" t="b">
        <f t="shared" si="95"/>
        <v>1</v>
      </c>
      <c r="I424" t="b">
        <f t="shared" si="96"/>
        <v>1</v>
      </c>
      <c r="J424" t="str">
        <f t="shared" si="97"/>
        <v>40840 Barto St, Leesburg, FL 34788, USA</v>
      </c>
      <c r="K424" t="str">
        <f t="shared" si="98"/>
        <v xml:space="preserve"> USA</v>
      </c>
      <c r="L424" t="str">
        <f t="shared" si="99"/>
        <v>, USA</v>
      </c>
      <c r="M424" t="str">
        <f t="shared" si="100"/>
        <v>40840 Barto St, Leesburg, FL 34788</v>
      </c>
      <c r="N424" t="str">
        <f t="shared" si="101"/>
        <v xml:space="preserve"> FL 34788</v>
      </c>
      <c r="O424" t="str">
        <f t="shared" si="102"/>
        <v>34788</v>
      </c>
      <c r="P424" t="str">
        <f t="shared" si="103"/>
        <v xml:space="preserve"> FL</v>
      </c>
      <c r="Q424" t="str">
        <f t="shared" si="104"/>
        <v>FL</v>
      </c>
      <c r="R424" s="20" t="str">
        <f t="shared" si="105"/>
        <v>FL</v>
      </c>
      <c r="S424" s="20">
        <f>IF(Data!E422="GpsRecord",Data!G422,"")</f>
        <v>-39.411540000000002</v>
      </c>
      <c r="T424" s="20">
        <f>IF(Data!E422="GpsRecord",Data!H422,"")</f>
        <v>33.726140000000001</v>
      </c>
      <c r="U424" s="20">
        <f t="shared" si="106"/>
        <v>-39.411540000000002</v>
      </c>
      <c r="V424" s="20">
        <f t="shared" si="107"/>
        <v>33.726140000000001</v>
      </c>
      <c r="W424" s="19">
        <f>Data!I422</f>
        <v>0</v>
      </c>
      <c r="X424" s="17" t="str">
        <f>CONCATENATE(Data!J422, " ", Data!K422)</f>
        <v xml:space="preserve"> </v>
      </c>
    </row>
    <row r="425" spans="1:24" x14ac:dyDescent="0.3">
      <c r="A425" s="17" t="str">
        <f>Data!A423</f>
        <v>vehicle1</v>
      </c>
      <c r="B425" s="17" t="str">
        <f>Data!B423</f>
        <v>Vehicle, Gasoline or Petrol</v>
      </c>
      <c r="C425" s="17" t="str">
        <f>Data!C423</f>
        <v>1f2g3h4j5k6l</v>
      </c>
      <c r="D425" s="52">
        <f>Data!D423</f>
        <v>45066.155335648145</v>
      </c>
      <c r="E425" s="60" t="str">
        <f>IF(Data!E423="GpsRecord",Data!F423,"")</f>
        <v/>
      </c>
      <c r="F425" s="68" t="str">
        <f t="shared" si="93"/>
        <v>40840 Barto St, Leesburg, FL 34788, USA</v>
      </c>
      <c r="G425" t="b">
        <f t="shared" si="94"/>
        <v>0</v>
      </c>
      <c r="H425" t="b">
        <f t="shared" si="95"/>
        <v>0</v>
      </c>
      <c r="I425" t="b">
        <f t="shared" si="96"/>
        <v>0</v>
      </c>
      <c r="J425" t="str">
        <f t="shared" si="97"/>
        <v/>
      </c>
      <c r="K425" t="str">
        <f t="shared" si="98"/>
        <v/>
      </c>
      <c r="L425" t="str">
        <f t="shared" si="99"/>
        <v>,</v>
      </c>
      <c r="M425" t="str">
        <f t="shared" si="100"/>
        <v/>
      </c>
      <c r="N425" t="str">
        <f t="shared" si="101"/>
        <v/>
      </c>
      <c r="O425" t="str">
        <f t="shared" si="102"/>
        <v/>
      </c>
      <c r="P425" t="str">
        <f t="shared" si="103"/>
        <v/>
      </c>
      <c r="Q425" t="str">
        <f t="shared" si="104"/>
        <v/>
      </c>
      <c r="R425" s="20" t="str">
        <f t="shared" si="105"/>
        <v>FL</v>
      </c>
      <c r="S425" s="20" t="str">
        <f>IF(Data!E423="GpsRecord",Data!G423,"")</f>
        <v/>
      </c>
      <c r="T425" s="20" t="str">
        <f>IF(Data!E423="GpsRecord",Data!H423,"")</f>
        <v/>
      </c>
      <c r="U425" s="20">
        <f t="shared" si="106"/>
        <v>-39.411540000000002</v>
      </c>
      <c r="V425" s="20">
        <f t="shared" si="107"/>
        <v>33.726140000000001</v>
      </c>
      <c r="W425" s="19" t="str">
        <f>Data!I423</f>
        <v>Engine road speed</v>
      </c>
      <c r="X425" s="17" t="str">
        <f>CONCATENATE(Data!J423, " ", Data!K423)</f>
        <v>0 km/h</v>
      </c>
    </row>
    <row r="426" spans="1:24" x14ac:dyDescent="0.3">
      <c r="A426" s="17" t="str">
        <f>Data!A424</f>
        <v>vehicle1</v>
      </c>
      <c r="B426" s="17" t="str">
        <f>Data!B424</f>
        <v>Vehicle, Gasoline or Petrol</v>
      </c>
      <c r="C426" s="17" t="str">
        <f>Data!C424</f>
        <v>1f2g3h4j5k6l</v>
      </c>
      <c r="D426" s="52">
        <f>Data!D424</f>
        <v>45066.155335648145</v>
      </c>
      <c r="E426" s="60" t="str">
        <f>IF(Data!E424="GpsRecord",Data!F424,"")</f>
        <v/>
      </c>
      <c r="F426" s="68" t="str">
        <f t="shared" si="93"/>
        <v>40840 Barto St, Leesburg, FL 34788, USA</v>
      </c>
      <c r="G426" t="b">
        <f t="shared" si="94"/>
        <v>0</v>
      </c>
      <c r="H426" t="b">
        <f t="shared" si="95"/>
        <v>0</v>
      </c>
      <c r="I426" t="b">
        <f t="shared" si="96"/>
        <v>0</v>
      </c>
      <c r="J426" t="str">
        <f t="shared" si="97"/>
        <v/>
      </c>
      <c r="K426" t="str">
        <f t="shared" si="98"/>
        <v/>
      </c>
      <c r="L426" t="str">
        <f t="shared" si="99"/>
        <v>,</v>
      </c>
      <c r="M426" t="str">
        <f t="shared" si="100"/>
        <v/>
      </c>
      <c r="N426" t="str">
        <f t="shared" si="101"/>
        <v/>
      </c>
      <c r="O426" t="str">
        <f t="shared" si="102"/>
        <v/>
      </c>
      <c r="P426" t="str">
        <f t="shared" si="103"/>
        <v/>
      </c>
      <c r="Q426" t="str">
        <f t="shared" si="104"/>
        <v/>
      </c>
      <c r="R426" s="20" t="str">
        <f t="shared" si="105"/>
        <v>FL</v>
      </c>
      <c r="S426" s="20" t="str">
        <f>IF(Data!E424="GpsRecord",Data!G424,"")</f>
        <v/>
      </c>
      <c r="T426" s="20" t="str">
        <f>IF(Data!E424="GpsRecord",Data!H424,"")</f>
        <v/>
      </c>
      <c r="U426" s="20">
        <f t="shared" si="106"/>
        <v>-39.411540000000002</v>
      </c>
      <c r="V426" s="20">
        <f t="shared" si="107"/>
        <v>33.726140000000001</v>
      </c>
      <c r="W426" s="19" t="str">
        <f>Data!I424</f>
        <v>Total fuel used (since telematics device install)</v>
      </c>
      <c r="X426" s="17" t="str">
        <f>CONCATENATE(Data!J424, " ", Data!K424)</f>
        <v>1997.78 L</v>
      </c>
    </row>
    <row r="427" spans="1:24" x14ac:dyDescent="0.3">
      <c r="A427" s="17" t="str">
        <f>Data!A425</f>
        <v>vehicle1</v>
      </c>
      <c r="B427" s="17" t="str">
        <f>Data!B425</f>
        <v>Vehicle, Gasoline or Petrol</v>
      </c>
      <c r="C427" s="17" t="str">
        <f>Data!C425</f>
        <v>1f2g3h4j5k6l</v>
      </c>
      <c r="D427" s="52">
        <f>Data!D425</f>
        <v>45066.155347222222</v>
      </c>
      <c r="E427" s="60" t="str">
        <f>IF(Data!E425="GpsRecord",Data!F425,"")</f>
        <v/>
      </c>
      <c r="F427" s="68" t="str">
        <f t="shared" si="93"/>
        <v>40840 Barto St, Leesburg, FL 34788, USA</v>
      </c>
      <c r="G427" t="b">
        <f t="shared" si="94"/>
        <v>0</v>
      </c>
      <c r="H427" t="b">
        <f t="shared" si="95"/>
        <v>0</v>
      </c>
      <c r="I427" t="b">
        <f t="shared" si="96"/>
        <v>0</v>
      </c>
      <c r="J427" t="str">
        <f t="shared" si="97"/>
        <v/>
      </c>
      <c r="K427" t="str">
        <f t="shared" si="98"/>
        <v/>
      </c>
      <c r="L427" t="str">
        <f t="shared" si="99"/>
        <v>,</v>
      </c>
      <c r="M427" t="str">
        <f t="shared" si="100"/>
        <v/>
      </c>
      <c r="N427" t="str">
        <f t="shared" si="101"/>
        <v/>
      </c>
      <c r="O427" t="str">
        <f t="shared" si="102"/>
        <v/>
      </c>
      <c r="P427" t="str">
        <f t="shared" si="103"/>
        <v/>
      </c>
      <c r="Q427" t="str">
        <f t="shared" si="104"/>
        <v/>
      </c>
      <c r="R427" s="20" t="str">
        <f t="shared" si="105"/>
        <v>FL</v>
      </c>
      <c r="S427" s="20" t="str">
        <f>IF(Data!E425="GpsRecord",Data!G425,"")</f>
        <v/>
      </c>
      <c r="T427" s="20" t="str">
        <f>IF(Data!E425="GpsRecord",Data!H425,"")</f>
        <v/>
      </c>
      <c r="U427" s="20">
        <f t="shared" si="106"/>
        <v>-39.411540000000002</v>
      </c>
      <c r="V427" s="20">
        <f t="shared" si="107"/>
        <v>33.726140000000001</v>
      </c>
      <c r="W427" s="19" t="str">
        <f>Data!I425</f>
        <v>Engine road speed</v>
      </c>
      <c r="X427" s="17" t="str">
        <f>CONCATENATE(Data!J425, " ", Data!K425)</f>
        <v>0 km/h</v>
      </c>
    </row>
    <row r="428" spans="1:24" x14ac:dyDescent="0.3">
      <c r="A428" s="17" t="str">
        <f>Data!A426</f>
        <v>vehicle1</v>
      </c>
      <c r="B428" s="17" t="str">
        <f>Data!B426</f>
        <v>Vehicle, Gasoline or Petrol</v>
      </c>
      <c r="C428" s="17" t="str">
        <f>Data!C426</f>
        <v>1f2g3h4j5k6l</v>
      </c>
      <c r="D428" s="52">
        <f>Data!D426</f>
        <v>45066.155347222222</v>
      </c>
      <c r="E428" s="60" t="str">
        <f>IF(Data!E426="GpsRecord",Data!F426,"")</f>
        <v>40840 Barto St, Leesburg, FL 34788, USA</v>
      </c>
      <c r="F428" s="68" t="str">
        <f t="shared" si="93"/>
        <v>40840 Barto St, Leesburg, FL 34788, USA</v>
      </c>
      <c r="G428" t="b">
        <f t="shared" si="94"/>
        <v>0</v>
      </c>
      <c r="H428" t="b">
        <f t="shared" si="95"/>
        <v>1</v>
      </c>
      <c r="I428" t="b">
        <f t="shared" si="96"/>
        <v>1</v>
      </c>
      <c r="J428" t="str">
        <f t="shared" si="97"/>
        <v>40840 Barto St, Leesburg, FL 34788, USA</v>
      </c>
      <c r="K428" t="str">
        <f t="shared" si="98"/>
        <v xml:space="preserve"> USA</v>
      </c>
      <c r="L428" t="str">
        <f t="shared" si="99"/>
        <v>, USA</v>
      </c>
      <c r="M428" t="str">
        <f t="shared" si="100"/>
        <v>40840 Barto St, Leesburg, FL 34788</v>
      </c>
      <c r="N428" t="str">
        <f t="shared" si="101"/>
        <v xml:space="preserve"> FL 34788</v>
      </c>
      <c r="O428" t="str">
        <f t="shared" si="102"/>
        <v>34788</v>
      </c>
      <c r="P428" t="str">
        <f t="shared" si="103"/>
        <v xml:space="preserve"> FL</v>
      </c>
      <c r="Q428" t="str">
        <f t="shared" si="104"/>
        <v>FL</v>
      </c>
      <c r="R428" s="20" t="str">
        <f t="shared" si="105"/>
        <v>FL</v>
      </c>
      <c r="S428" s="20">
        <f>IF(Data!E426="GpsRecord",Data!G426,"")</f>
        <v>-39.411540000000002</v>
      </c>
      <c r="T428" s="20">
        <f>IF(Data!E426="GpsRecord",Data!H426,"")</f>
        <v>33.726140000000001</v>
      </c>
      <c r="U428" s="20">
        <f t="shared" si="106"/>
        <v>-39.411540000000002</v>
      </c>
      <c r="V428" s="20">
        <f t="shared" si="107"/>
        <v>33.726140000000001</v>
      </c>
      <c r="W428" s="19">
        <f>Data!I426</f>
        <v>0</v>
      </c>
      <c r="X428" s="17" t="str">
        <f>CONCATENATE(Data!J426, " ", Data!K426)</f>
        <v xml:space="preserve"> </v>
      </c>
    </row>
    <row r="429" spans="1:24" x14ac:dyDescent="0.3">
      <c r="A429" s="17" t="str">
        <f>Data!A427</f>
        <v>vehicle1</v>
      </c>
      <c r="B429" s="17" t="str">
        <f>Data!B427</f>
        <v>Vehicle, Gasoline or Petrol</v>
      </c>
      <c r="C429" s="17" t="str">
        <f>Data!C427</f>
        <v>1f2g3h4j5k6l</v>
      </c>
      <c r="D429" s="52">
        <f>Data!D427</f>
        <v>45066.155347222222</v>
      </c>
      <c r="E429" s="60" t="str">
        <f>IF(Data!E427="GpsRecord",Data!F427,"")</f>
        <v/>
      </c>
      <c r="F429" s="68" t="str">
        <f t="shared" si="93"/>
        <v>40840 Barto St, Leesburg, FL 34788, USA</v>
      </c>
      <c r="G429" t="b">
        <f t="shared" si="94"/>
        <v>0</v>
      </c>
      <c r="H429" t="b">
        <f t="shared" si="95"/>
        <v>0</v>
      </c>
      <c r="I429" t="b">
        <f t="shared" si="96"/>
        <v>0</v>
      </c>
      <c r="J429" t="str">
        <f t="shared" si="97"/>
        <v/>
      </c>
      <c r="K429" t="str">
        <f t="shared" si="98"/>
        <v/>
      </c>
      <c r="L429" t="str">
        <f t="shared" si="99"/>
        <v>,</v>
      </c>
      <c r="M429" t="str">
        <f t="shared" si="100"/>
        <v/>
      </c>
      <c r="N429" t="str">
        <f t="shared" si="101"/>
        <v/>
      </c>
      <c r="O429" t="str">
        <f t="shared" si="102"/>
        <v/>
      </c>
      <c r="P429" t="str">
        <f t="shared" si="103"/>
        <v/>
      </c>
      <c r="Q429" t="str">
        <f t="shared" si="104"/>
        <v/>
      </c>
      <c r="R429" s="20" t="str">
        <f t="shared" si="105"/>
        <v>FL</v>
      </c>
      <c r="S429" s="20" t="str">
        <f>IF(Data!E427="GpsRecord",Data!G427,"")</f>
        <v/>
      </c>
      <c r="T429" s="20" t="str">
        <f>IF(Data!E427="GpsRecord",Data!H427,"")</f>
        <v/>
      </c>
      <c r="U429" s="20">
        <f t="shared" si="106"/>
        <v>-39.411540000000002</v>
      </c>
      <c r="V429" s="20">
        <f t="shared" si="107"/>
        <v>33.726140000000001</v>
      </c>
      <c r="W429" s="19" t="str">
        <f>Data!I427</f>
        <v>Fuel level while stopped (percent) tank 1</v>
      </c>
      <c r="X429" s="17" t="str">
        <f>CONCATENATE(Data!J427, " ", Data!K427)</f>
        <v>61.1676 %</v>
      </c>
    </row>
    <row r="430" spans="1:24" x14ac:dyDescent="0.3">
      <c r="A430" s="17" t="str">
        <f>Data!A428</f>
        <v>vehicle1</v>
      </c>
      <c r="B430" s="17" t="str">
        <f>Data!B428</f>
        <v>Vehicle, Gasoline or Petrol</v>
      </c>
      <c r="C430" s="17" t="str">
        <f>Data!C428</f>
        <v>1f2g3h4j5k6l</v>
      </c>
      <c r="D430" s="52">
        <f>Data!D428</f>
        <v>45066.155347222222</v>
      </c>
      <c r="E430" s="60" t="str">
        <f>IF(Data!E428="GpsRecord",Data!F428,"")</f>
        <v/>
      </c>
      <c r="F430" s="68" t="str">
        <f t="shared" si="93"/>
        <v>40840 Barto St, Leesburg, FL 34788, USA</v>
      </c>
      <c r="G430" t="b">
        <f t="shared" si="94"/>
        <v>0</v>
      </c>
      <c r="H430" t="b">
        <f t="shared" si="95"/>
        <v>0</v>
      </c>
      <c r="I430" t="b">
        <f t="shared" si="96"/>
        <v>0</v>
      </c>
      <c r="J430" t="str">
        <f t="shared" si="97"/>
        <v/>
      </c>
      <c r="K430" t="str">
        <f t="shared" si="98"/>
        <v/>
      </c>
      <c r="L430" t="str">
        <f t="shared" si="99"/>
        <v>,</v>
      </c>
      <c r="M430" t="str">
        <f t="shared" si="100"/>
        <v/>
      </c>
      <c r="N430" t="str">
        <f t="shared" si="101"/>
        <v/>
      </c>
      <c r="O430" t="str">
        <f t="shared" si="102"/>
        <v/>
      </c>
      <c r="P430" t="str">
        <f t="shared" si="103"/>
        <v/>
      </c>
      <c r="Q430" t="str">
        <f t="shared" si="104"/>
        <v/>
      </c>
      <c r="R430" s="20" t="str">
        <f t="shared" si="105"/>
        <v>FL</v>
      </c>
      <c r="S430" s="20" t="str">
        <f>IF(Data!E428="GpsRecord",Data!G428,"")</f>
        <v/>
      </c>
      <c r="T430" s="20" t="str">
        <f>IF(Data!E428="GpsRecord",Data!H428,"")</f>
        <v/>
      </c>
      <c r="U430" s="20">
        <f t="shared" si="106"/>
        <v>-39.411540000000002</v>
      </c>
      <c r="V430" s="20">
        <f t="shared" si="107"/>
        <v>33.726140000000001</v>
      </c>
      <c r="W430" s="19" t="str">
        <f>Data!I428</f>
        <v>Trip stopped duration accumulator</v>
      </c>
      <c r="X430" s="17" t="str">
        <f>CONCATENATE(Data!J428, " ", Data!K428)</f>
        <v>0.0150000000012 h</v>
      </c>
    </row>
    <row r="431" spans="1:24" x14ac:dyDescent="0.3">
      <c r="A431" s="17" t="str">
        <f>Data!A429</f>
        <v>vehicle1</v>
      </c>
      <c r="B431" s="17" t="str">
        <f>Data!B429</f>
        <v>Vehicle, Gasoline or Petrol</v>
      </c>
      <c r="C431" s="17" t="str">
        <f>Data!C429</f>
        <v>1f2g3h4j5k6l</v>
      </c>
      <c r="D431" s="52">
        <f>Data!D429</f>
        <v>45066.155347222222</v>
      </c>
      <c r="E431" s="60" t="str">
        <f>IF(Data!E429="GpsRecord",Data!F429,"")</f>
        <v/>
      </c>
      <c r="F431" s="68" t="str">
        <f t="shared" si="93"/>
        <v>40840 Barto St, Leesburg, FL 34788, USA</v>
      </c>
      <c r="G431" t="b">
        <f t="shared" si="94"/>
        <v>0</v>
      </c>
      <c r="H431" t="b">
        <f t="shared" si="95"/>
        <v>0</v>
      </c>
      <c r="I431" t="b">
        <f t="shared" si="96"/>
        <v>0</v>
      </c>
      <c r="J431" t="str">
        <f t="shared" si="97"/>
        <v/>
      </c>
      <c r="K431" t="str">
        <f t="shared" si="98"/>
        <v/>
      </c>
      <c r="L431" t="str">
        <f t="shared" si="99"/>
        <v>,</v>
      </c>
      <c r="M431" t="str">
        <f t="shared" si="100"/>
        <v/>
      </c>
      <c r="N431" t="str">
        <f t="shared" si="101"/>
        <v/>
      </c>
      <c r="O431" t="str">
        <f t="shared" si="102"/>
        <v/>
      </c>
      <c r="P431" t="str">
        <f t="shared" si="103"/>
        <v/>
      </c>
      <c r="Q431" t="str">
        <f t="shared" si="104"/>
        <v/>
      </c>
      <c r="R431" s="20" t="str">
        <f t="shared" si="105"/>
        <v>FL</v>
      </c>
      <c r="S431" s="20" t="str">
        <f>IF(Data!E429="GpsRecord",Data!G429,"")</f>
        <v/>
      </c>
      <c r="T431" s="20" t="str">
        <f>IF(Data!E429="GpsRecord",Data!H429,"")</f>
        <v/>
      </c>
      <c r="U431" s="20">
        <f t="shared" si="106"/>
        <v>-39.411540000000002</v>
      </c>
      <c r="V431" s="20">
        <f t="shared" si="107"/>
        <v>33.726140000000001</v>
      </c>
      <c r="W431" s="19" t="str">
        <f>Data!I429</f>
        <v>Total fuel used (since telematics device install)</v>
      </c>
      <c r="X431" s="17" t="str">
        <f>CONCATENATE(Data!J429, " ", Data!K429)</f>
        <v>1997.78 L</v>
      </c>
    </row>
    <row r="432" spans="1:24" x14ac:dyDescent="0.3">
      <c r="A432" s="17" t="str">
        <f>Data!A430</f>
        <v>vehicle1</v>
      </c>
      <c r="B432" s="17" t="str">
        <f>Data!B430</f>
        <v>Vehicle, Gasoline or Petrol</v>
      </c>
      <c r="C432" s="17" t="str">
        <f>Data!C430</f>
        <v>1f2g3h4j5k6l</v>
      </c>
      <c r="D432" s="52">
        <f>Data!D430</f>
        <v>45066.155347222222</v>
      </c>
      <c r="E432" s="60" t="str">
        <f>IF(Data!E430="GpsRecord",Data!F430,"")</f>
        <v/>
      </c>
      <c r="F432" s="68" t="str">
        <f t="shared" si="93"/>
        <v>40840 Barto St, Leesburg, FL 34788, USA</v>
      </c>
      <c r="G432" t="b">
        <f t="shared" si="94"/>
        <v>0</v>
      </c>
      <c r="H432" t="b">
        <f t="shared" si="95"/>
        <v>0</v>
      </c>
      <c r="I432" t="b">
        <f t="shared" si="96"/>
        <v>0</v>
      </c>
      <c r="J432" t="str">
        <f t="shared" si="97"/>
        <v/>
      </c>
      <c r="K432" t="str">
        <f t="shared" si="98"/>
        <v/>
      </c>
      <c r="L432" t="str">
        <f t="shared" si="99"/>
        <v>,</v>
      </c>
      <c r="M432" t="str">
        <f t="shared" si="100"/>
        <v/>
      </c>
      <c r="N432" t="str">
        <f t="shared" si="101"/>
        <v/>
      </c>
      <c r="O432" t="str">
        <f t="shared" si="102"/>
        <v/>
      </c>
      <c r="P432" t="str">
        <f t="shared" si="103"/>
        <v/>
      </c>
      <c r="Q432" t="str">
        <f t="shared" si="104"/>
        <v/>
      </c>
      <c r="R432" s="20" t="str">
        <f t="shared" si="105"/>
        <v>FL</v>
      </c>
      <c r="S432" s="20" t="str">
        <f>IF(Data!E430="GpsRecord",Data!G430,"")</f>
        <v/>
      </c>
      <c r="T432" s="20" t="str">
        <f>IF(Data!E430="GpsRecord",Data!H430,"")</f>
        <v/>
      </c>
      <c r="U432" s="20">
        <f t="shared" si="106"/>
        <v>-39.411540000000002</v>
      </c>
      <c r="V432" s="20">
        <f t="shared" si="107"/>
        <v>33.726140000000001</v>
      </c>
      <c r="W432" s="19" t="str">
        <f>Data!I430</f>
        <v>Engine speed</v>
      </c>
      <c r="X432" s="17" t="str">
        <f>CONCATENATE(Data!J430, " ", Data!K430)</f>
        <v>559.75 RPM</v>
      </c>
    </row>
    <row r="433" spans="1:24" x14ac:dyDescent="0.3">
      <c r="A433" s="17" t="str">
        <f>Data!A431</f>
        <v>vehicle1</v>
      </c>
      <c r="B433" s="17" t="str">
        <f>Data!B431</f>
        <v>Vehicle, Gasoline or Petrol</v>
      </c>
      <c r="C433" s="17" t="str">
        <f>Data!C431</f>
        <v>1f2g3h4j5k6l</v>
      </c>
      <c r="D433" s="52">
        <f>Data!D431</f>
        <v>45066.155358796299</v>
      </c>
      <c r="E433" s="60" t="str">
        <f>IF(Data!E431="GpsRecord",Data!F431,"")</f>
        <v/>
      </c>
      <c r="F433" s="68" t="str">
        <f t="shared" si="93"/>
        <v>40840 Barto St, Leesburg, FL 34788, USA</v>
      </c>
      <c r="G433" t="b">
        <f t="shared" si="94"/>
        <v>0</v>
      </c>
      <c r="H433" t="b">
        <f t="shared" si="95"/>
        <v>0</v>
      </c>
      <c r="I433" t="b">
        <f t="shared" si="96"/>
        <v>0</v>
      </c>
      <c r="J433" t="str">
        <f t="shared" si="97"/>
        <v/>
      </c>
      <c r="K433" t="str">
        <f t="shared" si="98"/>
        <v/>
      </c>
      <c r="L433" t="str">
        <f t="shared" si="99"/>
        <v>,</v>
      </c>
      <c r="M433" t="str">
        <f t="shared" si="100"/>
        <v/>
      </c>
      <c r="N433" t="str">
        <f t="shared" si="101"/>
        <v/>
      </c>
      <c r="O433" t="str">
        <f t="shared" si="102"/>
        <v/>
      </c>
      <c r="P433" t="str">
        <f t="shared" si="103"/>
        <v/>
      </c>
      <c r="Q433" t="str">
        <f t="shared" si="104"/>
        <v/>
      </c>
      <c r="R433" s="20" t="str">
        <f t="shared" si="105"/>
        <v>FL</v>
      </c>
      <c r="S433" s="20" t="str">
        <f>IF(Data!E431="GpsRecord",Data!G431,"")</f>
        <v/>
      </c>
      <c r="T433" s="20" t="str">
        <f>IF(Data!E431="GpsRecord",Data!H431,"")</f>
        <v/>
      </c>
      <c r="U433" s="20">
        <f t="shared" si="106"/>
        <v>-39.411540000000002</v>
      </c>
      <c r="V433" s="20">
        <f t="shared" si="107"/>
        <v>33.726140000000001</v>
      </c>
      <c r="W433" s="19" t="str">
        <f>Data!I431</f>
        <v>Fuel level while stopped (percent) tank 1</v>
      </c>
      <c r="X433" s="17" t="str">
        <f>CONCATENATE(Data!J431, " ", Data!K431)</f>
        <v>61.1676 %</v>
      </c>
    </row>
    <row r="434" spans="1:24" x14ac:dyDescent="0.3">
      <c r="A434" s="17" t="str">
        <f>Data!A432</f>
        <v>vehicle1</v>
      </c>
      <c r="B434" s="17" t="str">
        <f>Data!B432</f>
        <v>Vehicle, Gasoline or Petrol</v>
      </c>
      <c r="C434" s="17" t="str">
        <f>Data!C432</f>
        <v>1f2g3h4j5k6l</v>
      </c>
      <c r="D434" s="52">
        <f>Data!D432</f>
        <v>45066.155370370368</v>
      </c>
      <c r="E434" s="60" t="str">
        <f>IF(Data!E432="GpsRecord",Data!F432,"")</f>
        <v/>
      </c>
      <c r="F434" s="68" t="str">
        <f t="shared" si="93"/>
        <v>40840 Barto St, Leesburg, FL 34788, USA</v>
      </c>
      <c r="G434" t="b">
        <f t="shared" si="94"/>
        <v>0</v>
      </c>
      <c r="H434" t="b">
        <f t="shared" si="95"/>
        <v>0</v>
      </c>
      <c r="I434" t="b">
        <f t="shared" si="96"/>
        <v>0</v>
      </c>
      <c r="J434" t="str">
        <f t="shared" si="97"/>
        <v/>
      </c>
      <c r="K434" t="str">
        <f t="shared" si="98"/>
        <v/>
      </c>
      <c r="L434" t="str">
        <f t="shared" si="99"/>
        <v>,</v>
      </c>
      <c r="M434" t="str">
        <f t="shared" si="100"/>
        <v/>
      </c>
      <c r="N434" t="str">
        <f t="shared" si="101"/>
        <v/>
      </c>
      <c r="O434" t="str">
        <f t="shared" si="102"/>
        <v/>
      </c>
      <c r="P434" t="str">
        <f t="shared" si="103"/>
        <v/>
      </c>
      <c r="Q434" t="str">
        <f t="shared" si="104"/>
        <v/>
      </c>
      <c r="R434" s="20" t="str">
        <f t="shared" si="105"/>
        <v>FL</v>
      </c>
      <c r="S434" s="20" t="str">
        <f>IF(Data!E432="GpsRecord",Data!G432,"")</f>
        <v/>
      </c>
      <c r="T434" s="20" t="str">
        <f>IF(Data!E432="GpsRecord",Data!H432,"")</f>
        <v/>
      </c>
      <c r="U434" s="20">
        <f t="shared" si="106"/>
        <v>-39.411540000000002</v>
      </c>
      <c r="V434" s="20">
        <f t="shared" si="107"/>
        <v>33.726140000000001</v>
      </c>
      <c r="W434" s="19" t="str">
        <f>Data!I432</f>
        <v>Acceleration forward or braking</v>
      </c>
      <c r="X434" s="17" t="str">
        <f>CONCATENATE(Data!J432, " ", Data!K432)</f>
        <v>0 G force</v>
      </c>
    </row>
    <row r="435" spans="1:24" x14ac:dyDescent="0.3">
      <c r="A435" s="17" t="str">
        <f>Data!A433</f>
        <v>vehicle1</v>
      </c>
      <c r="B435" s="17" t="str">
        <f>Data!B433</f>
        <v>Vehicle, Gasoline or Petrol</v>
      </c>
      <c r="C435" s="17" t="str">
        <f>Data!C433</f>
        <v>1f2g3h4j5k6l</v>
      </c>
      <c r="D435" s="52">
        <f>Data!D433</f>
        <v>45066.155370370368</v>
      </c>
      <c r="E435" s="60" t="str">
        <f>IF(Data!E433="GpsRecord",Data!F433,"")</f>
        <v/>
      </c>
      <c r="F435" s="68" t="str">
        <f t="shared" si="93"/>
        <v>40840 Barto St, Leesburg, FL 34788, USA</v>
      </c>
      <c r="G435" t="b">
        <f t="shared" si="94"/>
        <v>0</v>
      </c>
      <c r="H435" t="b">
        <f t="shared" si="95"/>
        <v>0</v>
      </c>
      <c r="I435" t="b">
        <f t="shared" si="96"/>
        <v>0</v>
      </c>
      <c r="J435" t="str">
        <f t="shared" si="97"/>
        <v/>
      </c>
      <c r="K435" t="str">
        <f t="shared" si="98"/>
        <v/>
      </c>
      <c r="L435" t="str">
        <f t="shared" si="99"/>
        <v>,</v>
      </c>
      <c r="M435" t="str">
        <f t="shared" si="100"/>
        <v/>
      </c>
      <c r="N435" t="str">
        <f t="shared" si="101"/>
        <v/>
      </c>
      <c r="O435" t="str">
        <f t="shared" si="102"/>
        <v/>
      </c>
      <c r="P435" t="str">
        <f t="shared" si="103"/>
        <v/>
      </c>
      <c r="Q435" t="str">
        <f t="shared" si="104"/>
        <v/>
      </c>
      <c r="R435" s="20" t="str">
        <f t="shared" si="105"/>
        <v>FL</v>
      </c>
      <c r="S435" s="20" t="str">
        <f>IF(Data!E433="GpsRecord",Data!G433,"")</f>
        <v/>
      </c>
      <c r="T435" s="20" t="str">
        <f>IF(Data!E433="GpsRecord",Data!H433,"")</f>
        <v/>
      </c>
      <c r="U435" s="20">
        <f t="shared" si="106"/>
        <v>-39.411540000000002</v>
      </c>
      <c r="V435" s="20">
        <f t="shared" si="107"/>
        <v>33.726140000000001</v>
      </c>
      <c r="W435" s="19" t="str">
        <f>Data!I433</f>
        <v>Acceleration side to side</v>
      </c>
      <c r="X435" s="17" t="str">
        <f>CONCATENATE(Data!J433, " ", Data!K433)</f>
        <v>0 G force</v>
      </c>
    </row>
    <row r="436" spans="1:24" x14ac:dyDescent="0.3">
      <c r="A436" s="17" t="str">
        <f>Data!A434</f>
        <v>vehicle1</v>
      </c>
      <c r="B436" s="17" t="str">
        <f>Data!B434</f>
        <v>Vehicle, Gasoline or Petrol</v>
      </c>
      <c r="C436" s="17" t="str">
        <f>Data!C434</f>
        <v>1f2g3h4j5k6l</v>
      </c>
      <c r="D436" s="52">
        <f>Data!D434</f>
        <v>45066.155370370368</v>
      </c>
      <c r="E436" s="60" t="str">
        <f>IF(Data!E434="GpsRecord",Data!F434,"")</f>
        <v/>
      </c>
      <c r="F436" s="68" t="str">
        <f t="shared" si="93"/>
        <v>40840 Barto St, Leesburg, FL 34788, USA</v>
      </c>
      <c r="G436" t="b">
        <f t="shared" si="94"/>
        <v>0</v>
      </c>
      <c r="H436" t="b">
        <f t="shared" si="95"/>
        <v>0</v>
      </c>
      <c r="I436" t="b">
        <f t="shared" si="96"/>
        <v>0</v>
      </c>
      <c r="J436" t="str">
        <f t="shared" si="97"/>
        <v/>
      </c>
      <c r="K436" t="str">
        <f t="shared" si="98"/>
        <v/>
      </c>
      <c r="L436" t="str">
        <f t="shared" si="99"/>
        <v>,</v>
      </c>
      <c r="M436" t="str">
        <f t="shared" si="100"/>
        <v/>
      </c>
      <c r="N436" t="str">
        <f t="shared" si="101"/>
        <v/>
      </c>
      <c r="O436" t="str">
        <f t="shared" si="102"/>
        <v/>
      </c>
      <c r="P436" t="str">
        <f t="shared" si="103"/>
        <v/>
      </c>
      <c r="Q436" t="str">
        <f t="shared" si="104"/>
        <v/>
      </c>
      <c r="R436" s="20" t="str">
        <f t="shared" si="105"/>
        <v>FL</v>
      </c>
      <c r="S436" s="20" t="str">
        <f>IF(Data!E434="GpsRecord",Data!G434,"")</f>
        <v/>
      </c>
      <c r="T436" s="20" t="str">
        <f>IF(Data!E434="GpsRecord",Data!H434,"")</f>
        <v/>
      </c>
      <c r="U436" s="20">
        <f t="shared" si="106"/>
        <v>-39.411540000000002</v>
      </c>
      <c r="V436" s="20">
        <f t="shared" si="107"/>
        <v>33.726140000000001</v>
      </c>
      <c r="W436" s="19" t="str">
        <f>Data!I434</f>
        <v>Acceleration up down</v>
      </c>
      <c r="X436" s="17" t="str">
        <f>CONCATENATE(Data!J434, " ", Data!K434)</f>
        <v>0.964999974433348 G force</v>
      </c>
    </row>
    <row r="437" spans="1:24" x14ac:dyDescent="0.3">
      <c r="A437" s="17" t="str">
        <f>Data!A435</f>
        <v>vehicle1</v>
      </c>
      <c r="B437" s="17" t="str">
        <f>Data!B435</f>
        <v>Vehicle, Gasoline or Petrol</v>
      </c>
      <c r="C437" s="17" t="str">
        <f>Data!C435</f>
        <v>1f2g3h4j5k6l</v>
      </c>
      <c r="D437" s="52">
        <f>Data!D435</f>
        <v>45066.155370370368</v>
      </c>
      <c r="E437" s="60" t="str">
        <f>IF(Data!E435="GpsRecord",Data!F435,"")</f>
        <v>40840 Barto St, Leesburg, FL 34788, USA</v>
      </c>
      <c r="F437" s="68" t="str">
        <f t="shared" si="93"/>
        <v>40840 Barto St, Leesburg, FL 34788, USA</v>
      </c>
      <c r="G437" t="b">
        <f t="shared" si="94"/>
        <v>0</v>
      </c>
      <c r="H437" t="b">
        <f t="shared" si="95"/>
        <v>1</v>
      </c>
      <c r="I437" t="b">
        <f t="shared" si="96"/>
        <v>1</v>
      </c>
      <c r="J437" t="str">
        <f t="shared" si="97"/>
        <v>40840 Barto St, Leesburg, FL 34788, USA</v>
      </c>
      <c r="K437" t="str">
        <f t="shared" si="98"/>
        <v xml:space="preserve"> USA</v>
      </c>
      <c r="L437" t="str">
        <f t="shared" si="99"/>
        <v>, USA</v>
      </c>
      <c r="M437" t="str">
        <f t="shared" si="100"/>
        <v>40840 Barto St, Leesburg, FL 34788</v>
      </c>
      <c r="N437" t="str">
        <f t="shared" si="101"/>
        <v xml:space="preserve"> FL 34788</v>
      </c>
      <c r="O437" t="str">
        <f t="shared" si="102"/>
        <v>34788</v>
      </c>
      <c r="P437" t="str">
        <f t="shared" si="103"/>
        <v xml:space="preserve"> FL</v>
      </c>
      <c r="Q437" t="str">
        <f t="shared" si="104"/>
        <v>FL</v>
      </c>
      <c r="R437" s="20" t="str">
        <f t="shared" si="105"/>
        <v>FL</v>
      </c>
      <c r="S437" s="20">
        <f>IF(Data!E435="GpsRecord",Data!G435,"")</f>
        <v>-39.411540000000002</v>
      </c>
      <c r="T437" s="20">
        <f>IF(Data!E435="GpsRecord",Data!H435,"")</f>
        <v>33.726140000000001</v>
      </c>
      <c r="U437" s="20">
        <f t="shared" si="106"/>
        <v>-39.411540000000002</v>
      </c>
      <c r="V437" s="20">
        <f t="shared" si="107"/>
        <v>33.726140000000001</v>
      </c>
      <c r="W437" s="19">
        <f>Data!I435</f>
        <v>0</v>
      </c>
      <c r="X437" s="17" t="str">
        <f>CONCATENATE(Data!J435, " ", Data!K435)</f>
        <v xml:space="preserve"> </v>
      </c>
    </row>
    <row r="438" spans="1:24" x14ac:dyDescent="0.3">
      <c r="A438" s="17" t="str">
        <f>Data!A436</f>
        <v>vehicle1</v>
      </c>
      <c r="B438" s="17" t="str">
        <f>Data!B436</f>
        <v>Vehicle, Gasoline or Petrol</v>
      </c>
      <c r="C438" s="17" t="str">
        <f>Data!C436</f>
        <v>1f2g3h4j5k6l</v>
      </c>
      <c r="D438" s="52">
        <f>Data!D436</f>
        <v>45066.155370370368</v>
      </c>
      <c r="E438" s="60" t="str">
        <f>IF(Data!E436="GpsRecord",Data!F436,"")</f>
        <v/>
      </c>
      <c r="F438" s="68" t="str">
        <f t="shared" si="93"/>
        <v>40840 Barto St, Leesburg, FL 34788, USA</v>
      </c>
      <c r="G438" t="b">
        <f t="shared" si="94"/>
        <v>0</v>
      </c>
      <c r="H438" t="b">
        <f t="shared" si="95"/>
        <v>0</v>
      </c>
      <c r="I438" t="b">
        <f t="shared" si="96"/>
        <v>0</v>
      </c>
      <c r="J438" t="str">
        <f t="shared" si="97"/>
        <v/>
      </c>
      <c r="K438" t="str">
        <f t="shared" si="98"/>
        <v/>
      </c>
      <c r="L438" t="str">
        <f t="shared" si="99"/>
        <v>,</v>
      </c>
      <c r="M438" t="str">
        <f t="shared" si="100"/>
        <v/>
      </c>
      <c r="N438" t="str">
        <f t="shared" si="101"/>
        <v/>
      </c>
      <c r="O438" t="str">
        <f t="shared" si="102"/>
        <v/>
      </c>
      <c r="P438" t="str">
        <f t="shared" si="103"/>
        <v/>
      </c>
      <c r="Q438" t="str">
        <f t="shared" si="104"/>
        <v/>
      </c>
      <c r="R438" s="20" t="str">
        <f t="shared" si="105"/>
        <v>FL</v>
      </c>
      <c r="S438" s="20" t="str">
        <f>IF(Data!E436="GpsRecord",Data!G436,"")</f>
        <v/>
      </c>
      <c r="T438" s="20" t="str">
        <f>IF(Data!E436="GpsRecord",Data!H436,"")</f>
        <v/>
      </c>
      <c r="U438" s="20">
        <f t="shared" si="106"/>
        <v>-39.411540000000002</v>
      </c>
      <c r="V438" s="20">
        <f t="shared" si="107"/>
        <v>33.726140000000001</v>
      </c>
      <c r="W438" s="19" t="str">
        <f>Data!I436</f>
        <v>Fuel level while stopped (percent) tank 1</v>
      </c>
      <c r="X438" s="17" t="str">
        <f>CONCATENATE(Data!J436, " ", Data!K436)</f>
        <v>54.1098 %</v>
      </c>
    </row>
    <row r="439" spans="1:24" x14ac:dyDescent="0.3">
      <c r="A439" s="17" t="str">
        <f>Data!A437</f>
        <v>vehicle1</v>
      </c>
      <c r="B439" s="17" t="str">
        <f>Data!B437</f>
        <v>Vehicle, Gasoline or Petrol</v>
      </c>
      <c r="C439" s="17" t="str">
        <f>Data!C437</f>
        <v>1f2g3h4j5k6l</v>
      </c>
      <c r="D439" s="52">
        <f>Data!D437</f>
        <v>45066.155370370368</v>
      </c>
      <c r="E439" s="60" t="str">
        <f>IF(Data!E437="GpsRecord",Data!F437,"")</f>
        <v/>
      </c>
      <c r="F439" s="68" t="str">
        <f t="shared" si="93"/>
        <v>40840 Barto St, Leesburg, FL 34788, USA</v>
      </c>
      <c r="G439" t="b">
        <f t="shared" si="94"/>
        <v>0</v>
      </c>
      <c r="H439" t="b">
        <f t="shared" si="95"/>
        <v>0</v>
      </c>
      <c r="I439" t="b">
        <f t="shared" si="96"/>
        <v>0</v>
      </c>
      <c r="J439" t="str">
        <f t="shared" si="97"/>
        <v/>
      </c>
      <c r="K439" t="str">
        <f t="shared" si="98"/>
        <v/>
      </c>
      <c r="L439" t="str">
        <f t="shared" si="99"/>
        <v>,</v>
      </c>
      <c r="M439" t="str">
        <f t="shared" si="100"/>
        <v/>
      </c>
      <c r="N439" t="str">
        <f t="shared" si="101"/>
        <v/>
      </c>
      <c r="O439" t="str">
        <f t="shared" si="102"/>
        <v/>
      </c>
      <c r="P439" t="str">
        <f t="shared" si="103"/>
        <v/>
      </c>
      <c r="Q439" t="str">
        <f t="shared" si="104"/>
        <v/>
      </c>
      <c r="R439" s="20" t="str">
        <f t="shared" si="105"/>
        <v>FL</v>
      </c>
      <c r="S439" s="20" t="str">
        <f>IF(Data!E437="GpsRecord",Data!G437,"")</f>
        <v/>
      </c>
      <c r="T439" s="20" t="str">
        <f>IF(Data!E437="GpsRecord",Data!H437,"")</f>
        <v/>
      </c>
      <c r="U439" s="20">
        <f t="shared" si="106"/>
        <v>-39.411540000000002</v>
      </c>
      <c r="V439" s="20">
        <f t="shared" si="107"/>
        <v>33.726140000000001</v>
      </c>
      <c r="W439" s="19" t="str">
        <f>Data!I437</f>
        <v>Engine road speed</v>
      </c>
      <c r="X439" s="17" t="str">
        <f>CONCATENATE(Data!J437, " ", Data!K437)</f>
        <v>3 km/h</v>
      </c>
    </row>
    <row r="440" spans="1:24" x14ac:dyDescent="0.3">
      <c r="A440" s="17" t="str">
        <f>Data!A438</f>
        <v>vehicle1</v>
      </c>
      <c r="B440" s="17" t="str">
        <f>Data!B438</f>
        <v>Vehicle, Gasoline or Petrol</v>
      </c>
      <c r="C440" s="17" t="str">
        <f>Data!C438</f>
        <v>1f2g3h4j5k6l</v>
      </c>
      <c r="D440" s="52">
        <f>Data!D438</f>
        <v>45066.155370370368</v>
      </c>
      <c r="E440" s="60" t="str">
        <f>IF(Data!E438="GpsRecord",Data!F438,"")</f>
        <v/>
      </c>
      <c r="F440" s="68" t="str">
        <f t="shared" si="93"/>
        <v>40840 Barto St, Leesburg, FL 34788, USA</v>
      </c>
      <c r="G440" t="b">
        <f t="shared" si="94"/>
        <v>0</v>
      </c>
      <c r="H440" t="b">
        <f t="shared" si="95"/>
        <v>0</v>
      </c>
      <c r="I440" t="b">
        <f t="shared" si="96"/>
        <v>0</v>
      </c>
      <c r="J440" t="str">
        <f t="shared" si="97"/>
        <v/>
      </c>
      <c r="K440" t="str">
        <f t="shared" si="98"/>
        <v/>
      </c>
      <c r="L440" t="str">
        <f t="shared" si="99"/>
        <v>,</v>
      </c>
      <c r="M440" t="str">
        <f t="shared" si="100"/>
        <v/>
      </c>
      <c r="N440" t="str">
        <f t="shared" si="101"/>
        <v/>
      </c>
      <c r="O440" t="str">
        <f t="shared" si="102"/>
        <v/>
      </c>
      <c r="P440" t="str">
        <f t="shared" si="103"/>
        <v/>
      </c>
      <c r="Q440" t="str">
        <f t="shared" si="104"/>
        <v/>
      </c>
      <c r="R440" s="20" t="str">
        <f t="shared" si="105"/>
        <v>FL</v>
      </c>
      <c r="S440" s="20" t="str">
        <f>IF(Data!E438="GpsRecord",Data!G438,"")</f>
        <v/>
      </c>
      <c r="T440" s="20" t="str">
        <f>IF(Data!E438="GpsRecord",Data!H438,"")</f>
        <v/>
      </c>
      <c r="U440" s="20">
        <f t="shared" si="106"/>
        <v>-39.411540000000002</v>
      </c>
      <c r="V440" s="20">
        <f t="shared" si="107"/>
        <v>33.726140000000001</v>
      </c>
      <c r="W440" s="19" t="str">
        <f>Data!I438</f>
        <v>Stop event duration</v>
      </c>
      <c r="X440" s="17" t="str">
        <f>CONCATENATE(Data!J438, " ", Data!K438)</f>
        <v>0.0008333333334 h</v>
      </c>
    </row>
    <row r="441" spans="1:24" x14ac:dyDescent="0.3">
      <c r="A441" s="17" t="str">
        <f>Data!A439</f>
        <v>vehicle1</v>
      </c>
      <c r="B441" s="17" t="str">
        <f>Data!B439</f>
        <v>Vehicle, Gasoline or Petrol</v>
      </c>
      <c r="C441" s="17" t="str">
        <f>Data!C439</f>
        <v>1f2g3h4j5k6l</v>
      </c>
      <c r="D441" s="52">
        <f>Data!D439</f>
        <v>45066.155370370368</v>
      </c>
      <c r="E441" s="60" t="str">
        <f>IF(Data!E439="GpsRecord",Data!F439,"")</f>
        <v/>
      </c>
      <c r="F441" s="68" t="str">
        <f t="shared" si="93"/>
        <v>40840 Barto St, Leesburg, FL 34788, USA</v>
      </c>
      <c r="G441" t="b">
        <f t="shared" si="94"/>
        <v>0</v>
      </c>
      <c r="H441" t="b">
        <f t="shared" si="95"/>
        <v>0</v>
      </c>
      <c r="I441" t="b">
        <f t="shared" si="96"/>
        <v>0</v>
      </c>
      <c r="J441" t="str">
        <f t="shared" si="97"/>
        <v/>
      </c>
      <c r="K441" t="str">
        <f t="shared" si="98"/>
        <v/>
      </c>
      <c r="L441" t="str">
        <f t="shared" si="99"/>
        <v>,</v>
      </c>
      <c r="M441" t="str">
        <f t="shared" si="100"/>
        <v/>
      </c>
      <c r="N441" t="str">
        <f t="shared" si="101"/>
        <v/>
      </c>
      <c r="O441" t="str">
        <f t="shared" si="102"/>
        <v/>
      </c>
      <c r="P441" t="str">
        <f t="shared" si="103"/>
        <v/>
      </c>
      <c r="Q441" t="str">
        <f t="shared" si="104"/>
        <v/>
      </c>
      <c r="R441" s="20" t="str">
        <f t="shared" si="105"/>
        <v>FL</v>
      </c>
      <c r="S441" s="20" t="str">
        <f>IF(Data!E439="GpsRecord",Data!G439,"")</f>
        <v/>
      </c>
      <c r="T441" s="20" t="str">
        <f>IF(Data!E439="GpsRecord",Data!H439,"")</f>
        <v/>
      </c>
      <c r="U441" s="20">
        <f t="shared" si="106"/>
        <v>-39.411540000000002</v>
      </c>
      <c r="V441" s="20">
        <f t="shared" si="107"/>
        <v>33.726140000000001</v>
      </c>
      <c r="W441" s="19" t="str">
        <f>Data!I439</f>
        <v>Stop event fuel</v>
      </c>
      <c r="X441" s="17" t="str">
        <f>CONCATENATE(Data!J439, " ", Data!K439)</f>
        <v>0.002 L</v>
      </c>
    </row>
    <row r="442" spans="1:24" x14ac:dyDescent="0.3">
      <c r="A442" s="17" t="str">
        <f>Data!A440</f>
        <v>vehicle1</v>
      </c>
      <c r="B442" s="17" t="str">
        <f>Data!B440</f>
        <v>Vehicle, Gasoline or Petrol</v>
      </c>
      <c r="C442" s="17" t="str">
        <f>Data!C440</f>
        <v>1f2g3h4j5k6l</v>
      </c>
      <c r="D442" s="52">
        <f>Data!D440</f>
        <v>45066.155381944445</v>
      </c>
      <c r="E442" s="60" t="str">
        <f>IF(Data!E440="GpsRecord",Data!F440,"")</f>
        <v/>
      </c>
      <c r="F442" s="68" t="str">
        <f t="shared" si="93"/>
        <v>40840 Barto St, Leesburg, FL 34788, USA</v>
      </c>
      <c r="G442" t="b">
        <f t="shared" si="94"/>
        <v>0</v>
      </c>
      <c r="H442" t="b">
        <f t="shared" si="95"/>
        <v>0</v>
      </c>
      <c r="I442" t="b">
        <f t="shared" si="96"/>
        <v>0</v>
      </c>
      <c r="J442" t="str">
        <f t="shared" si="97"/>
        <v/>
      </c>
      <c r="K442" t="str">
        <f t="shared" si="98"/>
        <v/>
      </c>
      <c r="L442" t="str">
        <f t="shared" si="99"/>
        <v>,</v>
      </c>
      <c r="M442" t="str">
        <f t="shared" si="100"/>
        <v/>
      </c>
      <c r="N442" t="str">
        <f t="shared" si="101"/>
        <v/>
      </c>
      <c r="O442" t="str">
        <f t="shared" si="102"/>
        <v/>
      </c>
      <c r="P442" t="str">
        <f t="shared" si="103"/>
        <v/>
      </c>
      <c r="Q442" t="str">
        <f t="shared" si="104"/>
        <v/>
      </c>
      <c r="R442" s="20" t="str">
        <f t="shared" si="105"/>
        <v>FL</v>
      </c>
      <c r="S442" s="20" t="str">
        <f>IF(Data!E440="GpsRecord",Data!G440,"")</f>
        <v/>
      </c>
      <c r="T442" s="20" t="str">
        <f>IF(Data!E440="GpsRecord",Data!H440,"")</f>
        <v/>
      </c>
      <c r="U442" s="20">
        <f t="shared" si="106"/>
        <v>-39.411540000000002</v>
      </c>
      <c r="V442" s="20">
        <f t="shared" si="107"/>
        <v>33.726140000000001</v>
      </c>
      <c r="W442" s="19" t="str">
        <f>Data!I440</f>
        <v>Engine road speed</v>
      </c>
      <c r="X442" s="17" t="str">
        <f>CONCATENATE(Data!J440, " ", Data!K440)</f>
        <v>7 km/h</v>
      </c>
    </row>
    <row r="443" spans="1:24" x14ac:dyDescent="0.3">
      <c r="A443" s="17" t="str">
        <f>Data!A441</f>
        <v>vehicle1</v>
      </c>
      <c r="B443" s="17" t="str">
        <f>Data!B441</f>
        <v>Vehicle, Gasoline or Petrol</v>
      </c>
      <c r="C443" s="17" t="str">
        <f>Data!C441</f>
        <v>1f2g3h4j5k6l</v>
      </c>
      <c r="D443" s="52">
        <f>Data!D441</f>
        <v>45066.155381944445</v>
      </c>
      <c r="E443" s="60" t="str">
        <f>IF(Data!E441="GpsRecord",Data!F441,"")</f>
        <v/>
      </c>
      <c r="F443" s="68" t="str">
        <f t="shared" si="93"/>
        <v>40840 Barto St, Leesburg, FL 34788, USA</v>
      </c>
      <c r="G443" t="b">
        <f t="shared" si="94"/>
        <v>0</v>
      </c>
      <c r="H443" t="b">
        <f t="shared" si="95"/>
        <v>0</v>
      </c>
      <c r="I443" t="b">
        <f t="shared" si="96"/>
        <v>0</v>
      </c>
      <c r="J443" t="str">
        <f t="shared" si="97"/>
        <v/>
      </c>
      <c r="K443" t="str">
        <f t="shared" si="98"/>
        <v/>
      </c>
      <c r="L443" t="str">
        <f t="shared" si="99"/>
        <v>,</v>
      </c>
      <c r="M443" t="str">
        <f t="shared" si="100"/>
        <v/>
      </c>
      <c r="N443" t="str">
        <f t="shared" si="101"/>
        <v/>
      </c>
      <c r="O443" t="str">
        <f t="shared" si="102"/>
        <v/>
      </c>
      <c r="P443" t="str">
        <f t="shared" si="103"/>
        <v/>
      </c>
      <c r="Q443" t="str">
        <f t="shared" si="104"/>
        <v/>
      </c>
      <c r="R443" s="20" t="str">
        <f t="shared" si="105"/>
        <v>FL</v>
      </c>
      <c r="S443" s="20" t="str">
        <f>IF(Data!E441="GpsRecord",Data!G441,"")</f>
        <v/>
      </c>
      <c r="T443" s="20" t="str">
        <f>IF(Data!E441="GpsRecord",Data!H441,"")</f>
        <v/>
      </c>
      <c r="U443" s="20">
        <f t="shared" si="106"/>
        <v>-39.411540000000002</v>
      </c>
      <c r="V443" s="20">
        <f t="shared" si="107"/>
        <v>33.726140000000001</v>
      </c>
      <c r="W443" s="19" t="str">
        <f>Data!I441</f>
        <v>Acceleration forward or braking</v>
      </c>
      <c r="X443" s="17" t="str">
        <f>CONCATENATE(Data!J441, " ", Data!K441)</f>
        <v>0.261999979585653 G force</v>
      </c>
    </row>
    <row r="444" spans="1:24" x14ac:dyDescent="0.3">
      <c r="A444" s="17" t="str">
        <f>Data!A442</f>
        <v>vehicle1</v>
      </c>
      <c r="B444" s="17" t="str">
        <f>Data!B442</f>
        <v>Vehicle, Gasoline or Petrol</v>
      </c>
      <c r="C444" s="17" t="str">
        <f>Data!C442</f>
        <v>1f2g3h4j5k6l</v>
      </c>
      <c r="D444" s="52">
        <f>Data!D442</f>
        <v>45066.155381944445</v>
      </c>
      <c r="E444" s="60" t="str">
        <f>IF(Data!E442="GpsRecord",Data!F442,"")</f>
        <v/>
      </c>
      <c r="F444" s="68" t="str">
        <f t="shared" si="93"/>
        <v>40840 Barto St, Leesburg, FL 34788, USA</v>
      </c>
      <c r="G444" t="b">
        <f t="shared" si="94"/>
        <v>0</v>
      </c>
      <c r="H444" t="b">
        <f t="shared" si="95"/>
        <v>0</v>
      </c>
      <c r="I444" t="b">
        <f t="shared" si="96"/>
        <v>0</v>
      </c>
      <c r="J444" t="str">
        <f t="shared" si="97"/>
        <v/>
      </c>
      <c r="K444" t="str">
        <f t="shared" si="98"/>
        <v/>
      </c>
      <c r="L444" t="str">
        <f t="shared" si="99"/>
        <v>,</v>
      </c>
      <c r="M444" t="str">
        <f t="shared" si="100"/>
        <v/>
      </c>
      <c r="N444" t="str">
        <f t="shared" si="101"/>
        <v/>
      </c>
      <c r="O444" t="str">
        <f t="shared" si="102"/>
        <v/>
      </c>
      <c r="P444" t="str">
        <f t="shared" si="103"/>
        <v/>
      </c>
      <c r="Q444" t="str">
        <f t="shared" si="104"/>
        <v/>
      </c>
      <c r="R444" s="20" t="str">
        <f t="shared" si="105"/>
        <v>FL</v>
      </c>
      <c r="S444" s="20" t="str">
        <f>IF(Data!E442="GpsRecord",Data!G442,"")</f>
        <v/>
      </c>
      <c r="T444" s="20" t="str">
        <f>IF(Data!E442="GpsRecord",Data!H442,"")</f>
        <v/>
      </c>
      <c r="U444" s="20">
        <f t="shared" si="106"/>
        <v>-39.411540000000002</v>
      </c>
      <c r="V444" s="20">
        <f t="shared" si="107"/>
        <v>33.726140000000001</v>
      </c>
      <c r="W444" s="19" t="str">
        <f>Data!I442</f>
        <v>Acceleration up down</v>
      </c>
      <c r="X444" s="17" t="str">
        <f>CONCATENATE(Data!J442, " ", Data!K442)</f>
        <v>0.941000035618155 G force</v>
      </c>
    </row>
    <row r="445" spans="1:24" x14ac:dyDescent="0.3">
      <c r="A445" s="17" t="str">
        <f>Data!A443</f>
        <v>vehicle1</v>
      </c>
      <c r="B445" s="17" t="str">
        <f>Data!B443</f>
        <v>Vehicle, Gasoline or Petrol</v>
      </c>
      <c r="C445" s="17" t="str">
        <f>Data!C443</f>
        <v>1f2g3h4j5k6l</v>
      </c>
      <c r="D445" s="52">
        <f>Data!D443</f>
        <v>45066.155381944445</v>
      </c>
      <c r="E445" s="60" t="str">
        <f>IF(Data!E443="GpsRecord",Data!F443,"")</f>
        <v>40840 Barto St, Leesburg, FL 34788, USA</v>
      </c>
      <c r="F445" s="68" t="str">
        <f t="shared" si="93"/>
        <v>40840 Barto St, Leesburg, FL 34788, USA</v>
      </c>
      <c r="G445" t="b">
        <f t="shared" si="94"/>
        <v>0</v>
      </c>
      <c r="H445" t="b">
        <f t="shared" si="95"/>
        <v>1</v>
      </c>
      <c r="I445" t="b">
        <f t="shared" si="96"/>
        <v>1</v>
      </c>
      <c r="J445" t="str">
        <f t="shared" si="97"/>
        <v>40840 Barto St, Leesburg, FL 34788, USA</v>
      </c>
      <c r="K445" t="str">
        <f t="shared" si="98"/>
        <v xml:space="preserve"> USA</v>
      </c>
      <c r="L445" t="str">
        <f t="shared" si="99"/>
        <v>, USA</v>
      </c>
      <c r="M445" t="str">
        <f t="shared" si="100"/>
        <v>40840 Barto St, Leesburg, FL 34788</v>
      </c>
      <c r="N445" t="str">
        <f t="shared" si="101"/>
        <v xml:space="preserve"> FL 34788</v>
      </c>
      <c r="O445" t="str">
        <f t="shared" si="102"/>
        <v>34788</v>
      </c>
      <c r="P445" t="str">
        <f t="shared" si="103"/>
        <v xml:space="preserve"> FL</v>
      </c>
      <c r="Q445" t="str">
        <f t="shared" si="104"/>
        <v>FL</v>
      </c>
      <c r="R445" s="20" t="str">
        <f t="shared" si="105"/>
        <v>FL</v>
      </c>
      <c r="S445" s="20">
        <f>IF(Data!E443="GpsRecord",Data!G443,"")</f>
        <v>-39.411540000000002</v>
      </c>
      <c r="T445" s="20">
        <f>IF(Data!E443="GpsRecord",Data!H443,"")</f>
        <v>33.726140000000001</v>
      </c>
      <c r="U445" s="20">
        <f t="shared" si="106"/>
        <v>-39.411540000000002</v>
      </c>
      <c r="V445" s="20">
        <f t="shared" si="107"/>
        <v>33.726140000000001</v>
      </c>
      <c r="W445" s="19">
        <f>Data!I443</f>
        <v>0</v>
      </c>
      <c r="X445" s="17" t="str">
        <f>CONCATENATE(Data!J443, " ", Data!K443)</f>
        <v xml:space="preserve"> </v>
      </c>
    </row>
    <row r="446" spans="1:24" x14ac:dyDescent="0.3">
      <c r="A446" s="17" t="str">
        <f>Data!A444</f>
        <v>vehicle1</v>
      </c>
      <c r="B446" s="17" t="str">
        <f>Data!B444</f>
        <v>Vehicle, Gasoline or Petrol</v>
      </c>
      <c r="C446" s="17" t="str">
        <f>Data!C444</f>
        <v>1f2g3h4j5k6l</v>
      </c>
      <c r="D446" s="52">
        <f>Data!D444</f>
        <v>45066.155381944445</v>
      </c>
      <c r="E446" s="60" t="str">
        <f>IF(Data!E444="GpsRecord",Data!F444,"")</f>
        <v/>
      </c>
      <c r="F446" s="68" t="str">
        <f t="shared" si="93"/>
        <v>40840 Barto St, Leesburg, FL 34788, USA</v>
      </c>
      <c r="G446" t="b">
        <f t="shared" si="94"/>
        <v>0</v>
      </c>
      <c r="H446" t="b">
        <f t="shared" si="95"/>
        <v>0</v>
      </c>
      <c r="I446" t="b">
        <f t="shared" si="96"/>
        <v>0</v>
      </c>
      <c r="J446" t="str">
        <f t="shared" si="97"/>
        <v/>
      </c>
      <c r="K446" t="str">
        <f t="shared" si="98"/>
        <v/>
      </c>
      <c r="L446" t="str">
        <f t="shared" si="99"/>
        <v>,</v>
      </c>
      <c r="M446" t="str">
        <f t="shared" si="100"/>
        <v/>
      </c>
      <c r="N446" t="str">
        <f t="shared" si="101"/>
        <v/>
      </c>
      <c r="O446" t="str">
        <f t="shared" si="102"/>
        <v/>
      </c>
      <c r="P446" t="str">
        <f t="shared" si="103"/>
        <v/>
      </c>
      <c r="Q446" t="str">
        <f t="shared" si="104"/>
        <v/>
      </c>
      <c r="R446" s="20" t="str">
        <f t="shared" si="105"/>
        <v>FL</v>
      </c>
      <c r="S446" s="20" t="str">
        <f>IF(Data!E444="GpsRecord",Data!G444,"")</f>
        <v/>
      </c>
      <c r="T446" s="20" t="str">
        <f>IF(Data!E444="GpsRecord",Data!H444,"")</f>
        <v/>
      </c>
      <c r="U446" s="20">
        <f t="shared" si="106"/>
        <v>-39.411540000000002</v>
      </c>
      <c r="V446" s="20">
        <f t="shared" si="107"/>
        <v>33.726140000000001</v>
      </c>
      <c r="W446" s="19" t="str">
        <f>Data!I444</f>
        <v>Total fuel used (since telematics device install)</v>
      </c>
      <c r="X446" s="17" t="str">
        <f>CONCATENATE(Data!J444, " ", Data!K444)</f>
        <v>1997.78 L</v>
      </c>
    </row>
    <row r="447" spans="1:24" x14ac:dyDescent="0.3">
      <c r="A447" s="17" t="str">
        <f>Data!A445</f>
        <v>vehicle1</v>
      </c>
      <c r="B447" s="17" t="str">
        <f>Data!B445</f>
        <v>Vehicle, Gasoline or Petrol</v>
      </c>
      <c r="C447" s="17" t="str">
        <f>Data!C445</f>
        <v>1f2g3h4j5k6l</v>
      </c>
      <c r="D447" s="52">
        <f>Data!D445</f>
        <v>45066.155393518522</v>
      </c>
      <c r="E447" s="60" t="str">
        <f>IF(Data!E445="GpsRecord",Data!F445,"")</f>
        <v/>
      </c>
      <c r="F447" s="68" t="str">
        <f t="shared" si="93"/>
        <v>40840 Barto St, Leesburg, FL 34788, USA</v>
      </c>
      <c r="G447" t="b">
        <f t="shared" si="94"/>
        <v>0</v>
      </c>
      <c r="H447" t="b">
        <f t="shared" si="95"/>
        <v>0</v>
      </c>
      <c r="I447" t="b">
        <f t="shared" si="96"/>
        <v>0</v>
      </c>
      <c r="J447" t="str">
        <f t="shared" si="97"/>
        <v/>
      </c>
      <c r="K447" t="str">
        <f t="shared" si="98"/>
        <v/>
      </c>
      <c r="L447" t="str">
        <f t="shared" si="99"/>
        <v>,</v>
      </c>
      <c r="M447" t="str">
        <f t="shared" si="100"/>
        <v/>
      </c>
      <c r="N447" t="str">
        <f t="shared" si="101"/>
        <v/>
      </c>
      <c r="O447" t="str">
        <f t="shared" si="102"/>
        <v/>
      </c>
      <c r="P447" t="str">
        <f t="shared" si="103"/>
        <v/>
      </c>
      <c r="Q447" t="str">
        <f t="shared" si="104"/>
        <v/>
      </c>
      <c r="R447" s="20" t="str">
        <f t="shared" si="105"/>
        <v>FL</v>
      </c>
      <c r="S447" s="20" t="str">
        <f>IF(Data!E445="GpsRecord",Data!G445,"")</f>
        <v/>
      </c>
      <c r="T447" s="20" t="str">
        <f>IF(Data!E445="GpsRecord",Data!H445,"")</f>
        <v/>
      </c>
      <c r="U447" s="20">
        <f t="shared" si="106"/>
        <v>-39.411540000000002</v>
      </c>
      <c r="V447" s="20">
        <f t="shared" si="107"/>
        <v>33.726140000000001</v>
      </c>
      <c r="W447" s="19" t="str">
        <f>Data!I445</f>
        <v>Engine road speed</v>
      </c>
      <c r="X447" s="17" t="str">
        <f>CONCATENATE(Data!J445, " ", Data!K445)</f>
        <v>14 km/h</v>
      </c>
    </row>
    <row r="448" spans="1:24" x14ac:dyDescent="0.3">
      <c r="A448" s="17" t="str">
        <f>Data!A446</f>
        <v>vehicle1</v>
      </c>
      <c r="B448" s="17" t="str">
        <f>Data!B446</f>
        <v>Vehicle, Gasoline or Petrol</v>
      </c>
      <c r="C448" s="17" t="str">
        <f>Data!C446</f>
        <v>1f2g3h4j5k6l</v>
      </c>
      <c r="D448" s="52">
        <f>Data!D446</f>
        <v>45066.155393518522</v>
      </c>
      <c r="E448" s="60" t="str">
        <f>IF(Data!E446="GpsRecord",Data!F446,"")</f>
        <v/>
      </c>
      <c r="F448" s="68" t="str">
        <f t="shared" si="93"/>
        <v>40840 Barto St, Leesburg, FL 34788, USA</v>
      </c>
      <c r="G448" t="b">
        <f t="shared" si="94"/>
        <v>0</v>
      </c>
      <c r="H448" t="b">
        <f t="shared" si="95"/>
        <v>0</v>
      </c>
      <c r="I448" t="b">
        <f t="shared" si="96"/>
        <v>0</v>
      </c>
      <c r="J448" t="str">
        <f t="shared" si="97"/>
        <v/>
      </c>
      <c r="K448" t="str">
        <f t="shared" si="98"/>
        <v/>
      </c>
      <c r="L448" t="str">
        <f t="shared" si="99"/>
        <v>,</v>
      </c>
      <c r="M448" t="str">
        <f t="shared" si="100"/>
        <v/>
      </c>
      <c r="N448" t="str">
        <f t="shared" si="101"/>
        <v/>
      </c>
      <c r="O448" t="str">
        <f t="shared" si="102"/>
        <v/>
      </c>
      <c r="P448" t="str">
        <f t="shared" si="103"/>
        <v/>
      </c>
      <c r="Q448" t="str">
        <f t="shared" si="104"/>
        <v/>
      </c>
      <c r="R448" s="20" t="str">
        <f t="shared" si="105"/>
        <v>FL</v>
      </c>
      <c r="S448" s="20" t="str">
        <f>IF(Data!E446="GpsRecord",Data!G446,"")</f>
        <v/>
      </c>
      <c r="T448" s="20" t="str">
        <f>IF(Data!E446="GpsRecord",Data!H446,"")</f>
        <v/>
      </c>
      <c r="U448" s="20">
        <f t="shared" si="106"/>
        <v>-39.411540000000002</v>
      </c>
      <c r="V448" s="20">
        <f t="shared" si="107"/>
        <v>33.726140000000001</v>
      </c>
      <c r="W448" s="19" t="str">
        <f>Data!I446</f>
        <v>Acceleration forward or braking</v>
      </c>
      <c r="X448" s="17" t="str">
        <f>CONCATENATE(Data!J446, " ", Data!K446)</f>
        <v>0 G force</v>
      </c>
    </row>
    <row r="449" spans="1:24" x14ac:dyDescent="0.3">
      <c r="A449" s="17" t="str">
        <f>Data!A447</f>
        <v>vehicle1</v>
      </c>
      <c r="B449" s="17" t="str">
        <f>Data!B447</f>
        <v>Vehicle, Gasoline or Petrol</v>
      </c>
      <c r="C449" s="17" t="str">
        <f>Data!C447</f>
        <v>1f2g3h4j5k6l</v>
      </c>
      <c r="D449" s="52">
        <f>Data!D447</f>
        <v>45066.155393518522</v>
      </c>
      <c r="E449" s="60" t="str">
        <f>IF(Data!E447="GpsRecord",Data!F447,"")</f>
        <v/>
      </c>
      <c r="F449" s="68" t="str">
        <f t="shared" si="93"/>
        <v>40840 Barto St, Leesburg, FL 34788, USA</v>
      </c>
      <c r="G449" t="b">
        <f t="shared" si="94"/>
        <v>0</v>
      </c>
      <c r="H449" t="b">
        <f t="shared" si="95"/>
        <v>0</v>
      </c>
      <c r="I449" t="b">
        <f t="shared" si="96"/>
        <v>0</v>
      </c>
      <c r="J449" t="str">
        <f t="shared" si="97"/>
        <v/>
      </c>
      <c r="K449" t="str">
        <f t="shared" si="98"/>
        <v/>
      </c>
      <c r="L449" t="str">
        <f t="shared" si="99"/>
        <v>,</v>
      </c>
      <c r="M449" t="str">
        <f t="shared" si="100"/>
        <v/>
      </c>
      <c r="N449" t="str">
        <f t="shared" si="101"/>
        <v/>
      </c>
      <c r="O449" t="str">
        <f t="shared" si="102"/>
        <v/>
      </c>
      <c r="P449" t="str">
        <f t="shared" si="103"/>
        <v/>
      </c>
      <c r="Q449" t="str">
        <f t="shared" si="104"/>
        <v/>
      </c>
      <c r="R449" s="20" t="str">
        <f t="shared" si="105"/>
        <v>FL</v>
      </c>
      <c r="S449" s="20" t="str">
        <f>IF(Data!E447="GpsRecord",Data!G447,"")</f>
        <v/>
      </c>
      <c r="T449" s="20" t="str">
        <f>IF(Data!E447="GpsRecord",Data!H447,"")</f>
        <v/>
      </c>
      <c r="U449" s="20">
        <f t="shared" si="106"/>
        <v>-39.411540000000002</v>
      </c>
      <c r="V449" s="20">
        <f t="shared" si="107"/>
        <v>33.726140000000001</v>
      </c>
      <c r="W449" s="19" t="str">
        <f>Data!I447</f>
        <v>Acceleration up down</v>
      </c>
      <c r="X449" s="17" t="str">
        <f>CONCATENATE(Data!J447, " ", Data!K447)</f>
        <v>0.941000035618155 G force</v>
      </c>
    </row>
    <row r="450" spans="1:24" x14ac:dyDescent="0.3">
      <c r="A450" s="17" t="str">
        <f>Data!A448</f>
        <v>vehicle1</v>
      </c>
      <c r="B450" s="17" t="str">
        <f>Data!B448</f>
        <v>Vehicle, Gasoline or Petrol</v>
      </c>
      <c r="C450" s="17" t="str">
        <f>Data!C448</f>
        <v>1f2g3h4j5k6l</v>
      </c>
      <c r="D450" s="52">
        <f>Data!D448</f>
        <v>45066.155393518522</v>
      </c>
      <c r="E450" s="60" t="str">
        <f>IF(Data!E448="GpsRecord",Data!F448,"")</f>
        <v>40840 Barto St, Leesburg, FL 34788, USA</v>
      </c>
      <c r="F450" s="68" t="str">
        <f t="shared" si="93"/>
        <v>40840 Barto St, Leesburg, FL 34788, USA</v>
      </c>
      <c r="G450" t="b">
        <f t="shared" si="94"/>
        <v>0</v>
      </c>
      <c r="H450" t="b">
        <f t="shared" si="95"/>
        <v>1</v>
      </c>
      <c r="I450" t="b">
        <f t="shared" si="96"/>
        <v>1</v>
      </c>
      <c r="J450" t="str">
        <f t="shared" si="97"/>
        <v>40840 Barto St, Leesburg, FL 34788, USA</v>
      </c>
      <c r="K450" t="str">
        <f t="shared" si="98"/>
        <v xml:space="preserve"> USA</v>
      </c>
      <c r="L450" t="str">
        <f t="shared" si="99"/>
        <v>, USA</v>
      </c>
      <c r="M450" t="str">
        <f t="shared" si="100"/>
        <v>40840 Barto St, Leesburg, FL 34788</v>
      </c>
      <c r="N450" t="str">
        <f t="shared" si="101"/>
        <v xml:space="preserve"> FL 34788</v>
      </c>
      <c r="O450" t="str">
        <f t="shared" si="102"/>
        <v>34788</v>
      </c>
      <c r="P450" t="str">
        <f t="shared" si="103"/>
        <v xml:space="preserve"> FL</v>
      </c>
      <c r="Q450" t="str">
        <f t="shared" si="104"/>
        <v>FL</v>
      </c>
      <c r="R450" s="20" t="str">
        <f t="shared" si="105"/>
        <v>FL</v>
      </c>
      <c r="S450" s="20">
        <f>IF(Data!E448="GpsRecord",Data!G448,"")</f>
        <v>-39.411520000000003</v>
      </c>
      <c r="T450" s="20">
        <f>IF(Data!E448="GpsRecord",Data!H448,"")</f>
        <v>33.726120000000002</v>
      </c>
      <c r="U450" s="20">
        <f t="shared" si="106"/>
        <v>-39.411520000000003</v>
      </c>
      <c r="V450" s="20">
        <f t="shared" si="107"/>
        <v>33.726120000000002</v>
      </c>
      <c r="W450" s="19">
        <f>Data!I448</f>
        <v>0</v>
      </c>
      <c r="X450" s="17" t="str">
        <f>CONCATENATE(Data!J448, " ", Data!K448)</f>
        <v xml:space="preserve"> </v>
      </c>
    </row>
    <row r="451" spans="1:24" x14ac:dyDescent="0.3">
      <c r="A451" s="17" t="str">
        <f>Data!A449</f>
        <v>vehicle1</v>
      </c>
      <c r="B451" s="17" t="str">
        <f>Data!B449</f>
        <v>Vehicle, Gasoline or Petrol</v>
      </c>
      <c r="C451" s="17" t="str">
        <f>Data!C449</f>
        <v>1f2g3h4j5k6l</v>
      </c>
      <c r="D451" s="52">
        <f>Data!D449</f>
        <v>45066.155393518522</v>
      </c>
      <c r="E451" s="60" t="str">
        <f>IF(Data!E449="GpsRecord",Data!F449,"")</f>
        <v/>
      </c>
      <c r="F451" s="68" t="str">
        <f t="shared" si="93"/>
        <v>40840 Barto St, Leesburg, FL 34788, USA</v>
      </c>
      <c r="G451" t="b">
        <f t="shared" si="94"/>
        <v>0</v>
      </c>
      <c r="H451" t="b">
        <f t="shared" si="95"/>
        <v>0</v>
      </c>
      <c r="I451" t="b">
        <f t="shared" si="96"/>
        <v>0</v>
      </c>
      <c r="J451" t="str">
        <f t="shared" si="97"/>
        <v/>
      </c>
      <c r="K451" t="str">
        <f t="shared" si="98"/>
        <v/>
      </c>
      <c r="L451" t="str">
        <f t="shared" si="99"/>
        <v>,</v>
      </c>
      <c r="M451" t="str">
        <f t="shared" si="100"/>
        <v/>
      </c>
      <c r="N451" t="str">
        <f t="shared" si="101"/>
        <v/>
      </c>
      <c r="O451" t="str">
        <f t="shared" si="102"/>
        <v/>
      </c>
      <c r="P451" t="str">
        <f t="shared" si="103"/>
        <v/>
      </c>
      <c r="Q451" t="str">
        <f t="shared" si="104"/>
        <v/>
      </c>
      <c r="R451" s="20" t="str">
        <f t="shared" si="105"/>
        <v>FL</v>
      </c>
      <c r="S451" s="20" t="str">
        <f>IF(Data!E449="GpsRecord",Data!G449,"")</f>
        <v/>
      </c>
      <c r="T451" s="20" t="str">
        <f>IF(Data!E449="GpsRecord",Data!H449,"")</f>
        <v/>
      </c>
      <c r="U451" s="20">
        <f t="shared" si="106"/>
        <v>-39.411520000000003</v>
      </c>
      <c r="V451" s="20">
        <f t="shared" si="107"/>
        <v>33.726120000000002</v>
      </c>
      <c r="W451" s="19" t="str">
        <f>Data!I449</f>
        <v>Engine speed</v>
      </c>
      <c r="X451" s="17" t="str">
        <f>CONCATENATE(Data!J449, " ", Data!K449)</f>
        <v>1851.75 RPM</v>
      </c>
    </row>
    <row r="452" spans="1:24" x14ac:dyDescent="0.3">
      <c r="A452" s="17" t="str">
        <f>Data!A450</f>
        <v>vehicle1</v>
      </c>
      <c r="B452" s="17" t="str">
        <f>Data!B450</f>
        <v>Vehicle, Gasoline or Petrol</v>
      </c>
      <c r="C452" s="17" t="str">
        <f>Data!C450</f>
        <v>1f2g3h4j5k6l</v>
      </c>
      <c r="D452" s="52">
        <f>Data!D450</f>
        <v>45066.155393518522</v>
      </c>
      <c r="E452" s="60" t="str">
        <f>IF(Data!E450="GpsRecord",Data!F450,"")</f>
        <v/>
      </c>
      <c r="F452" s="68" t="str">
        <f t="shared" si="93"/>
        <v>40840 Barto St, Leesburg, FL 34788, USA</v>
      </c>
      <c r="G452" t="b">
        <f t="shared" si="94"/>
        <v>0</v>
      </c>
      <c r="H452" t="b">
        <f t="shared" si="95"/>
        <v>0</v>
      </c>
      <c r="I452" t="b">
        <f t="shared" si="96"/>
        <v>0</v>
      </c>
      <c r="J452" t="str">
        <f t="shared" si="97"/>
        <v/>
      </c>
      <c r="K452" t="str">
        <f t="shared" si="98"/>
        <v/>
      </c>
      <c r="L452" t="str">
        <f t="shared" si="99"/>
        <v>,</v>
      </c>
      <c r="M452" t="str">
        <f t="shared" si="100"/>
        <v/>
      </c>
      <c r="N452" t="str">
        <f t="shared" si="101"/>
        <v/>
      </c>
      <c r="O452" t="str">
        <f t="shared" si="102"/>
        <v/>
      </c>
      <c r="P452" t="str">
        <f t="shared" si="103"/>
        <v/>
      </c>
      <c r="Q452" t="str">
        <f t="shared" si="104"/>
        <v/>
      </c>
      <c r="R452" s="20" t="str">
        <f t="shared" si="105"/>
        <v>FL</v>
      </c>
      <c r="S452" s="20" t="str">
        <f>IF(Data!E450="GpsRecord",Data!G450,"")</f>
        <v/>
      </c>
      <c r="T452" s="20" t="str">
        <f>IF(Data!E450="GpsRecord",Data!H450,"")</f>
        <v/>
      </c>
      <c r="U452" s="20">
        <f t="shared" si="106"/>
        <v>-39.411520000000003</v>
      </c>
      <c r="V452" s="20">
        <f t="shared" si="107"/>
        <v>33.726120000000002</v>
      </c>
      <c r="W452" s="19" t="str">
        <f>Data!I450</f>
        <v>Total fuel used (since telematics device install)</v>
      </c>
      <c r="X452" s="17" t="str">
        <f>CONCATENATE(Data!J450, " ", Data!K450)</f>
        <v>1997.78 L</v>
      </c>
    </row>
    <row r="453" spans="1:24" x14ac:dyDescent="0.3">
      <c r="A453" s="17" t="str">
        <f>Data!A451</f>
        <v>vehicle1</v>
      </c>
      <c r="B453" s="17" t="str">
        <f>Data!B451</f>
        <v>Vehicle, Gasoline or Petrol</v>
      </c>
      <c r="C453" s="17" t="str">
        <f>Data!C451</f>
        <v>1f2g3h4j5k6l</v>
      </c>
      <c r="D453" s="52">
        <f>Data!D451</f>
        <v>45066.155405092592</v>
      </c>
      <c r="E453" s="60" t="str">
        <f>IF(Data!E451="GpsRecord",Data!F451,"")</f>
        <v/>
      </c>
      <c r="F453" s="68" t="str">
        <f t="shared" si="93"/>
        <v>40840 Barto St, Leesburg, FL 34788, USA</v>
      </c>
      <c r="G453" t="b">
        <f t="shared" si="94"/>
        <v>0</v>
      </c>
      <c r="H453" t="b">
        <f t="shared" si="95"/>
        <v>0</v>
      </c>
      <c r="I453" t="b">
        <f t="shared" si="96"/>
        <v>0</v>
      </c>
      <c r="J453" t="str">
        <f t="shared" si="97"/>
        <v/>
      </c>
      <c r="K453" t="str">
        <f t="shared" si="98"/>
        <v/>
      </c>
      <c r="L453" t="str">
        <f t="shared" si="99"/>
        <v>,</v>
      </c>
      <c r="M453" t="str">
        <f t="shared" si="100"/>
        <v/>
      </c>
      <c r="N453" t="str">
        <f t="shared" si="101"/>
        <v/>
      </c>
      <c r="O453" t="str">
        <f t="shared" si="102"/>
        <v/>
      </c>
      <c r="P453" t="str">
        <f t="shared" si="103"/>
        <v/>
      </c>
      <c r="Q453" t="str">
        <f t="shared" si="104"/>
        <v/>
      </c>
      <c r="R453" s="20" t="str">
        <f t="shared" si="105"/>
        <v>FL</v>
      </c>
      <c r="S453" s="20" t="str">
        <f>IF(Data!E451="GpsRecord",Data!G451,"")</f>
        <v/>
      </c>
      <c r="T453" s="20" t="str">
        <f>IF(Data!E451="GpsRecord",Data!H451,"")</f>
        <v/>
      </c>
      <c r="U453" s="20">
        <f t="shared" si="106"/>
        <v>-39.411520000000003</v>
      </c>
      <c r="V453" s="20">
        <f t="shared" si="107"/>
        <v>33.726120000000002</v>
      </c>
      <c r="W453" s="19" t="str">
        <f>Data!I451</f>
        <v>Acceleration side to side</v>
      </c>
      <c r="X453" s="17" t="str">
        <f>CONCATENATE(Data!J451, " ", Data!K451)</f>
        <v>0.331999979580304 G force</v>
      </c>
    </row>
    <row r="454" spans="1:24" x14ac:dyDescent="0.3">
      <c r="A454" s="17" t="str">
        <f>Data!A452</f>
        <v>vehicle1</v>
      </c>
      <c r="B454" s="17" t="str">
        <f>Data!B452</f>
        <v>Vehicle, Gasoline or Petrol</v>
      </c>
      <c r="C454" s="17" t="str">
        <f>Data!C452</f>
        <v>1f2g3h4j5k6l</v>
      </c>
      <c r="D454" s="52">
        <f>Data!D452</f>
        <v>45066.155405092592</v>
      </c>
      <c r="E454" s="60" t="str">
        <f>IF(Data!E452="GpsRecord",Data!F452,"")</f>
        <v/>
      </c>
      <c r="F454" s="68" t="str">
        <f t="shared" si="93"/>
        <v>40840 Barto St, Leesburg, FL 34788, USA</v>
      </c>
      <c r="G454" t="b">
        <f t="shared" si="94"/>
        <v>0</v>
      </c>
      <c r="H454" t="b">
        <f t="shared" si="95"/>
        <v>0</v>
      </c>
      <c r="I454" t="b">
        <f t="shared" si="96"/>
        <v>0</v>
      </c>
      <c r="J454" t="str">
        <f t="shared" si="97"/>
        <v/>
      </c>
      <c r="K454" t="str">
        <f t="shared" si="98"/>
        <v/>
      </c>
      <c r="L454" t="str">
        <f t="shared" si="99"/>
        <v>,</v>
      </c>
      <c r="M454" t="str">
        <f t="shared" si="100"/>
        <v/>
      </c>
      <c r="N454" t="str">
        <f t="shared" si="101"/>
        <v/>
      </c>
      <c r="O454" t="str">
        <f t="shared" si="102"/>
        <v/>
      </c>
      <c r="P454" t="str">
        <f t="shared" si="103"/>
        <v/>
      </c>
      <c r="Q454" t="str">
        <f t="shared" si="104"/>
        <v/>
      </c>
      <c r="R454" s="20" t="str">
        <f t="shared" si="105"/>
        <v>FL</v>
      </c>
      <c r="S454" s="20" t="str">
        <f>IF(Data!E452="GpsRecord",Data!G452,"")</f>
        <v/>
      </c>
      <c r="T454" s="20" t="str">
        <f>IF(Data!E452="GpsRecord",Data!H452,"")</f>
        <v/>
      </c>
      <c r="U454" s="20">
        <f t="shared" si="106"/>
        <v>-39.411520000000003</v>
      </c>
      <c r="V454" s="20">
        <f t="shared" si="107"/>
        <v>33.726120000000002</v>
      </c>
      <c r="W454" s="19" t="str">
        <f>Data!I452</f>
        <v>Acceleration up down</v>
      </c>
      <c r="X454" s="17" t="str">
        <f>CONCATENATE(Data!J452, " ", Data!K452)</f>
        <v>0.946000010124867 G force</v>
      </c>
    </row>
    <row r="455" spans="1:24" x14ac:dyDescent="0.3">
      <c r="A455" s="17" t="str">
        <f>Data!A453</f>
        <v>vehicle1</v>
      </c>
      <c r="B455" s="17" t="str">
        <f>Data!B453</f>
        <v>Vehicle, Gasoline or Petrol</v>
      </c>
      <c r="C455" s="17" t="str">
        <f>Data!C453</f>
        <v>1f2g3h4j5k6l</v>
      </c>
      <c r="D455" s="52">
        <f>Data!D453</f>
        <v>45066.155416666668</v>
      </c>
      <c r="E455" s="60" t="str">
        <f>IF(Data!E453="GpsRecord",Data!F453,"")</f>
        <v/>
      </c>
      <c r="F455" s="68" t="str">
        <f t="shared" si="93"/>
        <v>40840 Barto St, Leesburg, FL 34788, USA</v>
      </c>
      <c r="G455" t="b">
        <f t="shared" si="94"/>
        <v>0</v>
      </c>
      <c r="H455" t="b">
        <f t="shared" si="95"/>
        <v>0</v>
      </c>
      <c r="I455" t="b">
        <f t="shared" si="96"/>
        <v>0</v>
      </c>
      <c r="J455" t="str">
        <f t="shared" si="97"/>
        <v/>
      </c>
      <c r="K455" t="str">
        <f t="shared" si="98"/>
        <v/>
      </c>
      <c r="L455" t="str">
        <f t="shared" si="99"/>
        <v>,</v>
      </c>
      <c r="M455" t="str">
        <f t="shared" si="100"/>
        <v/>
      </c>
      <c r="N455" t="str">
        <f t="shared" si="101"/>
        <v/>
      </c>
      <c r="O455" t="str">
        <f t="shared" si="102"/>
        <v/>
      </c>
      <c r="P455" t="str">
        <f t="shared" si="103"/>
        <v/>
      </c>
      <c r="Q455" t="str">
        <f t="shared" si="104"/>
        <v/>
      </c>
      <c r="R455" s="20" t="str">
        <f t="shared" si="105"/>
        <v>FL</v>
      </c>
      <c r="S455" s="20" t="str">
        <f>IF(Data!E453="GpsRecord",Data!G453,"")</f>
        <v/>
      </c>
      <c r="T455" s="20" t="str">
        <f>IF(Data!E453="GpsRecord",Data!H453,"")</f>
        <v/>
      </c>
      <c r="U455" s="20">
        <f t="shared" si="106"/>
        <v>-39.411520000000003</v>
      </c>
      <c r="V455" s="20">
        <f t="shared" si="107"/>
        <v>33.726120000000002</v>
      </c>
      <c r="W455" s="19" t="str">
        <f>Data!I453</f>
        <v>Raw outside air temperature</v>
      </c>
      <c r="X455" s="17" t="str">
        <f>CONCATENATE(Data!J453, " ", Data!K453)</f>
        <v>28 C</v>
      </c>
    </row>
    <row r="456" spans="1:24" x14ac:dyDescent="0.3">
      <c r="A456" s="17" t="str">
        <f>Data!A454</f>
        <v>vehicle1</v>
      </c>
      <c r="B456" s="17" t="str">
        <f>Data!B454</f>
        <v>Vehicle, Gasoline or Petrol</v>
      </c>
      <c r="C456" s="17" t="str">
        <f>Data!C454</f>
        <v>1f2g3h4j5k6l</v>
      </c>
      <c r="D456" s="52">
        <f>Data!D454</f>
        <v>45066.155428240738</v>
      </c>
      <c r="E456" s="60" t="str">
        <f>IF(Data!E454="GpsRecord",Data!F454,"")</f>
        <v/>
      </c>
      <c r="F456" s="68" t="str">
        <f t="shared" si="93"/>
        <v>40840 Barto St, Leesburg, FL 34788, USA</v>
      </c>
      <c r="G456" t="b">
        <f t="shared" si="94"/>
        <v>0</v>
      </c>
      <c r="H456" t="b">
        <f t="shared" si="95"/>
        <v>0</v>
      </c>
      <c r="I456" t="b">
        <f t="shared" si="96"/>
        <v>0</v>
      </c>
      <c r="J456" t="str">
        <f t="shared" si="97"/>
        <v/>
      </c>
      <c r="K456" t="str">
        <f t="shared" si="98"/>
        <v/>
      </c>
      <c r="L456" t="str">
        <f t="shared" si="99"/>
        <v>,</v>
      </c>
      <c r="M456" t="str">
        <f t="shared" si="100"/>
        <v/>
      </c>
      <c r="N456" t="str">
        <f t="shared" si="101"/>
        <v/>
      </c>
      <c r="O456" t="str">
        <f t="shared" si="102"/>
        <v/>
      </c>
      <c r="P456" t="str">
        <f t="shared" si="103"/>
        <v/>
      </c>
      <c r="Q456" t="str">
        <f t="shared" si="104"/>
        <v/>
      </c>
      <c r="R456" s="20" t="str">
        <f t="shared" si="105"/>
        <v>FL</v>
      </c>
      <c r="S456" s="20" t="str">
        <f>IF(Data!E454="GpsRecord",Data!G454,"")</f>
        <v/>
      </c>
      <c r="T456" s="20" t="str">
        <f>IF(Data!E454="GpsRecord",Data!H454,"")</f>
        <v/>
      </c>
      <c r="U456" s="20">
        <f t="shared" si="106"/>
        <v>-39.411520000000003</v>
      </c>
      <c r="V456" s="20">
        <f t="shared" si="107"/>
        <v>33.726120000000002</v>
      </c>
      <c r="W456" s="19" t="str">
        <f>Data!I454</f>
        <v>Acceleration forward or braking</v>
      </c>
      <c r="X456" s="17" t="str">
        <f>CONCATENATE(Data!J454, " ", Data!K454)</f>
        <v>0 G force</v>
      </c>
    </row>
    <row r="457" spans="1:24" x14ac:dyDescent="0.3">
      <c r="A457" s="17" t="str">
        <f>Data!A455</f>
        <v>vehicle1</v>
      </c>
      <c r="B457" s="17" t="str">
        <f>Data!B455</f>
        <v>Vehicle, Gasoline or Petrol</v>
      </c>
      <c r="C457" s="17" t="str">
        <f>Data!C455</f>
        <v>1f2g3h4j5k6l</v>
      </c>
      <c r="D457" s="52">
        <f>Data!D455</f>
        <v>45066.155428240738</v>
      </c>
      <c r="E457" s="60" t="str">
        <f>IF(Data!E455="GpsRecord",Data!F455,"")</f>
        <v/>
      </c>
      <c r="F457" s="68" t="str">
        <f t="shared" si="93"/>
        <v>40840 Barto St, Leesburg, FL 34788, USA</v>
      </c>
      <c r="G457" t="b">
        <f t="shared" si="94"/>
        <v>0</v>
      </c>
      <c r="H457" t="b">
        <f t="shared" si="95"/>
        <v>0</v>
      </c>
      <c r="I457" t="b">
        <f t="shared" si="96"/>
        <v>0</v>
      </c>
      <c r="J457" t="str">
        <f t="shared" si="97"/>
        <v/>
      </c>
      <c r="K457" t="str">
        <f t="shared" si="98"/>
        <v/>
      </c>
      <c r="L457" t="str">
        <f t="shared" si="99"/>
        <v>,</v>
      </c>
      <c r="M457" t="str">
        <f t="shared" si="100"/>
        <v/>
      </c>
      <c r="N457" t="str">
        <f t="shared" si="101"/>
        <v/>
      </c>
      <c r="O457" t="str">
        <f t="shared" si="102"/>
        <v/>
      </c>
      <c r="P457" t="str">
        <f t="shared" si="103"/>
        <v/>
      </c>
      <c r="Q457" t="str">
        <f t="shared" si="104"/>
        <v/>
      </c>
      <c r="R457" s="20" t="str">
        <f t="shared" si="105"/>
        <v>FL</v>
      </c>
      <c r="S457" s="20" t="str">
        <f>IF(Data!E455="GpsRecord",Data!G455,"")</f>
        <v/>
      </c>
      <c r="T457" s="20" t="str">
        <f>IF(Data!E455="GpsRecord",Data!H455,"")</f>
        <v/>
      </c>
      <c r="U457" s="20">
        <f t="shared" si="106"/>
        <v>-39.411520000000003</v>
      </c>
      <c r="V457" s="20">
        <f t="shared" si="107"/>
        <v>33.726120000000002</v>
      </c>
      <c r="W457" s="19" t="str">
        <f>Data!I455</f>
        <v>Acceleration side to side</v>
      </c>
      <c r="X457" s="17" t="str">
        <f>CONCATENATE(Data!J455, " ", Data!K455)</f>
        <v>0 G force</v>
      </c>
    </row>
    <row r="458" spans="1:24" x14ac:dyDescent="0.3">
      <c r="A458" s="17" t="str">
        <f>Data!A456</f>
        <v>vehicle1</v>
      </c>
      <c r="B458" s="17" t="str">
        <f>Data!B456</f>
        <v>Vehicle, Gasoline or Petrol</v>
      </c>
      <c r="C458" s="17" t="str">
        <f>Data!C456</f>
        <v>1f2g3h4j5k6l</v>
      </c>
      <c r="D458" s="52">
        <f>Data!D456</f>
        <v>45066.155428240738</v>
      </c>
      <c r="E458" s="60" t="str">
        <f>IF(Data!E456="GpsRecord",Data!F456,"")</f>
        <v/>
      </c>
      <c r="F458" s="68" t="str">
        <f t="shared" si="93"/>
        <v>40840 Barto St, Leesburg, FL 34788, USA</v>
      </c>
      <c r="G458" t="b">
        <f t="shared" si="94"/>
        <v>0</v>
      </c>
      <c r="H458" t="b">
        <f t="shared" si="95"/>
        <v>0</v>
      </c>
      <c r="I458" t="b">
        <f t="shared" si="96"/>
        <v>0</v>
      </c>
      <c r="J458" t="str">
        <f t="shared" si="97"/>
        <v/>
      </c>
      <c r="K458" t="str">
        <f t="shared" si="98"/>
        <v/>
      </c>
      <c r="L458" t="str">
        <f t="shared" si="99"/>
        <v>,</v>
      </c>
      <c r="M458" t="str">
        <f t="shared" si="100"/>
        <v/>
      </c>
      <c r="N458" t="str">
        <f t="shared" si="101"/>
        <v/>
      </c>
      <c r="O458" t="str">
        <f t="shared" si="102"/>
        <v/>
      </c>
      <c r="P458" t="str">
        <f t="shared" si="103"/>
        <v/>
      </c>
      <c r="Q458" t="str">
        <f t="shared" si="104"/>
        <v/>
      </c>
      <c r="R458" s="20" t="str">
        <f t="shared" si="105"/>
        <v>FL</v>
      </c>
      <c r="S458" s="20" t="str">
        <f>IF(Data!E456="GpsRecord",Data!G456,"")</f>
        <v/>
      </c>
      <c r="T458" s="20" t="str">
        <f>IF(Data!E456="GpsRecord",Data!H456,"")</f>
        <v/>
      </c>
      <c r="U458" s="20">
        <f t="shared" si="106"/>
        <v>-39.411520000000003</v>
      </c>
      <c r="V458" s="20">
        <f t="shared" si="107"/>
        <v>33.726120000000002</v>
      </c>
      <c r="W458" s="19" t="str">
        <f>Data!I456</f>
        <v>Acceleration up down</v>
      </c>
      <c r="X458" s="17" t="str">
        <f>CONCATENATE(Data!J456, " ", Data!K456)</f>
        <v>0.961999969334996 G force</v>
      </c>
    </row>
    <row r="459" spans="1:24" x14ac:dyDescent="0.3">
      <c r="A459" s="17" t="str">
        <f>Data!A457</f>
        <v>vehicle1</v>
      </c>
      <c r="B459" s="17" t="str">
        <f>Data!B457</f>
        <v>Vehicle, Gasoline or Petrol</v>
      </c>
      <c r="C459" s="17" t="str">
        <f>Data!C457</f>
        <v>1f2g3h4j5k6l</v>
      </c>
      <c r="D459" s="52">
        <f>Data!D457</f>
        <v>45066.155439814815</v>
      </c>
      <c r="E459" s="60" t="str">
        <f>IF(Data!E457="GpsRecord",Data!F457,"")</f>
        <v/>
      </c>
      <c r="F459" s="68" t="str">
        <f t="shared" si="93"/>
        <v>40840 Barto St, Leesburg, FL 34788, USA</v>
      </c>
      <c r="G459" t="b">
        <f t="shared" si="94"/>
        <v>0</v>
      </c>
      <c r="H459" t="b">
        <f t="shared" si="95"/>
        <v>0</v>
      </c>
      <c r="I459" t="b">
        <f t="shared" si="96"/>
        <v>0</v>
      </c>
      <c r="J459" t="str">
        <f t="shared" si="97"/>
        <v/>
      </c>
      <c r="K459" t="str">
        <f t="shared" si="98"/>
        <v/>
      </c>
      <c r="L459" t="str">
        <f t="shared" si="99"/>
        <v>,</v>
      </c>
      <c r="M459" t="str">
        <f t="shared" si="100"/>
        <v/>
      </c>
      <c r="N459" t="str">
        <f t="shared" si="101"/>
        <v/>
      </c>
      <c r="O459" t="str">
        <f t="shared" si="102"/>
        <v/>
      </c>
      <c r="P459" t="str">
        <f t="shared" si="103"/>
        <v/>
      </c>
      <c r="Q459" t="str">
        <f t="shared" si="104"/>
        <v/>
      </c>
      <c r="R459" s="20" t="str">
        <f t="shared" si="105"/>
        <v>FL</v>
      </c>
      <c r="S459" s="20" t="str">
        <f>IF(Data!E457="GpsRecord",Data!G457,"")</f>
        <v/>
      </c>
      <c r="T459" s="20" t="str">
        <f>IF(Data!E457="GpsRecord",Data!H457,"")</f>
        <v/>
      </c>
      <c r="U459" s="20">
        <f t="shared" si="106"/>
        <v>-39.411520000000003</v>
      </c>
      <c r="V459" s="20">
        <f t="shared" si="107"/>
        <v>33.726120000000002</v>
      </c>
      <c r="W459" s="19">
        <f>Data!I457</f>
        <v>0</v>
      </c>
      <c r="X459" s="17" t="str">
        <f>CONCATENATE(Data!J457, " ", Data!K457)</f>
        <v xml:space="preserve"> </v>
      </c>
    </row>
    <row r="460" spans="1:24" x14ac:dyDescent="0.3">
      <c r="A460" s="17" t="str">
        <f>Data!A458</f>
        <v>vehicle1</v>
      </c>
      <c r="B460" s="17" t="str">
        <f>Data!B458</f>
        <v>Vehicle, Gasoline or Petrol</v>
      </c>
      <c r="C460" s="17" t="str">
        <f>Data!C458</f>
        <v>1f2g3h4j5k6l</v>
      </c>
      <c r="D460" s="52">
        <f>Data!D458</f>
        <v>45066.155451388891</v>
      </c>
      <c r="E460" s="60" t="str">
        <f>IF(Data!E458="GpsRecord",Data!F458,"")</f>
        <v>40840 Barto St, Leesburg, FL 34788, USA</v>
      </c>
      <c r="F460" s="68" t="str">
        <f t="shared" si="93"/>
        <v>40840 Barto St, Leesburg, FL 34788, USA</v>
      </c>
      <c r="G460" t="b">
        <f t="shared" si="94"/>
        <v>0</v>
      </c>
      <c r="H460" t="b">
        <f t="shared" si="95"/>
        <v>1</v>
      </c>
      <c r="I460" t="b">
        <f t="shared" si="96"/>
        <v>1</v>
      </c>
      <c r="J460" t="str">
        <f t="shared" si="97"/>
        <v>40840 Barto St, Leesburg, FL 34788, USA</v>
      </c>
      <c r="K460" t="str">
        <f t="shared" si="98"/>
        <v xml:space="preserve"> USA</v>
      </c>
      <c r="L460" t="str">
        <f t="shared" si="99"/>
        <v>, USA</v>
      </c>
      <c r="M460" t="str">
        <f t="shared" si="100"/>
        <v>40840 Barto St, Leesburg, FL 34788</v>
      </c>
      <c r="N460" t="str">
        <f t="shared" si="101"/>
        <v xml:space="preserve"> FL 34788</v>
      </c>
      <c r="O460" t="str">
        <f t="shared" si="102"/>
        <v>34788</v>
      </c>
      <c r="P460" t="str">
        <f t="shared" si="103"/>
        <v xml:space="preserve"> FL</v>
      </c>
      <c r="Q460" t="str">
        <f t="shared" si="104"/>
        <v>FL</v>
      </c>
      <c r="R460" s="20" t="str">
        <f t="shared" si="105"/>
        <v>FL</v>
      </c>
      <c r="S460" s="20">
        <f>IF(Data!E458="GpsRecord",Data!G458,"")</f>
        <v>-39.411200000000001</v>
      </c>
      <c r="T460" s="20">
        <f>IF(Data!E458="GpsRecord",Data!H458,"")</f>
        <v>33.726300000000002</v>
      </c>
      <c r="U460" s="20">
        <f t="shared" si="106"/>
        <v>-39.411200000000001</v>
      </c>
      <c r="V460" s="20">
        <f t="shared" si="107"/>
        <v>33.726300000000002</v>
      </c>
      <c r="W460" s="19">
        <f>Data!I458</f>
        <v>0</v>
      </c>
      <c r="X460" s="17" t="str">
        <f>CONCATENATE(Data!J458, " ", Data!K458)</f>
        <v xml:space="preserve"> </v>
      </c>
    </row>
    <row r="461" spans="1:24" x14ac:dyDescent="0.3">
      <c r="A461" s="17" t="str">
        <f>Data!A459</f>
        <v>vehicle1</v>
      </c>
      <c r="B461" s="17" t="str">
        <f>Data!B459</f>
        <v>Vehicle, Gasoline or Petrol</v>
      </c>
      <c r="C461" s="17" t="str">
        <f>Data!C459</f>
        <v>1f2g3h4j5k6l</v>
      </c>
      <c r="D461" s="52">
        <f>Data!D459</f>
        <v>45066.155451388891</v>
      </c>
      <c r="E461" s="60" t="str">
        <f>IF(Data!E459="GpsRecord",Data!F459,"")</f>
        <v/>
      </c>
      <c r="F461" s="68" t="str">
        <f t="shared" ref="F461:F524" si="108">IF(E461&lt;&gt;"",E461, IF(F460&lt;&gt;$F$12, F460, ""))</f>
        <v>40840 Barto St, Leesburg, FL 34788, USA</v>
      </c>
      <c r="G461" t="b">
        <f t="shared" si="94"/>
        <v>0</v>
      </c>
      <c r="H461" t="b">
        <f t="shared" si="95"/>
        <v>0</v>
      </c>
      <c r="I461" t="b">
        <f t="shared" si="96"/>
        <v>0</v>
      </c>
      <c r="J461" t="str">
        <f t="shared" si="97"/>
        <v/>
      </c>
      <c r="K461" t="str">
        <f t="shared" si="98"/>
        <v/>
      </c>
      <c r="L461" t="str">
        <f t="shared" si="99"/>
        <v>,</v>
      </c>
      <c r="M461" t="str">
        <f t="shared" si="100"/>
        <v/>
      </c>
      <c r="N461" t="str">
        <f t="shared" si="101"/>
        <v/>
      </c>
      <c r="O461" t="str">
        <f t="shared" si="102"/>
        <v/>
      </c>
      <c r="P461" t="str">
        <f t="shared" si="103"/>
        <v/>
      </c>
      <c r="Q461" t="str">
        <f t="shared" si="104"/>
        <v/>
      </c>
      <c r="R461" s="20" t="str">
        <f t="shared" si="105"/>
        <v>FL</v>
      </c>
      <c r="S461" s="20" t="str">
        <f>IF(Data!E459="GpsRecord",Data!G459,"")</f>
        <v/>
      </c>
      <c r="T461" s="20" t="str">
        <f>IF(Data!E459="GpsRecord",Data!H459,"")</f>
        <v/>
      </c>
      <c r="U461" s="20">
        <f t="shared" si="106"/>
        <v>-39.411200000000001</v>
      </c>
      <c r="V461" s="20">
        <f t="shared" si="107"/>
        <v>33.726300000000002</v>
      </c>
      <c r="W461" s="19" t="str">
        <f>Data!I459</f>
        <v>ADAS left lane departure warning</v>
      </c>
      <c r="X461" s="17" t="str">
        <f>CONCATENATE(Data!J459, " ", Data!K459)</f>
        <v>1 None</v>
      </c>
    </row>
    <row r="462" spans="1:24" x14ac:dyDescent="0.3">
      <c r="A462" s="17" t="str">
        <f>Data!A460</f>
        <v>vehicle1</v>
      </c>
      <c r="B462" s="17" t="str">
        <f>Data!B460</f>
        <v>Vehicle, Gasoline or Petrol</v>
      </c>
      <c r="C462" s="17" t="str">
        <f>Data!C460</f>
        <v>1f2g3h4j5k6l</v>
      </c>
      <c r="D462" s="52">
        <f>Data!D460</f>
        <v>45066.155451388891</v>
      </c>
      <c r="E462" s="60" t="str">
        <f>IF(Data!E460="GpsRecord",Data!F460,"")</f>
        <v/>
      </c>
      <c r="F462" s="68" t="str">
        <f t="shared" si="108"/>
        <v>40840 Barto St, Leesburg, FL 34788, USA</v>
      </c>
      <c r="G462" t="b">
        <f t="shared" ref="G462:G525" si="109">ISNUMBER(FIND($G$11,E462))</f>
        <v>0</v>
      </c>
      <c r="H462" t="b">
        <f t="shared" ref="H462:H525" si="110">ISNUMBER(FIND($H$11,E462))</f>
        <v>0</v>
      </c>
      <c r="I462" t="b">
        <f t="shared" ref="I462:I525" si="111">OR(G462,H462)</f>
        <v>0</v>
      </c>
      <c r="J462" t="str">
        <f t="shared" ref="J462:J525" si="112">IFERROR(MID(E462,FIND(": ",E462)+2,255),E462)</f>
        <v/>
      </c>
      <c r="K462" t="str">
        <f t="shared" ref="K462:K525" si="113">IFERROR(RIGHT(J462,LEN(J462)-FIND("@",SUBSTITUTE(J462,",","@",LEN(J462)-LEN(SUBSTITUTE(J462,",",""))),1)),J462)</f>
        <v/>
      </c>
      <c r="L462" t="str">
        <f t="shared" ref="L462:L525" si="114">","&amp;K462</f>
        <v>,</v>
      </c>
      <c r="M462" t="str">
        <f t="shared" ref="M462:M525" si="115">IF(I462,SUBSTITUTE(J462,L462,""),J462)</f>
        <v/>
      </c>
      <c r="N462" t="str">
        <f t="shared" ref="N462:N525" si="116">IFERROR(RIGHT(M462,LEN(M462)-FIND("@",SUBSTITUTE(M462,",","@",LEN(M462)-LEN(SUBSTITUTE(M462,",",""))),1)),M462)</f>
        <v/>
      </c>
      <c r="O462" t="str">
        <f t="shared" ref="O462:O525" si="117">IFERROR(RIGHT(N462,LEN(N462)-FIND("@",SUBSTITUTE(N462," ","@",LEN(N462)-LEN(SUBSTITUTE(N462," ",""))),1)),N462)</f>
        <v/>
      </c>
      <c r="P462" t="str">
        <f t="shared" ref="P462:P525" si="118">SUBSTITUTE(N462,CONCATENATE(" ",O462),"")</f>
        <v/>
      </c>
      <c r="Q462" t="str">
        <f t="shared" ref="Q462:Q525" si="119">IF(G462, MID(P462,2,2),RIGHT(P462,2))</f>
        <v/>
      </c>
      <c r="R462" s="20" t="str">
        <f t="shared" ref="R462:R525" si="120">IF(Q462&lt;&gt;"",Q462, IF(R461&lt;&gt;$R$12, R461, ""))</f>
        <v>FL</v>
      </c>
      <c r="S462" s="20" t="str">
        <f>IF(Data!E460="GpsRecord",Data!G460,"")</f>
        <v/>
      </c>
      <c r="T462" s="20" t="str">
        <f>IF(Data!E460="GpsRecord",Data!H460,"")</f>
        <v/>
      </c>
      <c r="U462" s="20">
        <f t="shared" ref="U462:U525" si="121">IF(S462&lt;&gt;"", S462, IF(U461&lt;&gt;$U$12, U461, ""))</f>
        <v>-39.411200000000001</v>
      </c>
      <c r="V462" s="20">
        <f t="shared" ref="V462:V525" si="122">IF(T462&lt;&gt;"", T462, IF(V461&lt;&gt;$V$12, V461, ""))</f>
        <v>33.726300000000002</v>
      </c>
      <c r="W462" s="19">
        <f>Data!I460</f>
        <v>0</v>
      </c>
      <c r="X462" s="17" t="str">
        <f>CONCATENATE(Data!J460, " ", Data!K460)</f>
        <v xml:space="preserve"> </v>
      </c>
    </row>
    <row r="463" spans="1:24" x14ac:dyDescent="0.3">
      <c r="A463" s="17" t="str">
        <f>Data!A461</f>
        <v>vehicle1</v>
      </c>
      <c r="B463" s="17" t="str">
        <f>Data!B461</f>
        <v>Vehicle, Gasoline or Petrol</v>
      </c>
      <c r="C463" s="17" t="str">
        <f>Data!C461</f>
        <v>1f2g3h4j5k6l</v>
      </c>
      <c r="D463" s="52">
        <f>Data!D461</f>
        <v>45066.155451388891</v>
      </c>
      <c r="E463" s="60" t="str">
        <f>IF(Data!E461="GpsRecord",Data!F461,"")</f>
        <v/>
      </c>
      <c r="F463" s="68" t="str">
        <f t="shared" si="108"/>
        <v>40840 Barto St, Leesburg, FL 34788, USA</v>
      </c>
      <c r="G463" t="b">
        <f t="shared" si="109"/>
        <v>0</v>
      </c>
      <c r="H463" t="b">
        <f t="shared" si="110"/>
        <v>0</v>
      </c>
      <c r="I463" t="b">
        <f t="shared" si="111"/>
        <v>0</v>
      </c>
      <c r="J463" t="str">
        <f t="shared" si="112"/>
        <v/>
      </c>
      <c r="K463" t="str">
        <f t="shared" si="113"/>
        <v/>
      </c>
      <c r="L463" t="str">
        <f t="shared" si="114"/>
        <v>,</v>
      </c>
      <c r="M463" t="str">
        <f t="shared" si="115"/>
        <v/>
      </c>
      <c r="N463" t="str">
        <f t="shared" si="116"/>
        <v/>
      </c>
      <c r="O463" t="str">
        <f t="shared" si="117"/>
        <v/>
      </c>
      <c r="P463" t="str">
        <f t="shared" si="118"/>
        <v/>
      </c>
      <c r="Q463" t="str">
        <f t="shared" si="119"/>
        <v/>
      </c>
      <c r="R463" s="20" t="str">
        <f t="shared" si="120"/>
        <v>FL</v>
      </c>
      <c r="S463" s="20" t="str">
        <f>IF(Data!E461="GpsRecord",Data!G461,"")</f>
        <v/>
      </c>
      <c r="T463" s="20" t="str">
        <f>IF(Data!E461="GpsRecord",Data!H461,"")</f>
        <v/>
      </c>
      <c r="U463" s="20">
        <f t="shared" si="121"/>
        <v>-39.411200000000001</v>
      </c>
      <c r="V463" s="20">
        <f t="shared" si="122"/>
        <v>33.726300000000002</v>
      </c>
      <c r="W463" s="19">
        <f>Data!I461</f>
        <v>0</v>
      </c>
      <c r="X463" s="17" t="str">
        <f>CONCATENATE(Data!J461, " ", Data!K461)</f>
        <v xml:space="preserve"> </v>
      </c>
    </row>
    <row r="464" spans="1:24" x14ac:dyDescent="0.3">
      <c r="A464" s="17" t="str">
        <f>Data!A462</f>
        <v>vehicle1</v>
      </c>
      <c r="B464" s="17" t="str">
        <f>Data!B462</f>
        <v>Vehicle, Gasoline or Petrol</v>
      </c>
      <c r="C464" s="17" t="str">
        <f>Data!C462</f>
        <v>1f2g3h4j5k6l</v>
      </c>
      <c r="D464" s="52">
        <f>Data!D462</f>
        <v>45066.155509259261</v>
      </c>
      <c r="E464" s="60" t="str">
        <f>IF(Data!E462="GpsRecord",Data!F462,"")</f>
        <v/>
      </c>
      <c r="F464" s="68" t="str">
        <f t="shared" si="108"/>
        <v>40840 Barto St, Leesburg, FL 34788, USA</v>
      </c>
      <c r="G464" t="b">
        <f t="shared" si="109"/>
        <v>0</v>
      </c>
      <c r="H464" t="b">
        <f t="shared" si="110"/>
        <v>0</v>
      </c>
      <c r="I464" t="b">
        <f t="shared" si="111"/>
        <v>0</v>
      </c>
      <c r="J464" t="str">
        <f t="shared" si="112"/>
        <v/>
      </c>
      <c r="K464" t="str">
        <f t="shared" si="113"/>
        <v/>
      </c>
      <c r="L464" t="str">
        <f t="shared" si="114"/>
        <v>,</v>
      </c>
      <c r="M464" t="str">
        <f t="shared" si="115"/>
        <v/>
      </c>
      <c r="N464" t="str">
        <f t="shared" si="116"/>
        <v/>
      </c>
      <c r="O464" t="str">
        <f t="shared" si="117"/>
        <v/>
      </c>
      <c r="P464" t="str">
        <f t="shared" si="118"/>
        <v/>
      </c>
      <c r="Q464" t="str">
        <f t="shared" si="119"/>
        <v/>
      </c>
      <c r="R464" s="20" t="str">
        <f t="shared" si="120"/>
        <v>FL</v>
      </c>
      <c r="S464" s="20" t="str">
        <f>IF(Data!E462="GpsRecord",Data!G462,"")</f>
        <v/>
      </c>
      <c r="T464" s="20" t="str">
        <f>IF(Data!E462="GpsRecord",Data!H462,"")</f>
        <v/>
      </c>
      <c r="U464" s="20">
        <f t="shared" si="121"/>
        <v>-39.411200000000001</v>
      </c>
      <c r="V464" s="20">
        <f t="shared" si="122"/>
        <v>33.726300000000002</v>
      </c>
      <c r="W464" s="19" t="str">
        <f>Data!I462</f>
        <v>Engine road speed</v>
      </c>
      <c r="X464" s="17" t="str">
        <f>CONCATENATE(Data!J462, " ", Data!K462)</f>
        <v>55 km/h</v>
      </c>
    </row>
    <row r="465" spans="1:24" x14ac:dyDescent="0.3">
      <c r="A465" s="17" t="str">
        <f>Data!A463</f>
        <v>vehicle1</v>
      </c>
      <c r="B465" s="17" t="str">
        <f>Data!B463</f>
        <v>Vehicle, Gasoline or Petrol</v>
      </c>
      <c r="C465" s="17" t="str">
        <f>Data!C463</f>
        <v>1f2g3h4j5k6l</v>
      </c>
      <c r="D465" s="52">
        <f>Data!D463</f>
        <v>45066.15552083333</v>
      </c>
      <c r="E465" s="60" t="str">
        <f>IF(Data!E463="GpsRecord",Data!F463,"")</f>
        <v/>
      </c>
      <c r="F465" s="68" t="str">
        <f t="shared" si="108"/>
        <v>40840 Barto St, Leesburg, FL 34788, USA</v>
      </c>
      <c r="G465" t="b">
        <f t="shared" si="109"/>
        <v>0</v>
      </c>
      <c r="H465" t="b">
        <f t="shared" si="110"/>
        <v>0</v>
      </c>
      <c r="I465" t="b">
        <f t="shared" si="111"/>
        <v>0</v>
      </c>
      <c r="J465" t="str">
        <f t="shared" si="112"/>
        <v/>
      </c>
      <c r="K465" t="str">
        <f t="shared" si="113"/>
        <v/>
      </c>
      <c r="L465" t="str">
        <f t="shared" si="114"/>
        <v>,</v>
      </c>
      <c r="M465" t="str">
        <f t="shared" si="115"/>
        <v/>
      </c>
      <c r="N465" t="str">
        <f t="shared" si="116"/>
        <v/>
      </c>
      <c r="O465" t="str">
        <f t="shared" si="117"/>
        <v/>
      </c>
      <c r="P465" t="str">
        <f t="shared" si="118"/>
        <v/>
      </c>
      <c r="Q465" t="str">
        <f t="shared" si="119"/>
        <v/>
      </c>
      <c r="R465" s="20" t="str">
        <f t="shared" si="120"/>
        <v>FL</v>
      </c>
      <c r="S465" s="20" t="str">
        <f>IF(Data!E463="GpsRecord",Data!G463,"")</f>
        <v/>
      </c>
      <c r="T465" s="20" t="str">
        <f>IF(Data!E463="GpsRecord",Data!H463,"")</f>
        <v/>
      </c>
      <c r="U465" s="20">
        <f t="shared" si="121"/>
        <v>-39.411200000000001</v>
      </c>
      <c r="V465" s="20">
        <f t="shared" si="122"/>
        <v>33.726300000000002</v>
      </c>
      <c r="W465" s="19" t="str">
        <f>Data!I463</f>
        <v>Trip distance with tracked fuel accumulator</v>
      </c>
      <c r="X465" s="17" t="str">
        <f>CONCATENATE(Data!J463, " ", Data!K463)</f>
        <v>1 km</v>
      </c>
    </row>
    <row r="466" spans="1:24" x14ac:dyDescent="0.3">
      <c r="A466" s="17" t="str">
        <f>Data!A464</f>
        <v>vehicle1</v>
      </c>
      <c r="B466" s="17" t="str">
        <f>Data!B464</f>
        <v>Vehicle, Gasoline or Petrol</v>
      </c>
      <c r="C466" s="17" t="str">
        <f>Data!C464</f>
        <v>1f2g3h4j5k6l</v>
      </c>
      <c r="D466" s="52">
        <f>Data!D464</f>
        <v>45066.155532407407</v>
      </c>
      <c r="E466" s="60" t="str">
        <f>IF(Data!E464="GpsRecord",Data!F464,"")</f>
        <v>40840 Barto St, Leesburg, FL 34788, USA</v>
      </c>
      <c r="F466" s="68" t="str">
        <f t="shared" si="108"/>
        <v>40840 Barto St, Leesburg, FL 34788, USA</v>
      </c>
      <c r="G466" t="b">
        <f t="shared" si="109"/>
        <v>0</v>
      </c>
      <c r="H466" t="b">
        <f t="shared" si="110"/>
        <v>1</v>
      </c>
      <c r="I466" t="b">
        <f t="shared" si="111"/>
        <v>1</v>
      </c>
      <c r="J466" t="str">
        <f t="shared" si="112"/>
        <v>40840 Barto St, Leesburg, FL 34788, USA</v>
      </c>
      <c r="K466" t="str">
        <f t="shared" si="113"/>
        <v xml:space="preserve"> USA</v>
      </c>
      <c r="L466" t="str">
        <f t="shared" si="114"/>
        <v>, USA</v>
      </c>
      <c r="M466" t="str">
        <f t="shared" si="115"/>
        <v>40840 Barto St, Leesburg, FL 34788</v>
      </c>
      <c r="N466" t="str">
        <f t="shared" si="116"/>
        <v xml:space="preserve"> FL 34788</v>
      </c>
      <c r="O466" t="str">
        <f t="shared" si="117"/>
        <v>34788</v>
      </c>
      <c r="P466" t="str">
        <f t="shared" si="118"/>
        <v xml:space="preserve"> FL</v>
      </c>
      <c r="Q466" t="str">
        <f t="shared" si="119"/>
        <v>FL</v>
      </c>
      <c r="R466" s="20" t="str">
        <f t="shared" si="120"/>
        <v>FL</v>
      </c>
      <c r="S466" s="20">
        <f>IF(Data!E464="GpsRecord",Data!G464,"")</f>
        <v>-39.410519999999998</v>
      </c>
      <c r="T466" s="20">
        <f>IF(Data!E464="GpsRecord",Data!H464,"")</f>
        <v>33.726959999999998</v>
      </c>
      <c r="U466" s="20">
        <f t="shared" si="121"/>
        <v>-39.410519999999998</v>
      </c>
      <c r="V466" s="20">
        <f t="shared" si="122"/>
        <v>33.726959999999998</v>
      </c>
      <c r="W466" s="19">
        <f>Data!I464</f>
        <v>0</v>
      </c>
      <c r="X466" s="17" t="str">
        <f>CONCATENATE(Data!J464, " ", Data!K464)</f>
        <v xml:space="preserve"> </v>
      </c>
    </row>
    <row r="467" spans="1:24" x14ac:dyDescent="0.3">
      <c r="A467" s="17" t="str">
        <f>Data!A465</f>
        <v>vehicle1</v>
      </c>
      <c r="B467" s="17" t="str">
        <f>Data!B465</f>
        <v>Vehicle, Gasoline or Petrol</v>
      </c>
      <c r="C467" s="17" t="str">
        <f>Data!C465</f>
        <v>1f2g3h4j5k6l</v>
      </c>
      <c r="D467" s="52">
        <f>Data!D465</f>
        <v>45066.155532407407</v>
      </c>
      <c r="E467" s="60" t="str">
        <f>IF(Data!E465="GpsRecord",Data!F465,"")</f>
        <v/>
      </c>
      <c r="F467" s="68" t="str">
        <f t="shared" si="108"/>
        <v>40840 Barto St, Leesburg, FL 34788, USA</v>
      </c>
      <c r="G467" t="b">
        <f t="shared" si="109"/>
        <v>0</v>
      </c>
      <c r="H467" t="b">
        <f t="shared" si="110"/>
        <v>0</v>
      </c>
      <c r="I467" t="b">
        <f t="shared" si="111"/>
        <v>0</v>
      </c>
      <c r="J467" t="str">
        <f t="shared" si="112"/>
        <v/>
      </c>
      <c r="K467" t="str">
        <f t="shared" si="113"/>
        <v/>
      </c>
      <c r="L467" t="str">
        <f t="shared" si="114"/>
        <v>,</v>
      </c>
      <c r="M467" t="str">
        <f t="shared" si="115"/>
        <v/>
      </c>
      <c r="N467" t="str">
        <f t="shared" si="116"/>
        <v/>
      </c>
      <c r="O467" t="str">
        <f t="shared" si="117"/>
        <v/>
      </c>
      <c r="P467" t="str">
        <f t="shared" si="118"/>
        <v/>
      </c>
      <c r="Q467" t="str">
        <f t="shared" si="119"/>
        <v/>
      </c>
      <c r="R467" s="20" t="str">
        <f t="shared" si="120"/>
        <v>FL</v>
      </c>
      <c r="S467" s="20" t="str">
        <f>IF(Data!E465="GpsRecord",Data!G465,"")</f>
        <v/>
      </c>
      <c r="T467" s="20" t="str">
        <f>IF(Data!E465="GpsRecord",Data!H465,"")</f>
        <v/>
      </c>
      <c r="U467" s="20">
        <f t="shared" si="121"/>
        <v>-39.410519999999998</v>
      </c>
      <c r="V467" s="20">
        <f t="shared" si="122"/>
        <v>33.726959999999998</v>
      </c>
      <c r="W467" s="19" t="str">
        <f>Data!I465</f>
        <v>Trip distance accumulator odometer</v>
      </c>
      <c r="X467" s="17" t="str">
        <f>CONCATENATE(Data!J465, " ", Data!K465)</f>
        <v>1 km</v>
      </c>
    </row>
    <row r="468" spans="1:24" x14ac:dyDescent="0.3">
      <c r="A468" s="17" t="str">
        <f>Data!A466</f>
        <v>vehicle1</v>
      </c>
      <c r="B468" s="17" t="str">
        <f>Data!B466</f>
        <v>Vehicle, Gasoline or Petrol</v>
      </c>
      <c r="C468" s="17" t="str">
        <f>Data!C466</f>
        <v>1f2g3h4j5k6l</v>
      </c>
      <c r="D468" s="52">
        <f>Data!D466</f>
        <v>45066.155532407407</v>
      </c>
      <c r="E468" s="60" t="str">
        <f>IF(Data!E466="GpsRecord",Data!F466,"")</f>
        <v/>
      </c>
      <c r="F468" s="68" t="str">
        <f t="shared" si="108"/>
        <v>40840 Barto St, Leesburg, FL 34788, USA</v>
      </c>
      <c r="G468" t="b">
        <f t="shared" si="109"/>
        <v>0</v>
      </c>
      <c r="H468" t="b">
        <f t="shared" si="110"/>
        <v>0</v>
      </c>
      <c r="I468" t="b">
        <f t="shared" si="111"/>
        <v>0</v>
      </c>
      <c r="J468" t="str">
        <f t="shared" si="112"/>
        <v/>
      </c>
      <c r="K468" t="str">
        <f t="shared" si="113"/>
        <v/>
      </c>
      <c r="L468" t="str">
        <f t="shared" si="114"/>
        <v>,</v>
      </c>
      <c r="M468" t="str">
        <f t="shared" si="115"/>
        <v/>
      </c>
      <c r="N468" t="str">
        <f t="shared" si="116"/>
        <v/>
      </c>
      <c r="O468" t="str">
        <f t="shared" si="117"/>
        <v/>
      </c>
      <c r="P468" t="str">
        <f t="shared" si="118"/>
        <v/>
      </c>
      <c r="Q468" t="str">
        <f t="shared" si="119"/>
        <v/>
      </c>
      <c r="R468" s="20" t="str">
        <f t="shared" si="120"/>
        <v>FL</v>
      </c>
      <c r="S468" s="20" t="str">
        <f>IF(Data!E466="GpsRecord",Data!G466,"")</f>
        <v/>
      </c>
      <c r="T468" s="20" t="str">
        <f>IF(Data!E466="GpsRecord",Data!H466,"")</f>
        <v/>
      </c>
      <c r="U468" s="20">
        <f t="shared" si="121"/>
        <v>-39.410519999999998</v>
      </c>
      <c r="V468" s="20">
        <f t="shared" si="122"/>
        <v>33.726959999999998</v>
      </c>
      <c r="W468" s="19" t="str">
        <f>Data!I466</f>
        <v>Odometer</v>
      </c>
      <c r="X468" s="17" t="str">
        <f>CONCATENATE(Data!J466, " ", Data!K466)</f>
        <v>82834 km</v>
      </c>
    </row>
    <row r="469" spans="1:24" x14ac:dyDescent="0.3">
      <c r="A469" s="17" t="str">
        <f>Data!A467</f>
        <v>vehicle1</v>
      </c>
      <c r="B469" s="17" t="str">
        <f>Data!B467</f>
        <v>Vehicle, Gasoline or Petrol</v>
      </c>
      <c r="C469" s="17" t="str">
        <f>Data!C467</f>
        <v>1f2g3h4j5k6l</v>
      </c>
      <c r="D469" s="52">
        <f>Data!D467</f>
        <v>45066.155532407407</v>
      </c>
      <c r="E469" s="60" t="str">
        <f>IF(Data!E467="GpsRecord",Data!F467,"")</f>
        <v/>
      </c>
      <c r="F469" s="68" t="str">
        <f t="shared" si="108"/>
        <v>40840 Barto St, Leesburg, FL 34788, USA</v>
      </c>
      <c r="G469" t="b">
        <f t="shared" si="109"/>
        <v>0</v>
      </c>
      <c r="H469" t="b">
        <f t="shared" si="110"/>
        <v>0</v>
      </c>
      <c r="I469" t="b">
        <f t="shared" si="111"/>
        <v>0</v>
      </c>
      <c r="J469" t="str">
        <f t="shared" si="112"/>
        <v/>
      </c>
      <c r="K469" t="str">
        <f t="shared" si="113"/>
        <v/>
      </c>
      <c r="L469" t="str">
        <f t="shared" si="114"/>
        <v>,</v>
      </c>
      <c r="M469" t="str">
        <f t="shared" si="115"/>
        <v/>
      </c>
      <c r="N469" t="str">
        <f t="shared" si="116"/>
        <v/>
      </c>
      <c r="O469" t="str">
        <f t="shared" si="117"/>
        <v/>
      </c>
      <c r="P469" t="str">
        <f t="shared" si="118"/>
        <v/>
      </c>
      <c r="Q469" t="str">
        <f t="shared" si="119"/>
        <v/>
      </c>
      <c r="R469" s="20" t="str">
        <f t="shared" si="120"/>
        <v>FL</v>
      </c>
      <c r="S469" s="20" t="str">
        <f>IF(Data!E467="GpsRecord",Data!G467,"")</f>
        <v/>
      </c>
      <c r="T469" s="20" t="str">
        <f>IF(Data!E467="GpsRecord",Data!H467,"")</f>
        <v/>
      </c>
      <c r="U469" s="20">
        <f t="shared" si="121"/>
        <v>-39.410519999999998</v>
      </c>
      <c r="V469" s="20">
        <f t="shared" si="122"/>
        <v>33.726959999999998</v>
      </c>
      <c r="W469" s="19" t="str">
        <f>Data!I467</f>
        <v>Raw odometer</v>
      </c>
      <c r="X469" s="17" t="str">
        <f>CONCATENATE(Data!J467, " ", Data!K467)</f>
        <v>82834 km</v>
      </c>
    </row>
    <row r="470" spans="1:24" x14ac:dyDescent="0.3">
      <c r="A470" s="17" t="str">
        <f>Data!A468</f>
        <v>vehicle1</v>
      </c>
      <c r="B470" s="17" t="str">
        <f>Data!B468</f>
        <v>Vehicle, Gasoline or Petrol</v>
      </c>
      <c r="C470" s="17" t="str">
        <f>Data!C468</f>
        <v>1f2g3h4j5k6l</v>
      </c>
      <c r="D470" s="52">
        <f>Data!D468</f>
        <v>45066.155590277776</v>
      </c>
      <c r="E470" s="60" t="str">
        <f>IF(Data!E468="GpsRecord",Data!F468,"")</f>
        <v/>
      </c>
      <c r="F470" s="68" t="str">
        <f t="shared" si="108"/>
        <v>40840 Barto St, Leesburg, FL 34788, USA</v>
      </c>
      <c r="G470" t="b">
        <f t="shared" si="109"/>
        <v>0</v>
      </c>
      <c r="H470" t="b">
        <f t="shared" si="110"/>
        <v>0</v>
      </c>
      <c r="I470" t="b">
        <f t="shared" si="111"/>
        <v>0</v>
      </c>
      <c r="J470" t="str">
        <f t="shared" si="112"/>
        <v/>
      </c>
      <c r="K470" t="str">
        <f t="shared" si="113"/>
        <v/>
      </c>
      <c r="L470" t="str">
        <f t="shared" si="114"/>
        <v>,</v>
      </c>
      <c r="M470" t="str">
        <f t="shared" si="115"/>
        <v/>
      </c>
      <c r="N470" t="str">
        <f t="shared" si="116"/>
        <v/>
      </c>
      <c r="O470" t="str">
        <f t="shared" si="117"/>
        <v/>
      </c>
      <c r="P470" t="str">
        <f t="shared" si="118"/>
        <v/>
      </c>
      <c r="Q470" t="str">
        <f t="shared" si="119"/>
        <v/>
      </c>
      <c r="R470" s="20" t="str">
        <f t="shared" si="120"/>
        <v>FL</v>
      </c>
      <c r="S470" s="20" t="str">
        <f>IF(Data!E468="GpsRecord",Data!G468,"")</f>
        <v/>
      </c>
      <c r="T470" s="20" t="str">
        <f>IF(Data!E468="GpsRecord",Data!H468,"")</f>
        <v/>
      </c>
      <c r="U470" s="20">
        <f t="shared" si="121"/>
        <v>-39.410519999999998</v>
      </c>
      <c r="V470" s="20">
        <f t="shared" si="122"/>
        <v>33.726959999999998</v>
      </c>
      <c r="W470" s="19" t="str">
        <f>Data!I468</f>
        <v>Engine road speed</v>
      </c>
      <c r="X470" s="17" t="str">
        <f>CONCATENATE(Data!J468, " ", Data!K468)</f>
        <v>64 km/h</v>
      </c>
    </row>
    <row r="471" spans="1:24" x14ac:dyDescent="0.3">
      <c r="A471" s="17" t="str">
        <f>Data!A469</f>
        <v>vehicle1</v>
      </c>
      <c r="B471" s="17" t="str">
        <f>Data!B469</f>
        <v>Vehicle, Gasoline or Petrol</v>
      </c>
      <c r="C471" s="17" t="str">
        <f>Data!C469</f>
        <v>1f2g3h4j5k6l</v>
      </c>
      <c r="D471" s="52">
        <f>Data!D469</f>
        <v>45066.155578703707</v>
      </c>
      <c r="E471" s="60" t="str">
        <f>IF(Data!E469="GpsRecord",Data!F469,"")</f>
        <v>40840 Barto St, Leesburg, FL 34788, USA</v>
      </c>
      <c r="F471" s="68" t="str">
        <f t="shared" si="108"/>
        <v>40840 Barto St, Leesburg, FL 34788, USA</v>
      </c>
      <c r="G471" t="b">
        <f t="shared" si="109"/>
        <v>0</v>
      </c>
      <c r="H471" t="b">
        <f t="shared" si="110"/>
        <v>1</v>
      </c>
      <c r="I471" t="b">
        <f t="shared" si="111"/>
        <v>1</v>
      </c>
      <c r="J471" t="str">
        <f t="shared" si="112"/>
        <v>40840 Barto St, Leesburg, FL 34788, USA</v>
      </c>
      <c r="K471" t="str">
        <f t="shared" si="113"/>
        <v xml:space="preserve"> USA</v>
      </c>
      <c r="L471" t="str">
        <f t="shared" si="114"/>
        <v>, USA</v>
      </c>
      <c r="M471" t="str">
        <f t="shared" si="115"/>
        <v>40840 Barto St, Leesburg, FL 34788</v>
      </c>
      <c r="N471" t="str">
        <f t="shared" si="116"/>
        <v xml:space="preserve"> FL 34788</v>
      </c>
      <c r="O471" t="str">
        <f t="shared" si="117"/>
        <v>34788</v>
      </c>
      <c r="P471" t="str">
        <f t="shared" si="118"/>
        <v xml:space="preserve"> FL</v>
      </c>
      <c r="Q471" t="str">
        <f t="shared" si="119"/>
        <v>FL</v>
      </c>
      <c r="R471" s="20" t="str">
        <f t="shared" si="120"/>
        <v>FL</v>
      </c>
      <c r="S471" s="20">
        <f>IF(Data!E469="GpsRecord",Data!G469,"")</f>
        <v>-39.409559999999999</v>
      </c>
      <c r="T471" s="20">
        <f>IF(Data!E469="GpsRecord",Data!H469,"")</f>
        <v>33.727809999999998</v>
      </c>
      <c r="U471" s="20">
        <f t="shared" si="121"/>
        <v>-39.409559999999999</v>
      </c>
      <c r="V471" s="20">
        <f t="shared" si="122"/>
        <v>33.727809999999998</v>
      </c>
      <c r="W471" s="19">
        <f>Data!I469</f>
        <v>0</v>
      </c>
      <c r="X471" s="17" t="str">
        <f>CONCATENATE(Data!J469, " ", Data!K469)</f>
        <v xml:space="preserve"> </v>
      </c>
    </row>
    <row r="472" spans="1:24" x14ac:dyDescent="0.3">
      <c r="A472" s="17" t="str">
        <f>Data!A470</f>
        <v>vehicle1</v>
      </c>
      <c r="B472" s="17" t="str">
        <f>Data!B470</f>
        <v>Vehicle, Gasoline or Petrol</v>
      </c>
      <c r="C472" s="17" t="str">
        <f>Data!C470</f>
        <v>1f2g3h4j5k6l</v>
      </c>
      <c r="D472" s="52">
        <f>Data!D470</f>
        <v>45066.155636574076</v>
      </c>
      <c r="E472" s="60" t="str">
        <f>IF(Data!E470="GpsRecord",Data!F470,"")</f>
        <v/>
      </c>
      <c r="F472" s="68" t="str">
        <f t="shared" si="108"/>
        <v>40840 Barto St, Leesburg, FL 34788, USA</v>
      </c>
      <c r="G472" t="b">
        <f t="shared" si="109"/>
        <v>0</v>
      </c>
      <c r="H472" t="b">
        <f t="shared" si="110"/>
        <v>0</v>
      </c>
      <c r="I472" t="b">
        <f t="shared" si="111"/>
        <v>0</v>
      </c>
      <c r="J472" t="str">
        <f t="shared" si="112"/>
        <v/>
      </c>
      <c r="K472" t="str">
        <f t="shared" si="113"/>
        <v/>
      </c>
      <c r="L472" t="str">
        <f t="shared" si="114"/>
        <v>,</v>
      </c>
      <c r="M472" t="str">
        <f t="shared" si="115"/>
        <v/>
      </c>
      <c r="N472" t="str">
        <f t="shared" si="116"/>
        <v/>
      </c>
      <c r="O472" t="str">
        <f t="shared" si="117"/>
        <v/>
      </c>
      <c r="P472" t="str">
        <f t="shared" si="118"/>
        <v/>
      </c>
      <c r="Q472" t="str">
        <f t="shared" si="119"/>
        <v/>
      </c>
      <c r="R472" s="20" t="str">
        <f t="shared" si="120"/>
        <v>FL</v>
      </c>
      <c r="S472" s="20" t="str">
        <f>IF(Data!E470="GpsRecord",Data!G470,"")</f>
        <v/>
      </c>
      <c r="T472" s="20" t="str">
        <f>IF(Data!E470="GpsRecord",Data!H470,"")</f>
        <v/>
      </c>
      <c r="U472" s="20">
        <f t="shared" si="121"/>
        <v>-39.409559999999999</v>
      </c>
      <c r="V472" s="20">
        <f t="shared" si="122"/>
        <v>33.727809999999998</v>
      </c>
      <c r="W472" s="19">
        <f>Data!I470</f>
        <v>0</v>
      </c>
      <c r="X472" s="17" t="str">
        <f>CONCATENATE(Data!J470, " ", Data!K470)</f>
        <v xml:space="preserve"> </v>
      </c>
    </row>
    <row r="473" spans="1:24" x14ac:dyDescent="0.3">
      <c r="A473" s="17" t="str">
        <f>Data!A471</f>
        <v>vehicle1</v>
      </c>
      <c r="B473" s="17" t="str">
        <f>Data!B471</f>
        <v>Vehicle, Gasoline or Petrol</v>
      </c>
      <c r="C473" s="17" t="str">
        <f>Data!C471</f>
        <v>1f2g3h4j5k6l</v>
      </c>
      <c r="D473" s="52">
        <f>Data!D471</f>
        <v>45066.155636574076</v>
      </c>
      <c r="E473" s="60" t="str">
        <f>IF(Data!E471="GpsRecord",Data!F471,"")</f>
        <v/>
      </c>
      <c r="F473" s="68" t="str">
        <f t="shared" si="108"/>
        <v>40840 Barto St, Leesburg, FL 34788, USA</v>
      </c>
      <c r="G473" t="b">
        <f t="shared" si="109"/>
        <v>0</v>
      </c>
      <c r="H473" t="b">
        <f t="shared" si="110"/>
        <v>0</v>
      </c>
      <c r="I473" t="b">
        <f t="shared" si="111"/>
        <v>0</v>
      </c>
      <c r="J473" t="str">
        <f t="shared" si="112"/>
        <v/>
      </c>
      <c r="K473" t="str">
        <f t="shared" si="113"/>
        <v/>
      </c>
      <c r="L473" t="str">
        <f t="shared" si="114"/>
        <v>,</v>
      </c>
      <c r="M473" t="str">
        <f t="shared" si="115"/>
        <v/>
      </c>
      <c r="N473" t="str">
        <f t="shared" si="116"/>
        <v/>
      </c>
      <c r="O473" t="str">
        <f t="shared" si="117"/>
        <v/>
      </c>
      <c r="P473" t="str">
        <f t="shared" si="118"/>
        <v/>
      </c>
      <c r="Q473" t="str">
        <f t="shared" si="119"/>
        <v/>
      </c>
      <c r="R473" s="20" t="str">
        <f t="shared" si="120"/>
        <v>FL</v>
      </c>
      <c r="S473" s="20" t="str">
        <f>IF(Data!E471="GpsRecord",Data!G471,"")</f>
        <v/>
      </c>
      <c r="T473" s="20" t="str">
        <f>IF(Data!E471="GpsRecord",Data!H471,"")</f>
        <v/>
      </c>
      <c r="U473" s="20">
        <f t="shared" si="121"/>
        <v>-39.409559999999999</v>
      </c>
      <c r="V473" s="20">
        <f t="shared" si="122"/>
        <v>33.727809999999998</v>
      </c>
      <c r="W473" s="19">
        <f>Data!I471</f>
        <v>0</v>
      </c>
      <c r="X473" s="17" t="str">
        <f>CONCATENATE(Data!J471, " ", Data!K471)</f>
        <v xml:space="preserve"> </v>
      </c>
    </row>
    <row r="474" spans="1:24" x14ac:dyDescent="0.3">
      <c r="A474" s="17" t="str">
        <f>Data!A472</f>
        <v>vehicle1</v>
      </c>
      <c r="B474" s="17" t="str">
        <f>Data!B472</f>
        <v>Vehicle, Gasoline or Petrol</v>
      </c>
      <c r="C474" s="17" t="str">
        <f>Data!C472</f>
        <v>1f2g3h4j5k6l</v>
      </c>
      <c r="D474" s="52">
        <f>Data!D472</f>
        <v>45066.155648148146</v>
      </c>
      <c r="E474" s="60" t="str">
        <f>IF(Data!E472="GpsRecord",Data!F472,"")</f>
        <v/>
      </c>
      <c r="F474" s="68" t="str">
        <f t="shared" si="108"/>
        <v>40840 Barto St, Leesburg, FL 34788, USA</v>
      </c>
      <c r="G474" t="b">
        <f t="shared" si="109"/>
        <v>0</v>
      </c>
      <c r="H474" t="b">
        <f t="shared" si="110"/>
        <v>0</v>
      </c>
      <c r="I474" t="b">
        <f t="shared" si="111"/>
        <v>0</v>
      </c>
      <c r="J474" t="str">
        <f t="shared" si="112"/>
        <v/>
      </c>
      <c r="K474" t="str">
        <f t="shared" si="113"/>
        <v/>
      </c>
      <c r="L474" t="str">
        <f t="shared" si="114"/>
        <v>,</v>
      </c>
      <c r="M474" t="str">
        <f t="shared" si="115"/>
        <v/>
      </c>
      <c r="N474" t="str">
        <f t="shared" si="116"/>
        <v/>
      </c>
      <c r="O474" t="str">
        <f t="shared" si="117"/>
        <v/>
      </c>
      <c r="P474" t="str">
        <f t="shared" si="118"/>
        <v/>
      </c>
      <c r="Q474" t="str">
        <f t="shared" si="119"/>
        <v/>
      </c>
      <c r="R474" s="20" t="str">
        <f t="shared" si="120"/>
        <v>FL</v>
      </c>
      <c r="S474" s="20" t="str">
        <f>IF(Data!E472="GpsRecord",Data!G472,"")</f>
        <v/>
      </c>
      <c r="T474" s="20" t="str">
        <f>IF(Data!E472="GpsRecord",Data!H472,"")</f>
        <v/>
      </c>
      <c r="U474" s="20">
        <f t="shared" si="121"/>
        <v>-39.409559999999999</v>
      </c>
      <c r="V474" s="20">
        <f t="shared" si="122"/>
        <v>33.727809999999998</v>
      </c>
      <c r="W474" s="19">
        <f>Data!I472</f>
        <v>0</v>
      </c>
      <c r="X474" s="17" t="str">
        <f>CONCATENATE(Data!J472, " ", Data!K472)</f>
        <v xml:space="preserve"> </v>
      </c>
    </row>
    <row r="475" spans="1:24" x14ac:dyDescent="0.3">
      <c r="A475" s="17" t="str">
        <f>Data!A473</f>
        <v>vehicle1</v>
      </c>
      <c r="B475" s="17" t="str">
        <f>Data!B473</f>
        <v>Vehicle, Gasoline or Petrol</v>
      </c>
      <c r="C475" s="17" t="str">
        <f>Data!C473</f>
        <v>1f2g3h4j5k6l</v>
      </c>
      <c r="D475" s="52">
        <f>Data!D473</f>
        <v>45066.155659722222</v>
      </c>
      <c r="E475" s="60" t="str">
        <f>IF(Data!E473="GpsRecord",Data!F473,"")</f>
        <v/>
      </c>
      <c r="F475" s="68" t="str">
        <f t="shared" si="108"/>
        <v>40840 Barto St, Leesburg, FL 34788, USA</v>
      </c>
      <c r="G475" t="b">
        <f t="shared" si="109"/>
        <v>0</v>
      </c>
      <c r="H475" t="b">
        <f t="shared" si="110"/>
        <v>0</v>
      </c>
      <c r="I475" t="b">
        <f t="shared" si="111"/>
        <v>0</v>
      </c>
      <c r="J475" t="str">
        <f t="shared" si="112"/>
        <v/>
      </c>
      <c r="K475" t="str">
        <f t="shared" si="113"/>
        <v/>
      </c>
      <c r="L475" t="str">
        <f t="shared" si="114"/>
        <v>,</v>
      </c>
      <c r="M475" t="str">
        <f t="shared" si="115"/>
        <v/>
      </c>
      <c r="N475" t="str">
        <f t="shared" si="116"/>
        <v/>
      </c>
      <c r="O475" t="str">
        <f t="shared" si="117"/>
        <v/>
      </c>
      <c r="P475" t="str">
        <f t="shared" si="118"/>
        <v/>
      </c>
      <c r="Q475" t="str">
        <f t="shared" si="119"/>
        <v/>
      </c>
      <c r="R475" s="20" t="str">
        <f t="shared" si="120"/>
        <v>FL</v>
      </c>
      <c r="S475" s="20" t="str">
        <f>IF(Data!E473="GpsRecord",Data!G473,"")</f>
        <v/>
      </c>
      <c r="T475" s="20" t="str">
        <f>IF(Data!E473="GpsRecord",Data!H473,"")</f>
        <v/>
      </c>
      <c r="U475" s="20">
        <f t="shared" si="121"/>
        <v>-39.409559999999999</v>
      </c>
      <c r="V475" s="20">
        <f t="shared" si="122"/>
        <v>33.727809999999998</v>
      </c>
      <c r="W475" s="19">
        <f>Data!I473</f>
        <v>0</v>
      </c>
      <c r="X475" s="17" t="str">
        <f>CONCATENATE(Data!J473, " ", Data!K473)</f>
        <v xml:space="preserve"> </v>
      </c>
    </row>
    <row r="476" spans="1:24" x14ac:dyDescent="0.3">
      <c r="A476" s="17" t="str">
        <f>Data!A474</f>
        <v>vehicle1</v>
      </c>
      <c r="B476" s="17" t="str">
        <f>Data!B474</f>
        <v>Vehicle, Gasoline or Petrol</v>
      </c>
      <c r="C476" s="17" t="str">
        <f>Data!C474</f>
        <v>1f2g3h4j5k6l</v>
      </c>
      <c r="D476" s="52">
        <f>Data!D474</f>
        <v>45066.155659722222</v>
      </c>
      <c r="E476" s="60" t="str">
        <f>IF(Data!E474="GpsRecord",Data!F474,"")</f>
        <v/>
      </c>
      <c r="F476" s="68" t="str">
        <f t="shared" si="108"/>
        <v>40840 Barto St, Leesburg, FL 34788, USA</v>
      </c>
      <c r="G476" t="b">
        <f t="shared" si="109"/>
        <v>0</v>
      </c>
      <c r="H476" t="b">
        <f t="shared" si="110"/>
        <v>0</v>
      </c>
      <c r="I476" t="b">
        <f t="shared" si="111"/>
        <v>0</v>
      </c>
      <c r="J476" t="str">
        <f t="shared" si="112"/>
        <v/>
      </c>
      <c r="K476" t="str">
        <f t="shared" si="113"/>
        <v/>
      </c>
      <c r="L476" t="str">
        <f t="shared" si="114"/>
        <v>,</v>
      </c>
      <c r="M476" t="str">
        <f t="shared" si="115"/>
        <v/>
      </c>
      <c r="N476" t="str">
        <f t="shared" si="116"/>
        <v/>
      </c>
      <c r="O476" t="str">
        <f t="shared" si="117"/>
        <v/>
      </c>
      <c r="P476" t="str">
        <f t="shared" si="118"/>
        <v/>
      </c>
      <c r="Q476" t="str">
        <f t="shared" si="119"/>
        <v/>
      </c>
      <c r="R476" s="20" t="str">
        <f t="shared" si="120"/>
        <v>FL</v>
      </c>
      <c r="S476" s="20" t="str">
        <f>IF(Data!E474="GpsRecord",Data!G474,"")</f>
        <v/>
      </c>
      <c r="T476" s="20" t="str">
        <f>IF(Data!E474="GpsRecord",Data!H474,"")</f>
        <v/>
      </c>
      <c r="U476" s="20">
        <f t="shared" si="121"/>
        <v>-39.409559999999999</v>
      </c>
      <c r="V476" s="20">
        <f t="shared" si="122"/>
        <v>33.727809999999998</v>
      </c>
      <c r="W476" s="19">
        <f>Data!I474</f>
        <v>0</v>
      </c>
      <c r="X476" s="17" t="str">
        <f>CONCATENATE(Data!J474, " ", Data!K474)</f>
        <v xml:space="preserve"> </v>
      </c>
    </row>
    <row r="477" spans="1:24" x14ac:dyDescent="0.3">
      <c r="A477" s="17" t="str">
        <f>Data!A475</f>
        <v>vehicle1</v>
      </c>
      <c r="B477" s="17" t="str">
        <f>Data!B475</f>
        <v>Vehicle, Gasoline or Petrol</v>
      </c>
      <c r="C477" s="17" t="str">
        <f>Data!C475</f>
        <v>1f2g3h4j5k6l</v>
      </c>
      <c r="D477" s="52">
        <f>Data!D475</f>
        <v>45066.155659722222</v>
      </c>
      <c r="E477" s="60" t="str">
        <f>IF(Data!E475="GpsRecord",Data!F475,"")</f>
        <v/>
      </c>
      <c r="F477" s="68" t="str">
        <f t="shared" si="108"/>
        <v>40840 Barto St, Leesburg, FL 34788, USA</v>
      </c>
      <c r="G477" t="b">
        <f t="shared" si="109"/>
        <v>0</v>
      </c>
      <c r="H477" t="b">
        <f t="shared" si="110"/>
        <v>0</v>
      </c>
      <c r="I477" t="b">
        <f t="shared" si="111"/>
        <v>0</v>
      </c>
      <c r="J477" t="str">
        <f t="shared" si="112"/>
        <v/>
      </c>
      <c r="K477" t="str">
        <f t="shared" si="113"/>
        <v/>
      </c>
      <c r="L477" t="str">
        <f t="shared" si="114"/>
        <v>,</v>
      </c>
      <c r="M477" t="str">
        <f t="shared" si="115"/>
        <v/>
      </c>
      <c r="N477" t="str">
        <f t="shared" si="116"/>
        <v/>
      </c>
      <c r="O477" t="str">
        <f t="shared" si="117"/>
        <v/>
      </c>
      <c r="P477" t="str">
        <f t="shared" si="118"/>
        <v/>
      </c>
      <c r="Q477" t="str">
        <f t="shared" si="119"/>
        <v/>
      </c>
      <c r="R477" s="20" t="str">
        <f t="shared" si="120"/>
        <v>FL</v>
      </c>
      <c r="S477" s="20" t="str">
        <f>IF(Data!E475="GpsRecord",Data!G475,"")</f>
        <v/>
      </c>
      <c r="T477" s="20" t="str">
        <f>IF(Data!E475="GpsRecord",Data!H475,"")</f>
        <v/>
      </c>
      <c r="U477" s="20">
        <f t="shared" si="121"/>
        <v>-39.409559999999999</v>
      </c>
      <c r="V477" s="20">
        <f t="shared" si="122"/>
        <v>33.727809999999998</v>
      </c>
      <c r="W477" s="19">
        <f>Data!I475</f>
        <v>0</v>
      </c>
      <c r="X477" s="17" t="str">
        <f>CONCATENATE(Data!J475, " ", Data!K475)</f>
        <v xml:space="preserve"> </v>
      </c>
    </row>
    <row r="478" spans="1:24" x14ac:dyDescent="0.3">
      <c r="A478" s="17" t="str">
        <f>Data!A476</f>
        <v>vehicle1</v>
      </c>
      <c r="B478" s="17" t="str">
        <f>Data!B476</f>
        <v>Vehicle, Gasoline or Petrol</v>
      </c>
      <c r="C478" s="17" t="str">
        <f>Data!C476</f>
        <v>1f2g3h4j5k6l</v>
      </c>
      <c r="D478" s="52">
        <f>Data!D476</f>
        <v>45066.155659722222</v>
      </c>
      <c r="E478" s="60" t="str">
        <f>IF(Data!E476="GpsRecord",Data!F476,"")</f>
        <v/>
      </c>
      <c r="F478" s="68" t="str">
        <f t="shared" si="108"/>
        <v>40840 Barto St, Leesburg, FL 34788, USA</v>
      </c>
      <c r="G478" t="b">
        <f t="shared" si="109"/>
        <v>0</v>
      </c>
      <c r="H478" t="b">
        <f t="shared" si="110"/>
        <v>0</v>
      </c>
      <c r="I478" t="b">
        <f t="shared" si="111"/>
        <v>0</v>
      </c>
      <c r="J478" t="str">
        <f t="shared" si="112"/>
        <v/>
      </c>
      <c r="K478" t="str">
        <f t="shared" si="113"/>
        <v/>
      </c>
      <c r="L478" t="str">
        <f t="shared" si="114"/>
        <v>,</v>
      </c>
      <c r="M478" t="str">
        <f t="shared" si="115"/>
        <v/>
      </c>
      <c r="N478" t="str">
        <f t="shared" si="116"/>
        <v/>
      </c>
      <c r="O478" t="str">
        <f t="shared" si="117"/>
        <v/>
      </c>
      <c r="P478" t="str">
        <f t="shared" si="118"/>
        <v/>
      </c>
      <c r="Q478" t="str">
        <f t="shared" si="119"/>
        <v/>
      </c>
      <c r="R478" s="20" t="str">
        <f t="shared" si="120"/>
        <v>FL</v>
      </c>
      <c r="S478" s="20" t="str">
        <f>IF(Data!E476="GpsRecord",Data!G476,"")</f>
        <v/>
      </c>
      <c r="T478" s="20" t="str">
        <f>IF(Data!E476="GpsRecord",Data!H476,"")</f>
        <v/>
      </c>
      <c r="U478" s="20">
        <f t="shared" si="121"/>
        <v>-39.409559999999999</v>
      </c>
      <c r="V478" s="20">
        <f t="shared" si="122"/>
        <v>33.727809999999998</v>
      </c>
      <c r="W478" s="19" t="str">
        <f>Data!I476</f>
        <v>Engine road speed</v>
      </c>
      <c r="X478" s="17" t="str">
        <f>CONCATENATE(Data!J476, " ", Data!K476)</f>
        <v>60 km/h</v>
      </c>
    </row>
    <row r="479" spans="1:24" x14ac:dyDescent="0.3">
      <c r="A479" s="17" t="str">
        <f>Data!A477</f>
        <v>vehicle1</v>
      </c>
      <c r="B479" s="17" t="str">
        <f>Data!B477</f>
        <v>Vehicle, Gasoline or Petrol</v>
      </c>
      <c r="C479" s="17" t="str">
        <f>Data!C477</f>
        <v>1f2g3h4j5k6l</v>
      </c>
      <c r="D479" s="52">
        <f>Data!D477</f>
        <v>45066.155671296299</v>
      </c>
      <c r="E479" s="60" t="str">
        <f>IF(Data!E477="GpsRecord",Data!F477,"")</f>
        <v>40840 Barto St, Leesburg, FL 34788, USA</v>
      </c>
      <c r="F479" s="68" t="str">
        <f t="shared" si="108"/>
        <v>40840 Barto St, Leesburg, FL 34788, USA</v>
      </c>
      <c r="G479" t="b">
        <f t="shared" si="109"/>
        <v>0</v>
      </c>
      <c r="H479" t="b">
        <f t="shared" si="110"/>
        <v>1</v>
      </c>
      <c r="I479" t="b">
        <f t="shared" si="111"/>
        <v>1</v>
      </c>
      <c r="J479" t="str">
        <f t="shared" si="112"/>
        <v>40840 Barto St, Leesburg, FL 34788, USA</v>
      </c>
      <c r="K479" t="str">
        <f t="shared" si="113"/>
        <v xml:space="preserve"> USA</v>
      </c>
      <c r="L479" t="str">
        <f t="shared" si="114"/>
        <v>, USA</v>
      </c>
      <c r="M479" t="str">
        <f t="shared" si="115"/>
        <v>40840 Barto St, Leesburg, FL 34788</v>
      </c>
      <c r="N479" t="str">
        <f t="shared" si="116"/>
        <v xml:space="preserve"> FL 34788</v>
      </c>
      <c r="O479" t="str">
        <f t="shared" si="117"/>
        <v>34788</v>
      </c>
      <c r="P479" t="str">
        <f t="shared" si="118"/>
        <v xml:space="preserve"> FL</v>
      </c>
      <c r="Q479" t="str">
        <f t="shared" si="119"/>
        <v>FL</v>
      </c>
      <c r="R479" s="20" t="str">
        <f t="shared" si="120"/>
        <v>FL</v>
      </c>
      <c r="S479" s="20">
        <f>IF(Data!E477="GpsRecord",Data!G477,"")</f>
        <v>-39.408900000000003</v>
      </c>
      <c r="T479" s="20">
        <f>IF(Data!E477="GpsRecord",Data!H477,"")</f>
        <v>33.728400000000001</v>
      </c>
      <c r="U479" s="20">
        <f t="shared" si="121"/>
        <v>-39.408900000000003</v>
      </c>
      <c r="V479" s="20">
        <f t="shared" si="122"/>
        <v>33.728400000000001</v>
      </c>
      <c r="W479" s="19">
        <f>Data!I477</f>
        <v>0</v>
      </c>
      <c r="X479" s="17" t="str">
        <f>CONCATENATE(Data!J477, " ", Data!K477)</f>
        <v xml:space="preserve"> </v>
      </c>
    </row>
    <row r="480" spans="1:24" x14ac:dyDescent="0.3">
      <c r="A480" s="17" t="str">
        <f>Data!A478</f>
        <v>vehicle1</v>
      </c>
      <c r="B480" s="17" t="str">
        <f>Data!B478</f>
        <v>Vehicle, Gasoline or Petrol</v>
      </c>
      <c r="C480" s="17" t="str">
        <f>Data!C478</f>
        <v>1f2g3h4j5k6l</v>
      </c>
      <c r="D480" s="52">
        <f>Data!D478</f>
        <v>45066.155671296299</v>
      </c>
      <c r="E480" s="60" t="str">
        <f>IF(Data!E478="GpsRecord",Data!F478,"")</f>
        <v/>
      </c>
      <c r="F480" s="68" t="str">
        <f t="shared" si="108"/>
        <v>40840 Barto St, Leesburg, FL 34788, USA</v>
      </c>
      <c r="G480" t="b">
        <f t="shared" si="109"/>
        <v>0</v>
      </c>
      <c r="H480" t="b">
        <f t="shared" si="110"/>
        <v>0</v>
      </c>
      <c r="I480" t="b">
        <f t="shared" si="111"/>
        <v>0</v>
      </c>
      <c r="J480" t="str">
        <f t="shared" si="112"/>
        <v/>
      </c>
      <c r="K480" t="str">
        <f t="shared" si="113"/>
        <v/>
      </c>
      <c r="L480" t="str">
        <f t="shared" si="114"/>
        <v>,</v>
      </c>
      <c r="M480" t="str">
        <f t="shared" si="115"/>
        <v/>
      </c>
      <c r="N480" t="str">
        <f t="shared" si="116"/>
        <v/>
      </c>
      <c r="O480" t="str">
        <f t="shared" si="117"/>
        <v/>
      </c>
      <c r="P480" t="str">
        <f t="shared" si="118"/>
        <v/>
      </c>
      <c r="Q480" t="str">
        <f t="shared" si="119"/>
        <v/>
      </c>
      <c r="R480" s="20" t="str">
        <f t="shared" si="120"/>
        <v>FL</v>
      </c>
      <c r="S480" s="20" t="str">
        <f>IF(Data!E478="GpsRecord",Data!G478,"")</f>
        <v/>
      </c>
      <c r="T480" s="20" t="str">
        <f>IF(Data!E478="GpsRecord",Data!H478,"")</f>
        <v/>
      </c>
      <c r="U480" s="20">
        <f t="shared" si="121"/>
        <v>-39.408900000000003</v>
      </c>
      <c r="V480" s="20">
        <f t="shared" si="122"/>
        <v>33.728400000000001</v>
      </c>
      <c r="W480" s="19">
        <f>Data!I478</f>
        <v>0</v>
      </c>
      <c r="X480" s="17" t="str">
        <f>CONCATENATE(Data!J478, " ", Data!K478)</f>
        <v xml:space="preserve"> </v>
      </c>
    </row>
    <row r="481" spans="1:24" x14ac:dyDescent="0.3">
      <c r="A481" s="17" t="str">
        <f>Data!A479</f>
        <v>vehicle1</v>
      </c>
      <c r="B481" s="17" t="str">
        <f>Data!B479</f>
        <v>Vehicle, Gasoline or Petrol</v>
      </c>
      <c r="C481" s="17" t="str">
        <f>Data!C479</f>
        <v>1f2g3h4j5k6l</v>
      </c>
      <c r="D481" s="52">
        <f>Data!D479</f>
        <v>45066.155694444446</v>
      </c>
      <c r="E481" s="60" t="str">
        <f>IF(Data!E479="GpsRecord",Data!F479,"")</f>
        <v/>
      </c>
      <c r="F481" s="68" t="str">
        <f t="shared" si="108"/>
        <v>40840 Barto St, Leesburg, FL 34788, USA</v>
      </c>
      <c r="G481" t="b">
        <f t="shared" si="109"/>
        <v>0</v>
      </c>
      <c r="H481" t="b">
        <f t="shared" si="110"/>
        <v>0</v>
      </c>
      <c r="I481" t="b">
        <f t="shared" si="111"/>
        <v>0</v>
      </c>
      <c r="J481" t="str">
        <f t="shared" si="112"/>
        <v/>
      </c>
      <c r="K481" t="str">
        <f t="shared" si="113"/>
        <v/>
      </c>
      <c r="L481" t="str">
        <f t="shared" si="114"/>
        <v>,</v>
      </c>
      <c r="M481" t="str">
        <f t="shared" si="115"/>
        <v/>
      </c>
      <c r="N481" t="str">
        <f t="shared" si="116"/>
        <v/>
      </c>
      <c r="O481" t="str">
        <f t="shared" si="117"/>
        <v/>
      </c>
      <c r="P481" t="str">
        <f t="shared" si="118"/>
        <v/>
      </c>
      <c r="Q481" t="str">
        <f t="shared" si="119"/>
        <v/>
      </c>
      <c r="R481" s="20" t="str">
        <f t="shared" si="120"/>
        <v>FL</v>
      </c>
      <c r="S481" s="20" t="str">
        <f>IF(Data!E479="GpsRecord",Data!G479,"")</f>
        <v/>
      </c>
      <c r="T481" s="20" t="str">
        <f>IF(Data!E479="GpsRecord",Data!H479,"")</f>
        <v/>
      </c>
      <c r="U481" s="20">
        <f t="shared" si="121"/>
        <v>-39.408900000000003</v>
      </c>
      <c r="V481" s="20">
        <f t="shared" si="122"/>
        <v>33.728400000000001</v>
      </c>
      <c r="W481" s="19">
        <f>Data!I479</f>
        <v>0</v>
      </c>
      <c r="X481" s="17" t="str">
        <f>CONCATENATE(Data!J479, " ", Data!K479)</f>
        <v xml:space="preserve"> </v>
      </c>
    </row>
    <row r="482" spans="1:24" x14ac:dyDescent="0.3">
      <c r="A482" s="17" t="str">
        <f>Data!A480</f>
        <v>vehicle1</v>
      </c>
      <c r="B482" s="17" t="str">
        <f>Data!B480</f>
        <v>Vehicle, Gasoline or Petrol</v>
      </c>
      <c r="C482" s="17" t="str">
        <f>Data!C480</f>
        <v>1f2g3h4j5k6l</v>
      </c>
      <c r="D482" s="52">
        <f>Data!D480</f>
        <v>45066.155694444446</v>
      </c>
      <c r="E482" s="60" t="str">
        <f>IF(Data!E480="GpsRecord",Data!F480,"")</f>
        <v/>
      </c>
      <c r="F482" s="68" t="str">
        <f t="shared" si="108"/>
        <v>40840 Barto St, Leesburg, FL 34788, USA</v>
      </c>
      <c r="G482" t="b">
        <f t="shared" si="109"/>
        <v>0</v>
      </c>
      <c r="H482" t="b">
        <f t="shared" si="110"/>
        <v>0</v>
      </c>
      <c r="I482" t="b">
        <f t="shared" si="111"/>
        <v>0</v>
      </c>
      <c r="J482" t="str">
        <f t="shared" si="112"/>
        <v/>
      </c>
      <c r="K482" t="str">
        <f t="shared" si="113"/>
        <v/>
      </c>
      <c r="L482" t="str">
        <f t="shared" si="114"/>
        <v>,</v>
      </c>
      <c r="M482" t="str">
        <f t="shared" si="115"/>
        <v/>
      </c>
      <c r="N482" t="str">
        <f t="shared" si="116"/>
        <v/>
      </c>
      <c r="O482" t="str">
        <f t="shared" si="117"/>
        <v/>
      </c>
      <c r="P482" t="str">
        <f t="shared" si="118"/>
        <v/>
      </c>
      <c r="Q482" t="str">
        <f t="shared" si="119"/>
        <v/>
      </c>
      <c r="R482" s="20" t="str">
        <f t="shared" si="120"/>
        <v>FL</v>
      </c>
      <c r="S482" s="20" t="str">
        <f>IF(Data!E480="GpsRecord",Data!G480,"")</f>
        <v/>
      </c>
      <c r="T482" s="20" t="str">
        <f>IF(Data!E480="GpsRecord",Data!H480,"")</f>
        <v/>
      </c>
      <c r="U482" s="20">
        <f t="shared" si="121"/>
        <v>-39.408900000000003</v>
      </c>
      <c r="V482" s="20">
        <f t="shared" si="122"/>
        <v>33.728400000000001</v>
      </c>
      <c r="W482" s="19">
        <f>Data!I480</f>
        <v>0</v>
      </c>
      <c r="X482" s="17" t="str">
        <f>CONCATENATE(Data!J480, " ", Data!K480)</f>
        <v xml:space="preserve"> </v>
      </c>
    </row>
    <row r="483" spans="1:24" x14ac:dyDescent="0.3">
      <c r="A483" s="17" t="str">
        <f>Data!A481</f>
        <v>vehicle1</v>
      </c>
      <c r="B483" s="17" t="str">
        <f>Data!B481</f>
        <v>Vehicle, Gasoline or Petrol</v>
      </c>
      <c r="C483" s="17" t="str">
        <f>Data!C481</f>
        <v>1f2g3h4j5k6l</v>
      </c>
      <c r="D483" s="52">
        <f>Data!D481</f>
        <v>45066.155694444446</v>
      </c>
      <c r="E483" s="60" t="str">
        <f>IF(Data!E481="GpsRecord",Data!F481,"")</f>
        <v/>
      </c>
      <c r="F483" s="68" t="str">
        <f t="shared" si="108"/>
        <v>40840 Barto St, Leesburg, FL 34788, USA</v>
      </c>
      <c r="G483" t="b">
        <f t="shared" si="109"/>
        <v>0</v>
      </c>
      <c r="H483" t="b">
        <f t="shared" si="110"/>
        <v>0</v>
      </c>
      <c r="I483" t="b">
        <f t="shared" si="111"/>
        <v>0</v>
      </c>
      <c r="J483" t="str">
        <f t="shared" si="112"/>
        <v/>
      </c>
      <c r="K483" t="str">
        <f t="shared" si="113"/>
        <v/>
      </c>
      <c r="L483" t="str">
        <f t="shared" si="114"/>
        <v>,</v>
      </c>
      <c r="M483" t="str">
        <f t="shared" si="115"/>
        <v/>
      </c>
      <c r="N483" t="str">
        <f t="shared" si="116"/>
        <v/>
      </c>
      <c r="O483" t="str">
        <f t="shared" si="117"/>
        <v/>
      </c>
      <c r="P483" t="str">
        <f t="shared" si="118"/>
        <v/>
      </c>
      <c r="Q483" t="str">
        <f t="shared" si="119"/>
        <v/>
      </c>
      <c r="R483" s="20" t="str">
        <f t="shared" si="120"/>
        <v>FL</v>
      </c>
      <c r="S483" s="20" t="str">
        <f>IF(Data!E481="GpsRecord",Data!G481,"")</f>
        <v/>
      </c>
      <c r="T483" s="20" t="str">
        <f>IF(Data!E481="GpsRecord",Data!H481,"")</f>
        <v/>
      </c>
      <c r="U483" s="20">
        <f t="shared" si="121"/>
        <v>-39.408900000000003</v>
      </c>
      <c r="V483" s="20">
        <f t="shared" si="122"/>
        <v>33.728400000000001</v>
      </c>
      <c r="W483" s="19">
        <f>Data!I481</f>
        <v>0</v>
      </c>
      <c r="X483" s="17" t="str">
        <f>CONCATENATE(Data!J481, " ", Data!K481)</f>
        <v xml:space="preserve"> </v>
      </c>
    </row>
    <row r="484" spans="1:24" x14ac:dyDescent="0.3">
      <c r="A484" s="17" t="str">
        <f>Data!A482</f>
        <v>vehicle1</v>
      </c>
      <c r="B484" s="17" t="str">
        <f>Data!B482</f>
        <v>Vehicle, Gasoline or Petrol</v>
      </c>
      <c r="C484" s="17" t="str">
        <f>Data!C482</f>
        <v>1f2g3h4j5k6l</v>
      </c>
      <c r="D484" s="52">
        <f>Data!D482</f>
        <v>45066.155694444446</v>
      </c>
      <c r="E484" s="60" t="str">
        <f>IF(Data!E482="GpsRecord",Data!F482,"")</f>
        <v/>
      </c>
      <c r="F484" s="68" t="str">
        <f t="shared" si="108"/>
        <v>40840 Barto St, Leesburg, FL 34788, USA</v>
      </c>
      <c r="G484" t="b">
        <f t="shared" si="109"/>
        <v>0</v>
      </c>
      <c r="H484" t="b">
        <f t="shared" si="110"/>
        <v>0</v>
      </c>
      <c r="I484" t="b">
        <f t="shared" si="111"/>
        <v>0</v>
      </c>
      <c r="J484" t="str">
        <f t="shared" si="112"/>
        <v/>
      </c>
      <c r="K484" t="str">
        <f t="shared" si="113"/>
        <v/>
      </c>
      <c r="L484" t="str">
        <f t="shared" si="114"/>
        <v>,</v>
      </c>
      <c r="M484" t="str">
        <f t="shared" si="115"/>
        <v/>
      </c>
      <c r="N484" t="str">
        <f t="shared" si="116"/>
        <v/>
      </c>
      <c r="O484" t="str">
        <f t="shared" si="117"/>
        <v/>
      </c>
      <c r="P484" t="str">
        <f t="shared" si="118"/>
        <v/>
      </c>
      <c r="Q484" t="str">
        <f t="shared" si="119"/>
        <v/>
      </c>
      <c r="R484" s="20" t="str">
        <f t="shared" si="120"/>
        <v>FL</v>
      </c>
      <c r="S484" s="20" t="str">
        <f>IF(Data!E482="GpsRecord",Data!G482,"")</f>
        <v/>
      </c>
      <c r="T484" s="20" t="str">
        <f>IF(Data!E482="GpsRecord",Data!H482,"")</f>
        <v/>
      </c>
      <c r="U484" s="20">
        <f t="shared" si="121"/>
        <v>-39.408900000000003</v>
      </c>
      <c r="V484" s="20">
        <f t="shared" si="122"/>
        <v>33.728400000000001</v>
      </c>
      <c r="W484" s="19">
        <f>Data!I482</f>
        <v>0</v>
      </c>
      <c r="X484" s="17" t="str">
        <f>CONCATENATE(Data!J482, " ", Data!K482)</f>
        <v xml:space="preserve"> </v>
      </c>
    </row>
    <row r="485" spans="1:24" x14ac:dyDescent="0.3">
      <c r="A485" s="17" t="str">
        <f>Data!A483</f>
        <v>vehicle1</v>
      </c>
      <c r="B485" s="17" t="str">
        <f>Data!B483</f>
        <v>Vehicle, Gasoline or Petrol</v>
      </c>
      <c r="C485" s="17" t="str">
        <f>Data!C483</f>
        <v>1f2g3h4j5k6l</v>
      </c>
      <c r="D485" s="52">
        <f>Data!D483</f>
        <v>45066.155694444446</v>
      </c>
      <c r="E485" s="60" t="str">
        <f>IF(Data!E483="GpsRecord",Data!F483,"")</f>
        <v/>
      </c>
      <c r="F485" s="68" t="str">
        <f t="shared" si="108"/>
        <v>40840 Barto St, Leesburg, FL 34788, USA</v>
      </c>
      <c r="G485" t="b">
        <f t="shared" si="109"/>
        <v>0</v>
      </c>
      <c r="H485" t="b">
        <f t="shared" si="110"/>
        <v>0</v>
      </c>
      <c r="I485" t="b">
        <f t="shared" si="111"/>
        <v>0</v>
      </c>
      <c r="J485" t="str">
        <f t="shared" si="112"/>
        <v/>
      </c>
      <c r="K485" t="str">
        <f t="shared" si="113"/>
        <v/>
      </c>
      <c r="L485" t="str">
        <f t="shared" si="114"/>
        <v>,</v>
      </c>
      <c r="M485" t="str">
        <f t="shared" si="115"/>
        <v/>
      </c>
      <c r="N485" t="str">
        <f t="shared" si="116"/>
        <v/>
      </c>
      <c r="O485" t="str">
        <f t="shared" si="117"/>
        <v/>
      </c>
      <c r="P485" t="str">
        <f t="shared" si="118"/>
        <v/>
      </c>
      <c r="Q485" t="str">
        <f t="shared" si="119"/>
        <v/>
      </c>
      <c r="R485" s="20" t="str">
        <f t="shared" si="120"/>
        <v>FL</v>
      </c>
      <c r="S485" s="20" t="str">
        <f>IF(Data!E483="GpsRecord",Data!G483,"")</f>
        <v/>
      </c>
      <c r="T485" s="20" t="str">
        <f>IF(Data!E483="GpsRecord",Data!H483,"")</f>
        <v/>
      </c>
      <c r="U485" s="20">
        <f t="shared" si="121"/>
        <v>-39.408900000000003</v>
      </c>
      <c r="V485" s="20">
        <f t="shared" si="122"/>
        <v>33.728400000000001</v>
      </c>
      <c r="W485" s="19">
        <f>Data!I483</f>
        <v>0</v>
      </c>
      <c r="X485" s="17" t="str">
        <f>CONCATENATE(Data!J483, " ", Data!K483)</f>
        <v xml:space="preserve"> </v>
      </c>
    </row>
    <row r="486" spans="1:24" x14ac:dyDescent="0.3">
      <c r="A486" s="17" t="str">
        <f>Data!A484</f>
        <v>vehicle1</v>
      </c>
      <c r="B486" s="17" t="str">
        <f>Data!B484</f>
        <v>Vehicle, Gasoline or Petrol</v>
      </c>
      <c r="C486" s="17" t="str">
        <f>Data!C484</f>
        <v>1f2g3h4j5k6l</v>
      </c>
      <c r="D486" s="52">
        <f>Data!D484</f>
        <v>45066.155694444446</v>
      </c>
      <c r="E486" s="60" t="str">
        <f>IF(Data!E484="GpsRecord",Data!F484,"")</f>
        <v/>
      </c>
      <c r="F486" s="68" t="str">
        <f t="shared" si="108"/>
        <v>40840 Barto St, Leesburg, FL 34788, USA</v>
      </c>
      <c r="G486" t="b">
        <f t="shared" si="109"/>
        <v>0</v>
      </c>
      <c r="H486" t="b">
        <f t="shared" si="110"/>
        <v>0</v>
      </c>
      <c r="I486" t="b">
        <f t="shared" si="111"/>
        <v>0</v>
      </c>
      <c r="J486" t="str">
        <f t="shared" si="112"/>
        <v/>
      </c>
      <c r="K486" t="str">
        <f t="shared" si="113"/>
        <v/>
      </c>
      <c r="L486" t="str">
        <f t="shared" si="114"/>
        <v>,</v>
      </c>
      <c r="M486" t="str">
        <f t="shared" si="115"/>
        <v/>
      </c>
      <c r="N486" t="str">
        <f t="shared" si="116"/>
        <v/>
      </c>
      <c r="O486" t="str">
        <f t="shared" si="117"/>
        <v/>
      </c>
      <c r="P486" t="str">
        <f t="shared" si="118"/>
        <v/>
      </c>
      <c r="Q486" t="str">
        <f t="shared" si="119"/>
        <v/>
      </c>
      <c r="R486" s="20" t="str">
        <f t="shared" si="120"/>
        <v>FL</v>
      </c>
      <c r="S486" s="20" t="str">
        <f>IF(Data!E484="GpsRecord",Data!G484,"")</f>
        <v/>
      </c>
      <c r="T486" s="20" t="str">
        <f>IF(Data!E484="GpsRecord",Data!H484,"")</f>
        <v/>
      </c>
      <c r="U486" s="20">
        <f t="shared" si="121"/>
        <v>-39.408900000000003</v>
      </c>
      <c r="V486" s="20">
        <f t="shared" si="122"/>
        <v>33.728400000000001</v>
      </c>
      <c r="W486" s="19">
        <f>Data!I484</f>
        <v>0</v>
      </c>
      <c r="X486" s="17" t="str">
        <f>CONCATENATE(Data!J484, " ", Data!K484)</f>
        <v xml:space="preserve"> </v>
      </c>
    </row>
    <row r="487" spans="1:24" x14ac:dyDescent="0.3">
      <c r="A487" s="17" t="str">
        <f>Data!A485</f>
        <v>vehicle1</v>
      </c>
      <c r="B487" s="17" t="str">
        <f>Data!B485</f>
        <v>Vehicle, Gasoline or Petrol</v>
      </c>
      <c r="C487" s="17" t="str">
        <f>Data!C485</f>
        <v>1f2g3h4j5k6l</v>
      </c>
      <c r="D487" s="52">
        <f>Data!D485</f>
        <v>45066.155694444446</v>
      </c>
      <c r="E487" s="60" t="str">
        <f>IF(Data!E485="GpsRecord",Data!F485,"")</f>
        <v/>
      </c>
      <c r="F487" s="68" t="str">
        <f t="shared" si="108"/>
        <v>40840 Barto St, Leesburg, FL 34788, USA</v>
      </c>
      <c r="G487" t="b">
        <f t="shared" si="109"/>
        <v>0</v>
      </c>
      <c r="H487" t="b">
        <f t="shared" si="110"/>
        <v>0</v>
      </c>
      <c r="I487" t="b">
        <f t="shared" si="111"/>
        <v>0</v>
      </c>
      <c r="J487" t="str">
        <f t="shared" si="112"/>
        <v/>
      </c>
      <c r="K487" t="str">
        <f t="shared" si="113"/>
        <v/>
      </c>
      <c r="L487" t="str">
        <f t="shared" si="114"/>
        <v>,</v>
      </c>
      <c r="M487" t="str">
        <f t="shared" si="115"/>
        <v/>
      </c>
      <c r="N487" t="str">
        <f t="shared" si="116"/>
        <v/>
      </c>
      <c r="O487" t="str">
        <f t="shared" si="117"/>
        <v/>
      </c>
      <c r="P487" t="str">
        <f t="shared" si="118"/>
        <v/>
      </c>
      <c r="Q487" t="str">
        <f t="shared" si="119"/>
        <v/>
      </c>
      <c r="R487" s="20" t="str">
        <f t="shared" si="120"/>
        <v>FL</v>
      </c>
      <c r="S487" s="20" t="str">
        <f>IF(Data!E485="GpsRecord",Data!G485,"")</f>
        <v/>
      </c>
      <c r="T487" s="20" t="str">
        <f>IF(Data!E485="GpsRecord",Data!H485,"")</f>
        <v/>
      </c>
      <c r="U487" s="20">
        <f t="shared" si="121"/>
        <v>-39.408900000000003</v>
      </c>
      <c r="V487" s="20">
        <f t="shared" si="122"/>
        <v>33.728400000000001</v>
      </c>
      <c r="W487" s="19">
        <f>Data!I485</f>
        <v>0</v>
      </c>
      <c r="X487" s="17" t="str">
        <f>CONCATENATE(Data!J485, " ", Data!K485)</f>
        <v xml:space="preserve"> </v>
      </c>
    </row>
    <row r="488" spans="1:24" x14ac:dyDescent="0.3">
      <c r="A488" s="17" t="str">
        <f>Data!A486</f>
        <v>vehicle1</v>
      </c>
      <c r="B488" s="17" t="str">
        <f>Data!B486</f>
        <v>Vehicle, Gasoline or Petrol</v>
      </c>
      <c r="C488" s="17" t="str">
        <f>Data!C486</f>
        <v>1f2g3h4j5k6l</v>
      </c>
      <c r="D488" s="52">
        <f>Data!D486</f>
        <v>45066.155694444446</v>
      </c>
      <c r="E488" s="60" t="str">
        <f>IF(Data!E486="GpsRecord",Data!F486,"")</f>
        <v/>
      </c>
      <c r="F488" s="68" t="str">
        <f t="shared" si="108"/>
        <v>40840 Barto St, Leesburg, FL 34788, USA</v>
      </c>
      <c r="G488" t="b">
        <f t="shared" si="109"/>
        <v>0</v>
      </c>
      <c r="H488" t="b">
        <f t="shared" si="110"/>
        <v>0</v>
      </c>
      <c r="I488" t="b">
        <f t="shared" si="111"/>
        <v>0</v>
      </c>
      <c r="J488" t="str">
        <f t="shared" si="112"/>
        <v/>
      </c>
      <c r="K488" t="str">
        <f t="shared" si="113"/>
        <v/>
      </c>
      <c r="L488" t="str">
        <f t="shared" si="114"/>
        <v>,</v>
      </c>
      <c r="M488" t="str">
        <f t="shared" si="115"/>
        <v/>
      </c>
      <c r="N488" t="str">
        <f t="shared" si="116"/>
        <v/>
      </c>
      <c r="O488" t="str">
        <f t="shared" si="117"/>
        <v/>
      </c>
      <c r="P488" t="str">
        <f t="shared" si="118"/>
        <v/>
      </c>
      <c r="Q488" t="str">
        <f t="shared" si="119"/>
        <v/>
      </c>
      <c r="R488" s="20" t="str">
        <f t="shared" si="120"/>
        <v>FL</v>
      </c>
      <c r="S488" s="20" t="str">
        <f>IF(Data!E486="GpsRecord",Data!G486,"")</f>
        <v/>
      </c>
      <c r="T488" s="20" t="str">
        <f>IF(Data!E486="GpsRecord",Data!H486,"")</f>
        <v/>
      </c>
      <c r="U488" s="20">
        <f t="shared" si="121"/>
        <v>-39.408900000000003</v>
      </c>
      <c r="V488" s="20">
        <f t="shared" si="122"/>
        <v>33.728400000000001</v>
      </c>
      <c r="W488" s="19">
        <f>Data!I486</f>
        <v>0</v>
      </c>
      <c r="X488" s="17" t="str">
        <f>CONCATENATE(Data!J486, " ", Data!K486)</f>
        <v xml:space="preserve"> </v>
      </c>
    </row>
    <row r="489" spans="1:24" x14ac:dyDescent="0.3">
      <c r="A489" s="17" t="str">
        <f>Data!A487</f>
        <v>vehicle1</v>
      </c>
      <c r="B489" s="17" t="str">
        <f>Data!B487</f>
        <v>Vehicle, Gasoline or Petrol</v>
      </c>
      <c r="C489" s="17" t="str">
        <f>Data!C487</f>
        <v>1f2g3h4j5k6l</v>
      </c>
      <c r="D489" s="52">
        <f>Data!D487</f>
        <v>45066.155694444446</v>
      </c>
      <c r="E489" s="60" t="str">
        <f>IF(Data!E487="GpsRecord",Data!F487,"")</f>
        <v/>
      </c>
      <c r="F489" s="68" t="str">
        <f t="shared" si="108"/>
        <v>40840 Barto St, Leesburg, FL 34788, USA</v>
      </c>
      <c r="G489" t="b">
        <f t="shared" si="109"/>
        <v>0</v>
      </c>
      <c r="H489" t="b">
        <f t="shared" si="110"/>
        <v>0</v>
      </c>
      <c r="I489" t="b">
        <f t="shared" si="111"/>
        <v>0</v>
      </c>
      <c r="J489" t="str">
        <f t="shared" si="112"/>
        <v/>
      </c>
      <c r="K489" t="str">
        <f t="shared" si="113"/>
        <v/>
      </c>
      <c r="L489" t="str">
        <f t="shared" si="114"/>
        <v>,</v>
      </c>
      <c r="M489" t="str">
        <f t="shared" si="115"/>
        <v/>
      </c>
      <c r="N489" t="str">
        <f t="shared" si="116"/>
        <v/>
      </c>
      <c r="O489" t="str">
        <f t="shared" si="117"/>
        <v/>
      </c>
      <c r="P489" t="str">
        <f t="shared" si="118"/>
        <v/>
      </c>
      <c r="Q489" t="str">
        <f t="shared" si="119"/>
        <v/>
      </c>
      <c r="R489" s="20" t="str">
        <f t="shared" si="120"/>
        <v>FL</v>
      </c>
      <c r="S489" s="20" t="str">
        <f>IF(Data!E487="GpsRecord",Data!G487,"")</f>
        <v/>
      </c>
      <c r="T489" s="20" t="str">
        <f>IF(Data!E487="GpsRecord",Data!H487,"")</f>
        <v/>
      </c>
      <c r="U489" s="20">
        <f t="shared" si="121"/>
        <v>-39.408900000000003</v>
      </c>
      <c r="V489" s="20">
        <f t="shared" si="122"/>
        <v>33.728400000000001</v>
      </c>
      <c r="W489" s="19">
        <f>Data!I487</f>
        <v>0</v>
      </c>
      <c r="X489" s="17" t="str">
        <f>CONCATENATE(Data!J487, " ", Data!K487)</f>
        <v xml:space="preserve"> </v>
      </c>
    </row>
    <row r="490" spans="1:24" x14ac:dyDescent="0.3">
      <c r="A490" s="17" t="str">
        <f>Data!A488</f>
        <v>vehicle1</v>
      </c>
      <c r="B490" s="17" t="str">
        <f>Data!B488</f>
        <v>Vehicle, Gasoline or Petrol</v>
      </c>
      <c r="C490" s="17" t="str">
        <f>Data!C488</f>
        <v>1f2g3h4j5k6l</v>
      </c>
      <c r="D490" s="52">
        <f>Data!D488</f>
        <v>45066.155694444446</v>
      </c>
      <c r="E490" s="60" t="str">
        <f>IF(Data!E488="GpsRecord",Data!F488,"")</f>
        <v/>
      </c>
      <c r="F490" s="68" t="str">
        <f t="shared" si="108"/>
        <v>40840 Barto St, Leesburg, FL 34788, USA</v>
      </c>
      <c r="G490" t="b">
        <f t="shared" si="109"/>
        <v>0</v>
      </c>
      <c r="H490" t="b">
        <f t="shared" si="110"/>
        <v>0</v>
      </c>
      <c r="I490" t="b">
        <f t="shared" si="111"/>
        <v>0</v>
      </c>
      <c r="J490" t="str">
        <f t="shared" si="112"/>
        <v/>
      </c>
      <c r="K490" t="str">
        <f t="shared" si="113"/>
        <v/>
      </c>
      <c r="L490" t="str">
        <f t="shared" si="114"/>
        <v>,</v>
      </c>
      <c r="M490" t="str">
        <f t="shared" si="115"/>
        <v/>
      </c>
      <c r="N490" t="str">
        <f t="shared" si="116"/>
        <v/>
      </c>
      <c r="O490" t="str">
        <f t="shared" si="117"/>
        <v/>
      </c>
      <c r="P490" t="str">
        <f t="shared" si="118"/>
        <v/>
      </c>
      <c r="Q490" t="str">
        <f t="shared" si="119"/>
        <v/>
      </c>
      <c r="R490" s="20" t="str">
        <f t="shared" si="120"/>
        <v>FL</v>
      </c>
      <c r="S490" s="20" t="str">
        <f>IF(Data!E488="GpsRecord",Data!G488,"")</f>
        <v/>
      </c>
      <c r="T490" s="20" t="str">
        <f>IF(Data!E488="GpsRecord",Data!H488,"")</f>
        <v/>
      </c>
      <c r="U490" s="20">
        <f t="shared" si="121"/>
        <v>-39.408900000000003</v>
      </c>
      <c r="V490" s="20">
        <f t="shared" si="122"/>
        <v>33.728400000000001</v>
      </c>
      <c r="W490" s="19">
        <f>Data!I488</f>
        <v>0</v>
      </c>
      <c r="X490" s="17" t="str">
        <f>CONCATENATE(Data!J488, " ", Data!K488)</f>
        <v xml:space="preserve"> </v>
      </c>
    </row>
    <row r="491" spans="1:24" x14ac:dyDescent="0.3">
      <c r="A491" s="17" t="str">
        <f>Data!A489</f>
        <v>vehicle1</v>
      </c>
      <c r="B491" s="17" t="str">
        <f>Data!B489</f>
        <v>Vehicle, Gasoline or Petrol</v>
      </c>
      <c r="C491" s="17" t="str">
        <f>Data!C489</f>
        <v>1f2g3h4j5k6l</v>
      </c>
      <c r="D491" s="52">
        <f>Data!D489</f>
        <v>45066.155694444446</v>
      </c>
      <c r="E491" s="60" t="str">
        <f>IF(Data!E489="GpsRecord",Data!F489,"")</f>
        <v/>
      </c>
      <c r="F491" s="68" t="str">
        <f t="shared" si="108"/>
        <v>40840 Barto St, Leesburg, FL 34788, USA</v>
      </c>
      <c r="G491" t="b">
        <f t="shared" si="109"/>
        <v>0</v>
      </c>
      <c r="H491" t="b">
        <f t="shared" si="110"/>
        <v>0</v>
      </c>
      <c r="I491" t="b">
        <f t="shared" si="111"/>
        <v>0</v>
      </c>
      <c r="J491" t="str">
        <f t="shared" si="112"/>
        <v/>
      </c>
      <c r="K491" t="str">
        <f t="shared" si="113"/>
        <v/>
      </c>
      <c r="L491" t="str">
        <f t="shared" si="114"/>
        <v>,</v>
      </c>
      <c r="M491" t="str">
        <f t="shared" si="115"/>
        <v/>
      </c>
      <c r="N491" t="str">
        <f t="shared" si="116"/>
        <v/>
      </c>
      <c r="O491" t="str">
        <f t="shared" si="117"/>
        <v/>
      </c>
      <c r="P491" t="str">
        <f t="shared" si="118"/>
        <v/>
      </c>
      <c r="Q491" t="str">
        <f t="shared" si="119"/>
        <v/>
      </c>
      <c r="R491" s="20" t="str">
        <f t="shared" si="120"/>
        <v>FL</v>
      </c>
      <c r="S491" s="20" t="str">
        <f>IF(Data!E489="GpsRecord",Data!G489,"")</f>
        <v/>
      </c>
      <c r="T491" s="20" t="str">
        <f>IF(Data!E489="GpsRecord",Data!H489,"")</f>
        <v/>
      </c>
      <c r="U491" s="20">
        <f t="shared" si="121"/>
        <v>-39.408900000000003</v>
      </c>
      <c r="V491" s="20">
        <f t="shared" si="122"/>
        <v>33.728400000000001</v>
      </c>
      <c r="W491" s="19">
        <f>Data!I489</f>
        <v>0</v>
      </c>
      <c r="X491" s="17" t="str">
        <f>CONCATENATE(Data!J489, " ", Data!K489)</f>
        <v xml:space="preserve"> </v>
      </c>
    </row>
    <row r="492" spans="1:24" x14ac:dyDescent="0.3">
      <c r="A492" s="17" t="str">
        <f>Data!A490</f>
        <v>vehicle1</v>
      </c>
      <c r="B492" s="17" t="str">
        <f>Data!B490</f>
        <v>Vehicle, Gasoline or Petrol</v>
      </c>
      <c r="C492" s="17" t="str">
        <f>Data!C490</f>
        <v>1f2g3h4j5k6l</v>
      </c>
      <c r="D492" s="52">
        <f>Data!D490</f>
        <v>45066.155694444446</v>
      </c>
      <c r="E492" s="60" t="str">
        <f>IF(Data!E490="GpsRecord",Data!F490,"")</f>
        <v/>
      </c>
      <c r="F492" s="68" t="str">
        <f t="shared" si="108"/>
        <v>40840 Barto St, Leesburg, FL 34788, USA</v>
      </c>
      <c r="G492" t="b">
        <f t="shared" si="109"/>
        <v>0</v>
      </c>
      <c r="H492" t="b">
        <f t="shared" si="110"/>
        <v>0</v>
      </c>
      <c r="I492" t="b">
        <f t="shared" si="111"/>
        <v>0</v>
      </c>
      <c r="J492" t="str">
        <f t="shared" si="112"/>
        <v/>
      </c>
      <c r="K492" t="str">
        <f t="shared" si="113"/>
        <v/>
      </c>
      <c r="L492" t="str">
        <f t="shared" si="114"/>
        <v>,</v>
      </c>
      <c r="M492" t="str">
        <f t="shared" si="115"/>
        <v/>
      </c>
      <c r="N492" t="str">
        <f t="shared" si="116"/>
        <v/>
      </c>
      <c r="O492" t="str">
        <f t="shared" si="117"/>
        <v/>
      </c>
      <c r="P492" t="str">
        <f t="shared" si="118"/>
        <v/>
      </c>
      <c r="Q492" t="str">
        <f t="shared" si="119"/>
        <v/>
      </c>
      <c r="R492" s="20" t="str">
        <f t="shared" si="120"/>
        <v>FL</v>
      </c>
      <c r="S492" s="20" t="str">
        <f>IF(Data!E490="GpsRecord",Data!G490,"")</f>
        <v/>
      </c>
      <c r="T492" s="20" t="str">
        <f>IF(Data!E490="GpsRecord",Data!H490,"")</f>
        <v/>
      </c>
      <c r="U492" s="20">
        <f t="shared" si="121"/>
        <v>-39.408900000000003</v>
      </c>
      <c r="V492" s="20">
        <f t="shared" si="122"/>
        <v>33.728400000000001</v>
      </c>
      <c r="W492" s="19">
        <f>Data!I490</f>
        <v>0</v>
      </c>
      <c r="X492" s="17" t="str">
        <f>CONCATENATE(Data!J490, " ", Data!K490)</f>
        <v xml:space="preserve"> </v>
      </c>
    </row>
    <row r="493" spans="1:24" x14ac:dyDescent="0.3">
      <c r="A493" s="17" t="str">
        <f>Data!A491</f>
        <v>vehicle1</v>
      </c>
      <c r="B493" s="17" t="str">
        <f>Data!B491</f>
        <v>Vehicle, Gasoline or Petrol</v>
      </c>
      <c r="C493" s="17" t="str">
        <f>Data!C491</f>
        <v>1f2g3h4j5k6l</v>
      </c>
      <c r="D493" s="52">
        <f>Data!D491</f>
        <v>45066.155694444446</v>
      </c>
      <c r="E493" s="60" t="str">
        <f>IF(Data!E491="GpsRecord",Data!F491,"")</f>
        <v/>
      </c>
      <c r="F493" s="68" t="str">
        <f t="shared" si="108"/>
        <v>40840 Barto St, Leesburg, FL 34788, USA</v>
      </c>
      <c r="G493" t="b">
        <f t="shared" si="109"/>
        <v>0</v>
      </c>
      <c r="H493" t="b">
        <f t="shared" si="110"/>
        <v>0</v>
      </c>
      <c r="I493" t="b">
        <f t="shared" si="111"/>
        <v>0</v>
      </c>
      <c r="J493" t="str">
        <f t="shared" si="112"/>
        <v/>
      </c>
      <c r="K493" t="str">
        <f t="shared" si="113"/>
        <v/>
      </c>
      <c r="L493" t="str">
        <f t="shared" si="114"/>
        <v>,</v>
      </c>
      <c r="M493" t="str">
        <f t="shared" si="115"/>
        <v/>
      </c>
      <c r="N493" t="str">
        <f t="shared" si="116"/>
        <v/>
      </c>
      <c r="O493" t="str">
        <f t="shared" si="117"/>
        <v/>
      </c>
      <c r="P493" t="str">
        <f t="shared" si="118"/>
        <v/>
      </c>
      <c r="Q493" t="str">
        <f t="shared" si="119"/>
        <v/>
      </c>
      <c r="R493" s="20" t="str">
        <f t="shared" si="120"/>
        <v>FL</v>
      </c>
      <c r="S493" s="20" t="str">
        <f>IF(Data!E491="GpsRecord",Data!G491,"")</f>
        <v/>
      </c>
      <c r="T493" s="20" t="str">
        <f>IF(Data!E491="GpsRecord",Data!H491,"")</f>
        <v/>
      </c>
      <c r="U493" s="20">
        <f t="shared" si="121"/>
        <v>-39.408900000000003</v>
      </c>
      <c r="V493" s="20">
        <f t="shared" si="122"/>
        <v>33.728400000000001</v>
      </c>
      <c r="W493" s="19" t="str">
        <f>Data!I491</f>
        <v>Engine road speed</v>
      </c>
      <c r="X493" s="17" t="str">
        <f>CONCATENATE(Data!J491, " ", Data!K491)</f>
        <v>47 km/h</v>
      </c>
    </row>
    <row r="494" spans="1:24" x14ac:dyDescent="0.3">
      <c r="A494" s="17" t="str">
        <f>Data!A492</f>
        <v>vehicle1</v>
      </c>
      <c r="B494" s="17" t="str">
        <f>Data!B492</f>
        <v>Vehicle, Gasoline or Petrol</v>
      </c>
      <c r="C494" s="17" t="str">
        <f>Data!C492</f>
        <v>1f2g3h4j5k6l</v>
      </c>
      <c r="D494" s="52">
        <f>Data!D492</f>
        <v>45066.155706018515</v>
      </c>
      <c r="E494" s="60" t="str">
        <f>IF(Data!E492="GpsRecord",Data!F492,"")</f>
        <v>1501 E U.s. 6, Hamlet, IN 46532, USA</v>
      </c>
      <c r="F494" s="68" t="str">
        <f t="shared" si="108"/>
        <v>1501 E U.s. 6, Hamlet, IN 46532, USA</v>
      </c>
      <c r="G494" t="b">
        <f t="shared" si="109"/>
        <v>0</v>
      </c>
      <c r="H494" t="b">
        <f t="shared" si="110"/>
        <v>1</v>
      </c>
      <c r="I494" t="b">
        <f t="shared" si="111"/>
        <v>1</v>
      </c>
      <c r="J494" t="str">
        <f t="shared" si="112"/>
        <v>1501 E U.s. 6, Hamlet, IN 46532, USA</v>
      </c>
      <c r="K494" t="str">
        <f t="shared" si="113"/>
        <v xml:space="preserve"> USA</v>
      </c>
      <c r="L494" t="str">
        <f t="shared" si="114"/>
        <v>, USA</v>
      </c>
      <c r="M494" t="str">
        <f t="shared" si="115"/>
        <v>1501 E U.s. 6, Hamlet, IN 46532</v>
      </c>
      <c r="N494" t="str">
        <f t="shared" si="116"/>
        <v xml:space="preserve"> IN 46532</v>
      </c>
      <c r="O494" t="str">
        <f t="shared" si="117"/>
        <v>46532</v>
      </c>
      <c r="P494" t="str">
        <f t="shared" si="118"/>
        <v xml:space="preserve"> IN</v>
      </c>
      <c r="Q494" t="str">
        <f t="shared" si="119"/>
        <v>IN</v>
      </c>
      <c r="R494" s="20" t="str">
        <f t="shared" si="120"/>
        <v>IN</v>
      </c>
      <c r="S494" s="20">
        <f>IF(Data!E492="GpsRecord",Data!G492,"")</f>
        <v>-39.408569999999997</v>
      </c>
      <c r="T494" s="20">
        <f>IF(Data!E492="GpsRecord",Data!H492,"")</f>
        <v>33.72871</v>
      </c>
      <c r="U494" s="20">
        <f t="shared" si="121"/>
        <v>-39.408569999999997</v>
      </c>
      <c r="V494" s="20">
        <f t="shared" si="122"/>
        <v>33.72871</v>
      </c>
      <c r="W494" s="19">
        <f>Data!I492</f>
        <v>0</v>
      </c>
      <c r="X494" s="17" t="str">
        <f>CONCATENATE(Data!J492, " ", Data!K492)</f>
        <v xml:space="preserve"> </v>
      </c>
    </row>
    <row r="495" spans="1:24" x14ac:dyDescent="0.3">
      <c r="A495" s="17" t="str">
        <f>Data!A493</f>
        <v>vehicle1</v>
      </c>
      <c r="B495" s="17" t="str">
        <f>Data!B493</f>
        <v>Vehicle, Gasoline or Petrol</v>
      </c>
      <c r="C495" s="17" t="str">
        <f>Data!C493</f>
        <v>1f2g3h4j5k6l</v>
      </c>
      <c r="D495" s="52">
        <f>Data!D493</f>
        <v>45066.155740740738</v>
      </c>
      <c r="E495" s="60" t="str">
        <f>IF(Data!E493="GpsRecord",Data!F493,"")</f>
        <v/>
      </c>
      <c r="F495" s="68" t="str">
        <f t="shared" si="108"/>
        <v>1501 E U.s. 6, Hamlet, IN 46532, USA</v>
      </c>
      <c r="G495" t="b">
        <f t="shared" si="109"/>
        <v>0</v>
      </c>
      <c r="H495" t="b">
        <f t="shared" si="110"/>
        <v>0</v>
      </c>
      <c r="I495" t="b">
        <f t="shared" si="111"/>
        <v>0</v>
      </c>
      <c r="J495" t="str">
        <f t="shared" si="112"/>
        <v/>
      </c>
      <c r="K495" t="str">
        <f t="shared" si="113"/>
        <v/>
      </c>
      <c r="L495" t="str">
        <f t="shared" si="114"/>
        <v>,</v>
      </c>
      <c r="M495" t="str">
        <f t="shared" si="115"/>
        <v/>
      </c>
      <c r="N495" t="str">
        <f t="shared" si="116"/>
        <v/>
      </c>
      <c r="O495" t="str">
        <f t="shared" si="117"/>
        <v/>
      </c>
      <c r="P495" t="str">
        <f t="shared" si="118"/>
        <v/>
      </c>
      <c r="Q495" t="str">
        <f t="shared" si="119"/>
        <v/>
      </c>
      <c r="R495" s="20" t="str">
        <f t="shared" si="120"/>
        <v>IN</v>
      </c>
      <c r="S495" s="20" t="str">
        <f>IF(Data!E493="GpsRecord",Data!G493,"")</f>
        <v/>
      </c>
      <c r="T495" s="20" t="str">
        <f>IF(Data!E493="GpsRecord",Data!H493,"")</f>
        <v/>
      </c>
      <c r="U495" s="20">
        <f t="shared" si="121"/>
        <v>-39.408569999999997</v>
      </c>
      <c r="V495" s="20">
        <f t="shared" si="122"/>
        <v>33.72871</v>
      </c>
      <c r="W495" s="19" t="str">
        <f>Data!I493</f>
        <v>Generic incremental distance (based on engine road speed)</v>
      </c>
      <c r="X495" s="17" t="str">
        <f>CONCATENATE(Data!J493, " ", Data!K493)</f>
        <v>2 km</v>
      </c>
    </row>
    <row r="496" spans="1:24" x14ac:dyDescent="0.3">
      <c r="A496" s="17" t="str">
        <f>Data!A494</f>
        <v>vehicle1</v>
      </c>
      <c r="B496" s="17" t="str">
        <f>Data!B494</f>
        <v>Vehicle, Gasoline or Petrol</v>
      </c>
      <c r="C496" s="17" t="str">
        <f>Data!C494</f>
        <v>1f2g3h4j5k6l</v>
      </c>
      <c r="D496" s="52">
        <f>Data!D494</f>
        <v>45066.155763888892</v>
      </c>
      <c r="E496" s="60" t="str">
        <f>IF(Data!E494="GpsRecord",Data!F494,"")</f>
        <v/>
      </c>
      <c r="F496" s="68" t="str">
        <f t="shared" si="108"/>
        <v>1501 E U.s. 6, Hamlet, IN 46532, USA</v>
      </c>
      <c r="G496" t="b">
        <f t="shared" si="109"/>
        <v>0</v>
      </c>
      <c r="H496" t="b">
        <f t="shared" si="110"/>
        <v>0</v>
      </c>
      <c r="I496" t="b">
        <f t="shared" si="111"/>
        <v>0</v>
      </c>
      <c r="J496" t="str">
        <f t="shared" si="112"/>
        <v/>
      </c>
      <c r="K496" t="str">
        <f t="shared" si="113"/>
        <v/>
      </c>
      <c r="L496" t="str">
        <f t="shared" si="114"/>
        <v>,</v>
      </c>
      <c r="M496" t="str">
        <f t="shared" si="115"/>
        <v/>
      </c>
      <c r="N496" t="str">
        <f t="shared" si="116"/>
        <v/>
      </c>
      <c r="O496" t="str">
        <f t="shared" si="117"/>
        <v/>
      </c>
      <c r="P496" t="str">
        <f t="shared" si="118"/>
        <v/>
      </c>
      <c r="Q496" t="str">
        <f t="shared" si="119"/>
        <v/>
      </c>
      <c r="R496" s="20" t="str">
        <f t="shared" si="120"/>
        <v>IN</v>
      </c>
      <c r="S496" s="20" t="str">
        <f>IF(Data!E494="GpsRecord",Data!G494,"")</f>
        <v/>
      </c>
      <c r="T496" s="20" t="str">
        <f>IF(Data!E494="GpsRecord",Data!H494,"")</f>
        <v/>
      </c>
      <c r="U496" s="20">
        <f t="shared" si="121"/>
        <v>-39.408569999999997</v>
      </c>
      <c r="V496" s="20">
        <f t="shared" si="122"/>
        <v>33.72871</v>
      </c>
      <c r="W496" s="19">
        <f>Data!I494</f>
        <v>0</v>
      </c>
      <c r="X496" s="17" t="str">
        <f>CONCATENATE(Data!J494, " ", Data!K494)</f>
        <v xml:space="preserve"> </v>
      </c>
    </row>
    <row r="497" spans="1:24" x14ac:dyDescent="0.3">
      <c r="A497" s="17" t="str">
        <f>Data!A495</f>
        <v>vehicle1</v>
      </c>
      <c r="B497" s="17" t="str">
        <f>Data!B495</f>
        <v>Vehicle, Gasoline or Petrol</v>
      </c>
      <c r="C497" s="17" t="str">
        <f>Data!C495</f>
        <v>1f2g3h4j5k6l</v>
      </c>
      <c r="D497" s="52">
        <f>Data!D495</f>
        <v>45066.155787037038</v>
      </c>
      <c r="E497" s="60" t="str">
        <f>IF(Data!E495="GpsRecord",Data!F495,"")</f>
        <v/>
      </c>
      <c r="F497" s="68" t="str">
        <f t="shared" si="108"/>
        <v>1501 E U.s. 6, Hamlet, IN 46532, USA</v>
      </c>
      <c r="G497" t="b">
        <f t="shared" si="109"/>
        <v>0</v>
      </c>
      <c r="H497" t="b">
        <f t="shared" si="110"/>
        <v>0</v>
      </c>
      <c r="I497" t="b">
        <f t="shared" si="111"/>
        <v>0</v>
      </c>
      <c r="J497" t="str">
        <f t="shared" si="112"/>
        <v/>
      </c>
      <c r="K497" t="str">
        <f t="shared" si="113"/>
        <v/>
      </c>
      <c r="L497" t="str">
        <f t="shared" si="114"/>
        <v>,</v>
      </c>
      <c r="M497" t="str">
        <f t="shared" si="115"/>
        <v/>
      </c>
      <c r="N497" t="str">
        <f t="shared" si="116"/>
        <v/>
      </c>
      <c r="O497" t="str">
        <f t="shared" si="117"/>
        <v/>
      </c>
      <c r="P497" t="str">
        <f t="shared" si="118"/>
        <v/>
      </c>
      <c r="Q497" t="str">
        <f t="shared" si="119"/>
        <v/>
      </c>
      <c r="R497" s="20" t="str">
        <f t="shared" si="120"/>
        <v>IN</v>
      </c>
      <c r="S497" s="20" t="str">
        <f>IF(Data!E495="GpsRecord",Data!G495,"")</f>
        <v/>
      </c>
      <c r="T497" s="20" t="str">
        <f>IF(Data!E495="GpsRecord",Data!H495,"")</f>
        <v/>
      </c>
      <c r="U497" s="20">
        <f t="shared" si="121"/>
        <v>-39.408569999999997</v>
      </c>
      <c r="V497" s="20">
        <f t="shared" si="122"/>
        <v>33.72871</v>
      </c>
      <c r="W497" s="19" t="str">
        <f>Data!I495</f>
        <v>Fuel level (percentage)</v>
      </c>
      <c r="X497" s="17" t="str">
        <f>CONCATENATE(Data!J495, " ", Data!K495)</f>
        <v>56.0703 %</v>
      </c>
    </row>
    <row r="498" spans="1:24" x14ac:dyDescent="0.3">
      <c r="A498" s="17" t="str">
        <f>Data!A496</f>
        <v>vehicle1</v>
      </c>
      <c r="B498" s="17" t="str">
        <f>Data!B496</f>
        <v>Vehicle, Gasoline or Petrol</v>
      </c>
      <c r="C498" s="17" t="str">
        <f>Data!C496</f>
        <v>1f2g3h4j5k6l</v>
      </c>
      <c r="D498" s="52">
        <f>Data!D496</f>
        <v>45066.155798611115</v>
      </c>
      <c r="E498" s="60" t="str">
        <f>IF(Data!E496="GpsRecord",Data!F496,"")</f>
        <v/>
      </c>
      <c r="F498" s="68" t="str">
        <f t="shared" si="108"/>
        <v>1501 E U.s. 6, Hamlet, IN 46532, USA</v>
      </c>
      <c r="G498" t="b">
        <f t="shared" si="109"/>
        <v>0</v>
      </c>
      <c r="H498" t="b">
        <f t="shared" si="110"/>
        <v>0</v>
      </c>
      <c r="I498" t="b">
        <f t="shared" si="111"/>
        <v>0</v>
      </c>
      <c r="J498" t="str">
        <f t="shared" si="112"/>
        <v/>
      </c>
      <c r="K498" t="str">
        <f t="shared" si="113"/>
        <v/>
      </c>
      <c r="L498" t="str">
        <f t="shared" si="114"/>
        <v>,</v>
      </c>
      <c r="M498" t="str">
        <f t="shared" si="115"/>
        <v/>
      </c>
      <c r="N498" t="str">
        <f t="shared" si="116"/>
        <v/>
      </c>
      <c r="O498" t="str">
        <f t="shared" si="117"/>
        <v/>
      </c>
      <c r="P498" t="str">
        <f t="shared" si="118"/>
        <v/>
      </c>
      <c r="Q498" t="str">
        <f t="shared" si="119"/>
        <v/>
      </c>
      <c r="R498" s="20" t="str">
        <f t="shared" si="120"/>
        <v>IN</v>
      </c>
      <c r="S498" s="20" t="str">
        <f>IF(Data!E496="GpsRecord",Data!G496,"")</f>
        <v/>
      </c>
      <c r="T498" s="20" t="str">
        <f>IF(Data!E496="GpsRecord",Data!H496,"")</f>
        <v/>
      </c>
      <c r="U498" s="20">
        <f t="shared" si="121"/>
        <v>-39.408569999999997</v>
      </c>
      <c r="V498" s="20">
        <f t="shared" si="122"/>
        <v>33.72871</v>
      </c>
      <c r="W498" s="19" t="str">
        <f>Data!I496</f>
        <v>Trip distance accumulator road speed</v>
      </c>
      <c r="X498" s="17" t="str">
        <f>CONCATENATE(Data!J496, " ", Data!K496)</f>
        <v>2.1 km</v>
      </c>
    </row>
    <row r="499" spans="1:24" x14ac:dyDescent="0.3">
      <c r="A499" s="17" t="str">
        <f>Data!A497</f>
        <v>vehicle1</v>
      </c>
      <c r="B499" s="17" t="str">
        <f>Data!B497</f>
        <v>Vehicle, Gasoline or Petrol</v>
      </c>
      <c r="C499" s="17" t="str">
        <f>Data!C497</f>
        <v>1f2g3h4j5k6l</v>
      </c>
      <c r="D499" s="52">
        <f>Data!D497</f>
        <v>45066.155798611115</v>
      </c>
      <c r="E499" s="60" t="str">
        <f>IF(Data!E497="GpsRecord",Data!F497,"")</f>
        <v/>
      </c>
      <c r="F499" s="68" t="str">
        <f t="shared" si="108"/>
        <v>1501 E U.s. 6, Hamlet, IN 46532, USA</v>
      </c>
      <c r="G499" t="b">
        <f t="shared" si="109"/>
        <v>0</v>
      </c>
      <c r="H499" t="b">
        <f t="shared" si="110"/>
        <v>0</v>
      </c>
      <c r="I499" t="b">
        <f t="shared" si="111"/>
        <v>0</v>
      </c>
      <c r="J499" t="str">
        <f t="shared" si="112"/>
        <v/>
      </c>
      <c r="K499" t="str">
        <f t="shared" si="113"/>
        <v/>
      </c>
      <c r="L499" t="str">
        <f t="shared" si="114"/>
        <v>,</v>
      </c>
      <c r="M499" t="str">
        <f t="shared" si="115"/>
        <v/>
      </c>
      <c r="N499" t="str">
        <f t="shared" si="116"/>
        <v/>
      </c>
      <c r="O499" t="str">
        <f t="shared" si="117"/>
        <v/>
      </c>
      <c r="P499" t="str">
        <f t="shared" si="118"/>
        <v/>
      </c>
      <c r="Q499" t="str">
        <f t="shared" si="119"/>
        <v/>
      </c>
      <c r="R499" s="20" t="str">
        <f t="shared" si="120"/>
        <v>IN</v>
      </c>
      <c r="S499" s="20" t="str">
        <f>IF(Data!E497="GpsRecord",Data!G497,"")</f>
        <v/>
      </c>
      <c r="T499" s="20" t="str">
        <f>IF(Data!E497="GpsRecord",Data!H497,"")</f>
        <v/>
      </c>
      <c r="U499" s="20">
        <f t="shared" si="121"/>
        <v>-39.408569999999997</v>
      </c>
      <c r="V499" s="20">
        <f t="shared" si="122"/>
        <v>33.72871</v>
      </c>
      <c r="W499" s="19" t="str">
        <f>Data!I497</f>
        <v>Trip distance accumulator GPS</v>
      </c>
      <c r="X499" s="17" t="str">
        <f>CONCATENATE(Data!J497, " ", Data!K497)</f>
        <v>2.1 km</v>
      </c>
    </row>
    <row r="500" spans="1:24" x14ac:dyDescent="0.3">
      <c r="A500" s="17" t="str">
        <f>Data!A498</f>
        <v>vehicle1</v>
      </c>
      <c r="B500" s="17" t="str">
        <f>Data!B498</f>
        <v>Vehicle, Gasoline or Petrol</v>
      </c>
      <c r="C500" s="17" t="str">
        <f>Data!C498</f>
        <v>1f2g3h4j5k6l</v>
      </c>
      <c r="D500" s="52">
        <f>Data!D498</f>
        <v>45066.155833333331</v>
      </c>
      <c r="E500" s="60" t="str">
        <f>IF(Data!E498="GpsRecord",Data!F498,"")</f>
        <v/>
      </c>
      <c r="F500" s="68" t="str">
        <f t="shared" si="108"/>
        <v>1501 E U.s. 6, Hamlet, IN 46532, USA</v>
      </c>
      <c r="G500" t="b">
        <f t="shared" si="109"/>
        <v>0</v>
      </c>
      <c r="H500" t="b">
        <f t="shared" si="110"/>
        <v>0</v>
      </c>
      <c r="I500" t="b">
        <f t="shared" si="111"/>
        <v>0</v>
      </c>
      <c r="J500" t="str">
        <f t="shared" si="112"/>
        <v/>
      </c>
      <c r="K500" t="str">
        <f t="shared" si="113"/>
        <v/>
      </c>
      <c r="L500" t="str">
        <f t="shared" si="114"/>
        <v>,</v>
      </c>
      <c r="M500" t="str">
        <f t="shared" si="115"/>
        <v/>
      </c>
      <c r="N500" t="str">
        <f t="shared" si="116"/>
        <v/>
      </c>
      <c r="O500" t="str">
        <f t="shared" si="117"/>
        <v/>
      </c>
      <c r="P500" t="str">
        <f t="shared" si="118"/>
        <v/>
      </c>
      <c r="Q500" t="str">
        <f t="shared" si="119"/>
        <v/>
      </c>
      <c r="R500" s="20" t="str">
        <f t="shared" si="120"/>
        <v>IN</v>
      </c>
      <c r="S500" s="20" t="str">
        <f>IF(Data!E498="GpsRecord",Data!G498,"")</f>
        <v/>
      </c>
      <c r="T500" s="20" t="str">
        <f>IF(Data!E498="GpsRecord",Data!H498,"")</f>
        <v/>
      </c>
      <c r="U500" s="20">
        <f t="shared" si="121"/>
        <v>-39.408569999999997</v>
      </c>
      <c r="V500" s="20">
        <f t="shared" si="122"/>
        <v>33.72871</v>
      </c>
      <c r="W500" s="19" t="str">
        <f>Data!I498</f>
        <v>ADAS left lane departure warning</v>
      </c>
      <c r="X500" s="17" t="str">
        <f>CONCATENATE(Data!J498, " ", Data!K498)</f>
        <v>1 None</v>
      </c>
    </row>
    <row r="501" spans="1:24" x14ac:dyDescent="0.3">
      <c r="A501" s="17" t="str">
        <f>Data!A499</f>
        <v>vehicle1</v>
      </c>
      <c r="B501" s="17" t="str">
        <f>Data!B499</f>
        <v>Vehicle, Gasoline or Petrol</v>
      </c>
      <c r="C501" s="17" t="str">
        <f>Data!C499</f>
        <v>1f2g3h4j5k6l</v>
      </c>
      <c r="D501" s="52">
        <f>Data!D499</f>
        <v>45066.155833333331</v>
      </c>
      <c r="E501" s="60" t="str">
        <f>IF(Data!E499="GpsRecord",Data!F499,"")</f>
        <v/>
      </c>
      <c r="F501" s="68" t="str">
        <f t="shared" si="108"/>
        <v>1501 E U.s. 6, Hamlet, IN 46532, USA</v>
      </c>
      <c r="G501" t="b">
        <f t="shared" si="109"/>
        <v>0</v>
      </c>
      <c r="H501" t="b">
        <f t="shared" si="110"/>
        <v>0</v>
      </c>
      <c r="I501" t="b">
        <f t="shared" si="111"/>
        <v>0</v>
      </c>
      <c r="J501" t="str">
        <f t="shared" si="112"/>
        <v/>
      </c>
      <c r="K501" t="str">
        <f t="shared" si="113"/>
        <v/>
      </c>
      <c r="L501" t="str">
        <f t="shared" si="114"/>
        <v>,</v>
      </c>
      <c r="M501" t="str">
        <f t="shared" si="115"/>
        <v/>
      </c>
      <c r="N501" t="str">
        <f t="shared" si="116"/>
        <v/>
      </c>
      <c r="O501" t="str">
        <f t="shared" si="117"/>
        <v/>
      </c>
      <c r="P501" t="str">
        <f t="shared" si="118"/>
        <v/>
      </c>
      <c r="Q501" t="str">
        <f t="shared" si="119"/>
        <v/>
      </c>
      <c r="R501" s="20" t="str">
        <f t="shared" si="120"/>
        <v>IN</v>
      </c>
      <c r="S501" s="20" t="str">
        <f>IF(Data!E499="GpsRecord",Data!G499,"")</f>
        <v/>
      </c>
      <c r="T501" s="20" t="str">
        <f>IF(Data!E499="GpsRecord",Data!H499,"")</f>
        <v/>
      </c>
      <c r="U501" s="20">
        <f t="shared" si="121"/>
        <v>-39.408569999999997</v>
      </c>
      <c r="V501" s="20">
        <f t="shared" si="122"/>
        <v>33.72871</v>
      </c>
      <c r="W501" s="19">
        <f>Data!I499</f>
        <v>0</v>
      </c>
      <c r="X501" s="17" t="str">
        <f>CONCATENATE(Data!J499, " ", Data!K499)</f>
        <v xml:space="preserve"> </v>
      </c>
    </row>
    <row r="502" spans="1:24" x14ac:dyDescent="0.3">
      <c r="A502" s="17" t="str">
        <f>Data!A500</f>
        <v>vehicle1</v>
      </c>
      <c r="B502" s="17" t="str">
        <f>Data!B500</f>
        <v>Vehicle, Gasoline or Petrol</v>
      </c>
      <c r="C502" s="17" t="str">
        <f>Data!C500</f>
        <v>1f2g3h4j5k6l</v>
      </c>
      <c r="D502" s="52">
        <f>Data!D500</f>
        <v>45066.155833333331</v>
      </c>
      <c r="E502" s="60" t="str">
        <f>IF(Data!E500="GpsRecord",Data!F500,"")</f>
        <v/>
      </c>
      <c r="F502" s="68" t="str">
        <f t="shared" si="108"/>
        <v>1501 E U.s. 6, Hamlet, IN 46532, USA</v>
      </c>
      <c r="G502" t="b">
        <f t="shared" si="109"/>
        <v>0</v>
      </c>
      <c r="H502" t="b">
        <f t="shared" si="110"/>
        <v>0</v>
      </c>
      <c r="I502" t="b">
        <f t="shared" si="111"/>
        <v>0</v>
      </c>
      <c r="J502" t="str">
        <f t="shared" si="112"/>
        <v/>
      </c>
      <c r="K502" t="str">
        <f t="shared" si="113"/>
        <v/>
      </c>
      <c r="L502" t="str">
        <f t="shared" si="114"/>
        <v>,</v>
      </c>
      <c r="M502" t="str">
        <f t="shared" si="115"/>
        <v/>
      </c>
      <c r="N502" t="str">
        <f t="shared" si="116"/>
        <v/>
      </c>
      <c r="O502" t="str">
        <f t="shared" si="117"/>
        <v/>
      </c>
      <c r="P502" t="str">
        <f t="shared" si="118"/>
        <v/>
      </c>
      <c r="Q502" t="str">
        <f t="shared" si="119"/>
        <v/>
      </c>
      <c r="R502" s="20" t="str">
        <f t="shared" si="120"/>
        <v>IN</v>
      </c>
      <c r="S502" s="20" t="str">
        <f>IF(Data!E500="GpsRecord",Data!G500,"")</f>
        <v/>
      </c>
      <c r="T502" s="20" t="str">
        <f>IF(Data!E500="GpsRecord",Data!H500,"")</f>
        <v/>
      </c>
      <c r="U502" s="20">
        <f t="shared" si="121"/>
        <v>-39.408569999999997</v>
      </c>
      <c r="V502" s="20">
        <f t="shared" si="122"/>
        <v>33.72871</v>
      </c>
      <c r="W502" s="19">
        <f>Data!I500</f>
        <v>0</v>
      </c>
      <c r="X502" s="17" t="str">
        <f>CONCATENATE(Data!J500, " ", Data!K500)</f>
        <v xml:space="preserve"> </v>
      </c>
    </row>
    <row r="503" spans="1:24" x14ac:dyDescent="0.3">
      <c r="A503" s="17" t="str">
        <f>Data!A501</f>
        <v>vehicle1</v>
      </c>
      <c r="B503" s="17" t="str">
        <f>Data!B501</f>
        <v>Vehicle, Gasoline or Petrol</v>
      </c>
      <c r="C503" s="17" t="str">
        <f>Data!C501</f>
        <v>1f2g3h4j5k6l</v>
      </c>
      <c r="D503" s="52">
        <f>Data!D501</f>
        <v>45066.155833333331</v>
      </c>
      <c r="E503" s="60" t="str">
        <f>IF(Data!E501="GpsRecord",Data!F501,"")</f>
        <v>1501 E U.s. 6, Hamlet, IN 46532, USA</v>
      </c>
      <c r="F503" s="68" t="str">
        <f t="shared" si="108"/>
        <v>1501 E U.s. 6, Hamlet, IN 46532, USA</v>
      </c>
      <c r="G503" t="b">
        <f t="shared" si="109"/>
        <v>0</v>
      </c>
      <c r="H503" t="b">
        <f t="shared" si="110"/>
        <v>1</v>
      </c>
      <c r="I503" t="b">
        <f t="shared" si="111"/>
        <v>1</v>
      </c>
      <c r="J503" t="str">
        <f t="shared" si="112"/>
        <v>1501 E U.s. 6, Hamlet, IN 46532, USA</v>
      </c>
      <c r="K503" t="str">
        <f t="shared" si="113"/>
        <v xml:space="preserve"> USA</v>
      </c>
      <c r="L503" t="str">
        <f t="shared" si="114"/>
        <v>, USA</v>
      </c>
      <c r="M503" t="str">
        <f t="shared" si="115"/>
        <v>1501 E U.s. 6, Hamlet, IN 46532</v>
      </c>
      <c r="N503" t="str">
        <f t="shared" si="116"/>
        <v xml:space="preserve"> IN 46532</v>
      </c>
      <c r="O503" t="str">
        <f t="shared" si="117"/>
        <v>46532</v>
      </c>
      <c r="P503" t="str">
        <f t="shared" si="118"/>
        <v xml:space="preserve"> IN</v>
      </c>
      <c r="Q503" t="str">
        <f t="shared" si="119"/>
        <v>IN</v>
      </c>
      <c r="R503" s="20" t="str">
        <f t="shared" si="120"/>
        <v>IN</v>
      </c>
      <c r="S503" s="20">
        <f>IF(Data!E501="GpsRecord",Data!G501,"")</f>
        <v>-39.407539999999997</v>
      </c>
      <c r="T503" s="20">
        <f>IF(Data!E501="GpsRecord",Data!H501,"")</f>
        <v>33.729599999999998</v>
      </c>
      <c r="U503" s="20">
        <f t="shared" si="121"/>
        <v>-39.407539999999997</v>
      </c>
      <c r="V503" s="20">
        <f t="shared" si="122"/>
        <v>33.729599999999998</v>
      </c>
      <c r="W503" s="19">
        <f>Data!I501</f>
        <v>0</v>
      </c>
      <c r="X503" s="17" t="str">
        <f>CONCATENATE(Data!J501, " ", Data!K501)</f>
        <v xml:space="preserve"> </v>
      </c>
    </row>
    <row r="504" spans="1:24" x14ac:dyDescent="0.3">
      <c r="A504" s="17" t="str">
        <f>Data!A502</f>
        <v>vehicle1</v>
      </c>
      <c r="B504" s="17" t="str">
        <f>Data!B502</f>
        <v>Vehicle, Gasoline or Petrol</v>
      </c>
      <c r="C504" s="17" t="str">
        <f>Data!C502</f>
        <v>1f2g3h4j5k6l</v>
      </c>
      <c r="D504" s="52">
        <f>Data!D502</f>
        <v>45066.155856481484</v>
      </c>
      <c r="E504" s="60" t="str">
        <f>IF(Data!E502="GpsRecord",Data!F502,"")</f>
        <v/>
      </c>
      <c r="F504" s="68" t="str">
        <f t="shared" si="108"/>
        <v>1501 E U.s. 6, Hamlet, IN 46532, USA</v>
      </c>
      <c r="G504" t="b">
        <f t="shared" si="109"/>
        <v>0</v>
      </c>
      <c r="H504" t="b">
        <f t="shared" si="110"/>
        <v>0</v>
      </c>
      <c r="I504" t="b">
        <f t="shared" si="111"/>
        <v>0</v>
      </c>
      <c r="J504" t="str">
        <f t="shared" si="112"/>
        <v/>
      </c>
      <c r="K504" t="str">
        <f t="shared" si="113"/>
        <v/>
      </c>
      <c r="L504" t="str">
        <f t="shared" si="114"/>
        <v>,</v>
      </c>
      <c r="M504" t="str">
        <f t="shared" si="115"/>
        <v/>
      </c>
      <c r="N504" t="str">
        <f t="shared" si="116"/>
        <v/>
      </c>
      <c r="O504" t="str">
        <f t="shared" si="117"/>
        <v/>
      </c>
      <c r="P504" t="str">
        <f t="shared" si="118"/>
        <v/>
      </c>
      <c r="Q504" t="str">
        <f t="shared" si="119"/>
        <v/>
      </c>
      <c r="R504" s="20" t="str">
        <f t="shared" si="120"/>
        <v>IN</v>
      </c>
      <c r="S504" s="20" t="str">
        <f>IF(Data!E502="GpsRecord",Data!G502,"")</f>
        <v/>
      </c>
      <c r="T504" s="20" t="str">
        <f>IF(Data!E502="GpsRecord",Data!H502,"")</f>
        <v/>
      </c>
      <c r="U504" s="20">
        <f t="shared" si="121"/>
        <v>-39.407539999999997</v>
      </c>
      <c r="V504" s="20">
        <f t="shared" si="122"/>
        <v>33.729599999999998</v>
      </c>
      <c r="W504" s="19">
        <f>Data!I502</f>
        <v>0</v>
      </c>
      <c r="X504" s="17" t="str">
        <f>CONCATENATE(Data!J502, " ", Data!K502)</f>
        <v xml:space="preserve"> </v>
      </c>
    </row>
    <row r="505" spans="1:24" x14ac:dyDescent="0.3">
      <c r="A505" s="17" t="str">
        <f>Data!A503</f>
        <v>vehicle1</v>
      </c>
      <c r="B505" s="17" t="str">
        <f>Data!B503</f>
        <v>Vehicle, Gasoline or Petrol</v>
      </c>
      <c r="C505" s="17" t="str">
        <f>Data!C503</f>
        <v>1f2g3h4j5k6l</v>
      </c>
      <c r="D505" s="52">
        <f>Data!D503</f>
        <v>45066.155891203707</v>
      </c>
      <c r="E505" s="60" t="str">
        <f>IF(Data!E503="GpsRecord",Data!F503,"")</f>
        <v/>
      </c>
      <c r="F505" s="68" t="str">
        <f t="shared" si="108"/>
        <v>1501 E U.s. 6, Hamlet, IN 46532, USA</v>
      </c>
      <c r="G505" t="b">
        <f t="shared" si="109"/>
        <v>0</v>
      </c>
      <c r="H505" t="b">
        <f t="shared" si="110"/>
        <v>0</v>
      </c>
      <c r="I505" t="b">
        <f t="shared" si="111"/>
        <v>0</v>
      </c>
      <c r="J505" t="str">
        <f t="shared" si="112"/>
        <v/>
      </c>
      <c r="K505" t="str">
        <f t="shared" si="113"/>
        <v/>
      </c>
      <c r="L505" t="str">
        <f t="shared" si="114"/>
        <v>,</v>
      </c>
      <c r="M505" t="str">
        <f t="shared" si="115"/>
        <v/>
      </c>
      <c r="N505" t="str">
        <f t="shared" si="116"/>
        <v/>
      </c>
      <c r="O505" t="str">
        <f t="shared" si="117"/>
        <v/>
      </c>
      <c r="P505" t="str">
        <f t="shared" si="118"/>
        <v/>
      </c>
      <c r="Q505" t="str">
        <f t="shared" si="119"/>
        <v/>
      </c>
      <c r="R505" s="20" t="str">
        <f t="shared" si="120"/>
        <v>IN</v>
      </c>
      <c r="S505" s="20" t="str">
        <f>IF(Data!E503="GpsRecord",Data!G503,"")</f>
        <v/>
      </c>
      <c r="T505" s="20" t="str">
        <f>IF(Data!E503="GpsRecord",Data!H503,"")</f>
        <v/>
      </c>
      <c r="U505" s="20">
        <f t="shared" si="121"/>
        <v>-39.407539999999997</v>
      </c>
      <c r="V505" s="20">
        <f t="shared" si="122"/>
        <v>33.729599999999998</v>
      </c>
      <c r="W505" s="19" t="str">
        <f>Data!I503</f>
        <v>Engine road speed</v>
      </c>
      <c r="X505" s="17" t="str">
        <f>CONCATENATE(Data!J503, " ", Data!K503)</f>
        <v>37 km/h</v>
      </c>
    </row>
    <row r="506" spans="1:24" x14ac:dyDescent="0.3">
      <c r="A506" s="17" t="str">
        <f>Data!A504</f>
        <v>vehicle1</v>
      </c>
      <c r="B506" s="17" t="str">
        <f>Data!B504</f>
        <v>Vehicle, Gasoline or Petrol</v>
      </c>
      <c r="C506" s="17" t="str">
        <f>Data!C504</f>
        <v>1f2g3h4j5k6l</v>
      </c>
      <c r="D506" s="52">
        <f>Data!D504</f>
        <v>45066.155787037038</v>
      </c>
      <c r="E506" s="60" t="str">
        <f>IF(Data!E504="GpsRecord",Data!F504,"")</f>
        <v/>
      </c>
      <c r="F506" s="68" t="str">
        <f t="shared" si="108"/>
        <v>1501 E U.s. 6, Hamlet, IN 46532, USA</v>
      </c>
      <c r="G506" t="b">
        <f t="shared" si="109"/>
        <v>0</v>
      </c>
      <c r="H506" t="b">
        <f t="shared" si="110"/>
        <v>0</v>
      </c>
      <c r="I506" t="b">
        <f t="shared" si="111"/>
        <v>0</v>
      </c>
      <c r="J506" t="str">
        <f t="shared" si="112"/>
        <v/>
      </c>
      <c r="K506" t="str">
        <f t="shared" si="113"/>
        <v/>
      </c>
      <c r="L506" t="str">
        <f t="shared" si="114"/>
        <v>,</v>
      </c>
      <c r="M506" t="str">
        <f t="shared" si="115"/>
        <v/>
      </c>
      <c r="N506" t="str">
        <f t="shared" si="116"/>
        <v/>
      </c>
      <c r="O506" t="str">
        <f t="shared" si="117"/>
        <v/>
      </c>
      <c r="P506" t="str">
        <f t="shared" si="118"/>
        <v/>
      </c>
      <c r="Q506" t="str">
        <f t="shared" si="119"/>
        <v/>
      </c>
      <c r="R506" s="20" t="str">
        <f t="shared" si="120"/>
        <v>IN</v>
      </c>
      <c r="S506" s="20" t="str">
        <f>IF(Data!E504="GpsRecord",Data!G504,"")</f>
        <v/>
      </c>
      <c r="T506" s="20" t="str">
        <f>IF(Data!E504="GpsRecord",Data!H504,"")</f>
        <v/>
      </c>
      <c r="U506" s="20">
        <f t="shared" si="121"/>
        <v>-39.407539999999997</v>
      </c>
      <c r="V506" s="20">
        <f t="shared" si="122"/>
        <v>33.729599999999998</v>
      </c>
      <c r="W506" s="19">
        <f>Data!I504</f>
        <v>0</v>
      </c>
      <c r="X506" s="17" t="str">
        <f>CONCATENATE(Data!J504, " ", Data!K504)</f>
        <v xml:space="preserve"> </v>
      </c>
    </row>
    <row r="507" spans="1:24" x14ac:dyDescent="0.3">
      <c r="A507" s="17" t="str">
        <f>Data!A505</f>
        <v>vehicle1</v>
      </c>
      <c r="B507" s="17" t="str">
        <f>Data!B505</f>
        <v>Vehicle, Gasoline or Petrol</v>
      </c>
      <c r="C507" s="17" t="str">
        <f>Data!C505</f>
        <v>1f2g3h4j5k6l</v>
      </c>
      <c r="D507" s="52">
        <f>Data!D505</f>
        <v>45066.155972222223</v>
      </c>
      <c r="E507" s="60" t="str">
        <f>IF(Data!E505="GpsRecord",Data!F505,"")</f>
        <v/>
      </c>
      <c r="F507" s="68" t="str">
        <f t="shared" si="108"/>
        <v>1501 E U.s. 6, Hamlet, IN 46532, USA</v>
      </c>
      <c r="G507" t="b">
        <f t="shared" si="109"/>
        <v>0</v>
      </c>
      <c r="H507" t="b">
        <f t="shared" si="110"/>
        <v>0</v>
      </c>
      <c r="I507" t="b">
        <f t="shared" si="111"/>
        <v>0</v>
      </c>
      <c r="J507" t="str">
        <f t="shared" si="112"/>
        <v/>
      </c>
      <c r="K507" t="str">
        <f t="shared" si="113"/>
        <v/>
      </c>
      <c r="L507" t="str">
        <f t="shared" si="114"/>
        <v>,</v>
      </c>
      <c r="M507" t="str">
        <f t="shared" si="115"/>
        <v/>
      </c>
      <c r="N507" t="str">
        <f t="shared" si="116"/>
        <v/>
      </c>
      <c r="O507" t="str">
        <f t="shared" si="117"/>
        <v/>
      </c>
      <c r="P507" t="str">
        <f t="shared" si="118"/>
        <v/>
      </c>
      <c r="Q507" t="str">
        <f t="shared" si="119"/>
        <v/>
      </c>
      <c r="R507" s="20" t="str">
        <f t="shared" si="120"/>
        <v>IN</v>
      </c>
      <c r="S507" s="20" t="str">
        <f>IF(Data!E505="GpsRecord",Data!G505,"")</f>
        <v/>
      </c>
      <c r="T507" s="20" t="str">
        <f>IF(Data!E505="GpsRecord",Data!H505,"")</f>
        <v/>
      </c>
      <c r="U507" s="20">
        <f t="shared" si="121"/>
        <v>-39.407539999999997</v>
      </c>
      <c r="V507" s="20">
        <f t="shared" si="122"/>
        <v>33.729599999999998</v>
      </c>
      <c r="W507" s="19">
        <f>Data!I505</f>
        <v>0</v>
      </c>
      <c r="X507" s="17" t="str">
        <f>CONCATENATE(Data!J505, " ", Data!K505)</f>
        <v xml:space="preserve"> </v>
      </c>
    </row>
    <row r="508" spans="1:24" x14ac:dyDescent="0.3">
      <c r="A508" s="17" t="str">
        <f>Data!A506</f>
        <v>vehicle1</v>
      </c>
      <c r="B508" s="17" t="str">
        <f>Data!B506</f>
        <v>Vehicle, Gasoline or Petrol</v>
      </c>
      <c r="C508" s="17" t="str">
        <f>Data!C506</f>
        <v>1f2g3h4j5k6l</v>
      </c>
      <c r="D508" s="52">
        <f>Data!D506</f>
        <v>45066.156006944446</v>
      </c>
      <c r="E508" s="60" t="str">
        <f>IF(Data!E506="GpsRecord",Data!F506,"")</f>
        <v/>
      </c>
      <c r="F508" s="68" t="str">
        <f t="shared" si="108"/>
        <v>1501 E U.s. 6, Hamlet, IN 46532, USA</v>
      </c>
      <c r="G508" t="b">
        <f t="shared" si="109"/>
        <v>0</v>
      </c>
      <c r="H508" t="b">
        <f t="shared" si="110"/>
        <v>0</v>
      </c>
      <c r="I508" t="b">
        <f t="shared" si="111"/>
        <v>0</v>
      </c>
      <c r="J508" t="str">
        <f t="shared" si="112"/>
        <v/>
      </c>
      <c r="K508" t="str">
        <f t="shared" si="113"/>
        <v/>
      </c>
      <c r="L508" t="str">
        <f t="shared" si="114"/>
        <v>,</v>
      </c>
      <c r="M508" t="str">
        <f t="shared" si="115"/>
        <v/>
      </c>
      <c r="N508" t="str">
        <f t="shared" si="116"/>
        <v/>
      </c>
      <c r="O508" t="str">
        <f t="shared" si="117"/>
        <v/>
      </c>
      <c r="P508" t="str">
        <f t="shared" si="118"/>
        <v/>
      </c>
      <c r="Q508" t="str">
        <f t="shared" si="119"/>
        <v/>
      </c>
      <c r="R508" s="20" t="str">
        <f t="shared" si="120"/>
        <v>IN</v>
      </c>
      <c r="S508" s="20" t="str">
        <f>IF(Data!E506="GpsRecord",Data!G506,"")</f>
        <v/>
      </c>
      <c r="T508" s="20" t="str">
        <f>IF(Data!E506="GpsRecord",Data!H506,"")</f>
        <v/>
      </c>
      <c r="U508" s="20">
        <f t="shared" si="121"/>
        <v>-39.407539999999997</v>
      </c>
      <c r="V508" s="20">
        <f t="shared" si="122"/>
        <v>33.729599999999998</v>
      </c>
      <c r="W508" s="19">
        <f>Data!I506</f>
        <v>0</v>
      </c>
      <c r="X508" s="17" t="str">
        <f>CONCATENATE(Data!J506, " ", Data!K506)</f>
        <v xml:space="preserve"> </v>
      </c>
    </row>
    <row r="509" spans="1:24" x14ac:dyDescent="0.3">
      <c r="A509" s="17" t="str">
        <f>Data!A507</f>
        <v>vehicle1</v>
      </c>
      <c r="B509" s="17" t="str">
        <f>Data!B507</f>
        <v>Vehicle, Gasoline or Petrol</v>
      </c>
      <c r="C509" s="17" t="str">
        <f>Data!C507</f>
        <v>1f2g3h4j5k6l</v>
      </c>
      <c r="D509" s="52">
        <f>Data!D507</f>
        <v>45066.156006944446</v>
      </c>
      <c r="E509" s="60" t="str">
        <f>IF(Data!E507="GpsRecord",Data!F507,"")</f>
        <v/>
      </c>
      <c r="F509" s="68" t="str">
        <f t="shared" si="108"/>
        <v>1501 E U.s. 6, Hamlet, IN 46532, USA</v>
      </c>
      <c r="G509" t="b">
        <f t="shared" si="109"/>
        <v>0</v>
      </c>
      <c r="H509" t="b">
        <f t="shared" si="110"/>
        <v>0</v>
      </c>
      <c r="I509" t="b">
        <f t="shared" si="111"/>
        <v>0</v>
      </c>
      <c r="J509" t="str">
        <f t="shared" si="112"/>
        <v/>
      </c>
      <c r="K509" t="str">
        <f t="shared" si="113"/>
        <v/>
      </c>
      <c r="L509" t="str">
        <f t="shared" si="114"/>
        <v>,</v>
      </c>
      <c r="M509" t="str">
        <f t="shared" si="115"/>
        <v/>
      </c>
      <c r="N509" t="str">
        <f t="shared" si="116"/>
        <v/>
      </c>
      <c r="O509" t="str">
        <f t="shared" si="117"/>
        <v/>
      </c>
      <c r="P509" t="str">
        <f t="shared" si="118"/>
        <v/>
      </c>
      <c r="Q509" t="str">
        <f t="shared" si="119"/>
        <v/>
      </c>
      <c r="R509" s="20" t="str">
        <f t="shared" si="120"/>
        <v>IN</v>
      </c>
      <c r="S509" s="20" t="str">
        <f>IF(Data!E507="GpsRecord",Data!G507,"")</f>
        <v/>
      </c>
      <c r="T509" s="20" t="str">
        <f>IF(Data!E507="GpsRecord",Data!H507,"")</f>
        <v/>
      </c>
      <c r="U509" s="20">
        <f t="shared" si="121"/>
        <v>-39.407539999999997</v>
      </c>
      <c r="V509" s="20">
        <f t="shared" si="122"/>
        <v>33.729599999999998</v>
      </c>
      <c r="W509" s="19">
        <f>Data!I507</f>
        <v>0</v>
      </c>
      <c r="X509" s="17" t="str">
        <f>CONCATENATE(Data!J507, " ", Data!K507)</f>
        <v xml:space="preserve"> </v>
      </c>
    </row>
    <row r="510" spans="1:24" x14ac:dyDescent="0.3">
      <c r="A510" s="17" t="str">
        <f>Data!A508</f>
        <v>vehicle1</v>
      </c>
      <c r="B510" s="17" t="str">
        <f>Data!B508</f>
        <v>Vehicle, Gasoline or Petrol</v>
      </c>
      <c r="C510" s="17" t="str">
        <f>Data!C508</f>
        <v>1f2g3h4j5k6l</v>
      </c>
      <c r="D510" s="52">
        <f>Data!D508</f>
        <v>45066.156006944446</v>
      </c>
      <c r="E510" s="60" t="str">
        <f>IF(Data!E508="GpsRecord",Data!F508,"")</f>
        <v/>
      </c>
      <c r="F510" s="68" t="str">
        <f t="shared" si="108"/>
        <v>1501 E U.s. 6, Hamlet, IN 46532, USA</v>
      </c>
      <c r="G510" t="b">
        <f t="shared" si="109"/>
        <v>0</v>
      </c>
      <c r="H510" t="b">
        <f t="shared" si="110"/>
        <v>0</v>
      </c>
      <c r="I510" t="b">
        <f t="shared" si="111"/>
        <v>0</v>
      </c>
      <c r="J510" t="str">
        <f t="shared" si="112"/>
        <v/>
      </c>
      <c r="K510" t="str">
        <f t="shared" si="113"/>
        <v/>
      </c>
      <c r="L510" t="str">
        <f t="shared" si="114"/>
        <v>,</v>
      </c>
      <c r="M510" t="str">
        <f t="shared" si="115"/>
        <v/>
      </c>
      <c r="N510" t="str">
        <f t="shared" si="116"/>
        <v/>
      </c>
      <c r="O510" t="str">
        <f t="shared" si="117"/>
        <v/>
      </c>
      <c r="P510" t="str">
        <f t="shared" si="118"/>
        <v/>
      </c>
      <c r="Q510" t="str">
        <f t="shared" si="119"/>
        <v/>
      </c>
      <c r="R510" s="20" t="str">
        <f t="shared" si="120"/>
        <v>IN</v>
      </c>
      <c r="S510" s="20" t="str">
        <f>IF(Data!E508="GpsRecord",Data!G508,"")</f>
        <v/>
      </c>
      <c r="T510" s="20" t="str">
        <f>IF(Data!E508="GpsRecord",Data!H508,"")</f>
        <v/>
      </c>
      <c r="U510" s="20">
        <f t="shared" si="121"/>
        <v>-39.407539999999997</v>
      </c>
      <c r="V510" s="20">
        <f t="shared" si="122"/>
        <v>33.729599999999998</v>
      </c>
      <c r="W510" s="19">
        <f>Data!I508</f>
        <v>0</v>
      </c>
      <c r="X510" s="17" t="str">
        <f>CONCATENATE(Data!J508, " ", Data!K508)</f>
        <v xml:space="preserve"> </v>
      </c>
    </row>
    <row r="511" spans="1:24" x14ac:dyDescent="0.3">
      <c r="A511" s="17" t="str">
        <f>Data!A509</f>
        <v>vehicle1</v>
      </c>
      <c r="B511" s="17" t="str">
        <f>Data!B509</f>
        <v>Vehicle, Gasoline or Petrol</v>
      </c>
      <c r="C511" s="17" t="str">
        <f>Data!C509</f>
        <v>1f2g3h4j5k6l</v>
      </c>
      <c r="D511" s="52">
        <f>Data!D509</f>
        <v>45066.156064814815</v>
      </c>
      <c r="E511" s="60" t="str">
        <f>IF(Data!E509="GpsRecord",Data!F509,"")</f>
        <v/>
      </c>
      <c r="F511" s="68" t="str">
        <f t="shared" si="108"/>
        <v>1501 E U.s. 6, Hamlet, IN 46532, USA</v>
      </c>
      <c r="G511" t="b">
        <f t="shared" si="109"/>
        <v>0</v>
      </c>
      <c r="H511" t="b">
        <f t="shared" si="110"/>
        <v>0</v>
      </c>
      <c r="I511" t="b">
        <f t="shared" si="111"/>
        <v>0</v>
      </c>
      <c r="J511" t="str">
        <f t="shared" si="112"/>
        <v/>
      </c>
      <c r="K511" t="str">
        <f t="shared" si="113"/>
        <v/>
      </c>
      <c r="L511" t="str">
        <f t="shared" si="114"/>
        <v>,</v>
      </c>
      <c r="M511" t="str">
        <f t="shared" si="115"/>
        <v/>
      </c>
      <c r="N511" t="str">
        <f t="shared" si="116"/>
        <v/>
      </c>
      <c r="O511" t="str">
        <f t="shared" si="117"/>
        <v/>
      </c>
      <c r="P511" t="str">
        <f t="shared" si="118"/>
        <v/>
      </c>
      <c r="Q511" t="str">
        <f t="shared" si="119"/>
        <v/>
      </c>
      <c r="R511" s="20" t="str">
        <f t="shared" si="120"/>
        <v>IN</v>
      </c>
      <c r="S511" s="20" t="str">
        <f>IF(Data!E509="GpsRecord",Data!G509,"")</f>
        <v/>
      </c>
      <c r="T511" s="20" t="str">
        <f>IF(Data!E509="GpsRecord",Data!H509,"")</f>
        <v/>
      </c>
      <c r="U511" s="20">
        <f t="shared" si="121"/>
        <v>-39.407539999999997</v>
      </c>
      <c r="V511" s="20">
        <f t="shared" si="122"/>
        <v>33.729599999999998</v>
      </c>
      <c r="W511" s="19" t="str">
        <f>Data!I509</f>
        <v>Engine road speed</v>
      </c>
      <c r="X511" s="17" t="str">
        <f>CONCATENATE(Data!J509, " ", Data!K509)</f>
        <v>37 km/h</v>
      </c>
    </row>
    <row r="512" spans="1:24" x14ac:dyDescent="0.3">
      <c r="A512" s="17" t="str">
        <f>Data!A510</f>
        <v>vehicle1</v>
      </c>
      <c r="B512" s="17" t="str">
        <f>Data!B510</f>
        <v>Vehicle, Gasoline or Petrol</v>
      </c>
      <c r="C512" s="17" t="str">
        <f>Data!C510</f>
        <v>1f2g3h4j5k6l</v>
      </c>
      <c r="D512" s="52">
        <f>Data!D510</f>
        <v>45066.156076388892</v>
      </c>
      <c r="E512" s="60" t="str">
        <f>IF(Data!E510="GpsRecord",Data!F510,"")</f>
        <v/>
      </c>
      <c r="F512" s="68" t="str">
        <f t="shared" si="108"/>
        <v>1501 E U.s. 6, Hamlet, IN 46532, USA</v>
      </c>
      <c r="G512" t="b">
        <f t="shared" si="109"/>
        <v>0</v>
      </c>
      <c r="H512" t="b">
        <f t="shared" si="110"/>
        <v>0</v>
      </c>
      <c r="I512" t="b">
        <f t="shared" si="111"/>
        <v>0</v>
      </c>
      <c r="J512" t="str">
        <f t="shared" si="112"/>
        <v/>
      </c>
      <c r="K512" t="str">
        <f t="shared" si="113"/>
        <v/>
      </c>
      <c r="L512" t="str">
        <f t="shared" si="114"/>
        <v>,</v>
      </c>
      <c r="M512" t="str">
        <f t="shared" si="115"/>
        <v/>
      </c>
      <c r="N512" t="str">
        <f t="shared" si="116"/>
        <v/>
      </c>
      <c r="O512" t="str">
        <f t="shared" si="117"/>
        <v/>
      </c>
      <c r="P512" t="str">
        <f t="shared" si="118"/>
        <v/>
      </c>
      <c r="Q512" t="str">
        <f t="shared" si="119"/>
        <v/>
      </c>
      <c r="R512" s="20" t="str">
        <f t="shared" si="120"/>
        <v>IN</v>
      </c>
      <c r="S512" s="20" t="str">
        <f>IF(Data!E510="GpsRecord",Data!G510,"")</f>
        <v/>
      </c>
      <c r="T512" s="20" t="str">
        <f>IF(Data!E510="GpsRecord",Data!H510,"")</f>
        <v/>
      </c>
      <c r="U512" s="20">
        <f t="shared" si="121"/>
        <v>-39.407539999999997</v>
      </c>
      <c r="V512" s="20">
        <f t="shared" si="122"/>
        <v>33.729599999999998</v>
      </c>
      <c r="W512" s="19" t="str">
        <f>Data!I510</f>
        <v>Engine speed</v>
      </c>
      <c r="X512" s="17" t="str">
        <f>CONCATENATE(Data!J510, " ", Data!K510)</f>
        <v>1179.75 RPM</v>
      </c>
    </row>
    <row r="513" spans="1:24" x14ac:dyDescent="0.3">
      <c r="A513" s="17" t="str">
        <f>Data!A511</f>
        <v>vehicle1</v>
      </c>
      <c r="B513" s="17" t="str">
        <f>Data!B511</f>
        <v>Vehicle, Gasoline or Petrol</v>
      </c>
      <c r="C513" s="17" t="str">
        <f>Data!C511</f>
        <v>1f2g3h4j5k6l</v>
      </c>
      <c r="D513" s="52">
        <f>Data!D511</f>
        <v>45066.156111111108</v>
      </c>
      <c r="E513" s="60" t="str">
        <f>IF(Data!E511="GpsRecord",Data!F511,"")</f>
        <v>1501 E U.s. 6, Hamlet, IN 46532, USA</v>
      </c>
      <c r="F513" s="68" t="str">
        <f t="shared" si="108"/>
        <v>1501 E U.s. 6, Hamlet, IN 46532, USA</v>
      </c>
      <c r="G513" t="b">
        <f t="shared" si="109"/>
        <v>0</v>
      </c>
      <c r="H513" t="b">
        <f t="shared" si="110"/>
        <v>1</v>
      </c>
      <c r="I513" t="b">
        <f t="shared" si="111"/>
        <v>1</v>
      </c>
      <c r="J513" t="str">
        <f t="shared" si="112"/>
        <v>1501 E U.s. 6, Hamlet, IN 46532, USA</v>
      </c>
      <c r="K513" t="str">
        <f t="shared" si="113"/>
        <v xml:space="preserve"> USA</v>
      </c>
      <c r="L513" t="str">
        <f t="shared" si="114"/>
        <v>, USA</v>
      </c>
      <c r="M513" t="str">
        <f t="shared" si="115"/>
        <v>1501 E U.s. 6, Hamlet, IN 46532</v>
      </c>
      <c r="N513" t="str">
        <f t="shared" si="116"/>
        <v xml:space="preserve"> IN 46532</v>
      </c>
      <c r="O513" t="str">
        <f t="shared" si="117"/>
        <v>46532</v>
      </c>
      <c r="P513" t="str">
        <f t="shared" si="118"/>
        <v xml:space="preserve"> IN</v>
      </c>
      <c r="Q513" t="str">
        <f t="shared" si="119"/>
        <v>IN</v>
      </c>
      <c r="R513" s="20" t="str">
        <f t="shared" si="120"/>
        <v>IN</v>
      </c>
      <c r="S513" s="20">
        <f>IF(Data!E511="GpsRecord",Data!G511,"")</f>
        <v>-39.4056</v>
      </c>
      <c r="T513" s="20">
        <f>IF(Data!E511="GpsRecord",Data!H511,"")</f>
        <v>33.731369999999998</v>
      </c>
      <c r="U513" s="20">
        <f t="shared" si="121"/>
        <v>-39.4056</v>
      </c>
      <c r="V513" s="20">
        <f t="shared" si="122"/>
        <v>33.731369999999998</v>
      </c>
      <c r="W513" s="19">
        <f>Data!I511</f>
        <v>0</v>
      </c>
      <c r="X513" s="17" t="str">
        <f>CONCATENATE(Data!J511, " ", Data!K511)</f>
        <v xml:space="preserve"> </v>
      </c>
    </row>
    <row r="514" spans="1:24" x14ac:dyDescent="0.3">
      <c r="A514" s="17" t="str">
        <f>Data!A512</f>
        <v>vehicle1</v>
      </c>
      <c r="B514" s="17" t="str">
        <f>Data!B512</f>
        <v>Vehicle, Gasoline or Petrol</v>
      </c>
      <c r="C514" s="17" t="str">
        <f>Data!C512</f>
        <v>1f2g3h4j5k6l</v>
      </c>
      <c r="D514" s="52">
        <f>Data!D512</f>
        <v>45066.156122685185</v>
      </c>
      <c r="E514" s="60" t="str">
        <f>IF(Data!E512="GpsRecord",Data!F512,"")</f>
        <v/>
      </c>
      <c r="F514" s="68" t="str">
        <f t="shared" si="108"/>
        <v>1501 E U.s. 6, Hamlet, IN 46532, USA</v>
      </c>
      <c r="G514" t="b">
        <f t="shared" si="109"/>
        <v>0</v>
      </c>
      <c r="H514" t="b">
        <f t="shared" si="110"/>
        <v>0</v>
      </c>
      <c r="I514" t="b">
        <f t="shared" si="111"/>
        <v>0</v>
      </c>
      <c r="J514" t="str">
        <f t="shared" si="112"/>
        <v/>
      </c>
      <c r="K514" t="str">
        <f t="shared" si="113"/>
        <v/>
      </c>
      <c r="L514" t="str">
        <f t="shared" si="114"/>
        <v>,</v>
      </c>
      <c r="M514" t="str">
        <f t="shared" si="115"/>
        <v/>
      </c>
      <c r="N514" t="str">
        <f t="shared" si="116"/>
        <v/>
      </c>
      <c r="O514" t="str">
        <f t="shared" si="117"/>
        <v/>
      </c>
      <c r="P514" t="str">
        <f t="shared" si="118"/>
        <v/>
      </c>
      <c r="Q514" t="str">
        <f t="shared" si="119"/>
        <v/>
      </c>
      <c r="R514" s="20" t="str">
        <f t="shared" si="120"/>
        <v>IN</v>
      </c>
      <c r="S514" s="20" t="str">
        <f>IF(Data!E512="GpsRecord",Data!G512,"")</f>
        <v/>
      </c>
      <c r="T514" s="20" t="str">
        <f>IF(Data!E512="GpsRecord",Data!H512,"")</f>
        <v/>
      </c>
      <c r="U514" s="20">
        <f t="shared" si="121"/>
        <v>-39.4056</v>
      </c>
      <c r="V514" s="20">
        <f t="shared" si="122"/>
        <v>33.731369999999998</v>
      </c>
      <c r="W514" s="19" t="str">
        <f>Data!I512</f>
        <v>ADAS left lane departure warning</v>
      </c>
      <c r="X514" s="17" t="str">
        <f>CONCATENATE(Data!J512, " ", Data!K512)</f>
        <v>1 None</v>
      </c>
    </row>
    <row r="515" spans="1:24" x14ac:dyDescent="0.3">
      <c r="A515" s="17" t="str">
        <f>Data!A513</f>
        <v>vehicle1</v>
      </c>
      <c r="B515" s="17" t="str">
        <f>Data!B513</f>
        <v>Vehicle, Gasoline or Petrol</v>
      </c>
      <c r="C515" s="17" t="str">
        <f>Data!C513</f>
        <v>1f2g3h4j5k6l</v>
      </c>
      <c r="D515" s="52">
        <f>Data!D513</f>
        <v>45066.156122685185</v>
      </c>
      <c r="E515" s="60" t="str">
        <f>IF(Data!E513="GpsRecord",Data!F513,"")</f>
        <v/>
      </c>
      <c r="F515" s="68" t="str">
        <f t="shared" si="108"/>
        <v>1501 E U.s. 6, Hamlet, IN 46532, USA</v>
      </c>
      <c r="G515" t="b">
        <f t="shared" si="109"/>
        <v>0</v>
      </c>
      <c r="H515" t="b">
        <f t="shared" si="110"/>
        <v>0</v>
      </c>
      <c r="I515" t="b">
        <f t="shared" si="111"/>
        <v>0</v>
      </c>
      <c r="J515" t="str">
        <f t="shared" si="112"/>
        <v/>
      </c>
      <c r="K515" t="str">
        <f t="shared" si="113"/>
        <v/>
      </c>
      <c r="L515" t="str">
        <f t="shared" si="114"/>
        <v>,</v>
      </c>
      <c r="M515" t="str">
        <f t="shared" si="115"/>
        <v/>
      </c>
      <c r="N515" t="str">
        <f t="shared" si="116"/>
        <v/>
      </c>
      <c r="O515" t="str">
        <f t="shared" si="117"/>
        <v/>
      </c>
      <c r="P515" t="str">
        <f t="shared" si="118"/>
        <v/>
      </c>
      <c r="Q515" t="str">
        <f t="shared" si="119"/>
        <v/>
      </c>
      <c r="R515" s="20" t="str">
        <f t="shared" si="120"/>
        <v>IN</v>
      </c>
      <c r="S515" s="20" t="str">
        <f>IF(Data!E513="GpsRecord",Data!G513,"")</f>
        <v/>
      </c>
      <c r="T515" s="20" t="str">
        <f>IF(Data!E513="GpsRecord",Data!H513,"")</f>
        <v/>
      </c>
      <c r="U515" s="20">
        <f t="shared" si="121"/>
        <v>-39.4056</v>
      </c>
      <c r="V515" s="20">
        <f t="shared" si="122"/>
        <v>33.731369999999998</v>
      </c>
      <c r="W515" s="19">
        <f>Data!I513</f>
        <v>0</v>
      </c>
      <c r="X515" s="17" t="str">
        <f>CONCATENATE(Data!J513, " ", Data!K513)</f>
        <v xml:space="preserve"> </v>
      </c>
    </row>
    <row r="516" spans="1:24" x14ac:dyDescent="0.3">
      <c r="A516" s="17" t="str">
        <f>Data!A514</f>
        <v>vehicle1</v>
      </c>
      <c r="B516" s="17" t="str">
        <f>Data!B514</f>
        <v>Vehicle, Gasoline or Petrol</v>
      </c>
      <c r="C516" s="17" t="str">
        <f>Data!C514</f>
        <v>1f2g3h4j5k6l</v>
      </c>
      <c r="D516" s="52">
        <f>Data!D514</f>
        <v>45066.156122685185</v>
      </c>
      <c r="E516" s="60" t="str">
        <f>IF(Data!E514="GpsRecord",Data!F514,"")</f>
        <v/>
      </c>
      <c r="F516" s="68" t="str">
        <f t="shared" si="108"/>
        <v>1501 E U.s. 6, Hamlet, IN 46532, USA</v>
      </c>
      <c r="G516" t="b">
        <f t="shared" si="109"/>
        <v>0</v>
      </c>
      <c r="H516" t="b">
        <f t="shared" si="110"/>
        <v>0</v>
      </c>
      <c r="I516" t="b">
        <f t="shared" si="111"/>
        <v>0</v>
      </c>
      <c r="J516" t="str">
        <f t="shared" si="112"/>
        <v/>
      </c>
      <c r="K516" t="str">
        <f t="shared" si="113"/>
        <v/>
      </c>
      <c r="L516" t="str">
        <f t="shared" si="114"/>
        <v>,</v>
      </c>
      <c r="M516" t="str">
        <f t="shared" si="115"/>
        <v/>
      </c>
      <c r="N516" t="str">
        <f t="shared" si="116"/>
        <v/>
      </c>
      <c r="O516" t="str">
        <f t="shared" si="117"/>
        <v/>
      </c>
      <c r="P516" t="str">
        <f t="shared" si="118"/>
        <v/>
      </c>
      <c r="Q516" t="str">
        <f t="shared" si="119"/>
        <v/>
      </c>
      <c r="R516" s="20" t="str">
        <f t="shared" si="120"/>
        <v>IN</v>
      </c>
      <c r="S516" s="20" t="str">
        <f>IF(Data!E514="GpsRecord",Data!G514,"")</f>
        <v/>
      </c>
      <c r="T516" s="20" t="str">
        <f>IF(Data!E514="GpsRecord",Data!H514,"")</f>
        <v/>
      </c>
      <c r="U516" s="20">
        <f t="shared" si="121"/>
        <v>-39.4056</v>
      </c>
      <c r="V516" s="20">
        <f t="shared" si="122"/>
        <v>33.731369999999998</v>
      </c>
      <c r="W516" s="19">
        <f>Data!I514</f>
        <v>0</v>
      </c>
      <c r="X516" s="17" t="str">
        <f>CONCATENATE(Data!J514, " ", Data!K514)</f>
        <v xml:space="preserve"> </v>
      </c>
    </row>
    <row r="517" spans="1:24" x14ac:dyDescent="0.3">
      <c r="A517" s="17" t="str">
        <f>Data!A515</f>
        <v>vehicle1</v>
      </c>
      <c r="B517" s="17" t="str">
        <f>Data!B515</f>
        <v>Vehicle, Gasoline or Petrol</v>
      </c>
      <c r="C517" s="17" t="str">
        <f>Data!C515</f>
        <v>1f2g3h4j5k6l</v>
      </c>
      <c r="D517" s="52">
        <f>Data!D515</f>
        <v>45066.156157407408</v>
      </c>
      <c r="E517" s="60" t="str">
        <f>IF(Data!E515="GpsRecord",Data!F515,"")</f>
        <v/>
      </c>
      <c r="F517" s="68" t="str">
        <f t="shared" si="108"/>
        <v>1501 E U.s. 6, Hamlet, IN 46532, USA</v>
      </c>
      <c r="G517" t="b">
        <f t="shared" si="109"/>
        <v>0</v>
      </c>
      <c r="H517" t="b">
        <f t="shared" si="110"/>
        <v>0</v>
      </c>
      <c r="I517" t="b">
        <f t="shared" si="111"/>
        <v>0</v>
      </c>
      <c r="J517" t="str">
        <f t="shared" si="112"/>
        <v/>
      </c>
      <c r="K517" t="str">
        <f t="shared" si="113"/>
        <v/>
      </c>
      <c r="L517" t="str">
        <f t="shared" si="114"/>
        <v>,</v>
      </c>
      <c r="M517" t="str">
        <f t="shared" si="115"/>
        <v/>
      </c>
      <c r="N517" t="str">
        <f t="shared" si="116"/>
        <v/>
      </c>
      <c r="O517" t="str">
        <f t="shared" si="117"/>
        <v/>
      </c>
      <c r="P517" t="str">
        <f t="shared" si="118"/>
        <v/>
      </c>
      <c r="Q517" t="str">
        <f t="shared" si="119"/>
        <v/>
      </c>
      <c r="R517" s="20" t="str">
        <f t="shared" si="120"/>
        <v>IN</v>
      </c>
      <c r="S517" s="20" t="str">
        <f>IF(Data!E515="GpsRecord",Data!G515,"")</f>
        <v/>
      </c>
      <c r="T517" s="20" t="str">
        <f>IF(Data!E515="GpsRecord",Data!H515,"")</f>
        <v/>
      </c>
      <c r="U517" s="20">
        <f t="shared" si="121"/>
        <v>-39.4056</v>
      </c>
      <c r="V517" s="20">
        <f t="shared" si="122"/>
        <v>33.731369999999998</v>
      </c>
      <c r="W517" s="19" t="str">
        <f>Data!I515</f>
        <v>Engine road speed</v>
      </c>
      <c r="X517" s="17" t="str">
        <f>CONCATENATE(Data!J515, " ", Data!K515)</f>
        <v>47 km/h</v>
      </c>
    </row>
    <row r="518" spans="1:24" x14ac:dyDescent="0.3">
      <c r="A518" s="17" t="str">
        <f>Data!A516</f>
        <v>vehicle1</v>
      </c>
      <c r="B518" s="17" t="str">
        <f>Data!B516</f>
        <v>Vehicle, Gasoline or Petrol</v>
      </c>
      <c r="C518" s="17" t="str">
        <f>Data!C516</f>
        <v>1f2g3h4j5k6l</v>
      </c>
      <c r="D518" s="52">
        <f>Data!D516</f>
        <v>45066.156215277777</v>
      </c>
      <c r="E518" s="60" t="str">
        <f>IF(Data!E516="GpsRecord",Data!F516,"")</f>
        <v/>
      </c>
      <c r="F518" s="68" t="str">
        <f t="shared" si="108"/>
        <v>1501 E U.s. 6, Hamlet, IN 46532, USA</v>
      </c>
      <c r="G518" t="b">
        <f t="shared" si="109"/>
        <v>0</v>
      </c>
      <c r="H518" t="b">
        <f t="shared" si="110"/>
        <v>0</v>
      </c>
      <c r="I518" t="b">
        <f t="shared" si="111"/>
        <v>0</v>
      </c>
      <c r="J518" t="str">
        <f t="shared" si="112"/>
        <v/>
      </c>
      <c r="K518" t="str">
        <f t="shared" si="113"/>
        <v/>
      </c>
      <c r="L518" t="str">
        <f t="shared" si="114"/>
        <v>,</v>
      </c>
      <c r="M518" t="str">
        <f t="shared" si="115"/>
        <v/>
      </c>
      <c r="N518" t="str">
        <f t="shared" si="116"/>
        <v/>
      </c>
      <c r="O518" t="str">
        <f t="shared" si="117"/>
        <v/>
      </c>
      <c r="P518" t="str">
        <f t="shared" si="118"/>
        <v/>
      </c>
      <c r="Q518" t="str">
        <f t="shared" si="119"/>
        <v/>
      </c>
      <c r="R518" s="20" t="str">
        <f t="shared" si="120"/>
        <v>IN</v>
      </c>
      <c r="S518" s="20" t="str">
        <f>IF(Data!E516="GpsRecord",Data!G516,"")</f>
        <v/>
      </c>
      <c r="T518" s="20" t="str">
        <f>IF(Data!E516="GpsRecord",Data!H516,"")</f>
        <v/>
      </c>
      <c r="U518" s="20">
        <f t="shared" si="121"/>
        <v>-39.4056</v>
      </c>
      <c r="V518" s="20">
        <f t="shared" si="122"/>
        <v>33.731369999999998</v>
      </c>
      <c r="W518" s="19" t="str">
        <f>Data!I516</f>
        <v>Engine road speed</v>
      </c>
      <c r="X518" s="17" t="str">
        <f>CONCATENATE(Data!J516, " ", Data!K516)</f>
        <v>44 km/h</v>
      </c>
    </row>
    <row r="519" spans="1:24" x14ac:dyDescent="0.3">
      <c r="A519" s="17" t="str">
        <f>Data!A517</f>
        <v>vehicle1</v>
      </c>
      <c r="B519" s="17" t="str">
        <f>Data!B517</f>
        <v>Vehicle, Gasoline or Petrol</v>
      </c>
      <c r="C519" s="17" t="str">
        <f>Data!C517</f>
        <v>1f2g3h4j5k6l</v>
      </c>
      <c r="D519" s="52">
        <f>Data!D517</f>
        <v>45066.156261574077</v>
      </c>
      <c r="E519" s="60" t="str">
        <f>IF(Data!E517="GpsRecord",Data!F517,"")</f>
        <v>1501 E U.s. 6, Hamlet, IN 46532, USA</v>
      </c>
      <c r="F519" s="68" t="str">
        <f t="shared" si="108"/>
        <v>1501 E U.s. 6, Hamlet, IN 46532, USA</v>
      </c>
      <c r="G519" t="b">
        <f t="shared" si="109"/>
        <v>0</v>
      </c>
      <c r="H519" t="b">
        <f t="shared" si="110"/>
        <v>1</v>
      </c>
      <c r="I519" t="b">
        <f t="shared" si="111"/>
        <v>1</v>
      </c>
      <c r="J519" t="str">
        <f t="shared" si="112"/>
        <v>1501 E U.s. 6, Hamlet, IN 46532, USA</v>
      </c>
      <c r="K519" t="str">
        <f t="shared" si="113"/>
        <v xml:space="preserve"> USA</v>
      </c>
      <c r="L519" t="str">
        <f t="shared" si="114"/>
        <v>, USA</v>
      </c>
      <c r="M519" t="str">
        <f t="shared" si="115"/>
        <v>1501 E U.s. 6, Hamlet, IN 46532</v>
      </c>
      <c r="N519" t="str">
        <f t="shared" si="116"/>
        <v xml:space="preserve"> IN 46532</v>
      </c>
      <c r="O519" t="str">
        <f t="shared" si="117"/>
        <v>46532</v>
      </c>
      <c r="P519" t="str">
        <f t="shared" si="118"/>
        <v xml:space="preserve"> IN</v>
      </c>
      <c r="Q519" t="str">
        <f t="shared" si="119"/>
        <v>IN</v>
      </c>
      <c r="R519" s="20" t="str">
        <f t="shared" si="120"/>
        <v>IN</v>
      </c>
      <c r="S519" s="20">
        <f>IF(Data!E517="GpsRecord",Data!G517,"")</f>
        <v>-39.404319999999998</v>
      </c>
      <c r="T519" s="20">
        <f>IF(Data!E517="GpsRecord",Data!H517,"")</f>
        <v>33.732469999999999</v>
      </c>
      <c r="U519" s="20">
        <f t="shared" si="121"/>
        <v>-39.404319999999998</v>
      </c>
      <c r="V519" s="20">
        <f t="shared" si="122"/>
        <v>33.732469999999999</v>
      </c>
      <c r="W519" s="19">
        <f>Data!I517</f>
        <v>0</v>
      </c>
      <c r="X519" s="17" t="str">
        <f>CONCATENATE(Data!J517, " ", Data!K517)</f>
        <v xml:space="preserve"> </v>
      </c>
    </row>
    <row r="520" spans="1:24" x14ac:dyDescent="0.3">
      <c r="A520" s="17" t="str">
        <f>Data!A518</f>
        <v>vehicle1</v>
      </c>
      <c r="B520" s="17" t="str">
        <f>Data!B518</f>
        <v>Vehicle, Gasoline or Petrol</v>
      </c>
      <c r="C520" s="17" t="str">
        <f>Data!C518</f>
        <v>1f2g3h4j5k6l</v>
      </c>
      <c r="D520" s="52">
        <f>Data!D518</f>
        <v>45066.156273148146</v>
      </c>
      <c r="E520" s="60" t="str">
        <f>IF(Data!E518="GpsRecord",Data!F518,"")</f>
        <v/>
      </c>
      <c r="F520" s="68" t="str">
        <f t="shared" si="108"/>
        <v>1501 E U.s. 6, Hamlet, IN 46532, USA</v>
      </c>
      <c r="G520" t="b">
        <f t="shared" si="109"/>
        <v>0</v>
      </c>
      <c r="H520" t="b">
        <f t="shared" si="110"/>
        <v>0</v>
      </c>
      <c r="I520" t="b">
        <f t="shared" si="111"/>
        <v>0</v>
      </c>
      <c r="J520" t="str">
        <f t="shared" si="112"/>
        <v/>
      </c>
      <c r="K520" t="str">
        <f t="shared" si="113"/>
        <v/>
      </c>
      <c r="L520" t="str">
        <f t="shared" si="114"/>
        <v>,</v>
      </c>
      <c r="M520" t="str">
        <f t="shared" si="115"/>
        <v/>
      </c>
      <c r="N520" t="str">
        <f t="shared" si="116"/>
        <v/>
      </c>
      <c r="O520" t="str">
        <f t="shared" si="117"/>
        <v/>
      </c>
      <c r="P520" t="str">
        <f t="shared" si="118"/>
        <v/>
      </c>
      <c r="Q520" t="str">
        <f t="shared" si="119"/>
        <v/>
      </c>
      <c r="R520" s="20" t="str">
        <f t="shared" si="120"/>
        <v>IN</v>
      </c>
      <c r="S520" s="20" t="str">
        <f>IF(Data!E518="GpsRecord",Data!G518,"")</f>
        <v/>
      </c>
      <c r="T520" s="20" t="str">
        <f>IF(Data!E518="GpsRecord",Data!H518,"")</f>
        <v/>
      </c>
      <c r="U520" s="20">
        <f t="shared" si="121"/>
        <v>-39.404319999999998</v>
      </c>
      <c r="V520" s="20">
        <f t="shared" si="122"/>
        <v>33.732469999999999</v>
      </c>
      <c r="W520" s="19" t="str">
        <f>Data!I518</f>
        <v>ADAS left lane departure warning</v>
      </c>
      <c r="X520" s="17" t="str">
        <f>CONCATENATE(Data!J518, " ", Data!K518)</f>
        <v>1 None</v>
      </c>
    </row>
    <row r="521" spans="1:24" x14ac:dyDescent="0.3">
      <c r="A521" s="17" t="str">
        <f>Data!A519</f>
        <v>vehicle1</v>
      </c>
      <c r="B521" s="17" t="str">
        <f>Data!B519</f>
        <v>Vehicle, Gasoline or Petrol</v>
      </c>
      <c r="C521" s="17" t="str">
        <f>Data!C519</f>
        <v>1f2g3h4j5k6l</v>
      </c>
      <c r="D521" s="52">
        <f>Data!D519</f>
        <v>45066.156273148146</v>
      </c>
      <c r="E521" s="60" t="str">
        <f>IF(Data!E519="GpsRecord",Data!F519,"")</f>
        <v/>
      </c>
      <c r="F521" s="68" t="str">
        <f t="shared" si="108"/>
        <v>1501 E U.s. 6, Hamlet, IN 46532, USA</v>
      </c>
      <c r="G521" t="b">
        <f t="shared" si="109"/>
        <v>0</v>
      </c>
      <c r="H521" t="b">
        <f t="shared" si="110"/>
        <v>0</v>
      </c>
      <c r="I521" t="b">
        <f t="shared" si="111"/>
        <v>0</v>
      </c>
      <c r="J521" t="str">
        <f t="shared" si="112"/>
        <v/>
      </c>
      <c r="K521" t="str">
        <f t="shared" si="113"/>
        <v/>
      </c>
      <c r="L521" t="str">
        <f t="shared" si="114"/>
        <v>,</v>
      </c>
      <c r="M521" t="str">
        <f t="shared" si="115"/>
        <v/>
      </c>
      <c r="N521" t="str">
        <f t="shared" si="116"/>
        <v/>
      </c>
      <c r="O521" t="str">
        <f t="shared" si="117"/>
        <v/>
      </c>
      <c r="P521" t="str">
        <f t="shared" si="118"/>
        <v/>
      </c>
      <c r="Q521" t="str">
        <f t="shared" si="119"/>
        <v/>
      </c>
      <c r="R521" s="20" t="str">
        <f t="shared" si="120"/>
        <v>IN</v>
      </c>
      <c r="S521" s="20" t="str">
        <f>IF(Data!E519="GpsRecord",Data!G519,"")</f>
        <v/>
      </c>
      <c r="T521" s="20" t="str">
        <f>IF(Data!E519="GpsRecord",Data!H519,"")</f>
        <v/>
      </c>
      <c r="U521" s="20">
        <f t="shared" si="121"/>
        <v>-39.404319999999998</v>
      </c>
      <c r="V521" s="20">
        <f t="shared" si="122"/>
        <v>33.732469999999999</v>
      </c>
      <c r="W521" s="19">
        <f>Data!I519</f>
        <v>0</v>
      </c>
      <c r="X521" s="17" t="str">
        <f>CONCATENATE(Data!J519, " ", Data!K519)</f>
        <v xml:space="preserve"> </v>
      </c>
    </row>
    <row r="522" spans="1:24" x14ac:dyDescent="0.3">
      <c r="A522" s="17" t="str">
        <f>Data!A520</f>
        <v>vehicle1</v>
      </c>
      <c r="B522" s="17" t="str">
        <f>Data!B520</f>
        <v>Vehicle, Gasoline or Petrol</v>
      </c>
      <c r="C522" s="17" t="str">
        <f>Data!C520</f>
        <v>1f2g3h4j5k6l</v>
      </c>
      <c r="D522" s="52">
        <f>Data!D520</f>
        <v>45066.156273148146</v>
      </c>
      <c r="E522" s="60" t="str">
        <f>IF(Data!E520="GpsRecord",Data!F520,"")</f>
        <v/>
      </c>
      <c r="F522" s="68" t="str">
        <f t="shared" si="108"/>
        <v>1501 E U.s. 6, Hamlet, IN 46532, USA</v>
      </c>
      <c r="G522" t="b">
        <f t="shared" si="109"/>
        <v>0</v>
      </c>
      <c r="H522" t="b">
        <f t="shared" si="110"/>
        <v>0</v>
      </c>
      <c r="I522" t="b">
        <f t="shared" si="111"/>
        <v>0</v>
      </c>
      <c r="J522" t="str">
        <f t="shared" si="112"/>
        <v/>
      </c>
      <c r="K522" t="str">
        <f t="shared" si="113"/>
        <v/>
      </c>
      <c r="L522" t="str">
        <f t="shared" si="114"/>
        <v>,</v>
      </c>
      <c r="M522" t="str">
        <f t="shared" si="115"/>
        <v/>
      </c>
      <c r="N522" t="str">
        <f t="shared" si="116"/>
        <v/>
      </c>
      <c r="O522" t="str">
        <f t="shared" si="117"/>
        <v/>
      </c>
      <c r="P522" t="str">
        <f t="shared" si="118"/>
        <v/>
      </c>
      <c r="Q522" t="str">
        <f t="shared" si="119"/>
        <v/>
      </c>
      <c r="R522" s="20" t="str">
        <f t="shared" si="120"/>
        <v>IN</v>
      </c>
      <c r="S522" s="20" t="str">
        <f>IF(Data!E520="GpsRecord",Data!G520,"")</f>
        <v/>
      </c>
      <c r="T522" s="20" t="str">
        <f>IF(Data!E520="GpsRecord",Data!H520,"")</f>
        <v/>
      </c>
      <c r="U522" s="20">
        <f t="shared" si="121"/>
        <v>-39.404319999999998</v>
      </c>
      <c r="V522" s="20">
        <f t="shared" si="122"/>
        <v>33.732469999999999</v>
      </c>
      <c r="W522" s="19">
        <f>Data!I520</f>
        <v>0</v>
      </c>
      <c r="X522" s="17" t="str">
        <f>CONCATENATE(Data!J520, " ", Data!K520)</f>
        <v xml:space="preserve"> </v>
      </c>
    </row>
    <row r="523" spans="1:24" x14ac:dyDescent="0.3">
      <c r="A523" s="17" t="str">
        <f>Data!A521</f>
        <v>vehicle1</v>
      </c>
      <c r="B523" s="17" t="str">
        <f>Data!B521</f>
        <v>Vehicle, Gasoline or Petrol</v>
      </c>
      <c r="C523" s="17" t="str">
        <f>Data!C521</f>
        <v>1f2g3h4j5k6l</v>
      </c>
      <c r="D523" s="52">
        <f>Data!D521</f>
        <v>45066.156354166669</v>
      </c>
      <c r="E523" s="60" t="str">
        <f>IF(Data!E521="GpsRecord",Data!F521,"")</f>
        <v/>
      </c>
      <c r="F523" s="68" t="str">
        <f t="shared" si="108"/>
        <v>1501 E U.s. 6, Hamlet, IN 46532, USA</v>
      </c>
      <c r="G523" t="b">
        <f t="shared" si="109"/>
        <v>0</v>
      </c>
      <c r="H523" t="b">
        <f t="shared" si="110"/>
        <v>0</v>
      </c>
      <c r="I523" t="b">
        <f t="shared" si="111"/>
        <v>0</v>
      </c>
      <c r="J523" t="str">
        <f t="shared" si="112"/>
        <v/>
      </c>
      <c r="K523" t="str">
        <f t="shared" si="113"/>
        <v/>
      </c>
      <c r="L523" t="str">
        <f t="shared" si="114"/>
        <v>,</v>
      </c>
      <c r="M523" t="str">
        <f t="shared" si="115"/>
        <v/>
      </c>
      <c r="N523" t="str">
        <f t="shared" si="116"/>
        <v/>
      </c>
      <c r="O523" t="str">
        <f t="shared" si="117"/>
        <v/>
      </c>
      <c r="P523" t="str">
        <f t="shared" si="118"/>
        <v/>
      </c>
      <c r="Q523" t="str">
        <f t="shared" si="119"/>
        <v/>
      </c>
      <c r="R523" s="20" t="str">
        <f t="shared" si="120"/>
        <v>IN</v>
      </c>
      <c r="S523" s="20" t="str">
        <f>IF(Data!E521="GpsRecord",Data!G521,"")</f>
        <v/>
      </c>
      <c r="T523" s="20" t="str">
        <f>IF(Data!E521="GpsRecord",Data!H521,"")</f>
        <v/>
      </c>
      <c r="U523" s="20">
        <f t="shared" si="121"/>
        <v>-39.404319999999998</v>
      </c>
      <c r="V523" s="20">
        <f t="shared" si="122"/>
        <v>33.732469999999999</v>
      </c>
      <c r="W523" s="19" t="str">
        <f>Data!I521</f>
        <v>Raw outside air temperature</v>
      </c>
      <c r="X523" s="17" t="str">
        <f>CONCATENATE(Data!J521, " ", Data!K521)</f>
        <v>26 C</v>
      </c>
    </row>
    <row r="524" spans="1:24" x14ac:dyDescent="0.3">
      <c r="A524" s="17" t="str">
        <f>Data!A522</f>
        <v>vehicle1</v>
      </c>
      <c r="B524" s="17" t="str">
        <f>Data!B522</f>
        <v>Vehicle, Gasoline or Petrol</v>
      </c>
      <c r="C524" s="17" t="str">
        <f>Data!C522</f>
        <v>1f2g3h4j5k6l</v>
      </c>
      <c r="D524" s="52">
        <f>Data!D522</f>
        <v>45066.156354166669</v>
      </c>
      <c r="E524" s="60" t="str">
        <f>IF(Data!E522="GpsRecord",Data!F522,"")</f>
        <v/>
      </c>
      <c r="F524" s="68" t="str">
        <f t="shared" si="108"/>
        <v>1501 E U.s. 6, Hamlet, IN 46532, USA</v>
      </c>
      <c r="G524" t="b">
        <f t="shared" si="109"/>
        <v>0</v>
      </c>
      <c r="H524" t="b">
        <f t="shared" si="110"/>
        <v>0</v>
      </c>
      <c r="I524" t="b">
        <f t="shared" si="111"/>
        <v>0</v>
      </c>
      <c r="J524" t="str">
        <f t="shared" si="112"/>
        <v/>
      </c>
      <c r="K524" t="str">
        <f t="shared" si="113"/>
        <v/>
      </c>
      <c r="L524" t="str">
        <f t="shared" si="114"/>
        <v>,</v>
      </c>
      <c r="M524" t="str">
        <f t="shared" si="115"/>
        <v/>
      </c>
      <c r="N524" t="str">
        <f t="shared" si="116"/>
        <v/>
      </c>
      <c r="O524" t="str">
        <f t="shared" si="117"/>
        <v/>
      </c>
      <c r="P524" t="str">
        <f t="shared" si="118"/>
        <v/>
      </c>
      <c r="Q524" t="str">
        <f t="shared" si="119"/>
        <v/>
      </c>
      <c r="R524" s="20" t="str">
        <f t="shared" si="120"/>
        <v>IN</v>
      </c>
      <c r="S524" s="20" t="str">
        <f>IF(Data!E522="GpsRecord",Data!G522,"")</f>
        <v/>
      </c>
      <c r="T524" s="20" t="str">
        <f>IF(Data!E522="GpsRecord",Data!H522,"")</f>
        <v/>
      </c>
      <c r="U524" s="20">
        <f t="shared" si="121"/>
        <v>-39.404319999999998</v>
      </c>
      <c r="V524" s="20">
        <f t="shared" si="122"/>
        <v>33.732469999999999</v>
      </c>
      <c r="W524" s="19" t="str">
        <f>Data!I522</f>
        <v>Engine speed</v>
      </c>
      <c r="X524" s="17" t="str">
        <f>CONCATENATE(Data!J522, " ", Data!K522)</f>
        <v>1972.5 RPM</v>
      </c>
    </row>
    <row r="525" spans="1:24" x14ac:dyDescent="0.3">
      <c r="A525" s="17" t="str">
        <f>Data!A523</f>
        <v>vehicle1</v>
      </c>
      <c r="B525" s="17" t="str">
        <f>Data!B523</f>
        <v>Vehicle, Gasoline or Petrol</v>
      </c>
      <c r="C525" s="17" t="str">
        <f>Data!C523</f>
        <v>1f2g3h4j5k6l</v>
      </c>
      <c r="D525" s="52">
        <f>Data!D523</f>
        <v>45066.156354166669</v>
      </c>
      <c r="E525" s="60" t="str">
        <f>IF(Data!E523="GpsRecord",Data!F523,"")</f>
        <v/>
      </c>
      <c r="F525" s="68" t="str">
        <f t="shared" ref="F525:F588" si="123">IF(E525&lt;&gt;"",E525, IF(F524&lt;&gt;$F$12, F524, ""))</f>
        <v>1501 E U.s. 6, Hamlet, IN 46532, USA</v>
      </c>
      <c r="G525" t="b">
        <f t="shared" si="109"/>
        <v>0</v>
      </c>
      <c r="H525" t="b">
        <f t="shared" si="110"/>
        <v>0</v>
      </c>
      <c r="I525" t="b">
        <f t="shared" si="111"/>
        <v>0</v>
      </c>
      <c r="J525" t="str">
        <f t="shared" si="112"/>
        <v/>
      </c>
      <c r="K525" t="str">
        <f t="shared" si="113"/>
        <v/>
      </c>
      <c r="L525" t="str">
        <f t="shared" si="114"/>
        <v>,</v>
      </c>
      <c r="M525" t="str">
        <f t="shared" si="115"/>
        <v/>
      </c>
      <c r="N525" t="str">
        <f t="shared" si="116"/>
        <v/>
      </c>
      <c r="O525" t="str">
        <f t="shared" si="117"/>
        <v/>
      </c>
      <c r="P525" t="str">
        <f t="shared" si="118"/>
        <v/>
      </c>
      <c r="Q525" t="str">
        <f t="shared" si="119"/>
        <v/>
      </c>
      <c r="R525" s="20" t="str">
        <f t="shared" si="120"/>
        <v>IN</v>
      </c>
      <c r="S525" s="20" t="str">
        <f>IF(Data!E523="GpsRecord",Data!G523,"")</f>
        <v/>
      </c>
      <c r="T525" s="20" t="str">
        <f>IF(Data!E523="GpsRecord",Data!H523,"")</f>
        <v/>
      </c>
      <c r="U525" s="20">
        <f t="shared" si="121"/>
        <v>-39.404319999999998</v>
      </c>
      <c r="V525" s="20">
        <f t="shared" si="122"/>
        <v>33.732469999999999</v>
      </c>
      <c r="W525" s="19">
        <f>Data!I523</f>
        <v>0</v>
      </c>
      <c r="X525" s="17" t="str">
        <f>CONCATENATE(Data!J523, " ", Data!K523)</f>
        <v xml:space="preserve"> </v>
      </c>
    </row>
    <row r="526" spans="1:24" x14ac:dyDescent="0.3">
      <c r="A526" s="17" t="str">
        <f>Data!A524</f>
        <v>vehicle1</v>
      </c>
      <c r="B526" s="17" t="str">
        <f>Data!B524</f>
        <v>Vehicle, Gasoline or Petrol</v>
      </c>
      <c r="C526" s="17" t="str">
        <f>Data!C524</f>
        <v>1f2g3h4j5k6l</v>
      </c>
      <c r="D526" s="52">
        <f>Data!D524</f>
        <v>45066.156354166669</v>
      </c>
      <c r="E526" s="60" t="str">
        <f>IF(Data!E524="GpsRecord",Data!F524,"")</f>
        <v/>
      </c>
      <c r="F526" s="68" t="str">
        <f t="shared" si="123"/>
        <v>1501 E U.s. 6, Hamlet, IN 46532, USA</v>
      </c>
      <c r="G526" t="b">
        <f t="shared" ref="G526:G589" si="124">ISNUMBER(FIND($G$11,E526))</f>
        <v>0</v>
      </c>
      <c r="H526" t="b">
        <f t="shared" ref="H526:H589" si="125">ISNUMBER(FIND($H$11,E526))</f>
        <v>0</v>
      </c>
      <c r="I526" t="b">
        <f t="shared" ref="I526:I589" si="126">OR(G526,H526)</f>
        <v>0</v>
      </c>
      <c r="J526" t="str">
        <f t="shared" ref="J526:J589" si="127">IFERROR(MID(E526,FIND(": ",E526)+2,255),E526)</f>
        <v/>
      </c>
      <c r="K526" t="str">
        <f t="shared" ref="K526:K589" si="128">IFERROR(RIGHT(J526,LEN(J526)-FIND("@",SUBSTITUTE(J526,",","@",LEN(J526)-LEN(SUBSTITUTE(J526,",",""))),1)),J526)</f>
        <v/>
      </c>
      <c r="L526" t="str">
        <f t="shared" ref="L526:L589" si="129">","&amp;K526</f>
        <v>,</v>
      </c>
      <c r="M526" t="str">
        <f t="shared" ref="M526:M589" si="130">IF(I526,SUBSTITUTE(J526,L526,""),J526)</f>
        <v/>
      </c>
      <c r="N526" t="str">
        <f t="shared" ref="N526:N589" si="131">IFERROR(RIGHT(M526,LEN(M526)-FIND("@",SUBSTITUTE(M526,",","@",LEN(M526)-LEN(SUBSTITUTE(M526,",",""))),1)),M526)</f>
        <v/>
      </c>
      <c r="O526" t="str">
        <f t="shared" ref="O526:O589" si="132">IFERROR(RIGHT(N526,LEN(N526)-FIND("@",SUBSTITUTE(N526," ","@",LEN(N526)-LEN(SUBSTITUTE(N526," ",""))),1)),N526)</f>
        <v/>
      </c>
      <c r="P526" t="str">
        <f t="shared" ref="P526:P589" si="133">SUBSTITUTE(N526,CONCATENATE(" ",O526),"")</f>
        <v/>
      </c>
      <c r="Q526" t="str">
        <f t="shared" ref="Q526:Q589" si="134">IF(G526, MID(P526,2,2),RIGHT(P526,2))</f>
        <v/>
      </c>
      <c r="R526" s="20" t="str">
        <f t="shared" ref="R526:R589" si="135">IF(Q526&lt;&gt;"",Q526, IF(R525&lt;&gt;$R$12, R525, ""))</f>
        <v>IN</v>
      </c>
      <c r="S526" s="20" t="str">
        <f>IF(Data!E524="GpsRecord",Data!G524,"")</f>
        <v/>
      </c>
      <c r="T526" s="20" t="str">
        <f>IF(Data!E524="GpsRecord",Data!H524,"")</f>
        <v/>
      </c>
      <c r="U526" s="20">
        <f t="shared" ref="U526:U589" si="136">IF(S526&lt;&gt;"", S526, IF(U525&lt;&gt;$U$12, U525, ""))</f>
        <v>-39.404319999999998</v>
      </c>
      <c r="V526" s="20">
        <f t="shared" ref="V526:V589" si="137">IF(T526&lt;&gt;"", T526, IF(V525&lt;&gt;$V$12, V525, ""))</f>
        <v>33.732469999999999</v>
      </c>
      <c r="W526" s="19">
        <f>Data!I524</f>
        <v>0</v>
      </c>
      <c r="X526" s="17" t="str">
        <f>CONCATENATE(Data!J524, " ", Data!K524)</f>
        <v xml:space="preserve"> </v>
      </c>
    </row>
    <row r="527" spans="1:24" x14ac:dyDescent="0.3">
      <c r="A527" s="17" t="str">
        <f>Data!A525</f>
        <v>vehicle1</v>
      </c>
      <c r="B527" s="17" t="str">
        <f>Data!B525</f>
        <v>Vehicle, Gasoline or Petrol</v>
      </c>
      <c r="C527" s="17" t="str">
        <f>Data!C525</f>
        <v>1f2g3h4j5k6l</v>
      </c>
      <c r="D527" s="52">
        <f>Data!D525</f>
        <v>45066.156354166669</v>
      </c>
      <c r="E527" s="60" t="str">
        <f>IF(Data!E525="GpsRecord",Data!F525,"")</f>
        <v/>
      </c>
      <c r="F527" s="68" t="str">
        <f t="shared" si="123"/>
        <v>1501 E U.s. 6, Hamlet, IN 46532, USA</v>
      </c>
      <c r="G527" t="b">
        <f t="shared" si="124"/>
        <v>0</v>
      </c>
      <c r="H527" t="b">
        <f t="shared" si="125"/>
        <v>0</v>
      </c>
      <c r="I527" t="b">
        <f t="shared" si="126"/>
        <v>0</v>
      </c>
      <c r="J527" t="str">
        <f t="shared" si="127"/>
        <v/>
      </c>
      <c r="K527" t="str">
        <f t="shared" si="128"/>
        <v/>
      </c>
      <c r="L527" t="str">
        <f t="shared" si="129"/>
        <v>,</v>
      </c>
      <c r="M527" t="str">
        <f t="shared" si="130"/>
        <v/>
      </c>
      <c r="N527" t="str">
        <f t="shared" si="131"/>
        <v/>
      </c>
      <c r="O527" t="str">
        <f t="shared" si="132"/>
        <v/>
      </c>
      <c r="P527" t="str">
        <f t="shared" si="133"/>
        <v/>
      </c>
      <c r="Q527" t="str">
        <f t="shared" si="134"/>
        <v/>
      </c>
      <c r="R527" s="20" t="str">
        <f t="shared" si="135"/>
        <v>IN</v>
      </c>
      <c r="S527" s="20" t="str">
        <f>IF(Data!E525="GpsRecord",Data!G525,"")</f>
        <v/>
      </c>
      <c r="T527" s="20" t="str">
        <f>IF(Data!E525="GpsRecord",Data!H525,"")</f>
        <v/>
      </c>
      <c r="U527" s="20">
        <f t="shared" si="136"/>
        <v>-39.404319999999998</v>
      </c>
      <c r="V527" s="20">
        <f t="shared" si="137"/>
        <v>33.732469999999999</v>
      </c>
      <c r="W527" s="19">
        <f>Data!I525</f>
        <v>0</v>
      </c>
      <c r="X527" s="17" t="str">
        <f>CONCATENATE(Data!J525, " ", Data!K525)</f>
        <v xml:space="preserve"> </v>
      </c>
    </row>
    <row r="528" spans="1:24" x14ac:dyDescent="0.3">
      <c r="A528" s="17" t="str">
        <f>Data!A526</f>
        <v>vehicle1</v>
      </c>
      <c r="B528" s="17" t="str">
        <f>Data!B526</f>
        <v>Vehicle, Gasoline or Petrol</v>
      </c>
      <c r="C528" s="17" t="str">
        <f>Data!C526</f>
        <v>1f2g3h4j5k6l</v>
      </c>
      <c r="D528" s="52">
        <f>Data!D526</f>
        <v>45066.156377314815</v>
      </c>
      <c r="E528" s="60" t="str">
        <f>IF(Data!E526="GpsRecord",Data!F526,"")</f>
        <v/>
      </c>
      <c r="F528" s="68" t="str">
        <f t="shared" si="123"/>
        <v>1501 E U.s. 6, Hamlet, IN 46532, USA</v>
      </c>
      <c r="G528" t="b">
        <f t="shared" si="124"/>
        <v>0</v>
      </c>
      <c r="H528" t="b">
        <f t="shared" si="125"/>
        <v>0</v>
      </c>
      <c r="I528" t="b">
        <f t="shared" si="126"/>
        <v>0</v>
      </c>
      <c r="J528" t="str">
        <f t="shared" si="127"/>
        <v/>
      </c>
      <c r="K528" t="str">
        <f t="shared" si="128"/>
        <v/>
      </c>
      <c r="L528" t="str">
        <f t="shared" si="129"/>
        <v>,</v>
      </c>
      <c r="M528" t="str">
        <f t="shared" si="130"/>
        <v/>
      </c>
      <c r="N528" t="str">
        <f t="shared" si="131"/>
        <v/>
      </c>
      <c r="O528" t="str">
        <f t="shared" si="132"/>
        <v/>
      </c>
      <c r="P528" t="str">
        <f t="shared" si="133"/>
        <v/>
      </c>
      <c r="Q528" t="str">
        <f t="shared" si="134"/>
        <v/>
      </c>
      <c r="R528" s="20" t="str">
        <f t="shared" si="135"/>
        <v>IN</v>
      </c>
      <c r="S528" s="20" t="str">
        <f>IF(Data!E526="GpsRecord",Data!G526,"")</f>
        <v/>
      </c>
      <c r="T528" s="20" t="str">
        <f>IF(Data!E526="GpsRecord",Data!H526,"")</f>
        <v/>
      </c>
      <c r="U528" s="20">
        <f t="shared" si="136"/>
        <v>-39.404319999999998</v>
      </c>
      <c r="V528" s="20">
        <f t="shared" si="137"/>
        <v>33.732469999999999</v>
      </c>
      <c r="W528" s="19" t="str">
        <f>Data!I526</f>
        <v>Engine road speed</v>
      </c>
      <c r="X528" s="17" t="str">
        <f>CONCATENATE(Data!J526, " ", Data!K526)</f>
        <v>68 km/h</v>
      </c>
    </row>
    <row r="529" spans="1:24" x14ac:dyDescent="0.3">
      <c r="A529" s="17" t="str">
        <f>Data!A527</f>
        <v>vehicle1</v>
      </c>
      <c r="B529" s="17" t="str">
        <f>Data!B527</f>
        <v>Vehicle, Gasoline or Petrol</v>
      </c>
      <c r="C529" s="17" t="str">
        <f>Data!C527</f>
        <v>1f2g3h4j5k6l</v>
      </c>
      <c r="D529" s="52">
        <f>Data!D527</f>
        <v>45066.156400462962</v>
      </c>
      <c r="E529" s="60" t="str">
        <f>IF(Data!E527="GpsRecord",Data!F527,"")</f>
        <v/>
      </c>
      <c r="F529" s="68" t="str">
        <f t="shared" si="123"/>
        <v>1501 E U.s. 6, Hamlet, IN 46532, USA</v>
      </c>
      <c r="G529" t="b">
        <f t="shared" si="124"/>
        <v>0</v>
      </c>
      <c r="H529" t="b">
        <f t="shared" si="125"/>
        <v>0</v>
      </c>
      <c r="I529" t="b">
        <f t="shared" si="126"/>
        <v>0</v>
      </c>
      <c r="J529" t="str">
        <f t="shared" si="127"/>
        <v/>
      </c>
      <c r="K529" t="str">
        <f t="shared" si="128"/>
        <v/>
      </c>
      <c r="L529" t="str">
        <f t="shared" si="129"/>
        <v>,</v>
      </c>
      <c r="M529" t="str">
        <f t="shared" si="130"/>
        <v/>
      </c>
      <c r="N529" t="str">
        <f t="shared" si="131"/>
        <v/>
      </c>
      <c r="O529" t="str">
        <f t="shared" si="132"/>
        <v/>
      </c>
      <c r="P529" t="str">
        <f t="shared" si="133"/>
        <v/>
      </c>
      <c r="Q529" t="str">
        <f t="shared" si="134"/>
        <v/>
      </c>
      <c r="R529" s="20" t="str">
        <f t="shared" si="135"/>
        <v>IN</v>
      </c>
      <c r="S529" s="20" t="str">
        <f>IF(Data!E527="GpsRecord",Data!G527,"")</f>
        <v/>
      </c>
      <c r="T529" s="20" t="str">
        <f>IF(Data!E527="GpsRecord",Data!H527,"")</f>
        <v/>
      </c>
      <c r="U529" s="20">
        <f t="shared" si="136"/>
        <v>-39.404319999999998</v>
      </c>
      <c r="V529" s="20">
        <f t="shared" si="137"/>
        <v>33.732469999999999</v>
      </c>
      <c r="W529" s="19" t="str">
        <f>Data!I527</f>
        <v>Odometer</v>
      </c>
      <c r="X529" s="17" t="str">
        <f>CONCATENATE(Data!J527, " ", Data!K527)</f>
        <v>82835 km</v>
      </c>
    </row>
    <row r="530" spans="1:24" x14ac:dyDescent="0.3">
      <c r="A530" s="17" t="str">
        <f>Data!A528</f>
        <v>vehicle1</v>
      </c>
      <c r="B530" s="17" t="str">
        <f>Data!B528</f>
        <v>Vehicle, Gasoline or Petrol</v>
      </c>
      <c r="C530" s="17" t="str">
        <f>Data!C528</f>
        <v>1f2g3h4j5k6l</v>
      </c>
      <c r="D530" s="52">
        <f>Data!D528</f>
        <v>45066.156400462962</v>
      </c>
      <c r="E530" s="60" t="str">
        <f>IF(Data!E528="GpsRecord",Data!F528,"")</f>
        <v/>
      </c>
      <c r="F530" s="68" t="str">
        <f t="shared" si="123"/>
        <v>1501 E U.s. 6, Hamlet, IN 46532, USA</v>
      </c>
      <c r="G530" t="b">
        <f t="shared" si="124"/>
        <v>0</v>
      </c>
      <c r="H530" t="b">
        <f t="shared" si="125"/>
        <v>0</v>
      </c>
      <c r="I530" t="b">
        <f t="shared" si="126"/>
        <v>0</v>
      </c>
      <c r="J530" t="str">
        <f t="shared" si="127"/>
        <v/>
      </c>
      <c r="K530" t="str">
        <f t="shared" si="128"/>
        <v/>
      </c>
      <c r="L530" t="str">
        <f t="shared" si="129"/>
        <v>,</v>
      </c>
      <c r="M530" t="str">
        <f t="shared" si="130"/>
        <v/>
      </c>
      <c r="N530" t="str">
        <f t="shared" si="131"/>
        <v/>
      </c>
      <c r="O530" t="str">
        <f t="shared" si="132"/>
        <v/>
      </c>
      <c r="P530" t="str">
        <f t="shared" si="133"/>
        <v/>
      </c>
      <c r="Q530" t="str">
        <f t="shared" si="134"/>
        <v/>
      </c>
      <c r="R530" s="20" t="str">
        <f t="shared" si="135"/>
        <v>IN</v>
      </c>
      <c r="S530" s="20" t="str">
        <f>IF(Data!E528="GpsRecord",Data!G528,"")</f>
        <v/>
      </c>
      <c r="T530" s="20" t="str">
        <f>IF(Data!E528="GpsRecord",Data!H528,"")</f>
        <v/>
      </c>
      <c r="U530" s="20">
        <f t="shared" si="136"/>
        <v>-39.404319999999998</v>
      </c>
      <c r="V530" s="20">
        <f t="shared" si="137"/>
        <v>33.732469999999999</v>
      </c>
      <c r="W530" s="19" t="str">
        <f>Data!I528</f>
        <v>Raw odometer</v>
      </c>
      <c r="X530" s="17" t="str">
        <f>CONCATENATE(Data!J528, " ", Data!K528)</f>
        <v>82835 km</v>
      </c>
    </row>
    <row r="531" spans="1:24" x14ac:dyDescent="0.3">
      <c r="A531" s="17" t="str">
        <f>Data!A529</f>
        <v>vehicle1</v>
      </c>
      <c r="B531" s="17" t="str">
        <f>Data!B529</f>
        <v>Vehicle, Gasoline or Petrol</v>
      </c>
      <c r="C531" s="17" t="str">
        <f>Data!C529</f>
        <v>1f2g3h4j5k6l</v>
      </c>
      <c r="D531" s="52">
        <f>Data!D529</f>
        <v>45066.156400462962</v>
      </c>
      <c r="E531" s="60" t="str">
        <f>IF(Data!E529="GpsRecord",Data!F529,"")</f>
        <v/>
      </c>
      <c r="F531" s="68" t="str">
        <f t="shared" si="123"/>
        <v>1501 E U.s. 6, Hamlet, IN 46532, USA</v>
      </c>
      <c r="G531" t="b">
        <f t="shared" si="124"/>
        <v>0</v>
      </c>
      <c r="H531" t="b">
        <f t="shared" si="125"/>
        <v>0</v>
      </c>
      <c r="I531" t="b">
        <f t="shared" si="126"/>
        <v>0</v>
      </c>
      <c r="J531" t="str">
        <f t="shared" si="127"/>
        <v/>
      </c>
      <c r="K531" t="str">
        <f t="shared" si="128"/>
        <v/>
      </c>
      <c r="L531" t="str">
        <f t="shared" si="129"/>
        <v>,</v>
      </c>
      <c r="M531" t="str">
        <f t="shared" si="130"/>
        <v/>
      </c>
      <c r="N531" t="str">
        <f t="shared" si="131"/>
        <v/>
      </c>
      <c r="O531" t="str">
        <f t="shared" si="132"/>
        <v/>
      </c>
      <c r="P531" t="str">
        <f t="shared" si="133"/>
        <v/>
      </c>
      <c r="Q531" t="str">
        <f t="shared" si="134"/>
        <v/>
      </c>
      <c r="R531" s="20" t="str">
        <f t="shared" si="135"/>
        <v>IN</v>
      </c>
      <c r="S531" s="20" t="str">
        <f>IF(Data!E529="GpsRecord",Data!G529,"")</f>
        <v/>
      </c>
      <c r="T531" s="20" t="str">
        <f>IF(Data!E529="GpsRecord",Data!H529,"")</f>
        <v/>
      </c>
      <c r="U531" s="20">
        <f t="shared" si="136"/>
        <v>-39.404319999999998</v>
      </c>
      <c r="V531" s="20">
        <f t="shared" si="137"/>
        <v>33.732469999999999</v>
      </c>
      <c r="W531" s="19" t="str">
        <f>Data!I529</f>
        <v>Trip distance with tracked fuel accumulator</v>
      </c>
      <c r="X531" s="17" t="str">
        <f>CONCATENATE(Data!J529, " ", Data!K529)</f>
        <v>3 km</v>
      </c>
    </row>
    <row r="532" spans="1:24" x14ac:dyDescent="0.3">
      <c r="A532" s="17" t="str">
        <f>Data!A530</f>
        <v>vehicle1</v>
      </c>
      <c r="B532" s="17" t="str">
        <f>Data!B530</f>
        <v>Vehicle, Gasoline or Petrol</v>
      </c>
      <c r="C532" s="17" t="str">
        <f>Data!C530</f>
        <v>1f2g3h4j5k6l</v>
      </c>
      <c r="D532" s="52">
        <f>Data!D530</f>
        <v>45066.156412037039</v>
      </c>
      <c r="E532" s="60" t="str">
        <f>IF(Data!E530="GpsRecord",Data!F530,"")</f>
        <v>1501 E U.s. 6, Hamlet, IN 46532, USA</v>
      </c>
      <c r="F532" s="68" t="str">
        <f t="shared" si="123"/>
        <v>1501 E U.s. 6, Hamlet, IN 46532, USA</v>
      </c>
      <c r="G532" t="b">
        <f t="shared" si="124"/>
        <v>0</v>
      </c>
      <c r="H532" t="b">
        <f t="shared" si="125"/>
        <v>1</v>
      </c>
      <c r="I532" t="b">
        <f t="shared" si="126"/>
        <v>1</v>
      </c>
      <c r="J532" t="str">
        <f t="shared" si="127"/>
        <v>1501 E U.s. 6, Hamlet, IN 46532, USA</v>
      </c>
      <c r="K532" t="str">
        <f t="shared" si="128"/>
        <v xml:space="preserve"> USA</v>
      </c>
      <c r="L532" t="str">
        <f t="shared" si="129"/>
        <v>, USA</v>
      </c>
      <c r="M532" t="str">
        <f t="shared" si="130"/>
        <v>1501 E U.s. 6, Hamlet, IN 46532</v>
      </c>
      <c r="N532" t="str">
        <f t="shared" si="131"/>
        <v xml:space="preserve"> IN 46532</v>
      </c>
      <c r="O532" t="str">
        <f t="shared" si="132"/>
        <v>46532</v>
      </c>
      <c r="P532" t="str">
        <f t="shared" si="133"/>
        <v xml:space="preserve"> IN</v>
      </c>
      <c r="Q532" t="str">
        <f t="shared" si="134"/>
        <v>IN</v>
      </c>
      <c r="R532" s="20" t="str">
        <f t="shared" si="135"/>
        <v>IN</v>
      </c>
      <c r="S532" s="20">
        <f>IF(Data!E530="GpsRecord",Data!G530,"")</f>
        <v>-39.402610000000003</v>
      </c>
      <c r="T532" s="20">
        <f>IF(Data!E530="GpsRecord",Data!H530,"")</f>
        <v>33.733980000000003</v>
      </c>
      <c r="U532" s="20">
        <f t="shared" si="136"/>
        <v>-39.402610000000003</v>
      </c>
      <c r="V532" s="20">
        <f t="shared" si="137"/>
        <v>33.733980000000003</v>
      </c>
      <c r="W532" s="19">
        <f>Data!I530</f>
        <v>0</v>
      </c>
      <c r="X532" s="17" t="str">
        <f>CONCATENATE(Data!J530, " ", Data!K530)</f>
        <v xml:space="preserve"> </v>
      </c>
    </row>
    <row r="533" spans="1:24" x14ac:dyDescent="0.3">
      <c r="A533" s="17" t="str">
        <f>Data!A531</f>
        <v>vehicle1</v>
      </c>
      <c r="B533" s="17" t="str">
        <f>Data!B531</f>
        <v>Vehicle, Gasoline or Petrol</v>
      </c>
      <c r="C533" s="17" t="str">
        <f>Data!C531</f>
        <v>1f2g3h4j5k6l</v>
      </c>
      <c r="D533" s="52">
        <f>Data!D531</f>
        <v>45066.156412037039</v>
      </c>
      <c r="E533" s="60" t="str">
        <f>IF(Data!E531="GpsRecord",Data!F531,"")</f>
        <v/>
      </c>
      <c r="F533" s="68" t="str">
        <f t="shared" si="123"/>
        <v>1501 E U.s. 6, Hamlet, IN 46532, USA</v>
      </c>
      <c r="G533" t="b">
        <f t="shared" si="124"/>
        <v>0</v>
      </c>
      <c r="H533" t="b">
        <f t="shared" si="125"/>
        <v>0</v>
      </c>
      <c r="I533" t="b">
        <f t="shared" si="126"/>
        <v>0</v>
      </c>
      <c r="J533" t="str">
        <f t="shared" si="127"/>
        <v/>
      </c>
      <c r="K533" t="str">
        <f t="shared" si="128"/>
        <v/>
      </c>
      <c r="L533" t="str">
        <f t="shared" si="129"/>
        <v>,</v>
      </c>
      <c r="M533" t="str">
        <f t="shared" si="130"/>
        <v/>
      </c>
      <c r="N533" t="str">
        <f t="shared" si="131"/>
        <v/>
      </c>
      <c r="O533" t="str">
        <f t="shared" si="132"/>
        <v/>
      </c>
      <c r="P533" t="str">
        <f t="shared" si="133"/>
        <v/>
      </c>
      <c r="Q533" t="str">
        <f t="shared" si="134"/>
        <v/>
      </c>
      <c r="R533" s="20" t="str">
        <f t="shared" si="135"/>
        <v>IN</v>
      </c>
      <c r="S533" s="20" t="str">
        <f>IF(Data!E531="GpsRecord",Data!G531,"")</f>
        <v/>
      </c>
      <c r="T533" s="20" t="str">
        <f>IF(Data!E531="GpsRecord",Data!H531,"")</f>
        <v/>
      </c>
      <c r="U533" s="20">
        <f t="shared" si="136"/>
        <v>-39.402610000000003</v>
      </c>
      <c r="V533" s="20">
        <f t="shared" si="137"/>
        <v>33.733980000000003</v>
      </c>
      <c r="W533" s="19" t="str">
        <f>Data!I531</f>
        <v>Trip distance accumulator odometer</v>
      </c>
      <c r="X533" s="17" t="str">
        <f>CONCATENATE(Data!J531, " ", Data!K531)</f>
        <v>3 km</v>
      </c>
    </row>
    <row r="534" spans="1:24" x14ac:dyDescent="0.3">
      <c r="A534" s="17" t="str">
        <f>Data!A532</f>
        <v>vehicle1</v>
      </c>
      <c r="B534" s="17" t="str">
        <f>Data!B532</f>
        <v>Vehicle, Gasoline or Petrol</v>
      </c>
      <c r="C534" s="17" t="str">
        <f>Data!C532</f>
        <v>1f2g3h4j5k6l</v>
      </c>
      <c r="D534" s="52">
        <f>Data!D532</f>
        <v>45066.1565162037</v>
      </c>
      <c r="E534" s="60" t="str">
        <f>IF(Data!E532="GpsRecord",Data!F532,"")</f>
        <v/>
      </c>
      <c r="F534" s="68" t="str">
        <f t="shared" si="123"/>
        <v>1501 E U.s. 6, Hamlet, IN 46532, USA</v>
      </c>
      <c r="G534" t="b">
        <f t="shared" si="124"/>
        <v>0</v>
      </c>
      <c r="H534" t="b">
        <f t="shared" si="125"/>
        <v>0</v>
      </c>
      <c r="I534" t="b">
        <f t="shared" si="126"/>
        <v>0</v>
      </c>
      <c r="J534" t="str">
        <f t="shared" si="127"/>
        <v/>
      </c>
      <c r="K534" t="str">
        <f t="shared" si="128"/>
        <v/>
      </c>
      <c r="L534" t="str">
        <f t="shared" si="129"/>
        <v>,</v>
      </c>
      <c r="M534" t="str">
        <f t="shared" si="130"/>
        <v/>
      </c>
      <c r="N534" t="str">
        <f t="shared" si="131"/>
        <v/>
      </c>
      <c r="O534" t="str">
        <f t="shared" si="132"/>
        <v/>
      </c>
      <c r="P534" t="str">
        <f t="shared" si="133"/>
        <v/>
      </c>
      <c r="Q534" t="str">
        <f t="shared" si="134"/>
        <v/>
      </c>
      <c r="R534" s="20" t="str">
        <f t="shared" si="135"/>
        <v>IN</v>
      </c>
      <c r="S534" s="20" t="str">
        <f>IF(Data!E532="GpsRecord",Data!G532,"")</f>
        <v/>
      </c>
      <c r="T534" s="20" t="str">
        <f>IF(Data!E532="GpsRecord",Data!H532,"")</f>
        <v/>
      </c>
      <c r="U534" s="20">
        <f t="shared" si="136"/>
        <v>-39.402610000000003</v>
      </c>
      <c r="V534" s="20">
        <f t="shared" si="137"/>
        <v>33.733980000000003</v>
      </c>
      <c r="W534" s="19" t="str">
        <f>Data!I532</f>
        <v>Cellular modem radio access technology</v>
      </c>
      <c r="X534" s="17" t="str">
        <f>CONCATENATE(Data!J532, " ", Data!K532)</f>
        <v>7 None</v>
      </c>
    </row>
    <row r="535" spans="1:24" x14ac:dyDescent="0.3">
      <c r="A535" s="17" t="str">
        <f>Data!A533</f>
        <v>vehicle1</v>
      </c>
      <c r="B535" s="17" t="str">
        <f>Data!B533</f>
        <v>Vehicle, Gasoline or Petrol</v>
      </c>
      <c r="C535" s="17" t="str">
        <f>Data!C533</f>
        <v>1f2g3h4j5k6l</v>
      </c>
      <c r="D535" s="52">
        <f>Data!D533</f>
        <v>45066.1565162037</v>
      </c>
      <c r="E535" s="60" t="str">
        <f>IF(Data!E533="GpsRecord",Data!F533,"")</f>
        <v/>
      </c>
      <c r="F535" s="68" t="str">
        <f t="shared" si="123"/>
        <v>1501 E U.s. 6, Hamlet, IN 46532, USA</v>
      </c>
      <c r="G535" t="b">
        <f t="shared" si="124"/>
        <v>0</v>
      </c>
      <c r="H535" t="b">
        <f t="shared" si="125"/>
        <v>0</v>
      </c>
      <c r="I535" t="b">
        <f t="shared" si="126"/>
        <v>0</v>
      </c>
      <c r="J535" t="str">
        <f t="shared" si="127"/>
        <v/>
      </c>
      <c r="K535" t="str">
        <f t="shared" si="128"/>
        <v/>
      </c>
      <c r="L535" t="str">
        <f t="shared" si="129"/>
        <v>,</v>
      </c>
      <c r="M535" t="str">
        <f t="shared" si="130"/>
        <v/>
      </c>
      <c r="N535" t="str">
        <f t="shared" si="131"/>
        <v/>
      </c>
      <c r="O535" t="str">
        <f t="shared" si="132"/>
        <v/>
      </c>
      <c r="P535" t="str">
        <f t="shared" si="133"/>
        <v/>
      </c>
      <c r="Q535" t="str">
        <f t="shared" si="134"/>
        <v/>
      </c>
      <c r="R535" s="20" t="str">
        <f t="shared" si="135"/>
        <v>IN</v>
      </c>
      <c r="S535" s="20" t="str">
        <f>IF(Data!E533="GpsRecord",Data!G533,"")</f>
        <v/>
      </c>
      <c r="T535" s="20" t="str">
        <f>IF(Data!E533="GpsRecord",Data!H533,"")</f>
        <v/>
      </c>
      <c r="U535" s="20">
        <f t="shared" si="136"/>
        <v>-39.402610000000003</v>
      </c>
      <c r="V535" s="20">
        <f t="shared" si="137"/>
        <v>33.733980000000003</v>
      </c>
      <c r="W535" s="19">
        <f>Data!I533</f>
        <v>0</v>
      </c>
      <c r="X535" s="17" t="str">
        <f>CONCATENATE(Data!J533, " ", Data!K533)</f>
        <v xml:space="preserve"> </v>
      </c>
    </row>
    <row r="536" spans="1:24" x14ac:dyDescent="0.3">
      <c r="A536" s="17" t="str">
        <f>Data!A534</f>
        <v>vehicle1</v>
      </c>
      <c r="B536" s="17" t="str">
        <f>Data!B534</f>
        <v>Vehicle, Gasoline or Petrol</v>
      </c>
      <c r="C536" s="17" t="str">
        <f>Data!C534</f>
        <v>1f2g3h4j5k6l</v>
      </c>
      <c r="D536" s="52">
        <f>Data!D534</f>
        <v>45066.1565162037</v>
      </c>
      <c r="E536" s="60" t="str">
        <f>IF(Data!E534="GpsRecord",Data!F534,"")</f>
        <v/>
      </c>
      <c r="F536" s="68" t="str">
        <f t="shared" si="123"/>
        <v>1501 E U.s. 6, Hamlet, IN 46532, USA</v>
      </c>
      <c r="G536" t="b">
        <f t="shared" si="124"/>
        <v>0</v>
      </c>
      <c r="H536" t="b">
        <f t="shared" si="125"/>
        <v>0</v>
      </c>
      <c r="I536" t="b">
        <f t="shared" si="126"/>
        <v>0</v>
      </c>
      <c r="J536" t="str">
        <f t="shared" si="127"/>
        <v/>
      </c>
      <c r="K536" t="str">
        <f t="shared" si="128"/>
        <v/>
      </c>
      <c r="L536" t="str">
        <f t="shared" si="129"/>
        <v>,</v>
      </c>
      <c r="M536" t="str">
        <f t="shared" si="130"/>
        <v/>
      </c>
      <c r="N536" t="str">
        <f t="shared" si="131"/>
        <v/>
      </c>
      <c r="O536" t="str">
        <f t="shared" si="132"/>
        <v/>
      </c>
      <c r="P536" t="str">
        <f t="shared" si="133"/>
        <v/>
      </c>
      <c r="Q536" t="str">
        <f t="shared" si="134"/>
        <v/>
      </c>
      <c r="R536" s="20" t="str">
        <f t="shared" si="135"/>
        <v>IN</v>
      </c>
      <c r="S536" s="20" t="str">
        <f>IF(Data!E534="GpsRecord",Data!G534,"")</f>
        <v/>
      </c>
      <c r="T536" s="20" t="str">
        <f>IF(Data!E534="GpsRecord",Data!H534,"")</f>
        <v/>
      </c>
      <c r="U536" s="20">
        <f t="shared" si="136"/>
        <v>-39.402610000000003</v>
      </c>
      <c r="V536" s="20">
        <f t="shared" si="137"/>
        <v>33.733980000000003</v>
      </c>
      <c r="W536" s="19" t="str">
        <f>Data!I534</f>
        <v>Cellular modem signal strength</v>
      </c>
      <c r="X536" s="17" t="str">
        <f>CONCATENATE(Data!J534, " ", Data!K534)</f>
        <v>109 None</v>
      </c>
    </row>
    <row r="537" spans="1:24" x14ac:dyDescent="0.3">
      <c r="A537" s="17" t="str">
        <f>Data!A535</f>
        <v>vehicle1</v>
      </c>
      <c r="B537" s="17" t="str">
        <f>Data!B535</f>
        <v>Vehicle, Gasoline or Petrol</v>
      </c>
      <c r="C537" s="17" t="str">
        <f>Data!C535</f>
        <v>1f2g3h4j5k6l</v>
      </c>
      <c r="D537" s="52">
        <f>Data!D535</f>
        <v>45066.156539351854</v>
      </c>
      <c r="E537" s="60" t="str">
        <f>IF(Data!E535="GpsRecord",Data!F535,"")</f>
        <v/>
      </c>
      <c r="F537" s="68" t="str">
        <f t="shared" si="123"/>
        <v>1501 E U.s. 6, Hamlet, IN 46532, USA</v>
      </c>
      <c r="G537" t="b">
        <f t="shared" si="124"/>
        <v>0</v>
      </c>
      <c r="H537" t="b">
        <f t="shared" si="125"/>
        <v>0</v>
      </c>
      <c r="I537" t="b">
        <f t="shared" si="126"/>
        <v>0</v>
      </c>
      <c r="J537" t="str">
        <f t="shared" si="127"/>
        <v/>
      </c>
      <c r="K537" t="str">
        <f t="shared" si="128"/>
        <v/>
      </c>
      <c r="L537" t="str">
        <f t="shared" si="129"/>
        <v>,</v>
      </c>
      <c r="M537" t="str">
        <f t="shared" si="130"/>
        <v/>
      </c>
      <c r="N537" t="str">
        <f t="shared" si="131"/>
        <v/>
      </c>
      <c r="O537" t="str">
        <f t="shared" si="132"/>
        <v/>
      </c>
      <c r="P537" t="str">
        <f t="shared" si="133"/>
        <v/>
      </c>
      <c r="Q537" t="str">
        <f t="shared" si="134"/>
        <v/>
      </c>
      <c r="R537" s="20" t="str">
        <f t="shared" si="135"/>
        <v>IN</v>
      </c>
      <c r="S537" s="20" t="str">
        <f>IF(Data!E535="GpsRecord",Data!G535,"")</f>
        <v/>
      </c>
      <c r="T537" s="20" t="str">
        <f>IF(Data!E535="GpsRecord",Data!H535,"")</f>
        <v/>
      </c>
      <c r="U537" s="20">
        <f t="shared" si="136"/>
        <v>-39.402610000000003</v>
      </c>
      <c r="V537" s="20">
        <f t="shared" si="137"/>
        <v>33.733980000000003</v>
      </c>
      <c r="W537" s="19" t="str">
        <f>Data!I535</f>
        <v>Engine road speed</v>
      </c>
      <c r="X537" s="17" t="str">
        <f>CONCATENATE(Data!J535, " ", Data!K535)</f>
        <v>51 km/h</v>
      </c>
    </row>
    <row r="538" spans="1:24" x14ac:dyDescent="0.3">
      <c r="A538" s="17" t="str">
        <f>Data!A536</f>
        <v>vehicle1</v>
      </c>
      <c r="B538" s="17" t="str">
        <f>Data!B536</f>
        <v>Vehicle, Gasoline or Petrol</v>
      </c>
      <c r="C538" s="17" t="str">
        <f>Data!C536</f>
        <v>1f2g3h4j5k6l</v>
      </c>
      <c r="D538" s="52">
        <f>Data!D536</f>
        <v>45066.156550925924</v>
      </c>
      <c r="E538" s="60" t="str">
        <f>IF(Data!E536="GpsRecord",Data!F536,"")</f>
        <v>1501 E U.s. 6, Hamlet, IN 46532, USA</v>
      </c>
      <c r="F538" s="68" t="str">
        <f t="shared" si="123"/>
        <v>1501 E U.s. 6, Hamlet, IN 46532, USA</v>
      </c>
      <c r="G538" t="b">
        <f t="shared" si="124"/>
        <v>0</v>
      </c>
      <c r="H538" t="b">
        <f t="shared" si="125"/>
        <v>1</v>
      </c>
      <c r="I538" t="b">
        <f t="shared" si="126"/>
        <v>1</v>
      </c>
      <c r="J538" t="str">
        <f t="shared" si="127"/>
        <v>1501 E U.s. 6, Hamlet, IN 46532, USA</v>
      </c>
      <c r="K538" t="str">
        <f t="shared" si="128"/>
        <v xml:space="preserve"> USA</v>
      </c>
      <c r="L538" t="str">
        <f t="shared" si="129"/>
        <v>, USA</v>
      </c>
      <c r="M538" t="str">
        <f t="shared" si="130"/>
        <v>1501 E U.s. 6, Hamlet, IN 46532</v>
      </c>
      <c r="N538" t="str">
        <f t="shared" si="131"/>
        <v xml:space="preserve"> IN 46532</v>
      </c>
      <c r="O538" t="str">
        <f t="shared" si="132"/>
        <v>46532</v>
      </c>
      <c r="P538" t="str">
        <f t="shared" si="133"/>
        <v xml:space="preserve"> IN</v>
      </c>
      <c r="Q538" t="str">
        <f t="shared" si="134"/>
        <v>IN</v>
      </c>
      <c r="R538" s="20" t="str">
        <f t="shared" si="135"/>
        <v>IN</v>
      </c>
      <c r="S538" s="20">
        <f>IF(Data!E536="GpsRecord",Data!G536,"")</f>
        <v>-39.401020000000003</v>
      </c>
      <c r="T538" s="20">
        <f>IF(Data!E536="GpsRecord",Data!H536,"")</f>
        <v>33.735340000000001</v>
      </c>
      <c r="U538" s="20">
        <f t="shared" si="136"/>
        <v>-39.401020000000003</v>
      </c>
      <c r="V538" s="20">
        <f t="shared" si="137"/>
        <v>33.735340000000001</v>
      </c>
      <c r="W538" s="19">
        <f>Data!I536</f>
        <v>0</v>
      </c>
      <c r="X538" s="17" t="str">
        <f>CONCATENATE(Data!J536, " ", Data!K536)</f>
        <v xml:space="preserve"> </v>
      </c>
    </row>
    <row r="539" spans="1:24" x14ac:dyDescent="0.3">
      <c r="A539" s="17" t="str">
        <f>Data!A537</f>
        <v>vehicle1</v>
      </c>
      <c r="B539" s="17" t="str">
        <f>Data!B537</f>
        <v>Vehicle, Gasoline or Petrol</v>
      </c>
      <c r="C539" s="17" t="str">
        <f>Data!C537</f>
        <v>1f2g3h4j5k6l</v>
      </c>
      <c r="D539" s="52">
        <f>Data!D537</f>
        <v>45066.156608796293</v>
      </c>
      <c r="E539" s="60" t="str">
        <f>IF(Data!E537="GpsRecord",Data!F537,"")</f>
        <v/>
      </c>
      <c r="F539" s="68" t="str">
        <f t="shared" si="123"/>
        <v>1501 E U.s. 6, Hamlet, IN 46532, USA</v>
      </c>
      <c r="G539" t="b">
        <f t="shared" si="124"/>
        <v>0</v>
      </c>
      <c r="H539" t="b">
        <f t="shared" si="125"/>
        <v>0</v>
      </c>
      <c r="I539" t="b">
        <f t="shared" si="126"/>
        <v>0</v>
      </c>
      <c r="J539" t="str">
        <f t="shared" si="127"/>
        <v/>
      </c>
      <c r="K539" t="str">
        <f t="shared" si="128"/>
        <v/>
      </c>
      <c r="L539" t="str">
        <f t="shared" si="129"/>
        <v>,</v>
      </c>
      <c r="M539" t="str">
        <f t="shared" si="130"/>
        <v/>
      </c>
      <c r="N539" t="str">
        <f t="shared" si="131"/>
        <v/>
      </c>
      <c r="O539" t="str">
        <f t="shared" si="132"/>
        <v/>
      </c>
      <c r="P539" t="str">
        <f t="shared" si="133"/>
        <v/>
      </c>
      <c r="Q539" t="str">
        <f t="shared" si="134"/>
        <v/>
      </c>
      <c r="R539" s="20" t="str">
        <f t="shared" si="135"/>
        <v>IN</v>
      </c>
      <c r="S539" s="20" t="str">
        <f>IF(Data!E537="GpsRecord",Data!G537,"")</f>
        <v/>
      </c>
      <c r="T539" s="20" t="str">
        <f>IF(Data!E537="GpsRecord",Data!H537,"")</f>
        <v/>
      </c>
      <c r="U539" s="20">
        <f t="shared" si="136"/>
        <v>-39.401020000000003</v>
      </c>
      <c r="V539" s="20">
        <f t="shared" si="137"/>
        <v>33.735340000000001</v>
      </c>
      <c r="W539" s="19">
        <f>Data!I537</f>
        <v>0</v>
      </c>
      <c r="X539" s="17" t="str">
        <f>CONCATENATE(Data!J537, " ", Data!K537)</f>
        <v xml:space="preserve"> </v>
      </c>
    </row>
    <row r="540" spans="1:24" x14ac:dyDescent="0.3">
      <c r="A540" s="17" t="str">
        <f>Data!A538</f>
        <v>vehicle1</v>
      </c>
      <c r="B540" s="17" t="str">
        <f>Data!B538</f>
        <v>Vehicle, Gasoline or Petrol</v>
      </c>
      <c r="C540" s="17" t="str">
        <f>Data!C538</f>
        <v>1f2g3h4j5k6l</v>
      </c>
      <c r="D540" s="52">
        <f>Data!D538</f>
        <v>45066.15662037037</v>
      </c>
      <c r="E540" s="60" t="str">
        <f>IF(Data!E538="GpsRecord",Data!F538,"")</f>
        <v>1501 E U.s. 6, Hamlet, IN 46532, USA</v>
      </c>
      <c r="F540" s="68" t="str">
        <f t="shared" si="123"/>
        <v>1501 E U.s. 6, Hamlet, IN 46532, USA</v>
      </c>
      <c r="G540" t="b">
        <f t="shared" si="124"/>
        <v>0</v>
      </c>
      <c r="H540" t="b">
        <f t="shared" si="125"/>
        <v>1</v>
      </c>
      <c r="I540" t="b">
        <f t="shared" si="126"/>
        <v>1</v>
      </c>
      <c r="J540" t="str">
        <f t="shared" si="127"/>
        <v>1501 E U.s. 6, Hamlet, IN 46532, USA</v>
      </c>
      <c r="K540" t="str">
        <f t="shared" si="128"/>
        <v xml:space="preserve"> USA</v>
      </c>
      <c r="L540" t="str">
        <f t="shared" si="129"/>
        <v>, USA</v>
      </c>
      <c r="M540" t="str">
        <f t="shared" si="130"/>
        <v>1501 E U.s. 6, Hamlet, IN 46532</v>
      </c>
      <c r="N540" t="str">
        <f t="shared" si="131"/>
        <v xml:space="preserve"> IN 46532</v>
      </c>
      <c r="O540" t="str">
        <f t="shared" si="132"/>
        <v>46532</v>
      </c>
      <c r="P540" t="str">
        <f t="shared" si="133"/>
        <v xml:space="preserve"> IN</v>
      </c>
      <c r="Q540" t="str">
        <f t="shared" si="134"/>
        <v>IN</v>
      </c>
      <c r="R540" s="20" t="str">
        <f t="shared" si="135"/>
        <v>IN</v>
      </c>
      <c r="S540" s="20">
        <f>IF(Data!E538="GpsRecord",Data!G538,"")</f>
        <v>-39.400530000000003</v>
      </c>
      <c r="T540" s="20">
        <f>IF(Data!E538="GpsRecord",Data!H538,"")</f>
        <v>33.735770000000002</v>
      </c>
      <c r="U540" s="20">
        <f t="shared" si="136"/>
        <v>-39.400530000000003</v>
      </c>
      <c r="V540" s="20">
        <f t="shared" si="137"/>
        <v>33.735770000000002</v>
      </c>
      <c r="W540" s="19">
        <f>Data!I538</f>
        <v>0</v>
      </c>
      <c r="X540" s="17" t="str">
        <f>CONCATENATE(Data!J538, " ", Data!K538)</f>
        <v xml:space="preserve"> </v>
      </c>
    </row>
    <row r="541" spans="1:24" x14ac:dyDescent="0.3">
      <c r="A541" s="17" t="str">
        <f>Data!A539</f>
        <v>vehicle1</v>
      </c>
      <c r="B541" s="17" t="str">
        <f>Data!B539</f>
        <v>Vehicle, Gasoline or Petrol</v>
      </c>
      <c r="C541" s="17" t="str">
        <f>Data!C539</f>
        <v>1f2g3h4j5k6l</v>
      </c>
      <c r="D541" s="52">
        <f>Data!D539</f>
        <v>45066.15662037037</v>
      </c>
      <c r="E541" s="60" t="str">
        <f>IF(Data!E539="GpsRecord",Data!F539,"")</f>
        <v/>
      </c>
      <c r="F541" s="68" t="str">
        <f t="shared" si="123"/>
        <v>1501 E U.s. 6, Hamlet, IN 46532, USA</v>
      </c>
      <c r="G541" t="b">
        <f t="shared" si="124"/>
        <v>0</v>
      </c>
      <c r="H541" t="b">
        <f t="shared" si="125"/>
        <v>0</v>
      </c>
      <c r="I541" t="b">
        <f t="shared" si="126"/>
        <v>0</v>
      </c>
      <c r="J541" t="str">
        <f t="shared" si="127"/>
        <v/>
      </c>
      <c r="K541" t="str">
        <f t="shared" si="128"/>
        <v/>
      </c>
      <c r="L541" t="str">
        <f t="shared" si="129"/>
        <v>,</v>
      </c>
      <c r="M541" t="str">
        <f t="shared" si="130"/>
        <v/>
      </c>
      <c r="N541" t="str">
        <f t="shared" si="131"/>
        <v/>
      </c>
      <c r="O541" t="str">
        <f t="shared" si="132"/>
        <v/>
      </c>
      <c r="P541" t="str">
        <f t="shared" si="133"/>
        <v/>
      </c>
      <c r="Q541" t="str">
        <f t="shared" si="134"/>
        <v/>
      </c>
      <c r="R541" s="20" t="str">
        <f t="shared" si="135"/>
        <v>IN</v>
      </c>
      <c r="S541" s="20" t="str">
        <f>IF(Data!E539="GpsRecord",Data!G539,"")</f>
        <v/>
      </c>
      <c r="T541" s="20" t="str">
        <f>IF(Data!E539="GpsRecord",Data!H539,"")</f>
        <v/>
      </c>
      <c r="U541" s="20">
        <f t="shared" si="136"/>
        <v>-39.400530000000003</v>
      </c>
      <c r="V541" s="20">
        <f t="shared" si="137"/>
        <v>33.735770000000002</v>
      </c>
      <c r="W541" s="19" t="str">
        <f>Data!I539</f>
        <v>Engine road speed</v>
      </c>
      <c r="X541" s="17" t="str">
        <f>CONCATENATE(Data!J539, " ", Data!K539)</f>
        <v>18 km/h</v>
      </c>
    </row>
    <row r="542" spans="1:24" x14ac:dyDescent="0.3">
      <c r="A542" s="17" t="str">
        <f>Data!A540</f>
        <v>vehicle1</v>
      </c>
      <c r="B542" s="17" t="str">
        <f>Data!B540</f>
        <v>Vehicle, Gasoline or Petrol</v>
      </c>
      <c r="C542" s="17" t="str">
        <f>Data!C540</f>
        <v>1f2g3h4j5k6l</v>
      </c>
      <c r="D542" s="52">
        <f>Data!D540</f>
        <v>45066.156655092593</v>
      </c>
      <c r="E542" s="60" t="str">
        <f>IF(Data!E540="GpsRecord",Data!F540,"")</f>
        <v/>
      </c>
      <c r="F542" s="68" t="str">
        <f t="shared" si="123"/>
        <v>1501 E U.s. 6, Hamlet, IN 46532, USA</v>
      </c>
      <c r="G542" t="b">
        <f t="shared" si="124"/>
        <v>0</v>
      </c>
      <c r="H542" t="b">
        <f t="shared" si="125"/>
        <v>0</v>
      </c>
      <c r="I542" t="b">
        <f t="shared" si="126"/>
        <v>0</v>
      </c>
      <c r="J542" t="str">
        <f t="shared" si="127"/>
        <v/>
      </c>
      <c r="K542" t="str">
        <f t="shared" si="128"/>
        <v/>
      </c>
      <c r="L542" t="str">
        <f t="shared" si="129"/>
        <v>,</v>
      </c>
      <c r="M542" t="str">
        <f t="shared" si="130"/>
        <v/>
      </c>
      <c r="N542" t="str">
        <f t="shared" si="131"/>
        <v/>
      </c>
      <c r="O542" t="str">
        <f t="shared" si="132"/>
        <v/>
      </c>
      <c r="P542" t="str">
        <f t="shared" si="133"/>
        <v/>
      </c>
      <c r="Q542" t="str">
        <f t="shared" si="134"/>
        <v/>
      </c>
      <c r="R542" s="20" t="str">
        <f t="shared" si="135"/>
        <v>IN</v>
      </c>
      <c r="S542" s="20" t="str">
        <f>IF(Data!E540="GpsRecord",Data!G540,"")</f>
        <v/>
      </c>
      <c r="T542" s="20" t="str">
        <f>IF(Data!E540="GpsRecord",Data!H540,"")</f>
        <v/>
      </c>
      <c r="U542" s="20">
        <f t="shared" si="136"/>
        <v>-39.400530000000003</v>
      </c>
      <c r="V542" s="20">
        <f t="shared" si="137"/>
        <v>33.735770000000002</v>
      </c>
      <c r="W542" s="19">
        <f>Data!I540</f>
        <v>0</v>
      </c>
      <c r="X542" s="17" t="str">
        <f>CONCATENATE(Data!J540, " ", Data!K540)</f>
        <v xml:space="preserve"> </v>
      </c>
    </row>
    <row r="543" spans="1:24" x14ac:dyDescent="0.3">
      <c r="A543" s="17" t="str">
        <f>Data!A541</f>
        <v>vehicle1</v>
      </c>
      <c r="B543" s="17" t="str">
        <f>Data!B541</f>
        <v>Vehicle, Gasoline or Petrol</v>
      </c>
      <c r="C543" s="17" t="str">
        <f>Data!C541</f>
        <v>1f2g3h4j5k6l</v>
      </c>
      <c r="D543" s="52">
        <f>Data!D541</f>
        <v>45066.156678240739</v>
      </c>
      <c r="E543" s="60" t="str">
        <f>IF(Data!E541="GpsRecord",Data!F541,"")</f>
        <v>1501 E U.s. 6, Hamlet, IN 46532, USA</v>
      </c>
      <c r="F543" s="68" t="str">
        <f t="shared" si="123"/>
        <v>1501 E U.s. 6, Hamlet, IN 46532, USA</v>
      </c>
      <c r="G543" t="b">
        <f t="shared" si="124"/>
        <v>0</v>
      </c>
      <c r="H543" t="b">
        <f t="shared" si="125"/>
        <v>1</v>
      </c>
      <c r="I543" t="b">
        <f t="shared" si="126"/>
        <v>1</v>
      </c>
      <c r="J543" t="str">
        <f t="shared" si="127"/>
        <v>1501 E U.s. 6, Hamlet, IN 46532, USA</v>
      </c>
      <c r="K543" t="str">
        <f t="shared" si="128"/>
        <v xml:space="preserve"> USA</v>
      </c>
      <c r="L543" t="str">
        <f t="shared" si="129"/>
        <v>, USA</v>
      </c>
      <c r="M543" t="str">
        <f t="shared" si="130"/>
        <v>1501 E U.s. 6, Hamlet, IN 46532</v>
      </c>
      <c r="N543" t="str">
        <f t="shared" si="131"/>
        <v xml:space="preserve"> IN 46532</v>
      </c>
      <c r="O543" t="str">
        <f t="shared" si="132"/>
        <v>46532</v>
      </c>
      <c r="P543" t="str">
        <f t="shared" si="133"/>
        <v xml:space="preserve"> IN</v>
      </c>
      <c r="Q543" t="str">
        <f t="shared" si="134"/>
        <v>IN</v>
      </c>
      <c r="R543" s="20" t="str">
        <f t="shared" si="135"/>
        <v>IN</v>
      </c>
      <c r="S543" s="20">
        <f>IF(Data!E541="GpsRecord",Data!G541,"")</f>
        <v>-39.400359999999999</v>
      </c>
      <c r="T543" s="20">
        <f>IF(Data!E541="GpsRecord",Data!H541,"")</f>
        <v>33.735900000000001</v>
      </c>
      <c r="U543" s="20">
        <f t="shared" si="136"/>
        <v>-39.400359999999999</v>
      </c>
      <c r="V543" s="20">
        <f t="shared" si="137"/>
        <v>33.735900000000001</v>
      </c>
      <c r="W543" s="19">
        <f>Data!I541</f>
        <v>0</v>
      </c>
      <c r="X543" s="17" t="str">
        <f>CONCATENATE(Data!J541, " ", Data!K541)</f>
        <v xml:space="preserve"> </v>
      </c>
    </row>
    <row r="544" spans="1:24" x14ac:dyDescent="0.3">
      <c r="A544" s="17" t="str">
        <f>Data!A542</f>
        <v>vehicle1</v>
      </c>
      <c r="B544" s="17" t="str">
        <f>Data!B542</f>
        <v>Vehicle, Gasoline or Petrol</v>
      </c>
      <c r="C544" s="17" t="str">
        <f>Data!C542</f>
        <v>1f2g3h4j5k6l</v>
      </c>
      <c r="D544" s="52">
        <f>Data!D542</f>
        <v>45066.156678240739</v>
      </c>
      <c r="E544" s="60" t="str">
        <f>IF(Data!E542="GpsRecord",Data!F542,"")</f>
        <v/>
      </c>
      <c r="F544" s="68" t="str">
        <f t="shared" si="123"/>
        <v>1501 E U.s. 6, Hamlet, IN 46532, USA</v>
      </c>
      <c r="G544" t="b">
        <f t="shared" si="124"/>
        <v>0</v>
      </c>
      <c r="H544" t="b">
        <f t="shared" si="125"/>
        <v>0</v>
      </c>
      <c r="I544" t="b">
        <f t="shared" si="126"/>
        <v>0</v>
      </c>
      <c r="J544" t="str">
        <f t="shared" si="127"/>
        <v/>
      </c>
      <c r="K544" t="str">
        <f t="shared" si="128"/>
        <v/>
      </c>
      <c r="L544" t="str">
        <f t="shared" si="129"/>
        <v>,</v>
      </c>
      <c r="M544" t="str">
        <f t="shared" si="130"/>
        <v/>
      </c>
      <c r="N544" t="str">
        <f t="shared" si="131"/>
        <v/>
      </c>
      <c r="O544" t="str">
        <f t="shared" si="132"/>
        <v/>
      </c>
      <c r="P544" t="str">
        <f t="shared" si="133"/>
        <v/>
      </c>
      <c r="Q544" t="str">
        <f t="shared" si="134"/>
        <v/>
      </c>
      <c r="R544" s="20" t="str">
        <f t="shared" si="135"/>
        <v>IN</v>
      </c>
      <c r="S544" s="20" t="str">
        <f>IF(Data!E542="GpsRecord",Data!G542,"")</f>
        <v/>
      </c>
      <c r="T544" s="20" t="str">
        <f>IF(Data!E542="GpsRecord",Data!H542,"")</f>
        <v/>
      </c>
      <c r="U544" s="20">
        <f t="shared" si="136"/>
        <v>-39.400359999999999</v>
      </c>
      <c r="V544" s="20">
        <f t="shared" si="137"/>
        <v>33.735900000000001</v>
      </c>
      <c r="W544" s="19" t="str">
        <f>Data!I542</f>
        <v>ADAS left lane departure warning</v>
      </c>
      <c r="X544" s="17" t="str">
        <f>CONCATENATE(Data!J542, " ", Data!K542)</f>
        <v>1 None</v>
      </c>
    </row>
    <row r="545" spans="1:24" x14ac:dyDescent="0.3">
      <c r="A545" s="17" t="str">
        <f>Data!A543</f>
        <v>vehicle1</v>
      </c>
      <c r="B545" s="17" t="str">
        <f>Data!B543</f>
        <v>Vehicle, Gasoline or Petrol</v>
      </c>
      <c r="C545" s="17" t="str">
        <f>Data!C543</f>
        <v>1f2g3h4j5k6l</v>
      </c>
      <c r="D545" s="52">
        <f>Data!D543</f>
        <v>45066.156678240739</v>
      </c>
      <c r="E545" s="60" t="str">
        <f>IF(Data!E543="GpsRecord",Data!F543,"")</f>
        <v/>
      </c>
      <c r="F545" s="68" t="str">
        <f t="shared" si="123"/>
        <v>1501 E U.s. 6, Hamlet, IN 46532, USA</v>
      </c>
      <c r="G545" t="b">
        <f t="shared" si="124"/>
        <v>0</v>
      </c>
      <c r="H545" t="b">
        <f t="shared" si="125"/>
        <v>0</v>
      </c>
      <c r="I545" t="b">
        <f t="shared" si="126"/>
        <v>0</v>
      </c>
      <c r="J545" t="str">
        <f t="shared" si="127"/>
        <v/>
      </c>
      <c r="K545" t="str">
        <f t="shared" si="128"/>
        <v/>
      </c>
      <c r="L545" t="str">
        <f t="shared" si="129"/>
        <v>,</v>
      </c>
      <c r="M545" t="str">
        <f t="shared" si="130"/>
        <v/>
      </c>
      <c r="N545" t="str">
        <f t="shared" si="131"/>
        <v/>
      </c>
      <c r="O545" t="str">
        <f t="shared" si="132"/>
        <v/>
      </c>
      <c r="P545" t="str">
        <f t="shared" si="133"/>
        <v/>
      </c>
      <c r="Q545" t="str">
        <f t="shared" si="134"/>
        <v/>
      </c>
      <c r="R545" s="20" t="str">
        <f t="shared" si="135"/>
        <v>IN</v>
      </c>
      <c r="S545" s="20" t="str">
        <f>IF(Data!E543="GpsRecord",Data!G543,"")</f>
        <v/>
      </c>
      <c r="T545" s="20" t="str">
        <f>IF(Data!E543="GpsRecord",Data!H543,"")</f>
        <v/>
      </c>
      <c r="U545" s="20">
        <f t="shared" si="136"/>
        <v>-39.400359999999999</v>
      </c>
      <c r="V545" s="20">
        <f t="shared" si="137"/>
        <v>33.735900000000001</v>
      </c>
      <c r="W545" s="19">
        <f>Data!I543</f>
        <v>0</v>
      </c>
      <c r="X545" s="17" t="str">
        <f>CONCATENATE(Data!J543, " ", Data!K543)</f>
        <v xml:space="preserve"> </v>
      </c>
    </row>
    <row r="546" spans="1:24" x14ac:dyDescent="0.3">
      <c r="A546" s="17" t="str">
        <f>Data!A544</f>
        <v>vehicle1</v>
      </c>
      <c r="B546" s="17" t="str">
        <f>Data!B544</f>
        <v>Vehicle, Gasoline or Petrol</v>
      </c>
      <c r="C546" s="17" t="str">
        <f>Data!C544</f>
        <v>1f2g3h4j5k6l</v>
      </c>
      <c r="D546" s="52">
        <f>Data!D544</f>
        <v>45066.156678240739</v>
      </c>
      <c r="E546" s="60" t="str">
        <f>IF(Data!E544="GpsRecord",Data!F544,"")</f>
        <v/>
      </c>
      <c r="F546" s="68" t="str">
        <f t="shared" si="123"/>
        <v>1501 E U.s. 6, Hamlet, IN 46532, USA</v>
      </c>
      <c r="G546" t="b">
        <f t="shared" si="124"/>
        <v>0</v>
      </c>
      <c r="H546" t="b">
        <f t="shared" si="125"/>
        <v>0</v>
      </c>
      <c r="I546" t="b">
        <f t="shared" si="126"/>
        <v>0</v>
      </c>
      <c r="J546" t="str">
        <f t="shared" si="127"/>
        <v/>
      </c>
      <c r="K546" t="str">
        <f t="shared" si="128"/>
        <v/>
      </c>
      <c r="L546" t="str">
        <f t="shared" si="129"/>
        <v>,</v>
      </c>
      <c r="M546" t="str">
        <f t="shared" si="130"/>
        <v/>
      </c>
      <c r="N546" t="str">
        <f t="shared" si="131"/>
        <v/>
      </c>
      <c r="O546" t="str">
        <f t="shared" si="132"/>
        <v/>
      </c>
      <c r="P546" t="str">
        <f t="shared" si="133"/>
        <v/>
      </c>
      <c r="Q546" t="str">
        <f t="shared" si="134"/>
        <v/>
      </c>
      <c r="R546" s="20" t="str">
        <f t="shared" si="135"/>
        <v>IN</v>
      </c>
      <c r="S546" s="20" t="str">
        <f>IF(Data!E544="GpsRecord",Data!G544,"")</f>
        <v/>
      </c>
      <c r="T546" s="20" t="str">
        <f>IF(Data!E544="GpsRecord",Data!H544,"")</f>
        <v/>
      </c>
      <c r="U546" s="20">
        <f t="shared" si="136"/>
        <v>-39.400359999999999</v>
      </c>
      <c r="V546" s="20">
        <f t="shared" si="137"/>
        <v>33.735900000000001</v>
      </c>
      <c r="W546" s="19">
        <f>Data!I544</f>
        <v>0</v>
      </c>
      <c r="X546" s="17" t="str">
        <f>CONCATENATE(Data!J544, " ", Data!K544)</f>
        <v xml:space="preserve"> </v>
      </c>
    </row>
    <row r="547" spans="1:24" x14ac:dyDescent="0.3">
      <c r="A547" s="17" t="str">
        <f>Data!A545</f>
        <v>vehicle1</v>
      </c>
      <c r="B547" s="17" t="str">
        <f>Data!B545</f>
        <v>Vehicle, Gasoline or Petrol</v>
      </c>
      <c r="C547" s="17" t="str">
        <f>Data!C545</f>
        <v>1f2g3h4j5k6l</v>
      </c>
      <c r="D547" s="52">
        <f>Data!D545</f>
        <v>45066.156701388885</v>
      </c>
      <c r="E547" s="60" t="str">
        <f>IF(Data!E545="GpsRecord",Data!F545,"")</f>
        <v/>
      </c>
      <c r="F547" s="68" t="str">
        <f t="shared" si="123"/>
        <v>1501 E U.s. 6, Hamlet, IN 46532, USA</v>
      </c>
      <c r="G547" t="b">
        <f t="shared" si="124"/>
        <v>0</v>
      </c>
      <c r="H547" t="b">
        <f t="shared" si="125"/>
        <v>0</v>
      </c>
      <c r="I547" t="b">
        <f t="shared" si="126"/>
        <v>0</v>
      </c>
      <c r="J547" t="str">
        <f t="shared" si="127"/>
        <v/>
      </c>
      <c r="K547" t="str">
        <f t="shared" si="128"/>
        <v/>
      </c>
      <c r="L547" t="str">
        <f t="shared" si="129"/>
        <v>,</v>
      </c>
      <c r="M547" t="str">
        <f t="shared" si="130"/>
        <v/>
      </c>
      <c r="N547" t="str">
        <f t="shared" si="131"/>
        <v/>
      </c>
      <c r="O547" t="str">
        <f t="shared" si="132"/>
        <v/>
      </c>
      <c r="P547" t="str">
        <f t="shared" si="133"/>
        <v/>
      </c>
      <c r="Q547" t="str">
        <f t="shared" si="134"/>
        <v/>
      </c>
      <c r="R547" s="20" t="str">
        <f t="shared" si="135"/>
        <v>IN</v>
      </c>
      <c r="S547" s="20" t="str">
        <f>IF(Data!E545="GpsRecord",Data!G545,"")</f>
        <v/>
      </c>
      <c r="T547" s="20" t="str">
        <f>IF(Data!E545="GpsRecord",Data!H545,"")</f>
        <v/>
      </c>
      <c r="U547" s="20">
        <f t="shared" si="136"/>
        <v>-39.400359999999999</v>
      </c>
      <c r="V547" s="20">
        <f t="shared" si="137"/>
        <v>33.735900000000001</v>
      </c>
      <c r="W547" s="19">
        <f>Data!I545</f>
        <v>0</v>
      </c>
      <c r="X547" s="17" t="str">
        <f>CONCATENATE(Data!J545, " ", Data!K545)</f>
        <v xml:space="preserve"> </v>
      </c>
    </row>
    <row r="548" spans="1:24" x14ac:dyDescent="0.3">
      <c r="A548" s="17" t="str">
        <f>Data!A546</f>
        <v>vehicle1</v>
      </c>
      <c r="B548" s="17" t="str">
        <f>Data!B546</f>
        <v>Vehicle, Gasoline or Petrol</v>
      </c>
      <c r="C548" s="17" t="str">
        <f>Data!C546</f>
        <v>1f2g3h4j5k6l</v>
      </c>
      <c r="D548" s="52">
        <f>Data!D546</f>
        <v>45066.156701388885</v>
      </c>
      <c r="E548" s="60" t="str">
        <f>IF(Data!E546="GpsRecord",Data!F546,"")</f>
        <v/>
      </c>
      <c r="F548" s="68" t="str">
        <f t="shared" si="123"/>
        <v>1501 E U.s. 6, Hamlet, IN 46532, USA</v>
      </c>
      <c r="G548" t="b">
        <f t="shared" si="124"/>
        <v>0</v>
      </c>
      <c r="H548" t="b">
        <f t="shared" si="125"/>
        <v>0</v>
      </c>
      <c r="I548" t="b">
        <f t="shared" si="126"/>
        <v>0</v>
      </c>
      <c r="J548" t="str">
        <f t="shared" si="127"/>
        <v/>
      </c>
      <c r="K548" t="str">
        <f t="shared" si="128"/>
        <v/>
      </c>
      <c r="L548" t="str">
        <f t="shared" si="129"/>
        <v>,</v>
      </c>
      <c r="M548" t="str">
        <f t="shared" si="130"/>
        <v/>
      </c>
      <c r="N548" t="str">
        <f t="shared" si="131"/>
        <v/>
      </c>
      <c r="O548" t="str">
        <f t="shared" si="132"/>
        <v/>
      </c>
      <c r="P548" t="str">
        <f t="shared" si="133"/>
        <v/>
      </c>
      <c r="Q548" t="str">
        <f t="shared" si="134"/>
        <v/>
      </c>
      <c r="R548" s="20" t="str">
        <f t="shared" si="135"/>
        <v>IN</v>
      </c>
      <c r="S548" s="20" t="str">
        <f>IF(Data!E546="GpsRecord",Data!G546,"")</f>
        <v/>
      </c>
      <c r="T548" s="20" t="str">
        <f>IF(Data!E546="GpsRecord",Data!H546,"")</f>
        <v/>
      </c>
      <c r="U548" s="20">
        <f t="shared" si="136"/>
        <v>-39.400359999999999</v>
      </c>
      <c r="V548" s="20">
        <f t="shared" si="137"/>
        <v>33.735900000000001</v>
      </c>
      <c r="W548" s="19">
        <f>Data!I546</f>
        <v>0</v>
      </c>
      <c r="X548" s="17" t="str">
        <f>CONCATENATE(Data!J546, " ", Data!K546)</f>
        <v xml:space="preserve"> </v>
      </c>
    </row>
    <row r="549" spans="1:24" x14ac:dyDescent="0.3">
      <c r="A549" s="17" t="str">
        <f>Data!A547</f>
        <v>vehicle1</v>
      </c>
      <c r="B549" s="17" t="str">
        <f>Data!B547</f>
        <v>Vehicle, Gasoline or Petrol</v>
      </c>
      <c r="C549" s="17" t="str">
        <f>Data!C547</f>
        <v>1f2g3h4j5k6l</v>
      </c>
      <c r="D549" s="52">
        <f>Data!D547</f>
        <v>45066.156701388885</v>
      </c>
      <c r="E549" s="60" t="str">
        <f>IF(Data!E547="GpsRecord",Data!F547,"")</f>
        <v/>
      </c>
      <c r="F549" s="68" t="str">
        <f t="shared" si="123"/>
        <v>1501 E U.s. 6, Hamlet, IN 46532, USA</v>
      </c>
      <c r="G549" t="b">
        <f t="shared" si="124"/>
        <v>0</v>
      </c>
      <c r="H549" t="b">
        <f t="shared" si="125"/>
        <v>0</v>
      </c>
      <c r="I549" t="b">
        <f t="shared" si="126"/>
        <v>0</v>
      </c>
      <c r="J549" t="str">
        <f t="shared" si="127"/>
        <v/>
      </c>
      <c r="K549" t="str">
        <f t="shared" si="128"/>
        <v/>
      </c>
      <c r="L549" t="str">
        <f t="shared" si="129"/>
        <v>,</v>
      </c>
      <c r="M549" t="str">
        <f t="shared" si="130"/>
        <v/>
      </c>
      <c r="N549" t="str">
        <f t="shared" si="131"/>
        <v/>
      </c>
      <c r="O549" t="str">
        <f t="shared" si="132"/>
        <v/>
      </c>
      <c r="P549" t="str">
        <f t="shared" si="133"/>
        <v/>
      </c>
      <c r="Q549" t="str">
        <f t="shared" si="134"/>
        <v/>
      </c>
      <c r="R549" s="20" t="str">
        <f t="shared" si="135"/>
        <v>IN</v>
      </c>
      <c r="S549" s="20" t="str">
        <f>IF(Data!E547="GpsRecord",Data!G547,"")</f>
        <v/>
      </c>
      <c r="T549" s="20" t="str">
        <f>IF(Data!E547="GpsRecord",Data!H547,"")</f>
        <v/>
      </c>
      <c r="U549" s="20">
        <f t="shared" si="136"/>
        <v>-39.400359999999999</v>
      </c>
      <c r="V549" s="20">
        <f t="shared" si="137"/>
        <v>33.735900000000001</v>
      </c>
      <c r="W549" s="19">
        <f>Data!I547</f>
        <v>0</v>
      </c>
      <c r="X549" s="17" t="str">
        <f>CONCATENATE(Data!J547, " ", Data!K547)</f>
        <v xml:space="preserve"> </v>
      </c>
    </row>
    <row r="550" spans="1:24" x14ac:dyDescent="0.3">
      <c r="A550" s="17" t="str">
        <f>Data!A548</f>
        <v>vehicle1</v>
      </c>
      <c r="B550" s="17" t="str">
        <f>Data!B548</f>
        <v>Vehicle, Gasoline or Petrol</v>
      </c>
      <c r="C550" s="17" t="str">
        <f>Data!C548</f>
        <v>1f2g3h4j5k6l</v>
      </c>
      <c r="D550" s="52">
        <f>Data!D548</f>
        <v>45066.156365740739</v>
      </c>
      <c r="E550" s="60" t="str">
        <f>IF(Data!E548="GpsRecord",Data!F548,"")</f>
        <v>1501 E U.s. 6, Hamlet, IN 46532, USA</v>
      </c>
      <c r="F550" s="68" t="str">
        <f t="shared" si="123"/>
        <v>1501 E U.s. 6, Hamlet, IN 46532, USA</v>
      </c>
      <c r="G550" t="b">
        <f t="shared" si="124"/>
        <v>0</v>
      </c>
      <c r="H550" t="b">
        <f t="shared" si="125"/>
        <v>1</v>
      </c>
      <c r="I550" t="b">
        <f t="shared" si="126"/>
        <v>1</v>
      </c>
      <c r="J550" t="str">
        <f t="shared" si="127"/>
        <v>1501 E U.s. 6, Hamlet, IN 46532, USA</v>
      </c>
      <c r="K550" t="str">
        <f t="shared" si="128"/>
        <v xml:space="preserve"> USA</v>
      </c>
      <c r="L550" t="str">
        <f t="shared" si="129"/>
        <v>, USA</v>
      </c>
      <c r="M550" t="str">
        <f t="shared" si="130"/>
        <v>1501 E U.s. 6, Hamlet, IN 46532</v>
      </c>
      <c r="N550" t="str">
        <f t="shared" si="131"/>
        <v xml:space="preserve"> IN 46532</v>
      </c>
      <c r="O550" t="str">
        <f t="shared" si="132"/>
        <v>46532</v>
      </c>
      <c r="P550" t="str">
        <f t="shared" si="133"/>
        <v xml:space="preserve"> IN</v>
      </c>
      <c r="Q550" t="str">
        <f t="shared" si="134"/>
        <v>IN</v>
      </c>
      <c r="R550" s="20" t="str">
        <f t="shared" si="135"/>
        <v>IN</v>
      </c>
      <c r="S550" s="20">
        <f>IF(Data!E548="GpsRecord",Data!G548,"")</f>
        <v>-39.400329999999997</v>
      </c>
      <c r="T550" s="20">
        <f>IF(Data!E548="GpsRecord",Data!H548,"")</f>
        <v>33.73592</v>
      </c>
      <c r="U550" s="20">
        <f t="shared" si="136"/>
        <v>-39.400329999999997</v>
      </c>
      <c r="V550" s="20">
        <f t="shared" si="137"/>
        <v>33.73592</v>
      </c>
      <c r="W550" s="19">
        <f>Data!I548</f>
        <v>0</v>
      </c>
      <c r="X550" s="17" t="str">
        <f>CONCATENATE(Data!J548, " ", Data!K548)</f>
        <v xml:space="preserve"> </v>
      </c>
    </row>
    <row r="551" spans="1:24" x14ac:dyDescent="0.3">
      <c r="A551" s="17" t="str">
        <f>Data!A549</f>
        <v>vehicle1</v>
      </c>
      <c r="B551" s="17" t="str">
        <f>Data!B549</f>
        <v>Vehicle, Gasoline or Petrol</v>
      </c>
      <c r="C551" s="17" t="str">
        <f>Data!C549</f>
        <v>1f2g3h4j5k6l</v>
      </c>
      <c r="D551" s="52">
        <f>Data!D549</f>
        <v>45066.156365740739</v>
      </c>
      <c r="E551" s="60" t="str">
        <f>IF(Data!E549="GpsRecord",Data!F549,"")</f>
        <v/>
      </c>
      <c r="F551" s="68" t="str">
        <f t="shared" si="123"/>
        <v>1501 E U.s. 6, Hamlet, IN 46532, USA</v>
      </c>
      <c r="G551" t="b">
        <f t="shared" si="124"/>
        <v>0</v>
      </c>
      <c r="H551" t="b">
        <f t="shared" si="125"/>
        <v>0</v>
      </c>
      <c r="I551" t="b">
        <f t="shared" si="126"/>
        <v>0</v>
      </c>
      <c r="J551" t="str">
        <f t="shared" si="127"/>
        <v/>
      </c>
      <c r="K551" t="str">
        <f t="shared" si="128"/>
        <v/>
      </c>
      <c r="L551" t="str">
        <f t="shared" si="129"/>
        <v>,</v>
      </c>
      <c r="M551" t="str">
        <f t="shared" si="130"/>
        <v/>
      </c>
      <c r="N551" t="str">
        <f t="shared" si="131"/>
        <v/>
      </c>
      <c r="O551" t="str">
        <f t="shared" si="132"/>
        <v/>
      </c>
      <c r="P551" t="str">
        <f t="shared" si="133"/>
        <v/>
      </c>
      <c r="Q551" t="str">
        <f t="shared" si="134"/>
        <v/>
      </c>
      <c r="R551" s="20" t="str">
        <f t="shared" si="135"/>
        <v>IN</v>
      </c>
      <c r="S551" s="20" t="str">
        <f>IF(Data!E549="GpsRecord",Data!G549,"")</f>
        <v/>
      </c>
      <c r="T551" s="20" t="str">
        <f>IF(Data!E549="GpsRecord",Data!H549,"")</f>
        <v/>
      </c>
      <c r="U551" s="20">
        <f t="shared" si="136"/>
        <v>-39.400329999999997</v>
      </c>
      <c r="V551" s="20">
        <f t="shared" si="137"/>
        <v>33.73592</v>
      </c>
      <c r="W551" s="19" t="str">
        <f>Data!I549</f>
        <v>Engine road speed</v>
      </c>
      <c r="X551" s="17" t="str">
        <f>CONCATENATE(Data!J549, " ", Data!K549)</f>
        <v>0 km/h</v>
      </c>
    </row>
    <row r="552" spans="1:24" x14ac:dyDescent="0.3">
      <c r="A552" s="17" t="str">
        <f>Data!A550</f>
        <v>vehicle1</v>
      </c>
      <c r="B552" s="17" t="str">
        <f>Data!B550</f>
        <v>Vehicle, Gasoline or Petrol</v>
      </c>
      <c r="C552" s="17" t="str">
        <f>Data!C550</f>
        <v>1f2g3h4j5k6l</v>
      </c>
      <c r="D552" s="52">
        <f>Data!D550</f>
        <v>45066.156365740739</v>
      </c>
      <c r="E552" s="60" t="str">
        <f>IF(Data!E550="GpsRecord",Data!F550,"")</f>
        <v/>
      </c>
      <c r="F552" s="68" t="str">
        <f t="shared" si="123"/>
        <v>1501 E U.s. 6, Hamlet, IN 46532, USA</v>
      </c>
      <c r="G552" t="b">
        <f t="shared" si="124"/>
        <v>0</v>
      </c>
      <c r="H552" t="b">
        <f t="shared" si="125"/>
        <v>0</v>
      </c>
      <c r="I552" t="b">
        <f t="shared" si="126"/>
        <v>0</v>
      </c>
      <c r="J552" t="str">
        <f t="shared" si="127"/>
        <v/>
      </c>
      <c r="K552" t="str">
        <f t="shared" si="128"/>
        <v/>
      </c>
      <c r="L552" t="str">
        <f t="shared" si="129"/>
        <v>,</v>
      </c>
      <c r="M552" t="str">
        <f t="shared" si="130"/>
        <v/>
      </c>
      <c r="N552" t="str">
        <f t="shared" si="131"/>
        <v/>
      </c>
      <c r="O552" t="str">
        <f t="shared" si="132"/>
        <v/>
      </c>
      <c r="P552" t="str">
        <f t="shared" si="133"/>
        <v/>
      </c>
      <c r="Q552" t="str">
        <f t="shared" si="134"/>
        <v/>
      </c>
      <c r="R552" s="20" t="str">
        <f t="shared" si="135"/>
        <v>IN</v>
      </c>
      <c r="S552" s="20" t="str">
        <f>IF(Data!E550="GpsRecord",Data!G550,"")</f>
        <v/>
      </c>
      <c r="T552" s="20" t="str">
        <f>IF(Data!E550="GpsRecord",Data!H550,"")</f>
        <v/>
      </c>
      <c r="U552" s="20">
        <f t="shared" si="136"/>
        <v>-39.400329999999997</v>
      </c>
      <c r="V552" s="20">
        <f t="shared" si="137"/>
        <v>33.73592</v>
      </c>
      <c r="W552" s="19" t="str">
        <f>Data!I550</f>
        <v>Total fuel used (since telematics device install)</v>
      </c>
      <c r="X552" s="17" t="str">
        <f>CONCATENATE(Data!J550, " ", Data!K550)</f>
        <v>1997.85 L</v>
      </c>
    </row>
    <row r="553" spans="1:24" x14ac:dyDescent="0.3">
      <c r="A553" s="17" t="str">
        <f>Data!A551</f>
        <v>vehicle1</v>
      </c>
      <c r="B553" s="17" t="str">
        <f>Data!B551</f>
        <v>Vehicle, Gasoline or Petrol</v>
      </c>
      <c r="C553" s="17" t="str">
        <f>Data!C551</f>
        <v>1f2g3h4j5k6l</v>
      </c>
      <c r="D553" s="52">
        <f>Data!D551</f>
        <v>45066.156724537039</v>
      </c>
      <c r="E553" s="60" t="str">
        <f>IF(Data!E551="GpsRecord",Data!F551,"")</f>
        <v/>
      </c>
      <c r="F553" s="68" t="str">
        <f t="shared" si="123"/>
        <v>1501 E U.s. 6, Hamlet, IN 46532, USA</v>
      </c>
      <c r="G553" t="b">
        <f t="shared" si="124"/>
        <v>0</v>
      </c>
      <c r="H553" t="b">
        <f t="shared" si="125"/>
        <v>0</v>
      </c>
      <c r="I553" t="b">
        <f t="shared" si="126"/>
        <v>0</v>
      </c>
      <c r="J553" t="str">
        <f t="shared" si="127"/>
        <v/>
      </c>
      <c r="K553" t="str">
        <f t="shared" si="128"/>
        <v/>
      </c>
      <c r="L553" t="str">
        <f t="shared" si="129"/>
        <v>,</v>
      </c>
      <c r="M553" t="str">
        <f t="shared" si="130"/>
        <v/>
      </c>
      <c r="N553" t="str">
        <f t="shared" si="131"/>
        <v/>
      </c>
      <c r="O553" t="str">
        <f t="shared" si="132"/>
        <v/>
      </c>
      <c r="P553" t="str">
        <f t="shared" si="133"/>
        <v/>
      </c>
      <c r="Q553" t="str">
        <f t="shared" si="134"/>
        <v/>
      </c>
      <c r="R553" s="20" t="str">
        <f t="shared" si="135"/>
        <v>IN</v>
      </c>
      <c r="S553" s="20" t="str">
        <f>IF(Data!E551="GpsRecord",Data!G551,"")</f>
        <v/>
      </c>
      <c r="T553" s="20" t="str">
        <f>IF(Data!E551="GpsRecord",Data!H551,"")</f>
        <v/>
      </c>
      <c r="U553" s="20">
        <f t="shared" si="136"/>
        <v>-39.400329999999997</v>
      </c>
      <c r="V553" s="20">
        <f t="shared" si="137"/>
        <v>33.73592</v>
      </c>
      <c r="W553" s="19" t="str">
        <f>Data!I551</f>
        <v>Engine road speed</v>
      </c>
      <c r="X553" s="17" t="str">
        <f>CONCATENATE(Data!J551, " ", Data!K551)</f>
        <v>0 km/h</v>
      </c>
    </row>
    <row r="554" spans="1:24" x14ac:dyDescent="0.3">
      <c r="A554" s="17" t="str">
        <f>Data!A552</f>
        <v>vehicle1</v>
      </c>
      <c r="B554" s="17" t="str">
        <f>Data!B552</f>
        <v>Vehicle, Gasoline or Petrol</v>
      </c>
      <c r="C554" s="17" t="str">
        <f>Data!C552</f>
        <v>1f2g3h4j5k6l</v>
      </c>
      <c r="D554" s="52">
        <f>Data!D552</f>
        <v>45066.156724537039</v>
      </c>
      <c r="E554" s="60" t="str">
        <f>IF(Data!E552="GpsRecord",Data!F552,"")</f>
        <v/>
      </c>
      <c r="F554" s="68" t="str">
        <f t="shared" si="123"/>
        <v>1501 E U.s. 6, Hamlet, IN 46532, USA</v>
      </c>
      <c r="G554" t="b">
        <f t="shared" si="124"/>
        <v>0</v>
      </c>
      <c r="H554" t="b">
        <f t="shared" si="125"/>
        <v>0</v>
      </c>
      <c r="I554" t="b">
        <f t="shared" si="126"/>
        <v>0</v>
      </c>
      <c r="J554" t="str">
        <f t="shared" si="127"/>
        <v/>
      </c>
      <c r="K554" t="str">
        <f t="shared" si="128"/>
        <v/>
      </c>
      <c r="L554" t="str">
        <f t="shared" si="129"/>
        <v>,</v>
      </c>
      <c r="M554" t="str">
        <f t="shared" si="130"/>
        <v/>
      </c>
      <c r="N554" t="str">
        <f t="shared" si="131"/>
        <v/>
      </c>
      <c r="O554" t="str">
        <f t="shared" si="132"/>
        <v/>
      </c>
      <c r="P554" t="str">
        <f t="shared" si="133"/>
        <v/>
      </c>
      <c r="Q554" t="str">
        <f t="shared" si="134"/>
        <v/>
      </c>
      <c r="R554" s="20" t="str">
        <f t="shared" si="135"/>
        <v>IN</v>
      </c>
      <c r="S554" s="20" t="str">
        <f>IF(Data!E552="GpsRecord",Data!G552,"")</f>
        <v/>
      </c>
      <c r="T554" s="20" t="str">
        <f>IF(Data!E552="GpsRecord",Data!H552,"")</f>
        <v/>
      </c>
      <c r="U554" s="20">
        <f t="shared" si="136"/>
        <v>-39.400329999999997</v>
      </c>
      <c r="V554" s="20">
        <f t="shared" si="137"/>
        <v>33.73592</v>
      </c>
      <c r="W554" s="19" t="str">
        <f>Data!I552</f>
        <v>Fuel level while stopped (percent) tank 1</v>
      </c>
      <c r="X554" s="17" t="str">
        <f>CONCATENATE(Data!J552, " ", Data!K552)</f>
        <v>58.0308 %</v>
      </c>
    </row>
    <row r="555" spans="1:24" x14ac:dyDescent="0.3">
      <c r="A555" s="17" t="str">
        <f>Data!A553</f>
        <v>vehicle1</v>
      </c>
      <c r="B555" s="17" t="str">
        <f>Data!B553</f>
        <v>Vehicle, Gasoline or Petrol</v>
      </c>
      <c r="C555" s="17" t="str">
        <f>Data!C553</f>
        <v>1f2g3h4j5k6l</v>
      </c>
      <c r="D555" s="52">
        <f>Data!D553</f>
        <v>45066.156724537039</v>
      </c>
      <c r="E555" s="60" t="str">
        <f>IF(Data!E553="GpsRecord",Data!F553,"")</f>
        <v/>
      </c>
      <c r="F555" s="68" t="str">
        <f t="shared" si="123"/>
        <v>1501 E U.s. 6, Hamlet, IN 46532, USA</v>
      </c>
      <c r="G555" t="b">
        <f t="shared" si="124"/>
        <v>0</v>
      </c>
      <c r="H555" t="b">
        <f t="shared" si="125"/>
        <v>0</v>
      </c>
      <c r="I555" t="b">
        <f t="shared" si="126"/>
        <v>0</v>
      </c>
      <c r="J555" t="str">
        <f t="shared" si="127"/>
        <v/>
      </c>
      <c r="K555" t="str">
        <f t="shared" si="128"/>
        <v/>
      </c>
      <c r="L555" t="str">
        <f t="shared" si="129"/>
        <v>,</v>
      </c>
      <c r="M555" t="str">
        <f t="shared" si="130"/>
        <v/>
      </c>
      <c r="N555" t="str">
        <f t="shared" si="131"/>
        <v/>
      </c>
      <c r="O555" t="str">
        <f t="shared" si="132"/>
        <v/>
      </c>
      <c r="P555" t="str">
        <f t="shared" si="133"/>
        <v/>
      </c>
      <c r="Q555" t="str">
        <f t="shared" si="134"/>
        <v/>
      </c>
      <c r="R555" s="20" t="str">
        <f t="shared" si="135"/>
        <v>IN</v>
      </c>
      <c r="S555" s="20" t="str">
        <f>IF(Data!E553="GpsRecord",Data!G553,"")</f>
        <v/>
      </c>
      <c r="T555" s="20" t="str">
        <f>IF(Data!E553="GpsRecord",Data!H553,"")</f>
        <v/>
      </c>
      <c r="U555" s="20">
        <f t="shared" si="136"/>
        <v>-39.400329999999997</v>
      </c>
      <c r="V555" s="20">
        <f t="shared" si="137"/>
        <v>33.73592</v>
      </c>
      <c r="W555" s="19" t="str">
        <f>Data!I553</f>
        <v>Trip stopped duration accumulator</v>
      </c>
      <c r="X555" s="17" t="str">
        <f>CONCATENATE(Data!J553, " ", Data!K553)</f>
        <v>0.0158333333346 h</v>
      </c>
    </row>
    <row r="556" spans="1:24" x14ac:dyDescent="0.3">
      <c r="A556" s="17" t="str">
        <f>Data!A554</f>
        <v>vehicle1</v>
      </c>
      <c r="B556" s="17" t="str">
        <f>Data!B554</f>
        <v>Vehicle, Gasoline or Petrol</v>
      </c>
      <c r="C556" s="17" t="str">
        <f>Data!C554</f>
        <v>1f2g3h4j5k6l</v>
      </c>
      <c r="D556" s="52">
        <f>Data!D554</f>
        <v>45066.156724537039</v>
      </c>
      <c r="E556" s="60" t="str">
        <f>IF(Data!E554="GpsRecord",Data!F554,"")</f>
        <v/>
      </c>
      <c r="F556" s="68" t="str">
        <f t="shared" si="123"/>
        <v>1501 E U.s. 6, Hamlet, IN 46532, USA</v>
      </c>
      <c r="G556" t="b">
        <f t="shared" si="124"/>
        <v>0</v>
      </c>
      <c r="H556" t="b">
        <f t="shared" si="125"/>
        <v>0</v>
      </c>
      <c r="I556" t="b">
        <f t="shared" si="126"/>
        <v>0</v>
      </c>
      <c r="J556" t="str">
        <f t="shared" si="127"/>
        <v/>
      </c>
      <c r="K556" t="str">
        <f t="shared" si="128"/>
        <v/>
      </c>
      <c r="L556" t="str">
        <f t="shared" si="129"/>
        <v>,</v>
      </c>
      <c r="M556" t="str">
        <f t="shared" si="130"/>
        <v/>
      </c>
      <c r="N556" t="str">
        <f t="shared" si="131"/>
        <v/>
      </c>
      <c r="O556" t="str">
        <f t="shared" si="132"/>
        <v/>
      </c>
      <c r="P556" t="str">
        <f t="shared" si="133"/>
        <v/>
      </c>
      <c r="Q556" t="str">
        <f t="shared" si="134"/>
        <v/>
      </c>
      <c r="R556" s="20" t="str">
        <f t="shared" si="135"/>
        <v>IN</v>
      </c>
      <c r="S556" s="20" t="str">
        <f>IF(Data!E554="GpsRecord",Data!G554,"")</f>
        <v/>
      </c>
      <c r="T556" s="20" t="str">
        <f>IF(Data!E554="GpsRecord",Data!H554,"")</f>
        <v/>
      </c>
      <c r="U556" s="20">
        <f t="shared" si="136"/>
        <v>-39.400329999999997</v>
      </c>
      <c r="V556" s="20">
        <f t="shared" si="137"/>
        <v>33.73592</v>
      </c>
      <c r="W556" s="19" t="str">
        <f>Data!I554</f>
        <v>Total fuel used (since telematics device install)</v>
      </c>
      <c r="X556" s="17" t="str">
        <f>CONCATENATE(Data!J554, " ", Data!K554)</f>
        <v>1997.85 L</v>
      </c>
    </row>
    <row r="557" spans="1:24" x14ac:dyDescent="0.3">
      <c r="A557" s="17" t="str">
        <f>Data!A555</f>
        <v>vehicle1</v>
      </c>
      <c r="B557" s="17" t="str">
        <f>Data!B555</f>
        <v>Vehicle, Gasoline or Petrol</v>
      </c>
      <c r="C557" s="17" t="str">
        <f>Data!C555</f>
        <v>1f2g3h4j5k6l</v>
      </c>
      <c r="D557" s="52">
        <f>Data!D555</f>
        <v>45066.156736111108</v>
      </c>
      <c r="E557" s="60" t="str">
        <f>IF(Data!E555="GpsRecord",Data!F555,"")</f>
        <v/>
      </c>
      <c r="F557" s="68" t="str">
        <f t="shared" si="123"/>
        <v>1501 E U.s. 6, Hamlet, IN 46532, USA</v>
      </c>
      <c r="G557" t="b">
        <f t="shared" si="124"/>
        <v>0</v>
      </c>
      <c r="H557" t="b">
        <f t="shared" si="125"/>
        <v>0</v>
      </c>
      <c r="I557" t="b">
        <f t="shared" si="126"/>
        <v>0</v>
      </c>
      <c r="J557" t="str">
        <f t="shared" si="127"/>
        <v/>
      </c>
      <c r="K557" t="str">
        <f t="shared" si="128"/>
        <v/>
      </c>
      <c r="L557" t="str">
        <f t="shared" si="129"/>
        <v>,</v>
      </c>
      <c r="M557" t="str">
        <f t="shared" si="130"/>
        <v/>
      </c>
      <c r="N557" t="str">
        <f t="shared" si="131"/>
        <v/>
      </c>
      <c r="O557" t="str">
        <f t="shared" si="132"/>
        <v/>
      </c>
      <c r="P557" t="str">
        <f t="shared" si="133"/>
        <v/>
      </c>
      <c r="Q557" t="str">
        <f t="shared" si="134"/>
        <v/>
      </c>
      <c r="R557" s="20" t="str">
        <f t="shared" si="135"/>
        <v>IN</v>
      </c>
      <c r="S557" s="20" t="str">
        <f>IF(Data!E555="GpsRecord",Data!G555,"")</f>
        <v/>
      </c>
      <c r="T557" s="20" t="str">
        <f>IF(Data!E555="GpsRecord",Data!H555,"")</f>
        <v/>
      </c>
      <c r="U557" s="20">
        <f t="shared" si="136"/>
        <v>-39.400329999999997</v>
      </c>
      <c r="V557" s="20">
        <f t="shared" si="137"/>
        <v>33.73592</v>
      </c>
      <c r="W557" s="19" t="str">
        <f>Data!I555</f>
        <v>Fuel level while stopped (percent) tank 1</v>
      </c>
      <c r="X557" s="17" t="str">
        <f>CONCATENATE(Data!J555, " ", Data!K555)</f>
        <v>54.1098 %</v>
      </c>
    </row>
    <row r="558" spans="1:24" x14ac:dyDescent="0.3">
      <c r="A558" s="17" t="str">
        <f>Data!A556</f>
        <v>vehicle1</v>
      </c>
      <c r="B558" s="17" t="str">
        <f>Data!B556</f>
        <v>Vehicle, Gasoline or Petrol</v>
      </c>
      <c r="C558" s="17" t="str">
        <f>Data!C556</f>
        <v>1f2g3h4j5k6l</v>
      </c>
      <c r="D558" s="52">
        <f>Data!D556</f>
        <v>45066.156736111108</v>
      </c>
      <c r="E558" s="60" t="str">
        <f>IF(Data!E556="GpsRecord",Data!F556,"")</f>
        <v>1501 E U.s. 6, Hamlet, IN 46532, USA</v>
      </c>
      <c r="F558" s="68" t="str">
        <f t="shared" si="123"/>
        <v>1501 E U.s. 6, Hamlet, IN 46532, USA</v>
      </c>
      <c r="G558" t="b">
        <f t="shared" si="124"/>
        <v>0</v>
      </c>
      <c r="H558" t="b">
        <f t="shared" si="125"/>
        <v>1</v>
      </c>
      <c r="I558" t="b">
        <f t="shared" si="126"/>
        <v>1</v>
      </c>
      <c r="J558" t="str">
        <f t="shared" si="127"/>
        <v>1501 E U.s. 6, Hamlet, IN 46532, USA</v>
      </c>
      <c r="K558" t="str">
        <f t="shared" si="128"/>
        <v xml:space="preserve"> USA</v>
      </c>
      <c r="L558" t="str">
        <f t="shared" si="129"/>
        <v>, USA</v>
      </c>
      <c r="M558" t="str">
        <f t="shared" si="130"/>
        <v>1501 E U.s. 6, Hamlet, IN 46532</v>
      </c>
      <c r="N558" t="str">
        <f t="shared" si="131"/>
        <v xml:space="preserve"> IN 46532</v>
      </c>
      <c r="O558" t="str">
        <f t="shared" si="132"/>
        <v>46532</v>
      </c>
      <c r="P558" t="str">
        <f t="shared" si="133"/>
        <v xml:space="preserve"> IN</v>
      </c>
      <c r="Q558" t="str">
        <f t="shared" si="134"/>
        <v>IN</v>
      </c>
      <c r="R558" s="20" t="str">
        <f t="shared" si="135"/>
        <v>IN</v>
      </c>
      <c r="S558" s="20">
        <f>IF(Data!E556="GpsRecord",Data!G556,"")</f>
        <v>-39.400329999999997</v>
      </c>
      <c r="T558" s="20">
        <f>IF(Data!E556="GpsRecord",Data!H556,"")</f>
        <v>33.73592</v>
      </c>
      <c r="U558" s="20">
        <f t="shared" si="136"/>
        <v>-39.400329999999997</v>
      </c>
      <c r="V558" s="20">
        <f t="shared" si="137"/>
        <v>33.73592</v>
      </c>
      <c r="W558" s="19">
        <f>Data!I556</f>
        <v>0</v>
      </c>
      <c r="X558" s="17" t="str">
        <f>CONCATENATE(Data!J556, " ", Data!K556)</f>
        <v xml:space="preserve"> </v>
      </c>
    </row>
    <row r="559" spans="1:24" x14ac:dyDescent="0.3">
      <c r="A559" s="17" t="str">
        <f>Data!A557</f>
        <v>vehicle1</v>
      </c>
      <c r="B559" s="17" t="str">
        <f>Data!B557</f>
        <v>Vehicle, Gasoline or Petrol</v>
      </c>
      <c r="C559" s="17" t="str">
        <f>Data!C557</f>
        <v>1f2g3h4j5k6l</v>
      </c>
      <c r="D559" s="52">
        <f>Data!D557</f>
        <v>45066.156759259262</v>
      </c>
      <c r="E559" s="60" t="str">
        <f>IF(Data!E557="GpsRecord",Data!F557,"")</f>
        <v/>
      </c>
      <c r="F559" s="68" t="str">
        <f t="shared" si="123"/>
        <v>1501 E U.s. 6, Hamlet, IN 46532, USA</v>
      </c>
      <c r="G559" t="b">
        <f t="shared" si="124"/>
        <v>0</v>
      </c>
      <c r="H559" t="b">
        <f t="shared" si="125"/>
        <v>0</v>
      </c>
      <c r="I559" t="b">
        <f t="shared" si="126"/>
        <v>0</v>
      </c>
      <c r="J559" t="str">
        <f t="shared" si="127"/>
        <v/>
      </c>
      <c r="K559" t="str">
        <f t="shared" si="128"/>
        <v/>
      </c>
      <c r="L559" t="str">
        <f t="shared" si="129"/>
        <v>,</v>
      </c>
      <c r="M559" t="str">
        <f t="shared" si="130"/>
        <v/>
      </c>
      <c r="N559" t="str">
        <f t="shared" si="131"/>
        <v/>
      </c>
      <c r="O559" t="str">
        <f t="shared" si="132"/>
        <v/>
      </c>
      <c r="P559" t="str">
        <f t="shared" si="133"/>
        <v/>
      </c>
      <c r="Q559" t="str">
        <f t="shared" si="134"/>
        <v/>
      </c>
      <c r="R559" s="20" t="str">
        <f t="shared" si="135"/>
        <v>IN</v>
      </c>
      <c r="S559" s="20" t="str">
        <f>IF(Data!E557="GpsRecord",Data!G557,"")</f>
        <v/>
      </c>
      <c r="T559" s="20" t="str">
        <f>IF(Data!E557="GpsRecord",Data!H557,"")</f>
        <v/>
      </c>
      <c r="U559" s="20">
        <f t="shared" si="136"/>
        <v>-39.400329999999997</v>
      </c>
      <c r="V559" s="20">
        <f t="shared" si="137"/>
        <v>33.73592</v>
      </c>
      <c r="W559" s="19" t="str">
        <f>Data!I557</f>
        <v>Fuel level while stopped (percent) tank 1</v>
      </c>
      <c r="X559" s="17" t="str">
        <f>CONCATENATE(Data!J557, " ", Data!K557)</f>
        <v>54.1098 %</v>
      </c>
    </row>
    <row r="560" spans="1:24" x14ac:dyDescent="0.3">
      <c r="A560" s="17" t="str">
        <f>Data!A558</f>
        <v>vehicle1</v>
      </c>
      <c r="B560" s="17" t="str">
        <f>Data!B558</f>
        <v>Vehicle, Gasoline or Petrol</v>
      </c>
      <c r="C560" s="17" t="str">
        <f>Data!C558</f>
        <v>1f2g3h4j5k6l</v>
      </c>
      <c r="D560" s="52">
        <f>Data!D558</f>
        <v>45066.156770833331</v>
      </c>
      <c r="E560" s="60" t="str">
        <f>IF(Data!E558="GpsRecord",Data!F558,"")</f>
        <v/>
      </c>
      <c r="F560" s="68" t="str">
        <f t="shared" si="123"/>
        <v>1501 E U.s. 6, Hamlet, IN 46532, USA</v>
      </c>
      <c r="G560" t="b">
        <f t="shared" si="124"/>
        <v>0</v>
      </c>
      <c r="H560" t="b">
        <f t="shared" si="125"/>
        <v>0</v>
      </c>
      <c r="I560" t="b">
        <f t="shared" si="126"/>
        <v>0</v>
      </c>
      <c r="J560" t="str">
        <f t="shared" si="127"/>
        <v/>
      </c>
      <c r="K560" t="str">
        <f t="shared" si="128"/>
        <v/>
      </c>
      <c r="L560" t="str">
        <f t="shared" si="129"/>
        <v>,</v>
      </c>
      <c r="M560" t="str">
        <f t="shared" si="130"/>
        <v/>
      </c>
      <c r="N560" t="str">
        <f t="shared" si="131"/>
        <v/>
      </c>
      <c r="O560" t="str">
        <f t="shared" si="132"/>
        <v/>
      </c>
      <c r="P560" t="str">
        <f t="shared" si="133"/>
        <v/>
      </c>
      <c r="Q560" t="str">
        <f t="shared" si="134"/>
        <v/>
      </c>
      <c r="R560" s="20" t="str">
        <f t="shared" si="135"/>
        <v>IN</v>
      </c>
      <c r="S560" s="20" t="str">
        <f>IF(Data!E558="GpsRecord",Data!G558,"")</f>
        <v/>
      </c>
      <c r="T560" s="20" t="str">
        <f>IF(Data!E558="GpsRecord",Data!H558,"")</f>
        <v/>
      </c>
      <c r="U560" s="20">
        <f t="shared" si="136"/>
        <v>-39.400329999999997</v>
      </c>
      <c r="V560" s="20">
        <f t="shared" si="137"/>
        <v>33.73592</v>
      </c>
      <c r="W560" s="19" t="str">
        <f>Data!I558</f>
        <v>Trip stopped duration accumulator</v>
      </c>
      <c r="X560" s="17" t="str">
        <f>CONCATENATE(Data!J558, " ", Data!K558)</f>
        <v>0.0169444444458 h</v>
      </c>
    </row>
    <row r="561" spans="1:24" x14ac:dyDescent="0.3">
      <c r="A561" s="17" t="str">
        <f>Data!A559</f>
        <v>vehicle1</v>
      </c>
      <c r="B561" s="17" t="str">
        <f>Data!B559</f>
        <v>Vehicle, Gasoline or Petrol</v>
      </c>
      <c r="C561" s="17" t="str">
        <f>Data!C559</f>
        <v>1f2g3h4j5k6l</v>
      </c>
      <c r="D561" s="52">
        <f>Data!D559</f>
        <v>45066.156828703701</v>
      </c>
      <c r="E561" s="60" t="str">
        <f>IF(Data!E559="GpsRecord",Data!F559,"")</f>
        <v/>
      </c>
      <c r="F561" s="68" t="str">
        <f t="shared" si="123"/>
        <v>1501 E U.s. 6, Hamlet, IN 46532, USA</v>
      </c>
      <c r="G561" t="b">
        <f t="shared" si="124"/>
        <v>0</v>
      </c>
      <c r="H561" t="b">
        <f t="shared" si="125"/>
        <v>0</v>
      </c>
      <c r="I561" t="b">
        <f t="shared" si="126"/>
        <v>0</v>
      </c>
      <c r="J561" t="str">
        <f t="shared" si="127"/>
        <v/>
      </c>
      <c r="K561" t="str">
        <f t="shared" si="128"/>
        <v/>
      </c>
      <c r="L561" t="str">
        <f t="shared" si="129"/>
        <v>,</v>
      </c>
      <c r="M561" t="str">
        <f t="shared" si="130"/>
        <v/>
      </c>
      <c r="N561" t="str">
        <f t="shared" si="131"/>
        <v/>
      </c>
      <c r="O561" t="str">
        <f t="shared" si="132"/>
        <v/>
      </c>
      <c r="P561" t="str">
        <f t="shared" si="133"/>
        <v/>
      </c>
      <c r="Q561" t="str">
        <f t="shared" si="134"/>
        <v/>
      </c>
      <c r="R561" s="20" t="str">
        <f t="shared" si="135"/>
        <v>IN</v>
      </c>
      <c r="S561" s="20" t="str">
        <f>IF(Data!E559="GpsRecord",Data!G559,"")</f>
        <v/>
      </c>
      <c r="T561" s="20" t="str">
        <f>IF(Data!E559="GpsRecord",Data!H559,"")</f>
        <v/>
      </c>
      <c r="U561" s="20">
        <f t="shared" si="136"/>
        <v>-39.400329999999997</v>
      </c>
      <c r="V561" s="20">
        <f t="shared" si="137"/>
        <v>33.73592</v>
      </c>
      <c r="W561" s="19" t="str">
        <f>Data!I559</f>
        <v>Engine coolant temperature</v>
      </c>
      <c r="X561" s="17" t="str">
        <f>CONCATENATE(Data!J559, " ", Data!K559)</f>
        <v>81 C</v>
      </c>
    </row>
    <row r="562" spans="1:24" x14ac:dyDescent="0.3">
      <c r="A562" s="17" t="str">
        <f>Data!A560</f>
        <v>vehicle1</v>
      </c>
      <c r="B562" s="17" t="str">
        <f>Data!B560</f>
        <v>Vehicle, Gasoline or Petrol</v>
      </c>
      <c r="C562" s="17" t="str">
        <f>Data!C560</f>
        <v>1f2g3h4j5k6l</v>
      </c>
      <c r="D562" s="52">
        <f>Data!D560</f>
        <v>45066.156840277778</v>
      </c>
      <c r="E562" s="60" t="str">
        <f>IF(Data!E560="GpsRecord",Data!F560,"")</f>
        <v/>
      </c>
      <c r="F562" s="68" t="str">
        <f t="shared" si="123"/>
        <v>1501 E U.s. 6, Hamlet, IN 46532, USA</v>
      </c>
      <c r="G562" t="b">
        <f t="shared" si="124"/>
        <v>0</v>
      </c>
      <c r="H562" t="b">
        <f t="shared" si="125"/>
        <v>0</v>
      </c>
      <c r="I562" t="b">
        <f t="shared" si="126"/>
        <v>0</v>
      </c>
      <c r="J562" t="str">
        <f t="shared" si="127"/>
        <v/>
      </c>
      <c r="K562" t="str">
        <f t="shared" si="128"/>
        <v/>
      </c>
      <c r="L562" t="str">
        <f t="shared" si="129"/>
        <v>,</v>
      </c>
      <c r="M562" t="str">
        <f t="shared" si="130"/>
        <v/>
      </c>
      <c r="N562" t="str">
        <f t="shared" si="131"/>
        <v/>
      </c>
      <c r="O562" t="str">
        <f t="shared" si="132"/>
        <v/>
      </c>
      <c r="P562" t="str">
        <f t="shared" si="133"/>
        <v/>
      </c>
      <c r="Q562" t="str">
        <f t="shared" si="134"/>
        <v/>
      </c>
      <c r="R562" s="20" t="str">
        <f t="shared" si="135"/>
        <v>IN</v>
      </c>
      <c r="S562" s="20" t="str">
        <f>IF(Data!E560="GpsRecord",Data!G560,"")</f>
        <v/>
      </c>
      <c r="T562" s="20" t="str">
        <f>IF(Data!E560="GpsRecord",Data!H560,"")</f>
        <v/>
      </c>
      <c r="U562" s="20">
        <f t="shared" si="136"/>
        <v>-39.400329999999997</v>
      </c>
      <c r="V562" s="20">
        <f t="shared" si="137"/>
        <v>33.73592</v>
      </c>
      <c r="W562" s="19">
        <f>Data!I560</f>
        <v>0</v>
      </c>
      <c r="X562" s="17" t="str">
        <f>CONCATENATE(Data!J560, " ", Data!K560)</f>
        <v xml:space="preserve"> </v>
      </c>
    </row>
    <row r="563" spans="1:24" x14ac:dyDescent="0.3">
      <c r="A563" s="17" t="str">
        <f>Data!A561</f>
        <v>vehicle1</v>
      </c>
      <c r="B563" s="17" t="str">
        <f>Data!B561</f>
        <v>Vehicle, Gasoline or Petrol</v>
      </c>
      <c r="C563" s="17" t="str">
        <f>Data!C561</f>
        <v>1f2g3h4j5k6l</v>
      </c>
      <c r="D563" s="52">
        <f>Data!D561</f>
        <v>45066.156886574077</v>
      </c>
      <c r="E563" s="60" t="str">
        <f>IF(Data!E561="GpsRecord",Data!F561,"")</f>
        <v/>
      </c>
      <c r="F563" s="68" t="str">
        <f t="shared" si="123"/>
        <v>1501 E U.s. 6, Hamlet, IN 46532, USA</v>
      </c>
      <c r="G563" t="b">
        <f t="shared" si="124"/>
        <v>0</v>
      </c>
      <c r="H563" t="b">
        <f t="shared" si="125"/>
        <v>0</v>
      </c>
      <c r="I563" t="b">
        <f t="shared" si="126"/>
        <v>0</v>
      </c>
      <c r="J563" t="str">
        <f t="shared" si="127"/>
        <v/>
      </c>
      <c r="K563" t="str">
        <f t="shared" si="128"/>
        <v/>
      </c>
      <c r="L563" t="str">
        <f t="shared" si="129"/>
        <v>,</v>
      </c>
      <c r="M563" t="str">
        <f t="shared" si="130"/>
        <v/>
      </c>
      <c r="N563" t="str">
        <f t="shared" si="131"/>
        <v/>
      </c>
      <c r="O563" t="str">
        <f t="shared" si="132"/>
        <v/>
      </c>
      <c r="P563" t="str">
        <f t="shared" si="133"/>
        <v/>
      </c>
      <c r="Q563" t="str">
        <f t="shared" si="134"/>
        <v/>
      </c>
      <c r="R563" s="20" t="str">
        <f t="shared" si="135"/>
        <v>IN</v>
      </c>
      <c r="S563" s="20" t="str">
        <f>IF(Data!E561="GpsRecord",Data!G561,"")</f>
        <v/>
      </c>
      <c r="T563" s="20" t="str">
        <f>IF(Data!E561="GpsRecord",Data!H561,"")</f>
        <v/>
      </c>
      <c r="U563" s="20">
        <f t="shared" si="136"/>
        <v>-39.400329999999997</v>
      </c>
      <c r="V563" s="20">
        <f t="shared" si="137"/>
        <v>33.73592</v>
      </c>
      <c r="W563" s="19">
        <f>Data!I561</f>
        <v>0</v>
      </c>
      <c r="X563" s="17" t="str">
        <f>CONCATENATE(Data!J561, " ", Data!K561)</f>
        <v xml:space="preserve"> </v>
      </c>
    </row>
    <row r="564" spans="1:24" x14ac:dyDescent="0.3">
      <c r="A564" s="17" t="str">
        <f>Data!A562</f>
        <v>vehicle1</v>
      </c>
      <c r="B564" s="17" t="str">
        <f>Data!B562</f>
        <v>Vehicle, Gasoline or Petrol</v>
      </c>
      <c r="C564" s="17" t="str">
        <f>Data!C562</f>
        <v>1f2g3h4j5k6l</v>
      </c>
      <c r="D564" s="52">
        <f>Data!D562</f>
        <v>45066.156886574077</v>
      </c>
      <c r="E564" s="60" t="str">
        <f>IF(Data!E562="GpsRecord",Data!F562,"")</f>
        <v/>
      </c>
      <c r="F564" s="68" t="str">
        <f t="shared" si="123"/>
        <v>1501 E U.s. 6, Hamlet, IN 46532, USA</v>
      </c>
      <c r="G564" t="b">
        <f t="shared" si="124"/>
        <v>0</v>
      </c>
      <c r="H564" t="b">
        <f t="shared" si="125"/>
        <v>0</v>
      </c>
      <c r="I564" t="b">
        <f t="shared" si="126"/>
        <v>0</v>
      </c>
      <c r="J564" t="str">
        <f t="shared" si="127"/>
        <v/>
      </c>
      <c r="K564" t="str">
        <f t="shared" si="128"/>
        <v/>
      </c>
      <c r="L564" t="str">
        <f t="shared" si="129"/>
        <v>,</v>
      </c>
      <c r="M564" t="str">
        <f t="shared" si="130"/>
        <v/>
      </c>
      <c r="N564" t="str">
        <f t="shared" si="131"/>
        <v/>
      </c>
      <c r="O564" t="str">
        <f t="shared" si="132"/>
        <v/>
      </c>
      <c r="P564" t="str">
        <f t="shared" si="133"/>
        <v/>
      </c>
      <c r="Q564" t="str">
        <f t="shared" si="134"/>
        <v/>
      </c>
      <c r="R564" s="20" t="str">
        <f t="shared" si="135"/>
        <v>IN</v>
      </c>
      <c r="S564" s="20" t="str">
        <f>IF(Data!E562="GpsRecord",Data!G562,"")</f>
        <v/>
      </c>
      <c r="T564" s="20" t="str">
        <f>IF(Data!E562="GpsRecord",Data!H562,"")</f>
        <v/>
      </c>
      <c r="U564" s="20">
        <f t="shared" si="136"/>
        <v>-39.400329999999997</v>
      </c>
      <c r="V564" s="20">
        <f t="shared" si="137"/>
        <v>33.73592</v>
      </c>
      <c r="W564" s="19">
        <f>Data!I562</f>
        <v>0</v>
      </c>
      <c r="X564" s="17" t="str">
        <f>CONCATENATE(Data!J562, " ", Data!K562)</f>
        <v xml:space="preserve"> </v>
      </c>
    </row>
    <row r="565" spans="1:24" x14ac:dyDescent="0.3">
      <c r="A565" s="17" t="str">
        <f>Data!A563</f>
        <v>vehicle1</v>
      </c>
      <c r="B565" s="17" t="str">
        <f>Data!B563</f>
        <v>Vehicle, Gasoline or Petrol</v>
      </c>
      <c r="C565" s="17" t="str">
        <f>Data!C563</f>
        <v>1f2g3h4j5k6l</v>
      </c>
      <c r="D565" s="52">
        <f>Data!D563</f>
        <v>45066.156886574077</v>
      </c>
      <c r="E565" s="60" t="str">
        <f>IF(Data!E563="GpsRecord",Data!F563,"")</f>
        <v/>
      </c>
      <c r="F565" s="68" t="str">
        <f t="shared" si="123"/>
        <v>1501 E U.s. 6, Hamlet, IN 46532, USA</v>
      </c>
      <c r="G565" t="b">
        <f t="shared" si="124"/>
        <v>0</v>
      </c>
      <c r="H565" t="b">
        <f t="shared" si="125"/>
        <v>0</v>
      </c>
      <c r="I565" t="b">
        <f t="shared" si="126"/>
        <v>0</v>
      </c>
      <c r="J565" t="str">
        <f t="shared" si="127"/>
        <v/>
      </c>
      <c r="K565" t="str">
        <f t="shared" si="128"/>
        <v/>
      </c>
      <c r="L565" t="str">
        <f t="shared" si="129"/>
        <v>,</v>
      </c>
      <c r="M565" t="str">
        <f t="shared" si="130"/>
        <v/>
      </c>
      <c r="N565" t="str">
        <f t="shared" si="131"/>
        <v/>
      </c>
      <c r="O565" t="str">
        <f t="shared" si="132"/>
        <v/>
      </c>
      <c r="P565" t="str">
        <f t="shared" si="133"/>
        <v/>
      </c>
      <c r="Q565" t="str">
        <f t="shared" si="134"/>
        <v/>
      </c>
      <c r="R565" s="20" t="str">
        <f t="shared" si="135"/>
        <v>IN</v>
      </c>
      <c r="S565" s="20" t="str">
        <f>IF(Data!E563="GpsRecord",Data!G563,"")</f>
        <v/>
      </c>
      <c r="T565" s="20" t="str">
        <f>IF(Data!E563="GpsRecord",Data!H563,"")</f>
        <v/>
      </c>
      <c r="U565" s="20">
        <f t="shared" si="136"/>
        <v>-39.400329999999997</v>
      </c>
      <c r="V565" s="20">
        <f t="shared" si="137"/>
        <v>33.73592</v>
      </c>
      <c r="W565" s="19">
        <f>Data!I563</f>
        <v>0</v>
      </c>
      <c r="X565" s="17" t="str">
        <f>CONCATENATE(Data!J563, " ", Data!K563)</f>
        <v xml:space="preserve"> </v>
      </c>
    </row>
    <row r="566" spans="1:24" x14ac:dyDescent="0.3">
      <c r="A566" s="17" t="str">
        <f>Data!A564</f>
        <v>vehicle1</v>
      </c>
      <c r="B566" s="17" t="str">
        <f>Data!B564</f>
        <v>Vehicle, Gasoline or Petrol</v>
      </c>
      <c r="C566" s="17" t="str">
        <f>Data!C564</f>
        <v>1f2g3h4j5k6l</v>
      </c>
      <c r="D566" s="52">
        <f>Data!D564</f>
        <v>45066.157048611109</v>
      </c>
      <c r="E566" s="60" t="str">
        <f>IF(Data!E564="GpsRecord",Data!F564,"")</f>
        <v/>
      </c>
      <c r="F566" s="68" t="str">
        <f t="shared" si="123"/>
        <v>1501 E U.s. 6, Hamlet, IN 46532, USA</v>
      </c>
      <c r="G566" t="b">
        <f t="shared" si="124"/>
        <v>0</v>
      </c>
      <c r="H566" t="b">
        <f t="shared" si="125"/>
        <v>0</v>
      </c>
      <c r="I566" t="b">
        <f t="shared" si="126"/>
        <v>0</v>
      </c>
      <c r="J566" t="str">
        <f t="shared" si="127"/>
        <v/>
      </c>
      <c r="K566" t="str">
        <f t="shared" si="128"/>
        <v/>
      </c>
      <c r="L566" t="str">
        <f t="shared" si="129"/>
        <v>,</v>
      </c>
      <c r="M566" t="str">
        <f t="shared" si="130"/>
        <v/>
      </c>
      <c r="N566" t="str">
        <f t="shared" si="131"/>
        <v/>
      </c>
      <c r="O566" t="str">
        <f t="shared" si="132"/>
        <v/>
      </c>
      <c r="P566" t="str">
        <f t="shared" si="133"/>
        <v/>
      </c>
      <c r="Q566" t="str">
        <f t="shared" si="134"/>
        <v/>
      </c>
      <c r="R566" s="20" t="str">
        <f t="shared" si="135"/>
        <v>IN</v>
      </c>
      <c r="S566" s="20" t="str">
        <f>IF(Data!E564="GpsRecord",Data!G564,"")</f>
        <v/>
      </c>
      <c r="T566" s="20" t="str">
        <f>IF(Data!E564="GpsRecord",Data!H564,"")</f>
        <v/>
      </c>
      <c r="U566" s="20">
        <f t="shared" si="136"/>
        <v>-39.400329999999997</v>
      </c>
      <c r="V566" s="20">
        <f t="shared" si="137"/>
        <v>33.73592</v>
      </c>
      <c r="W566" s="19" t="str">
        <f>Data!I564</f>
        <v>Fuel level while stopped (percent) tank 1</v>
      </c>
      <c r="X566" s="17" t="str">
        <f>CONCATENATE(Data!J564, " ", Data!K564)</f>
        <v>54.1098 %</v>
      </c>
    </row>
    <row r="567" spans="1:24" x14ac:dyDescent="0.3">
      <c r="A567" s="17" t="str">
        <f>Data!A565</f>
        <v>vehicle1</v>
      </c>
      <c r="B567" s="17" t="str">
        <f>Data!B565</f>
        <v>Vehicle, Gasoline or Petrol</v>
      </c>
      <c r="C567" s="17" t="str">
        <f>Data!C565</f>
        <v>1f2g3h4j5k6l</v>
      </c>
      <c r="D567" s="52">
        <f>Data!D565</f>
        <v>45066.157048611109</v>
      </c>
      <c r="E567" s="60" t="str">
        <f>IF(Data!E565="GpsRecord",Data!F565,"")</f>
        <v/>
      </c>
      <c r="F567" s="68" t="str">
        <f t="shared" si="123"/>
        <v>1501 E U.s. 6, Hamlet, IN 46532, USA</v>
      </c>
      <c r="G567" t="b">
        <f t="shared" si="124"/>
        <v>0</v>
      </c>
      <c r="H567" t="b">
        <f t="shared" si="125"/>
        <v>0</v>
      </c>
      <c r="I567" t="b">
        <f t="shared" si="126"/>
        <v>0</v>
      </c>
      <c r="J567" t="str">
        <f t="shared" si="127"/>
        <v/>
      </c>
      <c r="K567" t="str">
        <f t="shared" si="128"/>
        <v/>
      </c>
      <c r="L567" t="str">
        <f t="shared" si="129"/>
        <v>,</v>
      </c>
      <c r="M567" t="str">
        <f t="shared" si="130"/>
        <v/>
      </c>
      <c r="N567" t="str">
        <f t="shared" si="131"/>
        <v/>
      </c>
      <c r="O567" t="str">
        <f t="shared" si="132"/>
        <v/>
      </c>
      <c r="P567" t="str">
        <f t="shared" si="133"/>
        <v/>
      </c>
      <c r="Q567" t="str">
        <f t="shared" si="134"/>
        <v/>
      </c>
      <c r="R567" s="20" t="str">
        <f t="shared" si="135"/>
        <v>IN</v>
      </c>
      <c r="S567" s="20" t="str">
        <f>IF(Data!E565="GpsRecord",Data!G565,"")</f>
        <v/>
      </c>
      <c r="T567" s="20" t="str">
        <f>IF(Data!E565="GpsRecord",Data!H565,"")</f>
        <v/>
      </c>
      <c r="U567" s="20">
        <f t="shared" si="136"/>
        <v>-39.400329999999997</v>
      </c>
      <c r="V567" s="20">
        <f t="shared" si="137"/>
        <v>33.73592</v>
      </c>
      <c r="W567" s="19" t="str">
        <f>Data!I565</f>
        <v>Raw outside air temperature</v>
      </c>
      <c r="X567" s="17" t="str">
        <f>CONCATENATE(Data!J565, " ", Data!K565)</f>
        <v>26 C</v>
      </c>
    </row>
    <row r="568" spans="1:24" x14ac:dyDescent="0.3">
      <c r="A568" s="17" t="str">
        <f>Data!A566</f>
        <v>vehicle1</v>
      </c>
      <c r="B568" s="17" t="str">
        <f>Data!B566</f>
        <v>Vehicle, Gasoline or Petrol</v>
      </c>
      <c r="C568" s="17" t="str">
        <f>Data!C566</f>
        <v>1f2g3h4j5k6l</v>
      </c>
      <c r="D568" s="52">
        <f>Data!D566</f>
        <v>45066.157048611109</v>
      </c>
      <c r="E568" s="60" t="str">
        <f>IF(Data!E566="GpsRecord",Data!F566,"")</f>
        <v/>
      </c>
      <c r="F568" s="68" t="str">
        <f t="shared" si="123"/>
        <v>1501 E U.s. 6, Hamlet, IN 46532, USA</v>
      </c>
      <c r="G568" t="b">
        <f t="shared" si="124"/>
        <v>0</v>
      </c>
      <c r="H568" t="b">
        <f t="shared" si="125"/>
        <v>0</v>
      </c>
      <c r="I568" t="b">
        <f t="shared" si="126"/>
        <v>0</v>
      </c>
      <c r="J568" t="str">
        <f t="shared" si="127"/>
        <v/>
      </c>
      <c r="K568" t="str">
        <f t="shared" si="128"/>
        <v/>
      </c>
      <c r="L568" t="str">
        <f t="shared" si="129"/>
        <v>,</v>
      </c>
      <c r="M568" t="str">
        <f t="shared" si="130"/>
        <v/>
      </c>
      <c r="N568" t="str">
        <f t="shared" si="131"/>
        <v/>
      </c>
      <c r="O568" t="str">
        <f t="shared" si="132"/>
        <v/>
      </c>
      <c r="P568" t="str">
        <f t="shared" si="133"/>
        <v/>
      </c>
      <c r="Q568" t="str">
        <f t="shared" si="134"/>
        <v/>
      </c>
      <c r="R568" s="20" t="str">
        <f t="shared" si="135"/>
        <v>IN</v>
      </c>
      <c r="S568" s="20" t="str">
        <f>IF(Data!E566="GpsRecord",Data!G566,"")</f>
        <v/>
      </c>
      <c r="T568" s="20" t="str">
        <f>IF(Data!E566="GpsRecord",Data!H566,"")</f>
        <v/>
      </c>
      <c r="U568" s="20">
        <f t="shared" si="136"/>
        <v>-39.400329999999997</v>
      </c>
      <c r="V568" s="20">
        <f t="shared" si="137"/>
        <v>33.73592</v>
      </c>
      <c r="W568" s="19" t="str">
        <f>Data!I566</f>
        <v>Engine speed</v>
      </c>
      <c r="X568" s="17" t="str">
        <f>CONCATENATE(Data!J566, " ", Data!K566)</f>
        <v>615.5 RPM</v>
      </c>
    </row>
    <row r="569" spans="1:24" x14ac:dyDescent="0.3">
      <c r="A569" s="17" t="str">
        <f>Data!A567</f>
        <v>vehicle1</v>
      </c>
      <c r="B569" s="17" t="str">
        <f>Data!B567</f>
        <v>Vehicle, Gasoline or Petrol</v>
      </c>
      <c r="C569" s="17" t="str">
        <f>Data!C567</f>
        <v>1f2g3h4j5k6l</v>
      </c>
      <c r="D569" s="52">
        <f>Data!D567</f>
        <v>45066.157048611109</v>
      </c>
      <c r="E569" s="60" t="str">
        <f>IF(Data!E567="GpsRecord",Data!F567,"")</f>
        <v>1501 E U.s. 6, Hamlet, IN 46532, USA</v>
      </c>
      <c r="F569" s="68" t="str">
        <f t="shared" si="123"/>
        <v>1501 E U.s. 6, Hamlet, IN 46532, USA</v>
      </c>
      <c r="G569" t="b">
        <f t="shared" si="124"/>
        <v>0</v>
      </c>
      <c r="H569" t="b">
        <f t="shared" si="125"/>
        <v>1</v>
      </c>
      <c r="I569" t="b">
        <f t="shared" si="126"/>
        <v>1</v>
      </c>
      <c r="J569" t="str">
        <f t="shared" si="127"/>
        <v>1501 E U.s. 6, Hamlet, IN 46532, USA</v>
      </c>
      <c r="K569" t="str">
        <f t="shared" si="128"/>
        <v xml:space="preserve"> USA</v>
      </c>
      <c r="L569" t="str">
        <f t="shared" si="129"/>
        <v>, USA</v>
      </c>
      <c r="M569" t="str">
        <f t="shared" si="130"/>
        <v>1501 E U.s. 6, Hamlet, IN 46532</v>
      </c>
      <c r="N569" t="str">
        <f t="shared" si="131"/>
        <v xml:space="preserve"> IN 46532</v>
      </c>
      <c r="O569" t="str">
        <f t="shared" si="132"/>
        <v>46532</v>
      </c>
      <c r="P569" t="str">
        <f t="shared" si="133"/>
        <v xml:space="preserve"> IN</v>
      </c>
      <c r="Q569" t="str">
        <f t="shared" si="134"/>
        <v>IN</v>
      </c>
      <c r="R569" s="20" t="str">
        <f t="shared" si="135"/>
        <v>IN</v>
      </c>
      <c r="S569" s="20">
        <f>IF(Data!E567="GpsRecord",Data!G567,"")</f>
        <v>-39.400329999999997</v>
      </c>
      <c r="T569" s="20">
        <f>IF(Data!E567="GpsRecord",Data!H567,"")</f>
        <v>33.73592</v>
      </c>
      <c r="U569" s="20">
        <f t="shared" si="136"/>
        <v>-39.400329999999997</v>
      </c>
      <c r="V569" s="20">
        <f t="shared" si="137"/>
        <v>33.73592</v>
      </c>
      <c r="W569" s="19">
        <f>Data!I567</f>
        <v>0</v>
      </c>
      <c r="X569" s="17" t="str">
        <f>CONCATENATE(Data!J567, " ", Data!K567)</f>
        <v xml:space="preserve"> </v>
      </c>
    </row>
    <row r="570" spans="1:24" x14ac:dyDescent="0.3">
      <c r="A570" s="17" t="str">
        <f>Data!A568</f>
        <v>vehicle1</v>
      </c>
      <c r="B570" s="17" t="str">
        <f>Data!B568</f>
        <v>Vehicle, Gasoline or Petrol</v>
      </c>
      <c r="C570" s="17" t="str">
        <f>Data!C568</f>
        <v>1f2g3h4j5k6l</v>
      </c>
      <c r="D570" s="52">
        <f>Data!D568</f>
        <v>45066.157048611109</v>
      </c>
      <c r="E570" s="60" t="str">
        <f>IF(Data!E568="GpsRecord",Data!F568,"")</f>
        <v/>
      </c>
      <c r="F570" s="68" t="str">
        <f t="shared" si="123"/>
        <v>1501 E U.s. 6, Hamlet, IN 46532, USA</v>
      </c>
      <c r="G570" t="b">
        <f t="shared" si="124"/>
        <v>0</v>
      </c>
      <c r="H570" t="b">
        <f t="shared" si="125"/>
        <v>0</v>
      </c>
      <c r="I570" t="b">
        <f t="shared" si="126"/>
        <v>0</v>
      </c>
      <c r="J570" t="str">
        <f t="shared" si="127"/>
        <v/>
      </c>
      <c r="K570" t="str">
        <f t="shared" si="128"/>
        <v/>
      </c>
      <c r="L570" t="str">
        <f t="shared" si="129"/>
        <v>,</v>
      </c>
      <c r="M570" t="str">
        <f t="shared" si="130"/>
        <v/>
      </c>
      <c r="N570" t="str">
        <f t="shared" si="131"/>
        <v/>
      </c>
      <c r="O570" t="str">
        <f t="shared" si="132"/>
        <v/>
      </c>
      <c r="P570" t="str">
        <f t="shared" si="133"/>
        <v/>
      </c>
      <c r="Q570" t="str">
        <f t="shared" si="134"/>
        <v/>
      </c>
      <c r="R570" s="20" t="str">
        <f t="shared" si="135"/>
        <v>IN</v>
      </c>
      <c r="S570" s="20" t="str">
        <f>IF(Data!E568="GpsRecord",Data!G568,"")</f>
        <v/>
      </c>
      <c r="T570" s="20" t="str">
        <f>IF(Data!E568="GpsRecord",Data!H568,"")</f>
        <v/>
      </c>
      <c r="U570" s="20">
        <f t="shared" si="136"/>
        <v>-39.400329999999997</v>
      </c>
      <c r="V570" s="20">
        <f t="shared" si="137"/>
        <v>33.73592</v>
      </c>
      <c r="W570" s="19">
        <f>Data!I568</f>
        <v>0</v>
      </c>
      <c r="X570" s="17" t="str">
        <f>CONCATENATE(Data!J568, " ", Data!K568)</f>
        <v xml:space="preserve"> </v>
      </c>
    </row>
    <row r="571" spans="1:24" x14ac:dyDescent="0.3">
      <c r="A571" s="17" t="str">
        <f>Data!A569</f>
        <v>vehicle1</v>
      </c>
      <c r="B571" s="17" t="str">
        <f>Data!B569</f>
        <v>Vehicle, Gasoline or Petrol</v>
      </c>
      <c r="C571" s="17" t="str">
        <f>Data!C569</f>
        <v>1f2g3h4j5k6l</v>
      </c>
      <c r="D571" s="52">
        <f>Data!D569</f>
        <v>45066.157048611109</v>
      </c>
      <c r="E571" s="60" t="str">
        <f>IF(Data!E569="GpsRecord",Data!F569,"")</f>
        <v/>
      </c>
      <c r="F571" s="68" t="str">
        <f t="shared" si="123"/>
        <v>1501 E U.s. 6, Hamlet, IN 46532, USA</v>
      </c>
      <c r="G571" t="b">
        <f t="shared" si="124"/>
        <v>0</v>
      </c>
      <c r="H571" t="b">
        <f t="shared" si="125"/>
        <v>0</v>
      </c>
      <c r="I571" t="b">
        <f t="shared" si="126"/>
        <v>0</v>
      </c>
      <c r="J571" t="str">
        <f t="shared" si="127"/>
        <v/>
      </c>
      <c r="K571" t="str">
        <f t="shared" si="128"/>
        <v/>
      </c>
      <c r="L571" t="str">
        <f t="shared" si="129"/>
        <v>,</v>
      </c>
      <c r="M571" t="str">
        <f t="shared" si="130"/>
        <v/>
      </c>
      <c r="N571" t="str">
        <f t="shared" si="131"/>
        <v/>
      </c>
      <c r="O571" t="str">
        <f t="shared" si="132"/>
        <v/>
      </c>
      <c r="P571" t="str">
        <f t="shared" si="133"/>
        <v/>
      </c>
      <c r="Q571" t="str">
        <f t="shared" si="134"/>
        <v/>
      </c>
      <c r="R571" s="20" t="str">
        <f t="shared" si="135"/>
        <v>IN</v>
      </c>
      <c r="S571" s="20" t="str">
        <f>IF(Data!E569="GpsRecord",Data!G569,"")</f>
        <v/>
      </c>
      <c r="T571" s="20" t="str">
        <f>IF(Data!E569="GpsRecord",Data!H569,"")</f>
        <v/>
      </c>
      <c r="U571" s="20">
        <f t="shared" si="136"/>
        <v>-39.400329999999997</v>
      </c>
      <c r="V571" s="20">
        <f t="shared" si="137"/>
        <v>33.73592</v>
      </c>
      <c r="W571" s="19">
        <f>Data!I569</f>
        <v>0</v>
      </c>
      <c r="X571" s="17" t="str">
        <f>CONCATENATE(Data!J569, " ", Data!K569)</f>
        <v xml:space="preserve"> </v>
      </c>
    </row>
    <row r="572" spans="1:24" x14ac:dyDescent="0.3">
      <c r="A572" s="17" t="str">
        <f>Data!A570</f>
        <v>vehicle1</v>
      </c>
      <c r="B572" s="17" t="str">
        <f>Data!B570</f>
        <v>Vehicle, Gasoline or Petrol</v>
      </c>
      <c r="C572" s="17" t="str">
        <f>Data!C570</f>
        <v>1f2g3h4j5k6l</v>
      </c>
      <c r="D572" s="52">
        <f>Data!D570</f>
        <v>45066.157048611109</v>
      </c>
      <c r="E572" s="60" t="str">
        <f>IF(Data!E570="GpsRecord",Data!F570,"")</f>
        <v/>
      </c>
      <c r="F572" s="68" t="str">
        <f t="shared" si="123"/>
        <v>1501 E U.s. 6, Hamlet, IN 46532, USA</v>
      </c>
      <c r="G572" t="b">
        <f t="shared" si="124"/>
        <v>0</v>
      </c>
      <c r="H572" t="b">
        <f t="shared" si="125"/>
        <v>0</v>
      </c>
      <c r="I572" t="b">
        <f t="shared" si="126"/>
        <v>0</v>
      </c>
      <c r="J572" t="str">
        <f t="shared" si="127"/>
        <v/>
      </c>
      <c r="K572" t="str">
        <f t="shared" si="128"/>
        <v/>
      </c>
      <c r="L572" t="str">
        <f t="shared" si="129"/>
        <v>,</v>
      </c>
      <c r="M572" t="str">
        <f t="shared" si="130"/>
        <v/>
      </c>
      <c r="N572" t="str">
        <f t="shared" si="131"/>
        <v/>
      </c>
      <c r="O572" t="str">
        <f t="shared" si="132"/>
        <v/>
      </c>
      <c r="P572" t="str">
        <f t="shared" si="133"/>
        <v/>
      </c>
      <c r="Q572" t="str">
        <f t="shared" si="134"/>
        <v/>
      </c>
      <c r="R572" s="20" t="str">
        <f t="shared" si="135"/>
        <v>IN</v>
      </c>
      <c r="S572" s="20" t="str">
        <f>IF(Data!E570="GpsRecord",Data!G570,"")</f>
        <v/>
      </c>
      <c r="T572" s="20" t="str">
        <f>IF(Data!E570="GpsRecord",Data!H570,"")</f>
        <v/>
      </c>
      <c r="U572" s="20">
        <f t="shared" si="136"/>
        <v>-39.400329999999997</v>
      </c>
      <c r="V572" s="20">
        <f t="shared" si="137"/>
        <v>33.73592</v>
      </c>
      <c r="W572" s="19" t="str">
        <f>Data!I570</f>
        <v>ADAS left lane departure warning</v>
      </c>
      <c r="X572" s="17" t="str">
        <f>CONCATENATE(Data!J570, " ", Data!K570)</f>
        <v>1 None</v>
      </c>
    </row>
    <row r="573" spans="1:24" x14ac:dyDescent="0.3">
      <c r="A573" s="17" t="str">
        <f>Data!A571</f>
        <v>vehicle1</v>
      </c>
      <c r="B573" s="17" t="str">
        <f>Data!B571</f>
        <v>Vehicle, Gasoline or Petrol</v>
      </c>
      <c r="C573" s="17" t="str">
        <f>Data!C571</f>
        <v>1f2g3h4j5k6l</v>
      </c>
      <c r="D573" s="52">
        <f>Data!D571</f>
        <v>45066.157048611109</v>
      </c>
      <c r="E573" s="60" t="str">
        <f>IF(Data!E571="GpsRecord",Data!F571,"")</f>
        <v/>
      </c>
      <c r="F573" s="68" t="str">
        <f t="shared" si="123"/>
        <v>1501 E U.s. 6, Hamlet, IN 46532, USA</v>
      </c>
      <c r="G573" t="b">
        <f t="shared" si="124"/>
        <v>0</v>
      </c>
      <c r="H573" t="b">
        <f t="shared" si="125"/>
        <v>0</v>
      </c>
      <c r="I573" t="b">
        <f t="shared" si="126"/>
        <v>0</v>
      </c>
      <c r="J573" t="str">
        <f t="shared" si="127"/>
        <v/>
      </c>
      <c r="K573" t="str">
        <f t="shared" si="128"/>
        <v/>
      </c>
      <c r="L573" t="str">
        <f t="shared" si="129"/>
        <v>,</v>
      </c>
      <c r="M573" t="str">
        <f t="shared" si="130"/>
        <v/>
      </c>
      <c r="N573" t="str">
        <f t="shared" si="131"/>
        <v/>
      </c>
      <c r="O573" t="str">
        <f t="shared" si="132"/>
        <v/>
      </c>
      <c r="P573" t="str">
        <f t="shared" si="133"/>
        <v/>
      </c>
      <c r="Q573" t="str">
        <f t="shared" si="134"/>
        <v/>
      </c>
      <c r="R573" s="20" t="str">
        <f t="shared" si="135"/>
        <v>IN</v>
      </c>
      <c r="S573" s="20" t="str">
        <f>IF(Data!E571="GpsRecord",Data!G571,"")</f>
        <v/>
      </c>
      <c r="T573" s="20" t="str">
        <f>IF(Data!E571="GpsRecord",Data!H571,"")</f>
        <v/>
      </c>
      <c r="U573" s="20">
        <f t="shared" si="136"/>
        <v>-39.400329999999997</v>
      </c>
      <c r="V573" s="20">
        <f t="shared" si="137"/>
        <v>33.73592</v>
      </c>
      <c r="W573" s="19" t="str">
        <f>Data!I571</f>
        <v>Trip stopped duration accumulator</v>
      </c>
      <c r="X573" s="17" t="str">
        <f>CONCATENATE(Data!J571, " ", Data!K571)</f>
        <v>0.023611111113 h</v>
      </c>
    </row>
    <row r="574" spans="1:24" x14ac:dyDescent="0.3">
      <c r="A574" s="17" t="str">
        <f>Data!A572</f>
        <v>vehicle1</v>
      </c>
      <c r="B574" s="17" t="str">
        <f>Data!B572</f>
        <v>Vehicle, Gasoline or Petrol</v>
      </c>
      <c r="C574" s="17" t="str">
        <f>Data!C572</f>
        <v>1f2g3h4j5k6l</v>
      </c>
      <c r="D574" s="52">
        <f>Data!D572</f>
        <v>45066.157060185185</v>
      </c>
      <c r="E574" s="60" t="str">
        <f>IF(Data!E572="GpsRecord",Data!F572,"")</f>
        <v/>
      </c>
      <c r="F574" s="68" t="str">
        <f t="shared" si="123"/>
        <v>1501 E U.s. 6, Hamlet, IN 46532, USA</v>
      </c>
      <c r="G574" t="b">
        <f t="shared" si="124"/>
        <v>0</v>
      </c>
      <c r="H574" t="b">
        <f t="shared" si="125"/>
        <v>0</v>
      </c>
      <c r="I574" t="b">
        <f t="shared" si="126"/>
        <v>0</v>
      </c>
      <c r="J574" t="str">
        <f t="shared" si="127"/>
        <v/>
      </c>
      <c r="K574" t="str">
        <f t="shared" si="128"/>
        <v/>
      </c>
      <c r="L574" t="str">
        <f t="shared" si="129"/>
        <v>,</v>
      </c>
      <c r="M574" t="str">
        <f t="shared" si="130"/>
        <v/>
      </c>
      <c r="N574" t="str">
        <f t="shared" si="131"/>
        <v/>
      </c>
      <c r="O574" t="str">
        <f t="shared" si="132"/>
        <v/>
      </c>
      <c r="P574" t="str">
        <f t="shared" si="133"/>
        <v/>
      </c>
      <c r="Q574" t="str">
        <f t="shared" si="134"/>
        <v/>
      </c>
      <c r="R574" s="20" t="str">
        <f t="shared" si="135"/>
        <v>IN</v>
      </c>
      <c r="S574" s="20" t="str">
        <f>IF(Data!E572="GpsRecord",Data!G572,"")</f>
        <v/>
      </c>
      <c r="T574" s="20" t="str">
        <f>IF(Data!E572="GpsRecord",Data!H572,"")</f>
        <v/>
      </c>
      <c r="U574" s="20">
        <f t="shared" si="136"/>
        <v>-39.400329999999997</v>
      </c>
      <c r="V574" s="20">
        <f t="shared" si="137"/>
        <v>33.73592</v>
      </c>
      <c r="W574" s="19" t="str">
        <f>Data!I572</f>
        <v>Fuel level while stopped (percent) tank 1</v>
      </c>
      <c r="X574" s="17" t="str">
        <f>CONCATENATE(Data!J572, " ", Data!K572)</f>
        <v>50.5809 %</v>
      </c>
    </row>
    <row r="575" spans="1:24" x14ac:dyDescent="0.3">
      <c r="A575" s="17" t="str">
        <f>Data!A573</f>
        <v>vehicle1</v>
      </c>
      <c r="B575" s="17" t="str">
        <f>Data!B573</f>
        <v>Vehicle, Gasoline or Petrol</v>
      </c>
      <c r="C575" s="17" t="str">
        <f>Data!C573</f>
        <v>1f2g3h4j5k6l</v>
      </c>
      <c r="D575" s="52">
        <f>Data!D573</f>
        <v>45066.157060185185</v>
      </c>
      <c r="E575" s="60" t="str">
        <f>IF(Data!E573="GpsRecord",Data!F573,"")</f>
        <v/>
      </c>
      <c r="F575" s="68" t="str">
        <f t="shared" si="123"/>
        <v>1501 E U.s. 6, Hamlet, IN 46532, USA</v>
      </c>
      <c r="G575" t="b">
        <f t="shared" si="124"/>
        <v>0</v>
      </c>
      <c r="H575" t="b">
        <f t="shared" si="125"/>
        <v>0</v>
      </c>
      <c r="I575" t="b">
        <f t="shared" si="126"/>
        <v>0</v>
      </c>
      <c r="J575" t="str">
        <f t="shared" si="127"/>
        <v/>
      </c>
      <c r="K575" t="str">
        <f t="shared" si="128"/>
        <v/>
      </c>
      <c r="L575" t="str">
        <f t="shared" si="129"/>
        <v>,</v>
      </c>
      <c r="M575" t="str">
        <f t="shared" si="130"/>
        <v/>
      </c>
      <c r="N575" t="str">
        <f t="shared" si="131"/>
        <v/>
      </c>
      <c r="O575" t="str">
        <f t="shared" si="132"/>
        <v/>
      </c>
      <c r="P575" t="str">
        <f t="shared" si="133"/>
        <v/>
      </c>
      <c r="Q575" t="str">
        <f t="shared" si="134"/>
        <v/>
      </c>
      <c r="R575" s="20" t="str">
        <f t="shared" si="135"/>
        <v>IN</v>
      </c>
      <c r="S575" s="20" t="str">
        <f>IF(Data!E573="GpsRecord",Data!G573,"")</f>
        <v/>
      </c>
      <c r="T575" s="20" t="str">
        <f>IF(Data!E573="GpsRecord",Data!H573,"")</f>
        <v/>
      </c>
      <c r="U575" s="20">
        <f t="shared" si="136"/>
        <v>-39.400329999999997</v>
      </c>
      <c r="V575" s="20">
        <f t="shared" si="137"/>
        <v>33.73592</v>
      </c>
      <c r="W575" s="19" t="str">
        <f>Data!I573</f>
        <v>Engine road speed</v>
      </c>
      <c r="X575" s="17" t="str">
        <f>CONCATENATE(Data!J573, " ", Data!K573)</f>
        <v>2 km/h</v>
      </c>
    </row>
    <row r="576" spans="1:24" x14ac:dyDescent="0.3">
      <c r="A576" s="17" t="str">
        <f>Data!A574</f>
        <v>vehicle1</v>
      </c>
      <c r="B576" s="17" t="str">
        <f>Data!B574</f>
        <v>Vehicle, Gasoline or Petrol</v>
      </c>
      <c r="C576" s="17" t="str">
        <f>Data!C574</f>
        <v>1f2g3h4j5k6l</v>
      </c>
      <c r="D576" s="52">
        <f>Data!D574</f>
        <v>45066.157060185185</v>
      </c>
      <c r="E576" s="60" t="str">
        <f>IF(Data!E574="GpsRecord",Data!F574,"")</f>
        <v/>
      </c>
      <c r="F576" s="68" t="str">
        <f t="shared" si="123"/>
        <v>1501 E U.s. 6, Hamlet, IN 46532, USA</v>
      </c>
      <c r="G576" t="b">
        <f t="shared" si="124"/>
        <v>0</v>
      </c>
      <c r="H576" t="b">
        <f t="shared" si="125"/>
        <v>0</v>
      </c>
      <c r="I576" t="b">
        <f t="shared" si="126"/>
        <v>0</v>
      </c>
      <c r="J576" t="str">
        <f t="shared" si="127"/>
        <v/>
      </c>
      <c r="K576" t="str">
        <f t="shared" si="128"/>
        <v/>
      </c>
      <c r="L576" t="str">
        <f t="shared" si="129"/>
        <v>,</v>
      </c>
      <c r="M576" t="str">
        <f t="shared" si="130"/>
        <v/>
      </c>
      <c r="N576" t="str">
        <f t="shared" si="131"/>
        <v/>
      </c>
      <c r="O576" t="str">
        <f t="shared" si="132"/>
        <v/>
      </c>
      <c r="P576" t="str">
        <f t="shared" si="133"/>
        <v/>
      </c>
      <c r="Q576" t="str">
        <f t="shared" si="134"/>
        <v/>
      </c>
      <c r="R576" s="20" t="str">
        <f t="shared" si="135"/>
        <v>IN</v>
      </c>
      <c r="S576" s="20" t="str">
        <f>IF(Data!E574="GpsRecord",Data!G574,"")</f>
        <v/>
      </c>
      <c r="T576" s="20" t="str">
        <f>IF(Data!E574="GpsRecord",Data!H574,"")</f>
        <v/>
      </c>
      <c r="U576" s="20">
        <f t="shared" si="136"/>
        <v>-39.400329999999997</v>
      </c>
      <c r="V576" s="20">
        <f t="shared" si="137"/>
        <v>33.73592</v>
      </c>
      <c r="W576" s="19" t="str">
        <f>Data!I574</f>
        <v>Stop event duration</v>
      </c>
      <c r="X576" s="17" t="str">
        <f>CONCATENATE(Data!J574, " ", Data!K574)</f>
        <v>0.0080555555562 h</v>
      </c>
    </row>
    <row r="577" spans="1:24" x14ac:dyDescent="0.3">
      <c r="A577" s="17" t="str">
        <f>Data!A575</f>
        <v>vehicle1</v>
      </c>
      <c r="B577" s="17" t="str">
        <f>Data!B575</f>
        <v>Vehicle, Gasoline or Petrol</v>
      </c>
      <c r="C577" s="17" t="str">
        <f>Data!C575</f>
        <v>1f2g3h4j5k6l</v>
      </c>
      <c r="D577" s="52">
        <f>Data!D575</f>
        <v>45066.157060185185</v>
      </c>
      <c r="E577" s="60" t="str">
        <f>IF(Data!E575="GpsRecord",Data!F575,"")</f>
        <v/>
      </c>
      <c r="F577" s="68" t="str">
        <f t="shared" si="123"/>
        <v>1501 E U.s. 6, Hamlet, IN 46532, USA</v>
      </c>
      <c r="G577" t="b">
        <f t="shared" si="124"/>
        <v>0</v>
      </c>
      <c r="H577" t="b">
        <f t="shared" si="125"/>
        <v>0</v>
      </c>
      <c r="I577" t="b">
        <f t="shared" si="126"/>
        <v>0</v>
      </c>
      <c r="J577" t="str">
        <f t="shared" si="127"/>
        <v/>
      </c>
      <c r="K577" t="str">
        <f t="shared" si="128"/>
        <v/>
      </c>
      <c r="L577" t="str">
        <f t="shared" si="129"/>
        <v>,</v>
      </c>
      <c r="M577" t="str">
        <f t="shared" si="130"/>
        <v/>
      </c>
      <c r="N577" t="str">
        <f t="shared" si="131"/>
        <v/>
      </c>
      <c r="O577" t="str">
        <f t="shared" si="132"/>
        <v/>
      </c>
      <c r="P577" t="str">
        <f t="shared" si="133"/>
        <v/>
      </c>
      <c r="Q577" t="str">
        <f t="shared" si="134"/>
        <v/>
      </c>
      <c r="R577" s="20" t="str">
        <f t="shared" si="135"/>
        <v>IN</v>
      </c>
      <c r="S577" s="20" t="str">
        <f>IF(Data!E575="GpsRecord",Data!G575,"")</f>
        <v/>
      </c>
      <c r="T577" s="20" t="str">
        <f>IF(Data!E575="GpsRecord",Data!H575,"")</f>
        <v/>
      </c>
      <c r="U577" s="20">
        <f t="shared" si="136"/>
        <v>-39.400329999999997</v>
      </c>
      <c r="V577" s="20">
        <f t="shared" si="137"/>
        <v>33.73592</v>
      </c>
      <c r="W577" s="19" t="str">
        <f>Data!I575</f>
        <v>Stop event fuel</v>
      </c>
      <c r="X577" s="17" t="str">
        <f>CONCATENATE(Data!J575, " ", Data!K575)</f>
        <v>0.005 L</v>
      </c>
    </row>
    <row r="578" spans="1:24" x14ac:dyDescent="0.3">
      <c r="A578" s="17" t="str">
        <f>Data!A576</f>
        <v>vehicle1</v>
      </c>
      <c r="B578" s="17" t="str">
        <f>Data!B576</f>
        <v>Vehicle, Gasoline or Petrol</v>
      </c>
      <c r="C578" s="17" t="str">
        <f>Data!C576</f>
        <v>1f2g3h4j5k6l</v>
      </c>
      <c r="D578" s="52">
        <f>Data!D576</f>
        <v>45066.157060185185</v>
      </c>
      <c r="E578" s="60" t="str">
        <f>IF(Data!E576="GpsRecord",Data!F576,"")</f>
        <v/>
      </c>
      <c r="F578" s="68" t="str">
        <f t="shared" si="123"/>
        <v>1501 E U.s. 6, Hamlet, IN 46532, USA</v>
      </c>
      <c r="G578" t="b">
        <f t="shared" si="124"/>
        <v>0</v>
      </c>
      <c r="H578" t="b">
        <f t="shared" si="125"/>
        <v>0</v>
      </c>
      <c r="I578" t="b">
        <f t="shared" si="126"/>
        <v>0</v>
      </c>
      <c r="J578" t="str">
        <f t="shared" si="127"/>
        <v/>
      </c>
      <c r="K578" t="str">
        <f t="shared" si="128"/>
        <v/>
      </c>
      <c r="L578" t="str">
        <f t="shared" si="129"/>
        <v>,</v>
      </c>
      <c r="M578" t="str">
        <f t="shared" si="130"/>
        <v/>
      </c>
      <c r="N578" t="str">
        <f t="shared" si="131"/>
        <v/>
      </c>
      <c r="O578" t="str">
        <f t="shared" si="132"/>
        <v/>
      </c>
      <c r="P578" t="str">
        <f t="shared" si="133"/>
        <v/>
      </c>
      <c r="Q578" t="str">
        <f t="shared" si="134"/>
        <v/>
      </c>
      <c r="R578" s="20" t="str">
        <f t="shared" si="135"/>
        <v>IN</v>
      </c>
      <c r="S578" s="20" t="str">
        <f>IF(Data!E576="GpsRecord",Data!G576,"")</f>
        <v/>
      </c>
      <c r="T578" s="20" t="str">
        <f>IF(Data!E576="GpsRecord",Data!H576,"")</f>
        <v/>
      </c>
      <c r="U578" s="20">
        <f t="shared" si="136"/>
        <v>-39.400329999999997</v>
      </c>
      <c r="V578" s="20">
        <f t="shared" si="137"/>
        <v>33.73592</v>
      </c>
      <c r="W578" s="19" t="str">
        <f>Data!I576</f>
        <v>Engine road speed</v>
      </c>
      <c r="X578" s="17" t="str">
        <f>CONCATENATE(Data!J576, " ", Data!K576)</f>
        <v>3 km/h</v>
      </c>
    </row>
    <row r="579" spans="1:24" x14ac:dyDescent="0.3">
      <c r="A579" s="17" t="str">
        <f>Data!A577</f>
        <v>vehicle1</v>
      </c>
      <c r="B579" s="17" t="str">
        <f>Data!B577</f>
        <v>Vehicle, Gasoline or Petrol</v>
      </c>
      <c r="C579" s="17" t="str">
        <f>Data!C577</f>
        <v>1f2g3h4j5k6l</v>
      </c>
      <c r="D579" s="52">
        <f>Data!D577</f>
        <v>45066.157060185185</v>
      </c>
      <c r="E579" s="60" t="str">
        <f>IF(Data!E577="GpsRecord",Data!F577,"")</f>
        <v/>
      </c>
      <c r="F579" s="68" t="str">
        <f t="shared" si="123"/>
        <v>1501 E U.s. 6, Hamlet, IN 46532, USA</v>
      </c>
      <c r="G579" t="b">
        <f t="shared" si="124"/>
        <v>0</v>
      </c>
      <c r="H579" t="b">
        <f t="shared" si="125"/>
        <v>0</v>
      </c>
      <c r="I579" t="b">
        <f t="shared" si="126"/>
        <v>0</v>
      </c>
      <c r="J579" t="str">
        <f t="shared" si="127"/>
        <v/>
      </c>
      <c r="K579" t="str">
        <f t="shared" si="128"/>
        <v/>
      </c>
      <c r="L579" t="str">
        <f t="shared" si="129"/>
        <v>,</v>
      </c>
      <c r="M579" t="str">
        <f t="shared" si="130"/>
        <v/>
      </c>
      <c r="N579" t="str">
        <f t="shared" si="131"/>
        <v/>
      </c>
      <c r="O579" t="str">
        <f t="shared" si="132"/>
        <v/>
      </c>
      <c r="P579" t="str">
        <f t="shared" si="133"/>
        <v/>
      </c>
      <c r="Q579" t="str">
        <f t="shared" si="134"/>
        <v/>
      </c>
      <c r="R579" s="20" t="str">
        <f t="shared" si="135"/>
        <v>IN</v>
      </c>
      <c r="S579" s="20" t="str">
        <f>IF(Data!E577="GpsRecord",Data!G577,"")</f>
        <v/>
      </c>
      <c r="T579" s="20" t="str">
        <f>IF(Data!E577="GpsRecord",Data!H577,"")</f>
        <v/>
      </c>
      <c r="U579" s="20">
        <f t="shared" si="136"/>
        <v>-39.400329999999997</v>
      </c>
      <c r="V579" s="20">
        <f t="shared" si="137"/>
        <v>33.73592</v>
      </c>
      <c r="W579" s="19" t="str">
        <f>Data!I577</f>
        <v>Total fuel used (since telematics device install)</v>
      </c>
      <c r="X579" s="17" t="str">
        <f>CONCATENATE(Data!J577, " ", Data!K577)</f>
        <v>1997.86 L</v>
      </c>
    </row>
    <row r="580" spans="1:24" x14ac:dyDescent="0.3">
      <c r="A580" s="17" t="str">
        <f>Data!A578</f>
        <v>vehicle1</v>
      </c>
      <c r="B580" s="17" t="str">
        <f>Data!B578</f>
        <v>Vehicle, Gasoline or Petrol</v>
      </c>
      <c r="C580" s="17" t="str">
        <f>Data!C578</f>
        <v>1f2g3h4j5k6l</v>
      </c>
      <c r="D580" s="52">
        <f>Data!D578</f>
        <v>45066.157071759262</v>
      </c>
      <c r="E580" s="60" t="str">
        <f>IF(Data!E578="GpsRecord",Data!F578,"")</f>
        <v>1501 E U.s. 6, Hamlet, IN 46532, USA</v>
      </c>
      <c r="F580" s="68" t="str">
        <f t="shared" si="123"/>
        <v>1501 E U.s. 6, Hamlet, IN 46532, USA</v>
      </c>
      <c r="G580" t="b">
        <f t="shared" si="124"/>
        <v>0</v>
      </c>
      <c r="H580" t="b">
        <f t="shared" si="125"/>
        <v>1</v>
      </c>
      <c r="I580" t="b">
        <f t="shared" si="126"/>
        <v>1</v>
      </c>
      <c r="J580" t="str">
        <f t="shared" si="127"/>
        <v>1501 E U.s. 6, Hamlet, IN 46532, USA</v>
      </c>
      <c r="K580" t="str">
        <f t="shared" si="128"/>
        <v xml:space="preserve"> USA</v>
      </c>
      <c r="L580" t="str">
        <f t="shared" si="129"/>
        <v>, USA</v>
      </c>
      <c r="M580" t="str">
        <f t="shared" si="130"/>
        <v>1501 E U.s. 6, Hamlet, IN 46532</v>
      </c>
      <c r="N580" t="str">
        <f t="shared" si="131"/>
        <v xml:space="preserve"> IN 46532</v>
      </c>
      <c r="O580" t="str">
        <f t="shared" si="132"/>
        <v>46532</v>
      </c>
      <c r="P580" t="str">
        <f t="shared" si="133"/>
        <v xml:space="preserve"> IN</v>
      </c>
      <c r="Q580" t="str">
        <f t="shared" si="134"/>
        <v>IN</v>
      </c>
      <c r="R580" s="20" t="str">
        <f t="shared" si="135"/>
        <v>IN</v>
      </c>
      <c r="S580" s="20">
        <f>IF(Data!E578="GpsRecord",Data!G578,"")</f>
        <v>-39.400329999999997</v>
      </c>
      <c r="T580" s="20">
        <f>IF(Data!E578="GpsRecord",Data!H578,"")</f>
        <v>33.73592</v>
      </c>
      <c r="U580" s="20">
        <f t="shared" si="136"/>
        <v>-39.400329999999997</v>
      </c>
      <c r="V580" s="20">
        <f t="shared" si="137"/>
        <v>33.73592</v>
      </c>
      <c r="W580" s="19">
        <f>Data!I578</f>
        <v>0</v>
      </c>
      <c r="X580" s="17" t="str">
        <f>CONCATENATE(Data!J578, " ", Data!K578)</f>
        <v xml:space="preserve"> </v>
      </c>
    </row>
    <row r="581" spans="1:24" x14ac:dyDescent="0.3">
      <c r="A581" s="17" t="str">
        <f>Data!A579</f>
        <v>vehicle1</v>
      </c>
      <c r="B581" s="17" t="str">
        <f>Data!B579</f>
        <v>Vehicle, Gasoline or Petrol</v>
      </c>
      <c r="C581" s="17" t="str">
        <f>Data!C579</f>
        <v>1f2g3h4j5k6l</v>
      </c>
      <c r="D581" s="52">
        <f>Data!D579</f>
        <v>45066.157083333332</v>
      </c>
      <c r="E581" s="60" t="str">
        <f>IF(Data!E579="GpsRecord",Data!F579,"")</f>
        <v/>
      </c>
      <c r="F581" s="68" t="str">
        <f t="shared" si="123"/>
        <v>1501 E U.s. 6, Hamlet, IN 46532, USA</v>
      </c>
      <c r="G581" t="b">
        <f t="shared" si="124"/>
        <v>0</v>
      </c>
      <c r="H581" t="b">
        <f t="shared" si="125"/>
        <v>0</v>
      </c>
      <c r="I581" t="b">
        <f t="shared" si="126"/>
        <v>0</v>
      </c>
      <c r="J581" t="str">
        <f t="shared" si="127"/>
        <v/>
      </c>
      <c r="K581" t="str">
        <f t="shared" si="128"/>
        <v/>
      </c>
      <c r="L581" t="str">
        <f t="shared" si="129"/>
        <v>,</v>
      </c>
      <c r="M581" t="str">
        <f t="shared" si="130"/>
        <v/>
      </c>
      <c r="N581" t="str">
        <f t="shared" si="131"/>
        <v/>
      </c>
      <c r="O581" t="str">
        <f t="shared" si="132"/>
        <v/>
      </c>
      <c r="P581" t="str">
        <f t="shared" si="133"/>
        <v/>
      </c>
      <c r="Q581" t="str">
        <f t="shared" si="134"/>
        <v/>
      </c>
      <c r="R581" s="20" t="str">
        <f t="shared" si="135"/>
        <v>IN</v>
      </c>
      <c r="S581" s="20" t="str">
        <f>IF(Data!E579="GpsRecord",Data!G579,"")</f>
        <v/>
      </c>
      <c r="T581" s="20" t="str">
        <f>IF(Data!E579="GpsRecord",Data!H579,"")</f>
        <v/>
      </c>
      <c r="U581" s="20">
        <f t="shared" si="136"/>
        <v>-39.400329999999997</v>
      </c>
      <c r="V581" s="20">
        <f t="shared" si="137"/>
        <v>33.73592</v>
      </c>
      <c r="W581" s="19" t="str">
        <f>Data!I579</f>
        <v>Total fuel used (since telematics device install)</v>
      </c>
      <c r="X581" s="17" t="str">
        <f>CONCATENATE(Data!J579, " ", Data!K579)</f>
        <v>1997.86 L</v>
      </c>
    </row>
    <row r="582" spans="1:24" x14ac:dyDescent="0.3">
      <c r="A582" s="17" t="str">
        <f>Data!A580</f>
        <v>vehicle1</v>
      </c>
      <c r="B582" s="17" t="str">
        <f>Data!B580</f>
        <v>Vehicle, Gasoline or Petrol</v>
      </c>
      <c r="C582" s="17" t="str">
        <f>Data!C580</f>
        <v>1f2g3h4j5k6l</v>
      </c>
      <c r="D582" s="52">
        <f>Data!D580</f>
        <v>45066.157083333332</v>
      </c>
      <c r="E582" s="60" t="str">
        <f>IF(Data!E580="GpsRecord",Data!F580,"")</f>
        <v/>
      </c>
      <c r="F582" s="68" t="str">
        <f t="shared" si="123"/>
        <v>1501 E U.s. 6, Hamlet, IN 46532, USA</v>
      </c>
      <c r="G582" t="b">
        <f t="shared" si="124"/>
        <v>0</v>
      </c>
      <c r="H582" t="b">
        <f t="shared" si="125"/>
        <v>0</v>
      </c>
      <c r="I582" t="b">
        <f t="shared" si="126"/>
        <v>0</v>
      </c>
      <c r="J582" t="str">
        <f t="shared" si="127"/>
        <v/>
      </c>
      <c r="K582" t="str">
        <f t="shared" si="128"/>
        <v/>
      </c>
      <c r="L582" t="str">
        <f t="shared" si="129"/>
        <v>,</v>
      </c>
      <c r="M582" t="str">
        <f t="shared" si="130"/>
        <v/>
      </c>
      <c r="N582" t="str">
        <f t="shared" si="131"/>
        <v/>
      </c>
      <c r="O582" t="str">
        <f t="shared" si="132"/>
        <v/>
      </c>
      <c r="P582" t="str">
        <f t="shared" si="133"/>
        <v/>
      </c>
      <c r="Q582" t="str">
        <f t="shared" si="134"/>
        <v/>
      </c>
      <c r="R582" s="20" t="str">
        <f t="shared" si="135"/>
        <v>IN</v>
      </c>
      <c r="S582" s="20" t="str">
        <f>IF(Data!E580="GpsRecord",Data!G580,"")</f>
        <v/>
      </c>
      <c r="T582" s="20" t="str">
        <f>IF(Data!E580="GpsRecord",Data!H580,"")</f>
        <v/>
      </c>
      <c r="U582" s="20">
        <f t="shared" si="136"/>
        <v>-39.400329999999997</v>
      </c>
      <c r="V582" s="20">
        <f t="shared" si="137"/>
        <v>33.73592</v>
      </c>
      <c r="W582" s="19" t="str">
        <f>Data!I580</f>
        <v>Engine road speed</v>
      </c>
      <c r="X582" s="17" t="str">
        <f>CONCATENATE(Data!J580, " ", Data!K580)</f>
        <v>12 km/h</v>
      </c>
    </row>
    <row r="583" spans="1:24" x14ac:dyDescent="0.3">
      <c r="A583" s="17" t="str">
        <f>Data!A581</f>
        <v>vehicle1</v>
      </c>
      <c r="B583" s="17" t="str">
        <f>Data!B581</f>
        <v>Vehicle, Gasoline or Petrol</v>
      </c>
      <c r="C583" s="17" t="str">
        <f>Data!C581</f>
        <v>1f2g3h4j5k6l</v>
      </c>
      <c r="D583" s="52">
        <f>Data!D581</f>
        <v>45066.157083333332</v>
      </c>
      <c r="E583" s="60" t="str">
        <f>IF(Data!E581="GpsRecord",Data!F581,"")</f>
        <v/>
      </c>
      <c r="F583" s="68" t="str">
        <f t="shared" si="123"/>
        <v>1501 E U.s. 6, Hamlet, IN 46532, USA</v>
      </c>
      <c r="G583" t="b">
        <f t="shared" si="124"/>
        <v>0</v>
      </c>
      <c r="H583" t="b">
        <f t="shared" si="125"/>
        <v>0</v>
      </c>
      <c r="I583" t="b">
        <f t="shared" si="126"/>
        <v>0</v>
      </c>
      <c r="J583" t="str">
        <f t="shared" si="127"/>
        <v/>
      </c>
      <c r="K583" t="str">
        <f t="shared" si="128"/>
        <v/>
      </c>
      <c r="L583" t="str">
        <f t="shared" si="129"/>
        <v>,</v>
      </c>
      <c r="M583" t="str">
        <f t="shared" si="130"/>
        <v/>
      </c>
      <c r="N583" t="str">
        <f t="shared" si="131"/>
        <v/>
      </c>
      <c r="O583" t="str">
        <f t="shared" si="132"/>
        <v/>
      </c>
      <c r="P583" t="str">
        <f t="shared" si="133"/>
        <v/>
      </c>
      <c r="Q583" t="str">
        <f t="shared" si="134"/>
        <v/>
      </c>
      <c r="R583" s="20" t="str">
        <f t="shared" si="135"/>
        <v>IN</v>
      </c>
      <c r="S583" s="20" t="str">
        <f>IF(Data!E581="GpsRecord",Data!G581,"")</f>
        <v/>
      </c>
      <c r="T583" s="20" t="str">
        <f>IF(Data!E581="GpsRecord",Data!H581,"")</f>
        <v/>
      </c>
      <c r="U583" s="20">
        <f t="shared" si="136"/>
        <v>-39.400329999999997</v>
      </c>
      <c r="V583" s="20">
        <f t="shared" si="137"/>
        <v>33.73592</v>
      </c>
      <c r="W583" s="19" t="str">
        <f>Data!I581</f>
        <v>Engine speed</v>
      </c>
      <c r="X583" s="17" t="str">
        <f>CONCATENATE(Data!J581, " ", Data!K581)</f>
        <v>1690.75 RPM</v>
      </c>
    </row>
    <row r="584" spans="1:24" x14ac:dyDescent="0.3">
      <c r="A584" s="17" t="str">
        <f>Data!A582</f>
        <v>vehicle1</v>
      </c>
      <c r="B584" s="17" t="str">
        <f>Data!B582</f>
        <v>Vehicle, Gasoline or Petrol</v>
      </c>
      <c r="C584" s="17" t="str">
        <f>Data!C582</f>
        <v>1f2g3h4j5k6l</v>
      </c>
      <c r="D584" s="52">
        <f>Data!D582</f>
        <v>45066.157175925924</v>
      </c>
      <c r="E584" s="60" t="str">
        <f>IF(Data!E582="GpsRecord",Data!F582,"")</f>
        <v/>
      </c>
      <c r="F584" s="68" t="str">
        <f t="shared" si="123"/>
        <v>1501 E U.s. 6, Hamlet, IN 46532, USA</v>
      </c>
      <c r="G584" t="b">
        <f t="shared" si="124"/>
        <v>0</v>
      </c>
      <c r="H584" t="b">
        <f t="shared" si="125"/>
        <v>0</v>
      </c>
      <c r="I584" t="b">
        <f t="shared" si="126"/>
        <v>0</v>
      </c>
      <c r="J584" t="str">
        <f t="shared" si="127"/>
        <v/>
      </c>
      <c r="K584" t="str">
        <f t="shared" si="128"/>
        <v/>
      </c>
      <c r="L584" t="str">
        <f t="shared" si="129"/>
        <v>,</v>
      </c>
      <c r="M584" t="str">
        <f t="shared" si="130"/>
        <v/>
      </c>
      <c r="N584" t="str">
        <f t="shared" si="131"/>
        <v/>
      </c>
      <c r="O584" t="str">
        <f t="shared" si="132"/>
        <v/>
      </c>
      <c r="P584" t="str">
        <f t="shared" si="133"/>
        <v/>
      </c>
      <c r="Q584" t="str">
        <f t="shared" si="134"/>
        <v/>
      </c>
      <c r="R584" s="20" t="str">
        <f t="shared" si="135"/>
        <v>IN</v>
      </c>
      <c r="S584" s="20" t="str">
        <f>IF(Data!E582="GpsRecord",Data!G582,"")</f>
        <v/>
      </c>
      <c r="T584" s="20" t="str">
        <f>IF(Data!E582="GpsRecord",Data!H582,"")</f>
        <v/>
      </c>
      <c r="U584" s="20">
        <f t="shared" si="136"/>
        <v>-39.400329999999997</v>
      </c>
      <c r="V584" s="20">
        <f t="shared" si="137"/>
        <v>33.73592</v>
      </c>
      <c r="W584" s="19" t="str">
        <f>Data!I582</f>
        <v>Engine speed</v>
      </c>
      <c r="X584" s="17" t="str">
        <f>CONCATENATE(Data!J582, " ", Data!K582)</f>
        <v>2014.25 RPM</v>
      </c>
    </row>
    <row r="585" spans="1:24" x14ac:dyDescent="0.3">
      <c r="A585" s="17" t="str">
        <f>Data!A583</f>
        <v>vehicle1</v>
      </c>
      <c r="B585" s="17" t="str">
        <f>Data!B583</f>
        <v>Vehicle, Gasoline or Petrol</v>
      </c>
      <c r="C585" s="17" t="str">
        <f>Data!C583</f>
        <v>1f2g3h4j5k6l</v>
      </c>
      <c r="D585" s="52">
        <f>Data!D583</f>
        <v>45066.157187500001</v>
      </c>
      <c r="E585" s="60" t="str">
        <f>IF(Data!E583="GpsRecord",Data!F583,"")</f>
        <v/>
      </c>
      <c r="F585" s="68" t="str">
        <f t="shared" si="123"/>
        <v>1501 E U.s. 6, Hamlet, IN 46532, USA</v>
      </c>
      <c r="G585" t="b">
        <f t="shared" si="124"/>
        <v>0</v>
      </c>
      <c r="H585" t="b">
        <f t="shared" si="125"/>
        <v>0</v>
      </c>
      <c r="I585" t="b">
        <f t="shared" si="126"/>
        <v>0</v>
      </c>
      <c r="J585" t="str">
        <f t="shared" si="127"/>
        <v/>
      </c>
      <c r="K585" t="str">
        <f t="shared" si="128"/>
        <v/>
      </c>
      <c r="L585" t="str">
        <f t="shared" si="129"/>
        <v>,</v>
      </c>
      <c r="M585" t="str">
        <f t="shared" si="130"/>
        <v/>
      </c>
      <c r="N585" t="str">
        <f t="shared" si="131"/>
        <v/>
      </c>
      <c r="O585" t="str">
        <f t="shared" si="132"/>
        <v/>
      </c>
      <c r="P585" t="str">
        <f t="shared" si="133"/>
        <v/>
      </c>
      <c r="Q585" t="str">
        <f t="shared" si="134"/>
        <v/>
      </c>
      <c r="R585" s="20" t="str">
        <f t="shared" si="135"/>
        <v>IN</v>
      </c>
      <c r="S585" s="20" t="str">
        <f>IF(Data!E583="GpsRecord",Data!G583,"")</f>
        <v/>
      </c>
      <c r="T585" s="20" t="str">
        <f>IF(Data!E583="GpsRecord",Data!H583,"")</f>
        <v/>
      </c>
      <c r="U585" s="20">
        <f t="shared" si="136"/>
        <v>-39.400329999999997</v>
      </c>
      <c r="V585" s="20">
        <f t="shared" si="137"/>
        <v>33.73592</v>
      </c>
      <c r="W585" s="19" t="str">
        <f>Data!I583</f>
        <v>ADAS left lane departure warning</v>
      </c>
      <c r="X585" s="17" t="str">
        <f>CONCATENATE(Data!J583, " ", Data!K583)</f>
        <v>1 None</v>
      </c>
    </row>
    <row r="586" spans="1:24" x14ac:dyDescent="0.3">
      <c r="A586" s="17" t="str">
        <f>Data!A584</f>
        <v>vehicle1</v>
      </c>
      <c r="B586" s="17" t="str">
        <f>Data!B584</f>
        <v>Vehicle, Gasoline or Petrol</v>
      </c>
      <c r="C586" s="17" t="str">
        <f>Data!C584</f>
        <v>1f2g3h4j5k6l</v>
      </c>
      <c r="D586" s="52">
        <f>Data!D584</f>
        <v>45066.157187500001</v>
      </c>
      <c r="E586" s="60" t="str">
        <f>IF(Data!E584="GpsRecord",Data!F584,"")</f>
        <v/>
      </c>
      <c r="F586" s="68" t="str">
        <f t="shared" si="123"/>
        <v>1501 E U.s. 6, Hamlet, IN 46532, USA</v>
      </c>
      <c r="G586" t="b">
        <f t="shared" si="124"/>
        <v>0</v>
      </c>
      <c r="H586" t="b">
        <f t="shared" si="125"/>
        <v>0</v>
      </c>
      <c r="I586" t="b">
        <f t="shared" si="126"/>
        <v>0</v>
      </c>
      <c r="J586" t="str">
        <f t="shared" si="127"/>
        <v/>
      </c>
      <c r="K586" t="str">
        <f t="shared" si="128"/>
        <v/>
      </c>
      <c r="L586" t="str">
        <f t="shared" si="129"/>
        <v>,</v>
      </c>
      <c r="M586" t="str">
        <f t="shared" si="130"/>
        <v/>
      </c>
      <c r="N586" t="str">
        <f t="shared" si="131"/>
        <v/>
      </c>
      <c r="O586" t="str">
        <f t="shared" si="132"/>
        <v/>
      </c>
      <c r="P586" t="str">
        <f t="shared" si="133"/>
        <v/>
      </c>
      <c r="Q586" t="str">
        <f t="shared" si="134"/>
        <v/>
      </c>
      <c r="R586" s="20" t="str">
        <f t="shared" si="135"/>
        <v>IN</v>
      </c>
      <c r="S586" s="20" t="str">
        <f>IF(Data!E584="GpsRecord",Data!G584,"")</f>
        <v/>
      </c>
      <c r="T586" s="20" t="str">
        <f>IF(Data!E584="GpsRecord",Data!H584,"")</f>
        <v/>
      </c>
      <c r="U586" s="20">
        <f t="shared" si="136"/>
        <v>-39.400329999999997</v>
      </c>
      <c r="V586" s="20">
        <f t="shared" si="137"/>
        <v>33.73592</v>
      </c>
      <c r="W586" s="19">
        <f>Data!I584</f>
        <v>0</v>
      </c>
      <c r="X586" s="17" t="str">
        <f>CONCATENATE(Data!J584, " ", Data!K584)</f>
        <v xml:space="preserve"> </v>
      </c>
    </row>
    <row r="587" spans="1:24" x14ac:dyDescent="0.3">
      <c r="A587" s="17" t="str">
        <f>Data!A585</f>
        <v>vehicle1</v>
      </c>
      <c r="B587" s="17" t="str">
        <f>Data!B585</f>
        <v>Vehicle, Gasoline or Petrol</v>
      </c>
      <c r="C587" s="17" t="str">
        <f>Data!C585</f>
        <v>1f2g3h4j5k6l</v>
      </c>
      <c r="D587" s="52">
        <f>Data!D585</f>
        <v>45066.157187500001</v>
      </c>
      <c r="E587" s="60" t="str">
        <f>IF(Data!E585="GpsRecord",Data!F585,"")</f>
        <v/>
      </c>
      <c r="F587" s="68" t="str">
        <f t="shared" si="123"/>
        <v>1501 E U.s. 6, Hamlet, IN 46532, USA</v>
      </c>
      <c r="G587" t="b">
        <f t="shared" si="124"/>
        <v>0</v>
      </c>
      <c r="H587" t="b">
        <f t="shared" si="125"/>
        <v>0</v>
      </c>
      <c r="I587" t="b">
        <f t="shared" si="126"/>
        <v>0</v>
      </c>
      <c r="J587" t="str">
        <f t="shared" si="127"/>
        <v/>
      </c>
      <c r="K587" t="str">
        <f t="shared" si="128"/>
        <v/>
      </c>
      <c r="L587" t="str">
        <f t="shared" si="129"/>
        <v>,</v>
      </c>
      <c r="M587" t="str">
        <f t="shared" si="130"/>
        <v/>
      </c>
      <c r="N587" t="str">
        <f t="shared" si="131"/>
        <v/>
      </c>
      <c r="O587" t="str">
        <f t="shared" si="132"/>
        <v/>
      </c>
      <c r="P587" t="str">
        <f t="shared" si="133"/>
        <v/>
      </c>
      <c r="Q587" t="str">
        <f t="shared" si="134"/>
        <v/>
      </c>
      <c r="R587" s="20" t="str">
        <f t="shared" si="135"/>
        <v>IN</v>
      </c>
      <c r="S587" s="20" t="str">
        <f>IF(Data!E585="GpsRecord",Data!G585,"")</f>
        <v/>
      </c>
      <c r="T587" s="20" t="str">
        <f>IF(Data!E585="GpsRecord",Data!H585,"")</f>
        <v/>
      </c>
      <c r="U587" s="20">
        <f t="shared" si="136"/>
        <v>-39.400329999999997</v>
      </c>
      <c r="V587" s="20">
        <f t="shared" si="137"/>
        <v>33.73592</v>
      </c>
      <c r="W587" s="19">
        <f>Data!I585</f>
        <v>0</v>
      </c>
      <c r="X587" s="17" t="str">
        <f>CONCATENATE(Data!J585, " ", Data!K585)</f>
        <v xml:space="preserve"> </v>
      </c>
    </row>
    <row r="588" spans="1:24" x14ac:dyDescent="0.3">
      <c r="A588" s="17" t="str">
        <f>Data!A586</f>
        <v>vehicle1</v>
      </c>
      <c r="B588" s="17" t="str">
        <f>Data!B586</f>
        <v>Vehicle, Gasoline or Petrol</v>
      </c>
      <c r="C588" s="17" t="str">
        <f>Data!C586</f>
        <v>1f2g3h4j5k6l</v>
      </c>
      <c r="D588" s="52">
        <f>Data!D586</f>
        <v>45066.157187500001</v>
      </c>
      <c r="E588" s="60" t="str">
        <f>IF(Data!E586="GpsRecord",Data!F586,"")</f>
        <v/>
      </c>
      <c r="F588" s="68" t="str">
        <f t="shared" si="123"/>
        <v>1501 E U.s. 6, Hamlet, IN 46532, USA</v>
      </c>
      <c r="G588" t="b">
        <f t="shared" si="124"/>
        <v>0</v>
      </c>
      <c r="H588" t="b">
        <f t="shared" si="125"/>
        <v>0</v>
      </c>
      <c r="I588" t="b">
        <f t="shared" si="126"/>
        <v>0</v>
      </c>
      <c r="J588" t="str">
        <f t="shared" si="127"/>
        <v/>
      </c>
      <c r="K588" t="str">
        <f t="shared" si="128"/>
        <v/>
      </c>
      <c r="L588" t="str">
        <f t="shared" si="129"/>
        <v>,</v>
      </c>
      <c r="M588" t="str">
        <f t="shared" si="130"/>
        <v/>
      </c>
      <c r="N588" t="str">
        <f t="shared" si="131"/>
        <v/>
      </c>
      <c r="O588" t="str">
        <f t="shared" si="132"/>
        <v/>
      </c>
      <c r="P588" t="str">
        <f t="shared" si="133"/>
        <v/>
      </c>
      <c r="Q588" t="str">
        <f t="shared" si="134"/>
        <v/>
      </c>
      <c r="R588" s="20" t="str">
        <f t="shared" si="135"/>
        <v>IN</v>
      </c>
      <c r="S588" s="20" t="str">
        <f>IF(Data!E586="GpsRecord",Data!G586,"")</f>
        <v/>
      </c>
      <c r="T588" s="20" t="str">
        <f>IF(Data!E586="GpsRecord",Data!H586,"")</f>
        <v/>
      </c>
      <c r="U588" s="20">
        <f t="shared" si="136"/>
        <v>-39.400329999999997</v>
      </c>
      <c r="V588" s="20">
        <f t="shared" si="137"/>
        <v>33.73592</v>
      </c>
      <c r="W588" s="19">
        <f>Data!I586</f>
        <v>0</v>
      </c>
      <c r="X588" s="17" t="str">
        <f>CONCATENATE(Data!J586, " ", Data!K586)</f>
        <v xml:space="preserve"> </v>
      </c>
    </row>
    <row r="589" spans="1:24" x14ac:dyDescent="0.3">
      <c r="A589" s="17" t="str">
        <f>Data!A587</f>
        <v>vehicle1</v>
      </c>
      <c r="B589" s="17" t="str">
        <f>Data!B587</f>
        <v>Vehicle, Gasoline or Petrol</v>
      </c>
      <c r="C589" s="17" t="str">
        <f>Data!C587</f>
        <v>1f2g3h4j5k6l</v>
      </c>
      <c r="D589" s="52">
        <f>Data!D587</f>
        <v>45066.157187500001</v>
      </c>
      <c r="E589" s="60" t="str">
        <f>IF(Data!E587="GpsRecord",Data!F587,"")</f>
        <v>1501 E U.s. 6, Hamlet, IN 46532, USA</v>
      </c>
      <c r="F589" s="68" t="str">
        <f t="shared" ref="F589:F621" si="138">IF(E589&lt;&gt;"",E589, IF(F588&lt;&gt;$F$12, F588, ""))</f>
        <v>1501 E U.s. 6, Hamlet, IN 46532, USA</v>
      </c>
      <c r="G589" t="b">
        <f t="shared" si="124"/>
        <v>0</v>
      </c>
      <c r="H589" t="b">
        <f t="shared" si="125"/>
        <v>1</v>
      </c>
      <c r="I589" t="b">
        <f t="shared" si="126"/>
        <v>1</v>
      </c>
      <c r="J589" t="str">
        <f t="shared" si="127"/>
        <v>1501 E U.s. 6, Hamlet, IN 46532, USA</v>
      </c>
      <c r="K589" t="str">
        <f t="shared" si="128"/>
        <v xml:space="preserve"> USA</v>
      </c>
      <c r="L589" t="str">
        <f t="shared" si="129"/>
        <v>, USA</v>
      </c>
      <c r="M589" t="str">
        <f t="shared" si="130"/>
        <v>1501 E U.s. 6, Hamlet, IN 46532</v>
      </c>
      <c r="N589" t="str">
        <f t="shared" si="131"/>
        <v xml:space="preserve"> IN 46532</v>
      </c>
      <c r="O589" t="str">
        <f t="shared" si="132"/>
        <v>46532</v>
      </c>
      <c r="P589" t="str">
        <f t="shared" si="133"/>
        <v xml:space="preserve"> IN</v>
      </c>
      <c r="Q589" t="str">
        <f t="shared" si="134"/>
        <v>IN</v>
      </c>
      <c r="R589" s="20" t="str">
        <f t="shared" si="135"/>
        <v>IN</v>
      </c>
      <c r="S589" s="20">
        <f>IF(Data!E587="GpsRecord",Data!G587,"")</f>
        <v>-39.399740000000001</v>
      </c>
      <c r="T589" s="20">
        <f>IF(Data!E587="GpsRecord",Data!H587,"")</f>
        <v>33.736330000000002</v>
      </c>
      <c r="U589" s="20">
        <f t="shared" si="136"/>
        <v>-39.399740000000001</v>
      </c>
      <c r="V589" s="20">
        <f t="shared" si="137"/>
        <v>33.736330000000002</v>
      </c>
      <c r="W589" s="19">
        <f>Data!I587</f>
        <v>0</v>
      </c>
      <c r="X589" s="17" t="str">
        <f>CONCATENATE(Data!J587, " ", Data!K587)</f>
        <v xml:space="preserve"> </v>
      </c>
    </row>
    <row r="590" spans="1:24" x14ac:dyDescent="0.3">
      <c r="A590" s="17" t="str">
        <f>Data!A588</f>
        <v>vehicle1</v>
      </c>
      <c r="B590" s="17" t="str">
        <f>Data!B588</f>
        <v>Vehicle, Gasoline or Petrol</v>
      </c>
      <c r="C590" s="17" t="str">
        <f>Data!C588</f>
        <v>1f2g3h4j5k6l</v>
      </c>
      <c r="D590" s="52">
        <f>Data!D588</f>
        <v>45066.157222222224</v>
      </c>
      <c r="E590" s="60" t="str">
        <f>IF(Data!E588="GpsRecord",Data!F588,"")</f>
        <v/>
      </c>
      <c r="F590" s="68" t="str">
        <f t="shared" si="138"/>
        <v>1501 E U.s. 6, Hamlet, IN 46532, USA</v>
      </c>
      <c r="G590" t="b">
        <f t="shared" ref="G590:G621" si="139">ISNUMBER(FIND($G$11,E590))</f>
        <v>0</v>
      </c>
      <c r="H590" t="b">
        <f t="shared" ref="H590:H621" si="140">ISNUMBER(FIND($H$11,E590))</f>
        <v>0</v>
      </c>
      <c r="I590" t="b">
        <f t="shared" ref="I590:I621" si="141">OR(G590,H590)</f>
        <v>0</v>
      </c>
      <c r="J590" t="str">
        <f t="shared" ref="J590:J621" si="142">IFERROR(MID(E590,FIND(": ",E590)+2,255),E590)</f>
        <v/>
      </c>
      <c r="K590" t="str">
        <f t="shared" ref="K590:K621" si="143">IFERROR(RIGHT(J590,LEN(J590)-FIND("@",SUBSTITUTE(J590,",","@",LEN(J590)-LEN(SUBSTITUTE(J590,",",""))),1)),J590)</f>
        <v/>
      </c>
      <c r="L590" t="str">
        <f t="shared" ref="L590:L621" si="144">","&amp;K590</f>
        <v>,</v>
      </c>
      <c r="M590" t="str">
        <f t="shared" ref="M590:M621" si="145">IF(I590,SUBSTITUTE(J590,L590,""),J590)</f>
        <v/>
      </c>
      <c r="N590" t="str">
        <f t="shared" ref="N590:N621" si="146">IFERROR(RIGHT(M590,LEN(M590)-FIND("@",SUBSTITUTE(M590,",","@",LEN(M590)-LEN(SUBSTITUTE(M590,",",""))),1)),M590)</f>
        <v/>
      </c>
      <c r="O590" t="str">
        <f t="shared" ref="O590:O621" si="147">IFERROR(RIGHT(N590,LEN(N590)-FIND("@",SUBSTITUTE(N590," ","@",LEN(N590)-LEN(SUBSTITUTE(N590," ",""))),1)),N590)</f>
        <v/>
      </c>
      <c r="P590" t="str">
        <f t="shared" ref="P590:P621" si="148">SUBSTITUTE(N590,CONCATENATE(" ",O590),"")</f>
        <v/>
      </c>
      <c r="Q590" t="str">
        <f t="shared" ref="Q590:Q621" si="149">IF(G590, MID(P590,2,2),RIGHT(P590,2))</f>
        <v/>
      </c>
      <c r="R590" s="20" t="str">
        <f t="shared" ref="R590:R621" si="150">IF(Q590&lt;&gt;"",Q590, IF(R589&lt;&gt;$R$12, R589, ""))</f>
        <v>IN</v>
      </c>
      <c r="S590" s="20" t="str">
        <f>IF(Data!E588="GpsRecord",Data!G588,"")</f>
        <v/>
      </c>
      <c r="T590" s="20" t="str">
        <f>IF(Data!E588="GpsRecord",Data!H588,"")</f>
        <v/>
      </c>
      <c r="U590" s="20">
        <f t="shared" ref="U590:U621" si="151">IF(S590&lt;&gt;"", S590, IF(U589&lt;&gt;$U$12, U589, ""))</f>
        <v>-39.399740000000001</v>
      </c>
      <c r="V590" s="20">
        <f t="shared" ref="V590:V621" si="152">IF(T590&lt;&gt;"", T590, IF(V589&lt;&gt;$V$12, V589, ""))</f>
        <v>33.736330000000002</v>
      </c>
      <c r="W590" s="19" t="str">
        <f>Data!I588</f>
        <v>Engine road speed</v>
      </c>
      <c r="X590" s="17" t="str">
        <f>CONCATENATE(Data!J588, " ", Data!K588)</f>
        <v>57 km/h</v>
      </c>
    </row>
    <row r="591" spans="1:24" x14ac:dyDescent="0.3">
      <c r="A591" s="17" t="str">
        <f>Data!A589</f>
        <v>vehicle1</v>
      </c>
      <c r="B591" s="17" t="str">
        <f>Data!B589</f>
        <v>Vehicle, Gasoline or Petrol</v>
      </c>
      <c r="C591" s="17" t="str">
        <f>Data!C589</f>
        <v>1f2g3h4j5k6l</v>
      </c>
      <c r="D591" s="52">
        <f>Data!D589</f>
        <v>45066.157233796293</v>
      </c>
      <c r="E591" s="60" t="str">
        <f>IF(Data!E589="GpsRecord",Data!F589,"")</f>
        <v/>
      </c>
      <c r="F591" s="68" t="str">
        <f t="shared" si="138"/>
        <v>1501 E U.s. 6, Hamlet, IN 46532, USA</v>
      </c>
      <c r="G591" t="b">
        <f t="shared" si="139"/>
        <v>0</v>
      </c>
      <c r="H591" t="b">
        <f t="shared" si="140"/>
        <v>0</v>
      </c>
      <c r="I591" t="b">
        <f t="shared" si="141"/>
        <v>0</v>
      </c>
      <c r="J591" t="str">
        <f t="shared" si="142"/>
        <v/>
      </c>
      <c r="K591" t="str">
        <f t="shared" si="143"/>
        <v/>
      </c>
      <c r="L591" t="str">
        <f t="shared" si="144"/>
        <v>,</v>
      </c>
      <c r="M591" t="str">
        <f t="shared" si="145"/>
        <v/>
      </c>
      <c r="N591" t="str">
        <f t="shared" si="146"/>
        <v/>
      </c>
      <c r="O591" t="str">
        <f t="shared" si="147"/>
        <v/>
      </c>
      <c r="P591" t="str">
        <f t="shared" si="148"/>
        <v/>
      </c>
      <c r="Q591" t="str">
        <f t="shared" si="149"/>
        <v/>
      </c>
      <c r="R591" s="20" t="str">
        <f t="shared" si="150"/>
        <v>IN</v>
      </c>
      <c r="S591" s="20" t="str">
        <f>IF(Data!E589="GpsRecord",Data!G589,"")</f>
        <v/>
      </c>
      <c r="T591" s="20" t="str">
        <f>IF(Data!E589="GpsRecord",Data!H589,"")</f>
        <v/>
      </c>
      <c r="U591" s="20">
        <f t="shared" si="151"/>
        <v>-39.399740000000001</v>
      </c>
      <c r="V591" s="20">
        <f t="shared" si="152"/>
        <v>33.736330000000002</v>
      </c>
      <c r="W591" s="19">
        <f>Data!I589</f>
        <v>0</v>
      </c>
      <c r="X591" s="17" t="str">
        <f>CONCATENATE(Data!J589, " ", Data!K589)</f>
        <v xml:space="preserve"> </v>
      </c>
    </row>
    <row r="592" spans="1:24" x14ac:dyDescent="0.3">
      <c r="A592" s="17" t="str">
        <f>Data!A590</f>
        <v>vehicle1</v>
      </c>
      <c r="B592" s="17" t="str">
        <f>Data!B590</f>
        <v>Vehicle, Gasoline or Petrol</v>
      </c>
      <c r="C592" s="17" t="str">
        <f>Data!C590</f>
        <v>1f2g3h4j5k6l</v>
      </c>
      <c r="D592" s="52">
        <f>Data!D590</f>
        <v>45066.157233796293</v>
      </c>
      <c r="E592" s="60" t="str">
        <f>IF(Data!E590="GpsRecord",Data!F590,"")</f>
        <v/>
      </c>
      <c r="F592" s="68" t="str">
        <f t="shared" si="138"/>
        <v>1501 E U.s. 6, Hamlet, IN 46532, USA</v>
      </c>
      <c r="G592" t="b">
        <f t="shared" si="139"/>
        <v>0</v>
      </c>
      <c r="H592" t="b">
        <f t="shared" si="140"/>
        <v>0</v>
      </c>
      <c r="I592" t="b">
        <f t="shared" si="141"/>
        <v>0</v>
      </c>
      <c r="J592" t="str">
        <f t="shared" si="142"/>
        <v/>
      </c>
      <c r="K592" t="str">
        <f t="shared" si="143"/>
        <v/>
      </c>
      <c r="L592" t="str">
        <f t="shared" si="144"/>
        <v>,</v>
      </c>
      <c r="M592" t="str">
        <f t="shared" si="145"/>
        <v/>
      </c>
      <c r="N592" t="str">
        <f t="shared" si="146"/>
        <v/>
      </c>
      <c r="O592" t="str">
        <f t="shared" si="147"/>
        <v/>
      </c>
      <c r="P592" t="str">
        <f t="shared" si="148"/>
        <v/>
      </c>
      <c r="Q592" t="str">
        <f t="shared" si="149"/>
        <v/>
      </c>
      <c r="R592" s="20" t="str">
        <f t="shared" si="150"/>
        <v>IN</v>
      </c>
      <c r="S592" s="20" t="str">
        <f>IF(Data!E590="GpsRecord",Data!G590,"")</f>
        <v/>
      </c>
      <c r="T592" s="20" t="str">
        <f>IF(Data!E590="GpsRecord",Data!H590,"")</f>
        <v/>
      </c>
      <c r="U592" s="20">
        <f t="shared" si="151"/>
        <v>-39.399740000000001</v>
      </c>
      <c r="V592" s="20">
        <f t="shared" si="152"/>
        <v>33.736330000000002</v>
      </c>
      <c r="W592" s="19">
        <f>Data!I590</f>
        <v>0</v>
      </c>
      <c r="X592" s="17" t="str">
        <f>CONCATENATE(Data!J590, " ", Data!K590)</f>
        <v xml:space="preserve"> </v>
      </c>
    </row>
    <row r="593" spans="1:24" x14ac:dyDescent="0.3">
      <c r="A593" s="17" t="str">
        <f>Data!A591</f>
        <v>vehicle1</v>
      </c>
      <c r="B593" s="17" t="str">
        <f>Data!B591</f>
        <v>Vehicle, Gasoline or Petrol</v>
      </c>
      <c r="C593" s="17" t="str">
        <f>Data!C591</f>
        <v>1f2g3h4j5k6l</v>
      </c>
      <c r="D593" s="52">
        <f>Data!D591</f>
        <v>45066.157233796293</v>
      </c>
      <c r="E593" s="60" t="str">
        <f>IF(Data!E591="GpsRecord",Data!F591,"")</f>
        <v/>
      </c>
      <c r="F593" s="68" t="str">
        <f t="shared" si="138"/>
        <v>1501 E U.s. 6, Hamlet, IN 46532, USA</v>
      </c>
      <c r="G593" t="b">
        <f t="shared" si="139"/>
        <v>0</v>
      </c>
      <c r="H593" t="b">
        <f t="shared" si="140"/>
        <v>0</v>
      </c>
      <c r="I593" t="b">
        <f t="shared" si="141"/>
        <v>0</v>
      </c>
      <c r="J593" t="str">
        <f t="shared" si="142"/>
        <v/>
      </c>
      <c r="K593" t="str">
        <f t="shared" si="143"/>
        <v/>
      </c>
      <c r="L593" t="str">
        <f t="shared" si="144"/>
        <v>,</v>
      </c>
      <c r="M593" t="str">
        <f t="shared" si="145"/>
        <v/>
      </c>
      <c r="N593" t="str">
        <f t="shared" si="146"/>
        <v/>
      </c>
      <c r="O593" t="str">
        <f t="shared" si="147"/>
        <v/>
      </c>
      <c r="P593" t="str">
        <f t="shared" si="148"/>
        <v/>
      </c>
      <c r="Q593" t="str">
        <f t="shared" si="149"/>
        <v/>
      </c>
      <c r="R593" s="20" t="str">
        <f t="shared" si="150"/>
        <v>IN</v>
      </c>
      <c r="S593" s="20" t="str">
        <f>IF(Data!E591="GpsRecord",Data!G591,"")</f>
        <v/>
      </c>
      <c r="T593" s="20" t="str">
        <f>IF(Data!E591="GpsRecord",Data!H591,"")</f>
        <v/>
      </c>
      <c r="U593" s="20">
        <f t="shared" si="151"/>
        <v>-39.399740000000001</v>
      </c>
      <c r="V593" s="20">
        <f t="shared" si="152"/>
        <v>33.736330000000002</v>
      </c>
      <c r="W593" s="19">
        <f>Data!I591</f>
        <v>0</v>
      </c>
      <c r="X593" s="17" t="str">
        <f>CONCATENATE(Data!J591, " ", Data!K591)</f>
        <v xml:space="preserve"> </v>
      </c>
    </row>
    <row r="594" spans="1:24" x14ac:dyDescent="0.3">
      <c r="A594" s="17" t="str">
        <f>Data!A592</f>
        <v>vehicle1</v>
      </c>
      <c r="B594" s="17" t="str">
        <f>Data!B592</f>
        <v>Vehicle, Gasoline or Petrol</v>
      </c>
      <c r="C594" s="17" t="str">
        <f>Data!C592</f>
        <v>1f2g3h4j5k6l</v>
      </c>
      <c r="D594" s="52">
        <f>Data!D592</f>
        <v>45066.15724537037</v>
      </c>
      <c r="E594" s="60" t="str">
        <f>IF(Data!E592="GpsRecord",Data!F592,"")</f>
        <v>717 NE 122nd St, Oklahoma City, OK 73114, USA</v>
      </c>
      <c r="F594" s="68" t="str">
        <f t="shared" si="138"/>
        <v>717 NE 122nd St, Oklahoma City, OK 73114, USA</v>
      </c>
      <c r="G594" t="b">
        <f t="shared" si="139"/>
        <v>0</v>
      </c>
      <c r="H594" t="b">
        <f t="shared" si="140"/>
        <v>1</v>
      </c>
      <c r="I594" t="b">
        <f t="shared" si="141"/>
        <v>1</v>
      </c>
      <c r="J594" t="str">
        <f t="shared" si="142"/>
        <v>717 NE 122nd St, Oklahoma City, OK 73114, USA</v>
      </c>
      <c r="K594" t="str">
        <f t="shared" si="143"/>
        <v xml:space="preserve"> USA</v>
      </c>
      <c r="L594" t="str">
        <f t="shared" si="144"/>
        <v>, USA</v>
      </c>
      <c r="M594" t="str">
        <f t="shared" si="145"/>
        <v>717 NE 122nd St, Oklahoma City, OK 73114</v>
      </c>
      <c r="N594" t="str">
        <f t="shared" si="146"/>
        <v xml:space="preserve"> OK 73114</v>
      </c>
      <c r="O594" t="str">
        <f t="shared" si="147"/>
        <v>73114</v>
      </c>
      <c r="P594" t="str">
        <f t="shared" si="148"/>
        <v xml:space="preserve"> OK</v>
      </c>
      <c r="Q594" t="str">
        <f t="shared" si="149"/>
        <v>OK</v>
      </c>
      <c r="R594" s="20" t="str">
        <f t="shared" si="150"/>
        <v>OK</v>
      </c>
      <c r="S594" s="20">
        <f>IF(Data!E592="GpsRecord",Data!G592,"")</f>
        <v>-39.3992</v>
      </c>
      <c r="T594" s="20">
        <f>IF(Data!E592="GpsRecord",Data!H592,"")</f>
        <v>33.73695</v>
      </c>
      <c r="U594" s="20">
        <f t="shared" si="151"/>
        <v>-39.3992</v>
      </c>
      <c r="V594" s="20">
        <f t="shared" si="152"/>
        <v>33.73695</v>
      </c>
      <c r="W594" s="19">
        <f>Data!I592</f>
        <v>0</v>
      </c>
      <c r="X594" s="17" t="str">
        <f>CONCATENATE(Data!J592, " ", Data!K592)</f>
        <v xml:space="preserve"> </v>
      </c>
    </row>
    <row r="595" spans="1:24" x14ac:dyDescent="0.3">
      <c r="A595" s="17" t="str">
        <f>Data!A593</f>
        <v>vehicle1</v>
      </c>
      <c r="B595" s="17" t="str">
        <f>Data!B593</f>
        <v>Vehicle, Gasoline or Petrol</v>
      </c>
      <c r="C595" s="17" t="str">
        <f>Data!C593</f>
        <v>1f2g3h4j5k6l</v>
      </c>
      <c r="D595" s="52">
        <f>Data!D593</f>
        <v>45066.157175925924</v>
      </c>
      <c r="E595" s="60" t="str">
        <f>IF(Data!E593="GpsRecord",Data!F593,"")</f>
        <v/>
      </c>
      <c r="F595" s="68" t="str">
        <f t="shared" si="138"/>
        <v>717 NE 122nd St, Oklahoma City, OK 73114, USA</v>
      </c>
      <c r="G595" t="b">
        <f t="shared" si="139"/>
        <v>0</v>
      </c>
      <c r="H595" t="b">
        <f t="shared" si="140"/>
        <v>0</v>
      </c>
      <c r="I595" t="b">
        <f t="shared" si="141"/>
        <v>0</v>
      </c>
      <c r="J595" t="str">
        <f t="shared" si="142"/>
        <v/>
      </c>
      <c r="K595" t="str">
        <f t="shared" si="143"/>
        <v/>
      </c>
      <c r="L595" t="str">
        <f t="shared" si="144"/>
        <v>,</v>
      </c>
      <c r="M595" t="str">
        <f t="shared" si="145"/>
        <v/>
      </c>
      <c r="N595" t="str">
        <f t="shared" si="146"/>
        <v/>
      </c>
      <c r="O595" t="str">
        <f t="shared" si="147"/>
        <v/>
      </c>
      <c r="P595" t="str">
        <f t="shared" si="148"/>
        <v/>
      </c>
      <c r="Q595" t="str">
        <f t="shared" si="149"/>
        <v/>
      </c>
      <c r="R595" s="20" t="str">
        <f t="shared" si="150"/>
        <v>OK</v>
      </c>
      <c r="S595" s="20" t="str">
        <f>IF(Data!E593="GpsRecord",Data!G593,"")</f>
        <v/>
      </c>
      <c r="T595" s="20" t="str">
        <f>IF(Data!E593="GpsRecord",Data!H593,"")</f>
        <v/>
      </c>
      <c r="U595" s="20">
        <f t="shared" si="151"/>
        <v>-39.3992</v>
      </c>
      <c r="V595" s="20">
        <f t="shared" si="152"/>
        <v>33.73695</v>
      </c>
      <c r="W595" s="19" t="str">
        <f>Data!I593</f>
        <v>Engine speed</v>
      </c>
      <c r="X595" s="17" t="str">
        <f>CONCATENATE(Data!J593, " ", Data!K593)</f>
        <v>1187.25 RPM</v>
      </c>
    </row>
    <row r="596" spans="1:24" x14ac:dyDescent="0.3">
      <c r="A596" s="17" t="str">
        <f>Data!A594</f>
        <v>vehicle1</v>
      </c>
      <c r="B596" s="17" t="str">
        <f>Data!B594</f>
        <v>Vehicle, Gasoline or Petrol</v>
      </c>
      <c r="C596" s="17" t="str">
        <f>Data!C594</f>
        <v>1f2g3h4j5k6l</v>
      </c>
      <c r="D596" s="52">
        <f>Data!D594</f>
        <v>45066.15730324074</v>
      </c>
      <c r="E596" s="60" t="str">
        <f>IF(Data!E594="GpsRecord",Data!F594,"")</f>
        <v/>
      </c>
      <c r="F596" s="68" t="str">
        <f t="shared" si="138"/>
        <v>717 NE 122nd St, Oklahoma City, OK 73114, USA</v>
      </c>
      <c r="G596" t="b">
        <f t="shared" si="139"/>
        <v>0</v>
      </c>
      <c r="H596" t="b">
        <f t="shared" si="140"/>
        <v>0</v>
      </c>
      <c r="I596" t="b">
        <f t="shared" si="141"/>
        <v>0</v>
      </c>
      <c r="J596" t="str">
        <f t="shared" si="142"/>
        <v/>
      </c>
      <c r="K596" t="str">
        <f t="shared" si="143"/>
        <v/>
      </c>
      <c r="L596" t="str">
        <f t="shared" si="144"/>
        <v>,</v>
      </c>
      <c r="M596" t="str">
        <f t="shared" si="145"/>
        <v/>
      </c>
      <c r="N596" t="str">
        <f t="shared" si="146"/>
        <v/>
      </c>
      <c r="O596" t="str">
        <f t="shared" si="147"/>
        <v/>
      </c>
      <c r="P596" t="str">
        <f t="shared" si="148"/>
        <v/>
      </c>
      <c r="Q596" t="str">
        <f t="shared" si="149"/>
        <v/>
      </c>
      <c r="R596" s="20" t="str">
        <f t="shared" si="150"/>
        <v>OK</v>
      </c>
      <c r="S596" s="20" t="str">
        <f>IF(Data!E594="GpsRecord",Data!G594,"")</f>
        <v/>
      </c>
      <c r="T596" s="20" t="str">
        <f>IF(Data!E594="GpsRecord",Data!H594,"")</f>
        <v/>
      </c>
      <c r="U596" s="20">
        <f t="shared" si="151"/>
        <v>-39.3992</v>
      </c>
      <c r="V596" s="20">
        <f t="shared" si="152"/>
        <v>33.73695</v>
      </c>
      <c r="W596" s="19">
        <f>Data!I594</f>
        <v>0</v>
      </c>
      <c r="X596" s="17" t="str">
        <f>CONCATENATE(Data!J594, " ", Data!K594)</f>
        <v xml:space="preserve"> </v>
      </c>
    </row>
    <row r="597" spans="1:24" x14ac:dyDescent="0.3">
      <c r="A597" s="17" t="str">
        <f>Data!A595</f>
        <v>vehicle1</v>
      </c>
      <c r="B597" s="17" t="str">
        <f>Data!B595</f>
        <v>Vehicle, Gasoline or Petrol</v>
      </c>
      <c r="C597" s="17" t="str">
        <f>Data!C595</f>
        <v>1f2g3h4j5k6l</v>
      </c>
      <c r="D597" s="52">
        <f>Data!D595</f>
        <v>45066.157314814816</v>
      </c>
      <c r="E597" s="60" t="str">
        <f>IF(Data!E595="GpsRecord",Data!F595,"")</f>
        <v/>
      </c>
      <c r="F597" s="68" t="str">
        <f t="shared" si="138"/>
        <v>717 NE 122nd St, Oklahoma City, OK 73114, USA</v>
      </c>
      <c r="G597" t="b">
        <f t="shared" si="139"/>
        <v>0</v>
      </c>
      <c r="H597" t="b">
        <f t="shared" si="140"/>
        <v>0</v>
      </c>
      <c r="I597" t="b">
        <f t="shared" si="141"/>
        <v>0</v>
      </c>
      <c r="J597" t="str">
        <f t="shared" si="142"/>
        <v/>
      </c>
      <c r="K597" t="str">
        <f t="shared" si="143"/>
        <v/>
      </c>
      <c r="L597" t="str">
        <f t="shared" si="144"/>
        <v>,</v>
      </c>
      <c r="M597" t="str">
        <f t="shared" si="145"/>
        <v/>
      </c>
      <c r="N597" t="str">
        <f t="shared" si="146"/>
        <v/>
      </c>
      <c r="O597" t="str">
        <f t="shared" si="147"/>
        <v/>
      </c>
      <c r="P597" t="str">
        <f t="shared" si="148"/>
        <v/>
      </c>
      <c r="Q597" t="str">
        <f t="shared" si="149"/>
        <v/>
      </c>
      <c r="R597" s="20" t="str">
        <f t="shared" si="150"/>
        <v>OK</v>
      </c>
      <c r="S597" s="20" t="str">
        <f>IF(Data!E595="GpsRecord",Data!G595,"")</f>
        <v/>
      </c>
      <c r="T597" s="20" t="str">
        <f>IF(Data!E595="GpsRecord",Data!H595,"")</f>
        <v/>
      </c>
      <c r="U597" s="20">
        <f t="shared" si="151"/>
        <v>-39.3992</v>
      </c>
      <c r="V597" s="20">
        <f t="shared" si="152"/>
        <v>33.73695</v>
      </c>
      <c r="W597" s="19" t="str">
        <f>Data!I595</f>
        <v>Trip distance with tracked fuel accumulator</v>
      </c>
      <c r="X597" s="17" t="str">
        <f>CONCATENATE(Data!J595, " ", Data!K595)</f>
        <v>3 km</v>
      </c>
    </row>
    <row r="598" spans="1:24" x14ac:dyDescent="0.3">
      <c r="A598" s="17" t="str">
        <f>Data!A596</f>
        <v>vehicle1</v>
      </c>
      <c r="B598" s="17" t="str">
        <f>Data!B596</f>
        <v>Vehicle, Gasoline or Petrol</v>
      </c>
      <c r="C598" s="17" t="str">
        <f>Data!C596</f>
        <v>1f2g3h4j5k6l</v>
      </c>
      <c r="D598" s="52">
        <f>Data!D596</f>
        <v>45066.157314814816</v>
      </c>
      <c r="E598" s="60" t="str">
        <f>IF(Data!E596="GpsRecord",Data!F596,"")</f>
        <v/>
      </c>
      <c r="F598" s="68" t="str">
        <f t="shared" si="138"/>
        <v>717 NE 122nd St, Oklahoma City, OK 73114, USA</v>
      </c>
      <c r="G598" t="b">
        <f t="shared" si="139"/>
        <v>0</v>
      </c>
      <c r="H598" t="b">
        <f t="shared" si="140"/>
        <v>0</v>
      </c>
      <c r="I598" t="b">
        <f t="shared" si="141"/>
        <v>0</v>
      </c>
      <c r="J598" t="str">
        <f t="shared" si="142"/>
        <v/>
      </c>
      <c r="K598" t="str">
        <f t="shared" si="143"/>
        <v/>
      </c>
      <c r="L598" t="str">
        <f t="shared" si="144"/>
        <v>,</v>
      </c>
      <c r="M598" t="str">
        <f t="shared" si="145"/>
        <v/>
      </c>
      <c r="N598" t="str">
        <f t="shared" si="146"/>
        <v/>
      </c>
      <c r="O598" t="str">
        <f t="shared" si="147"/>
        <v/>
      </c>
      <c r="P598" t="str">
        <f t="shared" si="148"/>
        <v/>
      </c>
      <c r="Q598" t="str">
        <f t="shared" si="149"/>
        <v/>
      </c>
      <c r="R598" s="20" t="str">
        <f t="shared" si="150"/>
        <v>OK</v>
      </c>
      <c r="S598" s="20" t="str">
        <f>IF(Data!E596="GpsRecord",Data!G596,"")</f>
        <v/>
      </c>
      <c r="T598" s="20" t="str">
        <f>IF(Data!E596="GpsRecord",Data!H596,"")</f>
        <v/>
      </c>
      <c r="U598" s="20">
        <f t="shared" si="151"/>
        <v>-39.3992</v>
      </c>
      <c r="V598" s="20">
        <f t="shared" si="152"/>
        <v>33.73695</v>
      </c>
      <c r="W598" s="19" t="str">
        <f>Data!I596</f>
        <v>Trip distance accumulator odometer</v>
      </c>
      <c r="X598" s="17" t="str">
        <f>CONCATENATE(Data!J596, " ", Data!K596)</f>
        <v>3 km</v>
      </c>
    </row>
    <row r="599" spans="1:24" x14ac:dyDescent="0.3">
      <c r="A599" s="17" t="str">
        <f>Data!A597</f>
        <v>vehicle1</v>
      </c>
      <c r="B599" s="17" t="str">
        <f>Data!B597</f>
        <v>Vehicle, Gasoline or Petrol</v>
      </c>
      <c r="C599" s="17" t="str">
        <f>Data!C597</f>
        <v>1f2g3h4j5k6l</v>
      </c>
      <c r="D599" s="52">
        <f>Data!D597</f>
        <v>45066.157349537039</v>
      </c>
      <c r="E599" s="60" t="str">
        <f>IF(Data!E597="GpsRecord",Data!F597,"")</f>
        <v>717 NE 122nd St, Oklahoma City, OK 73114, USA</v>
      </c>
      <c r="F599" s="68" t="str">
        <f t="shared" si="138"/>
        <v>717 NE 122nd St, Oklahoma City, OK 73114, USA</v>
      </c>
      <c r="G599" t="b">
        <f t="shared" si="139"/>
        <v>0</v>
      </c>
      <c r="H599" t="b">
        <f t="shared" si="140"/>
        <v>1</v>
      </c>
      <c r="I599" t="b">
        <f t="shared" si="141"/>
        <v>1</v>
      </c>
      <c r="J599" t="str">
        <f t="shared" si="142"/>
        <v>717 NE 122nd St, Oklahoma City, OK 73114, USA</v>
      </c>
      <c r="K599" t="str">
        <f t="shared" si="143"/>
        <v xml:space="preserve"> USA</v>
      </c>
      <c r="L599" t="str">
        <f t="shared" si="144"/>
        <v>, USA</v>
      </c>
      <c r="M599" t="str">
        <f t="shared" si="145"/>
        <v>717 NE 122nd St, Oklahoma City, OK 73114</v>
      </c>
      <c r="N599" t="str">
        <f t="shared" si="146"/>
        <v xml:space="preserve"> OK 73114</v>
      </c>
      <c r="O599" t="str">
        <f t="shared" si="147"/>
        <v>73114</v>
      </c>
      <c r="P599" t="str">
        <f t="shared" si="148"/>
        <v xml:space="preserve"> OK</v>
      </c>
      <c r="Q599" t="str">
        <f t="shared" si="149"/>
        <v>OK</v>
      </c>
      <c r="R599" s="20" t="str">
        <f t="shared" si="150"/>
        <v>OK</v>
      </c>
      <c r="S599" s="20">
        <f>IF(Data!E597="GpsRecord",Data!G597,"")</f>
        <v>-39.398130000000002</v>
      </c>
      <c r="T599" s="20">
        <f>IF(Data!E597="GpsRecord",Data!H597,"")</f>
        <v>33.737940000000002</v>
      </c>
      <c r="U599" s="20">
        <f t="shared" si="151"/>
        <v>-39.398130000000002</v>
      </c>
      <c r="V599" s="20">
        <f t="shared" si="152"/>
        <v>33.737940000000002</v>
      </c>
      <c r="W599" s="19">
        <f>Data!I597</f>
        <v>0</v>
      </c>
      <c r="X599" s="17" t="str">
        <f>CONCATENATE(Data!J597, " ", Data!K597)</f>
        <v xml:space="preserve"> </v>
      </c>
    </row>
    <row r="600" spans="1:24" x14ac:dyDescent="0.3">
      <c r="A600" s="17" t="str">
        <f>Data!A598</f>
        <v>vehicle1</v>
      </c>
      <c r="B600" s="17" t="str">
        <f>Data!B598</f>
        <v>Vehicle, Gasoline or Petrol</v>
      </c>
      <c r="C600" s="17" t="str">
        <f>Data!C598</f>
        <v>1f2g3h4j5k6l</v>
      </c>
      <c r="D600" s="52">
        <f>Data!D598</f>
        <v>45066.157349537039</v>
      </c>
      <c r="E600" s="60" t="str">
        <f>IF(Data!E598="GpsRecord",Data!F598,"")</f>
        <v/>
      </c>
      <c r="F600" s="68" t="str">
        <f t="shared" si="138"/>
        <v>717 NE 122nd St, Oklahoma City, OK 73114, USA</v>
      </c>
      <c r="G600" t="b">
        <f t="shared" si="139"/>
        <v>0</v>
      </c>
      <c r="H600" t="b">
        <f t="shared" si="140"/>
        <v>0</v>
      </c>
      <c r="I600" t="b">
        <f t="shared" si="141"/>
        <v>0</v>
      </c>
      <c r="J600" t="str">
        <f t="shared" si="142"/>
        <v/>
      </c>
      <c r="K600" t="str">
        <f t="shared" si="143"/>
        <v/>
      </c>
      <c r="L600" t="str">
        <f t="shared" si="144"/>
        <v>,</v>
      </c>
      <c r="M600" t="str">
        <f t="shared" si="145"/>
        <v/>
      </c>
      <c r="N600" t="str">
        <f t="shared" si="146"/>
        <v/>
      </c>
      <c r="O600" t="str">
        <f t="shared" si="147"/>
        <v/>
      </c>
      <c r="P600" t="str">
        <f t="shared" si="148"/>
        <v/>
      </c>
      <c r="Q600" t="str">
        <f t="shared" si="149"/>
        <v/>
      </c>
      <c r="R600" s="20" t="str">
        <f t="shared" si="150"/>
        <v>OK</v>
      </c>
      <c r="S600" s="20" t="str">
        <f>IF(Data!E598="GpsRecord",Data!G598,"")</f>
        <v/>
      </c>
      <c r="T600" s="20" t="str">
        <f>IF(Data!E598="GpsRecord",Data!H598,"")</f>
        <v/>
      </c>
      <c r="U600" s="20">
        <f t="shared" si="151"/>
        <v>-39.398130000000002</v>
      </c>
      <c r="V600" s="20">
        <f t="shared" si="152"/>
        <v>33.737940000000002</v>
      </c>
      <c r="W600" s="19" t="str">
        <f>Data!I598</f>
        <v>ADAS left lane departure warning</v>
      </c>
      <c r="X600" s="17" t="str">
        <f>CONCATENATE(Data!J598, " ", Data!K598)</f>
        <v>1 None</v>
      </c>
    </row>
    <row r="601" spans="1:24" x14ac:dyDescent="0.3">
      <c r="A601" s="17" t="str">
        <f>Data!A599</f>
        <v>vehicle1</v>
      </c>
      <c r="B601" s="17" t="str">
        <f>Data!B599</f>
        <v>Vehicle, Gasoline or Petrol</v>
      </c>
      <c r="C601" s="17" t="str">
        <f>Data!C599</f>
        <v>1f2g3h4j5k6l</v>
      </c>
      <c r="D601" s="52">
        <f>Data!D599</f>
        <v>45066.157349537039</v>
      </c>
      <c r="E601" s="60" t="str">
        <f>IF(Data!E599="GpsRecord",Data!F599,"")</f>
        <v/>
      </c>
      <c r="F601" s="68" t="str">
        <f t="shared" si="138"/>
        <v>717 NE 122nd St, Oklahoma City, OK 73114, USA</v>
      </c>
      <c r="G601" t="b">
        <f t="shared" si="139"/>
        <v>0</v>
      </c>
      <c r="H601" t="b">
        <f t="shared" si="140"/>
        <v>0</v>
      </c>
      <c r="I601" t="b">
        <f t="shared" si="141"/>
        <v>0</v>
      </c>
      <c r="J601" t="str">
        <f t="shared" si="142"/>
        <v/>
      </c>
      <c r="K601" t="str">
        <f t="shared" si="143"/>
        <v/>
      </c>
      <c r="L601" t="str">
        <f t="shared" si="144"/>
        <v>,</v>
      </c>
      <c r="M601" t="str">
        <f t="shared" si="145"/>
        <v/>
      </c>
      <c r="N601" t="str">
        <f t="shared" si="146"/>
        <v/>
      </c>
      <c r="O601" t="str">
        <f t="shared" si="147"/>
        <v/>
      </c>
      <c r="P601" t="str">
        <f t="shared" si="148"/>
        <v/>
      </c>
      <c r="Q601" t="str">
        <f t="shared" si="149"/>
        <v/>
      </c>
      <c r="R601" s="20" t="str">
        <f t="shared" si="150"/>
        <v>OK</v>
      </c>
      <c r="S601" s="20" t="str">
        <f>IF(Data!E599="GpsRecord",Data!G599,"")</f>
        <v/>
      </c>
      <c r="T601" s="20" t="str">
        <f>IF(Data!E599="GpsRecord",Data!H599,"")</f>
        <v/>
      </c>
      <c r="U601" s="20">
        <f t="shared" si="151"/>
        <v>-39.398130000000002</v>
      </c>
      <c r="V601" s="20">
        <f t="shared" si="152"/>
        <v>33.737940000000002</v>
      </c>
      <c r="W601" s="19">
        <f>Data!I599</f>
        <v>0</v>
      </c>
      <c r="X601" s="17" t="str">
        <f>CONCATENATE(Data!J599, " ", Data!K599)</f>
        <v xml:space="preserve"> </v>
      </c>
    </row>
    <row r="602" spans="1:24" x14ac:dyDescent="0.3">
      <c r="A602" s="17" t="str">
        <f>Data!A600</f>
        <v>vehicle1</v>
      </c>
      <c r="B602" s="17" t="str">
        <f>Data!B600</f>
        <v>Vehicle, Gasoline or Petrol</v>
      </c>
      <c r="C602" s="17" t="str">
        <f>Data!C600</f>
        <v>1f2g3h4j5k6l</v>
      </c>
      <c r="D602" s="52">
        <f>Data!D600</f>
        <v>45066.157349537039</v>
      </c>
      <c r="E602" s="60" t="str">
        <f>IF(Data!E600="GpsRecord",Data!F600,"")</f>
        <v/>
      </c>
      <c r="F602" s="68" t="str">
        <f t="shared" si="138"/>
        <v>717 NE 122nd St, Oklahoma City, OK 73114, USA</v>
      </c>
      <c r="G602" t="b">
        <f t="shared" si="139"/>
        <v>0</v>
      </c>
      <c r="H602" t="b">
        <f t="shared" si="140"/>
        <v>0</v>
      </c>
      <c r="I602" t="b">
        <f t="shared" si="141"/>
        <v>0</v>
      </c>
      <c r="J602" t="str">
        <f t="shared" si="142"/>
        <v/>
      </c>
      <c r="K602" t="str">
        <f t="shared" si="143"/>
        <v/>
      </c>
      <c r="L602" t="str">
        <f t="shared" si="144"/>
        <v>,</v>
      </c>
      <c r="M602" t="str">
        <f t="shared" si="145"/>
        <v/>
      </c>
      <c r="N602" t="str">
        <f t="shared" si="146"/>
        <v/>
      </c>
      <c r="O602" t="str">
        <f t="shared" si="147"/>
        <v/>
      </c>
      <c r="P602" t="str">
        <f t="shared" si="148"/>
        <v/>
      </c>
      <c r="Q602" t="str">
        <f t="shared" si="149"/>
        <v/>
      </c>
      <c r="R602" s="20" t="str">
        <f t="shared" si="150"/>
        <v>OK</v>
      </c>
      <c r="S602" s="20" t="str">
        <f>IF(Data!E600="GpsRecord",Data!G600,"")</f>
        <v/>
      </c>
      <c r="T602" s="20" t="str">
        <f>IF(Data!E600="GpsRecord",Data!H600,"")</f>
        <v/>
      </c>
      <c r="U602" s="20">
        <f t="shared" si="151"/>
        <v>-39.398130000000002</v>
      </c>
      <c r="V602" s="20">
        <f t="shared" si="152"/>
        <v>33.737940000000002</v>
      </c>
      <c r="W602" s="19">
        <f>Data!I600</f>
        <v>0</v>
      </c>
      <c r="X602" s="17" t="str">
        <f>CONCATENATE(Data!J600, " ", Data!K600)</f>
        <v xml:space="preserve"> </v>
      </c>
    </row>
    <row r="603" spans="1:24" x14ac:dyDescent="0.3">
      <c r="A603" s="17" t="str">
        <f>Data!A601</f>
        <v>vehicle1</v>
      </c>
      <c r="B603" s="17" t="str">
        <f>Data!B601</f>
        <v>Vehicle, Gasoline or Petrol</v>
      </c>
      <c r="C603" s="17" t="str">
        <f>Data!C601</f>
        <v>1f2g3h4j5k6l</v>
      </c>
      <c r="D603" s="52">
        <f>Data!D601</f>
        <v>45066.157372685186</v>
      </c>
      <c r="E603" s="60" t="str">
        <f>IF(Data!E601="GpsRecord",Data!F601,"")</f>
        <v/>
      </c>
      <c r="F603" s="68" t="str">
        <f t="shared" si="138"/>
        <v>717 NE 122nd St, Oklahoma City, OK 73114, USA</v>
      </c>
      <c r="G603" t="b">
        <f t="shared" si="139"/>
        <v>0</v>
      </c>
      <c r="H603" t="b">
        <f t="shared" si="140"/>
        <v>0</v>
      </c>
      <c r="I603" t="b">
        <f t="shared" si="141"/>
        <v>0</v>
      </c>
      <c r="J603" t="str">
        <f t="shared" si="142"/>
        <v/>
      </c>
      <c r="K603" t="str">
        <f t="shared" si="143"/>
        <v/>
      </c>
      <c r="L603" t="str">
        <f t="shared" si="144"/>
        <v>,</v>
      </c>
      <c r="M603" t="str">
        <f t="shared" si="145"/>
        <v/>
      </c>
      <c r="N603" t="str">
        <f t="shared" si="146"/>
        <v/>
      </c>
      <c r="O603" t="str">
        <f t="shared" si="147"/>
        <v/>
      </c>
      <c r="P603" t="str">
        <f t="shared" si="148"/>
        <v/>
      </c>
      <c r="Q603" t="str">
        <f t="shared" si="149"/>
        <v/>
      </c>
      <c r="R603" s="20" t="str">
        <f t="shared" si="150"/>
        <v>OK</v>
      </c>
      <c r="S603" s="20" t="str">
        <f>IF(Data!E601="GpsRecord",Data!G601,"")</f>
        <v/>
      </c>
      <c r="T603" s="20" t="str">
        <f>IF(Data!E601="GpsRecord",Data!H601,"")</f>
        <v/>
      </c>
      <c r="U603" s="20">
        <f t="shared" si="151"/>
        <v>-39.398130000000002</v>
      </c>
      <c r="V603" s="20">
        <f t="shared" si="152"/>
        <v>33.737940000000002</v>
      </c>
      <c r="W603" s="19" t="str">
        <f>Data!I601</f>
        <v>Engine road speed</v>
      </c>
      <c r="X603" s="17" t="str">
        <f>CONCATENATE(Data!J601, " ", Data!K601)</f>
        <v>51 km/h</v>
      </c>
    </row>
    <row r="604" spans="1:24" x14ac:dyDescent="0.3">
      <c r="A604" s="17" t="str">
        <f>Data!A602</f>
        <v>vehicle1</v>
      </c>
      <c r="B604" s="17" t="str">
        <f>Data!B602</f>
        <v>Vehicle, Gasoline or Petrol</v>
      </c>
      <c r="C604" s="17" t="str">
        <f>Data!C602</f>
        <v>1f2g3h4j5k6l</v>
      </c>
      <c r="D604" s="52">
        <f>Data!D602</f>
        <v>45066.157418981478</v>
      </c>
      <c r="E604" s="60" t="str">
        <f>IF(Data!E602="GpsRecord",Data!F602,"")</f>
        <v>717 NE 122nd St, Oklahoma City, OK 73114, USA</v>
      </c>
      <c r="F604" s="68" t="str">
        <f t="shared" si="138"/>
        <v>717 NE 122nd St, Oklahoma City, OK 73114, USA</v>
      </c>
      <c r="G604" t="b">
        <f t="shared" si="139"/>
        <v>0</v>
      </c>
      <c r="H604" t="b">
        <f t="shared" si="140"/>
        <v>1</v>
      </c>
      <c r="I604" t="b">
        <f t="shared" si="141"/>
        <v>1</v>
      </c>
      <c r="J604" t="str">
        <f t="shared" si="142"/>
        <v>717 NE 122nd St, Oklahoma City, OK 73114, USA</v>
      </c>
      <c r="K604" t="str">
        <f t="shared" si="143"/>
        <v xml:space="preserve"> USA</v>
      </c>
      <c r="L604" t="str">
        <f t="shared" si="144"/>
        <v>, USA</v>
      </c>
      <c r="M604" t="str">
        <f t="shared" si="145"/>
        <v>717 NE 122nd St, Oklahoma City, OK 73114</v>
      </c>
      <c r="N604" t="str">
        <f t="shared" si="146"/>
        <v xml:space="preserve"> OK 73114</v>
      </c>
      <c r="O604" t="str">
        <f t="shared" si="147"/>
        <v>73114</v>
      </c>
      <c r="P604" t="str">
        <f t="shared" si="148"/>
        <v xml:space="preserve"> OK</v>
      </c>
      <c r="Q604" t="str">
        <f t="shared" si="149"/>
        <v>OK</v>
      </c>
      <c r="R604" s="20" t="str">
        <f t="shared" si="150"/>
        <v>OK</v>
      </c>
      <c r="S604" s="20">
        <f>IF(Data!E602="GpsRecord",Data!G602,"")</f>
        <v>-39.39743</v>
      </c>
      <c r="T604" s="20">
        <f>IF(Data!E602="GpsRecord",Data!H602,"")</f>
        <v>33.73856</v>
      </c>
      <c r="U604" s="20">
        <f t="shared" si="151"/>
        <v>-39.39743</v>
      </c>
      <c r="V604" s="20">
        <f t="shared" si="152"/>
        <v>33.73856</v>
      </c>
      <c r="W604" s="19">
        <f>Data!I602</f>
        <v>0</v>
      </c>
      <c r="X604" s="17" t="str">
        <f>CONCATENATE(Data!J602, " ", Data!K602)</f>
        <v xml:space="preserve"> </v>
      </c>
    </row>
    <row r="605" spans="1:24" x14ac:dyDescent="0.3">
      <c r="A605" s="17" t="str">
        <f>Data!A603</f>
        <v>vehicle1</v>
      </c>
      <c r="B605" s="17" t="str">
        <f>Data!B603</f>
        <v>Vehicle, Gasoline or Petrol</v>
      </c>
      <c r="C605" s="17" t="str">
        <f>Data!C603</f>
        <v>1f2g3h4j5k6l</v>
      </c>
      <c r="D605" s="52">
        <f>Data!D603</f>
        <v>45066.157418981478</v>
      </c>
      <c r="E605" s="60" t="str">
        <f>IF(Data!E603="GpsRecord",Data!F603,"")</f>
        <v/>
      </c>
      <c r="F605" s="68" t="str">
        <f t="shared" si="138"/>
        <v>717 NE 122nd St, Oklahoma City, OK 73114, USA</v>
      </c>
      <c r="G605" t="b">
        <f t="shared" si="139"/>
        <v>0</v>
      </c>
      <c r="H605" t="b">
        <f t="shared" si="140"/>
        <v>0</v>
      </c>
      <c r="I605" t="b">
        <f t="shared" si="141"/>
        <v>0</v>
      </c>
      <c r="J605" t="str">
        <f t="shared" si="142"/>
        <v/>
      </c>
      <c r="K605" t="str">
        <f t="shared" si="143"/>
        <v/>
      </c>
      <c r="L605" t="str">
        <f t="shared" si="144"/>
        <v>,</v>
      </c>
      <c r="M605" t="str">
        <f t="shared" si="145"/>
        <v/>
      </c>
      <c r="N605" t="str">
        <f t="shared" si="146"/>
        <v/>
      </c>
      <c r="O605" t="str">
        <f t="shared" si="147"/>
        <v/>
      </c>
      <c r="P605" t="str">
        <f t="shared" si="148"/>
        <v/>
      </c>
      <c r="Q605" t="str">
        <f t="shared" si="149"/>
        <v/>
      </c>
      <c r="R605" s="20" t="str">
        <f t="shared" si="150"/>
        <v>OK</v>
      </c>
      <c r="S605" s="20" t="str">
        <f>IF(Data!E603="GpsRecord",Data!G603,"")</f>
        <v/>
      </c>
      <c r="T605" s="20" t="str">
        <f>IF(Data!E603="GpsRecord",Data!H603,"")</f>
        <v/>
      </c>
      <c r="U605" s="20">
        <f t="shared" si="151"/>
        <v>-39.39743</v>
      </c>
      <c r="V605" s="20">
        <f t="shared" si="152"/>
        <v>33.73856</v>
      </c>
      <c r="W605" s="19" t="str">
        <f>Data!I603</f>
        <v>Engine road speed</v>
      </c>
      <c r="X605" s="17" t="str">
        <f>CONCATENATE(Data!J603, " ", Data!K603)</f>
        <v>54 km/h</v>
      </c>
    </row>
    <row r="606" spans="1:24" x14ac:dyDescent="0.3">
      <c r="A606" s="17" t="str">
        <f>Data!A604</f>
        <v>vehicle1</v>
      </c>
      <c r="B606" s="17" t="str">
        <f>Data!B604</f>
        <v>Vehicle, Gasoline or Petrol</v>
      </c>
      <c r="C606" s="17" t="str">
        <f>Data!C604</f>
        <v>1f2g3h4j5k6l</v>
      </c>
      <c r="D606" s="52">
        <f>Data!D604</f>
        <v>45066.157511574071</v>
      </c>
      <c r="E606" s="60" t="str">
        <f>IF(Data!E604="GpsRecord",Data!F604,"")</f>
        <v/>
      </c>
      <c r="F606" s="68" t="str">
        <f t="shared" si="138"/>
        <v>717 NE 122nd St, Oklahoma City, OK 73114, USA</v>
      </c>
      <c r="G606" t="b">
        <f t="shared" si="139"/>
        <v>0</v>
      </c>
      <c r="H606" t="b">
        <f t="shared" si="140"/>
        <v>0</v>
      </c>
      <c r="I606" t="b">
        <f t="shared" si="141"/>
        <v>0</v>
      </c>
      <c r="J606" t="str">
        <f t="shared" si="142"/>
        <v/>
      </c>
      <c r="K606" t="str">
        <f t="shared" si="143"/>
        <v/>
      </c>
      <c r="L606" t="str">
        <f t="shared" si="144"/>
        <v>,</v>
      </c>
      <c r="M606" t="str">
        <f t="shared" si="145"/>
        <v/>
      </c>
      <c r="N606" t="str">
        <f t="shared" si="146"/>
        <v/>
      </c>
      <c r="O606" t="str">
        <f t="shared" si="147"/>
        <v/>
      </c>
      <c r="P606" t="str">
        <f t="shared" si="148"/>
        <v/>
      </c>
      <c r="Q606" t="str">
        <f t="shared" si="149"/>
        <v/>
      </c>
      <c r="R606" s="20" t="str">
        <f t="shared" si="150"/>
        <v>OK</v>
      </c>
      <c r="S606" s="20" t="str">
        <f>IF(Data!E604="GpsRecord",Data!G604,"")</f>
        <v/>
      </c>
      <c r="T606" s="20" t="str">
        <f>IF(Data!E604="GpsRecord",Data!H604,"")</f>
        <v/>
      </c>
      <c r="U606" s="20">
        <f t="shared" si="151"/>
        <v>-39.39743</v>
      </c>
      <c r="V606" s="20">
        <f t="shared" si="152"/>
        <v>33.73856</v>
      </c>
      <c r="W606" s="19" t="str">
        <f>Data!I604</f>
        <v>Raw outside air temperature</v>
      </c>
      <c r="X606" s="17" t="str">
        <f>CONCATENATE(Data!J604, " ", Data!K604)</f>
        <v>24 C</v>
      </c>
    </row>
    <row r="607" spans="1:24" x14ac:dyDescent="0.3">
      <c r="A607" s="17" t="str">
        <f>Data!A605</f>
        <v>vehicle1</v>
      </c>
      <c r="B607" s="17" t="str">
        <f>Data!B605</f>
        <v>Vehicle, Gasoline or Petrol</v>
      </c>
      <c r="C607" s="17" t="str">
        <f>Data!C605</f>
        <v>1f2g3h4j5k6l</v>
      </c>
      <c r="D607" s="52">
        <f>Data!D605</f>
        <v>45066.157534722224</v>
      </c>
      <c r="E607" s="60" t="str">
        <f>IF(Data!E605="GpsRecord",Data!F605,"")</f>
        <v/>
      </c>
      <c r="F607" s="68" t="str">
        <f t="shared" si="138"/>
        <v>717 NE 122nd St, Oklahoma City, OK 73114, USA</v>
      </c>
      <c r="G607" t="b">
        <f t="shared" si="139"/>
        <v>0</v>
      </c>
      <c r="H607" t="b">
        <f t="shared" si="140"/>
        <v>0</v>
      </c>
      <c r="I607" t="b">
        <f t="shared" si="141"/>
        <v>0</v>
      </c>
      <c r="J607" t="str">
        <f t="shared" si="142"/>
        <v/>
      </c>
      <c r="K607" t="str">
        <f t="shared" si="143"/>
        <v/>
      </c>
      <c r="L607" t="str">
        <f t="shared" si="144"/>
        <v>,</v>
      </c>
      <c r="M607" t="str">
        <f t="shared" si="145"/>
        <v/>
      </c>
      <c r="N607" t="str">
        <f t="shared" si="146"/>
        <v/>
      </c>
      <c r="O607" t="str">
        <f t="shared" si="147"/>
        <v/>
      </c>
      <c r="P607" t="str">
        <f t="shared" si="148"/>
        <v/>
      </c>
      <c r="Q607" t="str">
        <f t="shared" si="149"/>
        <v/>
      </c>
      <c r="R607" s="20" t="str">
        <f t="shared" si="150"/>
        <v>OK</v>
      </c>
      <c r="S607" s="20" t="str">
        <f>IF(Data!E605="GpsRecord",Data!G605,"")</f>
        <v/>
      </c>
      <c r="T607" s="20" t="str">
        <f>IF(Data!E605="GpsRecord",Data!H605,"")</f>
        <v/>
      </c>
      <c r="U607" s="20">
        <f t="shared" si="151"/>
        <v>-39.39743</v>
      </c>
      <c r="V607" s="20">
        <f t="shared" si="152"/>
        <v>33.73856</v>
      </c>
      <c r="W607" s="19">
        <f>Data!I605</f>
        <v>0</v>
      </c>
      <c r="X607" s="17" t="str">
        <f>CONCATENATE(Data!J605, " ", Data!K605)</f>
        <v xml:space="preserve"> </v>
      </c>
    </row>
    <row r="608" spans="1:24" x14ac:dyDescent="0.3">
      <c r="A608" s="17" t="str">
        <f>Data!A606</f>
        <v>vehicle1</v>
      </c>
      <c r="B608" s="17" t="str">
        <f>Data!B606</f>
        <v>Vehicle, Gasoline or Petrol</v>
      </c>
      <c r="C608" s="17" t="str">
        <f>Data!C606</f>
        <v>1f2g3h4j5k6l</v>
      </c>
      <c r="D608" s="52">
        <f>Data!D606</f>
        <v>45066.157581018517</v>
      </c>
      <c r="E608" s="60" t="str">
        <f>IF(Data!E606="GpsRecord",Data!F606,"")</f>
        <v>717 NE 122nd St, Oklahoma City, OK 73114, USA</v>
      </c>
      <c r="F608" s="68" t="str">
        <f t="shared" si="138"/>
        <v>717 NE 122nd St, Oklahoma City, OK 73114, USA</v>
      </c>
      <c r="G608" t="b">
        <f t="shared" si="139"/>
        <v>0</v>
      </c>
      <c r="H608" t="b">
        <f t="shared" si="140"/>
        <v>1</v>
      </c>
      <c r="I608" t="b">
        <f t="shared" si="141"/>
        <v>1</v>
      </c>
      <c r="J608" t="str">
        <f t="shared" si="142"/>
        <v>717 NE 122nd St, Oklahoma City, OK 73114, USA</v>
      </c>
      <c r="K608" t="str">
        <f t="shared" si="143"/>
        <v xml:space="preserve"> USA</v>
      </c>
      <c r="L608" t="str">
        <f t="shared" si="144"/>
        <v>, USA</v>
      </c>
      <c r="M608" t="str">
        <f t="shared" si="145"/>
        <v>717 NE 122nd St, Oklahoma City, OK 73114</v>
      </c>
      <c r="N608" t="str">
        <f t="shared" si="146"/>
        <v xml:space="preserve"> OK 73114</v>
      </c>
      <c r="O608" t="str">
        <f t="shared" si="147"/>
        <v>73114</v>
      </c>
      <c r="P608" t="str">
        <f t="shared" si="148"/>
        <v xml:space="preserve"> OK</v>
      </c>
      <c r="Q608" t="str">
        <f t="shared" si="149"/>
        <v>OK</v>
      </c>
      <c r="R608" s="20" t="str">
        <f t="shared" si="150"/>
        <v>OK</v>
      </c>
      <c r="S608" s="20">
        <f>IF(Data!E606="GpsRecord",Data!G606,"")</f>
        <v>-39.395389999999999</v>
      </c>
      <c r="T608" s="20">
        <f>IF(Data!E606="GpsRecord",Data!H606,"")</f>
        <v>33.740450000000003</v>
      </c>
      <c r="U608" s="20">
        <f t="shared" si="151"/>
        <v>-39.395389999999999</v>
      </c>
      <c r="V608" s="20">
        <f t="shared" si="152"/>
        <v>33.740450000000003</v>
      </c>
      <c r="W608" s="19">
        <f>Data!I606</f>
        <v>0</v>
      </c>
      <c r="X608" s="17" t="str">
        <f>CONCATENATE(Data!J606, " ", Data!K606)</f>
        <v xml:space="preserve"> </v>
      </c>
    </row>
    <row r="609" spans="1:24" x14ac:dyDescent="0.3">
      <c r="A609" s="17" t="str">
        <f>Data!A607</f>
        <v>vehicle1</v>
      </c>
      <c r="B609" s="17" t="str">
        <f>Data!B607</f>
        <v>Vehicle, Gasoline or Petrol</v>
      </c>
      <c r="C609" s="17" t="str">
        <f>Data!C607</f>
        <v>1f2g3h4j5k6l</v>
      </c>
      <c r="D609" s="52">
        <f>Data!D607</f>
        <v>45066.157581018517</v>
      </c>
      <c r="E609" s="60" t="str">
        <f>IF(Data!E607="GpsRecord",Data!F607,"")</f>
        <v/>
      </c>
      <c r="F609" s="68" t="str">
        <f t="shared" si="138"/>
        <v>717 NE 122nd St, Oklahoma City, OK 73114, USA</v>
      </c>
      <c r="G609" t="b">
        <f t="shared" si="139"/>
        <v>0</v>
      </c>
      <c r="H609" t="b">
        <f t="shared" si="140"/>
        <v>0</v>
      </c>
      <c r="I609" t="b">
        <f t="shared" si="141"/>
        <v>0</v>
      </c>
      <c r="J609" t="str">
        <f t="shared" si="142"/>
        <v/>
      </c>
      <c r="K609" t="str">
        <f t="shared" si="143"/>
        <v/>
      </c>
      <c r="L609" t="str">
        <f t="shared" si="144"/>
        <v>,</v>
      </c>
      <c r="M609" t="str">
        <f t="shared" si="145"/>
        <v/>
      </c>
      <c r="N609" t="str">
        <f t="shared" si="146"/>
        <v/>
      </c>
      <c r="O609" t="str">
        <f t="shared" si="147"/>
        <v/>
      </c>
      <c r="P609" t="str">
        <f t="shared" si="148"/>
        <v/>
      </c>
      <c r="Q609" t="str">
        <f t="shared" si="149"/>
        <v/>
      </c>
      <c r="R609" s="20" t="str">
        <f t="shared" si="150"/>
        <v>OK</v>
      </c>
      <c r="S609" s="20" t="str">
        <f>IF(Data!E607="GpsRecord",Data!G607,"")</f>
        <v/>
      </c>
      <c r="T609" s="20" t="str">
        <f>IF(Data!E607="GpsRecord",Data!H607,"")</f>
        <v/>
      </c>
      <c r="U609" s="20">
        <f t="shared" si="151"/>
        <v>-39.395389999999999</v>
      </c>
      <c r="V609" s="20">
        <f t="shared" si="152"/>
        <v>33.740450000000003</v>
      </c>
      <c r="W609" s="19">
        <f>Data!I607</f>
        <v>0</v>
      </c>
      <c r="X609" s="17" t="str">
        <f>CONCATENATE(Data!J607, " ", Data!K607)</f>
        <v xml:space="preserve"> </v>
      </c>
    </row>
    <row r="610" spans="1:24" x14ac:dyDescent="0.3">
      <c r="A610" s="17" t="str">
        <f>Data!A608</f>
        <v>vehicle1</v>
      </c>
      <c r="B610" s="17" t="str">
        <f>Data!B608</f>
        <v>Vehicle, Gasoline or Petrol</v>
      </c>
      <c r="C610" s="17" t="str">
        <f>Data!C608</f>
        <v>1f2g3h4j5k6l</v>
      </c>
      <c r="D610" s="52">
        <f>Data!D608</f>
        <v>45066.157581018517</v>
      </c>
      <c r="E610" s="60" t="str">
        <f>IF(Data!E608="GpsRecord",Data!F608,"")</f>
        <v/>
      </c>
      <c r="F610" s="68" t="str">
        <f t="shared" si="138"/>
        <v>717 NE 122nd St, Oklahoma City, OK 73114, USA</v>
      </c>
      <c r="G610" t="b">
        <f t="shared" si="139"/>
        <v>0</v>
      </c>
      <c r="H610" t="b">
        <f t="shared" si="140"/>
        <v>0</v>
      </c>
      <c r="I610" t="b">
        <f t="shared" si="141"/>
        <v>0</v>
      </c>
      <c r="J610" t="str">
        <f t="shared" si="142"/>
        <v/>
      </c>
      <c r="K610" t="str">
        <f t="shared" si="143"/>
        <v/>
      </c>
      <c r="L610" t="str">
        <f t="shared" si="144"/>
        <v>,</v>
      </c>
      <c r="M610" t="str">
        <f t="shared" si="145"/>
        <v/>
      </c>
      <c r="N610" t="str">
        <f t="shared" si="146"/>
        <v/>
      </c>
      <c r="O610" t="str">
        <f t="shared" si="147"/>
        <v/>
      </c>
      <c r="P610" t="str">
        <f t="shared" si="148"/>
        <v/>
      </c>
      <c r="Q610" t="str">
        <f t="shared" si="149"/>
        <v/>
      </c>
      <c r="R610" s="20" t="str">
        <f t="shared" si="150"/>
        <v>OK</v>
      </c>
      <c r="S610" s="20" t="str">
        <f>IF(Data!E608="GpsRecord",Data!G608,"")</f>
        <v/>
      </c>
      <c r="T610" s="20" t="str">
        <f>IF(Data!E608="GpsRecord",Data!H608,"")</f>
        <v/>
      </c>
      <c r="U610" s="20">
        <f t="shared" si="151"/>
        <v>-39.395389999999999</v>
      </c>
      <c r="V610" s="20">
        <f t="shared" si="152"/>
        <v>33.740450000000003</v>
      </c>
      <c r="W610" s="19">
        <f>Data!I608</f>
        <v>0</v>
      </c>
      <c r="X610" s="17" t="str">
        <f>CONCATENATE(Data!J608, " ", Data!K608)</f>
        <v xml:space="preserve"> </v>
      </c>
    </row>
    <row r="611" spans="1:24" x14ac:dyDescent="0.3">
      <c r="A611" s="17" t="str">
        <f>Data!A609</f>
        <v>vehicle1</v>
      </c>
      <c r="B611" s="17" t="str">
        <f>Data!B609</f>
        <v>Vehicle, Gasoline or Petrol</v>
      </c>
      <c r="C611" s="17" t="str">
        <f>Data!C609</f>
        <v>1f2g3h4j5k6l</v>
      </c>
      <c r="D611" s="52">
        <f>Data!D609</f>
        <v>45066.157581018517</v>
      </c>
      <c r="E611" s="60" t="str">
        <f>IF(Data!E609="GpsRecord",Data!F609,"")</f>
        <v/>
      </c>
      <c r="F611" s="68" t="str">
        <f t="shared" si="138"/>
        <v>717 NE 122nd St, Oklahoma City, OK 73114, USA</v>
      </c>
      <c r="G611" t="b">
        <f t="shared" si="139"/>
        <v>0</v>
      </c>
      <c r="H611" t="b">
        <f t="shared" si="140"/>
        <v>0</v>
      </c>
      <c r="I611" t="b">
        <f t="shared" si="141"/>
        <v>0</v>
      </c>
      <c r="J611" t="str">
        <f t="shared" si="142"/>
        <v/>
      </c>
      <c r="K611" t="str">
        <f t="shared" si="143"/>
        <v/>
      </c>
      <c r="L611" t="str">
        <f t="shared" si="144"/>
        <v>,</v>
      </c>
      <c r="M611" t="str">
        <f t="shared" si="145"/>
        <v/>
      </c>
      <c r="N611" t="str">
        <f t="shared" si="146"/>
        <v/>
      </c>
      <c r="O611" t="str">
        <f t="shared" si="147"/>
        <v/>
      </c>
      <c r="P611" t="str">
        <f t="shared" si="148"/>
        <v/>
      </c>
      <c r="Q611" t="str">
        <f t="shared" si="149"/>
        <v/>
      </c>
      <c r="R611" s="20" t="str">
        <f t="shared" si="150"/>
        <v>OK</v>
      </c>
      <c r="S611" s="20" t="str">
        <f>IF(Data!E609="GpsRecord",Data!G609,"")</f>
        <v/>
      </c>
      <c r="T611" s="20" t="str">
        <f>IF(Data!E609="GpsRecord",Data!H609,"")</f>
        <v/>
      </c>
      <c r="U611" s="20">
        <f t="shared" si="151"/>
        <v>-39.395389999999999</v>
      </c>
      <c r="V611" s="20">
        <f t="shared" si="152"/>
        <v>33.740450000000003</v>
      </c>
      <c r="W611" s="19">
        <f>Data!I609</f>
        <v>0</v>
      </c>
      <c r="X611" s="17" t="str">
        <f>CONCATENATE(Data!J609, " ", Data!K609)</f>
        <v xml:space="preserve"> </v>
      </c>
    </row>
    <row r="612" spans="1:24" x14ac:dyDescent="0.3">
      <c r="A612" s="17" t="str">
        <f>Data!A610</f>
        <v>vehicle1</v>
      </c>
      <c r="B612" s="17" t="str">
        <f>Data!B610</f>
        <v>Vehicle, Gasoline or Petrol</v>
      </c>
      <c r="C612" s="17" t="str">
        <f>Data!C610</f>
        <v>1f2g3h4j5k6l</v>
      </c>
      <c r="D612" s="52">
        <f>Data!D610</f>
        <v>45066.157592592594</v>
      </c>
      <c r="E612" s="60" t="str">
        <f>IF(Data!E610="GpsRecord",Data!F610,"")</f>
        <v/>
      </c>
      <c r="F612" s="68" t="str">
        <f t="shared" si="138"/>
        <v>717 NE 122nd St, Oklahoma City, OK 73114, USA</v>
      </c>
      <c r="G612" t="b">
        <f t="shared" si="139"/>
        <v>0</v>
      </c>
      <c r="H612" t="b">
        <f t="shared" si="140"/>
        <v>0</v>
      </c>
      <c r="I612" t="b">
        <f t="shared" si="141"/>
        <v>0</v>
      </c>
      <c r="J612" t="str">
        <f t="shared" si="142"/>
        <v/>
      </c>
      <c r="K612" t="str">
        <f t="shared" si="143"/>
        <v/>
      </c>
      <c r="L612" t="str">
        <f t="shared" si="144"/>
        <v>,</v>
      </c>
      <c r="M612" t="str">
        <f t="shared" si="145"/>
        <v/>
      </c>
      <c r="N612" t="str">
        <f t="shared" si="146"/>
        <v/>
      </c>
      <c r="O612" t="str">
        <f t="shared" si="147"/>
        <v/>
      </c>
      <c r="P612" t="str">
        <f t="shared" si="148"/>
        <v/>
      </c>
      <c r="Q612" t="str">
        <f t="shared" si="149"/>
        <v/>
      </c>
      <c r="R612" s="20" t="str">
        <f t="shared" si="150"/>
        <v>OK</v>
      </c>
      <c r="S612" s="20" t="str">
        <f>IF(Data!E610="GpsRecord",Data!G610,"")</f>
        <v/>
      </c>
      <c r="T612" s="20" t="str">
        <f>IF(Data!E610="GpsRecord",Data!H610,"")</f>
        <v/>
      </c>
      <c r="U612" s="20">
        <f t="shared" si="151"/>
        <v>-39.395389999999999</v>
      </c>
      <c r="V612" s="20">
        <f t="shared" si="152"/>
        <v>33.740450000000003</v>
      </c>
      <c r="W612" s="19" t="str">
        <f>Data!I610</f>
        <v>ADAS left lane departure warning</v>
      </c>
      <c r="X612" s="17" t="str">
        <f>CONCATENATE(Data!J610, " ", Data!K610)</f>
        <v>1 None</v>
      </c>
    </row>
    <row r="613" spans="1:24" x14ac:dyDescent="0.3">
      <c r="A613" s="17" t="str">
        <f>Data!A611</f>
        <v>vehicle1</v>
      </c>
      <c r="B613" s="17" t="str">
        <f>Data!B611</f>
        <v>Vehicle, Gasoline or Petrol</v>
      </c>
      <c r="C613" s="17" t="str">
        <f>Data!C611</f>
        <v>1f2g3h4j5k6l</v>
      </c>
      <c r="D613" s="52">
        <f>Data!D611</f>
        <v>45066.157592592594</v>
      </c>
      <c r="E613" s="60" t="str">
        <f>IF(Data!E611="GpsRecord",Data!F611,"")</f>
        <v/>
      </c>
      <c r="F613" s="68" t="str">
        <f t="shared" si="138"/>
        <v>717 NE 122nd St, Oklahoma City, OK 73114, USA</v>
      </c>
      <c r="G613" t="b">
        <f t="shared" si="139"/>
        <v>0</v>
      </c>
      <c r="H613" t="b">
        <f t="shared" si="140"/>
        <v>0</v>
      </c>
      <c r="I613" t="b">
        <f t="shared" si="141"/>
        <v>0</v>
      </c>
      <c r="J613" t="str">
        <f t="shared" si="142"/>
        <v/>
      </c>
      <c r="K613" t="str">
        <f t="shared" si="143"/>
        <v/>
      </c>
      <c r="L613" t="str">
        <f t="shared" si="144"/>
        <v>,</v>
      </c>
      <c r="M613" t="str">
        <f t="shared" si="145"/>
        <v/>
      </c>
      <c r="N613" t="str">
        <f t="shared" si="146"/>
        <v/>
      </c>
      <c r="O613" t="str">
        <f t="shared" si="147"/>
        <v/>
      </c>
      <c r="P613" t="str">
        <f t="shared" si="148"/>
        <v/>
      </c>
      <c r="Q613" t="str">
        <f t="shared" si="149"/>
        <v/>
      </c>
      <c r="R613" s="20" t="str">
        <f t="shared" si="150"/>
        <v>OK</v>
      </c>
      <c r="S613" s="20" t="str">
        <f>IF(Data!E611="GpsRecord",Data!G611,"")</f>
        <v/>
      </c>
      <c r="T613" s="20" t="str">
        <f>IF(Data!E611="GpsRecord",Data!H611,"")</f>
        <v/>
      </c>
      <c r="U613" s="20">
        <f t="shared" si="151"/>
        <v>-39.395389999999999</v>
      </c>
      <c r="V613" s="20">
        <f t="shared" si="152"/>
        <v>33.740450000000003</v>
      </c>
      <c r="W613" s="19">
        <f>Data!I611</f>
        <v>0</v>
      </c>
      <c r="X613" s="17" t="str">
        <f>CONCATENATE(Data!J611, " ", Data!K611)</f>
        <v xml:space="preserve"> </v>
      </c>
    </row>
    <row r="614" spans="1:24" x14ac:dyDescent="0.3">
      <c r="A614" s="17" t="str">
        <f>Data!A612</f>
        <v>vehicle1</v>
      </c>
      <c r="B614" s="17" t="str">
        <f>Data!B612</f>
        <v>Vehicle, Gasoline or Petrol</v>
      </c>
      <c r="C614" s="17" t="str">
        <f>Data!C612</f>
        <v>1f2g3h4j5k6l</v>
      </c>
      <c r="D614" s="52">
        <f>Data!D612</f>
        <v>45066.157592592594</v>
      </c>
      <c r="E614" s="60" t="str">
        <f>IF(Data!E612="GpsRecord",Data!F612,"")</f>
        <v/>
      </c>
      <c r="F614" s="68" t="str">
        <f t="shared" si="138"/>
        <v>717 NE 122nd St, Oklahoma City, OK 73114, USA</v>
      </c>
      <c r="G614" t="b">
        <f t="shared" si="139"/>
        <v>0</v>
      </c>
      <c r="H614" t="b">
        <f t="shared" si="140"/>
        <v>0</v>
      </c>
      <c r="I614" t="b">
        <f t="shared" si="141"/>
        <v>0</v>
      </c>
      <c r="J614" t="str">
        <f t="shared" si="142"/>
        <v/>
      </c>
      <c r="K614" t="str">
        <f t="shared" si="143"/>
        <v/>
      </c>
      <c r="L614" t="str">
        <f t="shared" si="144"/>
        <v>,</v>
      </c>
      <c r="M614" t="str">
        <f t="shared" si="145"/>
        <v/>
      </c>
      <c r="N614" t="str">
        <f t="shared" si="146"/>
        <v/>
      </c>
      <c r="O614" t="str">
        <f t="shared" si="147"/>
        <v/>
      </c>
      <c r="P614" t="str">
        <f t="shared" si="148"/>
        <v/>
      </c>
      <c r="Q614" t="str">
        <f t="shared" si="149"/>
        <v/>
      </c>
      <c r="R614" s="20" t="str">
        <f t="shared" si="150"/>
        <v>OK</v>
      </c>
      <c r="S614" s="20" t="str">
        <f>IF(Data!E612="GpsRecord",Data!G612,"")</f>
        <v/>
      </c>
      <c r="T614" s="20" t="str">
        <f>IF(Data!E612="GpsRecord",Data!H612,"")</f>
        <v/>
      </c>
      <c r="U614" s="20">
        <f t="shared" si="151"/>
        <v>-39.395389999999999</v>
      </c>
      <c r="V614" s="20">
        <f t="shared" si="152"/>
        <v>33.740450000000003</v>
      </c>
      <c r="W614" s="19">
        <f>Data!I612</f>
        <v>0</v>
      </c>
      <c r="X614" s="17" t="str">
        <f>CONCATENATE(Data!J612, " ", Data!K612)</f>
        <v xml:space="preserve"> </v>
      </c>
    </row>
    <row r="615" spans="1:24" x14ac:dyDescent="0.3">
      <c r="A615" s="17" t="str">
        <f>Data!A613</f>
        <v>vehicle1</v>
      </c>
      <c r="B615" s="17" t="str">
        <f>Data!B613</f>
        <v>Vehicle, Gasoline or Petrol</v>
      </c>
      <c r="C615" s="17" t="str">
        <f>Data!C613</f>
        <v>1f2g3h4j5k6l</v>
      </c>
      <c r="D615" s="52">
        <f>Data!D613</f>
        <v>45066.157604166663</v>
      </c>
      <c r="E615" s="60" t="str">
        <f>IF(Data!E613="GpsRecord",Data!F613,"")</f>
        <v/>
      </c>
      <c r="F615" s="68" t="str">
        <f t="shared" si="138"/>
        <v>717 NE 122nd St, Oklahoma City, OK 73114, USA</v>
      </c>
      <c r="G615" t="b">
        <f t="shared" si="139"/>
        <v>0</v>
      </c>
      <c r="H615" t="b">
        <f t="shared" si="140"/>
        <v>0</v>
      </c>
      <c r="I615" t="b">
        <f t="shared" si="141"/>
        <v>0</v>
      </c>
      <c r="J615" t="str">
        <f t="shared" si="142"/>
        <v/>
      </c>
      <c r="K615" t="str">
        <f t="shared" si="143"/>
        <v/>
      </c>
      <c r="L615" t="str">
        <f t="shared" si="144"/>
        <v>,</v>
      </c>
      <c r="M615" t="str">
        <f t="shared" si="145"/>
        <v/>
      </c>
      <c r="N615" t="str">
        <f t="shared" si="146"/>
        <v/>
      </c>
      <c r="O615" t="str">
        <f t="shared" si="147"/>
        <v/>
      </c>
      <c r="P615" t="str">
        <f t="shared" si="148"/>
        <v/>
      </c>
      <c r="Q615" t="str">
        <f t="shared" si="149"/>
        <v/>
      </c>
      <c r="R615" s="20" t="str">
        <f t="shared" si="150"/>
        <v>OK</v>
      </c>
      <c r="S615" s="20" t="str">
        <f>IF(Data!E613="GpsRecord",Data!G613,"")</f>
        <v/>
      </c>
      <c r="T615" s="20" t="str">
        <f>IF(Data!E613="GpsRecord",Data!H613,"")</f>
        <v/>
      </c>
      <c r="U615" s="20">
        <f t="shared" si="151"/>
        <v>-39.395389999999999</v>
      </c>
      <c r="V615" s="20">
        <f t="shared" si="152"/>
        <v>33.740450000000003</v>
      </c>
      <c r="W615" s="19" t="str">
        <f>Data!I613</f>
        <v>Odometer</v>
      </c>
      <c r="X615" s="17" t="str">
        <f>CONCATENATE(Data!J613, " ", Data!K613)</f>
        <v>82836 km</v>
      </c>
    </row>
    <row r="616" spans="1:24" x14ac:dyDescent="0.3">
      <c r="A616" s="17" t="str">
        <f>Data!A614</f>
        <v>vehicle1</v>
      </c>
      <c r="B616" s="17" t="str">
        <f>Data!B614</f>
        <v>Vehicle, Gasoline or Petrol</v>
      </c>
      <c r="C616" s="17" t="str">
        <f>Data!C614</f>
        <v>1f2g3h4j5k6l</v>
      </c>
      <c r="D616" s="52">
        <f>Data!D614</f>
        <v>45066.157604166663</v>
      </c>
      <c r="E616" s="60" t="str">
        <f>IF(Data!E614="GpsRecord",Data!F614,"")</f>
        <v/>
      </c>
      <c r="F616" s="68" t="str">
        <f t="shared" si="138"/>
        <v>717 NE 122nd St, Oklahoma City, OK 73114, USA</v>
      </c>
      <c r="G616" t="b">
        <f t="shared" si="139"/>
        <v>0</v>
      </c>
      <c r="H616" t="b">
        <f t="shared" si="140"/>
        <v>0</v>
      </c>
      <c r="I616" t="b">
        <f t="shared" si="141"/>
        <v>0</v>
      </c>
      <c r="J616" t="str">
        <f t="shared" si="142"/>
        <v/>
      </c>
      <c r="K616" t="str">
        <f t="shared" si="143"/>
        <v/>
      </c>
      <c r="L616" t="str">
        <f t="shared" si="144"/>
        <v>,</v>
      </c>
      <c r="M616" t="str">
        <f t="shared" si="145"/>
        <v/>
      </c>
      <c r="N616" t="str">
        <f t="shared" si="146"/>
        <v/>
      </c>
      <c r="O616" t="str">
        <f t="shared" si="147"/>
        <v/>
      </c>
      <c r="P616" t="str">
        <f t="shared" si="148"/>
        <v/>
      </c>
      <c r="Q616" t="str">
        <f t="shared" si="149"/>
        <v/>
      </c>
      <c r="R616" s="20" t="str">
        <f t="shared" si="150"/>
        <v>OK</v>
      </c>
      <c r="S616" s="20" t="str">
        <f>IF(Data!E614="GpsRecord",Data!G614,"")</f>
        <v/>
      </c>
      <c r="T616" s="20" t="str">
        <f>IF(Data!E614="GpsRecord",Data!H614,"")</f>
        <v/>
      </c>
      <c r="U616" s="20">
        <f t="shared" si="151"/>
        <v>-39.395389999999999</v>
      </c>
      <c r="V616" s="20">
        <f t="shared" si="152"/>
        <v>33.740450000000003</v>
      </c>
      <c r="W616" s="19" t="str">
        <f>Data!I614</f>
        <v>Raw odometer</v>
      </c>
      <c r="X616" s="17" t="str">
        <f>CONCATENATE(Data!J614, " ", Data!K614)</f>
        <v>82836 km</v>
      </c>
    </row>
    <row r="617" spans="1:24" x14ac:dyDescent="0.3">
      <c r="A617" s="17" t="str">
        <f>Data!A615</f>
        <v>vehicle1</v>
      </c>
      <c r="B617" s="17" t="str">
        <f>Data!B615</f>
        <v>Vehicle, Gasoline or Petrol</v>
      </c>
      <c r="C617" s="17" t="str">
        <f>Data!C615</f>
        <v>1f2g3h4j5k6l</v>
      </c>
      <c r="D617" s="52">
        <f>Data!D615</f>
        <v>45066.157627314817</v>
      </c>
      <c r="E617" s="60" t="str">
        <f>IF(Data!E615="GpsRecord",Data!F615,"")</f>
        <v/>
      </c>
      <c r="F617" s="68" t="str">
        <f t="shared" si="138"/>
        <v>717 NE 122nd St, Oklahoma City, OK 73114, USA</v>
      </c>
      <c r="G617" t="b">
        <f t="shared" si="139"/>
        <v>0</v>
      </c>
      <c r="H617" t="b">
        <f t="shared" si="140"/>
        <v>0</v>
      </c>
      <c r="I617" t="b">
        <f t="shared" si="141"/>
        <v>0</v>
      </c>
      <c r="J617" t="str">
        <f t="shared" si="142"/>
        <v/>
      </c>
      <c r="K617" t="str">
        <f t="shared" si="143"/>
        <v/>
      </c>
      <c r="L617" t="str">
        <f t="shared" si="144"/>
        <v>,</v>
      </c>
      <c r="M617" t="str">
        <f t="shared" si="145"/>
        <v/>
      </c>
      <c r="N617" t="str">
        <f t="shared" si="146"/>
        <v/>
      </c>
      <c r="O617" t="str">
        <f t="shared" si="147"/>
        <v/>
      </c>
      <c r="P617" t="str">
        <f t="shared" si="148"/>
        <v/>
      </c>
      <c r="Q617" t="str">
        <f t="shared" si="149"/>
        <v/>
      </c>
      <c r="R617" s="20" t="str">
        <f t="shared" si="150"/>
        <v>OK</v>
      </c>
      <c r="S617" s="20" t="str">
        <f>IF(Data!E615="GpsRecord",Data!G615,"")</f>
        <v/>
      </c>
      <c r="T617" s="20" t="str">
        <f>IF(Data!E615="GpsRecord",Data!H615,"")</f>
        <v/>
      </c>
      <c r="U617" s="20">
        <f t="shared" si="151"/>
        <v>-39.395389999999999</v>
      </c>
      <c r="V617" s="20">
        <f t="shared" si="152"/>
        <v>33.740450000000003</v>
      </c>
      <c r="W617" s="19" t="str">
        <f>Data!I615</f>
        <v>Engine speed</v>
      </c>
      <c r="X617" s="17" t="str">
        <f>CONCATENATE(Data!J615, " ", Data!K615)</f>
        <v>1977.5 RPM</v>
      </c>
    </row>
    <row r="618" spans="1:24" x14ac:dyDescent="0.3">
      <c r="A618" s="17" t="str">
        <f>Data!A616</f>
        <v>vehicle1</v>
      </c>
      <c r="B618" s="17" t="str">
        <f>Data!B616</f>
        <v>Vehicle, Gasoline or Petrol</v>
      </c>
      <c r="C618" s="17" t="str">
        <f>Data!C616</f>
        <v>1f2g3h4j5k6l</v>
      </c>
      <c r="D618" s="52">
        <f>Data!D616</f>
        <v>45066.157627314817</v>
      </c>
      <c r="E618" s="60" t="str">
        <f>IF(Data!E616="GpsRecord",Data!F616,"")</f>
        <v/>
      </c>
      <c r="F618" s="68" t="str">
        <f t="shared" si="138"/>
        <v>717 NE 122nd St, Oklahoma City, OK 73114, USA</v>
      </c>
      <c r="G618" t="b">
        <f t="shared" si="139"/>
        <v>0</v>
      </c>
      <c r="H618" t="b">
        <f t="shared" si="140"/>
        <v>0</v>
      </c>
      <c r="I618" t="b">
        <f t="shared" si="141"/>
        <v>0</v>
      </c>
      <c r="J618" t="str">
        <f t="shared" si="142"/>
        <v/>
      </c>
      <c r="K618" t="str">
        <f t="shared" si="143"/>
        <v/>
      </c>
      <c r="L618" t="str">
        <f t="shared" si="144"/>
        <v>,</v>
      </c>
      <c r="M618" t="str">
        <f t="shared" si="145"/>
        <v/>
      </c>
      <c r="N618" t="str">
        <f t="shared" si="146"/>
        <v/>
      </c>
      <c r="O618" t="str">
        <f t="shared" si="147"/>
        <v/>
      </c>
      <c r="P618" t="str">
        <f t="shared" si="148"/>
        <v/>
      </c>
      <c r="Q618" t="str">
        <f t="shared" si="149"/>
        <v/>
      </c>
      <c r="R618" s="20" t="str">
        <f t="shared" si="150"/>
        <v>OK</v>
      </c>
      <c r="S618" s="20" t="str">
        <f>IF(Data!E616="GpsRecord",Data!G616,"")</f>
        <v/>
      </c>
      <c r="T618" s="20" t="str">
        <f>IF(Data!E616="GpsRecord",Data!H616,"")</f>
        <v/>
      </c>
      <c r="U618" s="20">
        <f t="shared" si="151"/>
        <v>-39.395389999999999</v>
      </c>
      <c r="V618" s="20">
        <f t="shared" si="152"/>
        <v>33.740450000000003</v>
      </c>
      <c r="W618" s="19" t="str">
        <f>Data!I616</f>
        <v>Engine road speed</v>
      </c>
      <c r="X618" s="17" t="str">
        <f>CONCATENATE(Data!J616, " ", Data!K616)</f>
        <v>93 km/h</v>
      </c>
    </row>
    <row r="619" spans="1:24" x14ac:dyDescent="0.3">
      <c r="A619" s="17" t="str">
        <f>Data!A617</f>
        <v>vehicle1</v>
      </c>
      <c r="B619" s="17" t="str">
        <f>Data!B617</f>
        <v>Vehicle, Gasoline or Petrol</v>
      </c>
      <c r="C619" s="17" t="str">
        <f>Data!C617</f>
        <v>1f2g3h4j5k6l</v>
      </c>
      <c r="D619" s="52">
        <f>Data!D617</f>
        <v>45066.15766203704</v>
      </c>
      <c r="E619" s="60" t="str">
        <f>IF(Data!E617="GpsRecord",Data!F617,"")</f>
        <v>717 NE 122nd St, Oklahoma City, OK 73114, USA</v>
      </c>
      <c r="F619" s="68" t="str">
        <f t="shared" si="138"/>
        <v>717 NE 122nd St, Oklahoma City, OK 73114, USA</v>
      </c>
      <c r="G619" t="b">
        <f t="shared" si="139"/>
        <v>0</v>
      </c>
      <c r="H619" t="b">
        <f t="shared" si="140"/>
        <v>1</v>
      </c>
      <c r="I619" t="b">
        <f t="shared" si="141"/>
        <v>1</v>
      </c>
      <c r="J619" t="str">
        <f t="shared" si="142"/>
        <v>717 NE 122nd St, Oklahoma City, OK 73114, USA</v>
      </c>
      <c r="K619" t="str">
        <f t="shared" si="143"/>
        <v xml:space="preserve"> USA</v>
      </c>
      <c r="L619" t="str">
        <f t="shared" si="144"/>
        <v>, USA</v>
      </c>
      <c r="M619" t="str">
        <f t="shared" si="145"/>
        <v>717 NE 122nd St, Oklahoma City, OK 73114</v>
      </c>
      <c r="N619" t="str">
        <f t="shared" si="146"/>
        <v xml:space="preserve"> OK 73114</v>
      </c>
      <c r="O619" t="str">
        <f t="shared" si="147"/>
        <v>73114</v>
      </c>
      <c r="P619" t="str">
        <f t="shared" si="148"/>
        <v xml:space="preserve"> OK</v>
      </c>
      <c r="Q619" t="str">
        <f t="shared" si="149"/>
        <v>OK</v>
      </c>
      <c r="R619" s="20" t="str">
        <f t="shared" si="150"/>
        <v>OK</v>
      </c>
      <c r="S619" s="20">
        <f>IF(Data!E617="GpsRecord",Data!G617,"")</f>
        <v>-39.393999999999998</v>
      </c>
      <c r="T619" s="20">
        <f>IF(Data!E617="GpsRecord",Data!H617,"")</f>
        <v>33.741630000000001</v>
      </c>
      <c r="U619" s="20">
        <f t="shared" si="151"/>
        <v>-39.393999999999998</v>
      </c>
      <c r="V619" s="20">
        <f t="shared" si="152"/>
        <v>33.741630000000001</v>
      </c>
      <c r="W619" s="19">
        <f>Data!I617</f>
        <v>0</v>
      </c>
      <c r="X619" s="17" t="str">
        <f>CONCATENATE(Data!J617, " ", Data!K617)</f>
        <v xml:space="preserve"> </v>
      </c>
    </row>
    <row r="620" spans="1:24" x14ac:dyDescent="0.3">
      <c r="A620" s="17" t="str">
        <f>Data!A618</f>
        <v>vehicle1</v>
      </c>
      <c r="B620" s="17" t="str">
        <f>Data!B618</f>
        <v>Vehicle, Gasoline or Petrol</v>
      </c>
      <c r="C620" s="17" t="str">
        <f>Data!C618</f>
        <v>1f2g3h4j5k6l</v>
      </c>
      <c r="D620" s="52">
        <f>Data!D618</f>
        <v>45066.157708333332</v>
      </c>
      <c r="E620" s="60" t="str">
        <f>IF(Data!E618="GpsRecord",Data!F618,"")</f>
        <v/>
      </c>
      <c r="F620" s="68" t="str">
        <f t="shared" si="138"/>
        <v>717 NE 122nd St, Oklahoma City, OK 73114, USA</v>
      </c>
      <c r="G620" t="b">
        <f t="shared" si="139"/>
        <v>0</v>
      </c>
      <c r="H620" t="b">
        <f t="shared" si="140"/>
        <v>0</v>
      </c>
      <c r="I620" t="b">
        <f t="shared" si="141"/>
        <v>0</v>
      </c>
      <c r="J620" t="str">
        <f t="shared" si="142"/>
        <v/>
      </c>
      <c r="K620" t="str">
        <f t="shared" si="143"/>
        <v/>
      </c>
      <c r="L620" t="str">
        <f t="shared" si="144"/>
        <v>,</v>
      </c>
      <c r="M620" t="str">
        <f t="shared" si="145"/>
        <v/>
      </c>
      <c r="N620" t="str">
        <f t="shared" si="146"/>
        <v/>
      </c>
      <c r="O620" t="str">
        <f t="shared" si="147"/>
        <v/>
      </c>
      <c r="P620" t="str">
        <f t="shared" si="148"/>
        <v/>
      </c>
      <c r="Q620" t="str">
        <f t="shared" si="149"/>
        <v/>
      </c>
      <c r="R620" s="20" t="str">
        <f t="shared" si="150"/>
        <v>OK</v>
      </c>
      <c r="S620" s="20" t="str">
        <f>IF(Data!E618="GpsRecord",Data!G618,"")</f>
        <v/>
      </c>
      <c r="T620" s="20" t="str">
        <f>IF(Data!E618="GpsRecord",Data!H618,"")</f>
        <v/>
      </c>
      <c r="U620" s="20">
        <f t="shared" si="151"/>
        <v>-39.393999999999998</v>
      </c>
      <c r="V620" s="20">
        <f t="shared" si="152"/>
        <v>33.741630000000001</v>
      </c>
      <c r="W620" s="19" t="str">
        <f>Data!I618</f>
        <v>Engine road speed</v>
      </c>
      <c r="X620" s="17" t="str">
        <f>CONCATENATE(Data!J618, " ", Data!K618)</f>
        <v>88 km/h</v>
      </c>
    </row>
    <row r="621" spans="1:24" x14ac:dyDescent="0.3">
      <c r="A621" s="17" t="str">
        <f>Data!A619</f>
        <v>vehicle1</v>
      </c>
      <c r="B621" s="17" t="str">
        <f>Data!B619</f>
        <v>Vehicle, Gasoline or Petrol</v>
      </c>
      <c r="C621" s="17" t="str">
        <f>Data!C619</f>
        <v>1f2g3h4j5k6l</v>
      </c>
      <c r="D621" s="52">
        <f>Data!D619</f>
        <v>45066.157719907409</v>
      </c>
      <c r="E621" s="60" t="str">
        <f>IF(Data!E619="GpsRecord",Data!F619,"")</f>
        <v>717 NE 122nd St, Oklahoma City, OK 73114, USA</v>
      </c>
      <c r="F621" s="68" t="str">
        <f t="shared" si="138"/>
        <v>717 NE 122nd St, Oklahoma City, OK 73114, USA</v>
      </c>
      <c r="G621" t="b">
        <f t="shared" si="139"/>
        <v>0</v>
      </c>
      <c r="H621" t="b">
        <f t="shared" si="140"/>
        <v>1</v>
      </c>
      <c r="I621" t="b">
        <f t="shared" si="141"/>
        <v>1</v>
      </c>
      <c r="J621" t="str">
        <f t="shared" si="142"/>
        <v>717 NE 122nd St, Oklahoma City, OK 73114, USA</v>
      </c>
      <c r="K621" t="str">
        <f t="shared" si="143"/>
        <v xml:space="preserve"> USA</v>
      </c>
      <c r="L621" t="str">
        <f t="shared" si="144"/>
        <v>, USA</v>
      </c>
      <c r="M621" t="str">
        <f t="shared" si="145"/>
        <v>717 NE 122nd St, Oklahoma City, OK 73114</v>
      </c>
      <c r="N621" t="str">
        <f t="shared" si="146"/>
        <v xml:space="preserve"> OK 73114</v>
      </c>
      <c r="O621" t="str">
        <f t="shared" si="147"/>
        <v>73114</v>
      </c>
      <c r="P621" t="str">
        <f t="shared" si="148"/>
        <v xml:space="preserve"> OK</v>
      </c>
      <c r="Q621" t="str">
        <f t="shared" si="149"/>
        <v>OK</v>
      </c>
      <c r="R621" s="20" t="str">
        <f t="shared" si="150"/>
        <v>OK</v>
      </c>
      <c r="S621" s="20">
        <f>IF(Data!E619="GpsRecord",Data!G619,"")</f>
        <v>-39.392769999999999</v>
      </c>
      <c r="T621" s="20">
        <f>IF(Data!E619="GpsRecord",Data!H619,"")</f>
        <v>33.742269999999998</v>
      </c>
      <c r="U621" s="20">
        <f t="shared" si="151"/>
        <v>-39.392769999999999</v>
      </c>
      <c r="V621" s="20">
        <f t="shared" si="152"/>
        <v>33.742269999999998</v>
      </c>
      <c r="W621" s="19">
        <f>Data!I619</f>
        <v>0</v>
      </c>
      <c r="X621" s="17" t="str">
        <f>CONCATENATE(Data!J619, " ", Data!K619)</f>
        <v xml:space="preserve"> </v>
      </c>
    </row>
    <row r="622" spans="1:24" x14ac:dyDescent="0.3">
      <c r="W622" s="21"/>
    </row>
    <row r="623" spans="1:24" x14ac:dyDescent="0.3">
      <c r="W623" s="21"/>
    </row>
  </sheetData>
  <autoFilter ref="A12:X12" xr:uid="{00000000-0009-0000-0000-000001000000}"/>
  <mergeCells count="1">
    <mergeCell ref="A4:B4"/>
  </mergeCells>
  <phoneticPr fontId="28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45"/>
  <sheetViews>
    <sheetView showGridLines="0" tabSelected="1" zoomScaleNormal="100" workbookViewId="0"/>
  </sheetViews>
  <sheetFormatPr defaultColWidth="9.140625" defaultRowHeight="16.5" x14ac:dyDescent="0.3"/>
  <cols>
    <col min="1" max="2" width="25.7109375" style="29" customWidth="1"/>
    <col min="3" max="4" width="25.7109375" style="30" customWidth="1"/>
    <col min="5" max="5" width="53.5703125" style="29" customWidth="1"/>
    <col min="6" max="6" width="20.7109375" style="29" customWidth="1"/>
    <col min="7" max="8" width="13" style="29" customWidth="1"/>
    <col min="9" max="9" width="13" hidden="1" customWidth="1"/>
  </cols>
  <sheetData>
    <row r="1" spans="1:10" s="48" customFormat="1" ht="25.5" customHeight="1" x14ac:dyDescent="0.45">
      <c r="A1" s="44" t="s">
        <v>633</v>
      </c>
      <c r="B1" s="56"/>
      <c r="C1" s="57"/>
      <c r="D1" s="58">
        <f>Data!B2</f>
        <v>45443.578743275466</v>
      </c>
      <c r="E1" s="56"/>
      <c r="F1" s="56"/>
      <c r="G1" s="56"/>
      <c r="H1" s="58"/>
    </row>
    <row r="2" spans="1:10" ht="25.5" customHeight="1" x14ac:dyDescent="0.5">
      <c r="A2" s="28" t="str">
        <f>Data!B1</f>
        <v>abc_company</v>
      </c>
      <c r="H2" s="30"/>
    </row>
    <row r="3" spans="1:10" ht="17.45" customHeight="1" x14ac:dyDescent="0.3">
      <c r="B3" s="31"/>
      <c r="C3" s="32"/>
      <c r="D3" s="32"/>
      <c r="E3" s="33"/>
      <c r="F3" s="33"/>
      <c r="G3" s="34"/>
    </row>
    <row r="4" spans="1:10" ht="17.45" customHeight="1" x14ac:dyDescent="0.3">
      <c r="A4" s="69" t="s">
        <v>23</v>
      </c>
      <c r="B4" s="69"/>
      <c r="C4" s="35"/>
      <c r="D4" s="70" t="str">
        <f>IF(COUNTA(A13:A50)=0, "Data absent in the table below means there is no raw odometer available for this vehicle. Please reach out to your designated support channel for help with pulling a report with odometer values from other sources.", "")</f>
        <v/>
      </c>
      <c r="E4" s="70"/>
      <c r="F4" s="70"/>
      <c r="G4" s="70"/>
      <c r="H4" s="70"/>
    </row>
    <row r="5" spans="1:10" ht="17.45" customHeight="1" x14ac:dyDescent="0.3">
      <c r="A5" s="37" t="s">
        <v>617</v>
      </c>
      <c r="B5" s="38">
        <f>Data!B3</f>
        <v>45442.854166666664</v>
      </c>
      <c r="C5" s="35"/>
      <c r="D5" s="70"/>
      <c r="E5" s="70"/>
      <c r="F5" s="70"/>
      <c r="G5" s="70"/>
      <c r="H5" s="70"/>
    </row>
    <row r="6" spans="1:10" ht="17.45" customHeight="1" x14ac:dyDescent="0.3">
      <c r="A6" s="37" t="s">
        <v>618</v>
      </c>
      <c r="B6" s="38">
        <f>Data!B4</f>
        <v>45442.895833333336</v>
      </c>
      <c r="C6" s="35"/>
      <c r="D6" s="70"/>
      <c r="E6" s="70"/>
      <c r="F6" s="70"/>
      <c r="G6" s="70"/>
      <c r="H6" s="70"/>
    </row>
    <row r="7" spans="1:10" ht="17.45" customHeight="1" x14ac:dyDescent="0.3">
      <c r="A7" s="37" t="s">
        <v>619</v>
      </c>
      <c r="B7" s="39">
        <f>B6-B5</f>
        <v>4.1666666671517305E-2</v>
      </c>
      <c r="C7" s="35"/>
      <c r="D7" s="70"/>
      <c r="E7" s="70"/>
      <c r="F7" s="70"/>
      <c r="G7" s="70"/>
      <c r="H7" s="70"/>
    </row>
    <row r="8" spans="1:10" ht="17.45" customHeight="1" x14ac:dyDescent="0.3">
      <c r="A8" s="40"/>
      <c r="B8" s="36"/>
      <c r="C8" s="35"/>
      <c r="D8" s="70"/>
      <c r="E8" s="70"/>
      <c r="F8" s="70"/>
      <c r="G8" s="70"/>
      <c r="H8" s="70"/>
    </row>
    <row r="9" spans="1:10" ht="17.45" customHeight="1" x14ac:dyDescent="0.3">
      <c r="A9" s="41" t="s">
        <v>620</v>
      </c>
      <c r="B9" s="38" t="str">
        <f>Data!B5</f>
        <v>America/New_York</v>
      </c>
      <c r="C9" s="42"/>
      <c r="D9" s="70"/>
      <c r="E9" s="70"/>
      <c r="F9" s="70"/>
      <c r="G9" s="70"/>
      <c r="H9" s="70"/>
    </row>
    <row r="10" spans="1:10" ht="17.45" customHeight="1" x14ac:dyDescent="0.3">
      <c r="A10" s="41" t="s">
        <v>621</v>
      </c>
      <c r="B10" s="38" t="str">
        <f>Data!B6</f>
        <v>km/h</v>
      </c>
      <c r="C10" s="43"/>
      <c r="D10" s="70"/>
      <c r="E10" s="70"/>
      <c r="F10" s="70"/>
      <c r="G10" s="70"/>
      <c r="H10" s="70"/>
    </row>
    <row r="11" spans="1:10" ht="17.45" customHeight="1" x14ac:dyDescent="0.3"/>
    <row r="12" spans="1:10" x14ac:dyDescent="0.3">
      <c r="A12" s="53" t="s">
        <v>622</v>
      </c>
      <c r="B12" s="53" t="s">
        <v>623</v>
      </c>
      <c r="C12" s="53" t="s">
        <v>640</v>
      </c>
      <c r="D12" s="53" t="s">
        <v>636</v>
      </c>
      <c r="E12" s="53" t="s">
        <v>667</v>
      </c>
      <c r="F12" s="53" t="s">
        <v>643</v>
      </c>
      <c r="G12" s="53" t="s">
        <v>178</v>
      </c>
      <c r="H12" s="53" t="s">
        <v>189</v>
      </c>
      <c r="I12" s="53" t="s">
        <v>624</v>
      </c>
      <c r="J12" s="53" t="s">
        <v>555</v>
      </c>
    </row>
    <row r="13" spans="1:10" x14ac:dyDescent="0.3">
      <c r="A13" s="54" t="s">
        <v>632</v>
      </c>
      <c r="B13" s="54" t="s">
        <v>631</v>
      </c>
      <c r="C13" s="54" t="s">
        <v>638</v>
      </c>
      <c r="D13" s="55">
        <v>45066.132210648146</v>
      </c>
      <c r="E13" s="54" t="s">
        <v>646</v>
      </c>
      <c r="F13" s="54" t="s">
        <v>656</v>
      </c>
      <c r="G13" s="54">
        <v>-39.421039999999998</v>
      </c>
      <c r="H13" s="54">
        <v>33.736870000000003</v>
      </c>
      <c r="I13" s="54" t="s">
        <v>556</v>
      </c>
      <c r="J13" s="54" t="s">
        <v>626</v>
      </c>
    </row>
    <row r="14" spans="1:10" x14ac:dyDescent="0.3">
      <c r="A14" s="54" t="s">
        <v>632</v>
      </c>
      <c r="B14" s="54" t="s">
        <v>631</v>
      </c>
      <c r="C14" s="54" t="s">
        <v>638</v>
      </c>
      <c r="D14" s="55">
        <v>45066.155532407407</v>
      </c>
      <c r="E14" s="54" t="s">
        <v>650</v>
      </c>
      <c r="F14" s="54" t="s">
        <v>657</v>
      </c>
      <c r="G14" s="54">
        <v>-39.410519999999998</v>
      </c>
      <c r="H14" s="54">
        <v>33.726959999999998</v>
      </c>
      <c r="I14" s="54" t="s">
        <v>556</v>
      </c>
      <c r="J14" s="54" t="s">
        <v>627</v>
      </c>
    </row>
    <row r="15" spans="1:10" x14ac:dyDescent="0.3">
      <c r="A15" s="54" t="s">
        <v>632</v>
      </c>
      <c r="B15" s="54" t="s">
        <v>631</v>
      </c>
      <c r="C15" s="54" t="s">
        <v>638</v>
      </c>
      <c r="D15" s="55">
        <v>45066.156400462962</v>
      </c>
      <c r="E15" s="54" t="s">
        <v>649</v>
      </c>
      <c r="F15" s="54" t="s">
        <v>658</v>
      </c>
      <c r="G15" s="54">
        <v>-39.404319999999998</v>
      </c>
      <c r="H15" s="54">
        <v>33.732469999999999</v>
      </c>
      <c r="I15" s="54" t="s">
        <v>556</v>
      </c>
      <c r="J15" s="54" t="s">
        <v>628</v>
      </c>
    </row>
    <row r="16" spans="1:10" x14ac:dyDescent="0.3">
      <c r="A16" s="54" t="s">
        <v>632</v>
      </c>
      <c r="B16" s="54" t="s">
        <v>631</v>
      </c>
      <c r="C16" s="54" t="s">
        <v>638</v>
      </c>
      <c r="D16" s="55">
        <v>45066.157604166663</v>
      </c>
      <c r="E16" s="54" t="s">
        <v>648</v>
      </c>
      <c r="F16" s="54" t="s">
        <v>659</v>
      </c>
      <c r="G16" s="54">
        <v>-39.395389999999999</v>
      </c>
      <c r="H16" s="54">
        <v>33.740450000000003</v>
      </c>
      <c r="I16" s="54" t="s">
        <v>556</v>
      </c>
      <c r="J16" s="54" t="s">
        <v>629</v>
      </c>
    </row>
    <row r="17" customFormat="1" ht="12.75" x14ac:dyDescent="0.2"/>
    <row r="18" customFormat="1" ht="12.75" x14ac:dyDescent="0.2"/>
    <row r="19" customFormat="1" ht="12.75" x14ac:dyDescent="0.2"/>
    <row r="20" customFormat="1" ht="12.75" x14ac:dyDescent="0.2"/>
    <row r="21" customFormat="1" ht="12.75" x14ac:dyDescent="0.2"/>
    <row r="22" customFormat="1" ht="12.75" x14ac:dyDescent="0.2"/>
    <row r="23" customFormat="1" ht="12.75" x14ac:dyDescent="0.2"/>
    <row r="24" customFormat="1" ht="12.75" x14ac:dyDescent="0.2"/>
    <row r="25" customFormat="1" ht="12.75" x14ac:dyDescent="0.2"/>
    <row r="26" customFormat="1" ht="12.75" x14ac:dyDescent="0.2"/>
    <row r="27" customFormat="1" ht="12.75" x14ac:dyDescent="0.2"/>
    <row r="28" customFormat="1" ht="12.75" x14ac:dyDescent="0.2"/>
    <row r="29" customFormat="1" ht="12.75" x14ac:dyDescent="0.2"/>
    <row r="30" customFormat="1" ht="12.75" x14ac:dyDescent="0.2"/>
    <row r="31" customFormat="1" ht="12.75" x14ac:dyDescent="0.2"/>
    <row r="32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  <row r="951" customFormat="1" ht="12.75" x14ac:dyDescent="0.2"/>
    <row r="952" customFormat="1" ht="12.75" x14ac:dyDescent="0.2"/>
    <row r="953" customFormat="1" ht="12.75" x14ac:dyDescent="0.2"/>
    <row r="954" customFormat="1" ht="12.75" x14ac:dyDescent="0.2"/>
    <row r="955" customFormat="1" ht="12.75" x14ac:dyDescent="0.2"/>
    <row r="956" customFormat="1" ht="12.75" x14ac:dyDescent="0.2"/>
    <row r="957" customFormat="1" ht="12.75" x14ac:dyDescent="0.2"/>
    <row r="958" customFormat="1" ht="12.75" x14ac:dyDescent="0.2"/>
    <row r="959" customFormat="1" ht="12.75" x14ac:dyDescent="0.2"/>
    <row r="960" customFormat="1" ht="12.75" x14ac:dyDescent="0.2"/>
    <row r="961" customFormat="1" ht="12.75" x14ac:dyDescent="0.2"/>
    <row r="962" customFormat="1" ht="12.75" x14ac:dyDescent="0.2"/>
    <row r="963" customFormat="1" ht="12.75" x14ac:dyDescent="0.2"/>
    <row r="964" customFormat="1" ht="12.75" x14ac:dyDescent="0.2"/>
    <row r="965" customFormat="1" ht="12.75" x14ac:dyDescent="0.2"/>
    <row r="966" customFormat="1" ht="12.75" x14ac:dyDescent="0.2"/>
    <row r="967" customFormat="1" ht="12.75" x14ac:dyDescent="0.2"/>
    <row r="968" customFormat="1" ht="12.75" x14ac:dyDescent="0.2"/>
    <row r="969" customFormat="1" ht="12.75" x14ac:dyDescent="0.2"/>
    <row r="970" customFormat="1" ht="12.75" x14ac:dyDescent="0.2"/>
    <row r="971" customFormat="1" ht="12.75" x14ac:dyDescent="0.2"/>
    <row r="972" customFormat="1" ht="12.75" x14ac:dyDescent="0.2"/>
    <row r="973" customFormat="1" ht="12.75" x14ac:dyDescent="0.2"/>
    <row r="974" customFormat="1" ht="12.75" x14ac:dyDescent="0.2"/>
    <row r="975" customFormat="1" ht="12.75" x14ac:dyDescent="0.2"/>
    <row r="976" customFormat="1" ht="12.75" x14ac:dyDescent="0.2"/>
    <row r="977" customFormat="1" ht="12.75" x14ac:dyDescent="0.2"/>
    <row r="978" customFormat="1" ht="12.75" x14ac:dyDescent="0.2"/>
    <row r="979" customFormat="1" ht="12.75" x14ac:dyDescent="0.2"/>
    <row r="980" customFormat="1" ht="12.75" x14ac:dyDescent="0.2"/>
    <row r="981" customFormat="1" ht="12.75" x14ac:dyDescent="0.2"/>
    <row r="982" customFormat="1" ht="12.75" x14ac:dyDescent="0.2"/>
    <row r="983" customFormat="1" ht="12.75" x14ac:dyDescent="0.2"/>
    <row r="984" customFormat="1" ht="12.75" x14ac:dyDescent="0.2"/>
    <row r="985" customFormat="1" ht="12.75" x14ac:dyDescent="0.2"/>
    <row r="986" customFormat="1" ht="12.75" x14ac:dyDescent="0.2"/>
    <row r="987" customFormat="1" ht="12.75" x14ac:dyDescent="0.2"/>
    <row r="988" customFormat="1" ht="12.75" x14ac:dyDescent="0.2"/>
    <row r="989" customFormat="1" ht="12.75" x14ac:dyDescent="0.2"/>
    <row r="990" customFormat="1" ht="12.75" x14ac:dyDescent="0.2"/>
    <row r="991" customFormat="1" ht="12.75" x14ac:dyDescent="0.2"/>
    <row r="992" customFormat="1" ht="12.75" x14ac:dyDescent="0.2"/>
    <row r="993" customFormat="1" ht="12.75" x14ac:dyDescent="0.2"/>
    <row r="994" customFormat="1" ht="12.75" x14ac:dyDescent="0.2"/>
    <row r="995" customFormat="1" ht="12.75" x14ac:dyDescent="0.2"/>
    <row r="996" customFormat="1" ht="12.75" x14ac:dyDescent="0.2"/>
    <row r="997" customFormat="1" ht="12.75" x14ac:dyDescent="0.2"/>
    <row r="998" customFormat="1" ht="12.75" x14ac:dyDescent="0.2"/>
    <row r="999" customFormat="1" ht="12.75" x14ac:dyDescent="0.2"/>
    <row r="1000" customFormat="1" ht="12.75" x14ac:dyDescent="0.2"/>
    <row r="1001" customFormat="1" ht="12.75" x14ac:dyDescent="0.2"/>
    <row r="1002" customFormat="1" ht="12.75" x14ac:dyDescent="0.2"/>
    <row r="1003" customFormat="1" ht="12.75" x14ac:dyDescent="0.2"/>
    <row r="1004" customFormat="1" ht="12.75" x14ac:dyDescent="0.2"/>
    <row r="1005" customFormat="1" ht="12.75" x14ac:dyDescent="0.2"/>
    <row r="1006" customFormat="1" ht="12.75" x14ac:dyDescent="0.2"/>
    <row r="1007" customFormat="1" ht="12.75" x14ac:dyDescent="0.2"/>
    <row r="1008" customFormat="1" ht="12.75" x14ac:dyDescent="0.2"/>
    <row r="1009" customFormat="1" ht="12.75" x14ac:dyDescent="0.2"/>
    <row r="1010" customFormat="1" ht="12.75" x14ac:dyDescent="0.2"/>
    <row r="1011" customFormat="1" ht="12.75" x14ac:dyDescent="0.2"/>
    <row r="1012" customFormat="1" ht="12.75" x14ac:dyDescent="0.2"/>
    <row r="1013" customFormat="1" ht="12.75" x14ac:dyDescent="0.2"/>
    <row r="1014" customFormat="1" ht="12.75" x14ac:dyDescent="0.2"/>
    <row r="1015" customFormat="1" ht="12.75" x14ac:dyDescent="0.2"/>
    <row r="1016" customFormat="1" ht="12.75" x14ac:dyDescent="0.2"/>
    <row r="1017" customFormat="1" ht="12.75" x14ac:dyDescent="0.2"/>
    <row r="1018" customFormat="1" ht="12.75" x14ac:dyDescent="0.2"/>
    <row r="1019" customFormat="1" ht="12.75" x14ac:dyDescent="0.2"/>
    <row r="1020" customFormat="1" ht="12.75" x14ac:dyDescent="0.2"/>
    <row r="1021" customFormat="1" ht="12.75" x14ac:dyDescent="0.2"/>
    <row r="1022" customFormat="1" ht="12.75" x14ac:dyDescent="0.2"/>
    <row r="1023" customFormat="1" ht="12.75" x14ac:dyDescent="0.2"/>
    <row r="1024" customFormat="1" ht="12.75" x14ac:dyDescent="0.2"/>
    <row r="1025" customFormat="1" ht="12.75" x14ac:dyDescent="0.2"/>
    <row r="1026" customFormat="1" ht="12.75" x14ac:dyDescent="0.2"/>
    <row r="1027" customFormat="1" ht="12.75" x14ac:dyDescent="0.2"/>
    <row r="1028" customFormat="1" ht="12.75" x14ac:dyDescent="0.2"/>
    <row r="1029" customFormat="1" ht="12.75" x14ac:dyDescent="0.2"/>
    <row r="1030" customFormat="1" ht="12.75" x14ac:dyDescent="0.2"/>
    <row r="1031" customFormat="1" ht="12.75" x14ac:dyDescent="0.2"/>
    <row r="1032" customFormat="1" ht="12.75" x14ac:dyDescent="0.2"/>
    <row r="1033" customFormat="1" ht="12.75" x14ac:dyDescent="0.2"/>
    <row r="1034" customFormat="1" ht="12.75" x14ac:dyDescent="0.2"/>
    <row r="1035" customFormat="1" ht="12.75" x14ac:dyDescent="0.2"/>
    <row r="1036" customFormat="1" ht="12.75" x14ac:dyDescent="0.2"/>
    <row r="1037" customFormat="1" ht="12.75" x14ac:dyDescent="0.2"/>
    <row r="1038" customFormat="1" ht="12.75" x14ac:dyDescent="0.2"/>
    <row r="1039" customFormat="1" ht="12.75" x14ac:dyDescent="0.2"/>
    <row r="1040" customFormat="1" ht="12.75" x14ac:dyDescent="0.2"/>
    <row r="1041" customFormat="1" ht="12.75" x14ac:dyDescent="0.2"/>
    <row r="1042" customFormat="1" ht="12.75" x14ac:dyDescent="0.2"/>
    <row r="1043" customFormat="1" ht="12.75" x14ac:dyDescent="0.2"/>
    <row r="1044" customFormat="1" ht="12.75" x14ac:dyDescent="0.2"/>
    <row r="1045" customFormat="1" ht="12.75" x14ac:dyDescent="0.2"/>
    <row r="1046" customFormat="1" ht="12.75" x14ac:dyDescent="0.2"/>
    <row r="1047" customFormat="1" ht="12.75" x14ac:dyDescent="0.2"/>
    <row r="1048" customFormat="1" ht="12.75" x14ac:dyDescent="0.2"/>
    <row r="1049" customFormat="1" ht="12.75" x14ac:dyDescent="0.2"/>
    <row r="1050" customFormat="1" ht="12.75" x14ac:dyDescent="0.2"/>
    <row r="1051" customFormat="1" ht="12.75" x14ac:dyDescent="0.2"/>
    <row r="1052" customFormat="1" ht="12.75" x14ac:dyDescent="0.2"/>
    <row r="1053" customFormat="1" ht="12.75" x14ac:dyDescent="0.2"/>
    <row r="1054" customFormat="1" ht="12.75" x14ac:dyDescent="0.2"/>
    <row r="1055" customFormat="1" ht="12.75" x14ac:dyDescent="0.2"/>
    <row r="1056" customFormat="1" ht="12.75" x14ac:dyDescent="0.2"/>
    <row r="1057" customFormat="1" ht="12.75" x14ac:dyDescent="0.2"/>
    <row r="1058" customFormat="1" ht="12.75" x14ac:dyDescent="0.2"/>
    <row r="1059" customFormat="1" ht="12.75" x14ac:dyDescent="0.2"/>
    <row r="1060" customFormat="1" ht="12.75" x14ac:dyDescent="0.2"/>
    <row r="1061" customFormat="1" ht="12.75" x14ac:dyDescent="0.2"/>
    <row r="1062" customFormat="1" ht="12.75" x14ac:dyDescent="0.2"/>
    <row r="1063" customFormat="1" ht="12.75" x14ac:dyDescent="0.2"/>
    <row r="1064" customFormat="1" ht="12.75" x14ac:dyDescent="0.2"/>
    <row r="1065" customFormat="1" ht="12.75" x14ac:dyDescent="0.2"/>
    <row r="1066" customFormat="1" ht="12.75" x14ac:dyDescent="0.2"/>
    <row r="1067" customFormat="1" ht="12.75" x14ac:dyDescent="0.2"/>
    <row r="1068" customFormat="1" ht="12.75" x14ac:dyDescent="0.2"/>
    <row r="1069" customFormat="1" ht="12.75" x14ac:dyDescent="0.2"/>
    <row r="1070" customFormat="1" ht="12.75" x14ac:dyDescent="0.2"/>
    <row r="1071" customFormat="1" ht="12.75" x14ac:dyDescent="0.2"/>
    <row r="1072" customFormat="1" ht="12.75" x14ac:dyDescent="0.2"/>
    <row r="1073" customFormat="1" ht="12.75" x14ac:dyDescent="0.2"/>
    <row r="1074" customFormat="1" ht="12.75" x14ac:dyDescent="0.2"/>
    <row r="1075" customFormat="1" ht="12.75" x14ac:dyDescent="0.2"/>
    <row r="1076" customFormat="1" ht="12.75" x14ac:dyDescent="0.2"/>
    <row r="1077" customFormat="1" ht="12.75" x14ac:dyDescent="0.2"/>
    <row r="1078" customFormat="1" ht="12.75" x14ac:dyDescent="0.2"/>
    <row r="1079" customFormat="1" ht="12.75" x14ac:dyDescent="0.2"/>
    <row r="1080" customFormat="1" ht="12.75" x14ac:dyDescent="0.2"/>
    <row r="1081" customFormat="1" ht="12.75" x14ac:dyDescent="0.2"/>
    <row r="1082" customFormat="1" ht="12.75" x14ac:dyDescent="0.2"/>
    <row r="1083" customFormat="1" ht="12.75" x14ac:dyDescent="0.2"/>
    <row r="1084" customFormat="1" ht="12.75" x14ac:dyDescent="0.2"/>
    <row r="1085" customFormat="1" ht="12.75" x14ac:dyDescent="0.2"/>
    <row r="1086" customFormat="1" ht="12.75" x14ac:dyDescent="0.2"/>
    <row r="1087" customFormat="1" ht="12.75" x14ac:dyDescent="0.2"/>
    <row r="1088" customFormat="1" ht="12.75" x14ac:dyDescent="0.2"/>
    <row r="1089" customFormat="1" ht="12.75" x14ac:dyDescent="0.2"/>
    <row r="1090" customFormat="1" ht="12.75" x14ac:dyDescent="0.2"/>
    <row r="1091" customFormat="1" ht="12.75" x14ac:dyDescent="0.2"/>
    <row r="1092" customFormat="1" ht="12.75" x14ac:dyDescent="0.2"/>
    <row r="1093" customFormat="1" ht="12.75" x14ac:dyDescent="0.2"/>
    <row r="1094" customFormat="1" ht="12.75" x14ac:dyDescent="0.2"/>
    <row r="1095" customFormat="1" ht="12.75" x14ac:dyDescent="0.2"/>
    <row r="1096" customFormat="1" ht="12.75" x14ac:dyDescent="0.2"/>
    <row r="1097" customFormat="1" ht="12.75" x14ac:dyDescent="0.2"/>
    <row r="1098" customFormat="1" ht="12.75" x14ac:dyDescent="0.2"/>
    <row r="1099" customFormat="1" ht="12.75" x14ac:dyDescent="0.2"/>
    <row r="1100" customFormat="1" ht="12.75" x14ac:dyDescent="0.2"/>
    <row r="1101" customFormat="1" ht="12.75" x14ac:dyDescent="0.2"/>
    <row r="1102" customFormat="1" ht="12.75" x14ac:dyDescent="0.2"/>
    <row r="1103" customFormat="1" ht="12.75" x14ac:dyDescent="0.2"/>
    <row r="1104" customFormat="1" ht="12.75" x14ac:dyDescent="0.2"/>
    <row r="1105" customFormat="1" ht="12.75" x14ac:dyDescent="0.2"/>
    <row r="1106" customFormat="1" ht="12.75" x14ac:dyDescent="0.2"/>
    <row r="1107" customFormat="1" ht="12.75" x14ac:dyDescent="0.2"/>
    <row r="1108" customFormat="1" ht="12.75" x14ac:dyDescent="0.2"/>
    <row r="1109" customFormat="1" ht="12.75" x14ac:dyDescent="0.2"/>
    <row r="1110" customFormat="1" ht="12.75" x14ac:dyDescent="0.2"/>
    <row r="1111" customFormat="1" ht="12.75" x14ac:dyDescent="0.2"/>
    <row r="1112" customFormat="1" ht="12.75" x14ac:dyDescent="0.2"/>
    <row r="1113" customFormat="1" ht="12.75" x14ac:dyDescent="0.2"/>
    <row r="1114" customFormat="1" ht="12.75" x14ac:dyDescent="0.2"/>
    <row r="1115" customFormat="1" ht="12.75" x14ac:dyDescent="0.2"/>
    <row r="1116" customFormat="1" ht="12.75" x14ac:dyDescent="0.2"/>
    <row r="1117" customFormat="1" ht="12.75" x14ac:dyDescent="0.2"/>
    <row r="1118" customFormat="1" ht="12.75" x14ac:dyDescent="0.2"/>
    <row r="1119" customFormat="1" ht="12.75" x14ac:dyDescent="0.2"/>
    <row r="1120" customFormat="1" ht="12.75" x14ac:dyDescent="0.2"/>
    <row r="1121" customFormat="1" ht="12.75" x14ac:dyDescent="0.2"/>
    <row r="1122" customFormat="1" ht="12.75" x14ac:dyDescent="0.2"/>
    <row r="1123" customFormat="1" ht="12.75" x14ac:dyDescent="0.2"/>
    <row r="1124" customFormat="1" ht="12.75" x14ac:dyDescent="0.2"/>
    <row r="1125" customFormat="1" ht="12.75" x14ac:dyDescent="0.2"/>
    <row r="1126" customFormat="1" ht="12.75" x14ac:dyDescent="0.2"/>
    <row r="1127" customFormat="1" ht="12.75" x14ac:dyDescent="0.2"/>
    <row r="1128" customFormat="1" ht="12.75" x14ac:dyDescent="0.2"/>
    <row r="1129" customFormat="1" ht="12.75" x14ac:dyDescent="0.2"/>
    <row r="1130" customFormat="1" ht="12.75" x14ac:dyDescent="0.2"/>
    <row r="1131" customFormat="1" ht="12.75" x14ac:dyDescent="0.2"/>
    <row r="1132" customFormat="1" ht="12.75" x14ac:dyDescent="0.2"/>
    <row r="1133" customFormat="1" ht="12.75" x14ac:dyDescent="0.2"/>
    <row r="1134" customFormat="1" ht="12.75" x14ac:dyDescent="0.2"/>
    <row r="1135" customFormat="1" ht="12.75" x14ac:dyDescent="0.2"/>
    <row r="1136" customFormat="1" ht="12.75" x14ac:dyDescent="0.2"/>
    <row r="1137" customFormat="1" ht="12.75" x14ac:dyDescent="0.2"/>
    <row r="1138" customFormat="1" ht="12.75" x14ac:dyDescent="0.2"/>
    <row r="1139" customFormat="1" ht="12.75" x14ac:dyDescent="0.2"/>
    <row r="1140" customFormat="1" ht="12.75" x14ac:dyDescent="0.2"/>
    <row r="1141" customFormat="1" ht="12.75" x14ac:dyDescent="0.2"/>
    <row r="1142" customFormat="1" ht="12.75" x14ac:dyDescent="0.2"/>
    <row r="1143" customFormat="1" ht="12.75" x14ac:dyDescent="0.2"/>
    <row r="1144" customFormat="1" ht="12.75" x14ac:dyDescent="0.2"/>
    <row r="1145" customFormat="1" ht="12.75" x14ac:dyDescent="0.2"/>
    <row r="1146" customFormat="1" ht="12.75" x14ac:dyDescent="0.2"/>
    <row r="1147" customFormat="1" ht="12.75" x14ac:dyDescent="0.2"/>
    <row r="1148" customFormat="1" ht="12.75" x14ac:dyDescent="0.2"/>
    <row r="1149" customFormat="1" ht="12.75" x14ac:dyDescent="0.2"/>
    <row r="1150" customFormat="1" ht="12.75" x14ac:dyDescent="0.2"/>
    <row r="1151" customFormat="1" ht="12.75" x14ac:dyDescent="0.2"/>
    <row r="1152" customFormat="1" ht="12.75" x14ac:dyDescent="0.2"/>
    <row r="1153" customFormat="1" ht="12.75" x14ac:dyDescent="0.2"/>
    <row r="1154" customFormat="1" ht="12.75" x14ac:dyDescent="0.2"/>
    <row r="1155" customFormat="1" ht="12.75" x14ac:dyDescent="0.2"/>
    <row r="1156" customFormat="1" ht="12.75" x14ac:dyDescent="0.2"/>
    <row r="1157" customFormat="1" ht="12.75" x14ac:dyDescent="0.2"/>
    <row r="1158" customFormat="1" ht="12.75" x14ac:dyDescent="0.2"/>
    <row r="1159" customFormat="1" ht="12.75" x14ac:dyDescent="0.2"/>
    <row r="1160" customFormat="1" ht="12.75" x14ac:dyDescent="0.2"/>
    <row r="1161" customFormat="1" ht="12.75" x14ac:dyDescent="0.2"/>
    <row r="1162" customFormat="1" ht="12.75" x14ac:dyDescent="0.2"/>
    <row r="1163" customFormat="1" ht="12.75" x14ac:dyDescent="0.2"/>
    <row r="1164" customFormat="1" ht="12.75" x14ac:dyDescent="0.2"/>
    <row r="1165" customFormat="1" ht="12.75" x14ac:dyDescent="0.2"/>
    <row r="1166" customFormat="1" ht="12.75" x14ac:dyDescent="0.2"/>
    <row r="1167" customFormat="1" ht="12.75" x14ac:dyDescent="0.2"/>
    <row r="1168" customFormat="1" ht="12.75" x14ac:dyDescent="0.2"/>
    <row r="1169" customFormat="1" ht="12.75" x14ac:dyDescent="0.2"/>
    <row r="1170" customFormat="1" ht="12.75" x14ac:dyDescent="0.2"/>
    <row r="1171" customFormat="1" ht="12.75" x14ac:dyDescent="0.2"/>
    <row r="1172" customFormat="1" ht="12.75" x14ac:dyDescent="0.2"/>
    <row r="1173" customFormat="1" ht="12.75" x14ac:dyDescent="0.2"/>
    <row r="1174" customFormat="1" ht="12.75" x14ac:dyDescent="0.2"/>
    <row r="1175" customFormat="1" ht="12.75" x14ac:dyDescent="0.2"/>
    <row r="1176" customFormat="1" ht="12.75" x14ac:dyDescent="0.2"/>
    <row r="1177" customFormat="1" ht="12.75" x14ac:dyDescent="0.2"/>
    <row r="1178" customFormat="1" ht="12.75" x14ac:dyDescent="0.2"/>
    <row r="1179" customFormat="1" ht="12.75" x14ac:dyDescent="0.2"/>
    <row r="1180" customFormat="1" ht="12.75" x14ac:dyDescent="0.2"/>
    <row r="1181" customFormat="1" ht="12.75" x14ac:dyDescent="0.2"/>
    <row r="1182" customFormat="1" ht="12.75" x14ac:dyDescent="0.2"/>
    <row r="1183" customFormat="1" ht="12.75" x14ac:dyDescent="0.2"/>
    <row r="1184" customFormat="1" ht="12.75" x14ac:dyDescent="0.2"/>
    <row r="1185" customFormat="1" ht="12.75" x14ac:dyDescent="0.2"/>
    <row r="1186" customFormat="1" ht="12.75" x14ac:dyDescent="0.2"/>
    <row r="1187" customFormat="1" ht="12.75" x14ac:dyDescent="0.2"/>
    <row r="1188" customFormat="1" ht="12.75" x14ac:dyDescent="0.2"/>
    <row r="1189" customFormat="1" ht="12.75" x14ac:dyDescent="0.2"/>
    <row r="1190" customFormat="1" ht="12.75" x14ac:dyDescent="0.2"/>
    <row r="1191" customFormat="1" ht="12.75" x14ac:dyDescent="0.2"/>
    <row r="1192" customFormat="1" ht="12.75" x14ac:dyDescent="0.2"/>
    <row r="1193" customFormat="1" ht="12.75" x14ac:dyDescent="0.2"/>
    <row r="1194" customFormat="1" ht="12.75" x14ac:dyDescent="0.2"/>
    <row r="1195" customFormat="1" ht="12.75" x14ac:dyDescent="0.2"/>
    <row r="1196" customFormat="1" ht="12.75" x14ac:dyDescent="0.2"/>
    <row r="1197" customFormat="1" ht="12.75" x14ac:dyDescent="0.2"/>
    <row r="1198" customFormat="1" ht="12.75" x14ac:dyDescent="0.2"/>
    <row r="1199" customFormat="1" ht="12.75" x14ac:dyDescent="0.2"/>
    <row r="1200" customFormat="1" ht="12.75" x14ac:dyDescent="0.2"/>
    <row r="1201" customFormat="1" ht="12.75" x14ac:dyDescent="0.2"/>
    <row r="1202" customFormat="1" ht="12.75" x14ac:dyDescent="0.2"/>
    <row r="1203" customFormat="1" ht="12.75" x14ac:dyDescent="0.2"/>
    <row r="1204" customFormat="1" ht="12.75" x14ac:dyDescent="0.2"/>
    <row r="1205" customFormat="1" ht="12.75" x14ac:dyDescent="0.2"/>
    <row r="1206" customFormat="1" ht="12.75" x14ac:dyDescent="0.2"/>
    <row r="1207" customFormat="1" ht="12.75" x14ac:dyDescent="0.2"/>
    <row r="1208" customFormat="1" ht="12.75" x14ac:dyDescent="0.2"/>
    <row r="1209" customFormat="1" ht="12.75" x14ac:dyDescent="0.2"/>
    <row r="1210" customFormat="1" ht="12.75" x14ac:dyDescent="0.2"/>
    <row r="1211" customFormat="1" ht="12.75" x14ac:dyDescent="0.2"/>
    <row r="1212" customFormat="1" ht="12.75" x14ac:dyDescent="0.2"/>
    <row r="1213" customFormat="1" ht="12.75" x14ac:dyDescent="0.2"/>
    <row r="1214" customFormat="1" ht="12.75" x14ac:dyDescent="0.2"/>
    <row r="1215" customFormat="1" ht="12.75" x14ac:dyDescent="0.2"/>
    <row r="1216" customFormat="1" ht="12.75" x14ac:dyDescent="0.2"/>
    <row r="1217" customFormat="1" ht="12.75" x14ac:dyDescent="0.2"/>
    <row r="1218" customFormat="1" ht="12.75" x14ac:dyDescent="0.2"/>
    <row r="1219" customFormat="1" ht="12.75" x14ac:dyDescent="0.2"/>
    <row r="1220" customFormat="1" ht="12.75" x14ac:dyDescent="0.2"/>
    <row r="1221" customFormat="1" ht="12.75" x14ac:dyDescent="0.2"/>
    <row r="1222" customFormat="1" ht="12.75" x14ac:dyDescent="0.2"/>
    <row r="1223" customFormat="1" ht="12.75" x14ac:dyDescent="0.2"/>
    <row r="1224" customFormat="1" ht="12.75" x14ac:dyDescent="0.2"/>
    <row r="1225" customFormat="1" ht="12.75" x14ac:dyDescent="0.2"/>
    <row r="1226" customFormat="1" ht="12.75" x14ac:dyDescent="0.2"/>
    <row r="1227" customFormat="1" ht="12.75" x14ac:dyDescent="0.2"/>
    <row r="1228" customFormat="1" ht="12.75" x14ac:dyDescent="0.2"/>
    <row r="1229" customFormat="1" ht="12.75" x14ac:dyDescent="0.2"/>
    <row r="1230" customFormat="1" ht="12.75" x14ac:dyDescent="0.2"/>
    <row r="1231" customFormat="1" ht="12.75" x14ac:dyDescent="0.2"/>
    <row r="1232" customFormat="1" ht="12.75" x14ac:dyDescent="0.2"/>
    <row r="1233" customFormat="1" ht="12.75" x14ac:dyDescent="0.2"/>
    <row r="1234" customFormat="1" ht="12.75" x14ac:dyDescent="0.2"/>
    <row r="1235" customFormat="1" ht="12.75" x14ac:dyDescent="0.2"/>
    <row r="1236" customFormat="1" ht="12.75" x14ac:dyDescent="0.2"/>
    <row r="1237" customFormat="1" ht="12.75" x14ac:dyDescent="0.2"/>
    <row r="1238" customFormat="1" ht="12.75" x14ac:dyDescent="0.2"/>
    <row r="1239" customFormat="1" ht="12.75" x14ac:dyDescent="0.2"/>
    <row r="1240" customFormat="1" ht="12.75" x14ac:dyDescent="0.2"/>
    <row r="1241" customFormat="1" ht="12.75" x14ac:dyDescent="0.2"/>
    <row r="1242" customFormat="1" ht="12.75" x14ac:dyDescent="0.2"/>
    <row r="1243" customFormat="1" ht="12.75" x14ac:dyDescent="0.2"/>
    <row r="1244" customFormat="1" ht="12.75" x14ac:dyDescent="0.2"/>
    <row r="1245" customFormat="1" ht="12.75" x14ac:dyDescent="0.2"/>
    <row r="1246" customFormat="1" ht="12.75" x14ac:dyDescent="0.2"/>
    <row r="1247" customFormat="1" ht="12.75" x14ac:dyDescent="0.2"/>
    <row r="1248" customFormat="1" ht="12.75" x14ac:dyDescent="0.2"/>
    <row r="1249" customFormat="1" ht="12.75" x14ac:dyDescent="0.2"/>
    <row r="1250" customFormat="1" ht="12.75" x14ac:dyDescent="0.2"/>
    <row r="1251" customFormat="1" ht="12.75" x14ac:dyDescent="0.2"/>
    <row r="1252" customFormat="1" ht="12.75" x14ac:dyDescent="0.2"/>
    <row r="1253" customFormat="1" ht="12.75" x14ac:dyDescent="0.2"/>
    <row r="1254" customFormat="1" ht="12.75" x14ac:dyDescent="0.2"/>
    <row r="1255" customFormat="1" ht="12.75" x14ac:dyDescent="0.2"/>
    <row r="1256" customFormat="1" ht="12.75" x14ac:dyDescent="0.2"/>
    <row r="1257" customFormat="1" ht="12.75" x14ac:dyDescent="0.2"/>
    <row r="1258" customFormat="1" ht="12.75" x14ac:dyDescent="0.2"/>
    <row r="1259" customFormat="1" ht="12.75" x14ac:dyDescent="0.2"/>
    <row r="1260" customFormat="1" ht="12.75" x14ac:dyDescent="0.2"/>
    <row r="1261" customFormat="1" ht="12.75" x14ac:dyDescent="0.2"/>
    <row r="1262" customFormat="1" ht="12.75" x14ac:dyDescent="0.2"/>
    <row r="1263" customFormat="1" ht="12.75" x14ac:dyDescent="0.2"/>
    <row r="1264" customFormat="1" ht="12.75" x14ac:dyDescent="0.2"/>
    <row r="1265" customFormat="1" ht="12.75" x14ac:dyDescent="0.2"/>
    <row r="1266" customFormat="1" ht="12.75" x14ac:dyDescent="0.2"/>
    <row r="1267" customFormat="1" ht="12.75" x14ac:dyDescent="0.2"/>
    <row r="1268" customFormat="1" ht="12.75" x14ac:dyDescent="0.2"/>
    <row r="1269" customFormat="1" ht="12.75" x14ac:dyDescent="0.2"/>
    <row r="1270" customFormat="1" ht="12.75" x14ac:dyDescent="0.2"/>
    <row r="1271" customFormat="1" ht="12.75" x14ac:dyDescent="0.2"/>
    <row r="1272" customFormat="1" ht="12.75" x14ac:dyDescent="0.2"/>
    <row r="1273" customFormat="1" ht="12.75" x14ac:dyDescent="0.2"/>
    <row r="1274" customFormat="1" ht="12.75" x14ac:dyDescent="0.2"/>
    <row r="1275" customFormat="1" ht="12.75" x14ac:dyDescent="0.2"/>
    <row r="1276" customFormat="1" ht="12.75" x14ac:dyDescent="0.2"/>
    <row r="1277" customFormat="1" ht="12.75" x14ac:dyDescent="0.2"/>
    <row r="1278" customFormat="1" ht="12.75" x14ac:dyDescent="0.2"/>
    <row r="1279" customFormat="1" ht="12.75" x14ac:dyDescent="0.2"/>
    <row r="1280" customFormat="1" ht="12.75" x14ac:dyDescent="0.2"/>
    <row r="1281" customFormat="1" ht="12.75" x14ac:dyDescent="0.2"/>
    <row r="1282" customFormat="1" ht="12.75" x14ac:dyDescent="0.2"/>
    <row r="1283" customFormat="1" ht="12.75" x14ac:dyDescent="0.2"/>
    <row r="1284" customFormat="1" ht="12.75" x14ac:dyDescent="0.2"/>
    <row r="1285" customFormat="1" ht="12.75" x14ac:dyDescent="0.2"/>
    <row r="1286" customFormat="1" ht="12.75" x14ac:dyDescent="0.2"/>
    <row r="1287" customFormat="1" ht="12.75" x14ac:dyDescent="0.2"/>
    <row r="1288" customFormat="1" ht="12.75" x14ac:dyDescent="0.2"/>
    <row r="1289" customFormat="1" ht="12.75" x14ac:dyDescent="0.2"/>
    <row r="1290" customFormat="1" ht="12.75" x14ac:dyDescent="0.2"/>
    <row r="1291" customFormat="1" ht="12.75" x14ac:dyDescent="0.2"/>
    <row r="1292" customFormat="1" ht="12.75" x14ac:dyDescent="0.2"/>
    <row r="1293" customFormat="1" ht="12.75" x14ac:dyDescent="0.2"/>
    <row r="1294" customFormat="1" ht="12.75" x14ac:dyDescent="0.2"/>
    <row r="1295" customFormat="1" ht="12.75" x14ac:dyDescent="0.2"/>
    <row r="1296" customFormat="1" ht="12.75" x14ac:dyDescent="0.2"/>
    <row r="1297" customFormat="1" ht="12.75" x14ac:dyDescent="0.2"/>
    <row r="1298" customFormat="1" ht="12.75" x14ac:dyDescent="0.2"/>
    <row r="1299" customFormat="1" ht="12.75" x14ac:dyDescent="0.2"/>
    <row r="1300" customFormat="1" ht="12.75" x14ac:dyDescent="0.2"/>
    <row r="1301" customFormat="1" ht="12.75" x14ac:dyDescent="0.2"/>
    <row r="1302" customFormat="1" ht="12.75" x14ac:dyDescent="0.2"/>
    <row r="1303" customFormat="1" ht="12.75" x14ac:dyDescent="0.2"/>
    <row r="1304" customFormat="1" ht="12.75" x14ac:dyDescent="0.2"/>
    <row r="1305" customFormat="1" ht="12.75" x14ac:dyDescent="0.2"/>
    <row r="1306" customFormat="1" ht="12.75" x14ac:dyDescent="0.2"/>
    <row r="1307" customFormat="1" ht="12.75" x14ac:dyDescent="0.2"/>
    <row r="1308" customFormat="1" ht="12.75" x14ac:dyDescent="0.2"/>
    <row r="1309" customFormat="1" ht="12.75" x14ac:dyDescent="0.2"/>
    <row r="1310" customFormat="1" ht="12.75" x14ac:dyDescent="0.2"/>
    <row r="1311" customFormat="1" ht="12.75" x14ac:dyDescent="0.2"/>
    <row r="1312" customFormat="1" ht="12.75" x14ac:dyDescent="0.2"/>
    <row r="1313" customFormat="1" ht="12.75" x14ac:dyDescent="0.2"/>
    <row r="1314" customFormat="1" ht="12.75" x14ac:dyDescent="0.2"/>
    <row r="1315" customFormat="1" ht="12.75" x14ac:dyDescent="0.2"/>
    <row r="1316" customFormat="1" ht="12.75" x14ac:dyDescent="0.2"/>
    <row r="1317" customFormat="1" ht="12.75" x14ac:dyDescent="0.2"/>
    <row r="1318" customFormat="1" ht="12.75" x14ac:dyDescent="0.2"/>
    <row r="1319" customFormat="1" ht="12.75" x14ac:dyDescent="0.2"/>
    <row r="1320" customFormat="1" ht="12.75" x14ac:dyDescent="0.2"/>
    <row r="1321" customFormat="1" ht="12.75" x14ac:dyDescent="0.2"/>
    <row r="1322" customFormat="1" ht="12.75" x14ac:dyDescent="0.2"/>
    <row r="1323" customFormat="1" ht="12.75" x14ac:dyDescent="0.2"/>
    <row r="1324" customFormat="1" ht="12.75" x14ac:dyDescent="0.2"/>
    <row r="1325" customFormat="1" ht="12.75" x14ac:dyDescent="0.2"/>
    <row r="1326" customFormat="1" ht="12.75" x14ac:dyDescent="0.2"/>
    <row r="1327" customFormat="1" ht="12.75" x14ac:dyDescent="0.2"/>
    <row r="1328" customFormat="1" ht="12.75" x14ac:dyDescent="0.2"/>
    <row r="1329" customFormat="1" ht="12.75" x14ac:dyDescent="0.2"/>
    <row r="1330" customFormat="1" ht="12.75" x14ac:dyDescent="0.2"/>
    <row r="1331" customFormat="1" ht="12.75" x14ac:dyDescent="0.2"/>
    <row r="1332" customFormat="1" ht="12.75" x14ac:dyDescent="0.2"/>
    <row r="1333" customFormat="1" ht="12.75" x14ac:dyDescent="0.2"/>
    <row r="1334" customFormat="1" ht="12.75" x14ac:dyDescent="0.2"/>
    <row r="1335" customFormat="1" ht="12.75" x14ac:dyDescent="0.2"/>
    <row r="1336" customFormat="1" ht="12.75" x14ac:dyDescent="0.2"/>
    <row r="1337" customFormat="1" ht="12.75" x14ac:dyDescent="0.2"/>
    <row r="1338" customFormat="1" ht="12.75" x14ac:dyDescent="0.2"/>
    <row r="1339" customFormat="1" ht="12.75" x14ac:dyDescent="0.2"/>
    <row r="1340" customFormat="1" ht="12.75" x14ac:dyDescent="0.2"/>
    <row r="1341" customFormat="1" ht="12.75" x14ac:dyDescent="0.2"/>
    <row r="1342" customFormat="1" ht="12.75" x14ac:dyDescent="0.2"/>
    <row r="1343" customFormat="1" ht="12.75" x14ac:dyDescent="0.2"/>
    <row r="1344" customFormat="1" ht="12.75" x14ac:dyDescent="0.2"/>
    <row r="1345" customFormat="1" ht="12.75" x14ac:dyDescent="0.2"/>
    <row r="1346" customFormat="1" ht="12.75" x14ac:dyDescent="0.2"/>
    <row r="1347" customFormat="1" ht="12.75" x14ac:dyDescent="0.2"/>
    <row r="1348" customFormat="1" ht="12.75" x14ac:dyDescent="0.2"/>
    <row r="1349" customFormat="1" ht="12.75" x14ac:dyDescent="0.2"/>
    <row r="1350" customFormat="1" ht="12.75" x14ac:dyDescent="0.2"/>
    <row r="1351" customFormat="1" ht="12.75" x14ac:dyDescent="0.2"/>
    <row r="1352" customFormat="1" ht="12.75" x14ac:dyDescent="0.2"/>
    <row r="1353" customFormat="1" ht="12.75" x14ac:dyDescent="0.2"/>
    <row r="1354" customFormat="1" ht="12.75" x14ac:dyDescent="0.2"/>
    <row r="1355" customFormat="1" ht="12.75" x14ac:dyDescent="0.2"/>
    <row r="1356" customFormat="1" ht="12.75" x14ac:dyDescent="0.2"/>
    <row r="1357" customFormat="1" ht="12.75" x14ac:dyDescent="0.2"/>
    <row r="1358" customFormat="1" ht="12.75" x14ac:dyDescent="0.2"/>
    <row r="1359" customFormat="1" ht="12.75" x14ac:dyDescent="0.2"/>
    <row r="1360" customFormat="1" ht="12.75" x14ac:dyDescent="0.2"/>
    <row r="1361" customFormat="1" ht="12.75" x14ac:dyDescent="0.2"/>
    <row r="1362" customFormat="1" ht="12.75" x14ac:dyDescent="0.2"/>
    <row r="1363" customFormat="1" ht="12.75" x14ac:dyDescent="0.2"/>
    <row r="1364" customFormat="1" ht="12.75" x14ac:dyDescent="0.2"/>
    <row r="1365" customFormat="1" ht="12.75" x14ac:dyDescent="0.2"/>
    <row r="1366" customFormat="1" ht="12.75" x14ac:dyDescent="0.2"/>
    <row r="1367" customFormat="1" ht="12.75" x14ac:dyDescent="0.2"/>
    <row r="1368" customFormat="1" ht="12.75" x14ac:dyDescent="0.2"/>
    <row r="1369" customFormat="1" ht="12.75" x14ac:dyDescent="0.2"/>
    <row r="1370" customFormat="1" ht="12.75" x14ac:dyDescent="0.2"/>
    <row r="1371" customFormat="1" ht="12.75" x14ac:dyDescent="0.2"/>
    <row r="1372" customFormat="1" ht="12.75" x14ac:dyDescent="0.2"/>
    <row r="1373" customFormat="1" ht="12.75" x14ac:dyDescent="0.2"/>
    <row r="1374" customFormat="1" ht="12.75" x14ac:dyDescent="0.2"/>
    <row r="1375" customFormat="1" ht="12.75" x14ac:dyDescent="0.2"/>
    <row r="1376" customFormat="1" ht="12.75" x14ac:dyDescent="0.2"/>
    <row r="1377" customFormat="1" ht="12.75" x14ac:dyDescent="0.2"/>
    <row r="1378" customFormat="1" ht="12.75" x14ac:dyDescent="0.2"/>
    <row r="1379" customFormat="1" ht="12.75" x14ac:dyDescent="0.2"/>
    <row r="1380" customFormat="1" ht="12.75" x14ac:dyDescent="0.2"/>
    <row r="1381" customFormat="1" ht="12.75" x14ac:dyDescent="0.2"/>
    <row r="1382" customFormat="1" ht="12.75" x14ac:dyDescent="0.2"/>
    <row r="1383" customFormat="1" ht="12.75" x14ac:dyDescent="0.2"/>
    <row r="1384" customFormat="1" ht="12.75" x14ac:dyDescent="0.2"/>
    <row r="1385" customFormat="1" ht="12.75" x14ac:dyDescent="0.2"/>
    <row r="1386" customFormat="1" ht="12.75" x14ac:dyDescent="0.2"/>
    <row r="1387" customFormat="1" ht="12.75" x14ac:dyDescent="0.2"/>
    <row r="1388" customFormat="1" ht="12.75" x14ac:dyDescent="0.2"/>
    <row r="1389" customFormat="1" ht="12.75" x14ac:dyDescent="0.2"/>
    <row r="1390" customFormat="1" ht="12.75" x14ac:dyDescent="0.2"/>
    <row r="1391" customFormat="1" ht="12.75" x14ac:dyDescent="0.2"/>
    <row r="1392" customFormat="1" ht="12.75" x14ac:dyDescent="0.2"/>
    <row r="1393" customFormat="1" ht="12.75" x14ac:dyDescent="0.2"/>
    <row r="1394" customFormat="1" ht="12.75" x14ac:dyDescent="0.2"/>
    <row r="1395" customFormat="1" ht="12.75" x14ac:dyDescent="0.2"/>
    <row r="1396" customFormat="1" ht="12.75" x14ac:dyDescent="0.2"/>
    <row r="1397" customFormat="1" ht="12.75" x14ac:dyDescent="0.2"/>
    <row r="1398" customFormat="1" ht="12.75" x14ac:dyDescent="0.2"/>
    <row r="1399" customFormat="1" ht="12.75" x14ac:dyDescent="0.2"/>
    <row r="1400" customFormat="1" ht="12.75" x14ac:dyDescent="0.2"/>
    <row r="1401" customFormat="1" ht="12.75" x14ac:dyDescent="0.2"/>
    <row r="1402" customFormat="1" ht="12.75" x14ac:dyDescent="0.2"/>
    <row r="1403" customFormat="1" ht="12.75" x14ac:dyDescent="0.2"/>
    <row r="1404" customFormat="1" ht="12.75" x14ac:dyDescent="0.2"/>
    <row r="1405" customFormat="1" ht="12.75" x14ac:dyDescent="0.2"/>
    <row r="1406" customFormat="1" ht="12.75" x14ac:dyDescent="0.2"/>
    <row r="1407" customFormat="1" ht="12.75" x14ac:dyDescent="0.2"/>
    <row r="1408" customFormat="1" ht="12.75" x14ac:dyDescent="0.2"/>
    <row r="1409" customFormat="1" ht="12.75" x14ac:dyDescent="0.2"/>
    <row r="1410" customFormat="1" ht="12.75" x14ac:dyDescent="0.2"/>
    <row r="1411" customFormat="1" ht="12.75" x14ac:dyDescent="0.2"/>
    <row r="1412" customFormat="1" ht="12.75" x14ac:dyDescent="0.2"/>
    <row r="1413" customFormat="1" ht="12.75" x14ac:dyDescent="0.2"/>
    <row r="1414" customFormat="1" ht="12.75" x14ac:dyDescent="0.2"/>
    <row r="1415" customFormat="1" ht="12.75" x14ac:dyDescent="0.2"/>
    <row r="1416" customFormat="1" ht="12.75" x14ac:dyDescent="0.2"/>
    <row r="1417" customFormat="1" ht="12.75" x14ac:dyDescent="0.2"/>
    <row r="1418" customFormat="1" ht="12.75" x14ac:dyDescent="0.2"/>
    <row r="1419" customFormat="1" ht="12.75" x14ac:dyDescent="0.2"/>
    <row r="1420" customFormat="1" ht="12.75" x14ac:dyDescent="0.2"/>
    <row r="1421" customFormat="1" ht="12.75" x14ac:dyDescent="0.2"/>
    <row r="1422" customFormat="1" ht="12.75" x14ac:dyDescent="0.2"/>
    <row r="1423" customFormat="1" ht="12.75" x14ac:dyDescent="0.2"/>
    <row r="1424" customFormat="1" ht="12.75" x14ac:dyDescent="0.2"/>
    <row r="1425" customFormat="1" ht="12.75" x14ac:dyDescent="0.2"/>
    <row r="1426" customFormat="1" ht="12.75" x14ac:dyDescent="0.2"/>
    <row r="1427" customFormat="1" ht="12.75" x14ac:dyDescent="0.2"/>
    <row r="1428" customFormat="1" ht="12.75" x14ac:dyDescent="0.2"/>
    <row r="1429" customFormat="1" ht="12.75" x14ac:dyDescent="0.2"/>
    <row r="1430" customFormat="1" ht="12.75" x14ac:dyDescent="0.2"/>
    <row r="1431" customFormat="1" ht="12.75" x14ac:dyDescent="0.2"/>
    <row r="1432" customFormat="1" ht="12.75" x14ac:dyDescent="0.2"/>
    <row r="1433" customFormat="1" ht="12.75" x14ac:dyDescent="0.2"/>
    <row r="1434" customFormat="1" ht="12.75" x14ac:dyDescent="0.2"/>
    <row r="1435" customFormat="1" ht="12.75" x14ac:dyDescent="0.2"/>
    <row r="1436" customFormat="1" ht="12.75" x14ac:dyDescent="0.2"/>
    <row r="1437" customFormat="1" ht="12.75" x14ac:dyDescent="0.2"/>
    <row r="1438" customFormat="1" ht="12.75" x14ac:dyDescent="0.2"/>
    <row r="1439" customFormat="1" ht="12.75" x14ac:dyDescent="0.2"/>
    <row r="1440" customFormat="1" ht="12.75" x14ac:dyDescent="0.2"/>
    <row r="1441" customFormat="1" ht="12.75" x14ac:dyDescent="0.2"/>
    <row r="1442" customFormat="1" ht="12.75" x14ac:dyDescent="0.2"/>
    <row r="1443" customFormat="1" ht="12.75" x14ac:dyDescent="0.2"/>
    <row r="1444" customFormat="1" ht="12.75" x14ac:dyDescent="0.2"/>
    <row r="1445" customFormat="1" ht="12.75" x14ac:dyDescent="0.2"/>
    <row r="1446" customFormat="1" ht="12.75" x14ac:dyDescent="0.2"/>
    <row r="1447" customFormat="1" ht="12.75" x14ac:dyDescent="0.2"/>
    <row r="1448" customFormat="1" ht="12.75" x14ac:dyDescent="0.2"/>
    <row r="1449" customFormat="1" ht="12.75" x14ac:dyDescent="0.2"/>
    <row r="1450" customFormat="1" ht="12.75" x14ac:dyDescent="0.2"/>
    <row r="1451" customFormat="1" ht="12.75" x14ac:dyDescent="0.2"/>
    <row r="1452" customFormat="1" ht="12.75" x14ac:dyDescent="0.2"/>
    <row r="1453" customFormat="1" ht="12.75" x14ac:dyDescent="0.2"/>
    <row r="1454" customFormat="1" ht="12.75" x14ac:dyDescent="0.2"/>
    <row r="1455" customFormat="1" ht="12.75" x14ac:dyDescent="0.2"/>
    <row r="1456" customFormat="1" ht="12.75" x14ac:dyDescent="0.2"/>
    <row r="1457" customFormat="1" ht="12.75" x14ac:dyDescent="0.2"/>
    <row r="1458" customFormat="1" ht="12.75" x14ac:dyDescent="0.2"/>
    <row r="1459" customFormat="1" ht="12.75" x14ac:dyDescent="0.2"/>
    <row r="1460" customFormat="1" ht="12.75" x14ac:dyDescent="0.2"/>
    <row r="1461" customFormat="1" ht="12.75" x14ac:dyDescent="0.2"/>
    <row r="1462" customFormat="1" ht="12.75" x14ac:dyDescent="0.2"/>
    <row r="1463" customFormat="1" ht="12.75" x14ac:dyDescent="0.2"/>
    <row r="1464" customFormat="1" ht="12.75" x14ac:dyDescent="0.2"/>
    <row r="1465" customFormat="1" ht="12.75" x14ac:dyDescent="0.2"/>
    <row r="1466" customFormat="1" ht="12.75" x14ac:dyDescent="0.2"/>
    <row r="1467" customFormat="1" ht="12.75" x14ac:dyDescent="0.2"/>
    <row r="1468" customFormat="1" ht="12.75" x14ac:dyDescent="0.2"/>
    <row r="1469" customFormat="1" ht="12.75" x14ac:dyDescent="0.2"/>
    <row r="1470" customFormat="1" ht="12.75" x14ac:dyDescent="0.2"/>
    <row r="1471" customFormat="1" ht="12.75" x14ac:dyDescent="0.2"/>
    <row r="1472" customFormat="1" ht="12.75" x14ac:dyDescent="0.2"/>
    <row r="1473" customFormat="1" ht="12.75" x14ac:dyDescent="0.2"/>
    <row r="1474" customFormat="1" ht="12.75" x14ac:dyDescent="0.2"/>
    <row r="1475" customFormat="1" ht="12.75" x14ac:dyDescent="0.2"/>
    <row r="1476" customFormat="1" ht="12.75" x14ac:dyDescent="0.2"/>
    <row r="1477" customFormat="1" ht="12.75" x14ac:dyDescent="0.2"/>
    <row r="1478" customFormat="1" ht="12.75" x14ac:dyDescent="0.2"/>
    <row r="1479" customFormat="1" ht="12.75" x14ac:dyDescent="0.2"/>
    <row r="1480" customFormat="1" ht="12.75" x14ac:dyDescent="0.2"/>
    <row r="1481" customFormat="1" ht="12.75" x14ac:dyDescent="0.2"/>
    <row r="1482" customFormat="1" ht="12.75" x14ac:dyDescent="0.2"/>
    <row r="1483" customFormat="1" ht="12.75" x14ac:dyDescent="0.2"/>
    <row r="1484" customFormat="1" ht="12.75" x14ac:dyDescent="0.2"/>
    <row r="1485" customFormat="1" ht="12.75" x14ac:dyDescent="0.2"/>
    <row r="1486" customFormat="1" ht="12.75" x14ac:dyDescent="0.2"/>
    <row r="1487" customFormat="1" ht="12.75" x14ac:dyDescent="0.2"/>
    <row r="1488" customFormat="1" ht="12.75" x14ac:dyDescent="0.2"/>
    <row r="1489" customFormat="1" ht="12.75" x14ac:dyDescent="0.2"/>
    <row r="1490" customFormat="1" ht="12.75" x14ac:dyDescent="0.2"/>
    <row r="1491" customFormat="1" ht="12.75" x14ac:dyDescent="0.2"/>
    <row r="1492" customFormat="1" ht="12.75" x14ac:dyDescent="0.2"/>
    <row r="1493" customFormat="1" ht="12.75" x14ac:dyDescent="0.2"/>
    <row r="1494" customFormat="1" ht="12.75" x14ac:dyDescent="0.2"/>
    <row r="1495" customFormat="1" ht="12.75" x14ac:dyDescent="0.2"/>
    <row r="1496" customFormat="1" ht="12.75" x14ac:dyDescent="0.2"/>
    <row r="1497" customFormat="1" ht="12.75" x14ac:dyDescent="0.2"/>
    <row r="1498" customFormat="1" ht="12.75" x14ac:dyDescent="0.2"/>
    <row r="1499" customFormat="1" ht="12.75" x14ac:dyDescent="0.2"/>
    <row r="1500" customFormat="1" ht="12.75" x14ac:dyDescent="0.2"/>
    <row r="1501" customFormat="1" ht="12.75" x14ac:dyDescent="0.2"/>
    <row r="1502" customFormat="1" ht="12.75" x14ac:dyDescent="0.2"/>
    <row r="1503" customFormat="1" ht="12.75" x14ac:dyDescent="0.2"/>
    <row r="1504" customFormat="1" ht="12.75" x14ac:dyDescent="0.2"/>
    <row r="1505" customFormat="1" ht="12.75" x14ac:dyDescent="0.2"/>
    <row r="1506" customFormat="1" ht="12.75" x14ac:dyDescent="0.2"/>
    <row r="1507" customFormat="1" ht="12.75" x14ac:dyDescent="0.2"/>
    <row r="1508" customFormat="1" ht="12.75" x14ac:dyDescent="0.2"/>
    <row r="1509" customFormat="1" ht="12.75" x14ac:dyDescent="0.2"/>
    <row r="1510" customFormat="1" ht="12.75" x14ac:dyDescent="0.2"/>
    <row r="1511" customFormat="1" ht="12.75" x14ac:dyDescent="0.2"/>
    <row r="1512" customFormat="1" ht="12.75" x14ac:dyDescent="0.2"/>
    <row r="1513" customFormat="1" ht="12.75" x14ac:dyDescent="0.2"/>
    <row r="1514" customFormat="1" ht="12.75" x14ac:dyDescent="0.2"/>
    <row r="1515" customFormat="1" ht="12.75" x14ac:dyDescent="0.2"/>
    <row r="1516" customFormat="1" ht="12.75" x14ac:dyDescent="0.2"/>
    <row r="1517" customFormat="1" ht="12.75" x14ac:dyDescent="0.2"/>
    <row r="1518" customFormat="1" ht="12.75" x14ac:dyDescent="0.2"/>
    <row r="1519" customFormat="1" ht="12.75" x14ac:dyDescent="0.2"/>
    <row r="1520" customFormat="1" ht="12.75" x14ac:dyDescent="0.2"/>
    <row r="1521" customFormat="1" ht="12.75" x14ac:dyDescent="0.2"/>
    <row r="1522" customFormat="1" ht="12.75" x14ac:dyDescent="0.2"/>
    <row r="1523" customFormat="1" ht="12.75" x14ac:dyDescent="0.2"/>
    <row r="1524" customFormat="1" ht="12.75" x14ac:dyDescent="0.2"/>
    <row r="1525" customFormat="1" ht="12.75" x14ac:dyDescent="0.2"/>
    <row r="1526" customFormat="1" ht="12.75" x14ac:dyDescent="0.2"/>
    <row r="1527" customFormat="1" ht="12.75" x14ac:dyDescent="0.2"/>
    <row r="1528" customFormat="1" ht="12.75" x14ac:dyDescent="0.2"/>
    <row r="1529" customFormat="1" ht="12.75" x14ac:dyDescent="0.2"/>
    <row r="1530" customFormat="1" ht="12.75" x14ac:dyDescent="0.2"/>
    <row r="1531" customFormat="1" ht="12.75" x14ac:dyDescent="0.2"/>
    <row r="1532" customFormat="1" ht="12.75" x14ac:dyDescent="0.2"/>
    <row r="1533" customFormat="1" ht="12.75" x14ac:dyDescent="0.2"/>
    <row r="1534" customFormat="1" ht="12.75" x14ac:dyDescent="0.2"/>
    <row r="1535" customFormat="1" ht="12.75" x14ac:dyDescent="0.2"/>
    <row r="1536" customFormat="1" ht="12.75" x14ac:dyDescent="0.2"/>
    <row r="1537" customFormat="1" ht="12.75" x14ac:dyDescent="0.2"/>
    <row r="1538" customFormat="1" ht="12.75" x14ac:dyDescent="0.2"/>
    <row r="1539" customFormat="1" ht="12.75" x14ac:dyDescent="0.2"/>
    <row r="1540" customFormat="1" ht="12.75" x14ac:dyDescent="0.2"/>
    <row r="1541" customFormat="1" ht="12.75" x14ac:dyDescent="0.2"/>
    <row r="1542" customFormat="1" ht="12.75" x14ac:dyDescent="0.2"/>
    <row r="1543" customFormat="1" ht="12.75" x14ac:dyDescent="0.2"/>
    <row r="1544" customFormat="1" ht="12.75" x14ac:dyDescent="0.2"/>
    <row r="1545" customFormat="1" ht="12.75" x14ac:dyDescent="0.2"/>
    <row r="1546" customFormat="1" ht="12.75" x14ac:dyDescent="0.2"/>
    <row r="1547" customFormat="1" ht="12.75" x14ac:dyDescent="0.2"/>
    <row r="1548" customFormat="1" ht="12.75" x14ac:dyDescent="0.2"/>
    <row r="1549" customFormat="1" ht="12.75" x14ac:dyDescent="0.2"/>
    <row r="1550" customFormat="1" ht="12.75" x14ac:dyDescent="0.2"/>
    <row r="1551" customFormat="1" ht="12.75" x14ac:dyDescent="0.2"/>
    <row r="1552" customFormat="1" ht="12.75" x14ac:dyDescent="0.2"/>
    <row r="1553" customFormat="1" ht="12.75" x14ac:dyDescent="0.2"/>
    <row r="1554" customFormat="1" ht="12.75" x14ac:dyDescent="0.2"/>
    <row r="1555" customFormat="1" ht="12.75" x14ac:dyDescent="0.2"/>
    <row r="1556" customFormat="1" ht="12.75" x14ac:dyDescent="0.2"/>
    <row r="1557" customFormat="1" ht="12.75" x14ac:dyDescent="0.2"/>
    <row r="1558" customFormat="1" ht="12.75" x14ac:dyDescent="0.2"/>
    <row r="1559" customFormat="1" ht="12.75" x14ac:dyDescent="0.2"/>
    <row r="1560" customFormat="1" ht="12.75" x14ac:dyDescent="0.2"/>
    <row r="1561" customFormat="1" ht="12.75" x14ac:dyDescent="0.2"/>
    <row r="1562" customFormat="1" ht="12.75" x14ac:dyDescent="0.2"/>
    <row r="1563" customFormat="1" ht="12.75" x14ac:dyDescent="0.2"/>
    <row r="1564" customFormat="1" ht="12.75" x14ac:dyDescent="0.2"/>
    <row r="1565" customFormat="1" ht="12.75" x14ac:dyDescent="0.2"/>
    <row r="1566" customFormat="1" ht="12.75" x14ac:dyDescent="0.2"/>
    <row r="1567" customFormat="1" ht="12.75" x14ac:dyDescent="0.2"/>
    <row r="1568" customFormat="1" ht="12.75" x14ac:dyDescent="0.2"/>
    <row r="1569" customFormat="1" ht="12.75" x14ac:dyDescent="0.2"/>
    <row r="1570" customFormat="1" ht="12.75" x14ac:dyDescent="0.2"/>
    <row r="1571" customFormat="1" ht="12.75" x14ac:dyDescent="0.2"/>
    <row r="1572" customFormat="1" ht="12.75" x14ac:dyDescent="0.2"/>
    <row r="1573" customFormat="1" ht="12.75" x14ac:dyDescent="0.2"/>
    <row r="1574" customFormat="1" ht="12.75" x14ac:dyDescent="0.2"/>
    <row r="1575" customFormat="1" ht="12.75" x14ac:dyDescent="0.2"/>
    <row r="1576" customFormat="1" ht="12.75" x14ac:dyDescent="0.2"/>
    <row r="1577" customFormat="1" ht="12.75" x14ac:dyDescent="0.2"/>
    <row r="1578" customFormat="1" ht="12.75" x14ac:dyDescent="0.2"/>
    <row r="1579" customFormat="1" ht="12.75" x14ac:dyDescent="0.2"/>
    <row r="1580" customFormat="1" ht="12.75" x14ac:dyDescent="0.2"/>
    <row r="1581" customFormat="1" ht="12.75" x14ac:dyDescent="0.2"/>
    <row r="1582" customFormat="1" ht="12.75" x14ac:dyDescent="0.2"/>
    <row r="1583" customFormat="1" ht="12.75" x14ac:dyDescent="0.2"/>
    <row r="1584" customFormat="1" ht="12.75" x14ac:dyDescent="0.2"/>
    <row r="1585" customFormat="1" ht="12.75" x14ac:dyDescent="0.2"/>
    <row r="1586" customFormat="1" ht="12.75" x14ac:dyDescent="0.2"/>
    <row r="1587" customFormat="1" ht="12.75" x14ac:dyDescent="0.2"/>
    <row r="1588" customFormat="1" ht="12.75" x14ac:dyDescent="0.2"/>
    <row r="1589" customFormat="1" ht="12.75" x14ac:dyDescent="0.2"/>
    <row r="1590" customFormat="1" ht="12.75" x14ac:dyDescent="0.2"/>
    <row r="1591" customFormat="1" ht="12.75" x14ac:dyDescent="0.2"/>
    <row r="1592" customFormat="1" ht="12.75" x14ac:dyDescent="0.2"/>
    <row r="1593" customFormat="1" ht="12.75" x14ac:dyDescent="0.2"/>
    <row r="1594" customFormat="1" ht="12.75" x14ac:dyDescent="0.2"/>
    <row r="1595" customFormat="1" ht="12.75" x14ac:dyDescent="0.2"/>
    <row r="1596" customFormat="1" ht="12.75" x14ac:dyDescent="0.2"/>
    <row r="1597" customFormat="1" ht="12.75" x14ac:dyDescent="0.2"/>
    <row r="1598" customFormat="1" ht="12.75" x14ac:dyDescent="0.2"/>
    <row r="1599" customFormat="1" ht="12.75" x14ac:dyDescent="0.2"/>
    <row r="1600" customFormat="1" ht="12.75" x14ac:dyDescent="0.2"/>
    <row r="1601" customFormat="1" ht="12.75" x14ac:dyDescent="0.2"/>
    <row r="1602" customFormat="1" ht="12.75" x14ac:dyDescent="0.2"/>
    <row r="1603" customFormat="1" ht="12.75" x14ac:dyDescent="0.2"/>
    <row r="1604" customFormat="1" ht="12.75" x14ac:dyDescent="0.2"/>
    <row r="1605" customFormat="1" ht="12.75" x14ac:dyDescent="0.2"/>
    <row r="1606" customFormat="1" ht="12.75" x14ac:dyDescent="0.2"/>
    <row r="1607" customFormat="1" ht="12.75" x14ac:dyDescent="0.2"/>
    <row r="1608" customFormat="1" ht="12.75" x14ac:dyDescent="0.2"/>
    <row r="1609" customFormat="1" ht="12.75" x14ac:dyDescent="0.2"/>
    <row r="1610" customFormat="1" ht="12.75" x14ac:dyDescent="0.2"/>
    <row r="1611" customFormat="1" ht="12.75" x14ac:dyDescent="0.2"/>
    <row r="1612" customFormat="1" ht="12.75" x14ac:dyDescent="0.2"/>
    <row r="1613" customFormat="1" ht="12.75" x14ac:dyDescent="0.2"/>
    <row r="1614" customFormat="1" ht="12.75" x14ac:dyDescent="0.2"/>
    <row r="1615" customFormat="1" ht="12.75" x14ac:dyDescent="0.2"/>
    <row r="1616" customFormat="1" ht="12.75" x14ac:dyDescent="0.2"/>
    <row r="1617" customFormat="1" ht="12.75" x14ac:dyDescent="0.2"/>
    <row r="1618" customFormat="1" ht="12.75" x14ac:dyDescent="0.2"/>
    <row r="1619" customFormat="1" ht="12.75" x14ac:dyDescent="0.2"/>
    <row r="1620" customFormat="1" ht="12.75" x14ac:dyDescent="0.2"/>
    <row r="1621" customFormat="1" ht="12.75" x14ac:dyDescent="0.2"/>
    <row r="1622" customFormat="1" ht="12.75" x14ac:dyDescent="0.2"/>
    <row r="1623" customFormat="1" ht="12.75" x14ac:dyDescent="0.2"/>
    <row r="1624" customFormat="1" ht="12.75" x14ac:dyDescent="0.2"/>
    <row r="1625" customFormat="1" ht="12.75" x14ac:dyDescent="0.2"/>
    <row r="1626" customFormat="1" ht="12.75" x14ac:dyDescent="0.2"/>
    <row r="1627" customFormat="1" ht="12.75" x14ac:dyDescent="0.2"/>
    <row r="1628" customFormat="1" ht="12.75" x14ac:dyDescent="0.2"/>
    <row r="1629" customFormat="1" ht="12.75" x14ac:dyDescent="0.2"/>
    <row r="1630" customFormat="1" ht="12.75" x14ac:dyDescent="0.2"/>
    <row r="1631" customFormat="1" ht="12.75" x14ac:dyDescent="0.2"/>
    <row r="1632" customFormat="1" ht="12.75" x14ac:dyDescent="0.2"/>
    <row r="1633" customFormat="1" ht="12.75" x14ac:dyDescent="0.2"/>
    <row r="1634" customFormat="1" ht="12.75" x14ac:dyDescent="0.2"/>
    <row r="1635" customFormat="1" ht="12.75" x14ac:dyDescent="0.2"/>
    <row r="1636" customFormat="1" ht="12.75" x14ac:dyDescent="0.2"/>
    <row r="1637" customFormat="1" ht="12.75" x14ac:dyDescent="0.2"/>
    <row r="1638" customFormat="1" ht="12.75" x14ac:dyDescent="0.2"/>
    <row r="1639" customFormat="1" ht="12.75" x14ac:dyDescent="0.2"/>
    <row r="1640" customFormat="1" ht="12.75" x14ac:dyDescent="0.2"/>
    <row r="1641" customFormat="1" ht="12.75" x14ac:dyDescent="0.2"/>
    <row r="1642" customFormat="1" ht="12.75" x14ac:dyDescent="0.2"/>
    <row r="1643" customFormat="1" ht="12.75" x14ac:dyDescent="0.2"/>
    <row r="1644" customFormat="1" ht="12.75" x14ac:dyDescent="0.2"/>
    <row r="1645" customFormat="1" ht="12.75" x14ac:dyDescent="0.2"/>
    <row r="1646" customFormat="1" ht="12.75" x14ac:dyDescent="0.2"/>
    <row r="1647" customFormat="1" ht="12.75" x14ac:dyDescent="0.2"/>
    <row r="1648" customFormat="1" ht="12.75" x14ac:dyDescent="0.2"/>
    <row r="1649" customFormat="1" ht="12.75" x14ac:dyDescent="0.2"/>
    <row r="1650" customFormat="1" ht="12.75" x14ac:dyDescent="0.2"/>
    <row r="1651" customFormat="1" ht="12.75" x14ac:dyDescent="0.2"/>
    <row r="1652" customFormat="1" ht="12.75" x14ac:dyDescent="0.2"/>
    <row r="1653" customFormat="1" ht="12.75" x14ac:dyDescent="0.2"/>
    <row r="1654" customFormat="1" ht="12.75" x14ac:dyDescent="0.2"/>
    <row r="1655" customFormat="1" ht="12.75" x14ac:dyDescent="0.2"/>
    <row r="1656" customFormat="1" ht="12.75" x14ac:dyDescent="0.2"/>
    <row r="1657" customFormat="1" ht="12.75" x14ac:dyDescent="0.2"/>
    <row r="1658" customFormat="1" ht="12.75" x14ac:dyDescent="0.2"/>
    <row r="1659" customFormat="1" ht="12.75" x14ac:dyDescent="0.2"/>
    <row r="1660" customFormat="1" ht="12.75" x14ac:dyDescent="0.2"/>
    <row r="1661" customFormat="1" ht="12.75" x14ac:dyDescent="0.2"/>
    <row r="1662" customFormat="1" ht="12.75" x14ac:dyDescent="0.2"/>
    <row r="1663" customFormat="1" ht="12.75" x14ac:dyDescent="0.2"/>
    <row r="1664" customFormat="1" ht="12.75" x14ac:dyDescent="0.2"/>
    <row r="1665" customFormat="1" ht="12.75" x14ac:dyDescent="0.2"/>
    <row r="1666" customFormat="1" ht="12.75" x14ac:dyDescent="0.2"/>
    <row r="1667" customFormat="1" ht="12.75" x14ac:dyDescent="0.2"/>
    <row r="1668" customFormat="1" ht="12.75" x14ac:dyDescent="0.2"/>
    <row r="1669" customFormat="1" ht="12.75" x14ac:dyDescent="0.2"/>
    <row r="1670" customFormat="1" ht="12.75" x14ac:dyDescent="0.2"/>
    <row r="1671" customFormat="1" ht="12.75" x14ac:dyDescent="0.2"/>
    <row r="1672" customFormat="1" ht="12.75" x14ac:dyDescent="0.2"/>
    <row r="1673" customFormat="1" ht="12.75" x14ac:dyDescent="0.2"/>
    <row r="1674" customFormat="1" ht="12.75" x14ac:dyDescent="0.2"/>
    <row r="1675" customFormat="1" ht="12.75" x14ac:dyDescent="0.2"/>
    <row r="1676" customFormat="1" ht="12.75" x14ac:dyDescent="0.2"/>
    <row r="1677" customFormat="1" ht="12.75" x14ac:dyDescent="0.2"/>
    <row r="1678" customFormat="1" ht="12.75" x14ac:dyDescent="0.2"/>
    <row r="1679" customFormat="1" ht="12.75" x14ac:dyDescent="0.2"/>
    <row r="1680" customFormat="1" ht="12.75" x14ac:dyDescent="0.2"/>
    <row r="1681" customFormat="1" ht="12.75" x14ac:dyDescent="0.2"/>
    <row r="1682" customFormat="1" ht="12.75" x14ac:dyDescent="0.2"/>
    <row r="1683" customFormat="1" ht="12.75" x14ac:dyDescent="0.2"/>
    <row r="1684" customFormat="1" ht="12.75" x14ac:dyDescent="0.2"/>
    <row r="1685" customFormat="1" ht="12.75" x14ac:dyDescent="0.2"/>
    <row r="1686" customFormat="1" ht="12.75" x14ac:dyDescent="0.2"/>
    <row r="1687" customFormat="1" ht="12.75" x14ac:dyDescent="0.2"/>
    <row r="1688" customFormat="1" ht="12.75" x14ac:dyDescent="0.2"/>
    <row r="1689" customFormat="1" ht="12.75" x14ac:dyDescent="0.2"/>
    <row r="1690" customFormat="1" ht="12.75" x14ac:dyDescent="0.2"/>
    <row r="1691" customFormat="1" ht="12.75" x14ac:dyDescent="0.2"/>
    <row r="1692" customFormat="1" ht="12.75" x14ac:dyDescent="0.2"/>
    <row r="1693" customFormat="1" ht="12.75" x14ac:dyDescent="0.2"/>
    <row r="1694" customFormat="1" ht="12.75" x14ac:dyDescent="0.2"/>
    <row r="1695" customFormat="1" ht="12.75" x14ac:dyDescent="0.2"/>
    <row r="1696" customFormat="1" ht="12.75" x14ac:dyDescent="0.2"/>
    <row r="1697" customFormat="1" ht="12.75" x14ac:dyDescent="0.2"/>
    <row r="1698" customFormat="1" ht="12.75" x14ac:dyDescent="0.2"/>
    <row r="1699" customFormat="1" ht="12.75" x14ac:dyDescent="0.2"/>
    <row r="1700" customFormat="1" ht="12.75" x14ac:dyDescent="0.2"/>
    <row r="1701" customFormat="1" ht="12.75" x14ac:dyDescent="0.2"/>
    <row r="1702" customFormat="1" ht="12.75" x14ac:dyDescent="0.2"/>
    <row r="1703" customFormat="1" ht="12.75" x14ac:dyDescent="0.2"/>
    <row r="1704" customFormat="1" ht="12.75" x14ac:dyDescent="0.2"/>
    <row r="1705" customFormat="1" ht="12.75" x14ac:dyDescent="0.2"/>
    <row r="1706" customFormat="1" ht="12.75" x14ac:dyDescent="0.2"/>
    <row r="1707" customFormat="1" ht="12.75" x14ac:dyDescent="0.2"/>
    <row r="1708" customFormat="1" ht="12.75" x14ac:dyDescent="0.2"/>
    <row r="1709" customFormat="1" ht="12.75" x14ac:dyDescent="0.2"/>
    <row r="1710" customFormat="1" ht="12.75" x14ac:dyDescent="0.2"/>
    <row r="1711" customFormat="1" ht="12.75" x14ac:dyDescent="0.2"/>
    <row r="1712" customFormat="1" ht="12.75" x14ac:dyDescent="0.2"/>
    <row r="1713" customFormat="1" ht="12.75" x14ac:dyDescent="0.2"/>
    <row r="1714" customFormat="1" ht="12.75" x14ac:dyDescent="0.2"/>
    <row r="1715" customFormat="1" ht="12.75" x14ac:dyDescent="0.2"/>
    <row r="1716" customFormat="1" ht="12.75" x14ac:dyDescent="0.2"/>
    <row r="1717" customFormat="1" ht="12.75" x14ac:dyDescent="0.2"/>
    <row r="1718" customFormat="1" ht="12.75" x14ac:dyDescent="0.2"/>
    <row r="1719" customFormat="1" ht="12.75" x14ac:dyDescent="0.2"/>
    <row r="1720" customFormat="1" ht="12.75" x14ac:dyDescent="0.2"/>
    <row r="1721" customFormat="1" ht="12.75" x14ac:dyDescent="0.2"/>
    <row r="1722" customFormat="1" ht="12.75" x14ac:dyDescent="0.2"/>
    <row r="1723" customFormat="1" ht="12.75" x14ac:dyDescent="0.2"/>
    <row r="1724" customFormat="1" ht="12.75" x14ac:dyDescent="0.2"/>
    <row r="1725" customFormat="1" ht="12.75" x14ac:dyDescent="0.2"/>
    <row r="1726" customFormat="1" ht="12.75" x14ac:dyDescent="0.2"/>
    <row r="1727" customFormat="1" ht="12.75" x14ac:dyDescent="0.2"/>
    <row r="1728" customFormat="1" ht="12.75" x14ac:dyDescent="0.2"/>
    <row r="1729" customFormat="1" ht="12.75" x14ac:dyDescent="0.2"/>
    <row r="1730" customFormat="1" ht="12.75" x14ac:dyDescent="0.2"/>
    <row r="1731" customFormat="1" ht="12.75" x14ac:dyDescent="0.2"/>
    <row r="1732" customFormat="1" ht="12.75" x14ac:dyDescent="0.2"/>
    <row r="1733" customFormat="1" ht="12.75" x14ac:dyDescent="0.2"/>
    <row r="1734" customFormat="1" ht="12.75" x14ac:dyDescent="0.2"/>
    <row r="1735" customFormat="1" ht="12.75" x14ac:dyDescent="0.2"/>
    <row r="1736" customFormat="1" ht="12.75" x14ac:dyDescent="0.2"/>
    <row r="1737" customFormat="1" ht="12.75" x14ac:dyDescent="0.2"/>
    <row r="1738" customFormat="1" ht="12.75" x14ac:dyDescent="0.2"/>
    <row r="1739" customFormat="1" ht="12.75" x14ac:dyDescent="0.2"/>
    <row r="1740" customFormat="1" ht="12.75" x14ac:dyDescent="0.2"/>
    <row r="1741" customFormat="1" ht="12.75" x14ac:dyDescent="0.2"/>
    <row r="1742" customFormat="1" ht="12.75" x14ac:dyDescent="0.2"/>
    <row r="1743" customFormat="1" ht="12.75" x14ac:dyDescent="0.2"/>
    <row r="1744" customFormat="1" ht="12.75" x14ac:dyDescent="0.2"/>
    <row r="1745" customFormat="1" ht="12.75" x14ac:dyDescent="0.2"/>
    <row r="1746" customFormat="1" ht="12.75" x14ac:dyDescent="0.2"/>
    <row r="1747" customFormat="1" ht="12.75" x14ac:dyDescent="0.2"/>
    <row r="1748" customFormat="1" ht="12.75" x14ac:dyDescent="0.2"/>
    <row r="1749" customFormat="1" ht="12.75" x14ac:dyDescent="0.2"/>
    <row r="1750" customFormat="1" ht="12.75" x14ac:dyDescent="0.2"/>
    <row r="1751" customFormat="1" ht="12.75" x14ac:dyDescent="0.2"/>
    <row r="1752" customFormat="1" ht="12.75" x14ac:dyDescent="0.2"/>
    <row r="1753" customFormat="1" ht="12.75" x14ac:dyDescent="0.2"/>
    <row r="1754" customFormat="1" ht="12.75" x14ac:dyDescent="0.2"/>
    <row r="1755" customFormat="1" ht="12.75" x14ac:dyDescent="0.2"/>
    <row r="1756" customFormat="1" ht="12.75" x14ac:dyDescent="0.2"/>
    <row r="1757" customFormat="1" ht="12.75" x14ac:dyDescent="0.2"/>
    <row r="1758" customFormat="1" ht="12.75" x14ac:dyDescent="0.2"/>
    <row r="1759" customFormat="1" ht="12.75" x14ac:dyDescent="0.2"/>
    <row r="1760" customFormat="1" ht="12.75" x14ac:dyDescent="0.2"/>
    <row r="1761" customFormat="1" ht="12.75" x14ac:dyDescent="0.2"/>
    <row r="1762" customFormat="1" ht="12.75" x14ac:dyDescent="0.2"/>
    <row r="1763" customFormat="1" ht="12.75" x14ac:dyDescent="0.2"/>
    <row r="1764" customFormat="1" ht="12.75" x14ac:dyDescent="0.2"/>
    <row r="1765" customFormat="1" ht="12.75" x14ac:dyDescent="0.2"/>
    <row r="1766" customFormat="1" ht="12.75" x14ac:dyDescent="0.2"/>
    <row r="1767" customFormat="1" ht="12.75" x14ac:dyDescent="0.2"/>
    <row r="1768" customFormat="1" ht="12.75" x14ac:dyDescent="0.2"/>
    <row r="1769" customFormat="1" ht="12.75" x14ac:dyDescent="0.2"/>
    <row r="1770" customFormat="1" ht="12.75" x14ac:dyDescent="0.2"/>
    <row r="1771" customFormat="1" ht="12.75" x14ac:dyDescent="0.2"/>
    <row r="1772" customFormat="1" ht="12.75" x14ac:dyDescent="0.2"/>
    <row r="1773" customFormat="1" ht="12.75" x14ac:dyDescent="0.2"/>
    <row r="1774" customFormat="1" ht="12.75" x14ac:dyDescent="0.2"/>
    <row r="1775" customFormat="1" ht="12.75" x14ac:dyDescent="0.2"/>
    <row r="1776" customFormat="1" ht="12.75" x14ac:dyDescent="0.2"/>
    <row r="1777" customFormat="1" ht="12.75" x14ac:dyDescent="0.2"/>
    <row r="1778" customFormat="1" ht="12.75" x14ac:dyDescent="0.2"/>
    <row r="1779" customFormat="1" ht="12.75" x14ac:dyDescent="0.2"/>
    <row r="1780" customFormat="1" ht="12.75" x14ac:dyDescent="0.2"/>
    <row r="1781" customFormat="1" ht="12.75" x14ac:dyDescent="0.2"/>
    <row r="1782" customFormat="1" ht="12.75" x14ac:dyDescent="0.2"/>
    <row r="1783" customFormat="1" ht="12.75" x14ac:dyDescent="0.2"/>
    <row r="1784" customFormat="1" ht="12.75" x14ac:dyDescent="0.2"/>
    <row r="1785" customFormat="1" ht="12.75" x14ac:dyDescent="0.2"/>
    <row r="1786" customFormat="1" ht="12.75" x14ac:dyDescent="0.2"/>
    <row r="1787" customFormat="1" ht="12.75" x14ac:dyDescent="0.2"/>
    <row r="1788" customFormat="1" ht="12.75" x14ac:dyDescent="0.2"/>
    <row r="1789" customFormat="1" ht="12.75" x14ac:dyDescent="0.2"/>
    <row r="1790" customFormat="1" ht="12.75" x14ac:dyDescent="0.2"/>
    <row r="1791" customFormat="1" ht="12.75" x14ac:dyDescent="0.2"/>
    <row r="1792" customFormat="1" ht="12.75" x14ac:dyDescent="0.2"/>
    <row r="1793" customFormat="1" ht="12.75" x14ac:dyDescent="0.2"/>
    <row r="1794" customFormat="1" ht="12.75" x14ac:dyDescent="0.2"/>
    <row r="1795" customFormat="1" ht="12.75" x14ac:dyDescent="0.2"/>
    <row r="1796" customFormat="1" ht="12.75" x14ac:dyDescent="0.2"/>
    <row r="1797" customFormat="1" ht="12.75" x14ac:dyDescent="0.2"/>
    <row r="1798" customFormat="1" ht="12.75" x14ac:dyDescent="0.2"/>
    <row r="1799" customFormat="1" ht="12.75" x14ac:dyDescent="0.2"/>
    <row r="1800" customFormat="1" ht="12.75" x14ac:dyDescent="0.2"/>
    <row r="1801" customFormat="1" ht="12.75" x14ac:dyDescent="0.2"/>
    <row r="1802" customFormat="1" ht="12.75" x14ac:dyDescent="0.2"/>
    <row r="1803" customFormat="1" ht="12.75" x14ac:dyDescent="0.2"/>
    <row r="1804" customFormat="1" ht="12.75" x14ac:dyDescent="0.2"/>
    <row r="1805" customFormat="1" ht="12.75" x14ac:dyDescent="0.2"/>
    <row r="1806" customFormat="1" ht="12.75" x14ac:dyDescent="0.2"/>
    <row r="1807" customFormat="1" ht="12.75" x14ac:dyDescent="0.2"/>
    <row r="1808" customFormat="1" ht="12.75" x14ac:dyDescent="0.2"/>
    <row r="1809" customFormat="1" ht="12.75" x14ac:dyDescent="0.2"/>
    <row r="1810" customFormat="1" ht="12.75" x14ac:dyDescent="0.2"/>
    <row r="1811" customFormat="1" ht="12.75" x14ac:dyDescent="0.2"/>
    <row r="1812" customFormat="1" ht="12.75" x14ac:dyDescent="0.2"/>
    <row r="1813" customFormat="1" ht="12.75" x14ac:dyDescent="0.2"/>
    <row r="1814" customFormat="1" ht="12.75" x14ac:dyDescent="0.2"/>
    <row r="1815" customFormat="1" ht="12.75" x14ac:dyDescent="0.2"/>
    <row r="1816" customFormat="1" ht="12.75" x14ac:dyDescent="0.2"/>
    <row r="1817" customFormat="1" ht="12.75" x14ac:dyDescent="0.2"/>
    <row r="1818" customFormat="1" ht="12.75" x14ac:dyDescent="0.2"/>
    <row r="1819" customFormat="1" ht="12.75" x14ac:dyDescent="0.2"/>
    <row r="1820" customFormat="1" ht="12.75" x14ac:dyDescent="0.2"/>
    <row r="1821" customFormat="1" ht="12.75" x14ac:dyDescent="0.2"/>
    <row r="1822" customFormat="1" ht="12.75" x14ac:dyDescent="0.2"/>
    <row r="1823" customFormat="1" ht="12.75" x14ac:dyDescent="0.2"/>
    <row r="1824" customFormat="1" ht="12.75" x14ac:dyDescent="0.2"/>
    <row r="1825" customFormat="1" ht="12.75" x14ac:dyDescent="0.2"/>
    <row r="1826" customFormat="1" ht="12.75" x14ac:dyDescent="0.2"/>
    <row r="1827" customFormat="1" ht="12.75" x14ac:dyDescent="0.2"/>
    <row r="1828" customFormat="1" ht="12.75" x14ac:dyDescent="0.2"/>
    <row r="1829" customFormat="1" ht="12.75" x14ac:dyDescent="0.2"/>
    <row r="1830" customFormat="1" ht="12.75" x14ac:dyDescent="0.2"/>
    <row r="1831" customFormat="1" ht="12.75" x14ac:dyDescent="0.2"/>
    <row r="1832" customFormat="1" ht="12.75" x14ac:dyDescent="0.2"/>
    <row r="1833" customFormat="1" ht="12.75" x14ac:dyDescent="0.2"/>
    <row r="1834" customFormat="1" ht="12.75" x14ac:dyDescent="0.2"/>
    <row r="1835" customFormat="1" ht="12.75" x14ac:dyDescent="0.2"/>
    <row r="1836" customFormat="1" ht="12.75" x14ac:dyDescent="0.2"/>
    <row r="1837" customFormat="1" ht="12.75" x14ac:dyDescent="0.2"/>
    <row r="1838" customFormat="1" ht="12.75" x14ac:dyDescent="0.2"/>
    <row r="1839" customFormat="1" ht="12.75" x14ac:dyDescent="0.2"/>
    <row r="1840" customFormat="1" ht="12.75" x14ac:dyDescent="0.2"/>
    <row r="1841" customFormat="1" ht="12.75" x14ac:dyDescent="0.2"/>
    <row r="1842" customFormat="1" ht="12.75" x14ac:dyDescent="0.2"/>
    <row r="1843" customFormat="1" ht="12.75" x14ac:dyDescent="0.2"/>
    <row r="1844" customFormat="1" ht="12.75" x14ac:dyDescent="0.2"/>
    <row r="1845" customFormat="1" ht="12.75" x14ac:dyDescent="0.2"/>
    <row r="1846" customFormat="1" ht="12.75" x14ac:dyDescent="0.2"/>
    <row r="1847" customFormat="1" ht="12.75" x14ac:dyDescent="0.2"/>
    <row r="1848" customFormat="1" ht="12.75" x14ac:dyDescent="0.2"/>
    <row r="1849" customFormat="1" ht="12.75" x14ac:dyDescent="0.2"/>
    <row r="1850" customFormat="1" ht="12.75" x14ac:dyDescent="0.2"/>
    <row r="1851" customFormat="1" ht="12.75" x14ac:dyDescent="0.2"/>
    <row r="1852" customFormat="1" ht="12.75" x14ac:dyDescent="0.2"/>
    <row r="1853" customFormat="1" ht="12.75" x14ac:dyDescent="0.2"/>
    <row r="1854" customFormat="1" ht="12.75" x14ac:dyDescent="0.2"/>
    <row r="1855" customFormat="1" ht="12.75" x14ac:dyDescent="0.2"/>
    <row r="1856" customFormat="1" ht="12.75" x14ac:dyDescent="0.2"/>
    <row r="1857" customFormat="1" ht="12.75" x14ac:dyDescent="0.2"/>
    <row r="1858" customFormat="1" ht="12.75" x14ac:dyDescent="0.2"/>
    <row r="1859" customFormat="1" ht="12.75" x14ac:dyDescent="0.2"/>
    <row r="1860" customFormat="1" ht="12.75" x14ac:dyDescent="0.2"/>
    <row r="1861" customFormat="1" ht="12.75" x14ac:dyDescent="0.2"/>
    <row r="1862" customFormat="1" ht="12.75" x14ac:dyDescent="0.2"/>
    <row r="1863" customFormat="1" ht="12.75" x14ac:dyDescent="0.2"/>
    <row r="1864" customFormat="1" ht="12.75" x14ac:dyDescent="0.2"/>
    <row r="1865" customFormat="1" ht="12.75" x14ac:dyDescent="0.2"/>
    <row r="1866" customFormat="1" ht="12.75" x14ac:dyDescent="0.2"/>
    <row r="1867" customFormat="1" ht="12.75" x14ac:dyDescent="0.2"/>
    <row r="1868" customFormat="1" ht="12.75" x14ac:dyDescent="0.2"/>
    <row r="1869" customFormat="1" ht="12.75" x14ac:dyDescent="0.2"/>
    <row r="1870" customFormat="1" ht="12.75" x14ac:dyDescent="0.2"/>
    <row r="1871" customFormat="1" ht="12.75" x14ac:dyDescent="0.2"/>
    <row r="1872" customFormat="1" ht="12.75" x14ac:dyDescent="0.2"/>
    <row r="1873" customFormat="1" ht="12.75" x14ac:dyDescent="0.2"/>
    <row r="1874" customFormat="1" ht="12.75" x14ac:dyDescent="0.2"/>
    <row r="1875" customFormat="1" ht="12.75" x14ac:dyDescent="0.2"/>
    <row r="1876" customFormat="1" ht="12.75" x14ac:dyDescent="0.2"/>
    <row r="1877" customFormat="1" ht="12.75" x14ac:dyDescent="0.2"/>
    <row r="1878" customFormat="1" ht="12.75" x14ac:dyDescent="0.2"/>
    <row r="1879" customFormat="1" ht="12.75" x14ac:dyDescent="0.2"/>
    <row r="1880" customFormat="1" ht="12.75" x14ac:dyDescent="0.2"/>
    <row r="1881" customFormat="1" ht="12.75" x14ac:dyDescent="0.2"/>
    <row r="1882" customFormat="1" ht="12.75" x14ac:dyDescent="0.2"/>
    <row r="1883" customFormat="1" ht="12.75" x14ac:dyDescent="0.2"/>
    <row r="1884" customFormat="1" ht="12.75" x14ac:dyDescent="0.2"/>
    <row r="1885" customFormat="1" ht="12.75" x14ac:dyDescent="0.2"/>
    <row r="1886" customFormat="1" ht="12.75" x14ac:dyDescent="0.2"/>
    <row r="1887" customFormat="1" ht="12.75" x14ac:dyDescent="0.2"/>
    <row r="1888" customFormat="1" ht="12.75" x14ac:dyDescent="0.2"/>
    <row r="1889" customFormat="1" ht="12.75" x14ac:dyDescent="0.2"/>
    <row r="1890" customFormat="1" ht="12.75" x14ac:dyDescent="0.2"/>
    <row r="1891" customFormat="1" ht="12.75" x14ac:dyDescent="0.2"/>
    <row r="1892" customFormat="1" ht="12.75" x14ac:dyDescent="0.2"/>
    <row r="1893" customFormat="1" ht="12.75" x14ac:dyDescent="0.2"/>
    <row r="1894" customFormat="1" ht="12.75" x14ac:dyDescent="0.2"/>
    <row r="1895" customFormat="1" ht="12.75" x14ac:dyDescent="0.2"/>
    <row r="1896" customFormat="1" ht="12.75" x14ac:dyDescent="0.2"/>
    <row r="1897" customFormat="1" ht="12.75" x14ac:dyDescent="0.2"/>
    <row r="1898" customFormat="1" ht="12.75" x14ac:dyDescent="0.2"/>
    <row r="1899" customFormat="1" ht="12.75" x14ac:dyDescent="0.2"/>
    <row r="1900" customFormat="1" ht="12.75" x14ac:dyDescent="0.2"/>
    <row r="1901" customFormat="1" ht="12.75" x14ac:dyDescent="0.2"/>
    <row r="1902" customFormat="1" ht="12.75" x14ac:dyDescent="0.2"/>
    <row r="1903" customFormat="1" ht="12.75" x14ac:dyDescent="0.2"/>
    <row r="1904" customFormat="1" ht="12.75" x14ac:dyDescent="0.2"/>
    <row r="1905" customFormat="1" ht="12.75" x14ac:dyDescent="0.2"/>
    <row r="1906" customFormat="1" ht="12.75" x14ac:dyDescent="0.2"/>
    <row r="1907" customFormat="1" ht="12.75" x14ac:dyDescent="0.2"/>
    <row r="1908" customFormat="1" ht="12.75" x14ac:dyDescent="0.2"/>
    <row r="1909" customFormat="1" ht="12.75" x14ac:dyDescent="0.2"/>
    <row r="1910" customFormat="1" ht="12.75" x14ac:dyDescent="0.2"/>
    <row r="1911" customFormat="1" ht="12.75" x14ac:dyDescent="0.2"/>
    <row r="1912" customFormat="1" ht="12.75" x14ac:dyDescent="0.2"/>
    <row r="1913" customFormat="1" ht="12.75" x14ac:dyDescent="0.2"/>
    <row r="1914" customFormat="1" ht="12.75" x14ac:dyDescent="0.2"/>
    <row r="1915" customFormat="1" ht="12.75" x14ac:dyDescent="0.2"/>
    <row r="1916" customFormat="1" ht="12.75" x14ac:dyDescent="0.2"/>
    <row r="1917" customFormat="1" ht="12.75" x14ac:dyDescent="0.2"/>
    <row r="1918" customFormat="1" ht="12.75" x14ac:dyDescent="0.2"/>
    <row r="1919" customFormat="1" ht="12.75" x14ac:dyDescent="0.2"/>
    <row r="1920" customFormat="1" ht="12.75" x14ac:dyDescent="0.2"/>
    <row r="1921" customFormat="1" ht="12.75" x14ac:dyDescent="0.2"/>
    <row r="1922" customFormat="1" ht="12.75" x14ac:dyDescent="0.2"/>
    <row r="1923" customFormat="1" ht="12.75" x14ac:dyDescent="0.2"/>
    <row r="1924" customFormat="1" ht="12.75" x14ac:dyDescent="0.2"/>
    <row r="1925" customFormat="1" ht="12.75" x14ac:dyDescent="0.2"/>
    <row r="1926" customFormat="1" ht="12.75" x14ac:dyDescent="0.2"/>
    <row r="1927" customFormat="1" ht="12.75" x14ac:dyDescent="0.2"/>
    <row r="1928" customFormat="1" ht="12.75" x14ac:dyDescent="0.2"/>
    <row r="1929" customFormat="1" ht="12.75" x14ac:dyDescent="0.2"/>
    <row r="1930" customFormat="1" ht="12.75" x14ac:dyDescent="0.2"/>
    <row r="1931" customFormat="1" ht="12.75" x14ac:dyDescent="0.2"/>
    <row r="1932" customFormat="1" ht="12.75" x14ac:dyDescent="0.2"/>
    <row r="1933" customFormat="1" ht="12.75" x14ac:dyDescent="0.2"/>
    <row r="1934" customFormat="1" ht="12.75" x14ac:dyDescent="0.2"/>
    <row r="1935" customFormat="1" ht="12.75" x14ac:dyDescent="0.2"/>
    <row r="1936" customFormat="1" ht="12.75" x14ac:dyDescent="0.2"/>
    <row r="1937" customFormat="1" ht="12.75" x14ac:dyDescent="0.2"/>
    <row r="1938" customFormat="1" ht="12.75" x14ac:dyDescent="0.2"/>
    <row r="1939" customFormat="1" ht="12.75" x14ac:dyDescent="0.2"/>
    <row r="1940" customFormat="1" ht="12.75" x14ac:dyDescent="0.2"/>
    <row r="1941" customFormat="1" ht="12.75" x14ac:dyDescent="0.2"/>
    <row r="1942" customFormat="1" ht="12.75" x14ac:dyDescent="0.2"/>
    <row r="1943" customFormat="1" ht="12.75" x14ac:dyDescent="0.2"/>
    <row r="1944" customFormat="1" ht="12.75" x14ac:dyDescent="0.2"/>
    <row r="1945" customFormat="1" ht="12.75" x14ac:dyDescent="0.2"/>
    <row r="1946" customFormat="1" ht="12.75" x14ac:dyDescent="0.2"/>
    <row r="1947" customFormat="1" ht="12.75" x14ac:dyDescent="0.2"/>
    <row r="1948" customFormat="1" ht="12.75" x14ac:dyDescent="0.2"/>
    <row r="1949" customFormat="1" ht="12.75" x14ac:dyDescent="0.2"/>
    <row r="1950" customFormat="1" ht="12.75" x14ac:dyDescent="0.2"/>
    <row r="1951" customFormat="1" ht="12.75" x14ac:dyDescent="0.2"/>
    <row r="1952" customFormat="1" ht="12.75" x14ac:dyDescent="0.2"/>
    <row r="1953" customFormat="1" ht="12.75" x14ac:dyDescent="0.2"/>
    <row r="1954" customFormat="1" ht="12.75" x14ac:dyDescent="0.2"/>
    <row r="1955" customFormat="1" ht="12.75" x14ac:dyDescent="0.2"/>
    <row r="1956" customFormat="1" ht="12.75" x14ac:dyDescent="0.2"/>
    <row r="1957" customFormat="1" ht="12.75" x14ac:dyDescent="0.2"/>
    <row r="1958" customFormat="1" ht="12.75" x14ac:dyDescent="0.2"/>
    <row r="1959" customFormat="1" ht="12.75" x14ac:dyDescent="0.2"/>
    <row r="1960" customFormat="1" ht="12.75" x14ac:dyDescent="0.2"/>
    <row r="1961" customFormat="1" ht="12.75" x14ac:dyDescent="0.2"/>
    <row r="1962" customFormat="1" ht="12.75" x14ac:dyDescent="0.2"/>
    <row r="1963" customFormat="1" ht="12.75" x14ac:dyDescent="0.2"/>
    <row r="1964" customFormat="1" ht="12.75" x14ac:dyDescent="0.2"/>
    <row r="1965" customFormat="1" ht="12.75" x14ac:dyDescent="0.2"/>
    <row r="1966" customFormat="1" ht="12.75" x14ac:dyDescent="0.2"/>
    <row r="1967" customFormat="1" ht="12.75" x14ac:dyDescent="0.2"/>
    <row r="1968" customFormat="1" ht="12.75" x14ac:dyDescent="0.2"/>
    <row r="1969" customFormat="1" ht="12.75" x14ac:dyDescent="0.2"/>
    <row r="1970" customFormat="1" ht="12.75" x14ac:dyDescent="0.2"/>
    <row r="1971" customFormat="1" ht="12.75" x14ac:dyDescent="0.2"/>
    <row r="1972" customFormat="1" ht="12.75" x14ac:dyDescent="0.2"/>
    <row r="1973" customFormat="1" ht="12.75" x14ac:dyDescent="0.2"/>
    <row r="1974" customFormat="1" ht="12.75" x14ac:dyDescent="0.2"/>
    <row r="1975" customFormat="1" ht="12.75" x14ac:dyDescent="0.2"/>
    <row r="1976" customFormat="1" ht="12.75" x14ac:dyDescent="0.2"/>
    <row r="1977" customFormat="1" ht="12.75" x14ac:dyDescent="0.2"/>
    <row r="1978" customFormat="1" ht="12.75" x14ac:dyDescent="0.2"/>
    <row r="1979" customFormat="1" ht="12.75" x14ac:dyDescent="0.2"/>
    <row r="1980" customFormat="1" ht="12.75" x14ac:dyDescent="0.2"/>
    <row r="1981" customFormat="1" ht="12.75" x14ac:dyDescent="0.2"/>
    <row r="1982" customFormat="1" ht="12.75" x14ac:dyDescent="0.2"/>
    <row r="1983" customFormat="1" ht="12.75" x14ac:dyDescent="0.2"/>
    <row r="1984" customFormat="1" ht="12.75" x14ac:dyDescent="0.2"/>
    <row r="1985" customFormat="1" ht="12.75" x14ac:dyDescent="0.2"/>
    <row r="1986" customFormat="1" ht="12.75" x14ac:dyDescent="0.2"/>
    <row r="1987" customFormat="1" ht="12.75" x14ac:dyDescent="0.2"/>
    <row r="1988" customFormat="1" ht="12.75" x14ac:dyDescent="0.2"/>
    <row r="1989" customFormat="1" ht="12.75" x14ac:dyDescent="0.2"/>
    <row r="1990" customFormat="1" ht="12.75" x14ac:dyDescent="0.2"/>
    <row r="1991" customFormat="1" ht="12.75" x14ac:dyDescent="0.2"/>
    <row r="1992" customFormat="1" ht="12.75" x14ac:dyDescent="0.2"/>
    <row r="1993" customFormat="1" ht="12.75" x14ac:dyDescent="0.2"/>
    <row r="1994" customFormat="1" ht="12.75" x14ac:dyDescent="0.2"/>
    <row r="1995" customFormat="1" ht="12.75" x14ac:dyDescent="0.2"/>
    <row r="1996" customFormat="1" ht="12.75" x14ac:dyDescent="0.2"/>
    <row r="1997" customFormat="1" ht="12.75" x14ac:dyDescent="0.2"/>
    <row r="1998" customFormat="1" ht="12.75" x14ac:dyDescent="0.2"/>
    <row r="1999" customFormat="1" ht="12.75" x14ac:dyDescent="0.2"/>
    <row r="2000" customFormat="1" ht="12.75" x14ac:dyDescent="0.2"/>
    <row r="2001" customFormat="1" ht="12.75" x14ac:dyDescent="0.2"/>
    <row r="2002" customFormat="1" ht="12.75" x14ac:dyDescent="0.2"/>
    <row r="2003" customFormat="1" ht="12.75" x14ac:dyDescent="0.2"/>
    <row r="2004" customFormat="1" ht="12.75" x14ac:dyDescent="0.2"/>
    <row r="2005" customFormat="1" ht="12.75" x14ac:dyDescent="0.2"/>
    <row r="2006" customFormat="1" ht="12.75" x14ac:dyDescent="0.2"/>
    <row r="2007" customFormat="1" ht="12.75" x14ac:dyDescent="0.2"/>
    <row r="2008" customFormat="1" ht="12.75" x14ac:dyDescent="0.2"/>
    <row r="2009" customFormat="1" ht="12.75" x14ac:dyDescent="0.2"/>
    <row r="2010" customFormat="1" ht="12.75" x14ac:dyDescent="0.2"/>
    <row r="2011" customFormat="1" ht="12.75" x14ac:dyDescent="0.2"/>
    <row r="2012" customFormat="1" ht="12.75" x14ac:dyDescent="0.2"/>
    <row r="2013" customFormat="1" ht="12.75" x14ac:dyDescent="0.2"/>
    <row r="2014" customFormat="1" ht="12.75" x14ac:dyDescent="0.2"/>
    <row r="2015" customFormat="1" ht="12.75" x14ac:dyDescent="0.2"/>
    <row r="2016" customFormat="1" ht="12.75" x14ac:dyDescent="0.2"/>
    <row r="2017" customFormat="1" ht="12.75" x14ac:dyDescent="0.2"/>
    <row r="2018" customFormat="1" ht="12.75" x14ac:dyDescent="0.2"/>
    <row r="2019" customFormat="1" ht="12.75" x14ac:dyDescent="0.2"/>
    <row r="2020" customFormat="1" ht="12.75" x14ac:dyDescent="0.2"/>
    <row r="2021" customFormat="1" ht="12.75" x14ac:dyDescent="0.2"/>
    <row r="2022" customFormat="1" ht="12.75" x14ac:dyDescent="0.2"/>
    <row r="2023" customFormat="1" ht="12.75" x14ac:dyDescent="0.2"/>
    <row r="2024" customFormat="1" ht="12.75" x14ac:dyDescent="0.2"/>
    <row r="2025" customFormat="1" ht="12.75" x14ac:dyDescent="0.2"/>
    <row r="2026" customFormat="1" ht="12.75" x14ac:dyDescent="0.2"/>
    <row r="2027" customFormat="1" ht="12.75" x14ac:dyDescent="0.2"/>
    <row r="2028" customFormat="1" ht="12.75" x14ac:dyDescent="0.2"/>
    <row r="2029" customFormat="1" ht="12.75" x14ac:dyDescent="0.2"/>
    <row r="2030" customFormat="1" ht="12.75" x14ac:dyDescent="0.2"/>
    <row r="2031" customFormat="1" ht="12.75" x14ac:dyDescent="0.2"/>
    <row r="2032" customFormat="1" ht="12.75" x14ac:dyDescent="0.2"/>
    <row r="2033" customFormat="1" ht="12.75" x14ac:dyDescent="0.2"/>
    <row r="2034" customFormat="1" ht="12.75" x14ac:dyDescent="0.2"/>
    <row r="2035" customFormat="1" ht="12.75" x14ac:dyDescent="0.2"/>
    <row r="2036" customFormat="1" ht="12.75" x14ac:dyDescent="0.2"/>
    <row r="2037" customFormat="1" ht="12.75" x14ac:dyDescent="0.2"/>
    <row r="2038" customFormat="1" ht="12.75" x14ac:dyDescent="0.2"/>
    <row r="2039" customFormat="1" ht="12.75" x14ac:dyDescent="0.2"/>
    <row r="2040" customFormat="1" ht="12.75" x14ac:dyDescent="0.2"/>
    <row r="2041" customFormat="1" ht="12.75" x14ac:dyDescent="0.2"/>
    <row r="2042" customFormat="1" ht="12.75" x14ac:dyDescent="0.2"/>
    <row r="2043" customFormat="1" ht="12.75" x14ac:dyDescent="0.2"/>
    <row r="2044" customFormat="1" ht="12.75" x14ac:dyDescent="0.2"/>
    <row r="2045" customFormat="1" ht="12.75" x14ac:dyDescent="0.2"/>
    <row r="2046" customFormat="1" ht="12.75" x14ac:dyDescent="0.2"/>
    <row r="2047" customFormat="1" ht="12.75" x14ac:dyDescent="0.2"/>
    <row r="2048" customFormat="1" ht="12.75" x14ac:dyDescent="0.2"/>
    <row r="2049" customFormat="1" ht="12.75" x14ac:dyDescent="0.2"/>
    <row r="2050" customFormat="1" ht="12.75" x14ac:dyDescent="0.2"/>
    <row r="2051" customFormat="1" ht="12.75" x14ac:dyDescent="0.2"/>
    <row r="2052" customFormat="1" ht="12.75" x14ac:dyDescent="0.2"/>
    <row r="2053" customFormat="1" ht="12.75" x14ac:dyDescent="0.2"/>
    <row r="2054" customFormat="1" ht="12.75" x14ac:dyDescent="0.2"/>
    <row r="2055" customFormat="1" ht="12.75" x14ac:dyDescent="0.2"/>
    <row r="2056" customFormat="1" ht="12.75" x14ac:dyDescent="0.2"/>
    <row r="2057" customFormat="1" ht="12.75" x14ac:dyDescent="0.2"/>
    <row r="2058" customFormat="1" ht="12.75" x14ac:dyDescent="0.2"/>
    <row r="2059" customFormat="1" ht="12.75" x14ac:dyDescent="0.2"/>
    <row r="2060" customFormat="1" ht="12.75" x14ac:dyDescent="0.2"/>
    <row r="2061" customFormat="1" ht="12.75" x14ac:dyDescent="0.2"/>
    <row r="2062" customFormat="1" ht="12.75" x14ac:dyDescent="0.2"/>
    <row r="2063" customFormat="1" ht="12.75" x14ac:dyDescent="0.2"/>
    <row r="2064" customFormat="1" ht="12.75" x14ac:dyDescent="0.2"/>
    <row r="2065" customFormat="1" ht="12.75" x14ac:dyDescent="0.2"/>
    <row r="2066" customFormat="1" ht="12.75" x14ac:dyDescent="0.2"/>
    <row r="2067" customFormat="1" ht="12.75" x14ac:dyDescent="0.2"/>
    <row r="2068" customFormat="1" ht="12.75" x14ac:dyDescent="0.2"/>
    <row r="2069" customFormat="1" ht="12.75" x14ac:dyDescent="0.2"/>
    <row r="2070" customFormat="1" ht="12.75" x14ac:dyDescent="0.2"/>
    <row r="2071" customFormat="1" ht="12.75" x14ac:dyDescent="0.2"/>
    <row r="2072" customFormat="1" ht="12.75" x14ac:dyDescent="0.2"/>
    <row r="2073" customFormat="1" ht="12.75" x14ac:dyDescent="0.2"/>
    <row r="2074" customFormat="1" ht="12.75" x14ac:dyDescent="0.2"/>
    <row r="2075" customFormat="1" ht="12.75" x14ac:dyDescent="0.2"/>
    <row r="2076" customFormat="1" ht="12.75" x14ac:dyDescent="0.2"/>
    <row r="2077" customFormat="1" ht="12.75" x14ac:dyDescent="0.2"/>
    <row r="2078" customFormat="1" ht="12.75" x14ac:dyDescent="0.2"/>
    <row r="2079" customFormat="1" ht="12.75" x14ac:dyDescent="0.2"/>
    <row r="2080" customFormat="1" ht="12.75" x14ac:dyDescent="0.2"/>
    <row r="2081" customFormat="1" ht="12.75" x14ac:dyDescent="0.2"/>
    <row r="2082" customFormat="1" ht="12.75" x14ac:dyDescent="0.2"/>
    <row r="2083" customFormat="1" ht="12.75" x14ac:dyDescent="0.2"/>
    <row r="2084" customFormat="1" ht="12.75" x14ac:dyDescent="0.2"/>
    <row r="2085" customFormat="1" ht="12.75" x14ac:dyDescent="0.2"/>
    <row r="2086" customFormat="1" ht="12.75" x14ac:dyDescent="0.2"/>
    <row r="2087" customFormat="1" ht="12.75" x14ac:dyDescent="0.2"/>
    <row r="2088" customFormat="1" ht="12.75" x14ac:dyDescent="0.2"/>
    <row r="2089" customFormat="1" ht="12.75" x14ac:dyDescent="0.2"/>
    <row r="2090" customFormat="1" ht="12.75" x14ac:dyDescent="0.2"/>
    <row r="2091" customFormat="1" ht="12.75" x14ac:dyDescent="0.2"/>
    <row r="2092" customFormat="1" ht="12.75" x14ac:dyDescent="0.2"/>
    <row r="2093" customFormat="1" ht="12.75" x14ac:dyDescent="0.2"/>
    <row r="2094" customFormat="1" ht="12.75" x14ac:dyDescent="0.2"/>
    <row r="2095" customFormat="1" ht="12.75" x14ac:dyDescent="0.2"/>
    <row r="2096" customFormat="1" ht="12.75" x14ac:dyDescent="0.2"/>
    <row r="2097" customFormat="1" ht="12.75" x14ac:dyDescent="0.2"/>
    <row r="2098" customFormat="1" ht="12.75" x14ac:dyDescent="0.2"/>
    <row r="2099" customFormat="1" ht="12.75" x14ac:dyDescent="0.2"/>
    <row r="2100" customFormat="1" ht="12.75" x14ac:dyDescent="0.2"/>
    <row r="2101" customFormat="1" ht="12.75" x14ac:dyDescent="0.2"/>
    <row r="2102" customFormat="1" ht="12.75" x14ac:dyDescent="0.2"/>
    <row r="2103" customFormat="1" ht="12.75" x14ac:dyDescent="0.2"/>
    <row r="2104" customFormat="1" ht="12.75" x14ac:dyDescent="0.2"/>
    <row r="2105" customFormat="1" ht="12.75" x14ac:dyDescent="0.2"/>
    <row r="2106" customFormat="1" ht="12.75" x14ac:dyDescent="0.2"/>
    <row r="2107" customFormat="1" ht="12.75" x14ac:dyDescent="0.2"/>
    <row r="2108" customFormat="1" ht="12.75" x14ac:dyDescent="0.2"/>
    <row r="2109" customFormat="1" ht="12.75" x14ac:dyDescent="0.2"/>
    <row r="2110" customFormat="1" ht="12.75" x14ac:dyDescent="0.2"/>
    <row r="2111" customFormat="1" ht="12.75" x14ac:dyDescent="0.2"/>
    <row r="2112" customFormat="1" ht="12.75" x14ac:dyDescent="0.2"/>
    <row r="2113" customFormat="1" ht="12.75" x14ac:dyDescent="0.2"/>
    <row r="2114" customFormat="1" ht="12.75" x14ac:dyDescent="0.2"/>
    <row r="2115" customFormat="1" ht="12.75" x14ac:dyDescent="0.2"/>
    <row r="2116" customFormat="1" ht="12.75" x14ac:dyDescent="0.2"/>
    <row r="2117" customFormat="1" ht="12.75" x14ac:dyDescent="0.2"/>
    <row r="2118" customFormat="1" ht="12.75" x14ac:dyDescent="0.2"/>
    <row r="2119" customFormat="1" ht="12.75" x14ac:dyDescent="0.2"/>
    <row r="2120" customFormat="1" ht="12.75" x14ac:dyDescent="0.2"/>
    <row r="2121" customFormat="1" ht="12.75" x14ac:dyDescent="0.2"/>
    <row r="2122" customFormat="1" ht="12.75" x14ac:dyDescent="0.2"/>
    <row r="2123" customFormat="1" ht="12.75" x14ac:dyDescent="0.2"/>
    <row r="2124" customFormat="1" ht="12.75" x14ac:dyDescent="0.2"/>
    <row r="2125" customFormat="1" ht="12.75" x14ac:dyDescent="0.2"/>
    <row r="2126" customFormat="1" ht="12.75" x14ac:dyDescent="0.2"/>
    <row r="2127" customFormat="1" ht="12.75" x14ac:dyDescent="0.2"/>
    <row r="2128" customFormat="1" ht="12.75" x14ac:dyDescent="0.2"/>
    <row r="2129" customFormat="1" ht="12.75" x14ac:dyDescent="0.2"/>
    <row r="2130" customFormat="1" ht="12.75" x14ac:dyDescent="0.2"/>
    <row r="2131" customFormat="1" ht="12.75" x14ac:dyDescent="0.2"/>
    <row r="2132" customFormat="1" ht="12.75" x14ac:dyDescent="0.2"/>
    <row r="2133" customFormat="1" ht="12.75" x14ac:dyDescent="0.2"/>
    <row r="2134" customFormat="1" ht="12.75" x14ac:dyDescent="0.2"/>
    <row r="2135" customFormat="1" ht="12.75" x14ac:dyDescent="0.2"/>
    <row r="2136" customFormat="1" ht="12.75" x14ac:dyDescent="0.2"/>
    <row r="2137" customFormat="1" ht="12.75" x14ac:dyDescent="0.2"/>
    <row r="2138" customFormat="1" ht="12.75" x14ac:dyDescent="0.2"/>
    <row r="2139" customFormat="1" ht="12.75" x14ac:dyDescent="0.2"/>
    <row r="2140" customFormat="1" ht="12.75" x14ac:dyDescent="0.2"/>
    <row r="2141" customFormat="1" ht="12.75" x14ac:dyDescent="0.2"/>
    <row r="2142" customFormat="1" ht="12.75" x14ac:dyDescent="0.2"/>
    <row r="2143" customFormat="1" ht="12.75" x14ac:dyDescent="0.2"/>
    <row r="2144" customFormat="1" ht="12.75" x14ac:dyDescent="0.2"/>
    <row r="2145" customFormat="1" ht="12.75" x14ac:dyDescent="0.2"/>
    <row r="2146" customFormat="1" ht="12.75" x14ac:dyDescent="0.2"/>
    <row r="2147" customFormat="1" ht="12.75" x14ac:dyDescent="0.2"/>
    <row r="2148" customFormat="1" ht="12.75" x14ac:dyDescent="0.2"/>
    <row r="2149" customFormat="1" ht="12.75" x14ac:dyDescent="0.2"/>
    <row r="2150" customFormat="1" ht="12.75" x14ac:dyDescent="0.2"/>
    <row r="2151" customFormat="1" ht="12.75" x14ac:dyDescent="0.2"/>
    <row r="2152" customFormat="1" ht="12.75" x14ac:dyDescent="0.2"/>
    <row r="2153" customFormat="1" ht="12.75" x14ac:dyDescent="0.2"/>
    <row r="2154" customFormat="1" ht="12.75" x14ac:dyDescent="0.2"/>
    <row r="2155" customFormat="1" ht="12.75" x14ac:dyDescent="0.2"/>
    <row r="2156" customFormat="1" ht="12.75" x14ac:dyDescent="0.2"/>
    <row r="2157" customFormat="1" ht="12.75" x14ac:dyDescent="0.2"/>
    <row r="2158" customFormat="1" ht="12.75" x14ac:dyDescent="0.2"/>
    <row r="2159" customFormat="1" ht="12.75" x14ac:dyDescent="0.2"/>
    <row r="2160" customFormat="1" ht="12.75" x14ac:dyDescent="0.2"/>
    <row r="2161" customFormat="1" ht="12.75" x14ac:dyDescent="0.2"/>
    <row r="2162" customFormat="1" ht="12.75" x14ac:dyDescent="0.2"/>
    <row r="2163" customFormat="1" ht="12.75" x14ac:dyDescent="0.2"/>
    <row r="2164" customFormat="1" ht="12.75" x14ac:dyDescent="0.2"/>
    <row r="2165" customFormat="1" ht="12.75" x14ac:dyDescent="0.2"/>
    <row r="2166" customFormat="1" ht="12.75" x14ac:dyDescent="0.2"/>
    <row r="2167" customFormat="1" ht="12.75" x14ac:dyDescent="0.2"/>
    <row r="2168" customFormat="1" ht="12.75" x14ac:dyDescent="0.2"/>
    <row r="2169" customFormat="1" ht="12.75" x14ac:dyDescent="0.2"/>
    <row r="2170" customFormat="1" ht="12.75" x14ac:dyDescent="0.2"/>
    <row r="2171" customFormat="1" ht="12.75" x14ac:dyDescent="0.2"/>
    <row r="2172" customFormat="1" ht="12.75" x14ac:dyDescent="0.2"/>
    <row r="2173" customFormat="1" ht="12.75" x14ac:dyDescent="0.2"/>
    <row r="2174" customFormat="1" ht="12.75" x14ac:dyDescent="0.2"/>
    <row r="2175" customFormat="1" ht="12.75" x14ac:dyDescent="0.2"/>
    <row r="2176" customFormat="1" ht="12.75" x14ac:dyDescent="0.2"/>
    <row r="2177" customFormat="1" ht="12.75" x14ac:dyDescent="0.2"/>
    <row r="2178" customFormat="1" ht="12.75" x14ac:dyDescent="0.2"/>
    <row r="2179" customFormat="1" ht="12.75" x14ac:dyDescent="0.2"/>
    <row r="2180" customFormat="1" ht="12.75" x14ac:dyDescent="0.2"/>
    <row r="2181" customFormat="1" ht="12.75" x14ac:dyDescent="0.2"/>
    <row r="2182" customFormat="1" ht="12.75" x14ac:dyDescent="0.2"/>
    <row r="2183" customFormat="1" ht="12.75" x14ac:dyDescent="0.2"/>
    <row r="2184" customFormat="1" ht="12.75" x14ac:dyDescent="0.2"/>
    <row r="2185" customFormat="1" ht="12.75" x14ac:dyDescent="0.2"/>
    <row r="2186" customFormat="1" ht="12.75" x14ac:dyDescent="0.2"/>
    <row r="2187" customFormat="1" ht="12.75" x14ac:dyDescent="0.2"/>
    <row r="2188" customFormat="1" ht="12.75" x14ac:dyDescent="0.2"/>
    <row r="2189" customFormat="1" ht="12.75" x14ac:dyDescent="0.2"/>
    <row r="2190" customFormat="1" ht="12.75" x14ac:dyDescent="0.2"/>
    <row r="2191" customFormat="1" ht="12.75" x14ac:dyDescent="0.2"/>
    <row r="2192" customFormat="1" ht="12.75" x14ac:dyDescent="0.2"/>
    <row r="2193" customFormat="1" ht="12.75" x14ac:dyDescent="0.2"/>
    <row r="2194" customFormat="1" ht="12.75" x14ac:dyDescent="0.2"/>
    <row r="2195" customFormat="1" ht="12.75" x14ac:dyDescent="0.2"/>
    <row r="2196" customFormat="1" ht="12.75" x14ac:dyDescent="0.2"/>
    <row r="2197" customFormat="1" ht="12.75" x14ac:dyDescent="0.2"/>
    <row r="2198" customFormat="1" ht="12.75" x14ac:dyDescent="0.2"/>
    <row r="2199" customFormat="1" ht="12.75" x14ac:dyDescent="0.2"/>
    <row r="2200" customFormat="1" ht="12.75" x14ac:dyDescent="0.2"/>
    <row r="2201" customFormat="1" ht="12.75" x14ac:dyDescent="0.2"/>
    <row r="2202" customFormat="1" ht="12.75" x14ac:dyDescent="0.2"/>
    <row r="2203" customFormat="1" ht="12.75" x14ac:dyDescent="0.2"/>
    <row r="2204" customFormat="1" ht="12.75" x14ac:dyDescent="0.2"/>
    <row r="2205" customFormat="1" ht="12.75" x14ac:dyDescent="0.2"/>
    <row r="2206" customFormat="1" ht="12.75" x14ac:dyDescent="0.2"/>
    <row r="2207" customFormat="1" ht="12.75" x14ac:dyDescent="0.2"/>
    <row r="2208" customFormat="1" ht="12.75" x14ac:dyDescent="0.2"/>
    <row r="2209" customFormat="1" ht="12.75" x14ac:dyDescent="0.2"/>
    <row r="2210" customFormat="1" ht="12.75" x14ac:dyDescent="0.2"/>
    <row r="2211" customFormat="1" ht="12.75" x14ac:dyDescent="0.2"/>
    <row r="2212" customFormat="1" ht="12.75" x14ac:dyDescent="0.2"/>
    <row r="2213" customFormat="1" ht="12.75" x14ac:dyDescent="0.2"/>
    <row r="2214" customFormat="1" ht="12.75" x14ac:dyDescent="0.2"/>
    <row r="2215" customFormat="1" ht="12.75" x14ac:dyDescent="0.2"/>
    <row r="2216" customFormat="1" ht="12.75" x14ac:dyDescent="0.2"/>
    <row r="2217" customFormat="1" ht="12.75" x14ac:dyDescent="0.2"/>
    <row r="2218" customFormat="1" ht="12.75" x14ac:dyDescent="0.2"/>
    <row r="2219" customFormat="1" ht="12.75" x14ac:dyDescent="0.2"/>
    <row r="2220" customFormat="1" ht="12.75" x14ac:dyDescent="0.2"/>
    <row r="2221" customFormat="1" ht="12.75" x14ac:dyDescent="0.2"/>
    <row r="2222" customFormat="1" ht="12.75" x14ac:dyDescent="0.2"/>
    <row r="2223" customFormat="1" ht="12.75" x14ac:dyDescent="0.2"/>
    <row r="2224" customFormat="1" ht="12.75" x14ac:dyDescent="0.2"/>
    <row r="2225" customFormat="1" ht="12.75" x14ac:dyDescent="0.2"/>
    <row r="2226" customFormat="1" ht="12.75" x14ac:dyDescent="0.2"/>
    <row r="2227" customFormat="1" ht="12.75" x14ac:dyDescent="0.2"/>
    <row r="2228" customFormat="1" ht="12.75" x14ac:dyDescent="0.2"/>
    <row r="2229" customFormat="1" ht="12.75" x14ac:dyDescent="0.2"/>
    <row r="2230" customFormat="1" ht="12.75" x14ac:dyDescent="0.2"/>
    <row r="2231" customFormat="1" ht="12.75" x14ac:dyDescent="0.2"/>
    <row r="2232" customFormat="1" ht="12.75" x14ac:dyDescent="0.2"/>
    <row r="2233" customFormat="1" ht="12.75" x14ac:dyDescent="0.2"/>
    <row r="2234" customFormat="1" ht="12.75" x14ac:dyDescent="0.2"/>
    <row r="2235" customFormat="1" ht="12.75" x14ac:dyDescent="0.2"/>
    <row r="2236" customFormat="1" ht="12.75" x14ac:dyDescent="0.2"/>
    <row r="2237" customFormat="1" ht="12.75" x14ac:dyDescent="0.2"/>
    <row r="2238" customFormat="1" ht="12.75" x14ac:dyDescent="0.2"/>
    <row r="2239" customFormat="1" ht="12.75" x14ac:dyDescent="0.2"/>
    <row r="2240" customFormat="1" ht="12.75" x14ac:dyDescent="0.2"/>
    <row r="2241" customFormat="1" ht="12.75" x14ac:dyDescent="0.2"/>
    <row r="2242" customFormat="1" ht="12.75" x14ac:dyDescent="0.2"/>
    <row r="2243" customFormat="1" ht="12.75" x14ac:dyDescent="0.2"/>
    <row r="2244" customFormat="1" ht="12.75" x14ac:dyDescent="0.2"/>
    <row r="2245" customFormat="1" ht="12.75" x14ac:dyDescent="0.2"/>
    <row r="2246" customFormat="1" ht="12.75" x14ac:dyDescent="0.2"/>
    <row r="2247" customFormat="1" ht="12.75" x14ac:dyDescent="0.2"/>
    <row r="2248" customFormat="1" ht="12.75" x14ac:dyDescent="0.2"/>
    <row r="2249" customFormat="1" ht="12.75" x14ac:dyDescent="0.2"/>
    <row r="2250" customFormat="1" ht="12.75" x14ac:dyDescent="0.2"/>
    <row r="2251" customFormat="1" ht="12.75" x14ac:dyDescent="0.2"/>
    <row r="2252" customFormat="1" ht="12.75" x14ac:dyDescent="0.2"/>
    <row r="2253" customFormat="1" ht="12.75" x14ac:dyDescent="0.2"/>
    <row r="2254" customFormat="1" ht="12.75" x14ac:dyDescent="0.2"/>
    <row r="2255" customFormat="1" ht="12.75" x14ac:dyDescent="0.2"/>
    <row r="2256" customFormat="1" ht="12.75" x14ac:dyDescent="0.2"/>
    <row r="2257" customFormat="1" ht="12.75" x14ac:dyDescent="0.2"/>
    <row r="2258" customFormat="1" ht="12.75" x14ac:dyDescent="0.2"/>
    <row r="2259" customFormat="1" ht="12.75" x14ac:dyDescent="0.2"/>
    <row r="2260" customFormat="1" ht="12.75" x14ac:dyDescent="0.2"/>
    <row r="2261" customFormat="1" ht="12.75" x14ac:dyDescent="0.2"/>
    <row r="2262" customFormat="1" ht="12.75" x14ac:dyDescent="0.2"/>
    <row r="2263" customFormat="1" ht="12.75" x14ac:dyDescent="0.2"/>
    <row r="2264" customFormat="1" ht="12.75" x14ac:dyDescent="0.2"/>
    <row r="2265" customFormat="1" ht="12.75" x14ac:dyDescent="0.2"/>
    <row r="2266" customFormat="1" ht="12.75" x14ac:dyDescent="0.2"/>
    <row r="2267" customFormat="1" ht="12.75" x14ac:dyDescent="0.2"/>
    <row r="2268" customFormat="1" ht="12.75" x14ac:dyDescent="0.2"/>
    <row r="2269" customFormat="1" ht="12.75" x14ac:dyDescent="0.2"/>
    <row r="2270" customFormat="1" ht="12.75" x14ac:dyDescent="0.2"/>
    <row r="2271" customFormat="1" ht="12.75" x14ac:dyDescent="0.2"/>
    <row r="2272" customFormat="1" ht="12.75" x14ac:dyDescent="0.2"/>
    <row r="2273" customFormat="1" ht="12.75" x14ac:dyDescent="0.2"/>
    <row r="2274" customFormat="1" ht="12.75" x14ac:dyDescent="0.2"/>
    <row r="2275" customFormat="1" ht="12.75" x14ac:dyDescent="0.2"/>
    <row r="2276" customFormat="1" ht="12.75" x14ac:dyDescent="0.2"/>
    <row r="2277" customFormat="1" ht="12.75" x14ac:dyDescent="0.2"/>
    <row r="2278" customFormat="1" ht="12.75" x14ac:dyDescent="0.2"/>
    <row r="2279" customFormat="1" ht="12.75" x14ac:dyDescent="0.2"/>
    <row r="2280" customFormat="1" ht="12.75" x14ac:dyDescent="0.2"/>
    <row r="2281" customFormat="1" ht="12.75" x14ac:dyDescent="0.2"/>
    <row r="2282" customFormat="1" ht="12.75" x14ac:dyDescent="0.2"/>
    <row r="2283" customFormat="1" ht="12.75" x14ac:dyDescent="0.2"/>
    <row r="2284" customFormat="1" ht="12.75" x14ac:dyDescent="0.2"/>
    <row r="2285" customFormat="1" ht="12.75" x14ac:dyDescent="0.2"/>
    <row r="2286" customFormat="1" ht="12.75" x14ac:dyDescent="0.2"/>
    <row r="2287" customFormat="1" ht="12.75" x14ac:dyDescent="0.2"/>
    <row r="2288" customFormat="1" ht="12.75" x14ac:dyDescent="0.2"/>
    <row r="2289" customFormat="1" ht="12.75" x14ac:dyDescent="0.2"/>
    <row r="2290" customFormat="1" ht="12.75" x14ac:dyDescent="0.2"/>
    <row r="2291" customFormat="1" ht="12.75" x14ac:dyDescent="0.2"/>
    <row r="2292" customFormat="1" ht="12.75" x14ac:dyDescent="0.2"/>
    <row r="2293" customFormat="1" ht="12.75" x14ac:dyDescent="0.2"/>
    <row r="2294" customFormat="1" ht="12.75" x14ac:dyDescent="0.2"/>
    <row r="2295" customFormat="1" ht="12.75" x14ac:dyDescent="0.2"/>
    <row r="2296" customFormat="1" ht="12.75" x14ac:dyDescent="0.2"/>
    <row r="2297" customFormat="1" ht="12.75" x14ac:dyDescent="0.2"/>
    <row r="2298" customFormat="1" ht="12.75" x14ac:dyDescent="0.2"/>
    <row r="2299" customFormat="1" ht="12.75" x14ac:dyDescent="0.2"/>
    <row r="2300" customFormat="1" ht="12.75" x14ac:dyDescent="0.2"/>
    <row r="2301" customFormat="1" ht="12.75" x14ac:dyDescent="0.2"/>
    <row r="2302" customFormat="1" ht="12.75" x14ac:dyDescent="0.2"/>
    <row r="2303" customFormat="1" ht="12.75" x14ac:dyDescent="0.2"/>
    <row r="2304" customFormat="1" ht="12.75" x14ac:dyDescent="0.2"/>
    <row r="2305" customFormat="1" ht="12.75" x14ac:dyDescent="0.2"/>
    <row r="2306" customFormat="1" ht="12.75" x14ac:dyDescent="0.2"/>
    <row r="2307" customFormat="1" ht="12.75" x14ac:dyDescent="0.2"/>
    <row r="2308" customFormat="1" ht="12.75" x14ac:dyDescent="0.2"/>
    <row r="2309" customFormat="1" ht="12.75" x14ac:dyDescent="0.2"/>
    <row r="2310" customFormat="1" ht="12.75" x14ac:dyDescent="0.2"/>
    <row r="2311" customFormat="1" ht="12.75" x14ac:dyDescent="0.2"/>
    <row r="2312" customFormat="1" ht="12.75" x14ac:dyDescent="0.2"/>
    <row r="2313" customFormat="1" ht="12.75" x14ac:dyDescent="0.2"/>
    <row r="2314" customFormat="1" ht="12.75" x14ac:dyDescent="0.2"/>
    <row r="2315" customFormat="1" ht="12.75" x14ac:dyDescent="0.2"/>
    <row r="2316" customFormat="1" ht="12.75" x14ac:dyDescent="0.2"/>
    <row r="2317" customFormat="1" ht="12.75" x14ac:dyDescent="0.2"/>
    <row r="2318" customFormat="1" ht="12.75" x14ac:dyDescent="0.2"/>
    <row r="2319" customFormat="1" ht="12.75" x14ac:dyDescent="0.2"/>
    <row r="2320" customFormat="1" ht="12.75" x14ac:dyDescent="0.2"/>
    <row r="2321" customFormat="1" ht="12.75" x14ac:dyDescent="0.2"/>
    <row r="2322" customFormat="1" ht="12.75" x14ac:dyDescent="0.2"/>
    <row r="2323" customFormat="1" ht="12.75" x14ac:dyDescent="0.2"/>
    <row r="2324" customFormat="1" ht="12.75" x14ac:dyDescent="0.2"/>
    <row r="2325" customFormat="1" ht="12.75" x14ac:dyDescent="0.2"/>
    <row r="2326" customFormat="1" ht="12.75" x14ac:dyDescent="0.2"/>
    <row r="2327" customFormat="1" ht="12.75" x14ac:dyDescent="0.2"/>
    <row r="2328" customFormat="1" ht="12.75" x14ac:dyDescent="0.2"/>
    <row r="2329" customFormat="1" ht="12.75" x14ac:dyDescent="0.2"/>
    <row r="2330" customFormat="1" ht="12.75" x14ac:dyDescent="0.2"/>
    <row r="2331" customFormat="1" ht="12.75" x14ac:dyDescent="0.2"/>
    <row r="2332" customFormat="1" ht="12.75" x14ac:dyDescent="0.2"/>
    <row r="2333" customFormat="1" ht="12.75" x14ac:dyDescent="0.2"/>
    <row r="2334" customFormat="1" ht="12.75" x14ac:dyDescent="0.2"/>
    <row r="2335" customFormat="1" ht="12.75" x14ac:dyDescent="0.2"/>
    <row r="2336" customFormat="1" ht="12.75" x14ac:dyDescent="0.2"/>
    <row r="2337" customFormat="1" ht="12.75" x14ac:dyDescent="0.2"/>
    <row r="2338" customFormat="1" ht="12.75" x14ac:dyDescent="0.2"/>
    <row r="2339" customFormat="1" ht="12.75" x14ac:dyDescent="0.2"/>
    <row r="2340" customFormat="1" ht="12.75" x14ac:dyDescent="0.2"/>
    <row r="2341" customFormat="1" ht="12.75" x14ac:dyDescent="0.2"/>
    <row r="2342" customFormat="1" ht="12.75" x14ac:dyDescent="0.2"/>
    <row r="2343" customFormat="1" ht="12.75" x14ac:dyDescent="0.2"/>
    <row r="2344" customFormat="1" ht="12.75" x14ac:dyDescent="0.2"/>
    <row r="2345" customFormat="1" ht="12.75" x14ac:dyDescent="0.2"/>
  </sheetData>
  <mergeCells count="2">
    <mergeCell ref="A4:B4"/>
    <mergeCell ref="D4:H10"/>
  </mergeCells>
  <conditionalFormatting sqref="D4:H10">
    <cfRule type="expression" dxfId="21" priority="1">
      <formula>$D$4&lt;&gt;""</formula>
    </cfRule>
  </conditionalFormatting>
  <pageMargins left="0.7" right="0.7" top="0.75" bottom="0.75" header="0.51180555555555496" footer="0.51180555555555496"/>
  <pageSetup firstPageNumber="0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8"/>
  <sheetViews>
    <sheetView zoomScaleNormal="100" workbookViewId="0"/>
  </sheetViews>
  <sheetFormatPr defaultColWidth="8.7109375" defaultRowHeight="12.75" x14ac:dyDescent="0.2"/>
  <cols>
    <col min="1" max="5" width="30" customWidth="1"/>
    <col min="6" max="6" width="30" style="22" customWidth="1"/>
    <col min="7" max="8" width="30" customWidth="1"/>
    <col min="9" max="10" width="30" style="22" customWidth="1"/>
    <col min="11" max="13" width="30" customWidth="1"/>
    <col min="15" max="17" width="30" customWidth="1"/>
  </cols>
  <sheetData>
    <row r="1" spans="1:17" s="23" customFormat="1" x14ac:dyDescent="0.2">
      <c r="A1" s="23" t="s">
        <v>58</v>
      </c>
      <c r="B1" s="23" t="s">
        <v>537</v>
      </c>
      <c r="C1" s="23" t="s">
        <v>59</v>
      </c>
      <c r="D1" s="23" t="s">
        <v>60</v>
      </c>
      <c r="E1" s="23" t="s">
        <v>61</v>
      </c>
      <c r="F1" s="24" t="s">
        <v>62</v>
      </c>
      <c r="G1" s="24" t="s">
        <v>63</v>
      </c>
      <c r="H1" s="23" t="s">
        <v>64</v>
      </c>
      <c r="I1" s="24" t="s">
        <v>65</v>
      </c>
      <c r="J1" s="24" t="s">
        <v>66</v>
      </c>
      <c r="K1" s="23" t="s">
        <v>67</v>
      </c>
      <c r="L1" s="23" t="s">
        <v>68</v>
      </c>
      <c r="M1" s="24" t="s">
        <v>69</v>
      </c>
      <c r="N1" s="24" t="s">
        <v>70</v>
      </c>
      <c r="O1" s="23" t="s">
        <v>466</v>
      </c>
      <c r="P1" s="23" t="s">
        <v>496</v>
      </c>
      <c r="Q1" s="23" t="s">
        <v>523</v>
      </c>
    </row>
    <row r="2" spans="1:17" ht="16.5" x14ac:dyDescent="0.35">
      <c r="A2" t="s">
        <v>29</v>
      </c>
      <c r="B2" t="s">
        <v>71</v>
      </c>
      <c r="C2" t="s">
        <v>72</v>
      </c>
      <c r="D2" t="s">
        <v>73</v>
      </c>
      <c r="E2" s="25" t="s">
        <v>74</v>
      </c>
      <c r="F2" s="22" t="s">
        <v>75</v>
      </c>
      <c r="G2" s="22" t="s">
        <v>72</v>
      </c>
      <c r="H2" t="s">
        <v>76</v>
      </c>
      <c r="I2" s="22" t="s">
        <v>72</v>
      </c>
      <c r="J2" s="26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467</v>
      </c>
      <c r="P2" t="s">
        <v>497</v>
      </c>
      <c r="Q2" t="s">
        <v>524</v>
      </c>
    </row>
    <row r="3" spans="1:17" ht="16.5" x14ac:dyDescent="0.35">
      <c r="A3" t="s">
        <v>31</v>
      </c>
      <c r="B3" t="s">
        <v>82</v>
      </c>
      <c r="C3" t="s">
        <v>83</v>
      </c>
      <c r="D3" t="s">
        <v>84</v>
      </c>
      <c r="E3" s="25" t="s">
        <v>85</v>
      </c>
      <c r="F3" s="22" t="s">
        <v>86</v>
      </c>
      <c r="G3" s="22" t="s">
        <v>87</v>
      </c>
      <c r="H3" t="s">
        <v>88</v>
      </c>
      <c r="I3" s="22" t="s">
        <v>87</v>
      </c>
      <c r="J3" s="26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468</v>
      </c>
      <c r="P3" t="s">
        <v>498</v>
      </c>
      <c r="Q3" t="s">
        <v>82</v>
      </c>
    </row>
    <row r="4" spans="1:17" ht="16.5" x14ac:dyDescent="0.35">
      <c r="A4" t="s">
        <v>32</v>
      </c>
      <c r="B4" t="s">
        <v>94</v>
      </c>
      <c r="C4" t="s">
        <v>95</v>
      </c>
      <c r="D4" t="s">
        <v>96</v>
      </c>
      <c r="E4" s="25" t="s">
        <v>97</v>
      </c>
      <c r="F4" s="22" t="s">
        <v>98</v>
      </c>
      <c r="G4" s="22" t="s">
        <v>99</v>
      </c>
      <c r="H4" t="s">
        <v>100</v>
      </c>
      <c r="I4" s="22" t="s">
        <v>101</v>
      </c>
      <c r="J4" s="26" t="s">
        <v>102</v>
      </c>
      <c r="K4" t="s">
        <v>103</v>
      </c>
      <c r="L4" t="s">
        <v>104</v>
      </c>
      <c r="M4" t="s">
        <v>105</v>
      </c>
      <c r="N4" t="s">
        <v>106</v>
      </c>
      <c r="O4" t="s">
        <v>469</v>
      </c>
      <c r="P4" t="s">
        <v>499</v>
      </c>
      <c r="Q4" t="s">
        <v>94</v>
      </c>
    </row>
    <row r="5" spans="1:17" ht="16.5" x14ac:dyDescent="0.35">
      <c r="A5" t="s">
        <v>30</v>
      </c>
      <c r="B5" t="s">
        <v>107</v>
      </c>
      <c r="C5" t="s">
        <v>108</v>
      </c>
      <c r="D5" t="s">
        <v>109</v>
      </c>
      <c r="E5" s="25" t="s">
        <v>110</v>
      </c>
      <c r="F5" s="22" t="s">
        <v>111</v>
      </c>
      <c r="G5" s="22" t="s">
        <v>112</v>
      </c>
      <c r="H5" t="s">
        <v>113</v>
      </c>
      <c r="I5" s="22" t="s">
        <v>114</v>
      </c>
      <c r="J5" s="26" t="s">
        <v>115</v>
      </c>
      <c r="K5" t="s">
        <v>116</v>
      </c>
      <c r="L5" t="s">
        <v>117</v>
      </c>
      <c r="M5" t="s">
        <v>118</v>
      </c>
      <c r="N5" t="s">
        <v>119</v>
      </c>
      <c r="O5" t="s">
        <v>470</v>
      </c>
      <c r="P5" t="s">
        <v>500</v>
      </c>
      <c r="Q5" t="s">
        <v>525</v>
      </c>
    </row>
    <row r="6" spans="1:17" ht="16.5" x14ac:dyDescent="0.35">
      <c r="A6" t="s">
        <v>33</v>
      </c>
      <c r="B6" t="s">
        <v>120</v>
      </c>
      <c r="C6" t="s">
        <v>121</v>
      </c>
      <c r="D6" t="s">
        <v>122</v>
      </c>
      <c r="E6" s="25" t="s">
        <v>123</v>
      </c>
      <c r="F6" s="22" t="s">
        <v>124</v>
      </c>
      <c r="G6" s="22" t="s">
        <v>125</v>
      </c>
      <c r="H6" t="s">
        <v>126</v>
      </c>
      <c r="I6" s="22" t="s">
        <v>127</v>
      </c>
      <c r="J6" s="26" t="s">
        <v>128</v>
      </c>
      <c r="K6" t="s">
        <v>129</v>
      </c>
      <c r="L6" t="s">
        <v>130</v>
      </c>
      <c r="M6" t="s">
        <v>131</v>
      </c>
      <c r="N6" t="s">
        <v>132</v>
      </c>
      <c r="O6" t="s">
        <v>471</v>
      </c>
      <c r="P6" t="s">
        <v>501</v>
      </c>
      <c r="Q6" t="s">
        <v>120</v>
      </c>
    </row>
    <row r="7" spans="1:17" ht="16.5" x14ac:dyDescent="0.35">
      <c r="A7" t="s">
        <v>34</v>
      </c>
      <c r="B7" t="s">
        <v>23</v>
      </c>
      <c r="C7" t="s">
        <v>133</v>
      </c>
      <c r="D7" t="s">
        <v>134</v>
      </c>
      <c r="E7" s="25" t="s">
        <v>135</v>
      </c>
      <c r="F7" s="22" t="s">
        <v>136</v>
      </c>
      <c r="G7" s="22" t="s">
        <v>136</v>
      </c>
      <c r="H7" t="s">
        <v>134</v>
      </c>
      <c r="I7" s="22" t="s">
        <v>136</v>
      </c>
      <c r="J7" s="26" t="s">
        <v>137</v>
      </c>
      <c r="K7" t="s">
        <v>138</v>
      </c>
      <c r="L7" t="s">
        <v>139</v>
      </c>
      <c r="M7" t="s">
        <v>134</v>
      </c>
      <c r="N7" t="s">
        <v>134</v>
      </c>
      <c r="O7" t="s">
        <v>472</v>
      </c>
      <c r="P7" t="s">
        <v>502</v>
      </c>
      <c r="Q7" t="s">
        <v>23</v>
      </c>
    </row>
    <row r="8" spans="1:17" ht="16.5" x14ac:dyDescent="0.35">
      <c r="A8" t="s">
        <v>35</v>
      </c>
      <c r="B8" t="s">
        <v>140</v>
      </c>
      <c r="C8" t="s">
        <v>141</v>
      </c>
      <c r="D8" t="s">
        <v>142</v>
      </c>
      <c r="E8" s="25" t="s">
        <v>143</v>
      </c>
      <c r="F8" s="22" t="s">
        <v>144</v>
      </c>
      <c r="G8" s="22" t="s">
        <v>145</v>
      </c>
      <c r="H8" t="s">
        <v>146</v>
      </c>
      <c r="I8" s="22" t="s">
        <v>147</v>
      </c>
      <c r="J8" s="26" t="s">
        <v>148</v>
      </c>
      <c r="K8" t="s">
        <v>149</v>
      </c>
      <c r="L8" t="s">
        <v>150</v>
      </c>
      <c r="M8" t="s">
        <v>151</v>
      </c>
      <c r="N8" t="s">
        <v>152</v>
      </c>
      <c r="O8" t="s">
        <v>473</v>
      </c>
      <c r="P8" t="s">
        <v>503</v>
      </c>
      <c r="Q8" t="s">
        <v>140</v>
      </c>
    </row>
    <row r="9" spans="1:17" ht="16.5" x14ac:dyDescent="0.35">
      <c r="A9" t="s">
        <v>36</v>
      </c>
      <c r="B9" t="s">
        <v>153</v>
      </c>
      <c r="C9" t="s">
        <v>154</v>
      </c>
      <c r="D9" t="s">
        <v>155</v>
      </c>
      <c r="E9" s="25" t="s">
        <v>156</v>
      </c>
      <c r="F9" s="22" t="s">
        <v>157</v>
      </c>
      <c r="G9" s="22" t="s">
        <v>154</v>
      </c>
      <c r="H9" t="s">
        <v>158</v>
      </c>
      <c r="I9" s="22" t="s">
        <v>159</v>
      </c>
      <c r="J9" s="26" t="s">
        <v>160</v>
      </c>
      <c r="K9" t="s">
        <v>161</v>
      </c>
      <c r="L9" t="s">
        <v>162</v>
      </c>
      <c r="M9" t="s">
        <v>163</v>
      </c>
      <c r="N9" t="s">
        <v>164</v>
      </c>
      <c r="O9" t="s">
        <v>474</v>
      </c>
      <c r="P9" t="s">
        <v>504</v>
      </c>
      <c r="Q9" t="s">
        <v>526</v>
      </c>
    </row>
    <row r="10" spans="1:17" ht="16.5" x14ac:dyDescent="0.35">
      <c r="A10" t="s">
        <v>37</v>
      </c>
      <c r="B10" t="s">
        <v>165</v>
      </c>
      <c r="C10" t="s">
        <v>166</v>
      </c>
      <c r="D10" t="s">
        <v>167</v>
      </c>
      <c r="E10" s="25" t="s">
        <v>168</v>
      </c>
      <c r="F10" s="22" t="s">
        <v>169</v>
      </c>
      <c r="G10" s="22" t="s">
        <v>170</v>
      </c>
      <c r="H10" t="s">
        <v>171</v>
      </c>
      <c r="I10" s="22" t="s">
        <v>172</v>
      </c>
      <c r="J10" s="26" t="s">
        <v>173</v>
      </c>
      <c r="K10" t="s">
        <v>174</v>
      </c>
      <c r="L10" t="s">
        <v>175</v>
      </c>
      <c r="M10" t="s">
        <v>176</v>
      </c>
      <c r="N10" t="s">
        <v>177</v>
      </c>
      <c r="O10" t="s">
        <v>475</v>
      </c>
      <c r="P10" t="s">
        <v>505</v>
      </c>
      <c r="Q10" t="s">
        <v>527</v>
      </c>
    </row>
    <row r="11" spans="1:17" ht="16.5" x14ac:dyDescent="0.35">
      <c r="A11" t="s">
        <v>38</v>
      </c>
      <c r="B11" t="s">
        <v>178</v>
      </c>
      <c r="C11" t="s">
        <v>179</v>
      </c>
      <c r="D11" t="s">
        <v>180</v>
      </c>
      <c r="E11" s="25" t="s">
        <v>181</v>
      </c>
      <c r="F11" s="22" t="s">
        <v>182</v>
      </c>
      <c r="G11" s="22" t="s">
        <v>178</v>
      </c>
      <c r="H11" t="s">
        <v>183</v>
      </c>
      <c r="I11" s="22" t="s">
        <v>184</v>
      </c>
      <c r="J11" s="26" t="s">
        <v>185</v>
      </c>
      <c r="K11" t="s">
        <v>186</v>
      </c>
      <c r="L11" t="s">
        <v>187</v>
      </c>
      <c r="M11" t="s">
        <v>188</v>
      </c>
      <c r="N11" t="s">
        <v>179</v>
      </c>
      <c r="O11" t="s">
        <v>476</v>
      </c>
      <c r="P11" t="s">
        <v>179</v>
      </c>
      <c r="Q11" t="s">
        <v>178</v>
      </c>
    </row>
    <row r="12" spans="1:17" ht="16.5" x14ac:dyDescent="0.35">
      <c r="A12" t="s">
        <v>39</v>
      </c>
      <c r="B12" t="s">
        <v>189</v>
      </c>
      <c r="C12" t="s">
        <v>190</v>
      </c>
      <c r="D12" t="s">
        <v>191</v>
      </c>
      <c r="E12" s="25" t="s">
        <v>192</v>
      </c>
      <c r="F12" s="22" t="s">
        <v>193</v>
      </c>
      <c r="G12" s="22" t="s">
        <v>189</v>
      </c>
      <c r="H12" t="s">
        <v>194</v>
      </c>
      <c r="I12" s="22" t="s">
        <v>195</v>
      </c>
      <c r="J12" s="26" t="s">
        <v>196</v>
      </c>
      <c r="K12" t="s">
        <v>197</v>
      </c>
      <c r="L12" t="s">
        <v>198</v>
      </c>
      <c r="M12" t="s">
        <v>199</v>
      </c>
      <c r="N12" t="s">
        <v>190</v>
      </c>
      <c r="O12" t="s">
        <v>477</v>
      </c>
      <c r="P12" t="s">
        <v>190</v>
      </c>
      <c r="Q12" t="s">
        <v>189</v>
      </c>
    </row>
    <row r="13" spans="1:17" ht="16.5" x14ac:dyDescent="0.35">
      <c r="A13" t="s">
        <v>57</v>
      </c>
      <c r="B13" t="s">
        <v>200</v>
      </c>
      <c r="C13" t="s">
        <v>201</v>
      </c>
      <c r="D13" t="s">
        <v>202</v>
      </c>
      <c r="E13" s="25" t="s">
        <v>203</v>
      </c>
      <c r="F13" s="22" t="s">
        <v>204</v>
      </c>
      <c r="G13" s="22" t="s">
        <v>205</v>
      </c>
      <c r="H13" t="s">
        <v>206</v>
      </c>
      <c r="I13" s="22" t="s">
        <v>207</v>
      </c>
      <c r="J13" s="26" t="s">
        <v>203</v>
      </c>
      <c r="K13" t="s">
        <v>208</v>
      </c>
      <c r="L13" t="s">
        <v>209</v>
      </c>
      <c r="M13" t="s">
        <v>210</v>
      </c>
      <c r="N13" t="s">
        <v>211</v>
      </c>
      <c r="O13" t="s">
        <v>478</v>
      </c>
      <c r="P13" t="s">
        <v>209</v>
      </c>
      <c r="Q13" t="s">
        <v>200</v>
      </c>
    </row>
    <row r="14" spans="1:17" ht="16.5" x14ac:dyDescent="0.35">
      <c r="A14" t="s">
        <v>212</v>
      </c>
      <c r="B14" t="s">
        <v>213</v>
      </c>
      <c r="C14" t="s">
        <v>214</v>
      </c>
      <c r="D14" t="s">
        <v>215</v>
      </c>
      <c r="E14" s="25" t="s">
        <v>216</v>
      </c>
      <c r="F14" s="22" t="s">
        <v>217</v>
      </c>
      <c r="G14" s="22" t="s">
        <v>218</v>
      </c>
      <c r="H14" t="s">
        <v>219</v>
      </c>
      <c r="I14" s="22" t="s">
        <v>220</v>
      </c>
      <c r="J14" s="26" t="s">
        <v>221</v>
      </c>
      <c r="K14" t="s">
        <v>222</v>
      </c>
      <c r="L14" s="27" t="s">
        <v>223</v>
      </c>
      <c r="M14" t="s">
        <v>224</v>
      </c>
      <c r="N14" t="s">
        <v>225</v>
      </c>
      <c r="O14" t="s">
        <v>479</v>
      </c>
      <c r="P14" t="s">
        <v>506</v>
      </c>
      <c r="Q14" t="s">
        <v>528</v>
      </c>
    </row>
    <row r="15" spans="1:17" ht="16.5" x14ac:dyDescent="0.35">
      <c r="A15" t="s">
        <v>40</v>
      </c>
      <c r="B15" t="s">
        <v>226</v>
      </c>
      <c r="C15" t="s">
        <v>227</v>
      </c>
      <c r="D15" t="s">
        <v>228</v>
      </c>
      <c r="E15" s="25" t="s">
        <v>229</v>
      </c>
      <c r="F15" s="22" t="s">
        <v>230</v>
      </c>
      <c r="G15" s="22" t="s">
        <v>231</v>
      </c>
      <c r="H15" t="s">
        <v>232</v>
      </c>
      <c r="I15" s="22" t="s">
        <v>233</v>
      </c>
      <c r="J15" s="26" t="s">
        <v>234</v>
      </c>
      <c r="K15" t="s">
        <v>235</v>
      </c>
      <c r="L15" s="27" t="s">
        <v>236</v>
      </c>
      <c r="M15" t="s">
        <v>237</v>
      </c>
      <c r="N15" t="s">
        <v>238</v>
      </c>
      <c r="O15" t="s">
        <v>480</v>
      </c>
      <c r="P15" t="s">
        <v>507</v>
      </c>
      <c r="Q15" t="s">
        <v>226</v>
      </c>
    </row>
    <row r="16" spans="1:17" ht="16.5" x14ac:dyDescent="0.35">
      <c r="A16" t="s">
        <v>41</v>
      </c>
      <c r="B16" t="s">
        <v>239</v>
      </c>
      <c r="C16" t="s">
        <v>240</v>
      </c>
      <c r="D16" t="s">
        <v>241</v>
      </c>
      <c r="E16" t="s">
        <v>242</v>
      </c>
      <c r="F16" s="22" t="s">
        <v>243</v>
      </c>
      <c r="G16" s="22" t="s">
        <v>244</v>
      </c>
      <c r="H16" t="s">
        <v>245</v>
      </c>
      <c r="I16" s="22" t="s">
        <v>246</v>
      </c>
      <c r="J16" s="26" t="s">
        <v>247</v>
      </c>
      <c r="K16" t="s">
        <v>248</v>
      </c>
      <c r="L16" t="s">
        <v>249</v>
      </c>
      <c r="M16" t="s">
        <v>250</v>
      </c>
      <c r="N16" t="s">
        <v>251</v>
      </c>
      <c r="O16" t="s">
        <v>481</v>
      </c>
      <c r="P16" t="s">
        <v>508</v>
      </c>
      <c r="Q16" t="s">
        <v>529</v>
      </c>
    </row>
    <row r="17" spans="1:17" ht="16.5" x14ac:dyDescent="0.35">
      <c r="A17" t="s">
        <v>42</v>
      </c>
      <c r="B17" t="s">
        <v>252</v>
      </c>
      <c r="C17" t="s">
        <v>252</v>
      </c>
      <c r="D17" t="s">
        <v>252</v>
      </c>
      <c r="E17" s="25" t="s">
        <v>253</v>
      </c>
      <c r="F17" s="22" t="s">
        <v>252</v>
      </c>
      <c r="G17" s="22" t="s">
        <v>252</v>
      </c>
      <c r="H17" t="s">
        <v>254</v>
      </c>
      <c r="I17" s="22" t="s">
        <v>255</v>
      </c>
      <c r="J17" s="22" t="s">
        <v>252</v>
      </c>
      <c r="K17" t="s">
        <v>252</v>
      </c>
      <c r="L17" t="s">
        <v>252</v>
      </c>
      <c r="M17" t="s">
        <v>256</v>
      </c>
      <c r="N17" t="s">
        <v>252</v>
      </c>
      <c r="O17" t="s">
        <v>252</v>
      </c>
      <c r="P17" t="s">
        <v>252</v>
      </c>
      <c r="Q17" t="s">
        <v>252</v>
      </c>
    </row>
    <row r="18" spans="1:17" ht="16.5" x14ac:dyDescent="0.35">
      <c r="A18" t="s">
        <v>43</v>
      </c>
      <c r="B18" t="s">
        <v>257</v>
      </c>
      <c r="C18" t="s">
        <v>257</v>
      </c>
      <c r="D18" t="s">
        <v>257</v>
      </c>
      <c r="E18" s="25" t="s">
        <v>258</v>
      </c>
      <c r="F18" s="22" t="s">
        <v>257</v>
      </c>
      <c r="G18" s="22" t="s">
        <v>257</v>
      </c>
      <c r="H18" t="s">
        <v>259</v>
      </c>
      <c r="I18" s="22" t="s">
        <v>260</v>
      </c>
      <c r="J18" s="22" t="s">
        <v>257</v>
      </c>
      <c r="K18" t="s">
        <v>257</v>
      </c>
      <c r="L18" t="s">
        <v>257</v>
      </c>
      <c r="M18" t="s">
        <v>261</v>
      </c>
      <c r="N18" t="s">
        <v>257</v>
      </c>
      <c r="O18" t="s">
        <v>257</v>
      </c>
      <c r="P18" t="s">
        <v>257</v>
      </c>
      <c r="Q18" t="s">
        <v>257</v>
      </c>
    </row>
    <row r="19" spans="1:17" ht="16.5" x14ac:dyDescent="0.35">
      <c r="A19" t="s">
        <v>44</v>
      </c>
      <c r="B19" t="s">
        <v>262</v>
      </c>
      <c r="C19" t="s">
        <v>262</v>
      </c>
      <c r="D19" t="s">
        <v>262</v>
      </c>
      <c r="E19" s="25" t="s">
        <v>263</v>
      </c>
      <c r="F19" s="22" t="s">
        <v>262</v>
      </c>
      <c r="G19" s="22" t="s">
        <v>262</v>
      </c>
      <c r="H19" t="s">
        <v>264</v>
      </c>
      <c r="I19" s="22" t="s">
        <v>265</v>
      </c>
      <c r="J19" s="22" t="s">
        <v>262</v>
      </c>
      <c r="K19" t="s">
        <v>262</v>
      </c>
      <c r="L19" t="s">
        <v>262</v>
      </c>
      <c r="M19" t="s">
        <v>266</v>
      </c>
      <c r="N19" t="s">
        <v>262</v>
      </c>
      <c r="O19" t="s">
        <v>262</v>
      </c>
      <c r="P19" t="s">
        <v>262</v>
      </c>
      <c r="Q19" t="s">
        <v>262</v>
      </c>
    </row>
    <row r="20" spans="1:17" ht="16.5" x14ac:dyDescent="0.35">
      <c r="A20" t="s">
        <v>45</v>
      </c>
      <c r="B20" t="s">
        <v>267</v>
      </c>
      <c r="C20" t="s">
        <v>267</v>
      </c>
      <c r="D20" t="s">
        <v>267</v>
      </c>
      <c r="E20" s="25" t="s">
        <v>268</v>
      </c>
      <c r="F20" s="22" t="s">
        <v>267</v>
      </c>
      <c r="G20" s="22" t="s">
        <v>267</v>
      </c>
      <c r="H20" t="s">
        <v>269</v>
      </c>
      <c r="I20" s="22" t="s">
        <v>270</v>
      </c>
      <c r="J20" s="22" t="s">
        <v>267</v>
      </c>
      <c r="K20" t="s">
        <v>267</v>
      </c>
      <c r="L20" t="s">
        <v>267</v>
      </c>
      <c r="M20" t="s">
        <v>271</v>
      </c>
      <c r="N20" t="s">
        <v>267</v>
      </c>
      <c r="O20" t="s">
        <v>267</v>
      </c>
      <c r="P20" t="s">
        <v>267</v>
      </c>
      <c r="Q20" t="s">
        <v>267</v>
      </c>
    </row>
    <row r="21" spans="1:17" ht="16.5" x14ac:dyDescent="0.35">
      <c r="A21" t="s">
        <v>46</v>
      </c>
      <c r="B21" t="s">
        <v>272</v>
      </c>
      <c r="C21" t="s">
        <v>272</v>
      </c>
      <c r="D21" t="s">
        <v>272</v>
      </c>
      <c r="E21" s="25" t="s">
        <v>273</v>
      </c>
      <c r="F21" s="22" t="s">
        <v>272</v>
      </c>
      <c r="G21" s="22" t="s">
        <v>272</v>
      </c>
      <c r="H21" t="s">
        <v>274</v>
      </c>
      <c r="I21" s="22" t="s">
        <v>275</v>
      </c>
      <c r="J21" s="22" t="s">
        <v>272</v>
      </c>
      <c r="K21" t="s">
        <v>272</v>
      </c>
      <c r="L21" t="s">
        <v>272</v>
      </c>
      <c r="M21" t="s">
        <v>276</v>
      </c>
      <c r="N21" t="s">
        <v>272</v>
      </c>
      <c r="O21" t="s">
        <v>272</v>
      </c>
      <c r="P21" t="s">
        <v>272</v>
      </c>
      <c r="Q21" t="s">
        <v>272</v>
      </c>
    </row>
    <row r="22" spans="1:17" ht="16.5" x14ac:dyDescent="0.35">
      <c r="A22" t="s">
        <v>47</v>
      </c>
      <c r="B22" t="s">
        <v>277</v>
      </c>
      <c r="C22" t="s">
        <v>277</v>
      </c>
      <c r="D22" t="s">
        <v>277</v>
      </c>
      <c r="E22" s="25" t="s">
        <v>278</v>
      </c>
      <c r="F22" s="22" t="s">
        <v>277</v>
      </c>
      <c r="G22" s="22" t="s">
        <v>277</v>
      </c>
      <c r="H22" t="s">
        <v>279</v>
      </c>
      <c r="I22" s="22" t="s">
        <v>280</v>
      </c>
      <c r="J22" s="22" t="s">
        <v>277</v>
      </c>
      <c r="K22" t="s">
        <v>277</v>
      </c>
      <c r="L22" t="s">
        <v>277</v>
      </c>
      <c r="M22" t="s">
        <v>281</v>
      </c>
      <c r="N22" t="s">
        <v>277</v>
      </c>
      <c r="O22" t="s">
        <v>277</v>
      </c>
      <c r="P22" t="s">
        <v>277</v>
      </c>
      <c r="Q22" t="s">
        <v>277</v>
      </c>
    </row>
    <row r="23" spans="1:17" ht="16.5" x14ac:dyDescent="0.35">
      <c r="A23" t="s">
        <v>48</v>
      </c>
      <c r="B23" t="s">
        <v>282</v>
      </c>
      <c r="C23" t="s">
        <v>282</v>
      </c>
      <c r="D23" t="s">
        <v>282</v>
      </c>
      <c r="E23" s="25" t="s">
        <v>283</v>
      </c>
      <c r="F23" s="22" t="s">
        <v>282</v>
      </c>
      <c r="G23" s="22" t="s">
        <v>282</v>
      </c>
      <c r="H23" t="s">
        <v>284</v>
      </c>
      <c r="I23" s="22" t="s">
        <v>285</v>
      </c>
      <c r="J23" s="22" t="s">
        <v>282</v>
      </c>
      <c r="K23" t="s">
        <v>282</v>
      </c>
      <c r="L23" t="s">
        <v>282</v>
      </c>
      <c r="M23" t="s">
        <v>286</v>
      </c>
      <c r="N23" t="s">
        <v>282</v>
      </c>
      <c r="O23" t="s">
        <v>282</v>
      </c>
      <c r="P23" t="s">
        <v>282</v>
      </c>
      <c r="Q23" t="s">
        <v>282</v>
      </c>
    </row>
    <row r="24" spans="1:17" ht="16.5" x14ac:dyDescent="0.35">
      <c r="A24" t="s">
        <v>49</v>
      </c>
      <c r="B24" t="s">
        <v>287</v>
      </c>
      <c r="C24" t="s">
        <v>287</v>
      </c>
      <c r="D24" t="s">
        <v>287</v>
      </c>
      <c r="E24" s="25" t="s">
        <v>288</v>
      </c>
      <c r="F24" s="22" t="s">
        <v>287</v>
      </c>
      <c r="G24" s="22" t="s">
        <v>287</v>
      </c>
      <c r="H24" t="s">
        <v>289</v>
      </c>
      <c r="I24" s="22" t="s">
        <v>290</v>
      </c>
      <c r="J24" s="22" t="s">
        <v>287</v>
      </c>
      <c r="K24" t="s">
        <v>287</v>
      </c>
      <c r="L24" t="s">
        <v>287</v>
      </c>
      <c r="M24" t="s">
        <v>291</v>
      </c>
      <c r="N24" t="s">
        <v>287</v>
      </c>
      <c r="O24" t="s">
        <v>287</v>
      </c>
      <c r="P24" t="s">
        <v>287</v>
      </c>
      <c r="Q24" t="s">
        <v>287</v>
      </c>
    </row>
    <row r="25" spans="1:17" ht="16.5" x14ac:dyDescent="0.35">
      <c r="A25" t="s">
        <v>50</v>
      </c>
      <c r="B25" t="s">
        <v>292</v>
      </c>
      <c r="C25" t="s">
        <v>293</v>
      </c>
      <c r="D25" t="s">
        <v>294</v>
      </c>
      <c r="E25" s="25" t="s">
        <v>295</v>
      </c>
      <c r="F25" s="22" t="s">
        <v>296</v>
      </c>
      <c r="G25" s="22" t="s">
        <v>293</v>
      </c>
      <c r="H25" t="s">
        <v>297</v>
      </c>
      <c r="I25" s="22" t="s">
        <v>298</v>
      </c>
      <c r="J25" s="26" t="s">
        <v>299</v>
      </c>
      <c r="K25" t="s">
        <v>300</v>
      </c>
      <c r="L25" t="s">
        <v>301</v>
      </c>
      <c r="M25" t="s">
        <v>302</v>
      </c>
      <c r="N25" t="s">
        <v>303</v>
      </c>
      <c r="O25" t="s">
        <v>482</v>
      </c>
      <c r="P25" t="s">
        <v>509</v>
      </c>
      <c r="Q25" t="s">
        <v>292</v>
      </c>
    </row>
    <row r="26" spans="1:17" ht="16.5" x14ac:dyDescent="0.35">
      <c r="A26" t="s">
        <v>51</v>
      </c>
      <c r="B26" t="s">
        <v>304</v>
      </c>
      <c r="C26" t="s">
        <v>305</v>
      </c>
      <c r="D26" t="s">
        <v>306</v>
      </c>
      <c r="E26" s="25" t="s">
        <v>307</v>
      </c>
      <c r="F26" s="22" t="s">
        <v>308</v>
      </c>
      <c r="G26" s="22" t="s">
        <v>305</v>
      </c>
      <c r="H26" t="s">
        <v>309</v>
      </c>
      <c r="I26" s="22" t="s">
        <v>310</v>
      </c>
      <c r="J26" s="26" t="s">
        <v>311</v>
      </c>
      <c r="K26" t="s">
        <v>312</v>
      </c>
      <c r="L26" t="s">
        <v>313</v>
      </c>
      <c r="M26" t="s">
        <v>314</v>
      </c>
      <c r="N26" t="s">
        <v>315</v>
      </c>
      <c r="O26" t="s">
        <v>483</v>
      </c>
      <c r="P26" t="s">
        <v>510</v>
      </c>
      <c r="Q26" t="s">
        <v>304</v>
      </c>
    </row>
    <row r="27" spans="1:17" ht="16.5" x14ac:dyDescent="0.35">
      <c r="A27" t="s">
        <v>52</v>
      </c>
      <c r="B27" t="s">
        <v>316</v>
      </c>
      <c r="C27" t="s">
        <v>317</v>
      </c>
      <c r="D27" t="s">
        <v>318</v>
      </c>
      <c r="E27" s="25" t="s">
        <v>319</v>
      </c>
      <c r="F27" s="22" t="s">
        <v>320</v>
      </c>
      <c r="G27" s="22" t="s">
        <v>321</v>
      </c>
      <c r="H27" t="s">
        <v>322</v>
      </c>
      <c r="I27" s="22" t="s">
        <v>323</v>
      </c>
      <c r="J27" s="26" t="s">
        <v>324</v>
      </c>
      <c r="K27" t="s">
        <v>325</v>
      </c>
      <c r="L27" t="s">
        <v>326</v>
      </c>
      <c r="M27" t="s">
        <v>327</v>
      </c>
      <c r="N27" t="s">
        <v>328</v>
      </c>
      <c r="O27" t="s">
        <v>484</v>
      </c>
      <c r="P27" t="s">
        <v>511</v>
      </c>
      <c r="Q27" t="s">
        <v>530</v>
      </c>
    </row>
    <row r="28" spans="1:17" ht="16.5" x14ac:dyDescent="0.35">
      <c r="A28" t="s">
        <v>53</v>
      </c>
      <c r="B28" t="s">
        <v>329</v>
      </c>
      <c r="C28" t="s">
        <v>330</v>
      </c>
      <c r="D28" t="s">
        <v>331</v>
      </c>
      <c r="E28" s="25" t="s">
        <v>332</v>
      </c>
      <c r="F28" s="22" t="s">
        <v>333</v>
      </c>
      <c r="G28" s="22" t="s">
        <v>334</v>
      </c>
      <c r="H28" t="s">
        <v>331</v>
      </c>
      <c r="I28" s="22" t="s">
        <v>335</v>
      </c>
      <c r="J28" s="26" t="s">
        <v>336</v>
      </c>
      <c r="K28" t="s">
        <v>337</v>
      </c>
      <c r="L28" t="s">
        <v>338</v>
      </c>
      <c r="M28" t="s">
        <v>339</v>
      </c>
      <c r="N28" t="s">
        <v>340</v>
      </c>
      <c r="O28" t="s">
        <v>485</v>
      </c>
      <c r="P28" t="s">
        <v>512</v>
      </c>
      <c r="Q28" t="s">
        <v>329</v>
      </c>
    </row>
    <row r="29" spans="1:17" ht="16.5" x14ac:dyDescent="0.35">
      <c r="A29" t="s">
        <v>54</v>
      </c>
      <c r="B29" t="s">
        <v>341</v>
      </c>
      <c r="C29" t="s">
        <v>342</v>
      </c>
      <c r="D29" t="s">
        <v>343</v>
      </c>
      <c r="E29" s="25" t="s">
        <v>344</v>
      </c>
      <c r="F29" s="22" t="s">
        <v>345</v>
      </c>
      <c r="G29" s="22" t="s">
        <v>346</v>
      </c>
      <c r="H29" t="s">
        <v>21</v>
      </c>
      <c r="I29" s="22" t="s">
        <v>21</v>
      </c>
      <c r="J29" s="26" t="s">
        <v>347</v>
      </c>
      <c r="K29" t="s">
        <v>348</v>
      </c>
      <c r="L29" t="s">
        <v>349</v>
      </c>
      <c r="M29" t="s">
        <v>350</v>
      </c>
      <c r="N29" t="s">
        <v>351</v>
      </c>
      <c r="O29" t="s">
        <v>486</v>
      </c>
      <c r="P29" t="s">
        <v>513</v>
      </c>
      <c r="Q29" t="s">
        <v>531</v>
      </c>
    </row>
    <row r="30" spans="1:17" ht="16.5" x14ac:dyDescent="0.35">
      <c r="A30" t="s">
        <v>55</v>
      </c>
      <c r="B30" t="s">
        <v>352</v>
      </c>
      <c r="C30" t="s">
        <v>353</v>
      </c>
      <c r="D30" t="s">
        <v>354</v>
      </c>
      <c r="E30" s="25" t="s">
        <v>355</v>
      </c>
      <c r="F30" s="22" t="s">
        <v>356</v>
      </c>
      <c r="G30" s="22" t="s">
        <v>357</v>
      </c>
      <c r="H30" t="s">
        <v>358</v>
      </c>
      <c r="I30" s="22" t="s">
        <v>359</v>
      </c>
      <c r="J30" s="26" t="s">
        <v>360</v>
      </c>
      <c r="K30" t="s">
        <v>361</v>
      </c>
      <c r="L30" t="s">
        <v>362</v>
      </c>
      <c r="M30" t="s">
        <v>363</v>
      </c>
      <c r="N30" t="s">
        <v>364</v>
      </c>
      <c r="O30" t="s">
        <v>487</v>
      </c>
      <c r="P30" t="s">
        <v>514</v>
      </c>
      <c r="Q30" t="s">
        <v>532</v>
      </c>
    </row>
    <row r="31" spans="1:17" ht="16.5" x14ac:dyDescent="0.35">
      <c r="A31" t="s">
        <v>56</v>
      </c>
      <c r="B31" t="s">
        <v>365</v>
      </c>
      <c r="C31" t="s">
        <v>366</v>
      </c>
      <c r="D31" t="s">
        <v>367</v>
      </c>
      <c r="E31" s="25" t="s">
        <v>368</v>
      </c>
      <c r="F31" s="22" t="s">
        <v>369</v>
      </c>
      <c r="G31" s="22" t="s">
        <v>370</v>
      </c>
      <c r="H31" t="s">
        <v>367</v>
      </c>
      <c r="I31" s="22" t="s">
        <v>371</v>
      </c>
      <c r="J31" s="26" t="s">
        <v>372</v>
      </c>
      <c r="K31" t="s">
        <v>373</v>
      </c>
      <c r="L31" t="s">
        <v>374</v>
      </c>
      <c r="M31" t="s">
        <v>375</v>
      </c>
      <c r="N31" t="s">
        <v>367</v>
      </c>
      <c r="O31" t="s">
        <v>488</v>
      </c>
      <c r="P31" t="s">
        <v>515</v>
      </c>
      <c r="Q31" t="s">
        <v>365</v>
      </c>
    </row>
    <row r="32" spans="1:17" ht="16.5" x14ac:dyDescent="0.35">
      <c r="A32" t="s">
        <v>376</v>
      </c>
      <c r="B32" t="s">
        <v>377</v>
      </c>
      <c r="C32" t="s">
        <v>378</v>
      </c>
      <c r="D32" t="s">
        <v>379</v>
      </c>
      <c r="E32" s="25" t="s">
        <v>380</v>
      </c>
      <c r="F32" s="22" t="s">
        <v>381</v>
      </c>
      <c r="G32" s="22" t="s">
        <v>382</v>
      </c>
      <c r="H32" t="s">
        <v>383</v>
      </c>
      <c r="I32" s="22" t="s">
        <v>384</v>
      </c>
      <c r="J32" s="26" t="s">
        <v>385</v>
      </c>
      <c r="K32" t="s">
        <v>386</v>
      </c>
      <c r="L32" t="s">
        <v>387</v>
      </c>
      <c r="M32" t="s">
        <v>388</v>
      </c>
      <c r="N32" t="s">
        <v>389</v>
      </c>
      <c r="O32" t="s">
        <v>489</v>
      </c>
      <c r="P32" t="s">
        <v>516</v>
      </c>
      <c r="Q32" t="s">
        <v>377</v>
      </c>
    </row>
    <row r="33" spans="1:17" ht="16.5" x14ac:dyDescent="0.35">
      <c r="A33" s="22" t="s">
        <v>24</v>
      </c>
      <c r="B33" t="s">
        <v>390</v>
      </c>
      <c r="C33" t="s">
        <v>391</v>
      </c>
      <c r="D33" t="s">
        <v>392</v>
      </c>
      <c r="E33" s="25" t="s">
        <v>393</v>
      </c>
      <c r="F33" s="22" t="s">
        <v>394</v>
      </c>
      <c r="G33" s="22" t="s">
        <v>391</v>
      </c>
      <c r="H33" s="22" t="s">
        <v>395</v>
      </c>
      <c r="I33" s="22" t="s">
        <v>396</v>
      </c>
      <c r="J33" s="26" t="s">
        <v>397</v>
      </c>
      <c r="K33" s="22" t="s">
        <v>398</v>
      </c>
      <c r="L33" t="s">
        <v>399</v>
      </c>
      <c r="M33" t="s">
        <v>394</v>
      </c>
      <c r="N33" t="s">
        <v>400</v>
      </c>
      <c r="O33" t="s">
        <v>490</v>
      </c>
      <c r="P33" t="s">
        <v>517</v>
      </c>
      <c r="Q33" t="s">
        <v>533</v>
      </c>
    </row>
    <row r="34" spans="1:17" ht="16.5" x14ac:dyDescent="0.35">
      <c r="A34" s="22" t="s">
        <v>25</v>
      </c>
      <c r="B34" t="s">
        <v>401</v>
      </c>
      <c r="C34" t="s">
        <v>402</v>
      </c>
      <c r="D34" t="s">
        <v>403</v>
      </c>
      <c r="E34" s="25" t="s">
        <v>404</v>
      </c>
      <c r="F34" s="22" t="s">
        <v>405</v>
      </c>
      <c r="G34" s="22" t="s">
        <v>406</v>
      </c>
      <c r="H34" s="22" t="s">
        <v>407</v>
      </c>
      <c r="I34" s="22" t="s">
        <v>408</v>
      </c>
      <c r="J34" s="26" t="s">
        <v>409</v>
      </c>
      <c r="K34" s="22" t="s">
        <v>410</v>
      </c>
      <c r="L34" t="s">
        <v>411</v>
      </c>
      <c r="M34" t="s">
        <v>412</v>
      </c>
      <c r="N34" t="s">
        <v>413</v>
      </c>
      <c r="O34" t="s">
        <v>491</v>
      </c>
      <c r="P34" t="s">
        <v>518</v>
      </c>
      <c r="Q34" t="s">
        <v>534</v>
      </c>
    </row>
    <row r="35" spans="1:17" ht="16.5" x14ac:dyDescent="0.35">
      <c r="A35" t="s">
        <v>28</v>
      </c>
      <c r="B35" t="s">
        <v>414</v>
      </c>
      <c r="C35" t="s">
        <v>415</v>
      </c>
      <c r="D35" t="s">
        <v>416</v>
      </c>
      <c r="E35" s="25" t="s">
        <v>417</v>
      </c>
      <c r="F35" s="22" t="s">
        <v>418</v>
      </c>
      <c r="G35" s="22" t="s">
        <v>419</v>
      </c>
      <c r="H35" t="s">
        <v>420</v>
      </c>
      <c r="I35" s="22" t="s">
        <v>421</v>
      </c>
      <c r="J35" s="26" t="s">
        <v>422</v>
      </c>
      <c r="K35" t="s">
        <v>423</v>
      </c>
      <c r="L35" s="27" t="s">
        <v>424</v>
      </c>
      <c r="M35" t="s">
        <v>425</v>
      </c>
      <c r="N35" t="s">
        <v>426</v>
      </c>
      <c r="O35" t="s">
        <v>492</v>
      </c>
      <c r="P35" t="s">
        <v>519</v>
      </c>
      <c r="Q35" t="s">
        <v>414</v>
      </c>
    </row>
    <row r="36" spans="1:17" ht="27.75" x14ac:dyDescent="0.35">
      <c r="A36" t="s">
        <v>22</v>
      </c>
      <c r="B36" t="s">
        <v>427</v>
      </c>
      <c r="C36" t="s">
        <v>428</v>
      </c>
      <c r="D36" t="s">
        <v>429</v>
      </c>
      <c r="E36" s="25" t="s">
        <v>430</v>
      </c>
      <c r="F36" s="22" t="s">
        <v>431</v>
      </c>
      <c r="G36" t="s">
        <v>432</v>
      </c>
      <c r="H36" s="22" t="s">
        <v>433</v>
      </c>
      <c r="I36" s="22" t="s">
        <v>434</v>
      </c>
      <c r="J36" s="26" t="s">
        <v>435</v>
      </c>
      <c r="K36" t="s">
        <v>436</v>
      </c>
      <c r="L36" t="s">
        <v>437</v>
      </c>
      <c r="M36" t="s">
        <v>438</v>
      </c>
      <c r="N36" t="s">
        <v>439</v>
      </c>
      <c r="O36" t="s">
        <v>493</v>
      </c>
      <c r="P36" t="s">
        <v>520</v>
      </c>
      <c r="Q36" t="s">
        <v>535</v>
      </c>
    </row>
    <row r="37" spans="1:17" ht="16.5" x14ac:dyDescent="0.35">
      <c r="A37" t="s">
        <v>27</v>
      </c>
      <c r="B37" t="s">
        <v>440</v>
      </c>
      <c r="C37" t="s">
        <v>441</v>
      </c>
      <c r="D37" t="s">
        <v>442</v>
      </c>
      <c r="E37" s="25" t="s">
        <v>443</v>
      </c>
      <c r="F37" s="22" t="s">
        <v>444</v>
      </c>
      <c r="G37" t="s">
        <v>445</v>
      </c>
      <c r="H37" t="s">
        <v>446</v>
      </c>
      <c r="I37" s="22" t="s">
        <v>447</v>
      </c>
      <c r="J37" s="26" t="s">
        <v>448</v>
      </c>
      <c r="K37" t="s">
        <v>449</v>
      </c>
      <c r="L37" t="s">
        <v>450</v>
      </c>
      <c r="M37" t="s">
        <v>451</v>
      </c>
      <c r="N37" t="s">
        <v>452</v>
      </c>
      <c r="O37" t="s">
        <v>494</v>
      </c>
      <c r="P37" t="s">
        <v>521</v>
      </c>
      <c r="Q37" t="s">
        <v>440</v>
      </c>
    </row>
    <row r="38" spans="1:17" ht="16.5" x14ac:dyDescent="0.35">
      <c r="A38" t="s">
        <v>26</v>
      </c>
      <c r="B38" t="s">
        <v>453</v>
      </c>
      <c r="C38" t="s">
        <v>454</v>
      </c>
      <c r="D38" t="s">
        <v>455</v>
      </c>
      <c r="E38" s="25" t="s">
        <v>456</v>
      </c>
      <c r="F38" s="22" t="s">
        <v>457</v>
      </c>
      <c r="G38" t="s">
        <v>458</v>
      </c>
      <c r="H38" t="s">
        <v>459</v>
      </c>
      <c r="I38" s="22" t="s">
        <v>460</v>
      </c>
      <c r="J38" s="26" t="s">
        <v>461</v>
      </c>
      <c r="K38" t="s">
        <v>462</v>
      </c>
      <c r="L38" t="s">
        <v>463</v>
      </c>
      <c r="M38" t="s">
        <v>464</v>
      </c>
      <c r="N38" t="s">
        <v>465</v>
      </c>
      <c r="O38" t="s">
        <v>495</v>
      </c>
      <c r="P38" t="s">
        <v>522</v>
      </c>
      <c r="Q38" t="s">
        <v>536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Report</vt:lpstr>
      <vt:lpstr>Summary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dc:description/>
  <cp:lastModifiedBy>Aakash Dubey</cp:lastModifiedBy>
  <cp:revision>1</cp:revision>
  <dcterms:created xsi:type="dcterms:W3CDTF">2009-06-04T18:28:03Z</dcterms:created>
  <dcterms:modified xsi:type="dcterms:W3CDTF">2024-10-09T18:40:43Z</dcterms:modified>
  <dc:language>en-US</dc:language>
</cp:coreProperties>
</file>