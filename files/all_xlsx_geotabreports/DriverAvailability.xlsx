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benschwartz\Desktop\Reports\ELD Reports\"/>
    </mc:Choice>
  </mc:AlternateContent>
  <xr:revisionPtr revIDLastSave="0" documentId="10_ncr:180000_{7933DA48-4482-441C-886D-B796D60ABAB5}" xr6:coauthVersionLast="31" xr6:coauthVersionMax="31" xr10:uidLastSave="{00000000-0000-0000-0000-000000000000}"/>
  <bookViews>
    <workbookView xWindow="105" yWindow="405" windowWidth="20055" windowHeight="8865" firstSheet="1" activeTab="2" xr2:uid="{00000000-000D-0000-FFFF-FFFF00000000}"/>
  </bookViews>
  <sheets>
    <sheet name="Data" sheetId="1" state="hidden" r:id="rId1"/>
    <sheet name="Report" sheetId="3" r:id="rId2"/>
    <sheet name="Summary" sheetId="4" r:id="rId3"/>
    <sheet name="Availability Graph" sheetId="6" state="hidden" r:id="rId4"/>
    <sheet name="Languages" sheetId="5" state="hidden" r:id="rId5"/>
  </sheets>
  <definedNames>
    <definedName name="AllData">Report!$A$7:$M$64</definedName>
  </definedNames>
  <calcPr calcId="179017"/>
  <pivotCaches>
    <pivotCache cacheId="79" r:id="rId6"/>
  </pivotCaches>
</workbook>
</file>

<file path=xl/calcChain.xml><?xml version="1.0" encoding="utf-8"?>
<calcChain xmlns="http://schemas.openxmlformats.org/spreadsheetml/2006/main">
  <c r="A2" i="6" l="1"/>
  <c r="D1" i="6"/>
  <c r="B9" i="3" l="1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8" i="3"/>
  <c r="A2" i="4"/>
  <c r="D1" i="4"/>
  <c r="A2" i="3"/>
  <c r="D64" i="3" l="1"/>
  <c r="D60" i="3"/>
  <c r="D56" i="3"/>
  <c r="D52" i="3"/>
  <c r="D48" i="3"/>
  <c r="D44" i="3"/>
  <c r="D40" i="3"/>
  <c r="D36" i="3"/>
  <c r="D32" i="3"/>
  <c r="D28" i="3"/>
  <c r="D24" i="3"/>
  <c r="D20" i="3"/>
  <c r="D16" i="3"/>
  <c r="D12" i="3"/>
  <c r="D63" i="3"/>
  <c r="D59" i="3"/>
  <c r="D55" i="3"/>
  <c r="D51" i="3"/>
  <c r="D47" i="3"/>
  <c r="D43" i="3"/>
  <c r="D39" i="3"/>
  <c r="D35" i="3"/>
  <c r="D31" i="3"/>
  <c r="D27" i="3"/>
  <c r="D23" i="3"/>
  <c r="D19" i="3"/>
  <c r="D15" i="3"/>
  <c r="D11" i="3"/>
  <c r="D62" i="3"/>
  <c r="D58" i="3"/>
  <c r="D54" i="3"/>
  <c r="D50" i="3"/>
  <c r="D46" i="3"/>
  <c r="D42" i="3"/>
  <c r="D38" i="3"/>
  <c r="D34" i="3"/>
  <c r="D30" i="3"/>
  <c r="D26" i="3"/>
  <c r="D22" i="3"/>
  <c r="D18" i="3"/>
  <c r="D14" i="3"/>
  <c r="D10" i="3"/>
  <c r="D61" i="3"/>
  <c r="D57" i="3"/>
  <c r="D53" i="3"/>
  <c r="D49" i="3"/>
  <c r="D45" i="3"/>
  <c r="D41" i="3"/>
  <c r="D37" i="3"/>
  <c r="D33" i="3"/>
  <c r="D29" i="3"/>
  <c r="D25" i="3"/>
  <c r="D21" i="3"/>
  <c r="D17" i="3"/>
  <c r="D13" i="3"/>
  <c r="D9" i="3"/>
  <c r="D8" i="3"/>
  <c r="M64" i="3"/>
  <c r="L64" i="3"/>
  <c r="K64" i="3"/>
  <c r="J64" i="3"/>
  <c r="I64" i="3"/>
  <c r="F64" i="3"/>
  <c r="H64" i="3" s="1"/>
  <c r="E64" i="3"/>
  <c r="A64" i="3"/>
  <c r="M63" i="3"/>
  <c r="L63" i="3"/>
  <c r="K63" i="3"/>
  <c r="J63" i="3"/>
  <c r="I63" i="3"/>
  <c r="F63" i="3"/>
  <c r="E63" i="3"/>
  <c r="A63" i="3"/>
  <c r="M62" i="3"/>
  <c r="L62" i="3"/>
  <c r="K62" i="3"/>
  <c r="J62" i="3"/>
  <c r="I62" i="3"/>
  <c r="F62" i="3"/>
  <c r="E62" i="3"/>
  <c r="A62" i="3"/>
  <c r="M61" i="3"/>
  <c r="L61" i="3"/>
  <c r="K61" i="3"/>
  <c r="J61" i="3"/>
  <c r="I61" i="3"/>
  <c r="F61" i="3"/>
  <c r="E61" i="3"/>
  <c r="A61" i="3"/>
  <c r="M60" i="3"/>
  <c r="L60" i="3"/>
  <c r="K60" i="3"/>
  <c r="J60" i="3"/>
  <c r="I60" i="3"/>
  <c r="F60" i="3"/>
  <c r="H60" i="3" s="1"/>
  <c r="E60" i="3"/>
  <c r="A60" i="3"/>
  <c r="M59" i="3"/>
  <c r="L59" i="3"/>
  <c r="K59" i="3"/>
  <c r="J59" i="3"/>
  <c r="I59" i="3"/>
  <c r="F59" i="3"/>
  <c r="H59" i="3" s="1"/>
  <c r="E59" i="3"/>
  <c r="A59" i="3"/>
  <c r="M58" i="3"/>
  <c r="L58" i="3"/>
  <c r="K58" i="3"/>
  <c r="J58" i="3"/>
  <c r="I58" i="3"/>
  <c r="F58" i="3"/>
  <c r="E58" i="3"/>
  <c r="A58" i="3"/>
  <c r="M57" i="3"/>
  <c r="L57" i="3"/>
  <c r="K57" i="3"/>
  <c r="J57" i="3"/>
  <c r="I57" i="3"/>
  <c r="F57" i="3"/>
  <c r="E57" i="3"/>
  <c r="A57" i="3"/>
  <c r="M56" i="3"/>
  <c r="L56" i="3"/>
  <c r="K56" i="3"/>
  <c r="J56" i="3"/>
  <c r="I56" i="3"/>
  <c r="F56" i="3"/>
  <c r="E56" i="3"/>
  <c r="A56" i="3"/>
  <c r="M55" i="3"/>
  <c r="L55" i="3"/>
  <c r="K55" i="3"/>
  <c r="J55" i="3"/>
  <c r="I55" i="3"/>
  <c r="F55" i="3"/>
  <c r="H55" i="3" s="1"/>
  <c r="E55" i="3"/>
  <c r="A55" i="3"/>
  <c r="M54" i="3"/>
  <c r="L54" i="3"/>
  <c r="K54" i="3"/>
  <c r="J54" i="3"/>
  <c r="I54" i="3"/>
  <c r="F54" i="3"/>
  <c r="H54" i="3" s="1"/>
  <c r="E54" i="3"/>
  <c r="A54" i="3"/>
  <c r="M53" i="3"/>
  <c r="L53" i="3"/>
  <c r="K53" i="3"/>
  <c r="J53" i="3"/>
  <c r="I53" i="3"/>
  <c r="F53" i="3"/>
  <c r="H53" i="3" s="1"/>
  <c r="E53" i="3"/>
  <c r="A53" i="3"/>
  <c r="M52" i="3"/>
  <c r="L52" i="3"/>
  <c r="K52" i="3"/>
  <c r="J52" i="3"/>
  <c r="I52" i="3"/>
  <c r="F52" i="3"/>
  <c r="E52" i="3"/>
  <c r="A52" i="3"/>
  <c r="M51" i="3"/>
  <c r="L51" i="3"/>
  <c r="K51" i="3"/>
  <c r="J51" i="3"/>
  <c r="I51" i="3"/>
  <c r="F51" i="3"/>
  <c r="E51" i="3"/>
  <c r="A51" i="3"/>
  <c r="M50" i="3"/>
  <c r="L50" i="3"/>
  <c r="K50" i="3"/>
  <c r="J50" i="3"/>
  <c r="I50" i="3"/>
  <c r="F50" i="3"/>
  <c r="E50" i="3"/>
  <c r="A50" i="3"/>
  <c r="M49" i="3"/>
  <c r="L49" i="3"/>
  <c r="K49" i="3"/>
  <c r="J49" i="3"/>
  <c r="I49" i="3"/>
  <c r="F49" i="3"/>
  <c r="E49" i="3"/>
  <c r="A49" i="3"/>
  <c r="M48" i="3"/>
  <c r="L48" i="3"/>
  <c r="K48" i="3"/>
  <c r="J48" i="3"/>
  <c r="I48" i="3"/>
  <c r="F48" i="3"/>
  <c r="E48" i="3"/>
  <c r="A48" i="3"/>
  <c r="M47" i="3"/>
  <c r="L47" i="3"/>
  <c r="K47" i="3"/>
  <c r="J47" i="3"/>
  <c r="I47" i="3"/>
  <c r="F47" i="3"/>
  <c r="H47" i="3" s="1"/>
  <c r="E47" i="3"/>
  <c r="A47" i="3"/>
  <c r="M46" i="3"/>
  <c r="L46" i="3"/>
  <c r="K46" i="3"/>
  <c r="J46" i="3"/>
  <c r="I46" i="3"/>
  <c r="F46" i="3"/>
  <c r="E46" i="3"/>
  <c r="A46" i="3"/>
  <c r="M45" i="3"/>
  <c r="L45" i="3"/>
  <c r="K45" i="3"/>
  <c r="J45" i="3"/>
  <c r="I45" i="3"/>
  <c r="F45" i="3"/>
  <c r="E45" i="3"/>
  <c r="A45" i="3"/>
  <c r="M44" i="3"/>
  <c r="L44" i="3"/>
  <c r="K44" i="3"/>
  <c r="J44" i="3"/>
  <c r="I44" i="3"/>
  <c r="F44" i="3"/>
  <c r="E44" i="3"/>
  <c r="A44" i="3"/>
  <c r="M43" i="3"/>
  <c r="L43" i="3"/>
  <c r="K43" i="3"/>
  <c r="J43" i="3"/>
  <c r="I43" i="3"/>
  <c r="F43" i="3"/>
  <c r="E43" i="3"/>
  <c r="A43" i="3"/>
  <c r="M42" i="3"/>
  <c r="L42" i="3"/>
  <c r="K42" i="3"/>
  <c r="J42" i="3"/>
  <c r="I42" i="3"/>
  <c r="F42" i="3"/>
  <c r="E42" i="3"/>
  <c r="A42" i="3"/>
  <c r="M41" i="3"/>
  <c r="L41" i="3"/>
  <c r="K41" i="3"/>
  <c r="J41" i="3"/>
  <c r="I41" i="3"/>
  <c r="F41" i="3"/>
  <c r="E41" i="3"/>
  <c r="A41" i="3"/>
  <c r="M40" i="3"/>
  <c r="L40" i="3"/>
  <c r="K40" i="3"/>
  <c r="J40" i="3"/>
  <c r="I40" i="3"/>
  <c r="F40" i="3"/>
  <c r="E40" i="3"/>
  <c r="A40" i="3"/>
  <c r="M39" i="3"/>
  <c r="L39" i="3"/>
  <c r="K39" i="3"/>
  <c r="J39" i="3"/>
  <c r="I39" i="3"/>
  <c r="F39" i="3"/>
  <c r="E39" i="3"/>
  <c r="A39" i="3"/>
  <c r="M38" i="3"/>
  <c r="L38" i="3"/>
  <c r="K38" i="3"/>
  <c r="J38" i="3"/>
  <c r="I38" i="3"/>
  <c r="F38" i="3"/>
  <c r="E38" i="3"/>
  <c r="A38" i="3"/>
  <c r="M37" i="3"/>
  <c r="L37" i="3"/>
  <c r="K37" i="3"/>
  <c r="J37" i="3"/>
  <c r="I37" i="3"/>
  <c r="F37" i="3"/>
  <c r="E37" i="3"/>
  <c r="A37" i="3"/>
  <c r="M36" i="3"/>
  <c r="L36" i="3"/>
  <c r="K36" i="3"/>
  <c r="J36" i="3"/>
  <c r="I36" i="3"/>
  <c r="F36" i="3"/>
  <c r="E36" i="3"/>
  <c r="A36" i="3"/>
  <c r="M35" i="3"/>
  <c r="L35" i="3"/>
  <c r="K35" i="3"/>
  <c r="J35" i="3"/>
  <c r="I35" i="3"/>
  <c r="F35" i="3"/>
  <c r="E35" i="3"/>
  <c r="A35" i="3"/>
  <c r="M34" i="3"/>
  <c r="L34" i="3"/>
  <c r="K34" i="3"/>
  <c r="J34" i="3"/>
  <c r="I34" i="3"/>
  <c r="F34" i="3"/>
  <c r="E34" i="3"/>
  <c r="A34" i="3"/>
  <c r="M33" i="3"/>
  <c r="L33" i="3"/>
  <c r="K33" i="3"/>
  <c r="J33" i="3"/>
  <c r="I33" i="3"/>
  <c r="F33" i="3"/>
  <c r="E33" i="3"/>
  <c r="A33" i="3"/>
  <c r="M32" i="3"/>
  <c r="L32" i="3"/>
  <c r="K32" i="3"/>
  <c r="J32" i="3"/>
  <c r="I32" i="3"/>
  <c r="F32" i="3"/>
  <c r="E32" i="3"/>
  <c r="A32" i="3"/>
  <c r="M31" i="3"/>
  <c r="L31" i="3"/>
  <c r="K31" i="3"/>
  <c r="J31" i="3"/>
  <c r="I31" i="3"/>
  <c r="F31" i="3"/>
  <c r="E31" i="3"/>
  <c r="A31" i="3"/>
  <c r="M30" i="3"/>
  <c r="L30" i="3"/>
  <c r="K30" i="3"/>
  <c r="J30" i="3"/>
  <c r="I30" i="3"/>
  <c r="F30" i="3"/>
  <c r="E30" i="3"/>
  <c r="A30" i="3"/>
  <c r="M29" i="3"/>
  <c r="L29" i="3"/>
  <c r="K29" i="3"/>
  <c r="J29" i="3"/>
  <c r="I29" i="3"/>
  <c r="F29" i="3"/>
  <c r="E29" i="3"/>
  <c r="A29" i="3"/>
  <c r="M28" i="3"/>
  <c r="L28" i="3"/>
  <c r="K28" i="3"/>
  <c r="J28" i="3"/>
  <c r="I28" i="3"/>
  <c r="F28" i="3"/>
  <c r="E28" i="3"/>
  <c r="A28" i="3"/>
  <c r="M27" i="3"/>
  <c r="L27" i="3"/>
  <c r="K27" i="3"/>
  <c r="J27" i="3"/>
  <c r="I27" i="3"/>
  <c r="F27" i="3"/>
  <c r="H27" i="3" s="1"/>
  <c r="E27" i="3"/>
  <c r="A27" i="3"/>
  <c r="M26" i="3"/>
  <c r="L26" i="3"/>
  <c r="K26" i="3"/>
  <c r="J26" i="3"/>
  <c r="I26" i="3"/>
  <c r="F26" i="3"/>
  <c r="H26" i="3" s="1"/>
  <c r="E26" i="3"/>
  <c r="A26" i="3"/>
  <c r="M25" i="3"/>
  <c r="L25" i="3"/>
  <c r="K25" i="3"/>
  <c r="J25" i="3"/>
  <c r="I25" i="3"/>
  <c r="F25" i="3"/>
  <c r="E25" i="3"/>
  <c r="A25" i="3"/>
  <c r="M24" i="3"/>
  <c r="L24" i="3"/>
  <c r="K24" i="3"/>
  <c r="J24" i="3"/>
  <c r="I24" i="3"/>
  <c r="F24" i="3"/>
  <c r="H24" i="3" s="1"/>
  <c r="E24" i="3"/>
  <c r="A24" i="3"/>
  <c r="M23" i="3"/>
  <c r="L23" i="3"/>
  <c r="K23" i="3"/>
  <c r="J23" i="3"/>
  <c r="I23" i="3"/>
  <c r="F23" i="3"/>
  <c r="E23" i="3"/>
  <c r="A23" i="3"/>
  <c r="M22" i="3"/>
  <c r="L22" i="3"/>
  <c r="K22" i="3"/>
  <c r="J22" i="3"/>
  <c r="I22" i="3"/>
  <c r="F22" i="3"/>
  <c r="E22" i="3"/>
  <c r="A22" i="3"/>
  <c r="M21" i="3"/>
  <c r="L21" i="3"/>
  <c r="K21" i="3"/>
  <c r="J21" i="3"/>
  <c r="I21" i="3"/>
  <c r="F21" i="3"/>
  <c r="H21" i="3" s="1"/>
  <c r="E21" i="3"/>
  <c r="A21" i="3"/>
  <c r="M20" i="3"/>
  <c r="L20" i="3"/>
  <c r="K20" i="3"/>
  <c r="J20" i="3"/>
  <c r="I20" i="3"/>
  <c r="F20" i="3"/>
  <c r="E20" i="3"/>
  <c r="A20" i="3"/>
  <c r="M19" i="3"/>
  <c r="L19" i="3"/>
  <c r="K19" i="3"/>
  <c r="J19" i="3"/>
  <c r="I19" i="3"/>
  <c r="F19" i="3"/>
  <c r="E19" i="3"/>
  <c r="A19" i="3"/>
  <c r="M18" i="3"/>
  <c r="L18" i="3"/>
  <c r="K18" i="3"/>
  <c r="J18" i="3"/>
  <c r="I18" i="3"/>
  <c r="F18" i="3"/>
  <c r="E18" i="3"/>
  <c r="A18" i="3"/>
  <c r="M17" i="3"/>
  <c r="L17" i="3"/>
  <c r="K17" i="3"/>
  <c r="J17" i="3"/>
  <c r="I17" i="3"/>
  <c r="F17" i="3"/>
  <c r="E17" i="3"/>
  <c r="A17" i="3"/>
  <c r="M16" i="3"/>
  <c r="L16" i="3"/>
  <c r="K16" i="3"/>
  <c r="J16" i="3"/>
  <c r="I16" i="3"/>
  <c r="F16" i="3"/>
  <c r="E16" i="3"/>
  <c r="A16" i="3"/>
  <c r="M15" i="3"/>
  <c r="L15" i="3"/>
  <c r="K15" i="3"/>
  <c r="J15" i="3"/>
  <c r="I15" i="3"/>
  <c r="F15" i="3"/>
  <c r="E15" i="3"/>
  <c r="A15" i="3"/>
  <c r="M14" i="3"/>
  <c r="L14" i="3"/>
  <c r="K14" i="3"/>
  <c r="J14" i="3"/>
  <c r="I14" i="3"/>
  <c r="F14" i="3"/>
  <c r="E14" i="3"/>
  <c r="A14" i="3"/>
  <c r="M13" i="3"/>
  <c r="L13" i="3"/>
  <c r="K13" i="3"/>
  <c r="J13" i="3"/>
  <c r="I13" i="3"/>
  <c r="F13" i="3"/>
  <c r="E13" i="3"/>
  <c r="A13" i="3"/>
  <c r="M12" i="3"/>
  <c r="L12" i="3"/>
  <c r="K12" i="3"/>
  <c r="J12" i="3"/>
  <c r="I12" i="3"/>
  <c r="F12" i="3"/>
  <c r="H12" i="3" s="1"/>
  <c r="E12" i="3"/>
  <c r="A12" i="3"/>
  <c r="M11" i="3"/>
  <c r="L11" i="3"/>
  <c r="K11" i="3"/>
  <c r="J11" i="3"/>
  <c r="I11" i="3"/>
  <c r="F11" i="3"/>
  <c r="E11" i="3"/>
  <c r="A11" i="3"/>
  <c r="M10" i="3"/>
  <c r="L10" i="3"/>
  <c r="K10" i="3"/>
  <c r="J10" i="3"/>
  <c r="I10" i="3"/>
  <c r="F10" i="3"/>
  <c r="E10" i="3"/>
  <c r="A10" i="3"/>
  <c r="M9" i="3"/>
  <c r="L9" i="3"/>
  <c r="K9" i="3"/>
  <c r="J9" i="3"/>
  <c r="I9" i="3"/>
  <c r="F9" i="3"/>
  <c r="E9" i="3"/>
  <c r="A9" i="3"/>
  <c r="M8" i="3"/>
  <c r="L8" i="3"/>
  <c r="K8" i="3"/>
  <c r="J8" i="3"/>
  <c r="I8" i="3"/>
  <c r="F8" i="3"/>
  <c r="H8" i="3" s="1"/>
  <c r="E8" i="3"/>
  <c r="A8" i="3"/>
  <c r="E1" i="3"/>
  <c r="H10" i="3" l="1"/>
  <c r="H14" i="3"/>
  <c r="H17" i="3"/>
  <c r="H20" i="3"/>
  <c r="H23" i="3"/>
  <c r="H29" i="3"/>
  <c r="H32" i="3"/>
  <c r="H34" i="3"/>
  <c r="H39" i="3"/>
  <c r="H42" i="3"/>
  <c r="H45" i="3"/>
  <c r="H49" i="3"/>
  <c r="H52" i="3"/>
  <c r="H58" i="3"/>
  <c r="H61" i="3"/>
  <c r="H62" i="3"/>
  <c r="H63" i="3"/>
  <c r="H13" i="3"/>
  <c r="H16" i="3"/>
  <c r="H18" i="3"/>
  <c r="H22" i="3"/>
  <c r="H28" i="3"/>
  <c r="H31" i="3"/>
  <c r="H35" i="3"/>
  <c r="H37" i="3"/>
  <c r="H40" i="3"/>
  <c r="H44" i="3"/>
  <c r="H48" i="3"/>
  <c r="H51" i="3"/>
  <c r="H57" i="3"/>
  <c r="H9" i="3"/>
  <c r="H11" i="3"/>
  <c r="H15" i="3"/>
  <c r="H19" i="3"/>
  <c r="H25" i="3"/>
  <c r="H30" i="3"/>
  <c r="H33" i="3"/>
  <c r="H36" i="3"/>
  <c r="H38" i="3"/>
  <c r="H41" i="3"/>
  <c r="H43" i="3"/>
  <c r="H46" i="3"/>
  <c r="H50" i="3"/>
  <c r="H56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A5" i="3" l="1"/>
  <c r="D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HosAvailability.20</t>
        </r>
      </text>
    </comment>
  </commentList>
</comments>
</file>

<file path=xl/sharedStrings.xml><?xml version="1.0" encoding="utf-8"?>
<sst xmlns="http://schemas.openxmlformats.org/spreadsheetml/2006/main" count="783" uniqueCount="277">
  <si>
    <t>RunDate</t>
  </si>
  <si>
    <t>CompanyName</t>
  </si>
  <si>
    <t>DistanceUnit</t>
  </si>
  <si>
    <t>SpeedUnit</t>
  </si>
  <si>
    <t>SendReport</t>
  </si>
  <si>
    <t>LastModifiedUser</t>
  </si>
  <si>
    <t>.Driver.UserName</t>
  </si>
  <si>
    <t>.Driver.UserId</t>
  </si>
  <si>
    <t>English</t>
  </si>
  <si>
    <t>French</t>
  </si>
  <si>
    <t>Spanish</t>
  </si>
  <si>
    <t>German</t>
  </si>
  <si>
    <t>Japanese</t>
  </si>
  <si>
    <t>**Driver</t>
  </si>
  <si>
    <t>**Created</t>
  </si>
  <si>
    <t>**From</t>
  </si>
  <si>
    <t>**To</t>
  </si>
  <si>
    <t>**Summary</t>
  </si>
  <si>
    <t>Conducteur</t>
  </si>
  <si>
    <t>Conductor</t>
  </si>
  <si>
    <t>Fahrer</t>
  </si>
  <si>
    <t>ドライバー</t>
  </si>
  <si>
    <t>Sommaire</t>
  </si>
  <si>
    <t>Resumen</t>
  </si>
  <si>
    <t>Zusammenfassung</t>
  </si>
  <si>
    <t>走行データ</t>
  </si>
  <si>
    <t>Créé</t>
  </si>
  <si>
    <t>Creado</t>
  </si>
  <si>
    <t>Angelegt</t>
  </si>
  <si>
    <t>作成済</t>
  </si>
  <si>
    <t>À partir de</t>
  </si>
  <si>
    <t>De</t>
  </si>
  <si>
    <t>Von</t>
  </si>
  <si>
    <t>から</t>
  </si>
  <si>
    <t>Pour</t>
  </si>
  <si>
    <t>Para</t>
  </si>
  <si>
    <t>An</t>
  </si>
  <si>
    <t>へ</t>
  </si>
  <si>
    <t>Language</t>
  </si>
  <si>
    <t>en</t>
  </si>
  <si>
    <t>**First Name</t>
  </si>
  <si>
    <t>Prénom</t>
  </si>
  <si>
    <t>Nombre</t>
  </si>
  <si>
    <t>Vorname</t>
  </si>
  <si>
    <t>ファーストネー</t>
  </si>
  <si>
    <t>**Last Name</t>
  </si>
  <si>
    <t>Nom de famille</t>
  </si>
  <si>
    <t>Apellido</t>
  </si>
  <si>
    <t>Nachname</t>
  </si>
  <si>
    <t>ラストネーム</t>
  </si>
  <si>
    <t>.Driver.UserFirstName</t>
  </si>
  <si>
    <t>.Driver.UserLastName</t>
  </si>
  <si>
    <t>Polish</t>
  </si>
  <si>
    <t>Kierowca</t>
  </si>
  <si>
    <t>Podsumowanie</t>
  </si>
  <si>
    <t>Utworzono</t>
  </si>
  <si>
    <t>Od</t>
  </si>
  <si>
    <t>Do</t>
  </si>
  <si>
    <t>Imie</t>
  </si>
  <si>
    <t>Nazwisko</t>
  </si>
  <si>
    <t>HosAvailabilityRest</t>
  </si>
  <si>
    <t>HosAvailabilityDriving</t>
  </si>
  <si>
    <t>HosAvailabilityDuty</t>
  </si>
  <si>
    <t>HosAvailabilityWorkday</t>
  </si>
  <si>
    <t>**Rest available</t>
  </si>
  <si>
    <t>**Driving available</t>
  </si>
  <si>
    <t>**Duty available</t>
  </si>
  <si>
    <t>**Workday available</t>
  </si>
  <si>
    <t>**Cycle available</t>
  </si>
  <si>
    <t>DutyStatusStatus</t>
  </si>
  <si>
    <t>UserHosRuleSet</t>
  </si>
  <si>
    <t>ON</t>
  </si>
  <si>
    <t>D</t>
  </si>
  <si>
    <t>America7Day</t>
  </si>
  <si>
    <t>**HOS Status</t>
  </si>
  <si>
    <t>HosAvailabilityCycle</t>
  </si>
  <si>
    <t>**Advanced HOS Availability Logs</t>
  </si>
  <si>
    <t>**HOS Ruleset</t>
  </si>
  <si>
    <t>État des HDS</t>
  </si>
  <si>
    <t>Estado de HDS</t>
  </si>
  <si>
    <t>Lenkzeit-Status</t>
  </si>
  <si>
    <t>HOS ステータス</t>
  </si>
  <si>
    <t>Status czasu pracy</t>
  </si>
  <si>
    <t>Ensemble de règles HDS</t>
  </si>
  <si>
    <t>Conjunto de reglas de HDS</t>
  </si>
  <si>
    <t>Lenkzeiten-Regelsatz</t>
  </si>
  <si>
    <t>HOS ルールセット</t>
  </si>
  <si>
    <t>Zestaw reguł czasu pracy</t>
  </si>
  <si>
    <t>Repos disponible</t>
  </si>
  <si>
    <t>Descanso disponible</t>
  </si>
  <si>
    <t>Pause verfügbar</t>
  </si>
  <si>
    <t>「休憩」残あり</t>
  </si>
  <si>
    <t>Dostępny odpoczynek</t>
  </si>
  <si>
    <t>Conduite disponible</t>
  </si>
  <si>
    <t>Conducción disponible</t>
  </si>
  <si>
    <t>Fahren verfügbar</t>
  </si>
  <si>
    <t>「運転」残あり</t>
  </si>
  <si>
    <t>Dostępny czas jazdy</t>
  </si>
  <si>
    <t>Service disponible</t>
  </si>
  <si>
    <t>Servicio disponible</t>
  </si>
  <si>
    <t>Einsatzstatus verfügbar</t>
  </si>
  <si>
    <t>「職務」残あり</t>
  </si>
  <si>
    <t>Dostępna praca</t>
  </si>
  <si>
    <t>Journée de travail disponible</t>
  </si>
  <si>
    <t>Jornada de trabajo disponible</t>
  </si>
  <si>
    <t>Arbeitstag verfügbar</t>
  </si>
  <si>
    <t>「実働」残あり</t>
  </si>
  <si>
    <t>Dostępny dzień roboczy</t>
  </si>
  <si>
    <t>Cycle disponible</t>
  </si>
  <si>
    <t>Ciclo disponible</t>
  </si>
  <si>
    <t>Zyklus verfügbar</t>
  </si>
  <si>
    <t>「サイクル」残あり</t>
  </si>
  <si>
    <t>Dostępny cykl</t>
  </si>
  <si>
    <t>Registres de disponibilité HOS avancés</t>
  </si>
  <si>
    <t>Registros avanzados de disponibilidad de HDS</t>
  </si>
  <si>
    <t>Erweiterte Protokolle Lenkzeit-Verfügbarkeit</t>
  </si>
  <si>
    <t>利用可能 HOS の有無の高度なログ記録</t>
  </si>
  <si>
    <t>Zaawansowane dzienniki dostępności czasu pracy</t>
  </si>
  <si>
    <t>Portuguese-Brazil</t>
  </si>
  <si>
    <t>Motorista</t>
  </si>
  <si>
    <t>Resumo</t>
  </si>
  <si>
    <t>Nome</t>
  </si>
  <si>
    <t>Sobrenome</t>
  </si>
  <si>
    <t>Criado em</t>
  </si>
  <si>
    <t>Status HOS</t>
  </si>
  <si>
    <t>Ruleset HOS</t>
  </si>
  <si>
    <t>Descanso disponível</t>
  </si>
  <si>
    <t>Condução disponível</t>
  </si>
  <si>
    <t>Tarefa disponível</t>
  </si>
  <si>
    <t>Dia útil disponível</t>
  </si>
  <si>
    <t>Ciclo disponível</t>
  </si>
  <si>
    <t>Registros avançados da disponibilidade de HOS</t>
  </si>
  <si>
    <t>Dutch</t>
  </si>
  <si>
    <t>Chauffeur</t>
  </si>
  <si>
    <t>Overzicht</t>
  </si>
  <si>
    <t>Aangemaakt</t>
  </si>
  <si>
    <t>Van</t>
  </si>
  <si>
    <t>Aan</t>
  </si>
  <si>
    <t>Voornaam</t>
  </si>
  <si>
    <t>Achternaam</t>
  </si>
  <si>
    <t>Geavanceerde DU-beschikbaarheidslogboeken</t>
  </si>
  <si>
    <t>DU-status</t>
  </si>
  <si>
    <t>DU-regelset</t>
  </si>
  <si>
    <t>Rust beschikbaar</t>
  </si>
  <si>
    <t>Rijden beschikbaar</t>
  </si>
  <si>
    <t>Dienst beschikbaar</t>
  </si>
  <si>
    <t>Werkdag beschikbaar</t>
  </si>
  <si>
    <t>Cyclus beschikbaar</t>
  </si>
  <si>
    <t>Italian</t>
  </si>
  <si>
    <t>Conducente</t>
  </si>
  <si>
    <t>Stato HOS</t>
  </si>
  <si>
    <t>Set di regole HOS</t>
  </si>
  <si>
    <t>Riposo disponibile</t>
  </si>
  <si>
    <t>Guida disponibile</t>
  </si>
  <si>
    <t>Servizio disponibile</t>
  </si>
  <si>
    <t>Giorno lavorativo disponibile</t>
  </si>
  <si>
    <t>Ciclo disponibile</t>
  </si>
  <si>
    <t>Riassunto</t>
  </si>
  <si>
    <t>Da</t>
  </si>
  <si>
    <t>A</t>
  </si>
  <si>
    <t>Registri avanzati di disponibilità HOS</t>
  </si>
  <si>
    <t>Creato</t>
  </si>
  <si>
    <t>Cognome</t>
  </si>
  <si>
    <t>Mandarin</t>
  </si>
  <si>
    <t>驾驶员</t>
  </si>
  <si>
    <t>HOS Status</t>
  </si>
  <si>
    <t>HOS Ruleset</t>
  </si>
  <si>
    <t>Rest available</t>
  </si>
  <si>
    <t>Driving available</t>
  </si>
  <si>
    <t>Duty available</t>
  </si>
  <si>
    <t>Workday available</t>
  </si>
  <si>
    <t>Cycle available</t>
  </si>
  <si>
    <t>Summary</t>
  </si>
  <si>
    <t>创建日期</t>
  </si>
  <si>
    <t>自</t>
  </si>
  <si>
    <t>至</t>
  </si>
  <si>
    <t>名字</t>
  </si>
  <si>
    <t>姓氏</t>
  </si>
  <si>
    <t>Advanced HOS Availability Logs</t>
  </si>
  <si>
    <t>miles</t>
  </si>
  <si>
    <t>mph</t>
  </si>
  <si>
    <t>b3B</t>
  </si>
  <si>
    <t>OFF</t>
  </si>
  <si>
    <t>None</t>
  </si>
  <si>
    <t>America7DayBig</t>
  </si>
  <si>
    <t>America8Day</t>
  </si>
  <si>
    <t>Florida7Day</t>
  </si>
  <si>
    <t>AmericaTexasShortHaul8Day</t>
  </si>
  <si>
    <t>CanadaCycleOne</t>
  </si>
  <si>
    <t>CaliforniaProperty</t>
  </si>
  <si>
    <t>America8DayBig</t>
  </si>
  <si>
    <t>CanadaCycleTwo</t>
  </si>
  <si>
    <t>FloridaShortHaul7Day</t>
  </si>
  <si>
    <t>OilWellTexas</t>
  </si>
  <si>
    <t>America7DayPassenger</t>
  </si>
  <si>
    <t>OilWell7DayBig</t>
  </si>
  <si>
    <t>OilWell7Day</t>
  </si>
  <si>
    <t>OilTransport8Day</t>
  </si>
  <si>
    <t>OilTransport7Day</t>
  </si>
  <si>
    <t>Driver</t>
  </si>
  <si>
    <t>First Name</t>
  </si>
  <si>
    <t>Last Name</t>
  </si>
  <si>
    <t>Geotab Inc.</t>
  </si>
  <si>
    <t>Full Name</t>
  </si>
  <si>
    <t>Driver 1</t>
  </si>
  <si>
    <t>Driver 2</t>
  </si>
  <si>
    <t>Driver 3</t>
  </si>
  <si>
    <t>Driver 4</t>
  </si>
  <si>
    <t>Driver 5</t>
  </si>
  <si>
    <t>Driver 6</t>
  </si>
  <si>
    <t>Driver 7</t>
  </si>
  <si>
    <t>Driver 8</t>
  </si>
  <si>
    <t>Driver 9</t>
  </si>
  <si>
    <t>Driver 10</t>
  </si>
  <si>
    <t>Driver 11</t>
  </si>
  <si>
    <t>Driver 12</t>
  </si>
  <si>
    <t>Driver 13</t>
  </si>
  <si>
    <t>Driver 14</t>
  </si>
  <si>
    <t>Driver 15</t>
  </si>
  <si>
    <t>Driver 16</t>
  </si>
  <si>
    <t>Driver 17</t>
  </si>
  <si>
    <t>Driver 18</t>
  </si>
  <si>
    <t>Driver 19</t>
  </si>
  <si>
    <t>Driver 20</t>
  </si>
  <si>
    <t>Driver 21</t>
  </si>
  <si>
    <t>Driver 22</t>
  </si>
  <si>
    <t>Driver 23</t>
  </si>
  <si>
    <t>Driver 24</t>
  </si>
  <si>
    <t>Driver 25</t>
  </si>
  <si>
    <t>Driver 26</t>
  </si>
  <si>
    <t>Driver 27</t>
  </si>
  <si>
    <t>Driver 28</t>
  </si>
  <si>
    <t>Driver 29</t>
  </si>
  <si>
    <t>Driver 30</t>
  </si>
  <si>
    <t>Driver 31</t>
  </si>
  <si>
    <t>Driver 32</t>
  </si>
  <si>
    <t>Driver 33</t>
  </si>
  <si>
    <t>Driver 34</t>
  </si>
  <si>
    <t>Driver 35</t>
  </si>
  <si>
    <t>Driver 36</t>
  </si>
  <si>
    <t>Driver 37</t>
  </si>
  <si>
    <t>Driver 38</t>
  </si>
  <si>
    <t>Driver 39</t>
  </si>
  <si>
    <t>Driver 40</t>
  </si>
  <si>
    <t>Driver 41</t>
  </si>
  <si>
    <t>Driver 42</t>
  </si>
  <si>
    <t>Driver 43</t>
  </si>
  <si>
    <t>Driver 44</t>
  </si>
  <si>
    <t>Driver 45</t>
  </si>
  <si>
    <t>Driver 46</t>
  </si>
  <si>
    <t>Driver 47</t>
  </si>
  <si>
    <t>Driver 48</t>
  </si>
  <si>
    <t>Driver 49</t>
  </si>
  <si>
    <t>Driver 50</t>
  </si>
  <si>
    <t>Driver 51</t>
  </si>
  <si>
    <t>Driver 52</t>
  </si>
  <si>
    <t>Driver 53</t>
  </si>
  <si>
    <t>Driver 54</t>
  </si>
  <si>
    <t>Driver 55</t>
  </si>
  <si>
    <t>Driver 56</t>
  </si>
  <si>
    <t>Driver 57</t>
  </si>
  <si>
    <t>First Name Last Name</t>
  </si>
  <si>
    <t xml:space="preserve">Rest Available </t>
  </si>
  <si>
    <t xml:space="preserve">Driving Available </t>
  </si>
  <si>
    <t xml:space="preserve">Duty Available </t>
  </si>
  <si>
    <t xml:space="preserve">Workday Available </t>
  </si>
  <si>
    <t xml:space="preserve">Cycle Available </t>
  </si>
  <si>
    <t>Include</t>
  </si>
  <si>
    <t>FALSE</t>
  </si>
  <si>
    <t>Available</t>
  </si>
  <si>
    <t>Unavailable</t>
  </si>
  <si>
    <t>Availability</t>
  </si>
  <si>
    <t>Hours</t>
  </si>
  <si>
    <t>Minutes</t>
  </si>
  <si>
    <t>Count</t>
  </si>
  <si>
    <t>Driver Availability</t>
  </si>
  <si>
    <t>benschwartz@geotab.com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</si>
</sst>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[$-409]_(&quot;$&quot;* #,##0_);[$-409]_(&quot;$&quot;* \(#,##0\);[$-409]_(&quot;$&quot;* &quot;-&quot;_);_(@_)"/>
    <numFmt numFmtId="165" formatCode="[$-409]_(* #,##0_);[$-409]_(* \(#,##0\);[$-409]_(* &quot;-&quot;_);_(@_)"/>
    <numFmt numFmtId="166" formatCode="[$-409]_(&quot;$&quot;* #,##0.00_);[$-409]_(&quot;$&quot;* \(#,##0.00\);[$-409]_(&quot;$&quot;* &quot;-&quot;??_);_(@_)"/>
    <numFmt numFmtId="167" formatCode="[$-409]_(* #,##0.00_);[$-409]_(* \(#,##0.00\);[$-409]_(* &quot;-&quot;??_);_(@_)"/>
    <numFmt numFmtId="168" formatCode="[$-409]dd/mm/yyyy\ h:mm:ss\ AM/PM"/>
    <numFmt numFmtId="169" formatCode="[$-409][h]:mm"/>
    <numFmt numFmtId="170" formatCode="[$-409]mmm\ dd\,\ yyyy"/>
    <numFmt numFmtId="171" formatCode="[$-409]mmm\ dd\,\ yyyy\ h:mm:ss\ AM/PM"/>
    <numFmt numFmtId="172" formatCode="[$-409]mmm\ dd\,\ yyyy\ h:mm:ss\ AM/PM;[$-409];[$-409]"/>
  </numFmts>
  <fonts count="24" x14ac:knownFonts="1">
    <font>
      <sz val="10"/>
      <name val="Arial"/>
      <family val="2"/>
    </font>
    <font>
      <b/>
      <sz val="11"/>
      <color indexed="8"/>
      <name val="Calibri"/>
      <family val="2"/>
    </font>
    <font>
      <b/>
      <sz val="7"/>
      <color indexed="8"/>
      <name val="Tahoma"/>
      <family val="2"/>
    </font>
    <font>
      <sz val="8"/>
      <color indexed="8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0" tint="-0.34998626667073579"/>
      <name val="Segoe UI"/>
      <family val="2"/>
    </font>
    <font>
      <b/>
      <sz val="8"/>
      <color theme="1"/>
      <name val="Tahoma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sz val="10"/>
      <name val="Segoe UI"/>
      <family val="2"/>
    </font>
    <font>
      <sz val="12"/>
      <name val="Segoe UI"/>
      <family val="2"/>
    </font>
    <font>
      <sz val="11"/>
      <name val="Segoe UI"/>
      <family val="2"/>
    </font>
    <font>
      <sz val="12"/>
      <color theme="0"/>
      <name val="Segoe UI"/>
      <family val="2"/>
    </font>
    <font>
      <b/>
      <sz val="11"/>
      <color theme="0"/>
      <name val="Segoe UI"/>
      <family val="2"/>
    </font>
    <font>
      <sz val="18"/>
      <color theme="0"/>
      <name val="Segoe UI"/>
      <family val="2"/>
    </font>
    <font>
      <b/>
      <sz val="18"/>
      <color theme="0"/>
      <name val="Segoe UI"/>
      <family val="2"/>
    </font>
    <font>
      <sz val="16"/>
      <color theme="3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2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7" fillId="10" borderId="0" applyNumberFormat="0"/>
    <xf numFmtId="0" fontId="8" fillId="0" borderId="0" applyNumberFormat="0" applyAlignment="0"/>
    <xf numFmtId="0" fontId="9" fillId="10" borderId="0" applyNumberFormat="0"/>
    <xf numFmtId="170" fontId="5" fillId="10" borderId="0"/>
    <xf numFmtId="0" fontId="10" fillId="0" borderId="0" applyNumberFormat="0"/>
    <xf numFmtId="0" fontId="11" fillId="0" borderId="0" applyNumberFormat="0"/>
    <xf numFmtId="0" fontId="12" fillId="0" borderId="0" applyNumberFormat="0" applyFill="0" applyBorder="0" applyAlignment="0" applyProtection="0">
      <alignment horizontal="right"/>
    </xf>
    <xf numFmtId="0" fontId="15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2" fillId="9" borderId="1" xfId="0" applyFont="1" applyFill="1" applyBorder="1" applyAlignment="1">
      <alignment horizontal="center" wrapText="1"/>
    </xf>
    <xf numFmtId="168" fontId="3" fillId="0" borderId="0" xfId="0" applyNumberFormat="1" applyFont="1" applyAlignment="1">
      <alignment horizontal="left"/>
    </xf>
    <xf numFmtId="0" fontId="0" fillId="0" borderId="0" xfId="0" pivotButton="1"/>
    <xf numFmtId="0" fontId="13" fillId="0" borderId="0" xfId="0" applyFont="1"/>
    <xf numFmtId="0" fontId="3" fillId="0" borderId="0" xfId="0" applyNumberFormat="1" applyFont="1" applyAlignment="1">
      <alignment horizontal="left"/>
    </xf>
    <xf numFmtId="169" fontId="3" fillId="0" borderId="0" xfId="0" applyNumberFormat="1" applyFont="1" applyAlignment="1">
      <alignment horizontal="left"/>
    </xf>
    <xf numFmtId="0" fontId="14" fillId="0" borderId="0" xfId="0" applyFont="1"/>
    <xf numFmtId="0" fontId="15" fillId="0" borderId="0" xfId="20" applyAlignment="1">
      <alignment horizontal="left"/>
    </xf>
    <xf numFmtId="0" fontId="14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16" fillId="0" borderId="0" xfId="0" applyFont="1"/>
    <xf numFmtId="172" fontId="16" fillId="0" borderId="0" xfId="0" applyNumberFormat="1" applyFont="1"/>
    <xf numFmtId="0" fontId="16" fillId="0" borderId="0" xfId="0" applyFont="1" applyAlignment="1"/>
    <xf numFmtId="168" fontId="16" fillId="0" borderId="0" xfId="0" applyNumberFormat="1" applyFont="1"/>
    <xf numFmtId="0" fontId="18" fillId="0" borderId="0" xfId="14" applyFont="1"/>
    <xf numFmtId="171" fontId="18" fillId="0" borderId="0" xfId="14" applyNumberFormat="1" applyFont="1" applyAlignment="1">
      <alignment horizontal="left"/>
    </xf>
    <xf numFmtId="169" fontId="18" fillId="0" borderId="0" xfId="14" applyNumberFormat="1" applyFont="1" applyAlignment="1">
      <alignment horizontal="left"/>
    </xf>
    <xf numFmtId="0" fontId="19" fillId="11" borderId="0" xfId="19" applyFont="1" applyFill="1" applyAlignment="1"/>
    <xf numFmtId="172" fontId="19" fillId="11" borderId="0" xfId="19" applyNumberFormat="1" applyFont="1" applyFill="1" applyAlignment="1"/>
    <xf numFmtId="0" fontId="20" fillId="11" borderId="0" xfId="15" applyFont="1" applyFill="1"/>
    <xf numFmtId="0" fontId="21" fillId="11" borderId="0" xfId="13" applyFont="1" applyFill="1"/>
    <xf numFmtId="0" fontId="22" fillId="11" borderId="0" xfId="13" applyFont="1" applyFill="1"/>
    <xf numFmtId="170" fontId="19" fillId="11" borderId="0" xfId="14" applyNumberFormat="1" applyFont="1" applyFill="1" applyAlignment="1">
      <alignment horizontal="center"/>
    </xf>
    <xf numFmtId="172" fontId="22" fillId="11" borderId="0" xfId="13" applyNumberFormat="1" applyFont="1" applyFill="1"/>
    <xf numFmtId="0" fontId="22" fillId="11" borderId="0" xfId="13" applyFont="1" applyFill="1" applyAlignment="1"/>
    <xf numFmtId="0" fontId="23" fillId="0" borderId="0" xfId="0" applyFont="1"/>
    <xf numFmtId="0" fontId="22" fillId="11" borderId="0" xfId="13" applyFont="1" applyFill="1" applyAlignment="1">
      <alignment horizontal="left"/>
    </xf>
    <xf numFmtId="0" fontId="16" fillId="0" borderId="0" xfId="0" applyFont="1" applyAlignment="1">
      <alignment horizontal="left"/>
    </xf>
    <xf numFmtId="172" fontId="19" fillId="11" borderId="0" xfId="19" applyNumberFormat="1" applyFont="1" applyFill="1" applyAlignment="1">
      <alignment horizontal="left"/>
    </xf>
    <xf numFmtId="168" fontId="16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46" fontId="0" fillId="0" borderId="0" xfId="0" applyNumberFormat="1" applyAlignment="1">
      <alignment horizontal="center"/>
    </xf>
    <xf numFmtId="170" fontId="8" fillId="0" borderId="0" xfId="14" applyNumberFormat="1" applyAlignment="1"/>
    <xf numFmtId="0" fontId="0" fillId="0" borderId="0" xfId="0" applyNumberFormat="1" applyAlignment="1">
      <alignment horizontal="center"/>
    </xf>
    <xf numFmtId="0" fontId="17" fillId="0" borderId="0" xfId="0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/>
    </xf>
    <xf numFmtId="0" fontId="19" fillId="11" borderId="2" xfId="0" applyFont="1" applyFill="1" applyBorder="1" applyAlignment="1">
      <alignment horizontal="center"/>
    </xf>
    <xf numFmtId="0" fontId="17" fillId="12" borderId="2" xfId="0" applyFont="1" applyFill="1" applyBorder="1" applyAlignment="1">
      <alignment horizontal="center"/>
    </xf>
    <xf numFmtId="168" fontId="15" fillId="0" borderId="0" xfId="20" applyNumberFormat="1" applyAlignment="1">
      <alignment horizontal="left"/>
    </xf>
    <xf numFmtId="0" fontId="17" fillId="13" borderId="2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</cellXfs>
  <cellStyles count="2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40% - Accent3" xfId="5" builtinId="39" customBuiltin="1"/>
    <cellStyle name="60% - Accent3" xfId="6" builtinId="40" customBuiltin="1"/>
    <cellStyle name="60% - Accent4" xfId="7" builtinId="44" customBuiltin="1"/>
    <cellStyle name="60% - Accent6" xfId="8" builtinId="52" customBuiltin="1"/>
    <cellStyle name="Comma" xfId="9" builtinId="3" customBuiltin="1"/>
    <cellStyle name="Comma [0]" xfId="10" builtinId="6" customBuiltin="1"/>
    <cellStyle name="Currency" xfId="11" builtinId="4" customBuiltin="1"/>
    <cellStyle name="Currency [0]" xfId="12" builtinId="7" customBuiltin="1"/>
    <cellStyle name="Heading" xfId="13" xr:uid="{00000000-0005-0000-0000-00000C000000}"/>
    <cellStyle name="Hyperlink" xfId="20" builtinId="8"/>
    <cellStyle name="Normal" xfId="0" builtinId="0" customBuiltin="1"/>
    <cellStyle name="Report Body" xfId="14" xr:uid="{00000000-0005-0000-0000-00000F000000}"/>
    <cellStyle name="Report Column Header" xfId="15" xr:uid="{00000000-0005-0000-0000-000010000000}"/>
    <cellStyle name="Report Creation DateTime" xfId="16" xr:uid="{00000000-0005-0000-0000-000011000000}"/>
    <cellStyle name="Report Field Name" xfId="17" xr:uid="{00000000-0005-0000-0000-000012000000}"/>
    <cellStyle name="Report Name" xfId="18" xr:uid="{00000000-0005-0000-0000-000013000000}"/>
    <cellStyle name="StandardReportHeading" xfId="19" xr:uid="{00000000-0005-0000-0000-000014000000}"/>
  </cellStyles>
  <dxfs count="2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4" tint="0.59996337778862885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>
          <bgColor theme="4" tint="0.59996337778862885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>
          <bgColor theme="3" tint="0.79998168889431442"/>
        </patternFill>
      </fill>
      <border>
        <left/>
        <right/>
        <top style="thin">
          <color theme="3"/>
        </top>
        <bottom style="thin">
          <color theme="3"/>
        </bottom>
        <vertical/>
        <horizontal/>
      </border>
    </dxf>
    <dxf>
      <fill>
        <patternFill patternType="solid">
          <fgColor theme="5" tint="0.79995117038483843"/>
          <bgColor theme="0" tint="-4.9989318521683403E-2"/>
        </patternFill>
      </fill>
      <border>
        <bottom style="thin">
          <color theme="4"/>
        </bottom>
      </border>
    </dxf>
    <dxf>
      <fill>
        <patternFill patternType="solid">
          <fgColor theme="5" tint="0.79992065187536243"/>
          <bgColor theme="0" tint="-4.9989318521683403E-2"/>
        </patternFill>
      </fill>
      <border>
        <bottom style="thin">
          <color theme="4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5" tint="0.39997558519241921"/>
        </bottom>
      </border>
    </dxf>
    <dxf>
      <font>
        <color theme="1"/>
      </font>
    </dxf>
    <dxf>
      <font>
        <b/>
        <i val="0"/>
        <color theme="1"/>
      </font>
      <fill>
        <patternFill>
          <bgColor theme="0" tint="-4.9989318521683403E-2"/>
        </patternFill>
      </fill>
      <border>
        <top style="thin">
          <color theme="5"/>
        </top>
        <bottom style="thin">
          <color theme="5"/>
        </bottom>
      </border>
    </dxf>
    <dxf>
      <font>
        <color theme="1"/>
      </font>
      <fill>
        <patternFill patternType="solid">
          <fgColor theme="0" tint="-0.14993743705557422"/>
          <bgColor theme="0" tint="-4.9989318521683403E-2"/>
        </patternFill>
      </fill>
    </dxf>
    <dxf>
      <fill>
        <patternFill patternType="solid">
          <fgColor theme="0" tint="-0.14990691854609822"/>
          <bgColor theme="0" tint="-4.9989318521683403E-2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>
          <fgColor theme="8"/>
          <bgColor theme="2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1"/>
      </font>
      <fill>
        <patternFill patternType="solid">
          <fgColor theme="5" tint="0.79982909634693444"/>
          <bgColor theme="0" tint="-4.9989318521683403E-2"/>
        </patternFill>
      </fill>
      <border diagonalDown="1">
        <top style="thin">
          <color theme="2" tint="0.59996337778862885"/>
        </top>
        <bottom style="thin">
          <color theme="2" tint="0.59996337778862885"/>
        </bottom>
        <diagonal style="thin">
          <color theme="2" tint="0.59996337778862885"/>
        </diagonal>
      </border>
    </dxf>
    <dxf>
      <font>
        <b/>
        <i val="0"/>
        <color theme="0"/>
      </font>
      <fill>
        <patternFill patternType="solid">
          <fgColor theme="5" tint="0.79985961485641044"/>
          <bgColor theme="2"/>
        </patternFill>
      </fill>
      <border>
        <bottom style="thin">
          <color theme="4"/>
        </bottom>
      </border>
    </dxf>
    <dxf>
      <font>
        <color auto="1"/>
      </font>
    </dxf>
  </dxfs>
  <tableStyles count="1" defaultTableStyle="TableStyleMedium9" defaultPivotStyle="PivotStyleLight16">
    <tableStyle name="PivotStyleLightCustom" table="0" count="13" xr9:uid="{00000000-0011-0000-FFFF-FFFF00000000}">
      <tableStyleElement type="wholeTable" dxfId="25"/>
      <tableStyleElement type="headerRow" dxfId="24"/>
      <tableStyleElement type="totalRow" dxfId="23"/>
      <tableStyleElement type="firstRowStripe" dxfId="22"/>
      <tableStyleElement type="secondRowStripe" dxfId="21"/>
      <tableStyleElement type="firstColumnStripe" dxfId="20"/>
      <tableStyleElement type="firstSubtotalColumn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[Driver Availability.xlsx]Availability Graph!HOS Driver Logs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accent2"/>
            </a:solidFill>
          </a:ln>
          <a:effectLst/>
        </c:spPr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accen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accent1"/>
            </a:solidFill>
          </a:ln>
          <a:effectLst/>
        </c:spPr>
      </c:pivotFmt>
      <c:pivotFmt>
        <c:idx val="6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accent2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accent1"/>
            </a:solidFill>
          </a:ln>
          <a:effectLst/>
        </c:spPr>
      </c:pivotFmt>
      <c:pivotFmt>
        <c:idx val="9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accent2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accent1"/>
            </a:solidFill>
          </a:ln>
          <a:effectLst/>
        </c:spPr>
      </c:pivotFmt>
      <c:pivotFmt>
        <c:idx val="12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accent2"/>
            </a:solidFill>
          </a:ln>
          <a:effectLst/>
        </c:spPr>
      </c:pivotFmt>
      <c:pivotFmt>
        <c:idx val="13"/>
        <c:spPr>
          <a:ln>
            <a:solidFill>
              <a:schemeClr val="accent1"/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tx2">
              <a:lumMod val="40000"/>
              <a:lumOff val="60000"/>
            </a:schemeClr>
          </a:solidFill>
          <a:ln w="19050">
            <a:solidFill>
              <a:schemeClr val="tx2"/>
            </a:solidFill>
          </a:ln>
          <a:effectLst/>
        </c:spPr>
      </c:pivotFmt>
      <c:pivotFmt>
        <c:idx val="15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883238553514143"/>
          <c:y val="5.588072324292797E-2"/>
          <c:w val="0.78233522892971707"/>
          <c:h val="0.78233522892971707"/>
        </c:manualLayout>
      </c:layout>
      <c:doughnutChart>
        <c:varyColors val="1"/>
        <c:ser>
          <c:idx val="0"/>
          <c:order val="0"/>
          <c:tx>
            <c:strRef>
              <c:f>'Availability Graph'!$B$6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solidFill>
                  <a:schemeClr val="tx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D37-405F-A078-91888CF53296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D37-405F-A078-91888CF532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'Availability Graph'!$A$7:$A$8</c:f>
              <c:strCache>
                <c:ptCount val="2"/>
                <c:pt idx="0">
                  <c:v>Available</c:v>
                </c:pt>
                <c:pt idx="1">
                  <c:v>Unavailable</c:v>
                </c:pt>
              </c:strCache>
            </c:strRef>
          </c:cat>
          <c:val>
            <c:numRef>
              <c:f>'Availability Graph'!$B$7:$B$8</c:f>
              <c:numCache>
                <c:formatCode>General</c:formatCode>
                <c:ptCount val="2"/>
                <c:pt idx="0">
                  <c:v>15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D37-405F-A078-91888CF532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653143</xdr:colOff>
      <xdr:row>2</xdr:row>
      <xdr:rowOff>187775</xdr:rowOff>
    </xdr:from>
    <xdr:to>
      <xdr:col>12</xdr:col>
      <xdr:colOff>368753</xdr:colOff>
      <xdr:row>19</xdr:row>
      <xdr:rowOff>44900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396013-6D94-4D9F-AF4A-41462ED08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283027</xdr:colOff>
      <xdr:row>2</xdr:row>
      <xdr:rowOff>87090</xdr:rowOff>
    </xdr:from>
    <xdr:to>
      <xdr:col>5</xdr:col>
      <xdr:colOff>610960</xdr:colOff>
      <xdr:row>8</xdr:row>
      <xdr:rowOff>54430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F25984-24DC-4515-B736-1842F03ABDC6}"/>
            </a:ext>
          </a:extLst>
        </xdr:cNvPr>
        <xdr:cNvSpPr txBox="1"/>
      </xdr:nvSpPr>
      <xdr:spPr>
        <a:xfrm>
          <a:off x="3918856" y="718461"/>
          <a:ext cx="4740729" cy="1055912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tx2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457200" marR="0" lvl="1" indent="0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Input the desired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unavailability threshold hours in cell A5 and minutes in cell B5.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report will show a driver as unavailable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if any of the pertaining Rest, Driving, Duty, Workday, and Cycle times are less than or equal to the unavailability threshold.</a:t>
          </a:r>
        </a:p>
      </xdr:txBody>
    </xdr:sp>
    <xdr:clientData/>
  </xdr:twoCellAnchor>
  <xdr:twoCellAnchor editAs="oneCell">
    <xdr:from>
      <xdr:col>2</xdr:col>
      <xdr:colOff>385899</xdr:colOff>
      <xdr:row>2</xdr:row>
      <xdr:rowOff>175628</xdr:rowOff>
    </xdr:from>
    <xdr:to>
      <xdr:col>2</xdr:col>
      <xdr:colOff>719091</xdr:colOff>
      <xdr:row>4</xdr:row>
      <xdr:rowOff>79834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74AE88-8B0D-41F7-B77D-F9CD74768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21728" y="806999"/>
          <a:ext cx="333192" cy="33963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Ben Schwartz" refreshedDate="43189.30124375" createdVersion="4" refreshedVersion="6" recordCount="57" xr:uid="{00000000-000A-0000-FFFF-FFFF08000000}">
  <cacheSource type="worksheet">
    <worksheetSource name="AllData"/>
  </cacheSource>
  <cacheFields count="13">
    <cacheField name="Driver" numFmtId="0">
      <sharedItems count="117">
        <s v="Driver 1"/>
        <s v="Driver 2"/>
        <s v="Driver 3"/>
        <s v="Driver 4"/>
        <s v="Driver 5"/>
        <s v="Driver 6"/>
        <s v="Driver 7"/>
        <s v="Driver 8"/>
        <s v="Driver 9"/>
        <s v="Driver 10"/>
        <s v="Driver 11"/>
        <s v="Driver 12"/>
        <s v="Driver 13"/>
        <s v="Driver 14"/>
        <s v="Driver 15"/>
        <s v="Driver 16"/>
        <s v="Driver 17"/>
        <s v="Driver 18"/>
        <s v="Driver 19"/>
        <s v="Driver 20"/>
        <s v="Driver 21"/>
        <s v="Driver 22"/>
        <s v="Driver 23"/>
        <s v="Driver 24"/>
        <s v="Driver 25"/>
        <s v="Driver 26"/>
        <s v="Driver 27"/>
        <s v="Driver 28"/>
        <s v="Driver 29"/>
        <s v="Driver 30"/>
        <s v="Driver 31"/>
        <s v="Driver 32"/>
        <s v="Driver 33"/>
        <s v="Driver 34"/>
        <s v="Driver 35"/>
        <s v="Driver 36"/>
        <s v="Driver 37"/>
        <s v="Driver 38"/>
        <s v="Driver 39"/>
        <s v="Driver 40"/>
        <s v="Driver 41"/>
        <s v="Driver 42"/>
        <s v="Driver 43"/>
        <s v="Driver 44"/>
        <s v="Driver 45"/>
        <s v="Driver 46"/>
        <s v="Driver 47"/>
        <s v="Driver 48"/>
        <s v="Driver 49"/>
        <s v="Driver 50"/>
        <s v="Driver 51"/>
        <s v="Driver 52"/>
        <s v="Driver 53"/>
        <s v="Driver 54"/>
        <s v="Driver 55"/>
        <s v="Driver 56"/>
        <s v="Driver 57"/>
        <s v="arianatest@test.com" u="1"/>
        <s v="eduardotassara@geotab.com" u="1"/>
        <s v="cristiani@geotab.com" u="1"/>
        <s v="danieldonelson@geotab.com" u="1"/>
        <s v="viksridhar" u="1"/>
        <s v="benschwartz@geotab.com" u="1"/>
        <s v="scottsutarik@gmail.com" u="1"/>
        <s v="estebanbucio@geotab.com" u="1"/>
        <s v="rafaelnazareno@geotab.com" u="1"/>
        <s v="kyled@geotab.com" u="1"/>
        <s v="brentm@geotab.com" u="1"/>
        <s v="viksridhar2" u="1"/>
        <s v="marcmancini@geotab.com" u="1"/>
        <s v="oscartesting" u="1"/>
        <s v="cherylbarrett@geotab.com" u="1"/>
        <s v="josefernandez@geotab.com" u="1"/>
        <s v="patricktu@geotab.com" u="1"/>
        <s v="Dave" u="1"/>
        <s v="brentmcinnis21@gmail.com" u="1"/>
        <s v="Mars Driver" u="1"/>
        <s v="TemplateDriver1@abc.com" u="1"/>
        <s v="Jobin.thay@gmail.com" u="1"/>
        <s v="TemplateDriver2@abc.com" u="1"/>
        <s v="Mars Driver 2" u="1"/>
        <s v="TemplateDriver3@abc.com" u="1"/>
        <s v="kyledodsworth@geotab.com" u="1"/>
        <s v="oscardriver" u="1"/>
        <s v="viksridharcodriver" u="1"/>
        <s v="viksridhar@geotab.com" u="1"/>
        <s v="dmitry.radyno@gmail.com" u="1"/>
        <s v="arseni@test.com" u="1"/>
        <s v="mikem" u="1"/>
        <s v="rafael2" u="1"/>
        <s v="brentmcinnis@geotab.com" u="1"/>
        <s v="scottsutarik@geotab.com" u="1"/>
        <s v="aarontoth@geotab.com" u="1"/>
        <s v="Marc Driver" u="1"/>
        <s v="mikemurkovic@geotab.com" u="1"/>
        <s v="zayanimtiaz@geotab.com" u="1"/>
        <s v="alicezhang@geotab.com" u="1"/>
        <s v="arseniprokharchyk@geotab.com" u="1"/>
        <s v="alicecodriver" u="1"/>
        <s v="moussak@geotab.com" u="1"/>
        <s v="btest1" u="1"/>
        <s v="rafdrivetest" u="1"/>
        <s v="oscarmiranda@geotab.com" u="1"/>
        <s v="jobinthayilchira@geotab.com" u="1"/>
        <s v="wajihqazi@geotab.com" u="1"/>
        <s v="testomed" u="1"/>
        <s v="grishmasawant@geotab.com" u="1"/>
        <s v="luiss@geotab.com" u="1"/>
        <s v="wasiahmed@geotab.com" u="1"/>
        <s v="Jobintest" u="1"/>
        <s v="arianaalvarino@geotab.com" u="1"/>
        <s v="test@pana.com" u="1"/>
        <s v="joshgloor@geotab.com" u="1"/>
        <s v="rafael" u="1"/>
        <s v="Perftest" u="1"/>
        <s v="omedsherzad@geotab.com" u="1"/>
        <s v="rickyrivera@geotab.com" u="1"/>
      </sharedItems>
    </cacheField>
    <cacheField name="First Name" numFmtId="171">
      <sharedItems/>
    </cacheField>
    <cacheField name="Last Name" numFmtId="171">
      <sharedItems/>
    </cacheField>
    <cacheField name="Full Name" numFmtId="171">
      <sharedItems count="57">
        <s v="First Name Last Name"/>
        <s v="arianaalvarino " u="1"/>
        <s v="Mars " u="1"/>
        <s v="alice codriver" u="1"/>
        <s v="wajihqazi " u="1"/>
        <s v="Dave The Driver" u="1"/>
        <s v="rafaelnazareno " u="1"/>
        <s v="omedsherzad " u="1"/>
        <s v="scottsutarik " u="1"/>
        <s v="a p" u="1"/>
        <s v="Jobin Thayilchira" u="1"/>
        <s v="kyledodsworth kyledodsworth@geotab.com" u="1"/>
        <s v="Moussa Kfouri" u="1"/>
        <s v="Oscar test" u="1"/>
        <s v="P F" u="1"/>
        <s v="cherylbarrett " u="1"/>
        <s v="Rafael Codriver" u="1"/>
        <s v="Luis Sanchez Geotab" u="1"/>
        <s v="Ariana Test" u="1"/>
        <s v="Marc Mancini" u="1"/>
        <s v="joshgloor " u="1"/>
        <s v="test omed" u="1"/>
        <s v="Mars 2 " u="1"/>
        <s v="wasiahmed " u="1"/>
        <s v="Dmitry Radyno" u="1"/>
        <s v="estebanbucio " u="1"/>
        <s v="Jobin Test" u="1"/>
        <s v="alicezhang " u="1"/>
        <s v="zayanimtiaz " u="1"/>
        <s v="oscarmiranda oscarmiranda@geotab.com" u="1"/>
        <s v="grishmasawant " u="1"/>
        <s v="Brent McInnis" u="1"/>
        <s v="brentmcinnis " u="1"/>
        <s v="danieldonelson danieldonelson@geotab.com" u="1"/>
        <s v="rickyrivera " u="1"/>
        <s v="Pana Test" u="1"/>
        <s v="oscar smith" u="1"/>
        <s v="Vik Sridhar" u="1"/>
        <s v="Vik SridharCoDriver" u="1"/>
        <s v="josefernandez Fernandez" u="1"/>
        <s v="arseniprokharchyk " u="1"/>
        <s v="Scott Sutarik" u="1"/>
        <s v="John " u="1"/>
        <s v="Rafael Test" u="1"/>
        <s v="brentm brentmcinnis@geotab.com" u="1"/>
        <s v="viksridhar " u="1"/>
        <s v="marcmancini marcmancini@geotab.com" u="1"/>
        <s v="J T" u="1"/>
        <s v="test " u="1"/>
        <s v="Kyle Dodsworth" u="1"/>
        <s v="brent test" u="1"/>
        <s v="aarontoth " u="1"/>
        <s v="eduardotassara " u="1"/>
        <s v="mike murkovic" u="1"/>
        <s v="benschwartz " u="1"/>
        <s v="patricktu " u="1"/>
        <s v="Cristian Test Driver" u="1"/>
      </sharedItems>
    </cacheField>
    <cacheField name="HOS Status" numFmtId="169">
      <sharedItems count="3">
        <s v="OFF"/>
        <s v="ON"/>
        <s v="D"/>
      </sharedItems>
    </cacheField>
    <cacheField name="HOS Ruleset" numFmtId="169">
      <sharedItems count="17">
        <s v="None"/>
        <s v="America7DayBig"/>
        <s v="America8Day"/>
        <s v="Florida7Day"/>
        <s v="AmericaTexasShortHaul8Day"/>
        <s v="America7Day"/>
        <s v="CanadaCycleOne"/>
        <s v="CaliforniaProperty"/>
        <s v="America8DayBig"/>
        <s v="CanadaCycleTwo"/>
        <s v="FloridaShortHaul7Day"/>
        <s v="OilWellTexas"/>
        <s v="America7DayPassenger"/>
        <s v="OilWell7DayBig"/>
        <s v="OilWell7Day"/>
        <s v="OilTransport8Day"/>
        <s v="OilTransport7Day"/>
      </sharedItems>
    </cacheField>
    <cacheField name="Include" numFmtId="169">
      <sharedItems count="2">
        <b v="1"/>
        <b v="0"/>
      </sharedItems>
    </cacheField>
    <cacheField name="Availability" numFmtId="169">
      <sharedItems count="3">
        <s v="N/A"/>
        <s v="Available"/>
        <s v="Unavailable"/>
      </sharedItems>
    </cacheField>
    <cacheField name="Rest available" numFmtId="169">
      <sharedItems containsSemiMixedTypes="0" containsNonDate="0" containsDate="1" containsString="0" minDate="1899-12-30T00:00:00" maxDate="1899-12-31T00:00:00"/>
    </cacheField>
    <cacheField name="Driving available" numFmtId="169">
      <sharedItems containsSemiMixedTypes="0" containsNonDate="0" containsDate="1" containsString="0" minDate="1899-12-30T00:00:00" maxDate="1899-12-31T00:00:00"/>
    </cacheField>
    <cacheField name="Duty available" numFmtId="169">
      <sharedItems containsSemiMixedTypes="0" containsNonDate="0" containsDate="1" containsString="0" minDate="1899-12-30T00:00:00" maxDate="1899-12-31T00:00:00"/>
    </cacheField>
    <cacheField name="Workday available" numFmtId="169">
      <sharedItems containsSemiMixedTypes="0" containsNonDate="0" containsDate="1" containsString="0" minDate="1899-12-30T00:00:00" maxDate="1899-12-31T00:00:00"/>
    </cacheField>
    <cacheField name="Cycle available" numFmtId="169">
      <sharedItems containsSemiMixedTypes="0" containsNonDate="0" containsDate="1" containsString="0" minDate="1899-12-30T00:00:00" maxDate="1900-01-0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s v="First Name"/>
    <s v="Last Name"/>
    <x v="0"/>
    <x v="0"/>
    <x v="0"/>
    <x v="0"/>
    <x v="0"/>
    <d v="1899-12-30T00:00:00"/>
    <d v="1899-12-30T00:00:00"/>
    <d v="1899-12-30T00:00:00"/>
    <d v="1899-12-30T00:00:00"/>
    <d v="1899-12-30T00:00:00"/>
  </r>
  <r>
    <x v="1"/>
    <s v="First Name"/>
    <s v="Last Name"/>
    <x v="0"/>
    <x v="0"/>
    <x v="1"/>
    <x v="1"/>
    <x v="1"/>
    <d v="1899-12-30T08:00:00"/>
    <d v="1899-12-30T11:00:00"/>
    <d v="1899-12-30T00:00:00"/>
    <d v="1899-12-30T14:00:00"/>
    <d v="1900-01-01T12:00:00"/>
  </r>
  <r>
    <x v="2"/>
    <s v="First Name"/>
    <s v="Last Name"/>
    <x v="0"/>
    <x v="0"/>
    <x v="2"/>
    <x v="1"/>
    <x v="1"/>
    <d v="1899-12-30T08:00:00"/>
    <d v="1899-12-30T11:00:00"/>
    <d v="1899-12-30T00:00:00"/>
    <d v="1899-12-30T14:00:00"/>
    <d v="1900-01-01T22:00:00"/>
  </r>
  <r>
    <x v="3"/>
    <s v="First Name"/>
    <s v="Last Name"/>
    <x v="0"/>
    <x v="1"/>
    <x v="3"/>
    <x v="1"/>
    <x v="2"/>
    <d v="1899-12-30T00:00:00"/>
    <d v="1899-12-30T12:00:00"/>
    <d v="1899-12-30T00:00:00"/>
    <d v="1899-12-30T16:00:00"/>
    <d v="1900-01-01T22:00:00"/>
  </r>
  <r>
    <x v="4"/>
    <s v="First Name"/>
    <s v="Last Name"/>
    <x v="0"/>
    <x v="1"/>
    <x v="0"/>
    <x v="0"/>
    <x v="0"/>
    <d v="1899-12-30T00:00:00"/>
    <d v="1899-12-30T00:00:00"/>
    <d v="1899-12-30T00:00:00"/>
    <d v="1899-12-30T00:00:00"/>
    <d v="1899-12-30T00:00:00"/>
  </r>
  <r>
    <x v="5"/>
    <s v="First Name"/>
    <s v="Last Name"/>
    <x v="0"/>
    <x v="1"/>
    <x v="4"/>
    <x v="1"/>
    <x v="2"/>
    <d v="1899-12-30T00:00:00"/>
    <d v="1899-12-30T12:00:00"/>
    <d v="1899-12-30T00:00:00"/>
    <d v="1899-12-30T00:00:00"/>
    <d v="1899-12-30T00:00:00"/>
  </r>
  <r>
    <x v="6"/>
    <s v="First Name"/>
    <s v="Last Name"/>
    <x v="0"/>
    <x v="1"/>
    <x v="2"/>
    <x v="1"/>
    <x v="2"/>
    <d v="1899-12-30T00:00:00"/>
    <d v="1899-12-30T00:00:00"/>
    <d v="1899-12-30T00:00:00"/>
    <d v="1899-12-30T00:00:00"/>
    <d v="1899-12-30T00:00:00"/>
  </r>
  <r>
    <x v="7"/>
    <s v="First Name"/>
    <s v="Last Name"/>
    <x v="0"/>
    <x v="0"/>
    <x v="5"/>
    <x v="1"/>
    <x v="1"/>
    <d v="1899-12-30T08:00:00"/>
    <d v="1899-12-30T11:00:00"/>
    <d v="1899-12-30T00:00:00"/>
    <d v="1899-12-30T14:00:00"/>
    <d v="1900-01-01T12:00:00"/>
  </r>
  <r>
    <x v="8"/>
    <s v="First Name"/>
    <s v="Last Name"/>
    <x v="0"/>
    <x v="0"/>
    <x v="6"/>
    <x v="1"/>
    <x v="2"/>
    <d v="1899-12-30T00:00:00"/>
    <d v="1899-12-30T13:00:00"/>
    <d v="1899-12-30T14:00:00"/>
    <d v="1899-12-30T16:00:00"/>
    <d v="1900-01-01T22:00:00"/>
  </r>
  <r>
    <x v="9"/>
    <s v="First Name"/>
    <s v="Last Name"/>
    <x v="0"/>
    <x v="0"/>
    <x v="7"/>
    <x v="1"/>
    <x v="2"/>
    <d v="1899-12-30T00:00:00"/>
    <d v="1899-12-30T12:00:00"/>
    <d v="1899-12-30T00:00:00"/>
    <d v="1899-12-30T16:00:00"/>
    <d v="1900-01-02T05:20:47"/>
  </r>
  <r>
    <x v="10"/>
    <s v="First Name"/>
    <s v="Last Name"/>
    <x v="0"/>
    <x v="0"/>
    <x v="6"/>
    <x v="1"/>
    <x v="2"/>
    <d v="1899-12-30T00:00:00"/>
    <d v="1899-12-30T13:00:00"/>
    <d v="1899-12-30T14:00:00"/>
    <d v="1899-12-30T16:00:00"/>
    <d v="1900-01-01T22:00:00"/>
  </r>
  <r>
    <x v="11"/>
    <s v="First Name"/>
    <s v="Last Name"/>
    <x v="0"/>
    <x v="0"/>
    <x v="6"/>
    <x v="1"/>
    <x v="2"/>
    <d v="1899-12-30T00:00:00"/>
    <d v="1899-12-30T13:00:00"/>
    <d v="1899-12-30T14:00:00"/>
    <d v="1899-12-30T16:00:00"/>
    <d v="1900-01-01T22:00:00"/>
  </r>
  <r>
    <x v="12"/>
    <s v="First Name"/>
    <s v="Last Name"/>
    <x v="0"/>
    <x v="0"/>
    <x v="2"/>
    <x v="1"/>
    <x v="1"/>
    <d v="1899-12-30T08:00:00"/>
    <d v="1899-12-30T11:00:00"/>
    <d v="1899-12-30T00:00:00"/>
    <d v="1899-12-30T14:00:00"/>
    <d v="1900-01-01T22:00:00"/>
  </r>
  <r>
    <x v="13"/>
    <s v="First Name"/>
    <s v="Last Name"/>
    <x v="0"/>
    <x v="2"/>
    <x v="0"/>
    <x v="0"/>
    <x v="0"/>
    <d v="1899-12-30T00:00:00"/>
    <d v="1899-12-30T00:00:00"/>
    <d v="1899-12-30T00:00:00"/>
    <d v="1899-12-30T00:00:00"/>
    <d v="1899-12-30T00:00:00"/>
  </r>
  <r>
    <x v="14"/>
    <s v="First Name"/>
    <s v="Last Name"/>
    <x v="0"/>
    <x v="0"/>
    <x v="6"/>
    <x v="1"/>
    <x v="2"/>
    <d v="1899-12-30T00:00:00"/>
    <d v="1899-12-30T13:00:00"/>
    <d v="1899-12-30T14:00:00"/>
    <d v="1899-12-30T16:00:00"/>
    <d v="1900-01-01T22:00:00"/>
  </r>
  <r>
    <x v="15"/>
    <s v="First Name"/>
    <s v="Last Name"/>
    <x v="0"/>
    <x v="1"/>
    <x v="2"/>
    <x v="1"/>
    <x v="2"/>
    <d v="1899-12-30T00:00:00"/>
    <d v="1899-12-30T00:00:00"/>
    <d v="1899-12-30T00:00:00"/>
    <d v="1899-12-30T00:00:00"/>
    <d v="1899-12-30T00:00:00"/>
  </r>
  <r>
    <x v="16"/>
    <s v="First Name"/>
    <s v="Last Name"/>
    <x v="0"/>
    <x v="1"/>
    <x v="0"/>
    <x v="0"/>
    <x v="0"/>
    <d v="1899-12-30T00:00:00"/>
    <d v="1899-12-30T00:00:00"/>
    <d v="1899-12-30T00:00:00"/>
    <d v="1899-12-30T00:00:00"/>
    <d v="1899-12-30T00:00:00"/>
  </r>
  <r>
    <x v="17"/>
    <s v="First Name"/>
    <s v="Last Name"/>
    <x v="0"/>
    <x v="1"/>
    <x v="8"/>
    <x v="1"/>
    <x v="2"/>
    <d v="1899-12-30T00:00:00"/>
    <d v="1899-12-30T11:00:00"/>
    <d v="1899-12-30T00:00:00"/>
    <d v="1899-12-30T00:00:00"/>
    <d v="1899-12-30T00:00:00"/>
  </r>
  <r>
    <x v="18"/>
    <s v="First Name"/>
    <s v="Last Name"/>
    <x v="0"/>
    <x v="1"/>
    <x v="0"/>
    <x v="0"/>
    <x v="0"/>
    <d v="1899-12-30T00:00:00"/>
    <d v="1899-12-30T00:00:00"/>
    <d v="1899-12-30T00:00:00"/>
    <d v="1899-12-30T00:00:00"/>
    <d v="1899-12-30T00:00:00"/>
  </r>
  <r>
    <x v="19"/>
    <s v="First Name"/>
    <s v="Last Name"/>
    <x v="0"/>
    <x v="0"/>
    <x v="0"/>
    <x v="0"/>
    <x v="0"/>
    <d v="1899-12-30T00:00:00"/>
    <d v="1899-12-30T00:00:00"/>
    <d v="1899-12-30T00:00:00"/>
    <d v="1899-12-30T00:00:00"/>
    <d v="1899-12-30T00:00:00"/>
  </r>
  <r>
    <x v="20"/>
    <s v="First Name"/>
    <s v="Last Name"/>
    <x v="0"/>
    <x v="0"/>
    <x v="9"/>
    <x v="1"/>
    <x v="2"/>
    <d v="1899-12-30T00:00:00"/>
    <d v="1899-12-30T13:00:00"/>
    <d v="1899-12-30T14:00:00"/>
    <d v="1899-12-30T16:00:00"/>
    <d v="1900-01-04T00:00:00"/>
  </r>
  <r>
    <x v="21"/>
    <s v="First Name"/>
    <s v="Last Name"/>
    <x v="0"/>
    <x v="1"/>
    <x v="5"/>
    <x v="1"/>
    <x v="2"/>
    <d v="1899-12-30T00:00:00"/>
    <d v="1899-12-30T10:59:57"/>
    <d v="1899-12-30T00:00:00"/>
    <d v="1899-12-30T00:00:00"/>
    <d v="1899-12-30T00:00:00"/>
  </r>
  <r>
    <x v="22"/>
    <s v="First Name"/>
    <s v="Last Name"/>
    <x v="0"/>
    <x v="1"/>
    <x v="5"/>
    <x v="1"/>
    <x v="2"/>
    <d v="1899-12-30T00:00:00"/>
    <d v="1899-12-30T07:22:22"/>
    <d v="1899-12-30T00:00:00"/>
    <d v="1899-12-30T00:00:00"/>
    <d v="1899-12-30T00:00:00"/>
  </r>
  <r>
    <x v="23"/>
    <s v="First Name"/>
    <s v="Last Name"/>
    <x v="0"/>
    <x v="0"/>
    <x v="6"/>
    <x v="1"/>
    <x v="2"/>
    <d v="1899-12-30T00:00:00"/>
    <d v="1899-12-30T13:00:00"/>
    <d v="1899-12-30T14:00:00"/>
    <d v="1899-12-30T16:00:00"/>
    <d v="1900-01-01T22:00:00"/>
  </r>
  <r>
    <x v="24"/>
    <s v="First Name"/>
    <s v="Last Name"/>
    <x v="0"/>
    <x v="1"/>
    <x v="5"/>
    <x v="1"/>
    <x v="2"/>
    <d v="1899-12-30T00:00:00"/>
    <d v="1899-12-30T08:21:45"/>
    <d v="1899-12-30T00:00:00"/>
    <d v="1899-12-30T00:00:00"/>
    <d v="1899-12-30T00:00:00"/>
  </r>
  <r>
    <x v="25"/>
    <s v="First Name"/>
    <s v="Last Name"/>
    <x v="0"/>
    <x v="0"/>
    <x v="5"/>
    <x v="1"/>
    <x v="1"/>
    <d v="1899-12-30T08:00:00"/>
    <d v="1899-12-30T11:00:00"/>
    <d v="1899-12-30T00:00:00"/>
    <d v="1899-12-30T14:00:00"/>
    <d v="1900-01-01T12:00:00"/>
  </r>
  <r>
    <x v="26"/>
    <s v="First Name"/>
    <s v="Last Name"/>
    <x v="0"/>
    <x v="0"/>
    <x v="6"/>
    <x v="1"/>
    <x v="2"/>
    <d v="1899-12-30T00:00:00"/>
    <d v="1899-12-30T13:00:00"/>
    <d v="1899-12-30T14:00:00"/>
    <d v="1899-12-30T16:00:00"/>
    <d v="1900-01-01T22:00:00"/>
  </r>
  <r>
    <x v="27"/>
    <s v="First Name"/>
    <s v="Last Name"/>
    <x v="0"/>
    <x v="0"/>
    <x v="5"/>
    <x v="1"/>
    <x v="1"/>
    <d v="1899-12-30T08:00:00"/>
    <d v="1899-12-30T11:00:00"/>
    <d v="1899-12-30T00:00:00"/>
    <d v="1899-12-30T14:00:00"/>
    <d v="1900-01-01T12:00:00"/>
  </r>
  <r>
    <x v="28"/>
    <s v="First Name"/>
    <s v="Last Name"/>
    <x v="0"/>
    <x v="1"/>
    <x v="6"/>
    <x v="1"/>
    <x v="2"/>
    <d v="1899-12-30T00:00:00"/>
    <d v="1899-12-30T13:00:00"/>
    <d v="1899-12-30T14:00:00"/>
    <d v="1899-12-30T16:00:00"/>
    <d v="1900-01-01T22:00:00"/>
  </r>
  <r>
    <x v="29"/>
    <s v="First Name"/>
    <s v="Last Name"/>
    <x v="0"/>
    <x v="1"/>
    <x v="1"/>
    <x v="1"/>
    <x v="2"/>
    <d v="1899-12-30T00:00:00"/>
    <d v="1899-12-30T11:00:00"/>
    <d v="1899-12-30T00:00:00"/>
    <d v="1899-12-30T00:00:00"/>
    <d v="1899-12-30T00:00:00"/>
  </r>
  <r>
    <x v="30"/>
    <s v="First Name"/>
    <s v="Last Name"/>
    <x v="0"/>
    <x v="1"/>
    <x v="3"/>
    <x v="1"/>
    <x v="2"/>
    <d v="1899-12-30T00:00:00"/>
    <d v="1899-12-30T12:00:00"/>
    <d v="1899-12-30T00:00:00"/>
    <d v="1899-12-30T16:00:00"/>
    <d v="1900-01-01T22:00:00"/>
  </r>
  <r>
    <x v="31"/>
    <s v="First Name"/>
    <s v="Last Name"/>
    <x v="0"/>
    <x v="1"/>
    <x v="10"/>
    <x v="1"/>
    <x v="2"/>
    <d v="1899-12-30T00:00:00"/>
    <d v="1899-12-30T12:00:00"/>
    <d v="1899-12-30T00:00:00"/>
    <d v="1899-12-30T00:00:00"/>
    <d v="1899-12-30T00:00:00"/>
  </r>
  <r>
    <x v="32"/>
    <s v="First Name"/>
    <s v="Last Name"/>
    <x v="0"/>
    <x v="0"/>
    <x v="11"/>
    <x v="1"/>
    <x v="2"/>
    <d v="1899-12-30T00:00:00"/>
    <d v="1899-12-30T12:00:00"/>
    <d v="1899-12-30T15:00:00"/>
    <d v="1899-12-30T00:00:00"/>
    <d v="1900-01-01T22:00:00"/>
  </r>
  <r>
    <x v="33"/>
    <s v="First Name"/>
    <s v="Last Name"/>
    <x v="0"/>
    <x v="0"/>
    <x v="5"/>
    <x v="1"/>
    <x v="1"/>
    <d v="1899-12-30T08:00:00"/>
    <d v="1899-12-30T11:00:00"/>
    <d v="1899-12-30T00:00:00"/>
    <d v="1899-12-30T14:00:00"/>
    <d v="1900-01-01T12:00:00"/>
  </r>
  <r>
    <x v="34"/>
    <s v="First Name"/>
    <s v="Last Name"/>
    <x v="0"/>
    <x v="0"/>
    <x v="12"/>
    <x v="1"/>
    <x v="2"/>
    <d v="1899-12-30T00:00:00"/>
    <d v="1899-12-30T10:00:00"/>
    <d v="1899-12-30T15:00:00"/>
    <d v="1899-12-30T00:00:00"/>
    <d v="1900-01-01T12:00:00"/>
  </r>
  <r>
    <x v="35"/>
    <s v="First Name"/>
    <s v="Last Name"/>
    <x v="0"/>
    <x v="0"/>
    <x v="5"/>
    <x v="1"/>
    <x v="1"/>
    <d v="1899-12-30T08:00:00"/>
    <d v="1899-12-30T11:00:00"/>
    <d v="1899-12-30T00:00:00"/>
    <d v="1899-12-30T14:00:00"/>
    <d v="1900-01-01T12:00:00"/>
  </r>
  <r>
    <x v="36"/>
    <s v="First Name"/>
    <s v="Last Name"/>
    <x v="0"/>
    <x v="0"/>
    <x v="13"/>
    <x v="1"/>
    <x v="1"/>
    <d v="1899-12-30T08:00:00"/>
    <d v="1899-12-30T11:00:00"/>
    <d v="1899-12-30T00:00:00"/>
    <d v="1899-12-30T14:00:00"/>
    <d v="1900-01-01T12:00:00"/>
  </r>
  <r>
    <x v="37"/>
    <s v="First Name"/>
    <s v="Last Name"/>
    <x v="0"/>
    <x v="0"/>
    <x v="5"/>
    <x v="1"/>
    <x v="1"/>
    <d v="1899-12-30T08:00:00"/>
    <d v="1899-12-30T11:00:00"/>
    <d v="1899-12-30T00:00:00"/>
    <d v="1899-12-30T14:00:00"/>
    <d v="1900-01-01T12:00:00"/>
  </r>
  <r>
    <x v="38"/>
    <s v="First Name"/>
    <s v="Last Name"/>
    <x v="0"/>
    <x v="0"/>
    <x v="14"/>
    <x v="1"/>
    <x v="1"/>
    <d v="1899-12-30T08:00:00"/>
    <d v="1899-12-30T11:00:00"/>
    <d v="1899-12-30T00:00:00"/>
    <d v="1899-12-30T14:00:00"/>
    <d v="1900-01-01T12:00:00"/>
  </r>
  <r>
    <x v="39"/>
    <s v="First Name"/>
    <s v="Last Name"/>
    <x v="0"/>
    <x v="0"/>
    <x v="0"/>
    <x v="0"/>
    <x v="0"/>
    <d v="1899-12-30T00:00:00"/>
    <d v="1899-12-30T00:00:00"/>
    <d v="1899-12-30T00:00:00"/>
    <d v="1899-12-30T00:00:00"/>
    <d v="1899-12-30T00:00:00"/>
  </r>
  <r>
    <x v="40"/>
    <s v="First Name"/>
    <s v="Last Name"/>
    <x v="0"/>
    <x v="1"/>
    <x v="15"/>
    <x v="1"/>
    <x v="2"/>
    <d v="1899-12-30T00:00:00"/>
    <d v="1899-12-30T11:00:00"/>
    <d v="1899-12-30T00:00:00"/>
    <d v="1899-12-30T00:00:00"/>
    <d v="1899-12-30T00:00:00"/>
  </r>
  <r>
    <x v="41"/>
    <s v="First Name"/>
    <s v="Last Name"/>
    <x v="0"/>
    <x v="0"/>
    <x v="9"/>
    <x v="1"/>
    <x v="2"/>
    <d v="1899-12-30T00:00:00"/>
    <d v="1899-12-30T13:00:00"/>
    <d v="1899-12-30T14:00:00"/>
    <d v="1899-12-30T16:00:00"/>
    <d v="1900-01-04T00:00:00"/>
  </r>
  <r>
    <x v="42"/>
    <s v="First Name"/>
    <s v="Last Name"/>
    <x v="0"/>
    <x v="1"/>
    <x v="9"/>
    <x v="1"/>
    <x v="2"/>
    <d v="1899-12-30T00:00:00"/>
    <d v="1899-12-30T13:00:00"/>
    <d v="1899-12-30T14:00:00"/>
    <d v="1899-12-30T16:00:00"/>
    <d v="1900-01-04T00:00:00"/>
  </r>
  <r>
    <x v="43"/>
    <s v="First Name"/>
    <s v="Last Name"/>
    <x v="0"/>
    <x v="0"/>
    <x v="2"/>
    <x v="1"/>
    <x v="1"/>
    <d v="1899-12-30T08:00:00"/>
    <d v="1899-12-30T11:00:00"/>
    <d v="1899-12-30T00:00:00"/>
    <d v="1899-12-30T14:00:00"/>
    <d v="1900-01-01T22:00:00"/>
  </r>
  <r>
    <x v="44"/>
    <s v="First Name"/>
    <s v="Last Name"/>
    <x v="0"/>
    <x v="1"/>
    <x v="9"/>
    <x v="1"/>
    <x v="2"/>
    <d v="1899-12-30T00:00:00"/>
    <d v="1899-12-30T13:00:00"/>
    <d v="1899-12-30T14:00:00"/>
    <d v="1899-12-30T16:00:00"/>
    <d v="1900-01-04T00:00:00"/>
  </r>
  <r>
    <x v="45"/>
    <s v="First Name"/>
    <s v="Last Name"/>
    <x v="0"/>
    <x v="0"/>
    <x v="0"/>
    <x v="0"/>
    <x v="0"/>
    <d v="1899-12-30T00:00:00"/>
    <d v="1899-12-30T00:00:00"/>
    <d v="1899-12-30T00:00:00"/>
    <d v="1899-12-30T00:00:00"/>
    <d v="1899-12-30T00:00:00"/>
  </r>
  <r>
    <x v="46"/>
    <s v="First Name"/>
    <s v="Last Name"/>
    <x v="0"/>
    <x v="0"/>
    <x v="0"/>
    <x v="0"/>
    <x v="0"/>
    <d v="1899-12-30T00:00:00"/>
    <d v="1899-12-30T00:00:00"/>
    <d v="1899-12-30T00:00:00"/>
    <d v="1899-12-30T00:00:00"/>
    <d v="1899-12-30T00:00:00"/>
  </r>
  <r>
    <x v="47"/>
    <s v="First Name"/>
    <s v="Last Name"/>
    <x v="0"/>
    <x v="1"/>
    <x v="0"/>
    <x v="0"/>
    <x v="0"/>
    <d v="1899-12-30T00:00:00"/>
    <d v="1899-12-30T00:00:00"/>
    <d v="1899-12-30T00:00:00"/>
    <d v="1899-12-30T00:00:00"/>
    <d v="1899-12-30T00:00:00"/>
  </r>
  <r>
    <x v="48"/>
    <s v="First Name"/>
    <s v="Last Name"/>
    <x v="0"/>
    <x v="0"/>
    <x v="5"/>
    <x v="1"/>
    <x v="1"/>
    <d v="1899-12-30T08:00:00"/>
    <d v="1899-12-30T11:00:00"/>
    <d v="1899-12-30T00:00:00"/>
    <d v="1899-12-30T14:00:00"/>
    <d v="1900-01-01T12:00:00"/>
  </r>
  <r>
    <x v="49"/>
    <s v="First Name"/>
    <s v="Last Name"/>
    <x v="0"/>
    <x v="1"/>
    <x v="6"/>
    <x v="1"/>
    <x v="2"/>
    <d v="1899-12-30T00:00:00"/>
    <d v="1899-12-30T13:00:00"/>
    <d v="1899-12-30T14:00:00"/>
    <d v="1899-12-30T16:00:00"/>
    <d v="1900-01-01T22:00:00"/>
  </r>
  <r>
    <x v="50"/>
    <s v="First Name"/>
    <s v="Last Name"/>
    <x v="0"/>
    <x v="1"/>
    <x v="16"/>
    <x v="1"/>
    <x v="2"/>
    <d v="1899-12-30T00:00:00"/>
    <d v="1899-12-30T06:10:54"/>
    <d v="1899-12-30T00:00:00"/>
    <d v="1899-12-30T00:00:00"/>
    <d v="1899-12-30T00:00:00"/>
  </r>
  <r>
    <x v="51"/>
    <s v="First Name"/>
    <s v="Last Name"/>
    <x v="0"/>
    <x v="0"/>
    <x v="0"/>
    <x v="0"/>
    <x v="0"/>
    <d v="1899-12-30T00:00:00"/>
    <d v="1899-12-30T00:00:00"/>
    <d v="1899-12-30T00:00:00"/>
    <d v="1899-12-30T00:00:00"/>
    <d v="1899-12-30T00:00:00"/>
  </r>
  <r>
    <x v="52"/>
    <s v="First Name"/>
    <s v="Last Name"/>
    <x v="0"/>
    <x v="1"/>
    <x v="0"/>
    <x v="0"/>
    <x v="0"/>
    <d v="1899-12-30T00:00:00"/>
    <d v="1899-12-30T00:00:00"/>
    <d v="1899-12-30T00:00:00"/>
    <d v="1899-12-30T00:00:00"/>
    <d v="1899-12-30T00:00:00"/>
  </r>
  <r>
    <x v="53"/>
    <s v="First Name"/>
    <s v="Last Name"/>
    <x v="0"/>
    <x v="0"/>
    <x v="8"/>
    <x v="1"/>
    <x v="1"/>
    <d v="1899-12-30T08:00:00"/>
    <d v="1899-12-30T11:00:00"/>
    <d v="1899-12-30T00:00:00"/>
    <d v="1899-12-30T14:00:00"/>
    <d v="1900-01-01T22:00:00"/>
  </r>
  <r>
    <x v="54"/>
    <s v="First Name"/>
    <s v="Last Name"/>
    <x v="0"/>
    <x v="0"/>
    <x v="6"/>
    <x v="1"/>
    <x v="2"/>
    <d v="1899-12-30T00:00:00"/>
    <d v="1899-12-30T13:00:00"/>
    <d v="1899-12-30T14:00:00"/>
    <d v="1899-12-30T16:00:00"/>
    <d v="1900-01-01T22:00:00"/>
  </r>
  <r>
    <x v="55"/>
    <s v="First Name"/>
    <s v="Last Name"/>
    <x v="0"/>
    <x v="0"/>
    <x v="2"/>
    <x v="1"/>
    <x v="1"/>
    <d v="1899-12-30T08:00:00"/>
    <d v="1899-12-30T11:00:00"/>
    <d v="1899-12-30T00:00:00"/>
    <d v="1899-12-30T14:00:00"/>
    <d v="1900-01-01T22:00:00"/>
  </r>
  <r>
    <x v="56"/>
    <s v="First Name"/>
    <s v="Last Name"/>
    <x v="0"/>
    <x v="0"/>
    <x v="0"/>
    <x v="0"/>
    <x v="0"/>
    <d v="1899-12-30T00:00:00"/>
    <d v="1899-12-30T00:00:00"/>
    <d v="1899-12-30T00:00:00"/>
    <d v="1899-12-30T00:00:00"/>
    <d v="1899-12-3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HOS Driver Logs" cacheId="79" applyNumberFormats="0" applyBorderFormats="0" applyFontFormats="0" applyPatternFormats="0" applyAlignmentFormats="0" applyWidthHeightFormats="1" dataCaption="Data" updatedVersion="6" minRefreshableVersion="3" showDrill="0" showMemberPropertyTips="0" rowGrandTotals="0" colGrandTotals="0" itemPrintTitles="1" createdVersion="4" indent="0" compact="0" compactData="0">
  <location ref="A10:J54" firstHeaderRow="0" firstDataRow="1" firstDataCol="5" rowPageCount="1" colPageCount="1"/>
  <pivotFields count="13">
    <pivotField axis="axisRow" compact="0" outline="0" subtotalTop="0" showAll="0" includeNewItemsInFilter="1" defaultSubtotal="0">
      <items count="117">
        <item m="1" x="77"/>
        <item m="1" x="79"/>
        <item m="1" x="81"/>
        <item m="1" x="92"/>
        <item m="1" x="98"/>
        <item m="1" x="96"/>
        <item m="1" x="110"/>
        <item m="1" x="57"/>
        <item m="1" x="87"/>
        <item m="1" x="97"/>
        <item m="1" x="62"/>
        <item m="1" x="67"/>
        <item m="1" x="90"/>
        <item m="1" x="75"/>
        <item m="1" x="100"/>
        <item m="1" x="71"/>
        <item m="1" x="59"/>
        <item m="1" x="60"/>
        <item m="1" x="74"/>
        <item m="1" x="86"/>
        <item m="1" x="58"/>
        <item m="1" x="64"/>
        <item m="1" x="106"/>
        <item m="1" x="78"/>
        <item m="1" x="109"/>
        <item m="1" x="103"/>
        <item m="1" x="72"/>
        <item m="1" x="112"/>
        <item m="1" x="66"/>
        <item m="1" x="82"/>
        <item m="1" x="107"/>
        <item m="1" x="93"/>
        <item m="1" x="69"/>
        <item m="1" x="76"/>
        <item m="1" x="80"/>
        <item m="1" x="88"/>
        <item m="1" x="94"/>
        <item m="1" x="99"/>
        <item m="1" x="115"/>
        <item m="1" x="83"/>
        <item m="1" x="102"/>
        <item m="1" x="70"/>
        <item m="1" x="73"/>
        <item m="1" x="114"/>
        <item m="1" x="113"/>
        <item m="1" x="89"/>
        <item m="1" x="65"/>
        <item m="1" x="101"/>
        <item m="1" x="116"/>
        <item m="1" x="91"/>
        <item m="1" x="63"/>
        <item m="1" x="111"/>
        <item m="1" x="105"/>
        <item m="1" x="61"/>
        <item m="1" x="85"/>
        <item m="1" x="68"/>
        <item m="1" x="84"/>
        <item m="1" x="104"/>
        <item m="1" x="108"/>
        <item m="1" x="9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57">
        <item m="1" x="9"/>
        <item m="1" x="51"/>
        <item m="1" x="3"/>
        <item m="1" x="27"/>
        <item m="1" x="18"/>
        <item m="1" x="1"/>
        <item m="1" x="40"/>
        <item m="1" x="54"/>
        <item m="1" x="31"/>
        <item m="1" x="50"/>
        <item m="1" x="44"/>
        <item m="1" x="32"/>
        <item m="1" x="15"/>
        <item m="1" x="56"/>
        <item m="1" x="33"/>
        <item m="1" x="5"/>
        <item m="1" x="24"/>
        <item m="1" x="52"/>
        <item m="1" x="25"/>
        <item m="1" x="30"/>
        <item m="1" x="47"/>
        <item m="1" x="26"/>
        <item m="1" x="10"/>
        <item m="1" x="42"/>
        <item m="1" x="39"/>
        <item m="1" x="20"/>
        <item m="1" x="49"/>
        <item m="1" x="11"/>
        <item m="1" x="17"/>
        <item m="1" x="19"/>
        <item m="1" x="46"/>
        <item m="1" x="2"/>
        <item m="1" x="22"/>
        <item m="1" x="53"/>
        <item m="1" x="12"/>
        <item m="1" x="7"/>
        <item m="1" x="36"/>
        <item m="1" x="13"/>
        <item m="1" x="29"/>
        <item m="1" x="14"/>
        <item m="1" x="35"/>
        <item m="1" x="55"/>
        <item m="1" x="16"/>
        <item m="1" x="43"/>
        <item m="1" x="6"/>
        <item m="1" x="34"/>
        <item m="1" x="41"/>
        <item m="1" x="8"/>
        <item m="1" x="48"/>
        <item m="1" x="21"/>
        <item m="1" x="37"/>
        <item m="1" x="38"/>
        <item m="1" x="45"/>
        <item m="1" x="4"/>
        <item m="1" x="23"/>
        <item m="1" x="28"/>
        <item x="0"/>
      </items>
    </pivotField>
    <pivotField axis="axisRow" compact="0" outline="0" showAll="0" defaultSubtotal="0">
      <items count="3">
        <item x="2"/>
        <item x="0"/>
        <item x="1"/>
      </items>
    </pivotField>
    <pivotField axis="axisRow" compact="0" outline="0" showAll="0" defaultSubtotal="0">
      <items count="17">
        <item x="5"/>
        <item x="1"/>
        <item x="12"/>
        <item x="2"/>
        <item x="8"/>
        <item x="4"/>
        <item x="7"/>
        <item x="6"/>
        <item x="9"/>
        <item x="3"/>
        <item x="10"/>
        <item x="0"/>
        <item x="16"/>
        <item x="15"/>
        <item x="14"/>
        <item x="13"/>
        <item x="11"/>
      </items>
    </pivotField>
    <pivotField axis="axisPage" compact="0" outline="0" multipleItemSelectionAllowed="1" showAll="0">
      <items count="3">
        <item x="1"/>
        <item h="1" x="0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numFmtId="169" outline="0" showAll="0" defaultSubtotal="0"/>
    <pivotField dataField="1" compact="0" numFmtId="169" outline="0" showAll="0" defaultSubtotal="0"/>
    <pivotField dataField="1" compact="0" numFmtId="169" outline="0" showAll="0" defaultSubtotal="0"/>
    <pivotField dataField="1" compact="0" numFmtId="169" outline="0" showAll="0" defaultSubtotal="0"/>
    <pivotField dataField="1" compact="0" numFmtId="169" outline="0" showAll="0" defaultSubtotal="0"/>
  </pivotFields>
  <rowFields count="5">
    <field x="0"/>
    <field x="3"/>
    <field x="5"/>
    <field x="4"/>
    <field x="7"/>
  </rowFields>
  <rowItems count="44">
    <i>
      <x v="61"/>
      <x v="56"/>
      <x v="1"/>
      <x v="1"/>
      <x/>
    </i>
    <i>
      <x v="62"/>
      <x v="56"/>
      <x v="3"/>
      <x v="1"/>
      <x/>
    </i>
    <i>
      <x v="63"/>
      <x v="56"/>
      <x v="9"/>
      <x v="2"/>
      <x v="2"/>
    </i>
    <i>
      <x v="65"/>
      <x v="56"/>
      <x v="5"/>
      <x v="2"/>
      <x v="2"/>
    </i>
    <i>
      <x v="66"/>
      <x v="56"/>
      <x v="3"/>
      <x v="2"/>
      <x v="2"/>
    </i>
    <i>
      <x v="67"/>
      <x v="56"/>
      <x/>
      <x v="1"/>
      <x/>
    </i>
    <i>
      <x v="68"/>
      <x v="56"/>
      <x v="7"/>
      <x v="1"/>
      <x v="2"/>
    </i>
    <i>
      <x v="69"/>
      <x v="56"/>
      <x v="6"/>
      <x v="1"/>
      <x v="2"/>
    </i>
    <i>
      <x v="70"/>
      <x v="56"/>
      <x v="7"/>
      <x v="1"/>
      <x v="2"/>
    </i>
    <i>
      <x v="71"/>
      <x v="56"/>
      <x v="7"/>
      <x v="1"/>
      <x v="2"/>
    </i>
    <i>
      <x v="72"/>
      <x v="56"/>
      <x v="3"/>
      <x v="1"/>
      <x/>
    </i>
    <i>
      <x v="74"/>
      <x v="56"/>
      <x v="7"/>
      <x v="1"/>
      <x v="2"/>
    </i>
    <i>
      <x v="75"/>
      <x v="56"/>
      <x v="3"/>
      <x v="2"/>
      <x v="2"/>
    </i>
    <i>
      <x v="77"/>
      <x v="56"/>
      <x v="4"/>
      <x v="2"/>
      <x v="2"/>
    </i>
    <i>
      <x v="80"/>
      <x v="56"/>
      <x v="8"/>
      <x v="1"/>
      <x v="2"/>
    </i>
    <i>
      <x v="81"/>
      <x v="56"/>
      <x/>
      <x v="2"/>
      <x v="2"/>
    </i>
    <i>
      <x v="82"/>
      <x v="56"/>
      <x/>
      <x v="2"/>
      <x v="2"/>
    </i>
    <i>
      <x v="83"/>
      <x v="56"/>
      <x v="7"/>
      <x v="1"/>
      <x v="2"/>
    </i>
    <i>
      <x v="84"/>
      <x v="56"/>
      <x/>
      <x v="2"/>
      <x v="2"/>
    </i>
    <i>
      <x v="85"/>
      <x v="56"/>
      <x/>
      <x v="1"/>
      <x/>
    </i>
    <i>
      <x v="86"/>
      <x v="56"/>
      <x v="7"/>
      <x v="1"/>
      <x v="2"/>
    </i>
    <i>
      <x v="87"/>
      <x v="56"/>
      <x/>
      <x v="1"/>
      <x/>
    </i>
    <i>
      <x v="88"/>
      <x v="56"/>
      <x v="7"/>
      <x v="2"/>
      <x v="2"/>
    </i>
    <i>
      <x v="89"/>
      <x v="56"/>
      <x v="1"/>
      <x v="2"/>
      <x v="2"/>
    </i>
    <i>
      <x v="90"/>
      <x v="56"/>
      <x v="9"/>
      <x v="2"/>
      <x v="2"/>
    </i>
    <i>
      <x v="91"/>
      <x v="56"/>
      <x v="10"/>
      <x v="2"/>
      <x v="2"/>
    </i>
    <i>
      <x v="92"/>
      <x v="56"/>
      <x v="16"/>
      <x v="1"/>
      <x v="2"/>
    </i>
    <i>
      <x v="93"/>
      <x v="56"/>
      <x/>
      <x v="1"/>
      <x/>
    </i>
    <i>
      <x v="94"/>
      <x v="56"/>
      <x v="2"/>
      <x v="1"/>
      <x v="2"/>
    </i>
    <i>
      <x v="95"/>
      <x v="56"/>
      <x/>
      <x v="1"/>
      <x/>
    </i>
    <i>
      <x v="96"/>
      <x v="56"/>
      <x v="15"/>
      <x v="1"/>
      <x/>
    </i>
    <i>
      <x v="97"/>
      <x v="56"/>
      <x/>
      <x v="1"/>
      <x/>
    </i>
    <i>
      <x v="98"/>
      <x v="56"/>
      <x v="14"/>
      <x v="1"/>
      <x/>
    </i>
    <i>
      <x v="100"/>
      <x v="56"/>
      <x v="13"/>
      <x v="2"/>
      <x v="2"/>
    </i>
    <i>
      <x v="101"/>
      <x v="56"/>
      <x v="8"/>
      <x v="1"/>
      <x v="2"/>
    </i>
    <i>
      <x v="102"/>
      <x v="56"/>
      <x v="8"/>
      <x v="2"/>
      <x v="2"/>
    </i>
    <i>
      <x v="103"/>
      <x v="56"/>
      <x v="3"/>
      <x v="1"/>
      <x/>
    </i>
    <i>
      <x v="104"/>
      <x v="56"/>
      <x v="8"/>
      <x v="2"/>
      <x v="2"/>
    </i>
    <i>
      <x v="108"/>
      <x v="56"/>
      <x/>
      <x v="1"/>
      <x/>
    </i>
    <i>
      <x v="109"/>
      <x v="56"/>
      <x v="7"/>
      <x v="2"/>
      <x v="2"/>
    </i>
    <i>
      <x v="110"/>
      <x v="56"/>
      <x v="12"/>
      <x v="2"/>
      <x v="2"/>
    </i>
    <i>
      <x v="113"/>
      <x v="56"/>
      <x v="4"/>
      <x v="1"/>
      <x/>
    </i>
    <i>
      <x v="114"/>
      <x v="56"/>
      <x v="7"/>
      <x v="1"/>
      <x v="2"/>
    </i>
    <i>
      <x v="115"/>
      <x v="56"/>
      <x v="3"/>
      <x v="1"/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6" hier="-1"/>
  </pageFields>
  <dataFields count="5">
    <dataField name="Rest Available " fld="8" baseField="5" baseItem="11" numFmtId="46"/>
    <dataField name="Driving Available " fld="9" baseField="5" baseItem="1" numFmtId="46"/>
    <dataField name="Duty Available " fld="10" baseField="5" baseItem="1" numFmtId="46"/>
    <dataField name="Workday Available " fld="11" baseField="5" baseItem="1" numFmtId="46"/>
    <dataField name="Cycle Available " fld="12" baseField="5" baseItem="1" numFmtId="46"/>
  </dataFields>
  <formats count="1">
    <format dxfId="9">
      <pivotArea dataOnly="0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Custom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HOS Driver Logs" cacheId="79" applyNumberFormats="0" applyBorderFormats="0" applyFontFormats="0" applyPatternFormats="0" applyAlignmentFormats="0" applyWidthHeightFormats="1" dataCaption="Data" updatedVersion="6" minRefreshableVersion="3" showDrill="0" showMemberPropertyTips="0" rowGrandTotals="0" colGrandTotals="0" itemPrintTitles="1" createdVersion="4" indent="0" compact="0" compactData="0" chartFormat="2">
  <location ref="A6:B8" firstHeaderRow="1" firstDataRow="1" firstDataCol="1" rowPageCount="1" colPageCount="1"/>
  <pivotFields count="13">
    <pivotField dataField="1" compact="0" outline="0" subtotalTop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>
      <items count="3">
        <item x="1"/>
        <item h="1" x="0"/>
        <item t="default"/>
      </items>
    </pivotField>
    <pivotField axis="axisRow" compact="0" outline="0" showAll="0" sortType="ascending">
      <items count="4">
        <item x="1"/>
        <item h="1" x="0"/>
        <item x="2"/>
        <item t="default"/>
      </items>
    </pivotField>
    <pivotField compact="0" numFmtId="169" outline="0" showAll="0" defaultSubtotal="0"/>
    <pivotField compact="0" numFmtId="169" outline="0" showAll="0" defaultSubtotal="0"/>
    <pivotField compact="0" numFmtId="169" outline="0" showAll="0" defaultSubtotal="0"/>
    <pivotField compact="0" numFmtId="169" outline="0" showAll="0" defaultSubtotal="0"/>
    <pivotField compact="0" numFmtId="169" outline="0" showAll="0" defaultSubtotal="0"/>
  </pivotFields>
  <rowFields count="1">
    <field x="7"/>
  </rowFields>
  <rowItems count="2">
    <i>
      <x/>
    </i>
    <i>
      <x v="2"/>
    </i>
  </rowItems>
  <colItems count="1">
    <i/>
  </colItems>
  <pageFields count="1">
    <pageField fld="6" hier="-1"/>
  </pageFields>
  <dataFields count="1">
    <dataField name="Count" fld="0" subtotal="count" baseField="7" baseItem="2"/>
  </dataFields>
  <formats count="3">
    <format dxfId="8">
      <pivotArea outline="0" collapsedLevelsAreSubtotals="1" fieldPosition="0"/>
    </format>
    <format dxfId="7">
      <pivotArea dataOnly="0" labelOnly="1" outline="0" axis="axisValues" fieldPosition="0"/>
    </format>
    <format dxfId="6">
      <pivotArea dataOnly="0" labelOnly="1" outline="0" axis="axisValues" fieldPosition="0"/>
    </format>
  </formats>
  <chartFormats count="3">
    <chartFormat chart="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Custom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Geotab Brand Colors">
      <a:dk1>
        <a:srgbClr val="000000"/>
      </a:dk1>
      <a:lt1>
        <a:srgbClr val="FFFFFF"/>
      </a:lt1>
      <a:dk2>
        <a:srgbClr val="00AEEF"/>
      </a:dk2>
      <a:lt2>
        <a:srgbClr val="25477B"/>
      </a:lt2>
      <a:accent1>
        <a:srgbClr val="696A6C"/>
      </a:accent1>
      <a:accent2>
        <a:srgbClr val="93C83D"/>
      </a:accent2>
      <a:accent3>
        <a:srgbClr val="FAD201"/>
      </a:accent3>
      <a:accent4>
        <a:srgbClr val="FF9600"/>
      </a:accent4>
      <a:accent5>
        <a:srgbClr val="EA184D"/>
      </a:accent5>
      <a:accent6>
        <a:srgbClr val="B95FFF"/>
      </a:accent6>
      <a:hlink>
        <a:srgbClr val="00AEEF"/>
      </a:hlink>
      <a:folHlink>
        <a:srgbClr val="0082E3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emplateDriver1@abc.com" TargetMode="External"/><Relationship Id="rId18" Type="http://schemas.openxmlformats.org/officeDocument/2006/relationships/hyperlink" Target="mailto:TemplateDriver1@abc.com" TargetMode="External"/><Relationship Id="rId26" Type="http://schemas.openxmlformats.org/officeDocument/2006/relationships/hyperlink" Target="mailto:TemplateDriver1@abc.com" TargetMode="External"/><Relationship Id="rId39" Type="http://schemas.openxmlformats.org/officeDocument/2006/relationships/hyperlink" Target="mailto:TemplateDriver1@abc.com" TargetMode="External"/><Relationship Id="rId21" Type="http://schemas.openxmlformats.org/officeDocument/2006/relationships/hyperlink" Target="mailto:TemplateDriver1@abc.com" TargetMode="External"/><Relationship Id="rId34" Type="http://schemas.openxmlformats.org/officeDocument/2006/relationships/hyperlink" Target="mailto:TemplateDriver1@abc.com" TargetMode="External"/><Relationship Id="rId42" Type="http://schemas.openxmlformats.org/officeDocument/2006/relationships/hyperlink" Target="mailto:TemplateDriver1@abc.com" TargetMode="External"/><Relationship Id="rId47" Type="http://schemas.openxmlformats.org/officeDocument/2006/relationships/hyperlink" Target="mailto:TemplateDriver1@abc.com" TargetMode="External"/><Relationship Id="rId50" Type="http://schemas.openxmlformats.org/officeDocument/2006/relationships/hyperlink" Target="mailto:TemplateDriver1@abc.com" TargetMode="External"/><Relationship Id="rId55" Type="http://schemas.openxmlformats.org/officeDocument/2006/relationships/hyperlink" Target="mailto:TemplateDriver1@abc.com" TargetMode="External"/><Relationship Id="rId7" Type="http://schemas.openxmlformats.org/officeDocument/2006/relationships/hyperlink" Target="mailto:TemplateDriver1@abc.com" TargetMode="External"/><Relationship Id="rId2" Type="http://schemas.openxmlformats.org/officeDocument/2006/relationships/hyperlink" Target="mailto:TemplateDriver1@abc.com" TargetMode="External"/><Relationship Id="rId16" Type="http://schemas.openxmlformats.org/officeDocument/2006/relationships/hyperlink" Target="mailto:TemplateDriver1@abc.com" TargetMode="External"/><Relationship Id="rId20" Type="http://schemas.openxmlformats.org/officeDocument/2006/relationships/hyperlink" Target="mailto:TemplateDriver1@abc.com" TargetMode="External"/><Relationship Id="rId29" Type="http://schemas.openxmlformats.org/officeDocument/2006/relationships/hyperlink" Target="mailto:TemplateDriver1@abc.com" TargetMode="External"/><Relationship Id="rId41" Type="http://schemas.openxmlformats.org/officeDocument/2006/relationships/hyperlink" Target="mailto:TemplateDriver1@abc.com" TargetMode="External"/><Relationship Id="rId54" Type="http://schemas.openxmlformats.org/officeDocument/2006/relationships/hyperlink" Target="mailto:TemplateDriver1@abc.com" TargetMode="External"/><Relationship Id="rId1" Type="http://schemas.openxmlformats.org/officeDocument/2006/relationships/hyperlink" Target="mailto:TemplateDriver1@abc.com" TargetMode="External"/><Relationship Id="rId6" Type="http://schemas.openxmlformats.org/officeDocument/2006/relationships/hyperlink" Target="mailto:TemplateDriver1@abc.com" TargetMode="External"/><Relationship Id="rId11" Type="http://schemas.openxmlformats.org/officeDocument/2006/relationships/hyperlink" Target="mailto:TemplateDriver1@abc.com" TargetMode="External"/><Relationship Id="rId24" Type="http://schemas.openxmlformats.org/officeDocument/2006/relationships/hyperlink" Target="mailto:TemplateDriver1@abc.com" TargetMode="External"/><Relationship Id="rId32" Type="http://schemas.openxmlformats.org/officeDocument/2006/relationships/hyperlink" Target="mailto:TemplateDriver1@abc.com" TargetMode="External"/><Relationship Id="rId37" Type="http://schemas.openxmlformats.org/officeDocument/2006/relationships/hyperlink" Target="mailto:TemplateDriver1@abc.com" TargetMode="External"/><Relationship Id="rId40" Type="http://schemas.openxmlformats.org/officeDocument/2006/relationships/hyperlink" Target="mailto:TemplateDriver1@abc.com" TargetMode="External"/><Relationship Id="rId45" Type="http://schemas.openxmlformats.org/officeDocument/2006/relationships/hyperlink" Target="mailto:TemplateDriver1@abc.com" TargetMode="External"/><Relationship Id="rId53" Type="http://schemas.openxmlformats.org/officeDocument/2006/relationships/hyperlink" Target="mailto:TemplateDriver1@abc.com" TargetMode="External"/><Relationship Id="rId58" Type="http://schemas.openxmlformats.org/officeDocument/2006/relationships/hyperlink" Target="mailto:benschwartz@geotab.com" TargetMode="External"/><Relationship Id="rId5" Type="http://schemas.openxmlformats.org/officeDocument/2006/relationships/hyperlink" Target="mailto:TemplateDriver1@abc.com" TargetMode="External"/><Relationship Id="rId15" Type="http://schemas.openxmlformats.org/officeDocument/2006/relationships/hyperlink" Target="mailto:TemplateDriver1@abc.com" TargetMode="External"/><Relationship Id="rId23" Type="http://schemas.openxmlformats.org/officeDocument/2006/relationships/hyperlink" Target="mailto:TemplateDriver1@abc.com" TargetMode="External"/><Relationship Id="rId28" Type="http://schemas.openxmlformats.org/officeDocument/2006/relationships/hyperlink" Target="mailto:TemplateDriver1@abc.com" TargetMode="External"/><Relationship Id="rId36" Type="http://schemas.openxmlformats.org/officeDocument/2006/relationships/hyperlink" Target="mailto:TemplateDriver1@abc.com" TargetMode="External"/><Relationship Id="rId49" Type="http://schemas.openxmlformats.org/officeDocument/2006/relationships/hyperlink" Target="mailto:TemplateDriver1@abc.com" TargetMode="External"/><Relationship Id="rId57" Type="http://schemas.openxmlformats.org/officeDocument/2006/relationships/hyperlink" Target="mailto:TemplateDriver1@abc.com" TargetMode="External"/><Relationship Id="rId61" Type="http://schemas.openxmlformats.org/officeDocument/2006/relationships/comments" Target="../comments1.xml"/><Relationship Id="rId10" Type="http://schemas.openxmlformats.org/officeDocument/2006/relationships/hyperlink" Target="mailto:TemplateDriver1@abc.com" TargetMode="External"/><Relationship Id="rId19" Type="http://schemas.openxmlformats.org/officeDocument/2006/relationships/hyperlink" Target="mailto:TemplateDriver1@abc.com" TargetMode="External"/><Relationship Id="rId31" Type="http://schemas.openxmlformats.org/officeDocument/2006/relationships/hyperlink" Target="mailto:TemplateDriver1@abc.com" TargetMode="External"/><Relationship Id="rId44" Type="http://schemas.openxmlformats.org/officeDocument/2006/relationships/hyperlink" Target="mailto:TemplateDriver1@abc.com" TargetMode="External"/><Relationship Id="rId52" Type="http://schemas.openxmlformats.org/officeDocument/2006/relationships/hyperlink" Target="mailto:TemplateDriver1@abc.com" TargetMode="External"/><Relationship Id="rId60" Type="http://schemas.openxmlformats.org/officeDocument/2006/relationships/vmlDrawing" Target="../drawings/vmlDrawing1.vml"/><Relationship Id="rId4" Type="http://schemas.openxmlformats.org/officeDocument/2006/relationships/hyperlink" Target="mailto:TemplateDriver1@abc.com" TargetMode="External"/><Relationship Id="rId9" Type="http://schemas.openxmlformats.org/officeDocument/2006/relationships/hyperlink" Target="mailto:TemplateDriver1@abc.com" TargetMode="External"/><Relationship Id="rId14" Type="http://schemas.openxmlformats.org/officeDocument/2006/relationships/hyperlink" Target="mailto:TemplateDriver1@abc.com" TargetMode="External"/><Relationship Id="rId22" Type="http://schemas.openxmlformats.org/officeDocument/2006/relationships/hyperlink" Target="mailto:TemplateDriver1@abc.com" TargetMode="External"/><Relationship Id="rId27" Type="http://schemas.openxmlformats.org/officeDocument/2006/relationships/hyperlink" Target="mailto:TemplateDriver1@abc.com" TargetMode="External"/><Relationship Id="rId30" Type="http://schemas.openxmlformats.org/officeDocument/2006/relationships/hyperlink" Target="mailto:TemplateDriver1@abc.com" TargetMode="External"/><Relationship Id="rId35" Type="http://schemas.openxmlformats.org/officeDocument/2006/relationships/hyperlink" Target="mailto:TemplateDriver1@abc.com" TargetMode="External"/><Relationship Id="rId43" Type="http://schemas.openxmlformats.org/officeDocument/2006/relationships/hyperlink" Target="mailto:TemplateDriver1@abc.com" TargetMode="External"/><Relationship Id="rId48" Type="http://schemas.openxmlformats.org/officeDocument/2006/relationships/hyperlink" Target="mailto:TemplateDriver1@abc.com" TargetMode="External"/><Relationship Id="rId56" Type="http://schemas.openxmlformats.org/officeDocument/2006/relationships/hyperlink" Target="mailto:TemplateDriver1@abc.com" TargetMode="External"/><Relationship Id="rId8" Type="http://schemas.openxmlformats.org/officeDocument/2006/relationships/hyperlink" Target="mailto:TemplateDriver1@abc.com" TargetMode="External"/><Relationship Id="rId51" Type="http://schemas.openxmlformats.org/officeDocument/2006/relationships/hyperlink" Target="mailto:TemplateDriver1@abc.com" TargetMode="External"/><Relationship Id="rId3" Type="http://schemas.openxmlformats.org/officeDocument/2006/relationships/hyperlink" Target="mailto:TemplateDriver1@abc.com" TargetMode="External"/><Relationship Id="rId12" Type="http://schemas.openxmlformats.org/officeDocument/2006/relationships/hyperlink" Target="mailto:TemplateDriver1@abc.com" TargetMode="External"/><Relationship Id="rId17" Type="http://schemas.openxmlformats.org/officeDocument/2006/relationships/hyperlink" Target="mailto:TemplateDriver1@abc.com" TargetMode="External"/><Relationship Id="rId25" Type="http://schemas.openxmlformats.org/officeDocument/2006/relationships/hyperlink" Target="mailto:TemplateDriver1@abc.com" TargetMode="External"/><Relationship Id="rId33" Type="http://schemas.openxmlformats.org/officeDocument/2006/relationships/hyperlink" Target="mailto:TemplateDriver1@abc.com" TargetMode="External"/><Relationship Id="rId38" Type="http://schemas.openxmlformats.org/officeDocument/2006/relationships/hyperlink" Target="mailto:TemplateDriver1@abc.com" TargetMode="External"/><Relationship Id="rId46" Type="http://schemas.openxmlformats.org/officeDocument/2006/relationships/hyperlink" Target="mailto:TemplateDriver1@abc.com" TargetMode="External"/><Relationship Id="rId5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65"/>
  <sheetViews>
    <sheetView workbookViewId="0"/>
  </sheetViews>
  <sheetFormatPr defaultRowHeight="12.75" x14ac:dyDescent="0.2"/>
  <cols>
    <col min="1" max="4" width="22.140625" customWidth="1"/>
    <col min="5" max="7" width="20.85546875" customWidth="1"/>
    <col min="8" max="8" width="18.5703125" customWidth="1"/>
    <col min="9" max="11" width="18.140625" customWidth="1"/>
  </cols>
  <sheetData>
    <row r="1" spans="1:11" x14ac:dyDescent="0.2">
      <c r="A1" s="5" t="s">
        <v>1</v>
      </c>
      <c r="B1" s="3" t="s">
        <v>202</v>
      </c>
      <c r="C1" s="3"/>
      <c r="D1" s="3"/>
    </row>
    <row r="2" spans="1:11" x14ac:dyDescent="0.2">
      <c r="A2" s="5" t="s">
        <v>0</v>
      </c>
      <c r="B2" s="3">
        <v>43172.538217314803</v>
      </c>
      <c r="C2" s="3"/>
      <c r="D2" s="3"/>
    </row>
    <row r="3" spans="1:11" x14ac:dyDescent="0.2">
      <c r="A3" s="5" t="s">
        <v>2</v>
      </c>
      <c r="B3" s="3" t="s">
        <v>179</v>
      </c>
      <c r="C3" s="3"/>
      <c r="D3" s="3"/>
    </row>
    <row r="4" spans="1:11" x14ac:dyDescent="0.2">
      <c r="A4" s="5" t="s">
        <v>3</v>
      </c>
      <c r="B4" s="3" t="s">
        <v>180</v>
      </c>
      <c r="C4" s="3"/>
      <c r="D4" s="3"/>
    </row>
    <row r="5" spans="1:11" x14ac:dyDescent="0.2">
      <c r="A5" s="5" t="s">
        <v>4</v>
      </c>
      <c r="B5" s="3" t="b">
        <v>1</v>
      </c>
      <c r="C5" s="3"/>
      <c r="D5" s="3"/>
    </row>
    <row r="6" spans="1:11" x14ac:dyDescent="0.2">
      <c r="A6" s="5" t="s">
        <v>5</v>
      </c>
      <c r="B6" s="43" t="s">
        <v>276</v>
      </c>
      <c r="C6" s="3"/>
      <c r="D6" s="3"/>
    </row>
    <row r="7" spans="1:11" x14ac:dyDescent="0.2">
      <c r="A7" s="5" t="s">
        <v>38</v>
      </c>
      <c r="B7" s="3" t="s">
        <v>39</v>
      </c>
      <c r="C7" s="3"/>
      <c r="D7" s="3"/>
    </row>
    <row r="8" spans="1:11" ht="26.25" customHeight="1" thickBot="1" x14ac:dyDescent="0.25">
      <c r="A8" s="2" t="s">
        <v>6</v>
      </c>
      <c r="B8" s="2" t="s">
        <v>7</v>
      </c>
      <c r="C8" s="2" t="s">
        <v>50</v>
      </c>
      <c r="D8" s="2" t="s">
        <v>51</v>
      </c>
      <c r="E8" s="2" t="s">
        <v>69</v>
      </c>
      <c r="F8" s="2" t="s">
        <v>70</v>
      </c>
      <c r="G8" s="2" t="s">
        <v>60</v>
      </c>
      <c r="H8" s="2" t="s">
        <v>61</v>
      </c>
      <c r="I8" s="2" t="s">
        <v>62</v>
      </c>
      <c r="J8" s="2" t="s">
        <v>63</v>
      </c>
      <c r="K8" s="2" t="s">
        <v>75</v>
      </c>
    </row>
    <row r="9" spans="1:11" x14ac:dyDescent="0.2">
      <c r="A9" s="9" t="s">
        <v>204</v>
      </c>
      <c r="B9" s="6" t="s">
        <v>181</v>
      </c>
      <c r="C9" s="6" t="s">
        <v>200</v>
      </c>
      <c r="D9" s="6" t="s">
        <v>201</v>
      </c>
      <c r="E9" s="7" t="s">
        <v>182</v>
      </c>
      <c r="F9" s="7" t="s">
        <v>183</v>
      </c>
      <c r="G9" s="7">
        <v>0</v>
      </c>
      <c r="H9" s="7">
        <v>0</v>
      </c>
      <c r="I9" s="7">
        <v>0</v>
      </c>
      <c r="J9" s="7">
        <v>0</v>
      </c>
      <c r="K9" s="7">
        <v>0</v>
      </c>
    </row>
    <row r="10" spans="1:11" x14ac:dyDescent="0.2">
      <c r="A10" s="9" t="s">
        <v>205</v>
      </c>
      <c r="B10" s="6" t="s">
        <v>181</v>
      </c>
      <c r="C10" s="6" t="s">
        <v>200</v>
      </c>
      <c r="D10" s="6" t="s">
        <v>201</v>
      </c>
      <c r="E10" s="7" t="s">
        <v>182</v>
      </c>
      <c r="F10" s="7" t="s">
        <v>184</v>
      </c>
      <c r="G10" s="7">
        <v>0.33333333333333298</v>
      </c>
      <c r="H10" s="7">
        <v>0.45833333333333298</v>
      </c>
      <c r="I10" s="7">
        <v>0</v>
      </c>
      <c r="J10" s="7">
        <v>0.58333333333333304</v>
      </c>
      <c r="K10" s="7">
        <v>2.5</v>
      </c>
    </row>
    <row r="11" spans="1:11" x14ac:dyDescent="0.2">
      <c r="A11" s="9" t="s">
        <v>206</v>
      </c>
      <c r="B11" s="6" t="s">
        <v>181</v>
      </c>
      <c r="C11" s="6" t="s">
        <v>200</v>
      </c>
      <c r="D11" s="6" t="s">
        <v>201</v>
      </c>
      <c r="E11" s="7" t="s">
        <v>182</v>
      </c>
      <c r="F11" s="7" t="s">
        <v>185</v>
      </c>
      <c r="G11" s="7">
        <v>0.33333333333333298</v>
      </c>
      <c r="H11" s="7">
        <v>0.45833333333333298</v>
      </c>
      <c r="I11" s="7">
        <v>0</v>
      </c>
      <c r="J11" s="7">
        <v>0.58333333333333304</v>
      </c>
      <c r="K11" s="7">
        <v>2.9166666666666701</v>
      </c>
    </row>
    <row r="12" spans="1:11" x14ac:dyDescent="0.2">
      <c r="A12" s="9" t="s">
        <v>207</v>
      </c>
      <c r="B12" s="6" t="s">
        <v>181</v>
      </c>
      <c r="C12" s="6" t="s">
        <v>200</v>
      </c>
      <c r="D12" s="6" t="s">
        <v>201</v>
      </c>
      <c r="E12" s="7" t="s">
        <v>71</v>
      </c>
      <c r="F12" s="7" t="s">
        <v>186</v>
      </c>
      <c r="G12" s="7">
        <v>0</v>
      </c>
      <c r="H12" s="7">
        <v>0.5</v>
      </c>
      <c r="I12" s="7">
        <v>0</v>
      </c>
      <c r="J12" s="7">
        <v>0.66666666666666696</v>
      </c>
      <c r="K12" s="7">
        <v>2.9166666666666701</v>
      </c>
    </row>
    <row r="13" spans="1:11" x14ac:dyDescent="0.2">
      <c r="A13" s="9" t="s">
        <v>208</v>
      </c>
      <c r="B13" s="6" t="s">
        <v>181</v>
      </c>
      <c r="C13" s="6" t="s">
        <v>200</v>
      </c>
      <c r="D13" s="6" t="s">
        <v>201</v>
      </c>
      <c r="E13" s="7" t="s">
        <v>71</v>
      </c>
      <c r="F13" s="7" t="s">
        <v>183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</row>
    <row r="14" spans="1:11" x14ac:dyDescent="0.2">
      <c r="A14" s="9" t="s">
        <v>209</v>
      </c>
      <c r="B14" s="6" t="s">
        <v>181</v>
      </c>
      <c r="C14" s="6" t="s">
        <v>200</v>
      </c>
      <c r="D14" s="6" t="s">
        <v>201</v>
      </c>
      <c r="E14" s="7" t="s">
        <v>71</v>
      </c>
      <c r="F14" s="7" t="s">
        <v>187</v>
      </c>
      <c r="G14" s="7">
        <v>0</v>
      </c>
      <c r="H14" s="7">
        <v>0.5</v>
      </c>
      <c r="I14" s="7">
        <v>0</v>
      </c>
      <c r="J14" s="7">
        <v>0</v>
      </c>
      <c r="K14" s="7">
        <v>0</v>
      </c>
    </row>
    <row r="15" spans="1:11" x14ac:dyDescent="0.2">
      <c r="A15" s="9" t="s">
        <v>210</v>
      </c>
      <c r="B15" s="6" t="s">
        <v>181</v>
      </c>
      <c r="C15" s="6" t="s">
        <v>200</v>
      </c>
      <c r="D15" s="6" t="s">
        <v>201</v>
      </c>
      <c r="E15" s="7" t="s">
        <v>71</v>
      </c>
      <c r="F15" s="7" t="s">
        <v>185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</row>
    <row r="16" spans="1:11" x14ac:dyDescent="0.2">
      <c r="A16" s="9" t="s">
        <v>211</v>
      </c>
      <c r="B16" s="6" t="s">
        <v>181</v>
      </c>
      <c r="C16" s="6" t="s">
        <v>200</v>
      </c>
      <c r="D16" s="6" t="s">
        <v>201</v>
      </c>
      <c r="E16" s="7" t="s">
        <v>182</v>
      </c>
      <c r="F16" s="7" t="s">
        <v>73</v>
      </c>
      <c r="G16" s="7">
        <v>0.33333333333333298</v>
      </c>
      <c r="H16" s="7">
        <v>0.45833333333333298</v>
      </c>
      <c r="I16" s="7">
        <v>0</v>
      </c>
      <c r="J16" s="7">
        <v>0.58333333333333304</v>
      </c>
      <c r="K16" s="7">
        <v>2.5</v>
      </c>
    </row>
    <row r="17" spans="1:11" x14ac:dyDescent="0.2">
      <c r="A17" s="9" t="s">
        <v>212</v>
      </c>
      <c r="B17" s="6" t="s">
        <v>181</v>
      </c>
      <c r="C17" s="6" t="s">
        <v>200</v>
      </c>
      <c r="D17" s="6" t="s">
        <v>201</v>
      </c>
      <c r="E17" s="7" t="s">
        <v>182</v>
      </c>
      <c r="F17" s="7" t="s">
        <v>188</v>
      </c>
      <c r="G17" s="7">
        <v>0</v>
      </c>
      <c r="H17" s="7">
        <v>0.54166666666666696</v>
      </c>
      <c r="I17" s="7">
        <v>0.58333333333333304</v>
      </c>
      <c r="J17" s="7">
        <v>0.66666666666666696</v>
      </c>
      <c r="K17" s="7">
        <v>2.9166666666666701</v>
      </c>
    </row>
    <row r="18" spans="1:11" x14ac:dyDescent="0.2">
      <c r="A18" s="9" t="s">
        <v>213</v>
      </c>
      <c r="B18" s="6" t="s">
        <v>181</v>
      </c>
      <c r="C18" s="6" t="s">
        <v>200</v>
      </c>
      <c r="D18" s="6" t="s">
        <v>201</v>
      </c>
      <c r="E18" s="7" t="s">
        <v>182</v>
      </c>
      <c r="F18" s="7" t="s">
        <v>189</v>
      </c>
      <c r="G18" s="7">
        <v>0</v>
      </c>
      <c r="H18" s="7">
        <v>0.5</v>
      </c>
      <c r="I18" s="7">
        <v>0</v>
      </c>
      <c r="J18" s="7">
        <v>0.66666666666666696</v>
      </c>
      <c r="K18" s="7">
        <v>3.2227679398148199</v>
      </c>
    </row>
    <row r="19" spans="1:11" x14ac:dyDescent="0.2">
      <c r="A19" s="9" t="s">
        <v>214</v>
      </c>
      <c r="B19" s="6" t="s">
        <v>181</v>
      </c>
      <c r="C19" s="6" t="s">
        <v>200</v>
      </c>
      <c r="D19" s="6" t="s">
        <v>201</v>
      </c>
      <c r="E19" s="7" t="s">
        <v>182</v>
      </c>
      <c r="F19" s="7" t="s">
        <v>188</v>
      </c>
      <c r="G19" s="7">
        <v>0</v>
      </c>
      <c r="H19" s="7">
        <v>0.54166666666666696</v>
      </c>
      <c r="I19" s="7">
        <v>0.58333333333333304</v>
      </c>
      <c r="J19" s="7">
        <v>0.66666666666666696</v>
      </c>
      <c r="K19" s="7">
        <v>2.9166666666666701</v>
      </c>
    </row>
    <row r="20" spans="1:11" x14ac:dyDescent="0.2">
      <c r="A20" s="9" t="s">
        <v>215</v>
      </c>
      <c r="B20" s="6" t="s">
        <v>181</v>
      </c>
      <c r="C20" s="6" t="s">
        <v>200</v>
      </c>
      <c r="D20" s="6" t="s">
        <v>201</v>
      </c>
      <c r="E20" s="7" t="s">
        <v>182</v>
      </c>
      <c r="F20" s="7" t="s">
        <v>188</v>
      </c>
      <c r="G20" s="7">
        <v>0</v>
      </c>
      <c r="H20" s="7">
        <v>0.54166666666666696</v>
      </c>
      <c r="I20" s="7">
        <v>0.58333333333333304</v>
      </c>
      <c r="J20" s="7">
        <v>0.66666666666666696</v>
      </c>
      <c r="K20" s="7">
        <v>2.9166666666666701</v>
      </c>
    </row>
    <row r="21" spans="1:11" x14ac:dyDescent="0.2">
      <c r="A21" s="9" t="s">
        <v>216</v>
      </c>
      <c r="B21" s="6" t="s">
        <v>181</v>
      </c>
      <c r="C21" s="6" t="s">
        <v>200</v>
      </c>
      <c r="D21" s="6" t="s">
        <v>201</v>
      </c>
      <c r="E21" s="7" t="s">
        <v>182</v>
      </c>
      <c r="F21" s="7" t="s">
        <v>185</v>
      </c>
      <c r="G21" s="7">
        <v>0.33333333333333298</v>
      </c>
      <c r="H21" s="7">
        <v>0.45833333333333298</v>
      </c>
      <c r="I21" s="7">
        <v>0</v>
      </c>
      <c r="J21" s="7">
        <v>0.58333333333333304</v>
      </c>
      <c r="K21" s="7">
        <v>2.9166666666666701</v>
      </c>
    </row>
    <row r="22" spans="1:11" x14ac:dyDescent="0.2">
      <c r="A22" s="9" t="s">
        <v>217</v>
      </c>
      <c r="B22" s="6" t="s">
        <v>181</v>
      </c>
      <c r="C22" s="6" t="s">
        <v>200</v>
      </c>
      <c r="D22" s="6" t="s">
        <v>201</v>
      </c>
      <c r="E22" s="7" t="s">
        <v>72</v>
      </c>
      <c r="F22" s="7" t="s">
        <v>183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</row>
    <row r="23" spans="1:11" x14ac:dyDescent="0.2">
      <c r="A23" s="9" t="s">
        <v>218</v>
      </c>
      <c r="B23" s="6" t="s">
        <v>181</v>
      </c>
      <c r="C23" s="6" t="s">
        <v>200</v>
      </c>
      <c r="D23" s="6" t="s">
        <v>201</v>
      </c>
      <c r="E23" s="7" t="s">
        <v>182</v>
      </c>
      <c r="F23" s="7" t="s">
        <v>188</v>
      </c>
      <c r="G23" s="7">
        <v>0</v>
      </c>
      <c r="H23" s="7">
        <v>0.54166666666666696</v>
      </c>
      <c r="I23" s="7">
        <v>0.58333333333333304</v>
      </c>
      <c r="J23" s="7">
        <v>0.66666666666666696</v>
      </c>
      <c r="K23" s="7">
        <v>2.9166666666666701</v>
      </c>
    </row>
    <row r="24" spans="1:11" x14ac:dyDescent="0.2">
      <c r="A24" s="9" t="s">
        <v>219</v>
      </c>
      <c r="B24" s="6" t="s">
        <v>181</v>
      </c>
      <c r="C24" s="6" t="s">
        <v>200</v>
      </c>
      <c r="D24" s="6" t="s">
        <v>201</v>
      </c>
      <c r="E24" s="7" t="s">
        <v>71</v>
      </c>
      <c r="F24" s="7" t="s">
        <v>185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</row>
    <row r="25" spans="1:11" x14ac:dyDescent="0.2">
      <c r="A25" s="9" t="s">
        <v>220</v>
      </c>
      <c r="B25" s="6" t="s">
        <v>181</v>
      </c>
      <c r="C25" s="6" t="s">
        <v>200</v>
      </c>
      <c r="D25" s="6" t="s">
        <v>201</v>
      </c>
      <c r="E25" s="7" t="s">
        <v>71</v>
      </c>
      <c r="F25" s="7" t="s">
        <v>183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</row>
    <row r="26" spans="1:11" x14ac:dyDescent="0.2">
      <c r="A26" s="9" t="s">
        <v>221</v>
      </c>
      <c r="B26" s="6" t="s">
        <v>181</v>
      </c>
      <c r="C26" s="6" t="s">
        <v>200</v>
      </c>
      <c r="D26" s="6" t="s">
        <v>201</v>
      </c>
      <c r="E26" s="7" t="s">
        <v>71</v>
      </c>
      <c r="F26" s="7" t="s">
        <v>190</v>
      </c>
      <c r="G26" s="7">
        <v>0</v>
      </c>
      <c r="H26" s="7">
        <v>0.45833333333333298</v>
      </c>
      <c r="I26" s="7">
        <v>0</v>
      </c>
      <c r="J26" s="7">
        <v>0</v>
      </c>
      <c r="K26" s="7">
        <v>0</v>
      </c>
    </row>
    <row r="27" spans="1:11" x14ac:dyDescent="0.2">
      <c r="A27" s="9" t="s">
        <v>222</v>
      </c>
      <c r="B27" s="6" t="s">
        <v>181</v>
      </c>
      <c r="C27" s="6" t="s">
        <v>200</v>
      </c>
      <c r="D27" s="6" t="s">
        <v>201</v>
      </c>
      <c r="E27" s="7" t="s">
        <v>71</v>
      </c>
      <c r="F27" s="7" t="s">
        <v>183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</row>
    <row r="28" spans="1:11" x14ac:dyDescent="0.2">
      <c r="A28" s="9" t="s">
        <v>223</v>
      </c>
      <c r="B28" s="6" t="s">
        <v>181</v>
      </c>
      <c r="C28" s="6" t="s">
        <v>200</v>
      </c>
      <c r="D28" s="6" t="s">
        <v>201</v>
      </c>
      <c r="E28" s="7" t="s">
        <v>182</v>
      </c>
      <c r="F28" s="7" t="s">
        <v>183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</row>
    <row r="29" spans="1:11" x14ac:dyDescent="0.2">
      <c r="A29" s="9" t="s">
        <v>224</v>
      </c>
      <c r="B29" s="6" t="s">
        <v>181</v>
      </c>
      <c r="C29" s="6" t="s">
        <v>200</v>
      </c>
      <c r="D29" s="6" t="s">
        <v>201</v>
      </c>
      <c r="E29" s="7" t="s">
        <v>182</v>
      </c>
      <c r="F29" s="7" t="s">
        <v>191</v>
      </c>
      <c r="G29" s="7">
        <v>0</v>
      </c>
      <c r="H29" s="7">
        <v>0.54166666666666696</v>
      </c>
      <c r="I29" s="7">
        <v>0.58333333333333304</v>
      </c>
      <c r="J29" s="7">
        <v>0.66666666666666696</v>
      </c>
      <c r="K29" s="7">
        <v>5</v>
      </c>
    </row>
    <row r="30" spans="1:11" x14ac:dyDescent="0.2">
      <c r="A30" s="9" t="s">
        <v>225</v>
      </c>
      <c r="B30" s="6" t="s">
        <v>181</v>
      </c>
      <c r="C30" s="6" t="s">
        <v>200</v>
      </c>
      <c r="D30" s="6" t="s">
        <v>201</v>
      </c>
      <c r="E30" s="7" t="s">
        <v>71</v>
      </c>
      <c r="F30" s="7" t="s">
        <v>73</v>
      </c>
      <c r="G30" s="7">
        <v>0</v>
      </c>
      <c r="H30" s="7">
        <v>0.45829609953703698</v>
      </c>
      <c r="I30" s="7">
        <v>0</v>
      </c>
      <c r="J30" s="7">
        <v>0</v>
      </c>
      <c r="K30" s="7">
        <v>0</v>
      </c>
    </row>
    <row r="31" spans="1:11" x14ac:dyDescent="0.2">
      <c r="A31" s="9" t="s">
        <v>226</v>
      </c>
      <c r="B31" s="6" t="s">
        <v>181</v>
      </c>
      <c r="C31" s="6" t="s">
        <v>200</v>
      </c>
      <c r="D31" s="6" t="s">
        <v>201</v>
      </c>
      <c r="E31" s="7" t="s">
        <v>71</v>
      </c>
      <c r="F31" s="7" t="s">
        <v>73</v>
      </c>
      <c r="G31" s="7">
        <v>0</v>
      </c>
      <c r="H31" s="7">
        <v>0.30719837962962998</v>
      </c>
      <c r="I31" s="7">
        <v>0</v>
      </c>
      <c r="J31" s="7">
        <v>0</v>
      </c>
      <c r="K31" s="7">
        <v>0</v>
      </c>
    </row>
    <row r="32" spans="1:11" x14ac:dyDescent="0.2">
      <c r="A32" s="9" t="s">
        <v>227</v>
      </c>
      <c r="B32" s="6" t="s">
        <v>181</v>
      </c>
      <c r="C32" s="6" t="s">
        <v>200</v>
      </c>
      <c r="D32" s="6" t="s">
        <v>201</v>
      </c>
      <c r="E32" s="7" t="s">
        <v>182</v>
      </c>
      <c r="F32" s="7" t="s">
        <v>188</v>
      </c>
      <c r="G32" s="7">
        <v>0</v>
      </c>
      <c r="H32" s="7">
        <v>0.54166666666666696</v>
      </c>
      <c r="I32" s="7">
        <v>0.58333333333333304</v>
      </c>
      <c r="J32" s="7">
        <v>0.66666666666666696</v>
      </c>
      <c r="K32" s="7">
        <v>2.9166666666666701</v>
      </c>
    </row>
    <row r="33" spans="1:11" x14ac:dyDescent="0.2">
      <c r="A33" s="9" t="s">
        <v>228</v>
      </c>
      <c r="B33" s="6" t="s">
        <v>181</v>
      </c>
      <c r="C33" s="6" t="s">
        <v>200</v>
      </c>
      <c r="D33" s="6" t="s">
        <v>201</v>
      </c>
      <c r="E33" s="7" t="s">
        <v>71</v>
      </c>
      <c r="F33" s="7" t="s">
        <v>73</v>
      </c>
      <c r="G33" s="7">
        <v>0</v>
      </c>
      <c r="H33" s="7">
        <v>0.34843748842592598</v>
      </c>
      <c r="I33" s="7">
        <v>0</v>
      </c>
      <c r="J33" s="7">
        <v>0</v>
      </c>
      <c r="K33" s="7">
        <v>0</v>
      </c>
    </row>
    <row r="34" spans="1:11" x14ac:dyDescent="0.2">
      <c r="A34" s="9" t="s">
        <v>229</v>
      </c>
      <c r="B34" s="6" t="s">
        <v>181</v>
      </c>
      <c r="C34" s="6" t="s">
        <v>200</v>
      </c>
      <c r="D34" s="6" t="s">
        <v>201</v>
      </c>
      <c r="E34" s="7" t="s">
        <v>182</v>
      </c>
      <c r="F34" s="7" t="s">
        <v>73</v>
      </c>
      <c r="G34" s="7">
        <v>0.33333333333333298</v>
      </c>
      <c r="H34" s="7">
        <v>0.45833333333333298</v>
      </c>
      <c r="I34" s="7">
        <v>0</v>
      </c>
      <c r="J34" s="7">
        <v>0.58333333333333304</v>
      </c>
      <c r="K34" s="7">
        <v>2.5</v>
      </c>
    </row>
    <row r="35" spans="1:11" x14ac:dyDescent="0.2">
      <c r="A35" s="9" t="s">
        <v>230</v>
      </c>
      <c r="B35" s="6" t="s">
        <v>181</v>
      </c>
      <c r="C35" s="6" t="s">
        <v>200</v>
      </c>
      <c r="D35" s="6" t="s">
        <v>201</v>
      </c>
      <c r="E35" s="7" t="s">
        <v>182</v>
      </c>
      <c r="F35" s="7" t="s">
        <v>188</v>
      </c>
      <c r="G35" s="7">
        <v>0</v>
      </c>
      <c r="H35" s="7">
        <v>0.54166666666666696</v>
      </c>
      <c r="I35" s="7">
        <v>0.58333333333333304</v>
      </c>
      <c r="J35" s="7">
        <v>0.66666666666666696</v>
      </c>
      <c r="K35" s="7">
        <v>2.9166666666666701</v>
      </c>
    </row>
    <row r="36" spans="1:11" x14ac:dyDescent="0.2">
      <c r="A36" s="9" t="s">
        <v>231</v>
      </c>
      <c r="B36" s="6" t="s">
        <v>181</v>
      </c>
      <c r="C36" s="6" t="s">
        <v>200</v>
      </c>
      <c r="D36" s="6" t="s">
        <v>201</v>
      </c>
      <c r="E36" s="7" t="s">
        <v>182</v>
      </c>
      <c r="F36" s="7" t="s">
        <v>73</v>
      </c>
      <c r="G36" s="7">
        <v>0.33333333333333298</v>
      </c>
      <c r="H36" s="7">
        <v>0.45833333333333298</v>
      </c>
      <c r="I36" s="7">
        <v>0</v>
      </c>
      <c r="J36" s="7">
        <v>0.58333333333333304</v>
      </c>
      <c r="K36" s="7">
        <v>2.5</v>
      </c>
    </row>
    <row r="37" spans="1:11" x14ac:dyDescent="0.2">
      <c r="A37" s="9" t="s">
        <v>232</v>
      </c>
      <c r="B37" s="6" t="s">
        <v>181</v>
      </c>
      <c r="C37" s="6" t="s">
        <v>200</v>
      </c>
      <c r="D37" s="6" t="s">
        <v>201</v>
      </c>
      <c r="E37" s="7" t="s">
        <v>71</v>
      </c>
      <c r="F37" s="7" t="s">
        <v>188</v>
      </c>
      <c r="G37" s="7">
        <v>0</v>
      </c>
      <c r="H37" s="7">
        <v>0.54166666666666696</v>
      </c>
      <c r="I37" s="7">
        <v>0.58333333333333304</v>
      </c>
      <c r="J37" s="7">
        <v>0.66666666666666696</v>
      </c>
      <c r="K37" s="7">
        <v>2.9166666666666701</v>
      </c>
    </row>
    <row r="38" spans="1:11" x14ac:dyDescent="0.2">
      <c r="A38" s="9" t="s">
        <v>233</v>
      </c>
      <c r="B38" s="6" t="s">
        <v>181</v>
      </c>
      <c r="C38" s="6" t="s">
        <v>200</v>
      </c>
      <c r="D38" s="6" t="s">
        <v>201</v>
      </c>
      <c r="E38" s="7" t="s">
        <v>71</v>
      </c>
      <c r="F38" s="7" t="s">
        <v>184</v>
      </c>
      <c r="G38" s="7">
        <v>0</v>
      </c>
      <c r="H38" s="7">
        <v>0.45833333333333298</v>
      </c>
      <c r="I38" s="7">
        <v>0</v>
      </c>
      <c r="J38" s="7">
        <v>0</v>
      </c>
      <c r="K38" s="7">
        <v>0</v>
      </c>
    </row>
    <row r="39" spans="1:11" x14ac:dyDescent="0.2">
      <c r="A39" s="9" t="s">
        <v>234</v>
      </c>
      <c r="B39" s="6" t="s">
        <v>181</v>
      </c>
      <c r="C39" s="6" t="s">
        <v>200</v>
      </c>
      <c r="D39" s="6" t="s">
        <v>201</v>
      </c>
      <c r="E39" s="7" t="s">
        <v>71</v>
      </c>
      <c r="F39" s="7" t="s">
        <v>186</v>
      </c>
      <c r="G39" s="7">
        <v>0</v>
      </c>
      <c r="H39" s="7">
        <v>0.5</v>
      </c>
      <c r="I39" s="7">
        <v>0</v>
      </c>
      <c r="J39" s="7">
        <v>0.66666666666666696</v>
      </c>
      <c r="K39" s="7">
        <v>2.9166666666666701</v>
      </c>
    </row>
    <row r="40" spans="1:11" x14ac:dyDescent="0.2">
      <c r="A40" s="9" t="s">
        <v>235</v>
      </c>
      <c r="B40" s="6" t="s">
        <v>181</v>
      </c>
      <c r="C40" s="6" t="s">
        <v>200</v>
      </c>
      <c r="D40" s="6" t="s">
        <v>201</v>
      </c>
      <c r="E40" s="7" t="s">
        <v>71</v>
      </c>
      <c r="F40" s="7" t="s">
        <v>192</v>
      </c>
      <c r="G40" s="7">
        <v>0</v>
      </c>
      <c r="H40" s="7">
        <v>0.5</v>
      </c>
      <c r="I40" s="7">
        <v>0</v>
      </c>
      <c r="J40" s="7">
        <v>0</v>
      </c>
      <c r="K40" s="7">
        <v>0</v>
      </c>
    </row>
    <row r="41" spans="1:11" x14ac:dyDescent="0.2">
      <c r="A41" s="9" t="s">
        <v>236</v>
      </c>
      <c r="B41" s="6" t="s">
        <v>181</v>
      </c>
      <c r="C41" s="6" t="s">
        <v>200</v>
      </c>
      <c r="D41" s="6" t="s">
        <v>201</v>
      </c>
      <c r="E41" s="7" t="s">
        <v>182</v>
      </c>
      <c r="F41" s="7" t="s">
        <v>193</v>
      </c>
      <c r="G41" s="7">
        <v>0</v>
      </c>
      <c r="H41" s="7">
        <v>0.5</v>
      </c>
      <c r="I41" s="7">
        <v>0.625</v>
      </c>
      <c r="J41" s="7">
        <v>0</v>
      </c>
      <c r="K41" s="7">
        <v>2.9166666666666701</v>
      </c>
    </row>
    <row r="42" spans="1:11" x14ac:dyDescent="0.2">
      <c r="A42" s="9" t="s">
        <v>237</v>
      </c>
      <c r="B42" s="6" t="s">
        <v>181</v>
      </c>
      <c r="C42" s="6" t="s">
        <v>200</v>
      </c>
      <c r="D42" s="6" t="s">
        <v>201</v>
      </c>
      <c r="E42" s="7" t="s">
        <v>182</v>
      </c>
      <c r="F42" s="7" t="s">
        <v>73</v>
      </c>
      <c r="G42" s="7">
        <v>0.33333333333333298</v>
      </c>
      <c r="H42" s="7">
        <v>0.45833333333333298</v>
      </c>
      <c r="I42" s="7">
        <v>0</v>
      </c>
      <c r="J42" s="7">
        <v>0.58333333333333304</v>
      </c>
      <c r="K42" s="7">
        <v>2.5</v>
      </c>
    </row>
    <row r="43" spans="1:11" x14ac:dyDescent="0.2">
      <c r="A43" s="9" t="s">
        <v>238</v>
      </c>
      <c r="B43" s="6" t="s">
        <v>181</v>
      </c>
      <c r="C43" s="6" t="s">
        <v>200</v>
      </c>
      <c r="D43" s="6" t="s">
        <v>201</v>
      </c>
      <c r="E43" s="7" t="s">
        <v>182</v>
      </c>
      <c r="F43" s="7" t="s">
        <v>194</v>
      </c>
      <c r="G43" s="7">
        <v>0</v>
      </c>
      <c r="H43" s="7">
        <v>0.41666666666666702</v>
      </c>
      <c r="I43" s="7">
        <v>0.625</v>
      </c>
      <c r="J43" s="7">
        <v>0</v>
      </c>
      <c r="K43" s="7">
        <v>2.5</v>
      </c>
    </row>
    <row r="44" spans="1:11" x14ac:dyDescent="0.2">
      <c r="A44" s="9" t="s">
        <v>239</v>
      </c>
      <c r="B44" s="6" t="s">
        <v>181</v>
      </c>
      <c r="C44" s="6" t="s">
        <v>200</v>
      </c>
      <c r="D44" s="6" t="s">
        <v>201</v>
      </c>
      <c r="E44" s="7" t="s">
        <v>182</v>
      </c>
      <c r="F44" s="7" t="s">
        <v>73</v>
      </c>
      <c r="G44" s="7">
        <v>0.33333333333333298</v>
      </c>
      <c r="H44" s="7">
        <v>0.45833333333333298</v>
      </c>
      <c r="I44" s="7">
        <v>0</v>
      </c>
      <c r="J44" s="7">
        <v>0.58333333333333304</v>
      </c>
      <c r="K44" s="7">
        <v>2.5</v>
      </c>
    </row>
    <row r="45" spans="1:11" x14ac:dyDescent="0.2">
      <c r="A45" s="9" t="s">
        <v>240</v>
      </c>
      <c r="B45" s="6" t="s">
        <v>181</v>
      </c>
      <c r="C45" s="6" t="s">
        <v>200</v>
      </c>
      <c r="D45" s="6" t="s">
        <v>201</v>
      </c>
      <c r="E45" s="7" t="s">
        <v>182</v>
      </c>
      <c r="F45" s="7" t="s">
        <v>195</v>
      </c>
      <c r="G45" s="7">
        <v>0.33333333333333298</v>
      </c>
      <c r="H45" s="7">
        <v>0.45833333333333298</v>
      </c>
      <c r="I45" s="7">
        <v>0</v>
      </c>
      <c r="J45" s="7">
        <v>0.58333333333333304</v>
      </c>
      <c r="K45" s="7">
        <v>2.5</v>
      </c>
    </row>
    <row r="46" spans="1:11" x14ac:dyDescent="0.2">
      <c r="A46" s="9" t="s">
        <v>241</v>
      </c>
      <c r="B46" s="6" t="s">
        <v>181</v>
      </c>
      <c r="C46" s="6" t="s">
        <v>200</v>
      </c>
      <c r="D46" s="6" t="s">
        <v>201</v>
      </c>
      <c r="E46" s="7" t="s">
        <v>182</v>
      </c>
      <c r="F46" s="7" t="s">
        <v>73</v>
      </c>
      <c r="G46" s="7">
        <v>0.33333333333333298</v>
      </c>
      <c r="H46" s="7">
        <v>0.45833333333333298</v>
      </c>
      <c r="I46" s="7">
        <v>0</v>
      </c>
      <c r="J46" s="7">
        <v>0.58333333333333304</v>
      </c>
      <c r="K46" s="7">
        <v>2.5</v>
      </c>
    </row>
    <row r="47" spans="1:11" x14ac:dyDescent="0.2">
      <c r="A47" s="9" t="s">
        <v>242</v>
      </c>
      <c r="B47" s="6" t="s">
        <v>181</v>
      </c>
      <c r="C47" s="6" t="s">
        <v>200</v>
      </c>
      <c r="D47" s="6" t="s">
        <v>201</v>
      </c>
      <c r="E47" s="7" t="s">
        <v>182</v>
      </c>
      <c r="F47" s="7" t="s">
        <v>196</v>
      </c>
      <c r="G47" s="7">
        <v>0.33333333333333298</v>
      </c>
      <c r="H47" s="7">
        <v>0.45833333333333298</v>
      </c>
      <c r="I47" s="7">
        <v>0</v>
      </c>
      <c r="J47" s="7">
        <v>0.58333333333333304</v>
      </c>
      <c r="K47" s="7">
        <v>2.5</v>
      </c>
    </row>
    <row r="48" spans="1:11" x14ac:dyDescent="0.2">
      <c r="A48" s="9" t="s">
        <v>243</v>
      </c>
      <c r="B48" s="6" t="s">
        <v>181</v>
      </c>
      <c r="C48" s="6" t="s">
        <v>200</v>
      </c>
      <c r="D48" s="6" t="s">
        <v>201</v>
      </c>
      <c r="E48" s="7" t="s">
        <v>182</v>
      </c>
      <c r="F48" s="7" t="s">
        <v>183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</row>
    <row r="49" spans="1:11" x14ac:dyDescent="0.2">
      <c r="A49" s="9" t="s">
        <v>244</v>
      </c>
      <c r="B49" s="6" t="s">
        <v>181</v>
      </c>
      <c r="C49" s="6" t="s">
        <v>200</v>
      </c>
      <c r="D49" s="6" t="s">
        <v>201</v>
      </c>
      <c r="E49" s="7" t="s">
        <v>71</v>
      </c>
      <c r="F49" s="7" t="s">
        <v>197</v>
      </c>
      <c r="G49" s="7">
        <v>0</v>
      </c>
      <c r="H49" s="7">
        <v>0.45833333333333298</v>
      </c>
      <c r="I49" s="7">
        <v>0</v>
      </c>
      <c r="J49" s="7">
        <v>0</v>
      </c>
      <c r="K49" s="7">
        <v>0</v>
      </c>
    </row>
    <row r="50" spans="1:11" x14ac:dyDescent="0.2">
      <c r="A50" s="9" t="s">
        <v>245</v>
      </c>
      <c r="B50" s="6" t="s">
        <v>181</v>
      </c>
      <c r="C50" s="6" t="s">
        <v>200</v>
      </c>
      <c r="D50" s="6" t="s">
        <v>201</v>
      </c>
      <c r="E50" s="7" t="s">
        <v>182</v>
      </c>
      <c r="F50" s="7" t="s">
        <v>191</v>
      </c>
      <c r="G50" s="7">
        <v>0</v>
      </c>
      <c r="H50" s="7">
        <v>0.54166666666666696</v>
      </c>
      <c r="I50" s="7">
        <v>0.58333333333333304</v>
      </c>
      <c r="J50" s="7">
        <v>0.66666666666666696</v>
      </c>
      <c r="K50" s="7">
        <v>5</v>
      </c>
    </row>
    <row r="51" spans="1:11" x14ac:dyDescent="0.2">
      <c r="A51" s="9" t="s">
        <v>246</v>
      </c>
      <c r="B51" s="6" t="s">
        <v>181</v>
      </c>
      <c r="C51" s="6" t="s">
        <v>200</v>
      </c>
      <c r="D51" s="6" t="s">
        <v>201</v>
      </c>
      <c r="E51" s="7" t="s">
        <v>71</v>
      </c>
      <c r="F51" s="7" t="s">
        <v>191</v>
      </c>
      <c r="G51" s="7">
        <v>0</v>
      </c>
      <c r="H51" s="7">
        <v>0.54166666666666696</v>
      </c>
      <c r="I51" s="7">
        <v>0.58333333333333304</v>
      </c>
      <c r="J51" s="7">
        <v>0.66666666666666696</v>
      </c>
      <c r="K51" s="7">
        <v>5</v>
      </c>
    </row>
    <row r="52" spans="1:11" x14ac:dyDescent="0.2">
      <c r="A52" s="9" t="s">
        <v>247</v>
      </c>
      <c r="B52" s="6" t="s">
        <v>181</v>
      </c>
      <c r="C52" s="6" t="s">
        <v>200</v>
      </c>
      <c r="D52" s="6" t="s">
        <v>201</v>
      </c>
      <c r="E52" s="7" t="s">
        <v>182</v>
      </c>
      <c r="F52" s="7" t="s">
        <v>185</v>
      </c>
      <c r="G52" s="7">
        <v>0.33333333333333298</v>
      </c>
      <c r="H52" s="7">
        <v>0.45833333333333298</v>
      </c>
      <c r="I52" s="7">
        <v>0</v>
      </c>
      <c r="J52" s="7">
        <v>0.58333333333333304</v>
      </c>
      <c r="K52" s="7">
        <v>2.9166666666666701</v>
      </c>
    </row>
    <row r="53" spans="1:11" x14ac:dyDescent="0.2">
      <c r="A53" s="9" t="s">
        <v>248</v>
      </c>
      <c r="B53" s="6" t="s">
        <v>181</v>
      </c>
      <c r="C53" s="6" t="s">
        <v>200</v>
      </c>
      <c r="D53" s="6" t="s">
        <v>201</v>
      </c>
      <c r="E53" s="7" t="s">
        <v>71</v>
      </c>
      <c r="F53" s="7" t="s">
        <v>191</v>
      </c>
      <c r="G53" s="7">
        <v>0</v>
      </c>
      <c r="H53" s="7">
        <v>0.54166666666666696</v>
      </c>
      <c r="I53" s="7">
        <v>0.58333333333333304</v>
      </c>
      <c r="J53" s="7">
        <v>0.66666666666666696</v>
      </c>
      <c r="K53" s="7">
        <v>5</v>
      </c>
    </row>
    <row r="54" spans="1:11" x14ac:dyDescent="0.2">
      <c r="A54" s="9" t="s">
        <v>249</v>
      </c>
      <c r="B54" s="6" t="s">
        <v>181</v>
      </c>
      <c r="C54" s="6" t="s">
        <v>200</v>
      </c>
      <c r="D54" s="6" t="s">
        <v>201</v>
      </c>
      <c r="E54" s="7" t="s">
        <v>182</v>
      </c>
      <c r="F54" s="7" t="s">
        <v>183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</row>
    <row r="55" spans="1:11" x14ac:dyDescent="0.2">
      <c r="A55" s="9" t="s">
        <v>250</v>
      </c>
      <c r="B55" s="6" t="s">
        <v>181</v>
      </c>
      <c r="C55" s="6" t="s">
        <v>200</v>
      </c>
      <c r="D55" s="6" t="s">
        <v>201</v>
      </c>
      <c r="E55" s="7" t="s">
        <v>182</v>
      </c>
      <c r="F55" s="7" t="s">
        <v>183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</row>
    <row r="56" spans="1:11" x14ac:dyDescent="0.2">
      <c r="A56" s="9" t="s">
        <v>251</v>
      </c>
      <c r="B56" s="6" t="s">
        <v>181</v>
      </c>
      <c r="C56" s="6" t="s">
        <v>200</v>
      </c>
      <c r="D56" s="6" t="s">
        <v>201</v>
      </c>
      <c r="E56" s="7" t="s">
        <v>71</v>
      </c>
      <c r="F56" s="7" t="s">
        <v>183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</row>
    <row r="57" spans="1:11" x14ac:dyDescent="0.2">
      <c r="A57" s="9" t="s">
        <v>252</v>
      </c>
      <c r="B57" s="6" t="s">
        <v>181</v>
      </c>
      <c r="C57" s="6" t="s">
        <v>200</v>
      </c>
      <c r="D57" s="6" t="s">
        <v>201</v>
      </c>
      <c r="E57" s="7" t="s">
        <v>182</v>
      </c>
      <c r="F57" s="7" t="s">
        <v>73</v>
      </c>
      <c r="G57" s="7">
        <v>0.33333333333333298</v>
      </c>
      <c r="H57" s="7">
        <v>0.45833333333333298</v>
      </c>
      <c r="I57" s="7">
        <v>0</v>
      </c>
      <c r="J57" s="7">
        <v>0.58333333333333304</v>
      </c>
      <c r="K57" s="7">
        <v>2.5</v>
      </c>
    </row>
    <row r="58" spans="1:11" x14ac:dyDescent="0.2">
      <c r="A58" s="9" t="s">
        <v>253</v>
      </c>
      <c r="B58" s="6" t="s">
        <v>181</v>
      </c>
      <c r="C58" s="6" t="s">
        <v>200</v>
      </c>
      <c r="D58" s="6" t="s">
        <v>201</v>
      </c>
      <c r="E58" s="7" t="s">
        <v>71</v>
      </c>
      <c r="F58" s="7" t="s">
        <v>188</v>
      </c>
      <c r="G58" s="7">
        <v>0</v>
      </c>
      <c r="H58" s="7">
        <v>0.54166666666666696</v>
      </c>
      <c r="I58" s="7">
        <v>0.58333333333333304</v>
      </c>
      <c r="J58" s="7">
        <v>0.66666666666666696</v>
      </c>
      <c r="K58" s="7">
        <v>2.9166666666666701</v>
      </c>
    </row>
    <row r="59" spans="1:11" x14ac:dyDescent="0.2">
      <c r="A59" s="9" t="s">
        <v>254</v>
      </c>
      <c r="B59" s="6" t="s">
        <v>181</v>
      </c>
      <c r="C59" s="6" t="s">
        <v>200</v>
      </c>
      <c r="D59" s="6" t="s">
        <v>201</v>
      </c>
      <c r="E59" s="7" t="s">
        <v>71</v>
      </c>
      <c r="F59" s="7" t="s">
        <v>198</v>
      </c>
      <c r="G59" s="7">
        <v>0</v>
      </c>
      <c r="H59" s="7">
        <v>0.25756944444444402</v>
      </c>
      <c r="I59" s="7">
        <v>0</v>
      </c>
      <c r="J59" s="7">
        <v>0</v>
      </c>
      <c r="K59" s="7">
        <v>0</v>
      </c>
    </row>
    <row r="60" spans="1:11" x14ac:dyDescent="0.2">
      <c r="A60" s="9" t="s">
        <v>255</v>
      </c>
      <c r="B60" s="6" t="s">
        <v>181</v>
      </c>
      <c r="C60" s="6" t="s">
        <v>200</v>
      </c>
      <c r="D60" s="6" t="s">
        <v>201</v>
      </c>
      <c r="E60" s="7" t="s">
        <v>182</v>
      </c>
      <c r="F60" s="7" t="s">
        <v>183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</row>
    <row r="61" spans="1:11" x14ac:dyDescent="0.2">
      <c r="A61" s="9" t="s">
        <v>256</v>
      </c>
      <c r="B61" s="6" t="s">
        <v>181</v>
      </c>
      <c r="C61" s="6" t="s">
        <v>200</v>
      </c>
      <c r="D61" s="6" t="s">
        <v>201</v>
      </c>
      <c r="E61" s="7" t="s">
        <v>71</v>
      </c>
      <c r="F61" s="7" t="s">
        <v>183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</row>
    <row r="62" spans="1:11" x14ac:dyDescent="0.2">
      <c r="A62" s="9" t="s">
        <v>257</v>
      </c>
      <c r="B62" s="6" t="s">
        <v>181</v>
      </c>
      <c r="C62" s="6" t="s">
        <v>200</v>
      </c>
      <c r="D62" s="6" t="s">
        <v>201</v>
      </c>
      <c r="E62" s="7" t="s">
        <v>182</v>
      </c>
      <c r="F62" s="7" t="s">
        <v>190</v>
      </c>
      <c r="G62" s="7">
        <v>0.33333333333333298</v>
      </c>
      <c r="H62" s="7">
        <v>0.45833333333333298</v>
      </c>
      <c r="I62" s="7">
        <v>0</v>
      </c>
      <c r="J62" s="7">
        <v>0.58333333333333304</v>
      </c>
      <c r="K62" s="7">
        <v>2.9166666666666701</v>
      </c>
    </row>
    <row r="63" spans="1:11" x14ac:dyDescent="0.2">
      <c r="A63" s="9" t="s">
        <v>258</v>
      </c>
      <c r="B63" s="6" t="s">
        <v>181</v>
      </c>
      <c r="C63" s="6" t="s">
        <v>200</v>
      </c>
      <c r="D63" s="6" t="s">
        <v>201</v>
      </c>
      <c r="E63" s="7" t="s">
        <v>182</v>
      </c>
      <c r="F63" s="7" t="s">
        <v>188</v>
      </c>
      <c r="G63" s="7">
        <v>0</v>
      </c>
      <c r="H63" s="7">
        <v>0.54166666666666696</v>
      </c>
      <c r="I63" s="7">
        <v>0.58333333333333304</v>
      </c>
      <c r="J63" s="7">
        <v>0.66666666666666696</v>
      </c>
      <c r="K63" s="7">
        <v>2.9166666666666701</v>
      </c>
    </row>
    <row r="64" spans="1:11" x14ac:dyDescent="0.2">
      <c r="A64" s="9" t="s">
        <v>259</v>
      </c>
      <c r="B64" s="6" t="s">
        <v>181</v>
      </c>
      <c r="C64" s="6" t="s">
        <v>200</v>
      </c>
      <c r="D64" s="6" t="s">
        <v>201</v>
      </c>
      <c r="E64" s="7" t="s">
        <v>182</v>
      </c>
      <c r="F64" s="7" t="s">
        <v>185</v>
      </c>
      <c r="G64" s="7">
        <v>0.33333333333333298</v>
      </c>
      <c r="H64" s="7">
        <v>0.45833333333333298</v>
      </c>
      <c r="I64" s="7">
        <v>0</v>
      </c>
      <c r="J64" s="7">
        <v>0.58333333333333304</v>
      </c>
      <c r="K64" s="7">
        <v>2.9166666666666701</v>
      </c>
    </row>
    <row r="65" spans="1:11" x14ac:dyDescent="0.2">
      <c r="A65" s="9" t="s">
        <v>260</v>
      </c>
      <c r="B65" s="6" t="s">
        <v>181</v>
      </c>
      <c r="C65" s="6" t="s">
        <v>200</v>
      </c>
      <c r="D65" s="6" t="s">
        <v>201</v>
      </c>
      <c r="E65" s="7" t="s">
        <v>182</v>
      </c>
      <c r="F65" s="7" t="s">
        <v>183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</row>
  </sheetData>
  <hyperlinks>
    <hyperlink ref="A9" r:id="rId1" display="aarontoth@geotab.com" xr:uid="{00000000-0004-0000-0000-000000000000}"/>
    <hyperlink ref="A10" r:id="rId2" display="aarontoth@geotab.com" xr:uid="{00000000-0004-0000-0000-000001000000}"/>
    <hyperlink ref="A11" r:id="rId3" display="aarontoth@geotab.com" xr:uid="{00000000-0004-0000-0000-000002000000}"/>
    <hyperlink ref="A13" r:id="rId4" display="aarontoth@geotab.com" xr:uid="{00000000-0004-0000-0000-000003000000}"/>
    <hyperlink ref="A15" r:id="rId5" display="aarontoth@geotab.com" xr:uid="{00000000-0004-0000-0000-000004000000}"/>
    <hyperlink ref="A17" r:id="rId6" display="aarontoth@geotab.com" xr:uid="{00000000-0004-0000-0000-000005000000}"/>
    <hyperlink ref="A19" r:id="rId7" display="aarontoth@geotab.com" xr:uid="{00000000-0004-0000-0000-000006000000}"/>
    <hyperlink ref="A21" r:id="rId8" display="aarontoth@geotab.com" xr:uid="{00000000-0004-0000-0000-000007000000}"/>
    <hyperlink ref="A23" r:id="rId9" display="aarontoth@geotab.com" xr:uid="{00000000-0004-0000-0000-000008000000}"/>
    <hyperlink ref="A25" r:id="rId10" display="aarontoth@geotab.com" xr:uid="{00000000-0004-0000-0000-000009000000}"/>
    <hyperlink ref="A27" r:id="rId11" display="aarontoth@geotab.com" xr:uid="{00000000-0004-0000-0000-00000A000000}"/>
    <hyperlink ref="A29" r:id="rId12" display="aarontoth@geotab.com" xr:uid="{00000000-0004-0000-0000-00000B000000}"/>
    <hyperlink ref="A31" r:id="rId13" display="aarontoth@geotab.com" xr:uid="{00000000-0004-0000-0000-00000C000000}"/>
    <hyperlink ref="A33" r:id="rId14" display="aarontoth@geotab.com" xr:uid="{00000000-0004-0000-0000-00000D000000}"/>
    <hyperlink ref="A35" r:id="rId15" display="aarontoth@geotab.com" xr:uid="{00000000-0004-0000-0000-00000E000000}"/>
    <hyperlink ref="A37" r:id="rId16" display="aarontoth@geotab.com" xr:uid="{00000000-0004-0000-0000-00000F000000}"/>
    <hyperlink ref="A39" r:id="rId17" display="aarontoth@geotab.com" xr:uid="{00000000-0004-0000-0000-000010000000}"/>
    <hyperlink ref="A41" r:id="rId18" display="aarontoth@geotab.com" xr:uid="{00000000-0004-0000-0000-000011000000}"/>
    <hyperlink ref="A43" r:id="rId19" display="aarontoth@geotab.com" xr:uid="{00000000-0004-0000-0000-000012000000}"/>
    <hyperlink ref="A45" r:id="rId20" display="aarontoth@geotab.com" xr:uid="{00000000-0004-0000-0000-000013000000}"/>
    <hyperlink ref="A47" r:id="rId21" display="aarontoth@geotab.com" xr:uid="{00000000-0004-0000-0000-000014000000}"/>
    <hyperlink ref="A49" r:id="rId22" display="aarontoth@geotab.com" xr:uid="{00000000-0004-0000-0000-000015000000}"/>
    <hyperlink ref="A51" r:id="rId23" display="aarontoth@geotab.com" xr:uid="{00000000-0004-0000-0000-000016000000}"/>
    <hyperlink ref="A53" r:id="rId24" display="aarontoth@geotab.com" xr:uid="{00000000-0004-0000-0000-000017000000}"/>
    <hyperlink ref="A55" r:id="rId25" display="aarontoth@geotab.com" xr:uid="{00000000-0004-0000-0000-000018000000}"/>
    <hyperlink ref="A57" r:id="rId26" display="aarontoth@geotab.com" xr:uid="{00000000-0004-0000-0000-000019000000}"/>
    <hyperlink ref="A59" r:id="rId27" display="aarontoth@geotab.com" xr:uid="{00000000-0004-0000-0000-00001A000000}"/>
    <hyperlink ref="A61" r:id="rId28" display="aarontoth@geotab.com" xr:uid="{00000000-0004-0000-0000-00001B000000}"/>
    <hyperlink ref="A63" r:id="rId29" display="aarontoth@geotab.com" xr:uid="{00000000-0004-0000-0000-00001C000000}"/>
    <hyperlink ref="A65" r:id="rId30" display="aarontoth@geotab.com" xr:uid="{00000000-0004-0000-0000-00001D000000}"/>
    <hyperlink ref="A12" r:id="rId31" display="aarontoth@geotab.com" xr:uid="{00000000-0004-0000-0000-00001E000000}"/>
    <hyperlink ref="A14" r:id="rId32" display="aarontoth@geotab.com" xr:uid="{00000000-0004-0000-0000-00001F000000}"/>
    <hyperlink ref="A16" r:id="rId33" display="aarontoth@geotab.com" xr:uid="{00000000-0004-0000-0000-000020000000}"/>
    <hyperlink ref="A18" r:id="rId34" display="aarontoth@geotab.com" xr:uid="{00000000-0004-0000-0000-000021000000}"/>
    <hyperlink ref="A20" r:id="rId35" display="aarontoth@geotab.com" xr:uid="{00000000-0004-0000-0000-000022000000}"/>
    <hyperlink ref="A22" r:id="rId36" display="aarontoth@geotab.com" xr:uid="{00000000-0004-0000-0000-000023000000}"/>
    <hyperlink ref="A24" r:id="rId37" display="aarontoth@geotab.com" xr:uid="{00000000-0004-0000-0000-000024000000}"/>
    <hyperlink ref="A26" r:id="rId38" display="aarontoth@geotab.com" xr:uid="{00000000-0004-0000-0000-000025000000}"/>
    <hyperlink ref="A28" r:id="rId39" display="aarontoth@geotab.com" xr:uid="{00000000-0004-0000-0000-000026000000}"/>
    <hyperlink ref="A30" r:id="rId40" display="aarontoth@geotab.com" xr:uid="{00000000-0004-0000-0000-000027000000}"/>
    <hyperlink ref="A32" r:id="rId41" display="aarontoth@geotab.com" xr:uid="{00000000-0004-0000-0000-000028000000}"/>
    <hyperlink ref="A34" r:id="rId42" display="aarontoth@geotab.com" xr:uid="{00000000-0004-0000-0000-000029000000}"/>
    <hyperlink ref="A36" r:id="rId43" display="aarontoth@geotab.com" xr:uid="{00000000-0004-0000-0000-00002A000000}"/>
    <hyperlink ref="A38" r:id="rId44" display="aarontoth@geotab.com" xr:uid="{00000000-0004-0000-0000-00002B000000}"/>
    <hyperlink ref="A40" r:id="rId45" display="aarontoth@geotab.com" xr:uid="{00000000-0004-0000-0000-00002C000000}"/>
    <hyperlink ref="A42" r:id="rId46" display="aarontoth@geotab.com" xr:uid="{00000000-0004-0000-0000-00002D000000}"/>
    <hyperlink ref="A44" r:id="rId47" display="aarontoth@geotab.com" xr:uid="{00000000-0004-0000-0000-00002E000000}"/>
    <hyperlink ref="A46" r:id="rId48" display="aarontoth@geotab.com" xr:uid="{00000000-0004-0000-0000-00002F000000}"/>
    <hyperlink ref="A48" r:id="rId49" display="aarontoth@geotab.com" xr:uid="{00000000-0004-0000-0000-000030000000}"/>
    <hyperlink ref="A50" r:id="rId50" display="aarontoth@geotab.com" xr:uid="{00000000-0004-0000-0000-000031000000}"/>
    <hyperlink ref="A52" r:id="rId51" display="aarontoth@geotab.com" xr:uid="{00000000-0004-0000-0000-000032000000}"/>
    <hyperlink ref="A54" r:id="rId52" display="aarontoth@geotab.com" xr:uid="{00000000-0004-0000-0000-000033000000}"/>
    <hyperlink ref="A56" r:id="rId53" display="aarontoth@geotab.com" xr:uid="{00000000-0004-0000-0000-000034000000}"/>
    <hyperlink ref="A58" r:id="rId54" display="aarontoth@geotab.com" xr:uid="{00000000-0004-0000-0000-000035000000}"/>
    <hyperlink ref="A60" r:id="rId55" display="aarontoth@geotab.com" xr:uid="{00000000-0004-0000-0000-000036000000}"/>
    <hyperlink ref="A62" r:id="rId56" display="aarontoth@geotab.com" xr:uid="{00000000-0004-0000-0000-000037000000}"/>
    <hyperlink ref="A64" r:id="rId57" display="aarontoth@geotab.com" xr:uid="{00000000-0004-0000-0000-000038000000}"/>
    <hyperlink ref="B6" r:id="rId58" xr:uid="{00000000-0004-0000-0000-000039000000}"/>
  </hyperlinks>
  <pageMargins left="0.7" right="0.7" top="0.75" bottom="0.75" header="0.3" footer="0.3"/>
  <pageSetup fitToHeight="100" orientation="portrait" r:id="rId59"/>
  <legacy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64"/>
  <sheetViews>
    <sheetView showGridLines="0" workbookViewId="0">
      <pane ySplit="7" topLeftCell="A8" activePane="bottomLeft" state="frozen"/>
      <selection pane="bottomLeft"/>
    </sheetView>
  </sheetViews>
  <sheetFormatPr defaultColWidth="9.28515625" defaultRowHeight="14.25" x14ac:dyDescent="0.25"/>
  <cols>
    <col min="1" max="1" width="25.7109375" style="13" customWidth="1"/>
    <col min="2" max="3" width="25.7109375" style="16" hidden="1" customWidth="1"/>
    <col min="4" max="4" width="25.7109375" style="16" customWidth="1"/>
    <col min="5" max="5" width="25.5703125" style="16" customWidth="1"/>
    <col min="6" max="6" width="25.7109375" style="16" customWidth="1"/>
    <col min="7" max="7" width="7.7109375" style="16" hidden="1" customWidth="1"/>
    <col min="8" max="8" width="25.7109375" style="16" customWidth="1"/>
    <col min="9" max="9" width="25.5703125" style="16" customWidth="1"/>
    <col min="10" max="10" width="23.140625" style="14" customWidth="1"/>
    <col min="11" max="11" width="23.140625" style="32" customWidth="1"/>
    <col min="12" max="12" width="23.7109375" style="32" customWidth="1"/>
    <col min="13" max="13" width="24.28515625" style="32" customWidth="1"/>
    <col min="14" max="14" width="13.140625" style="13" customWidth="1"/>
    <col min="15" max="15" width="13.42578125" style="13" bestFit="1" customWidth="1"/>
    <col min="16" max="16" width="13.140625" style="13" bestFit="1" customWidth="1"/>
    <col min="17" max="17" width="13.42578125" style="13" bestFit="1" customWidth="1"/>
    <col min="18" max="18" width="13.140625" style="13" bestFit="1" customWidth="1"/>
    <col min="19" max="19" width="13.42578125" style="13" bestFit="1" customWidth="1"/>
    <col min="20" max="20" width="13.140625" style="13" bestFit="1" customWidth="1"/>
    <col min="21" max="21" width="13.42578125" style="13" bestFit="1" customWidth="1"/>
    <col min="22" max="22" width="13.140625" style="13" bestFit="1" customWidth="1"/>
    <col min="23" max="23" width="13.42578125" style="13" bestFit="1" customWidth="1"/>
    <col min="24" max="24" width="13.140625" style="13" bestFit="1" customWidth="1"/>
    <col min="25" max="16384" width="9.28515625" style="13"/>
  </cols>
  <sheetData>
    <row r="1" spans="1:13" s="24" customFormat="1" ht="26.25" x14ac:dyDescent="0.45">
      <c r="A1" s="23" t="s">
        <v>275</v>
      </c>
      <c r="E1" s="25">
        <f>Data!B2</f>
        <v>43172.538217314803</v>
      </c>
      <c r="J1" s="26"/>
      <c r="K1" s="29"/>
      <c r="L1" s="29"/>
      <c r="M1" s="29"/>
    </row>
    <row r="2" spans="1:13" ht="25.5" x14ac:dyDescent="0.5">
      <c r="A2" s="28" t="str">
        <f>Data!B1</f>
        <v>Geotab Inc.</v>
      </c>
      <c r="B2" s="13"/>
      <c r="C2" s="13"/>
      <c r="D2" s="13"/>
      <c r="E2" s="13"/>
      <c r="F2" s="13"/>
      <c r="G2" s="13"/>
      <c r="H2" s="13"/>
      <c r="I2" s="13"/>
      <c r="K2" s="30"/>
      <c r="L2" s="30"/>
      <c r="M2" s="30"/>
    </row>
    <row r="3" spans="1:13" ht="17.25" customHeight="1" x14ac:dyDescent="0.5">
      <c r="A3" s="28"/>
      <c r="B3" s="13"/>
      <c r="C3" s="13"/>
      <c r="D3" s="13"/>
      <c r="E3" s="13"/>
      <c r="F3" s="13"/>
      <c r="G3" s="13"/>
      <c r="H3" s="13"/>
      <c r="I3" s="13"/>
      <c r="K3" s="30"/>
      <c r="L3" s="30"/>
      <c r="M3" s="30"/>
    </row>
    <row r="4" spans="1:13" ht="17.25" customHeight="1" x14ac:dyDescent="0.25">
      <c r="A4" s="38" t="s">
        <v>269</v>
      </c>
      <c r="B4" s="37"/>
      <c r="C4" s="13"/>
      <c r="D4" s="39" t="s">
        <v>270</v>
      </c>
      <c r="E4" s="13"/>
      <c r="F4" s="13"/>
      <c r="G4" s="13"/>
      <c r="H4" s="13"/>
      <c r="I4" s="13"/>
      <c r="K4" s="30"/>
      <c r="L4" s="30"/>
      <c r="M4" s="30"/>
    </row>
    <row r="5" spans="1:13" ht="17.25" customHeight="1" x14ac:dyDescent="0.25">
      <c r="A5" s="45">
        <f>COUNTIF(H8:H99999,"Available")</f>
        <v>15</v>
      </c>
      <c r="B5" s="37"/>
      <c r="C5" s="13"/>
      <c r="D5" s="44">
        <f>COUNTIF(H8:H99999,"Unavailable")</f>
        <v>29</v>
      </c>
      <c r="E5" s="13"/>
      <c r="F5" s="13"/>
      <c r="G5" s="13"/>
      <c r="H5" s="13"/>
      <c r="I5" s="13"/>
      <c r="K5" s="30"/>
      <c r="L5" s="30"/>
      <c r="M5" s="30"/>
    </row>
    <row r="6" spans="1:13" ht="17.25" customHeight="1" x14ac:dyDescent="0.5">
      <c r="A6" s="28"/>
      <c r="B6" s="13"/>
      <c r="C6" s="13"/>
      <c r="D6" s="13"/>
      <c r="E6" s="13"/>
      <c r="F6" s="13"/>
      <c r="G6" s="13"/>
      <c r="H6" s="13"/>
      <c r="I6" s="13"/>
      <c r="K6" s="30"/>
      <c r="L6" s="30"/>
      <c r="M6" s="30"/>
    </row>
    <row r="7" spans="1:13" s="22" customFormat="1" ht="17.25" x14ac:dyDescent="0.3">
      <c r="A7" s="20" t="s">
        <v>199</v>
      </c>
      <c r="B7" s="20" t="s">
        <v>200</v>
      </c>
      <c r="C7" s="20" t="s">
        <v>201</v>
      </c>
      <c r="D7" s="20" t="s">
        <v>203</v>
      </c>
      <c r="E7" s="20" t="s">
        <v>165</v>
      </c>
      <c r="F7" s="20" t="s">
        <v>166</v>
      </c>
      <c r="G7" s="20" t="s">
        <v>267</v>
      </c>
      <c r="H7" s="20" t="s">
        <v>271</v>
      </c>
      <c r="I7" s="20" t="s">
        <v>167</v>
      </c>
      <c r="J7" s="21" t="s">
        <v>168</v>
      </c>
      <c r="K7" s="31" t="s">
        <v>169</v>
      </c>
      <c r="L7" s="31" t="s">
        <v>170</v>
      </c>
      <c r="M7" s="31" t="s">
        <v>171</v>
      </c>
    </row>
    <row r="8" spans="1:13" ht="16.5" x14ac:dyDescent="0.3">
      <c r="A8" s="17" t="str">
        <f>Data!A9</f>
        <v>Driver 1</v>
      </c>
      <c r="B8" s="18" t="str">
        <f>IF(Data!C9="","",Data!C9)</f>
        <v>First Name</v>
      </c>
      <c r="C8" s="18" t="str">
        <f>IF(Data!D9="","",Data!D9)</f>
        <v>Last Name</v>
      </c>
      <c r="D8" s="18" t="str">
        <f>CONCATENATE(B8," ",C8)</f>
        <v>First Name Last Name</v>
      </c>
      <c r="E8" s="19" t="str">
        <f>Data!E9</f>
        <v>OFF</v>
      </c>
      <c r="F8" s="19" t="str">
        <f>Data!F9</f>
        <v>None</v>
      </c>
      <c r="G8" s="19" t="b">
        <f>ISNUMBER(SEARCH("None",F8))</f>
        <v>1</v>
      </c>
      <c r="H8" s="19" t="str">
        <f>IF(OR(ISNUMBER(SEARCH("None",F8))),"N/A",IF(AND(ISNUMBER(SEARCH("Short",F8)),OR(ISNUMBER(SEARCH("Texas",F8)),ISNUMBER(SEARCH("Canada",F8))),OR(J8&lt;=(((Summary!$A$5*60)+Summary!$B$5)/1440),K8&lt;=(((Summary!$A$5*60)+Summary!$B$5)/1440),L8&lt;=(((Summary!$A$5*60)+Summary!$B$5)/1440),M8&lt;=(((Summary!$A$5*60)+Summary!$B$5)/1440))),"Unavailable",IF(AND(ISNUMBER(SEARCH("Short",F8)),OR(J8&lt;=(((Summary!$A$5*60)+Summary!$B$5)/1440),K8&lt;=(((Summary!$A$5*60)+Summary!$B$5)/1440),L8&lt;=(((Summary!$A$5*60)+Summary!$B$5)/1440),M8&lt;=(((Summary!$A$5*60)+Summary!$B$5)/1440))),"Unavailable",IF(AND(OR(ISNUMBER(SEARCH("Texas",F8)),ISNUMBER(SEARCH("Canada",F8))),OR(I8&lt;=(((Summary!$A$5*60)+Summary!$B$5)/1440),J8&lt;=(((Summary!$A$5*60)+Summary!$B$5)/1440),K8&lt;=(((Summary!$A$5*60)+Summary!$B$5)/1440),L8&lt;=(((Summary!$A$5*60)+Summary!$B$5)/1440),M8&lt;=(((Summary!$A$5*60)+Summary!$B$5)/1440))),"Unavailable",IF(OR(I8&lt;=(((Summary!$A$5*60)+Summary!$B$5)/1440),J8&lt;=(((Summary!$A$5*60)+Summary!$B$5)/1440),L8&lt;=(((Summary!$A$5*60)+Summary!$B$5)/1440),M8&lt;=(((Summary!$A$5*60)+Summary!$B$5)/1440)),"Unavailable","Available")))))</f>
        <v>N/A</v>
      </c>
      <c r="I8" s="19">
        <f>Data!G9</f>
        <v>0</v>
      </c>
      <c r="J8" s="19">
        <f>Data!H9</f>
        <v>0</v>
      </c>
      <c r="K8" s="19">
        <f>Data!I9</f>
        <v>0</v>
      </c>
      <c r="L8" s="19">
        <f>Data!J9</f>
        <v>0</v>
      </c>
      <c r="M8" s="19">
        <f>Data!K9</f>
        <v>0</v>
      </c>
    </row>
    <row r="9" spans="1:13" ht="16.5" x14ac:dyDescent="0.3">
      <c r="A9" s="17" t="str">
        <f>Data!A10</f>
        <v>Driver 2</v>
      </c>
      <c r="B9" s="18" t="str">
        <f>IF(Data!C10="","",Data!C10)</f>
        <v>First Name</v>
      </c>
      <c r="C9" s="18" t="str">
        <f>IF(Data!D10="","",Data!D10)</f>
        <v>Last Name</v>
      </c>
      <c r="D9" s="18" t="str">
        <f t="shared" ref="D9:D64" si="0">CONCATENATE(B9," ",C9)</f>
        <v>First Name Last Name</v>
      </c>
      <c r="E9" s="19" t="str">
        <f>Data!E10</f>
        <v>OFF</v>
      </c>
      <c r="F9" s="19" t="str">
        <f>Data!F10</f>
        <v>America7DayBig</v>
      </c>
      <c r="G9" s="19" t="b">
        <f t="shared" ref="G9:G64" si="1">ISNUMBER(SEARCH("None",F9))</f>
        <v>0</v>
      </c>
      <c r="H9" s="19" t="str">
        <f>IF(OR(ISNUMBER(SEARCH("None",F9))),"N/A",IF(AND(ISNUMBER(SEARCH("Short",F9)),OR(ISNUMBER(SEARCH("Texas",F9)),ISNUMBER(SEARCH("Canada",F9))),OR(J9&lt;=(((Summary!$A$5*60)+Summary!$B$5)/1440),K9&lt;=(((Summary!$A$5*60)+Summary!$B$5)/1440),L9&lt;=(((Summary!$A$5*60)+Summary!$B$5)/1440),M9&lt;=(((Summary!$A$5*60)+Summary!$B$5)/1440))),"Unavailable",IF(AND(ISNUMBER(SEARCH("Short",F9)),OR(J9&lt;=(((Summary!$A$5*60)+Summary!$B$5)/1440),K9&lt;=(((Summary!$A$5*60)+Summary!$B$5)/1440),L9&lt;=(((Summary!$A$5*60)+Summary!$B$5)/1440),M9&lt;=(((Summary!$A$5*60)+Summary!$B$5)/1440))),"Unavailable",IF(AND(OR(ISNUMBER(SEARCH("Texas",F9)),ISNUMBER(SEARCH("Canada",F9))),OR(I9&lt;=(((Summary!$A$5*60)+Summary!$B$5)/1440),J9&lt;=(((Summary!$A$5*60)+Summary!$B$5)/1440),K9&lt;=(((Summary!$A$5*60)+Summary!$B$5)/1440),L9&lt;=(((Summary!$A$5*60)+Summary!$B$5)/1440),M9&lt;=(((Summary!$A$5*60)+Summary!$B$5)/1440))),"Unavailable",IF(OR(I9&lt;=(((Summary!$A$5*60)+Summary!$B$5)/1440),J9&lt;=(((Summary!$A$5*60)+Summary!$B$5)/1440),L9&lt;=(((Summary!$A$5*60)+Summary!$B$5)/1440),M9&lt;=(((Summary!$A$5*60)+Summary!$B$5)/1440)),"Unavailable","Available")))))</f>
        <v>Available</v>
      </c>
      <c r="I9" s="19">
        <f>Data!G10</f>
        <v>0.33333333333333298</v>
      </c>
      <c r="J9" s="19">
        <f>Data!H10</f>
        <v>0.45833333333333298</v>
      </c>
      <c r="K9" s="19">
        <f>Data!I10</f>
        <v>0</v>
      </c>
      <c r="L9" s="19">
        <f>Data!J10</f>
        <v>0.58333333333333304</v>
      </c>
      <c r="M9" s="19">
        <f>Data!K10</f>
        <v>2.5</v>
      </c>
    </row>
    <row r="10" spans="1:13" ht="16.5" x14ac:dyDescent="0.3">
      <c r="A10" s="17" t="str">
        <f>Data!A11</f>
        <v>Driver 3</v>
      </c>
      <c r="B10" s="18" t="str">
        <f>IF(Data!C11="","",Data!C11)</f>
        <v>First Name</v>
      </c>
      <c r="C10" s="18" t="str">
        <f>IF(Data!D11="","",Data!D11)</f>
        <v>Last Name</v>
      </c>
      <c r="D10" s="18" t="str">
        <f t="shared" si="0"/>
        <v>First Name Last Name</v>
      </c>
      <c r="E10" s="19" t="str">
        <f>Data!E11</f>
        <v>OFF</v>
      </c>
      <c r="F10" s="19" t="str">
        <f>Data!F11</f>
        <v>America8Day</v>
      </c>
      <c r="G10" s="19" t="b">
        <f t="shared" si="1"/>
        <v>0</v>
      </c>
      <c r="H10" s="19" t="str">
        <f>IF(OR(ISNUMBER(SEARCH("None",F10))),"N/A",IF(AND(ISNUMBER(SEARCH("Short",F10)),OR(ISNUMBER(SEARCH("Texas",F10)),ISNUMBER(SEARCH("Canada",F10))),OR(J10&lt;=(((Summary!$A$5*60)+Summary!$B$5)/1440),K10&lt;=(((Summary!$A$5*60)+Summary!$B$5)/1440),L10&lt;=(((Summary!$A$5*60)+Summary!$B$5)/1440),M10&lt;=(((Summary!$A$5*60)+Summary!$B$5)/1440))),"Unavailable",IF(AND(ISNUMBER(SEARCH("Short",F10)),OR(J10&lt;=(((Summary!$A$5*60)+Summary!$B$5)/1440),K10&lt;=(((Summary!$A$5*60)+Summary!$B$5)/1440),L10&lt;=(((Summary!$A$5*60)+Summary!$B$5)/1440),M10&lt;=(((Summary!$A$5*60)+Summary!$B$5)/1440))),"Unavailable",IF(AND(OR(ISNUMBER(SEARCH("Texas",F10)),ISNUMBER(SEARCH("Canada",F10))),OR(I10&lt;=(((Summary!$A$5*60)+Summary!$B$5)/1440),J10&lt;=(((Summary!$A$5*60)+Summary!$B$5)/1440),K10&lt;=(((Summary!$A$5*60)+Summary!$B$5)/1440),L10&lt;=(((Summary!$A$5*60)+Summary!$B$5)/1440),M10&lt;=(((Summary!$A$5*60)+Summary!$B$5)/1440))),"Unavailable",IF(OR(I10&lt;=(((Summary!$A$5*60)+Summary!$B$5)/1440),J10&lt;=(((Summary!$A$5*60)+Summary!$B$5)/1440),L10&lt;=(((Summary!$A$5*60)+Summary!$B$5)/1440),M10&lt;=(((Summary!$A$5*60)+Summary!$B$5)/1440)),"Unavailable","Available")))))</f>
        <v>Available</v>
      </c>
      <c r="I10" s="19">
        <f>Data!G11</f>
        <v>0.33333333333333298</v>
      </c>
      <c r="J10" s="19">
        <f>Data!H11</f>
        <v>0.45833333333333298</v>
      </c>
      <c r="K10" s="19">
        <f>Data!I11</f>
        <v>0</v>
      </c>
      <c r="L10" s="19">
        <f>Data!J11</f>
        <v>0.58333333333333304</v>
      </c>
      <c r="M10" s="19">
        <f>Data!K11</f>
        <v>2.9166666666666701</v>
      </c>
    </row>
    <row r="11" spans="1:13" ht="16.5" x14ac:dyDescent="0.3">
      <c r="A11" s="17" t="str">
        <f>Data!A12</f>
        <v>Driver 4</v>
      </c>
      <c r="B11" s="18" t="str">
        <f>IF(Data!C12="","",Data!C12)</f>
        <v>First Name</v>
      </c>
      <c r="C11" s="18" t="str">
        <f>IF(Data!D12="","",Data!D12)</f>
        <v>Last Name</v>
      </c>
      <c r="D11" s="18" t="str">
        <f t="shared" si="0"/>
        <v>First Name Last Name</v>
      </c>
      <c r="E11" s="19" t="str">
        <f>Data!E12</f>
        <v>ON</v>
      </c>
      <c r="F11" s="19" t="str">
        <f>Data!F12</f>
        <v>Florida7Day</v>
      </c>
      <c r="G11" s="19" t="b">
        <f t="shared" si="1"/>
        <v>0</v>
      </c>
      <c r="H11" s="19" t="str">
        <f>IF(OR(ISNUMBER(SEARCH("None",F11))),"N/A",IF(AND(ISNUMBER(SEARCH("Short",F11)),OR(ISNUMBER(SEARCH("Texas",F11)),ISNUMBER(SEARCH("Canada",F11))),OR(J11&lt;=(((Summary!$A$5*60)+Summary!$B$5)/1440),K11&lt;=(((Summary!$A$5*60)+Summary!$B$5)/1440),L11&lt;=(((Summary!$A$5*60)+Summary!$B$5)/1440),M11&lt;=(((Summary!$A$5*60)+Summary!$B$5)/1440))),"Unavailable",IF(AND(ISNUMBER(SEARCH("Short",F11)),OR(J11&lt;=(((Summary!$A$5*60)+Summary!$B$5)/1440),K11&lt;=(((Summary!$A$5*60)+Summary!$B$5)/1440),L11&lt;=(((Summary!$A$5*60)+Summary!$B$5)/1440),M11&lt;=(((Summary!$A$5*60)+Summary!$B$5)/1440))),"Unavailable",IF(AND(OR(ISNUMBER(SEARCH("Texas",F11)),ISNUMBER(SEARCH("Canada",F11))),OR(I11&lt;=(((Summary!$A$5*60)+Summary!$B$5)/1440),J11&lt;=(((Summary!$A$5*60)+Summary!$B$5)/1440),K11&lt;=(((Summary!$A$5*60)+Summary!$B$5)/1440),L11&lt;=(((Summary!$A$5*60)+Summary!$B$5)/1440),M11&lt;=(((Summary!$A$5*60)+Summary!$B$5)/1440))),"Unavailable",IF(OR(I11&lt;=(((Summary!$A$5*60)+Summary!$B$5)/1440),J11&lt;=(((Summary!$A$5*60)+Summary!$B$5)/1440),L11&lt;=(((Summary!$A$5*60)+Summary!$B$5)/1440),M11&lt;=(((Summary!$A$5*60)+Summary!$B$5)/1440)),"Unavailable","Available")))))</f>
        <v>Unavailable</v>
      </c>
      <c r="I11" s="19">
        <f>Data!G12</f>
        <v>0</v>
      </c>
      <c r="J11" s="19">
        <f>Data!H12</f>
        <v>0.5</v>
      </c>
      <c r="K11" s="19">
        <f>Data!I12</f>
        <v>0</v>
      </c>
      <c r="L11" s="19">
        <f>Data!J12</f>
        <v>0.66666666666666696</v>
      </c>
      <c r="M11" s="19">
        <f>Data!K12</f>
        <v>2.9166666666666701</v>
      </c>
    </row>
    <row r="12" spans="1:13" ht="16.5" x14ac:dyDescent="0.3">
      <c r="A12" s="17" t="str">
        <f>Data!A13</f>
        <v>Driver 5</v>
      </c>
      <c r="B12" s="18" t="str">
        <f>IF(Data!C13="","",Data!C13)</f>
        <v>First Name</v>
      </c>
      <c r="C12" s="18" t="str">
        <f>IF(Data!D13="","",Data!D13)</f>
        <v>Last Name</v>
      </c>
      <c r="D12" s="18" t="str">
        <f t="shared" si="0"/>
        <v>First Name Last Name</v>
      </c>
      <c r="E12" s="19" t="str">
        <f>Data!E13</f>
        <v>ON</v>
      </c>
      <c r="F12" s="19" t="str">
        <f>Data!F13</f>
        <v>None</v>
      </c>
      <c r="G12" s="19" t="b">
        <f t="shared" si="1"/>
        <v>1</v>
      </c>
      <c r="H12" s="19" t="str">
        <f>IF(OR(ISNUMBER(SEARCH("None",F12))),"N/A",IF(AND(ISNUMBER(SEARCH("Short",F12)),OR(ISNUMBER(SEARCH("Texas",F12)),ISNUMBER(SEARCH("Canada",F12))),OR(J12&lt;=(((Summary!$A$5*60)+Summary!$B$5)/1440),K12&lt;=(((Summary!$A$5*60)+Summary!$B$5)/1440),L12&lt;=(((Summary!$A$5*60)+Summary!$B$5)/1440),M12&lt;=(((Summary!$A$5*60)+Summary!$B$5)/1440))),"Unavailable",IF(AND(ISNUMBER(SEARCH("Short",F12)),OR(J12&lt;=(((Summary!$A$5*60)+Summary!$B$5)/1440),K12&lt;=(((Summary!$A$5*60)+Summary!$B$5)/1440),L12&lt;=(((Summary!$A$5*60)+Summary!$B$5)/1440),M12&lt;=(((Summary!$A$5*60)+Summary!$B$5)/1440))),"Unavailable",IF(AND(OR(ISNUMBER(SEARCH("Texas",F12)),ISNUMBER(SEARCH("Canada",F12))),OR(I12&lt;=(((Summary!$A$5*60)+Summary!$B$5)/1440),J12&lt;=(((Summary!$A$5*60)+Summary!$B$5)/1440),K12&lt;=(((Summary!$A$5*60)+Summary!$B$5)/1440),L12&lt;=(((Summary!$A$5*60)+Summary!$B$5)/1440),M12&lt;=(((Summary!$A$5*60)+Summary!$B$5)/1440))),"Unavailable",IF(OR(I12&lt;=(((Summary!$A$5*60)+Summary!$B$5)/1440),J12&lt;=(((Summary!$A$5*60)+Summary!$B$5)/1440),L12&lt;=(((Summary!$A$5*60)+Summary!$B$5)/1440),M12&lt;=(((Summary!$A$5*60)+Summary!$B$5)/1440)),"Unavailable","Available")))))</f>
        <v>N/A</v>
      </c>
      <c r="I12" s="19">
        <f>Data!G13</f>
        <v>0</v>
      </c>
      <c r="J12" s="19">
        <f>Data!H13</f>
        <v>0</v>
      </c>
      <c r="K12" s="19">
        <f>Data!I13</f>
        <v>0</v>
      </c>
      <c r="L12" s="19">
        <f>Data!J13</f>
        <v>0</v>
      </c>
      <c r="M12" s="19">
        <f>Data!K13</f>
        <v>0</v>
      </c>
    </row>
    <row r="13" spans="1:13" ht="16.5" x14ac:dyDescent="0.3">
      <c r="A13" s="17" t="str">
        <f>Data!A14</f>
        <v>Driver 6</v>
      </c>
      <c r="B13" s="18" t="str">
        <f>IF(Data!C14="","",Data!C14)</f>
        <v>First Name</v>
      </c>
      <c r="C13" s="18" t="str">
        <f>IF(Data!D14="","",Data!D14)</f>
        <v>Last Name</v>
      </c>
      <c r="D13" s="18" t="str">
        <f t="shared" si="0"/>
        <v>First Name Last Name</v>
      </c>
      <c r="E13" s="19" t="str">
        <f>Data!E14</f>
        <v>ON</v>
      </c>
      <c r="F13" s="19" t="str">
        <f>Data!F14</f>
        <v>AmericaTexasShortHaul8Day</v>
      </c>
      <c r="G13" s="19" t="b">
        <f t="shared" si="1"/>
        <v>0</v>
      </c>
      <c r="H13" s="19" t="str">
        <f>IF(OR(ISNUMBER(SEARCH("None",F13))),"N/A",IF(AND(ISNUMBER(SEARCH("Short",F13)),OR(ISNUMBER(SEARCH("Texas",F13)),ISNUMBER(SEARCH("Canada",F13))),OR(J13&lt;=(((Summary!$A$5*60)+Summary!$B$5)/1440),K13&lt;=(((Summary!$A$5*60)+Summary!$B$5)/1440),L13&lt;=(((Summary!$A$5*60)+Summary!$B$5)/1440),M13&lt;=(((Summary!$A$5*60)+Summary!$B$5)/1440))),"Unavailable",IF(AND(ISNUMBER(SEARCH("Short",F13)),OR(J13&lt;=(((Summary!$A$5*60)+Summary!$B$5)/1440),K13&lt;=(((Summary!$A$5*60)+Summary!$B$5)/1440),L13&lt;=(((Summary!$A$5*60)+Summary!$B$5)/1440),M13&lt;=(((Summary!$A$5*60)+Summary!$B$5)/1440))),"Unavailable",IF(AND(OR(ISNUMBER(SEARCH("Texas",F13)),ISNUMBER(SEARCH("Canada",F13))),OR(I13&lt;=(((Summary!$A$5*60)+Summary!$B$5)/1440),J13&lt;=(((Summary!$A$5*60)+Summary!$B$5)/1440),K13&lt;=(((Summary!$A$5*60)+Summary!$B$5)/1440),L13&lt;=(((Summary!$A$5*60)+Summary!$B$5)/1440),M13&lt;=(((Summary!$A$5*60)+Summary!$B$5)/1440))),"Unavailable",IF(OR(I13&lt;=(((Summary!$A$5*60)+Summary!$B$5)/1440),J13&lt;=(((Summary!$A$5*60)+Summary!$B$5)/1440),L13&lt;=(((Summary!$A$5*60)+Summary!$B$5)/1440),M13&lt;=(((Summary!$A$5*60)+Summary!$B$5)/1440)),"Unavailable","Available")))))</f>
        <v>Unavailable</v>
      </c>
      <c r="I13" s="19">
        <f>Data!G14</f>
        <v>0</v>
      </c>
      <c r="J13" s="19">
        <f>Data!H14</f>
        <v>0.5</v>
      </c>
      <c r="K13" s="19">
        <f>Data!I14</f>
        <v>0</v>
      </c>
      <c r="L13" s="19">
        <f>Data!J14</f>
        <v>0</v>
      </c>
      <c r="M13" s="19">
        <f>Data!K14</f>
        <v>0</v>
      </c>
    </row>
    <row r="14" spans="1:13" ht="16.5" x14ac:dyDescent="0.3">
      <c r="A14" s="17" t="str">
        <f>Data!A15</f>
        <v>Driver 7</v>
      </c>
      <c r="B14" s="18" t="str">
        <f>IF(Data!C15="","",Data!C15)</f>
        <v>First Name</v>
      </c>
      <c r="C14" s="18" t="str">
        <f>IF(Data!D15="","",Data!D15)</f>
        <v>Last Name</v>
      </c>
      <c r="D14" s="18" t="str">
        <f t="shared" si="0"/>
        <v>First Name Last Name</v>
      </c>
      <c r="E14" s="19" t="str">
        <f>Data!E15</f>
        <v>ON</v>
      </c>
      <c r="F14" s="19" t="str">
        <f>Data!F15</f>
        <v>America8Day</v>
      </c>
      <c r="G14" s="19" t="b">
        <f t="shared" si="1"/>
        <v>0</v>
      </c>
      <c r="H14" s="19" t="str">
        <f>IF(OR(ISNUMBER(SEARCH("None",F14))),"N/A",IF(AND(ISNUMBER(SEARCH("Short",F14)),OR(ISNUMBER(SEARCH("Texas",F14)),ISNUMBER(SEARCH("Canada",F14))),OR(J14&lt;=(((Summary!$A$5*60)+Summary!$B$5)/1440),K14&lt;=(((Summary!$A$5*60)+Summary!$B$5)/1440),L14&lt;=(((Summary!$A$5*60)+Summary!$B$5)/1440),M14&lt;=(((Summary!$A$5*60)+Summary!$B$5)/1440))),"Unavailable",IF(AND(ISNUMBER(SEARCH("Short",F14)),OR(J14&lt;=(((Summary!$A$5*60)+Summary!$B$5)/1440),K14&lt;=(((Summary!$A$5*60)+Summary!$B$5)/1440),L14&lt;=(((Summary!$A$5*60)+Summary!$B$5)/1440),M14&lt;=(((Summary!$A$5*60)+Summary!$B$5)/1440))),"Unavailable",IF(AND(OR(ISNUMBER(SEARCH("Texas",F14)),ISNUMBER(SEARCH("Canada",F14))),OR(I14&lt;=(((Summary!$A$5*60)+Summary!$B$5)/1440),J14&lt;=(((Summary!$A$5*60)+Summary!$B$5)/1440),K14&lt;=(((Summary!$A$5*60)+Summary!$B$5)/1440),L14&lt;=(((Summary!$A$5*60)+Summary!$B$5)/1440),M14&lt;=(((Summary!$A$5*60)+Summary!$B$5)/1440))),"Unavailable",IF(OR(I14&lt;=(((Summary!$A$5*60)+Summary!$B$5)/1440),J14&lt;=(((Summary!$A$5*60)+Summary!$B$5)/1440),L14&lt;=(((Summary!$A$5*60)+Summary!$B$5)/1440),M14&lt;=(((Summary!$A$5*60)+Summary!$B$5)/1440)),"Unavailable","Available")))))</f>
        <v>Unavailable</v>
      </c>
      <c r="I14" s="19">
        <f>Data!G15</f>
        <v>0</v>
      </c>
      <c r="J14" s="19">
        <f>Data!H15</f>
        <v>0</v>
      </c>
      <c r="K14" s="19">
        <f>Data!I15</f>
        <v>0</v>
      </c>
      <c r="L14" s="19">
        <f>Data!J15</f>
        <v>0</v>
      </c>
      <c r="M14" s="19">
        <f>Data!K15</f>
        <v>0</v>
      </c>
    </row>
    <row r="15" spans="1:13" ht="16.5" x14ac:dyDescent="0.3">
      <c r="A15" s="17" t="str">
        <f>Data!A16</f>
        <v>Driver 8</v>
      </c>
      <c r="B15" s="18" t="str">
        <f>IF(Data!C16="","",Data!C16)</f>
        <v>First Name</v>
      </c>
      <c r="C15" s="18" t="str">
        <f>IF(Data!D16="","",Data!D16)</f>
        <v>Last Name</v>
      </c>
      <c r="D15" s="18" t="str">
        <f t="shared" si="0"/>
        <v>First Name Last Name</v>
      </c>
      <c r="E15" s="19" t="str">
        <f>Data!E16</f>
        <v>OFF</v>
      </c>
      <c r="F15" s="19" t="str">
        <f>Data!F16</f>
        <v>America7Day</v>
      </c>
      <c r="G15" s="19" t="b">
        <f t="shared" si="1"/>
        <v>0</v>
      </c>
      <c r="H15" s="19" t="str">
        <f>IF(OR(ISNUMBER(SEARCH("None",F15))),"N/A",IF(AND(ISNUMBER(SEARCH("Short",F15)),OR(ISNUMBER(SEARCH("Texas",F15)),ISNUMBER(SEARCH("Canada",F15))),OR(J15&lt;=(((Summary!$A$5*60)+Summary!$B$5)/1440),K15&lt;=(((Summary!$A$5*60)+Summary!$B$5)/1440),L15&lt;=(((Summary!$A$5*60)+Summary!$B$5)/1440),M15&lt;=(((Summary!$A$5*60)+Summary!$B$5)/1440))),"Unavailable",IF(AND(ISNUMBER(SEARCH("Short",F15)),OR(J15&lt;=(((Summary!$A$5*60)+Summary!$B$5)/1440),K15&lt;=(((Summary!$A$5*60)+Summary!$B$5)/1440),L15&lt;=(((Summary!$A$5*60)+Summary!$B$5)/1440),M15&lt;=(((Summary!$A$5*60)+Summary!$B$5)/1440))),"Unavailable",IF(AND(OR(ISNUMBER(SEARCH("Texas",F15)),ISNUMBER(SEARCH("Canada",F15))),OR(I15&lt;=(((Summary!$A$5*60)+Summary!$B$5)/1440),J15&lt;=(((Summary!$A$5*60)+Summary!$B$5)/1440),K15&lt;=(((Summary!$A$5*60)+Summary!$B$5)/1440),L15&lt;=(((Summary!$A$5*60)+Summary!$B$5)/1440),M15&lt;=(((Summary!$A$5*60)+Summary!$B$5)/1440))),"Unavailable",IF(OR(I15&lt;=(((Summary!$A$5*60)+Summary!$B$5)/1440),J15&lt;=(((Summary!$A$5*60)+Summary!$B$5)/1440),L15&lt;=(((Summary!$A$5*60)+Summary!$B$5)/1440),M15&lt;=(((Summary!$A$5*60)+Summary!$B$5)/1440)),"Unavailable","Available")))))</f>
        <v>Available</v>
      </c>
      <c r="I15" s="19">
        <f>Data!G16</f>
        <v>0.33333333333333298</v>
      </c>
      <c r="J15" s="19">
        <f>Data!H16</f>
        <v>0.45833333333333298</v>
      </c>
      <c r="K15" s="19">
        <f>Data!I16</f>
        <v>0</v>
      </c>
      <c r="L15" s="19">
        <f>Data!J16</f>
        <v>0.58333333333333304</v>
      </c>
      <c r="M15" s="19">
        <f>Data!K16</f>
        <v>2.5</v>
      </c>
    </row>
    <row r="16" spans="1:13" ht="16.5" x14ac:dyDescent="0.3">
      <c r="A16" s="17" t="str">
        <f>Data!A17</f>
        <v>Driver 9</v>
      </c>
      <c r="B16" s="18" t="str">
        <f>IF(Data!C17="","",Data!C17)</f>
        <v>First Name</v>
      </c>
      <c r="C16" s="18" t="str">
        <f>IF(Data!D17="","",Data!D17)</f>
        <v>Last Name</v>
      </c>
      <c r="D16" s="18" t="str">
        <f t="shared" si="0"/>
        <v>First Name Last Name</v>
      </c>
      <c r="E16" s="19" t="str">
        <f>Data!E17</f>
        <v>OFF</v>
      </c>
      <c r="F16" s="19" t="str">
        <f>Data!F17</f>
        <v>CanadaCycleOne</v>
      </c>
      <c r="G16" s="19" t="b">
        <f t="shared" si="1"/>
        <v>0</v>
      </c>
      <c r="H16" s="19" t="str">
        <f>IF(OR(ISNUMBER(SEARCH("None",F16))),"N/A",IF(AND(ISNUMBER(SEARCH("Short",F16)),OR(ISNUMBER(SEARCH("Texas",F16)),ISNUMBER(SEARCH("Canada",F16))),OR(J16&lt;=(((Summary!$A$5*60)+Summary!$B$5)/1440),K16&lt;=(((Summary!$A$5*60)+Summary!$B$5)/1440),L16&lt;=(((Summary!$A$5*60)+Summary!$B$5)/1440),M16&lt;=(((Summary!$A$5*60)+Summary!$B$5)/1440))),"Unavailable",IF(AND(ISNUMBER(SEARCH("Short",F16)),OR(J16&lt;=(((Summary!$A$5*60)+Summary!$B$5)/1440),K16&lt;=(((Summary!$A$5*60)+Summary!$B$5)/1440),L16&lt;=(((Summary!$A$5*60)+Summary!$B$5)/1440),M16&lt;=(((Summary!$A$5*60)+Summary!$B$5)/1440))),"Unavailable",IF(AND(OR(ISNUMBER(SEARCH("Texas",F16)),ISNUMBER(SEARCH("Canada",F16))),OR(I16&lt;=(((Summary!$A$5*60)+Summary!$B$5)/1440),J16&lt;=(((Summary!$A$5*60)+Summary!$B$5)/1440),K16&lt;=(((Summary!$A$5*60)+Summary!$B$5)/1440),L16&lt;=(((Summary!$A$5*60)+Summary!$B$5)/1440),M16&lt;=(((Summary!$A$5*60)+Summary!$B$5)/1440))),"Unavailable",IF(OR(I16&lt;=(((Summary!$A$5*60)+Summary!$B$5)/1440),J16&lt;=(((Summary!$A$5*60)+Summary!$B$5)/1440),L16&lt;=(((Summary!$A$5*60)+Summary!$B$5)/1440),M16&lt;=(((Summary!$A$5*60)+Summary!$B$5)/1440)),"Unavailable","Available")))))</f>
        <v>Unavailable</v>
      </c>
      <c r="I16" s="19">
        <f>Data!G17</f>
        <v>0</v>
      </c>
      <c r="J16" s="19">
        <f>Data!H17</f>
        <v>0.54166666666666696</v>
      </c>
      <c r="K16" s="19">
        <f>Data!I17</f>
        <v>0.58333333333333304</v>
      </c>
      <c r="L16" s="19">
        <f>Data!J17</f>
        <v>0.66666666666666696</v>
      </c>
      <c r="M16" s="19">
        <f>Data!K17</f>
        <v>2.9166666666666701</v>
      </c>
    </row>
    <row r="17" spans="1:13" ht="16.5" x14ac:dyDescent="0.3">
      <c r="A17" s="17" t="str">
        <f>Data!A18</f>
        <v>Driver 10</v>
      </c>
      <c r="B17" s="18" t="str">
        <f>IF(Data!C18="","",Data!C18)</f>
        <v>First Name</v>
      </c>
      <c r="C17" s="18" t="str">
        <f>IF(Data!D18="","",Data!D18)</f>
        <v>Last Name</v>
      </c>
      <c r="D17" s="18" t="str">
        <f t="shared" si="0"/>
        <v>First Name Last Name</v>
      </c>
      <c r="E17" s="19" t="str">
        <f>Data!E18</f>
        <v>OFF</v>
      </c>
      <c r="F17" s="19" t="str">
        <f>Data!F18</f>
        <v>CaliforniaProperty</v>
      </c>
      <c r="G17" s="19" t="b">
        <f t="shared" si="1"/>
        <v>0</v>
      </c>
      <c r="H17" s="19" t="str">
        <f>IF(OR(ISNUMBER(SEARCH("None",F17))),"N/A",IF(AND(ISNUMBER(SEARCH("Short",F17)),OR(ISNUMBER(SEARCH("Texas",F17)),ISNUMBER(SEARCH("Canada",F17))),OR(J17&lt;=(((Summary!$A$5*60)+Summary!$B$5)/1440),K17&lt;=(((Summary!$A$5*60)+Summary!$B$5)/1440),L17&lt;=(((Summary!$A$5*60)+Summary!$B$5)/1440),M17&lt;=(((Summary!$A$5*60)+Summary!$B$5)/1440))),"Unavailable",IF(AND(ISNUMBER(SEARCH("Short",F17)),OR(J17&lt;=(((Summary!$A$5*60)+Summary!$B$5)/1440),K17&lt;=(((Summary!$A$5*60)+Summary!$B$5)/1440),L17&lt;=(((Summary!$A$5*60)+Summary!$B$5)/1440),M17&lt;=(((Summary!$A$5*60)+Summary!$B$5)/1440))),"Unavailable",IF(AND(OR(ISNUMBER(SEARCH("Texas",F17)),ISNUMBER(SEARCH("Canada",F17))),OR(I17&lt;=(((Summary!$A$5*60)+Summary!$B$5)/1440),J17&lt;=(((Summary!$A$5*60)+Summary!$B$5)/1440),K17&lt;=(((Summary!$A$5*60)+Summary!$B$5)/1440),L17&lt;=(((Summary!$A$5*60)+Summary!$B$5)/1440),M17&lt;=(((Summary!$A$5*60)+Summary!$B$5)/1440))),"Unavailable",IF(OR(I17&lt;=(((Summary!$A$5*60)+Summary!$B$5)/1440),J17&lt;=(((Summary!$A$5*60)+Summary!$B$5)/1440),L17&lt;=(((Summary!$A$5*60)+Summary!$B$5)/1440),M17&lt;=(((Summary!$A$5*60)+Summary!$B$5)/1440)),"Unavailable","Available")))))</f>
        <v>Unavailable</v>
      </c>
      <c r="I17" s="19">
        <f>Data!G18</f>
        <v>0</v>
      </c>
      <c r="J17" s="19">
        <f>Data!H18</f>
        <v>0.5</v>
      </c>
      <c r="K17" s="19">
        <f>Data!I18</f>
        <v>0</v>
      </c>
      <c r="L17" s="19">
        <f>Data!J18</f>
        <v>0.66666666666666696</v>
      </c>
      <c r="M17" s="19">
        <f>Data!K18</f>
        <v>3.2227679398148199</v>
      </c>
    </row>
    <row r="18" spans="1:13" ht="16.5" x14ac:dyDescent="0.3">
      <c r="A18" s="17" t="str">
        <f>Data!A19</f>
        <v>Driver 11</v>
      </c>
      <c r="B18" s="18" t="str">
        <f>IF(Data!C19="","",Data!C19)</f>
        <v>First Name</v>
      </c>
      <c r="C18" s="18" t="str">
        <f>IF(Data!D19="","",Data!D19)</f>
        <v>Last Name</v>
      </c>
      <c r="D18" s="18" t="str">
        <f t="shared" si="0"/>
        <v>First Name Last Name</v>
      </c>
      <c r="E18" s="19" t="str">
        <f>Data!E19</f>
        <v>OFF</v>
      </c>
      <c r="F18" s="19" t="str">
        <f>Data!F19</f>
        <v>CanadaCycleOne</v>
      </c>
      <c r="G18" s="19" t="b">
        <f t="shared" si="1"/>
        <v>0</v>
      </c>
      <c r="H18" s="19" t="str">
        <f>IF(OR(ISNUMBER(SEARCH("None",F18))),"N/A",IF(AND(ISNUMBER(SEARCH("Short",F18)),OR(ISNUMBER(SEARCH("Texas",F18)),ISNUMBER(SEARCH("Canada",F18))),OR(J18&lt;=(((Summary!$A$5*60)+Summary!$B$5)/1440),K18&lt;=(((Summary!$A$5*60)+Summary!$B$5)/1440),L18&lt;=(((Summary!$A$5*60)+Summary!$B$5)/1440),M18&lt;=(((Summary!$A$5*60)+Summary!$B$5)/1440))),"Unavailable",IF(AND(ISNUMBER(SEARCH("Short",F18)),OR(J18&lt;=(((Summary!$A$5*60)+Summary!$B$5)/1440),K18&lt;=(((Summary!$A$5*60)+Summary!$B$5)/1440),L18&lt;=(((Summary!$A$5*60)+Summary!$B$5)/1440),M18&lt;=(((Summary!$A$5*60)+Summary!$B$5)/1440))),"Unavailable",IF(AND(OR(ISNUMBER(SEARCH("Texas",F18)),ISNUMBER(SEARCH("Canada",F18))),OR(I18&lt;=(((Summary!$A$5*60)+Summary!$B$5)/1440),J18&lt;=(((Summary!$A$5*60)+Summary!$B$5)/1440),K18&lt;=(((Summary!$A$5*60)+Summary!$B$5)/1440),L18&lt;=(((Summary!$A$5*60)+Summary!$B$5)/1440),M18&lt;=(((Summary!$A$5*60)+Summary!$B$5)/1440))),"Unavailable",IF(OR(I18&lt;=(((Summary!$A$5*60)+Summary!$B$5)/1440),J18&lt;=(((Summary!$A$5*60)+Summary!$B$5)/1440),L18&lt;=(((Summary!$A$5*60)+Summary!$B$5)/1440),M18&lt;=(((Summary!$A$5*60)+Summary!$B$5)/1440)),"Unavailable","Available")))))</f>
        <v>Unavailable</v>
      </c>
      <c r="I18" s="19">
        <f>Data!G19</f>
        <v>0</v>
      </c>
      <c r="J18" s="19">
        <f>Data!H19</f>
        <v>0.54166666666666696</v>
      </c>
      <c r="K18" s="19">
        <f>Data!I19</f>
        <v>0.58333333333333304</v>
      </c>
      <c r="L18" s="19">
        <f>Data!J19</f>
        <v>0.66666666666666696</v>
      </c>
      <c r="M18" s="19">
        <f>Data!K19</f>
        <v>2.9166666666666701</v>
      </c>
    </row>
    <row r="19" spans="1:13" ht="16.5" x14ac:dyDescent="0.3">
      <c r="A19" s="17" t="str">
        <f>Data!A20</f>
        <v>Driver 12</v>
      </c>
      <c r="B19" s="18" t="str">
        <f>IF(Data!C20="","",Data!C20)</f>
        <v>First Name</v>
      </c>
      <c r="C19" s="18" t="str">
        <f>IF(Data!D20="","",Data!D20)</f>
        <v>Last Name</v>
      </c>
      <c r="D19" s="18" t="str">
        <f t="shared" si="0"/>
        <v>First Name Last Name</v>
      </c>
      <c r="E19" s="19" t="str">
        <f>Data!E20</f>
        <v>OFF</v>
      </c>
      <c r="F19" s="19" t="str">
        <f>Data!F20</f>
        <v>CanadaCycleOne</v>
      </c>
      <c r="G19" s="19" t="b">
        <f t="shared" si="1"/>
        <v>0</v>
      </c>
      <c r="H19" s="19" t="str">
        <f>IF(OR(ISNUMBER(SEARCH("None",F19))),"N/A",IF(AND(ISNUMBER(SEARCH("Short",F19)),OR(ISNUMBER(SEARCH("Texas",F19)),ISNUMBER(SEARCH("Canada",F19))),OR(J19&lt;=(((Summary!$A$5*60)+Summary!$B$5)/1440),K19&lt;=(((Summary!$A$5*60)+Summary!$B$5)/1440),L19&lt;=(((Summary!$A$5*60)+Summary!$B$5)/1440),M19&lt;=(((Summary!$A$5*60)+Summary!$B$5)/1440))),"Unavailable",IF(AND(ISNUMBER(SEARCH("Short",F19)),OR(J19&lt;=(((Summary!$A$5*60)+Summary!$B$5)/1440),K19&lt;=(((Summary!$A$5*60)+Summary!$B$5)/1440),L19&lt;=(((Summary!$A$5*60)+Summary!$B$5)/1440),M19&lt;=(((Summary!$A$5*60)+Summary!$B$5)/1440))),"Unavailable",IF(AND(OR(ISNUMBER(SEARCH("Texas",F19)),ISNUMBER(SEARCH("Canada",F19))),OR(I19&lt;=(((Summary!$A$5*60)+Summary!$B$5)/1440),J19&lt;=(((Summary!$A$5*60)+Summary!$B$5)/1440),K19&lt;=(((Summary!$A$5*60)+Summary!$B$5)/1440),L19&lt;=(((Summary!$A$5*60)+Summary!$B$5)/1440),M19&lt;=(((Summary!$A$5*60)+Summary!$B$5)/1440))),"Unavailable",IF(OR(I19&lt;=(((Summary!$A$5*60)+Summary!$B$5)/1440),J19&lt;=(((Summary!$A$5*60)+Summary!$B$5)/1440),L19&lt;=(((Summary!$A$5*60)+Summary!$B$5)/1440),M19&lt;=(((Summary!$A$5*60)+Summary!$B$5)/1440)),"Unavailable","Available")))))</f>
        <v>Unavailable</v>
      </c>
      <c r="I19" s="19">
        <f>Data!G20</f>
        <v>0</v>
      </c>
      <c r="J19" s="19">
        <f>Data!H20</f>
        <v>0.54166666666666696</v>
      </c>
      <c r="K19" s="19">
        <f>Data!I20</f>
        <v>0.58333333333333304</v>
      </c>
      <c r="L19" s="19">
        <f>Data!J20</f>
        <v>0.66666666666666696</v>
      </c>
      <c r="M19" s="19">
        <f>Data!K20</f>
        <v>2.9166666666666701</v>
      </c>
    </row>
    <row r="20" spans="1:13" ht="16.5" x14ac:dyDescent="0.3">
      <c r="A20" s="17" t="str">
        <f>Data!A21</f>
        <v>Driver 13</v>
      </c>
      <c r="B20" s="18" t="str">
        <f>IF(Data!C21="","",Data!C21)</f>
        <v>First Name</v>
      </c>
      <c r="C20" s="18" t="str">
        <f>IF(Data!D21="","",Data!D21)</f>
        <v>Last Name</v>
      </c>
      <c r="D20" s="18" t="str">
        <f t="shared" si="0"/>
        <v>First Name Last Name</v>
      </c>
      <c r="E20" s="19" t="str">
        <f>Data!E21</f>
        <v>OFF</v>
      </c>
      <c r="F20" s="19" t="str">
        <f>Data!F21</f>
        <v>America8Day</v>
      </c>
      <c r="G20" s="19" t="b">
        <f t="shared" si="1"/>
        <v>0</v>
      </c>
      <c r="H20" s="19" t="str">
        <f>IF(OR(ISNUMBER(SEARCH("None",F20))),"N/A",IF(AND(ISNUMBER(SEARCH("Short",F20)),OR(ISNUMBER(SEARCH("Texas",F20)),ISNUMBER(SEARCH("Canada",F20))),OR(J20&lt;=(((Summary!$A$5*60)+Summary!$B$5)/1440),K20&lt;=(((Summary!$A$5*60)+Summary!$B$5)/1440),L20&lt;=(((Summary!$A$5*60)+Summary!$B$5)/1440),M20&lt;=(((Summary!$A$5*60)+Summary!$B$5)/1440))),"Unavailable",IF(AND(ISNUMBER(SEARCH("Short",F20)),OR(J20&lt;=(((Summary!$A$5*60)+Summary!$B$5)/1440),K20&lt;=(((Summary!$A$5*60)+Summary!$B$5)/1440),L20&lt;=(((Summary!$A$5*60)+Summary!$B$5)/1440),M20&lt;=(((Summary!$A$5*60)+Summary!$B$5)/1440))),"Unavailable",IF(AND(OR(ISNUMBER(SEARCH("Texas",F20)),ISNUMBER(SEARCH("Canada",F20))),OR(I20&lt;=(((Summary!$A$5*60)+Summary!$B$5)/1440),J20&lt;=(((Summary!$A$5*60)+Summary!$B$5)/1440),K20&lt;=(((Summary!$A$5*60)+Summary!$B$5)/1440),L20&lt;=(((Summary!$A$5*60)+Summary!$B$5)/1440),M20&lt;=(((Summary!$A$5*60)+Summary!$B$5)/1440))),"Unavailable",IF(OR(I20&lt;=(((Summary!$A$5*60)+Summary!$B$5)/1440),J20&lt;=(((Summary!$A$5*60)+Summary!$B$5)/1440),L20&lt;=(((Summary!$A$5*60)+Summary!$B$5)/1440),M20&lt;=(((Summary!$A$5*60)+Summary!$B$5)/1440)),"Unavailable","Available")))))</f>
        <v>Available</v>
      </c>
      <c r="I20" s="19">
        <f>Data!G21</f>
        <v>0.33333333333333298</v>
      </c>
      <c r="J20" s="19">
        <f>Data!H21</f>
        <v>0.45833333333333298</v>
      </c>
      <c r="K20" s="19">
        <f>Data!I21</f>
        <v>0</v>
      </c>
      <c r="L20" s="19">
        <f>Data!J21</f>
        <v>0.58333333333333304</v>
      </c>
      <c r="M20" s="19">
        <f>Data!K21</f>
        <v>2.9166666666666701</v>
      </c>
    </row>
    <row r="21" spans="1:13" ht="16.5" x14ac:dyDescent="0.3">
      <c r="A21" s="17" t="str">
        <f>Data!A22</f>
        <v>Driver 14</v>
      </c>
      <c r="B21" s="18" t="str">
        <f>IF(Data!C22="","",Data!C22)</f>
        <v>First Name</v>
      </c>
      <c r="C21" s="18" t="str">
        <f>IF(Data!D22="","",Data!D22)</f>
        <v>Last Name</v>
      </c>
      <c r="D21" s="18" t="str">
        <f t="shared" si="0"/>
        <v>First Name Last Name</v>
      </c>
      <c r="E21" s="19" t="str">
        <f>Data!E22</f>
        <v>D</v>
      </c>
      <c r="F21" s="19" t="str">
        <f>Data!F22</f>
        <v>None</v>
      </c>
      <c r="G21" s="19" t="b">
        <f t="shared" si="1"/>
        <v>1</v>
      </c>
      <c r="H21" s="19" t="str">
        <f>IF(OR(ISNUMBER(SEARCH("None",F21))),"N/A",IF(AND(ISNUMBER(SEARCH("Short",F21)),OR(ISNUMBER(SEARCH("Texas",F21)),ISNUMBER(SEARCH("Canada",F21))),OR(J21&lt;=(((Summary!$A$5*60)+Summary!$B$5)/1440),K21&lt;=(((Summary!$A$5*60)+Summary!$B$5)/1440),L21&lt;=(((Summary!$A$5*60)+Summary!$B$5)/1440),M21&lt;=(((Summary!$A$5*60)+Summary!$B$5)/1440))),"Unavailable",IF(AND(ISNUMBER(SEARCH("Short",F21)),OR(J21&lt;=(((Summary!$A$5*60)+Summary!$B$5)/1440),K21&lt;=(((Summary!$A$5*60)+Summary!$B$5)/1440),L21&lt;=(((Summary!$A$5*60)+Summary!$B$5)/1440),M21&lt;=(((Summary!$A$5*60)+Summary!$B$5)/1440))),"Unavailable",IF(AND(OR(ISNUMBER(SEARCH("Texas",F21)),ISNUMBER(SEARCH("Canada",F21))),OR(I21&lt;=(((Summary!$A$5*60)+Summary!$B$5)/1440),J21&lt;=(((Summary!$A$5*60)+Summary!$B$5)/1440),K21&lt;=(((Summary!$A$5*60)+Summary!$B$5)/1440),L21&lt;=(((Summary!$A$5*60)+Summary!$B$5)/1440),M21&lt;=(((Summary!$A$5*60)+Summary!$B$5)/1440))),"Unavailable",IF(OR(I21&lt;=(((Summary!$A$5*60)+Summary!$B$5)/1440),J21&lt;=(((Summary!$A$5*60)+Summary!$B$5)/1440),L21&lt;=(((Summary!$A$5*60)+Summary!$B$5)/1440),M21&lt;=(((Summary!$A$5*60)+Summary!$B$5)/1440)),"Unavailable","Available")))))</f>
        <v>N/A</v>
      </c>
      <c r="I21" s="19">
        <f>Data!G22</f>
        <v>0</v>
      </c>
      <c r="J21" s="19">
        <f>Data!H22</f>
        <v>0</v>
      </c>
      <c r="K21" s="19">
        <f>Data!I22</f>
        <v>0</v>
      </c>
      <c r="L21" s="19">
        <f>Data!J22</f>
        <v>0</v>
      </c>
      <c r="M21" s="19">
        <f>Data!K22</f>
        <v>0</v>
      </c>
    </row>
    <row r="22" spans="1:13" ht="16.5" x14ac:dyDescent="0.3">
      <c r="A22" s="17" t="str">
        <f>Data!A23</f>
        <v>Driver 15</v>
      </c>
      <c r="B22" s="18" t="str">
        <f>IF(Data!C23="","",Data!C23)</f>
        <v>First Name</v>
      </c>
      <c r="C22" s="18" t="str">
        <f>IF(Data!D23="","",Data!D23)</f>
        <v>Last Name</v>
      </c>
      <c r="D22" s="18" t="str">
        <f t="shared" si="0"/>
        <v>First Name Last Name</v>
      </c>
      <c r="E22" s="19" t="str">
        <f>Data!E23</f>
        <v>OFF</v>
      </c>
      <c r="F22" s="19" t="str">
        <f>Data!F23</f>
        <v>CanadaCycleOne</v>
      </c>
      <c r="G22" s="19" t="b">
        <f t="shared" si="1"/>
        <v>0</v>
      </c>
      <c r="H22" s="19" t="str">
        <f>IF(OR(ISNUMBER(SEARCH("None",F22))),"N/A",IF(AND(ISNUMBER(SEARCH("Short",F22)),OR(ISNUMBER(SEARCH("Texas",F22)),ISNUMBER(SEARCH("Canada",F22))),OR(J22&lt;=(((Summary!$A$5*60)+Summary!$B$5)/1440),K22&lt;=(((Summary!$A$5*60)+Summary!$B$5)/1440),L22&lt;=(((Summary!$A$5*60)+Summary!$B$5)/1440),M22&lt;=(((Summary!$A$5*60)+Summary!$B$5)/1440))),"Unavailable",IF(AND(ISNUMBER(SEARCH("Short",F22)),OR(J22&lt;=(((Summary!$A$5*60)+Summary!$B$5)/1440),K22&lt;=(((Summary!$A$5*60)+Summary!$B$5)/1440),L22&lt;=(((Summary!$A$5*60)+Summary!$B$5)/1440),M22&lt;=(((Summary!$A$5*60)+Summary!$B$5)/1440))),"Unavailable",IF(AND(OR(ISNUMBER(SEARCH("Texas",F22)),ISNUMBER(SEARCH("Canada",F22))),OR(I22&lt;=(((Summary!$A$5*60)+Summary!$B$5)/1440),J22&lt;=(((Summary!$A$5*60)+Summary!$B$5)/1440),K22&lt;=(((Summary!$A$5*60)+Summary!$B$5)/1440),L22&lt;=(((Summary!$A$5*60)+Summary!$B$5)/1440),M22&lt;=(((Summary!$A$5*60)+Summary!$B$5)/1440))),"Unavailable",IF(OR(I22&lt;=(((Summary!$A$5*60)+Summary!$B$5)/1440),J22&lt;=(((Summary!$A$5*60)+Summary!$B$5)/1440),L22&lt;=(((Summary!$A$5*60)+Summary!$B$5)/1440),M22&lt;=(((Summary!$A$5*60)+Summary!$B$5)/1440)),"Unavailable","Available")))))</f>
        <v>Unavailable</v>
      </c>
      <c r="I22" s="19">
        <f>Data!G23</f>
        <v>0</v>
      </c>
      <c r="J22" s="19">
        <f>Data!H23</f>
        <v>0.54166666666666696</v>
      </c>
      <c r="K22" s="19">
        <f>Data!I23</f>
        <v>0.58333333333333304</v>
      </c>
      <c r="L22" s="19">
        <f>Data!J23</f>
        <v>0.66666666666666696</v>
      </c>
      <c r="M22" s="19">
        <f>Data!K23</f>
        <v>2.9166666666666701</v>
      </c>
    </row>
    <row r="23" spans="1:13" ht="16.5" x14ac:dyDescent="0.3">
      <c r="A23" s="17" t="str">
        <f>Data!A24</f>
        <v>Driver 16</v>
      </c>
      <c r="B23" s="18" t="str">
        <f>IF(Data!C24="","",Data!C24)</f>
        <v>First Name</v>
      </c>
      <c r="C23" s="18" t="str">
        <f>IF(Data!D24="","",Data!D24)</f>
        <v>Last Name</v>
      </c>
      <c r="D23" s="18" t="str">
        <f t="shared" si="0"/>
        <v>First Name Last Name</v>
      </c>
      <c r="E23" s="19" t="str">
        <f>Data!E24</f>
        <v>ON</v>
      </c>
      <c r="F23" s="19" t="str">
        <f>Data!F24</f>
        <v>America8Day</v>
      </c>
      <c r="G23" s="19" t="b">
        <f t="shared" si="1"/>
        <v>0</v>
      </c>
      <c r="H23" s="19" t="str">
        <f>IF(OR(ISNUMBER(SEARCH("None",F23))),"N/A",IF(AND(ISNUMBER(SEARCH("Short",F23)),OR(ISNUMBER(SEARCH("Texas",F23)),ISNUMBER(SEARCH("Canada",F23))),OR(J23&lt;=(((Summary!$A$5*60)+Summary!$B$5)/1440),K23&lt;=(((Summary!$A$5*60)+Summary!$B$5)/1440),L23&lt;=(((Summary!$A$5*60)+Summary!$B$5)/1440),M23&lt;=(((Summary!$A$5*60)+Summary!$B$5)/1440))),"Unavailable",IF(AND(ISNUMBER(SEARCH("Short",F23)),OR(J23&lt;=(((Summary!$A$5*60)+Summary!$B$5)/1440),K23&lt;=(((Summary!$A$5*60)+Summary!$B$5)/1440),L23&lt;=(((Summary!$A$5*60)+Summary!$B$5)/1440),M23&lt;=(((Summary!$A$5*60)+Summary!$B$5)/1440))),"Unavailable",IF(AND(OR(ISNUMBER(SEARCH("Texas",F23)),ISNUMBER(SEARCH("Canada",F23))),OR(I23&lt;=(((Summary!$A$5*60)+Summary!$B$5)/1440),J23&lt;=(((Summary!$A$5*60)+Summary!$B$5)/1440),K23&lt;=(((Summary!$A$5*60)+Summary!$B$5)/1440),L23&lt;=(((Summary!$A$5*60)+Summary!$B$5)/1440),M23&lt;=(((Summary!$A$5*60)+Summary!$B$5)/1440))),"Unavailable",IF(OR(I23&lt;=(((Summary!$A$5*60)+Summary!$B$5)/1440),J23&lt;=(((Summary!$A$5*60)+Summary!$B$5)/1440),L23&lt;=(((Summary!$A$5*60)+Summary!$B$5)/1440),M23&lt;=(((Summary!$A$5*60)+Summary!$B$5)/1440)),"Unavailable","Available")))))</f>
        <v>Unavailable</v>
      </c>
      <c r="I23" s="19">
        <f>Data!G24</f>
        <v>0</v>
      </c>
      <c r="J23" s="19">
        <f>Data!H24</f>
        <v>0</v>
      </c>
      <c r="K23" s="19">
        <f>Data!I24</f>
        <v>0</v>
      </c>
      <c r="L23" s="19">
        <f>Data!J24</f>
        <v>0</v>
      </c>
      <c r="M23" s="19">
        <f>Data!K24</f>
        <v>0</v>
      </c>
    </row>
    <row r="24" spans="1:13" ht="16.5" x14ac:dyDescent="0.3">
      <c r="A24" s="17" t="str">
        <f>Data!A25</f>
        <v>Driver 17</v>
      </c>
      <c r="B24" s="18" t="str">
        <f>IF(Data!C25="","",Data!C25)</f>
        <v>First Name</v>
      </c>
      <c r="C24" s="18" t="str">
        <f>IF(Data!D25="","",Data!D25)</f>
        <v>Last Name</v>
      </c>
      <c r="D24" s="18" t="str">
        <f t="shared" si="0"/>
        <v>First Name Last Name</v>
      </c>
      <c r="E24" s="19" t="str">
        <f>Data!E25</f>
        <v>ON</v>
      </c>
      <c r="F24" s="19" t="str">
        <f>Data!F25</f>
        <v>None</v>
      </c>
      <c r="G24" s="19" t="b">
        <f t="shared" si="1"/>
        <v>1</v>
      </c>
      <c r="H24" s="19" t="str">
        <f>IF(OR(ISNUMBER(SEARCH("None",F24))),"N/A",IF(AND(ISNUMBER(SEARCH("Short",F24)),OR(ISNUMBER(SEARCH("Texas",F24)),ISNUMBER(SEARCH("Canada",F24))),OR(J24&lt;=(((Summary!$A$5*60)+Summary!$B$5)/1440),K24&lt;=(((Summary!$A$5*60)+Summary!$B$5)/1440),L24&lt;=(((Summary!$A$5*60)+Summary!$B$5)/1440),M24&lt;=(((Summary!$A$5*60)+Summary!$B$5)/1440))),"Unavailable",IF(AND(ISNUMBER(SEARCH("Short",F24)),OR(J24&lt;=(((Summary!$A$5*60)+Summary!$B$5)/1440),K24&lt;=(((Summary!$A$5*60)+Summary!$B$5)/1440),L24&lt;=(((Summary!$A$5*60)+Summary!$B$5)/1440),M24&lt;=(((Summary!$A$5*60)+Summary!$B$5)/1440))),"Unavailable",IF(AND(OR(ISNUMBER(SEARCH("Texas",F24)),ISNUMBER(SEARCH("Canada",F24))),OR(I24&lt;=(((Summary!$A$5*60)+Summary!$B$5)/1440),J24&lt;=(((Summary!$A$5*60)+Summary!$B$5)/1440),K24&lt;=(((Summary!$A$5*60)+Summary!$B$5)/1440),L24&lt;=(((Summary!$A$5*60)+Summary!$B$5)/1440),M24&lt;=(((Summary!$A$5*60)+Summary!$B$5)/1440))),"Unavailable",IF(OR(I24&lt;=(((Summary!$A$5*60)+Summary!$B$5)/1440),J24&lt;=(((Summary!$A$5*60)+Summary!$B$5)/1440),L24&lt;=(((Summary!$A$5*60)+Summary!$B$5)/1440),M24&lt;=(((Summary!$A$5*60)+Summary!$B$5)/1440)),"Unavailable","Available")))))</f>
        <v>N/A</v>
      </c>
      <c r="I24" s="19">
        <f>Data!G25</f>
        <v>0</v>
      </c>
      <c r="J24" s="19">
        <f>Data!H25</f>
        <v>0</v>
      </c>
      <c r="K24" s="19">
        <f>Data!I25</f>
        <v>0</v>
      </c>
      <c r="L24" s="19">
        <f>Data!J25</f>
        <v>0</v>
      </c>
      <c r="M24" s="19">
        <f>Data!K25</f>
        <v>0</v>
      </c>
    </row>
    <row r="25" spans="1:13" ht="16.5" x14ac:dyDescent="0.3">
      <c r="A25" s="17" t="str">
        <f>Data!A26</f>
        <v>Driver 18</v>
      </c>
      <c r="B25" s="18" t="str">
        <f>IF(Data!C26="","",Data!C26)</f>
        <v>First Name</v>
      </c>
      <c r="C25" s="18" t="str">
        <f>IF(Data!D26="","",Data!D26)</f>
        <v>Last Name</v>
      </c>
      <c r="D25" s="18" t="str">
        <f t="shared" si="0"/>
        <v>First Name Last Name</v>
      </c>
      <c r="E25" s="19" t="str">
        <f>Data!E26</f>
        <v>ON</v>
      </c>
      <c r="F25" s="19" t="str">
        <f>Data!F26</f>
        <v>America8DayBig</v>
      </c>
      <c r="G25" s="19" t="b">
        <f t="shared" si="1"/>
        <v>0</v>
      </c>
      <c r="H25" s="19" t="str">
        <f>IF(OR(ISNUMBER(SEARCH("None",F25))),"N/A",IF(AND(ISNUMBER(SEARCH("Short",F25)),OR(ISNUMBER(SEARCH("Texas",F25)),ISNUMBER(SEARCH("Canada",F25))),OR(J25&lt;=(((Summary!$A$5*60)+Summary!$B$5)/1440),K25&lt;=(((Summary!$A$5*60)+Summary!$B$5)/1440),L25&lt;=(((Summary!$A$5*60)+Summary!$B$5)/1440),M25&lt;=(((Summary!$A$5*60)+Summary!$B$5)/1440))),"Unavailable",IF(AND(ISNUMBER(SEARCH("Short",F25)),OR(J25&lt;=(((Summary!$A$5*60)+Summary!$B$5)/1440),K25&lt;=(((Summary!$A$5*60)+Summary!$B$5)/1440),L25&lt;=(((Summary!$A$5*60)+Summary!$B$5)/1440),M25&lt;=(((Summary!$A$5*60)+Summary!$B$5)/1440))),"Unavailable",IF(AND(OR(ISNUMBER(SEARCH("Texas",F25)),ISNUMBER(SEARCH("Canada",F25))),OR(I25&lt;=(((Summary!$A$5*60)+Summary!$B$5)/1440),J25&lt;=(((Summary!$A$5*60)+Summary!$B$5)/1440),K25&lt;=(((Summary!$A$5*60)+Summary!$B$5)/1440),L25&lt;=(((Summary!$A$5*60)+Summary!$B$5)/1440),M25&lt;=(((Summary!$A$5*60)+Summary!$B$5)/1440))),"Unavailable",IF(OR(I25&lt;=(((Summary!$A$5*60)+Summary!$B$5)/1440),J25&lt;=(((Summary!$A$5*60)+Summary!$B$5)/1440),L25&lt;=(((Summary!$A$5*60)+Summary!$B$5)/1440),M25&lt;=(((Summary!$A$5*60)+Summary!$B$5)/1440)),"Unavailable","Available")))))</f>
        <v>Unavailable</v>
      </c>
      <c r="I25" s="19">
        <f>Data!G26</f>
        <v>0</v>
      </c>
      <c r="J25" s="19">
        <f>Data!H26</f>
        <v>0.45833333333333298</v>
      </c>
      <c r="K25" s="19">
        <f>Data!I26</f>
        <v>0</v>
      </c>
      <c r="L25" s="19">
        <f>Data!J26</f>
        <v>0</v>
      </c>
      <c r="M25" s="19">
        <f>Data!K26</f>
        <v>0</v>
      </c>
    </row>
    <row r="26" spans="1:13" ht="16.5" x14ac:dyDescent="0.3">
      <c r="A26" s="17" t="str">
        <f>Data!A27</f>
        <v>Driver 19</v>
      </c>
      <c r="B26" s="18" t="str">
        <f>IF(Data!C27="","",Data!C27)</f>
        <v>First Name</v>
      </c>
      <c r="C26" s="18" t="str">
        <f>IF(Data!D27="","",Data!D27)</f>
        <v>Last Name</v>
      </c>
      <c r="D26" s="18" t="str">
        <f t="shared" si="0"/>
        <v>First Name Last Name</v>
      </c>
      <c r="E26" s="19" t="str">
        <f>Data!E27</f>
        <v>ON</v>
      </c>
      <c r="F26" s="19" t="str">
        <f>Data!F27</f>
        <v>None</v>
      </c>
      <c r="G26" s="19" t="b">
        <f t="shared" si="1"/>
        <v>1</v>
      </c>
      <c r="H26" s="19" t="str">
        <f>IF(OR(ISNUMBER(SEARCH("None",F26))),"N/A",IF(AND(ISNUMBER(SEARCH("Short",F26)),OR(ISNUMBER(SEARCH("Texas",F26)),ISNUMBER(SEARCH("Canada",F26))),OR(J26&lt;=(((Summary!$A$5*60)+Summary!$B$5)/1440),K26&lt;=(((Summary!$A$5*60)+Summary!$B$5)/1440),L26&lt;=(((Summary!$A$5*60)+Summary!$B$5)/1440),M26&lt;=(((Summary!$A$5*60)+Summary!$B$5)/1440))),"Unavailable",IF(AND(ISNUMBER(SEARCH("Short",F26)),OR(J26&lt;=(((Summary!$A$5*60)+Summary!$B$5)/1440),K26&lt;=(((Summary!$A$5*60)+Summary!$B$5)/1440),L26&lt;=(((Summary!$A$5*60)+Summary!$B$5)/1440),M26&lt;=(((Summary!$A$5*60)+Summary!$B$5)/1440))),"Unavailable",IF(AND(OR(ISNUMBER(SEARCH("Texas",F26)),ISNUMBER(SEARCH("Canada",F26))),OR(I26&lt;=(((Summary!$A$5*60)+Summary!$B$5)/1440),J26&lt;=(((Summary!$A$5*60)+Summary!$B$5)/1440),K26&lt;=(((Summary!$A$5*60)+Summary!$B$5)/1440),L26&lt;=(((Summary!$A$5*60)+Summary!$B$5)/1440),M26&lt;=(((Summary!$A$5*60)+Summary!$B$5)/1440))),"Unavailable",IF(OR(I26&lt;=(((Summary!$A$5*60)+Summary!$B$5)/1440),J26&lt;=(((Summary!$A$5*60)+Summary!$B$5)/1440),L26&lt;=(((Summary!$A$5*60)+Summary!$B$5)/1440),M26&lt;=(((Summary!$A$5*60)+Summary!$B$5)/1440)),"Unavailable","Available")))))</f>
        <v>N/A</v>
      </c>
      <c r="I26" s="19">
        <f>Data!G27</f>
        <v>0</v>
      </c>
      <c r="J26" s="19">
        <f>Data!H27</f>
        <v>0</v>
      </c>
      <c r="K26" s="19">
        <f>Data!I27</f>
        <v>0</v>
      </c>
      <c r="L26" s="19">
        <f>Data!J27</f>
        <v>0</v>
      </c>
      <c r="M26" s="19">
        <f>Data!K27</f>
        <v>0</v>
      </c>
    </row>
    <row r="27" spans="1:13" ht="16.5" x14ac:dyDescent="0.3">
      <c r="A27" s="17" t="str">
        <f>Data!A28</f>
        <v>Driver 20</v>
      </c>
      <c r="B27" s="18" t="str">
        <f>IF(Data!C28="","",Data!C28)</f>
        <v>First Name</v>
      </c>
      <c r="C27" s="18" t="str">
        <f>IF(Data!D28="","",Data!D28)</f>
        <v>Last Name</v>
      </c>
      <c r="D27" s="18" t="str">
        <f t="shared" si="0"/>
        <v>First Name Last Name</v>
      </c>
      <c r="E27" s="19" t="str">
        <f>Data!E28</f>
        <v>OFF</v>
      </c>
      <c r="F27" s="19" t="str">
        <f>Data!F28</f>
        <v>None</v>
      </c>
      <c r="G27" s="19" t="b">
        <f t="shared" si="1"/>
        <v>1</v>
      </c>
      <c r="H27" s="19" t="str">
        <f>IF(OR(ISNUMBER(SEARCH("None",F27))),"N/A",IF(AND(ISNUMBER(SEARCH("Short",F27)),OR(ISNUMBER(SEARCH("Texas",F27)),ISNUMBER(SEARCH("Canada",F27))),OR(J27&lt;=(((Summary!$A$5*60)+Summary!$B$5)/1440),K27&lt;=(((Summary!$A$5*60)+Summary!$B$5)/1440),L27&lt;=(((Summary!$A$5*60)+Summary!$B$5)/1440),M27&lt;=(((Summary!$A$5*60)+Summary!$B$5)/1440))),"Unavailable",IF(AND(ISNUMBER(SEARCH("Short",F27)),OR(J27&lt;=(((Summary!$A$5*60)+Summary!$B$5)/1440),K27&lt;=(((Summary!$A$5*60)+Summary!$B$5)/1440),L27&lt;=(((Summary!$A$5*60)+Summary!$B$5)/1440),M27&lt;=(((Summary!$A$5*60)+Summary!$B$5)/1440))),"Unavailable",IF(AND(OR(ISNUMBER(SEARCH("Texas",F27)),ISNUMBER(SEARCH("Canada",F27))),OR(I27&lt;=(((Summary!$A$5*60)+Summary!$B$5)/1440),J27&lt;=(((Summary!$A$5*60)+Summary!$B$5)/1440),K27&lt;=(((Summary!$A$5*60)+Summary!$B$5)/1440),L27&lt;=(((Summary!$A$5*60)+Summary!$B$5)/1440),M27&lt;=(((Summary!$A$5*60)+Summary!$B$5)/1440))),"Unavailable",IF(OR(I27&lt;=(((Summary!$A$5*60)+Summary!$B$5)/1440),J27&lt;=(((Summary!$A$5*60)+Summary!$B$5)/1440),L27&lt;=(((Summary!$A$5*60)+Summary!$B$5)/1440),M27&lt;=(((Summary!$A$5*60)+Summary!$B$5)/1440)),"Unavailable","Available")))))</f>
        <v>N/A</v>
      </c>
      <c r="I27" s="19">
        <f>Data!G28</f>
        <v>0</v>
      </c>
      <c r="J27" s="19">
        <f>Data!H28</f>
        <v>0</v>
      </c>
      <c r="K27" s="19">
        <f>Data!I28</f>
        <v>0</v>
      </c>
      <c r="L27" s="19">
        <f>Data!J28</f>
        <v>0</v>
      </c>
      <c r="M27" s="19">
        <f>Data!K28</f>
        <v>0</v>
      </c>
    </row>
    <row r="28" spans="1:13" ht="16.5" x14ac:dyDescent="0.3">
      <c r="A28" s="17" t="str">
        <f>Data!A29</f>
        <v>Driver 21</v>
      </c>
      <c r="B28" s="18" t="str">
        <f>IF(Data!C29="","",Data!C29)</f>
        <v>First Name</v>
      </c>
      <c r="C28" s="18" t="str">
        <f>IF(Data!D29="","",Data!D29)</f>
        <v>Last Name</v>
      </c>
      <c r="D28" s="18" t="str">
        <f t="shared" si="0"/>
        <v>First Name Last Name</v>
      </c>
      <c r="E28" s="19" t="str">
        <f>Data!E29</f>
        <v>OFF</v>
      </c>
      <c r="F28" s="19" t="str">
        <f>Data!F29</f>
        <v>CanadaCycleTwo</v>
      </c>
      <c r="G28" s="19" t="b">
        <f t="shared" si="1"/>
        <v>0</v>
      </c>
      <c r="H28" s="19" t="str">
        <f>IF(OR(ISNUMBER(SEARCH("None",F28))),"N/A",IF(AND(ISNUMBER(SEARCH("Short",F28)),OR(ISNUMBER(SEARCH("Texas",F28)),ISNUMBER(SEARCH("Canada",F28))),OR(J28&lt;=(((Summary!$A$5*60)+Summary!$B$5)/1440),K28&lt;=(((Summary!$A$5*60)+Summary!$B$5)/1440),L28&lt;=(((Summary!$A$5*60)+Summary!$B$5)/1440),M28&lt;=(((Summary!$A$5*60)+Summary!$B$5)/1440))),"Unavailable",IF(AND(ISNUMBER(SEARCH("Short",F28)),OR(J28&lt;=(((Summary!$A$5*60)+Summary!$B$5)/1440),K28&lt;=(((Summary!$A$5*60)+Summary!$B$5)/1440),L28&lt;=(((Summary!$A$5*60)+Summary!$B$5)/1440),M28&lt;=(((Summary!$A$5*60)+Summary!$B$5)/1440))),"Unavailable",IF(AND(OR(ISNUMBER(SEARCH("Texas",F28)),ISNUMBER(SEARCH("Canada",F28))),OR(I28&lt;=(((Summary!$A$5*60)+Summary!$B$5)/1440),J28&lt;=(((Summary!$A$5*60)+Summary!$B$5)/1440),K28&lt;=(((Summary!$A$5*60)+Summary!$B$5)/1440),L28&lt;=(((Summary!$A$5*60)+Summary!$B$5)/1440),M28&lt;=(((Summary!$A$5*60)+Summary!$B$5)/1440))),"Unavailable",IF(OR(I28&lt;=(((Summary!$A$5*60)+Summary!$B$5)/1440),J28&lt;=(((Summary!$A$5*60)+Summary!$B$5)/1440),L28&lt;=(((Summary!$A$5*60)+Summary!$B$5)/1440),M28&lt;=(((Summary!$A$5*60)+Summary!$B$5)/1440)),"Unavailable","Available")))))</f>
        <v>Unavailable</v>
      </c>
      <c r="I28" s="19">
        <f>Data!G29</f>
        <v>0</v>
      </c>
      <c r="J28" s="19">
        <f>Data!H29</f>
        <v>0.54166666666666696</v>
      </c>
      <c r="K28" s="19">
        <f>Data!I29</f>
        <v>0.58333333333333304</v>
      </c>
      <c r="L28" s="19">
        <f>Data!J29</f>
        <v>0.66666666666666696</v>
      </c>
      <c r="M28" s="19">
        <f>Data!K29</f>
        <v>5</v>
      </c>
    </row>
    <row r="29" spans="1:13" ht="16.5" x14ac:dyDescent="0.3">
      <c r="A29" s="17" t="str">
        <f>Data!A30</f>
        <v>Driver 22</v>
      </c>
      <c r="B29" s="18" t="str">
        <f>IF(Data!C30="","",Data!C30)</f>
        <v>First Name</v>
      </c>
      <c r="C29" s="18" t="str">
        <f>IF(Data!D30="","",Data!D30)</f>
        <v>Last Name</v>
      </c>
      <c r="D29" s="18" t="str">
        <f t="shared" si="0"/>
        <v>First Name Last Name</v>
      </c>
      <c r="E29" s="19" t="str">
        <f>Data!E30</f>
        <v>ON</v>
      </c>
      <c r="F29" s="19" t="str">
        <f>Data!F30</f>
        <v>America7Day</v>
      </c>
      <c r="G29" s="19" t="b">
        <f t="shared" si="1"/>
        <v>0</v>
      </c>
      <c r="H29" s="19" t="str">
        <f>IF(OR(ISNUMBER(SEARCH("None",F29))),"N/A",IF(AND(ISNUMBER(SEARCH("Short",F29)),OR(ISNUMBER(SEARCH("Texas",F29)),ISNUMBER(SEARCH("Canada",F29))),OR(J29&lt;=(((Summary!$A$5*60)+Summary!$B$5)/1440),K29&lt;=(((Summary!$A$5*60)+Summary!$B$5)/1440),L29&lt;=(((Summary!$A$5*60)+Summary!$B$5)/1440),M29&lt;=(((Summary!$A$5*60)+Summary!$B$5)/1440))),"Unavailable",IF(AND(ISNUMBER(SEARCH("Short",F29)),OR(J29&lt;=(((Summary!$A$5*60)+Summary!$B$5)/1440),K29&lt;=(((Summary!$A$5*60)+Summary!$B$5)/1440),L29&lt;=(((Summary!$A$5*60)+Summary!$B$5)/1440),M29&lt;=(((Summary!$A$5*60)+Summary!$B$5)/1440))),"Unavailable",IF(AND(OR(ISNUMBER(SEARCH("Texas",F29)),ISNUMBER(SEARCH("Canada",F29))),OR(I29&lt;=(((Summary!$A$5*60)+Summary!$B$5)/1440),J29&lt;=(((Summary!$A$5*60)+Summary!$B$5)/1440),K29&lt;=(((Summary!$A$5*60)+Summary!$B$5)/1440),L29&lt;=(((Summary!$A$5*60)+Summary!$B$5)/1440),M29&lt;=(((Summary!$A$5*60)+Summary!$B$5)/1440))),"Unavailable",IF(OR(I29&lt;=(((Summary!$A$5*60)+Summary!$B$5)/1440),J29&lt;=(((Summary!$A$5*60)+Summary!$B$5)/1440),L29&lt;=(((Summary!$A$5*60)+Summary!$B$5)/1440),M29&lt;=(((Summary!$A$5*60)+Summary!$B$5)/1440)),"Unavailable","Available")))))</f>
        <v>Unavailable</v>
      </c>
      <c r="I29" s="19">
        <f>Data!G30</f>
        <v>0</v>
      </c>
      <c r="J29" s="19">
        <f>Data!H30</f>
        <v>0.45829609953703698</v>
      </c>
      <c r="K29" s="19">
        <f>Data!I30</f>
        <v>0</v>
      </c>
      <c r="L29" s="19">
        <f>Data!J30</f>
        <v>0</v>
      </c>
      <c r="M29" s="19">
        <f>Data!K30</f>
        <v>0</v>
      </c>
    </row>
    <row r="30" spans="1:13" ht="16.5" x14ac:dyDescent="0.3">
      <c r="A30" s="17" t="str">
        <f>Data!A31</f>
        <v>Driver 23</v>
      </c>
      <c r="B30" s="18" t="str">
        <f>IF(Data!C31="","",Data!C31)</f>
        <v>First Name</v>
      </c>
      <c r="C30" s="18" t="str">
        <f>IF(Data!D31="","",Data!D31)</f>
        <v>Last Name</v>
      </c>
      <c r="D30" s="18" t="str">
        <f t="shared" si="0"/>
        <v>First Name Last Name</v>
      </c>
      <c r="E30" s="19" t="str">
        <f>Data!E31</f>
        <v>ON</v>
      </c>
      <c r="F30" s="19" t="str">
        <f>Data!F31</f>
        <v>America7Day</v>
      </c>
      <c r="G30" s="19" t="b">
        <f t="shared" si="1"/>
        <v>0</v>
      </c>
      <c r="H30" s="19" t="str">
        <f>IF(OR(ISNUMBER(SEARCH("None",F30))),"N/A",IF(AND(ISNUMBER(SEARCH("Short",F30)),OR(ISNUMBER(SEARCH("Texas",F30)),ISNUMBER(SEARCH("Canada",F30))),OR(J30&lt;=(((Summary!$A$5*60)+Summary!$B$5)/1440),K30&lt;=(((Summary!$A$5*60)+Summary!$B$5)/1440),L30&lt;=(((Summary!$A$5*60)+Summary!$B$5)/1440),M30&lt;=(((Summary!$A$5*60)+Summary!$B$5)/1440))),"Unavailable",IF(AND(ISNUMBER(SEARCH("Short",F30)),OR(J30&lt;=(((Summary!$A$5*60)+Summary!$B$5)/1440),K30&lt;=(((Summary!$A$5*60)+Summary!$B$5)/1440),L30&lt;=(((Summary!$A$5*60)+Summary!$B$5)/1440),M30&lt;=(((Summary!$A$5*60)+Summary!$B$5)/1440))),"Unavailable",IF(AND(OR(ISNUMBER(SEARCH("Texas",F30)),ISNUMBER(SEARCH("Canada",F30))),OR(I30&lt;=(((Summary!$A$5*60)+Summary!$B$5)/1440),J30&lt;=(((Summary!$A$5*60)+Summary!$B$5)/1440),K30&lt;=(((Summary!$A$5*60)+Summary!$B$5)/1440),L30&lt;=(((Summary!$A$5*60)+Summary!$B$5)/1440),M30&lt;=(((Summary!$A$5*60)+Summary!$B$5)/1440))),"Unavailable",IF(OR(I30&lt;=(((Summary!$A$5*60)+Summary!$B$5)/1440),J30&lt;=(((Summary!$A$5*60)+Summary!$B$5)/1440),L30&lt;=(((Summary!$A$5*60)+Summary!$B$5)/1440),M30&lt;=(((Summary!$A$5*60)+Summary!$B$5)/1440)),"Unavailable","Available")))))</f>
        <v>Unavailable</v>
      </c>
      <c r="I30" s="19">
        <f>Data!G31</f>
        <v>0</v>
      </c>
      <c r="J30" s="19">
        <f>Data!H31</f>
        <v>0.30719837962962998</v>
      </c>
      <c r="K30" s="19">
        <f>Data!I31</f>
        <v>0</v>
      </c>
      <c r="L30" s="19">
        <f>Data!J31</f>
        <v>0</v>
      </c>
      <c r="M30" s="19">
        <f>Data!K31</f>
        <v>0</v>
      </c>
    </row>
    <row r="31" spans="1:13" ht="16.5" x14ac:dyDescent="0.3">
      <c r="A31" s="17" t="str">
        <f>Data!A32</f>
        <v>Driver 24</v>
      </c>
      <c r="B31" s="18" t="str">
        <f>IF(Data!C32="","",Data!C32)</f>
        <v>First Name</v>
      </c>
      <c r="C31" s="18" t="str">
        <f>IF(Data!D32="","",Data!D32)</f>
        <v>Last Name</v>
      </c>
      <c r="D31" s="18" t="str">
        <f t="shared" si="0"/>
        <v>First Name Last Name</v>
      </c>
      <c r="E31" s="19" t="str">
        <f>Data!E32</f>
        <v>OFF</v>
      </c>
      <c r="F31" s="19" t="str">
        <f>Data!F32</f>
        <v>CanadaCycleOne</v>
      </c>
      <c r="G31" s="19" t="b">
        <f t="shared" si="1"/>
        <v>0</v>
      </c>
      <c r="H31" s="19" t="str">
        <f>IF(OR(ISNUMBER(SEARCH("None",F31))),"N/A",IF(AND(ISNUMBER(SEARCH("Short",F31)),OR(ISNUMBER(SEARCH("Texas",F31)),ISNUMBER(SEARCH("Canada",F31))),OR(J31&lt;=(((Summary!$A$5*60)+Summary!$B$5)/1440),K31&lt;=(((Summary!$A$5*60)+Summary!$B$5)/1440),L31&lt;=(((Summary!$A$5*60)+Summary!$B$5)/1440),M31&lt;=(((Summary!$A$5*60)+Summary!$B$5)/1440))),"Unavailable",IF(AND(ISNUMBER(SEARCH("Short",F31)),OR(J31&lt;=(((Summary!$A$5*60)+Summary!$B$5)/1440),K31&lt;=(((Summary!$A$5*60)+Summary!$B$5)/1440),L31&lt;=(((Summary!$A$5*60)+Summary!$B$5)/1440),M31&lt;=(((Summary!$A$5*60)+Summary!$B$5)/1440))),"Unavailable",IF(AND(OR(ISNUMBER(SEARCH("Texas",F31)),ISNUMBER(SEARCH("Canada",F31))),OR(I31&lt;=(((Summary!$A$5*60)+Summary!$B$5)/1440),J31&lt;=(((Summary!$A$5*60)+Summary!$B$5)/1440),K31&lt;=(((Summary!$A$5*60)+Summary!$B$5)/1440),L31&lt;=(((Summary!$A$5*60)+Summary!$B$5)/1440),M31&lt;=(((Summary!$A$5*60)+Summary!$B$5)/1440))),"Unavailable",IF(OR(I31&lt;=(((Summary!$A$5*60)+Summary!$B$5)/1440),J31&lt;=(((Summary!$A$5*60)+Summary!$B$5)/1440),L31&lt;=(((Summary!$A$5*60)+Summary!$B$5)/1440),M31&lt;=(((Summary!$A$5*60)+Summary!$B$5)/1440)),"Unavailable","Available")))))</f>
        <v>Unavailable</v>
      </c>
      <c r="I31" s="19">
        <f>Data!G32</f>
        <v>0</v>
      </c>
      <c r="J31" s="19">
        <f>Data!H32</f>
        <v>0.54166666666666696</v>
      </c>
      <c r="K31" s="19">
        <f>Data!I32</f>
        <v>0.58333333333333304</v>
      </c>
      <c r="L31" s="19">
        <f>Data!J32</f>
        <v>0.66666666666666696</v>
      </c>
      <c r="M31" s="19">
        <f>Data!K32</f>
        <v>2.9166666666666701</v>
      </c>
    </row>
    <row r="32" spans="1:13" ht="16.5" x14ac:dyDescent="0.3">
      <c r="A32" s="17" t="str">
        <f>Data!A33</f>
        <v>Driver 25</v>
      </c>
      <c r="B32" s="18" t="str">
        <f>IF(Data!C33="","",Data!C33)</f>
        <v>First Name</v>
      </c>
      <c r="C32" s="18" t="str">
        <f>IF(Data!D33="","",Data!D33)</f>
        <v>Last Name</v>
      </c>
      <c r="D32" s="18" t="str">
        <f t="shared" si="0"/>
        <v>First Name Last Name</v>
      </c>
      <c r="E32" s="19" t="str">
        <f>Data!E33</f>
        <v>ON</v>
      </c>
      <c r="F32" s="19" t="str">
        <f>Data!F33</f>
        <v>America7Day</v>
      </c>
      <c r="G32" s="19" t="b">
        <f t="shared" si="1"/>
        <v>0</v>
      </c>
      <c r="H32" s="19" t="str">
        <f>IF(OR(ISNUMBER(SEARCH("None",F32))),"N/A",IF(AND(ISNUMBER(SEARCH("Short",F32)),OR(ISNUMBER(SEARCH("Texas",F32)),ISNUMBER(SEARCH("Canada",F32))),OR(J32&lt;=(((Summary!$A$5*60)+Summary!$B$5)/1440),K32&lt;=(((Summary!$A$5*60)+Summary!$B$5)/1440),L32&lt;=(((Summary!$A$5*60)+Summary!$B$5)/1440),M32&lt;=(((Summary!$A$5*60)+Summary!$B$5)/1440))),"Unavailable",IF(AND(ISNUMBER(SEARCH("Short",F32)),OR(J32&lt;=(((Summary!$A$5*60)+Summary!$B$5)/1440),K32&lt;=(((Summary!$A$5*60)+Summary!$B$5)/1440),L32&lt;=(((Summary!$A$5*60)+Summary!$B$5)/1440),M32&lt;=(((Summary!$A$5*60)+Summary!$B$5)/1440))),"Unavailable",IF(AND(OR(ISNUMBER(SEARCH("Texas",F32)),ISNUMBER(SEARCH("Canada",F32))),OR(I32&lt;=(((Summary!$A$5*60)+Summary!$B$5)/1440),J32&lt;=(((Summary!$A$5*60)+Summary!$B$5)/1440),K32&lt;=(((Summary!$A$5*60)+Summary!$B$5)/1440),L32&lt;=(((Summary!$A$5*60)+Summary!$B$5)/1440),M32&lt;=(((Summary!$A$5*60)+Summary!$B$5)/1440))),"Unavailable",IF(OR(I32&lt;=(((Summary!$A$5*60)+Summary!$B$5)/1440),J32&lt;=(((Summary!$A$5*60)+Summary!$B$5)/1440),L32&lt;=(((Summary!$A$5*60)+Summary!$B$5)/1440),M32&lt;=(((Summary!$A$5*60)+Summary!$B$5)/1440)),"Unavailable","Available")))))</f>
        <v>Unavailable</v>
      </c>
      <c r="I32" s="19">
        <f>Data!G33</f>
        <v>0</v>
      </c>
      <c r="J32" s="19">
        <f>Data!H33</f>
        <v>0.34843748842592598</v>
      </c>
      <c r="K32" s="19">
        <f>Data!I33</f>
        <v>0</v>
      </c>
      <c r="L32" s="19">
        <f>Data!J33</f>
        <v>0</v>
      </c>
      <c r="M32" s="19">
        <f>Data!K33</f>
        <v>0</v>
      </c>
    </row>
    <row r="33" spans="1:13" ht="16.5" x14ac:dyDescent="0.3">
      <c r="A33" s="17" t="str">
        <f>Data!A34</f>
        <v>Driver 26</v>
      </c>
      <c r="B33" s="18" t="str">
        <f>IF(Data!C34="","",Data!C34)</f>
        <v>First Name</v>
      </c>
      <c r="C33" s="18" t="str">
        <f>IF(Data!D34="","",Data!D34)</f>
        <v>Last Name</v>
      </c>
      <c r="D33" s="18" t="str">
        <f t="shared" si="0"/>
        <v>First Name Last Name</v>
      </c>
      <c r="E33" s="19" t="str">
        <f>Data!E34</f>
        <v>OFF</v>
      </c>
      <c r="F33" s="19" t="str">
        <f>Data!F34</f>
        <v>America7Day</v>
      </c>
      <c r="G33" s="19" t="b">
        <f t="shared" si="1"/>
        <v>0</v>
      </c>
      <c r="H33" s="19" t="str">
        <f>IF(OR(ISNUMBER(SEARCH("None",F33))),"N/A",IF(AND(ISNUMBER(SEARCH("Short",F33)),OR(ISNUMBER(SEARCH("Texas",F33)),ISNUMBER(SEARCH("Canada",F33))),OR(J33&lt;=(((Summary!$A$5*60)+Summary!$B$5)/1440),K33&lt;=(((Summary!$A$5*60)+Summary!$B$5)/1440),L33&lt;=(((Summary!$A$5*60)+Summary!$B$5)/1440),M33&lt;=(((Summary!$A$5*60)+Summary!$B$5)/1440))),"Unavailable",IF(AND(ISNUMBER(SEARCH("Short",F33)),OR(J33&lt;=(((Summary!$A$5*60)+Summary!$B$5)/1440),K33&lt;=(((Summary!$A$5*60)+Summary!$B$5)/1440),L33&lt;=(((Summary!$A$5*60)+Summary!$B$5)/1440),M33&lt;=(((Summary!$A$5*60)+Summary!$B$5)/1440))),"Unavailable",IF(AND(OR(ISNUMBER(SEARCH("Texas",F33)),ISNUMBER(SEARCH("Canada",F33))),OR(I33&lt;=(((Summary!$A$5*60)+Summary!$B$5)/1440),J33&lt;=(((Summary!$A$5*60)+Summary!$B$5)/1440),K33&lt;=(((Summary!$A$5*60)+Summary!$B$5)/1440),L33&lt;=(((Summary!$A$5*60)+Summary!$B$5)/1440),M33&lt;=(((Summary!$A$5*60)+Summary!$B$5)/1440))),"Unavailable",IF(OR(I33&lt;=(((Summary!$A$5*60)+Summary!$B$5)/1440),J33&lt;=(((Summary!$A$5*60)+Summary!$B$5)/1440),L33&lt;=(((Summary!$A$5*60)+Summary!$B$5)/1440),M33&lt;=(((Summary!$A$5*60)+Summary!$B$5)/1440)),"Unavailable","Available")))))</f>
        <v>Available</v>
      </c>
      <c r="I33" s="19">
        <f>Data!G34</f>
        <v>0.33333333333333298</v>
      </c>
      <c r="J33" s="19">
        <f>Data!H34</f>
        <v>0.45833333333333298</v>
      </c>
      <c r="K33" s="19">
        <f>Data!I34</f>
        <v>0</v>
      </c>
      <c r="L33" s="19">
        <f>Data!J34</f>
        <v>0.58333333333333304</v>
      </c>
      <c r="M33" s="19">
        <f>Data!K34</f>
        <v>2.5</v>
      </c>
    </row>
    <row r="34" spans="1:13" ht="16.5" x14ac:dyDescent="0.3">
      <c r="A34" s="17" t="str">
        <f>Data!A35</f>
        <v>Driver 27</v>
      </c>
      <c r="B34" s="18" t="str">
        <f>IF(Data!C35="","",Data!C35)</f>
        <v>First Name</v>
      </c>
      <c r="C34" s="18" t="str">
        <f>IF(Data!D35="","",Data!D35)</f>
        <v>Last Name</v>
      </c>
      <c r="D34" s="18" t="str">
        <f t="shared" si="0"/>
        <v>First Name Last Name</v>
      </c>
      <c r="E34" s="19" t="str">
        <f>Data!E35</f>
        <v>OFF</v>
      </c>
      <c r="F34" s="19" t="str">
        <f>Data!F35</f>
        <v>CanadaCycleOne</v>
      </c>
      <c r="G34" s="19" t="b">
        <f t="shared" si="1"/>
        <v>0</v>
      </c>
      <c r="H34" s="19" t="str">
        <f>IF(OR(ISNUMBER(SEARCH("None",F34))),"N/A",IF(AND(ISNUMBER(SEARCH("Short",F34)),OR(ISNUMBER(SEARCH("Texas",F34)),ISNUMBER(SEARCH("Canada",F34))),OR(J34&lt;=(((Summary!$A$5*60)+Summary!$B$5)/1440),K34&lt;=(((Summary!$A$5*60)+Summary!$B$5)/1440),L34&lt;=(((Summary!$A$5*60)+Summary!$B$5)/1440),M34&lt;=(((Summary!$A$5*60)+Summary!$B$5)/1440))),"Unavailable",IF(AND(ISNUMBER(SEARCH("Short",F34)),OR(J34&lt;=(((Summary!$A$5*60)+Summary!$B$5)/1440),K34&lt;=(((Summary!$A$5*60)+Summary!$B$5)/1440),L34&lt;=(((Summary!$A$5*60)+Summary!$B$5)/1440),M34&lt;=(((Summary!$A$5*60)+Summary!$B$5)/1440))),"Unavailable",IF(AND(OR(ISNUMBER(SEARCH("Texas",F34)),ISNUMBER(SEARCH("Canada",F34))),OR(I34&lt;=(((Summary!$A$5*60)+Summary!$B$5)/1440),J34&lt;=(((Summary!$A$5*60)+Summary!$B$5)/1440),K34&lt;=(((Summary!$A$5*60)+Summary!$B$5)/1440),L34&lt;=(((Summary!$A$5*60)+Summary!$B$5)/1440),M34&lt;=(((Summary!$A$5*60)+Summary!$B$5)/1440))),"Unavailable",IF(OR(I34&lt;=(((Summary!$A$5*60)+Summary!$B$5)/1440),J34&lt;=(((Summary!$A$5*60)+Summary!$B$5)/1440),L34&lt;=(((Summary!$A$5*60)+Summary!$B$5)/1440),M34&lt;=(((Summary!$A$5*60)+Summary!$B$5)/1440)),"Unavailable","Available")))))</f>
        <v>Unavailable</v>
      </c>
      <c r="I34" s="19">
        <f>Data!G35</f>
        <v>0</v>
      </c>
      <c r="J34" s="19">
        <f>Data!H35</f>
        <v>0.54166666666666696</v>
      </c>
      <c r="K34" s="19">
        <f>Data!I35</f>
        <v>0.58333333333333304</v>
      </c>
      <c r="L34" s="19">
        <f>Data!J35</f>
        <v>0.66666666666666696</v>
      </c>
      <c r="M34" s="19">
        <f>Data!K35</f>
        <v>2.9166666666666701</v>
      </c>
    </row>
    <row r="35" spans="1:13" ht="16.5" x14ac:dyDescent="0.3">
      <c r="A35" s="17" t="str">
        <f>Data!A36</f>
        <v>Driver 28</v>
      </c>
      <c r="B35" s="18" t="str">
        <f>IF(Data!C36="","",Data!C36)</f>
        <v>First Name</v>
      </c>
      <c r="C35" s="18" t="str">
        <f>IF(Data!D36="","",Data!D36)</f>
        <v>Last Name</v>
      </c>
      <c r="D35" s="18" t="str">
        <f t="shared" si="0"/>
        <v>First Name Last Name</v>
      </c>
      <c r="E35" s="19" t="str">
        <f>Data!E36</f>
        <v>OFF</v>
      </c>
      <c r="F35" s="19" t="str">
        <f>Data!F36</f>
        <v>America7Day</v>
      </c>
      <c r="G35" s="19" t="b">
        <f t="shared" si="1"/>
        <v>0</v>
      </c>
      <c r="H35" s="19" t="str">
        <f>IF(OR(ISNUMBER(SEARCH("None",F35))),"N/A",IF(AND(ISNUMBER(SEARCH("Short",F35)),OR(ISNUMBER(SEARCH("Texas",F35)),ISNUMBER(SEARCH("Canada",F35))),OR(J35&lt;=(((Summary!$A$5*60)+Summary!$B$5)/1440),K35&lt;=(((Summary!$A$5*60)+Summary!$B$5)/1440),L35&lt;=(((Summary!$A$5*60)+Summary!$B$5)/1440),M35&lt;=(((Summary!$A$5*60)+Summary!$B$5)/1440))),"Unavailable",IF(AND(ISNUMBER(SEARCH("Short",F35)),OR(J35&lt;=(((Summary!$A$5*60)+Summary!$B$5)/1440),K35&lt;=(((Summary!$A$5*60)+Summary!$B$5)/1440),L35&lt;=(((Summary!$A$5*60)+Summary!$B$5)/1440),M35&lt;=(((Summary!$A$5*60)+Summary!$B$5)/1440))),"Unavailable",IF(AND(OR(ISNUMBER(SEARCH("Texas",F35)),ISNUMBER(SEARCH("Canada",F35))),OR(I35&lt;=(((Summary!$A$5*60)+Summary!$B$5)/1440),J35&lt;=(((Summary!$A$5*60)+Summary!$B$5)/1440),K35&lt;=(((Summary!$A$5*60)+Summary!$B$5)/1440),L35&lt;=(((Summary!$A$5*60)+Summary!$B$5)/1440),M35&lt;=(((Summary!$A$5*60)+Summary!$B$5)/1440))),"Unavailable",IF(OR(I35&lt;=(((Summary!$A$5*60)+Summary!$B$5)/1440),J35&lt;=(((Summary!$A$5*60)+Summary!$B$5)/1440),L35&lt;=(((Summary!$A$5*60)+Summary!$B$5)/1440),M35&lt;=(((Summary!$A$5*60)+Summary!$B$5)/1440)),"Unavailable","Available")))))</f>
        <v>Available</v>
      </c>
      <c r="I35" s="19">
        <f>Data!G36</f>
        <v>0.33333333333333298</v>
      </c>
      <c r="J35" s="19">
        <f>Data!H36</f>
        <v>0.45833333333333298</v>
      </c>
      <c r="K35" s="19">
        <f>Data!I36</f>
        <v>0</v>
      </c>
      <c r="L35" s="19">
        <f>Data!J36</f>
        <v>0.58333333333333304</v>
      </c>
      <c r="M35" s="19">
        <f>Data!K36</f>
        <v>2.5</v>
      </c>
    </row>
    <row r="36" spans="1:13" ht="16.5" x14ac:dyDescent="0.3">
      <c r="A36" s="17" t="str">
        <f>Data!A37</f>
        <v>Driver 29</v>
      </c>
      <c r="B36" s="18" t="str">
        <f>IF(Data!C37="","",Data!C37)</f>
        <v>First Name</v>
      </c>
      <c r="C36" s="18" t="str">
        <f>IF(Data!D37="","",Data!D37)</f>
        <v>Last Name</v>
      </c>
      <c r="D36" s="18" t="str">
        <f t="shared" si="0"/>
        <v>First Name Last Name</v>
      </c>
      <c r="E36" s="19" t="str">
        <f>Data!E37</f>
        <v>ON</v>
      </c>
      <c r="F36" s="19" t="str">
        <f>Data!F37</f>
        <v>CanadaCycleOne</v>
      </c>
      <c r="G36" s="19" t="b">
        <f t="shared" si="1"/>
        <v>0</v>
      </c>
      <c r="H36" s="19" t="str">
        <f>IF(OR(ISNUMBER(SEARCH("None",F36))),"N/A",IF(AND(ISNUMBER(SEARCH("Short",F36)),OR(ISNUMBER(SEARCH("Texas",F36)),ISNUMBER(SEARCH("Canada",F36))),OR(J36&lt;=(((Summary!$A$5*60)+Summary!$B$5)/1440),K36&lt;=(((Summary!$A$5*60)+Summary!$B$5)/1440),L36&lt;=(((Summary!$A$5*60)+Summary!$B$5)/1440),M36&lt;=(((Summary!$A$5*60)+Summary!$B$5)/1440))),"Unavailable",IF(AND(ISNUMBER(SEARCH("Short",F36)),OR(J36&lt;=(((Summary!$A$5*60)+Summary!$B$5)/1440),K36&lt;=(((Summary!$A$5*60)+Summary!$B$5)/1440),L36&lt;=(((Summary!$A$5*60)+Summary!$B$5)/1440),M36&lt;=(((Summary!$A$5*60)+Summary!$B$5)/1440))),"Unavailable",IF(AND(OR(ISNUMBER(SEARCH("Texas",F36)),ISNUMBER(SEARCH("Canada",F36))),OR(I36&lt;=(((Summary!$A$5*60)+Summary!$B$5)/1440),J36&lt;=(((Summary!$A$5*60)+Summary!$B$5)/1440),K36&lt;=(((Summary!$A$5*60)+Summary!$B$5)/1440),L36&lt;=(((Summary!$A$5*60)+Summary!$B$5)/1440),M36&lt;=(((Summary!$A$5*60)+Summary!$B$5)/1440))),"Unavailable",IF(OR(I36&lt;=(((Summary!$A$5*60)+Summary!$B$5)/1440),J36&lt;=(((Summary!$A$5*60)+Summary!$B$5)/1440),L36&lt;=(((Summary!$A$5*60)+Summary!$B$5)/1440),M36&lt;=(((Summary!$A$5*60)+Summary!$B$5)/1440)),"Unavailable","Available")))))</f>
        <v>Unavailable</v>
      </c>
      <c r="I36" s="19">
        <f>Data!G37</f>
        <v>0</v>
      </c>
      <c r="J36" s="19">
        <f>Data!H37</f>
        <v>0.54166666666666696</v>
      </c>
      <c r="K36" s="19">
        <f>Data!I37</f>
        <v>0.58333333333333304</v>
      </c>
      <c r="L36" s="19">
        <f>Data!J37</f>
        <v>0.66666666666666696</v>
      </c>
      <c r="M36" s="19">
        <f>Data!K37</f>
        <v>2.9166666666666701</v>
      </c>
    </row>
    <row r="37" spans="1:13" ht="16.5" x14ac:dyDescent="0.3">
      <c r="A37" s="17" t="str">
        <f>Data!A38</f>
        <v>Driver 30</v>
      </c>
      <c r="B37" s="18" t="str">
        <f>IF(Data!C38="","",Data!C38)</f>
        <v>First Name</v>
      </c>
      <c r="C37" s="18" t="str">
        <f>IF(Data!D38="","",Data!D38)</f>
        <v>Last Name</v>
      </c>
      <c r="D37" s="18" t="str">
        <f t="shared" si="0"/>
        <v>First Name Last Name</v>
      </c>
      <c r="E37" s="19" t="str">
        <f>Data!E38</f>
        <v>ON</v>
      </c>
      <c r="F37" s="19" t="str">
        <f>Data!F38</f>
        <v>America7DayBig</v>
      </c>
      <c r="G37" s="19" t="b">
        <f t="shared" si="1"/>
        <v>0</v>
      </c>
      <c r="H37" s="19" t="str">
        <f>IF(OR(ISNUMBER(SEARCH("None",F37))),"N/A",IF(AND(ISNUMBER(SEARCH("Short",F37)),OR(ISNUMBER(SEARCH("Texas",F37)),ISNUMBER(SEARCH("Canada",F37))),OR(J37&lt;=(((Summary!$A$5*60)+Summary!$B$5)/1440),K37&lt;=(((Summary!$A$5*60)+Summary!$B$5)/1440),L37&lt;=(((Summary!$A$5*60)+Summary!$B$5)/1440),M37&lt;=(((Summary!$A$5*60)+Summary!$B$5)/1440))),"Unavailable",IF(AND(ISNUMBER(SEARCH("Short",F37)),OR(J37&lt;=(((Summary!$A$5*60)+Summary!$B$5)/1440),K37&lt;=(((Summary!$A$5*60)+Summary!$B$5)/1440),L37&lt;=(((Summary!$A$5*60)+Summary!$B$5)/1440),M37&lt;=(((Summary!$A$5*60)+Summary!$B$5)/1440))),"Unavailable",IF(AND(OR(ISNUMBER(SEARCH("Texas",F37)),ISNUMBER(SEARCH("Canada",F37))),OR(I37&lt;=(((Summary!$A$5*60)+Summary!$B$5)/1440),J37&lt;=(((Summary!$A$5*60)+Summary!$B$5)/1440),K37&lt;=(((Summary!$A$5*60)+Summary!$B$5)/1440),L37&lt;=(((Summary!$A$5*60)+Summary!$B$5)/1440),M37&lt;=(((Summary!$A$5*60)+Summary!$B$5)/1440))),"Unavailable",IF(OR(I37&lt;=(((Summary!$A$5*60)+Summary!$B$5)/1440),J37&lt;=(((Summary!$A$5*60)+Summary!$B$5)/1440),L37&lt;=(((Summary!$A$5*60)+Summary!$B$5)/1440),M37&lt;=(((Summary!$A$5*60)+Summary!$B$5)/1440)),"Unavailable","Available")))))</f>
        <v>Unavailable</v>
      </c>
      <c r="I37" s="19">
        <f>Data!G38</f>
        <v>0</v>
      </c>
      <c r="J37" s="19">
        <f>Data!H38</f>
        <v>0.45833333333333298</v>
      </c>
      <c r="K37" s="19">
        <f>Data!I38</f>
        <v>0</v>
      </c>
      <c r="L37" s="19">
        <f>Data!J38</f>
        <v>0</v>
      </c>
      <c r="M37" s="19">
        <f>Data!K38</f>
        <v>0</v>
      </c>
    </row>
    <row r="38" spans="1:13" ht="16.5" x14ac:dyDescent="0.3">
      <c r="A38" s="17" t="str">
        <f>Data!A39</f>
        <v>Driver 31</v>
      </c>
      <c r="B38" s="18" t="str">
        <f>IF(Data!C39="","",Data!C39)</f>
        <v>First Name</v>
      </c>
      <c r="C38" s="18" t="str">
        <f>IF(Data!D39="","",Data!D39)</f>
        <v>Last Name</v>
      </c>
      <c r="D38" s="18" t="str">
        <f t="shared" si="0"/>
        <v>First Name Last Name</v>
      </c>
      <c r="E38" s="19" t="str">
        <f>Data!E39</f>
        <v>ON</v>
      </c>
      <c r="F38" s="19" t="str">
        <f>Data!F39</f>
        <v>Florida7Day</v>
      </c>
      <c r="G38" s="19" t="b">
        <f t="shared" si="1"/>
        <v>0</v>
      </c>
      <c r="H38" s="19" t="str">
        <f>IF(OR(ISNUMBER(SEARCH("None",F38))),"N/A",IF(AND(ISNUMBER(SEARCH("Short",F38)),OR(ISNUMBER(SEARCH("Texas",F38)),ISNUMBER(SEARCH("Canada",F38))),OR(J38&lt;=(((Summary!$A$5*60)+Summary!$B$5)/1440),K38&lt;=(((Summary!$A$5*60)+Summary!$B$5)/1440),L38&lt;=(((Summary!$A$5*60)+Summary!$B$5)/1440),M38&lt;=(((Summary!$A$5*60)+Summary!$B$5)/1440))),"Unavailable",IF(AND(ISNUMBER(SEARCH("Short",F38)),OR(J38&lt;=(((Summary!$A$5*60)+Summary!$B$5)/1440),K38&lt;=(((Summary!$A$5*60)+Summary!$B$5)/1440),L38&lt;=(((Summary!$A$5*60)+Summary!$B$5)/1440),M38&lt;=(((Summary!$A$5*60)+Summary!$B$5)/1440))),"Unavailable",IF(AND(OR(ISNUMBER(SEARCH("Texas",F38)),ISNUMBER(SEARCH("Canada",F38))),OR(I38&lt;=(((Summary!$A$5*60)+Summary!$B$5)/1440),J38&lt;=(((Summary!$A$5*60)+Summary!$B$5)/1440),K38&lt;=(((Summary!$A$5*60)+Summary!$B$5)/1440),L38&lt;=(((Summary!$A$5*60)+Summary!$B$5)/1440),M38&lt;=(((Summary!$A$5*60)+Summary!$B$5)/1440))),"Unavailable",IF(OR(I38&lt;=(((Summary!$A$5*60)+Summary!$B$5)/1440),J38&lt;=(((Summary!$A$5*60)+Summary!$B$5)/1440),L38&lt;=(((Summary!$A$5*60)+Summary!$B$5)/1440),M38&lt;=(((Summary!$A$5*60)+Summary!$B$5)/1440)),"Unavailable","Available")))))</f>
        <v>Unavailable</v>
      </c>
      <c r="I38" s="19">
        <f>Data!G39</f>
        <v>0</v>
      </c>
      <c r="J38" s="19">
        <f>Data!H39</f>
        <v>0.5</v>
      </c>
      <c r="K38" s="19">
        <f>Data!I39</f>
        <v>0</v>
      </c>
      <c r="L38" s="19">
        <f>Data!J39</f>
        <v>0.66666666666666696</v>
      </c>
      <c r="M38" s="19">
        <f>Data!K39</f>
        <v>2.9166666666666701</v>
      </c>
    </row>
    <row r="39" spans="1:13" ht="16.5" x14ac:dyDescent="0.3">
      <c r="A39" s="17" t="str">
        <f>Data!A40</f>
        <v>Driver 32</v>
      </c>
      <c r="B39" s="18" t="str">
        <f>IF(Data!C40="","",Data!C40)</f>
        <v>First Name</v>
      </c>
      <c r="C39" s="18" t="str">
        <f>IF(Data!D40="","",Data!D40)</f>
        <v>Last Name</v>
      </c>
      <c r="D39" s="18" t="str">
        <f t="shared" si="0"/>
        <v>First Name Last Name</v>
      </c>
      <c r="E39" s="19" t="str">
        <f>Data!E40</f>
        <v>ON</v>
      </c>
      <c r="F39" s="19" t="str">
        <f>Data!F40</f>
        <v>FloridaShortHaul7Day</v>
      </c>
      <c r="G39" s="19" t="b">
        <f t="shared" si="1"/>
        <v>0</v>
      </c>
      <c r="H39" s="19" t="str">
        <f>IF(OR(ISNUMBER(SEARCH("None",F39))),"N/A",IF(AND(ISNUMBER(SEARCH("Short",F39)),OR(ISNUMBER(SEARCH("Texas",F39)),ISNUMBER(SEARCH("Canada",F39))),OR(J39&lt;=(((Summary!$A$5*60)+Summary!$B$5)/1440),K39&lt;=(((Summary!$A$5*60)+Summary!$B$5)/1440),L39&lt;=(((Summary!$A$5*60)+Summary!$B$5)/1440),M39&lt;=(((Summary!$A$5*60)+Summary!$B$5)/1440))),"Unavailable",IF(AND(ISNUMBER(SEARCH("Short",F39)),OR(J39&lt;=(((Summary!$A$5*60)+Summary!$B$5)/1440),K39&lt;=(((Summary!$A$5*60)+Summary!$B$5)/1440),L39&lt;=(((Summary!$A$5*60)+Summary!$B$5)/1440),M39&lt;=(((Summary!$A$5*60)+Summary!$B$5)/1440))),"Unavailable",IF(AND(OR(ISNUMBER(SEARCH("Texas",F39)),ISNUMBER(SEARCH("Canada",F39))),OR(I39&lt;=(((Summary!$A$5*60)+Summary!$B$5)/1440),J39&lt;=(((Summary!$A$5*60)+Summary!$B$5)/1440),K39&lt;=(((Summary!$A$5*60)+Summary!$B$5)/1440),L39&lt;=(((Summary!$A$5*60)+Summary!$B$5)/1440),M39&lt;=(((Summary!$A$5*60)+Summary!$B$5)/1440))),"Unavailable",IF(OR(I39&lt;=(((Summary!$A$5*60)+Summary!$B$5)/1440),J39&lt;=(((Summary!$A$5*60)+Summary!$B$5)/1440),L39&lt;=(((Summary!$A$5*60)+Summary!$B$5)/1440),M39&lt;=(((Summary!$A$5*60)+Summary!$B$5)/1440)),"Unavailable","Available")))))</f>
        <v>Unavailable</v>
      </c>
      <c r="I39" s="19">
        <f>Data!G40</f>
        <v>0</v>
      </c>
      <c r="J39" s="19">
        <f>Data!H40</f>
        <v>0.5</v>
      </c>
      <c r="K39" s="19">
        <f>Data!I40</f>
        <v>0</v>
      </c>
      <c r="L39" s="19">
        <f>Data!J40</f>
        <v>0</v>
      </c>
      <c r="M39" s="19">
        <f>Data!K40</f>
        <v>0</v>
      </c>
    </row>
    <row r="40" spans="1:13" ht="16.5" x14ac:dyDescent="0.3">
      <c r="A40" s="17" t="str">
        <f>Data!A41</f>
        <v>Driver 33</v>
      </c>
      <c r="B40" s="18" t="str">
        <f>IF(Data!C41="","",Data!C41)</f>
        <v>First Name</v>
      </c>
      <c r="C40" s="18" t="str">
        <f>IF(Data!D41="","",Data!D41)</f>
        <v>Last Name</v>
      </c>
      <c r="D40" s="18" t="str">
        <f t="shared" si="0"/>
        <v>First Name Last Name</v>
      </c>
      <c r="E40" s="19" t="str">
        <f>Data!E41</f>
        <v>OFF</v>
      </c>
      <c r="F40" s="19" t="str">
        <f>Data!F41</f>
        <v>OilWellTexas</v>
      </c>
      <c r="G40" s="19" t="b">
        <f t="shared" si="1"/>
        <v>0</v>
      </c>
      <c r="H40" s="19" t="str">
        <f>IF(OR(ISNUMBER(SEARCH("None",F40))),"N/A",IF(AND(ISNUMBER(SEARCH("Short",F40)),OR(ISNUMBER(SEARCH("Texas",F40)),ISNUMBER(SEARCH("Canada",F40))),OR(J40&lt;=(((Summary!$A$5*60)+Summary!$B$5)/1440),K40&lt;=(((Summary!$A$5*60)+Summary!$B$5)/1440),L40&lt;=(((Summary!$A$5*60)+Summary!$B$5)/1440),M40&lt;=(((Summary!$A$5*60)+Summary!$B$5)/1440))),"Unavailable",IF(AND(ISNUMBER(SEARCH("Short",F40)),OR(J40&lt;=(((Summary!$A$5*60)+Summary!$B$5)/1440),K40&lt;=(((Summary!$A$5*60)+Summary!$B$5)/1440),L40&lt;=(((Summary!$A$5*60)+Summary!$B$5)/1440),M40&lt;=(((Summary!$A$5*60)+Summary!$B$5)/1440))),"Unavailable",IF(AND(OR(ISNUMBER(SEARCH("Texas",F40)),ISNUMBER(SEARCH("Canada",F40))),OR(I40&lt;=(((Summary!$A$5*60)+Summary!$B$5)/1440),J40&lt;=(((Summary!$A$5*60)+Summary!$B$5)/1440),K40&lt;=(((Summary!$A$5*60)+Summary!$B$5)/1440),L40&lt;=(((Summary!$A$5*60)+Summary!$B$5)/1440),M40&lt;=(((Summary!$A$5*60)+Summary!$B$5)/1440))),"Unavailable",IF(OR(I40&lt;=(((Summary!$A$5*60)+Summary!$B$5)/1440),J40&lt;=(((Summary!$A$5*60)+Summary!$B$5)/1440),L40&lt;=(((Summary!$A$5*60)+Summary!$B$5)/1440),M40&lt;=(((Summary!$A$5*60)+Summary!$B$5)/1440)),"Unavailable","Available")))))</f>
        <v>Unavailable</v>
      </c>
      <c r="I40" s="19">
        <f>Data!G41</f>
        <v>0</v>
      </c>
      <c r="J40" s="19">
        <f>Data!H41</f>
        <v>0.5</v>
      </c>
      <c r="K40" s="19">
        <f>Data!I41</f>
        <v>0.625</v>
      </c>
      <c r="L40" s="19">
        <f>Data!J41</f>
        <v>0</v>
      </c>
      <c r="M40" s="19">
        <f>Data!K41</f>
        <v>2.9166666666666701</v>
      </c>
    </row>
    <row r="41" spans="1:13" ht="16.5" x14ac:dyDescent="0.3">
      <c r="A41" s="17" t="str">
        <f>Data!A42</f>
        <v>Driver 34</v>
      </c>
      <c r="B41" s="18" t="str">
        <f>IF(Data!C42="","",Data!C42)</f>
        <v>First Name</v>
      </c>
      <c r="C41" s="18" t="str">
        <f>IF(Data!D42="","",Data!D42)</f>
        <v>Last Name</v>
      </c>
      <c r="D41" s="18" t="str">
        <f t="shared" si="0"/>
        <v>First Name Last Name</v>
      </c>
      <c r="E41" s="19" t="str">
        <f>Data!E42</f>
        <v>OFF</v>
      </c>
      <c r="F41" s="19" t="str">
        <f>Data!F42</f>
        <v>America7Day</v>
      </c>
      <c r="G41" s="19" t="b">
        <f t="shared" si="1"/>
        <v>0</v>
      </c>
      <c r="H41" s="19" t="str">
        <f>IF(OR(ISNUMBER(SEARCH("None",F41))),"N/A",IF(AND(ISNUMBER(SEARCH("Short",F41)),OR(ISNUMBER(SEARCH("Texas",F41)),ISNUMBER(SEARCH("Canada",F41))),OR(J41&lt;=(((Summary!$A$5*60)+Summary!$B$5)/1440),K41&lt;=(((Summary!$A$5*60)+Summary!$B$5)/1440),L41&lt;=(((Summary!$A$5*60)+Summary!$B$5)/1440),M41&lt;=(((Summary!$A$5*60)+Summary!$B$5)/1440))),"Unavailable",IF(AND(ISNUMBER(SEARCH("Short",F41)),OR(J41&lt;=(((Summary!$A$5*60)+Summary!$B$5)/1440),K41&lt;=(((Summary!$A$5*60)+Summary!$B$5)/1440),L41&lt;=(((Summary!$A$5*60)+Summary!$B$5)/1440),M41&lt;=(((Summary!$A$5*60)+Summary!$B$5)/1440))),"Unavailable",IF(AND(OR(ISNUMBER(SEARCH("Texas",F41)),ISNUMBER(SEARCH("Canada",F41))),OR(I41&lt;=(((Summary!$A$5*60)+Summary!$B$5)/1440),J41&lt;=(((Summary!$A$5*60)+Summary!$B$5)/1440),K41&lt;=(((Summary!$A$5*60)+Summary!$B$5)/1440),L41&lt;=(((Summary!$A$5*60)+Summary!$B$5)/1440),M41&lt;=(((Summary!$A$5*60)+Summary!$B$5)/1440))),"Unavailable",IF(OR(I41&lt;=(((Summary!$A$5*60)+Summary!$B$5)/1440),J41&lt;=(((Summary!$A$5*60)+Summary!$B$5)/1440),L41&lt;=(((Summary!$A$5*60)+Summary!$B$5)/1440),M41&lt;=(((Summary!$A$5*60)+Summary!$B$5)/1440)),"Unavailable","Available")))))</f>
        <v>Available</v>
      </c>
      <c r="I41" s="19">
        <f>Data!G42</f>
        <v>0.33333333333333298</v>
      </c>
      <c r="J41" s="19">
        <f>Data!H42</f>
        <v>0.45833333333333298</v>
      </c>
      <c r="K41" s="19">
        <f>Data!I42</f>
        <v>0</v>
      </c>
      <c r="L41" s="19">
        <f>Data!J42</f>
        <v>0.58333333333333304</v>
      </c>
      <c r="M41" s="19">
        <f>Data!K42</f>
        <v>2.5</v>
      </c>
    </row>
    <row r="42" spans="1:13" ht="16.5" x14ac:dyDescent="0.3">
      <c r="A42" s="17" t="str">
        <f>Data!A43</f>
        <v>Driver 35</v>
      </c>
      <c r="B42" s="18" t="str">
        <f>IF(Data!C43="","",Data!C43)</f>
        <v>First Name</v>
      </c>
      <c r="C42" s="18" t="str">
        <f>IF(Data!D43="","",Data!D43)</f>
        <v>Last Name</v>
      </c>
      <c r="D42" s="18" t="str">
        <f t="shared" si="0"/>
        <v>First Name Last Name</v>
      </c>
      <c r="E42" s="19" t="str">
        <f>Data!E43</f>
        <v>OFF</v>
      </c>
      <c r="F42" s="19" t="str">
        <f>Data!F43</f>
        <v>America7DayPassenger</v>
      </c>
      <c r="G42" s="19" t="b">
        <f t="shared" si="1"/>
        <v>0</v>
      </c>
      <c r="H42" s="19" t="str">
        <f>IF(OR(ISNUMBER(SEARCH("None",F42))),"N/A",IF(AND(ISNUMBER(SEARCH("Short",F42)),OR(ISNUMBER(SEARCH("Texas",F42)),ISNUMBER(SEARCH("Canada",F42))),OR(J42&lt;=(((Summary!$A$5*60)+Summary!$B$5)/1440),K42&lt;=(((Summary!$A$5*60)+Summary!$B$5)/1440),L42&lt;=(((Summary!$A$5*60)+Summary!$B$5)/1440),M42&lt;=(((Summary!$A$5*60)+Summary!$B$5)/1440))),"Unavailable",IF(AND(ISNUMBER(SEARCH("Short",F42)),OR(J42&lt;=(((Summary!$A$5*60)+Summary!$B$5)/1440),K42&lt;=(((Summary!$A$5*60)+Summary!$B$5)/1440),L42&lt;=(((Summary!$A$5*60)+Summary!$B$5)/1440),M42&lt;=(((Summary!$A$5*60)+Summary!$B$5)/1440))),"Unavailable",IF(AND(OR(ISNUMBER(SEARCH("Texas",F42)),ISNUMBER(SEARCH("Canada",F42))),OR(I42&lt;=(((Summary!$A$5*60)+Summary!$B$5)/1440),J42&lt;=(((Summary!$A$5*60)+Summary!$B$5)/1440),K42&lt;=(((Summary!$A$5*60)+Summary!$B$5)/1440),L42&lt;=(((Summary!$A$5*60)+Summary!$B$5)/1440),M42&lt;=(((Summary!$A$5*60)+Summary!$B$5)/1440))),"Unavailable",IF(OR(I42&lt;=(((Summary!$A$5*60)+Summary!$B$5)/1440),J42&lt;=(((Summary!$A$5*60)+Summary!$B$5)/1440),L42&lt;=(((Summary!$A$5*60)+Summary!$B$5)/1440),M42&lt;=(((Summary!$A$5*60)+Summary!$B$5)/1440)),"Unavailable","Available")))))</f>
        <v>Unavailable</v>
      </c>
      <c r="I42" s="19">
        <f>Data!G43</f>
        <v>0</v>
      </c>
      <c r="J42" s="19">
        <f>Data!H43</f>
        <v>0.41666666666666702</v>
      </c>
      <c r="K42" s="19">
        <f>Data!I43</f>
        <v>0.625</v>
      </c>
      <c r="L42" s="19">
        <f>Data!J43</f>
        <v>0</v>
      </c>
      <c r="M42" s="19">
        <f>Data!K43</f>
        <v>2.5</v>
      </c>
    </row>
    <row r="43" spans="1:13" ht="16.5" x14ac:dyDescent="0.3">
      <c r="A43" s="17" t="str">
        <f>Data!A44</f>
        <v>Driver 36</v>
      </c>
      <c r="B43" s="18" t="str">
        <f>IF(Data!C44="","",Data!C44)</f>
        <v>First Name</v>
      </c>
      <c r="C43" s="18" t="str">
        <f>IF(Data!D44="","",Data!D44)</f>
        <v>Last Name</v>
      </c>
      <c r="D43" s="18" t="str">
        <f t="shared" si="0"/>
        <v>First Name Last Name</v>
      </c>
      <c r="E43" s="19" t="str">
        <f>Data!E44</f>
        <v>OFF</v>
      </c>
      <c r="F43" s="19" t="str">
        <f>Data!F44</f>
        <v>America7Day</v>
      </c>
      <c r="G43" s="19" t="b">
        <f t="shared" si="1"/>
        <v>0</v>
      </c>
      <c r="H43" s="19" t="str">
        <f>IF(OR(ISNUMBER(SEARCH("None",F43))),"N/A",IF(AND(ISNUMBER(SEARCH("Short",F43)),OR(ISNUMBER(SEARCH("Texas",F43)),ISNUMBER(SEARCH("Canada",F43))),OR(J43&lt;=(((Summary!$A$5*60)+Summary!$B$5)/1440),K43&lt;=(((Summary!$A$5*60)+Summary!$B$5)/1440),L43&lt;=(((Summary!$A$5*60)+Summary!$B$5)/1440),M43&lt;=(((Summary!$A$5*60)+Summary!$B$5)/1440))),"Unavailable",IF(AND(ISNUMBER(SEARCH("Short",F43)),OR(J43&lt;=(((Summary!$A$5*60)+Summary!$B$5)/1440),K43&lt;=(((Summary!$A$5*60)+Summary!$B$5)/1440),L43&lt;=(((Summary!$A$5*60)+Summary!$B$5)/1440),M43&lt;=(((Summary!$A$5*60)+Summary!$B$5)/1440))),"Unavailable",IF(AND(OR(ISNUMBER(SEARCH("Texas",F43)),ISNUMBER(SEARCH("Canada",F43))),OR(I43&lt;=(((Summary!$A$5*60)+Summary!$B$5)/1440),J43&lt;=(((Summary!$A$5*60)+Summary!$B$5)/1440),K43&lt;=(((Summary!$A$5*60)+Summary!$B$5)/1440),L43&lt;=(((Summary!$A$5*60)+Summary!$B$5)/1440),M43&lt;=(((Summary!$A$5*60)+Summary!$B$5)/1440))),"Unavailable",IF(OR(I43&lt;=(((Summary!$A$5*60)+Summary!$B$5)/1440),J43&lt;=(((Summary!$A$5*60)+Summary!$B$5)/1440),L43&lt;=(((Summary!$A$5*60)+Summary!$B$5)/1440),M43&lt;=(((Summary!$A$5*60)+Summary!$B$5)/1440)),"Unavailable","Available")))))</f>
        <v>Available</v>
      </c>
      <c r="I43" s="19">
        <f>Data!G44</f>
        <v>0.33333333333333298</v>
      </c>
      <c r="J43" s="19">
        <f>Data!H44</f>
        <v>0.45833333333333298</v>
      </c>
      <c r="K43" s="19">
        <f>Data!I44</f>
        <v>0</v>
      </c>
      <c r="L43" s="19">
        <f>Data!J44</f>
        <v>0.58333333333333304</v>
      </c>
      <c r="M43" s="19">
        <f>Data!K44</f>
        <v>2.5</v>
      </c>
    </row>
    <row r="44" spans="1:13" ht="16.5" x14ac:dyDescent="0.3">
      <c r="A44" s="17" t="str">
        <f>Data!A45</f>
        <v>Driver 37</v>
      </c>
      <c r="B44" s="18" t="str">
        <f>IF(Data!C45="","",Data!C45)</f>
        <v>First Name</v>
      </c>
      <c r="C44" s="18" t="str">
        <f>IF(Data!D45="","",Data!D45)</f>
        <v>Last Name</v>
      </c>
      <c r="D44" s="18" t="str">
        <f t="shared" si="0"/>
        <v>First Name Last Name</v>
      </c>
      <c r="E44" s="19" t="str">
        <f>Data!E45</f>
        <v>OFF</v>
      </c>
      <c r="F44" s="19" t="str">
        <f>Data!F45</f>
        <v>OilWell7DayBig</v>
      </c>
      <c r="G44" s="19" t="b">
        <f t="shared" si="1"/>
        <v>0</v>
      </c>
      <c r="H44" s="19" t="str">
        <f>IF(OR(ISNUMBER(SEARCH("None",F44))),"N/A",IF(AND(ISNUMBER(SEARCH("Short",F44)),OR(ISNUMBER(SEARCH("Texas",F44)),ISNUMBER(SEARCH("Canada",F44))),OR(J44&lt;=(((Summary!$A$5*60)+Summary!$B$5)/1440),K44&lt;=(((Summary!$A$5*60)+Summary!$B$5)/1440),L44&lt;=(((Summary!$A$5*60)+Summary!$B$5)/1440),M44&lt;=(((Summary!$A$5*60)+Summary!$B$5)/1440))),"Unavailable",IF(AND(ISNUMBER(SEARCH("Short",F44)),OR(J44&lt;=(((Summary!$A$5*60)+Summary!$B$5)/1440),K44&lt;=(((Summary!$A$5*60)+Summary!$B$5)/1440),L44&lt;=(((Summary!$A$5*60)+Summary!$B$5)/1440),M44&lt;=(((Summary!$A$5*60)+Summary!$B$5)/1440))),"Unavailable",IF(AND(OR(ISNUMBER(SEARCH("Texas",F44)),ISNUMBER(SEARCH("Canada",F44))),OR(I44&lt;=(((Summary!$A$5*60)+Summary!$B$5)/1440),J44&lt;=(((Summary!$A$5*60)+Summary!$B$5)/1440),K44&lt;=(((Summary!$A$5*60)+Summary!$B$5)/1440),L44&lt;=(((Summary!$A$5*60)+Summary!$B$5)/1440),M44&lt;=(((Summary!$A$5*60)+Summary!$B$5)/1440))),"Unavailable",IF(OR(I44&lt;=(((Summary!$A$5*60)+Summary!$B$5)/1440),J44&lt;=(((Summary!$A$5*60)+Summary!$B$5)/1440),L44&lt;=(((Summary!$A$5*60)+Summary!$B$5)/1440),M44&lt;=(((Summary!$A$5*60)+Summary!$B$5)/1440)),"Unavailable","Available")))))</f>
        <v>Available</v>
      </c>
      <c r="I44" s="19">
        <f>Data!G45</f>
        <v>0.33333333333333298</v>
      </c>
      <c r="J44" s="19">
        <f>Data!H45</f>
        <v>0.45833333333333298</v>
      </c>
      <c r="K44" s="19">
        <f>Data!I45</f>
        <v>0</v>
      </c>
      <c r="L44" s="19">
        <f>Data!J45</f>
        <v>0.58333333333333304</v>
      </c>
      <c r="M44" s="19">
        <f>Data!K45</f>
        <v>2.5</v>
      </c>
    </row>
    <row r="45" spans="1:13" ht="16.5" x14ac:dyDescent="0.3">
      <c r="A45" s="17" t="str">
        <f>Data!A46</f>
        <v>Driver 38</v>
      </c>
      <c r="B45" s="18" t="str">
        <f>IF(Data!C46="","",Data!C46)</f>
        <v>First Name</v>
      </c>
      <c r="C45" s="18" t="str">
        <f>IF(Data!D46="","",Data!D46)</f>
        <v>Last Name</v>
      </c>
      <c r="D45" s="18" t="str">
        <f t="shared" si="0"/>
        <v>First Name Last Name</v>
      </c>
      <c r="E45" s="19" t="str">
        <f>Data!E46</f>
        <v>OFF</v>
      </c>
      <c r="F45" s="19" t="str">
        <f>Data!F46</f>
        <v>America7Day</v>
      </c>
      <c r="G45" s="19" t="b">
        <f t="shared" si="1"/>
        <v>0</v>
      </c>
      <c r="H45" s="19" t="str">
        <f>IF(OR(ISNUMBER(SEARCH("None",F45))),"N/A",IF(AND(ISNUMBER(SEARCH("Short",F45)),OR(ISNUMBER(SEARCH("Texas",F45)),ISNUMBER(SEARCH("Canada",F45))),OR(J45&lt;=(((Summary!$A$5*60)+Summary!$B$5)/1440),K45&lt;=(((Summary!$A$5*60)+Summary!$B$5)/1440),L45&lt;=(((Summary!$A$5*60)+Summary!$B$5)/1440),M45&lt;=(((Summary!$A$5*60)+Summary!$B$5)/1440))),"Unavailable",IF(AND(ISNUMBER(SEARCH("Short",F45)),OR(J45&lt;=(((Summary!$A$5*60)+Summary!$B$5)/1440),K45&lt;=(((Summary!$A$5*60)+Summary!$B$5)/1440),L45&lt;=(((Summary!$A$5*60)+Summary!$B$5)/1440),M45&lt;=(((Summary!$A$5*60)+Summary!$B$5)/1440))),"Unavailable",IF(AND(OR(ISNUMBER(SEARCH("Texas",F45)),ISNUMBER(SEARCH("Canada",F45))),OR(I45&lt;=(((Summary!$A$5*60)+Summary!$B$5)/1440),J45&lt;=(((Summary!$A$5*60)+Summary!$B$5)/1440),K45&lt;=(((Summary!$A$5*60)+Summary!$B$5)/1440),L45&lt;=(((Summary!$A$5*60)+Summary!$B$5)/1440),M45&lt;=(((Summary!$A$5*60)+Summary!$B$5)/1440))),"Unavailable",IF(OR(I45&lt;=(((Summary!$A$5*60)+Summary!$B$5)/1440),J45&lt;=(((Summary!$A$5*60)+Summary!$B$5)/1440),L45&lt;=(((Summary!$A$5*60)+Summary!$B$5)/1440),M45&lt;=(((Summary!$A$5*60)+Summary!$B$5)/1440)),"Unavailable","Available")))))</f>
        <v>Available</v>
      </c>
      <c r="I45" s="19">
        <f>Data!G46</f>
        <v>0.33333333333333298</v>
      </c>
      <c r="J45" s="19">
        <f>Data!H46</f>
        <v>0.45833333333333298</v>
      </c>
      <c r="K45" s="19">
        <f>Data!I46</f>
        <v>0</v>
      </c>
      <c r="L45" s="19">
        <f>Data!J46</f>
        <v>0.58333333333333304</v>
      </c>
      <c r="M45" s="19">
        <f>Data!K46</f>
        <v>2.5</v>
      </c>
    </row>
    <row r="46" spans="1:13" ht="16.5" x14ac:dyDescent="0.3">
      <c r="A46" s="17" t="str">
        <f>Data!A47</f>
        <v>Driver 39</v>
      </c>
      <c r="B46" s="18" t="str">
        <f>IF(Data!C47="","",Data!C47)</f>
        <v>First Name</v>
      </c>
      <c r="C46" s="18" t="str">
        <f>IF(Data!D47="","",Data!D47)</f>
        <v>Last Name</v>
      </c>
      <c r="D46" s="18" t="str">
        <f t="shared" si="0"/>
        <v>First Name Last Name</v>
      </c>
      <c r="E46" s="19" t="str">
        <f>Data!E47</f>
        <v>OFF</v>
      </c>
      <c r="F46" s="19" t="str">
        <f>Data!F47</f>
        <v>OilWell7Day</v>
      </c>
      <c r="G46" s="19" t="b">
        <f t="shared" si="1"/>
        <v>0</v>
      </c>
      <c r="H46" s="19" t="str">
        <f>IF(OR(ISNUMBER(SEARCH("None",F46))),"N/A",IF(AND(ISNUMBER(SEARCH("Short",F46)),OR(ISNUMBER(SEARCH("Texas",F46)),ISNUMBER(SEARCH("Canada",F46))),OR(J46&lt;=(((Summary!$A$5*60)+Summary!$B$5)/1440),K46&lt;=(((Summary!$A$5*60)+Summary!$B$5)/1440),L46&lt;=(((Summary!$A$5*60)+Summary!$B$5)/1440),M46&lt;=(((Summary!$A$5*60)+Summary!$B$5)/1440))),"Unavailable",IF(AND(ISNUMBER(SEARCH("Short",F46)),OR(J46&lt;=(((Summary!$A$5*60)+Summary!$B$5)/1440),K46&lt;=(((Summary!$A$5*60)+Summary!$B$5)/1440),L46&lt;=(((Summary!$A$5*60)+Summary!$B$5)/1440),M46&lt;=(((Summary!$A$5*60)+Summary!$B$5)/1440))),"Unavailable",IF(AND(OR(ISNUMBER(SEARCH("Texas",F46)),ISNUMBER(SEARCH("Canada",F46))),OR(I46&lt;=(((Summary!$A$5*60)+Summary!$B$5)/1440),J46&lt;=(((Summary!$A$5*60)+Summary!$B$5)/1440),K46&lt;=(((Summary!$A$5*60)+Summary!$B$5)/1440),L46&lt;=(((Summary!$A$5*60)+Summary!$B$5)/1440),M46&lt;=(((Summary!$A$5*60)+Summary!$B$5)/1440))),"Unavailable",IF(OR(I46&lt;=(((Summary!$A$5*60)+Summary!$B$5)/1440),J46&lt;=(((Summary!$A$5*60)+Summary!$B$5)/1440),L46&lt;=(((Summary!$A$5*60)+Summary!$B$5)/1440),M46&lt;=(((Summary!$A$5*60)+Summary!$B$5)/1440)),"Unavailable","Available")))))</f>
        <v>Available</v>
      </c>
      <c r="I46" s="19">
        <f>Data!G47</f>
        <v>0.33333333333333298</v>
      </c>
      <c r="J46" s="19">
        <f>Data!H47</f>
        <v>0.45833333333333298</v>
      </c>
      <c r="K46" s="19">
        <f>Data!I47</f>
        <v>0</v>
      </c>
      <c r="L46" s="19">
        <f>Data!J47</f>
        <v>0.58333333333333304</v>
      </c>
      <c r="M46" s="19">
        <f>Data!K47</f>
        <v>2.5</v>
      </c>
    </row>
    <row r="47" spans="1:13" ht="16.5" x14ac:dyDescent="0.3">
      <c r="A47" s="17" t="str">
        <f>Data!A48</f>
        <v>Driver 40</v>
      </c>
      <c r="B47" s="18" t="str">
        <f>IF(Data!C48="","",Data!C48)</f>
        <v>First Name</v>
      </c>
      <c r="C47" s="18" t="str">
        <f>IF(Data!D48="","",Data!D48)</f>
        <v>Last Name</v>
      </c>
      <c r="D47" s="18" t="str">
        <f t="shared" si="0"/>
        <v>First Name Last Name</v>
      </c>
      <c r="E47" s="19" t="str">
        <f>Data!E48</f>
        <v>OFF</v>
      </c>
      <c r="F47" s="19" t="str">
        <f>Data!F48</f>
        <v>None</v>
      </c>
      <c r="G47" s="19" t="b">
        <f t="shared" si="1"/>
        <v>1</v>
      </c>
      <c r="H47" s="19" t="str">
        <f>IF(OR(ISNUMBER(SEARCH("None",F47))),"N/A",IF(AND(ISNUMBER(SEARCH("Short",F47)),OR(ISNUMBER(SEARCH("Texas",F47)),ISNUMBER(SEARCH("Canada",F47))),OR(J47&lt;=(((Summary!$A$5*60)+Summary!$B$5)/1440),K47&lt;=(((Summary!$A$5*60)+Summary!$B$5)/1440),L47&lt;=(((Summary!$A$5*60)+Summary!$B$5)/1440),M47&lt;=(((Summary!$A$5*60)+Summary!$B$5)/1440))),"Unavailable",IF(AND(ISNUMBER(SEARCH("Short",F47)),OR(J47&lt;=(((Summary!$A$5*60)+Summary!$B$5)/1440),K47&lt;=(((Summary!$A$5*60)+Summary!$B$5)/1440),L47&lt;=(((Summary!$A$5*60)+Summary!$B$5)/1440),M47&lt;=(((Summary!$A$5*60)+Summary!$B$5)/1440))),"Unavailable",IF(AND(OR(ISNUMBER(SEARCH("Texas",F47)),ISNUMBER(SEARCH("Canada",F47))),OR(I47&lt;=(((Summary!$A$5*60)+Summary!$B$5)/1440),J47&lt;=(((Summary!$A$5*60)+Summary!$B$5)/1440),K47&lt;=(((Summary!$A$5*60)+Summary!$B$5)/1440),L47&lt;=(((Summary!$A$5*60)+Summary!$B$5)/1440),M47&lt;=(((Summary!$A$5*60)+Summary!$B$5)/1440))),"Unavailable",IF(OR(I47&lt;=(((Summary!$A$5*60)+Summary!$B$5)/1440),J47&lt;=(((Summary!$A$5*60)+Summary!$B$5)/1440),L47&lt;=(((Summary!$A$5*60)+Summary!$B$5)/1440),M47&lt;=(((Summary!$A$5*60)+Summary!$B$5)/1440)),"Unavailable","Available")))))</f>
        <v>N/A</v>
      </c>
      <c r="I47" s="19">
        <f>Data!G48</f>
        <v>0</v>
      </c>
      <c r="J47" s="19">
        <f>Data!H48</f>
        <v>0</v>
      </c>
      <c r="K47" s="19">
        <f>Data!I48</f>
        <v>0</v>
      </c>
      <c r="L47" s="19">
        <f>Data!J48</f>
        <v>0</v>
      </c>
      <c r="M47" s="19">
        <f>Data!K48</f>
        <v>0</v>
      </c>
    </row>
    <row r="48" spans="1:13" ht="16.5" x14ac:dyDescent="0.3">
      <c r="A48" s="17" t="str">
        <f>Data!A49</f>
        <v>Driver 41</v>
      </c>
      <c r="B48" s="18" t="str">
        <f>IF(Data!C49="","",Data!C49)</f>
        <v>First Name</v>
      </c>
      <c r="C48" s="18" t="str">
        <f>IF(Data!D49="","",Data!D49)</f>
        <v>Last Name</v>
      </c>
      <c r="D48" s="18" t="str">
        <f t="shared" si="0"/>
        <v>First Name Last Name</v>
      </c>
      <c r="E48" s="19" t="str">
        <f>Data!E49</f>
        <v>ON</v>
      </c>
      <c r="F48" s="19" t="str">
        <f>Data!F49</f>
        <v>OilTransport8Day</v>
      </c>
      <c r="G48" s="19" t="b">
        <f t="shared" si="1"/>
        <v>0</v>
      </c>
      <c r="H48" s="19" t="str">
        <f>IF(OR(ISNUMBER(SEARCH("None",F48))),"N/A",IF(AND(ISNUMBER(SEARCH("Short",F48)),OR(ISNUMBER(SEARCH("Texas",F48)),ISNUMBER(SEARCH("Canada",F48))),OR(J48&lt;=(((Summary!$A$5*60)+Summary!$B$5)/1440),K48&lt;=(((Summary!$A$5*60)+Summary!$B$5)/1440),L48&lt;=(((Summary!$A$5*60)+Summary!$B$5)/1440),M48&lt;=(((Summary!$A$5*60)+Summary!$B$5)/1440))),"Unavailable",IF(AND(ISNUMBER(SEARCH("Short",F48)),OR(J48&lt;=(((Summary!$A$5*60)+Summary!$B$5)/1440),K48&lt;=(((Summary!$A$5*60)+Summary!$B$5)/1440),L48&lt;=(((Summary!$A$5*60)+Summary!$B$5)/1440),M48&lt;=(((Summary!$A$5*60)+Summary!$B$5)/1440))),"Unavailable",IF(AND(OR(ISNUMBER(SEARCH("Texas",F48)),ISNUMBER(SEARCH("Canada",F48))),OR(I48&lt;=(((Summary!$A$5*60)+Summary!$B$5)/1440),J48&lt;=(((Summary!$A$5*60)+Summary!$B$5)/1440),K48&lt;=(((Summary!$A$5*60)+Summary!$B$5)/1440),L48&lt;=(((Summary!$A$5*60)+Summary!$B$5)/1440),M48&lt;=(((Summary!$A$5*60)+Summary!$B$5)/1440))),"Unavailable",IF(OR(I48&lt;=(((Summary!$A$5*60)+Summary!$B$5)/1440),J48&lt;=(((Summary!$A$5*60)+Summary!$B$5)/1440),L48&lt;=(((Summary!$A$5*60)+Summary!$B$5)/1440),M48&lt;=(((Summary!$A$5*60)+Summary!$B$5)/1440)),"Unavailable","Available")))))</f>
        <v>Unavailable</v>
      </c>
      <c r="I48" s="19">
        <f>Data!G49</f>
        <v>0</v>
      </c>
      <c r="J48" s="19">
        <f>Data!H49</f>
        <v>0.45833333333333298</v>
      </c>
      <c r="K48" s="19">
        <f>Data!I49</f>
        <v>0</v>
      </c>
      <c r="L48" s="19">
        <f>Data!J49</f>
        <v>0</v>
      </c>
      <c r="M48" s="19">
        <f>Data!K49</f>
        <v>0</v>
      </c>
    </row>
    <row r="49" spans="1:13" ht="16.5" x14ac:dyDescent="0.3">
      <c r="A49" s="17" t="str">
        <f>Data!A50</f>
        <v>Driver 42</v>
      </c>
      <c r="B49" s="18" t="str">
        <f>IF(Data!C50="","",Data!C50)</f>
        <v>First Name</v>
      </c>
      <c r="C49" s="18" t="str">
        <f>IF(Data!D50="","",Data!D50)</f>
        <v>Last Name</v>
      </c>
      <c r="D49" s="18" t="str">
        <f t="shared" si="0"/>
        <v>First Name Last Name</v>
      </c>
      <c r="E49" s="19" t="str">
        <f>Data!E50</f>
        <v>OFF</v>
      </c>
      <c r="F49" s="19" t="str">
        <f>Data!F50</f>
        <v>CanadaCycleTwo</v>
      </c>
      <c r="G49" s="19" t="b">
        <f t="shared" si="1"/>
        <v>0</v>
      </c>
      <c r="H49" s="19" t="str">
        <f>IF(OR(ISNUMBER(SEARCH("None",F49))),"N/A",IF(AND(ISNUMBER(SEARCH("Short",F49)),OR(ISNUMBER(SEARCH("Texas",F49)),ISNUMBER(SEARCH("Canada",F49))),OR(J49&lt;=(((Summary!$A$5*60)+Summary!$B$5)/1440),K49&lt;=(((Summary!$A$5*60)+Summary!$B$5)/1440),L49&lt;=(((Summary!$A$5*60)+Summary!$B$5)/1440),M49&lt;=(((Summary!$A$5*60)+Summary!$B$5)/1440))),"Unavailable",IF(AND(ISNUMBER(SEARCH("Short",F49)),OR(J49&lt;=(((Summary!$A$5*60)+Summary!$B$5)/1440),K49&lt;=(((Summary!$A$5*60)+Summary!$B$5)/1440),L49&lt;=(((Summary!$A$5*60)+Summary!$B$5)/1440),M49&lt;=(((Summary!$A$5*60)+Summary!$B$5)/1440))),"Unavailable",IF(AND(OR(ISNUMBER(SEARCH("Texas",F49)),ISNUMBER(SEARCH("Canada",F49))),OR(I49&lt;=(((Summary!$A$5*60)+Summary!$B$5)/1440),J49&lt;=(((Summary!$A$5*60)+Summary!$B$5)/1440),K49&lt;=(((Summary!$A$5*60)+Summary!$B$5)/1440),L49&lt;=(((Summary!$A$5*60)+Summary!$B$5)/1440),M49&lt;=(((Summary!$A$5*60)+Summary!$B$5)/1440))),"Unavailable",IF(OR(I49&lt;=(((Summary!$A$5*60)+Summary!$B$5)/1440),J49&lt;=(((Summary!$A$5*60)+Summary!$B$5)/1440),L49&lt;=(((Summary!$A$5*60)+Summary!$B$5)/1440),M49&lt;=(((Summary!$A$5*60)+Summary!$B$5)/1440)),"Unavailable","Available")))))</f>
        <v>Unavailable</v>
      </c>
      <c r="I49" s="19">
        <f>Data!G50</f>
        <v>0</v>
      </c>
      <c r="J49" s="19">
        <f>Data!H50</f>
        <v>0.54166666666666696</v>
      </c>
      <c r="K49" s="19">
        <f>Data!I50</f>
        <v>0.58333333333333304</v>
      </c>
      <c r="L49" s="19">
        <f>Data!J50</f>
        <v>0.66666666666666696</v>
      </c>
      <c r="M49" s="19">
        <f>Data!K50</f>
        <v>5</v>
      </c>
    </row>
    <row r="50" spans="1:13" ht="16.5" x14ac:dyDescent="0.3">
      <c r="A50" s="17" t="str">
        <f>Data!A51</f>
        <v>Driver 43</v>
      </c>
      <c r="B50" s="18" t="str">
        <f>IF(Data!C51="","",Data!C51)</f>
        <v>First Name</v>
      </c>
      <c r="C50" s="18" t="str">
        <f>IF(Data!D51="","",Data!D51)</f>
        <v>Last Name</v>
      </c>
      <c r="D50" s="18" t="str">
        <f t="shared" si="0"/>
        <v>First Name Last Name</v>
      </c>
      <c r="E50" s="19" t="str">
        <f>Data!E51</f>
        <v>ON</v>
      </c>
      <c r="F50" s="19" t="str">
        <f>Data!F51</f>
        <v>CanadaCycleTwo</v>
      </c>
      <c r="G50" s="19" t="b">
        <f t="shared" si="1"/>
        <v>0</v>
      </c>
      <c r="H50" s="19" t="str">
        <f>IF(OR(ISNUMBER(SEARCH("None",F50))),"N/A",IF(AND(ISNUMBER(SEARCH("Short",F50)),OR(ISNUMBER(SEARCH("Texas",F50)),ISNUMBER(SEARCH("Canada",F50))),OR(J50&lt;=(((Summary!$A$5*60)+Summary!$B$5)/1440),K50&lt;=(((Summary!$A$5*60)+Summary!$B$5)/1440),L50&lt;=(((Summary!$A$5*60)+Summary!$B$5)/1440),M50&lt;=(((Summary!$A$5*60)+Summary!$B$5)/1440))),"Unavailable",IF(AND(ISNUMBER(SEARCH("Short",F50)),OR(J50&lt;=(((Summary!$A$5*60)+Summary!$B$5)/1440),K50&lt;=(((Summary!$A$5*60)+Summary!$B$5)/1440),L50&lt;=(((Summary!$A$5*60)+Summary!$B$5)/1440),M50&lt;=(((Summary!$A$5*60)+Summary!$B$5)/1440))),"Unavailable",IF(AND(OR(ISNUMBER(SEARCH("Texas",F50)),ISNUMBER(SEARCH("Canada",F50))),OR(I50&lt;=(((Summary!$A$5*60)+Summary!$B$5)/1440),J50&lt;=(((Summary!$A$5*60)+Summary!$B$5)/1440),K50&lt;=(((Summary!$A$5*60)+Summary!$B$5)/1440),L50&lt;=(((Summary!$A$5*60)+Summary!$B$5)/1440),M50&lt;=(((Summary!$A$5*60)+Summary!$B$5)/1440))),"Unavailable",IF(OR(I50&lt;=(((Summary!$A$5*60)+Summary!$B$5)/1440),J50&lt;=(((Summary!$A$5*60)+Summary!$B$5)/1440),L50&lt;=(((Summary!$A$5*60)+Summary!$B$5)/1440),M50&lt;=(((Summary!$A$5*60)+Summary!$B$5)/1440)),"Unavailable","Available")))))</f>
        <v>Unavailable</v>
      </c>
      <c r="I50" s="19">
        <f>Data!G51</f>
        <v>0</v>
      </c>
      <c r="J50" s="19">
        <f>Data!H51</f>
        <v>0.54166666666666696</v>
      </c>
      <c r="K50" s="19">
        <f>Data!I51</f>
        <v>0.58333333333333304</v>
      </c>
      <c r="L50" s="19">
        <f>Data!J51</f>
        <v>0.66666666666666696</v>
      </c>
      <c r="M50" s="19">
        <f>Data!K51</f>
        <v>5</v>
      </c>
    </row>
    <row r="51" spans="1:13" ht="16.5" x14ac:dyDescent="0.3">
      <c r="A51" s="17" t="str">
        <f>Data!A52</f>
        <v>Driver 44</v>
      </c>
      <c r="B51" s="18" t="str">
        <f>IF(Data!C52="","",Data!C52)</f>
        <v>First Name</v>
      </c>
      <c r="C51" s="18" t="str">
        <f>IF(Data!D52="","",Data!D52)</f>
        <v>Last Name</v>
      </c>
      <c r="D51" s="18" t="str">
        <f t="shared" si="0"/>
        <v>First Name Last Name</v>
      </c>
      <c r="E51" s="19" t="str">
        <f>Data!E52</f>
        <v>OFF</v>
      </c>
      <c r="F51" s="19" t="str">
        <f>Data!F52</f>
        <v>America8Day</v>
      </c>
      <c r="G51" s="19" t="b">
        <f t="shared" si="1"/>
        <v>0</v>
      </c>
      <c r="H51" s="19" t="str">
        <f>IF(OR(ISNUMBER(SEARCH("None",F51))),"N/A",IF(AND(ISNUMBER(SEARCH("Short",F51)),OR(ISNUMBER(SEARCH("Texas",F51)),ISNUMBER(SEARCH("Canada",F51))),OR(J51&lt;=(((Summary!$A$5*60)+Summary!$B$5)/1440),K51&lt;=(((Summary!$A$5*60)+Summary!$B$5)/1440),L51&lt;=(((Summary!$A$5*60)+Summary!$B$5)/1440),M51&lt;=(((Summary!$A$5*60)+Summary!$B$5)/1440))),"Unavailable",IF(AND(ISNUMBER(SEARCH("Short",F51)),OR(J51&lt;=(((Summary!$A$5*60)+Summary!$B$5)/1440),K51&lt;=(((Summary!$A$5*60)+Summary!$B$5)/1440),L51&lt;=(((Summary!$A$5*60)+Summary!$B$5)/1440),M51&lt;=(((Summary!$A$5*60)+Summary!$B$5)/1440))),"Unavailable",IF(AND(OR(ISNUMBER(SEARCH("Texas",F51)),ISNUMBER(SEARCH("Canada",F51))),OR(I51&lt;=(((Summary!$A$5*60)+Summary!$B$5)/1440),J51&lt;=(((Summary!$A$5*60)+Summary!$B$5)/1440),K51&lt;=(((Summary!$A$5*60)+Summary!$B$5)/1440),L51&lt;=(((Summary!$A$5*60)+Summary!$B$5)/1440),M51&lt;=(((Summary!$A$5*60)+Summary!$B$5)/1440))),"Unavailable",IF(OR(I51&lt;=(((Summary!$A$5*60)+Summary!$B$5)/1440),J51&lt;=(((Summary!$A$5*60)+Summary!$B$5)/1440),L51&lt;=(((Summary!$A$5*60)+Summary!$B$5)/1440),M51&lt;=(((Summary!$A$5*60)+Summary!$B$5)/1440)),"Unavailable","Available")))))</f>
        <v>Available</v>
      </c>
      <c r="I51" s="19">
        <f>Data!G52</f>
        <v>0.33333333333333298</v>
      </c>
      <c r="J51" s="19">
        <f>Data!H52</f>
        <v>0.45833333333333298</v>
      </c>
      <c r="K51" s="19">
        <f>Data!I52</f>
        <v>0</v>
      </c>
      <c r="L51" s="19">
        <f>Data!J52</f>
        <v>0.58333333333333304</v>
      </c>
      <c r="M51" s="19">
        <f>Data!K52</f>
        <v>2.9166666666666701</v>
      </c>
    </row>
    <row r="52" spans="1:13" ht="16.5" x14ac:dyDescent="0.3">
      <c r="A52" s="17" t="str">
        <f>Data!A53</f>
        <v>Driver 45</v>
      </c>
      <c r="B52" s="18" t="str">
        <f>IF(Data!C53="","",Data!C53)</f>
        <v>First Name</v>
      </c>
      <c r="C52" s="18" t="str">
        <f>IF(Data!D53="","",Data!D53)</f>
        <v>Last Name</v>
      </c>
      <c r="D52" s="18" t="str">
        <f t="shared" si="0"/>
        <v>First Name Last Name</v>
      </c>
      <c r="E52" s="19" t="str">
        <f>Data!E53</f>
        <v>ON</v>
      </c>
      <c r="F52" s="19" t="str">
        <f>Data!F53</f>
        <v>CanadaCycleTwo</v>
      </c>
      <c r="G52" s="19" t="b">
        <f t="shared" si="1"/>
        <v>0</v>
      </c>
      <c r="H52" s="19" t="str">
        <f>IF(OR(ISNUMBER(SEARCH("None",F52))),"N/A",IF(AND(ISNUMBER(SEARCH("Short",F52)),OR(ISNUMBER(SEARCH("Texas",F52)),ISNUMBER(SEARCH("Canada",F52))),OR(J52&lt;=(((Summary!$A$5*60)+Summary!$B$5)/1440),K52&lt;=(((Summary!$A$5*60)+Summary!$B$5)/1440),L52&lt;=(((Summary!$A$5*60)+Summary!$B$5)/1440),M52&lt;=(((Summary!$A$5*60)+Summary!$B$5)/1440))),"Unavailable",IF(AND(ISNUMBER(SEARCH("Short",F52)),OR(J52&lt;=(((Summary!$A$5*60)+Summary!$B$5)/1440),K52&lt;=(((Summary!$A$5*60)+Summary!$B$5)/1440),L52&lt;=(((Summary!$A$5*60)+Summary!$B$5)/1440),M52&lt;=(((Summary!$A$5*60)+Summary!$B$5)/1440))),"Unavailable",IF(AND(OR(ISNUMBER(SEARCH("Texas",F52)),ISNUMBER(SEARCH("Canada",F52))),OR(I52&lt;=(((Summary!$A$5*60)+Summary!$B$5)/1440),J52&lt;=(((Summary!$A$5*60)+Summary!$B$5)/1440),K52&lt;=(((Summary!$A$5*60)+Summary!$B$5)/1440),L52&lt;=(((Summary!$A$5*60)+Summary!$B$5)/1440),M52&lt;=(((Summary!$A$5*60)+Summary!$B$5)/1440))),"Unavailable",IF(OR(I52&lt;=(((Summary!$A$5*60)+Summary!$B$5)/1440),J52&lt;=(((Summary!$A$5*60)+Summary!$B$5)/1440),L52&lt;=(((Summary!$A$5*60)+Summary!$B$5)/1440),M52&lt;=(((Summary!$A$5*60)+Summary!$B$5)/1440)),"Unavailable","Available")))))</f>
        <v>Unavailable</v>
      </c>
      <c r="I52" s="19">
        <f>Data!G53</f>
        <v>0</v>
      </c>
      <c r="J52" s="19">
        <f>Data!H53</f>
        <v>0.54166666666666696</v>
      </c>
      <c r="K52" s="19">
        <f>Data!I53</f>
        <v>0.58333333333333304</v>
      </c>
      <c r="L52" s="19">
        <f>Data!J53</f>
        <v>0.66666666666666696</v>
      </c>
      <c r="M52" s="19">
        <f>Data!K53</f>
        <v>5</v>
      </c>
    </row>
    <row r="53" spans="1:13" ht="16.5" x14ac:dyDescent="0.3">
      <c r="A53" s="17" t="str">
        <f>Data!A54</f>
        <v>Driver 46</v>
      </c>
      <c r="B53" s="18" t="str">
        <f>IF(Data!C54="","",Data!C54)</f>
        <v>First Name</v>
      </c>
      <c r="C53" s="18" t="str">
        <f>IF(Data!D54="","",Data!D54)</f>
        <v>Last Name</v>
      </c>
      <c r="D53" s="18" t="str">
        <f t="shared" si="0"/>
        <v>First Name Last Name</v>
      </c>
      <c r="E53" s="19" t="str">
        <f>Data!E54</f>
        <v>OFF</v>
      </c>
      <c r="F53" s="19" t="str">
        <f>Data!F54</f>
        <v>None</v>
      </c>
      <c r="G53" s="19" t="b">
        <f t="shared" si="1"/>
        <v>1</v>
      </c>
      <c r="H53" s="19" t="str">
        <f>IF(OR(ISNUMBER(SEARCH("None",F53))),"N/A",IF(AND(ISNUMBER(SEARCH("Short",F53)),OR(ISNUMBER(SEARCH("Texas",F53)),ISNUMBER(SEARCH("Canada",F53))),OR(J53&lt;=(((Summary!$A$5*60)+Summary!$B$5)/1440),K53&lt;=(((Summary!$A$5*60)+Summary!$B$5)/1440),L53&lt;=(((Summary!$A$5*60)+Summary!$B$5)/1440),M53&lt;=(((Summary!$A$5*60)+Summary!$B$5)/1440))),"Unavailable",IF(AND(ISNUMBER(SEARCH("Short",F53)),OR(J53&lt;=(((Summary!$A$5*60)+Summary!$B$5)/1440),K53&lt;=(((Summary!$A$5*60)+Summary!$B$5)/1440),L53&lt;=(((Summary!$A$5*60)+Summary!$B$5)/1440),M53&lt;=(((Summary!$A$5*60)+Summary!$B$5)/1440))),"Unavailable",IF(AND(OR(ISNUMBER(SEARCH("Texas",F53)),ISNUMBER(SEARCH("Canada",F53))),OR(I53&lt;=(((Summary!$A$5*60)+Summary!$B$5)/1440),J53&lt;=(((Summary!$A$5*60)+Summary!$B$5)/1440),K53&lt;=(((Summary!$A$5*60)+Summary!$B$5)/1440),L53&lt;=(((Summary!$A$5*60)+Summary!$B$5)/1440),M53&lt;=(((Summary!$A$5*60)+Summary!$B$5)/1440))),"Unavailable",IF(OR(I53&lt;=(((Summary!$A$5*60)+Summary!$B$5)/1440),J53&lt;=(((Summary!$A$5*60)+Summary!$B$5)/1440),L53&lt;=(((Summary!$A$5*60)+Summary!$B$5)/1440),M53&lt;=(((Summary!$A$5*60)+Summary!$B$5)/1440)),"Unavailable","Available")))))</f>
        <v>N/A</v>
      </c>
      <c r="I53" s="19">
        <f>Data!G54</f>
        <v>0</v>
      </c>
      <c r="J53" s="19">
        <f>Data!H54</f>
        <v>0</v>
      </c>
      <c r="K53" s="19">
        <f>Data!I54</f>
        <v>0</v>
      </c>
      <c r="L53" s="19">
        <f>Data!J54</f>
        <v>0</v>
      </c>
      <c r="M53" s="19">
        <f>Data!K54</f>
        <v>0</v>
      </c>
    </row>
    <row r="54" spans="1:13" ht="16.5" x14ac:dyDescent="0.3">
      <c r="A54" s="17" t="str">
        <f>Data!A55</f>
        <v>Driver 47</v>
      </c>
      <c r="B54" s="18" t="str">
        <f>IF(Data!C55="","",Data!C55)</f>
        <v>First Name</v>
      </c>
      <c r="C54" s="18" t="str">
        <f>IF(Data!D55="","",Data!D55)</f>
        <v>Last Name</v>
      </c>
      <c r="D54" s="18" t="str">
        <f t="shared" si="0"/>
        <v>First Name Last Name</v>
      </c>
      <c r="E54" s="19" t="str">
        <f>Data!E55</f>
        <v>OFF</v>
      </c>
      <c r="F54" s="19" t="str">
        <f>Data!F55</f>
        <v>None</v>
      </c>
      <c r="G54" s="19" t="b">
        <f t="shared" si="1"/>
        <v>1</v>
      </c>
      <c r="H54" s="19" t="str">
        <f>IF(OR(ISNUMBER(SEARCH("None",F54))),"N/A",IF(AND(ISNUMBER(SEARCH("Short",F54)),OR(ISNUMBER(SEARCH("Texas",F54)),ISNUMBER(SEARCH("Canada",F54))),OR(J54&lt;=(((Summary!$A$5*60)+Summary!$B$5)/1440),K54&lt;=(((Summary!$A$5*60)+Summary!$B$5)/1440),L54&lt;=(((Summary!$A$5*60)+Summary!$B$5)/1440),M54&lt;=(((Summary!$A$5*60)+Summary!$B$5)/1440))),"Unavailable",IF(AND(ISNUMBER(SEARCH("Short",F54)),OR(J54&lt;=(((Summary!$A$5*60)+Summary!$B$5)/1440),K54&lt;=(((Summary!$A$5*60)+Summary!$B$5)/1440),L54&lt;=(((Summary!$A$5*60)+Summary!$B$5)/1440),M54&lt;=(((Summary!$A$5*60)+Summary!$B$5)/1440))),"Unavailable",IF(AND(OR(ISNUMBER(SEARCH("Texas",F54)),ISNUMBER(SEARCH("Canada",F54))),OR(I54&lt;=(((Summary!$A$5*60)+Summary!$B$5)/1440),J54&lt;=(((Summary!$A$5*60)+Summary!$B$5)/1440),K54&lt;=(((Summary!$A$5*60)+Summary!$B$5)/1440),L54&lt;=(((Summary!$A$5*60)+Summary!$B$5)/1440),M54&lt;=(((Summary!$A$5*60)+Summary!$B$5)/1440))),"Unavailable",IF(OR(I54&lt;=(((Summary!$A$5*60)+Summary!$B$5)/1440),J54&lt;=(((Summary!$A$5*60)+Summary!$B$5)/1440),L54&lt;=(((Summary!$A$5*60)+Summary!$B$5)/1440),M54&lt;=(((Summary!$A$5*60)+Summary!$B$5)/1440)),"Unavailable","Available")))))</f>
        <v>N/A</v>
      </c>
      <c r="I54" s="19">
        <f>Data!G55</f>
        <v>0</v>
      </c>
      <c r="J54" s="19">
        <f>Data!H55</f>
        <v>0</v>
      </c>
      <c r="K54" s="19">
        <f>Data!I55</f>
        <v>0</v>
      </c>
      <c r="L54" s="19">
        <f>Data!J55</f>
        <v>0</v>
      </c>
      <c r="M54" s="19">
        <f>Data!K55</f>
        <v>0</v>
      </c>
    </row>
    <row r="55" spans="1:13" ht="16.5" x14ac:dyDescent="0.3">
      <c r="A55" s="17" t="str">
        <f>Data!A56</f>
        <v>Driver 48</v>
      </c>
      <c r="B55" s="18" t="str">
        <f>IF(Data!C56="","",Data!C56)</f>
        <v>First Name</v>
      </c>
      <c r="C55" s="18" t="str">
        <f>IF(Data!D56="","",Data!D56)</f>
        <v>Last Name</v>
      </c>
      <c r="D55" s="18" t="str">
        <f t="shared" si="0"/>
        <v>First Name Last Name</v>
      </c>
      <c r="E55" s="19" t="str">
        <f>Data!E56</f>
        <v>ON</v>
      </c>
      <c r="F55" s="19" t="str">
        <f>Data!F56</f>
        <v>None</v>
      </c>
      <c r="G55" s="19" t="b">
        <f t="shared" si="1"/>
        <v>1</v>
      </c>
      <c r="H55" s="19" t="str">
        <f>IF(OR(ISNUMBER(SEARCH("None",F55))),"N/A",IF(AND(ISNUMBER(SEARCH("Short",F55)),OR(ISNUMBER(SEARCH("Texas",F55)),ISNUMBER(SEARCH("Canada",F55))),OR(J55&lt;=(((Summary!$A$5*60)+Summary!$B$5)/1440),K55&lt;=(((Summary!$A$5*60)+Summary!$B$5)/1440),L55&lt;=(((Summary!$A$5*60)+Summary!$B$5)/1440),M55&lt;=(((Summary!$A$5*60)+Summary!$B$5)/1440))),"Unavailable",IF(AND(ISNUMBER(SEARCH("Short",F55)),OR(J55&lt;=(((Summary!$A$5*60)+Summary!$B$5)/1440),K55&lt;=(((Summary!$A$5*60)+Summary!$B$5)/1440),L55&lt;=(((Summary!$A$5*60)+Summary!$B$5)/1440),M55&lt;=(((Summary!$A$5*60)+Summary!$B$5)/1440))),"Unavailable",IF(AND(OR(ISNUMBER(SEARCH("Texas",F55)),ISNUMBER(SEARCH("Canada",F55))),OR(I55&lt;=(((Summary!$A$5*60)+Summary!$B$5)/1440),J55&lt;=(((Summary!$A$5*60)+Summary!$B$5)/1440),K55&lt;=(((Summary!$A$5*60)+Summary!$B$5)/1440),L55&lt;=(((Summary!$A$5*60)+Summary!$B$5)/1440),M55&lt;=(((Summary!$A$5*60)+Summary!$B$5)/1440))),"Unavailable",IF(OR(I55&lt;=(((Summary!$A$5*60)+Summary!$B$5)/1440),J55&lt;=(((Summary!$A$5*60)+Summary!$B$5)/1440),L55&lt;=(((Summary!$A$5*60)+Summary!$B$5)/1440),M55&lt;=(((Summary!$A$5*60)+Summary!$B$5)/1440)),"Unavailable","Available")))))</f>
        <v>N/A</v>
      </c>
      <c r="I55" s="19">
        <f>Data!G56</f>
        <v>0</v>
      </c>
      <c r="J55" s="19">
        <f>Data!H56</f>
        <v>0</v>
      </c>
      <c r="K55" s="19">
        <f>Data!I56</f>
        <v>0</v>
      </c>
      <c r="L55" s="19">
        <f>Data!J56</f>
        <v>0</v>
      </c>
      <c r="M55" s="19">
        <f>Data!K56</f>
        <v>0</v>
      </c>
    </row>
    <row r="56" spans="1:13" ht="16.5" x14ac:dyDescent="0.3">
      <c r="A56" s="17" t="str">
        <f>Data!A57</f>
        <v>Driver 49</v>
      </c>
      <c r="B56" s="18" t="str">
        <f>IF(Data!C57="","",Data!C57)</f>
        <v>First Name</v>
      </c>
      <c r="C56" s="18" t="str">
        <f>IF(Data!D57="","",Data!D57)</f>
        <v>Last Name</v>
      </c>
      <c r="D56" s="18" t="str">
        <f t="shared" si="0"/>
        <v>First Name Last Name</v>
      </c>
      <c r="E56" s="19" t="str">
        <f>Data!E57</f>
        <v>OFF</v>
      </c>
      <c r="F56" s="19" t="str">
        <f>Data!F57</f>
        <v>America7Day</v>
      </c>
      <c r="G56" s="19" t="b">
        <f t="shared" si="1"/>
        <v>0</v>
      </c>
      <c r="H56" s="19" t="str">
        <f>IF(OR(ISNUMBER(SEARCH("None",F56))),"N/A",IF(AND(ISNUMBER(SEARCH("Short",F56)),OR(ISNUMBER(SEARCH("Texas",F56)),ISNUMBER(SEARCH("Canada",F56))),OR(J56&lt;=(((Summary!$A$5*60)+Summary!$B$5)/1440),K56&lt;=(((Summary!$A$5*60)+Summary!$B$5)/1440),L56&lt;=(((Summary!$A$5*60)+Summary!$B$5)/1440),M56&lt;=(((Summary!$A$5*60)+Summary!$B$5)/1440))),"Unavailable",IF(AND(ISNUMBER(SEARCH("Short",F56)),OR(J56&lt;=(((Summary!$A$5*60)+Summary!$B$5)/1440),K56&lt;=(((Summary!$A$5*60)+Summary!$B$5)/1440),L56&lt;=(((Summary!$A$5*60)+Summary!$B$5)/1440),M56&lt;=(((Summary!$A$5*60)+Summary!$B$5)/1440))),"Unavailable",IF(AND(OR(ISNUMBER(SEARCH("Texas",F56)),ISNUMBER(SEARCH("Canada",F56))),OR(I56&lt;=(((Summary!$A$5*60)+Summary!$B$5)/1440),J56&lt;=(((Summary!$A$5*60)+Summary!$B$5)/1440),K56&lt;=(((Summary!$A$5*60)+Summary!$B$5)/1440),L56&lt;=(((Summary!$A$5*60)+Summary!$B$5)/1440),M56&lt;=(((Summary!$A$5*60)+Summary!$B$5)/1440))),"Unavailable",IF(OR(I56&lt;=(((Summary!$A$5*60)+Summary!$B$5)/1440),J56&lt;=(((Summary!$A$5*60)+Summary!$B$5)/1440),L56&lt;=(((Summary!$A$5*60)+Summary!$B$5)/1440),M56&lt;=(((Summary!$A$5*60)+Summary!$B$5)/1440)),"Unavailable","Available")))))</f>
        <v>Available</v>
      </c>
      <c r="I56" s="19">
        <f>Data!G57</f>
        <v>0.33333333333333298</v>
      </c>
      <c r="J56" s="19">
        <f>Data!H57</f>
        <v>0.45833333333333298</v>
      </c>
      <c r="K56" s="19">
        <f>Data!I57</f>
        <v>0</v>
      </c>
      <c r="L56" s="19">
        <f>Data!J57</f>
        <v>0.58333333333333304</v>
      </c>
      <c r="M56" s="19">
        <f>Data!K57</f>
        <v>2.5</v>
      </c>
    </row>
    <row r="57" spans="1:13" ht="16.5" x14ac:dyDescent="0.3">
      <c r="A57" s="17" t="str">
        <f>Data!A58</f>
        <v>Driver 50</v>
      </c>
      <c r="B57" s="18" t="str">
        <f>IF(Data!C58="","",Data!C58)</f>
        <v>First Name</v>
      </c>
      <c r="C57" s="18" t="str">
        <f>IF(Data!D58="","",Data!D58)</f>
        <v>Last Name</v>
      </c>
      <c r="D57" s="18" t="str">
        <f t="shared" si="0"/>
        <v>First Name Last Name</v>
      </c>
      <c r="E57" s="19" t="str">
        <f>Data!E58</f>
        <v>ON</v>
      </c>
      <c r="F57" s="19" t="str">
        <f>Data!F58</f>
        <v>CanadaCycleOne</v>
      </c>
      <c r="G57" s="19" t="b">
        <f t="shared" si="1"/>
        <v>0</v>
      </c>
      <c r="H57" s="19" t="str">
        <f>IF(OR(ISNUMBER(SEARCH("None",F57))),"N/A",IF(AND(ISNUMBER(SEARCH("Short",F57)),OR(ISNUMBER(SEARCH("Texas",F57)),ISNUMBER(SEARCH("Canada",F57))),OR(J57&lt;=(((Summary!$A$5*60)+Summary!$B$5)/1440),K57&lt;=(((Summary!$A$5*60)+Summary!$B$5)/1440),L57&lt;=(((Summary!$A$5*60)+Summary!$B$5)/1440),M57&lt;=(((Summary!$A$5*60)+Summary!$B$5)/1440))),"Unavailable",IF(AND(ISNUMBER(SEARCH("Short",F57)),OR(J57&lt;=(((Summary!$A$5*60)+Summary!$B$5)/1440),K57&lt;=(((Summary!$A$5*60)+Summary!$B$5)/1440),L57&lt;=(((Summary!$A$5*60)+Summary!$B$5)/1440),M57&lt;=(((Summary!$A$5*60)+Summary!$B$5)/1440))),"Unavailable",IF(AND(OR(ISNUMBER(SEARCH("Texas",F57)),ISNUMBER(SEARCH("Canada",F57))),OR(I57&lt;=(((Summary!$A$5*60)+Summary!$B$5)/1440),J57&lt;=(((Summary!$A$5*60)+Summary!$B$5)/1440),K57&lt;=(((Summary!$A$5*60)+Summary!$B$5)/1440),L57&lt;=(((Summary!$A$5*60)+Summary!$B$5)/1440),M57&lt;=(((Summary!$A$5*60)+Summary!$B$5)/1440))),"Unavailable",IF(OR(I57&lt;=(((Summary!$A$5*60)+Summary!$B$5)/1440),J57&lt;=(((Summary!$A$5*60)+Summary!$B$5)/1440),L57&lt;=(((Summary!$A$5*60)+Summary!$B$5)/1440),M57&lt;=(((Summary!$A$5*60)+Summary!$B$5)/1440)),"Unavailable","Available")))))</f>
        <v>Unavailable</v>
      </c>
      <c r="I57" s="19">
        <f>Data!G58</f>
        <v>0</v>
      </c>
      <c r="J57" s="19">
        <f>Data!H58</f>
        <v>0.54166666666666696</v>
      </c>
      <c r="K57" s="19">
        <f>Data!I58</f>
        <v>0.58333333333333304</v>
      </c>
      <c r="L57" s="19">
        <f>Data!J58</f>
        <v>0.66666666666666696</v>
      </c>
      <c r="M57" s="19">
        <f>Data!K58</f>
        <v>2.9166666666666701</v>
      </c>
    </row>
    <row r="58" spans="1:13" ht="16.5" x14ac:dyDescent="0.3">
      <c r="A58" s="17" t="str">
        <f>Data!A59</f>
        <v>Driver 51</v>
      </c>
      <c r="B58" s="18" t="str">
        <f>IF(Data!C59="","",Data!C59)</f>
        <v>First Name</v>
      </c>
      <c r="C58" s="18" t="str">
        <f>IF(Data!D59="","",Data!D59)</f>
        <v>Last Name</v>
      </c>
      <c r="D58" s="18" t="str">
        <f t="shared" si="0"/>
        <v>First Name Last Name</v>
      </c>
      <c r="E58" s="19" t="str">
        <f>Data!E59</f>
        <v>ON</v>
      </c>
      <c r="F58" s="19" t="str">
        <f>Data!F59</f>
        <v>OilTransport7Day</v>
      </c>
      <c r="G58" s="19" t="b">
        <f t="shared" si="1"/>
        <v>0</v>
      </c>
      <c r="H58" s="19" t="str">
        <f>IF(OR(ISNUMBER(SEARCH("None",F58))),"N/A",IF(AND(ISNUMBER(SEARCH("Short",F58)),OR(ISNUMBER(SEARCH("Texas",F58)),ISNUMBER(SEARCH("Canada",F58))),OR(J58&lt;=(((Summary!$A$5*60)+Summary!$B$5)/1440),K58&lt;=(((Summary!$A$5*60)+Summary!$B$5)/1440),L58&lt;=(((Summary!$A$5*60)+Summary!$B$5)/1440),M58&lt;=(((Summary!$A$5*60)+Summary!$B$5)/1440))),"Unavailable",IF(AND(ISNUMBER(SEARCH("Short",F58)),OR(J58&lt;=(((Summary!$A$5*60)+Summary!$B$5)/1440),K58&lt;=(((Summary!$A$5*60)+Summary!$B$5)/1440),L58&lt;=(((Summary!$A$5*60)+Summary!$B$5)/1440),M58&lt;=(((Summary!$A$5*60)+Summary!$B$5)/1440))),"Unavailable",IF(AND(OR(ISNUMBER(SEARCH("Texas",F58)),ISNUMBER(SEARCH("Canada",F58))),OR(I58&lt;=(((Summary!$A$5*60)+Summary!$B$5)/1440),J58&lt;=(((Summary!$A$5*60)+Summary!$B$5)/1440),K58&lt;=(((Summary!$A$5*60)+Summary!$B$5)/1440),L58&lt;=(((Summary!$A$5*60)+Summary!$B$5)/1440),M58&lt;=(((Summary!$A$5*60)+Summary!$B$5)/1440))),"Unavailable",IF(OR(I58&lt;=(((Summary!$A$5*60)+Summary!$B$5)/1440),J58&lt;=(((Summary!$A$5*60)+Summary!$B$5)/1440),L58&lt;=(((Summary!$A$5*60)+Summary!$B$5)/1440),M58&lt;=(((Summary!$A$5*60)+Summary!$B$5)/1440)),"Unavailable","Available")))))</f>
        <v>Unavailable</v>
      </c>
      <c r="I58" s="19">
        <f>Data!G59</f>
        <v>0</v>
      </c>
      <c r="J58" s="19">
        <f>Data!H59</f>
        <v>0.25756944444444402</v>
      </c>
      <c r="K58" s="19">
        <f>Data!I59</f>
        <v>0</v>
      </c>
      <c r="L58" s="19">
        <f>Data!J59</f>
        <v>0</v>
      </c>
      <c r="M58" s="19">
        <f>Data!K59</f>
        <v>0</v>
      </c>
    </row>
    <row r="59" spans="1:13" ht="16.5" x14ac:dyDescent="0.3">
      <c r="A59" s="17" t="str">
        <f>Data!A60</f>
        <v>Driver 52</v>
      </c>
      <c r="B59" s="18" t="str">
        <f>IF(Data!C60="","",Data!C60)</f>
        <v>First Name</v>
      </c>
      <c r="C59" s="18" t="str">
        <f>IF(Data!D60="","",Data!D60)</f>
        <v>Last Name</v>
      </c>
      <c r="D59" s="18" t="str">
        <f t="shared" si="0"/>
        <v>First Name Last Name</v>
      </c>
      <c r="E59" s="19" t="str">
        <f>Data!E60</f>
        <v>OFF</v>
      </c>
      <c r="F59" s="19" t="str">
        <f>Data!F60</f>
        <v>None</v>
      </c>
      <c r="G59" s="19" t="b">
        <f t="shared" si="1"/>
        <v>1</v>
      </c>
      <c r="H59" s="19" t="str">
        <f>IF(OR(ISNUMBER(SEARCH("None",F59))),"N/A",IF(AND(ISNUMBER(SEARCH("Short",F59)),OR(ISNUMBER(SEARCH("Texas",F59)),ISNUMBER(SEARCH("Canada",F59))),OR(J59&lt;=(((Summary!$A$5*60)+Summary!$B$5)/1440),K59&lt;=(((Summary!$A$5*60)+Summary!$B$5)/1440),L59&lt;=(((Summary!$A$5*60)+Summary!$B$5)/1440),M59&lt;=(((Summary!$A$5*60)+Summary!$B$5)/1440))),"Unavailable",IF(AND(ISNUMBER(SEARCH("Short",F59)),OR(J59&lt;=(((Summary!$A$5*60)+Summary!$B$5)/1440),K59&lt;=(((Summary!$A$5*60)+Summary!$B$5)/1440),L59&lt;=(((Summary!$A$5*60)+Summary!$B$5)/1440),M59&lt;=(((Summary!$A$5*60)+Summary!$B$5)/1440))),"Unavailable",IF(AND(OR(ISNUMBER(SEARCH("Texas",F59)),ISNUMBER(SEARCH("Canada",F59))),OR(I59&lt;=(((Summary!$A$5*60)+Summary!$B$5)/1440),J59&lt;=(((Summary!$A$5*60)+Summary!$B$5)/1440),K59&lt;=(((Summary!$A$5*60)+Summary!$B$5)/1440),L59&lt;=(((Summary!$A$5*60)+Summary!$B$5)/1440),M59&lt;=(((Summary!$A$5*60)+Summary!$B$5)/1440))),"Unavailable",IF(OR(I59&lt;=(((Summary!$A$5*60)+Summary!$B$5)/1440),J59&lt;=(((Summary!$A$5*60)+Summary!$B$5)/1440),L59&lt;=(((Summary!$A$5*60)+Summary!$B$5)/1440),M59&lt;=(((Summary!$A$5*60)+Summary!$B$5)/1440)),"Unavailable","Available")))))</f>
        <v>N/A</v>
      </c>
      <c r="I59" s="19">
        <f>Data!G60</f>
        <v>0</v>
      </c>
      <c r="J59" s="19">
        <f>Data!H60</f>
        <v>0</v>
      </c>
      <c r="K59" s="19">
        <f>Data!I60</f>
        <v>0</v>
      </c>
      <c r="L59" s="19">
        <f>Data!J60</f>
        <v>0</v>
      </c>
      <c r="M59" s="19">
        <f>Data!K60</f>
        <v>0</v>
      </c>
    </row>
    <row r="60" spans="1:13" ht="16.5" x14ac:dyDescent="0.3">
      <c r="A60" s="17" t="str">
        <f>Data!A61</f>
        <v>Driver 53</v>
      </c>
      <c r="B60" s="18" t="str">
        <f>IF(Data!C61="","",Data!C61)</f>
        <v>First Name</v>
      </c>
      <c r="C60" s="18" t="str">
        <f>IF(Data!D61="","",Data!D61)</f>
        <v>Last Name</v>
      </c>
      <c r="D60" s="18" t="str">
        <f t="shared" si="0"/>
        <v>First Name Last Name</v>
      </c>
      <c r="E60" s="19" t="str">
        <f>Data!E61</f>
        <v>ON</v>
      </c>
      <c r="F60" s="19" t="str">
        <f>Data!F61</f>
        <v>None</v>
      </c>
      <c r="G60" s="19" t="b">
        <f t="shared" si="1"/>
        <v>1</v>
      </c>
      <c r="H60" s="19" t="str">
        <f>IF(OR(ISNUMBER(SEARCH("None",F60))),"N/A",IF(AND(ISNUMBER(SEARCH("Short",F60)),OR(ISNUMBER(SEARCH("Texas",F60)),ISNUMBER(SEARCH("Canada",F60))),OR(J60&lt;=(((Summary!$A$5*60)+Summary!$B$5)/1440),K60&lt;=(((Summary!$A$5*60)+Summary!$B$5)/1440),L60&lt;=(((Summary!$A$5*60)+Summary!$B$5)/1440),M60&lt;=(((Summary!$A$5*60)+Summary!$B$5)/1440))),"Unavailable",IF(AND(ISNUMBER(SEARCH("Short",F60)),OR(J60&lt;=(((Summary!$A$5*60)+Summary!$B$5)/1440),K60&lt;=(((Summary!$A$5*60)+Summary!$B$5)/1440),L60&lt;=(((Summary!$A$5*60)+Summary!$B$5)/1440),M60&lt;=(((Summary!$A$5*60)+Summary!$B$5)/1440))),"Unavailable",IF(AND(OR(ISNUMBER(SEARCH("Texas",F60)),ISNUMBER(SEARCH("Canada",F60))),OR(I60&lt;=(((Summary!$A$5*60)+Summary!$B$5)/1440),J60&lt;=(((Summary!$A$5*60)+Summary!$B$5)/1440),K60&lt;=(((Summary!$A$5*60)+Summary!$B$5)/1440),L60&lt;=(((Summary!$A$5*60)+Summary!$B$5)/1440),M60&lt;=(((Summary!$A$5*60)+Summary!$B$5)/1440))),"Unavailable",IF(OR(I60&lt;=(((Summary!$A$5*60)+Summary!$B$5)/1440),J60&lt;=(((Summary!$A$5*60)+Summary!$B$5)/1440),L60&lt;=(((Summary!$A$5*60)+Summary!$B$5)/1440),M60&lt;=(((Summary!$A$5*60)+Summary!$B$5)/1440)),"Unavailable","Available")))))</f>
        <v>N/A</v>
      </c>
      <c r="I60" s="19">
        <f>Data!G61</f>
        <v>0</v>
      </c>
      <c r="J60" s="19">
        <f>Data!H61</f>
        <v>0</v>
      </c>
      <c r="K60" s="19">
        <f>Data!I61</f>
        <v>0</v>
      </c>
      <c r="L60" s="19">
        <f>Data!J61</f>
        <v>0</v>
      </c>
      <c r="M60" s="19">
        <f>Data!K61</f>
        <v>0</v>
      </c>
    </row>
    <row r="61" spans="1:13" ht="16.5" x14ac:dyDescent="0.3">
      <c r="A61" s="17" t="str">
        <f>Data!A62</f>
        <v>Driver 54</v>
      </c>
      <c r="B61" s="18" t="str">
        <f>IF(Data!C62="","",Data!C62)</f>
        <v>First Name</v>
      </c>
      <c r="C61" s="18" t="str">
        <f>IF(Data!D62="","",Data!D62)</f>
        <v>Last Name</v>
      </c>
      <c r="D61" s="18" t="str">
        <f t="shared" si="0"/>
        <v>First Name Last Name</v>
      </c>
      <c r="E61" s="19" t="str">
        <f>Data!E62</f>
        <v>OFF</v>
      </c>
      <c r="F61" s="19" t="str">
        <f>Data!F62</f>
        <v>America8DayBig</v>
      </c>
      <c r="G61" s="19" t="b">
        <f t="shared" si="1"/>
        <v>0</v>
      </c>
      <c r="H61" s="19" t="str">
        <f>IF(OR(ISNUMBER(SEARCH("None",F61))),"N/A",IF(AND(ISNUMBER(SEARCH("Short",F61)),OR(ISNUMBER(SEARCH("Texas",F61)),ISNUMBER(SEARCH("Canada",F61))),OR(J61&lt;=(((Summary!$A$5*60)+Summary!$B$5)/1440),K61&lt;=(((Summary!$A$5*60)+Summary!$B$5)/1440),L61&lt;=(((Summary!$A$5*60)+Summary!$B$5)/1440),M61&lt;=(((Summary!$A$5*60)+Summary!$B$5)/1440))),"Unavailable",IF(AND(ISNUMBER(SEARCH("Short",F61)),OR(J61&lt;=(((Summary!$A$5*60)+Summary!$B$5)/1440),K61&lt;=(((Summary!$A$5*60)+Summary!$B$5)/1440),L61&lt;=(((Summary!$A$5*60)+Summary!$B$5)/1440),M61&lt;=(((Summary!$A$5*60)+Summary!$B$5)/1440))),"Unavailable",IF(AND(OR(ISNUMBER(SEARCH("Texas",F61)),ISNUMBER(SEARCH("Canada",F61))),OR(I61&lt;=(((Summary!$A$5*60)+Summary!$B$5)/1440),J61&lt;=(((Summary!$A$5*60)+Summary!$B$5)/1440),K61&lt;=(((Summary!$A$5*60)+Summary!$B$5)/1440),L61&lt;=(((Summary!$A$5*60)+Summary!$B$5)/1440),M61&lt;=(((Summary!$A$5*60)+Summary!$B$5)/1440))),"Unavailable",IF(OR(I61&lt;=(((Summary!$A$5*60)+Summary!$B$5)/1440),J61&lt;=(((Summary!$A$5*60)+Summary!$B$5)/1440),L61&lt;=(((Summary!$A$5*60)+Summary!$B$5)/1440),M61&lt;=(((Summary!$A$5*60)+Summary!$B$5)/1440)),"Unavailable","Available")))))</f>
        <v>Available</v>
      </c>
      <c r="I61" s="19">
        <f>Data!G62</f>
        <v>0.33333333333333298</v>
      </c>
      <c r="J61" s="19">
        <f>Data!H62</f>
        <v>0.45833333333333298</v>
      </c>
      <c r="K61" s="19">
        <f>Data!I62</f>
        <v>0</v>
      </c>
      <c r="L61" s="19">
        <f>Data!J62</f>
        <v>0.58333333333333304</v>
      </c>
      <c r="M61" s="19">
        <f>Data!K62</f>
        <v>2.9166666666666701</v>
      </c>
    </row>
    <row r="62" spans="1:13" ht="16.5" x14ac:dyDescent="0.3">
      <c r="A62" s="17" t="str">
        <f>Data!A63</f>
        <v>Driver 55</v>
      </c>
      <c r="B62" s="18" t="str">
        <f>IF(Data!C63="","",Data!C63)</f>
        <v>First Name</v>
      </c>
      <c r="C62" s="18" t="str">
        <f>IF(Data!D63="","",Data!D63)</f>
        <v>Last Name</v>
      </c>
      <c r="D62" s="18" t="str">
        <f t="shared" si="0"/>
        <v>First Name Last Name</v>
      </c>
      <c r="E62" s="19" t="str">
        <f>Data!E63</f>
        <v>OFF</v>
      </c>
      <c r="F62" s="19" t="str">
        <f>Data!F63</f>
        <v>CanadaCycleOne</v>
      </c>
      <c r="G62" s="19" t="b">
        <f t="shared" si="1"/>
        <v>0</v>
      </c>
      <c r="H62" s="19" t="str">
        <f>IF(OR(ISNUMBER(SEARCH("None",F62))),"N/A",IF(AND(ISNUMBER(SEARCH("Short",F62)),OR(ISNUMBER(SEARCH("Texas",F62)),ISNUMBER(SEARCH("Canada",F62))),OR(J62&lt;=(((Summary!$A$5*60)+Summary!$B$5)/1440),K62&lt;=(((Summary!$A$5*60)+Summary!$B$5)/1440),L62&lt;=(((Summary!$A$5*60)+Summary!$B$5)/1440),M62&lt;=(((Summary!$A$5*60)+Summary!$B$5)/1440))),"Unavailable",IF(AND(ISNUMBER(SEARCH("Short",F62)),OR(J62&lt;=(((Summary!$A$5*60)+Summary!$B$5)/1440),K62&lt;=(((Summary!$A$5*60)+Summary!$B$5)/1440),L62&lt;=(((Summary!$A$5*60)+Summary!$B$5)/1440),M62&lt;=(((Summary!$A$5*60)+Summary!$B$5)/1440))),"Unavailable",IF(AND(OR(ISNUMBER(SEARCH("Texas",F62)),ISNUMBER(SEARCH("Canada",F62))),OR(I62&lt;=(((Summary!$A$5*60)+Summary!$B$5)/1440),J62&lt;=(((Summary!$A$5*60)+Summary!$B$5)/1440),K62&lt;=(((Summary!$A$5*60)+Summary!$B$5)/1440),L62&lt;=(((Summary!$A$5*60)+Summary!$B$5)/1440),M62&lt;=(((Summary!$A$5*60)+Summary!$B$5)/1440))),"Unavailable",IF(OR(I62&lt;=(((Summary!$A$5*60)+Summary!$B$5)/1440),J62&lt;=(((Summary!$A$5*60)+Summary!$B$5)/1440),L62&lt;=(((Summary!$A$5*60)+Summary!$B$5)/1440),M62&lt;=(((Summary!$A$5*60)+Summary!$B$5)/1440)),"Unavailable","Available")))))</f>
        <v>Unavailable</v>
      </c>
      <c r="I62" s="19">
        <f>Data!G63</f>
        <v>0</v>
      </c>
      <c r="J62" s="19">
        <f>Data!H63</f>
        <v>0.54166666666666696</v>
      </c>
      <c r="K62" s="19">
        <f>Data!I63</f>
        <v>0.58333333333333304</v>
      </c>
      <c r="L62" s="19">
        <f>Data!J63</f>
        <v>0.66666666666666696</v>
      </c>
      <c r="M62" s="19">
        <f>Data!K63</f>
        <v>2.9166666666666701</v>
      </c>
    </row>
    <row r="63" spans="1:13" ht="16.5" x14ac:dyDescent="0.3">
      <c r="A63" s="17" t="str">
        <f>Data!A64</f>
        <v>Driver 56</v>
      </c>
      <c r="B63" s="18" t="str">
        <f>IF(Data!C64="","",Data!C64)</f>
        <v>First Name</v>
      </c>
      <c r="C63" s="18" t="str">
        <f>IF(Data!D64="","",Data!D64)</f>
        <v>Last Name</v>
      </c>
      <c r="D63" s="18" t="str">
        <f t="shared" si="0"/>
        <v>First Name Last Name</v>
      </c>
      <c r="E63" s="19" t="str">
        <f>Data!E64</f>
        <v>OFF</v>
      </c>
      <c r="F63" s="19" t="str">
        <f>Data!F64</f>
        <v>America8Day</v>
      </c>
      <c r="G63" s="19" t="b">
        <f t="shared" si="1"/>
        <v>0</v>
      </c>
      <c r="H63" s="19" t="str">
        <f>IF(OR(ISNUMBER(SEARCH("None",F63))),"N/A",IF(AND(ISNUMBER(SEARCH("Short",F63)),OR(ISNUMBER(SEARCH("Texas",F63)),ISNUMBER(SEARCH("Canada",F63))),OR(J63&lt;=(((Summary!$A$5*60)+Summary!$B$5)/1440),K63&lt;=(((Summary!$A$5*60)+Summary!$B$5)/1440),L63&lt;=(((Summary!$A$5*60)+Summary!$B$5)/1440),M63&lt;=(((Summary!$A$5*60)+Summary!$B$5)/1440))),"Unavailable",IF(AND(ISNUMBER(SEARCH("Short",F63)),OR(J63&lt;=(((Summary!$A$5*60)+Summary!$B$5)/1440),K63&lt;=(((Summary!$A$5*60)+Summary!$B$5)/1440),L63&lt;=(((Summary!$A$5*60)+Summary!$B$5)/1440),M63&lt;=(((Summary!$A$5*60)+Summary!$B$5)/1440))),"Unavailable",IF(AND(OR(ISNUMBER(SEARCH("Texas",F63)),ISNUMBER(SEARCH("Canada",F63))),OR(I63&lt;=(((Summary!$A$5*60)+Summary!$B$5)/1440),J63&lt;=(((Summary!$A$5*60)+Summary!$B$5)/1440),K63&lt;=(((Summary!$A$5*60)+Summary!$B$5)/1440),L63&lt;=(((Summary!$A$5*60)+Summary!$B$5)/1440),M63&lt;=(((Summary!$A$5*60)+Summary!$B$5)/1440))),"Unavailable",IF(OR(I63&lt;=(((Summary!$A$5*60)+Summary!$B$5)/1440),J63&lt;=(((Summary!$A$5*60)+Summary!$B$5)/1440),L63&lt;=(((Summary!$A$5*60)+Summary!$B$5)/1440),M63&lt;=(((Summary!$A$5*60)+Summary!$B$5)/1440)),"Unavailable","Available")))))</f>
        <v>Available</v>
      </c>
      <c r="I63" s="19">
        <f>Data!G64</f>
        <v>0.33333333333333298</v>
      </c>
      <c r="J63" s="19">
        <f>Data!H64</f>
        <v>0.45833333333333298</v>
      </c>
      <c r="K63" s="19">
        <f>Data!I64</f>
        <v>0</v>
      </c>
      <c r="L63" s="19">
        <f>Data!J64</f>
        <v>0.58333333333333304</v>
      </c>
      <c r="M63" s="19">
        <f>Data!K64</f>
        <v>2.9166666666666701</v>
      </c>
    </row>
    <row r="64" spans="1:13" ht="16.5" x14ac:dyDescent="0.3">
      <c r="A64" s="17" t="str">
        <f>Data!A65</f>
        <v>Driver 57</v>
      </c>
      <c r="B64" s="18" t="str">
        <f>IF(Data!C65="","",Data!C65)</f>
        <v>First Name</v>
      </c>
      <c r="C64" s="18" t="str">
        <f>IF(Data!D65="","",Data!D65)</f>
        <v>Last Name</v>
      </c>
      <c r="D64" s="18" t="str">
        <f t="shared" si="0"/>
        <v>First Name Last Name</v>
      </c>
      <c r="E64" s="19" t="str">
        <f>Data!E65</f>
        <v>OFF</v>
      </c>
      <c r="F64" s="19" t="str">
        <f>Data!F65</f>
        <v>None</v>
      </c>
      <c r="G64" s="19" t="b">
        <f t="shared" si="1"/>
        <v>1</v>
      </c>
      <c r="H64" s="19" t="str">
        <f>IF(OR(ISNUMBER(SEARCH("None",F64))),"N/A",IF(AND(ISNUMBER(SEARCH("Short",F64)),OR(ISNUMBER(SEARCH("Texas",F64)),ISNUMBER(SEARCH("Canada",F64))),OR(J64&lt;=(((Summary!$A$5*60)+Summary!$B$5)/1440),K64&lt;=(((Summary!$A$5*60)+Summary!$B$5)/1440),L64&lt;=(((Summary!$A$5*60)+Summary!$B$5)/1440),M64&lt;=(((Summary!$A$5*60)+Summary!$B$5)/1440))),"Unavailable",IF(AND(ISNUMBER(SEARCH("Short",F64)),OR(J64&lt;=(((Summary!$A$5*60)+Summary!$B$5)/1440),K64&lt;=(((Summary!$A$5*60)+Summary!$B$5)/1440),L64&lt;=(((Summary!$A$5*60)+Summary!$B$5)/1440),M64&lt;=(((Summary!$A$5*60)+Summary!$B$5)/1440))),"Unavailable",IF(AND(OR(ISNUMBER(SEARCH("Texas",F64)),ISNUMBER(SEARCH("Canada",F64))),OR(I64&lt;=(((Summary!$A$5*60)+Summary!$B$5)/1440),J64&lt;=(((Summary!$A$5*60)+Summary!$B$5)/1440),K64&lt;=(((Summary!$A$5*60)+Summary!$B$5)/1440),L64&lt;=(((Summary!$A$5*60)+Summary!$B$5)/1440),M64&lt;=(((Summary!$A$5*60)+Summary!$B$5)/1440))),"Unavailable",IF(OR(I64&lt;=(((Summary!$A$5*60)+Summary!$B$5)/1440),J64&lt;=(((Summary!$A$5*60)+Summary!$B$5)/1440),L64&lt;=(((Summary!$A$5*60)+Summary!$B$5)/1440),M64&lt;=(((Summary!$A$5*60)+Summary!$B$5)/1440)),"Unavailable","Available")))))</f>
        <v>N/A</v>
      </c>
      <c r="I64" s="19">
        <f>Data!G65</f>
        <v>0</v>
      </c>
      <c r="J64" s="19">
        <f>Data!H65</f>
        <v>0</v>
      </c>
      <c r="K64" s="19">
        <f>Data!I65</f>
        <v>0</v>
      </c>
      <c r="L64" s="19">
        <f>Data!J65</f>
        <v>0</v>
      </c>
      <c r="M64" s="19">
        <f>Data!K65</f>
        <v>0</v>
      </c>
    </row>
  </sheetData>
  <conditionalFormatting sqref="A8:M100000">
    <cfRule type="expression" dxfId="12" priority="1">
      <formula>$H8="Available"</formula>
    </cfRule>
    <cfRule type="expression" dxfId="11" priority="4">
      <formula>$H8="Unavailable"</formula>
    </cfRule>
    <cfRule type="expression" dxfId="10" priority="5">
      <formula>$H8="N/A"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54"/>
  <sheetViews>
    <sheetView showGridLines="0" tabSelected="1" workbookViewId="0"/>
  </sheetViews>
  <sheetFormatPr defaultRowHeight="12.75" x14ac:dyDescent="0.2"/>
  <cols>
    <col min="1" max="3" width="25.7109375" customWidth="1"/>
    <col min="4" max="4" width="20.28515625" customWidth="1"/>
    <col min="5" max="5" width="16.7109375" customWidth="1"/>
    <col min="6" max="10" width="17.7109375" customWidth="1"/>
    <col min="11" max="11" width="23" customWidth="1"/>
    <col min="12" max="12" width="21" customWidth="1"/>
    <col min="13" max="13" width="20.5703125" customWidth="1"/>
  </cols>
  <sheetData>
    <row r="1" spans="1:10" s="24" customFormat="1" ht="26.25" x14ac:dyDescent="0.45">
      <c r="A1" s="23" t="s">
        <v>275</v>
      </c>
      <c r="D1" s="25">
        <f>Data!B2</f>
        <v>43172.538217314803</v>
      </c>
      <c r="G1" s="26"/>
      <c r="H1" s="27"/>
    </row>
    <row r="2" spans="1:10" s="13" customFormat="1" ht="25.5" x14ac:dyDescent="0.25">
      <c r="A2" s="46" t="str">
        <f>Data!B1</f>
        <v>Geotab Inc.</v>
      </c>
      <c r="G2" s="14"/>
      <c r="H2" s="15"/>
    </row>
    <row r="3" spans="1:10" s="13" customFormat="1" ht="17.25" customHeight="1" x14ac:dyDescent="0.5">
      <c r="A3" s="28"/>
      <c r="G3" s="14"/>
      <c r="H3" s="15"/>
    </row>
    <row r="4" spans="1:10" s="13" customFormat="1" ht="17.25" customHeight="1" x14ac:dyDescent="0.3">
      <c r="A4" s="41" t="s">
        <v>272</v>
      </c>
      <c r="B4" s="41" t="s">
        <v>273</v>
      </c>
      <c r="G4" s="14"/>
      <c r="H4" s="15"/>
    </row>
    <row r="5" spans="1:10" s="13" customFormat="1" ht="17.25" customHeight="1" x14ac:dyDescent="0.3">
      <c r="A5" s="42">
        <v>0</v>
      </c>
      <c r="B5" s="42">
        <v>30</v>
      </c>
      <c r="G5" s="14"/>
      <c r="H5" s="15"/>
    </row>
    <row r="6" spans="1:10" s="13" customFormat="1" ht="17.25" customHeight="1" x14ac:dyDescent="0.3">
      <c r="A6" s="40"/>
      <c r="B6" s="40"/>
      <c r="G6" s="14"/>
      <c r="H6" s="15"/>
    </row>
    <row r="7" spans="1:10" ht="17.25" customHeight="1" x14ac:dyDescent="0.25">
      <c r="A7" s="1"/>
    </row>
    <row r="8" spans="1:10" ht="17.25" hidden="1" customHeight="1" x14ac:dyDescent="0.25">
      <c r="A8" s="4" t="s">
        <v>267</v>
      </c>
      <c r="B8" t="s">
        <v>268</v>
      </c>
      <c r="C8" s="35"/>
      <c r="D8" s="35"/>
    </row>
    <row r="9" spans="1:10" ht="17.25" customHeight="1" x14ac:dyDescent="0.2"/>
    <row r="10" spans="1:10" x14ac:dyDescent="0.2">
      <c r="A10" s="4" t="s">
        <v>199</v>
      </c>
      <c r="B10" s="4" t="s">
        <v>203</v>
      </c>
      <c r="C10" s="4" t="s">
        <v>166</v>
      </c>
      <c r="D10" s="4" t="s">
        <v>165</v>
      </c>
      <c r="E10" s="4" t="s">
        <v>271</v>
      </c>
      <c r="F10" s="33" t="s">
        <v>262</v>
      </c>
      <c r="G10" s="33" t="s">
        <v>263</v>
      </c>
      <c r="H10" s="33" t="s">
        <v>264</v>
      </c>
      <c r="I10" s="33" t="s">
        <v>265</v>
      </c>
      <c r="J10" s="33" t="s">
        <v>266</v>
      </c>
    </row>
    <row r="11" spans="1:10" x14ac:dyDescent="0.2">
      <c r="A11" t="s">
        <v>205</v>
      </c>
      <c r="B11" t="s">
        <v>261</v>
      </c>
      <c r="C11" t="s">
        <v>184</v>
      </c>
      <c r="D11" t="s">
        <v>182</v>
      </c>
      <c r="E11" t="s">
        <v>269</v>
      </c>
      <c r="F11" s="34">
        <v>0.33333333333333331</v>
      </c>
      <c r="G11" s="34">
        <v>0.45833333333333331</v>
      </c>
      <c r="H11" s="34">
        <v>0</v>
      </c>
      <c r="I11" s="34">
        <v>0.58333333333333337</v>
      </c>
      <c r="J11" s="34">
        <v>2.5</v>
      </c>
    </row>
    <row r="12" spans="1:10" x14ac:dyDescent="0.2">
      <c r="A12" t="s">
        <v>206</v>
      </c>
      <c r="B12" t="s">
        <v>261</v>
      </c>
      <c r="C12" t="s">
        <v>185</v>
      </c>
      <c r="D12" t="s">
        <v>182</v>
      </c>
      <c r="E12" t="s">
        <v>269</v>
      </c>
      <c r="F12" s="34">
        <v>0.33333333333333331</v>
      </c>
      <c r="G12" s="34">
        <v>0.45833333333333331</v>
      </c>
      <c r="H12" s="34">
        <v>0</v>
      </c>
      <c r="I12" s="34">
        <v>0.58333333333333337</v>
      </c>
      <c r="J12" s="34">
        <v>2.9166666666666665</v>
      </c>
    </row>
    <row r="13" spans="1:10" x14ac:dyDescent="0.2">
      <c r="A13" t="s">
        <v>207</v>
      </c>
      <c r="B13" t="s">
        <v>261</v>
      </c>
      <c r="C13" t="s">
        <v>186</v>
      </c>
      <c r="D13" t="s">
        <v>71</v>
      </c>
      <c r="E13" t="s">
        <v>270</v>
      </c>
      <c r="F13" s="34">
        <v>0</v>
      </c>
      <c r="G13" s="34">
        <v>0.5</v>
      </c>
      <c r="H13" s="34">
        <v>0</v>
      </c>
      <c r="I13" s="34">
        <v>0.66666666666666663</v>
      </c>
      <c r="J13" s="34">
        <v>2.9166666666666665</v>
      </c>
    </row>
    <row r="14" spans="1:10" x14ac:dyDescent="0.2">
      <c r="A14" t="s">
        <v>209</v>
      </c>
      <c r="B14" t="s">
        <v>261</v>
      </c>
      <c r="C14" t="s">
        <v>187</v>
      </c>
      <c r="D14" t="s">
        <v>71</v>
      </c>
      <c r="E14" t="s">
        <v>270</v>
      </c>
      <c r="F14" s="34">
        <v>0</v>
      </c>
      <c r="G14" s="34">
        <v>0.5</v>
      </c>
      <c r="H14" s="34">
        <v>0</v>
      </c>
      <c r="I14" s="34">
        <v>0</v>
      </c>
      <c r="J14" s="34">
        <v>0</v>
      </c>
    </row>
    <row r="15" spans="1:10" x14ac:dyDescent="0.2">
      <c r="A15" t="s">
        <v>210</v>
      </c>
      <c r="B15" t="s">
        <v>261</v>
      </c>
      <c r="C15" t="s">
        <v>185</v>
      </c>
      <c r="D15" t="s">
        <v>71</v>
      </c>
      <c r="E15" t="s">
        <v>270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</row>
    <row r="16" spans="1:10" x14ac:dyDescent="0.2">
      <c r="A16" t="s">
        <v>211</v>
      </c>
      <c r="B16" t="s">
        <v>261</v>
      </c>
      <c r="C16" t="s">
        <v>73</v>
      </c>
      <c r="D16" t="s">
        <v>182</v>
      </c>
      <c r="E16" t="s">
        <v>269</v>
      </c>
      <c r="F16" s="34">
        <v>0.33333333333333331</v>
      </c>
      <c r="G16" s="34">
        <v>0.45833333333333331</v>
      </c>
      <c r="H16" s="34">
        <v>0</v>
      </c>
      <c r="I16" s="34">
        <v>0.58333333333333337</v>
      </c>
      <c r="J16" s="34">
        <v>2.5</v>
      </c>
    </row>
    <row r="17" spans="1:10" x14ac:dyDescent="0.2">
      <c r="A17" t="s">
        <v>212</v>
      </c>
      <c r="B17" t="s">
        <v>261</v>
      </c>
      <c r="C17" t="s">
        <v>188</v>
      </c>
      <c r="D17" t="s">
        <v>182</v>
      </c>
      <c r="E17" t="s">
        <v>270</v>
      </c>
      <c r="F17" s="34">
        <v>0</v>
      </c>
      <c r="G17" s="34">
        <v>0.54166666666666663</v>
      </c>
      <c r="H17" s="34">
        <v>0.58333333333333337</v>
      </c>
      <c r="I17" s="34">
        <v>0.66666666666666663</v>
      </c>
      <c r="J17" s="34">
        <v>2.9166666666666665</v>
      </c>
    </row>
    <row r="18" spans="1:10" x14ac:dyDescent="0.2">
      <c r="A18" t="s">
        <v>213</v>
      </c>
      <c r="B18" t="s">
        <v>261</v>
      </c>
      <c r="C18" t="s">
        <v>189</v>
      </c>
      <c r="D18" t="s">
        <v>182</v>
      </c>
      <c r="E18" t="s">
        <v>270</v>
      </c>
      <c r="F18" s="34">
        <v>0</v>
      </c>
      <c r="G18" s="34">
        <v>0.5</v>
      </c>
      <c r="H18" s="34">
        <v>0</v>
      </c>
      <c r="I18" s="34">
        <v>0.66666666666666663</v>
      </c>
      <c r="J18" s="34">
        <v>3.2227662037037037</v>
      </c>
    </row>
    <row r="19" spans="1:10" x14ac:dyDescent="0.2">
      <c r="A19" t="s">
        <v>214</v>
      </c>
      <c r="B19" t="s">
        <v>261</v>
      </c>
      <c r="C19" t="s">
        <v>188</v>
      </c>
      <c r="D19" t="s">
        <v>182</v>
      </c>
      <c r="E19" t="s">
        <v>270</v>
      </c>
      <c r="F19" s="34">
        <v>0</v>
      </c>
      <c r="G19" s="34">
        <v>0.54166666666666663</v>
      </c>
      <c r="H19" s="34">
        <v>0.58333333333333337</v>
      </c>
      <c r="I19" s="34">
        <v>0.66666666666666663</v>
      </c>
      <c r="J19" s="34">
        <v>2.9166666666666665</v>
      </c>
    </row>
    <row r="20" spans="1:10" x14ac:dyDescent="0.2">
      <c r="A20" t="s">
        <v>215</v>
      </c>
      <c r="B20" t="s">
        <v>261</v>
      </c>
      <c r="C20" t="s">
        <v>188</v>
      </c>
      <c r="D20" t="s">
        <v>182</v>
      </c>
      <c r="E20" t="s">
        <v>270</v>
      </c>
      <c r="F20" s="34">
        <v>0</v>
      </c>
      <c r="G20" s="34">
        <v>0.54166666666666663</v>
      </c>
      <c r="H20" s="34">
        <v>0.58333333333333337</v>
      </c>
      <c r="I20" s="34">
        <v>0.66666666666666663</v>
      </c>
      <c r="J20" s="34">
        <v>2.9166666666666665</v>
      </c>
    </row>
    <row r="21" spans="1:10" x14ac:dyDescent="0.2">
      <c r="A21" t="s">
        <v>216</v>
      </c>
      <c r="B21" t="s">
        <v>261</v>
      </c>
      <c r="C21" t="s">
        <v>185</v>
      </c>
      <c r="D21" t="s">
        <v>182</v>
      </c>
      <c r="E21" t="s">
        <v>269</v>
      </c>
      <c r="F21" s="34">
        <v>0.33333333333333331</v>
      </c>
      <c r="G21" s="34">
        <v>0.45833333333333331</v>
      </c>
      <c r="H21" s="34">
        <v>0</v>
      </c>
      <c r="I21" s="34">
        <v>0.58333333333333337</v>
      </c>
      <c r="J21" s="34">
        <v>2.9166666666666665</v>
      </c>
    </row>
    <row r="22" spans="1:10" x14ac:dyDescent="0.2">
      <c r="A22" t="s">
        <v>218</v>
      </c>
      <c r="B22" t="s">
        <v>261</v>
      </c>
      <c r="C22" t="s">
        <v>188</v>
      </c>
      <c r="D22" t="s">
        <v>182</v>
      </c>
      <c r="E22" t="s">
        <v>270</v>
      </c>
      <c r="F22" s="34">
        <v>0</v>
      </c>
      <c r="G22" s="34">
        <v>0.54166666666666663</v>
      </c>
      <c r="H22" s="34">
        <v>0.58333333333333337</v>
      </c>
      <c r="I22" s="34">
        <v>0.66666666666666663</v>
      </c>
      <c r="J22" s="34">
        <v>2.9166666666666665</v>
      </c>
    </row>
    <row r="23" spans="1:10" x14ac:dyDescent="0.2">
      <c r="A23" t="s">
        <v>219</v>
      </c>
      <c r="B23" t="s">
        <v>261</v>
      </c>
      <c r="C23" t="s">
        <v>185</v>
      </c>
      <c r="D23" t="s">
        <v>71</v>
      </c>
      <c r="E23" t="s">
        <v>270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</row>
    <row r="24" spans="1:10" x14ac:dyDescent="0.2">
      <c r="A24" t="s">
        <v>221</v>
      </c>
      <c r="B24" t="s">
        <v>261</v>
      </c>
      <c r="C24" t="s">
        <v>190</v>
      </c>
      <c r="D24" t="s">
        <v>71</v>
      </c>
      <c r="E24" t="s">
        <v>270</v>
      </c>
      <c r="F24" s="34">
        <v>0</v>
      </c>
      <c r="G24" s="34">
        <v>0.45833333333333331</v>
      </c>
      <c r="H24" s="34">
        <v>0</v>
      </c>
      <c r="I24" s="34">
        <v>0</v>
      </c>
      <c r="J24" s="34">
        <v>0</v>
      </c>
    </row>
    <row r="25" spans="1:10" x14ac:dyDescent="0.2">
      <c r="A25" t="s">
        <v>224</v>
      </c>
      <c r="B25" t="s">
        <v>261</v>
      </c>
      <c r="C25" t="s">
        <v>191</v>
      </c>
      <c r="D25" t="s">
        <v>182</v>
      </c>
      <c r="E25" t="s">
        <v>270</v>
      </c>
      <c r="F25" s="34">
        <v>0</v>
      </c>
      <c r="G25" s="34">
        <v>0.54166666666666663</v>
      </c>
      <c r="H25" s="34">
        <v>0.58333333333333337</v>
      </c>
      <c r="I25" s="34">
        <v>0.66666666666666663</v>
      </c>
      <c r="J25" s="34">
        <v>5</v>
      </c>
    </row>
    <row r="26" spans="1:10" x14ac:dyDescent="0.2">
      <c r="A26" t="s">
        <v>225</v>
      </c>
      <c r="B26" t="s">
        <v>261</v>
      </c>
      <c r="C26" t="s">
        <v>73</v>
      </c>
      <c r="D26" t="s">
        <v>71</v>
      </c>
      <c r="E26" t="s">
        <v>270</v>
      </c>
      <c r="F26" s="34">
        <v>0</v>
      </c>
      <c r="G26" s="34">
        <v>0.45829861111111114</v>
      </c>
      <c r="H26" s="34">
        <v>0</v>
      </c>
      <c r="I26" s="34">
        <v>0</v>
      </c>
      <c r="J26" s="34">
        <v>0</v>
      </c>
    </row>
    <row r="27" spans="1:10" x14ac:dyDescent="0.2">
      <c r="A27" t="s">
        <v>226</v>
      </c>
      <c r="B27" t="s">
        <v>261</v>
      </c>
      <c r="C27" t="s">
        <v>73</v>
      </c>
      <c r="D27" t="s">
        <v>71</v>
      </c>
      <c r="E27" t="s">
        <v>270</v>
      </c>
      <c r="F27" s="34">
        <v>0</v>
      </c>
      <c r="G27" s="34">
        <v>0.30719907407407404</v>
      </c>
      <c r="H27" s="34">
        <v>0</v>
      </c>
      <c r="I27" s="34">
        <v>0</v>
      </c>
      <c r="J27" s="34">
        <v>0</v>
      </c>
    </row>
    <row r="28" spans="1:10" x14ac:dyDescent="0.2">
      <c r="A28" t="s">
        <v>227</v>
      </c>
      <c r="B28" t="s">
        <v>261</v>
      </c>
      <c r="C28" t="s">
        <v>188</v>
      </c>
      <c r="D28" t="s">
        <v>182</v>
      </c>
      <c r="E28" t="s">
        <v>270</v>
      </c>
      <c r="F28" s="34">
        <v>0</v>
      </c>
      <c r="G28" s="34">
        <v>0.54166666666666663</v>
      </c>
      <c r="H28" s="34">
        <v>0.58333333333333337</v>
      </c>
      <c r="I28" s="34">
        <v>0.66666666666666663</v>
      </c>
      <c r="J28" s="34">
        <v>2.9166666666666665</v>
      </c>
    </row>
    <row r="29" spans="1:10" x14ac:dyDescent="0.2">
      <c r="A29" t="s">
        <v>228</v>
      </c>
      <c r="B29" t="s">
        <v>261</v>
      </c>
      <c r="C29" t="s">
        <v>73</v>
      </c>
      <c r="D29" t="s">
        <v>71</v>
      </c>
      <c r="E29" t="s">
        <v>270</v>
      </c>
      <c r="F29" s="34">
        <v>0</v>
      </c>
      <c r="G29" s="34">
        <v>0.34843750000000001</v>
      </c>
      <c r="H29" s="34">
        <v>0</v>
      </c>
      <c r="I29" s="34">
        <v>0</v>
      </c>
      <c r="J29" s="34">
        <v>0</v>
      </c>
    </row>
    <row r="30" spans="1:10" x14ac:dyDescent="0.2">
      <c r="A30" t="s">
        <v>229</v>
      </c>
      <c r="B30" t="s">
        <v>261</v>
      </c>
      <c r="C30" t="s">
        <v>73</v>
      </c>
      <c r="D30" t="s">
        <v>182</v>
      </c>
      <c r="E30" t="s">
        <v>269</v>
      </c>
      <c r="F30" s="34">
        <v>0.33333333333333331</v>
      </c>
      <c r="G30" s="34">
        <v>0.45833333333333331</v>
      </c>
      <c r="H30" s="34">
        <v>0</v>
      </c>
      <c r="I30" s="34">
        <v>0.58333333333333337</v>
      </c>
      <c r="J30" s="34">
        <v>2.5</v>
      </c>
    </row>
    <row r="31" spans="1:10" x14ac:dyDescent="0.2">
      <c r="A31" t="s">
        <v>230</v>
      </c>
      <c r="B31" t="s">
        <v>261</v>
      </c>
      <c r="C31" t="s">
        <v>188</v>
      </c>
      <c r="D31" t="s">
        <v>182</v>
      </c>
      <c r="E31" t="s">
        <v>270</v>
      </c>
      <c r="F31" s="34">
        <v>0</v>
      </c>
      <c r="G31" s="34">
        <v>0.54166666666666663</v>
      </c>
      <c r="H31" s="34">
        <v>0.58333333333333337</v>
      </c>
      <c r="I31" s="34">
        <v>0.66666666666666663</v>
      </c>
      <c r="J31" s="34">
        <v>2.9166666666666665</v>
      </c>
    </row>
    <row r="32" spans="1:10" x14ac:dyDescent="0.2">
      <c r="A32" t="s">
        <v>231</v>
      </c>
      <c r="B32" t="s">
        <v>261</v>
      </c>
      <c r="C32" t="s">
        <v>73</v>
      </c>
      <c r="D32" t="s">
        <v>182</v>
      </c>
      <c r="E32" t="s">
        <v>269</v>
      </c>
      <c r="F32" s="34">
        <v>0.33333333333333331</v>
      </c>
      <c r="G32" s="34">
        <v>0.45833333333333331</v>
      </c>
      <c r="H32" s="34">
        <v>0</v>
      </c>
      <c r="I32" s="34">
        <v>0.58333333333333337</v>
      </c>
      <c r="J32" s="34">
        <v>2.5</v>
      </c>
    </row>
    <row r="33" spans="1:10" x14ac:dyDescent="0.2">
      <c r="A33" t="s">
        <v>232</v>
      </c>
      <c r="B33" t="s">
        <v>261</v>
      </c>
      <c r="C33" t="s">
        <v>188</v>
      </c>
      <c r="D33" t="s">
        <v>71</v>
      </c>
      <c r="E33" t="s">
        <v>270</v>
      </c>
      <c r="F33" s="34">
        <v>0</v>
      </c>
      <c r="G33" s="34">
        <v>0.54166666666666663</v>
      </c>
      <c r="H33" s="34">
        <v>0.58333333333333337</v>
      </c>
      <c r="I33" s="34">
        <v>0.66666666666666663</v>
      </c>
      <c r="J33" s="34">
        <v>2.9166666666666665</v>
      </c>
    </row>
    <row r="34" spans="1:10" x14ac:dyDescent="0.2">
      <c r="A34" t="s">
        <v>233</v>
      </c>
      <c r="B34" t="s">
        <v>261</v>
      </c>
      <c r="C34" t="s">
        <v>184</v>
      </c>
      <c r="D34" t="s">
        <v>71</v>
      </c>
      <c r="E34" t="s">
        <v>270</v>
      </c>
      <c r="F34" s="34">
        <v>0</v>
      </c>
      <c r="G34" s="34">
        <v>0.45833333333333331</v>
      </c>
      <c r="H34" s="34">
        <v>0</v>
      </c>
      <c r="I34" s="34">
        <v>0</v>
      </c>
      <c r="J34" s="34">
        <v>0</v>
      </c>
    </row>
    <row r="35" spans="1:10" x14ac:dyDescent="0.2">
      <c r="A35" t="s">
        <v>234</v>
      </c>
      <c r="B35" t="s">
        <v>261</v>
      </c>
      <c r="C35" t="s">
        <v>186</v>
      </c>
      <c r="D35" t="s">
        <v>71</v>
      </c>
      <c r="E35" t="s">
        <v>270</v>
      </c>
      <c r="F35" s="34">
        <v>0</v>
      </c>
      <c r="G35" s="34">
        <v>0.5</v>
      </c>
      <c r="H35" s="34">
        <v>0</v>
      </c>
      <c r="I35" s="34">
        <v>0.66666666666666663</v>
      </c>
      <c r="J35" s="34">
        <v>2.9166666666666665</v>
      </c>
    </row>
    <row r="36" spans="1:10" x14ac:dyDescent="0.2">
      <c r="A36" t="s">
        <v>235</v>
      </c>
      <c r="B36" t="s">
        <v>261</v>
      </c>
      <c r="C36" t="s">
        <v>192</v>
      </c>
      <c r="D36" t="s">
        <v>71</v>
      </c>
      <c r="E36" t="s">
        <v>270</v>
      </c>
      <c r="F36" s="34">
        <v>0</v>
      </c>
      <c r="G36" s="34">
        <v>0.5</v>
      </c>
      <c r="H36" s="34">
        <v>0</v>
      </c>
      <c r="I36" s="34">
        <v>0</v>
      </c>
      <c r="J36" s="34">
        <v>0</v>
      </c>
    </row>
    <row r="37" spans="1:10" x14ac:dyDescent="0.2">
      <c r="A37" t="s">
        <v>236</v>
      </c>
      <c r="B37" t="s">
        <v>261</v>
      </c>
      <c r="C37" t="s">
        <v>193</v>
      </c>
      <c r="D37" t="s">
        <v>182</v>
      </c>
      <c r="E37" t="s">
        <v>270</v>
      </c>
      <c r="F37" s="34">
        <v>0</v>
      </c>
      <c r="G37" s="34">
        <v>0.5</v>
      </c>
      <c r="H37" s="34">
        <v>0.625</v>
      </c>
      <c r="I37" s="34">
        <v>0</v>
      </c>
      <c r="J37" s="34">
        <v>2.9166666666666665</v>
      </c>
    </row>
    <row r="38" spans="1:10" x14ac:dyDescent="0.2">
      <c r="A38" t="s">
        <v>237</v>
      </c>
      <c r="B38" t="s">
        <v>261</v>
      </c>
      <c r="C38" t="s">
        <v>73</v>
      </c>
      <c r="D38" t="s">
        <v>182</v>
      </c>
      <c r="E38" t="s">
        <v>269</v>
      </c>
      <c r="F38" s="34">
        <v>0.33333333333333331</v>
      </c>
      <c r="G38" s="34">
        <v>0.45833333333333331</v>
      </c>
      <c r="H38" s="34">
        <v>0</v>
      </c>
      <c r="I38" s="34">
        <v>0.58333333333333337</v>
      </c>
      <c r="J38" s="34">
        <v>2.5</v>
      </c>
    </row>
    <row r="39" spans="1:10" x14ac:dyDescent="0.2">
      <c r="A39" t="s">
        <v>238</v>
      </c>
      <c r="B39" t="s">
        <v>261</v>
      </c>
      <c r="C39" t="s">
        <v>194</v>
      </c>
      <c r="D39" t="s">
        <v>182</v>
      </c>
      <c r="E39" t="s">
        <v>270</v>
      </c>
      <c r="F39" s="34">
        <v>0</v>
      </c>
      <c r="G39" s="34">
        <v>0.41666666666666669</v>
      </c>
      <c r="H39" s="34">
        <v>0.625</v>
      </c>
      <c r="I39" s="34">
        <v>0</v>
      </c>
      <c r="J39" s="34">
        <v>2.5</v>
      </c>
    </row>
    <row r="40" spans="1:10" x14ac:dyDescent="0.2">
      <c r="A40" t="s">
        <v>239</v>
      </c>
      <c r="B40" t="s">
        <v>261</v>
      </c>
      <c r="C40" t="s">
        <v>73</v>
      </c>
      <c r="D40" t="s">
        <v>182</v>
      </c>
      <c r="E40" t="s">
        <v>269</v>
      </c>
      <c r="F40" s="34">
        <v>0.33333333333333331</v>
      </c>
      <c r="G40" s="34">
        <v>0.45833333333333331</v>
      </c>
      <c r="H40" s="34">
        <v>0</v>
      </c>
      <c r="I40" s="34">
        <v>0.58333333333333337</v>
      </c>
      <c r="J40" s="34">
        <v>2.5</v>
      </c>
    </row>
    <row r="41" spans="1:10" x14ac:dyDescent="0.2">
      <c r="A41" t="s">
        <v>240</v>
      </c>
      <c r="B41" t="s">
        <v>261</v>
      </c>
      <c r="C41" t="s">
        <v>195</v>
      </c>
      <c r="D41" t="s">
        <v>182</v>
      </c>
      <c r="E41" t="s">
        <v>269</v>
      </c>
      <c r="F41" s="34">
        <v>0.33333333333333331</v>
      </c>
      <c r="G41" s="34">
        <v>0.45833333333333331</v>
      </c>
      <c r="H41" s="34">
        <v>0</v>
      </c>
      <c r="I41" s="34">
        <v>0.58333333333333337</v>
      </c>
      <c r="J41" s="34">
        <v>2.5</v>
      </c>
    </row>
    <row r="42" spans="1:10" x14ac:dyDescent="0.2">
      <c r="A42" t="s">
        <v>241</v>
      </c>
      <c r="B42" t="s">
        <v>261</v>
      </c>
      <c r="C42" t="s">
        <v>73</v>
      </c>
      <c r="D42" t="s">
        <v>182</v>
      </c>
      <c r="E42" t="s">
        <v>269</v>
      </c>
      <c r="F42" s="34">
        <v>0.33333333333333331</v>
      </c>
      <c r="G42" s="34">
        <v>0.45833333333333331</v>
      </c>
      <c r="H42" s="34">
        <v>0</v>
      </c>
      <c r="I42" s="34">
        <v>0.58333333333333337</v>
      </c>
      <c r="J42" s="34">
        <v>2.5</v>
      </c>
    </row>
    <row r="43" spans="1:10" x14ac:dyDescent="0.2">
      <c r="A43" t="s">
        <v>242</v>
      </c>
      <c r="B43" t="s">
        <v>261</v>
      </c>
      <c r="C43" t="s">
        <v>196</v>
      </c>
      <c r="D43" t="s">
        <v>182</v>
      </c>
      <c r="E43" t="s">
        <v>269</v>
      </c>
      <c r="F43" s="34">
        <v>0.33333333333333331</v>
      </c>
      <c r="G43" s="34">
        <v>0.45833333333333331</v>
      </c>
      <c r="H43" s="34">
        <v>0</v>
      </c>
      <c r="I43" s="34">
        <v>0.58333333333333337</v>
      </c>
      <c r="J43" s="34">
        <v>2.5</v>
      </c>
    </row>
    <row r="44" spans="1:10" x14ac:dyDescent="0.2">
      <c r="A44" t="s">
        <v>244</v>
      </c>
      <c r="B44" t="s">
        <v>261</v>
      </c>
      <c r="C44" t="s">
        <v>197</v>
      </c>
      <c r="D44" t="s">
        <v>71</v>
      </c>
      <c r="E44" t="s">
        <v>270</v>
      </c>
      <c r="F44" s="34">
        <v>0</v>
      </c>
      <c r="G44" s="34">
        <v>0.45833333333333331</v>
      </c>
      <c r="H44" s="34">
        <v>0</v>
      </c>
      <c r="I44" s="34">
        <v>0</v>
      </c>
      <c r="J44" s="34">
        <v>0</v>
      </c>
    </row>
    <row r="45" spans="1:10" x14ac:dyDescent="0.2">
      <c r="A45" t="s">
        <v>245</v>
      </c>
      <c r="B45" t="s">
        <v>261</v>
      </c>
      <c r="C45" t="s">
        <v>191</v>
      </c>
      <c r="D45" t="s">
        <v>182</v>
      </c>
      <c r="E45" t="s">
        <v>270</v>
      </c>
      <c r="F45" s="34">
        <v>0</v>
      </c>
      <c r="G45" s="34">
        <v>0.54166666666666663</v>
      </c>
      <c r="H45" s="34">
        <v>0.58333333333333337</v>
      </c>
      <c r="I45" s="34">
        <v>0.66666666666666663</v>
      </c>
      <c r="J45" s="34">
        <v>5</v>
      </c>
    </row>
    <row r="46" spans="1:10" x14ac:dyDescent="0.2">
      <c r="A46" t="s">
        <v>246</v>
      </c>
      <c r="B46" t="s">
        <v>261</v>
      </c>
      <c r="C46" t="s">
        <v>191</v>
      </c>
      <c r="D46" t="s">
        <v>71</v>
      </c>
      <c r="E46" t="s">
        <v>270</v>
      </c>
      <c r="F46" s="34">
        <v>0</v>
      </c>
      <c r="G46" s="34">
        <v>0.54166666666666663</v>
      </c>
      <c r="H46" s="34">
        <v>0.58333333333333337</v>
      </c>
      <c r="I46" s="34">
        <v>0.66666666666666663</v>
      </c>
      <c r="J46" s="34">
        <v>5</v>
      </c>
    </row>
    <row r="47" spans="1:10" x14ac:dyDescent="0.2">
      <c r="A47" t="s">
        <v>247</v>
      </c>
      <c r="B47" t="s">
        <v>261</v>
      </c>
      <c r="C47" t="s">
        <v>185</v>
      </c>
      <c r="D47" t="s">
        <v>182</v>
      </c>
      <c r="E47" t="s">
        <v>269</v>
      </c>
      <c r="F47" s="34">
        <v>0.33333333333333331</v>
      </c>
      <c r="G47" s="34">
        <v>0.45833333333333331</v>
      </c>
      <c r="H47" s="34">
        <v>0</v>
      </c>
      <c r="I47" s="34">
        <v>0.58333333333333337</v>
      </c>
      <c r="J47" s="34">
        <v>2.9166666666666665</v>
      </c>
    </row>
    <row r="48" spans="1:10" x14ac:dyDescent="0.2">
      <c r="A48" t="s">
        <v>248</v>
      </c>
      <c r="B48" t="s">
        <v>261</v>
      </c>
      <c r="C48" t="s">
        <v>191</v>
      </c>
      <c r="D48" t="s">
        <v>71</v>
      </c>
      <c r="E48" t="s">
        <v>270</v>
      </c>
      <c r="F48" s="34">
        <v>0</v>
      </c>
      <c r="G48" s="34">
        <v>0.54166666666666663</v>
      </c>
      <c r="H48" s="34">
        <v>0.58333333333333337</v>
      </c>
      <c r="I48" s="34">
        <v>0.66666666666666663</v>
      </c>
      <c r="J48" s="34">
        <v>5</v>
      </c>
    </row>
    <row r="49" spans="1:10" x14ac:dyDescent="0.2">
      <c r="A49" t="s">
        <v>252</v>
      </c>
      <c r="B49" t="s">
        <v>261</v>
      </c>
      <c r="C49" t="s">
        <v>73</v>
      </c>
      <c r="D49" t="s">
        <v>182</v>
      </c>
      <c r="E49" t="s">
        <v>269</v>
      </c>
      <c r="F49" s="34">
        <v>0.33333333333333331</v>
      </c>
      <c r="G49" s="34">
        <v>0.45833333333333331</v>
      </c>
      <c r="H49" s="34">
        <v>0</v>
      </c>
      <c r="I49" s="34">
        <v>0.58333333333333337</v>
      </c>
      <c r="J49" s="34">
        <v>2.5</v>
      </c>
    </row>
    <row r="50" spans="1:10" x14ac:dyDescent="0.2">
      <c r="A50" t="s">
        <v>253</v>
      </c>
      <c r="B50" t="s">
        <v>261</v>
      </c>
      <c r="C50" t="s">
        <v>188</v>
      </c>
      <c r="D50" t="s">
        <v>71</v>
      </c>
      <c r="E50" t="s">
        <v>270</v>
      </c>
      <c r="F50" s="34">
        <v>0</v>
      </c>
      <c r="G50" s="34">
        <v>0.54166666666666663</v>
      </c>
      <c r="H50" s="34">
        <v>0.58333333333333337</v>
      </c>
      <c r="I50" s="34">
        <v>0.66666666666666663</v>
      </c>
      <c r="J50" s="34">
        <v>2.9166666666666665</v>
      </c>
    </row>
    <row r="51" spans="1:10" x14ac:dyDescent="0.2">
      <c r="A51" t="s">
        <v>254</v>
      </c>
      <c r="B51" t="s">
        <v>261</v>
      </c>
      <c r="C51" t="s">
        <v>198</v>
      </c>
      <c r="D51" t="s">
        <v>71</v>
      </c>
      <c r="E51" t="s">
        <v>270</v>
      </c>
      <c r="F51" s="34">
        <v>0</v>
      </c>
      <c r="G51" s="34">
        <v>0.25756944444444446</v>
      </c>
      <c r="H51" s="34">
        <v>0</v>
      </c>
      <c r="I51" s="34">
        <v>0</v>
      </c>
      <c r="J51" s="34">
        <v>0</v>
      </c>
    </row>
    <row r="52" spans="1:10" x14ac:dyDescent="0.2">
      <c r="A52" t="s">
        <v>257</v>
      </c>
      <c r="B52" t="s">
        <v>261</v>
      </c>
      <c r="C52" t="s">
        <v>190</v>
      </c>
      <c r="D52" t="s">
        <v>182</v>
      </c>
      <c r="E52" t="s">
        <v>269</v>
      </c>
      <c r="F52" s="34">
        <v>0.33333333333333331</v>
      </c>
      <c r="G52" s="34">
        <v>0.45833333333333331</v>
      </c>
      <c r="H52" s="34">
        <v>0</v>
      </c>
      <c r="I52" s="34">
        <v>0.58333333333333337</v>
      </c>
      <c r="J52" s="34">
        <v>2.9166666666666665</v>
      </c>
    </row>
    <row r="53" spans="1:10" x14ac:dyDescent="0.2">
      <c r="A53" t="s">
        <v>258</v>
      </c>
      <c r="B53" t="s">
        <v>261</v>
      </c>
      <c r="C53" t="s">
        <v>188</v>
      </c>
      <c r="D53" t="s">
        <v>182</v>
      </c>
      <c r="E53" t="s">
        <v>270</v>
      </c>
      <c r="F53" s="34">
        <v>0</v>
      </c>
      <c r="G53" s="34">
        <v>0.54166666666666663</v>
      </c>
      <c r="H53" s="34">
        <v>0.58333333333333337</v>
      </c>
      <c r="I53" s="34">
        <v>0.66666666666666663</v>
      </c>
      <c r="J53" s="34">
        <v>2.9166666666666665</v>
      </c>
    </row>
    <row r="54" spans="1:10" x14ac:dyDescent="0.2">
      <c r="A54" t="s">
        <v>259</v>
      </c>
      <c r="B54" t="s">
        <v>261</v>
      </c>
      <c r="C54" t="s">
        <v>185</v>
      </c>
      <c r="D54" t="s">
        <v>182</v>
      </c>
      <c r="E54" t="s">
        <v>269</v>
      </c>
      <c r="F54" s="34">
        <v>0.33333333333333331</v>
      </c>
      <c r="G54" s="34">
        <v>0.45833333333333331</v>
      </c>
      <c r="H54" s="34">
        <v>0</v>
      </c>
      <c r="I54" s="34">
        <v>0.58333333333333337</v>
      </c>
      <c r="J54" s="34">
        <v>2.9166666666666665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showGridLines="0" workbookViewId="0"/>
  </sheetViews>
  <sheetFormatPr defaultRowHeight="12.75" x14ac:dyDescent="0.2"/>
  <cols>
    <col min="1" max="3" width="25.7109375" customWidth="1"/>
    <col min="4" max="9" width="18.7109375" customWidth="1"/>
    <col min="10" max="10" width="15.42578125" customWidth="1"/>
    <col min="11" max="11" width="23" customWidth="1"/>
    <col min="12" max="12" width="21" customWidth="1"/>
    <col min="13" max="13" width="20.5703125" customWidth="1"/>
  </cols>
  <sheetData>
    <row r="1" spans="1:8" s="24" customFormat="1" ht="26.25" x14ac:dyDescent="0.45">
      <c r="A1" s="23" t="s">
        <v>178</v>
      </c>
      <c r="D1" s="25">
        <f>Data!B2</f>
        <v>43172.538217314803</v>
      </c>
      <c r="G1" s="26"/>
      <c r="H1" s="27"/>
    </row>
    <row r="2" spans="1:8" s="13" customFormat="1" ht="25.5" x14ac:dyDescent="0.5">
      <c r="A2" s="28" t="str">
        <f>Data!B1</f>
        <v>Geotab Inc.</v>
      </c>
      <c r="G2" s="14"/>
      <c r="H2" s="15"/>
    </row>
    <row r="3" spans="1:8" ht="15" x14ac:dyDescent="0.25">
      <c r="A3" s="1"/>
    </row>
    <row r="4" spans="1:8" ht="15" hidden="1" x14ac:dyDescent="0.25">
      <c r="A4" s="4" t="s">
        <v>267</v>
      </c>
      <c r="B4" t="s">
        <v>268</v>
      </c>
      <c r="C4" s="35"/>
      <c r="D4" s="35"/>
    </row>
    <row r="5" spans="1:8" ht="13.35" customHeight="1" x14ac:dyDescent="0.2"/>
    <row r="6" spans="1:8" x14ac:dyDescent="0.2">
      <c r="A6" s="4" t="s">
        <v>271</v>
      </c>
      <c r="B6" s="33" t="s">
        <v>274</v>
      </c>
    </row>
    <row r="7" spans="1:8" x14ac:dyDescent="0.2">
      <c r="A7" t="s">
        <v>269</v>
      </c>
      <c r="B7" s="36">
        <v>15</v>
      </c>
    </row>
    <row r="8" spans="1:8" x14ac:dyDescent="0.2">
      <c r="A8" t="s">
        <v>270</v>
      </c>
      <c r="B8" s="36">
        <v>29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J16"/>
  <sheetViews>
    <sheetView workbookViewId="0"/>
  </sheetViews>
  <sheetFormatPr defaultRowHeight="12.75" x14ac:dyDescent="0.2"/>
  <cols>
    <col min="1" max="7" width="30" customWidth="1"/>
    <col min="8" max="10" width="30" style="11" customWidth="1"/>
  </cols>
  <sheetData>
    <row r="1" spans="1:10" s="8" customFormat="1" x14ac:dyDescent="0.2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52</v>
      </c>
      <c r="G1" s="10" t="s">
        <v>118</v>
      </c>
      <c r="H1" s="10" t="s">
        <v>132</v>
      </c>
      <c r="I1" s="10" t="s">
        <v>148</v>
      </c>
      <c r="J1" s="10" t="s">
        <v>163</v>
      </c>
    </row>
    <row r="2" spans="1:10" x14ac:dyDescent="0.2">
      <c r="A2" s="11" t="s">
        <v>13</v>
      </c>
      <c r="B2" s="11" t="s">
        <v>18</v>
      </c>
      <c r="C2" s="11" t="s">
        <v>19</v>
      </c>
      <c r="D2" s="11" t="s">
        <v>20</v>
      </c>
      <c r="E2" s="11" t="s">
        <v>21</v>
      </c>
      <c r="F2" s="11" t="s">
        <v>53</v>
      </c>
      <c r="G2" s="11" t="s">
        <v>119</v>
      </c>
      <c r="H2" s="11" t="s">
        <v>133</v>
      </c>
      <c r="I2" s="11" t="s">
        <v>149</v>
      </c>
      <c r="J2" s="11" t="s">
        <v>164</v>
      </c>
    </row>
    <row r="3" spans="1:10" x14ac:dyDescent="0.2">
      <c r="A3" s="11" t="s">
        <v>74</v>
      </c>
      <c r="B3" s="11" t="s">
        <v>78</v>
      </c>
      <c r="C3" s="11" t="s">
        <v>79</v>
      </c>
      <c r="D3" s="11" t="s">
        <v>80</v>
      </c>
      <c r="E3" s="11" t="s">
        <v>81</v>
      </c>
      <c r="F3" s="11" t="s">
        <v>82</v>
      </c>
      <c r="G3" s="11" t="s">
        <v>124</v>
      </c>
      <c r="H3" s="11" t="s">
        <v>141</v>
      </c>
      <c r="I3" s="11" t="s">
        <v>150</v>
      </c>
      <c r="J3" s="11" t="s">
        <v>165</v>
      </c>
    </row>
    <row r="4" spans="1:10" x14ac:dyDescent="0.2">
      <c r="A4" s="11" t="s">
        <v>77</v>
      </c>
      <c r="B4" s="11" t="s">
        <v>83</v>
      </c>
      <c r="C4" s="11" t="s">
        <v>84</v>
      </c>
      <c r="D4" s="11" t="s">
        <v>85</v>
      </c>
      <c r="E4" s="11" t="s">
        <v>86</v>
      </c>
      <c r="F4" s="11" t="s">
        <v>87</v>
      </c>
      <c r="G4" s="11" t="s">
        <v>125</v>
      </c>
      <c r="H4" s="11" t="s">
        <v>142</v>
      </c>
      <c r="I4" s="11" t="s">
        <v>151</v>
      </c>
      <c r="J4" s="11" t="s">
        <v>166</v>
      </c>
    </row>
    <row r="5" spans="1:10" x14ac:dyDescent="0.2">
      <c r="A5" s="11" t="s">
        <v>64</v>
      </c>
      <c r="B5" s="11" t="s">
        <v>88</v>
      </c>
      <c r="C5" s="11" t="s">
        <v>89</v>
      </c>
      <c r="D5" s="11" t="s">
        <v>90</v>
      </c>
      <c r="E5" s="11" t="s">
        <v>91</v>
      </c>
      <c r="F5" s="11" t="s">
        <v>92</v>
      </c>
      <c r="G5" s="11" t="s">
        <v>126</v>
      </c>
      <c r="H5" s="11" t="s">
        <v>143</v>
      </c>
      <c r="I5" s="11" t="s">
        <v>152</v>
      </c>
      <c r="J5" s="11" t="s">
        <v>167</v>
      </c>
    </row>
    <row r="6" spans="1:10" x14ac:dyDescent="0.2">
      <c r="A6" s="11" t="s">
        <v>65</v>
      </c>
      <c r="B6" s="11" t="s">
        <v>93</v>
      </c>
      <c r="C6" s="11" t="s">
        <v>94</v>
      </c>
      <c r="D6" s="11" t="s">
        <v>95</v>
      </c>
      <c r="E6" s="11" t="s">
        <v>96</v>
      </c>
      <c r="F6" s="11" t="s">
        <v>97</v>
      </c>
      <c r="G6" s="11" t="s">
        <v>127</v>
      </c>
      <c r="H6" s="11" t="s">
        <v>144</v>
      </c>
      <c r="I6" s="11" t="s">
        <v>153</v>
      </c>
      <c r="J6" s="11" t="s">
        <v>168</v>
      </c>
    </row>
    <row r="7" spans="1:10" x14ac:dyDescent="0.2">
      <c r="A7" s="11" t="s">
        <v>66</v>
      </c>
      <c r="B7" s="11" t="s">
        <v>98</v>
      </c>
      <c r="C7" s="11" t="s">
        <v>99</v>
      </c>
      <c r="D7" s="11" t="s">
        <v>100</v>
      </c>
      <c r="E7" s="11" t="s">
        <v>101</v>
      </c>
      <c r="F7" s="11" t="s">
        <v>102</v>
      </c>
      <c r="G7" s="11" t="s">
        <v>128</v>
      </c>
      <c r="H7" s="11" t="s">
        <v>145</v>
      </c>
      <c r="I7" s="11" t="s">
        <v>154</v>
      </c>
      <c r="J7" s="11" t="s">
        <v>169</v>
      </c>
    </row>
    <row r="8" spans="1:10" x14ac:dyDescent="0.2">
      <c r="A8" s="11" t="s">
        <v>67</v>
      </c>
      <c r="B8" s="11" t="s">
        <v>103</v>
      </c>
      <c r="C8" s="11" t="s">
        <v>104</v>
      </c>
      <c r="D8" s="11" t="s">
        <v>105</v>
      </c>
      <c r="E8" s="11" t="s">
        <v>106</v>
      </c>
      <c r="F8" s="11" t="s">
        <v>107</v>
      </c>
      <c r="G8" s="11" t="s">
        <v>129</v>
      </c>
      <c r="H8" s="11" t="s">
        <v>146</v>
      </c>
      <c r="I8" s="11" t="s">
        <v>155</v>
      </c>
      <c r="J8" s="11" t="s">
        <v>170</v>
      </c>
    </row>
    <row r="9" spans="1:10" x14ac:dyDescent="0.2">
      <c r="A9" s="11" t="s">
        <v>68</v>
      </c>
      <c r="B9" s="11" t="s">
        <v>108</v>
      </c>
      <c r="C9" s="11" t="s">
        <v>109</v>
      </c>
      <c r="D9" s="11" t="s">
        <v>110</v>
      </c>
      <c r="E9" s="11" t="s">
        <v>111</v>
      </c>
      <c r="F9" s="11" t="s">
        <v>112</v>
      </c>
      <c r="G9" s="11" t="s">
        <v>130</v>
      </c>
      <c r="H9" s="11" t="s">
        <v>147</v>
      </c>
      <c r="I9" s="11" t="s">
        <v>156</v>
      </c>
      <c r="J9" s="11" t="s">
        <v>171</v>
      </c>
    </row>
    <row r="10" spans="1:10" x14ac:dyDescent="0.2">
      <c r="A10" s="11" t="s">
        <v>17</v>
      </c>
      <c r="B10" s="11" t="s">
        <v>22</v>
      </c>
      <c r="C10" s="11" t="s">
        <v>23</v>
      </c>
      <c r="D10" s="11" t="s">
        <v>24</v>
      </c>
      <c r="E10" s="11" t="s">
        <v>25</v>
      </c>
      <c r="F10" s="11" t="s">
        <v>54</v>
      </c>
      <c r="G10" s="11" t="s">
        <v>120</v>
      </c>
      <c r="H10" s="11" t="s">
        <v>134</v>
      </c>
      <c r="I10" s="11" t="s">
        <v>157</v>
      </c>
      <c r="J10" s="11" t="s">
        <v>172</v>
      </c>
    </row>
    <row r="11" spans="1:10" x14ac:dyDescent="0.2">
      <c r="A11" s="11" t="s">
        <v>14</v>
      </c>
      <c r="B11" s="11" t="s">
        <v>26</v>
      </c>
      <c r="C11" s="11" t="s">
        <v>27</v>
      </c>
      <c r="D11" s="11" t="s">
        <v>28</v>
      </c>
      <c r="E11" s="11" t="s">
        <v>29</v>
      </c>
      <c r="F11" s="11" t="s">
        <v>55</v>
      </c>
      <c r="G11" s="11" t="s">
        <v>123</v>
      </c>
      <c r="H11" s="11" t="s">
        <v>135</v>
      </c>
      <c r="I11" s="11" t="s">
        <v>161</v>
      </c>
      <c r="J11" s="11" t="s">
        <v>173</v>
      </c>
    </row>
    <row r="12" spans="1:10" x14ac:dyDescent="0.2">
      <c r="A12" s="11" t="s">
        <v>15</v>
      </c>
      <c r="B12" s="11" t="s">
        <v>30</v>
      </c>
      <c r="C12" s="11" t="s">
        <v>31</v>
      </c>
      <c r="D12" s="11" t="s">
        <v>32</v>
      </c>
      <c r="E12" s="11" t="s">
        <v>33</v>
      </c>
      <c r="F12" s="11" t="s">
        <v>56</v>
      </c>
      <c r="G12" s="11" t="s">
        <v>31</v>
      </c>
      <c r="H12" s="11" t="s">
        <v>136</v>
      </c>
      <c r="I12" s="11" t="s">
        <v>158</v>
      </c>
      <c r="J12" s="11" t="s">
        <v>174</v>
      </c>
    </row>
    <row r="13" spans="1:10" x14ac:dyDescent="0.2">
      <c r="A13" s="11" t="s">
        <v>16</v>
      </c>
      <c r="B13" s="11" t="s">
        <v>34</v>
      </c>
      <c r="C13" s="11" t="s">
        <v>35</v>
      </c>
      <c r="D13" s="11" t="s">
        <v>36</v>
      </c>
      <c r="E13" s="11" t="s">
        <v>37</v>
      </c>
      <c r="F13" s="11" t="s">
        <v>57</v>
      </c>
      <c r="G13" s="11" t="s">
        <v>35</v>
      </c>
      <c r="H13" s="11" t="s">
        <v>137</v>
      </c>
      <c r="I13" s="11" t="s">
        <v>159</v>
      </c>
      <c r="J13" s="11" t="s">
        <v>175</v>
      </c>
    </row>
    <row r="14" spans="1:10" x14ac:dyDescent="0.2">
      <c r="A14" s="12" t="s">
        <v>40</v>
      </c>
      <c r="B14" s="12" t="s">
        <v>41</v>
      </c>
      <c r="C14" s="12" t="s">
        <v>42</v>
      </c>
      <c r="D14" s="12" t="s">
        <v>43</v>
      </c>
      <c r="E14" s="12" t="s">
        <v>44</v>
      </c>
      <c r="F14" s="11" t="s">
        <v>58</v>
      </c>
      <c r="G14" s="11" t="s">
        <v>121</v>
      </c>
      <c r="H14" s="11" t="s">
        <v>138</v>
      </c>
      <c r="I14" s="11" t="s">
        <v>121</v>
      </c>
      <c r="J14" s="11" t="s">
        <v>176</v>
      </c>
    </row>
    <row r="15" spans="1:10" x14ac:dyDescent="0.2">
      <c r="A15" s="12" t="s">
        <v>45</v>
      </c>
      <c r="B15" s="12" t="s">
        <v>46</v>
      </c>
      <c r="C15" s="12" t="s">
        <v>47</v>
      </c>
      <c r="D15" s="12" t="s">
        <v>48</v>
      </c>
      <c r="E15" s="12" t="s">
        <v>49</v>
      </c>
      <c r="F15" s="11" t="s">
        <v>59</v>
      </c>
      <c r="G15" s="11" t="s">
        <v>122</v>
      </c>
      <c r="H15" s="11" t="s">
        <v>139</v>
      </c>
      <c r="I15" s="11" t="s">
        <v>162</v>
      </c>
      <c r="J15" s="11" t="s">
        <v>177</v>
      </c>
    </row>
    <row r="16" spans="1:10" ht="25.5" x14ac:dyDescent="0.2">
      <c r="A16" s="11" t="s">
        <v>76</v>
      </c>
      <c r="B16" s="11" t="s">
        <v>113</v>
      </c>
      <c r="C16" s="11" t="s">
        <v>114</v>
      </c>
      <c r="D16" s="11" t="s">
        <v>115</v>
      </c>
      <c r="E16" s="11" t="s">
        <v>116</v>
      </c>
      <c r="F16" s="11" t="s">
        <v>117</v>
      </c>
      <c r="G16" s="11" t="s">
        <v>131</v>
      </c>
      <c r="H16" s="11" t="s">
        <v>140</v>
      </c>
      <c r="I16" s="11" t="s">
        <v>160</v>
      </c>
      <c r="J16" s="11" t="s">
        <v>178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Data</vt:lpstr>
      <vt:lpstr>Report</vt:lpstr>
      <vt:lpstr>Summary</vt:lpstr>
      <vt:lpstr>Availability Graph</vt:lpstr>
      <vt:lpstr>Languages</vt:lpstr>
      <vt:lpstr>AllData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Ben Schwartz</cp:lastModifiedBy>
  <dcterms:created xsi:type="dcterms:W3CDTF">2009-05-21T13:20:04Z</dcterms:created>
  <dcterms:modified xsi:type="dcterms:W3CDTF">2018-03-30T14:18:44Z</dcterms:modified>
</cp:coreProperties>
</file>