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aakashdubey\Downloads\"/>
    </mc:Choice>
  </mc:AlternateContent>
  <xr:revisionPtr revIDLastSave="0" documentId="13_ncr:1_{64D88683-AD41-414D-B3C8-32A2E6F4C888}" xr6:coauthVersionLast="47" xr6:coauthVersionMax="47" xr10:uidLastSave="{00000000-0000-0000-0000-000000000000}"/>
  <bookViews>
    <workbookView xWindow="-120" yWindow="-120" windowWidth="29040" windowHeight="15840" firstSheet="3" activeTab="4" xr2:uid="{00000000-000D-0000-FFFF-FFFF00000000}"/>
  </bookViews>
  <sheets>
    <sheet name="Data" sheetId="1" state="hidden" r:id="rId1"/>
    <sheet name="TimeZone" sheetId="6" state="hidden" r:id="rId2"/>
    <sheet name="Languages" sheetId="5" state="hidden" r:id="rId3"/>
    <sheet name="Report" sheetId="3" r:id="rId4"/>
    <sheet name="Summary" sheetId="4" r:id="rId5"/>
  </sheets>
  <definedNames>
    <definedName name="_xlnm._FilterDatabase" localSheetId="3" hidden="1">Report!$A$12:$AK$12</definedName>
    <definedName name="AllData">Report!$A$12:$AK$98</definedName>
  </definedNames>
  <calcPr calcId="191029"/>
  <pivotCaches>
    <pivotCache cacheId="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4" i="3" l="1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13" i="3"/>
  <c r="A1" i="4" l="1"/>
  <c r="V19" i="3"/>
  <c r="V20" i="3"/>
  <c r="V27" i="3"/>
  <c r="V28" i="3"/>
  <c r="V35" i="3"/>
  <c r="V36" i="3"/>
  <c r="V43" i="3"/>
  <c r="V44" i="3"/>
  <c r="V51" i="3"/>
  <c r="V52" i="3"/>
  <c r="V59" i="3"/>
  <c r="V60" i="3"/>
  <c r="V67" i="3"/>
  <c r="V68" i="3"/>
  <c r="V75" i="3"/>
  <c r="V76" i="3"/>
  <c r="V83" i="3"/>
  <c r="V84" i="3"/>
  <c r="V91" i="3"/>
  <c r="V92" i="3"/>
  <c r="V13" i="3"/>
  <c r="J11" i="4"/>
  <c r="I11" i="4"/>
  <c r="H11" i="4"/>
  <c r="G11" i="4"/>
  <c r="AK98" i="3"/>
  <c r="W98" i="3"/>
  <c r="T98" i="3"/>
  <c r="V98" i="3" s="1"/>
  <c r="O98" i="3"/>
  <c r="L98" i="3"/>
  <c r="E98" i="3"/>
  <c r="D98" i="3"/>
  <c r="C98" i="3"/>
  <c r="B98" i="3"/>
  <c r="A98" i="3"/>
  <c r="AK97" i="3"/>
  <c r="W97" i="3"/>
  <c r="T97" i="3"/>
  <c r="V97" i="3" s="1"/>
  <c r="O97" i="3"/>
  <c r="L97" i="3"/>
  <c r="E97" i="3"/>
  <c r="D97" i="3"/>
  <c r="C97" i="3"/>
  <c r="B97" i="3"/>
  <c r="A97" i="3"/>
  <c r="AK96" i="3"/>
  <c r="W96" i="3"/>
  <c r="T96" i="3"/>
  <c r="V96" i="3" s="1"/>
  <c r="O96" i="3"/>
  <c r="L96" i="3"/>
  <c r="E96" i="3"/>
  <c r="D96" i="3"/>
  <c r="C96" i="3"/>
  <c r="B96" i="3"/>
  <c r="A96" i="3"/>
  <c r="AK95" i="3"/>
  <c r="W95" i="3"/>
  <c r="T95" i="3"/>
  <c r="V95" i="3" s="1"/>
  <c r="O95" i="3"/>
  <c r="L95" i="3"/>
  <c r="E95" i="3"/>
  <c r="D95" i="3"/>
  <c r="C95" i="3"/>
  <c r="B95" i="3"/>
  <c r="A95" i="3"/>
  <c r="AK94" i="3"/>
  <c r="W94" i="3"/>
  <c r="T94" i="3"/>
  <c r="V94" i="3" s="1"/>
  <c r="O94" i="3"/>
  <c r="L94" i="3"/>
  <c r="E94" i="3"/>
  <c r="D94" i="3"/>
  <c r="C94" i="3"/>
  <c r="B94" i="3"/>
  <c r="A94" i="3"/>
  <c r="AK93" i="3"/>
  <c r="W93" i="3"/>
  <c r="T93" i="3"/>
  <c r="V93" i="3" s="1"/>
  <c r="O93" i="3"/>
  <c r="L93" i="3"/>
  <c r="E93" i="3"/>
  <c r="D93" i="3"/>
  <c r="C93" i="3"/>
  <c r="B93" i="3"/>
  <c r="A93" i="3"/>
  <c r="AK92" i="3"/>
  <c r="W92" i="3"/>
  <c r="T92" i="3"/>
  <c r="O92" i="3"/>
  <c r="L92" i="3"/>
  <c r="E92" i="3"/>
  <c r="D92" i="3"/>
  <c r="C92" i="3"/>
  <c r="B92" i="3"/>
  <c r="A92" i="3"/>
  <c r="AK91" i="3"/>
  <c r="W91" i="3"/>
  <c r="T91" i="3"/>
  <c r="O91" i="3"/>
  <c r="L91" i="3"/>
  <c r="E91" i="3"/>
  <c r="D91" i="3"/>
  <c r="C91" i="3"/>
  <c r="B91" i="3"/>
  <c r="A91" i="3"/>
  <c r="AK90" i="3"/>
  <c r="W90" i="3"/>
  <c r="T90" i="3"/>
  <c r="V90" i="3" s="1"/>
  <c r="O90" i="3"/>
  <c r="L90" i="3"/>
  <c r="E90" i="3"/>
  <c r="D90" i="3"/>
  <c r="C90" i="3"/>
  <c r="B90" i="3"/>
  <c r="A90" i="3"/>
  <c r="AK89" i="3"/>
  <c r="W89" i="3"/>
  <c r="T89" i="3"/>
  <c r="V89" i="3" s="1"/>
  <c r="O89" i="3"/>
  <c r="L89" i="3"/>
  <c r="E89" i="3"/>
  <c r="D89" i="3"/>
  <c r="C89" i="3"/>
  <c r="B89" i="3"/>
  <c r="A89" i="3"/>
  <c r="AK88" i="3"/>
  <c r="W88" i="3"/>
  <c r="T88" i="3"/>
  <c r="V88" i="3" s="1"/>
  <c r="O88" i="3"/>
  <c r="L88" i="3"/>
  <c r="E88" i="3"/>
  <c r="D88" i="3"/>
  <c r="C88" i="3"/>
  <c r="B88" i="3"/>
  <c r="A88" i="3"/>
  <c r="AK87" i="3"/>
  <c r="W87" i="3"/>
  <c r="T87" i="3"/>
  <c r="V87" i="3" s="1"/>
  <c r="O87" i="3"/>
  <c r="L87" i="3"/>
  <c r="E87" i="3"/>
  <c r="D87" i="3"/>
  <c r="C87" i="3"/>
  <c r="B87" i="3"/>
  <c r="A87" i="3"/>
  <c r="AK86" i="3"/>
  <c r="W86" i="3"/>
  <c r="T86" i="3"/>
  <c r="V86" i="3" s="1"/>
  <c r="O86" i="3"/>
  <c r="L86" i="3"/>
  <c r="E86" i="3"/>
  <c r="D86" i="3"/>
  <c r="C86" i="3"/>
  <c r="B86" i="3"/>
  <c r="A86" i="3"/>
  <c r="AK85" i="3"/>
  <c r="W85" i="3"/>
  <c r="T85" i="3"/>
  <c r="V85" i="3" s="1"/>
  <c r="O85" i="3"/>
  <c r="L85" i="3"/>
  <c r="E85" i="3"/>
  <c r="D85" i="3"/>
  <c r="C85" i="3"/>
  <c r="B85" i="3"/>
  <c r="A85" i="3"/>
  <c r="AK84" i="3"/>
  <c r="W84" i="3"/>
  <c r="T84" i="3"/>
  <c r="O84" i="3"/>
  <c r="L84" i="3"/>
  <c r="E84" i="3"/>
  <c r="D84" i="3"/>
  <c r="C84" i="3"/>
  <c r="B84" i="3"/>
  <c r="A84" i="3"/>
  <c r="AK83" i="3"/>
  <c r="W83" i="3"/>
  <c r="T83" i="3"/>
  <c r="O83" i="3"/>
  <c r="L83" i="3"/>
  <c r="E83" i="3"/>
  <c r="D83" i="3"/>
  <c r="C83" i="3"/>
  <c r="B83" i="3"/>
  <c r="A83" i="3"/>
  <c r="AK82" i="3"/>
  <c r="W82" i="3"/>
  <c r="T82" i="3"/>
  <c r="V82" i="3" s="1"/>
  <c r="O82" i="3"/>
  <c r="L82" i="3"/>
  <c r="E82" i="3"/>
  <c r="D82" i="3"/>
  <c r="C82" i="3"/>
  <c r="B82" i="3"/>
  <c r="A82" i="3"/>
  <c r="AK81" i="3"/>
  <c r="W81" i="3"/>
  <c r="T81" i="3"/>
  <c r="V81" i="3" s="1"/>
  <c r="O81" i="3"/>
  <c r="L81" i="3"/>
  <c r="E81" i="3"/>
  <c r="D81" i="3"/>
  <c r="C81" i="3"/>
  <c r="B81" i="3"/>
  <c r="A81" i="3"/>
  <c r="AK80" i="3"/>
  <c r="W80" i="3"/>
  <c r="T80" i="3"/>
  <c r="V80" i="3" s="1"/>
  <c r="O80" i="3"/>
  <c r="L80" i="3"/>
  <c r="E80" i="3"/>
  <c r="D80" i="3"/>
  <c r="C80" i="3"/>
  <c r="B80" i="3"/>
  <c r="A80" i="3"/>
  <c r="AK79" i="3"/>
  <c r="W79" i="3"/>
  <c r="T79" i="3"/>
  <c r="V79" i="3" s="1"/>
  <c r="O79" i="3"/>
  <c r="L79" i="3"/>
  <c r="E79" i="3"/>
  <c r="D79" i="3"/>
  <c r="C79" i="3"/>
  <c r="B79" i="3"/>
  <c r="A79" i="3"/>
  <c r="AK78" i="3"/>
  <c r="W78" i="3"/>
  <c r="T78" i="3"/>
  <c r="V78" i="3" s="1"/>
  <c r="O78" i="3"/>
  <c r="L78" i="3"/>
  <c r="E78" i="3"/>
  <c r="D78" i="3"/>
  <c r="C78" i="3"/>
  <c r="B78" i="3"/>
  <c r="A78" i="3"/>
  <c r="AK77" i="3"/>
  <c r="W77" i="3"/>
  <c r="T77" i="3"/>
  <c r="V77" i="3" s="1"/>
  <c r="O77" i="3"/>
  <c r="L77" i="3"/>
  <c r="E77" i="3"/>
  <c r="D77" i="3"/>
  <c r="C77" i="3"/>
  <c r="B77" i="3"/>
  <c r="A77" i="3"/>
  <c r="AK76" i="3"/>
  <c r="W76" i="3"/>
  <c r="T76" i="3"/>
  <c r="O76" i="3"/>
  <c r="L76" i="3"/>
  <c r="E76" i="3"/>
  <c r="D76" i="3"/>
  <c r="C76" i="3"/>
  <c r="B76" i="3"/>
  <c r="A76" i="3"/>
  <c r="AK75" i="3"/>
  <c r="W75" i="3"/>
  <c r="T75" i="3"/>
  <c r="O75" i="3"/>
  <c r="L75" i="3"/>
  <c r="E75" i="3"/>
  <c r="D75" i="3"/>
  <c r="C75" i="3"/>
  <c r="B75" i="3"/>
  <c r="A75" i="3"/>
  <c r="AK74" i="3"/>
  <c r="W74" i="3"/>
  <c r="T74" i="3"/>
  <c r="V74" i="3" s="1"/>
  <c r="O74" i="3"/>
  <c r="L74" i="3"/>
  <c r="E74" i="3"/>
  <c r="D74" i="3"/>
  <c r="C74" i="3"/>
  <c r="B74" i="3"/>
  <c r="A74" i="3"/>
  <c r="AK73" i="3"/>
  <c r="W73" i="3"/>
  <c r="T73" i="3"/>
  <c r="V73" i="3" s="1"/>
  <c r="O73" i="3"/>
  <c r="L73" i="3"/>
  <c r="E73" i="3"/>
  <c r="D73" i="3"/>
  <c r="C73" i="3"/>
  <c r="B73" i="3"/>
  <c r="A73" i="3"/>
  <c r="AK72" i="3"/>
  <c r="W72" i="3"/>
  <c r="T72" i="3"/>
  <c r="V72" i="3" s="1"/>
  <c r="O72" i="3"/>
  <c r="L72" i="3"/>
  <c r="E72" i="3"/>
  <c r="D72" i="3"/>
  <c r="C72" i="3"/>
  <c r="B72" i="3"/>
  <c r="A72" i="3"/>
  <c r="AK71" i="3"/>
  <c r="W71" i="3"/>
  <c r="T71" i="3"/>
  <c r="V71" i="3" s="1"/>
  <c r="O71" i="3"/>
  <c r="L71" i="3"/>
  <c r="E71" i="3"/>
  <c r="D71" i="3"/>
  <c r="C71" i="3"/>
  <c r="B71" i="3"/>
  <c r="A71" i="3"/>
  <c r="AK70" i="3"/>
  <c r="W70" i="3"/>
  <c r="T70" i="3"/>
  <c r="V70" i="3" s="1"/>
  <c r="O70" i="3"/>
  <c r="L70" i="3"/>
  <c r="E70" i="3"/>
  <c r="D70" i="3"/>
  <c r="C70" i="3"/>
  <c r="B70" i="3"/>
  <c r="A70" i="3"/>
  <c r="AK69" i="3"/>
  <c r="W69" i="3"/>
  <c r="T69" i="3"/>
  <c r="V69" i="3" s="1"/>
  <c r="O69" i="3"/>
  <c r="L69" i="3"/>
  <c r="E69" i="3"/>
  <c r="D69" i="3"/>
  <c r="C69" i="3"/>
  <c r="B69" i="3"/>
  <c r="A69" i="3"/>
  <c r="AK68" i="3"/>
  <c r="W68" i="3"/>
  <c r="T68" i="3"/>
  <c r="O68" i="3"/>
  <c r="L68" i="3"/>
  <c r="E68" i="3"/>
  <c r="D68" i="3"/>
  <c r="C68" i="3"/>
  <c r="B68" i="3"/>
  <c r="A68" i="3"/>
  <c r="AK67" i="3"/>
  <c r="W67" i="3"/>
  <c r="T67" i="3"/>
  <c r="O67" i="3"/>
  <c r="L67" i="3"/>
  <c r="E67" i="3"/>
  <c r="D67" i="3"/>
  <c r="C67" i="3"/>
  <c r="B67" i="3"/>
  <c r="A67" i="3"/>
  <c r="AK66" i="3"/>
  <c r="W66" i="3"/>
  <c r="T66" i="3"/>
  <c r="V66" i="3" s="1"/>
  <c r="O66" i="3"/>
  <c r="L66" i="3"/>
  <c r="E66" i="3"/>
  <c r="D66" i="3"/>
  <c r="C66" i="3"/>
  <c r="B66" i="3"/>
  <c r="A66" i="3"/>
  <c r="AK65" i="3"/>
  <c r="W65" i="3"/>
  <c r="T65" i="3"/>
  <c r="V65" i="3" s="1"/>
  <c r="O65" i="3"/>
  <c r="L65" i="3"/>
  <c r="E65" i="3"/>
  <c r="D65" i="3"/>
  <c r="C65" i="3"/>
  <c r="B65" i="3"/>
  <c r="A65" i="3"/>
  <c r="AK64" i="3"/>
  <c r="W64" i="3"/>
  <c r="T64" i="3"/>
  <c r="V64" i="3" s="1"/>
  <c r="O64" i="3"/>
  <c r="L64" i="3"/>
  <c r="E64" i="3"/>
  <c r="D64" i="3"/>
  <c r="C64" i="3"/>
  <c r="B64" i="3"/>
  <c r="A64" i="3"/>
  <c r="AK63" i="3"/>
  <c r="W63" i="3"/>
  <c r="T63" i="3"/>
  <c r="V63" i="3" s="1"/>
  <c r="O63" i="3"/>
  <c r="L63" i="3"/>
  <c r="E63" i="3"/>
  <c r="D63" i="3"/>
  <c r="C63" i="3"/>
  <c r="B63" i="3"/>
  <c r="A63" i="3"/>
  <c r="AK62" i="3"/>
  <c r="W62" i="3"/>
  <c r="T62" i="3"/>
  <c r="V62" i="3" s="1"/>
  <c r="O62" i="3"/>
  <c r="L62" i="3"/>
  <c r="E62" i="3"/>
  <c r="D62" i="3"/>
  <c r="C62" i="3"/>
  <c r="B62" i="3"/>
  <c r="A62" i="3"/>
  <c r="AK61" i="3"/>
  <c r="W61" i="3"/>
  <c r="T61" i="3"/>
  <c r="V61" i="3" s="1"/>
  <c r="O61" i="3"/>
  <c r="L61" i="3"/>
  <c r="E61" i="3"/>
  <c r="D61" i="3"/>
  <c r="C61" i="3"/>
  <c r="B61" i="3"/>
  <c r="A61" i="3"/>
  <c r="AK60" i="3"/>
  <c r="W60" i="3"/>
  <c r="T60" i="3"/>
  <c r="O60" i="3"/>
  <c r="L60" i="3"/>
  <c r="E60" i="3"/>
  <c r="D60" i="3"/>
  <c r="C60" i="3"/>
  <c r="B60" i="3"/>
  <c r="A60" i="3"/>
  <c r="AK59" i="3"/>
  <c r="W59" i="3"/>
  <c r="T59" i="3"/>
  <c r="O59" i="3"/>
  <c r="L59" i="3"/>
  <c r="E59" i="3"/>
  <c r="D59" i="3"/>
  <c r="C59" i="3"/>
  <c r="B59" i="3"/>
  <c r="A59" i="3"/>
  <c r="AK58" i="3"/>
  <c r="W58" i="3"/>
  <c r="T58" i="3"/>
  <c r="V58" i="3" s="1"/>
  <c r="O58" i="3"/>
  <c r="L58" i="3"/>
  <c r="E58" i="3"/>
  <c r="D58" i="3"/>
  <c r="C58" i="3"/>
  <c r="B58" i="3"/>
  <c r="A58" i="3"/>
  <c r="AK57" i="3"/>
  <c r="W57" i="3"/>
  <c r="T57" i="3"/>
  <c r="V57" i="3" s="1"/>
  <c r="O57" i="3"/>
  <c r="L57" i="3"/>
  <c r="E57" i="3"/>
  <c r="D57" i="3"/>
  <c r="C57" i="3"/>
  <c r="B57" i="3"/>
  <c r="A57" i="3"/>
  <c r="AK56" i="3"/>
  <c r="W56" i="3"/>
  <c r="T56" i="3"/>
  <c r="V56" i="3" s="1"/>
  <c r="O56" i="3"/>
  <c r="L56" i="3"/>
  <c r="E56" i="3"/>
  <c r="D56" i="3"/>
  <c r="C56" i="3"/>
  <c r="B56" i="3"/>
  <c r="A56" i="3"/>
  <c r="AK55" i="3"/>
  <c r="W55" i="3"/>
  <c r="T55" i="3"/>
  <c r="V55" i="3" s="1"/>
  <c r="O55" i="3"/>
  <c r="L55" i="3"/>
  <c r="E55" i="3"/>
  <c r="D55" i="3"/>
  <c r="C55" i="3"/>
  <c r="B55" i="3"/>
  <c r="A55" i="3"/>
  <c r="AK54" i="3"/>
  <c r="W54" i="3"/>
  <c r="T54" i="3"/>
  <c r="V54" i="3" s="1"/>
  <c r="O54" i="3"/>
  <c r="L54" i="3"/>
  <c r="E54" i="3"/>
  <c r="D54" i="3"/>
  <c r="C54" i="3"/>
  <c r="B54" i="3"/>
  <c r="A54" i="3"/>
  <c r="AK53" i="3"/>
  <c r="W53" i="3"/>
  <c r="T53" i="3"/>
  <c r="V53" i="3" s="1"/>
  <c r="O53" i="3"/>
  <c r="L53" i="3"/>
  <c r="E53" i="3"/>
  <c r="D53" i="3"/>
  <c r="C53" i="3"/>
  <c r="B53" i="3"/>
  <c r="A53" i="3"/>
  <c r="AK52" i="3"/>
  <c r="W52" i="3"/>
  <c r="T52" i="3"/>
  <c r="O52" i="3"/>
  <c r="L52" i="3"/>
  <c r="E52" i="3"/>
  <c r="D52" i="3"/>
  <c r="C52" i="3"/>
  <c r="B52" i="3"/>
  <c r="A52" i="3"/>
  <c r="AK51" i="3"/>
  <c r="W51" i="3"/>
  <c r="T51" i="3"/>
  <c r="O51" i="3"/>
  <c r="L51" i="3"/>
  <c r="E51" i="3"/>
  <c r="D51" i="3"/>
  <c r="C51" i="3"/>
  <c r="B51" i="3"/>
  <c r="A51" i="3"/>
  <c r="AK50" i="3"/>
  <c r="W50" i="3"/>
  <c r="T50" i="3"/>
  <c r="V50" i="3" s="1"/>
  <c r="O50" i="3"/>
  <c r="L50" i="3"/>
  <c r="E50" i="3"/>
  <c r="D50" i="3"/>
  <c r="C50" i="3"/>
  <c r="B50" i="3"/>
  <c r="A50" i="3"/>
  <c r="AK49" i="3"/>
  <c r="W49" i="3"/>
  <c r="T49" i="3"/>
  <c r="V49" i="3" s="1"/>
  <c r="O49" i="3"/>
  <c r="L49" i="3"/>
  <c r="E49" i="3"/>
  <c r="D49" i="3"/>
  <c r="C49" i="3"/>
  <c r="B49" i="3"/>
  <c r="A49" i="3"/>
  <c r="AK48" i="3"/>
  <c r="W48" i="3"/>
  <c r="T48" i="3"/>
  <c r="V48" i="3" s="1"/>
  <c r="O48" i="3"/>
  <c r="L48" i="3"/>
  <c r="E48" i="3"/>
  <c r="D48" i="3"/>
  <c r="C48" i="3"/>
  <c r="B48" i="3"/>
  <c r="A48" i="3"/>
  <c r="AK47" i="3"/>
  <c r="W47" i="3"/>
  <c r="T47" i="3"/>
  <c r="V47" i="3" s="1"/>
  <c r="O47" i="3"/>
  <c r="L47" i="3"/>
  <c r="E47" i="3"/>
  <c r="D47" i="3"/>
  <c r="C47" i="3"/>
  <c r="B47" i="3"/>
  <c r="A47" i="3"/>
  <c r="AK46" i="3"/>
  <c r="W46" i="3"/>
  <c r="T46" i="3"/>
  <c r="V46" i="3" s="1"/>
  <c r="O46" i="3"/>
  <c r="L46" i="3"/>
  <c r="E46" i="3"/>
  <c r="D46" i="3"/>
  <c r="C46" i="3"/>
  <c r="B46" i="3"/>
  <c r="A46" i="3"/>
  <c r="AK45" i="3"/>
  <c r="W45" i="3"/>
  <c r="T45" i="3"/>
  <c r="V45" i="3" s="1"/>
  <c r="O45" i="3"/>
  <c r="L45" i="3"/>
  <c r="E45" i="3"/>
  <c r="D45" i="3"/>
  <c r="C45" i="3"/>
  <c r="B45" i="3"/>
  <c r="A45" i="3"/>
  <c r="AK44" i="3"/>
  <c r="W44" i="3"/>
  <c r="T44" i="3"/>
  <c r="O44" i="3"/>
  <c r="L44" i="3"/>
  <c r="E44" i="3"/>
  <c r="D44" i="3"/>
  <c r="C44" i="3"/>
  <c r="B44" i="3"/>
  <c r="A44" i="3"/>
  <c r="AK43" i="3"/>
  <c r="W43" i="3"/>
  <c r="T43" i="3"/>
  <c r="O43" i="3"/>
  <c r="L43" i="3"/>
  <c r="E43" i="3"/>
  <c r="D43" i="3"/>
  <c r="C43" i="3"/>
  <c r="B43" i="3"/>
  <c r="A43" i="3"/>
  <c r="AK42" i="3"/>
  <c r="W42" i="3"/>
  <c r="T42" i="3"/>
  <c r="V42" i="3" s="1"/>
  <c r="O42" i="3"/>
  <c r="L42" i="3"/>
  <c r="E42" i="3"/>
  <c r="D42" i="3"/>
  <c r="C42" i="3"/>
  <c r="B42" i="3"/>
  <c r="A42" i="3"/>
  <c r="AK41" i="3"/>
  <c r="W41" i="3"/>
  <c r="T41" i="3"/>
  <c r="V41" i="3" s="1"/>
  <c r="O41" i="3"/>
  <c r="L41" i="3"/>
  <c r="E41" i="3"/>
  <c r="D41" i="3"/>
  <c r="C41" i="3"/>
  <c r="B41" i="3"/>
  <c r="A41" i="3"/>
  <c r="AK40" i="3"/>
  <c r="W40" i="3"/>
  <c r="T40" i="3"/>
  <c r="V40" i="3" s="1"/>
  <c r="O40" i="3"/>
  <c r="L40" i="3"/>
  <c r="E40" i="3"/>
  <c r="D40" i="3"/>
  <c r="C40" i="3"/>
  <c r="B40" i="3"/>
  <c r="A40" i="3"/>
  <c r="AK39" i="3"/>
  <c r="W39" i="3"/>
  <c r="T39" i="3"/>
  <c r="V39" i="3" s="1"/>
  <c r="O39" i="3"/>
  <c r="L39" i="3"/>
  <c r="E39" i="3"/>
  <c r="D39" i="3"/>
  <c r="C39" i="3"/>
  <c r="B39" i="3"/>
  <c r="A39" i="3"/>
  <c r="AK38" i="3"/>
  <c r="W38" i="3"/>
  <c r="T38" i="3"/>
  <c r="V38" i="3" s="1"/>
  <c r="O38" i="3"/>
  <c r="L38" i="3"/>
  <c r="E38" i="3"/>
  <c r="D38" i="3"/>
  <c r="C38" i="3"/>
  <c r="B38" i="3"/>
  <c r="A38" i="3"/>
  <c r="AK37" i="3"/>
  <c r="W37" i="3"/>
  <c r="T37" i="3"/>
  <c r="V37" i="3" s="1"/>
  <c r="O37" i="3"/>
  <c r="L37" i="3"/>
  <c r="E37" i="3"/>
  <c r="D37" i="3"/>
  <c r="C37" i="3"/>
  <c r="B37" i="3"/>
  <c r="A37" i="3"/>
  <c r="AK36" i="3"/>
  <c r="W36" i="3"/>
  <c r="T36" i="3"/>
  <c r="O36" i="3"/>
  <c r="L36" i="3"/>
  <c r="E36" i="3"/>
  <c r="D36" i="3"/>
  <c r="C36" i="3"/>
  <c r="B36" i="3"/>
  <c r="A36" i="3"/>
  <c r="AK35" i="3"/>
  <c r="W35" i="3"/>
  <c r="T35" i="3"/>
  <c r="O35" i="3"/>
  <c r="L35" i="3"/>
  <c r="E35" i="3"/>
  <c r="D35" i="3"/>
  <c r="C35" i="3"/>
  <c r="B35" i="3"/>
  <c r="A35" i="3"/>
  <c r="AK34" i="3"/>
  <c r="W34" i="3"/>
  <c r="T34" i="3"/>
  <c r="V34" i="3" s="1"/>
  <c r="O34" i="3"/>
  <c r="L34" i="3"/>
  <c r="E34" i="3"/>
  <c r="D34" i="3"/>
  <c r="C34" i="3"/>
  <c r="B34" i="3"/>
  <c r="A34" i="3"/>
  <c r="AK33" i="3"/>
  <c r="W33" i="3"/>
  <c r="T33" i="3"/>
  <c r="V33" i="3" s="1"/>
  <c r="O33" i="3"/>
  <c r="L33" i="3"/>
  <c r="E33" i="3"/>
  <c r="D33" i="3"/>
  <c r="C33" i="3"/>
  <c r="B33" i="3"/>
  <c r="A33" i="3"/>
  <c r="AK32" i="3"/>
  <c r="W32" i="3"/>
  <c r="T32" i="3"/>
  <c r="V32" i="3" s="1"/>
  <c r="O32" i="3"/>
  <c r="L32" i="3"/>
  <c r="E32" i="3"/>
  <c r="D32" i="3"/>
  <c r="C32" i="3"/>
  <c r="B32" i="3"/>
  <c r="A32" i="3"/>
  <c r="AK31" i="3"/>
  <c r="W31" i="3"/>
  <c r="T31" i="3"/>
  <c r="V31" i="3" s="1"/>
  <c r="O31" i="3"/>
  <c r="L31" i="3"/>
  <c r="E31" i="3"/>
  <c r="D31" i="3"/>
  <c r="C31" i="3"/>
  <c r="B31" i="3"/>
  <c r="A31" i="3"/>
  <c r="AK30" i="3"/>
  <c r="W30" i="3"/>
  <c r="T30" i="3"/>
  <c r="V30" i="3" s="1"/>
  <c r="O30" i="3"/>
  <c r="L30" i="3"/>
  <c r="E30" i="3"/>
  <c r="D30" i="3"/>
  <c r="C30" i="3"/>
  <c r="B30" i="3"/>
  <c r="A30" i="3"/>
  <c r="AK29" i="3"/>
  <c r="W29" i="3"/>
  <c r="T29" i="3"/>
  <c r="V29" i="3" s="1"/>
  <c r="O29" i="3"/>
  <c r="L29" i="3"/>
  <c r="E29" i="3"/>
  <c r="D29" i="3"/>
  <c r="C29" i="3"/>
  <c r="B29" i="3"/>
  <c r="A29" i="3"/>
  <c r="AK28" i="3"/>
  <c r="W28" i="3"/>
  <c r="T28" i="3"/>
  <c r="O28" i="3"/>
  <c r="L28" i="3"/>
  <c r="E28" i="3"/>
  <c r="D28" i="3"/>
  <c r="C28" i="3"/>
  <c r="B28" i="3"/>
  <c r="A28" i="3"/>
  <c r="AK27" i="3"/>
  <c r="W27" i="3"/>
  <c r="T27" i="3"/>
  <c r="O27" i="3"/>
  <c r="L27" i="3"/>
  <c r="E27" i="3"/>
  <c r="D27" i="3"/>
  <c r="C27" i="3"/>
  <c r="B27" i="3"/>
  <c r="A27" i="3"/>
  <c r="AK26" i="3"/>
  <c r="W26" i="3"/>
  <c r="T26" i="3"/>
  <c r="V26" i="3" s="1"/>
  <c r="O26" i="3"/>
  <c r="L26" i="3"/>
  <c r="E26" i="3"/>
  <c r="D26" i="3"/>
  <c r="C26" i="3"/>
  <c r="B26" i="3"/>
  <c r="A26" i="3"/>
  <c r="AK25" i="3"/>
  <c r="W25" i="3"/>
  <c r="T25" i="3"/>
  <c r="V25" i="3" s="1"/>
  <c r="O25" i="3"/>
  <c r="L25" i="3"/>
  <c r="E25" i="3"/>
  <c r="D25" i="3"/>
  <c r="C25" i="3"/>
  <c r="B25" i="3"/>
  <c r="A25" i="3"/>
  <c r="AK24" i="3"/>
  <c r="W24" i="3"/>
  <c r="T24" i="3"/>
  <c r="V24" i="3" s="1"/>
  <c r="O24" i="3"/>
  <c r="L24" i="3"/>
  <c r="E24" i="3"/>
  <c r="D24" i="3"/>
  <c r="C24" i="3"/>
  <c r="B24" i="3"/>
  <c r="A24" i="3"/>
  <c r="AK23" i="3"/>
  <c r="W23" i="3"/>
  <c r="T23" i="3"/>
  <c r="V23" i="3" s="1"/>
  <c r="O23" i="3"/>
  <c r="L23" i="3"/>
  <c r="E23" i="3"/>
  <c r="D23" i="3"/>
  <c r="C23" i="3"/>
  <c r="B23" i="3"/>
  <c r="A23" i="3"/>
  <c r="AK22" i="3"/>
  <c r="W22" i="3"/>
  <c r="T22" i="3"/>
  <c r="V22" i="3" s="1"/>
  <c r="O22" i="3"/>
  <c r="L22" i="3"/>
  <c r="E22" i="3"/>
  <c r="D22" i="3"/>
  <c r="C22" i="3"/>
  <c r="B22" i="3"/>
  <c r="A22" i="3"/>
  <c r="AK21" i="3"/>
  <c r="W21" i="3"/>
  <c r="T21" i="3"/>
  <c r="V21" i="3" s="1"/>
  <c r="O21" i="3"/>
  <c r="L21" i="3"/>
  <c r="E21" i="3"/>
  <c r="D21" i="3"/>
  <c r="C21" i="3"/>
  <c r="B21" i="3"/>
  <c r="A21" i="3"/>
  <c r="AK20" i="3"/>
  <c r="W20" i="3"/>
  <c r="T20" i="3"/>
  <c r="O20" i="3"/>
  <c r="L20" i="3"/>
  <c r="E20" i="3"/>
  <c r="D20" i="3"/>
  <c r="C20" i="3"/>
  <c r="B20" i="3"/>
  <c r="A20" i="3"/>
  <c r="AK19" i="3"/>
  <c r="W19" i="3"/>
  <c r="T19" i="3"/>
  <c r="O19" i="3"/>
  <c r="L19" i="3"/>
  <c r="E19" i="3"/>
  <c r="D19" i="3"/>
  <c r="C19" i="3"/>
  <c r="B19" i="3"/>
  <c r="A19" i="3"/>
  <c r="AK18" i="3"/>
  <c r="W18" i="3"/>
  <c r="T18" i="3"/>
  <c r="V18" i="3" s="1"/>
  <c r="O18" i="3"/>
  <c r="L18" i="3"/>
  <c r="E18" i="3"/>
  <c r="D18" i="3"/>
  <c r="C18" i="3"/>
  <c r="B18" i="3"/>
  <c r="A18" i="3"/>
  <c r="AK17" i="3"/>
  <c r="W17" i="3"/>
  <c r="T17" i="3"/>
  <c r="V17" i="3" s="1"/>
  <c r="O17" i="3"/>
  <c r="L17" i="3"/>
  <c r="E17" i="3"/>
  <c r="D17" i="3"/>
  <c r="C17" i="3"/>
  <c r="B17" i="3"/>
  <c r="A17" i="3"/>
  <c r="AK16" i="3"/>
  <c r="W16" i="3"/>
  <c r="T16" i="3"/>
  <c r="V16" i="3" s="1"/>
  <c r="O16" i="3"/>
  <c r="L16" i="3"/>
  <c r="E16" i="3"/>
  <c r="D16" i="3"/>
  <c r="C16" i="3"/>
  <c r="B16" i="3"/>
  <c r="A16" i="3"/>
  <c r="AK15" i="3"/>
  <c r="W15" i="3"/>
  <c r="T15" i="3"/>
  <c r="V15" i="3" s="1"/>
  <c r="O15" i="3"/>
  <c r="L15" i="3"/>
  <c r="E15" i="3"/>
  <c r="D15" i="3"/>
  <c r="C15" i="3"/>
  <c r="B15" i="3"/>
  <c r="A15" i="3"/>
  <c r="AK14" i="3"/>
  <c r="W14" i="3"/>
  <c r="T14" i="3"/>
  <c r="V14" i="3" s="1"/>
  <c r="O14" i="3"/>
  <c r="L14" i="3"/>
  <c r="E14" i="3"/>
  <c r="D14" i="3"/>
  <c r="C14" i="3"/>
  <c r="B14" i="3"/>
  <c r="A14" i="3"/>
  <c r="AK13" i="3"/>
  <c r="W13" i="3"/>
  <c r="O13" i="3"/>
  <c r="L13" i="3"/>
  <c r="T13" i="3"/>
  <c r="E13" i="3"/>
  <c r="D13" i="3"/>
  <c r="C13" i="3"/>
  <c r="B13" i="3"/>
  <c r="A13" i="3"/>
  <c r="D1" i="4"/>
  <c r="A2" i="4"/>
  <c r="C1" i="3"/>
  <c r="A2" i="3"/>
  <c r="AA13" i="3" l="1"/>
  <c r="AB13" i="3" s="1"/>
  <c r="AC13" i="3" s="1"/>
  <c r="AD13" i="3"/>
  <c r="AE13" i="3" s="1"/>
  <c r="AF13" i="3" s="1"/>
  <c r="B9" i="4"/>
  <c r="B9" i="3"/>
  <c r="C9" i="3" s="1"/>
  <c r="F49" i="3" s="1"/>
  <c r="G49" i="3" s="1"/>
  <c r="F46" i="3" l="1"/>
  <c r="G46" i="3" s="1"/>
  <c r="F39" i="3"/>
  <c r="G39" i="3" s="1"/>
  <c r="H39" i="3" s="1"/>
  <c r="Z39" i="3" s="1"/>
  <c r="F31" i="3"/>
  <c r="G31" i="3" s="1"/>
  <c r="H31" i="3" s="1"/>
  <c r="F52" i="3"/>
  <c r="G52" i="3" s="1"/>
  <c r="H52" i="3" s="1"/>
  <c r="Z52" i="3" s="1"/>
  <c r="F93" i="3"/>
  <c r="G93" i="3" s="1"/>
  <c r="I93" i="3" s="1"/>
  <c r="F34" i="3"/>
  <c r="G34" i="3" s="1"/>
  <c r="I34" i="3" s="1"/>
  <c r="F66" i="3"/>
  <c r="G66" i="3" s="1"/>
  <c r="H66" i="3" s="1"/>
  <c r="F71" i="3"/>
  <c r="G71" i="3" s="1"/>
  <c r="I71" i="3" s="1"/>
  <c r="F83" i="3"/>
  <c r="G83" i="3" s="1"/>
  <c r="F85" i="3"/>
  <c r="G85" i="3" s="1"/>
  <c r="I85" i="3" s="1"/>
  <c r="F75" i="3"/>
  <c r="G75" i="3" s="1"/>
  <c r="H75" i="3" s="1"/>
  <c r="F53" i="3"/>
  <c r="G53" i="3" s="1"/>
  <c r="F30" i="3"/>
  <c r="G30" i="3" s="1"/>
  <c r="H30" i="3" s="1"/>
  <c r="F43" i="3"/>
  <c r="G43" i="3" s="1"/>
  <c r="H43" i="3" s="1"/>
  <c r="Z43" i="3" s="1"/>
  <c r="F26" i="3"/>
  <c r="G26" i="3" s="1"/>
  <c r="I26" i="3" s="1"/>
  <c r="F32" i="3"/>
  <c r="G32" i="3" s="1"/>
  <c r="H32" i="3" s="1"/>
  <c r="Z32" i="3" s="1"/>
  <c r="F70" i="3"/>
  <c r="G70" i="3" s="1"/>
  <c r="H70" i="3" s="1"/>
  <c r="F84" i="3"/>
  <c r="G84" i="3" s="1"/>
  <c r="H84" i="3" s="1"/>
  <c r="Z84" i="3" s="1"/>
  <c r="F61" i="3"/>
  <c r="G61" i="3" s="1"/>
  <c r="I61" i="3" s="1"/>
  <c r="F50" i="3"/>
  <c r="G50" i="3" s="1"/>
  <c r="I50" i="3" s="1"/>
  <c r="F54" i="3"/>
  <c r="G54" i="3" s="1"/>
  <c r="I54" i="3" s="1"/>
  <c r="F36" i="3"/>
  <c r="G36" i="3" s="1"/>
  <c r="F67" i="3"/>
  <c r="G67" i="3" s="1"/>
  <c r="I67" i="3" s="1"/>
  <c r="F42" i="3"/>
  <c r="G42" i="3" s="1"/>
  <c r="I42" i="3" s="1"/>
  <c r="F37" i="3"/>
  <c r="G37" i="3" s="1"/>
  <c r="H37" i="3" s="1"/>
  <c r="F29" i="3"/>
  <c r="G29" i="3" s="1"/>
  <c r="F28" i="3"/>
  <c r="G28" i="3" s="1"/>
  <c r="I28" i="3" s="1"/>
  <c r="F80" i="3"/>
  <c r="G80" i="3" s="1"/>
  <c r="I80" i="3" s="1"/>
  <c r="F82" i="3"/>
  <c r="G82" i="3" s="1"/>
  <c r="I82" i="3" s="1"/>
  <c r="F81" i="3"/>
  <c r="G81" i="3" s="1"/>
  <c r="I81" i="3" s="1"/>
  <c r="F17" i="3"/>
  <c r="G17" i="3" s="1"/>
  <c r="I17" i="3" s="1"/>
  <c r="F21" i="3"/>
  <c r="G21" i="3" s="1"/>
  <c r="I21" i="3" s="1"/>
  <c r="F95" i="3"/>
  <c r="G95" i="3" s="1"/>
  <c r="I95" i="3" s="1"/>
  <c r="F73" i="3"/>
  <c r="G73" i="3" s="1"/>
  <c r="H73" i="3" s="1"/>
  <c r="F76" i="3"/>
  <c r="G76" i="3" s="1"/>
  <c r="F74" i="3"/>
  <c r="G74" i="3" s="1"/>
  <c r="I74" i="3" s="1"/>
  <c r="F59" i="3"/>
  <c r="G59" i="3" s="1"/>
  <c r="F86" i="3"/>
  <c r="G86" i="3" s="1"/>
  <c r="H86" i="3" s="1"/>
  <c r="F68" i="3"/>
  <c r="G68" i="3" s="1"/>
  <c r="F51" i="3"/>
  <c r="G51" i="3" s="1"/>
  <c r="H51" i="3" s="1"/>
  <c r="F62" i="3"/>
  <c r="G62" i="3" s="1"/>
  <c r="F35" i="3"/>
  <c r="G35" i="3" s="1"/>
  <c r="I52" i="3"/>
  <c r="H49" i="3"/>
  <c r="Z49" i="3" s="1"/>
  <c r="I49" i="3"/>
  <c r="AG13" i="3"/>
  <c r="F88" i="3"/>
  <c r="G88" i="3" s="1"/>
  <c r="F77" i="3"/>
  <c r="G77" i="3" s="1"/>
  <c r="F20" i="3"/>
  <c r="G20" i="3" s="1"/>
  <c r="I20" i="3" s="1"/>
  <c r="F89" i="3"/>
  <c r="G89" i="3" s="1"/>
  <c r="F38" i="3"/>
  <c r="G38" i="3" s="1"/>
  <c r="F92" i="3"/>
  <c r="G92" i="3" s="1"/>
  <c r="I92" i="3" s="1"/>
  <c r="F41" i="3"/>
  <c r="G41" i="3" s="1"/>
  <c r="F25" i="3"/>
  <c r="G25" i="3" s="1"/>
  <c r="H85" i="3"/>
  <c r="Z85" i="3" s="1"/>
  <c r="H46" i="3"/>
  <c r="Z46" i="3" s="1"/>
  <c r="I46" i="3"/>
  <c r="F63" i="3"/>
  <c r="G63" i="3" s="1"/>
  <c r="F78" i="3"/>
  <c r="G78" i="3" s="1"/>
  <c r="I78" i="3" s="1"/>
  <c r="F27" i="3"/>
  <c r="G27" i="3" s="1"/>
  <c r="F48" i="3"/>
  <c r="G48" i="3" s="1"/>
  <c r="F90" i="3"/>
  <c r="G90" i="3" s="1"/>
  <c r="I90" i="3" s="1"/>
  <c r="F56" i="3"/>
  <c r="G56" i="3" s="1"/>
  <c r="F60" i="3"/>
  <c r="G60" i="3" s="1"/>
  <c r="F64" i="3"/>
  <c r="G64" i="3" s="1"/>
  <c r="F16" i="3"/>
  <c r="G16" i="3" s="1"/>
  <c r="F23" i="3"/>
  <c r="G23" i="3" s="1"/>
  <c r="H23" i="3" s="1"/>
  <c r="Z23" i="3" s="1"/>
  <c r="F13" i="3"/>
  <c r="G13" i="3" s="1"/>
  <c r="H13" i="3" s="1"/>
  <c r="F45" i="3"/>
  <c r="G45" i="3" s="1"/>
  <c r="I45" i="3" s="1"/>
  <c r="F14" i="3"/>
  <c r="G14" i="3" s="1"/>
  <c r="I14" i="3" s="1"/>
  <c r="F19" i="3"/>
  <c r="G19" i="3" s="1"/>
  <c r="F65" i="3"/>
  <c r="G65" i="3" s="1"/>
  <c r="F18" i="3"/>
  <c r="G18" i="3" s="1"/>
  <c r="H18" i="3" s="1"/>
  <c r="Z18" i="3" s="1"/>
  <c r="F96" i="3"/>
  <c r="G96" i="3" s="1"/>
  <c r="I96" i="3" s="1"/>
  <c r="F94" i="3"/>
  <c r="G94" i="3" s="1"/>
  <c r="F22" i="3"/>
  <c r="G22" i="3" s="1"/>
  <c r="I22" i="3" s="1"/>
  <c r="F79" i="3"/>
  <c r="G79" i="3" s="1"/>
  <c r="F98" i="3"/>
  <c r="G98" i="3" s="1"/>
  <c r="H98" i="3" s="1"/>
  <c r="M98" i="3" s="1"/>
  <c r="F15" i="3"/>
  <c r="G15" i="3" s="1"/>
  <c r="H15" i="3" s="1"/>
  <c r="F91" i="3"/>
  <c r="G91" i="3" s="1"/>
  <c r="F57" i="3"/>
  <c r="G57" i="3" s="1"/>
  <c r="F24" i="3"/>
  <c r="G24" i="3" s="1"/>
  <c r="I24" i="3" s="1"/>
  <c r="F69" i="3"/>
  <c r="G69" i="3" s="1"/>
  <c r="F97" i="3"/>
  <c r="G97" i="3" s="1"/>
  <c r="F40" i="3"/>
  <c r="G40" i="3" s="1"/>
  <c r="F47" i="3"/>
  <c r="G47" i="3" s="1"/>
  <c r="F58" i="3"/>
  <c r="G58" i="3" s="1"/>
  <c r="F87" i="3"/>
  <c r="G87" i="3" s="1"/>
  <c r="F55" i="3"/>
  <c r="G55" i="3" s="1"/>
  <c r="H55" i="3" s="1"/>
  <c r="F44" i="3"/>
  <c r="G44" i="3" s="1"/>
  <c r="F72" i="3"/>
  <c r="G72" i="3" s="1"/>
  <c r="I72" i="3" s="1"/>
  <c r="F33" i="3"/>
  <c r="G33" i="3" s="1"/>
  <c r="H53" i="3"/>
  <c r="Z53" i="3" s="1"/>
  <c r="I53" i="3"/>
  <c r="H83" i="3"/>
  <c r="I83" i="3"/>
  <c r="I39" i="3"/>
  <c r="H62" i="3"/>
  <c r="Z62" i="3" s="1"/>
  <c r="I62" i="3"/>
  <c r="I84" i="3" l="1"/>
  <c r="H34" i="3"/>
  <c r="Z34" i="3" s="1"/>
  <c r="AH35" i="3" s="1"/>
  <c r="AI35" i="3" s="1"/>
  <c r="AJ35" i="3" s="1"/>
  <c r="AD53" i="3"/>
  <c r="AE53" i="3" s="1"/>
  <c r="AF53" i="3" s="1"/>
  <c r="H21" i="3"/>
  <c r="Z21" i="3" s="1"/>
  <c r="AA22" i="3" s="1"/>
  <c r="AB22" i="3" s="1"/>
  <c r="AC22" i="3" s="1"/>
  <c r="Z31" i="3"/>
  <c r="AA32" i="3" s="1"/>
  <c r="I32" i="3"/>
  <c r="I70" i="3"/>
  <c r="I31" i="3"/>
  <c r="I75" i="3"/>
  <c r="H20" i="3"/>
  <c r="I73" i="3"/>
  <c r="I51" i="3"/>
  <c r="H78" i="3"/>
  <c r="AH13" i="3"/>
  <c r="I43" i="3"/>
  <c r="AA35" i="3"/>
  <c r="AB35" i="3" s="1"/>
  <c r="AC35" i="3" s="1"/>
  <c r="I37" i="3"/>
  <c r="H95" i="3"/>
  <c r="Z95" i="3" s="1"/>
  <c r="AH96" i="3" s="1"/>
  <c r="AI96" i="3" s="1"/>
  <c r="AJ96" i="3" s="1"/>
  <c r="H42" i="3"/>
  <c r="Z42" i="3" s="1"/>
  <c r="AH43" i="3" s="1"/>
  <c r="AI43" i="3" s="1"/>
  <c r="AJ43" i="3" s="1"/>
  <c r="H61" i="3"/>
  <c r="Z61" i="3" s="1"/>
  <c r="AA62" i="3" s="1"/>
  <c r="AB62" i="3" s="1"/>
  <c r="AC62" i="3" s="1"/>
  <c r="H17" i="3"/>
  <c r="AH32" i="3"/>
  <c r="AI32" i="3" s="1"/>
  <c r="AJ32" i="3" s="1"/>
  <c r="I18" i="3"/>
  <c r="I55" i="3"/>
  <c r="H93" i="3"/>
  <c r="Z93" i="3" s="1"/>
  <c r="H24" i="3"/>
  <c r="M23" i="3" s="1"/>
  <c r="Q23" i="3" s="1"/>
  <c r="H81" i="3"/>
  <c r="Z81" i="3" s="1"/>
  <c r="AD82" i="3" s="1"/>
  <c r="AE82" i="3" s="1"/>
  <c r="AF82" i="3" s="1"/>
  <c r="H71" i="3"/>
  <c r="Z71" i="3" s="1"/>
  <c r="Z55" i="3"/>
  <c r="AA56" i="3" s="1"/>
  <c r="Z66" i="3"/>
  <c r="AA67" i="3" s="1"/>
  <c r="Z30" i="3"/>
  <c r="Z15" i="3"/>
  <c r="AH16" i="3" s="1"/>
  <c r="AI16" i="3" s="1"/>
  <c r="AJ16" i="3" s="1"/>
  <c r="H92" i="3"/>
  <c r="Z92" i="3" s="1"/>
  <c r="AD93" i="3" s="1"/>
  <c r="H26" i="3"/>
  <c r="Z26" i="3" s="1"/>
  <c r="I30" i="3"/>
  <c r="I15" i="3"/>
  <c r="H96" i="3"/>
  <c r="Z96" i="3" s="1"/>
  <c r="AD97" i="3" s="1"/>
  <c r="AE97" i="3" s="1"/>
  <c r="AF97" i="3" s="1"/>
  <c r="P13" i="3"/>
  <c r="Z17" i="3"/>
  <c r="AA18" i="3" s="1"/>
  <c r="AB18" i="3" s="1"/>
  <c r="AC18" i="3" s="1"/>
  <c r="I66" i="3"/>
  <c r="H59" i="3"/>
  <c r="K59" i="3" s="1"/>
  <c r="R59" i="3" s="1"/>
  <c r="H80" i="3"/>
  <c r="M80" i="3" s="1"/>
  <c r="Q80" i="3" s="1"/>
  <c r="AD35" i="3"/>
  <c r="H28" i="3"/>
  <c r="Z28" i="3" s="1"/>
  <c r="H67" i="3"/>
  <c r="M66" i="3" s="1"/>
  <c r="Q66" i="3" s="1"/>
  <c r="I86" i="3"/>
  <c r="AD22" i="3"/>
  <c r="Z73" i="3"/>
  <c r="H74" i="3"/>
  <c r="H50" i="3"/>
  <c r="M49" i="3" s="1"/>
  <c r="Q49" i="3" s="1"/>
  <c r="AD50" i="3"/>
  <c r="H82" i="3"/>
  <c r="P83" i="3" s="1"/>
  <c r="P84" i="3" s="1"/>
  <c r="P85" i="3" s="1"/>
  <c r="P86" i="3" s="1"/>
  <c r="H35" i="3"/>
  <c r="M34" i="3" s="1"/>
  <c r="Q34" i="3" s="1"/>
  <c r="I35" i="3"/>
  <c r="I76" i="3"/>
  <c r="H76" i="3"/>
  <c r="Z76" i="3" s="1"/>
  <c r="Z78" i="3"/>
  <c r="AH79" i="3" s="1"/>
  <c r="AI79" i="3" s="1"/>
  <c r="AJ79" i="3" s="1"/>
  <c r="H29" i="3"/>
  <c r="M29" i="3" s="1"/>
  <c r="Q29" i="3" s="1"/>
  <c r="I29" i="3"/>
  <c r="H72" i="3"/>
  <c r="Z72" i="3" s="1"/>
  <c r="AA73" i="3" s="1"/>
  <c r="AB73" i="3" s="1"/>
  <c r="AC73" i="3" s="1"/>
  <c r="H54" i="3"/>
  <c r="Z54" i="3" s="1"/>
  <c r="H90" i="3"/>
  <c r="Z90" i="3" s="1"/>
  <c r="AA91" i="3" s="1"/>
  <c r="AB91" i="3" s="1"/>
  <c r="AC91" i="3" s="1"/>
  <c r="I98" i="3"/>
  <c r="H14" i="3"/>
  <c r="P14" i="3" s="1"/>
  <c r="P15" i="3" s="1"/>
  <c r="I23" i="3"/>
  <c r="Z67" i="3"/>
  <c r="Z86" i="3"/>
  <c r="H68" i="3"/>
  <c r="Z68" i="3" s="1"/>
  <c r="AA69" i="3" s="1"/>
  <c r="I68" i="3"/>
  <c r="I59" i="3"/>
  <c r="M31" i="3"/>
  <c r="Q31" i="3" s="1"/>
  <c r="I13" i="3"/>
  <c r="H22" i="3"/>
  <c r="Z22" i="3" s="1"/>
  <c r="Z83" i="3"/>
  <c r="AH84" i="3" s="1"/>
  <c r="AI84" i="3" s="1"/>
  <c r="AJ84" i="3" s="1"/>
  <c r="H36" i="3"/>
  <c r="Z36" i="3" s="1"/>
  <c r="AA37" i="3" s="1"/>
  <c r="I36" i="3"/>
  <c r="AH86" i="3"/>
  <c r="AA86" i="3"/>
  <c r="AB86" i="3" s="1"/>
  <c r="AC86" i="3" s="1"/>
  <c r="AD86" i="3"/>
  <c r="AE86" i="3" s="1"/>
  <c r="AF86" i="3" s="1"/>
  <c r="AH24" i="3"/>
  <c r="AI24" i="3" s="1"/>
  <c r="AJ24" i="3" s="1"/>
  <c r="AD24" i="3"/>
  <c r="AE24" i="3" s="1"/>
  <c r="AF24" i="3" s="1"/>
  <c r="AA24" i="3"/>
  <c r="AD47" i="3"/>
  <c r="AE47" i="3" s="1"/>
  <c r="AF47" i="3" s="1"/>
  <c r="AA47" i="3"/>
  <c r="AH47" i="3"/>
  <c r="AI47" i="3" s="1"/>
  <c r="AJ47" i="3" s="1"/>
  <c r="AH33" i="3"/>
  <c r="AI33" i="3" s="1"/>
  <c r="AJ33" i="3" s="1"/>
  <c r="AD33" i="3"/>
  <c r="AA33" i="3"/>
  <c r="AB33" i="3" s="1"/>
  <c r="AC33" i="3" s="1"/>
  <c r="I91" i="3"/>
  <c r="H91" i="3"/>
  <c r="Z91" i="3" s="1"/>
  <c r="Z37" i="3"/>
  <c r="AH38" i="3" s="1"/>
  <c r="AI38" i="3" s="1"/>
  <c r="AJ38" i="3" s="1"/>
  <c r="H47" i="3"/>
  <c r="I47" i="3"/>
  <c r="H56" i="3"/>
  <c r="M55" i="3" s="1"/>
  <c r="Q55" i="3" s="1"/>
  <c r="I56" i="3"/>
  <c r="H63" i="3"/>
  <c r="Z63" i="3" s="1"/>
  <c r="I63" i="3"/>
  <c r="AA53" i="3"/>
  <c r="AB53" i="3" s="1"/>
  <c r="AC53" i="3" s="1"/>
  <c r="AH53" i="3"/>
  <c r="AI53" i="3" s="1"/>
  <c r="AJ53" i="3" s="1"/>
  <c r="H45" i="3"/>
  <c r="Z45" i="3" s="1"/>
  <c r="AA46" i="3" s="1"/>
  <c r="AB46" i="3" s="1"/>
  <c r="AC46" i="3" s="1"/>
  <c r="M85" i="3"/>
  <c r="Q85" i="3" s="1"/>
  <c r="I40" i="3"/>
  <c r="H40" i="3"/>
  <c r="Z40" i="3" s="1"/>
  <c r="I38" i="3"/>
  <c r="H38" i="3"/>
  <c r="M38" i="3" s="1"/>
  <c r="Q38" i="3" s="1"/>
  <c r="M30" i="3"/>
  <c r="Q30" i="3" s="1"/>
  <c r="Z75" i="3"/>
  <c r="H33" i="3"/>
  <c r="Z33" i="3" s="1"/>
  <c r="I33" i="3"/>
  <c r="H97" i="3"/>
  <c r="M97" i="3" s="1"/>
  <c r="Q97" i="3" s="1"/>
  <c r="I97" i="3"/>
  <c r="I79" i="3"/>
  <c r="H79" i="3"/>
  <c r="H48" i="3"/>
  <c r="I48" i="3"/>
  <c r="I89" i="3"/>
  <c r="H89" i="3"/>
  <c r="Z89" i="3" s="1"/>
  <c r="H69" i="3"/>
  <c r="I69" i="3"/>
  <c r="H27" i="3"/>
  <c r="I27" i="3"/>
  <c r="AA84" i="3"/>
  <c r="AB84" i="3" s="1"/>
  <c r="AC84" i="3" s="1"/>
  <c r="I44" i="3"/>
  <c r="H44" i="3"/>
  <c r="M43" i="3" s="1"/>
  <c r="Q43" i="3" s="1"/>
  <c r="H94" i="3"/>
  <c r="I94" i="3"/>
  <c r="H77" i="3"/>
  <c r="I77" i="3"/>
  <c r="I88" i="3"/>
  <c r="H88" i="3"/>
  <c r="I16" i="3"/>
  <c r="H16" i="3"/>
  <c r="M16" i="3" s="1"/>
  <c r="Q16" i="3" s="1"/>
  <c r="AD87" i="3"/>
  <c r="I87" i="3"/>
  <c r="H87" i="3"/>
  <c r="H57" i="3"/>
  <c r="I57" i="3"/>
  <c r="I64" i="3"/>
  <c r="H64" i="3"/>
  <c r="I25" i="3"/>
  <c r="H25" i="3"/>
  <c r="M24" i="3" s="1"/>
  <c r="Q24" i="3" s="1"/>
  <c r="I65" i="3"/>
  <c r="H65" i="3"/>
  <c r="M65" i="3" s="1"/>
  <c r="Q65" i="3" s="1"/>
  <c r="I60" i="3"/>
  <c r="H60" i="3"/>
  <c r="I41" i="3"/>
  <c r="H41" i="3"/>
  <c r="AH50" i="3"/>
  <c r="AI50" i="3" s="1"/>
  <c r="AJ50" i="3" s="1"/>
  <c r="AA50" i="3"/>
  <c r="AB50" i="3" s="1"/>
  <c r="AC50" i="3" s="1"/>
  <c r="AB32" i="3"/>
  <c r="AC32" i="3" s="1"/>
  <c r="I58" i="3"/>
  <c r="H58" i="3"/>
  <c r="H19" i="3"/>
  <c r="M19" i="3" s="1"/>
  <c r="Q19" i="3" s="1"/>
  <c r="I19" i="3"/>
  <c r="AH97" i="3"/>
  <c r="AI97" i="3" s="1"/>
  <c r="AJ97" i="3" s="1"/>
  <c r="AD54" i="3"/>
  <c r="AE54" i="3" s="1"/>
  <c r="AF54" i="3" s="1"/>
  <c r="AA54" i="3"/>
  <c r="AH54" i="3"/>
  <c r="AI54" i="3" s="1"/>
  <c r="AJ54" i="3" s="1"/>
  <c r="AH44" i="3"/>
  <c r="AI44" i="3" s="1"/>
  <c r="AJ44" i="3" s="1"/>
  <c r="AA44" i="3"/>
  <c r="AB44" i="3" s="1"/>
  <c r="AC44" i="3" s="1"/>
  <c r="AD44" i="3"/>
  <c r="AA63" i="3"/>
  <c r="AB63" i="3" s="1"/>
  <c r="AC63" i="3" s="1"/>
  <c r="AH63" i="3"/>
  <c r="AI63" i="3" s="1"/>
  <c r="AJ63" i="3" s="1"/>
  <c r="AD63" i="3"/>
  <c r="AD19" i="3"/>
  <c r="AA19" i="3"/>
  <c r="AB19" i="3" s="1"/>
  <c r="AC19" i="3" s="1"/>
  <c r="AH19" i="3"/>
  <c r="AI19" i="3" s="1"/>
  <c r="AJ19" i="3" s="1"/>
  <c r="AH85" i="3"/>
  <c r="AI85" i="3" s="1"/>
  <c r="AJ85" i="3" s="1"/>
  <c r="AD85" i="3"/>
  <c r="AE85" i="3" s="1"/>
  <c r="AF85" i="3" s="1"/>
  <c r="AA85" i="3"/>
  <c r="AB85" i="3" s="1"/>
  <c r="AC85" i="3" s="1"/>
  <c r="M17" i="3"/>
  <c r="Q17" i="3" s="1"/>
  <c r="AA40" i="3"/>
  <c r="AB40" i="3" s="1"/>
  <c r="AC40" i="3" s="1"/>
  <c r="AH40" i="3"/>
  <c r="AI40" i="3" s="1"/>
  <c r="AJ40" i="3" s="1"/>
  <c r="AD40" i="3"/>
  <c r="M84" i="3"/>
  <c r="Q84" i="3" s="1"/>
  <c r="AD56" i="3"/>
  <c r="AE56" i="3" s="1"/>
  <c r="AF56" i="3" s="1"/>
  <c r="AD38" i="3"/>
  <c r="AE38" i="3" s="1"/>
  <c r="AF38" i="3" s="1"/>
  <c r="Z51" i="3"/>
  <c r="Z70" i="3"/>
  <c r="M20" i="3"/>
  <c r="Q20" i="3" s="1"/>
  <c r="M51" i="3"/>
  <c r="Q51" i="3" s="1"/>
  <c r="Z98" i="3"/>
  <c r="M83" i="3"/>
  <c r="Q83" i="3" s="1"/>
  <c r="M52" i="3"/>
  <c r="Q52" i="3" s="1"/>
  <c r="M78" i="3"/>
  <c r="Q78" i="3" s="1"/>
  <c r="Z20" i="3"/>
  <c r="N13" i="3"/>
  <c r="Z13" i="3"/>
  <c r="AD14" i="3" s="1"/>
  <c r="K13" i="3"/>
  <c r="R13" i="3" s="1"/>
  <c r="M70" i="3" l="1"/>
  <c r="Q70" i="3" s="1"/>
  <c r="AH22" i="3"/>
  <c r="AI22" i="3" s="1"/>
  <c r="AJ22" i="3" s="1"/>
  <c r="AD32" i="3"/>
  <c r="AE32" i="3" s="1"/>
  <c r="AF32" i="3" s="1"/>
  <c r="AD84" i="3"/>
  <c r="AE84" i="3" s="1"/>
  <c r="AF84" i="3" s="1"/>
  <c r="Z29" i="3"/>
  <c r="M77" i="3"/>
  <c r="Q77" i="3" s="1"/>
  <c r="AD67" i="3"/>
  <c r="AE67" i="3" s="1"/>
  <c r="AF67" i="3" s="1"/>
  <c r="M68" i="3"/>
  <c r="Q68" i="3" s="1"/>
  <c r="AD46" i="3"/>
  <c r="AE46" i="3" s="1"/>
  <c r="AF46" i="3" s="1"/>
  <c r="AH91" i="3"/>
  <c r="AI91" i="3" s="1"/>
  <c r="AJ91" i="3" s="1"/>
  <c r="AH46" i="3"/>
  <c r="AI46" i="3" s="1"/>
  <c r="AJ46" i="3" s="1"/>
  <c r="M53" i="3"/>
  <c r="Q53" i="3" s="1"/>
  <c r="M45" i="3"/>
  <c r="Q45" i="3" s="1"/>
  <c r="K84" i="3"/>
  <c r="R84" i="3" s="1"/>
  <c r="AD79" i="3"/>
  <c r="AA79" i="3"/>
  <c r="AB79" i="3" s="1"/>
  <c r="AC79" i="3" s="1"/>
  <c r="K23" i="3"/>
  <c r="R23" i="3" s="1"/>
  <c r="AA82" i="3"/>
  <c r="AB82" i="3" s="1"/>
  <c r="AC82" i="3" s="1"/>
  <c r="J41" i="3"/>
  <c r="J81" i="3"/>
  <c r="M39" i="3"/>
  <c r="Q39" i="3" s="1"/>
  <c r="N59" i="3"/>
  <c r="N60" i="3" s="1"/>
  <c r="N61" i="3" s="1"/>
  <c r="N62" i="3" s="1"/>
  <c r="N63" i="3" s="1"/>
  <c r="N64" i="3" s="1"/>
  <c r="N65" i="3" s="1"/>
  <c r="N66" i="3" s="1"/>
  <c r="N67" i="3" s="1"/>
  <c r="N68" i="3" s="1"/>
  <c r="N69" i="3" s="1"/>
  <c r="N70" i="3" s="1"/>
  <c r="N71" i="3" s="1"/>
  <c r="N72" i="3" s="1"/>
  <c r="N73" i="3" s="1"/>
  <c r="N74" i="3" s="1"/>
  <c r="N75" i="3" s="1"/>
  <c r="N76" i="3" s="1"/>
  <c r="N77" i="3" s="1"/>
  <c r="N78" i="3" s="1"/>
  <c r="N79" i="3" s="1"/>
  <c r="N80" i="3" s="1"/>
  <c r="N81" i="3" s="1"/>
  <c r="N82" i="3" s="1"/>
  <c r="J56" i="3"/>
  <c r="J86" i="3"/>
  <c r="J27" i="3"/>
  <c r="AD91" i="3"/>
  <c r="AE91" i="3" s="1"/>
  <c r="AF91" i="3" s="1"/>
  <c r="M26" i="3"/>
  <c r="Q26" i="3" s="1"/>
  <c r="M89" i="3"/>
  <c r="Q89" i="3" s="1"/>
  <c r="M72" i="3"/>
  <c r="Q72" i="3" s="1"/>
  <c r="K60" i="3"/>
  <c r="R60" i="3" s="1"/>
  <c r="K31" i="3"/>
  <c r="R31" i="3" s="1"/>
  <c r="J78" i="3"/>
  <c r="M71" i="3"/>
  <c r="Q71" i="3" s="1"/>
  <c r="M15" i="3"/>
  <c r="Q15" i="3" s="1"/>
  <c r="M91" i="3"/>
  <c r="Q91" i="3" s="1"/>
  <c r="AA93" i="3"/>
  <c r="AB93" i="3" s="1"/>
  <c r="AC93" i="3" s="1"/>
  <c r="K79" i="3"/>
  <c r="R79" i="3" s="1"/>
  <c r="AD73" i="3"/>
  <c r="AE73" i="3" s="1"/>
  <c r="AF73" i="3" s="1"/>
  <c r="M61" i="3"/>
  <c r="Q61" i="3" s="1"/>
  <c r="J44" i="3"/>
  <c r="X44" i="3" s="1"/>
  <c r="J45" i="3"/>
  <c r="Z24" i="3"/>
  <c r="AB24" i="3" s="1"/>
  <c r="AC24" i="3" s="1"/>
  <c r="AG24" i="3" s="1"/>
  <c r="K38" i="3"/>
  <c r="R38" i="3" s="1"/>
  <c r="AH69" i="3"/>
  <c r="AI69" i="3" s="1"/>
  <c r="AJ69" i="3" s="1"/>
  <c r="J49" i="3"/>
  <c r="AH93" i="3"/>
  <c r="AI93" i="3" s="1"/>
  <c r="AJ93" i="3" s="1"/>
  <c r="AH73" i="3"/>
  <c r="AI73" i="3" s="1"/>
  <c r="AJ73" i="3" s="1"/>
  <c r="J67" i="3"/>
  <c r="X67" i="3" s="1"/>
  <c r="Y67" i="3" s="1"/>
  <c r="Z59" i="3"/>
  <c r="AA60" i="3" s="1"/>
  <c r="AB60" i="3" s="1"/>
  <c r="AC60" i="3" s="1"/>
  <c r="J48" i="3"/>
  <c r="AH82" i="3"/>
  <c r="M75" i="3"/>
  <c r="Q75" i="3" s="1"/>
  <c r="AD69" i="3"/>
  <c r="AE69" i="3" s="1"/>
  <c r="AF69" i="3" s="1"/>
  <c r="K20" i="3"/>
  <c r="R20" i="3" s="1"/>
  <c r="M69" i="3"/>
  <c r="Q69" i="3" s="1"/>
  <c r="AA16" i="3"/>
  <c r="K33" i="3"/>
  <c r="R33" i="3" s="1"/>
  <c r="M54" i="3"/>
  <c r="Q54" i="3" s="1"/>
  <c r="K87" i="3"/>
  <c r="R87" i="3" s="1"/>
  <c r="J79" i="3"/>
  <c r="K27" i="3"/>
  <c r="R27" i="3" s="1"/>
  <c r="K44" i="3"/>
  <c r="R44" i="3" s="1"/>
  <c r="J76" i="3"/>
  <c r="M92" i="3"/>
  <c r="Q92" i="3" s="1"/>
  <c r="K29" i="3"/>
  <c r="R29" i="3" s="1"/>
  <c r="J94" i="3"/>
  <c r="J80" i="3"/>
  <c r="J31" i="3"/>
  <c r="J28" i="3"/>
  <c r="J97" i="3"/>
  <c r="J64" i="3"/>
  <c r="X64" i="3" s="1"/>
  <c r="J91" i="3"/>
  <c r="AH67" i="3"/>
  <c r="AI67" i="3" s="1"/>
  <c r="AJ67" i="3" s="1"/>
  <c r="AA97" i="3"/>
  <c r="AH18" i="3"/>
  <c r="AI18" i="3" s="1"/>
  <c r="AJ18" i="3" s="1"/>
  <c r="J46" i="3"/>
  <c r="J43" i="3"/>
  <c r="X43" i="3" s="1"/>
  <c r="Y43" i="3" s="1"/>
  <c r="J83" i="3"/>
  <c r="AH62" i="3"/>
  <c r="AI62" i="3" s="1"/>
  <c r="AJ62" i="3" s="1"/>
  <c r="J37" i="3"/>
  <c r="X37" i="3" s="1"/>
  <c r="Y37" i="3" s="1"/>
  <c r="K22" i="3"/>
  <c r="R22" i="3" s="1"/>
  <c r="AH56" i="3"/>
  <c r="AI56" i="3" s="1"/>
  <c r="AJ56" i="3" s="1"/>
  <c r="K98" i="3"/>
  <c r="R98" i="3" s="1"/>
  <c r="AH60" i="3"/>
  <c r="AI60" i="3" s="1"/>
  <c r="AJ60" i="3" s="1"/>
  <c r="J73" i="3"/>
  <c r="J95" i="3"/>
  <c r="M41" i="3"/>
  <c r="Q41" i="3" s="1"/>
  <c r="AD96" i="3"/>
  <c r="AE96" i="3" s="1"/>
  <c r="AF96" i="3" s="1"/>
  <c r="AE93" i="3"/>
  <c r="AF93" i="3" s="1"/>
  <c r="K39" i="3"/>
  <c r="R39" i="3" s="1"/>
  <c r="J58" i="3"/>
  <c r="K34" i="3"/>
  <c r="R34" i="3" s="1"/>
  <c r="K43" i="3"/>
  <c r="R43" i="3" s="1"/>
  <c r="N83" i="3"/>
  <c r="N84" i="3" s="1"/>
  <c r="N85" i="3" s="1"/>
  <c r="N86" i="3" s="1"/>
  <c r="N87" i="3" s="1"/>
  <c r="N88" i="3" s="1"/>
  <c r="N89" i="3" s="1"/>
  <c r="N90" i="3" s="1"/>
  <c r="N91" i="3" s="1"/>
  <c r="N92" i="3" s="1"/>
  <c r="N93" i="3" s="1"/>
  <c r="N94" i="3" s="1"/>
  <c r="N95" i="3" s="1"/>
  <c r="N96" i="3" s="1"/>
  <c r="N97" i="3" s="1"/>
  <c r="N98" i="3" s="1"/>
  <c r="J26" i="3"/>
  <c r="K70" i="3"/>
  <c r="R70" i="3" s="1"/>
  <c r="J40" i="3"/>
  <c r="K14" i="3"/>
  <c r="R14" i="3" s="1"/>
  <c r="K83" i="3"/>
  <c r="R83" i="3" s="1"/>
  <c r="J20" i="3"/>
  <c r="AD62" i="3"/>
  <c r="AE62" i="3" s="1"/>
  <c r="AF62" i="3" s="1"/>
  <c r="AG53" i="3"/>
  <c r="M21" i="3"/>
  <c r="Q21" i="3" s="1"/>
  <c r="K15" i="3"/>
  <c r="R15" i="3" s="1"/>
  <c r="K75" i="3"/>
  <c r="R75" i="3" s="1"/>
  <c r="J61" i="3"/>
  <c r="M96" i="3"/>
  <c r="Q96" i="3" s="1"/>
  <c r="K48" i="3"/>
  <c r="R48" i="3" s="1"/>
  <c r="J30" i="3"/>
  <c r="X30" i="3" s="1"/>
  <c r="Y30" i="3" s="1"/>
  <c r="K50" i="3"/>
  <c r="R50" i="3" s="1"/>
  <c r="J14" i="3"/>
  <c r="X14" i="3" s="1"/>
  <c r="K69" i="3"/>
  <c r="R69" i="3" s="1"/>
  <c r="J96" i="3"/>
  <c r="X96" i="3" s="1"/>
  <c r="Y96" i="3" s="1"/>
  <c r="J50" i="3"/>
  <c r="K32" i="3"/>
  <c r="R32" i="3" s="1"/>
  <c r="K47" i="3"/>
  <c r="R47" i="3" s="1"/>
  <c r="K21" i="3"/>
  <c r="R21" i="3" s="1"/>
  <c r="M14" i="3"/>
  <c r="Q14" i="3" s="1"/>
  <c r="N14" i="3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N38" i="3" s="1"/>
  <c r="N39" i="3" s="1"/>
  <c r="N40" i="3" s="1"/>
  <c r="N41" i="3" s="1"/>
  <c r="N42" i="3" s="1"/>
  <c r="N43" i="3" s="1"/>
  <c r="N44" i="3" s="1"/>
  <c r="N45" i="3" s="1"/>
  <c r="N46" i="3" s="1"/>
  <c r="N47" i="3" s="1"/>
  <c r="N48" i="3" s="1"/>
  <c r="N49" i="3" s="1"/>
  <c r="N50" i="3" s="1"/>
  <c r="N51" i="3" s="1"/>
  <c r="N52" i="3" s="1"/>
  <c r="N53" i="3" s="1"/>
  <c r="N54" i="3" s="1"/>
  <c r="N55" i="3" s="1"/>
  <c r="N56" i="3" s="1"/>
  <c r="N57" i="3" s="1"/>
  <c r="N58" i="3" s="1"/>
  <c r="M42" i="3"/>
  <c r="Q42" i="3" s="1"/>
  <c r="J53" i="3"/>
  <c r="X53" i="3" s="1"/>
  <c r="Y53" i="3" s="1"/>
  <c r="K65" i="3"/>
  <c r="R65" i="3" s="1"/>
  <c r="M37" i="3"/>
  <c r="Q37" i="3" s="1"/>
  <c r="M22" i="3"/>
  <c r="Q22" i="3" s="1"/>
  <c r="J90" i="3"/>
  <c r="X90" i="3" s="1"/>
  <c r="Y90" i="3" s="1"/>
  <c r="K61" i="3"/>
  <c r="R61" i="3" s="1"/>
  <c r="K19" i="3"/>
  <c r="R19" i="3" s="1"/>
  <c r="AA96" i="3"/>
  <c r="AB96" i="3" s="1"/>
  <c r="AC96" i="3" s="1"/>
  <c r="AG96" i="3" s="1"/>
  <c r="J33" i="3"/>
  <c r="X33" i="3" s="1"/>
  <c r="Y33" i="3" s="1"/>
  <c r="K35" i="3"/>
  <c r="R35" i="3" s="1"/>
  <c r="J62" i="3"/>
  <c r="X62" i="3" s="1"/>
  <c r="Y62" i="3" s="1"/>
  <c r="J21" i="3"/>
  <c r="J16" i="3"/>
  <c r="X16" i="3" s="1"/>
  <c r="Y16" i="3" s="1"/>
  <c r="J65" i="3"/>
  <c r="J32" i="3"/>
  <c r="X32" i="3" s="1"/>
  <c r="Y32" i="3" s="1"/>
  <c r="J54" i="3"/>
  <c r="K62" i="3"/>
  <c r="R62" i="3" s="1"/>
  <c r="K72" i="3"/>
  <c r="R72" i="3" s="1"/>
  <c r="J98" i="3"/>
  <c r="K18" i="3"/>
  <c r="R18" i="3" s="1"/>
  <c r="K94" i="3"/>
  <c r="R94" i="3" s="1"/>
  <c r="K90" i="3"/>
  <c r="R90" i="3" s="1"/>
  <c r="K89" i="3"/>
  <c r="R89" i="3" s="1"/>
  <c r="J60" i="3"/>
  <c r="X60" i="3" s="1"/>
  <c r="AD16" i="3"/>
  <c r="AE16" i="3" s="1"/>
  <c r="AF16" i="3" s="1"/>
  <c r="AD43" i="3"/>
  <c r="AE43" i="3" s="1"/>
  <c r="AF43" i="3" s="1"/>
  <c r="K28" i="3"/>
  <c r="R28" i="3" s="1"/>
  <c r="J25" i="3"/>
  <c r="X25" i="3" s="1"/>
  <c r="K55" i="3"/>
  <c r="R55" i="3" s="1"/>
  <c r="J82" i="3"/>
  <c r="J70" i="3"/>
  <c r="J29" i="3"/>
  <c r="X29" i="3" s="1"/>
  <c r="Y29" i="3" s="1"/>
  <c r="J88" i="3"/>
  <c r="J57" i="3"/>
  <c r="J52" i="3"/>
  <c r="X52" i="3" s="1"/>
  <c r="Y52" i="3" s="1"/>
  <c r="M95" i="3"/>
  <c r="Q95" i="3" s="1"/>
  <c r="K16" i="3"/>
  <c r="R16" i="3" s="1"/>
  <c r="K17" i="3"/>
  <c r="R17" i="3" s="1"/>
  <c r="K30" i="3"/>
  <c r="R30" i="3" s="1"/>
  <c r="K49" i="3"/>
  <c r="R49" i="3" s="1"/>
  <c r="K81" i="3"/>
  <c r="R81" i="3" s="1"/>
  <c r="K96" i="3"/>
  <c r="R96" i="3" s="1"/>
  <c r="Z14" i="3"/>
  <c r="AE14" i="3" s="1"/>
  <c r="AF14" i="3" s="1"/>
  <c r="K54" i="3"/>
  <c r="R54" i="3" s="1"/>
  <c r="J17" i="3"/>
  <c r="K56" i="3"/>
  <c r="R56" i="3" s="1"/>
  <c r="K78" i="3"/>
  <c r="R78" i="3" s="1"/>
  <c r="K53" i="3"/>
  <c r="R53" i="3" s="1"/>
  <c r="J51" i="3"/>
  <c r="K88" i="3"/>
  <c r="R88" i="3" s="1"/>
  <c r="M62" i="3"/>
  <c r="Q62" i="3" s="1"/>
  <c r="J72" i="3"/>
  <c r="X72" i="3" s="1"/>
  <c r="Y72" i="3" s="1"/>
  <c r="K45" i="3"/>
  <c r="R45" i="3" s="1"/>
  <c r="AA38" i="3"/>
  <c r="J92" i="3"/>
  <c r="X92" i="3" s="1"/>
  <c r="Y92" i="3" s="1"/>
  <c r="J84" i="3"/>
  <c r="X84" i="3" s="1"/>
  <c r="Y84" i="3" s="1"/>
  <c r="K91" i="3"/>
  <c r="R91" i="3" s="1"/>
  <c r="K86" i="3"/>
  <c r="R86" i="3" s="1"/>
  <c r="AA43" i="3"/>
  <c r="AB43" i="3" s="1"/>
  <c r="AC43" i="3" s="1"/>
  <c r="AG43" i="3" s="1"/>
  <c r="K73" i="3"/>
  <c r="R73" i="3" s="1"/>
  <c r="J69" i="3"/>
  <c r="X69" i="3" s="1"/>
  <c r="J59" i="3"/>
  <c r="K74" i="3"/>
  <c r="R74" i="3" s="1"/>
  <c r="Z19" i="3"/>
  <c r="AD20" i="3" s="1"/>
  <c r="AE20" i="3" s="1"/>
  <c r="AF20" i="3" s="1"/>
  <c r="Z38" i="3"/>
  <c r="AH39" i="3" s="1"/>
  <c r="AI39" i="3" s="1"/>
  <c r="AJ39" i="3" s="1"/>
  <c r="M18" i="3"/>
  <c r="Q18" i="3" s="1"/>
  <c r="K24" i="3"/>
  <c r="R24" i="3" s="1"/>
  <c r="J75" i="3"/>
  <c r="K85" i="3"/>
  <c r="R85" i="3" s="1"/>
  <c r="J85" i="3"/>
  <c r="X85" i="3" s="1"/>
  <c r="Y85" i="3" s="1"/>
  <c r="AD60" i="3"/>
  <c r="AD18" i="3"/>
  <c r="AE18" i="3" s="1"/>
  <c r="AF18" i="3" s="1"/>
  <c r="AG18" i="3" s="1"/>
  <c r="J68" i="3"/>
  <c r="X68" i="3" s="1"/>
  <c r="Y68" i="3" s="1"/>
  <c r="M44" i="3"/>
  <c r="Q44" i="3" s="1"/>
  <c r="P16" i="3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P38" i="3" s="1"/>
  <c r="P39" i="3" s="1"/>
  <c r="P40" i="3" s="1"/>
  <c r="P41" i="3" s="1"/>
  <c r="P42" i="3" s="1"/>
  <c r="P43" i="3" s="1"/>
  <c r="P44" i="3" s="1"/>
  <c r="P45" i="3" s="1"/>
  <c r="P46" i="3" s="1"/>
  <c r="P47" i="3" s="1"/>
  <c r="P48" i="3" s="1"/>
  <c r="P49" i="3" s="1"/>
  <c r="P50" i="3" s="1"/>
  <c r="P51" i="3" s="1"/>
  <c r="P52" i="3" s="1"/>
  <c r="P53" i="3" s="1"/>
  <c r="P54" i="3" s="1"/>
  <c r="P55" i="3" s="1"/>
  <c r="P56" i="3" s="1"/>
  <c r="P57" i="3" s="1"/>
  <c r="P58" i="3" s="1"/>
  <c r="P87" i="3"/>
  <c r="P88" i="3" s="1"/>
  <c r="P89" i="3" s="1"/>
  <c r="P90" i="3" s="1"/>
  <c r="P91" i="3" s="1"/>
  <c r="P92" i="3" s="1"/>
  <c r="P93" i="3" s="1"/>
  <c r="P94" i="3" s="1"/>
  <c r="P95" i="3" s="1"/>
  <c r="P96" i="3" s="1"/>
  <c r="P97" i="3" s="1"/>
  <c r="P98" i="3" s="1"/>
  <c r="Q98" i="3" s="1"/>
  <c r="K25" i="3"/>
  <c r="R25" i="3" s="1"/>
  <c r="K26" i="3"/>
  <c r="R26" i="3" s="1"/>
  <c r="K92" i="3"/>
  <c r="R92" i="3" s="1"/>
  <c r="M90" i="3"/>
  <c r="Q90" i="3" s="1"/>
  <c r="K93" i="3"/>
  <c r="R93" i="3" s="1"/>
  <c r="M59" i="3"/>
  <c r="Q59" i="3" s="1"/>
  <c r="AG32" i="3"/>
  <c r="Z82" i="3"/>
  <c r="X83" i="3" s="1"/>
  <c r="Y83" i="3" s="1"/>
  <c r="AB67" i="3"/>
  <c r="AC67" i="3" s="1"/>
  <c r="AG67" i="3" s="1"/>
  <c r="J74" i="3"/>
  <c r="X74" i="3" s="1"/>
  <c r="AA72" i="3"/>
  <c r="AB72" i="3" s="1"/>
  <c r="AC72" i="3" s="1"/>
  <c r="AD72" i="3"/>
  <c r="AE72" i="3" s="1"/>
  <c r="AF72" i="3" s="1"/>
  <c r="AH72" i="3"/>
  <c r="AI72" i="3" s="1"/>
  <c r="AJ72" i="3" s="1"/>
  <c r="AH23" i="3"/>
  <c r="AI23" i="3" s="1"/>
  <c r="AJ23" i="3" s="1"/>
  <c r="AD23" i="3"/>
  <c r="AE23" i="3" s="1"/>
  <c r="AF23" i="3" s="1"/>
  <c r="AA23" i="3"/>
  <c r="AB23" i="3" s="1"/>
  <c r="AC23" i="3" s="1"/>
  <c r="M58" i="3"/>
  <c r="P59" i="3"/>
  <c r="P60" i="3" s="1"/>
  <c r="P61" i="3" s="1"/>
  <c r="P62" i="3" s="1"/>
  <c r="P63" i="3" s="1"/>
  <c r="P64" i="3" s="1"/>
  <c r="P65" i="3" s="1"/>
  <c r="P66" i="3" s="1"/>
  <c r="P67" i="3" s="1"/>
  <c r="P68" i="3" s="1"/>
  <c r="P69" i="3" s="1"/>
  <c r="P70" i="3" s="1"/>
  <c r="P71" i="3" s="1"/>
  <c r="P72" i="3" s="1"/>
  <c r="P73" i="3" s="1"/>
  <c r="P74" i="3" s="1"/>
  <c r="P75" i="3" s="1"/>
  <c r="P76" i="3" s="1"/>
  <c r="P77" i="3" s="1"/>
  <c r="P78" i="3" s="1"/>
  <c r="P79" i="3" s="1"/>
  <c r="P80" i="3" s="1"/>
  <c r="P81" i="3" s="1"/>
  <c r="P82" i="3" s="1"/>
  <c r="M73" i="3"/>
  <c r="Q73" i="3" s="1"/>
  <c r="AB37" i="3"/>
  <c r="AC37" i="3" s="1"/>
  <c r="AD94" i="3"/>
  <c r="AH94" i="3"/>
  <c r="AI94" i="3" s="1"/>
  <c r="AJ94" i="3" s="1"/>
  <c r="AA94" i="3"/>
  <c r="AB94" i="3" s="1"/>
  <c r="AC94" i="3" s="1"/>
  <c r="AE40" i="3"/>
  <c r="AF40" i="3" s="1"/>
  <c r="AG40" i="3" s="1"/>
  <c r="J89" i="3"/>
  <c r="M27" i="3"/>
  <c r="Q27" i="3" s="1"/>
  <c r="M28" i="3"/>
  <c r="Q28" i="3" s="1"/>
  <c r="Z27" i="3"/>
  <c r="AA28" i="3" s="1"/>
  <c r="AB28" i="3" s="1"/>
  <c r="AC28" i="3" s="1"/>
  <c r="Z80" i="3"/>
  <c r="AD81" i="3" s="1"/>
  <c r="AE81" i="3" s="1"/>
  <c r="AF81" i="3" s="1"/>
  <c r="AH31" i="3"/>
  <c r="AI31" i="3" s="1"/>
  <c r="AJ31" i="3" s="1"/>
  <c r="AA31" i="3"/>
  <c r="AB31" i="3" s="1"/>
  <c r="AC31" i="3" s="1"/>
  <c r="AD31" i="3"/>
  <c r="AE31" i="3" s="1"/>
  <c r="AF31" i="3" s="1"/>
  <c r="AA55" i="3"/>
  <c r="AB55" i="3" s="1"/>
  <c r="AC55" i="3" s="1"/>
  <c r="AH55" i="3"/>
  <c r="AI55" i="3" s="1"/>
  <c r="AJ55" i="3" s="1"/>
  <c r="AD55" i="3"/>
  <c r="AE55" i="3" s="1"/>
  <c r="AF55" i="3" s="1"/>
  <c r="AD30" i="3"/>
  <c r="AE30" i="3" s="1"/>
  <c r="AF30" i="3" s="1"/>
  <c r="AH30" i="3"/>
  <c r="AI30" i="3" s="1"/>
  <c r="AJ30" i="3" s="1"/>
  <c r="AA30" i="3"/>
  <c r="AB30" i="3" s="1"/>
  <c r="AC30" i="3" s="1"/>
  <c r="K57" i="3"/>
  <c r="R57" i="3" s="1"/>
  <c r="J19" i="3"/>
  <c r="X19" i="3" s="1"/>
  <c r="Y19" i="3" s="1"/>
  <c r="J42" i="3"/>
  <c r="K42" i="3"/>
  <c r="R42" i="3" s="1"/>
  <c r="K52" i="3"/>
  <c r="R52" i="3" s="1"/>
  <c r="K58" i="3"/>
  <c r="R58" i="3" s="1"/>
  <c r="M50" i="3"/>
  <c r="Q50" i="3" s="1"/>
  <c r="K37" i="3"/>
  <c r="R37" i="3" s="1"/>
  <c r="J22" i="3"/>
  <c r="X22" i="3" s="1"/>
  <c r="Y22" i="3" s="1"/>
  <c r="AD37" i="3"/>
  <c r="AE37" i="3" s="1"/>
  <c r="AF37" i="3" s="1"/>
  <c r="J77" i="3"/>
  <c r="X77" i="3" s="1"/>
  <c r="Z44" i="3"/>
  <c r="AH45" i="3" s="1"/>
  <c r="AI45" i="3" s="1"/>
  <c r="AJ45" i="3" s="1"/>
  <c r="AH77" i="3"/>
  <c r="AI77" i="3" s="1"/>
  <c r="AJ77" i="3" s="1"/>
  <c r="AA77" i="3"/>
  <c r="AB77" i="3" s="1"/>
  <c r="AC77" i="3" s="1"/>
  <c r="AD77" i="3"/>
  <c r="M74" i="3"/>
  <c r="Q74" i="3" s="1"/>
  <c r="Z74" i="3"/>
  <c r="AG73" i="3"/>
  <c r="Z50" i="3"/>
  <c r="AA74" i="3"/>
  <c r="AH74" i="3"/>
  <c r="AI74" i="3" s="1"/>
  <c r="AJ74" i="3" s="1"/>
  <c r="AD74" i="3"/>
  <c r="AE74" i="3" s="1"/>
  <c r="AF74" i="3" s="1"/>
  <c r="AH37" i="3"/>
  <c r="AI37" i="3" s="1"/>
  <c r="AJ37" i="3" s="1"/>
  <c r="J39" i="3"/>
  <c r="J35" i="3"/>
  <c r="X35" i="3" s="1"/>
  <c r="K46" i="3"/>
  <c r="R46" i="3" s="1"/>
  <c r="J47" i="3"/>
  <c r="X47" i="3" s="1"/>
  <c r="J34" i="3"/>
  <c r="X34" i="3" s="1"/>
  <c r="Y34" i="3" s="1"/>
  <c r="K40" i="3"/>
  <c r="R40" i="3" s="1"/>
  <c r="K51" i="3"/>
  <c r="R51" i="3" s="1"/>
  <c r="J36" i="3"/>
  <c r="J38" i="3"/>
  <c r="J18" i="3"/>
  <c r="X18" i="3" s="1"/>
  <c r="Y18" i="3" s="1"/>
  <c r="AB54" i="3"/>
  <c r="AC54" i="3" s="1"/>
  <c r="AG54" i="3" s="1"/>
  <c r="K71" i="3"/>
  <c r="R71" i="3" s="1"/>
  <c r="AH87" i="3"/>
  <c r="AI87" i="3" s="1"/>
  <c r="AJ87" i="3" s="1"/>
  <c r="AA87" i="3"/>
  <c r="AB87" i="3" s="1"/>
  <c r="AC87" i="3" s="1"/>
  <c r="M67" i="3"/>
  <c r="Q67" i="3" s="1"/>
  <c r="M35" i="3"/>
  <c r="Q35" i="3" s="1"/>
  <c r="Z35" i="3"/>
  <c r="AI13" i="3"/>
  <c r="AJ13" i="3" s="1"/>
  <c r="K41" i="3"/>
  <c r="R41" i="3" s="1"/>
  <c r="K36" i="3"/>
  <c r="R36" i="3" s="1"/>
  <c r="J55" i="3"/>
  <c r="X55" i="3" s="1"/>
  <c r="Y55" i="3" s="1"/>
  <c r="J15" i="3"/>
  <c r="J63" i="3"/>
  <c r="X63" i="3" s="1"/>
  <c r="Y63" i="3" s="1"/>
  <c r="M57" i="3"/>
  <c r="Q57" i="3" s="1"/>
  <c r="AI86" i="3"/>
  <c r="AJ86" i="3" s="1"/>
  <c r="AA68" i="3"/>
  <c r="AB68" i="3" s="1"/>
  <c r="AC68" i="3" s="1"/>
  <c r="AD68" i="3"/>
  <c r="AE68" i="3" s="1"/>
  <c r="AF68" i="3" s="1"/>
  <c r="AH68" i="3"/>
  <c r="AI68" i="3" s="1"/>
  <c r="AJ68" i="3" s="1"/>
  <c r="M81" i="3"/>
  <c r="Q81" i="3" s="1"/>
  <c r="M82" i="3"/>
  <c r="J24" i="3"/>
  <c r="X24" i="3" s="1"/>
  <c r="Y24" i="3" s="1"/>
  <c r="J23" i="3"/>
  <c r="X23" i="3" s="1"/>
  <c r="Y23" i="3" s="1"/>
  <c r="J87" i="3"/>
  <c r="X87" i="3" s="1"/>
  <c r="M40" i="3"/>
  <c r="Q40" i="3" s="1"/>
  <c r="M36" i="3"/>
  <c r="Q36" i="3" s="1"/>
  <c r="AE22" i="3"/>
  <c r="AF22" i="3" s="1"/>
  <c r="AG22" i="3" s="1"/>
  <c r="AG84" i="3"/>
  <c r="AG82" i="3"/>
  <c r="AH34" i="3"/>
  <c r="AI34" i="3" s="1"/>
  <c r="AJ34" i="3" s="1"/>
  <c r="AA34" i="3"/>
  <c r="AB34" i="3" s="1"/>
  <c r="AC34" i="3" s="1"/>
  <c r="AD34" i="3"/>
  <c r="AE34" i="3" s="1"/>
  <c r="AF34" i="3" s="1"/>
  <c r="AG93" i="3"/>
  <c r="J93" i="3"/>
  <c r="X93" i="3" s="1"/>
  <c r="Y93" i="3" s="1"/>
  <c r="K80" i="3"/>
  <c r="R80" i="3" s="1"/>
  <c r="K68" i="3"/>
  <c r="R68" i="3" s="1"/>
  <c r="J71" i="3"/>
  <c r="AA14" i="3"/>
  <c r="AB14" i="3" s="1"/>
  <c r="AC14" i="3" s="1"/>
  <c r="Z41" i="3"/>
  <c r="Z69" i="3"/>
  <c r="Z57" i="3"/>
  <c r="X58" i="3" s="1"/>
  <c r="Y58" i="3" s="1"/>
  <c r="Z88" i="3"/>
  <c r="M88" i="3"/>
  <c r="Q88" i="3" s="1"/>
  <c r="M33" i="3"/>
  <c r="Q33" i="3" s="1"/>
  <c r="M32" i="3"/>
  <c r="Q32" i="3" s="1"/>
  <c r="Z47" i="3"/>
  <c r="AB47" i="3" s="1"/>
  <c r="AC47" i="3" s="1"/>
  <c r="AG47" i="3" s="1"/>
  <c r="M47" i="3"/>
  <c r="Q47" i="3" s="1"/>
  <c r="M46" i="3"/>
  <c r="Q46" i="3" s="1"/>
  <c r="M48" i="3"/>
  <c r="Q48" i="3" s="1"/>
  <c r="Z48" i="3"/>
  <c r="X49" i="3" s="1"/>
  <c r="Y49" i="3" s="1"/>
  <c r="AA76" i="3"/>
  <c r="AB76" i="3" s="1"/>
  <c r="AC76" i="3" s="1"/>
  <c r="AH76" i="3"/>
  <c r="AI76" i="3" s="1"/>
  <c r="AJ76" i="3" s="1"/>
  <c r="AD76" i="3"/>
  <c r="AE76" i="3" s="1"/>
  <c r="AF76" i="3" s="1"/>
  <c r="AE33" i="3"/>
  <c r="AF33" i="3" s="1"/>
  <c r="AG33" i="3" s="1"/>
  <c r="M87" i="3"/>
  <c r="Q87" i="3" s="1"/>
  <c r="Z87" i="3"/>
  <c r="AE87" i="3" s="1"/>
  <c r="AF87" i="3" s="1"/>
  <c r="AA29" i="3"/>
  <c r="AB29" i="3" s="1"/>
  <c r="AC29" i="3" s="1"/>
  <c r="AD29" i="3"/>
  <c r="AE29" i="3" s="1"/>
  <c r="AF29" i="3" s="1"/>
  <c r="AH29" i="3"/>
  <c r="AI29" i="3" s="1"/>
  <c r="AJ29" i="3" s="1"/>
  <c r="Z79" i="3"/>
  <c r="X80" i="3" s="1"/>
  <c r="M79" i="3"/>
  <c r="Q79" i="3" s="1"/>
  <c r="AA41" i="3"/>
  <c r="AH41" i="3"/>
  <c r="AI41" i="3" s="1"/>
  <c r="AJ41" i="3" s="1"/>
  <c r="AD41" i="3"/>
  <c r="AE41" i="3" s="1"/>
  <c r="AF41" i="3" s="1"/>
  <c r="AH64" i="3"/>
  <c r="AI64" i="3" s="1"/>
  <c r="AJ64" i="3" s="1"/>
  <c r="AD64" i="3"/>
  <c r="AE64" i="3" s="1"/>
  <c r="AF64" i="3" s="1"/>
  <c r="AA64" i="3"/>
  <c r="Z65" i="3"/>
  <c r="Z25" i="3"/>
  <c r="M25" i="3"/>
  <c r="Q25" i="3" s="1"/>
  <c r="Z77" i="3"/>
  <c r="M76" i="3"/>
  <c r="Q76" i="3" s="1"/>
  <c r="K77" i="3"/>
  <c r="R77" i="3" s="1"/>
  <c r="AH90" i="3"/>
  <c r="AI90" i="3" s="1"/>
  <c r="AJ90" i="3" s="1"/>
  <c r="AD90" i="3"/>
  <c r="AE90" i="3" s="1"/>
  <c r="AF90" i="3" s="1"/>
  <c r="AA90" i="3"/>
  <c r="AB90" i="3" s="1"/>
  <c r="AC90" i="3" s="1"/>
  <c r="AD92" i="3"/>
  <c r="AE92" i="3" s="1"/>
  <c r="AF92" i="3" s="1"/>
  <c r="AH92" i="3"/>
  <c r="AI92" i="3" s="1"/>
  <c r="AJ92" i="3" s="1"/>
  <c r="AA92" i="3"/>
  <c r="AB92" i="3" s="1"/>
  <c r="AC92" i="3" s="1"/>
  <c r="M86" i="3"/>
  <c r="Q86" i="3" s="1"/>
  <c r="AH14" i="3"/>
  <c r="AI14" i="3" s="1"/>
  <c r="AJ14" i="3" s="1"/>
  <c r="AG46" i="3"/>
  <c r="K95" i="3"/>
  <c r="R95" i="3" s="1"/>
  <c r="K63" i="3"/>
  <c r="R63" i="3" s="1"/>
  <c r="Z58" i="3"/>
  <c r="M63" i="3"/>
  <c r="Q63" i="3" s="1"/>
  <c r="AG86" i="3"/>
  <c r="AE63" i="3"/>
  <c r="AF63" i="3" s="1"/>
  <c r="AG63" i="3" s="1"/>
  <c r="M64" i="3"/>
  <c r="Q64" i="3" s="1"/>
  <c r="K64" i="3"/>
  <c r="R64" i="3" s="1"/>
  <c r="Z64" i="3"/>
  <c r="Z16" i="3"/>
  <c r="M93" i="3"/>
  <c r="Q93" i="3" s="1"/>
  <c r="M94" i="3"/>
  <c r="Q94" i="3" s="1"/>
  <c r="Z94" i="3"/>
  <c r="Z97" i="3"/>
  <c r="AB97" i="3" s="1"/>
  <c r="AC97" i="3" s="1"/>
  <c r="AG97" i="3" s="1"/>
  <c r="K97" i="3"/>
  <c r="R97" i="3" s="1"/>
  <c r="AG91" i="3"/>
  <c r="M60" i="3"/>
  <c r="Q60" i="3" s="1"/>
  <c r="K82" i="3"/>
  <c r="R82" i="3" s="1"/>
  <c r="Z60" i="3"/>
  <c r="X61" i="3" s="1"/>
  <c r="Y61" i="3" s="1"/>
  <c r="J66" i="3"/>
  <c r="K67" i="3"/>
  <c r="R67" i="3" s="1"/>
  <c r="K66" i="3"/>
  <c r="R66" i="3" s="1"/>
  <c r="K76" i="3"/>
  <c r="R76" i="3" s="1"/>
  <c r="M56" i="3"/>
  <c r="Q56" i="3" s="1"/>
  <c r="Z56" i="3"/>
  <c r="X57" i="3" s="1"/>
  <c r="AA15" i="3"/>
  <c r="AB15" i="3" s="1"/>
  <c r="AC15" i="3" s="1"/>
  <c r="AD15" i="3"/>
  <c r="AE15" i="3" s="1"/>
  <c r="AF15" i="3" s="1"/>
  <c r="AH15" i="3"/>
  <c r="AI15" i="3" s="1"/>
  <c r="AJ15" i="3" s="1"/>
  <c r="AD71" i="3"/>
  <c r="AE71" i="3" s="1"/>
  <c r="AF71" i="3" s="1"/>
  <c r="AH71" i="3"/>
  <c r="AI71" i="3" s="1"/>
  <c r="AJ71" i="3" s="1"/>
  <c r="AA71" i="3"/>
  <c r="AB71" i="3" s="1"/>
  <c r="AC71" i="3" s="1"/>
  <c r="X79" i="3"/>
  <c r="AG85" i="3"/>
  <c r="AA52" i="3"/>
  <c r="AB52" i="3" s="1"/>
  <c r="AC52" i="3" s="1"/>
  <c r="AH52" i="3"/>
  <c r="AI52" i="3" s="1"/>
  <c r="AJ52" i="3" s="1"/>
  <c r="AD52" i="3"/>
  <c r="AE52" i="3" s="1"/>
  <c r="AF52" i="3" s="1"/>
  <c r="AA21" i="3"/>
  <c r="AB21" i="3" s="1"/>
  <c r="AC21" i="3" s="1"/>
  <c r="AH21" i="3"/>
  <c r="AI21" i="3" s="1"/>
  <c r="AJ21" i="3" s="1"/>
  <c r="AD21" i="3"/>
  <c r="AE21" i="3" s="1"/>
  <c r="AF21" i="3" s="1"/>
  <c r="X21" i="3"/>
  <c r="Y21" i="3" s="1"/>
  <c r="X50" i="3"/>
  <c r="X54" i="3"/>
  <c r="Y54" i="3" s="1"/>
  <c r="X46" i="3"/>
  <c r="Y46" i="3" s="1"/>
  <c r="X27" i="3"/>
  <c r="AG62" i="3"/>
  <c r="X73" i="3"/>
  <c r="Y73" i="3" s="1"/>
  <c r="X31" i="3"/>
  <c r="Y31" i="3" s="1"/>
  <c r="X86" i="3"/>
  <c r="Y86" i="3" s="1"/>
  <c r="X41" i="3"/>
  <c r="X76" i="3"/>
  <c r="Y76" i="3" s="1"/>
  <c r="X82" i="3"/>
  <c r="Y82" i="3" s="1"/>
  <c r="X40" i="3"/>
  <c r="Y40" i="3" s="1"/>
  <c r="X97" i="3"/>
  <c r="X94" i="3"/>
  <c r="Y94" i="3" s="1"/>
  <c r="AH25" i="3"/>
  <c r="AI25" i="3" s="1"/>
  <c r="AJ25" i="3" s="1"/>
  <c r="AD25" i="3"/>
  <c r="AA25" i="3"/>
  <c r="AB25" i="3" s="1"/>
  <c r="AC25" i="3" s="1"/>
  <c r="X56" i="3"/>
  <c r="AH27" i="3"/>
  <c r="AI27" i="3" s="1"/>
  <c r="AJ27" i="3" s="1"/>
  <c r="AD27" i="3"/>
  <c r="AA27" i="3"/>
  <c r="AB27" i="3" s="1"/>
  <c r="AC27" i="3" s="1"/>
  <c r="X91" i="3"/>
  <c r="Y91" i="3" s="1"/>
  <c r="B10" i="3"/>
  <c r="M13" i="3"/>
  <c r="Q13" i="3" s="1"/>
  <c r="B6" i="3"/>
  <c r="B5" i="3"/>
  <c r="B5" i="4"/>
  <c r="B6" i="4"/>
  <c r="AE27" i="3" l="1"/>
  <c r="AF27" i="3" s="1"/>
  <c r="AH28" i="3"/>
  <c r="AI28" i="3" s="1"/>
  <c r="AJ28" i="3" s="1"/>
  <c r="AA20" i="3"/>
  <c r="AB20" i="3" s="1"/>
  <c r="AC20" i="3" s="1"/>
  <c r="AG20" i="3" s="1"/>
  <c r="AE19" i="3"/>
  <c r="AF19" i="3" s="1"/>
  <c r="AG19" i="3" s="1"/>
  <c r="X66" i="3"/>
  <c r="Y66" i="3" s="1"/>
  <c r="AE94" i="3"/>
  <c r="AF94" i="3" s="1"/>
  <c r="AG94" i="3" s="1"/>
  <c r="Y79" i="3"/>
  <c r="X81" i="3"/>
  <c r="Y81" i="3" s="1"/>
  <c r="Q82" i="3"/>
  <c r="S68" i="3" s="1"/>
  <c r="Y14" i="3"/>
  <c r="X42" i="3"/>
  <c r="Y42" i="3" s="1"/>
  <c r="AG55" i="3"/>
  <c r="X89" i="3"/>
  <c r="Y89" i="3" s="1"/>
  <c r="X26" i="3"/>
  <c r="Y26" i="3" s="1"/>
  <c r="Y27" i="3"/>
  <c r="X39" i="3"/>
  <c r="Y39" i="3" s="1"/>
  <c r="AG30" i="3"/>
  <c r="X28" i="3"/>
  <c r="Y28" i="3" s="1"/>
  <c r="X15" i="3"/>
  <c r="Y15" i="3" s="1"/>
  <c r="AG72" i="3"/>
  <c r="X20" i="3"/>
  <c r="Y20" i="3" s="1"/>
  <c r="AG23" i="3"/>
  <c r="Q58" i="3"/>
  <c r="S30" i="3" s="1"/>
  <c r="AH20" i="3"/>
  <c r="AI20" i="3" s="1"/>
  <c r="AJ20" i="3" s="1"/>
  <c r="X59" i="3"/>
  <c r="Y59" i="3" s="1"/>
  <c r="AB41" i="3"/>
  <c r="AC41" i="3" s="1"/>
  <c r="AG41" i="3" s="1"/>
  <c r="X36" i="3"/>
  <c r="Y36" i="3" s="1"/>
  <c r="X65" i="3"/>
  <c r="Y65" i="3" s="1"/>
  <c r="Y80" i="3"/>
  <c r="X70" i="3"/>
  <c r="Y70" i="3" s="1"/>
  <c r="AB38" i="3"/>
  <c r="AC38" i="3" s="1"/>
  <c r="AG38" i="3" s="1"/>
  <c r="AG37" i="3"/>
  <c r="Y41" i="3"/>
  <c r="AD28" i="3"/>
  <c r="AE28" i="3" s="1"/>
  <c r="AF28" i="3" s="1"/>
  <c r="AG28" i="3" s="1"/>
  <c r="AA39" i="3"/>
  <c r="AB39" i="3" s="1"/>
  <c r="AC39" i="3" s="1"/>
  <c r="AD39" i="3"/>
  <c r="AE39" i="3" s="1"/>
  <c r="AF39" i="3" s="1"/>
  <c r="X75" i="3"/>
  <c r="Y75" i="3" s="1"/>
  <c r="X88" i="3"/>
  <c r="Y88" i="3" s="1"/>
  <c r="Y87" i="3"/>
  <c r="AI82" i="3"/>
  <c r="AJ82" i="3" s="1"/>
  <c r="Y64" i="3"/>
  <c r="AG87" i="3"/>
  <c r="AA83" i="3"/>
  <c r="AB83" i="3" s="1"/>
  <c r="AC83" i="3" s="1"/>
  <c r="AH83" i="3"/>
  <c r="AI83" i="3" s="1"/>
  <c r="AJ83" i="3" s="1"/>
  <c r="AD83" i="3"/>
  <c r="AE83" i="3" s="1"/>
  <c r="AF83" i="3" s="1"/>
  <c r="Y57" i="3"/>
  <c r="AA81" i="3"/>
  <c r="AB81" i="3" s="1"/>
  <c r="AC81" i="3" s="1"/>
  <c r="AG81" i="3" s="1"/>
  <c r="AH81" i="3"/>
  <c r="AI81" i="3" s="1"/>
  <c r="AJ81" i="3" s="1"/>
  <c r="AG90" i="3"/>
  <c r="Y35" i="3"/>
  <c r="AE25" i="3"/>
  <c r="AF25" i="3" s="1"/>
  <c r="AG25" i="3" s="1"/>
  <c r="Y74" i="3"/>
  <c r="AG29" i="3"/>
  <c r="AG31" i="3"/>
  <c r="S61" i="3"/>
  <c r="Y44" i="3"/>
  <c r="Y25" i="3"/>
  <c r="S84" i="3"/>
  <c r="AA45" i="3"/>
  <c r="AB45" i="3" s="1"/>
  <c r="AC45" i="3" s="1"/>
  <c r="AH51" i="3"/>
  <c r="AI51" i="3" s="1"/>
  <c r="AJ51" i="3" s="1"/>
  <c r="AA51" i="3"/>
  <c r="AB51" i="3" s="1"/>
  <c r="AC51" i="3" s="1"/>
  <c r="AD51" i="3"/>
  <c r="AE51" i="3" s="1"/>
  <c r="AF51" i="3" s="1"/>
  <c r="S90" i="3"/>
  <c r="S86" i="3"/>
  <c r="AD45" i="3"/>
  <c r="AE45" i="3" s="1"/>
  <c r="AF45" i="3" s="1"/>
  <c r="AE50" i="3"/>
  <c r="AF50" i="3" s="1"/>
  <c r="AG50" i="3" s="1"/>
  <c r="S91" i="3"/>
  <c r="S95" i="3"/>
  <c r="S63" i="3"/>
  <c r="S72" i="3"/>
  <c r="AD75" i="3"/>
  <c r="AE75" i="3" s="1"/>
  <c r="AF75" i="3" s="1"/>
  <c r="AA75" i="3"/>
  <c r="AB75" i="3" s="1"/>
  <c r="AC75" i="3" s="1"/>
  <c r="AH75" i="3"/>
  <c r="AI75" i="3" s="1"/>
  <c r="AJ75" i="3" s="1"/>
  <c r="AE44" i="3"/>
  <c r="AF44" i="3" s="1"/>
  <c r="AG44" i="3" s="1"/>
  <c r="X48" i="3"/>
  <c r="Y48" i="3" s="1"/>
  <c r="X38" i="3"/>
  <c r="Y38" i="3" s="1"/>
  <c r="S71" i="3"/>
  <c r="Y56" i="3"/>
  <c r="Y97" i="3"/>
  <c r="X95" i="3"/>
  <c r="Y95" i="3" s="1"/>
  <c r="Y77" i="3"/>
  <c r="AG68" i="3"/>
  <c r="X45" i="3"/>
  <c r="Y45" i="3" s="1"/>
  <c r="AB69" i="3"/>
  <c r="AC69" i="3" s="1"/>
  <c r="AG69" i="3" s="1"/>
  <c r="S83" i="3"/>
  <c r="S96" i="3"/>
  <c r="Y69" i="3"/>
  <c r="S33" i="3"/>
  <c r="S87" i="3"/>
  <c r="S79" i="3"/>
  <c r="X51" i="3"/>
  <c r="Y51" i="3" s="1"/>
  <c r="Y47" i="3"/>
  <c r="Y50" i="3"/>
  <c r="AA36" i="3"/>
  <c r="AB36" i="3" s="1"/>
  <c r="AC36" i="3" s="1"/>
  <c r="AH36" i="3"/>
  <c r="AI36" i="3" s="1"/>
  <c r="AJ36" i="3" s="1"/>
  <c r="AD36" i="3"/>
  <c r="AE36" i="3" s="1"/>
  <c r="AF36" i="3" s="1"/>
  <c r="AE35" i="3"/>
  <c r="AF35" i="3" s="1"/>
  <c r="AG35" i="3" s="1"/>
  <c r="AB74" i="3"/>
  <c r="AC74" i="3" s="1"/>
  <c r="AG74" i="3" s="1"/>
  <c r="S21" i="3"/>
  <c r="AG92" i="3"/>
  <c r="AG76" i="3"/>
  <c r="X71" i="3"/>
  <c r="Y71" i="3" s="1"/>
  <c r="S89" i="3"/>
  <c r="AG14" i="3"/>
  <c r="S66" i="3"/>
  <c r="AH17" i="3"/>
  <c r="AI17" i="3" s="1"/>
  <c r="AJ17" i="3" s="1"/>
  <c r="AD17" i="3"/>
  <c r="AE17" i="3" s="1"/>
  <c r="AF17" i="3" s="1"/>
  <c r="AA17" i="3"/>
  <c r="AB17" i="3" s="1"/>
  <c r="AC17" i="3" s="1"/>
  <c r="AA59" i="3"/>
  <c r="AB59" i="3" s="1"/>
  <c r="AC59" i="3" s="1"/>
  <c r="AH59" i="3"/>
  <c r="AI59" i="3" s="1"/>
  <c r="AJ59" i="3" s="1"/>
  <c r="AD59" i="3"/>
  <c r="AE59" i="3" s="1"/>
  <c r="AF59" i="3" s="1"/>
  <c r="AA78" i="3"/>
  <c r="AB78" i="3" s="1"/>
  <c r="AC78" i="3" s="1"/>
  <c r="AH78" i="3"/>
  <c r="AI78" i="3" s="1"/>
  <c r="AJ78" i="3" s="1"/>
  <c r="AD78" i="3"/>
  <c r="AE78" i="3" s="1"/>
  <c r="AF78" i="3" s="1"/>
  <c r="AE77" i="3"/>
  <c r="AF77" i="3" s="1"/>
  <c r="AG77" i="3" s="1"/>
  <c r="AA49" i="3"/>
  <c r="AB49" i="3" s="1"/>
  <c r="AC49" i="3" s="1"/>
  <c r="AH49" i="3"/>
  <c r="AI49" i="3" s="1"/>
  <c r="AJ49" i="3" s="1"/>
  <c r="AD49" i="3"/>
  <c r="AE49" i="3" s="1"/>
  <c r="AF49" i="3" s="1"/>
  <c r="S40" i="3"/>
  <c r="S98" i="3"/>
  <c r="S75" i="3"/>
  <c r="S80" i="3"/>
  <c r="S93" i="3"/>
  <c r="S62" i="3"/>
  <c r="S92" i="3"/>
  <c r="AH98" i="3"/>
  <c r="AI98" i="3" s="1"/>
  <c r="AJ98" i="3" s="1"/>
  <c r="AA98" i="3"/>
  <c r="AB98" i="3" s="1"/>
  <c r="AC98" i="3" s="1"/>
  <c r="AD98" i="3"/>
  <c r="AE98" i="3" s="1"/>
  <c r="AF98" i="3" s="1"/>
  <c r="AH88" i="3"/>
  <c r="AI88" i="3" s="1"/>
  <c r="AJ88" i="3" s="1"/>
  <c r="AD88" i="3"/>
  <c r="AE88" i="3" s="1"/>
  <c r="AF88" i="3" s="1"/>
  <c r="AA88" i="3"/>
  <c r="AB88" i="3" s="1"/>
  <c r="AC88" i="3" s="1"/>
  <c r="AD89" i="3"/>
  <c r="AE89" i="3" s="1"/>
  <c r="AF89" i="3" s="1"/>
  <c r="AA89" i="3"/>
  <c r="AB89" i="3" s="1"/>
  <c r="AC89" i="3" s="1"/>
  <c r="AH89" i="3"/>
  <c r="AI89" i="3" s="1"/>
  <c r="AJ89" i="3" s="1"/>
  <c r="X78" i="3"/>
  <c r="Y78" i="3" s="1"/>
  <c r="AA65" i="3"/>
  <c r="AB65" i="3" s="1"/>
  <c r="AC65" i="3" s="1"/>
  <c r="AH65" i="3"/>
  <c r="AI65" i="3" s="1"/>
  <c r="AJ65" i="3" s="1"/>
  <c r="AD65" i="3"/>
  <c r="AE65" i="3" s="1"/>
  <c r="AF65" i="3" s="1"/>
  <c r="AH26" i="3"/>
  <c r="AI26" i="3" s="1"/>
  <c r="AJ26" i="3" s="1"/>
  <c r="AD26" i="3"/>
  <c r="AE26" i="3" s="1"/>
  <c r="AF26" i="3" s="1"/>
  <c r="AA26" i="3"/>
  <c r="AB26" i="3" s="1"/>
  <c r="AC26" i="3" s="1"/>
  <c r="AH48" i="3"/>
  <c r="AI48" i="3" s="1"/>
  <c r="AJ48" i="3" s="1"/>
  <c r="AA48" i="3"/>
  <c r="AB48" i="3" s="1"/>
  <c r="AC48" i="3" s="1"/>
  <c r="AD48" i="3"/>
  <c r="AE48" i="3" s="1"/>
  <c r="AF48" i="3" s="1"/>
  <c r="AD58" i="3"/>
  <c r="AE58" i="3" s="1"/>
  <c r="AF58" i="3" s="1"/>
  <c r="AA58" i="3"/>
  <c r="AB58" i="3" s="1"/>
  <c r="AC58" i="3" s="1"/>
  <c r="AH58" i="3"/>
  <c r="AI58" i="3" s="1"/>
  <c r="AJ58" i="3" s="1"/>
  <c r="S65" i="3"/>
  <c r="S69" i="3"/>
  <c r="S81" i="3"/>
  <c r="S37" i="3"/>
  <c r="AH57" i="3"/>
  <c r="AI57" i="3" s="1"/>
  <c r="AJ57" i="3" s="1"/>
  <c r="AA57" i="3"/>
  <c r="AB57" i="3" s="1"/>
  <c r="AC57" i="3" s="1"/>
  <c r="AD57" i="3"/>
  <c r="AE57" i="3" s="1"/>
  <c r="AF57" i="3" s="1"/>
  <c r="X98" i="3"/>
  <c r="Y98" i="3" s="1"/>
  <c r="AA66" i="3"/>
  <c r="AB66" i="3" s="1"/>
  <c r="AC66" i="3" s="1"/>
  <c r="AD66" i="3"/>
  <c r="AE66" i="3" s="1"/>
  <c r="AF66" i="3" s="1"/>
  <c r="AH66" i="3"/>
  <c r="AI66" i="3" s="1"/>
  <c r="AJ66" i="3" s="1"/>
  <c r="AH80" i="3"/>
  <c r="AI80" i="3" s="1"/>
  <c r="AJ80" i="3" s="1"/>
  <c r="AA80" i="3"/>
  <c r="AB80" i="3" s="1"/>
  <c r="AC80" i="3" s="1"/>
  <c r="AD80" i="3"/>
  <c r="AE80" i="3" s="1"/>
  <c r="AF80" i="3" s="1"/>
  <c r="AH70" i="3"/>
  <c r="AI70" i="3" s="1"/>
  <c r="AJ70" i="3" s="1"/>
  <c r="AA70" i="3"/>
  <c r="AB70" i="3" s="1"/>
  <c r="AC70" i="3" s="1"/>
  <c r="AD70" i="3"/>
  <c r="AE70" i="3" s="1"/>
  <c r="AF70" i="3" s="1"/>
  <c r="S60" i="3"/>
  <c r="S45" i="3"/>
  <c r="Y60" i="3"/>
  <c r="X17" i="3"/>
  <c r="Y17" i="3" s="1"/>
  <c r="S64" i="3"/>
  <c r="S22" i="3"/>
  <c r="AD95" i="3"/>
  <c r="AE95" i="3" s="1"/>
  <c r="AF95" i="3" s="1"/>
  <c r="AA95" i="3"/>
  <c r="AB95" i="3" s="1"/>
  <c r="AC95" i="3" s="1"/>
  <c r="AH95" i="3"/>
  <c r="AI95" i="3" s="1"/>
  <c r="AJ95" i="3" s="1"/>
  <c r="AB64" i="3"/>
  <c r="AC64" i="3" s="1"/>
  <c r="AG64" i="3" s="1"/>
  <c r="AB16" i="3"/>
  <c r="AC16" i="3" s="1"/>
  <c r="AG16" i="3" s="1"/>
  <c r="AB56" i="3"/>
  <c r="AC56" i="3" s="1"/>
  <c r="AG56" i="3" s="1"/>
  <c r="AH42" i="3"/>
  <c r="AI42" i="3" s="1"/>
  <c r="AJ42" i="3" s="1"/>
  <c r="AD42" i="3"/>
  <c r="AE42" i="3" s="1"/>
  <c r="AF42" i="3" s="1"/>
  <c r="AA42" i="3"/>
  <c r="AB42" i="3" s="1"/>
  <c r="AC42" i="3" s="1"/>
  <c r="AG15" i="3"/>
  <c r="AH61" i="3"/>
  <c r="AI61" i="3" s="1"/>
  <c r="AJ61" i="3" s="1"/>
  <c r="AA61" i="3"/>
  <c r="AB61" i="3" s="1"/>
  <c r="AC61" i="3" s="1"/>
  <c r="AD61" i="3"/>
  <c r="AE61" i="3" s="1"/>
  <c r="AF61" i="3" s="1"/>
  <c r="S88" i="3"/>
  <c r="S85" i="3"/>
  <c r="S52" i="3"/>
  <c r="S97" i="3"/>
  <c r="S28" i="3"/>
  <c r="S59" i="3"/>
  <c r="S17" i="3"/>
  <c r="S50" i="3"/>
  <c r="S74" i="3"/>
  <c r="AG71" i="3"/>
  <c r="S19" i="3"/>
  <c r="S78" i="3"/>
  <c r="AG39" i="3"/>
  <c r="AE79" i="3"/>
  <c r="AF79" i="3" s="1"/>
  <c r="AG79" i="3" s="1"/>
  <c r="AG34" i="3"/>
  <c r="S94" i="3"/>
  <c r="S57" i="3"/>
  <c r="S82" i="3"/>
  <c r="S76" i="3"/>
  <c r="S77" i="3"/>
  <c r="S67" i="3"/>
  <c r="S70" i="3"/>
  <c r="AE60" i="3"/>
  <c r="AF60" i="3" s="1"/>
  <c r="AG60" i="3" s="1"/>
  <c r="AG21" i="3"/>
  <c r="AG52" i="3"/>
  <c r="AG27" i="3"/>
  <c r="J13" i="3"/>
  <c r="X13" i="3" s="1"/>
  <c r="Y13" i="3" s="1"/>
  <c r="B7" i="4"/>
  <c r="B7" i="3"/>
  <c r="AG45" i="3" l="1"/>
  <c r="S42" i="3"/>
  <c r="S56" i="3"/>
  <c r="S20" i="3"/>
  <c r="S46" i="3"/>
  <c r="S58" i="3"/>
  <c r="S29" i="3"/>
  <c r="S49" i="3"/>
  <c r="S36" i="3"/>
  <c r="S54" i="3"/>
  <c r="S34" i="3"/>
  <c r="S15" i="3"/>
  <c r="S16" i="3"/>
  <c r="S35" i="3"/>
  <c r="S26" i="3"/>
  <c r="S27" i="3"/>
  <c r="S51" i="3"/>
  <c r="S39" i="3"/>
  <c r="S32" i="3"/>
  <c r="S24" i="3"/>
  <c r="S73" i="3"/>
  <c r="S23" i="3"/>
  <c r="S43" i="3"/>
  <c r="S31" i="3"/>
  <c r="S14" i="3"/>
  <c r="S18" i="3"/>
  <c r="S25" i="3"/>
  <c r="S41" i="3"/>
  <c r="S55" i="3"/>
  <c r="S48" i="3"/>
  <c r="S53" i="3"/>
  <c r="S47" i="3"/>
  <c r="S44" i="3"/>
  <c r="S38" i="3"/>
  <c r="AG78" i="3"/>
  <c r="AG83" i="3"/>
  <c r="AG48" i="3"/>
  <c r="AG75" i="3"/>
  <c r="AG66" i="3"/>
  <c r="AG65" i="3"/>
  <c r="AG51" i="3"/>
  <c r="AG49" i="3"/>
  <c r="AG36" i="3"/>
  <c r="AG59" i="3"/>
  <c r="AG58" i="3"/>
  <c r="AG88" i="3"/>
  <c r="AG17" i="3"/>
  <c r="AG61" i="3"/>
  <c r="AG70" i="3"/>
  <c r="AG98" i="3"/>
  <c r="AG95" i="3"/>
  <c r="AG42" i="3"/>
  <c r="AG26" i="3"/>
  <c r="AG89" i="3"/>
  <c r="AG80" i="3"/>
  <c r="AG57" i="3"/>
  <c r="S1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HosLog.9</t>
        </r>
      </text>
    </comment>
  </commentList>
</comments>
</file>

<file path=xl/sharedStrings.xml><?xml version="1.0" encoding="utf-8"?>
<sst xmlns="http://schemas.openxmlformats.org/spreadsheetml/2006/main" count="1004" uniqueCount="449">
  <si>
    <t>FromDate</t>
  </si>
  <si>
    <t>ToDate</t>
  </si>
  <si>
    <t>RunDate</t>
  </si>
  <si>
    <t>CompanyName</t>
  </si>
  <si>
    <t>DistanceUnit</t>
  </si>
  <si>
    <t>km</t>
  </si>
  <si>
    <t>SpeedUnit</t>
  </si>
  <si>
    <t>km/h</t>
  </si>
  <si>
    <t>SendReport</t>
  </si>
  <si>
    <t>LastModifiedUser</t>
  </si>
  <si>
    <t>System</t>
  </si>
  <si>
    <t>ON</t>
  </si>
  <si>
    <t>OFF</t>
  </si>
  <si>
    <t>D</t>
  </si>
  <si>
    <t>Status</t>
  </si>
  <si>
    <t>Longitude</t>
  </si>
  <si>
    <t>Latitude</t>
  </si>
  <si>
    <t>Distance</t>
  </si>
  <si>
    <t>DutyStatusDateTime</t>
  </si>
  <si>
    <t>DutyStatusStatus</t>
  </si>
  <si>
    <t>.StatusLog.Device.DeviceName</t>
  </si>
  <si>
    <t>.StatusLog.Driver.UserName</t>
  </si>
  <si>
    <t>DutyStatusDetailDistance</t>
  </si>
  <si>
    <t>DutyStatusDetailTrailers</t>
  </si>
  <si>
    <t>English</t>
  </si>
  <si>
    <t>French</t>
  </si>
  <si>
    <t>Spanish</t>
  </si>
  <si>
    <t>German</t>
  </si>
  <si>
    <t>Japanese</t>
  </si>
  <si>
    <t>**Driver</t>
  </si>
  <si>
    <t>**Status</t>
  </si>
  <si>
    <t>**Device</t>
  </si>
  <si>
    <t>**Trailers</t>
  </si>
  <si>
    <t>**Longitude</t>
  </si>
  <si>
    <t>**Latitude</t>
  </si>
  <si>
    <t>**Address</t>
  </si>
  <si>
    <t>**Odometer</t>
  </si>
  <si>
    <t>**Distance</t>
  </si>
  <si>
    <t>**Duty Status Logs</t>
  </si>
  <si>
    <t>**Created</t>
  </si>
  <si>
    <t>**From</t>
  </si>
  <si>
    <t>**To</t>
  </si>
  <si>
    <t>**Distance Unit</t>
  </si>
  <si>
    <t>**Summary</t>
  </si>
  <si>
    <t>Date</t>
  </si>
  <si>
    <t>**Date</t>
  </si>
  <si>
    <t>**Verify Date</t>
  </si>
  <si>
    <t>**Edit Date</t>
  </si>
  <si>
    <t>Conducteur</t>
  </si>
  <si>
    <t>Conductor</t>
  </si>
  <si>
    <t>Fahrer</t>
  </si>
  <si>
    <t>ドライバー</t>
  </si>
  <si>
    <t>Fecha</t>
  </si>
  <si>
    <t>Datum</t>
  </si>
  <si>
    <t>データ</t>
  </si>
  <si>
    <t>État</t>
  </si>
  <si>
    <t>Estado</t>
  </si>
  <si>
    <t>ステータス</t>
  </si>
  <si>
    <t>Dispositif</t>
  </si>
  <si>
    <t>Dispositivo</t>
  </si>
  <si>
    <t>Gerät</t>
  </si>
  <si>
    <t>デバイス</t>
  </si>
  <si>
    <t>Co-chauffeurs</t>
  </si>
  <si>
    <t>Copiloto</t>
  </si>
  <si>
    <t>Beifahrer</t>
  </si>
  <si>
    <t>補助ドライバー</t>
  </si>
  <si>
    <t>Gros porteurs</t>
  </si>
  <si>
    <t>Remolques</t>
  </si>
  <si>
    <t>Anhänger</t>
  </si>
  <si>
    <t>トレーラー</t>
  </si>
  <si>
    <t>Longitud</t>
  </si>
  <si>
    <t>Längengrad</t>
  </si>
  <si>
    <t>経度</t>
  </si>
  <si>
    <t>Latitud</t>
  </si>
  <si>
    <t>Breitengrad</t>
  </si>
  <si>
    <t>緯度</t>
  </si>
  <si>
    <t>Adresse</t>
  </si>
  <si>
    <t>Dirección</t>
  </si>
  <si>
    <t>住所</t>
  </si>
  <si>
    <t>Odomètre</t>
  </si>
  <si>
    <t>Odómetro</t>
  </si>
  <si>
    <t>Kilometerstand</t>
  </si>
  <si>
    <t>オドメータ</t>
  </si>
  <si>
    <t>Distancia</t>
  </si>
  <si>
    <t>Entfernung</t>
  </si>
  <si>
    <t>距離</t>
  </si>
  <si>
    <t>Date de vérification</t>
  </si>
  <si>
    <t>Fecha de verificación</t>
  </si>
  <si>
    <t>Verifizierungsdatum</t>
  </si>
  <si>
    <t>確認日</t>
  </si>
  <si>
    <t>Date de modification</t>
  </si>
  <si>
    <t>Fecha de edición</t>
  </si>
  <si>
    <t>Bearbeitungsdatum</t>
  </si>
  <si>
    <t>編集日</t>
  </si>
  <si>
    <t>Registres de l'état des tâches</t>
  </si>
  <si>
    <t>Registros de estado de HOS</t>
  </si>
  <si>
    <t>Lenkzeitprotokoll</t>
  </si>
  <si>
    <t>職務ステータスログ</t>
  </si>
  <si>
    <t>Sommaire</t>
  </si>
  <si>
    <t>Resumen</t>
  </si>
  <si>
    <t>Zusammenfassung</t>
  </si>
  <si>
    <t>走行データ</t>
  </si>
  <si>
    <t>Créé</t>
  </si>
  <si>
    <t>Creado</t>
  </si>
  <si>
    <t>Angelegt</t>
  </si>
  <si>
    <t>作成済</t>
  </si>
  <si>
    <t>Von</t>
  </si>
  <si>
    <t>Unité de distance</t>
  </si>
  <si>
    <t>Unidad de distancia</t>
  </si>
  <si>
    <t>Entfernungseinheit</t>
  </si>
  <si>
    <t>距離の単位</t>
  </si>
  <si>
    <t>Language</t>
  </si>
  <si>
    <t>en</t>
  </si>
  <si>
    <t>**First Name</t>
  </si>
  <si>
    <t>Prénom</t>
  </si>
  <si>
    <t>Nombre</t>
  </si>
  <si>
    <t>Vorname</t>
  </si>
  <si>
    <t>ファーストネー</t>
  </si>
  <si>
    <t>**Last Name</t>
  </si>
  <si>
    <t>Nom de famille</t>
  </si>
  <si>
    <t>Apellido</t>
  </si>
  <si>
    <t>Nachname</t>
  </si>
  <si>
    <t>ラストネーム</t>
  </si>
  <si>
    <t>.StatusLog.Driver.UserFirstName</t>
  </si>
  <si>
    <t>.StatusLog.Driver.UserLastName</t>
  </si>
  <si>
    <t>**Log Origin</t>
  </si>
  <si>
    <t>Origine du Journal</t>
  </si>
  <si>
    <t>Origen del Registro</t>
  </si>
  <si>
    <t>Protokollherkunft</t>
  </si>
  <si>
    <t>ログの起源</t>
  </si>
  <si>
    <t>Polish</t>
  </si>
  <si>
    <t>Kierowca</t>
  </si>
  <si>
    <t>Data</t>
  </si>
  <si>
    <t>Urzadzenie</t>
  </si>
  <si>
    <t>Wspólkierowcy</t>
  </si>
  <si>
    <t>Przyczepy</t>
  </si>
  <si>
    <t>Dlugosc geograficzna</t>
  </si>
  <si>
    <t>Szerokosc geograficzna</t>
  </si>
  <si>
    <t>Adres</t>
  </si>
  <si>
    <t>Licznik kilometrów</t>
  </si>
  <si>
    <t>Odleglosc</t>
  </si>
  <si>
    <t>Data weryfikacji</t>
  </si>
  <si>
    <t>Data edycji</t>
  </si>
  <si>
    <t>Dzienniki statusów dyzurów</t>
  </si>
  <si>
    <t>Podsumowanie</t>
  </si>
  <si>
    <t>Utworzono</t>
  </si>
  <si>
    <t>Od</t>
  </si>
  <si>
    <t>Do</t>
  </si>
  <si>
    <t>Jednostka odleglosci</t>
  </si>
  <si>
    <t>Imie</t>
  </si>
  <si>
    <t>Nazwisko</t>
  </si>
  <si>
    <t>Powstanie dziennika</t>
  </si>
  <si>
    <t>Portuguese-Brazil</t>
  </si>
  <si>
    <t>Motorista</t>
  </si>
  <si>
    <t>Reboques</t>
  </si>
  <si>
    <t>Endereço</t>
  </si>
  <si>
    <t>Distância</t>
  </si>
  <si>
    <t>Registros de status de serviço</t>
  </si>
  <si>
    <t>Resumo</t>
  </si>
  <si>
    <t>Nome</t>
  </si>
  <si>
    <t>Sobrenome</t>
  </si>
  <si>
    <t>Origem do registro</t>
  </si>
  <si>
    <t>Comotoristas</t>
  </si>
  <si>
    <t>Verificar data</t>
  </si>
  <si>
    <t>Editar data</t>
  </si>
  <si>
    <t>Criado em</t>
  </si>
  <si>
    <t>Unidade de distância</t>
  </si>
  <si>
    <t>Dutch</t>
  </si>
  <si>
    <t>Chauffeur</t>
  </si>
  <si>
    <t>Apparaat</t>
  </si>
  <si>
    <t>Tweede chauffeurs</t>
  </si>
  <si>
    <t>Aanhangers</t>
  </si>
  <si>
    <t>Lengtegraad</t>
  </si>
  <si>
    <t>Breedtegraad</t>
  </si>
  <si>
    <t>Kilometerteller</t>
  </si>
  <si>
    <t>Afstand</t>
  </si>
  <si>
    <t>Datum verifiëren</t>
  </si>
  <si>
    <t>Datum bewerken</t>
  </si>
  <si>
    <t>Logboeken dienststatus</t>
  </si>
  <si>
    <t>Overzicht</t>
  </si>
  <si>
    <t>Aangemaakt</t>
  </si>
  <si>
    <t>Van</t>
  </si>
  <si>
    <t>Afstandseenheid</t>
  </si>
  <si>
    <t>Voornaam</t>
  </si>
  <si>
    <t>Achternaam</t>
  </si>
  <si>
    <t>Oorsprong logboek</t>
  </si>
  <si>
    <t>Italian</t>
  </si>
  <si>
    <t>Conducente</t>
  </si>
  <si>
    <t>Stato</t>
  </si>
  <si>
    <t>Rimorchi</t>
  </si>
  <si>
    <t>Longitudine</t>
  </si>
  <si>
    <t>Latitudine</t>
  </si>
  <si>
    <t>Indirizzo</t>
  </si>
  <si>
    <t>Contachilometri</t>
  </si>
  <si>
    <t>Distanza</t>
  </si>
  <si>
    <t>Registri di stato in servizio</t>
  </si>
  <si>
    <t>Riassunto</t>
  </si>
  <si>
    <t>**Co-drivers</t>
  </si>
  <si>
    <t>Template Company Name</t>
  </si>
  <si>
    <t>Secondi conducenti</t>
  </si>
  <si>
    <t>Verificare data</t>
  </si>
  <si>
    <t>Modificare data</t>
  </si>
  <si>
    <t>Creato</t>
  </si>
  <si>
    <t>Unità di distanza</t>
  </si>
  <si>
    <t>Cognome</t>
  </si>
  <si>
    <t>Origine del registro</t>
  </si>
  <si>
    <t>驾驶员</t>
  </si>
  <si>
    <t>设备</t>
  </si>
  <si>
    <t>验证日期</t>
  </si>
  <si>
    <t>编辑日期</t>
  </si>
  <si>
    <t>创建日期</t>
  </si>
  <si>
    <t>自</t>
  </si>
  <si>
    <t>至</t>
  </si>
  <si>
    <t>距离单位</t>
  </si>
  <si>
    <t>名字</t>
  </si>
  <si>
    <t>姓氏</t>
  </si>
  <si>
    <t>日志来源</t>
  </si>
  <si>
    <t>Simplified Chinese</t>
  </si>
  <si>
    <t>日期</t>
  </si>
  <si>
    <t>状态</t>
  </si>
  <si>
    <t>副驾驶</t>
  </si>
  <si>
    <t>拖车</t>
  </si>
  <si>
    <t>经度</t>
  </si>
  <si>
    <t>纬度</t>
  </si>
  <si>
    <t>地址</t>
  </si>
  <si>
    <t>里程表</t>
  </si>
  <si>
    <t>距离</t>
  </si>
  <si>
    <t>任务状态日志</t>
  </si>
  <si>
    <t>汇总</t>
  </si>
  <si>
    <t>Hodômetro</t>
  </si>
  <si>
    <t>.StatusLog.Driver.UserEmployeeNo</t>
  </si>
  <si>
    <t>.StatusLog.Driver.UserAuthorityName</t>
  </si>
  <si>
    <t>.StatusLog.Driver.UserTimeZone</t>
  </si>
  <si>
    <t>DutyStatusDetailDuration</t>
  </si>
  <si>
    <t>**Duration</t>
  </si>
  <si>
    <t>durée</t>
  </si>
  <si>
    <t>duración</t>
  </si>
  <si>
    <t>Dauer</t>
  </si>
  <si>
    <t>期間</t>
  </si>
  <si>
    <t>Czas trwania</t>
  </si>
  <si>
    <t>duração</t>
  </si>
  <si>
    <t>duur</t>
  </si>
  <si>
    <t>durata</t>
  </si>
  <si>
    <t>时长</t>
  </si>
  <si>
    <t>**Shipments</t>
  </si>
  <si>
    <t>Expéditions</t>
  </si>
  <si>
    <t>Envíos</t>
  </si>
  <si>
    <t>Lieferungen</t>
  </si>
  <si>
    <t>出荷物</t>
  </si>
  <si>
    <t>Wysyłki</t>
  </si>
  <si>
    <t>Remessas</t>
  </si>
  <si>
    <t>Zendingen</t>
  </si>
  <si>
    <t>Spedizioni</t>
  </si>
  <si>
    <t>发运</t>
  </si>
  <si>
    <t>TimeZone</t>
  </si>
  <si>
    <t>America/New_York</t>
  </si>
  <si>
    <t>**Time Zone</t>
  </si>
  <si>
    <t>Fuseau horaire</t>
  </si>
  <si>
    <t>Huso horario</t>
  </si>
  <si>
    <t>Zeitzone</t>
  </si>
  <si>
    <t>タイムゾーン</t>
  </si>
  <si>
    <t>Strefa czasowa</t>
  </si>
  <si>
    <t>Zona horária</t>
  </si>
  <si>
    <t>Tijdzone</t>
  </si>
  <si>
    <t>Fuso orario</t>
  </si>
  <si>
    <t>时区</t>
  </si>
  <si>
    <t>Thai</t>
  </si>
  <si>
    <t>ผู้ขับ</t>
  </si>
  <si>
    <t>วันที่</t>
  </si>
  <si>
    <t>สถานะ</t>
  </si>
  <si>
    <t>อุปกรณ์</t>
  </si>
  <si>
    <t>ผู้ช่วยคนขับ</t>
  </si>
  <si>
    <t>รถเทรลเลอร์</t>
  </si>
  <si>
    <t>ลองจิจูด</t>
  </si>
  <si>
    <t>ละติจูด</t>
  </si>
  <si>
    <t>ที่อยู่</t>
  </si>
  <si>
    <t>มาตรระยะทาง</t>
  </si>
  <si>
    <t>ระยะเวลา</t>
  </si>
  <si>
    <t>ระยะทาง</t>
  </si>
  <si>
    <t>วันที่ยืนยัน</t>
  </si>
  <si>
    <t>วันที่แก้ไข</t>
  </si>
  <si>
    <t>บันทึกสถานะงาน</t>
  </si>
  <si>
    <t>สรุป</t>
  </si>
  <si>
    <t>สร้างแล้ว</t>
  </si>
  <si>
    <t>จาก</t>
  </si>
  <si>
    <t>ถึง</t>
  </si>
  <si>
    <t>หน่วยระยะทาง</t>
  </si>
  <si>
    <t>ชื่อ</t>
  </si>
  <si>
    <t>นามสกุล</t>
  </si>
  <si>
    <t>แหล่งที่มาของบันทึก</t>
  </si>
  <si>
    <t>สินค้าขนส่ง</t>
  </si>
  <si>
    <t>โซนเวลา</t>
  </si>
  <si>
    <t>Du</t>
  </si>
  <si>
    <t>Desde</t>
  </si>
  <si>
    <t>開始日</t>
  </si>
  <si>
    <t>Dal</t>
  </si>
  <si>
    <t>Au</t>
  </si>
  <si>
    <t>Hasta</t>
  </si>
  <si>
    <t>Bis</t>
  </si>
  <si>
    <t>終了日</t>
  </si>
  <si>
    <t>Até</t>
  </si>
  <si>
    <t>Tot</t>
  </si>
  <si>
    <t>Al</t>
  </si>
  <si>
    <t>Indonesian</t>
  </si>
  <si>
    <t>Pengemudi</t>
  </si>
  <si>
    <t>Tanggal</t>
  </si>
  <si>
    <t>Perangkat</t>
  </si>
  <si>
    <t>Pendamping Pengemudi</t>
  </si>
  <si>
    <t>Trailer</t>
  </si>
  <si>
    <t>Garis Bujur</t>
  </si>
  <si>
    <t>Garis Lintang</t>
  </si>
  <si>
    <t>Alamat</t>
  </si>
  <si>
    <t>Odometer</t>
  </si>
  <si>
    <t>Durasi</t>
  </si>
  <si>
    <t>Jarak</t>
  </si>
  <si>
    <t>Tanggal Edit</t>
  </si>
  <si>
    <t>Log Status Tugas</t>
  </si>
  <si>
    <t>Ringkasan</t>
  </si>
  <si>
    <t>Dibuat</t>
  </si>
  <si>
    <t>Dari</t>
  </si>
  <si>
    <t>Hingga</t>
  </si>
  <si>
    <t>Satuan Jarak</t>
  </si>
  <si>
    <t>Nama Depan</t>
  </si>
  <si>
    <t>Nama belakang</t>
  </si>
  <si>
    <t>Pengiriman</t>
  </si>
  <si>
    <t>Zona Waktu</t>
  </si>
  <si>
    <t>Czech</t>
  </si>
  <si>
    <t>Řidič</t>
  </si>
  <si>
    <t>Stav</t>
  </si>
  <si>
    <t>Zařízení</t>
  </si>
  <si>
    <t>Spolujezdci</t>
  </si>
  <si>
    <t>Přívěsy</t>
  </si>
  <si>
    <t>Zeměpisná délka</t>
  </si>
  <si>
    <t>Zeměpisná šířka</t>
  </si>
  <si>
    <t>Adresa</t>
  </si>
  <si>
    <t>Počítadlo ujetých kilometrů</t>
  </si>
  <si>
    <t>doba trvání</t>
  </si>
  <si>
    <t>Vzdálenost</t>
  </si>
  <si>
    <t>Ověřit datum</t>
  </si>
  <si>
    <t>Upravit datum</t>
  </si>
  <si>
    <t>Protokoly služebního stavu</t>
  </si>
  <si>
    <t>Shrnutí</t>
  </si>
  <si>
    <t>Vytvořeno</t>
  </si>
  <si>
    <t>Do/pro</t>
  </si>
  <si>
    <t>Jednotka vzdálenosti</t>
  </si>
  <si>
    <t>Křestní jméno</t>
  </si>
  <si>
    <t>Příjmení</t>
  </si>
  <si>
    <t>Původ protokolu</t>
  </si>
  <si>
    <t>Zásilky</t>
  </si>
  <si>
    <t>Časové pásmo</t>
  </si>
  <si>
    <t>Swedish</t>
  </si>
  <si>
    <t>Förare</t>
  </si>
  <si>
    <t>Enhet</t>
  </si>
  <si>
    <t>Andreförare</t>
  </si>
  <si>
    <t>Trailers</t>
  </si>
  <si>
    <t>Adress</t>
  </si>
  <si>
    <t>Mätarställning</t>
  </si>
  <si>
    <t>varaktighet</t>
  </si>
  <si>
    <t>Distans</t>
  </si>
  <si>
    <t>Verifieringsdatum</t>
  </si>
  <si>
    <t>Redigera datum</t>
  </si>
  <si>
    <t>Arbetstidsstatusloggar</t>
  </si>
  <si>
    <t>Summering</t>
  </si>
  <si>
    <t>Skapad</t>
  </si>
  <si>
    <t>Från</t>
  </si>
  <si>
    <t>Till</t>
  </si>
  <si>
    <t>Distansenhet</t>
  </si>
  <si>
    <t>Förnamn</t>
  </si>
  <si>
    <t>Efternamn</t>
  </si>
  <si>
    <t>Loggursprung</t>
  </si>
  <si>
    <t>Transporter</t>
  </si>
  <si>
    <t>Tidszon</t>
  </si>
  <si>
    <t xml:space="preserve">Verifikasi Tanggal </t>
  </si>
  <si>
    <t xml:space="preserve">Asal Log </t>
  </si>
  <si>
    <t>Timezone</t>
  </si>
  <si>
    <t>GMT Conversion</t>
  </si>
  <si>
    <t>America/St_Johns</t>
  </si>
  <si>
    <t>Atlantic Standard Time</t>
  </si>
  <si>
    <t>America/Halifax</t>
  </si>
  <si>
    <t>Eastern Standard Time</t>
  </si>
  <si>
    <t>EST5EDT</t>
  </si>
  <si>
    <t>America/Toronto</t>
  </si>
  <si>
    <t>Central Standard Time</t>
  </si>
  <si>
    <t>CST6CDT</t>
  </si>
  <si>
    <t>America/Chicago</t>
  </si>
  <si>
    <t>America/Winnipeg</t>
  </si>
  <si>
    <t>Mountain Standard Time</t>
  </si>
  <si>
    <t>America/Edmonton</t>
  </si>
  <si>
    <t>Pacific Standard Time</t>
  </si>
  <si>
    <t>America/Vancouver</t>
  </si>
  <si>
    <t>Alaska Standard Time</t>
  </si>
  <si>
    <t>YM</t>
  </si>
  <si>
    <t>INT_D</t>
  </si>
  <si>
    <t>Vehicle2</t>
  </si>
  <si>
    <t>Vehicle1</t>
  </si>
  <si>
    <t>Driver2@abc.com</t>
  </si>
  <si>
    <t xml:space="preserve"> First  1</t>
  </si>
  <si>
    <t xml:space="preserve"> Last  1</t>
  </si>
  <si>
    <t>Driver1@abc.com</t>
  </si>
  <si>
    <t xml:space="preserve"> Trailer 1</t>
  </si>
  <si>
    <t xml:space="preserve"> Trailer 1,  Trailer 2</t>
  </si>
  <si>
    <t xml:space="preserve"> First  2</t>
  </si>
  <si>
    <t xml:space="preserve"> Last  2</t>
  </si>
  <si>
    <t>**Driver Name</t>
  </si>
  <si>
    <t>**Employee Number</t>
  </si>
  <si>
    <t>Factor</t>
  </si>
  <si>
    <t>Time</t>
  </si>
  <si>
    <t>LDD</t>
  </si>
  <si>
    <t>Count LDD</t>
  </si>
  <si>
    <t>Datastatus</t>
  </si>
  <si>
    <t>last LDD</t>
  </si>
  <si>
    <t>Vehicle List</t>
  </si>
  <si>
    <t>Trailer List</t>
  </si>
  <si>
    <t>V and T help1</t>
  </si>
  <si>
    <t>V and T help2</t>
  </si>
  <si>
    <t>Activity</t>
  </si>
  <si>
    <t>ClockIn</t>
  </si>
  <si>
    <t>ClockOut</t>
  </si>
  <si>
    <t>ONLogStart</t>
  </si>
  <si>
    <t>ONLogEnd</t>
  </si>
  <si>
    <t>ONDutyTime</t>
  </si>
  <si>
    <t>DLogStart</t>
  </si>
  <si>
    <t>DLogEnd</t>
  </si>
  <si>
    <t>DDutyTime</t>
  </si>
  <si>
    <t>TotalTime</t>
  </si>
  <si>
    <t>OFFLogStart</t>
  </si>
  <si>
    <t>OFFLogEnd</t>
  </si>
  <si>
    <t>OFFDutyTime</t>
  </si>
  <si>
    <t>**Authority Name</t>
  </si>
  <si>
    <t>**Small Fleet Payroll Report</t>
  </si>
  <si>
    <t>**Driver Time Zone</t>
  </si>
  <si>
    <t>Data Date</t>
  </si>
  <si>
    <t>**Date and Time</t>
  </si>
  <si>
    <t>**Days</t>
  </si>
  <si>
    <t>Totals:</t>
  </si>
  <si>
    <t>Clock In Time</t>
  </si>
  <si>
    <t>Clock Out Time</t>
  </si>
  <si>
    <t>ON Duty Duration</t>
  </si>
  <si>
    <t>Driving Duration</t>
  </si>
  <si>
    <t>Total Work Duration</t>
  </si>
  <si>
    <t>OFF Duty Duration</t>
  </si>
  <si>
    <t>DataDistance</t>
  </si>
  <si>
    <t>Vehicle(s): Vehicle1
Trailer(s):  Trailer 1</t>
  </si>
  <si>
    <t>Vehicle(s): Vehicle1
Trailer(s): ,  Trailer 1,  Trailer 2</t>
  </si>
  <si>
    <t xml:space="preserve">Vehicle(s): Vehicle2
Trailer(s): </t>
  </si>
  <si>
    <t>America/Thunder_Bay</t>
  </si>
  <si>
    <t>America/Regina</t>
  </si>
  <si>
    <t>America/Montreal</t>
  </si>
  <si>
    <t>America/Denver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</si>
</sst>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/mm/yyyy\ h:mm:ss\ AM/PM"/>
    <numFmt numFmtId="165" formatCode="mmm\ dd\,\ yyyy"/>
    <numFmt numFmtId="166" formatCode="[$-409]mmmm\ d\,\ yyyy;@"/>
    <numFmt numFmtId="167" formatCode="[$-409]mmm\ dd\,\ yyyy"/>
    <numFmt numFmtId="168" formatCode="[$-409]dd/mm/yyyy\ h:mm:ss\ AM/PM"/>
    <numFmt numFmtId="169" formatCode="[$-409][h]:mm;[$-409];[$-409]"/>
    <numFmt numFmtId="170" formatCode="[$-409]h:mm:ss\ AM/PM"/>
    <numFmt numFmtId="171" formatCode="[$-409]_(&quot;$&quot;* #,##0_);[$-409]_(&quot;$&quot;* \(#,##0\);[$-409]_(&quot;$&quot;* &quot;-&quot;_);_(@_)"/>
    <numFmt numFmtId="172" formatCode="[$-409]_(* #,##0_);[$-409]_(* \(#,##0\);[$-409]_(* &quot;-&quot;_);_(@_)"/>
    <numFmt numFmtId="173" formatCode="[$-409]_(&quot;$&quot;* #,##0.00_);[$-409]_(&quot;$&quot;* \(#,##0.00\);[$-409]_(&quot;$&quot;* &quot;-&quot;??_);_(@_)"/>
    <numFmt numFmtId="174" formatCode="[$-409]_(* #,##0.00_);[$-409]_(* \(#,##0.00\);[$-409]_(* &quot;-&quot;??_);_(@_)"/>
    <numFmt numFmtId="175" formatCode="[$-409]0;[$-409]\-0;[$-409];@"/>
    <numFmt numFmtId="176" formatCode="[$-409][h]:mm:ss;@"/>
    <numFmt numFmtId="177" formatCode="[$-409][h]:mm:ss"/>
    <numFmt numFmtId="178" formatCode="[$-409]mmm\ dd\,\ yyyy\ h:mm:ss\ AM/PM"/>
    <numFmt numFmtId="179" formatCode="[h]:mm:ss;@"/>
  </numFmts>
  <fonts count="32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7"/>
      <color indexed="8"/>
      <name val="Tahoma"/>
      <family val="2"/>
    </font>
    <font>
      <sz val="8"/>
      <color indexed="8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0" tint="-0.34998626667073579"/>
      <name val="Segoe UI"/>
      <family val="2"/>
    </font>
    <font>
      <b/>
      <sz val="8"/>
      <color theme="1"/>
      <name val="Tahoma"/>
      <family val="2"/>
    </font>
    <font>
      <b/>
      <sz val="10"/>
      <name val="Arial"/>
      <family val="2"/>
    </font>
    <font>
      <sz val="9"/>
      <name val="宋体"/>
      <family val="3"/>
      <charset val="134"/>
    </font>
    <font>
      <b/>
      <sz val="11"/>
      <color theme="0"/>
      <name val="Segoe UI"/>
      <family val="2"/>
    </font>
    <font>
      <b/>
      <sz val="11"/>
      <color theme="1"/>
      <name val="Segoe UI"/>
      <family val="2"/>
    </font>
    <font>
      <sz val="11"/>
      <color theme="0"/>
      <name val="Segoe UI"/>
      <family val="2"/>
    </font>
    <font>
      <sz val="10"/>
      <name val="Segoe UI"/>
      <family val="2"/>
    </font>
    <font>
      <sz val="11"/>
      <color theme="3"/>
      <name val="Segoe UI"/>
      <family val="2"/>
    </font>
    <font>
      <sz val="12"/>
      <name val="Segoe UI"/>
      <family val="2"/>
    </font>
    <font>
      <sz val="11"/>
      <name val="Segoe UI"/>
      <family val="2"/>
    </font>
    <font>
      <sz val="18"/>
      <color theme="0"/>
      <name val="Segoe UI"/>
      <family val="2"/>
    </font>
    <font>
      <b/>
      <sz val="14"/>
      <color theme="5" tint="-0.249977111117893"/>
      <name val="Calibri"/>
      <family val="2"/>
    </font>
    <font>
      <sz val="16"/>
      <color theme="3"/>
      <name val="Segoe UI"/>
      <family val="2"/>
    </font>
    <font>
      <sz val="12"/>
      <color theme="0"/>
      <name val="Segoe UI"/>
      <family val="2"/>
    </font>
    <font>
      <sz val="10"/>
      <color rgb="FF000000"/>
      <name val="Arial"/>
      <family val="2"/>
    </font>
    <font>
      <b/>
      <sz val="12"/>
      <name val="Segoe UI"/>
      <family val="2"/>
    </font>
    <font>
      <sz val="10"/>
      <name val="Segoe UI"/>
    </font>
    <font>
      <sz val="12"/>
      <name val="Segoe UI"/>
    </font>
  </fonts>
  <fills count="1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theme="1" tint="-0.249977111117893"/>
      </top>
      <bottom style="thin">
        <color theme="1" tint="-0.249977111117893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indexed="64"/>
      </bottom>
      <diagonal/>
    </border>
  </borders>
  <cellStyleXfs count="37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8" fillId="10" borderId="0" applyNumberFormat="0"/>
    <xf numFmtId="0" fontId="9" fillId="0" borderId="0" applyNumberFormat="0" applyAlignment="0"/>
    <xf numFmtId="0" fontId="10" fillId="10" borderId="0" applyNumberFormat="0"/>
    <xf numFmtId="165" fontId="6" fillId="10" borderId="0"/>
    <xf numFmtId="0" fontId="11" fillId="0" borderId="0" applyNumberFormat="0"/>
    <xf numFmtId="0" fontId="12" fillId="0" borderId="0" applyNumberFormat="0"/>
    <xf numFmtId="0" fontId="13" fillId="0" borderId="0" applyNumberFormat="0" applyFill="0" applyBorder="0" applyAlignment="0" applyProtection="0">
      <alignment horizontal="right"/>
    </xf>
    <xf numFmtId="165" fontId="7" fillId="12" borderId="0"/>
    <xf numFmtId="0" fontId="25" fillId="0" borderId="0" applyNumberFormat="0"/>
    <xf numFmtId="0" fontId="11" fillId="0" borderId="0" applyNumberFormat="0"/>
    <xf numFmtId="0" fontId="9" fillId="0" borderId="0" applyNumberFormat="0" applyAlignment="0"/>
    <xf numFmtId="0" fontId="6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174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7" fontId="1" fillId="10" borderId="0"/>
    <xf numFmtId="167" fontId="7" fillId="12" borderId="0"/>
    <xf numFmtId="0" fontId="1" fillId="0" borderId="0"/>
  </cellStyleXfs>
  <cellXfs count="87">
    <xf numFmtId="0" fontId="0" fillId="0" borderId="0" xfId="0"/>
    <xf numFmtId="0" fontId="2" fillId="9" borderId="1" xfId="0" applyFont="1" applyFill="1" applyBorder="1" applyAlignment="1">
      <alignment horizontal="center" wrapText="1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14" fillId="0" borderId="0" xfId="0" applyFont="1"/>
    <xf numFmtId="22" fontId="0" fillId="0" borderId="0" xfId="0" applyNumberFormat="1"/>
    <xf numFmtId="0" fontId="15" fillId="0" borderId="0" xfId="0" applyFont="1"/>
    <xf numFmtId="0" fontId="15" fillId="0" borderId="0" xfId="0" applyFont="1" applyAlignment="1">
      <alignment wrapText="1"/>
    </xf>
    <xf numFmtId="0" fontId="0" fillId="0" borderId="0" xfId="0" applyAlignment="1">
      <alignment wrapText="1"/>
    </xf>
    <xf numFmtId="0" fontId="20" fillId="0" borderId="0" xfId="0" applyFont="1"/>
    <xf numFmtId="164" fontId="20" fillId="0" borderId="0" xfId="0" applyNumberFormat="1" applyFont="1"/>
    <xf numFmtId="0" fontId="22" fillId="0" borderId="0" xfId="19" applyFont="1" applyAlignment="1"/>
    <xf numFmtId="165" fontId="23" fillId="0" borderId="0" xfId="14" applyNumberFormat="1" applyFont="1" applyAlignment="1">
      <alignment horizontal="left"/>
    </xf>
    <xf numFmtId="0" fontId="23" fillId="0" borderId="0" xfId="14" applyFont="1"/>
    <xf numFmtId="165" fontId="23" fillId="0" borderId="0" xfId="14" applyNumberFormat="1" applyFont="1" applyAlignment="1"/>
    <xf numFmtId="0" fontId="23" fillId="0" borderId="0" xfId="14" applyNumberFormat="1" applyFont="1" applyAlignment="1"/>
    <xf numFmtId="0" fontId="24" fillId="11" borderId="0" xfId="0" applyFont="1" applyFill="1" applyAlignment="1">
      <alignment horizontal="left"/>
    </xf>
    <xf numFmtId="0" fontId="24" fillId="11" borderId="0" xfId="0" applyFont="1" applyFill="1" applyAlignment="1">
      <alignment horizontal="center" vertical="center"/>
    </xf>
    <xf numFmtId="166" fontId="19" fillId="11" borderId="2" xfId="20" applyNumberFormat="1" applyFont="1" applyFill="1" applyBorder="1" applyAlignment="1">
      <alignment horizontal="center"/>
    </xf>
    <xf numFmtId="0" fontId="24" fillId="11" borderId="0" xfId="0" applyFont="1" applyFill="1"/>
    <xf numFmtId="0" fontId="26" fillId="0" borderId="0" xfId="21" applyFont="1"/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0" xfId="0" applyFont="1"/>
    <xf numFmtId="0" fontId="18" fillId="0" borderId="0" xfId="22" applyFont="1" applyAlignment="1">
      <alignment horizontal="center"/>
    </xf>
    <xf numFmtId="0" fontId="21" fillId="0" borderId="0" xfId="23" applyFont="1"/>
    <xf numFmtId="0" fontId="23" fillId="14" borderId="3" xfId="22" applyFont="1" applyFill="1" applyBorder="1" applyAlignment="1">
      <alignment horizontal="center" vertical="center"/>
    </xf>
    <xf numFmtId="167" fontId="23" fillId="14" borderId="3" xfId="22" applyNumberFormat="1" applyFont="1" applyFill="1" applyBorder="1" applyAlignment="1">
      <alignment horizontal="center" vertical="center"/>
    </xf>
    <xf numFmtId="1" fontId="23" fillId="14" borderId="3" xfId="22" applyNumberFormat="1" applyFont="1" applyFill="1" applyBorder="1" applyAlignment="1">
      <alignment horizontal="center" vertical="center"/>
    </xf>
    <xf numFmtId="0" fontId="19" fillId="13" borderId="3" xfId="22" applyFont="1" applyFill="1" applyBorder="1" applyAlignment="1">
      <alignment horizontal="center" vertical="center"/>
    </xf>
    <xf numFmtId="3" fontId="23" fillId="14" borderId="3" xfId="22" applyNumberFormat="1" applyFont="1" applyFill="1" applyBorder="1" applyAlignment="1">
      <alignment horizontal="center" vertical="center"/>
    </xf>
    <xf numFmtId="0" fontId="27" fillId="11" borderId="0" xfId="19" applyFont="1" applyFill="1" applyAlignment="1"/>
    <xf numFmtId="0" fontId="17" fillId="11" borderId="0" xfId="15" applyFont="1" applyFill="1"/>
    <xf numFmtId="0" fontId="28" fillId="0" borderId="0" xfId="0" applyFont="1" applyAlignment="1">
      <alignment vertical="top" wrapText="1"/>
    </xf>
    <xf numFmtId="0" fontId="17" fillId="11" borderId="4" xfId="0" applyFont="1" applyFill="1" applyBorder="1"/>
    <xf numFmtId="0" fontId="17" fillId="11" borderId="4" xfId="0" applyFont="1" applyFill="1" applyBorder="1" applyAlignment="1">
      <alignment horizontal="center"/>
    </xf>
    <xf numFmtId="168" fontId="3" fillId="0" borderId="0" xfId="0" applyNumberFormat="1" applyFont="1" applyAlignment="1">
      <alignment horizontal="left"/>
    </xf>
    <xf numFmtId="169" fontId="3" fillId="0" borderId="0" xfId="0" applyNumberFormat="1" applyFont="1" applyAlignment="1">
      <alignment horizontal="left"/>
    </xf>
    <xf numFmtId="167" fontId="23" fillId="0" borderId="0" xfId="14" applyNumberFormat="1" applyFont="1" applyAlignment="1">
      <alignment horizontal="left"/>
    </xf>
    <xf numFmtId="175" fontId="23" fillId="0" borderId="0" xfId="14" applyNumberFormat="1" applyFont="1" applyAlignment="1">
      <alignment horizontal="left"/>
    </xf>
    <xf numFmtId="0" fontId="24" fillId="11" borderId="0" xfId="0" applyFont="1" applyFill="1" applyAlignment="1">
      <alignment horizontal="center"/>
    </xf>
    <xf numFmtId="170" fontId="23" fillId="0" borderId="0" xfId="14" applyNumberFormat="1" applyFont="1" applyAlignment="1">
      <alignment horizontal="left"/>
    </xf>
    <xf numFmtId="176" fontId="23" fillId="0" borderId="0" xfId="14" applyNumberFormat="1" applyFont="1" applyAlignment="1">
      <alignment horizontal="left"/>
    </xf>
    <xf numFmtId="0" fontId="20" fillId="0" borderId="0" xfId="0" applyFont="1" applyAlignment="1">
      <alignment wrapText="1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wrapText="1"/>
    </xf>
    <xf numFmtId="0" fontId="23" fillId="0" borderId="0" xfId="0" applyFont="1" applyAlignment="1">
      <alignment wrapText="1"/>
    </xf>
    <xf numFmtId="0" fontId="18" fillId="0" borderId="0" xfId="22" applyFont="1" applyAlignment="1">
      <alignment horizontal="center" wrapText="1"/>
    </xf>
    <xf numFmtId="0" fontId="21" fillId="0" borderId="0" xfId="23" applyFont="1" applyAlignment="1">
      <alignment horizontal="center" wrapText="1"/>
    </xf>
    <xf numFmtId="0" fontId="23" fillId="14" borderId="3" xfId="22" applyFont="1" applyFill="1" applyBorder="1" applyAlignment="1">
      <alignment horizontal="center" vertical="center" wrapText="1"/>
    </xf>
    <xf numFmtId="167" fontId="23" fillId="14" borderId="3" xfId="22" applyNumberFormat="1" applyFont="1" applyFill="1" applyBorder="1" applyAlignment="1">
      <alignment horizontal="center" vertical="center" wrapText="1"/>
    </xf>
    <xf numFmtId="1" fontId="23" fillId="14" borderId="3" xfId="22" applyNumberFormat="1" applyFont="1" applyFill="1" applyBorder="1" applyAlignment="1">
      <alignment horizontal="center" vertical="center" wrapText="1"/>
    </xf>
    <xf numFmtId="0" fontId="22" fillId="0" borderId="0" xfId="19" applyFont="1" applyAlignment="1">
      <alignment wrapText="1"/>
    </xf>
    <xf numFmtId="0" fontId="23" fillId="0" borderId="0" xfId="14" applyFont="1" applyAlignment="1">
      <alignment wrapText="1"/>
    </xf>
    <xf numFmtId="0" fontId="19" fillId="13" borderId="3" xfId="22" applyFont="1" applyFill="1" applyBorder="1" applyAlignment="1">
      <alignment horizontal="center" vertical="center" wrapText="1"/>
    </xf>
    <xf numFmtId="3" fontId="23" fillId="14" borderId="3" xfId="22" applyNumberFormat="1" applyFont="1" applyFill="1" applyBorder="1" applyAlignment="1">
      <alignment horizontal="center" vertical="center" wrapText="1"/>
    </xf>
    <xf numFmtId="0" fontId="23" fillId="0" borderId="0" xfId="14" applyNumberFormat="1" applyFont="1" applyAlignment="1">
      <alignment wrapText="1"/>
    </xf>
    <xf numFmtId="0" fontId="23" fillId="0" borderId="0" xfId="14" applyNumberFormat="1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22" fillId="0" borderId="0" xfId="0" applyFont="1" applyAlignment="1">
      <alignment wrapText="1"/>
    </xf>
    <xf numFmtId="0" fontId="29" fillId="15" borderId="0" xfId="19" applyFont="1" applyFill="1" applyAlignment="1">
      <alignment horizontal="center" vertical="center" wrapText="1"/>
    </xf>
    <xf numFmtId="167" fontId="22" fillId="15" borderId="0" xfId="14" applyNumberFormat="1" applyFont="1" applyFill="1" applyAlignment="1">
      <alignment horizontal="left" vertical="center" wrapText="1"/>
    </xf>
    <xf numFmtId="167" fontId="22" fillId="15" borderId="0" xfId="14" applyNumberFormat="1" applyFont="1" applyFill="1" applyAlignment="1">
      <alignment horizontal="center" vertical="center" wrapText="1"/>
    </xf>
    <xf numFmtId="0" fontId="22" fillId="15" borderId="0" xfId="0" applyFont="1" applyFill="1" applyAlignment="1">
      <alignment horizontal="center" vertical="center" wrapText="1"/>
    </xf>
    <xf numFmtId="177" fontId="29" fillId="15" borderId="0" xfId="0" applyNumberFormat="1" applyFont="1" applyFill="1" applyAlignment="1">
      <alignment horizontal="center" vertical="center" wrapText="1"/>
    </xf>
    <xf numFmtId="178" fontId="23" fillId="0" borderId="0" xfId="14" applyNumberFormat="1" applyFont="1" applyAlignment="1">
      <alignment horizontal="left"/>
    </xf>
    <xf numFmtId="2" fontId="23" fillId="0" borderId="0" xfId="14" applyNumberFormat="1" applyFont="1" applyAlignment="1">
      <alignment horizontal="left"/>
    </xf>
    <xf numFmtId="0" fontId="27" fillId="11" borderId="0" xfId="19" applyNumberFormat="1" applyFont="1" applyFill="1" applyAlignment="1"/>
    <xf numFmtId="0" fontId="19" fillId="0" borderId="0" xfId="14" applyNumberFormat="1" applyFont="1" applyAlignment="1"/>
    <xf numFmtId="166" fontId="19" fillId="11" borderId="0" xfId="20" applyNumberFormat="1" applyFont="1" applyFill="1" applyAlignment="1">
      <alignment horizontal="center"/>
    </xf>
    <xf numFmtId="176" fontId="27" fillId="11" borderId="0" xfId="19" applyNumberFormat="1" applyFont="1" applyFill="1" applyAlignment="1"/>
    <xf numFmtId="0" fontId="23" fillId="0" borderId="0" xfId="14" applyNumberFormat="1" applyFont="1" applyAlignment="1">
      <alignment horizontal="left"/>
    </xf>
    <xf numFmtId="165" fontId="23" fillId="0" borderId="0" xfId="14" applyNumberFormat="1" applyFont="1" applyAlignment="1">
      <alignment wrapText="1"/>
    </xf>
    <xf numFmtId="165" fontId="23" fillId="0" borderId="0" xfId="14" applyNumberFormat="1" applyFont="1" applyAlignment="1">
      <alignment horizontal="center" wrapText="1"/>
    </xf>
    <xf numFmtId="165" fontId="23" fillId="0" borderId="0" xfId="14" applyNumberFormat="1" applyFont="1" applyAlignment="1">
      <alignment horizontal="left" wrapText="1"/>
    </xf>
    <xf numFmtId="2" fontId="24" fillId="11" borderId="0" xfId="0" applyNumberFormat="1" applyFont="1" applyFill="1"/>
    <xf numFmtId="2" fontId="23" fillId="0" borderId="0" xfId="0" applyNumberFormat="1" applyFont="1"/>
    <xf numFmtId="2" fontId="20" fillId="0" borderId="0" xfId="0" applyNumberFormat="1" applyFont="1"/>
    <xf numFmtId="2" fontId="27" fillId="11" borderId="0" xfId="19" applyNumberFormat="1" applyFont="1" applyFill="1" applyAlignment="1"/>
    <xf numFmtId="0" fontId="31" fillId="0" borderId="0" xfId="0" pivotButton="1" applyFont="1" applyAlignment="1">
      <alignment wrapText="1"/>
    </xf>
    <xf numFmtId="0" fontId="30" fillId="0" borderId="0" xfId="0" pivotButton="1" applyFont="1" applyAlignment="1">
      <alignment wrapText="1"/>
    </xf>
    <xf numFmtId="0" fontId="30" fillId="0" borderId="0" xfId="0" applyFont="1" applyAlignment="1">
      <alignment wrapText="1"/>
    </xf>
    <xf numFmtId="167" fontId="30" fillId="0" borderId="0" xfId="0" applyNumberFormat="1" applyFont="1" applyAlignment="1">
      <alignment wrapText="1"/>
    </xf>
    <xf numFmtId="178" fontId="30" fillId="0" borderId="0" xfId="0" applyNumberFormat="1" applyFont="1" applyAlignment="1">
      <alignment horizontal="center" wrapText="1"/>
    </xf>
    <xf numFmtId="179" fontId="30" fillId="0" borderId="0" xfId="0" applyNumberFormat="1" applyFont="1" applyAlignment="1">
      <alignment horizontal="center" wrapText="1"/>
    </xf>
    <xf numFmtId="0" fontId="19" fillId="13" borderId="3" xfId="22" applyFont="1" applyFill="1" applyBorder="1" applyAlignment="1">
      <alignment horizontal="center" vertical="center"/>
    </xf>
    <xf numFmtId="0" fontId="19" fillId="13" borderId="3" xfId="22" applyFont="1" applyFill="1" applyBorder="1" applyAlignment="1">
      <alignment horizontal="center" vertical="center" wrapText="1"/>
    </xf>
  </cellXfs>
  <cellStyles count="37">
    <cellStyle name="20% - Accent1" xfId="1" builtinId="30" customBuiltin="1"/>
    <cellStyle name="20% - Accent1 2" xfId="25" xr:uid="{47BBAB50-2B45-412B-95DE-A19B627FDBE8}"/>
    <cellStyle name="20% - Accent2" xfId="2" builtinId="34" customBuiltin="1"/>
    <cellStyle name="20% - Accent2 2" xfId="26" xr:uid="{734C0143-59D3-45C7-B35A-7E935350D527}"/>
    <cellStyle name="20% - Accent3" xfId="3" builtinId="38" customBuiltin="1"/>
    <cellStyle name="20% - Accent3 2" xfId="27" xr:uid="{EA438336-F2E9-4978-B776-4507166927D5}"/>
    <cellStyle name="20% - Accent4" xfId="4" builtinId="42" customBuiltin="1"/>
    <cellStyle name="20% - Accent4 2" xfId="28" xr:uid="{6D2275C0-A898-4A7E-8ACA-EB7B86690D6F}"/>
    <cellStyle name="40% - Accent3" xfId="5" builtinId="39" customBuiltin="1"/>
    <cellStyle name="40% - Accent3 2" xfId="29" xr:uid="{5755ED3E-3D9D-4891-8C0D-8EA06BF1828D}"/>
    <cellStyle name="60% - Accent3" xfId="6" builtinId="40" customBuiltin="1"/>
    <cellStyle name="60% - Accent4" xfId="7" builtinId="44" customBuiltin="1"/>
    <cellStyle name="60% - Accent6" xfId="8" builtinId="52" customBuiltin="1"/>
    <cellStyle name="Comma" xfId="9" builtinId="3" customBuiltin="1"/>
    <cellStyle name="Comma [0]" xfId="10" builtinId="6" customBuiltin="1"/>
    <cellStyle name="Comma [0] 2" xfId="31" xr:uid="{669960BC-0EFA-4069-9DC1-CE19D4DD16EF}"/>
    <cellStyle name="Comma 2" xfId="30" xr:uid="{FCB2626C-4746-4CDE-8F70-FDB9FEBAE352}"/>
    <cellStyle name="Currency" xfId="11" builtinId="4" customBuiltin="1"/>
    <cellStyle name="Currency [0]" xfId="12" builtinId="7" customBuiltin="1"/>
    <cellStyle name="Currency [0] 2" xfId="33" xr:uid="{32AC8424-A2E6-4995-A948-BB531C91103C}"/>
    <cellStyle name="Currency 2" xfId="32" xr:uid="{677E71EB-C6D2-4D62-9154-F234DE534A14}"/>
    <cellStyle name="Geotab Report Body" xfId="23" xr:uid="{83F06798-C4FF-4436-BA38-6C9182C4217C}"/>
    <cellStyle name="Geotab Report Creation DateTime" xfId="20" xr:uid="{CC148A70-1B8B-4676-B6EC-59B4607C229B}"/>
    <cellStyle name="Geotab Report Creation DateTime 2" xfId="35" xr:uid="{3EC316F3-585F-4855-AC38-DC92D1BC4063}"/>
    <cellStyle name="Geotab Report Field Name" xfId="22" xr:uid="{931D9EDC-8AC3-4575-95B5-5E9BC1CFBA6F}"/>
    <cellStyle name="Geotab Report Name" xfId="21" xr:uid="{C38C4C32-4382-4657-A11A-C2AA7176A46E}"/>
    <cellStyle name="Heading" xfId="13" xr:uid="{00000000-0005-0000-0000-000008000000}"/>
    <cellStyle name="Normal" xfId="0" builtinId="0" customBuiltin="1"/>
    <cellStyle name="Normal 2" xfId="24" xr:uid="{9FC913D4-B1E0-4DD3-BF10-7FFAF9E0263B}"/>
    <cellStyle name="Normal 2 2" xfId="36" xr:uid="{37C7A47B-A545-4043-95D0-CD329D381AD5}"/>
    <cellStyle name="Report Body" xfId="14" xr:uid="{00000000-0005-0000-0000-000009000000}"/>
    <cellStyle name="Report Column Header" xfId="15" xr:uid="{00000000-0005-0000-0000-00000A000000}"/>
    <cellStyle name="Report Creation DateTime" xfId="16" xr:uid="{00000000-0005-0000-0000-00000B000000}"/>
    <cellStyle name="Report Creation DateTime 2" xfId="34" xr:uid="{8CF1FDE1-FF52-4B66-9CEE-40C77ED25769}"/>
    <cellStyle name="Report Field Name" xfId="17" xr:uid="{00000000-0005-0000-0000-00000C000000}"/>
    <cellStyle name="Report Name" xfId="18" xr:uid="{00000000-0005-0000-0000-00000D000000}"/>
    <cellStyle name="StandardReportHeading" xfId="19" xr:uid="{00000000-0005-0000-0000-00000E000000}"/>
  </cellStyles>
  <dxfs count="112"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8" formatCode="[$-409]mmm\ dd\,\ yyyy\ h:mm:ss\ AM/PM"/>
    </dxf>
    <dxf>
      <numFmt numFmtId="178" formatCode="[$-409]mmm\ dd\,\ yyyy\ h:mm:ss\ AM/PM"/>
    </dxf>
    <dxf>
      <numFmt numFmtId="179" formatCode="[h]:mm:ss;@"/>
    </dxf>
    <dxf>
      <numFmt numFmtId="179" formatCode="[h]:mm:ss;@"/>
    </dxf>
    <dxf>
      <numFmt numFmtId="179" formatCode="[h]:mm:ss;@"/>
    </dxf>
    <dxf>
      <numFmt numFmtId="179" formatCode="[h]:mm:ss;@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79" formatCode="[h]:mm:ss;@"/>
    </dxf>
    <dxf>
      <numFmt numFmtId="179" formatCode="[h]:mm:ss;@"/>
    </dxf>
    <dxf>
      <numFmt numFmtId="179" formatCode="[h]:mm:ss;@"/>
    </dxf>
    <dxf>
      <numFmt numFmtId="179" formatCode="[h]:mm:ss;@"/>
    </dxf>
    <dxf>
      <numFmt numFmtId="178" formatCode="[$-409]mmm\ dd\,\ yyyy\ h:mm:ss\ AM/PM"/>
    </dxf>
    <dxf>
      <numFmt numFmtId="178" formatCode="[$-409]mmm\ dd\,\ yyyy\ h:mm:ss\ AM/PM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scheme val="none"/>
      </font>
    </dxf>
    <dxf>
      <border outline="0">
        <bottom style="thin">
          <color indexed="64"/>
        </bottom>
      </border>
    </dxf>
    <dxf>
      <fill>
        <patternFill patternType="solid">
          <fgColor theme="5" tint="0.79995117038483843"/>
          <bgColor theme="0" tint="-4.9989318521683403E-2"/>
        </patternFill>
      </fill>
      <border>
        <bottom style="thin">
          <color theme="5" tint="0.39997558519241921"/>
        </bottom>
      </border>
    </dxf>
    <dxf>
      <fill>
        <patternFill patternType="solid">
          <fgColor theme="5" tint="0.79995117038483843"/>
          <bgColor theme="0" tint="-4.9989318521683403E-2"/>
        </patternFill>
      </fill>
      <border>
        <bottom style="thin">
          <color theme="5" tint="0.39997558519241921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5" tint="0.39997558519241921"/>
        </bottom>
      </border>
    </dxf>
    <dxf>
      <font>
        <color theme="1"/>
      </font>
    </dxf>
    <dxf>
      <font>
        <b/>
        <i val="0"/>
        <color theme="1"/>
      </font>
      <fill>
        <patternFill>
          <bgColor theme="0" tint="-4.9989318521683403E-2"/>
        </patternFill>
      </fill>
      <border>
        <top style="thin">
          <color theme="5"/>
        </top>
        <bottom style="thin">
          <color theme="5"/>
        </bottom>
      </border>
    </dxf>
    <dxf>
      <font>
        <color theme="1"/>
      </font>
      <fill>
        <patternFill patternType="solid">
          <fgColor theme="0" tint="-0.14993743705557422"/>
          <bgColor theme="0" tint="-4.9989318521683403E-2"/>
        </patternFill>
      </fill>
    </dxf>
    <dxf>
      <fill>
        <patternFill patternType="solid">
          <fgColor theme="0" tint="-0.14990691854609822"/>
          <bgColor theme="0" tint="-4.9989318521683403E-2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>
          <fgColor theme="8"/>
          <bgColor theme="8"/>
        </patternFill>
      </fill>
    </dxf>
    <dxf>
      <font>
        <b/>
        <i val="0"/>
        <color theme="1"/>
      </font>
      <fill>
        <patternFill patternType="solid">
          <fgColor theme="5" tint="0.79985961485641044"/>
          <bgColor theme="0" tint="-4.9989318521683403E-2"/>
        </patternFill>
      </fill>
      <border>
        <top style="thin">
          <color theme="5" tint="0.39997558519241921"/>
        </top>
      </border>
    </dxf>
    <dxf>
      <font>
        <b/>
        <i val="0"/>
        <color theme="1"/>
      </font>
      <fill>
        <patternFill patternType="solid">
          <fgColor theme="5" tint="0.79989013336588644"/>
          <bgColor theme="0" tint="-4.9989318521683403E-2"/>
        </patternFill>
      </fill>
      <border>
        <bottom style="thin">
          <color theme="5" tint="0.39997558519241921"/>
        </bottom>
      </border>
    </dxf>
    <dxf>
      <font>
        <color theme="3"/>
      </font>
    </dxf>
    <dxf>
      <font>
        <color theme="1"/>
      </font>
      <fill>
        <patternFill>
          <bgColor theme="0" tint="-4.9989318521683403E-2"/>
        </patternFill>
      </fill>
    </dxf>
    <dxf>
      <font>
        <b/>
        <i val="0"/>
        <color theme="1"/>
      </font>
      <fill>
        <patternFill>
          <bgColor theme="0" tint="-4.9989318521683403E-2"/>
        </patternFill>
      </fill>
      <border>
        <top style="thin">
          <color theme="2" tint="0.39994506668294322"/>
        </top>
        <bottom style="thin">
          <color theme="2" tint="0.39994506668294322"/>
        </bottom>
      </border>
    </dxf>
    <dxf>
      <font>
        <color auto="1"/>
      </font>
      <fill>
        <patternFill patternType="solid">
          <fgColor indexed="64"/>
          <bgColor theme="2" tint="0.79998168889431442"/>
        </patternFill>
      </fill>
    </dxf>
    <dxf>
      <font>
        <color auto="1"/>
      </font>
      <fill>
        <patternFill patternType="solid">
          <bgColor theme="0" tint="-4.9989318521683403E-2"/>
        </patternFill>
      </fill>
    </dxf>
    <dxf>
      <font>
        <b/>
        <i val="0"/>
        <color auto="1"/>
      </font>
      <fill>
        <patternFill patternType="solid">
          <fgColor theme="5" tint="0.79982909634693444"/>
          <bgColor theme="0" tint="-4.9989318521683403E-2"/>
        </patternFill>
      </fill>
      <border>
        <top style="thin">
          <color theme="2" tint="0.59996337778862885"/>
        </top>
        <bottom style="thin">
          <color theme="2" tint="0.59996337778862885"/>
        </bottom>
      </border>
    </dxf>
    <dxf>
      <font>
        <b/>
        <i val="0"/>
        <color theme="0"/>
      </font>
      <fill>
        <patternFill patternType="solid">
          <fgColor theme="5" tint="0.79989013336588644"/>
          <bgColor theme="2"/>
        </patternFill>
      </fill>
      <border diagonalUp="0" diagonalDown="0">
        <left/>
        <right/>
        <top/>
        <bottom/>
        <vertical/>
        <horizontal/>
      </border>
    </dxf>
    <dxf>
      <fill>
        <patternFill patternType="solid">
          <fgColor theme="5" tint="0.79998168889431442"/>
          <bgColor theme="5" tint="0.79998168889431442"/>
        </patternFill>
      </fill>
      <border>
        <bottom style="thin">
          <color theme="5" tint="0.39997558519241921"/>
        </bottom>
      </border>
    </dxf>
    <dxf>
      <fill>
        <patternFill patternType="solid">
          <fgColor theme="5" tint="0.79995117038483843"/>
          <bgColor theme="2"/>
        </patternFill>
      </fill>
      <border>
        <bottom style="thin">
          <color theme="5" tint="0.39997558519241921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5" tint="0.39997558519241921"/>
        </bottom>
      </border>
    </dxf>
    <dxf>
      <font>
        <color theme="1"/>
      </font>
    </dxf>
    <dxf>
      <font>
        <b/>
        <i val="0"/>
        <color theme="1"/>
      </font>
      <fill>
        <patternFill>
          <bgColor theme="6" tint="0.79998168889431442"/>
        </patternFill>
      </fill>
      <border>
        <top style="thin">
          <color theme="5"/>
        </top>
        <bottom style="thin">
          <color theme="5"/>
        </bottom>
      </border>
    </dxf>
    <dxf>
      <font>
        <color auto="1"/>
      </font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3743705557422"/>
          <bgColor theme="0" tint="-0.149967955565050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ont>
        <color auto="1"/>
      </font>
      <fill>
        <patternFill patternType="solid">
          <fgColor indexed="64"/>
          <bgColor theme="2" tint="0.79998168889431442"/>
        </patternFill>
      </fill>
    </dxf>
    <dxf>
      <font>
        <color auto="1"/>
      </font>
      <fill>
        <patternFill patternType="solid">
          <bgColor theme="0" tint="-4.9989318521683403E-2"/>
        </patternFill>
      </fill>
    </dxf>
    <dxf>
      <font>
        <b/>
        <i val="0"/>
        <color auto="1"/>
      </font>
      <fill>
        <patternFill patternType="solid">
          <fgColor theme="5" tint="0.79985961485641044"/>
          <bgColor theme="0" tint="-4.9989318521683403E-2"/>
        </patternFill>
      </fill>
      <border>
        <top style="thin">
          <color theme="2" tint="0.59996337778862885"/>
        </top>
        <bottom style="thin">
          <color theme="2" tint="0.59996337778862885"/>
        </bottom>
      </border>
    </dxf>
    <dxf>
      <font>
        <b/>
        <i val="0"/>
        <color theme="0"/>
      </font>
      <fill>
        <patternFill patternType="solid">
          <fgColor theme="5" tint="0.79992065187536243"/>
          <bgColor theme="2"/>
        </patternFill>
      </fill>
      <border>
        <bottom style="thin">
          <color theme="5" tint="0.39997558519241921"/>
        </bottom>
      </border>
    </dxf>
    <dxf>
      <font>
        <color auto="1"/>
      </font>
    </dxf>
  </dxfs>
  <tableStyles count="3" defaultTableStyle="TableStyleMedium9" defaultPivotStyle="PivotStyleLightCheckmate 2">
    <tableStyle name="PivotStyleLightCheckmate" table="0" count="13" xr9:uid="{9E1B4F23-863C-4818-9686-45C0BE57AECC}">
      <tableStyleElement type="wholeTable" dxfId="111"/>
      <tableStyleElement type="headerRow" dxfId="110"/>
      <tableStyleElement type="totalRow" dxfId="109"/>
      <tableStyleElement type="firstRowStripe" dxfId="108"/>
      <tableStyleElement type="secondRowStripe" dxfId="107"/>
      <tableStyleElement type="firstColumnStripe" dxfId="106"/>
      <tableStyleElement type="firstSubtotalColumn" dxfId="105"/>
      <tableStyleElement type="firstSubtotalRow" dxfId="104"/>
      <tableStyleElement type="secondSubtotalRow" dxfId="103"/>
      <tableStyleElement type="firstRowSubheading" dxfId="102"/>
      <tableStyleElement type="secondRowSubheading" dxfId="101"/>
      <tableStyleElement type="pageFieldLabels" dxfId="100"/>
      <tableStyleElement type="pageFieldValues" dxfId="99"/>
    </tableStyle>
    <tableStyle name="PivotStyleLightCheckmate 2" table="0" count="6" xr9:uid="{78882FA0-873D-4B9B-9EED-16450EA59A81}">
      <tableStyleElement type="headerRow" dxfId="98"/>
      <tableStyleElement type="totalRow" dxfId="97"/>
      <tableStyleElement type="firstRowStripe" dxfId="96"/>
      <tableStyleElement type="secondRowStripe" dxfId="95"/>
      <tableStyleElement type="firstSubtotalRow" dxfId="94"/>
      <tableStyleElement type="secondSubtotalRow" dxfId="93"/>
    </tableStyle>
    <tableStyle name="PivotStyleLightCustom" table="0" count="12" xr9:uid="{00000000-0011-0000-FFFF-FFFF00000000}">
      <tableStyleElement type="wholeTable" dxfId="92"/>
      <tableStyleElement type="headerRow" dxfId="91"/>
      <tableStyleElement type="totalRow" dxfId="90"/>
      <tableStyleElement type="secondRowStripe" dxfId="89"/>
      <tableStyleElement type="firstColumnStripe" dxfId="88"/>
      <tableStyleElement type="firstSubtotalColumn" dxfId="87"/>
      <tableStyleElement type="firstSubtotalRow" dxfId="86"/>
      <tableStyleElement type="secondSubtotalRow" dxfId="85"/>
      <tableStyleElement type="firstRowSubheading" dxfId="84"/>
      <tableStyleElement type="secondRowSubheading" dxfId="83"/>
      <tableStyleElement type="pageFieldLabels" dxfId="82"/>
      <tableStyleElement type="pageFieldValues" dxfId="8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akash Dubey" refreshedDate="45244.347389814815" missingItemsLimit="0" createdVersion="4" refreshedVersion="8" recordCount="86" xr:uid="{00000000-000A-0000-FFFF-FFFF06000000}">
  <cacheSource type="worksheet">
    <worksheetSource name="AllData"/>
  </cacheSource>
  <cacheFields count="37">
    <cacheField name="**Driver Name" numFmtId="0">
      <sharedItems/>
    </cacheField>
    <cacheField name="**Driver" numFmtId="0">
      <sharedItems count="2">
        <s v="Driver1@abc.com"/>
        <s v="Driver2@abc.com"/>
      </sharedItems>
    </cacheField>
    <cacheField name="**Employee Number" numFmtId="0">
      <sharedItems containsSemiMixedTypes="0" containsString="0" containsNumber="1" containsInteger="1" minValue="1" maxValue="2" count="2">
        <n v="1"/>
        <n v="2"/>
      </sharedItems>
    </cacheField>
    <cacheField name="Data Date" numFmtId="178">
      <sharedItems containsSemiMixedTypes="0" containsNonDate="0" containsDate="1" containsString="0" minDate="2021-10-17T00:00:00" maxDate="2021-10-22T16:47:43"/>
    </cacheField>
    <cacheField name="**Driver Time Zone" numFmtId="0">
      <sharedItems/>
    </cacheField>
    <cacheField name="Factor" numFmtId="0">
      <sharedItems containsSemiMixedTypes="0" containsString="0" containsNumber="1" minValue="0" maxValue="4.1666666666666664E-2"/>
    </cacheField>
    <cacheField name="**Date and Time" numFmtId="178">
      <sharedItems containsSemiMixedTypes="0" containsNonDate="0" containsDate="1" containsString="0" minDate="2021-10-17T00:00:00" maxDate="2021-10-22T15:47:43"/>
    </cacheField>
    <cacheField name="**Date" numFmtId="167">
      <sharedItems containsSemiMixedTypes="0" containsNonDate="0" containsDate="1" containsString="0" minDate="2021-10-17T00:00:00" maxDate="2021-10-23T00:00:00" count="4">
        <d v="2021-10-17T00:00:00"/>
        <d v="2021-10-18T00:00:00"/>
        <d v="2021-10-21T00:00:00"/>
        <d v="2021-10-22T00:00:00"/>
      </sharedItems>
    </cacheField>
    <cacheField name="Time" numFmtId="170">
      <sharedItems containsSemiMixedTypes="0" containsNonDate="0" containsDate="1" containsString="0" minDate="1899-12-30T00:00:00" maxDate="1899-12-31T00:00:00"/>
    </cacheField>
    <cacheField name="LDD" numFmtId="0">
      <sharedItems containsSemiMixedTypes="0" containsString="0" containsNumber="1" containsInteger="1" minValue="1" maxValue="45"/>
    </cacheField>
    <cacheField name="Count LDD" numFmtId="0">
      <sharedItems containsSemiMixedTypes="0" containsString="0" containsNumber="1" containsInteger="1" minValue="1" maxValue="45"/>
    </cacheField>
    <cacheField name="**Device" numFmtId="0">
      <sharedItems/>
    </cacheField>
    <cacheField name="last LDD" numFmtId="175">
      <sharedItems/>
    </cacheField>
    <cacheField name="Vehicle List" numFmtId="175">
      <sharedItems/>
    </cacheField>
    <cacheField name="**Trailers" numFmtId="0">
      <sharedItems containsMixedTypes="1" containsNumber="1" containsInteger="1" minValue="0" maxValue="0"/>
    </cacheField>
    <cacheField name="Trailer List" numFmtId="175">
      <sharedItems/>
    </cacheField>
    <cacheField name="V and T help1" numFmtId="175">
      <sharedItems/>
    </cacheField>
    <cacheField name="V and T help2" numFmtId="175">
      <sharedItems/>
    </cacheField>
    <cacheField name="Activity" numFmtId="175">
      <sharedItems count="3">
        <s v="Vehicle(s): Vehicle1_x000a_Trailer(s):  Trailer 1"/>
        <s v="Vehicle(s): Vehicle1_x000a_Trailer(s): ,  Trailer 1,  Trailer 2"/>
        <s v="Vehicle(s): Vehicle2_x000a_Trailer(s): "/>
      </sharedItems>
    </cacheField>
    <cacheField name="Datastatus" numFmtId="176">
      <sharedItems/>
    </cacheField>
    <cacheField name="DataDistance" numFmtId="2">
      <sharedItems containsMixedTypes="1" containsNumber="1" minValue="0" maxValue="55.316951751708984"/>
    </cacheField>
    <cacheField name="**Status" numFmtId="175">
      <sharedItems count="3">
        <s v="OFF"/>
        <s v="ON"/>
        <s v="D"/>
      </sharedItems>
    </cacheField>
    <cacheField name="**Duration" numFmtId="176">
      <sharedItems containsSemiMixedTypes="0" containsNonDate="0" containsDate="1" containsString="0" minDate="1899-12-30T00:00:00" maxDate="1899-12-31T07:12:16"/>
    </cacheField>
    <cacheField name="ClockIn" numFmtId="178">
      <sharedItems containsDate="1" containsMixedTypes="1" minDate="2021-10-17T00:00:00" maxDate="2021-10-22T15:36:52"/>
    </cacheField>
    <cacheField name="ClockOut" numFmtId="178">
      <sharedItems containsDate="1" containsMixedTypes="1" minDate="2021-10-17T00:00:00" maxDate="2021-10-22T15:47:43"/>
    </cacheField>
    <cacheField name="FALSE" numFmtId="178">
      <sharedItems/>
    </cacheField>
    <cacheField name="ONLogStart" numFmtId="178">
      <sharedItems containsDate="1" containsMixedTypes="1" minDate="2021-10-18T05:48:07" maxDate="2021-10-22T15:36:52"/>
    </cacheField>
    <cacheField name="ONLogEnd" numFmtId="178">
      <sharedItems containsDate="1" containsMixedTypes="1" minDate="2021-10-18T05:48:22" maxDate="2021-10-22T15:47:43"/>
    </cacheField>
    <cacheField name="ONDutyTime" numFmtId="176">
      <sharedItems containsSemiMixedTypes="0" containsNonDate="0" containsDate="1" containsString="0" minDate="1899-12-30T00:00:00" maxDate="1899-12-31T00:00:00"/>
    </cacheField>
    <cacheField name="DLogStart" numFmtId="178">
      <sharedItems containsDate="1" containsMixedTypes="1" minDate="2021-10-18T05:48:07" maxDate="2021-10-22T15:32:35"/>
    </cacheField>
    <cacheField name="DLogEnd" numFmtId="178">
      <sharedItems containsDate="1" containsMixedTypes="1" minDate="2021-10-18T05:48:07" maxDate="2021-10-22T15:34:07"/>
    </cacheField>
    <cacheField name="DDutyTime" numFmtId="176">
      <sharedItems containsSemiMixedTypes="0" containsNonDate="0" containsDate="1" containsString="0" minDate="1899-12-30T00:00:00" maxDate="1899-12-31T00:00:00"/>
    </cacheField>
    <cacheField name="TotalTime" numFmtId="176">
      <sharedItems containsSemiMixedTypes="0" containsNonDate="0" containsDate="1" containsString="0" minDate="1899-12-30T00:00:00" maxDate="1899-12-31T00:00:00"/>
    </cacheField>
    <cacheField name="OFFLogStart" numFmtId="178">
      <sharedItems containsDate="1" containsMixedTypes="1" minDate="2021-10-17T00:00:00" maxDate="2021-10-23T00:00:00"/>
    </cacheField>
    <cacheField name="OFFLogEnd" numFmtId="178">
      <sharedItems containsDate="1" containsMixedTypes="1" minDate="2021-10-18T00:00:00" maxDate="2021-10-24T00:00:00"/>
    </cacheField>
    <cacheField name="OFFDutyTime" numFmtId="176">
      <sharedItems containsSemiMixedTypes="0" containsNonDate="0" containsDate="1" containsString="0" minDate="1899-12-30T00:00:00" maxDate="1900-01-01T00:00:00"/>
    </cacheField>
    <cacheField name="**Authority Name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s v=" First  1  Last  1"/>
    <x v="0"/>
    <x v="0"/>
    <d v="2021-10-17T00:00:00"/>
    <s v="America/New_York"/>
    <n v="0"/>
    <d v="2021-10-17T00:00:00"/>
    <x v="0"/>
    <d v="1899-12-30T00:00:00"/>
    <n v="1"/>
    <n v="1"/>
    <s v="Vehicle1"/>
    <b v="1"/>
    <s v="Vehicle1"/>
    <s v=" Trailer 1"/>
    <s v=" Trailer 1"/>
    <s v="Vehicle(s): Vehicle1_x000a_Trailer(s):  Trailer 1"/>
    <s v="Driver1@abc.com444861"/>
    <x v="0"/>
    <s v="OFF"/>
    <s v=""/>
    <x v="0"/>
    <d v="1899-12-31T05:48:07"/>
    <d v="2021-10-17T00:00:00"/>
    <d v="2021-10-17T00:00:00"/>
    <b v="1"/>
    <s v=""/>
    <s v=""/>
    <d v="1899-12-30T00:00:00"/>
    <s v=""/>
    <s v=""/>
    <d v="1899-12-30T00:00:00"/>
    <d v="1899-12-30T00:00:00"/>
    <d v="2021-10-17T00:00:00"/>
    <d v="2021-10-18T00:00:00"/>
    <d v="1899-12-31T00:00:00"/>
    <n v="1"/>
  </r>
  <r>
    <s v=" First  1  Last  1"/>
    <x v="0"/>
    <x v="0"/>
    <d v="2021-10-18T05:48:07"/>
    <s v="America/New_York"/>
    <n v="0"/>
    <d v="2021-10-18T05:48:07"/>
    <x v="1"/>
    <d v="1899-12-30T05:48:07"/>
    <n v="45"/>
    <n v="1"/>
    <s v="Vehicle1"/>
    <b v="0"/>
    <s v="Vehicle1"/>
    <n v="0"/>
    <s v=""/>
    <s v=""/>
    <s v="Driver1@abc.com444871"/>
    <x v="1"/>
    <s v="ON"/>
    <s v=""/>
    <x v="1"/>
    <d v="1899-12-30T00:00:15"/>
    <d v="2021-10-18T05:48:07"/>
    <d v="2021-10-18T05:48:22"/>
    <b v="0"/>
    <d v="2021-10-18T05:48:07"/>
    <d v="2021-10-18T05:48:22"/>
    <d v="1899-12-30T00:00:15"/>
    <d v="2021-10-18T05:48:07"/>
    <d v="2021-10-18T05:48:07"/>
    <d v="1899-12-30T00:00:00"/>
    <d v="1899-12-30T00:00:15"/>
    <d v="2021-10-18T00:00:00"/>
    <d v="2021-10-18T05:48:07"/>
    <d v="1899-12-30T05:48:07"/>
    <n v="1"/>
  </r>
  <r>
    <s v=" First  1  Last  1"/>
    <x v="0"/>
    <x v="0"/>
    <d v="2021-10-18T05:48:22"/>
    <s v="America/New_York"/>
    <n v="0"/>
    <d v="2021-10-18T05:48:22"/>
    <x v="1"/>
    <d v="1899-12-30T05:48:22"/>
    <n v="45"/>
    <n v="2"/>
    <s v="Vehicle1"/>
    <b v="0"/>
    <s v="Vehicle1"/>
    <s v=" Trailer 1,  Trailer 2"/>
    <s v=",  Trailer 1,  Trailer 2"/>
    <s v=""/>
    <s v="Driver1@abc.com444872"/>
    <x v="1"/>
    <s v="ON"/>
    <s v=""/>
    <x v="1"/>
    <d v="1899-12-30T00:00:00"/>
    <d v="2021-10-18T05:48:22"/>
    <d v="2021-10-18T05:48:22"/>
    <b v="0"/>
    <d v="2021-10-18T05:48:22"/>
    <d v="2021-10-18T05:48:22"/>
    <d v="1899-12-30T00:00:00"/>
    <s v=""/>
    <s v=""/>
    <d v="1899-12-30T00:00:00"/>
    <d v="1899-12-30T00:00:00"/>
    <s v=""/>
    <s v=""/>
    <d v="1899-12-30T00:00:00"/>
    <n v="1"/>
  </r>
  <r>
    <s v=" First  1  Last  1"/>
    <x v="0"/>
    <x v="0"/>
    <d v="2021-10-18T05:48:22"/>
    <s v="America/New_York"/>
    <n v="0"/>
    <d v="2021-10-18T05:48:22"/>
    <x v="1"/>
    <d v="1899-12-30T05:48:22"/>
    <n v="45"/>
    <n v="3"/>
    <s v="Vehicle1"/>
    <b v="0"/>
    <s v="Vehicle1"/>
    <n v="0"/>
    <s v=",  Trailer 1,  Trailer 2"/>
    <s v=""/>
    <s v="Driver1@abc.com444873"/>
    <x v="1"/>
    <s v="YM"/>
    <n v="7.9535514116287231E-2"/>
    <x v="1"/>
    <d v="1899-12-30T00:07:29"/>
    <s v=""/>
    <s v=""/>
    <b v="0"/>
    <d v="2021-10-18T05:48:22"/>
    <d v="2021-10-18T05:55:51"/>
    <d v="1899-12-30T00:07:29"/>
    <s v=""/>
    <s v=""/>
    <d v="1899-12-30T00:00:00"/>
    <d v="1899-12-30T00:07:29"/>
    <s v=""/>
    <s v=""/>
    <d v="1899-12-30T00:00:00"/>
    <n v="1"/>
  </r>
  <r>
    <s v=" First  1  Last  1"/>
    <x v="0"/>
    <x v="0"/>
    <d v="2021-10-18T05:55:51"/>
    <s v="America/New_York"/>
    <n v="0"/>
    <d v="2021-10-18T05:55:51"/>
    <x v="1"/>
    <d v="1899-12-30T05:55:51"/>
    <n v="45"/>
    <n v="4"/>
    <s v="Vehicle1"/>
    <b v="0"/>
    <s v="Vehicle1"/>
    <n v="0"/>
    <s v=",  Trailer 1,  Trailer 2"/>
    <s v=""/>
    <s v="Driver1@abc.com444874"/>
    <x v="1"/>
    <s v="ON"/>
    <s v=""/>
    <x v="1"/>
    <d v="1899-12-30T00:05:38"/>
    <d v="2021-10-18T05:55:51"/>
    <d v="2021-10-18T06:01:29"/>
    <b v="0"/>
    <d v="2021-10-18T05:55:51"/>
    <d v="2021-10-18T06:01:29"/>
    <d v="1899-12-30T00:05:38"/>
    <s v=""/>
    <s v=""/>
    <d v="1899-12-30T00:00:00"/>
    <d v="1899-12-30T00:05:38"/>
    <s v=""/>
    <s v=""/>
    <d v="1899-12-30T00:00:00"/>
    <n v="1"/>
  </r>
  <r>
    <s v=" First  1  Last  1"/>
    <x v="0"/>
    <x v="0"/>
    <d v="2021-10-18T06:01:29"/>
    <s v="America/New_York"/>
    <n v="0"/>
    <d v="2021-10-18T06:01:29"/>
    <x v="1"/>
    <d v="1899-12-30T06:01:29"/>
    <n v="45"/>
    <n v="5"/>
    <s v="Vehicle1"/>
    <b v="0"/>
    <s v="Vehicle1"/>
    <n v="0"/>
    <s v=",  Trailer 1,  Trailer 2"/>
    <s v=""/>
    <s v="Driver1@abc.com444875"/>
    <x v="1"/>
    <s v="D"/>
    <n v="51.340175628662109"/>
    <x v="2"/>
    <d v="1899-12-30T01:12:14"/>
    <d v="2021-10-18T06:01:29"/>
    <d v="2021-10-18T07:13:43"/>
    <b v="0"/>
    <s v=""/>
    <s v=""/>
    <d v="1899-12-30T00:00:00"/>
    <d v="2021-10-18T06:01:29"/>
    <d v="2021-10-18T07:13:43"/>
    <d v="1899-12-30T01:12:14"/>
    <d v="1899-12-30T01:12:14"/>
    <s v=""/>
    <s v=""/>
    <d v="1899-12-30T00:00:00"/>
    <n v="1"/>
  </r>
  <r>
    <s v=" First  1  Last  1"/>
    <x v="0"/>
    <x v="0"/>
    <d v="2021-10-18T07:01:29"/>
    <s v="America/New_York"/>
    <n v="0"/>
    <d v="2021-10-18T07:01:29"/>
    <x v="1"/>
    <d v="1899-12-30T07:01:29"/>
    <n v="45"/>
    <n v="6"/>
    <s v="Vehicle1"/>
    <b v="0"/>
    <s v="Vehicle1"/>
    <n v="0"/>
    <s v=",  Trailer 1,  Trailer 2"/>
    <s v=""/>
    <s v="Driver1@abc.com444876"/>
    <x v="1"/>
    <s v="INT_D"/>
    <n v="11.09520435333252"/>
    <x v="2"/>
    <d v="1899-12-30T00:00:00"/>
    <s v=""/>
    <s v=""/>
    <b v="0"/>
    <s v=""/>
    <s v=""/>
    <d v="1899-12-30T00:00:00"/>
    <d v="2021-10-18T07:01:29"/>
    <d v="2021-10-18T07:01:29"/>
    <d v="1899-12-30T00:00:00"/>
    <d v="1899-12-30T00:00:00"/>
    <s v=""/>
    <s v=""/>
    <d v="1899-12-30T00:00:00"/>
    <n v="1"/>
  </r>
  <r>
    <s v=" First  1  Last  1"/>
    <x v="0"/>
    <x v="0"/>
    <d v="2021-10-18T07:13:43"/>
    <s v="America/New_York"/>
    <n v="0"/>
    <d v="2021-10-18T07:13:43"/>
    <x v="1"/>
    <d v="1899-12-30T07:13:43"/>
    <n v="45"/>
    <n v="7"/>
    <s v="Vehicle1"/>
    <b v="0"/>
    <s v="Vehicle1"/>
    <n v="0"/>
    <s v=",  Trailer 1,  Trailer 2"/>
    <s v=""/>
    <s v="Driver1@abc.com444877"/>
    <x v="1"/>
    <s v="ON"/>
    <s v=""/>
    <x v="1"/>
    <d v="1899-12-30T00:07:06"/>
    <d v="2021-10-18T07:13:43"/>
    <d v="2021-10-18T07:20:49"/>
    <b v="0"/>
    <d v="2021-10-18T07:13:43"/>
    <d v="2021-10-18T07:20:49"/>
    <d v="1899-12-30T00:07:06"/>
    <s v=""/>
    <s v=""/>
    <d v="1899-12-30T00:00:00"/>
    <d v="1899-12-30T00:07:06"/>
    <s v=""/>
    <s v=""/>
    <d v="1899-12-30T00:00:00"/>
    <n v="1"/>
  </r>
  <r>
    <s v=" First  1  Last  1"/>
    <x v="0"/>
    <x v="0"/>
    <d v="2021-10-18T07:20:49"/>
    <s v="America/New_York"/>
    <n v="0"/>
    <d v="2021-10-18T07:20:49"/>
    <x v="1"/>
    <d v="1899-12-30T07:20:49"/>
    <n v="45"/>
    <n v="8"/>
    <s v="Vehicle1"/>
    <b v="0"/>
    <s v="Vehicle1"/>
    <n v="0"/>
    <s v=",  Trailer 1,  Trailer 2"/>
    <s v=""/>
    <s v="Driver1@abc.com444878"/>
    <x v="1"/>
    <s v="D"/>
    <n v="38.017978668212891"/>
    <x v="2"/>
    <d v="1899-12-30T02:03:47"/>
    <d v="2021-10-18T07:20:49"/>
    <d v="2021-10-18T09:24:36"/>
    <b v="0"/>
    <s v=""/>
    <s v=""/>
    <d v="1899-12-30T00:00:00"/>
    <d v="2021-10-18T07:20:49"/>
    <d v="2021-10-18T09:24:36"/>
    <d v="1899-12-30T02:03:47"/>
    <d v="1899-12-30T02:03:47"/>
    <s v=""/>
    <s v=""/>
    <d v="1899-12-30T00:00:00"/>
    <n v="1"/>
  </r>
  <r>
    <s v=" First  1  Last  1"/>
    <x v="0"/>
    <x v="0"/>
    <d v="2021-10-18T08:20:49"/>
    <s v="America/New_York"/>
    <n v="0"/>
    <d v="2021-10-18T08:20:49"/>
    <x v="1"/>
    <d v="1899-12-30T08:20:49"/>
    <n v="45"/>
    <n v="9"/>
    <s v="Vehicle1"/>
    <b v="0"/>
    <s v="Vehicle1"/>
    <n v="0"/>
    <s v=",  Trailer 1,  Trailer 2"/>
    <s v=""/>
    <s v="Driver1@abc.com444879"/>
    <x v="1"/>
    <s v="INT_D"/>
    <n v="23.542512893676758"/>
    <x v="2"/>
    <d v="1899-12-30T00:00:00"/>
    <s v=""/>
    <s v=""/>
    <b v="0"/>
    <s v=""/>
    <s v=""/>
    <d v="1899-12-30T00:00:00"/>
    <d v="2021-10-18T08:20:49"/>
    <d v="2021-10-18T08:20:49"/>
    <d v="1899-12-30T00:00:00"/>
    <d v="1899-12-30T00:00:00"/>
    <s v=""/>
    <s v=""/>
    <d v="1899-12-30T00:00:00"/>
    <n v="1"/>
  </r>
  <r>
    <s v=" First  1  Last  1"/>
    <x v="0"/>
    <x v="0"/>
    <d v="2021-10-18T09:20:49"/>
    <s v="America/New_York"/>
    <n v="0"/>
    <d v="2021-10-18T09:20:49"/>
    <x v="1"/>
    <d v="1899-12-30T09:20:49"/>
    <n v="45"/>
    <n v="10"/>
    <s v="Vehicle1"/>
    <b v="0"/>
    <s v="Vehicle1"/>
    <n v="0"/>
    <s v=",  Trailer 1,  Trailer 2"/>
    <s v=""/>
    <s v="Driver1@abc.com4448710"/>
    <x v="1"/>
    <s v="INT_D"/>
    <n v="0.19883878529071808"/>
    <x v="2"/>
    <d v="1899-12-30T00:00:00"/>
    <s v=""/>
    <s v=""/>
    <b v="0"/>
    <s v=""/>
    <s v=""/>
    <d v="1899-12-30T00:00:00"/>
    <d v="2021-10-18T09:20:49"/>
    <d v="2021-10-18T09:20:49"/>
    <d v="1899-12-30T00:00:00"/>
    <d v="1899-12-30T00:00:00"/>
    <s v=""/>
    <s v=""/>
    <d v="1899-12-30T00:00:00"/>
    <n v="1"/>
  </r>
  <r>
    <s v=" First  1  Last  1"/>
    <x v="0"/>
    <x v="0"/>
    <d v="2021-10-18T09:24:36"/>
    <s v="America/New_York"/>
    <n v="0"/>
    <d v="2021-10-18T09:24:36"/>
    <x v="1"/>
    <d v="1899-12-30T09:24:36"/>
    <n v="45"/>
    <n v="11"/>
    <s v="Vehicle1"/>
    <b v="0"/>
    <s v="Vehicle1"/>
    <n v="0"/>
    <s v=",  Trailer 1,  Trailer 2"/>
    <s v=""/>
    <s v="Driver1@abc.com4448711"/>
    <x v="1"/>
    <s v="ON"/>
    <s v=""/>
    <x v="1"/>
    <d v="1899-12-30T00:13:41"/>
    <d v="2021-10-18T09:24:36"/>
    <d v="2021-10-18T09:38:17"/>
    <b v="0"/>
    <d v="2021-10-18T09:24:36"/>
    <d v="2021-10-18T09:38:17"/>
    <d v="1899-12-30T00:13:41"/>
    <s v=""/>
    <s v=""/>
    <d v="1899-12-30T00:00:00"/>
    <d v="1899-12-30T00:13:41"/>
    <s v=""/>
    <s v=""/>
    <d v="1899-12-30T00:00:00"/>
    <n v="1"/>
  </r>
  <r>
    <s v=" First  1  Last  1"/>
    <x v="0"/>
    <x v="0"/>
    <d v="2021-10-18T09:38:17"/>
    <s v="America/New_York"/>
    <n v="0"/>
    <d v="2021-10-18T09:38:17"/>
    <x v="1"/>
    <d v="1899-12-30T09:38:17"/>
    <n v="45"/>
    <n v="12"/>
    <s v="Vehicle1"/>
    <b v="0"/>
    <s v="Vehicle1"/>
    <n v="0"/>
    <s v=",  Trailer 1,  Trailer 2"/>
    <s v=""/>
    <s v="Driver1@abc.com4448712"/>
    <x v="1"/>
    <s v="D"/>
    <n v="11.811023712158203"/>
    <x v="2"/>
    <d v="1899-12-30T00:31:15"/>
    <d v="2021-10-18T09:38:17"/>
    <d v="2021-10-18T10:09:32"/>
    <b v="0"/>
    <s v=""/>
    <s v=""/>
    <d v="1899-12-30T00:00:00"/>
    <d v="2021-10-18T09:38:17"/>
    <d v="2021-10-18T10:09:32"/>
    <d v="1899-12-30T00:31:15"/>
    <d v="1899-12-30T00:31:15"/>
    <s v=""/>
    <s v=""/>
    <d v="1899-12-30T00:00:00"/>
    <n v="1"/>
  </r>
  <r>
    <s v=" First  1  Last  1"/>
    <x v="0"/>
    <x v="0"/>
    <d v="2021-10-18T10:09:32"/>
    <s v="America/New_York"/>
    <n v="0"/>
    <d v="2021-10-18T10:09:32"/>
    <x v="1"/>
    <d v="1899-12-30T10:09:32"/>
    <n v="45"/>
    <n v="13"/>
    <s v="Vehicle1"/>
    <b v="0"/>
    <s v="Vehicle1"/>
    <n v="0"/>
    <s v=",  Trailer 1,  Trailer 2"/>
    <s v=""/>
    <s v="Driver1@abc.com4448713"/>
    <x v="1"/>
    <s v="ON"/>
    <s v=""/>
    <x v="1"/>
    <d v="1899-12-30T00:09:02"/>
    <d v="2021-10-18T10:09:32"/>
    <d v="2021-10-18T10:18:34"/>
    <b v="0"/>
    <d v="2021-10-18T10:09:32"/>
    <d v="2021-10-18T10:18:34"/>
    <d v="1899-12-30T00:09:02"/>
    <s v=""/>
    <s v=""/>
    <d v="1899-12-30T00:00:00"/>
    <d v="1899-12-30T00:09:02"/>
    <s v=""/>
    <s v=""/>
    <d v="1899-12-30T00:00:00"/>
    <n v="1"/>
  </r>
  <r>
    <s v=" First  1  Last  1"/>
    <x v="0"/>
    <x v="0"/>
    <d v="2021-10-18T10:18:34"/>
    <s v="America/New_York"/>
    <n v="0"/>
    <d v="2021-10-18T10:18:34"/>
    <x v="1"/>
    <d v="1899-12-30T10:18:34"/>
    <n v="45"/>
    <n v="14"/>
    <s v="Vehicle1"/>
    <b v="0"/>
    <s v="Vehicle1"/>
    <n v="0"/>
    <s v=",  Trailer 1,  Trailer 2"/>
    <s v=""/>
    <s v="Driver1@abc.com4448714"/>
    <x v="1"/>
    <s v="D"/>
    <n v="2.9428141117095947"/>
    <x v="2"/>
    <d v="1899-12-30T00:12:08"/>
    <d v="2021-10-18T10:18:34"/>
    <d v="2021-10-18T10:30:42"/>
    <b v="0"/>
    <s v=""/>
    <s v=""/>
    <d v="1899-12-30T00:00:00"/>
    <d v="2021-10-18T10:18:34"/>
    <d v="2021-10-18T10:30:42"/>
    <d v="1899-12-30T00:12:08"/>
    <d v="1899-12-30T00:12:08"/>
    <s v=""/>
    <s v=""/>
    <d v="1899-12-30T00:00:00"/>
    <n v="1"/>
  </r>
  <r>
    <s v=" First  1  Last  1"/>
    <x v="0"/>
    <x v="0"/>
    <d v="2021-10-18T10:30:42"/>
    <s v="America/New_York"/>
    <n v="0"/>
    <d v="2021-10-18T10:30:42"/>
    <x v="1"/>
    <d v="1899-12-30T10:30:42"/>
    <n v="45"/>
    <n v="15"/>
    <s v="Vehicle1"/>
    <b v="0"/>
    <s v="Vehicle1"/>
    <n v="0"/>
    <s v=",  Trailer 1,  Trailer 2"/>
    <s v=""/>
    <s v="Driver1@abc.com4448715"/>
    <x v="1"/>
    <s v="ON"/>
    <s v=""/>
    <x v="1"/>
    <d v="1899-12-30T00:08:23"/>
    <d v="2021-10-18T10:30:42"/>
    <d v="2021-10-18T10:39:05"/>
    <b v="0"/>
    <d v="2021-10-18T10:30:42"/>
    <d v="2021-10-18T10:39:05"/>
    <d v="1899-12-30T00:08:23"/>
    <s v=""/>
    <s v=""/>
    <d v="1899-12-30T00:00:00"/>
    <d v="1899-12-30T00:08:23"/>
    <s v=""/>
    <s v=""/>
    <d v="1899-12-30T00:00:00"/>
    <n v="1"/>
  </r>
  <r>
    <s v=" First  1  Last  1"/>
    <x v="0"/>
    <x v="0"/>
    <d v="2021-10-18T10:39:05"/>
    <s v="America/New_York"/>
    <n v="0"/>
    <d v="2021-10-18T10:39:05"/>
    <x v="1"/>
    <d v="1899-12-30T10:39:05"/>
    <n v="45"/>
    <n v="16"/>
    <s v="Vehicle1"/>
    <b v="0"/>
    <s v="Vehicle1"/>
    <n v="0"/>
    <s v=",  Trailer 1,  Trailer 2"/>
    <s v=""/>
    <s v="Driver1@abc.com4448716"/>
    <x v="1"/>
    <s v="D"/>
    <n v="3.0223495960235596"/>
    <x v="2"/>
    <d v="1899-12-30T00:11:18"/>
    <d v="2021-10-18T10:39:05"/>
    <d v="2021-10-18T10:50:23"/>
    <b v="0"/>
    <s v=""/>
    <s v=""/>
    <d v="1899-12-30T00:00:00"/>
    <d v="2021-10-18T10:39:05"/>
    <d v="2021-10-18T10:50:23"/>
    <d v="1899-12-30T00:11:18"/>
    <d v="1899-12-30T00:11:18"/>
    <s v=""/>
    <s v=""/>
    <d v="1899-12-30T00:00:00"/>
    <n v="1"/>
  </r>
  <r>
    <s v=" First  1  Last  1"/>
    <x v="0"/>
    <x v="0"/>
    <d v="2021-10-18T10:50:23"/>
    <s v="America/New_York"/>
    <n v="0"/>
    <d v="2021-10-18T10:50:23"/>
    <x v="1"/>
    <d v="1899-12-30T10:50:23"/>
    <n v="45"/>
    <n v="17"/>
    <s v="Vehicle1"/>
    <b v="0"/>
    <s v="Vehicle1"/>
    <n v="0"/>
    <s v=",  Trailer 1,  Trailer 2"/>
    <s v=""/>
    <s v="Driver1@abc.com4448717"/>
    <x v="1"/>
    <s v="ON"/>
    <s v=""/>
    <x v="1"/>
    <d v="1899-12-30T00:20:05"/>
    <d v="2021-10-18T10:50:23"/>
    <d v="2021-10-18T11:10:28"/>
    <b v="0"/>
    <d v="2021-10-18T10:50:23"/>
    <d v="2021-10-18T11:10:28"/>
    <d v="1899-12-30T00:20:05"/>
    <s v=""/>
    <s v=""/>
    <d v="1899-12-30T00:00:00"/>
    <d v="1899-12-30T00:20:05"/>
    <s v=""/>
    <s v=""/>
    <d v="1899-12-30T00:00:00"/>
    <n v="1"/>
  </r>
  <r>
    <s v=" First  1  Last  1"/>
    <x v="0"/>
    <x v="0"/>
    <d v="2021-10-18T11:10:28"/>
    <s v="America/New_York"/>
    <n v="0"/>
    <d v="2021-10-18T11:10:28"/>
    <x v="1"/>
    <d v="1899-12-30T11:10:28"/>
    <n v="45"/>
    <n v="18"/>
    <s v="Vehicle1"/>
    <b v="0"/>
    <s v="Vehicle1"/>
    <n v="0"/>
    <s v=",  Trailer 1,  Trailer 2"/>
    <s v=""/>
    <s v="Driver1@abc.com4448718"/>
    <x v="1"/>
    <s v="D"/>
    <n v="7.9137840270996094"/>
    <x v="2"/>
    <d v="1899-12-30T00:18:50"/>
    <d v="2021-10-18T11:10:28"/>
    <d v="2021-10-18T11:29:18"/>
    <b v="0"/>
    <s v=""/>
    <s v=""/>
    <d v="1899-12-30T00:00:00"/>
    <d v="2021-10-18T11:10:28"/>
    <d v="2021-10-18T11:29:18"/>
    <d v="1899-12-30T00:18:50"/>
    <d v="1899-12-30T00:18:50"/>
    <s v=""/>
    <s v=""/>
    <d v="1899-12-30T00:00:00"/>
    <n v="1"/>
  </r>
  <r>
    <s v=" First  1  Last  1"/>
    <x v="0"/>
    <x v="0"/>
    <d v="2021-10-18T11:29:18"/>
    <s v="America/New_York"/>
    <n v="0"/>
    <d v="2021-10-18T11:29:18"/>
    <x v="1"/>
    <d v="1899-12-30T11:29:18"/>
    <n v="45"/>
    <n v="19"/>
    <s v="Vehicle1"/>
    <b v="0"/>
    <s v="Vehicle1"/>
    <n v="0"/>
    <s v=",  Trailer 1,  Trailer 2"/>
    <s v=""/>
    <s v="Driver1@abc.com4448719"/>
    <x v="1"/>
    <s v="ON"/>
    <s v=""/>
    <x v="1"/>
    <d v="1899-12-30T00:14:49"/>
    <d v="2021-10-18T11:29:18"/>
    <d v="2021-10-18T11:44:07"/>
    <b v="0"/>
    <d v="2021-10-18T11:29:18"/>
    <d v="2021-10-18T11:44:07"/>
    <d v="1899-12-30T00:14:49"/>
    <s v=""/>
    <s v=""/>
    <d v="1899-12-30T00:00:00"/>
    <d v="1899-12-30T00:14:49"/>
    <s v=""/>
    <s v=""/>
    <d v="1899-12-30T00:00:00"/>
    <n v="1"/>
  </r>
  <r>
    <s v=" First  1  Last  1"/>
    <x v="0"/>
    <x v="0"/>
    <d v="2021-10-18T11:44:07"/>
    <s v="America/New_York"/>
    <n v="0"/>
    <d v="2021-10-18T11:44:07"/>
    <x v="1"/>
    <d v="1899-12-30T11:44:07"/>
    <n v="45"/>
    <n v="20"/>
    <s v="Vehicle1"/>
    <b v="0"/>
    <s v="Vehicle1"/>
    <n v="0"/>
    <s v=",  Trailer 1,  Trailer 2"/>
    <s v=""/>
    <s v="Driver1@abc.com4448720"/>
    <x v="1"/>
    <s v="D"/>
    <n v="8.3512296676635742"/>
    <x v="2"/>
    <d v="1899-12-30T00:30:45"/>
    <d v="2021-10-18T11:44:07"/>
    <d v="2021-10-18T12:14:52"/>
    <b v="0"/>
    <s v=""/>
    <s v=""/>
    <d v="1899-12-30T00:00:00"/>
    <d v="2021-10-18T11:44:07"/>
    <d v="2021-10-18T12:14:52"/>
    <d v="1899-12-30T00:30:45"/>
    <d v="1899-12-30T00:30:45"/>
    <s v=""/>
    <s v=""/>
    <d v="1899-12-30T00:00:00"/>
    <n v="1"/>
  </r>
  <r>
    <s v=" First  1  Last  1"/>
    <x v="0"/>
    <x v="0"/>
    <d v="2021-10-18T12:14:52"/>
    <s v="America/New_York"/>
    <n v="0"/>
    <d v="2021-10-18T12:14:52"/>
    <x v="1"/>
    <d v="1899-12-30T12:14:52"/>
    <n v="45"/>
    <n v="21"/>
    <s v="Vehicle1"/>
    <b v="0"/>
    <s v="Vehicle1"/>
    <n v="0"/>
    <s v=",  Trailer 1,  Trailer 2"/>
    <s v=""/>
    <s v="Driver1@abc.com4448721"/>
    <x v="1"/>
    <s v="ON"/>
    <s v=""/>
    <x v="1"/>
    <d v="1899-12-30T00:06:51"/>
    <d v="2021-10-18T12:14:52"/>
    <d v="2021-10-18T12:21:43"/>
    <b v="0"/>
    <d v="2021-10-18T12:14:52"/>
    <d v="2021-10-18T12:21:43"/>
    <d v="1899-12-30T00:06:51"/>
    <s v=""/>
    <s v=""/>
    <d v="1899-12-30T00:00:00"/>
    <d v="1899-12-30T00:06:51"/>
    <s v=""/>
    <s v=""/>
    <d v="1899-12-30T00:00:00"/>
    <n v="1"/>
  </r>
  <r>
    <s v=" First  1  Last  1"/>
    <x v="0"/>
    <x v="0"/>
    <d v="2021-10-18T12:21:43"/>
    <s v="America/New_York"/>
    <n v="0"/>
    <d v="2021-10-18T12:21:43"/>
    <x v="1"/>
    <d v="1899-12-30T12:21:43"/>
    <n v="45"/>
    <n v="22"/>
    <s v="Vehicle1"/>
    <b v="0"/>
    <s v="Vehicle1"/>
    <n v="0"/>
    <s v=",  Trailer 1,  Trailer 2"/>
    <s v=""/>
    <s v="Driver1@abc.com4448722"/>
    <x v="1"/>
    <s v="D"/>
    <n v="35.313770294189453"/>
    <x v="2"/>
    <d v="1899-12-30T00:45:40"/>
    <d v="2021-10-18T12:21:43"/>
    <d v="2021-10-18T13:07:23"/>
    <b v="0"/>
    <s v=""/>
    <s v=""/>
    <d v="1899-12-30T00:00:00"/>
    <d v="2021-10-18T12:21:43"/>
    <d v="2021-10-18T13:07:23"/>
    <d v="1899-12-30T00:45:40"/>
    <d v="1899-12-30T00:45:40"/>
    <s v=""/>
    <s v=""/>
    <d v="1899-12-30T00:00:00"/>
    <n v="1"/>
  </r>
  <r>
    <s v=" First  1  Last  1"/>
    <x v="0"/>
    <x v="0"/>
    <d v="2021-10-18T13:07:23"/>
    <s v="America/New_York"/>
    <n v="0"/>
    <d v="2021-10-18T13:07:23"/>
    <x v="1"/>
    <d v="1899-12-30T13:07:23"/>
    <n v="45"/>
    <n v="23"/>
    <s v="Vehicle1"/>
    <b v="0"/>
    <s v="Vehicle1"/>
    <n v="0"/>
    <s v=",  Trailer 1,  Trailer 2"/>
    <s v=""/>
    <s v="Driver1@abc.com4448723"/>
    <x v="1"/>
    <s v="ON"/>
    <s v=""/>
    <x v="1"/>
    <d v="1899-12-30T00:00:00"/>
    <d v="2021-10-18T13:07:23"/>
    <d v="2021-10-18T13:07:23"/>
    <b v="0"/>
    <d v="2021-10-18T13:07:23"/>
    <d v="2021-10-18T13:07:23"/>
    <d v="1899-12-30T00:00:00"/>
    <s v=""/>
    <s v=""/>
    <d v="1899-12-30T00:00:00"/>
    <d v="1899-12-30T00:00:00"/>
    <s v=""/>
    <s v=""/>
    <d v="1899-12-30T00:00:00"/>
    <n v="1"/>
  </r>
  <r>
    <s v=" First  1  Last  1"/>
    <x v="0"/>
    <x v="0"/>
    <d v="2021-10-18T13:07:23"/>
    <s v="America/New_York"/>
    <n v="0"/>
    <d v="2021-10-18T13:07:23"/>
    <x v="1"/>
    <d v="1899-12-30T13:07:23"/>
    <n v="45"/>
    <n v="24"/>
    <s v="Vehicle1"/>
    <b v="0"/>
    <s v="Vehicle1"/>
    <n v="0"/>
    <s v=",  Trailer 1,  Trailer 2"/>
    <s v=""/>
    <s v="Driver1@abc.com4448724"/>
    <x v="1"/>
    <s v="YM"/>
    <n v="3.9767757058143616E-2"/>
    <x v="1"/>
    <d v="1899-12-30T00:04:06"/>
    <s v=""/>
    <s v=""/>
    <b v="0"/>
    <d v="2021-10-18T13:07:23"/>
    <d v="2021-10-18T13:11:29"/>
    <d v="1899-12-30T00:04:06"/>
    <s v=""/>
    <s v=""/>
    <d v="1899-12-30T00:00:00"/>
    <d v="1899-12-30T00:04:06"/>
    <s v=""/>
    <s v=""/>
    <d v="1899-12-30T00:00:00"/>
    <n v="1"/>
  </r>
  <r>
    <s v=" First  1  Last  1"/>
    <x v="0"/>
    <x v="0"/>
    <d v="2021-10-18T13:11:29"/>
    <s v="America/New_York"/>
    <n v="0"/>
    <d v="2021-10-18T13:11:29"/>
    <x v="1"/>
    <d v="1899-12-30T13:11:29"/>
    <n v="45"/>
    <n v="25"/>
    <s v="Vehicle1"/>
    <b v="0"/>
    <s v="Vehicle1"/>
    <n v="0"/>
    <s v=",  Trailer 1,  Trailer 2"/>
    <s v=""/>
    <s v="Driver1@abc.com4448725"/>
    <x v="1"/>
    <s v="ON"/>
    <s v=""/>
    <x v="1"/>
    <d v="1899-12-30T00:18:53"/>
    <d v="2021-10-18T13:11:29"/>
    <d v="2021-10-18T13:30:22"/>
    <b v="0"/>
    <d v="2021-10-18T13:11:29"/>
    <d v="2021-10-18T13:30:22"/>
    <d v="1899-12-30T00:18:53"/>
    <s v=""/>
    <s v=""/>
    <d v="1899-12-30T00:00:00"/>
    <d v="1899-12-30T00:18:53"/>
    <s v=""/>
    <s v=""/>
    <d v="1899-12-30T00:00:00"/>
    <n v="1"/>
  </r>
  <r>
    <s v=" First  1  Last  1"/>
    <x v="0"/>
    <x v="0"/>
    <d v="2021-10-18T13:30:22"/>
    <s v="America/New_York"/>
    <n v="0"/>
    <d v="2021-10-18T13:30:22"/>
    <x v="1"/>
    <d v="1899-12-30T13:30:22"/>
    <n v="45"/>
    <n v="26"/>
    <s v="Vehicle1"/>
    <b v="0"/>
    <s v="Vehicle1"/>
    <n v="0"/>
    <s v=",  Trailer 1,  Trailer 2"/>
    <s v=""/>
    <s v="Driver1@abc.com4448726"/>
    <x v="1"/>
    <s v="ON"/>
    <s v=""/>
    <x v="1"/>
    <d v="1899-12-30T00:09:33"/>
    <d v="2021-10-18T13:30:22"/>
    <d v="2021-10-18T13:39:55"/>
    <b v="0"/>
    <d v="2021-10-18T13:30:22"/>
    <d v="2021-10-18T13:39:55"/>
    <d v="1899-12-30T00:09:33"/>
    <s v=""/>
    <s v=""/>
    <d v="1899-12-30T00:00:00"/>
    <d v="1899-12-30T00:09:33"/>
    <s v=""/>
    <s v=""/>
    <d v="1899-12-30T00:00:00"/>
    <n v="1"/>
  </r>
  <r>
    <s v=" First  1  Last  1"/>
    <x v="0"/>
    <x v="0"/>
    <d v="2021-10-18T13:39:55"/>
    <s v="America/New_York"/>
    <n v="0"/>
    <d v="2021-10-18T13:39:55"/>
    <x v="1"/>
    <d v="1899-12-30T13:39:55"/>
    <n v="45"/>
    <n v="27"/>
    <s v="Vehicle1"/>
    <b v="0"/>
    <s v="Vehicle1"/>
    <n v="0"/>
    <s v=",  Trailer 1,  Trailer 2"/>
    <s v=""/>
    <s v="Driver1@abc.com4448727"/>
    <x v="1"/>
    <s v="D"/>
    <n v="1.1532649993896484"/>
    <x v="2"/>
    <d v="1899-12-30T00:04:39"/>
    <d v="2021-10-18T13:39:55"/>
    <d v="2021-10-18T13:44:34"/>
    <b v="0"/>
    <s v=""/>
    <s v=""/>
    <d v="1899-12-30T00:00:00"/>
    <d v="2021-10-18T13:39:55"/>
    <d v="2021-10-18T13:44:34"/>
    <d v="1899-12-30T00:04:39"/>
    <d v="1899-12-30T00:04:39"/>
    <s v=""/>
    <s v=""/>
    <d v="1899-12-30T00:00:00"/>
    <n v="1"/>
  </r>
  <r>
    <s v=" First  1  Last  1"/>
    <x v="0"/>
    <x v="0"/>
    <d v="2021-10-18T13:44:34"/>
    <s v="America/New_York"/>
    <n v="0"/>
    <d v="2021-10-18T13:44:34"/>
    <x v="1"/>
    <d v="1899-12-30T13:44:34"/>
    <n v="45"/>
    <n v="28"/>
    <s v="Vehicle1"/>
    <b v="0"/>
    <s v="Vehicle1"/>
    <n v="0"/>
    <s v=",  Trailer 1,  Trailer 2"/>
    <s v=""/>
    <s v="Driver1@abc.com4448728"/>
    <x v="1"/>
    <s v="ON"/>
    <s v=""/>
    <x v="1"/>
    <d v="1899-12-30T00:13:40"/>
    <d v="2021-10-18T13:44:34"/>
    <d v="2021-10-18T13:58:14"/>
    <b v="0"/>
    <d v="2021-10-18T13:44:34"/>
    <d v="2021-10-18T13:58:14"/>
    <d v="1899-12-30T00:13:40"/>
    <s v=""/>
    <s v=""/>
    <d v="1899-12-30T00:00:00"/>
    <d v="1899-12-30T00:13:40"/>
    <s v=""/>
    <s v=""/>
    <d v="1899-12-30T00:00:00"/>
    <n v="1"/>
  </r>
  <r>
    <s v=" First  1  Last  1"/>
    <x v="0"/>
    <x v="0"/>
    <d v="2021-10-18T13:58:14"/>
    <s v="America/New_York"/>
    <n v="0"/>
    <d v="2021-10-18T13:58:14"/>
    <x v="1"/>
    <d v="1899-12-30T13:58:14"/>
    <n v="45"/>
    <n v="29"/>
    <s v="Vehicle1"/>
    <b v="0"/>
    <s v="Vehicle1"/>
    <n v="0"/>
    <s v=",  Trailer 1,  Trailer 2"/>
    <s v=""/>
    <s v="Driver1@abc.com4448729"/>
    <x v="1"/>
    <s v="D"/>
    <n v="0.83512294292449951"/>
    <x v="2"/>
    <d v="1899-12-30T00:04:49"/>
    <d v="2021-10-18T13:58:14"/>
    <d v="2021-10-18T14:03:03"/>
    <b v="0"/>
    <s v=""/>
    <s v=""/>
    <d v="1899-12-30T00:00:00"/>
    <d v="2021-10-18T13:58:14"/>
    <d v="2021-10-18T14:03:03"/>
    <d v="1899-12-30T00:04:49"/>
    <d v="1899-12-30T00:04:49"/>
    <s v=""/>
    <s v=""/>
    <d v="1899-12-30T00:00:00"/>
    <n v="1"/>
  </r>
  <r>
    <s v=" First  1  Last  1"/>
    <x v="0"/>
    <x v="0"/>
    <d v="2021-10-18T14:03:03"/>
    <s v="America/New_York"/>
    <n v="0"/>
    <d v="2021-10-18T14:03:03"/>
    <x v="1"/>
    <d v="1899-12-30T14:03:03"/>
    <n v="45"/>
    <n v="30"/>
    <s v="Vehicle1"/>
    <b v="0"/>
    <s v="Vehicle1"/>
    <n v="0"/>
    <s v=",  Trailer 1,  Trailer 2"/>
    <s v=""/>
    <s v="Driver1@abc.com4448730"/>
    <x v="1"/>
    <s v="ON"/>
    <s v=""/>
    <x v="1"/>
    <d v="1899-12-30T00:12:16"/>
    <d v="2021-10-18T14:03:03"/>
    <d v="2021-10-18T14:15:19"/>
    <b v="0"/>
    <d v="2021-10-18T14:03:03"/>
    <d v="2021-10-18T14:15:19"/>
    <d v="1899-12-30T00:12:16"/>
    <s v=""/>
    <s v=""/>
    <d v="1899-12-30T00:00:00"/>
    <d v="1899-12-30T00:12:16"/>
    <s v=""/>
    <s v=""/>
    <d v="1899-12-30T00:00:00"/>
    <n v="1"/>
  </r>
  <r>
    <s v=" First  1  Last  1"/>
    <x v="0"/>
    <x v="0"/>
    <d v="2021-10-18T14:15:19"/>
    <s v="America/New_York"/>
    <n v="0"/>
    <d v="2021-10-18T14:15:19"/>
    <x v="1"/>
    <d v="1899-12-30T14:15:19"/>
    <n v="45"/>
    <n v="31"/>
    <s v="Vehicle1"/>
    <b v="0"/>
    <s v="Vehicle1"/>
    <n v="0"/>
    <s v=",  Trailer 1,  Trailer 2"/>
    <s v=""/>
    <s v="Driver1@abc.com4448731"/>
    <x v="1"/>
    <s v="D"/>
    <n v="34.876323699951172"/>
    <x v="2"/>
    <d v="1899-12-30T00:44:27"/>
    <d v="2021-10-18T14:15:19"/>
    <d v="2021-10-18T14:59:46"/>
    <b v="0"/>
    <s v=""/>
    <s v=""/>
    <d v="1899-12-30T00:00:00"/>
    <d v="2021-10-18T14:15:19"/>
    <d v="2021-10-18T14:59:46"/>
    <d v="1899-12-30T00:44:27"/>
    <d v="1899-12-30T00:44:27"/>
    <s v=""/>
    <s v=""/>
    <d v="1899-12-30T00:00:00"/>
    <n v="1"/>
  </r>
  <r>
    <s v=" First  1  Last  1"/>
    <x v="0"/>
    <x v="0"/>
    <d v="2021-10-18T14:59:46"/>
    <s v="America/New_York"/>
    <n v="0"/>
    <d v="2021-10-18T14:59:46"/>
    <x v="1"/>
    <d v="1899-12-30T14:59:46"/>
    <n v="45"/>
    <n v="32"/>
    <s v="Vehicle1"/>
    <b v="0"/>
    <s v="Vehicle1"/>
    <n v="0"/>
    <s v=",  Trailer 1,  Trailer 2"/>
    <s v=""/>
    <s v="Driver1@abc.com4448732"/>
    <x v="1"/>
    <s v="ON"/>
    <s v=""/>
    <x v="1"/>
    <d v="1899-12-30T00:06:10"/>
    <d v="2021-10-18T14:59:46"/>
    <d v="2021-10-18T15:05:56"/>
    <b v="0"/>
    <d v="2021-10-18T14:59:46"/>
    <d v="2021-10-18T15:05:56"/>
    <d v="1899-12-30T00:06:10"/>
    <s v=""/>
    <s v=""/>
    <d v="1899-12-30T00:00:00"/>
    <d v="1899-12-30T00:06:10"/>
    <s v=""/>
    <s v=""/>
    <d v="1899-12-30T00:00:00"/>
    <n v="1"/>
  </r>
  <r>
    <s v=" First  1  Last  1"/>
    <x v="0"/>
    <x v="0"/>
    <d v="2021-10-18T15:05:56"/>
    <s v="America/New_York"/>
    <n v="0"/>
    <d v="2021-10-18T15:05:56"/>
    <x v="1"/>
    <d v="1899-12-30T15:05:56"/>
    <n v="45"/>
    <n v="33"/>
    <s v="Vehicle1"/>
    <b v="0"/>
    <s v="Vehicle1"/>
    <n v="0"/>
    <s v=",  Trailer 1,  Trailer 2"/>
    <s v=""/>
    <s v="Driver1@abc.com4448733"/>
    <x v="1"/>
    <s v="D"/>
    <n v="11.572417259216309"/>
    <x v="2"/>
    <d v="1899-12-30T00:20:24"/>
    <d v="2021-10-18T15:05:56"/>
    <d v="2021-10-18T15:26:20"/>
    <b v="0"/>
    <s v=""/>
    <s v=""/>
    <d v="1899-12-30T00:00:00"/>
    <d v="2021-10-18T15:05:56"/>
    <d v="2021-10-18T15:26:20"/>
    <d v="1899-12-30T00:20:24"/>
    <d v="1899-12-30T00:20:24"/>
    <s v=""/>
    <s v=""/>
    <d v="1899-12-30T00:00:00"/>
    <n v="1"/>
  </r>
  <r>
    <s v=" First  1  Last  1"/>
    <x v="0"/>
    <x v="0"/>
    <d v="2021-10-18T15:26:20"/>
    <s v="America/New_York"/>
    <n v="0"/>
    <d v="2021-10-18T15:26:20"/>
    <x v="1"/>
    <d v="1899-12-30T15:26:20"/>
    <n v="45"/>
    <n v="34"/>
    <s v="Vehicle1"/>
    <b v="0"/>
    <s v="Vehicle1"/>
    <n v="0"/>
    <s v=",  Trailer 1,  Trailer 2"/>
    <s v=""/>
    <s v="Driver1@abc.com4448734"/>
    <x v="1"/>
    <s v="ON"/>
    <s v=""/>
    <x v="1"/>
    <d v="1899-12-30T00:16:21"/>
    <d v="2021-10-18T15:26:20"/>
    <d v="2021-10-18T15:42:41"/>
    <b v="0"/>
    <d v="2021-10-18T15:26:20"/>
    <d v="2021-10-18T15:42:41"/>
    <d v="1899-12-30T00:16:21"/>
    <s v=""/>
    <s v=""/>
    <d v="1899-12-30T00:00:00"/>
    <d v="1899-12-30T00:16:21"/>
    <s v=""/>
    <s v=""/>
    <d v="1899-12-30T00:00:00"/>
    <n v="1"/>
  </r>
  <r>
    <s v=" First  1  Last  1"/>
    <x v="0"/>
    <x v="0"/>
    <d v="2021-10-18T15:42:41"/>
    <s v="America/New_York"/>
    <n v="0"/>
    <d v="2021-10-18T15:42:41"/>
    <x v="1"/>
    <d v="1899-12-30T15:42:41"/>
    <n v="45"/>
    <n v="35"/>
    <s v="Vehicle1"/>
    <b v="0"/>
    <s v="Vehicle1"/>
    <n v="0"/>
    <s v=",  Trailer 1,  Trailer 2"/>
    <s v=""/>
    <s v="Driver1@abc.com4448735"/>
    <x v="1"/>
    <s v="D"/>
    <n v="17.537580490112305"/>
    <x v="2"/>
    <d v="1899-12-30T00:25:16"/>
    <d v="2021-10-18T15:42:41"/>
    <d v="2021-10-18T16:07:57"/>
    <b v="0"/>
    <s v=""/>
    <s v=""/>
    <d v="1899-12-30T00:00:00"/>
    <d v="2021-10-18T15:42:41"/>
    <d v="2021-10-18T16:07:57"/>
    <d v="1899-12-30T00:25:16"/>
    <d v="1899-12-30T00:25:16"/>
    <s v=""/>
    <s v=""/>
    <d v="1899-12-30T00:00:00"/>
    <n v="1"/>
  </r>
  <r>
    <s v=" First  1  Last  1"/>
    <x v="0"/>
    <x v="0"/>
    <d v="2021-10-18T16:07:57"/>
    <s v="America/New_York"/>
    <n v="0"/>
    <d v="2021-10-18T16:07:57"/>
    <x v="1"/>
    <d v="1899-12-30T16:07:57"/>
    <n v="45"/>
    <n v="36"/>
    <s v="Vehicle1"/>
    <b v="0"/>
    <s v="Vehicle1"/>
    <n v="0"/>
    <s v=",  Trailer 1,  Trailer 2"/>
    <s v=""/>
    <s v="Driver1@abc.com4448736"/>
    <x v="1"/>
    <s v="ON"/>
    <s v=""/>
    <x v="1"/>
    <d v="1899-12-30T00:22:55"/>
    <d v="2021-10-18T16:07:57"/>
    <d v="2021-10-18T16:30:52"/>
    <b v="0"/>
    <d v="2021-10-18T16:07:57"/>
    <d v="2021-10-18T16:30:52"/>
    <d v="1899-12-30T00:22:55"/>
    <s v=""/>
    <s v=""/>
    <d v="1899-12-30T00:00:00"/>
    <d v="1899-12-30T00:22:55"/>
    <s v=""/>
    <s v=""/>
    <d v="1899-12-30T00:00:00"/>
    <n v="1"/>
  </r>
  <r>
    <s v=" First  1  Last  1"/>
    <x v="0"/>
    <x v="0"/>
    <d v="2021-10-18T16:30:52"/>
    <s v="America/New_York"/>
    <n v="0"/>
    <d v="2021-10-18T16:30:52"/>
    <x v="1"/>
    <d v="1899-12-30T16:30:52"/>
    <n v="45"/>
    <n v="37"/>
    <s v="Vehicle1"/>
    <b v="0"/>
    <s v="Vehicle1"/>
    <n v="0"/>
    <s v=",  Trailer 1,  Trailer 2"/>
    <s v=""/>
    <s v="Driver1@abc.com4448737"/>
    <x v="1"/>
    <s v="D"/>
    <n v="55.316951751708984"/>
    <x v="2"/>
    <d v="1899-12-30T01:04:54"/>
    <d v="2021-10-18T16:30:52"/>
    <d v="2021-10-18T17:35:46"/>
    <b v="0"/>
    <s v=""/>
    <s v=""/>
    <d v="1899-12-30T00:00:00"/>
    <d v="2021-10-18T16:30:52"/>
    <d v="2021-10-18T17:35:46"/>
    <d v="1899-12-30T01:04:54"/>
    <d v="1899-12-30T01:04:54"/>
    <s v=""/>
    <s v=""/>
    <d v="1899-12-30T00:00:00"/>
    <n v="1"/>
  </r>
  <r>
    <s v=" First  1  Last  1"/>
    <x v="0"/>
    <x v="0"/>
    <d v="2021-10-18T17:30:52"/>
    <s v="America/New_York"/>
    <n v="0"/>
    <d v="2021-10-18T17:30:52"/>
    <x v="1"/>
    <d v="1899-12-30T17:30:52"/>
    <n v="45"/>
    <n v="38"/>
    <s v="Vehicle1"/>
    <b v="0"/>
    <s v="Vehicle1"/>
    <n v="0"/>
    <s v=",  Trailer 1,  Trailer 2"/>
    <s v=""/>
    <s v="Driver1@abc.com4448738"/>
    <x v="1"/>
    <s v="INT_D"/>
    <n v="0.2783743143081665"/>
    <x v="2"/>
    <d v="1899-12-30T00:00:00"/>
    <s v=""/>
    <s v=""/>
    <b v="0"/>
    <s v=""/>
    <s v=""/>
    <d v="1899-12-30T00:00:00"/>
    <d v="2021-10-18T17:30:52"/>
    <d v="2021-10-18T17:30:52"/>
    <d v="1899-12-30T00:00:00"/>
    <d v="1899-12-30T00:00:00"/>
    <s v=""/>
    <s v=""/>
    <d v="1899-12-30T00:00:00"/>
    <n v="1"/>
  </r>
  <r>
    <s v=" First  1  Last  1"/>
    <x v="0"/>
    <x v="0"/>
    <d v="2021-10-18T17:35:46"/>
    <s v="America/New_York"/>
    <n v="0"/>
    <d v="2021-10-18T17:35:46"/>
    <x v="1"/>
    <d v="1899-12-30T17:35:46"/>
    <n v="45"/>
    <n v="39"/>
    <s v="Vehicle1"/>
    <b v="0"/>
    <s v="Vehicle1"/>
    <n v="0"/>
    <s v=",  Trailer 1,  Trailer 2"/>
    <s v=""/>
    <s v="Driver1@abc.com4448739"/>
    <x v="1"/>
    <s v="ON"/>
    <s v=""/>
    <x v="1"/>
    <d v="1899-12-30T00:15:03"/>
    <d v="2021-10-18T17:35:46"/>
    <d v="2021-10-18T17:50:49"/>
    <b v="0"/>
    <d v="2021-10-18T17:35:46"/>
    <d v="2021-10-18T17:50:49"/>
    <d v="1899-12-30T00:15:03"/>
    <s v=""/>
    <s v=""/>
    <d v="1899-12-30T00:00:00"/>
    <d v="1899-12-30T00:15:03"/>
    <s v=""/>
    <s v=""/>
    <d v="1899-12-30T00:00:00"/>
    <n v="1"/>
  </r>
  <r>
    <s v=" First  1  Last  1"/>
    <x v="0"/>
    <x v="0"/>
    <d v="2021-10-18T17:50:49"/>
    <s v="America/New_York"/>
    <n v="0"/>
    <d v="2021-10-18T17:50:49"/>
    <x v="1"/>
    <d v="1899-12-30T17:50:49"/>
    <n v="45"/>
    <n v="40"/>
    <s v="Vehicle1"/>
    <b v="0"/>
    <s v="Vehicle1"/>
    <n v="0"/>
    <s v=",  Trailer 1,  Trailer 2"/>
    <s v=""/>
    <s v="Driver1@abc.com4448740"/>
    <x v="1"/>
    <s v="D"/>
    <n v="44.659191131591797"/>
    <x v="2"/>
    <d v="1899-12-30T00:53:27"/>
    <d v="2021-10-18T17:50:49"/>
    <d v="2021-10-18T18:44:16"/>
    <b v="0"/>
    <s v=""/>
    <s v=""/>
    <d v="1899-12-30T00:00:00"/>
    <d v="2021-10-18T17:50:49"/>
    <d v="2021-10-18T18:44:16"/>
    <d v="1899-12-30T00:53:27"/>
    <d v="1899-12-30T00:53:27"/>
    <s v=""/>
    <s v=""/>
    <d v="1899-12-30T00:00:00"/>
    <n v="1"/>
  </r>
  <r>
    <s v=" First  1  Last  1"/>
    <x v="0"/>
    <x v="0"/>
    <d v="2021-10-18T18:44:16"/>
    <s v="America/New_York"/>
    <n v="0"/>
    <d v="2021-10-18T18:44:16"/>
    <x v="1"/>
    <d v="1899-12-30T18:44:16"/>
    <n v="45"/>
    <n v="41"/>
    <s v="Vehicle1"/>
    <b v="0"/>
    <s v="Vehicle1"/>
    <n v="0"/>
    <s v=",  Trailer 1,  Trailer 2"/>
    <s v=""/>
    <s v="Driver1@abc.com4448741"/>
    <x v="1"/>
    <s v="ON"/>
    <s v=""/>
    <x v="1"/>
    <d v="1899-12-30T00:00:00"/>
    <d v="2021-10-18T18:44:16"/>
    <d v="2021-10-18T18:44:16"/>
    <b v="0"/>
    <d v="2021-10-18T18:44:16"/>
    <d v="2021-10-18T18:44:16"/>
    <d v="1899-12-30T00:00:00"/>
    <s v=""/>
    <s v=""/>
    <d v="1899-12-30T00:00:00"/>
    <d v="1899-12-30T00:00:00"/>
    <s v=""/>
    <s v=""/>
    <d v="1899-12-30T00:00:00"/>
    <n v="1"/>
  </r>
  <r>
    <s v=" First  1  Last  1"/>
    <x v="0"/>
    <x v="0"/>
    <d v="2021-10-18T18:44:16"/>
    <s v="America/New_York"/>
    <n v="0"/>
    <d v="2021-10-18T18:44:16"/>
    <x v="1"/>
    <d v="1899-12-30T18:44:16"/>
    <n v="45"/>
    <n v="42"/>
    <s v="Vehicle1"/>
    <b v="0"/>
    <s v="Vehicle1"/>
    <n v="0"/>
    <s v=",  Trailer 1,  Trailer 2"/>
    <s v=""/>
    <s v="Driver1@abc.com4448742"/>
    <x v="1"/>
    <s v="YM"/>
    <n v="0.51698082685470581"/>
    <x v="1"/>
    <d v="1899-12-30T00:09:43"/>
    <s v=""/>
    <s v=""/>
    <b v="0"/>
    <d v="2021-10-18T18:44:16"/>
    <d v="2021-10-18T18:53:59"/>
    <d v="1899-12-30T00:09:43"/>
    <s v=""/>
    <s v=""/>
    <d v="1899-12-30T00:00:00"/>
    <d v="1899-12-30T00:09:43"/>
    <s v=""/>
    <s v=""/>
    <d v="1899-12-30T00:00:00"/>
    <n v="1"/>
  </r>
  <r>
    <s v=" First  1  Last  1"/>
    <x v="0"/>
    <x v="0"/>
    <d v="2021-10-18T18:53:59"/>
    <s v="America/New_York"/>
    <n v="0"/>
    <d v="2021-10-18T18:53:59"/>
    <x v="1"/>
    <d v="1899-12-30T18:53:59"/>
    <n v="45"/>
    <n v="43"/>
    <s v="Vehicle1"/>
    <b v="0"/>
    <s v="Vehicle1"/>
    <n v="0"/>
    <s v=",  Trailer 1,  Trailer 2"/>
    <s v=""/>
    <s v="Driver1@abc.com4448743"/>
    <x v="1"/>
    <s v="ON"/>
    <s v=""/>
    <x v="1"/>
    <d v="1899-12-30T00:00:06"/>
    <d v="2021-10-18T18:53:59"/>
    <d v="2021-10-18T18:54:05"/>
    <b v="0"/>
    <d v="2021-10-18T18:53:59"/>
    <d v="2021-10-18T18:54:05"/>
    <d v="1899-12-30T00:00:06"/>
    <s v=""/>
    <s v=""/>
    <d v="1899-12-30T00:00:00"/>
    <d v="1899-12-30T00:00:06"/>
    <s v=""/>
    <s v=""/>
    <d v="1899-12-30T00:00:00"/>
    <n v="1"/>
  </r>
  <r>
    <s v=" First  1  Last  1"/>
    <x v="0"/>
    <x v="0"/>
    <d v="2021-10-18T18:54:05"/>
    <s v="America/New_York"/>
    <n v="0"/>
    <d v="2021-10-18T18:54:05"/>
    <x v="1"/>
    <d v="1899-12-30T18:54:05"/>
    <n v="45"/>
    <n v="44"/>
    <s v="Vehicle1"/>
    <b v="0"/>
    <s v="Vehicle1"/>
    <n v="0"/>
    <s v=",  Trailer 1,  Trailer 2"/>
    <s v=""/>
    <s v="Driver1@abc.com4448744"/>
    <x v="1"/>
    <s v="ON"/>
    <s v=""/>
    <x v="1"/>
    <d v="1899-12-30T00:00:12"/>
    <d v="2021-10-18T18:54:05"/>
    <d v="2021-10-18T18:54:17"/>
    <b v="0"/>
    <d v="2021-10-18T18:54:05"/>
    <d v="2021-10-18T18:54:17"/>
    <d v="1899-12-30T00:00:12"/>
    <s v=""/>
    <s v=""/>
    <d v="1899-12-30T00:00:00"/>
    <d v="1899-12-30T00:00:12"/>
    <s v=""/>
    <s v=""/>
    <d v="1899-12-30T00:00:00"/>
    <n v="1"/>
  </r>
  <r>
    <s v=" First  1  Last  1"/>
    <x v="0"/>
    <x v="0"/>
    <d v="2021-10-18T18:54:17"/>
    <s v="America/New_York"/>
    <n v="0"/>
    <d v="2021-10-18T18:54:17"/>
    <x v="1"/>
    <d v="1899-12-30T18:54:17"/>
    <n v="45"/>
    <n v="45"/>
    <s v="Vehicle1"/>
    <b v="1"/>
    <s v="Vehicle1"/>
    <n v="0"/>
    <s v=",  Trailer 1,  Trailer 2"/>
    <s v="Vehicle(s): Vehicle1_x000a_Trailer(s): ,  Trailer 1,  Trailer 2"/>
    <s v="Driver1@abc.com4448745"/>
    <x v="1"/>
    <s v="OFF"/>
    <s v=""/>
    <x v="0"/>
    <d v="1899-12-30T11:01:06"/>
    <s v=""/>
    <s v=""/>
    <b v="1"/>
    <s v=""/>
    <s v=""/>
    <d v="1899-12-30T00:00:00"/>
    <s v=""/>
    <s v=""/>
    <d v="1899-12-30T00:00:00"/>
    <d v="1899-12-30T00:00:00"/>
    <d v="2021-10-18T18:54:17"/>
    <d v="2021-10-19T00:00:00"/>
    <d v="1899-12-30T05:05:43"/>
    <n v="1"/>
  </r>
  <r>
    <s v=" First  2  Last  2"/>
    <x v="1"/>
    <x v="1"/>
    <d v="2021-10-21T08:27:17"/>
    <s v="CST6CDT"/>
    <n v="4.1666666666666664E-2"/>
    <d v="2021-10-21T07:27:17"/>
    <x v="2"/>
    <d v="1899-12-30T07:27:17"/>
    <n v="24"/>
    <n v="1"/>
    <s v="Vehicle2"/>
    <b v="0"/>
    <s v="Vehicle2"/>
    <n v="0"/>
    <s v=""/>
    <s v=""/>
    <s v="Driver2@abc.com444901"/>
    <x v="2"/>
    <s v="ON"/>
    <s v=""/>
    <x v="1"/>
    <d v="1899-12-30T00:03:04"/>
    <d v="2021-10-21T07:27:17"/>
    <d v="2021-10-21T07:30:21"/>
    <b v="0"/>
    <d v="2021-10-21T07:27:17"/>
    <d v="2021-10-21T07:30:21"/>
    <d v="1899-12-30T00:03:04"/>
    <d v="2021-10-21T07:27:17"/>
    <d v="2021-10-21T07:27:17"/>
    <d v="1899-12-30T00:00:00"/>
    <d v="1899-12-30T00:03:04"/>
    <d v="2021-10-21T00:00:00"/>
    <d v="2021-10-21T07:27:17"/>
    <d v="1899-12-30T07:27:17"/>
    <n v="2"/>
  </r>
  <r>
    <s v=" First  2  Last  2"/>
    <x v="1"/>
    <x v="1"/>
    <d v="2021-10-21T08:30:21"/>
    <s v="CST6CDT"/>
    <n v="4.1666666666666664E-2"/>
    <d v="2021-10-21T07:30:21"/>
    <x v="2"/>
    <d v="1899-12-30T07:30:21"/>
    <n v="24"/>
    <n v="2"/>
    <s v="Vehicle2"/>
    <b v="0"/>
    <s v="Vehicle2"/>
    <n v="0"/>
    <s v=""/>
    <s v=""/>
    <s v="Driver2@abc.com444902"/>
    <x v="2"/>
    <s v="D"/>
    <n v="0"/>
    <x v="2"/>
    <d v="1899-12-30T00:01:39"/>
    <d v="2021-10-21T07:30:21"/>
    <d v="2021-10-21T07:32:00"/>
    <b v="0"/>
    <s v=""/>
    <s v=""/>
    <d v="1899-12-30T00:00:00"/>
    <d v="2021-10-21T07:30:21"/>
    <d v="2021-10-21T07:32:00"/>
    <d v="1899-12-30T00:01:39"/>
    <d v="1899-12-30T00:01:39"/>
    <s v=""/>
    <s v=""/>
    <d v="1899-12-30T00:00:00"/>
    <n v="2"/>
  </r>
  <r>
    <s v=" First  2  Last  2"/>
    <x v="1"/>
    <x v="1"/>
    <d v="2021-10-21T08:32:00"/>
    <s v="CST6CDT"/>
    <n v="4.1666666666666664E-2"/>
    <d v="2021-10-21T07:32:00"/>
    <x v="2"/>
    <d v="1899-12-30T07:32:00"/>
    <n v="24"/>
    <n v="3"/>
    <s v="Vehicle2"/>
    <b v="0"/>
    <s v="Vehicle2"/>
    <n v="0"/>
    <s v=""/>
    <s v=""/>
    <s v="Driver2@abc.com444903"/>
    <x v="2"/>
    <s v="D"/>
    <n v="17.219438552856445"/>
    <x v="2"/>
    <d v="1899-12-30T00:29:06"/>
    <d v="2021-10-21T07:32:00"/>
    <d v="2021-10-21T08:01:06"/>
    <b v="0"/>
    <s v=""/>
    <s v=""/>
    <d v="1899-12-30T00:00:00"/>
    <d v="2021-10-21T07:32:00"/>
    <d v="2021-10-21T08:01:06"/>
    <d v="1899-12-30T00:29:06"/>
    <d v="1899-12-30T00:29:06"/>
    <s v=""/>
    <s v=""/>
    <d v="1899-12-30T00:00:00"/>
    <n v="2"/>
  </r>
  <r>
    <s v=" First  2  Last  2"/>
    <x v="1"/>
    <x v="1"/>
    <d v="2021-10-21T09:01:06"/>
    <s v="CST6CDT"/>
    <n v="4.1666666666666664E-2"/>
    <d v="2021-10-21T08:01:06"/>
    <x v="2"/>
    <d v="1899-12-30T08:01:06"/>
    <n v="24"/>
    <n v="4"/>
    <s v="Vehicle2"/>
    <b v="0"/>
    <s v="Vehicle2"/>
    <n v="0"/>
    <s v=""/>
    <s v=""/>
    <s v="Driver2@abc.com444904"/>
    <x v="2"/>
    <s v="ON"/>
    <s v=""/>
    <x v="1"/>
    <d v="1899-12-30T00:26:11"/>
    <d v="2021-10-21T08:01:06"/>
    <d v="2021-10-21T08:27:17"/>
    <b v="0"/>
    <d v="2021-10-21T08:01:06"/>
    <d v="2021-10-21T08:27:17"/>
    <d v="1899-12-30T00:26:11"/>
    <s v=""/>
    <s v=""/>
    <d v="1899-12-30T00:00:00"/>
    <d v="1899-12-30T00:26:11"/>
    <s v=""/>
    <s v=""/>
    <d v="1899-12-30T00:00:00"/>
    <n v="2"/>
  </r>
  <r>
    <s v=" First  2  Last  2"/>
    <x v="1"/>
    <x v="1"/>
    <d v="2021-10-21T09:27:17"/>
    <s v="CST6CDT"/>
    <n v="4.1666666666666664E-2"/>
    <d v="2021-10-21T08:27:17"/>
    <x v="2"/>
    <d v="1899-12-30T08:27:17"/>
    <n v="24"/>
    <n v="5"/>
    <s v="Vehicle2"/>
    <b v="0"/>
    <s v="Vehicle2"/>
    <n v="0"/>
    <s v=""/>
    <s v=""/>
    <s v="Driver2@abc.com444905"/>
    <x v="2"/>
    <s v="D"/>
    <n v="2.684323787689209"/>
    <x v="2"/>
    <d v="1899-12-30T00:09:31"/>
    <d v="2021-10-21T08:27:17"/>
    <d v="2021-10-21T08:36:48"/>
    <b v="0"/>
    <s v=""/>
    <s v=""/>
    <d v="1899-12-30T00:00:00"/>
    <d v="2021-10-21T08:27:17"/>
    <d v="2021-10-21T08:36:48"/>
    <d v="1899-12-30T00:09:31"/>
    <d v="1899-12-30T00:09:31"/>
    <s v=""/>
    <s v=""/>
    <d v="1899-12-30T00:00:00"/>
    <n v="2"/>
  </r>
  <r>
    <s v=" First  2  Last  2"/>
    <x v="1"/>
    <x v="1"/>
    <d v="2021-10-21T09:36:48"/>
    <s v="CST6CDT"/>
    <n v="4.1666666666666664E-2"/>
    <d v="2021-10-21T08:36:48"/>
    <x v="2"/>
    <d v="1899-12-30T08:36:48"/>
    <n v="24"/>
    <n v="6"/>
    <s v="Vehicle2"/>
    <b v="0"/>
    <s v="Vehicle2"/>
    <n v="0"/>
    <s v=""/>
    <s v=""/>
    <s v="Driver2@abc.com444906"/>
    <x v="2"/>
    <s v="ON"/>
    <s v=""/>
    <x v="1"/>
    <d v="1899-12-30T00:00:02"/>
    <d v="2021-10-21T08:36:48"/>
    <d v="2021-10-21T08:36:50"/>
    <b v="0"/>
    <d v="2021-10-21T08:36:48"/>
    <d v="2021-10-21T08:36:50"/>
    <d v="1899-12-30T00:00:02"/>
    <s v=""/>
    <s v=""/>
    <d v="1899-12-30T00:00:00"/>
    <d v="1899-12-30T00:00:02"/>
    <s v=""/>
    <s v=""/>
    <d v="1899-12-30T00:00:00"/>
    <n v="2"/>
  </r>
  <r>
    <s v=" First  2  Last  2"/>
    <x v="1"/>
    <x v="1"/>
    <d v="2021-10-21T09:36:50"/>
    <s v="CST6CDT"/>
    <n v="4.1666666666666664E-2"/>
    <d v="2021-10-21T08:36:50"/>
    <x v="2"/>
    <d v="1899-12-30T08:36:50"/>
    <n v="24"/>
    <n v="7"/>
    <s v="Vehicle2"/>
    <b v="0"/>
    <s v="Vehicle2"/>
    <n v="0"/>
    <s v=""/>
    <s v=""/>
    <s v="Driver2@abc.com444907"/>
    <x v="2"/>
    <s v="OFF"/>
    <s v=""/>
    <x v="0"/>
    <d v="1899-12-30T01:24:16"/>
    <s v=""/>
    <s v=""/>
    <b v="0"/>
    <s v=""/>
    <s v=""/>
    <d v="1899-12-30T00:00:00"/>
    <s v=""/>
    <s v=""/>
    <d v="1899-12-30T00:00:00"/>
    <d v="1899-12-30T00:00:00"/>
    <d v="2021-10-21T08:36:50"/>
    <d v="2021-10-21T10:01:06"/>
    <d v="1899-12-30T01:24:16"/>
    <n v="2"/>
  </r>
  <r>
    <s v=" First  2  Last  2"/>
    <x v="1"/>
    <x v="1"/>
    <d v="2021-10-21T11:01:06"/>
    <s v="CST6CDT"/>
    <n v="4.1666666666666664E-2"/>
    <d v="2021-10-21T10:01:06"/>
    <x v="2"/>
    <d v="1899-12-30T10:01:06"/>
    <n v="24"/>
    <n v="8"/>
    <s v="Vehicle2"/>
    <b v="0"/>
    <s v="Vehicle2"/>
    <n v="0"/>
    <s v=""/>
    <s v=""/>
    <s v="Driver2@abc.com444908"/>
    <x v="2"/>
    <s v="D"/>
    <n v="13.441502571105957"/>
    <x v="2"/>
    <d v="1899-12-30T00:19:47"/>
    <d v="2021-10-21T10:01:06"/>
    <d v="2021-10-21T10:20:53"/>
    <b v="0"/>
    <s v=""/>
    <s v=""/>
    <d v="1899-12-30T00:00:00"/>
    <d v="2021-10-21T10:01:06"/>
    <d v="2021-10-21T10:20:53"/>
    <d v="1899-12-30T00:19:47"/>
    <d v="1899-12-30T00:19:47"/>
    <s v=""/>
    <s v=""/>
    <d v="1899-12-30T00:00:00"/>
    <n v="2"/>
  </r>
  <r>
    <s v=" First  2  Last  2"/>
    <x v="1"/>
    <x v="1"/>
    <d v="2021-10-21T11:20:53"/>
    <s v="CST6CDT"/>
    <n v="4.1666666666666664E-2"/>
    <d v="2021-10-21T10:20:53"/>
    <x v="2"/>
    <d v="1899-12-30T10:20:53"/>
    <n v="24"/>
    <n v="9"/>
    <s v="Vehicle2"/>
    <b v="0"/>
    <s v="Vehicle2"/>
    <n v="0"/>
    <s v=""/>
    <s v=""/>
    <s v="Driver2@abc.com444909"/>
    <x v="2"/>
    <s v="ON"/>
    <s v=""/>
    <x v="1"/>
    <d v="1899-12-30T00:07:34"/>
    <d v="2021-10-21T10:20:53"/>
    <d v="2021-10-21T10:28:27"/>
    <b v="0"/>
    <d v="2021-10-21T10:20:53"/>
    <d v="2021-10-21T10:28:27"/>
    <d v="1899-12-30T00:07:34"/>
    <s v=""/>
    <s v=""/>
    <d v="1899-12-30T00:00:00"/>
    <d v="1899-12-30T00:07:34"/>
    <s v=""/>
    <s v=""/>
    <d v="1899-12-30T00:00:00"/>
    <n v="2"/>
  </r>
  <r>
    <s v=" First  2  Last  2"/>
    <x v="1"/>
    <x v="1"/>
    <d v="2021-10-21T11:28:27"/>
    <s v="CST6CDT"/>
    <n v="4.1666666666666664E-2"/>
    <d v="2021-10-21T10:28:27"/>
    <x v="2"/>
    <d v="1899-12-30T10:28:27"/>
    <n v="24"/>
    <n v="10"/>
    <s v="Vehicle2"/>
    <b v="0"/>
    <s v="Vehicle2"/>
    <n v="0"/>
    <s v=""/>
    <s v=""/>
    <s v="Driver2@abc.com4449010"/>
    <x v="2"/>
    <s v="D"/>
    <n v="3.5989820957183838"/>
    <x v="2"/>
    <d v="1899-12-30T00:09:37"/>
    <d v="2021-10-21T10:28:27"/>
    <d v="2021-10-21T10:38:04"/>
    <b v="0"/>
    <s v=""/>
    <s v=""/>
    <d v="1899-12-30T00:00:00"/>
    <d v="2021-10-21T10:28:27"/>
    <d v="2021-10-21T10:38:04"/>
    <d v="1899-12-30T00:09:37"/>
    <d v="1899-12-30T00:09:37"/>
    <s v=""/>
    <s v=""/>
    <d v="1899-12-30T00:00:00"/>
    <n v="2"/>
  </r>
  <r>
    <s v=" First  2  Last  2"/>
    <x v="1"/>
    <x v="1"/>
    <d v="2021-10-21T11:38:04"/>
    <s v="CST6CDT"/>
    <n v="4.1666666666666664E-2"/>
    <d v="2021-10-21T10:38:04"/>
    <x v="2"/>
    <d v="1899-12-30T10:38:04"/>
    <n v="24"/>
    <n v="11"/>
    <s v="Vehicle2"/>
    <b v="0"/>
    <s v="Vehicle2"/>
    <n v="0"/>
    <s v=""/>
    <s v=""/>
    <s v="Driver2@abc.com4449011"/>
    <x v="2"/>
    <s v="ON"/>
    <s v=""/>
    <x v="1"/>
    <d v="1899-12-30T00:00:36"/>
    <d v="2021-10-21T10:38:04"/>
    <d v="2021-10-21T10:38:40"/>
    <b v="0"/>
    <d v="2021-10-21T10:38:04"/>
    <d v="2021-10-21T10:38:40"/>
    <d v="1899-12-30T00:00:36"/>
    <s v=""/>
    <s v=""/>
    <d v="1899-12-30T00:00:00"/>
    <d v="1899-12-30T00:00:36"/>
    <s v=""/>
    <s v=""/>
    <d v="1899-12-30T00:00:00"/>
    <n v="2"/>
  </r>
  <r>
    <s v=" First  2  Last  2"/>
    <x v="1"/>
    <x v="1"/>
    <d v="2021-10-21T11:38:40"/>
    <s v="CST6CDT"/>
    <n v="4.1666666666666664E-2"/>
    <d v="2021-10-21T10:38:40"/>
    <x v="2"/>
    <d v="1899-12-30T10:38:40"/>
    <n v="24"/>
    <n v="12"/>
    <s v="Vehicle2"/>
    <b v="0"/>
    <s v="Vehicle2"/>
    <n v="0"/>
    <s v=""/>
    <s v=""/>
    <s v="Driver2@abc.com4449012"/>
    <x v="2"/>
    <s v="ON"/>
    <s v=""/>
    <x v="1"/>
    <d v="1899-12-30T00:27:40"/>
    <d v="2021-10-21T10:38:40"/>
    <d v="2021-10-21T11:06:20"/>
    <b v="0"/>
    <d v="2021-10-21T10:38:40"/>
    <d v="2021-10-21T11:06:20"/>
    <d v="1899-12-30T00:27:40"/>
    <s v=""/>
    <s v=""/>
    <d v="1899-12-30T00:00:00"/>
    <d v="1899-12-30T00:27:40"/>
    <s v=""/>
    <s v=""/>
    <d v="1899-12-30T00:00:00"/>
    <n v="2"/>
  </r>
  <r>
    <s v=" First  2  Last  2"/>
    <x v="1"/>
    <x v="1"/>
    <d v="2021-10-21T12:06:20"/>
    <s v="CST6CDT"/>
    <n v="4.1666666666666664E-2"/>
    <d v="2021-10-21T11:06:20"/>
    <x v="2"/>
    <d v="1899-12-30T11:06:20"/>
    <n v="24"/>
    <n v="13"/>
    <s v="Vehicle2"/>
    <b v="0"/>
    <s v="Vehicle2"/>
    <n v="0"/>
    <s v=""/>
    <s v=""/>
    <s v="Driver2@abc.com4449013"/>
    <x v="2"/>
    <s v="D"/>
    <n v="0.13918715715408325"/>
    <x v="2"/>
    <d v="1899-12-30T00:01:40"/>
    <d v="2021-10-21T11:06:20"/>
    <d v="2021-10-21T11:08:00"/>
    <b v="0"/>
    <s v=""/>
    <s v=""/>
    <d v="1899-12-30T00:00:00"/>
    <d v="2021-10-21T11:06:20"/>
    <d v="2021-10-21T11:08:00"/>
    <d v="1899-12-30T00:01:40"/>
    <d v="1899-12-30T00:01:40"/>
    <s v=""/>
    <s v=""/>
    <d v="1899-12-30T00:00:00"/>
    <n v="2"/>
  </r>
  <r>
    <s v=" First  2  Last  2"/>
    <x v="1"/>
    <x v="1"/>
    <d v="2021-10-21T12:08:00"/>
    <s v="CST6CDT"/>
    <n v="4.1666666666666664E-2"/>
    <d v="2021-10-21T11:08:00"/>
    <x v="2"/>
    <d v="1899-12-30T11:08:00"/>
    <n v="24"/>
    <n v="14"/>
    <s v="Vehicle2"/>
    <b v="0"/>
    <s v="Vehicle2"/>
    <n v="0"/>
    <s v=""/>
    <s v=""/>
    <s v="Driver2@abc.com4449014"/>
    <x v="2"/>
    <s v="ON"/>
    <s v=""/>
    <x v="1"/>
    <d v="1899-12-30T00:09:18"/>
    <d v="2021-10-21T11:08:00"/>
    <d v="2021-10-21T11:17:18"/>
    <b v="0"/>
    <d v="2021-10-21T11:08:00"/>
    <d v="2021-10-21T11:17:18"/>
    <d v="1899-12-30T00:09:18"/>
    <s v=""/>
    <s v=""/>
    <d v="1899-12-30T00:00:00"/>
    <d v="1899-12-30T00:09:18"/>
    <s v=""/>
    <s v=""/>
    <d v="1899-12-30T00:00:00"/>
    <n v="2"/>
  </r>
  <r>
    <s v=" First  2  Last  2"/>
    <x v="1"/>
    <x v="1"/>
    <d v="2021-10-21T12:17:18"/>
    <s v="CST6CDT"/>
    <n v="4.1666666666666664E-2"/>
    <d v="2021-10-21T11:17:18"/>
    <x v="2"/>
    <d v="1899-12-30T11:17:18"/>
    <n v="24"/>
    <n v="15"/>
    <s v="Vehicle2"/>
    <b v="0"/>
    <s v="Vehicle2"/>
    <n v="0"/>
    <s v=""/>
    <s v=""/>
    <s v="Driver2@abc.com4449015"/>
    <x v="2"/>
    <s v="D"/>
    <n v="2.505368709564209"/>
    <x v="2"/>
    <d v="1899-12-30T00:07:11"/>
    <d v="2021-10-21T11:17:18"/>
    <d v="2021-10-21T11:24:29"/>
    <b v="0"/>
    <s v=""/>
    <s v=""/>
    <d v="1899-12-30T00:00:00"/>
    <d v="2021-10-21T11:17:18"/>
    <d v="2021-10-21T11:24:29"/>
    <d v="1899-12-30T00:07:11"/>
    <d v="1899-12-30T00:07:11"/>
    <s v=""/>
    <s v=""/>
    <d v="1899-12-30T00:00:00"/>
    <n v="2"/>
  </r>
  <r>
    <s v=" First  2  Last  2"/>
    <x v="1"/>
    <x v="1"/>
    <d v="2021-10-21T12:24:29"/>
    <s v="CST6CDT"/>
    <n v="4.1666666666666664E-2"/>
    <d v="2021-10-21T11:24:29"/>
    <x v="2"/>
    <d v="1899-12-30T11:24:29"/>
    <n v="24"/>
    <n v="16"/>
    <s v="Vehicle2"/>
    <b v="0"/>
    <s v="Vehicle2"/>
    <n v="0"/>
    <s v=""/>
    <s v=""/>
    <s v="Driver2@abc.com4449016"/>
    <x v="2"/>
    <s v="ON"/>
    <s v=""/>
    <x v="1"/>
    <d v="1899-12-30T00:11:04"/>
    <d v="2021-10-21T11:24:29"/>
    <d v="2021-10-21T11:35:33"/>
    <b v="0"/>
    <d v="2021-10-21T11:24:29"/>
    <d v="2021-10-21T11:35:33"/>
    <d v="1899-12-30T00:11:04"/>
    <s v=""/>
    <s v=""/>
    <d v="1899-12-30T00:00:00"/>
    <d v="1899-12-30T00:11:04"/>
    <s v=""/>
    <s v=""/>
    <d v="1899-12-30T00:00:00"/>
    <n v="2"/>
  </r>
  <r>
    <s v=" First  2  Last  2"/>
    <x v="1"/>
    <x v="1"/>
    <d v="2021-10-21T12:35:33"/>
    <s v="CST6CDT"/>
    <n v="4.1666666666666664E-2"/>
    <d v="2021-10-21T11:35:33"/>
    <x v="2"/>
    <d v="1899-12-30T11:35:33"/>
    <n v="24"/>
    <n v="17"/>
    <s v="Vehicle2"/>
    <b v="0"/>
    <s v="Vehicle2"/>
    <n v="0"/>
    <s v=""/>
    <s v=""/>
    <s v="Driver2@abc.com4449017"/>
    <x v="2"/>
    <s v="D"/>
    <n v="3.062117338180542"/>
    <x v="2"/>
    <d v="1899-12-30T00:09:49"/>
    <d v="2021-10-21T11:35:33"/>
    <d v="2021-10-21T11:45:22"/>
    <b v="0"/>
    <s v=""/>
    <s v=""/>
    <d v="1899-12-30T00:00:00"/>
    <d v="2021-10-21T11:35:33"/>
    <d v="2021-10-21T11:45:22"/>
    <d v="1899-12-30T00:09:49"/>
    <d v="1899-12-30T00:09:49"/>
    <s v=""/>
    <s v=""/>
    <d v="1899-12-30T00:00:00"/>
    <n v="2"/>
  </r>
  <r>
    <s v=" First  2  Last  2"/>
    <x v="1"/>
    <x v="1"/>
    <d v="2021-10-21T12:45:22"/>
    <s v="CST6CDT"/>
    <n v="4.1666666666666664E-2"/>
    <d v="2021-10-21T11:45:22"/>
    <x v="2"/>
    <d v="1899-12-30T11:45:22"/>
    <n v="24"/>
    <n v="18"/>
    <s v="Vehicle2"/>
    <b v="0"/>
    <s v="Vehicle2"/>
    <n v="0"/>
    <s v=""/>
    <s v=""/>
    <s v="Driver2@abc.com4449018"/>
    <x v="2"/>
    <s v="ON"/>
    <s v=""/>
    <x v="1"/>
    <d v="1899-12-30T00:08:48"/>
    <d v="2021-10-21T11:45:22"/>
    <d v="2021-10-21T11:54:10"/>
    <b v="0"/>
    <d v="2021-10-21T11:45:22"/>
    <d v="2021-10-21T11:54:10"/>
    <d v="1899-12-30T00:08:48"/>
    <s v=""/>
    <s v=""/>
    <d v="1899-12-30T00:00:00"/>
    <d v="1899-12-30T00:08:48"/>
    <s v=""/>
    <s v=""/>
    <d v="1899-12-30T00:00:00"/>
    <n v="2"/>
  </r>
  <r>
    <s v=" First  2  Last  2"/>
    <x v="1"/>
    <x v="1"/>
    <d v="2021-10-21T12:54:10"/>
    <s v="CST6CDT"/>
    <n v="4.1666666666666664E-2"/>
    <d v="2021-10-21T11:54:10"/>
    <x v="2"/>
    <d v="1899-12-30T11:54:10"/>
    <n v="24"/>
    <n v="19"/>
    <s v="Vehicle2"/>
    <b v="0"/>
    <s v="Vehicle2"/>
    <n v="0"/>
    <s v=""/>
    <s v=""/>
    <s v="Driver2@abc.com4449019"/>
    <x v="2"/>
    <s v="D"/>
    <n v="19.068639755249023"/>
    <x v="2"/>
    <d v="1899-12-30T00:48:31"/>
    <d v="2021-10-21T11:54:10"/>
    <d v="2021-10-21T12:42:41"/>
    <b v="0"/>
    <s v=""/>
    <s v=""/>
    <d v="1899-12-30T00:00:00"/>
    <d v="2021-10-21T11:54:10"/>
    <d v="2021-10-21T12:42:41"/>
    <d v="1899-12-30T00:48:31"/>
    <d v="1899-12-30T00:48:31"/>
    <s v=""/>
    <s v=""/>
    <d v="1899-12-30T00:00:00"/>
    <n v="2"/>
  </r>
  <r>
    <s v=" First  2  Last  2"/>
    <x v="1"/>
    <x v="1"/>
    <d v="2021-10-21T13:42:41"/>
    <s v="CST6CDT"/>
    <n v="4.1666666666666664E-2"/>
    <d v="2021-10-21T12:42:41"/>
    <x v="2"/>
    <d v="1899-12-30T12:42:41"/>
    <n v="24"/>
    <n v="20"/>
    <s v="Vehicle2"/>
    <b v="0"/>
    <s v="Vehicle2"/>
    <n v="0"/>
    <s v=""/>
    <s v=""/>
    <s v="Driver2@abc.com4449020"/>
    <x v="2"/>
    <s v="ON"/>
    <s v=""/>
    <x v="1"/>
    <d v="1899-12-30T00:14:18"/>
    <d v="2021-10-21T12:42:41"/>
    <d v="2021-10-21T12:56:59"/>
    <b v="0"/>
    <d v="2021-10-21T12:42:41"/>
    <d v="2021-10-21T12:56:59"/>
    <d v="1899-12-30T00:14:18"/>
    <s v=""/>
    <s v=""/>
    <d v="1899-12-30T00:00:00"/>
    <d v="1899-12-30T00:14:18"/>
    <s v=""/>
    <s v=""/>
    <d v="1899-12-30T00:00:00"/>
    <n v="2"/>
  </r>
  <r>
    <s v=" First  2  Last  2"/>
    <x v="1"/>
    <x v="1"/>
    <d v="2021-10-21T13:56:59"/>
    <s v="CST6CDT"/>
    <n v="4.1666666666666664E-2"/>
    <d v="2021-10-21T12:56:59"/>
    <x v="2"/>
    <d v="1899-12-30T12:56:59"/>
    <n v="24"/>
    <n v="21"/>
    <s v="Vehicle2"/>
    <b v="0"/>
    <s v="Vehicle2"/>
    <n v="0"/>
    <s v=""/>
    <s v=""/>
    <s v="Driver2@abc.com4449021"/>
    <x v="2"/>
    <s v="D"/>
    <n v="20.878072738647461"/>
    <x v="2"/>
    <d v="1899-12-30T00:50:09"/>
    <d v="2021-10-21T12:56:59"/>
    <d v="2021-10-21T13:47:08"/>
    <b v="0"/>
    <s v=""/>
    <s v=""/>
    <d v="1899-12-30T00:00:00"/>
    <d v="2021-10-21T12:56:59"/>
    <d v="2021-10-21T13:47:08"/>
    <d v="1899-12-30T00:50:09"/>
    <d v="1899-12-30T00:50:09"/>
    <s v=""/>
    <s v=""/>
    <d v="1899-12-30T00:00:00"/>
    <n v="2"/>
  </r>
  <r>
    <s v=" First  2  Last  2"/>
    <x v="1"/>
    <x v="1"/>
    <d v="2021-10-21T14:47:08"/>
    <s v="CST6CDT"/>
    <n v="4.1666666666666664E-2"/>
    <d v="2021-10-21T13:47:08"/>
    <x v="2"/>
    <d v="1899-12-30T13:47:08"/>
    <n v="24"/>
    <n v="22"/>
    <s v="Vehicle2"/>
    <b v="0"/>
    <s v="Vehicle2"/>
    <n v="0"/>
    <s v=""/>
    <s v=""/>
    <s v="Driver2@abc.com4449022"/>
    <x v="2"/>
    <s v="ON"/>
    <s v=""/>
    <x v="1"/>
    <d v="1899-12-30T00:01:45"/>
    <d v="2021-10-21T13:47:08"/>
    <d v="2021-10-21T13:48:53"/>
    <b v="0"/>
    <d v="2021-10-21T13:47:08"/>
    <d v="2021-10-21T13:48:53"/>
    <d v="1899-12-30T00:01:45"/>
    <s v=""/>
    <s v=""/>
    <d v="1899-12-30T00:00:00"/>
    <d v="1899-12-30T00:01:45"/>
    <s v=""/>
    <s v=""/>
    <d v="1899-12-30T00:00:00"/>
    <n v="2"/>
  </r>
  <r>
    <s v=" First  2  Last  2"/>
    <x v="1"/>
    <x v="1"/>
    <d v="2021-10-21T14:48:53"/>
    <s v="CST6CDT"/>
    <n v="4.1666666666666664E-2"/>
    <d v="2021-10-21T13:48:53"/>
    <x v="2"/>
    <d v="1899-12-30T13:48:53"/>
    <n v="24"/>
    <n v="23"/>
    <s v="Vehicle2"/>
    <b v="0"/>
    <s v="Vehicle2"/>
    <n v="0"/>
    <s v=""/>
    <s v=""/>
    <s v="Driver2@abc.com4449023"/>
    <x v="2"/>
    <s v="ON"/>
    <s v=""/>
    <x v="1"/>
    <d v="1899-12-30T00:11:42"/>
    <d v="2021-10-21T13:48:53"/>
    <d v="2021-10-21T14:00:35"/>
    <b v="0"/>
    <d v="2021-10-21T13:48:53"/>
    <d v="2021-10-21T14:00:35"/>
    <d v="1899-12-30T00:11:42"/>
    <s v=""/>
    <s v=""/>
    <d v="1899-12-30T00:00:00"/>
    <d v="1899-12-30T00:11:42"/>
    <s v=""/>
    <s v=""/>
    <d v="1899-12-30T00:00:00"/>
    <n v="2"/>
  </r>
  <r>
    <s v=" First  2  Last  2"/>
    <x v="1"/>
    <x v="1"/>
    <d v="2021-10-21T15:00:35"/>
    <s v="CST6CDT"/>
    <n v="4.1666666666666664E-2"/>
    <d v="2021-10-21T14:00:35"/>
    <x v="2"/>
    <d v="1899-12-30T14:00:35"/>
    <n v="24"/>
    <n v="24"/>
    <s v="Vehicle2"/>
    <b v="1"/>
    <s v="Vehicle2"/>
    <n v="0"/>
    <s v=""/>
    <s v="Vehicle(s): Vehicle2_x000a_Trailer(s): "/>
    <s v="Driver2@abc.com4449024"/>
    <x v="2"/>
    <s v="OFF"/>
    <s v=""/>
    <x v="0"/>
    <d v="1899-12-30T17:02:27"/>
    <s v=""/>
    <s v=""/>
    <b v="1"/>
    <s v=""/>
    <s v=""/>
    <d v="1899-12-30T00:00:00"/>
    <s v=""/>
    <s v=""/>
    <d v="1899-12-30T00:00:00"/>
    <d v="1899-12-30T00:00:00"/>
    <d v="2021-10-21T14:00:35"/>
    <d v="2021-10-22T00:00:00"/>
    <d v="1899-12-30T09:59:25"/>
    <n v="2"/>
  </r>
  <r>
    <s v=" First  2  Last  2"/>
    <x v="1"/>
    <x v="1"/>
    <d v="2021-10-22T08:03:01"/>
    <s v="CST6CDT"/>
    <n v="4.1666666666666664E-2"/>
    <d v="2021-10-22T07:03:01"/>
    <x v="3"/>
    <d v="1899-12-30T07:03:01"/>
    <n v="16"/>
    <n v="1"/>
    <s v="Vehicle2"/>
    <b v="0"/>
    <s v="Vehicle2"/>
    <n v="0"/>
    <s v=""/>
    <s v=""/>
    <s v="Driver2@abc.com444911"/>
    <x v="2"/>
    <s v="ON"/>
    <s v=""/>
    <x v="1"/>
    <d v="1899-12-30T00:03:25"/>
    <d v="2021-10-22T07:03:01"/>
    <d v="2021-10-22T07:06:26"/>
    <b v="0"/>
    <d v="2021-10-22T07:03:01"/>
    <d v="2021-10-22T07:06:26"/>
    <d v="1899-12-30T00:03:25"/>
    <d v="2021-10-22T07:03:01"/>
    <d v="2021-10-22T07:03:01"/>
    <d v="1899-12-30T00:00:00"/>
    <d v="1899-12-30T00:03:25"/>
    <d v="2021-10-22T00:00:00"/>
    <d v="2021-10-22T07:03:01"/>
    <d v="1899-12-30T07:03:01"/>
    <n v="2"/>
  </r>
  <r>
    <s v=" First  2  Last  2"/>
    <x v="1"/>
    <x v="1"/>
    <d v="2021-10-22T08:06:26"/>
    <s v="CST6CDT"/>
    <n v="4.1666666666666664E-2"/>
    <d v="2021-10-22T07:06:26"/>
    <x v="3"/>
    <d v="1899-12-30T07:06:26"/>
    <n v="16"/>
    <n v="2"/>
    <s v="Vehicle2"/>
    <b v="0"/>
    <s v="Vehicle2"/>
    <n v="0"/>
    <s v=""/>
    <s v=""/>
    <s v="Driver2@abc.com444912"/>
    <x v="2"/>
    <s v="D"/>
    <n v="0.25849041342735291"/>
    <x v="2"/>
    <d v="1899-12-30T00:22:49"/>
    <d v="2021-10-22T07:06:26"/>
    <d v="2021-10-22T07:29:15"/>
    <b v="0"/>
    <s v=""/>
    <s v=""/>
    <d v="1899-12-30T00:00:00"/>
    <d v="2021-10-22T07:06:26"/>
    <d v="2021-10-22T07:29:15"/>
    <d v="1899-12-30T00:22:49"/>
    <d v="1899-12-30T00:22:49"/>
    <s v=""/>
    <s v=""/>
    <d v="1899-12-30T00:00:00"/>
    <n v="2"/>
  </r>
  <r>
    <s v=" First  2  Last  2"/>
    <x v="1"/>
    <x v="1"/>
    <d v="2021-10-22T08:29:15"/>
    <s v="CST6CDT"/>
    <n v="4.1666666666666664E-2"/>
    <d v="2021-10-22T07:29:15"/>
    <x v="3"/>
    <d v="1899-12-30T07:29:15"/>
    <n v="16"/>
    <n v="3"/>
    <s v="Vehicle2"/>
    <b v="0"/>
    <s v="Vehicle2"/>
    <n v="0"/>
    <s v=""/>
    <s v=""/>
    <s v="Driver2@abc.com444913"/>
    <x v="2"/>
    <s v="ON"/>
    <s v=""/>
    <x v="1"/>
    <d v="1899-12-30T00:00:16"/>
    <d v="2021-10-22T07:29:15"/>
    <d v="2021-10-22T07:29:31"/>
    <b v="0"/>
    <d v="2021-10-22T07:29:15"/>
    <d v="2021-10-22T07:29:31"/>
    <d v="1899-12-30T00:00:16"/>
    <s v=""/>
    <s v=""/>
    <d v="1899-12-30T00:00:00"/>
    <d v="1899-12-30T00:00:16"/>
    <s v=""/>
    <s v=""/>
    <d v="1899-12-30T00:00:00"/>
    <n v="2"/>
  </r>
  <r>
    <s v=" First  2  Last  2"/>
    <x v="1"/>
    <x v="1"/>
    <d v="2021-10-22T08:29:31"/>
    <s v="CST6CDT"/>
    <n v="4.1666666666666664E-2"/>
    <d v="2021-10-22T07:29:31"/>
    <x v="3"/>
    <d v="1899-12-30T07:29:31"/>
    <n v="16"/>
    <n v="4"/>
    <s v="Vehicle2"/>
    <b v="0"/>
    <s v="Vehicle2"/>
    <n v="0"/>
    <s v=""/>
    <s v=""/>
    <s v="Driver2@abc.com444914"/>
    <x v="2"/>
    <s v="OFF"/>
    <s v=""/>
    <x v="0"/>
    <d v="1899-12-30T01:35:26"/>
    <s v=""/>
    <s v=""/>
    <b v="0"/>
    <s v=""/>
    <s v=""/>
    <d v="1899-12-30T00:00:00"/>
    <s v=""/>
    <s v=""/>
    <d v="1899-12-30T00:00:00"/>
    <d v="1899-12-30T00:00:00"/>
    <d v="2021-10-22T07:29:31"/>
    <d v="2021-10-22T09:04:57"/>
    <d v="1899-12-30T01:35:26"/>
    <n v="2"/>
  </r>
  <r>
    <s v=" First  2  Last  2"/>
    <x v="1"/>
    <x v="1"/>
    <d v="2021-10-22T10:04:57"/>
    <s v="CST6CDT"/>
    <n v="4.1666666666666664E-2"/>
    <d v="2021-10-22T09:04:57"/>
    <x v="3"/>
    <d v="1899-12-30T09:04:57"/>
    <n v="16"/>
    <n v="5"/>
    <s v="Vehicle2"/>
    <b v="0"/>
    <s v="Vehicle2"/>
    <n v="0"/>
    <s v=""/>
    <s v=""/>
    <s v="Driver2@abc.com444915"/>
    <x v="2"/>
    <s v="D"/>
    <n v="31.555715560913086"/>
    <x v="2"/>
    <d v="1899-12-30T00:35:05"/>
    <d v="2021-10-22T09:04:57"/>
    <d v="2021-10-22T09:40:02"/>
    <b v="0"/>
    <s v=""/>
    <s v=""/>
    <d v="1899-12-30T00:00:00"/>
    <d v="2021-10-22T09:04:57"/>
    <d v="2021-10-22T09:40:02"/>
    <d v="1899-12-30T00:35:05"/>
    <d v="1899-12-30T00:35:05"/>
    <s v=""/>
    <s v=""/>
    <d v="1899-12-30T00:00:00"/>
    <n v="2"/>
  </r>
  <r>
    <s v=" First  2  Last  2"/>
    <x v="1"/>
    <x v="1"/>
    <d v="2021-10-22T10:40:02"/>
    <s v="CST6CDT"/>
    <n v="4.1666666666666664E-2"/>
    <d v="2021-10-22T09:40:02"/>
    <x v="3"/>
    <d v="1899-12-30T09:40:02"/>
    <n v="16"/>
    <n v="6"/>
    <s v="Vehicle2"/>
    <b v="0"/>
    <s v="Vehicle2"/>
    <n v="0"/>
    <s v=""/>
    <s v=""/>
    <s v="Driver2@abc.com444916"/>
    <x v="2"/>
    <s v="ON"/>
    <s v=""/>
    <x v="1"/>
    <d v="1899-12-30T00:58:29"/>
    <d v="2021-10-22T09:40:02"/>
    <d v="2021-10-22T10:38:31"/>
    <b v="0"/>
    <d v="2021-10-22T09:40:02"/>
    <d v="2021-10-22T10:38:31"/>
    <d v="1899-12-30T00:58:29"/>
    <s v=""/>
    <s v=""/>
    <d v="1899-12-30T00:00:00"/>
    <d v="1899-12-30T00:58:29"/>
    <s v=""/>
    <s v=""/>
    <d v="1899-12-30T00:00:00"/>
    <n v="2"/>
  </r>
  <r>
    <s v=" First  2  Last  2"/>
    <x v="1"/>
    <x v="1"/>
    <d v="2021-10-22T11:38:31"/>
    <s v="CST6CDT"/>
    <n v="4.1666666666666664E-2"/>
    <d v="2021-10-22T10:38:31"/>
    <x v="3"/>
    <d v="1899-12-30T10:38:31"/>
    <n v="16"/>
    <n v="7"/>
    <s v="Vehicle2"/>
    <b v="0"/>
    <s v="Vehicle2"/>
    <n v="0"/>
    <s v=""/>
    <s v=""/>
    <s v="Driver2@abc.com444917"/>
    <x v="2"/>
    <s v="D"/>
    <n v="46.230018615722656"/>
    <x v="2"/>
    <d v="1899-12-30T00:53:22"/>
    <d v="2021-10-22T10:38:31"/>
    <d v="2021-10-22T11:31:53"/>
    <b v="0"/>
    <s v=""/>
    <s v=""/>
    <d v="1899-12-30T00:00:00"/>
    <d v="2021-10-22T10:38:31"/>
    <d v="2021-10-22T11:31:53"/>
    <d v="1899-12-30T00:53:22"/>
    <d v="1899-12-30T00:53:22"/>
    <s v=""/>
    <s v=""/>
    <d v="1899-12-30T00:00:00"/>
    <n v="2"/>
  </r>
  <r>
    <s v=" First  2  Last  2"/>
    <x v="1"/>
    <x v="1"/>
    <d v="2021-10-22T12:31:53"/>
    <s v="CST6CDT"/>
    <n v="4.1666666666666664E-2"/>
    <d v="2021-10-22T11:31:53"/>
    <x v="3"/>
    <d v="1899-12-30T11:31:53"/>
    <n v="16"/>
    <n v="8"/>
    <s v="Vehicle2"/>
    <b v="0"/>
    <s v="Vehicle2"/>
    <n v="0"/>
    <s v=""/>
    <s v=""/>
    <s v="Driver2@abc.com444918"/>
    <x v="2"/>
    <s v="ON"/>
    <s v=""/>
    <x v="1"/>
    <d v="1899-12-30T00:25:19"/>
    <d v="2021-10-22T11:31:53"/>
    <d v="2021-10-22T11:57:12"/>
    <b v="0"/>
    <d v="2021-10-22T11:31:53"/>
    <d v="2021-10-22T11:57:12"/>
    <d v="1899-12-30T00:25:19"/>
    <s v=""/>
    <s v=""/>
    <d v="1899-12-30T00:00:00"/>
    <d v="1899-12-30T00:25:19"/>
    <s v=""/>
    <s v=""/>
    <d v="1899-12-30T00:00:00"/>
    <n v="2"/>
  </r>
  <r>
    <s v=" First  2  Last  2"/>
    <x v="1"/>
    <x v="1"/>
    <d v="2021-10-22T12:57:12"/>
    <s v="CST6CDT"/>
    <n v="4.1666666666666664E-2"/>
    <d v="2021-10-22T11:57:12"/>
    <x v="3"/>
    <d v="1899-12-30T11:57:12"/>
    <n v="16"/>
    <n v="9"/>
    <s v="Vehicle2"/>
    <b v="0"/>
    <s v="Vehicle2"/>
    <n v="0"/>
    <s v=""/>
    <s v=""/>
    <s v="Driver2@abc.com444919"/>
    <x v="2"/>
    <s v="D"/>
    <n v="31.197805404663086"/>
    <x v="2"/>
    <d v="1899-12-30T00:55:13"/>
    <d v="2021-10-22T11:57:12"/>
    <d v="2021-10-22T12:52:25"/>
    <b v="0"/>
    <s v=""/>
    <s v=""/>
    <d v="1899-12-30T00:00:00"/>
    <d v="2021-10-22T11:57:12"/>
    <d v="2021-10-22T12:52:25"/>
    <d v="1899-12-30T00:55:13"/>
    <d v="1899-12-30T00:55:13"/>
    <s v=""/>
    <s v=""/>
    <d v="1899-12-30T00:00:00"/>
    <n v="2"/>
  </r>
  <r>
    <s v=" First  2  Last  2"/>
    <x v="1"/>
    <x v="1"/>
    <d v="2021-10-22T13:52:25"/>
    <s v="CST6CDT"/>
    <n v="4.1666666666666664E-2"/>
    <d v="2021-10-22T12:52:25"/>
    <x v="3"/>
    <d v="1899-12-30T12:52:25"/>
    <n v="16"/>
    <n v="10"/>
    <s v="Vehicle2"/>
    <b v="0"/>
    <s v="Vehicle2"/>
    <n v="0"/>
    <s v=""/>
    <s v=""/>
    <s v="Driver2@abc.com4449110"/>
    <x v="2"/>
    <s v="ON"/>
    <s v=""/>
    <x v="1"/>
    <d v="1899-12-30T00:40:10"/>
    <d v="2021-10-22T12:52:25"/>
    <d v="2021-10-22T13:32:35"/>
    <b v="0"/>
    <d v="2021-10-22T12:52:25"/>
    <d v="2021-10-22T13:32:35"/>
    <d v="1899-12-30T00:40:10"/>
    <s v=""/>
    <s v=""/>
    <d v="1899-12-30T00:00:00"/>
    <d v="1899-12-30T00:40:10"/>
    <s v=""/>
    <s v=""/>
    <d v="1899-12-30T00:00:00"/>
    <n v="2"/>
  </r>
  <r>
    <s v=" First  2  Last  2"/>
    <x v="1"/>
    <x v="1"/>
    <d v="2021-10-22T14:32:35"/>
    <s v="CST6CDT"/>
    <n v="4.1666666666666664E-2"/>
    <d v="2021-10-22T13:32:35"/>
    <x v="3"/>
    <d v="1899-12-30T13:32:35"/>
    <n v="16"/>
    <n v="11"/>
    <s v="Vehicle2"/>
    <b v="0"/>
    <s v="Vehicle2"/>
    <n v="0"/>
    <s v=""/>
    <s v=""/>
    <s v="Driver2@abc.com4449111"/>
    <x v="2"/>
    <s v="D"/>
    <n v="44.718845367431641"/>
    <x v="2"/>
    <d v="1899-12-30T02:01:32"/>
    <d v="2021-10-22T13:32:35"/>
    <d v="2021-10-22T15:34:07"/>
    <b v="0"/>
    <s v=""/>
    <s v=""/>
    <d v="1899-12-30T00:00:00"/>
    <d v="2021-10-22T13:32:35"/>
    <d v="2021-10-22T15:34:07"/>
    <d v="1899-12-30T02:01:32"/>
    <d v="1899-12-30T02:01:32"/>
    <s v=""/>
    <s v=""/>
    <d v="1899-12-30T00:00:00"/>
    <n v="2"/>
  </r>
  <r>
    <s v=" First  2  Last  2"/>
    <x v="1"/>
    <x v="1"/>
    <d v="2021-10-22T15:32:35"/>
    <s v="CST6CDT"/>
    <n v="4.1666666666666664E-2"/>
    <d v="2021-10-22T14:32:35"/>
    <x v="3"/>
    <d v="1899-12-30T14:32:35"/>
    <n v="16"/>
    <n v="12"/>
    <s v="Vehicle2"/>
    <b v="0"/>
    <s v="Vehicle2"/>
    <n v="0"/>
    <s v=""/>
    <s v=""/>
    <s v="Driver2@abc.com4449112"/>
    <x v="2"/>
    <s v="INT_D"/>
    <n v="46.528278350830078"/>
    <x v="2"/>
    <d v="1899-12-30T00:00:00"/>
    <s v=""/>
    <s v=""/>
    <b v="0"/>
    <s v=""/>
    <s v=""/>
    <d v="1899-12-30T00:00:00"/>
    <d v="2021-10-22T14:32:35"/>
    <d v="2021-10-22T14:32:35"/>
    <d v="1899-12-30T00:00:00"/>
    <d v="1899-12-30T00:00:00"/>
    <s v=""/>
    <s v=""/>
    <d v="1899-12-30T00:00:00"/>
    <n v="2"/>
  </r>
  <r>
    <s v=" First  2  Last  2"/>
    <x v="1"/>
    <x v="1"/>
    <d v="2021-10-22T16:32:35"/>
    <s v="CST6CDT"/>
    <n v="4.1666666666666664E-2"/>
    <d v="2021-10-22T15:32:35"/>
    <x v="3"/>
    <d v="1899-12-30T15:32:35"/>
    <n v="16"/>
    <n v="13"/>
    <s v="Vehicle2"/>
    <b v="0"/>
    <s v="Vehicle2"/>
    <n v="0"/>
    <s v=""/>
    <s v=""/>
    <s v="Driver2@abc.com4449113"/>
    <x v="2"/>
    <s v="INT_D"/>
    <n v="1.9287363290786743"/>
    <x v="2"/>
    <d v="1899-12-30T00:00:00"/>
    <s v=""/>
    <s v=""/>
    <b v="0"/>
    <s v=""/>
    <s v=""/>
    <d v="1899-12-30T00:00:00"/>
    <d v="2021-10-22T15:32:35"/>
    <d v="2021-10-22T15:32:35"/>
    <d v="1899-12-30T00:00:00"/>
    <d v="1899-12-30T00:00:00"/>
    <s v=""/>
    <s v=""/>
    <d v="1899-12-30T00:00:00"/>
    <n v="2"/>
  </r>
  <r>
    <s v=" First  2  Last  2"/>
    <x v="1"/>
    <x v="1"/>
    <d v="2021-10-22T16:34:07"/>
    <s v="CST6CDT"/>
    <n v="4.1666666666666664E-2"/>
    <d v="2021-10-22T15:34:07"/>
    <x v="3"/>
    <d v="1899-12-30T15:34:07"/>
    <n v="16"/>
    <n v="14"/>
    <s v="Vehicle2"/>
    <b v="0"/>
    <s v="Vehicle2"/>
    <n v="0"/>
    <s v=""/>
    <s v=""/>
    <s v="Driver2@abc.com4449114"/>
    <x v="2"/>
    <s v="ON"/>
    <s v=""/>
    <x v="1"/>
    <d v="1899-12-30T00:02:45"/>
    <d v="2021-10-22T15:34:07"/>
    <d v="2021-10-22T15:36:52"/>
    <b v="0"/>
    <d v="2021-10-22T15:34:07"/>
    <d v="2021-10-22T15:36:52"/>
    <d v="1899-12-30T00:02:45"/>
    <s v=""/>
    <s v=""/>
    <d v="1899-12-30T00:00:00"/>
    <d v="1899-12-30T00:02:45"/>
    <s v=""/>
    <s v=""/>
    <d v="1899-12-30T00:00:00"/>
    <n v="2"/>
  </r>
  <r>
    <s v=" First  2  Last  2"/>
    <x v="1"/>
    <x v="1"/>
    <d v="2021-10-22T16:36:52"/>
    <s v="CST6CDT"/>
    <n v="4.1666666666666664E-2"/>
    <d v="2021-10-22T15:36:52"/>
    <x v="3"/>
    <d v="1899-12-30T15:36:52"/>
    <n v="16"/>
    <n v="15"/>
    <s v="Vehicle2"/>
    <b v="0"/>
    <s v="Vehicle2"/>
    <n v="0"/>
    <s v=""/>
    <s v=""/>
    <s v="Driver2@abc.com4449115"/>
    <x v="2"/>
    <s v="ON"/>
    <s v=""/>
    <x v="1"/>
    <d v="1899-12-30T00:10:51"/>
    <d v="2021-10-22T15:36:52"/>
    <d v="2021-10-22T15:47:43"/>
    <b v="0"/>
    <d v="2021-10-22T15:36:52"/>
    <d v="2021-10-22T15:47:43"/>
    <d v="1899-12-30T00:10:51"/>
    <s v=""/>
    <s v=""/>
    <d v="1899-12-30T00:00:00"/>
    <d v="1899-12-30T00:10:51"/>
    <s v=""/>
    <s v=""/>
    <d v="1899-12-30T00:00:00"/>
    <n v="2"/>
  </r>
  <r>
    <s v=" First  2  Last  2"/>
    <x v="1"/>
    <x v="1"/>
    <d v="2021-10-22T16:47:43"/>
    <s v="CST6CDT"/>
    <n v="4.1666666666666664E-2"/>
    <d v="2021-10-22T15:47:43"/>
    <x v="3"/>
    <d v="1899-12-30T15:47:43"/>
    <n v="16"/>
    <n v="16"/>
    <s v="Vehicle2"/>
    <b v="1"/>
    <s v="Vehicle2"/>
    <n v="0"/>
    <s v=""/>
    <s v="Vehicle(s): Vehicle2_x000a_Trailer(s): "/>
    <s v="Driver2@abc.com4449116"/>
    <x v="2"/>
    <s v="OFF"/>
    <s v=""/>
    <x v="0"/>
    <d v="1899-12-31T07:12:16"/>
    <s v=""/>
    <s v=""/>
    <b v="1"/>
    <s v=""/>
    <s v=""/>
    <d v="1899-12-30T00:00:00"/>
    <s v=""/>
    <s v=""/>
    <d v="1899-12-30T00:00:00"/>
    <d v="1899-12-30T00:00:00"/>
    <d v="2021-10-22T15:47:43"/>
    <d v="2021-10-23T00:00:00"/>
    <d v="1899-12-30T08:12:17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HOS Driver Logs" cacheId="7" applyNumberFormats="0" applyBorderFormats="0" applyFontFormats="0" applyPatternFormats="0" applyAlignmentFormats="0" applyWidthHeightFormats="1" dataCaption="Data" updatedVersion="8" minRefreshableVersion="3" showDrill="0" showMemberPropertyTips="0" rowGrandTotals="0" colGrandTotals="0" itemPrintTitles="1" createdVersion="4" indent="0" compact="0" compactData="0">
  <location ref="A13:J17" firstHeaderRow="0" firstDataRow="1" firstDataCol="4"/>
  <pivotFields count="37">
    <pivotField compact="0" outline="0" showAll="0" defaultSubtotal="0"/>
    <pivotField axis="axisRow" compact="0" outline="0" subtotalTop="0" showAll="0" includeNewItemsInFilter="1" defaultSubtotal="0">
      <items count="2">
        <item x="0"/>
        <item x="1"/>
      </items>
    </pivotField>
    <pivotField axis="axisRow" compact="0" outline="0" showAll="0" defaultSubtotal="0">
      <items count="2">
        <item x="0"/>
        <item x="1"/>
      </items>
    </pivotField>
    <pivotField compact="0" numFmtId="178" outline="0" showAll="0" defaultSubtotal="0"/>
    <pivotField compact="0" outline="0" showAll="0" defaultSubtotal="0"/>
    <pivotField compact="0" outline="0" showAll="0" defaultSubtotal="0"/>
    <pivotField compact="0" numFmtId="178" outline="0" showAll="0" defaultSubtotal="0"/>
    <pivotField axis="axisRow" compact="0" numFmtId="167" outline="0" showAll="0" defaultSubtotal="0">
      <items count="4">
        <item x="0"/>
        <item x="1"/>
        <item x="2"/>
        <item x="3"/>
      </items>
    </pivotField>
    <pivotField compact="0" numFmtId="170" outline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 defaultSubtotal="0"/>
    <pivotField compact="0" outline="0" showAll="0" defaultSubtotal="0"/>
    <pivotField compact="0" outline="0" showAll="0" defaultSubtotal="0"/>
    <pivotField compact="0" outline="0" subtotalTop="0" showAll="0" includeNewItemsInFilter="1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x="0"/>
        <item x="1"/>
        <item x="2"/>
      </items>
    </pivotField>
    <pivotField compact="0" outline="0" showAll="0" defaultSubtotal="0"/>
    <pivotField compact="0" outline="0" subtotalTop="0" showAll="0" defaultSubtotal="0"/>
    <pivotField compact="0" outline="0" subtotalTop="0" showAll="0" includeNewItemsInFilter="1" defaultSubtotal="0">
      <items count="3">
        <item x="2"/>
        <item x="0"/>
        <item x="1"/>
      </items>
    </pivotField>
    <pivotField compact="0" numFmtId="21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numFmtId="176" outline="0" showAll="0" defaultSubtotal="0"/>
    <pivotField compact="0" outline="0" showAll="0" defaultSubtotal="0"/>
    <pivotField compact="0" outline="0" showAll="0" defaultSubtotal="0"/>
    <pivotField dataField="1" compact="0" numFmtId="176" outline="0" showAll="0" defaultSubtotal="0"/>
    <pivotField dataField="1" compact="0" numFmtId="176" outline="0" showAll="0" defaultSubtotal="0"/>
    <pivotField compact="0" outline="0" showAll="0" defaultSubtotal="0"/>
    <pivotField compact="0" outline="0" showAll="0" defaultSubtotal="0"/>
    <pivotField dataField="1" compact="0" numFmtId="176" outline="0" showAll="0" defaultSubtotal="0"/>
    <pivotField compact="0" outline="0" showAll="0" defaultSubtotal="0"/>
  </pivotFields>
  <rowFields count="4">
    <field x="1"/>
    <field x="2"/>
    <field x="7"/>
    <field x="18"/>
  </rowFields>
  <rowItems count="4">
    <i>
      <x/>
      <x/>
      <x/>
      <x/>
    </i>
    <i r="2">
      <x v="1"/>
      <x v="1"/>
    </i>
    <i>
      <x v="1"/>
      <x v="1"/>
      <x v="2"/>
      <x v="2"/>
    </i>
    <i r="2">
      <x v="3"/>
      <x v="2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Clock In Time" fld="23" subtotal="min" baseField="18" baseItem="0" numFmtId="178"/>
    <dataField name="Clock Out Time" fld="24" subtotal="max" baseField="18" baseItem="1" numFmtId="178"/>
    <dataField name="ON Duty Duration" fld="28" baseField="18" baseItem="1" numFmtId="179"/>
    <dataField name="Driving Duration" fld="31" baseField="18" baseItem="1" numFmtId="179"/>
    <dataField name="Total Work Duration" fld="32" baseField="18" baseItem="1" numFmtId="179"/>
    <dataField name="OFF Duty Duration" fld="35" baseField="18" baseItem="1" numFmtId="179"/>
  </dataFields>
  <formats count="39">
    <format dxfId="77">
      <pivotArea type="all" dataOnly="0" outline="0" fieldPosition="0"/>
    </format>
    <format dxfId="76">
      <pivotArea outline="0" collapsedLevelsAreSubtotals="1" fieldPosition="0"/>
    </format>
    <format dxfId="75">
      <pivotArea type="origin" dataOnly="0" labelOnly="1" outline="0" fieldPosition="0"/>
    </format>
    <format dxfId="74">
      <pivotArea field="1" type="button" dataOnly="0" labelOnly="1" outline="0" axis="axisRow" fieldPosition="0"/>
    </format>
    <format dxfId="73">
      <pivotArea field="21" type="button" dataOnly="0" labelOnly="1" outline="0"/>
    </format>
    <format dxfId="72">
      <pivotArea dataOnly="0" labelOnly="1" grandRow="1" outline="0" fieldPosition="0"/>
    </format>
    <format dxfId="71">
      <pivotArea type="topRight" dataOnly="0" labelOnly="1" outline="0" fieldPosition="0"/>
    </format>
    <format dxfId="70">
      <pivotArea type="all" dataOnly="0" outline="0" fieldPosition="0"/>
    </format>
    <format dxfId="69">
      <pivotArea outline="0" collapsedLevelsAreSubtotals="1" fieldPosition="0"/>
    </format>
    <format dxfId="68">
      <pivotArea type="origin" dataOnly="0" labelOnly="1" outline="0" fieldPosition="0"/>
    </format>
    <format dxfId="67">
      <pivotArea field="1" type="button" dataOnly="0" labelOnly="1" outline="0" axis="axisRow" fieldPosition="0"/>
    </format>
    <format dxfId="66">
      <pivotArea field="21" type="button" dataOnly="0" labelOnly="1" outline="0"/>
    </format>
    <format dxfId="65">
      <pivotArea dataOnly="0" labelOnly="1" grandRow="1" outline="0" fieldPosition="0"/>
    </format>
    <format dxfId="64">
      <pivotArea type="topRight" dataOnly="0" labelOnly="1" outline="0" fieldPosition="0"/>
    </format>
    <format dxfId="63">
      <pivotArea field="1" type="button" dataOnly="0" labelOnly="1" outline="0" axis="axisRow" fieldPosition="0"/>
    </format>
    <format dxfId="62">
      <pivotArea field="21" type="button" dataOnly="0" labelOnly="1" outline="0"/>
    </format>
    <format dxfId="61">
      <pivotArea dataOnly="0" labelOnly="1" outline="0" axis="axisValues" fieldPosition="0"/>
    </format>
    <format dxfId="60">
      <pivotArea outline="0" collapsedLevelsAreSubtotals="1" fieldPosition="0"/>
    </format>
    <format dxfId="59">
      <pivotArea field="21" type="button" dataOnly="0" labelOnly="1" outline="0"/>
    </format>
    <format dxfId="58">
      <pivotArea dataOnly="0" labelOnly="1" grandRow="1" outline="0" fieldPosition="0"/>
    </format>
    <format dxfId="57">
      <pivotArea dataOnly="0" labelOnly="1" outline="0" axis="axisValues" fieldPosition="0"/>
    </format>
    <format dxfId="56">
      <pivotArea outline="0" fieldPosition="0">
        <references count="1">
          <reference field="4294967294" count="1">
            <x v="0"/>
          </reference>
        </references>
      </pivotArea>
    </format>
    <format dxfId="55">
      <pivotArea outline="0" fieldPosition="0">
        <references count="1">
          <reference field="4294967294" count="1">
            <x v="1"/>
          </reference>
        </references>
      </pivotArea>
    </format>
    <format dxfId="54">
      <pivotArea outline="0" fieldPosition="0">
        <references count="1">
          <reference field="4294967294" count="1">
            <x v="2"/>
          </reference>
        </references>
      </pivotArea>
    </format>
    <format dxfId="53">
      <pivotArea outline="0" fieldPosition="0">
        <references count="1">
          <reference field="4294967294" count="1">
            <x v="3"/>
          </reference>
        </references>
      </pivotArea>
    </format>
    <format dxfId="52">
      <pivotArea outline="0" fieldPosition="0">
        <references count="1">
          <reference field="4294967294" count="1">
            <x v="4"/>
          </reference>
        </references>
      </pivotArea>
    </format>
    <format dxfId="51">
      <pivotArea outline="0" fieldPosition="0">
        <references count="1">
          <reference field="4294967294" count="1">
            <x v="5"/>
          </reference>
        </references>
      </pivotArea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1" type="button" dataOnly="0" labelOnly="1" outline="0" axis="axisRow" fieldPosition="0"/>
    </format>
    <format dxfId="47">
      <pivotArea field="2" type="button" dataOnly="0" labelOnly="1" outline="0" axis="axisRow" fieldPosition="1"/>
    </format>
    <format dxfId="46">
      <pivotArea field="7" type="button" dataOnly="0" labelOnly="1" outline="0" axis="axisRow" fieldPosition="2"/>
    </format>
    <format dxfId="45">
      <pivotArea field="18" type="button" dataOnly="0" labelOnly="1" outline="0" axis="axisRow" fieldPosition="3"/>
    </format>
    <format dxfId="44">
      <pivotArea dataOnly="0" labelOnly="1" outline="0" fieldPosition="0">
        <references count="1">
          <reference field="1" count="0"/>
        </references>
      </pivotArea>
    </format>
    <format dxfId="43">
      <pivotArea dataOnly="0" labelOnly="1" outline="0" fieldPosition="0">
        <references count="2">
          <reference field="1" count="1" selected="0">
            <x v="0"/>
          </reference>
          <reference field="2" count="1">
            <x v="0"/>
          </reference>
        </references>
      </pivotArea>
    </format>
    <format dxfId="42">
      <pivotArea dataOnly="0" labelOnly="1" outline="0" fieldPosition="0">
        <references count="2">
          <reference field="1" count="1" selected="0">
            <x v="1"/>
          </reference>
          <reference field="2" count="1">
            <x v="1"/>
          </reference>
        </references>
      </pivotArea>
    </format>
    <format dxfId="41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0"/>
          </reference>
          <reference field="7" count="2">
            <x v="0"/>
            <x v="1"/>
          </reference>
        </references>
      </pivotArea>
    </format>
    <format dxfId="40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"/>
          </reference>
          <reference field="7" count="2">
            <x v="2"/>
            <x v="3"/>
          </reference>
        </references>
      </pivotArea>
    </format>
    <format dxfId="3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Checkmate" showRowHeaders="0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415463-564B-4704-BD39-B6E2838EF0E9}" name="TimeZone" displayName="TimeZone" ref="B5:C25" totalsRowShown="0" headerRowBorderDxfId="80">
  <autoFilter ref="B5:C25" xr:uid="{00000000-0009-0000-0100-000001000000}"/>
  <tableColumns count="2">
    <tableColumn id="1" xr3:uid="{6BCCFB29-A1A5-4A82-82CB-AF285B22D35E}" name="Timezone" dataDxfId="79"/>
    <tableColumn id="2" xr3:uid="{8A0738C6-44B8-4B31-AF45-0E11581EB5FA}" name="GMT Conversion" dataDxfId="7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eme23213">
  <a:themeElements>
    <a:clrScheme name="Geotab Brand Colors">
      <a:dk1>
        <a:srgbClr val="000000"/>
      </a:dk1>
      <a:lt1>
        <a:srgbClr val="FFFFFF"/>
      </a:lt1>
      <a:dk2>
        <a:srgbClr val="00AEEF"/>
      </a:dk2>
      <a:lt2>
        <a:srgbClr val="25477B"/>
      </a:lt2>
      <a:accent1>
        <a:srgbClr val="696A6C"/>
      </a:accent1>
      <a:accent2>
        <a:srgbClr val="93C83D"/>
      </a:accent2>
      <a:accent3>
        <a:srgbClr val="FAD201"/>
      </a:accent3>
      <a:accent4>
        <a:srgbClr val="FF9600"/>
      </a:accent4>
      <a:accent5>
        <a:srgbClr val="EA184D"/>
      </a:accent5>
      <a:accent6>
        <a:srgbClr val="B95FFF"/>
      </a:accent6>
      <a:hlink>
        <a:srgbClr val="00AEEF"/>
      </a:hlink>
      <a:folHlink>
        <a:srgbClr val="0082E3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7"/>
  <sheetViews>
    <sheetView topLeftCell="A53" workbookViewId="0">
      <selection activeCell="A97" sqref="A97"/>
    </sheetView>
  </sheetViews>
  <sheetFormatPr defaultRowHeight="12.75"/>
  <cols>
    <col min="1" max="3" width="22.28515625" customWidth="1"/>
    <col min="4" max="4" width="18.28515625" customWidth="1"/>
    <col min="5" max="5" width="17.7109375" customWidth="1"/>
    <col min="6" max="7" width="18.5703125" customWidth="1"/>
    <col min="8" max="9" width="23" customWidth="1"/>
    <col min="10" max="10" width="22.28515625" customWidth="1"/>
    <col min="11" max="11" width="39.5703125" customWidth="1"/>
    <col min="12" max="12" width="22.28515625" customWidth="1"/>
  </cols>
  <sheetData>
    <row r="1" spans="1:12">
      <c r="A1" s="4" t="s">
        <v>3</v>
      </c>
      <c r="B1" s="3" t="s">
        <v>198</v>
      </c>
      <c r="C1" s="3"/>
      <c r="F1" s="5"/>
      <c r="G1" s="5"/>
      <c r="J1" s="3"/>
      <c r="L1" s="3"/>
    </row>
    <row r="2" spans="1:12">
      <c r="A2" s="4" t="s">
        <v>2</v>
      </c>
      <c r="B2" s="36">
        <v>44498.90317622685</v>
      </c>
      <c r="C2" s="3"/>
      <c r="J2" s="3"/>
      <c r="L2" s="3"/>
    </row>
    <row r="3" spans="1:12">
      <c r="A3" s="4" t="s">
        <v>0</v>
      </c>
      <c r="B3" s="36">
        <v>44486</v>
      </c>
      <c r="C3" s="3"/>
      <c r="J3" s="3"/>
      <c r="L3" s="3"/>
    </row>
    <row r="4" spans="1:12">
      <c r="A4" s="4" t="s">
        <v>1</v>
      </c>
      <c r="B4" s="36">
        <v>44492.999988425923</v>
      </c>
      <c r="C4" s="3"/>
      <c r="J4" s="3"/>
      <c r="L4" s="3"/>
    </row>
    <row r="5" spans="1:12">
      <c r="A5" s="4" t="s">
        <v>254</v>
      </c>
      <c r="B5" s="3" t="s">
        <v>255</v>
      </c>
      <c r="C5" s="3"/>
      <c r="J5" s="3"/>
      <c r="L5" s="3"/>
    </row>
    <row r="6" spans="1:12">
      <c r="A6" s="4" t="s">
        <v>4</v>
      </c>
      <c r="B6" s="3" t="s">
        <v>5</v>
      </c>
      <c r="C6" s="3"/>
      <c r="J6" s="3"/>
      <c r="L6" s="3"/>
    </row>
    <row r="7" spans="1:12">
      <c r="A7" s="4" t="s">
        <v>6</v>
      </c>
      <c r="B7" s="3" t="s">
        <v>7</v>
      </c>
      <c r="C7" s="3"/>
      <c r="J7" s="3"/>
      <c r="L7" s="3"/>
    </row>
    <row r="8" spans="1:12">
      <c r="A8" s="4" t="s">
        <v>8</v>
      </c>
      <c r="B8" s="3" t="b">
        <v>1</v>
      </c>
      <c r="C8" s="3"/>
      <c r="J8" s="3"/>
      <c r="L8" s="3"/>
    </row>
    <row r="9" spans="1:12">
      <c r="A9" s="4" t="s">
        <v>9</v>
      </c>
      <c r="B9" s="3" t="s">
        <v>10</v>
      </c>
      <c r="C9" s="3"/>
      <c r="J9" s="3"/>
      <c r="L9" s="3"/>
    </row>
    <row r="10" spans="1:12">
      <c r="A10" s="4" t="s">
        <v>111</v>
      </c>
      <c r="B10" s="3" t="s">
        <v>112</v>
      </c>
      <c r="C10" s="3"/>
      <c r="J10" s="3"/>
      <c r="L10" s="3"/>
    </row>
    <row r="11" spans="1:12" ht="26.25" customHeight="1" thickBot="1">
      <c r="A11" s="1" t="s">
        <v>18</v>
      </c>
      <c r="B11" s="1" t="s">
        <v>19</v>
      </c>
      <c r="C11" s="1" t="s">
        <v>233</v>
      </c>
      <c r="D11" s="1" t="s">
        <v>22</v>
      </c>
      <c r="E11" s="1" t="s">
        <v>20</v>
      </c>
      <c r="F11" s="1" t="s">
        <v>123</v>
      </c>
      <c r="G11" s="1" t="s">
        <v>124</v>
      </c>
      <c r="H11" s="1" t="s">
        <v>21</v>
      </c>
      <c r="I11" s="1" t="s">
        <v>230</v>
      </c>
      <c r="J11" s="1" t="s">
        <v>232</v>
      </c>
      <c r="K11" s="1" t="s">
        <v>23</v>
      </c>
      <c r="L11" s="1" t="s">
        <v>231</v>
      </c>
    </row>
    <row r="12" spans="1:12">
      <c r="A12" s="36">
        <v>44486</v>
      </c>
      <c r="B12" s="36" t="s">
        <v>12</v>
      </c>
      <c r="C12" s="37">
        <v>1.2417465624999999</v>
      </c>
      <c r="E12" s="2" t="s">
        <v>394</v>
      </c>
      <c r="F12" s="2" t="s">
        <v>396</v>
      </c>
      <c r="G12" s="2" t="s">
        <v>397</v>
      </c>
      <c r="H12" s="2" t="s">
        <v>398</v>
      </c>
      <c r="I12">
        <v>1</v>
      </c>
      <c r="J12" s="36" t="s">
        <v>255</v>
      </c>
      <c r="K12" s="2" t="s">
        <v>399</v>
      </c>
      <c r="L12" s="2">
        <v>1</v>
      </c>
    </row>
    <row r="13" spans="1:12">
      <c r="A13" s="36">
        <v>44487.241746562497</v>
      </c>
      <c r="B13" s="36" t="s">
        <v>11</v>
      </c>
      <c r="C13" s="37">
        <v>1.7511574074074074E-4</v>
      </c>
      <c r="E13" s="2" t="s">
        <v>394</v>
      </c>
      <c r="F13" s="2" t="s">
        <v>396</v>
      </c>
      <c r="G13" s="2" t="s">
        <v>397</v>
      </c>
      <c r="H13" s="2" t="s">
        <v>398</v>
      </c>
      <c r="I13">
        <v>1</v>
      </c>
      <c r="J13" s="36" t="s">
        <v>255</v>
      </c>
      <c r="K13" s="2"/>
      <c r="L13" s="2">
        <v>1</v>
      </c>
    </row>
    <row r="14" spans="1:12">
      <c r="A14" s="36">
        <v>44487.241921678244</v>
      </c>
      <c r="B14" s="36" t="s">
        <v>11</v>
      </c>
      <c r="C14" s="37">
        <v>1.1574074074074074E-7</v>
      </c>
      <c r="E14" s="2" t="s">
        <v>394</v>
      </c>
      <c r="F14" s="2" t="s">
        <v>396</v>
      </c>
      <c r="G14" s="2" t="s">
        <v>397</v>
      </c>
      <c r="H14" s="2" t="s">
        <v>398</v>
      </c>
      <c r="I14">
        <v>1</v>
      </c>
      <c r="J14" s="36" t="s">
        <v>255</v>
      </c>
      <c r="K14" s="2" t="s">
        <v>400</v>
      </c>
      <c r="L14" s="2">
        <v>1</v>
      </c>
    </row>
    <row r="15" spans="1:12">
      <c r="A15" s="36">
        <v>44487.241921793982</v>
      </c>
      <c r="B15" s="36" t="s">
        <v>391</v>
      </c>
      <c r="C15" s="37">
        <v>5.200740740740741E-3</v>
      </c>
      <c r="D15">
        <v>7.9535514116287231E-2</v>
      </c>
      <c r="E15" s="2" t="s">
        <v>394</v>
      </c>
      <c r="F15" s="2" t="s">
        <v>396</v>
      </c>
      <c r="G15" s="2" t="s">
        <v>397</v>
      </c>
      <c r="H15" s="2" t="s">
        <v>398</v>
      </c>
      <c r="I15">
        <v>1</v>
      </c>
      <c r="J15" s="36" t="s">
        <v>255</v>
      </c>
      <c r="L15" s="2">
        <v>1</v>
      </c>
    </row>
    <row r="16" spans="1:12">
      <c r="A16" s="36">
        <v>44487.247122534725</v>
      </c>
      <c r="B16" s="36" t="s">
        <v>11</v>
      </c>
      <c r="C16" s="37">
        <v>3.9076388888888893E-3</v>
      </c>
      <c r="E16" s="2" t="s">
        <v>394</v>
      </c>
      <c r="F16" s="2" t="s">
        <v>396</v>
      </c>
      <c r="G16" s="2" t="s">
        <v>397</v>
      </c>
      <c r="H16" s="2" t="s">
        <v>398</v>
      </c>
      <c r="I16">
        <v>1</v>
      </c>
      <c r="J16" s="36" t="s">
        <v>255</v>
      </c>
      <c r="L16" s="2">
        <v>1</v>
      </c>
    </row>
    <row r="17" spans="1:12">
      <c r="A17" s="36">
        <v>44487.251030173611</v>
      </c>
      <c r="B17" s="36" t="s">
        <v>13</v>
      </c>
      <c r="C17" s="37">
        <v>5.0162268518518516E-2</v>
      </c>
      <c r="D17">
        <v>51.340175628662109</v>
      </c>
      <c r="E17" s="2" t="s">
        <v>394</v>
      </c>
      <c r="F17" s="2" t="s">
        <v>396</v>
      </c>
      <c r="G17" s="2" t="s">
        <v>397</v>
      </c>
      <c r="H17" s="2" t="s">
        <v>398</v>
      </c>
      <c r="I17">
        <v>1</v>
      </c>
      <c r="J17" s="36" t="s">
        <v>255</v>
      </c>
      <c r="L17" s="2">
        <v>1</v>
      </c>
    </row>
    <row r="18" spans="1:12">
      <c r="A18" s="36">
        <v>44487.292696840275</v>
      </c>
      <c r="B18" s="36" t="s">
        <v>392</v>
      </c>
      <c r="D18">
        <v>11.09520435333252</v>
      </c>
      <c r="E18" s="2" t="s">
        <v>394</v>
      </c>
      <c r="F18" s="2" t="s">
        <v>396</v>
      </c>
      <c r="G18" s="2" t="s">
        <v>397</v>
      </c>
      <c r="H18" s="2" t="s">
        <v>398</v>
      </c>
      <c r="I18">
        <v>1</v>
      </c>
      <c r="J18" s="36" t="s">
        <v>255</v>
      </c>
      <c r="L18" s="2">
        <v>1</v>
      </c>
    </row>
    <row r="19" spans="1:12">
      <c r="A19" s="36">
        <v>44487.30119244213</v>
      </c>
      <c r="B19" s="36" t="s">
        <v>11</v>
      </c>
      <c r="C19" s="37">
        <v>4.9307060185185183E-3</v>
      </c>
      <c r="E19" s="2" t="s">
        <v>394</v>
      </c>
      <c r="F19" s="2" t="s">
        <v>396</v>
      </c>
      <c r="G19" s="2" t="s">
        <v>397</v>
      </c>
      <c r="H19" s="2" t="s">
        <v>398</v>
      </c>
      <c r="I19">
        <v>1</v>
      </c>
      <c r="J19" s="36" t="s">
        <v>255</v>
      </c>
      <c r="L19" s="2">
        <v>1</v>
      </c>
    </row>
    <row r="20" spans="1:12">
      <c r="A20" s="36">
        <v>44487.306123148148</v>
      </c>
      <c r="B20" s="36" t="s">
        <v>13</v>
      </c>
      <c r="C20" s="37">
        <v>8.59602662037037E-2</v>
      </c>
      <c r="D20">
        <v>38.017978668212891</v>
      </c>
      <c r="E20" s="2" t="s">
        <v>394</v>
      </c>
      <c r="F20" s="2" t="s">
        <v>396</v>
      </c>
      <c r="G20" s="2" t="s">
        <v>397</v>
      </c>
      <c r="H20" s="2" t="s">
        <v>398</v>
      </c>
      <c r="I20">
        <v>1</v>
      </c>
      <c r="J20" s="36" t="s">
        <v>255</v>
      </c>
      <c r="L20" s="2">
        <v>1</v>
      </c>
    </row>
    <row r="21" spans="1:12">
      <c r="A21" s="36">
        <v>44487.347789814812</v>
      </c>
      <c r="B21" s="36" t="s">
        <v>392</v>
      </c>
      <c r="D21">
        <v>23.542512893676758</v>
      </c>
      <c r="E21" s="2" t="s">
        <v>394</v>
      </c>
      <c r="F21" s="2" t="s">
        <v>396</v>
      </c>
      <c r="G21" s="2" t="s">
        <v>397</v>
      </c>
      <c r="H21" s="2" t="s">
        <v>398</v>
      </c>
      <c r="I21">
        <v>1</v>
      </c>
      <c r="J21" s="36" t="s">
        <v>255</v>
      </c>
      <c r="L21" s="2">
        <v>1</v>
      </c>
    </row>
    <row r="22" spans="1:12">
      <c r="A22" s="36">
        <v>44487.389456481484</v>
      </c>
      <c r="B22" s="36" t="s">
        <v>392</v>
      </c>
      <c r="D22">
        <v>0.19883878529071808</v>
      </c>
      <c r="E22" s="2" t="s">
        <v>394</v>
      </c>
      <c r="F22" s="2" t="s">
        <v>396</v>
      </c>
      <c r="G22" s="2" t="s">
        <v>397</v>
      </c>
      <c r="H22" s="2" t="s">
        <v>398</v>
      </c>
      <c r="I22">
        <v>1</v>
      </c>
      <c r="J22" s="36" t="s">
        <v>255</v>
      </c>
      <c r="L22" s="2">
        <v>1</v>
      </c>
    </row>
    <row r="23" spans="1:12">
      <c r="A23" s="36">
        <v>44487.39208341435</v>
      </c>
      <c r="B23" s="36" t="s">
        <v>11</v>
      </c>
      <c r="C23" s="37">
        <v>9.5028935185185182E-3</v>
      </c>
      <c r="E23" s="2" t="s">
        <v>394</v>
      </c>
      <c r="F23" s="2" t="s">
        <v>396</v>
      </c>
      <c r="G23" s="2" t="s">
        <v>397</v>
      </c>
      <c r="H23" s="2" t="s">
        <v>398</v>
      </c>
      <c r="I23">
        <v>1</v>
      </c>
      <c r="J23" s="36" t="s">
        <v>255</v>
      </c>
      <c r="L23" s="2">
        <v>1</v>
      </c>
    </row>
    <row r="24" spans="1:12">
      <c r="A24" s="36">
        <v>44487.401586307868</v>
      </c>
      <c r="B24" s="36" t="s">
        <v>13</v>
      </c>
      <c r="C24" s="37">
        <v>2.170150462962963E-2</v>
      </c>
      <c r="D24">
        <v>11.811023712158203</v>
      </c>
      <c r="E24" s="2" t="s">
        <v>394</v>
      </c>
      <c r="F24" s="2" t="s">
        <v>396</v>
      </c>
      <c r="G24" s="2" t="s">
        <v>397</v>
      </c>
      <c r="H24" s="2" t="s">
        <v>398</v>
      </c>
      <c r="I24">
        <v>1</v>
      </c>
      <c r="J24" s="36" t="s">
        <v>255</v>
      </c>
      <c r="L24" s="2">
        <v>1</v>
      </c>
    </row>
    <row r="25" spans="1:12">
      <c r="A25" s="36">
        <v>44487.423287812497</v>
      </c>
      <c r="B25" s="36" t="s">
        <v>11</v>
      </c>
      <c r="C25" s="37">
        <v>6.2734953703703702E-3</v>
      </c>
      <c r="E25" s="2" t="s">
        <v>394</v>
      </c>
      <c r="F25" s="2" t="s">
        <v>396</v>
      </c>
      <c r="G25" s="2" t="s">
        <v>397</v>
      </c>
      <c r="H25" s="2" t="s">
        <v>398</v>
      </c>
      <c r="I25">
        <v>1</v>
      </c>
      <c r="J25" s="36" t="s">
        <v>255</v>
      </c>
      <c r="L25" s="2">
        <v>1</v>
      </c>
    </row>
    <row r="26" spans="1:12">
      <c r="A26" s="36">
        <v>44487.429561307872</v>
      </c>
      <c r="B26" s="36" t="s">
        <v>13</v>
      </c>
      <c r="C26" s="37">
        <v>8.4252662037037039E-3</v>
      </c>
      <c r="D26">
        <v>2.9428141117095947</v>
      </c>
      <c r="E26" s="2" t="s">
        <v>394</v>
      </c>
      <c r="F26" s="2" t="s">
        <v>396</v>
      </c>
      <c r="G26" s="2" t="s">
        <v>397</v>
      </c>
      <c r="H26" s="2" t="s">
        <v>398</v>
      </c>
      <c r="I26">
        <v>1</v>
      </c>
      <c r="J26" s="36" t="s">
        <v>255</v>
      </c>
      <c r="L26" s="2">
        <v>1</v>
      </c>
    </row>
    <row r="27" spans="1:12">
      <c r="A27" s="36">
        <v>44487.437986574078</v>
      </c>
      <c r="B27" s="36" t="s">
        <v>11</v>
      </c>
      <c r="C27" s="37">
        <v>5.8221064814814811E-3</v>
      </c>
      <c r="E27" s="2" t="s">
        <v>394</v>
      </c>
      <c r="F27" s="2" t="s">
        <v>396</v>
      </c>
      <c r="G27" s="2" t="s">
        <v>397</v>
      </c>
      <c r="H27" s="2" t="s">
        <v>398</v>
      </c>
      <c r="I27">
        <v>1</v>
      </c>
      <c r="J27" s="36" t="s">
        <v>255</v>
      </c>
      <c r="L27" s="2">
        <v>1</v>
      </c>
    </row>
    <row r="28" spans="1:12">
      <c r="A28" s="36">
        <v>44487.443808680553</v>
      </c>
      <c r="B28" s="36" t="s">
        <v>13</v>
      </c>
      <c r="C28" s="37">
        <v>7.8467245370370375E-3</v>
      </c>
      <c r="D28">
        <v>3.0223495960235596</v>
      </c>
      <c r="E28" s="2" t="s">
        <v>394</v>
      </c>
      <c r="F28" s="2" t="s">
        <v>396</v>
      </c>
      <c r="G28" s="2" t="s">
        <v>397</v>
      </c>
      <c r="H28" s="2" t="s">
        <v>398</v>
      </c>
      <c r="I28">
        <v>1</v>
      </c>
      <c r="J28" s="36" t="s">
        <v>255</v>
      </c>
      <c r="L28" s="2">
        <v>1</v>
      </c>
    </row>
    <row r="29" spans="1:12">
      <c r="A29" s="36">
        <v>44487.451655405093</v>
      </c>
      <c r="B29" s="36" t="s">
        <v>11</v>
      </c>
      <c r="C29" s="37">
        <v>1.3947523148148148E-2</v>
      </c>
      <c r="E29" s="2" t="s">
        <v>394</v>
      </c>
      <c r="F29" s="2" t="s">
        <v>396</v>
      </c>
      <c r="G29" s="2" t="s">
        <v>397</v>
      </c>
      <c r="H29" s="2" t="s">
        <v>398</v>
      </c>
      <c r="I29">
        <v>1</v>
      </c>
      <c r="J29" s="36" t="s">
        <v>255</v>
      </c>
      <c r="L29" s="2">
        <v>1</v>
      </c>
    </row>
    <row r="30" spans="1:12">
      <c r="A30" s="36">
        <v>44487.465602928241</v>
      </c>
      <c r="B30" s="36" t="s">
        <v>13</v>
      </c>
      <c r="C30" s="37">
        <v>1.3078402777777777E-2</v>
      </c>
      <c r="D30">
        <v>7.9137840270996094</v>
      </c>
      <c r="E30" s="2" t="s">
        <v>394</v>
      </c>
      <c r="F30" s="2" t="s">
        <v>396</v>
      </c>
      <c r="G30" s="2" t="s">
        <v>397</v>
      </c>
      <c r="H30" s="2" t="s">
        <v>398</v>
      </c>
      <c r="I30">
        <v>1</v>
      </c>
      <c r="J30" s="36" t="s">
        <v>255</v>
      </c>
      <c r="L30" s="2">
        <v>1</v>
      </c>
    </row>
    <row r="31" spans="1:12">
      <c r="A31" s="36">
        <v>44487.47868133102</v>
      </c>
      <c r="B31" s="36" t="s">
        <v>11</v>
      </c>
      <c r="C31" s="37">
        <v>1.0288842592592592E-2</v>
      </c>
      <c r="E31" s="2" t="s">
        <v>394</v>
      </c>
      <c r="F31" s="2" t="s">
        <v>396</v>
      </c>
      <c r="G31" s="2" t="s">
        <v>397</v>
      </c>
      <c r="H31" s="2" t="s">
        <v>398</v>
      </c>
      <c r="I31">
        <v>1</v>
      </c>
      <c r="J31" s="36" t="s">
        <v>255</v>
      </c>
      <c r="L31" s="2">
        <v>1</v>
      </c>
    </row>
    <row r="32" spans="1:12">
      <c r="A32" s="36">
        <v>44487.48897017361</v>
      </c>
      <c r="B32" s="36" t="s">
        <v>13</v>
      </c>
      <c r="C32" s="37">
        <v>2.1354942129629628E-2</v>
      </c>
      <c r="D32">
        <v>8.3512296676635742</v>
      </c>
      <c r="E32" s="2" t="s">
        <v>394</v>
      </c>
      <c r="F32" s="2" t="s">
        <v>396</v>
      </c>
      <c r="G32" s="2" t="s">
        <v>397</v>
      </c>
      <c r="H32" s="2" t="s">
        <v>398</v>
      </c>
      <c r="I32">
        <v>1</v>
      </c>
      <c r="J32" s="36" t="s">
        <v>255</v>
      </c>
      <c r="L32" s="2">
        <v>1</v>
      </c>
    </row>
    <row r="33" spans="1:12">
      <c r="A33" s="36">
        <v>44487.510325115742</v>
      </c>
      <c r="B33" s="36" t="s">
        <v>11</v>
      </c>
      <c r="C33" s="37">
        <v>4.7564814814814813E-3</v>
      </c>
      <c r="E33" s="2" t="s">
        <v>394</v>
      </c>
      <c r="F33" s="2" t="s">
        <v>396</v>
      </c>
      <c r="G33" s="2" t="s">
        <v>397</v>
      </c>
      <c r="H33" s="2" t="s">
        <v>398</v>
      </c>
      <c r="I33">
        <v>1</v>
      </c>
      <c r="J33" s="36" t="s">
        <v>255</v>
      </c>
      <c r="L33" s="2">
        <v>1</v>
      </c>
    </row>
    <row r="34" spans="1:12">
      <c r="A34" s="36">
        <v>44487.515081597223</v>
      </c>
      <c r="B34" s="36" t="s">
        <v>13</v>
      </c>
      <c r="C34" s="37">
        <v>3.1715937499999999E-2</v>
      </c>
      <c r="D34">
        <v>35.313770294189453</v>
      </c>
      <c r="E34" s="2" t="s">
        <v>394</v>
      </c>
      <c r="F34" s="2" t="s">
        <v>396</v>
      </c>
      <c r="G34" s="2" t="s">
        <v>397</v>
      </c>
      <c r="H34" s="2" t="s">
        <v>398</v>
      </c>
      <c r="I34">
        <v>1</v>
      </c>
      <c r="J34" s="36" t="s">
        <v>255</v>
      </c>
      <c r="L34" s="2">
        <v>1</v>
      </c>
    </row>
    <row r="35" spans="1:12">
      <c r="A35" s="36">
        <v>44487.54679753472</v>
      </c>
      <c r="B35" s="36" t="s">
        <v>11</v>
      </c>
      <c r="C35" s="37">
        <v>1.1574074074074074E-7</v>
      </c>
      <c r="E35" s="2" t="s">
        <v>394</v>
      </c>
      <c r="F35" s="2" t="s">
        <v>396</v>
      </c>
      <c r="G35" s="2" t="s">
        <v>397</v>
      </c>
      <c r="H35" s="2" t="s">
        <v>398</v>
      </c>
      <c r="I35">
        <v>1</v>
      </c>
      <c r="J35" s="36" t="s">
        <v>255</v>
      </c>
      <c r="L35" s="2">
        <v>1</v>
      </c>
    </row>
    <row r="36" spans="1:12">
      <c r="A36" s="36">
        <v>44487.546797650466</v>
      </c>
      <c r="B36" s="36" t="s">
        <v>391</v>
      </c>
      <c r="C36" s="37">
        <v>2.843900462962963E-3</v>
      </c>
      <c r="D36">
        <v>3.9767757058143616E-2</v>
      </c>
      <c r="E36" s="2" t="s">
        <v>394</v>
      </c>
      <c r="F36" s="2" t="s">
        <v>396</v>
      </c>
      <c r="G36" s="2" t="s">
        <v>397</v>
      </c>
      <c r="H36" s="2" t="s">
        <v>398</v>
      </c>
      <c r="I36">
        <v>1</v>
      </c>
      <c r="J36" s="36" t="s">
        <v>255</v>
      </c>
      <c r="L36" s="2">
        <v>1</v>
      </c>
    </row>
    <row r="37" spans="1:12">
      <c r="A37" s="36">
        <v>44487.549641550926</v>
      </c>
      <c r="B37" s="36" t="s">
        <v>11</v>
      </c>
      <c r="C37" s="37">
        <v>1.3112581018518518E-2</v>
      </c>
      <c r="E37" s="2" t="s">
        <v>394</v>
      </c>
      <c r="F37" s="2" t="s">
        <v>396</v>
      </c>
      <c r="G37" s="2" t="s">
        <v>397</v>
      </c>
      <c r="H37" s="2" t="s">
        <v>398</v>
      </c>
      <c r="I37">
        <v>1</v>
      </c>
      <c r="J37" s="36" t="s">
        <v>255</v>
      </c>
      <c r="L37" s="2">
        <v>1</v>
      </c>
    </row>
    <row r="38" spans="1:12">
      <c r="A38" s="36">
        <v>44487.562754131941</v>
      </c>
      <c r="B38" s="36" t="s">
        <v>11</v>
      </c>
      <c r="C38" s="37">
        <v>6.6332870370370374E-3</v>
      </c>
      <c r="E38" s="2" t="s">
        <v>394</v>
      </c>
      <c r="F38" s="2" t="s">
        <v>396</v>
      </c>
      <c r="G38" s="2" t="s">
        <v>397</v>
      </c>
      <c r="H38" s="2" t="s">
        <v>398</v>
      </c>
      <c r="I38">
        <v>1</v>
      </c>
      <c r="J38" s="36" t="s">
        <v>255</v>
      </c>
      <c r="L38" s="2">
        <v>1</v>
      </c>
    </row>
    <row r="39" spans="1:12">
      <c r="A39" s="36">
        <v>44487.569387418982</v>
      </c>
      <c r="B39" s="36" t="s">
        <v>13</v>
      </c>
      <c r="C39" s="37">
        <v>3.2293981481481483E-3</v>
      </c>
      <c r="D39">
        <v>1.1532649993896484</v>
      </c>
      <c r="E39" s="2" t="s">
        <v>394</v>
      </c>
      <c r="F39" s="2" t="s">
        <v>396</v>
      </c>
      <c r="G39" s="2" t="s">
        <v>397</v>
      </c>
      <c r="H39" s="2" t="s">
        <v>398</v>
      </c>
      <c r="I39">
        <v>1</v>
      </c>
      <c r="J39" s="36" t="s">
        <v>255</v>
      </c>
      <c r="L39" s="2">
        <v>1</v>
      </c>
    </row>
    <row r="40" spans="1:12">
      <c r="A40" s="36">
        <v>44487.572616817131</v>
      </c>
      <c r="B40" s="36" t="s">
        <v>11</v>
      </c>
      <c r="C40" s="37">
        <v>9.4907407407407406E-3</v>
      </c>
      <c r="E40" s="2" t="s">
        <v>394</v>
      </c>
      <c r="F40" s="2" t="s">
        <v>396</v>
      </c>
      <c r="G40" s="2" t="s">
        <v>397</v>
      </c>
      <c r="H40" s="2" t="s">
        <v>398</v>
      </c>
      <c r="I40">
        <v>1</v>
      </c>
      <c r="J40" s="36" t="s">
        <v>255</v>
      </c>
      <c r="L40" s="2">
        <v>1</v>
      </c>
    </row>
    <row r="41" spans="1:12">
      <c r="A41" s="36">
        <v>44487.582107557871</v>
      </c>
      <c r="B41" s="36" t="s">
        <v>13</v>
      </c>
      <c r="C41" s="37">
        <v>3.3440972222222223E-3</v>
      </c>
      <c r="D41">
        <v>0.83512294292449951</v>
      </c>
      <c r="E41" s="2" t="s">
        <v>394</v>
      </c>
      <c r="F41" s="2" t="s">
        <v>396</v>
      </c>
      <c r="G41" s="2" t="s">
        <v>397</v>
      </c>
      <c r="H41" s="2" t="s">
        <v>398</v>
      </c>
      <c r="I41">
        <v>1</v>
      </c>
      <c r="J41" s="36" t="s">
        <v>255</v>
      </c>
      <c r="L41" s="2">
        <v>1</v>
      </c>
    </row>
    <row r="42" spans="1:12">
      <c r="A42" s="36">
        <v>44487.58545165509</v>
      </c>
      <c r="B42" s="36" t="s">
        <v>11</v>
      </c>
      <c r="C42" s="37">
        <v>8.5189814814814815E-3</v>
      </c>
      <c r="E42" s="2" t="s">
        <v>394</v>
      </c>
      <c r="F42" s="2" t="s">
        <v>396</v>
      </c>
      <c r="G42" s="2" t="s">
        <v>397</v>
      </c>
      <c r="H42" s="2" t="s">
        <v>398</v>
      </c>
      <c r="I42">
        <v>1</v>
      </c>
      <c r="J42" s="36" t="s">
        <v>255</v>
      </c>
      <c r="L42" s="2">
        <v>1</v>
      </c>
    </row>
    <row r="43" spans="1:12">
      <c r="A43" s="36">
        <v>44487.593970636575</v>
      </c>
      <c r="B43" s="36" t="s">
        <v>13</v>
      </c>
      <c r="C43" s="37">
        <v>3.086755787037037E-2</v>
      </c>
      <c r="D43">
        <v>34.876323699951172</v>
      </c>
      <c r="E43" s="2" t="s">
        <v>394</v>
      </c>
      <c r="F43" s="2" t="s">
        <v>396</v>
      </c>
      <c r="G43" s="2" t="s">
        <v>397</v>
      </c>
      <c r="H43" s="2" t="s">
        <v>398</v>
      </c>
      <c r="I43">
        <v>1</v>
      </c>
      <c r="J43" s="36" t="s">
        <v>255</v>
      </c>
      <c r="L43" s="2">
        <v>1</v>
      </c>
    </row>
    <row r="44" spans="1:12">
      <c r="A44" s="36">
        <v>44487.624838194446</v>
      </c>
      <c r="B44" s="36" t="s">
        <v>11</v>
      </c>
      <c r="C44" s="37">
        <v>4.2826736111111112E-3</v>
      </c>
      <c r="E44" s="2" t="s">
        <v>394</v>
      </c>
      <c r="F44" s="2" t="s">
        <v>396</v>
      </c>
      <c r="G44" s="2" t="s">
        <v>397</v>
      </c>
      <c r="H44" s="2" t="s">
        <v>398</v>
      </c>
      <c r="I44">
        <v>1</v>
      </c>
      <c r="J44" s="36" t="s">
        <v>255</v>
      </c>
      <c r="L44" s="2">
        <v>1</v>
      </c>
    </row>
    <row r="45" spans="1:12">
      <c r="A45" s="36">
        <v>44487.629120868056</v>
      </c>
      <c r="B45" s="36" t="s">
        <v>13</v>
      </c>
      <c r="C45" s="37">
        <v>1.4166400462962962E-2</v>
      </c>
      <c r="D45">
        <v>11.572417259216309</v>
      </c>
      <c r="E45" s="2" t="s">
        <v>394</v>
      </c>
      <c r="F45" s="2" t="s">
        <v>396</v>
      </c>
      <c r="G45" s="2" t="s">
        <v>397</v>
      </c>
      <c r="H45" s="2" t="s">
        <v>398</v>
      </c>
      <c r="I45">
        <v>1</v>
      </c>
      <c r="J45" s="36" t="s">
        <v>255</v>
      </c>
      <c r="L45" s="2">
        <v>1</v>
      </c>
    </row>
    <row r="46" spans="1:12">
      <c r="A46" s="36">
        <v>44487.643287268518</v>
      </c>
      <c r="B46" s="36" t="s">
        <v>11</v>
      </c>
      <c r="C46" s="37">
        <v>1.1355289351851853E-2</v>
      </c>
      <c r="E46" s="2" t="s">
        <v>394</v>
      </c>
      <c r="F46" s="2" t="s">
        <v>396</v>
      </c>
      <c r="G46" s="2" t="s">
        <v>397</v>
      </c>
      <c r="H46" s="2" t="s">
        <v>398</v>
      </c>
      <c r="I46">
        <v>1</v>
      </c>
      <c r="J46" s="36" t="s">
        <v>255</v>
      </c>
      <c r="L46" s="2">
        <v>1</v>
      </c>
    </row>
    <row r="47" spans="1:12">
      <c r="A47" s="36">
        <v>44487.654642557871</v>
      </c>
      <c r="B47" s="36" t="s">
        <v>13</v>
      </c>
      <c r="C47" s="37">
        <v>1.7545833333333333E-2</v>
      </c>
      <c r="D47">
        <v>17.537580490112305</v>
      </c>
      <c r="E47" s="2" t="s">
        <v>394</v>
      </c>
      <c r="F47" s="2" t="s">
        <v>396</v>
      </c>
      <c r="G47" s="2" t="s">
        <v>397</v>
      </c>
      <c r="H47" s="2" t="s">
        <v>398</v>
      </c>
      <c r="I47">
        <v>1</v>
      </c>
      <c r="J47" s="36" t="s">
        <v>255</v>
      </c>
      <c r="L47" s="2">
        <v>1</v>
      </c>
    </row>
    <row r="48" spans="1:12">
      <c r="A48" s="36">
        <v>44487.672188391203</v>
      </c>
      <c r="B48" s="36" t="s">
        <v>11</v>
      </c>
      <c r="C48" s="37">
        <v>1.5913726851851853E-2</v>
      </c>
      <c r="E48" s="2" t="s">
        <v>394</v>
      </c>
      <c r="F48" s="2" t="s">
        <v>396</v>
      </c>
      <c r="G48" s="2" t="s">
        <v>397</v>
      </c>
      <c r="H48" s="2" t="s">
        <v>398</v>
      </c>
      <c r="I48">
        <v>1</v>
      </c>
      <c r="J48" s="36" t="s">
        <v>255</v>
      </c>
      <c r="L48" s="2">
        <v>1</v>
      </c>
    </row>
    <row r="49" spans="1:12">
      <c r="A49" s="36">
        <v>44487.688102118052</v>
      </c>
      <c r="B49" s="36" t="s">
        <v>13</v>
      </c>
      <c r="C49" s="37">
        <v>4.50696412037037E-2</v>
      </c>
      <c r="D49">
        <v>55.316951751708984</v>
      </c>
      <c r="E49" s="2" t="s">
        <v>394</v>
      </c>
      <c r="F49" s="2" t="s">
        <v>396</v>
      </c>
      <c r="G49" s="2" t="s">
        <v>397</v>
      </c>
      <c r="H49" s="2" t="s">
        <v>398</v>
      </c>
      <c r="I49">
        <v>1</v>
      </c>
      <c r="J49" s="36" t="s">
        <v>255</v>
      </c>
      <c r="L49" s="2">
        <v>1</v>
      </c>
    </row>
    <row r="50" spans="1:12">
      <c r="A50" s="36">
        <v>44487.729768784724</v>
      </c>
      <c r="B50" s="36" t="s">
        <v>392</v>
      </c>
      <c r="D50">
        <v>0.2783743143081665</v>
      </c>
      <c r="E50" s="2" t="s">
        <v>394</v>
      </c>
      <c r="F50" s="2" t="s">
        <v>396</v>
      </c>
      <c r="G50" s="2" t="s">
        <v>397</v>
      </c>
      <c r="H50" s="2" t="s">
        <v>398</v>
      </c>
      <c r="I50">
        <v>1</v>
      </c>
      <c r="J50" s="36" t="s">
        <v>255</v>
      </c>
      <c r="L50" s="2">
        <v>1</v>
      </c>
    </row>
    <row r="51" spans="1:12">
      <c r="A51" s="36">
        <v>44487.733171759261</v>
      </c>
      <c r="B51" s="36" t="s">
        <v>11</v>
      </c>
      <c r="C51" s="37">
        <v>1.0451469907407408E-2</v>
      </c>
      <c r="E51" s="2" t="s">
        <v>394</v>
      </c>
      <c r="F51" s="2" t="s">
        <v>396</v>
      </c>
      <c r="G51" s="2" t="s">
        <v>397</v>
      </c>
      <c r="H51" s="2" t="s">
        <v>398</v>
      </c>
      <c r="I51">
        <v>1</v>
      </c>
      <c r="J51" s="36" t="s">
        <v>255</v>
      </c>
      <c r="L51" s="2">
        <v>1</v>
      </c>
    </row>
    <row r="52" spans="1:12">
      <c r="A52" s="36">
        <v>44487.743623229166</v>
      </c>
      <c r="B52" s="36" t="s">
        <v>13</v>
      </c>
      <c r="C52" s="37">
        <v>3.7118055555555557E-2</v>
      </c>
      <c r="D52">
        <v>44.659191131591797</v>
      </c>
      <c r="E52" s="2" t="s">
        <v>394</v>
      </c>
      <c r="F52" s="2" t="s">
        <v>396</v>
      </c>
      <c r="G52" s="2" t="s">
        <v>397</v>
      </c>
      <c r="H52" s="2" t="s">
        <v>398</v>
      </c>
      <c r="I52">
        <v>1</v>
      </c>
      <c r="J52" s="36" t="s">
        <v>255</v>
      </c>
      <c r="L52" s="2">
        <v>1</v>
      </c>
    </row>
    <row r="53" spans="1:12">
      <c r="A53" s="36">
        <v>44487.780741284725</v>
      </c>
      <c r="B53" s="36" t="s">
        <v>11</v>
      </c>
      <c r="C53" s="37">
        <v>1.1574074074074074E-7</v>
      </c>
      <c r="E53" s="2" t="s">
        <v>394</v>
      </c>
      <c r="F53" s="2" t="s">
        <v>396</v>
      </c>
      <c r="G53" s="2" t="s">
        <v>397</v>
      </c>
      <c r="H53" s="2" t="s">
        <v>398</v>
      </c>
      <c r="I53">
        <v>1</v>
      </c>
      <c r="J53" s="36" t="s">
        <v>255</v>
      </c>
      <c r="L53" s="2">
        <v>1</v>
      </c>
    </row>
    <row r="54" spans="1:12">
      <c r="A54" s="36">
        <v>44487.780741400464</v>
      </c>
      <c r="B54" s="36" t="s">
        <v>391</v>
      </c>
      <c r="C54" s="37">
        <v>6.7476041666666665E-3</v>
      </c>
      <c r="D54">
        <v>0.51698082685470581</v>
      </c>
      <c r="E54" s="2" t="s">
        <v>394</v>
      </c>
      <c r="F54" s="2" t="s">
        <v>396</v>
      </c>
      <c r="G54" s="2" t="s">
        <v>397</v>
      </c>
      <c r="H54" s="2" t="s">
        <v>398</v>
      </c>
      <c r="I54">
        <v>1</v>
      </c>
      <c r="J54" s="36" t="s">
        <v>255</v>
      </c>
      <c r="L54" s="2">
        <v>1</v>
      </c>
    </row>
    <row r="55" spans="1:12">
      <c r="A55" s="36">
        <v>44487.78748900463</v>
      </c>
      <c r="B55" s="36" t="s">
        <v>11</v>
      </c>
      <c r="C55" s="37">
        <v>6.8020833333333331E-5</v>
      </c>
      <c r="E55" s="2" t="s">
        <v>394</v>
      </c>
      <c r="F55" s="2" t="s">
        <v>396</v>
      </c>
      <c r="G55" s="2" t="s">
        <v>397</v>
      </c>
      <c r="H55" s="2" t="s">
        <v>398</v>
      </c>
      <c r="I55">
        <v>1</v>
      </c>
      <c r="J55" s="36" t="s">
        <v>255</v>
      </c>
      <c r="L55" s="2">
        <v>1</v>
      </c>
    </row>
    <row r="56" spans="1:12">
      <c r="A56" s="36">
        <v>44487.787557025462</v>
      </c>
      <c r="B56" s="36" t="s">
        <v>11</v>
      </c>
      <c r="C56" s="37">
        <v>1.4131944444444446E-4</v>
      </c>
      <c r="E56" s="2" t="s">
        <v>394</v>
      </c>
      <c r="F56" s="2" t="s">
        <v>396</v>
      </c>
      <c r="G56" s="2" t="s">
        <v>397</v>
      </c>
      <c r="H56" s="2" t="s">
        <v>398</v>
      </c>
      <c r="I56">
        <v>1</v>
      </c>
      <c r="J56" s="36" t="s">
        <v>255</v>
      </c>
      <c r="L56" s="2">
        <v>1</v>
      </c>
    </row>
    <row r="57" spans="1:12">
      <c r="A57" s="36">
        <v>44487.78769834491</v>
      </c>
      <c r="B57" s="36" t="s">
        <v>12</v>
      </c>
      <c r="C57" s="37">
        <v>0.45909363425925925</v>
      </c>
      <c r="E57" s="2" t="s">
        <v>394</v>
      </c>
      <c r="F57" s="2" t="s">
        <v>396</v>
      </c>
      <c r="G57" s="2" t="s">
        <v>397</v>
      </c>
      <c r="H57" s="2" t="s">
        <v>398</v>
      </c>
      <c r="I57">
        <v>1</v>
      </c>
      <c r="J57" s="36" t="s">
        <v>255</v>
      </c>
      <c r="L57" s="2">
        <v>1</v>
      </c>
    </row>
    <row r="58" spans="1:12">
      <c r="A58" s="36">
        <v>44490.352281516207</v>
      </c>
      <c r="B58" s="36" t="s">
        <v>11</v>
      </c>
      <c r="C58" s="37">
        <v>2.1336111111111113E-3</v>
      </c>
      <c r="E58" s="2" t="s">
        <v>393</v>
      </c>
      <c r="F58" s="2" t="s">
        <v>401</v>
      </c>
      <c r="G58" s="2" t="s">
        <v>402</v>
      </c>
      <c r="H58" s="2" t="s">
        <v>395</v>
      </c>
      <c r="I58">
        <v>2</v>
      </c>
      <c r="J58" s="36" t="s">
        <v>383</v>
      </c>
      <c r="L58" s="2">
        <v>2</v>
      </c>
    </row>
    <row r="59" spans="1:12">
      <c r="A59" s="36">
        <v>44490.354415127316</v>
      </c>
      <c r="B59" s="36" t="s">
        <v>13</v>
      </c>
      <c r="C59" s="37">
        <v>1.1414351851851852E-3</v>
      </c>
      <c r="D59">
        <v>0</v>
      </c>
      <c r="E59" s="2" t="s">
        <v>393</v>
      </c>
      <c r="F59" s="2" t="s">
        <v>401</v>
      </c>
      <c r="G59" s="2" t="s">
        <v>402</v>
      </c>
      <c r="H59" s="2" t="s">
        <v>395</v>
      </c>
      <c r="I59">
        <v>2</v>
      </c>
      <c r="J59" s="36" t="s">
        <v>383</v>
      </c>
      <c r="L59" s="2">
        <v>2</v>
      </c>
    </row>
    <row r="60" spans="1:12">
      <c r="A60" s="36">
        <v>44490.355556562499</v>
      </c>
      <c r="B60" s="36" t="s">
        <v>13</v>
      </c>
      <c r="C60" s="37">
        <v>2.0208101851851852E-2</v>
      </c>
      <c r="D60">
        <v>17.219438552856445</v>
      </c>
      <c r="E60" s="2" t="s">
        <v>393</v>
      </c>
      <c r="F60" s="2" t="s">
        <v>401</v>
      </c>
      <c r="G60" s="2" t="s">
        <v>402</v>
      </c>
      <c r="H60" s="2" t="s">
        <v>395</v>
      </c>
      <c r="I60">
        <v>2</v>
      </c>
      <c r="J60" s="36" t="s">
        <v>383</v>
      </c>
      <c r="L60" s="2">
        <v>2</v>
      </c>
    </row>
    <row r="61" spans="1:12">
      <c r="A61" s="36">
        <v>44490.37576466435</v>
      </c>
      <c r="B61" s="36" t="s">
        <v>11</v>
      </c>
      <c r="C61" s="37">
        <v>1.8182557870370371E-2</v>
      </c>
      <c r="E61" s="2" t="s">
        <v>393</v>
      </c>
      <c r="F61" s="2" t="s">
        <v>401</v>
      </c>
      <c r="G61" s="2" t="s">
        <v>402</v>
      </c>
      <c r="H61" s="2" t="s">
        <v>395</v>
      </c>
      <c r="I61">
        <v>2</v>
      </c>
      <c r="J61" s="36" t="s">
        <v>383</v>
      </c>
      <c r="L61" s="2">
        <v>2</v>
      </c>
    </row>
    <row r="62" spans="1:12">
      <c r="A62" s="36">
        <v>44490.393947222219</v>
      </c>
      <c r="B62" s="36" t="s">
        <v>13</v>
      </c>
      <c r="C62" s="37">
        <v>6.6090625000000004E-3</v>
      </c>
      <c r="D62">
        <v>2.684323787689209</v>
      </c>
      <c r="E62" s="2" t="s">
        <v>393</v>
      </c>
      <c r="F62" s="2" t="s">
        <v>401</v>
      </c>
      <c r="G62" s="2" t="s">
        <v>402</v>
      </c>
      <c r="H62" s="2" t="s">
        <v>395</v>
      </c>
      <c r="I62">
        <v>2</v>
      </c>
      <c r="J62" s="36" t="s">
        <v>383</v>
      </c>
      <c r="L62" s="2">
        <v>2</v>
      </c>
    </row>
    <row r="63" spans="1:12">
      <c r="A63" s="36">
        <v>44490.400556284723</v>
      </c>
      <c r="B63" s="36" t="s">
        <v>11</v>
      </c>
      <c r="C63" s="37">
        <v>2.3148148148148147E-5</v>
      </c>
      <c r="E63" s="2" t="s">
        <v>393</v>
      </c>
      <c r="F63" s="2" t="s">
        <v>401</v>
      </c>
      <c r="G63" s="2" t="s">
        <v>402</v>
      </c>
      <c r="H63" s="2" t="s">
        <v>395</v>
      </c>
      <c r="I63">
        <v>2</v>
      </c>
      <c r="J63" s="36" t="s">
        <v>383</v>
      </c>
      <c r="L63" s="2">
        <v>2</v>
      </c>
    </row>
    <row r="64" spans="1:12">
      <c r="A64" s="36">
        <v>44490.40057943287</v>
      </c>
      <c r="B64" s="36" t="s">
        <v>12</v>
      </c>
      <c r="C64" s="37">
        <v>5.8517939814814818E-2</v>
      </c>
      <c r="E64" s="2" t="s">
        <v>393</v>
      </c>
      <c r="F64" s="2" t="s">
        <v>401</v>
      </c>
      <c r="G64" s="2" t="s">
        <v>402</v>
      </c>
      <c r="H64" s="2" t="s">
        <v>395</v>
      </c>
      <c r="I64">
        <v>2</v>
      </c>
      <c r="J64" s="36" t="s">
        <v>383</v>
      </c>
      <c r="L64" s="2">
        <v>2</v>
      </c>
    </row>
    <row r="65" spans="1:12">
      <c r="A65" s="36">
        <v>44490.459097372688</v>
      </c>
      <c r="B65" s="36" t="s">
        <v>13</v>
      </c>
      <c r="C65" s="37">
        <v>1.3739050925925925E-2</v>
      </c>
      <c r="D65">
        <v>13.441502571105957</v>
      </c>
      <c r="E65" s="2" t="s">
        <v>393</v>
      </c>
      <c r="F65" s="2" t="s">
        <v>401</v>
      </c>
      <c r="G65" s="2" t="s">
        <v>402</v>
      </c>
      <c r="H65" s="2" t="s">
        <v>395</v>
      </c>
      <c r="I65">
        <v>2</v>
      </c>
      <c r="J65" s="36" t="s">
        <v>383</v>
      </c>
      <c r="L65" s="2">
        <v>2</v>
      </c>
    </row>
    <row r="66" spans="1:12">
      <c r="A66" s="36">
        <v>44490.472836423614</v>
      </c>
      <c r="B66" s="36" t="s">
        <v>11</v>
      </c>
      <c r="C66" s="37">
        <v>5.2545486111111109E-3</v>
      </c>
      <c r="E66" s="2" t="s">
        <v>393</v>
      </c>
      <c r="F66" s="2" t="s">
        <v>401</v>
      </c>
      <c r="G66" s="2" t="s">
        <v>402</v>
      </c>
      <c r="H66" s="2" t="s">
        <v>395</v>
      </c>
      <c r="I66">
        <v>2</v>
      </c>
      <c r="J66" s="36" t="s">
        <v>383</v>
      </c>
      <c r="L66" s="2">
        <v>2</v>
      </c>
    </row>
    <row r="67" spans="1:12">
      <c r="A67" s="36">
        <v>44490.478090972225</v>
      </c>
      <c r="B67" s="36" t="s">
        <v>13</v>
      </c>
      <c r="C67" s="37">
        <v>6.6785069444444444E-3</v>
      </c>
      <c r="D67">
        <v>3.5989820957183838</v>
      </c>
      <c r="E67" s="2" t="s">
        <v>393</v>
      </c>
      <c r="F67" s="2" t="s">
        <v>401</v>
      </c>
      <c r="G67" s="2" t="s">
        <v>402</v>
      </c>
      <c r="H67" s="2" t="s">
        <v>395</v>
      </c>
      <c r="I67">
        <v>2</v>
      </c>
      <c r="J67" s="36" t="s">
        <v>383</v>
      </c>
      <c r="L67" s="2">
        <v>2</v>
      </c>
    </row>
    <row r="68" spans="1:12">
      <c r="A68" s="36">
        <v>44490.484769479168</v>
      </c>
      <c r="B68" s="36" t="s">
        <v>11</v>
      </c>
      <c r="C68" s="37">
        <v>4.1535879629629632E-4</v>
      </c>
      <c r="E68" s="2" t="s">
        <v>393</v>
      </c>
      <c r="F68" s="2" t="s">
        <v>401</v>
      </c>
      <c r="G68" s="2" t="s">
        <v>402</v>
      </c>
      <c r="H68" s="2" t="s">
        <v>395</v>
      </c>
      <c r="I68">
        <v>2</v>
      </c>
      <c r="J68" s="36" t="s">
        <v>383</v>
      </c>
      <c r="L68" s="2">
        <v>2</v>
      </c>
    </row>
    <row r="69" spans="1:12">
      <c r="A69" s="36">
        <v>44490.485184837962</v>
      </c>
      <c r="B69" s="36" t="s">
        <v>11</v>
      </c>
      <c r="C69" s="37">
        <v>1.921443287037037E-2</v>
      </c>
      <c r="E69" s="2" t="s">
        <v>393</v>
      </c>
      <c r="F69" s="2" t="s">
        <v>401</v>
      </c>
      <c r="G69" s="2" t="s">
        <v>402</v>
      </c>
      <c r="H69" s="2" t="s">
        <v>395</v>
      </c>
      <c r="I69">
        <v>2</v>
      </c>
      <c r="J69" s="36" t="s">
        <v>383</v>
      </c>
      <c r="L69" s="2">
        <v>2</v>
      </c>
    </row>
    <row r="70" spans="1:12">
      <c r="A70" s="36">
        <v>44490.504399270831</v>
      </c>
      <c r="B70" s="36" t="s">
        <v>13</v>
      </c>
      <c r="C70" s="37">
        <v>1.1563194444444444E-3</v>
      </c>
      <c r="D70">
        <v>0.13918715715408325</v>
      </c>
      <c r="E70" s="2" t="s">
        <v>393</v>
      </c>
      <c r="F70" s="2" t="s">
        <v>401</v>
      </c>
      <c r="G70" s="2" t="s">
        <v>402</v>
      </c>
      <c r="H70" s="2" t="s">
        <v>395</v>
      </c>
      <c r="I70">
        <v>2</v>
      </c>
      <c r="J70" s="36" t="s">
        <v>383</v>
      </c>
      <c r="L70" s="2">
        <v>2</v>
      </c>
    </row>
    <row r="71" spans="1:12">
      <c r="A71" s="36">
        <v>44490.50555559028</v>
      </c>
      <c r="B71" s="36" t="s">
        <v>11</v>
      </c>
      <c r="C71" s="37">
        <v>6.4591435185185186E-3</v>
      </c>
      <c r="E71" s="2" t="s">
        <v>393</v>
      </c>
      <c r="F71" s="2" t="s">
        <v>401</v>
      </c>
      <c r="G71" s="2" t="s">
        <v>402</v>
      </c>
      <c r="H71" s="2" t="s">
        <v>395</v>
      </c>
      <c r="I71">
        <v>2</v>
      </c>
      <c r="J71" s="36" t="s">
        <v>383</v>
      </c>
      <c r="L71" s="2">
        <v>2</v>
      </c>
    </row>
    <row r="72" spans="1:12">
      <c r="A72" s="36">
        <v>44490.512014733795</v>
      </c>
      <c r="B72" s="36" t="s">
        <v>13</v>
      </c>
      <c r="C72" s="37">
        <v>4.9886226851851853E-3</v>
      </c>
      <c r="D72">
        <v>2.505368709564209</v>
      </c>
      <c r="E72" s="2" t="s">
        <v>393</v>
      </c>
      <c r="F72" s="2" t="s">
        <v>401</v>
      </c>
      <c r="G72" s="2" t="s">
        <v>402</v>
      </c>
      <c r="H72" s="2" t="s">
        <v>395</v>
      </c>
      <c r="I72">
        <v>2</v>
      </c>
      <c r="J72" s="36" t="s">
        <v>383</v>
      </c>
      <c r="L72" s="2">
        <v>2</v>
      </c>
    </row>
    <row r="73" spans="1:12">
      <c r="A73" s="36">
        <v>44490.517003356479</v>
      </c>
      <c r="B73" s="36" t="s">
        <v>11</v>
      </c>
      <c r="C73" s="37">
        <v>7.6853819444444443E-3</v>
      </c>
      <c r="E73" s="2" t="s">
        <v>393</v>
      </c>
      <c r="F73" s="2" t="s">
        <v>401</v>
      </c>
      <c r="G73" s="2" t="s">
        <v>402</v>
      </c>
      <c r="H73" s="2" t="s">
        <v>395</v>
      </c>
      <c r="I73">
        <v>2</v>
      </c>
      <c r="J73" s="36" t="s">
        <v>383</v>
      </c>
      <c r="L73" s="2">
        <v>2</v>
      </c>
    </row>
    <row r="74" spans="1:12">
      <c r="A74" s="36">
        <v>44490.524688738427</v>
      </c>
      <c r="B74" s="36" t="s">
        <v>13</v>
      </c>
      <c r="C74" s="37">
        <v>6.8163888888888892E-3</v>
      </c>
      <c r="D74">
        <v>3.062117338180542</v>
      </c>
      <c r="E74" s="2" t="s">
        <v>393</v>
      </c>
      <c r="F74" s="2" t="s">
        <v>401</v>
      </c>
      <c r="G74" s="2" t="s">
        <v>402</v>
      </c>
      <c r="H74" s="2" t="s">
        <v>395</v>
      </c>
      <c r="I74">
        <v>2</v>
      </c>
      <c r="J74" s="36" t="s">
        <v>383</v>
      </c>
      <c r="L74" s="2">
        <v>2</v>
      </c>
    </row>
    <row r="75" spans="1:12">
      <c r="A75" s="36">
        <v>44490.531505127314</v>
      </c>
      <c r="B75" s="36" t="s">
        <v>11</v>
      </c>
      <c r="C75" s="37">
        <v>6.111655092592593E-3</v>
      </c>
      <c r="E75" s="2" t="s">
        <v>393</v>
      </c>
      <c r="F75" s="2" t="s">
        <v>401</v>
      </c>
      <c r="G75" s="2" t="s">
        <v>402</v>
      </c>
      <c r="H75" s="2" t="s">
        <v>395</v>
      </c>
      <c r="I75">
        <v>2</v>
      </c>
      <c r="J75" s="36" t="s">
        <v>383</v>
      </c>
      <c r="L75" s="2">
        <v>2</v>
      </c>
    </row>
    <row r="76" spans="1:12">
      <c r="A76" s="36">
        <v>44490.537616782407</v>
      </c>
      <c r="B76" s="36" t="s">
        <v>13</v>
      </c>
      <c r="C76" s="37">
        <v>3.3691354166666666E-2</v>
      </c>
      <c r="D76">
        <v>19.068639755249023</v>
      </c>
      <c r="E76" s="2" t="s">
        <v>393</v>
      </c>
      <c r="F76" s="2" t="s">
        <v>401</v>
      </c>
      <c r="G76" s="2" t="s">
        <v>402</v>
      </c>
      <c r="H76" s="2" t="s">
        <v>395</v>
      </c>
      <c r="I76">
        <v>2</v>
      </c>
      <c r="J76" s="36" t="s">
        <v>383</v>
      </c>
      <c r="L76" s="2">
        <v>2</v>
      </c>
    </row>
    <row r="77" spans="1:12">
      <c r="A77" s="36">
        <v>44490.571308136576</v>
      </c>
      <c r="B77" s="36" t="s">
        <v>11</v>
      </c>
      <c r="C77" s="37">
        <v>9.9311805555555559E-3</v>
      </c>
      <c r="E77" s="2" t="s">
        <v>393</v>
      </c>
      <c r="F77" s="2" t="s">
        <v>401</v>
      </c>
      <c r="G77" s="2" t="s">
        <v>402</v>
      </c>
      <c r="H77" s="2" t="s">
        <v>395</v>
      </c>
      <c r="I77">
        <v>2</v>
      </c>
      <c r="J77" s="36" t="s">
        <v>383</v>
      </c>
      <c r="L77" s="2">
        <v>2</v>
      </c>
    </row>
    <row r="78" spans="1:12">
      <c r="A78" s="36">
        <v>44490.581239317129</v>
      </c>
      <c r="B78" s="36" t="s">
        <v>13</v>
      </c>
      <c r="C78" s="37">
        <v>3.4826620370370369E-2</v>
      </c>
      <c r="D78">
        <v>20.878072738647461</v>
      </c>
      <c r="E78" s="2" t="s">
        <v>393</v>
      </c>
      <c r="F78" s="2" t="s">
        <v>401</v>
      </c>
      <c r="G78" s="2" t="s">
        <v>402</v>
      </c>
      <c r="H78" s="2" t="s">
        <v>395</v>
      </c>
      <c r="I78">
        <v>2</v>
      </c>
      <c r="J78" s="36" t="s">
        <v>383</v>
      </c>
      <c r="L78" s="2">
        <v>2</v>
      </c>
    </row>
    <row r="79" spans="1:12">
      <c r="A79" s="36">
        <v>44490.616065937502</v>
      </c>
      <c r="B79" s="36" t="s">
        <v>11</v>
      </c>
      <c r="C79" s="37">
        <v>1.2135416666666666E-3</v>
      </c>
      <c r="E79" s="2" t="s">
        <v>393</v>
      </c>
      <c r="F79" s="2" t="s">
        <v>401</v>
      </c>
      <c r="G79" s="2" t="s">
        <v>402</v>
      </c>
      <c r="H79" s="2" t="s">
        <v>395</v>
      </c>
      <c r="I79">
        <v>2</v>
      </c>
      <c r="J79" s="36" t="s">
        <v>383</v>
      </c>
      <c r="L79" s="2">
        <v>2</v>
      </c>
    </row>
    <row r="80" spans="1:12">
      <c r="A80" s="36">
        <v>44490.617279479164</v>
      </c>
      <c r="B80" s="36" t="s">
        <v>11</v>
      </c>
      <c r="C80" s="37">
        <v>8.1198611111111107E-3</v>
      </c>
      <c r="E80" s="2" t="s">
        <v>393</v>
      </c>
      <c r="F80" s="2" t="s">
        <v>401</v>
      </c>
      <c r="G80" s="2" t="s">
        <v>402</v>
      </c>
      <c r="H80" s="2" t="s">
        <v>395</v>
      </c>
      <c r="I80">
        <v>2</v>
      </c>
      <c r="J80" s="36" t="s">
        <v>383</v>
      </c>
      <c r="L80" s="2">
        <v>2</v>
      </c>
    </row>
    <row r="81" spans="1:12">
      <c r="A81" s="36">
        <v>44490.625399340279</v>
      </c>
      <c r="B81" s="36" t="s">
        <v>12</v>
      </c>
      <c r="C81" s="37">
        <v>0.71003349537037042</v>
      </c>
      <c r="E81" s="2" t="s">
        <v>393</v>
      </c>
      <c r="F81" s="2" t="s">
        <v>401</v>
      </c>
      <c r="G81" s="2" t="s">
        <v>402</v>
      </c>
      <c r="H81" s="2" t="s">
        <v>395</v>
      </c>
      <c r="I81">
        <v>2</v>
      </c>
      <c r="J81" s="36" t="s">
        <v>383</v>
      </c>
      <c r="L81" s="2">
        <v>2</v>
      </c>
    </row>
    <row r="82" spans="1:12">
      <c r="A82" s="36">
        <v>44491.335432835651</v>
      </c>
      <c r="B82" s="36" t="s">
        <v>11</v>
      </c>
      <c r="C82" s="37">
        <v>2.3687500000000002E-3</v>
      </c>
      <c r="E82" s="2" t="s">
        <v>393</v>
      </c>
      <c r="F82" s="2" t="s">
        <v>401</v>
      </c>
      <c r="G82" s="2" t="s">
        <v>402</v>
      </c>
      <c r="H82" s="2" t="s">
        <v>395</v>
      </c>
      <c r="I82">
        <v>2</v>
      </c>
      <c r="J82" s="36" t="s">
        <v>383</v>
      </c>
      <c r="L82" s="2">
        <v>2</v>
      </c>
    </row>
    <row r="83" spans="1:12">
      <c r="A83" s="36">
        <v>44491.337801585651</v>
      </c>
      <c r="B83" s="36" t="s">
        <v>13</v>
      </c>
      <c r="C83" s="37">
        <v>1.5844328703703704E-2</v>
      </c>
      <c r="D83">
        <v>0.25849041342735291</v>
      </c>
      <c r="E83" s="2" t="s">
        <v>393</v>
      </c>
      <c r="F83" s="2" t="s">
        <v>401</v>
      </c>
      <c r="G83" s="2" t="s">
        <v>402</v>
      </c>
      <c r="H83" s="2" t="s">
        <v>395</v>
      </c>
      <c r="I83">
        <v>2</v>
      </c>
      <c r="J83" s="36" t="s">
        <v>383</v>
      </c>
      <c r="L83" s="2">
        <v>2</v>
      </c>
    </row>
    <row r="84" spans="1:12">
      <c r="A84" s="36">
        <v>44491.353645914351</v>
      </c>
      <c r="B84" s="36" t="s">
        <v>11</v>
      </c>
      <c r="C84" s="37">
        <v>1.8814814814814814E-4</v>
      </c>
      <c r="E84" s="2" t="s">
        <v>393</v>
      </c>
      <c r="F84" s="2" t="s">
        <v>401</v>
      </c>
      <c r="G84" s="2" t="s">
        <v>402</v>
      </c>
      <c r="H84" s="2" t="s">
        <v>395</v>
      </c>
      <c r="I84">
        <v>2</v>
      </c>
      <c r="J84" s="36" t="s">
        <v>383</v>
      </c>
      <c r="L84" s="2">
        <v>2</v>
      </c>
    </row>
    <row r="85" spans="1:12">
      <c r="A85" s="36">
        <v>44491.353834062502</v>
      </c>
      <c r="B85" s="36" t="s">
        <v>12</v>
      </c>
      <c r="C85" s="37">
        <v>6.6271111111111114E-2</v>
      </c>
      <c r="E85" s="2" t="s">
        <v>393</v>
      </c>
      <c r="F85" s="2" t="s">
        <v>401</v>
      </c>
      <c r="G85" s="2" t="s">
        <v>402</v>
      </c>
      <c r="H85" s="2" t="s">
        <v>395</v>
      </c>
      <c r="I85">
        <v>2</v>
      </c>
      <c r="J85" s="36" t="s">
        <v>383</v>
      </c>
      <c r="L85" s="2">
        <v>2</v>
      </c>
    </row>
    <row r="86" spans="1:12">
      <c r="A86" s="36">
        <v>44491.420105173609</v>
      </c>
      <c r="B86" s="36" t="s">
        <v>13</v>
      </c>
      <c r="C86" s="37">
        <v>2.4363263888888889E-2</v>
      </c>
      <c r="D86">
        <v>31.555715560913086</v>
      </c>
      <c r="E86" s="2" t="s">
        <v>393</v>
      </c>
      <c r="F86" s="2" t="s">
        <v>401</v>
      </c>
      <c r="G86" s="2" t="s">
        <v>402</v>
      </c>
      <c r="H86" s="2" t="s">
        <v>395</v>
      </c>
      <c r="I86">
        <v>2</v>
      </c>
      <c r="J86" s="36" t="s">
        <v>383</v>
      </c>
      <c r="L86" s="2">
        <v>2</v>
      </c>
    </row>
    <row r="87" spans="1:12">
      <c r="A87" s="36">
        <v>44491.444468437498</v>
      </c>
      <c r="B87" s="36" t="s">
        <v>11</v>
      </c>
      <c r="C87" s="37">
        <v>4.0612581018518522E-2</v>
      </c>
      <c r="E87" s="2" t="s">
        <v>393</v>
      </c>
      <c r="F87" s="2" t="s">
        <v>401</v>
      </c>
      <c r="G87" s="2" t="s">
        <v>402</v>
      </c>
      <c r="H87" s="2" t="s">
        <v>395</v>
      </c>
      <c r="I87">
        <v>2</v>
      </c>
      <c r="J87" s="36" t="s">
        <v>383</v>
      </c>
      <c r="L87" s="2">
        <v>2</v>
      </c>
    </row>
    <row r="88" spans="1:12">
      <c r="A88" s="36">
        <v>44491.485081018516</v>
      </c>
      <c r="B88" s="36" t="s">
        <v>13</v>
      </c>
      <c r="C88" s="37">
        <v>3.7060532407407407E-2</v>
      </c>
      <c r="D88">
        <v>46.230018615722656</v>
      </c>
      <c r="E88" s="2" t="s">
        <v>393</v>
      </c>
      <c r="F88" s="2" t="s">
        <v>401</v>
      </c>
      <c r="G88" s="2" t="s">
        <v>402</v>
      </c>
      <c r="H88" s="2" t="s">
        <v>395</v>
      </c>
      <c r="I88">
        <v>2</v>
      </c>
      <c r="J88" s="36" t="s">
        <v>383</v>
      </c>
      <c r="L88" s="2">
        <v>2</v>
      </c>
    </row>
    <row r="89" spans="1:12">
      <c r="A89" s="36">
        <v>44491.52214155093</v>
      </c>
      <c r="B89" s="36" t="s">
        <v>11</v>
      </c>
      <c r="C89" s="37">
        <v>1.7581909722222223E-2</v>
      </c>
      <c r="E89" s="2" t="s">
        <v>393</v>
      </c>
      <c r="F89" s="2" t="s">
        <v>401</v>
      </c>
      <c r="G89" s="2" t="s">
        <v>402</v>
      </c>
      <c r="H89" s="2" t="s">
        <v>395</v>
      </c>
      <c r="I89">
        <v>2</v>
      </c>
      <c r="J89" s="36" t="s">
        <v>383</v>
      </c>
      <c r="L89" s="2">
        <v>2</v>
      </c>
    </row>
    <row r="90" spans="1:12">
      <c r="A90" s="36">
        <v>44491.53972346065</v>
      </c>
      <c r="B90" s="36" t="s">
        <v>13</v>
      </c>
      <c r="C90" s="37">
        <v>3.8344328703703703E-2</v>
      </c>
      <c r="D90">
        <v>31.197805404663086</v>
      </c>
      <c r="E90" s="2" t="s">
        <v>393</v>
      </c>
      <c r="F90" s="2" t="s">
        <v>401</v>
      </c>
      <c r="G90" s="2" t="s">
        <v>402</v>
      </c>
      <c r="H90" s="2" t="s">
        <v>395</v>
      </c>
      <c r="I90">
        <v>2</v>
      </c>
      <c r="J90" s="36" t="s">
        <v>383</v>
      </c>
      <c r="L90" s="2">
        <v>2</v>
      </c>
    </row>
    <row r="91" spans="1:12">
      <c r="A91" s="36">
        <v>44491.578067789349</v>
      </c>
      <c r="B91" s="36" t="s">
        <v>11</v>
      </c>
      <c r="C91" s="37">
        <v>2.7893171296296298E-2</v>
      </c>
      <c r="E91" s="2" t="s">
        <v>393</v>
      </c>
      <c r="F91" s="2" t="s">
        <v>401</v>
      </c>
      <c r="G91" s="2" t="s">
        <v>402</v>
      </c>
      <c r="H91" s="2" t="s">
        <v>395</v>
      </c>
      <c r="I91">
        <v>2</v>
      </c>
      <c r="J91" s="36" t="s">
        <v>383</v>
      </c>
      <c r="L91" s="2">
        <v>2</v>
      </c>
    </row>
    <row r="92" spans="1:12">
      <c r="A92" s="36">
        <v>44491.605960960645</v>
      </c>
      <c r="B92" s="36" t="s">
        <v>13</v>
      </c>
      <c r="C92" s="37">
        <v>8.4399537037037037E-2</v>
      </c>
      <c r="D92">
        <v>44.718845367431641</v>
      </c>
      <c r="E92" s="2" t="s">
        <v>393</v>
      </c>
      <c r="F92" s="2" t="s">
        <v>401</v>
      </c>
      <c r="G92" s="2" t="s">
        <v>402</v>
      </c>
      <c r="H92" s="2" t="s">
        <v>395</v>
      </c>
      <c r="I92">
        <v>2</v>
      </c>
      <c r="J92" s="36" t="s">
        <v>383</v>
      </c>
      <c r="L92" s="2">
        <v>2</v>
      </c>
    </row>
    <row r="93" spans="1:12">
      <c r="A93" s="36">
        <v>44491.647627627317</v>
      </c>
      <c r="B93" s="36" t="s">
        <v>392</v>
      </c>
      <c r="D93">
        <v>46.528278350830078</v>
      </c>
      <c r="E93" s="2" t="s">
        <v>393</v>
      </c>
      <c r="F93" s="2" t="s">
        <v>401</v>
      </c>
      <c r="G93" s="2" t="s">
        <v>402</v>
      </c>
      <c r="H93" s="2" t="s">
        <v>395</v>
      </c>
      <c r="I93">
        <v>2</v>
      </c>
      <c r="J93" s="36" t="s">
        <v>383</v>
      </c>
      <c r="L93" s="2">
        <v>2</v>
      </c>
    </row>
    <row r="94" spans="1:12">
      <c r="A94" s="36">
        <v>44491.689294293981</v>
      </c>
      <c r="B94" s="36" t="s">
        <v>392</v>
      </c>
      <c r="D94">
        <v>1.9287363290786743</v>
      </c>
      <c r="E94" s="2" t="s">
        <v>393</v>
      </c>
      <c r="F94" s="2" t="s">
        <v>401</v>
      </c>
      <c r="G94" s="2" t="s">
        <v>402</v>
      </c>
      <c r="H94" s="2" t="s">
        <v>395</v>
      </c>
      <c r="I94">
        <v>2</v>
      </c>
      <c r="J94" s="36" t="s">
        <v>383</v>
      </c>
      <c r="L94" s="2">
        <v>2</v>
      </c>
    </row>
    <row r="95" spans="1:12">
      <c r="A95" s="36">
        <v>44491.690360497683</v>
      </c>
      <c r="B95" s="36" t="s">
        <v>11</v>
      </c>
      <c r="C95" s="37">
        <v>1.9084027777777777E-3</v>
      </c>
      <c r="E95" s="2" t="s">
        <v>393</v>
      </c>
      <c r="F95" s="2" t="s">
        <v>401</v>
      </c>
      <c r="G95" s="2" t="s">
        <v>402</v>
      </c>
      <c r="H95" s="2" t="s">
        <v>395</v>
      </c>
      <c r="I95">
        <v>2</v>
      </c>
      <c r="J95" s="36" t="s">
        <v>383</v>
      </c>
      <c r="L95" s="2">
        <v>2</v>
      </c>
    </row>
    <row r="96" spans="1:12">
      <c r="A96" s="36">
        <v>44491.692268900464</v>
      </c>
      <c r="B96" s="36" t="s">
        <v>11</v>
      </c>
      <c r="C96" s="37">
        <v>7.5387384259259262E-3</v>
      </c>
      <c r="E96" s="2" t="s">
        <v>393</v>
      </c>
      <c r="F96" s="2" t="s">
        <v>401</v>
      </c>
      <c r="G96" s="2" t="s">
        <v>402</v>
      </c>
      <c r="H96" s="2" t="s">
        <v>395</v>
      </c>
      <c r="I96">
        <v>2</v>
      </c>
      <c r="J96" s="36" t="s">
        <v>383</v>
      </c>
      <c r="L96" s="2">
        <v>2</v>
      </c>
    </row>
    <row r="97" spans="1:12">
      <c r="A97" s="36">
        <v>44491.699807638892</v>
      </c>
      <c r="B97" s="36" t="s">
        <v>12</v>
      </c>
      <c r="C97" s="37">
        <v>1.300180787037037</v>
      </c>
      <c r="E97" s="2" t="s">
        <v>393</v>
      </c>
      <c r="F97" s="2" t="s">
        <v>401</v>
      </c>
      <c r="G97" s="2" t="s">
        <v>402</v>
      </c>
      <c r="H97" s="2" t="s">
        <v>395</v>
      </c>
      <c r="I97">
        <v>2</v>
      </c>
      <c r="J97" s="36" t="s">
        <v>383</v>
      </c>
      <c r="L97" s="2">
        <v>2</v>
      </c>
    </row>
  </sheetData>
  <phoneticPr fontId="16" type="noConversion"/>
  <pageMargins left="0.7" right="0.7" top="0.75" bottom="0.75" header="0.3" footer="0.3"/>
  <pageSetup fitToHeight="10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0E3B7-FC2C-4E7C-821A-858C4584FB7C}">
  <dimension ref="B5:C25"/>
  <sheetViews>
    <sheetView workbookViewId="0">
      <selection activeCell="B5" sqref="B5"/>
    </sheetView>
  </sheetViews>
  <sheetFormatPr defaultRowHeight="12.75"/>
  <cols>
    <col min="2" max="2" width="24.85546875" bestFit="1" customWidth="1"/>
    <col min="3" max="3" width="19.7109375" customWidth="1"/>
  </cols>
  <sheetData>
    <row r="5" spans="2:3" ht="16.5">
      <c r="B5" s="34" t="s">
        <v>374</v>
      </c>
      <c r="C5" s="35" t="s">
        <v>375</v>
      </c>
    </row>
    <row r="6" spans="2:3" ht="16.5">
      <c r="B6" s="23" t="s">
        <v>376</v>
      </c>
      <c r="C6" s="22">
        <v>2.5</v>
      </c>
    </row>
    <row r="7" spans="2:3" ht="16.5">
      <c r="B7" s="23" t="s">
        <v>377</v>
      </c>
      <c r="C7" s="22">
        <v>4</v>
      </c>
    </row>
    <row r="8" spans="2:3" ht="16.5">
      <c r="B8" s="23" t="s">
        <v>378</v>
      </c>
      <c r="C8" s="22">
        <v>4</v>
      </c>
    </row>
    <row r="9" spans="2:3" ht="16.5">
      <c r="B9" s="23" t="s">
        <v>379</v>
      </c>
      <c r="C9" s="22">
        <v>5</v>
      </c>
    </row>
    <row r="10" spans="2:3" ht="16.5">
      <c r="B10" s="23" t="s">
        <v>380</v>
      </c>
      <c r="C10" s="22">
        <v>5</v>
      </c>
    </row>
    <row r="11" spans="2:3" ht="16.5">
      <c r="B11" s="23" t="s">
        <v>255</v>
      </c>
      <c r="C11" s="22">
        <v>5</v>
      </c>
    </row>
    <row r="12" spans="2:3" ht="16.5">
      <c r="B12" s="23" t="s">
        <v>381</v>
      </c>
      <c r="C12" s="22">
        <v>5</v>
      </c>
    </row>
    <row r="13" spans="2:3" ht="16.5">
      <c r="B13" s="23" t="s">
        <v>447</v>
      </c>
      <c r="C13" s="22">
        <v>5</v>
      </c>
    </row>
    <row r="14" spans="2:3" ht="16.5">
      <c r="B14" s="23" t="s">
        <v>445</v>
      </c>
      <c r="C14" s="22">
        <v>5</v>
      </c>
    </row>
    <row r="15" spans="2:3" ht="16.5">
      <c r="B15" s="23" t="s">
        <v>382</v>
      </c>
      <c r="C15" s="22">
        <v>6</v>
      </c>
    </row>
    <row r="16" spans="2:3" ht="16.5">
      <c r="B16" s="23" t="s">
        <v>383</v>
      </c>
      <c r="C16" s="22">
        <v>6</v>
      </c>
    </row>
    <row r="17" spans="2:3" ht="16.5">
      <c r="B17" s="23" t="s">
        <v>384</v>
      </c>
      <c r="C17" s="22">
        <v>6</v>
      </c>
    </row>
    <row r="18" spans="2:3" ht="16.5">
      <c r="B18" s="23" t="s">
        <v>385</v>
      </c>
      <c r="C18" s="22">
        <v>6</v>
      </c>
    </row>
    <row r="19" spans="2:3" ht="16.5">
      <c r="B19" s="23" t="s">
        <v>446</v>
      </c>
      <c r="C19" s="22">
        <v>6</v>
      </c>
    </row>
    <row r="20" spans="2:3" ht="16.5">
      <c r="B20" s="23" t="s">
        <v>386</v>
      </c>
      <c r="C20" s="22">
        <v>7</v>
      </c>
    </row>
    <row r="21" spans="2:3" ht="16.5">
      <c r="B21" s="23" t="s">
        <v>387</v>
      </c>
      <c r="C21" s="22">
        <v>7</v>
      </c>
    </row>
    <row r="22" spans="2:3" ht="16.5">
      <c r="B22" s="23" t="s">
        <v>448</v>
      </c>
      <c r="C22" s="22">
        <v>7</v>
      </c>
    </row>
    <row r="23" spans="2:3" ht="16.5">
      <c r="B23" s="23" t="s">
        <v>388</v>
      </c>
      <c r="C23" s="22">
        <v>8</v>
      </c>
    </row>
    <row r="24" spans="2:3" ht="16.5">
      <c r="B24" s="23" t="s">
        <v>389</v>
      </c>
      <c r="C24" s="22">
        <v>8</v>
      </c>
    </row>
    <row r="25" spans="2:3" ht="16.5">
      <c r="B25" s="23" t="s">
        <v>390</v>
      </c>
      <c r="C25" s="22">
        <v>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3"/>
  <sheetViews>
    <sheetView workbookViewId="0">
      <selection activeCell="A33" sqref="A33"/>
    </sheetView>
  </sheetViews>
  <sheetFormatPr defaultRowHeight="12.75"/>
  <cols>
    <col min="1" max="7" width="30" customWidth="1"/>
    <col min="8" max="8" width="21" bestFit="1" customWidth="1"/>
    <col min="9" max="10" width="30" style="8" customWidth="1"/>
    <col min="11" max="14" width="30" customWidth="1"/>
  </cols>
  <sheetData>
    <row r="1" spans="1:14" s="6" customFormat="1">
      <c r="A1" s="6" t="s">
        <v>24</v>
      </c>
      <c r="B1" s="6" t="s">
        <v>25</v>
      </c>
      <c r="C1" s="6" t="s">
        <v>26</v>
      </c>
      <c r="D1" s="6" t="s">
        <v>27</v>
      </c>
      <c r="E1" s="6" t="s">
        <v>28</v>
      </c>
      <c r="F1" s="6" t="s">
        <v>130</v>
      </c>
      <c r="G1" s="6" t="s">
        <v>152</v>
      </c>
      <c r="H1" s="6" t="s">
        <v>167</v>
      </c>
      <c r="I1" s="7" t="s">
        <v>186</v>
      </c>
      <c r="J1" s="7" t="s">
        <v>217</v>
      </c>
      <c r="K1" s="6" t="s">
        <v>266</v>
      </c>
      <c r="L1" s="6" t="s">
        <v>303</v>
      </c>
      <c r="M1" s="6" t="s">
        <v>326</v>
      </c>
      <c r="N1" s="6" t="s">
        <v>350</v>
      </c>
    </row>
    <row r="2" spans="1:14">
      <c r="A2" t="s">
        <v>29</v>
      </c>
      <c r="B2" t="s">
        <v>48</v>
      </c>
      <c r="C2" t="s">
        <v>49</v>
      </c>
      <c r="D2" t="s">
        <v>50</v>
      </c>
      <c r="E2" t="s">
        <v>51</v>
      </c>
      <c r="F2" t="s">
        <v>131</v>
      </c>
      <c r="G2" t="s">
        <v>153</v>
      </c>
      <c r="H2" t="s">
        <v>168</v>
      </c>
      <c r="I2" s="8" t="s">
        <v>187</v>
      </c>
      <c r="J2" s="8" t="s">
        <v>206</v>
      </c>
      <c r="K2" t="s">
        <v>267</v>
      </c>
      <c r="L2" t="s">
        <v>304</v>
      </c>
      <c r="M2" t="s">
        <v>327</v>
      </c>
      <c r="N2" t="s">
        <v>351</v>
      </c>
    </row>
    <row r="3" spans="1:14">
      <c r="A3" t="s">
        <v>29</v>
      </c>
      <c r="B3" t="s">
        <v>44</v>
      </c>
      <c r="C3" t="s">
        <v>52</v>
      </c>
      <c r="D3" t="s">
        <v>53</v>
      </c>
      <c r="E3" t="s">
        <v>54</v>
      </c>
      <c r="F3" t="s">
        <v>132</v>
      </c>
      <c r="G3" t="s">
        <v>132</v>
      </c>
      <c r="H3" t="s">
        <v>53</v>
      </c>
      <c r="I3" s="8" t="s">
        <v>132</v>
      </c>
      <c r="J3" s="8" t="s">
        <v>218</v>
      </c>
      <c r="K3" t="s">
        <v>268</v>
      </c>
      <c r="L3" t="s">
        <v>305</v>
      </c>
      <c r="M3" t="s">
        <v>53</v>
      </c>
      <c r="N3" t="s">
        <v>53</v>
      </c>
    </row>
    <row r="4" spans="1:14">
      <c r="A4" t="s">
        <v>30</v>
      </c>
      <c r="B4" t="s">
        <v>55</v>
      </c>
      <c r="C4" t="s">
        <v>56</v>
      </c>
      <c r="D4" t="s">
        <v>14</v>
      </c>
      <c r="E4" t="s">
        <v>57</v>
      </c>
      <c r="F4" t="s">
        <v>14</v>
      </c>
      <c r="G4" t="s">
        <v>14</v>
      </c>
      <c r="H4" t="s">
        <v>14</v>
      </c>
      <c r="I4" s="8" t="s">
        <v>188</v>
      </c>
      <c r="J4" s="8" t="s">
        <v>219</v>
      </c>
      <c r="K4" t="s">
        <v>269</v>
      </c>
      <c r="L4" t="s">
        <v>14</v>
      </c>
      <c r="M4" t="s">
        <v>328</v>
      </c>
      <c r="N4" t="s">
        <v>14</v>
      </c>
    </row>
    <row r="5" spans="1:14">
      <c r="A5" t="s">
        <v>31</v>
      </c>
      <c r="B5" t="s">
        <v>58</v>
      </c>
      <c r="C5" t="s">
        <v>59</v>
      </c>
      <c r="D5" t="s">
        <v>60</v>
      </c>
      <c r="E5" t="s">
        <v>61</v>
      </c>
      <c r="F5" t="s">
        <v>133</v>
      </c>
      <c r="G5" t="s">
        <v>59</v>
      </c>
      <c r="H5" t="s">
        <v>169</v>
      </c>
      <c r="I5" s="8" t="s">
        <v>59</v>
      </c>
      <c r="J5" s="8" t="s">
        <v>207</v>
      </c>
      <c r="K5" t="s">
        <v>270</v>
      </c>
      <c r="L5" t="s">
        <v>306</v>
      </c>
      <c r="M5" t="s">
        <v>329</v>
      </c>
      <c r="N5" t="s">
        <v>352</v>
      </c>
    </row>
    <row r="6" spans="1:14">
      <c r="A6" t="s">
        <v>197</v>
      </c>
      <c r="B6" t="s">
        <v>62</v>
      </c>
      <c r="C6" t="s">
        <v>63</v>
      </c>
      <c r="D6" t="s">
        <v>64</v>
      </c>
      <c r="E6" t="s">
        <v>65</v>
      </c>
      <c r="F6" t="s">
        <v>134</v>
      </c>
      <c r="G6" t="s">
        <v>162</v>
      </c>
      <c r="H6" t="s">
        <v>170</v>
      </c>
      <c r="I6" s="8" t="s">
        <v>199</v>
      </c>
      <c r="J6" s="8" t="s">
        <v>220</v>
      </c>
      <c r="K6" t="s">
        <v>271</v>
      </c>
      <c r="L6" t="s">
        <v>307</v>
      </c>
      <c r="M6" t="s">
        <v>330</v>
      </c>
      <c r="N6" t="s">
        <v>353</v>
      </c>
    </row>
    <row r="7" spans="1:14">
      <c r="A7" t="s">
        <v>32</v>
      </c>
      <c r="B7" t="s">
        <v>66</v>
      </c>
      <c r="C7" t="s">
        <v>67</v>
      </c>
      <c r="D7" t="s">
        <v>68</v>
      </c>
      <c r="E7" t="s">
        <v>69</v>
      </c>
      <c r="F7" t="s">
        <v>135</v>
      </c>
      <c r="G7" t="s">
        <v>154</v>
      </c>
      <c r="H7" t="s">
        <v>171</v>
      </c>
      <c r="I7" s="8" t="s">
        <v>189</v>
      </c>
      <c r="J7" s="8" t="s">
        <v>221</v>
      </c>
      <c r="K7" t="s">
        <v>272</v>
      </c>
      <c r="L7" t="s">
        <v>308</v>
      </c>
      <c r="M7" t="s">
        <v>331</v>
      </c>
      <c r="N7" t="s">
        <v>354</v>
      </c>
    </row>
    <row r="8" spans="1:14">
      <c r="A8" t="s">
        <v>33</v>
      </c>
      <c r="B8" t="s">
        <v>15</v>
      </c>
      <c r="C8" t="s">
        <v>70</v>
      </c>
      <c r="D8" t="s">
        <v>71</v>
      </c>
      <c r="E8" t="s">
        <v>72</v>
      </c>
      <c r="F8" t="s">
        <v>136</v>
      </c>
      <c r="G8" t="s">
        <v>15</v>
      </c>
      <c r="H8" t="s">
        <v>172</v>
      </c>
      <c r="I8" s="8" t="s">
        <v>190</v>
      </c>
      <c r="J8" s="8" t="s">
        <v>222</v>
      </c>
      <c r="K8" t="s">
        <v>273</v>
      </c>
      <c r="L8" t="s">
        <v>309</v>
      </c>
      <c r="M8" t="s">
        <v>332</v>
      </c>
      <c r="N8" t="s">
        <v>70</v>
      </c>
    </row>
    <row r="9" spans="1:14">
      <c r="A9" t="s">
        <v>34</v>
      </c>
      <c r="B9" t="s">
        <v>16</v>
      </c>
      <c r="C9" t="s">
        <v>73</v>
      </c>
      <c r="D9" t="s">
        <v>74</v>
      </c>
      <c r="E9" t="s">
        <v>75</v>
      </c>
      <c r="F9" t="s">
        <v>137</v>
      </c>
      <c r="G9" t="s">
        <v>16</v>
      </c>
      <c r="H9" t="s">
        <v>173</v>
      </c>
      <c r="I9" s="8" t="s">
        <v>191</v>
      </c>
      <c r="J9" s="8" t="s">
        <v>223</v>
      </c>
      <c r="K9" t="s">
        <v>274</v>
      </c>
      <c r="L9" t="s">
        <v>310</v>
      </c>
      <c r="M9" t="s">
        <v>333</v>
      </c>
      <c r="N9" t="s">
        <v>73</v>
      </c>
    </row>
    <row r="10" spans="1:14">
      <c r="A10" t="s">
        <v>35</v>
      </c>
      <c r="B10" t="s">
        <v>76</v>
      </c>
      <c r="C10" t="s">
        <v>77</v>
      </c>
      <c r="D10" t="s">
        <v>76</v>
      </c>
      <c r="E10" t="s">
        <v>78</v>
      </c>
      <c r="F10" t="s">
        <v>138</v>
      </c>
      <c r="G10" t="s">
        <v>155</v>
      </c>
      <c r="H10" t="s">
        <v>138</v>
      </c>
      <c r="I10" s="8" t="s">
        <v>192</v>
      </c>
      <c r="J10" s="8" t="s">
        <v>224</v>
      </c>
      <c r="K10" t="s">
        <v>275</v>
      </c>
      <c r="L10" t="s">
        <v>311</v>
      </c>
      <c r="M10" t="s">
        <v>334</v>
      </c>
      <c r="N10" t="s">
        <v>355</v>
      </c>
    </row>
    <row r="11" spans="1:14">
      <c r="A11" t="s">
        <v>36</v>
      </c>
      <c r="B11" t="s">
        <v>79</v>
      </c>
      <c r="C11" t="s">
        <v>80</v>
      </c>
      <c r="D11" t="s">
        <v>81</v>
      </c>
      <c r="E11" t="s">
        <v>82</v>
      </c>
      <c r="F11" t="s">
        <v>139</v>
      </c>
      <c r="G11" t="s">
        <v>229</v>
      </c>
      <c r="H11" t="s">
        <v>174</v>
      </c>
      <c r="I11" s="8" t="s">
        <v>193</v>
      </c>
      <c r="J11" s="8" t="s">
        <v>225</v>
      </c>
      <c r="K11" t="s">
        <v>276</v>
      </c>
      <c r="L11" t="s">
        <v>312</v>
      </c>
      <c r="M11" t="s">
        <v>335</v>
      </c>
      <c r="N11" t="s">
        <v>356</v>
      </c>
    </row>
    <row r="12" spans="1:14">
      <c r="A12" t="s">
        <v>234</v>
      </c>
      <c r="B12" t="s">
        <v>235</v>
      </c>
      <c r="C12" t="s">
        <v>236</v>
      </c>
      <c r="D12" t="s">
        <v>237</v>
      </c>
      <c r="E12" t="s">
        <v>238</v>
      </c>
      <c r="F12" t="s">
        <v>239</v>
      </c>
      <c r="G12" t="s">
        <v>240</v>
      </c>
      <c r="H12" s="8" t="s">
        <v>241</v>
      </c>
      <c r="I12" s="8" t="s">
        <v>242</v>
      </c>
      <c r="J12" s="8" t="s">
        <v>243</v>
      </c>
      <c r="K12" t="s">
        <v>277</v>
      </c>
      <c r="L12" t="s">
        <v>313</v>
      </c>
      <c r="M12" t="s">
        <v>336</v>
      </c>
      <c r="N12" t="s">
        <v>357</v>
      </c>
    </row>
    <row r="13" spans="1:14">
      <c r="A13" t="s">
        <v>37</v>
      </c>
      <c r="B13" t="s">
        <v>17</v>
      </c>
      <c r="C13" t="s">
        <v>83</v>
      </c>
      <c r="D13" t="s">
        <v>84</v>
      </c>
      <c r="E13" t="s">
        <v>85</v>
      </c>
      <c r="F13" t="s">
        <v>140</v>
      </c>
      <c r="G13" t="s">
        <v>156</v>
      </c>
      <c r="H13" t="s">
        <v>175</v>
      </c>
      <c r="I13" s="8" t="s">
        <v>194</v>
      </c>
      <c r="J13" s="8" t="s">
        <v>226</v>
      </c>
      <c r="K13" t="s">
        <v>278</v>
      </c>
      <c r="L13" t="s">
        <v>314</v>
      </c>
      <c r="M13" t="s">
        <v>337</v>
      </c>
      <c r="N13" t="s">
        <v>358</v>
      </c>
    </row>
    <row r="14" spans="1:14">
      <c r="A14" t="s">
        <v>46</v>
      </c>
      <c r="B14" t="s">
        <v>86</v>
      </c>
      <c r="C14" t="s">
        <v>87</v>
      </c>
      <c r="D14" t="s">
        <v>88</v>
      </c>
      <c r="E14" t="s">
        <v>89</v>
      </c>
      <c r="F14" t="s">
        <v>141</v>
      </c>
      <c r="G14" t="s">
        <v>163</v>
      </c>
      <c r="H14" t="s">
        <v>176</v>
      </c>
      <c r="I14" s="8" t="s">
        <v>200</v>
      </c>
      <c r="J14" s="8" t="s">
        <v>208</v>
      </c>
      <c r="K14" t="s">
        <v>279</v>
      </c>
      <c r="L14" s="33" t="s">
        <v>372</v>
      </c>
      <c r="M14" t="s">
        <v>338</v>
      </c>
      <c r="N14" t="s">
        <v>359</v>
      </c>
    </row>
    <row r="15" spans="1:14">
      <c r="A15" t="s">
        <v>47</v>
      </c>
      <c r="B15" t="s">
        <v>90</v>
      </c>
      <c r="C15" t="s">
        <v>91</v>
      </c>
      <c r="D15" t="s">
        <v>92</v>
      </c>
      <c r="E15" t="s">
        <v>93</v>
      </c>
      <c r="F15" t="s">
        <v>142</v>
      </c>
      <c r="G15" t="s">
        <v>164</v>
      </c>
      <c r="H15" t="s">
        <v>177</v>
      </c>
      <c r="I15" s="8" t="s">
        <v>201</v>
      </c>
      <c r="J15" s="8" t="s">
        <v>209</v>
      </c>
      <c r="K15" t="s">
        <v>280</v>
      </c>
      <c r="L15" t="s">
        <v>315</v>
      </c>
      <c r="M15" t="s">
        <v>339</v>
      </c>
      <c r="N15" t="s">
        <v>360</v>
      </c>
    </row>
    <row r="16" spans="1:14">
      <c r="A16" t="s">
        <v>38</v>
      </c>
      <c r="B16" t="s">
        <v>94</v>
      </c>
      <c r="C16" t="s">
        <v>95</v>
      </c>
      <c r="D16" t="s">
        <v>96</v>
      </c>
      <c r="E16" t="s">
        <v>97</v>
      </c>
      <c r="F16" t="s">
        <v>143</v>
      </c>
      <c r="G16" t="s">
        <v>157</v>
      </c>
      <c r="H16" t="s">
        <v>178</v>
      </c>
      <c r="I16" s="8" t="s">
        <v>195</v>
      </c>
      <c r="J16" s="8" t="s">
        <v>227</v>
      </c>
      <c r="K16" t="s">
        <v>281</v>
      </c>
      <c r="L16" t="s">
        <v>316</v>
      </c>
      <c r="M16" t="s">
        <v>340</v>
      </c>
      <c r="N16" t="s">
        <v>361</v>
      </c>
    </row>
    <row r="17" spans="1:14">
      <c r="A17" t="s">
        <v>43</v>
      </c>
      <c r="B17" t="s">
        <v>98</v>
      </c>
      <c r="C17" t="s">
        <v>99</v>
      </c>
      <c r="D17" t="s">
        <v>100</v>
      </c>
      <c r="E17" t="s">
        <v>101</v>
      </c>
      <c r="F17" t="s">
        <v>144</v>
      </c>
      <c r="G17" t="s">
        <v>158</v>
      </c>
      <c r="H17" t="s">
        <v>179</v>
      </c>
      <c r="I17" s="8" t="s">
        <v>196</v>
      </c>
      <c r="J17" s="8" t="s">
        <v>228</v>
      </c>
      <c r="K17" t="s">
        <v>282</v>
      </c>
      <c r="L17" t="s">
        <v>317</v>
      </c>
      <c r="M17" t="s">
        <v>341</v>
      </c>
      <c r="N17" t="s">
        <v>362</v>
      </c>
    </row>
    <row r="18" spans="1:14">
      <c r="A18" t="s">
        <v>39</v>
      </c>
      <c r="B18" t="s">
        <v>102</v>
      </c>
      <c r="C18" t="s">
        <v>103</v>
      </c>
      <c r="D18" t="s">
        <v>104</v>
      </c>
      <c r="E18" t="s">
        <v>105</v>
      </c>
      <c r="F18" t="s">
        <v>145</v>
      </c>
      <c r="G18" t="s">
        <v>165</v>
      </c>
      <c r="H18" t="s">
        <v>180</v>
      </c>
      <c r="I18" s="8" t="s">
        <v>202</v>
      </c>
      <c r="J18" s="8" t="s">
        <v>210</v>
      </c>
      <c r="K18" t="s">
        <v>283</v>
      </c>
      <c r="L18" t="s">
        <v>318</v>
      </c>
      <c r="M18" t="s">
        <v>342</v>
      </c>
      <c r="N18" t="s">
        <v>363</v>
      </c>
    </row>
    <row r="19" spans="1:14">
      <c r="A19" s="8" t="s">
        <v>40</v>
      </c>
      <c r="B19" t="s">
        <v>292</v>
      </c>
      <c r="C19" t="s">
        <v>293</v>
      </c>
      <c r="D19" t="s">
        <v>106</v>
      </c>
      <c r="E19" t="s">
        <v>294</v>
      </c>
      <c r="F19" t="s">
        <v>146</v>
      </c>
      <c r="G19" s="8" t="s">
        <v>293</v>
      </c>
      <c r="H19" s="8" t="s">
        <v>181</v>
      </c>
      <c r="I19" s="8" t="s">
        <v>295</v>
      </c>
      <c r="J19" s="8" t="s">
        <v>211</v>
      </c>
      <c r="K19" s="8" t="s">
        <v>284</v>
      </c>
      <c r="L19" t="s">
        <v>319</v>
      </c>
      <c r="M19" t="s">
        <v>146</v>
      </c>
      <c r="N19" t="s">
        <v>364</v>
      </c>
    </row>
    <row r="20" spans="1:14">
      <c r="A20" s="8" t="s">
        <v>41</v>
      </c>
      <c r="B20" t="s">
        <v>296</v>
      </c>
      <c r="C20" t="s">
        <v>297</v>
      </c>
      <c r="D20" t="s">
        <v>298</v>
      </c>
      <c r="E20" t="s">
        <v>299</v>
      </c>
      <c r="F20" t="s">
        <v>147</v>
      </c>
      <c r="G20" s="8" t="s">
        <v>300</v>
      </c>
      <c r="H20" s="8" t="s">
        <v>301</v>
      </c>
      <c r="I20" s="8" t="s">
        <v>302</v>
      </c>
      <c r="J20" s="8" t="s">
        <v>212</v>
      </c>
      <c r="K20" s="8" t="s">
        <v>285</v>
      </c>
      <c r="L20" t="s">
        <v>320</v>
      </c>
      <c r="M20" t="s">
        <v>343</v>
      </c>
      <c r="N20" t="s">
        <v>365</v>
      </c>
    </row>
    <row r="21" spans="1:14">
      <c r="A21" t="s">
        <v>42</v>
      </c>
      <c r="B21" t="s">
        <v>107</v>
      </c>
      <c r="C21" t="s">
        <v>108</v>
      </c>
      <c r="D21" t="s">
        <v>109</v>
      </c>
      <c r="E21" t="s">
        <v>110</v>
      </c>
      <c r="F21" t="s">
        <v>148</v>
      </c>
      <c r="G21" t="s">
        <v>166</v>
      </c>
      <c r="H21" t="s">
        <v>182</v>
      </c>
      <c r="I21" s="8" t="s">
        <v>203</v>
      </c>
      <c r="J21" s="8" t="s">
        <v>213</v>
      </c>
      <c r="K21" t="s">
        <v>286</v>
      </c>
      <c r="L21" t="s">
        <v>321</v>
      </c>
      <c r="M21" t="s">
        <v>344</v>
      </c>
      <c r="N21" t="s">
        <v>366</v>
      </c>
    </row>
    <row r="22" spans="1:14">
      <c r="A22" t="s">
        <v>113</v>
      </c>
      <c r="B22" t="s">
        <v>114</v>
      </c>
      <c r="C22" t="s">
        <v>115</v>
      </c>
      <c r="D22" t="s">
        <v>116</v>
      </c>
      <c r="E22" t="s">
        <v>117</v>
      </c>
      <c r="F22" t="s">
        <v>149</v>
      </c>
      <c r="G22" t="s">
        <v>159</v>
      </c>
      <c r="H22" t="s">
        <v>183</v>
      </c>
      <c r="I22" s="8" t="s">
        <v>159</v>
      </c>
      <c r="J22" s="8" t="s">
        <v>214</v>
      </c>
      <c r="K22" t="s">
        <v>287</v>
      </c>
      <c r="L22" t="s">
        <v>322</v>
      </c>
      <c r="M22" t="s">
        <v>345</v>
      </c>
      <c r="N22" t="s">
        <v>367</v>
      </c>
    </row>
    <row r="23" spans="1:14">
      <c r="A23" t="s">
        <v>118</v>
      </c>
      <c r="B23" t="s">
        <v>119</v>
      </c>
      <c r="C23" t="s">
        <v>120</v>
      </c>
      <c r="D23" t="s">
        <v>121</v>
      </c>
      <c r="E23" t="s">
        <v>122</v>
      </c>
      <c r="F23" t="s">
        <v>150</v>
      </c>
      <c r="G23" t="s">
        <v>160</v>
      </c>
      <c r="H23" t="s">
        <v>184</v>
      </c>
      <c r="I23" s="8" t="s">
        <v>204</v>
      </c>
      <c r="J23" s="8" t="s">
        <v>215</v>
      </c>
      <c r="K23" t="s">
        <v>288</v>
      </c>
      <c r="L23" t="s">
        <v>323</v>
      </c>
      <c r="M23" t="s">
        <v>346</v>
      </c>
      <c r="N23" t="s">
        <v>368</v>
      </c>
    </row>
    <row r="24" spans="1:14">
      <c r="A24" t="s">
        <v>125</v>
      </c>
      <c r="B24" t="s">
        <v>126</v>
      </c>
      <c r="C24" t="s">
        <v>127</v>
      </c>
      <c r="D24" t="s">
        <v>128</v>
      </c>
      <c r="E24" t="s">
        <v>129</v>
      </c>
      <c r="F24" t="s">
        <v>151</v>
      </c>
      <c r="G24" t="s">
        <v>161</v>
      </c>
      <c r="H24" t="s">
        <v>185</v>
      </c>
      <c r="I24" s="8" t="s">
        <v>205</v>
      </c>
      <c r="J24" s="8" t="s">
        <v>216</v>
      </c>
      <c r="K24" t="s">
        <v>289</v>
      </c>
      <c r="L24" s="33" t="s">
        <v>373</v>
      </c>
      <c r="M24" t="s">
        <v>347</v>
      </c>
      <c r="N24" t="s">
        <v>369</v>
      </c>
    </row>
    <row r="25" spans="1:14">
      <c r="A25" t="s">
        <v>244</v>
      </c>
      <c r="B25" t="s">
        <v>245</v>
      </c>
      <c r="C25" t="s">
        <v>246</v>
      </c>
      <c r="D25" t="s">
        <v>247</v>
      </c>
      <c r="E25" t="s">
        <v>248</v>
      </c>
      <c r="F25" t="s">
        <v>249</v>
      </c>
      <c r="G25" t="s">
        <v>250</v>
      </c>
      <c r="H25" t="s">
        <v>251</v>
      </c>
      <c r="I25" s="8" t="s">
        <v>252</v>
      </c>
      <c r="J25" s="8" t="s">
        <v>253</v>
      </c>
      <c r="K25" t="s">
        <v>290</v>
      </c>
      <c r="L25" t="s">
        <v>324</v>
      </c>
      <c r="M25" t="s">
        <v>348</v>
      </c>
      <c r="N25" t="s">
        <v>370</v>
      </c>
    </row>
    <row r="26" spans="1:14">
      <c r="A26" t="s">
        <v>256</v>
      </c>
      <c r="B26" t="s">
        <v>257</v>
      </c>
      <c r="C26" t="s">
        <v>258</v>
      </c>
      <c r="D26" t="s">
        <v>259</v>
      </c>
      <c r="E26" t="s">
        <v>260</v>
      </c>
      <c r="F26" t="s">
        <v>261</v>
      </c>
      <c r="G26" t="s">
        <v>262</v>
      </c>
      <c r="H26" t="s">
        <v>263</v>
      </c>
      <c r="I26" s="8" t="s">
        <v>264</v>
      </c>
      <c r="J26" s="8" t="s">
        <v>265</v>
      </c>
      <c r="K26" t="s">
        <v>291</v>
      </c>
      <c r="L26" t="s">
        <v>325</v>
      </c>
      <c r="M26" t="s">
        <v>349</v>
      </c>
      <c r="N26" t="s">
        <v>371</v>
      </c>
    </row>
    <row r="27" spans="1:14">
      <c r="A27" t="s">
        <v>403</v>
      </c>
    </row>
    <row r="28" spans="1:14">
      <c r="A28" t="s">
        <v>404</v>
      </c>
    </row>
    <row r="29" spans="1:14">
      <c r="A29" t="s">
        <v>429</v>
      </c>
    </row>
    <row r="30" spans="1:14">
      <c r="A30" t="s">
        <v>430</v>
      </c>
    </row>
    <row r="31" spans="1:14">
      <c r="A31" t="s">
        <v>432</v>
      </c>
    </row>
    <row r="32" spans="1:14">
      <c r="A32" t="s">
        <v>433</v>
      </c>
    </row>
    <row r="33" spans="1:1">
      <c r="A33" t="s">
        <v>45</v>
      </c>
    </row>
  </sheetData>
  <phoneticPr fontId="16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98"/>
  <sheetViews>
    <sheetView showGridLines="0" workbookViewId="0">
      <pane ySplit="12" topLeftCell="A13" activePane="bottomLeft" state="frozen"/>
      <selection pane="bottomLeft" activeCell="A12" sqref="A12"/>
    </sheetView>
  </sheetViews>
  <sheetFormatPr defaultColWidth="9.140625" defaultRowHeight="14.25"/>
  <cols>
    <col min="1" max="1" width="25.7109375" style="9" customWidth="1"/>
    <col min="2" max="2" width="25.7109375" style="10" customWidth="1"/>
    <col min="3" max="3" width="24.5703125" style="10" bestFit="1" customWidth="1"/>
    <col min="4" max="4" width="25.28515625" style="10" hidden="1" customWidth="1"/>
    <col min="5" max="5" width="19.28515625" style="10" hidden="1" customWidth="1"/>
    <col min="6" max="6" width="13.7109375" style="10" hidden="1" customWidth="1"/>
    <col min="7" max="7" width="25.28515625" style="10" bestFit="1" customWidth="1"/>
    <col min="8" max="8" width="12.7109375" style="10" hidden="1" customWidth="1"/>
    <col min="9" max="9" width="12.5703125" style="10" hidden="1" customWidth="1"/>
    <col min="10" max="10" width="7.85546875" style="10" hidden="1" customWidth="1"/>
    <col min="11" max="11" width="14.42578125" style="10" hidden="1" customWidth="1"/>
    <col min="12" max="12" width="12.140625" style="10" hidden="1" customWidth="1"/>
    <col min="13" max="13" width="11.85546875" style="10" hidden="1" customWidth="1"/>
    <col min="14" max="14" width="14.7109375" style="10" hidden="1" customWidth="1"/>
    <col min="15" max="15" width="18.85546875" style="10" hidden="1" customWidth="1"/>
    <col min="16" max="16" width="21" style="10" hidden="1" customWidth="1"/>
    <col min="17" max="17" width="16.7109375" style="10" hidden="1" customWidth="1"/>
    <col min="18" max="18" width="26.42578125" style="10" hidden="1" customWidth="1"/>
    <col min="19" max="19" width="30.7109375" style="10" customWidth="1"/>
    <col min="20" max="20" width="14" style="10" hidden="1" customWidth="1"/>
    <col min="21" max="21" width="14" style="77" hidden="1" customWidth="1"/>
    <col min="22" max="22" width="11.7109375" style="10" bestFit="1" customWidth="1"/>
    <col min="23" max="23" width="14.28515625" style="10" bestFit="1" customWidth="1"/>
    <col min="24" max="25" width="25.28515625" style="10" hidden="1" customWidth="1"/>
    <col min="26" max="26" width="12" style="10" hidden="1" customWidth="1"/>
    <col min="27" max="28" width="25.28515625" style="10" hidden="1" customWidth="1"/>
    <col min="29" max="29" width="16.7109375" style="10" hidden="1" customWidth="1"/>
    <col min="30" max="31" width="25.28515625" style="10" hidden="1" customWidth="1"/>
    <col min="32" max="32" width="14.7109375" style="10" hidden="1" customWidth="1"/>
    <col min="33" max="33" width="13.28515625" style="10" hidden="1" customWidth="1"/>
    <col min="34" max="35" width="25.28515625" style="10" hidden="1" customWidth="1"/>
    <col min="36" max="36" width="17.28515625" style="10" hidden="1" customWidth="1"/>
    <col min="37" max="37" width="21.7109375" style="9" bestFit="1" customWidth="1"/>
    <col min="38" max="38" width="13.42578125" style="9" customWidth="1"/>
    <col min="39" max="39" width="13.28515625" style="9" bestFit="1" customWidth="1"/>
    <col min="40" max="40" width="13.42578125" style="9" bestFit="1" customWidth="1"/>
    <col min="41" max="41" width="13.28515625" style="9" bestFit="1" customWidth="1"/>
    <col min="42" max="42" width="13.42578125" style="9" bestFit="1" customWidth="1"/>
    <col min="43" max="43" width="13.28515625" style="9" bestFit="1" customWidth="1"/>
    <col min="44" max="44" width="13.42578125" style="9" bestFit="1" customWidth="1"/>
    <col min="45" max="45" width="13.28515625" style="9" bestFit="1" customWidth="1"/>
    <col min="46" max="46" width="13.42578125" style="9" bestFit="1" customWidth="1"/>
    <col min="47" max="47" width="13.28515625" style="9" bestFit="1" customWidth="1"/>
    <col min="48" max="16384" width="9.140625" style="9"/>
  </cols>
  <sheetData>
    <row r="1" spans="1:37" s="19" customFormat="1" ht="25.5" customHeight="1">
      <c r="A1" s="16" t="s">
        <v>429</v>
      </c>
      <c r="B1" s="17"/>
      <c r="C1" s="18">
        <f>Data!B2</f>
        <v>44498.90317622685</v>
      </c>
      <c r="D1" s="69"/>
      <c r="E1" s="69"/>
      <c r="F1" s="69"/>
      <c r="U1" s="75"/>
    </row>
    <row r="2" spans="1:37" s="23" customFormat="1" ht="25.5" customHeight="1">
      <c r="A2" s="20" t="str">
        <f>Data!B1</f>
        <v>Template Company Name</v>
      </c>
      <c r="B2" s="21"/>
      <c r="C2" s="22"/>
      <c r="D2" s="22"/>
      <c r="E2" s="22"/>
      <c r="F2" s="22"/>
      <c r="U2" s="76"/>
    </row>
    <row r="3" spans="1:37" s="23" customFormat="1" ht="16.5" customHeight="1">
      <c r="B3" s="21"/>
      <c r="C3" s="22"/>
      <c r="D3" s="22"/>
      <c r="E3" s="22"/>
      <c r="F3" s="22"/>
      <c r="U3" s="76"/>
    </row>
    <row r="4" spans="1:37" s="23" customFormat="1" ht="16.5" customHeight="1">
      <c r="A4" s="85" t="s">
        <v>45</v>
      </c>
      <c r="B4" s="85"/>
      <c r="C4" s="24"/>
      <c r="D4" s="24"/>
      <c r="E4" s="24"/>
      <c r="F4" s="24"/>
      <c r="G4" s="25"/>
      <c r="H4" s="25"/>
      <c r="I4" s="25"/>
      <c r="U4" s="76"/>
    </row>
    <row r="5" spans="1:37" s="23" customFormat="1" ht="16.5" customHeight="1">
      <c r="A5" s="26" t="s">
        <v>40</v>
      </c>
      <c r="B5" s="27">
        <f>Data!B3</f>
        <v>44486</v>
      </c>
      <c r="C5" s="24"/>
      <c r="D5" s="24"/>
      <c r="E5" s="24"/>
      <c r="F5" s="24"/>
      <c r="G5" s="25"/>
      <c r="H5" s="25"/>
      <c r="I5" s="25"/>
      <c r="U5" s="76"/>
    </row>
    <row r="6" spans="1:37" s="23" customFormat="1" ht="16.5" customHeight="1">
      <c r="A6" s="26" t="s">
        <v>41</v>
      </c>
      <c r="B6" s="27">
        <f>Data!B4</f>
        <v>44492.999988425923</v>
      </c>
      <c r="C6" s="24"/>
      <c r="D6" s="24"/>
      <c r="E6" s="24"/>
      <c r="F6" s="24"/>
      <c r="G6" s="25"/>
      <c r="H6" s="25"/>
      <c r="I6" s="25"/>
      <c r="U6" s="76"/>
    </row>
    <row r="7" spans="1:37" s="23" customFormat="1" ht="16.5" customHeight="1">
      <c r="A7" s="26" t="s">
        <v>433</v>
      </c>
      <c r="B7" s="28">
        <f>B6-B5</f>
        <v>6.9999884259232203</v>
      </c>
      <c r="C7" s="24"/>
      <c r="D7" s="24"/>
      <c r="E7" s="24"/>
      <c r="F7" s="24"/>
      <c r="G7" s="25"/>
      <c r="H7" s="25"/>
      <c r="I7" s="25"/>
      <c r="U7" s="76"/>
    </row>
    <row r="8" spans="1:37" ht="16.5" customHeight="1">
      <c r="A8" s="11"/>
      <c r="B8" s="14"/>
      <c r="C8" s="14"/>
      <c r="D8" s="14"/>
      <c r="E8" s="14"/>
      <c r="F8" s="14"/>
      <c r="G8" s="14"/>
      <c r="H8" s="14"/>
      <c r="I8" s="14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66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</row>
    <row r="9" spans="1:37" ht="16.5" customHeight="1">
      <c r="A9" s="29" t="s">
        <v>256</v>
      </c>
      <c r="B9" s="30" t="str">
        <f>Data!B5</f>
        <v>America/New_York</v>
      </c>
      <c r="C9" s="68">
        <f>VLOOKUP(B9, TimeZone!$B$5:$C$25, 2, FALSE)</f>
        <v>5</v>
      </c>
      <c r="D9" s="68"/>
      <c r="E9" s="68"/>
      <c r="F9" s="68"/>
      <c r="G9" s="15"/>
      <c r="H9" s="15"/>
      <c r="I9" s="15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66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</row>
    <row r="10" spans="1:37" ht="16.5" customHeight="1">
      <c r="A10" s="29" t="s">
        <v>42</v>
      </c>
      <c r="B10" s="30" t="str">
        <f>Data!B6</f>
        <v>km</v>
      </c>
      <c r="C10" s="14"/>
      <c r="D10" s="14"/>
      <c r="E10" s="14"/>
      <c r="F10" s="14"/>
      <c r="G10" s="14"/>
      <c r="H10" s="14"/>
      <c r="I10" s="14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66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</row>
    <row r="11" spans="1:37" ht="16.5" customHeight="1"/>
    <row r="12" spans="1:37" s="32" customFormat="1" ht="16.5" customHeight="1">
      <c r="A12" s="31" t="s">
        <v>403</v>
      </c>
      <c r="B12" s="31" t="s">
        <v>29</v>
      </c>
      <c r="C12" s="31" t="s">
        <v>404</v>
      </c>
      <c r="D12" s="31" t="s">
        <v>431</v>
      </c>
      <c r="E12" s="67" t="s">
        <v>430</v>
      </c>
      <c r="F12" s="67" t="s">
        <v>405</v>
      </c>
      <c r="G12" s="31" t="s">
        <v>432</v>
      </c>
      <c r="H12" s="31" t="s">
        <v>45</v>
      </c>
      <c r="I12" s="31" t="s">
        <v>406</v>
      </c>
      <c r="J12" s="31" t="s">
        <v>407</v>
      </c>
      <c r="K12" s="31" t="s">
        <v>408</v>
      </c>
      <c r="L12" s="31" t="s">
        <v>31</v>
      </c>
      <c r="M12" s="31" t="s">
        <v>410</v>
      </c>
      <c r="N12" s="31" t="s">
        <v>411</v>
      </c>
      <c r="O12" s="31" t="s">
        <v>32</v>
      </c>
      <c r="P12" s="31" t="s">
        <v>412</v>
      </c>
      <c r="Q12" s="31" t="s">
        <v>413</v>
      </c>
      <c r="R12" s="31" t="s">
        <v>414</v>
      </c>
      <c r="S12" s="31" t="s">
        <v>415</v>
      </c>
      <c r="T12" s="31" t="s">
        <v>409</v>
      </c>
      <c r="U12" s="78" t="s">
        <v>441</v>
      </c>
      <c r="V12" s="31" t="s">
        <v>30</v>
      </c>
      <c r="W12" s="31" t="s">
        <v>234</v>
      </c>
      <c r="X12" s="31" t="s">
        <v>416</v>
      </c>
      <c r="Y12" s="31" t="s">
        <v>417</v>
      </c>
      <c r="Z12" s="31" t="b">
        <v>0</v>
      </c>
      <c r="AA12" s="31" t="s">
        <v>418</v>
      </c>
      <c r="AB12" s="31" t="s">
        <v>419</v>
      </c>
      <c r="AC12" s="70" t="s">
        <v>420</v>
      </c>
      <c r="AD12" s="31" t="s">
        <v>421</v>
      </c>
      <c r="AE12" s="31" t="s">
        <v>422</v>
      </c>
      <c r="AF12" s="70" t="s">
        <v>423</v>
      </c>
      <c r="AG12" s="70" t="s">
        <v>424</v>
      </c>
      <c r="AH12" s="31" t="s">
        <v>425</v>
      </c>
      <c r="AI12" s="31" t="s">
        <v>426</v>
      </c>
      <c r="AJ12" s="31" t="s">
        <v>427</v>
      </c>
      <c r="AK12" s="31" t="s">
        <v>428</v>
      </c>
    </row>
    <row r="13" spans="1:37" s="13" customFormat="1" ht="16.5">
      <c r="A13" s="13" t="str">
        <f>CONCATENATE(Data!F12, " ", Data!G12)</f>
        <v xml:space="preserve"> First  1  Last  1</v>
      </c>
      <c r="B13" s="13" t="str">
        <f>Data!H12</f>
        <v>Driver1@abc.com</v>
      </c>
      <c r="C13" s="13">
        <f>Data!I12</f>
        <v>1</v>
      </c>
      <c r="D13" s="65">
        <f>Data!A12</f>
        <v>44486</v>
      </c>
      <c r="E13" s="13" t="str">
        <f>Data!J12</f>
        <v>America/New_York</v>
      </c>
      <c r="F13" s="23">
        <f>(VLOOKUP(E13, TimeZone[], 2, FALSE)-$C$9)/24</f>
        <v>0</v>
      </c>
      <c r="G13" s="65">
        <f t="shared" ref="G13" si="0">(INT(D13)+TIME(HOUR(D13), MINUTE(D13), SECOND(D13)))-F13</f>
        <v>44486</v>
      </c>
      <c r="H13" s="38">
        <f t="shared" ref="H13" si="1">INT(G13)</f>
        <v>44486</v>
      </c>
      <c r="I13" s="41">
        <f t="shared" ref="I13" si="2">MOD(G13, 1)</f>
        <v>0</v>
      </c>
      <c r="J13" s="13">
        <f t="shared" ref="J13:J44" si="3">COUNTIFS(A:A, A13,H:H, H13)</f>
        <v>1</v>
      </c>
      <c r="K13" s="13">
        <f>COUNTIFS($A$13:A13, A13,$H$13:H13, H13)</f>
        <v>1</v>
      </c>
      <c r="L13" s="13" t="str">
        <f>Data!E12</f>
        <v>Vehicle1</v>
      </c>
      <c r="M13" s="39" t="b">
        <f t="shared" ref="M13" si="4">OR(A13&lt;&gt;A14,H13&lt;&gt;H14)</f>
        <v>1</v>
      </c>
      <c r="N13" s="39" t="str">
        <f t="shared" ref="N13" si="5">IF(AND(A12=A13,H12=H13),IF(ISERROR(FIND(L13,N12)),N12&amp;", "&amp;L13,N12),L13)</f>
        <v>Vehicle1</v>
      </c>
      <c r="O13" s="13" t="str">
        <f>Data!K12</f>
        <v xml:space="preserve"> Trailer 1</v>
      </c>
      <c r="P13" s="39" t="str">
        <f>IF(AND(A12=A13,H12=H13),IF(O12="",O13,IF(AND(ISERROR(FIND(O13,P12)),Data!K12&lt;&gt;""),P12&amp;", "&amp;O13,P12)),IF(Data!K12&lt;&gt;"",O13,""))</f>
        <v xml:space="preserve"> Trailer 1</v>
      </c>
      <c r="Q13" s="39" t="str">
        <f t="shared" ref="Q13" si="6">IF(M13,"Vehicle(s): "&amp;N13&amp;CHAR(10)&amp;"Trailer(s): "&amp;P13,"")</f>
        <v>Vehicle(s): Vehicle1
Trailer(s):  Trailer 1</v>
      </c>
      <c r="R13" s="39" t="str">
        <f t="shared" ref="R13" si="7">B13&amp;H13&amp;K13</f>
        <v>Driver1@abc.com444861</v>
      </c>
      <c r="S13" s="39" t="str">
        <f t="shared" ref="S13:S44" si="8">INDEX(Q:Q, MATCH(CONCATENATE(B13, H13, J13),R:R, 0))</f>
        <v>Vehicle(s): Vehicle1
Trailer(s):  Trailer 1</v>
      </c>
      <c r="T13" s="42" t="str">
        <f>Data!B12</f>
        <v>OFF</v>
      </c>
      <c r="U13" s="66" t="str">
        <f>IF(Data!D12&lt;&gt;"", Data!D12, "")</f>
        <v/>
      </c>
      <c r="V13" s="39" t="str">
        <f>IF(OR(ISNUMBER(FIND("OFF",T13)),ISNUMBER(FIND("SB",T13)),ISNUMBER(FIND("PC",T13))),"OFF",IF(OR(ISNUMBER(FIND("ON",T13)),ISNUMBER(FIND("YM",T13))),"ON",IF(ISNUMBER(FIND("D", T13)), "D", "NA")))</f>
        <v>OFF</v>
      </c>
      <c r="W13" s="42">
        <f>Data!C12</f>
        <v>1.2417465624999999</v>
      </c>
      <c r="X13" s="65">
        <f>IF(OR(T13="ON", T13="D", IF(J13=1, TRUE, Z12)), IF(AND(IF(J13=1, TRUE, Z12), T12&lt;&gt;"OFF"), H13, G13), "")</f>
        <v>44486</v>
      </c>
      <c r="Y13" s="65">
        <f>IF(X13&lt;&gt;"", IF(AND(J13&lt;&gt;1, V13&lt;&gt;"OFF"), IF(Z13, IF(Z12, IF(V13="OFF", G13, H13+1), H13+1), IF(Z12, IF(V13="OFF", G13, G13+W13), X13+W13)),H13), "")</f>
        <v>44486</v>
      </c>
      <c r="Z13" s="65" t="b">
        <f t="shared" ref="Z13" si="9">INT(G13+W13)&lt;&gt;H13</f>
        <v>1</v>
      </c>
      <c r="AA13" s="65" t="str">
        <f t="shared" ref="AA13" si="10">IF(OR(V13="ON", Z12), IF(AND(Z12, V12="ON"), H13, G13), "")</f>
        <v/>
      </c>
      <c r="AB13" s="65" t="str">
        <f t="shared" ref="AB13" si="11">IF(AA13&lt;&gt;"", IF(Z13, IF(Z12, IF(V13&lt;&gt;"ON", G13, H13+1), H13+1), IF(Z12, IF(V13&lt;&gt;"ON", G13, G13+W13), AA13+W13)), "")</f>
        <v/>
      </c>
      <c r="AC13" s="42">
        <f t="shared" ref="AC13" si="12">IFERROR(AB13-AA13, 0)</f>
        <v>0</v>
      </c>
      <c r="AD13" s="65" t="str">
        <f t="shared" ref="AD13" si="13">IF(OR(V13="D", Z12), IF(AND(Z12, V12="D"), H13, G13), "")</f>
        <v/>
      </c>
      <c r="AE13" s="65" t="str">
        <f t="shared" ref="AE13" si="14">IF(AD13&lt;&gt;"", IF(Z13, IF(Z12, IF(V13&lt;&gt;"D", G13, H13+1), H13+1), IF(Z12, IF(V13&lt;&gt;"D", G13, G13+W13), AD13+W13)), "")</f>
        <v/>
      </c>
      <c r="AF13" s="42">
        <f t="shared" ref="AF13" si="15">IFERROR(AE13-AD13, 0)</f>
        <v>0</v>
      </c>
      <c r="AG13" s="42">
        <f t="shared" ref="AG13" si="16">AC13+AF13</f>
        <v>0</v>
      </c>
      <c r="AH13" s="65">
        <f t="shared" ref="AH13" si="17">IF(OR(V13="OFF", Z12), IF(AND(Z12, V12="OFF"), H13, G13), "")</f>
        <v>44486</v>
      </c>
      <c r="AI13" s="65">
        <f t="shared" ref="AI13" si="18">IF(AH13&lt;&gt;"", IF(Z13, IF(Z12, IF(V13&lt;&gt;"OFF", G13, H13+1), H13+1), IF(Z12, IF(V13&lt;&gt;"OFF", G13, G13+W13), AH13+W13)), "")</f>
        <v>44487</v>
      </c>
      <c r="AJ13" s="42">
        <f t="shared" ref="AJ13" si="19">IFERROR(AI13-AH13, 0)</f>
        <v>1</v>
      </c>
      <c r="AK13" s="71">
        <f>Data!L12</f>
        <v>1</v>
      </c>
    </row>
    <row r="14" spans="1:37" s="13" customFormat="1" ht="16.5">
      <c r="A14" s="13" t="str">
        <f>CONCATENATE(Data!F13, " ", Data!G13)</f>
        <v xml:space="preserve"> First  1  Last  1</v>
      </c>
      <c r="B14" s="13" t="str">
        <f>Data!H13</f>
        <v>Driver1@abc.com</v>
      </c>
      <c r="C14" s="13">
        <f>Data!I13</f>
        <v>1</v>
      </c>
      <c r="D14" s="65">
        <f>Data!A13</f>
        <v>44487.241746562497</v>
      </c>
      <c r="E14" s="13" t="str">
        <f>Data!J13</f>
        <v>America/New_York</v>
      </c>
      <c r="F14" s="23">
        <f>(VLOOKUP(E14, TimeZone[], 2, FALSE)-$C$9)/24</f>
        <v>0</v>
      </c>
      <c r="G14" s="65">
        <f t="shared" ref="G14:G77" si="20">(INT(D14)+TIME(HOUR(D14), MINUTE(D14), SECOND(D14)))-F14</f>
        <v>44487.241747685184</v>
      </c>
      <c r="H14" s="38">
        <f t="shared" ref="H14:H77" si="21">INT(G14)</f>
        <v>44487</v>
      </c>
      <c r="I14" s="41">
        <f t="shared" ref="I14:I77" si="22">MOD(G14, 1)</f>
        <v>0.24174768518423662</v>
      </c>
      <c r="J14" s="13">
        <f t="shared" si="3"/>
        <v>45</v>
      </c>
      <c r="K14" s="13">
        <f>COUNTIFS($A$13:A14, A14,$H$13:H14, H14)</f>
        <v>1</v>
      </c>
      <c r="L14" s="13" t="str">
        <f>Data!E13</f>
        <v>Vehicle1</v>
      </c>
      <c r="M14" s="39" t="b">
        <f t="shared" ref="M14:M77" si="23">OR(A14&lt;&gt;A15,H14&lt;&gt;H15)</f>
        <v>0</v>
      </c>
      <c r="N14" s="39" t="str">
        <f t="shared" ref="N14:N77" si="24">IF(AND(A13=A14,H13=H14),IF(ISERROR(FIND(L14,N13)),N13&amp;", "&amp;L14,N13),L14)</f>
        <v>Vehicle1</v>
      </c>
      <c r="O14" s="13">
        <f>Data!K13</f>
        <v>0</v>
      </c>
      <c r="P14" s="39" t="str">
        <f>IF(AND(A13=A14,H13=H14),IF(O13="",O14,IF(AND(ISERROR(FIND(O14,P13)),Data!K13&lt;&gt;""),P13&amp;", "&amp;O14,P13)),IF(Data!K13&lt;&gt;"",O14,""))</f>
        <v/>
      </c>
      <c r="Q14" s="39" t="str">
        <f t="shared" ref="Q14:Q77" si="25">IF(M14,"Vehicle(s): "&amp;N14&amp;CHAR(10)&amp;"Trailer(s): "&amp;P14,"")</f>
        <v/>
      </c>
      <c r="R14" s="39" t="str">
        <f t="shared" ref="R14:R77" si="26">B14&amp;H14&amp;K14</f>
        <v>Driver1@abc.com444871</v>
      </c>
      <c r="S14" s="39" t="str">
        <f t="shared" si="8"/>
        <v>Vehicle(s): Vehicle1
Trailer(s): ,  Trailer 1,  Trailer 2</v>
      </c>
      <c r="T14" s="42" t="str">
        <f>Data!B13</f>
        <v>ON</v>
      </c>
      <c r="U14" s="66" t="str">
        <f>IF(Data!D13&lt;&gt;"", Data!D13, "")</f>
        <v/>
      </c>
      <c r="V14" s="39" t="str">
        <f t="shared" ref="V14:V77" si="27">IF(OR(ISNUMBER(FIND("OFF",T14)),ISNUMBER(FIND("SB",T14)),ISNUMBER(FIND("PC",T14))),"OFF",IF(OR(ISNUMBER(FIND("ON",T14)),ISNUMBER(FIND("YM",T14))),"ON",IF(ISNUMBER(FIND("D", T14)), "D", "NA")))</f>
        <v>ON</v>
      </c>
      <c r="W14" s="42">
        <f>Data!C13</f>
        <v>1.7511574074074074E-4</v>
      </c>
      <c r="X14" s="65">
        <f t="shared" ref="X14:X77" si="28">IF(OR(T14="ON", T14="D", IF(J14=1, TRUE, Z13)), IF(AND(IF(J14=1, TRUE, Z13), T13&lt;&gt;"OFF"), H14, G14), "")</f>
        <v>44487.241747685184</v>
      </c>
      <c r="Y14" s="65">
        <f t="shared" ref="Y14:Y77" si="29">IF(X14&lt;&gt;"", IF(AND(J14&lt;&gt;1, V14&lt;&gt;"OFF"), IF(Z14, IF(Z13, IF(V14="OFF", G14, H14+1), H14+1), IF(Z13, IF(V14="OFF", G14, G14+W14), X14+W14)),H14), "")</f>
        <v>44487.241922800924</v>
      </c>
      <c r="Z14" s="65" t="b">
        <f t="shared" ref="Z14:Z77" si="30">INT(G14+W14)&lt;&gt;H14</f>
        <v>0</v>
      </c>
      <c r="AA14" s="65">
        <f t="shared" ref="AA14:AA77" si="31">IF(OR(V14="ON", Z13), IF(AND(Z13, V13="ON"), H14, G14), "")</f>
        <v>44487.241747685184</v>
      </c>
      <c r="AB14" s="65">
        <f t="shared" ref="AB14:AB77" si="32">IF(AA14&lt;&gt;"", IF(Z14, IF(Z13, IF(V14&lt;&gt;"ON", G14, H14+1), H14+1), IF(Z13, IF(V14&lt;&gt;"ON", G14, G14+W14), AA14+W14)), "")</f>
        <v>44487.241922800924</v>
      </c>
      <c r="AC14" s="42">
        <f t="shared" ref="AC14:AC77" si="33">IFERROR(AB14-AA14, 0)</f>
        <v>1.7511573969386518E-4</v>
      </c>
      <c r="AD14" s="65">
        <f t="shared" ref="AD14:AD77" si="34">IF(OR(V14="D", Z13), IF(AND(Z13, V13="D"), H14, G14), "")</f>
        <v>44487.241747685184</v>
      </c>
      <c r="AE14" s="65">
        <f t="shared" ref="AE14:AE77" si="35">IF(AD14&lt;&gt;"", IF(Z14, IF(Z13, IF(V14&lt;&gt;"D", G14, H14+1), H14+1), IF(Z13, IF(V14&lt;&gt;"D", G14, G14+W14), AD14+W14)), "")</f>
        <v>44487.241747685184</v>
      </c>
      <c r="AF14" s="42">
        <f t="shared" ref="AF14:AF77" si="36">IFERROR(AE14-AD14, 0)</f>
        <v>0</v>
      </c>
      <c r="AG14" s="42">
        <f t="shared" ref="AG14:AG77" si="37">AC14+AF14</f>
        <v>1.7511573969386518E-4</v>
      </c>
      <c r="AH14" s="65">
        <f t="shared" ref="AH14:AH77" si="38">IF(OR(V14="OFF", Z13), IF(AND(Z13, V13="OFF"), H14, G14), "")</f>
        <v>44487</v>
      </c>
      <c r="AI14" s="65">
        <f t="shared" ref="AI14:AI77" si="39">IF(AH14&lt;&gt;"", IF(Z14, IF(Z13, IF(V14&lt;&gt;"OFF", G14, H14+1), H14+1), IF(Z13, IF(V14&lt;&gt;"OFF", G14, G14+W14), AH14+W14)), "")</f>
        <v>44487.241747685184</v>
      </c>
      <c r="AJ14" s="42">
        <f t="shared" ref="AJ14:AJ77" si="40">IFERROR(AI14-AH14, 0)</f>
        <v>0.24174768518423662</v>
      </c>
      <c r="AK14" s="71">
        <f>Data!L13</f>
        <v>1</v>
      </c>
    </row>
    <row r="15" spans="1:37" s="13" customFormat="1" ht="16.5">
      <c r="A15" s="13" t="str">
        <f>CONCATENATE(Data!F14, " ", Data!G14)</f>
        <v xml:space="preserve"> First  1  Last  1</v>
      </c>
      <c r="B15" s="13" t="str">
        <f>Data!H14</f>
        <v>Driver1@abc.com</v>
      </c>
      <c r="C15" s="13">
        <f>Data!I14</f>
        <v>1</v>
      </c>
      <c r="D15" s="65">
        <f>Data!A14</f>
        <v>44487.241921678244</v>
      </c>
      <c r="E15" s="13" t="str">
        <f>Data!J14</f>
        <v>America/New_York</v>
      </c>
      <c r="F15" s="23">
        <f>(VLOOKUP(E15, TimeZone[], 2, FALSE)-$C$9)/24</f>
        <v>0</v>
      </c>
      <c r="G15" s="65">
        <f t="shared" si="20"/>
        <v>44487.2419212963</v>
      </c>
      <c r="H15" s="38">
        <f t="shared" si="21"/>
        <v>44487</v>
      </c>
      <c r="I15" s="41">
        <f t="shared" si="22"/>
        <v>0.24192129629955161</v>
      </c>
      <c r="J15" s="13">
        <f t="shared" si="3"/>
        <v>45</v>
      </c>
      <c r="K15" s="13">
        <f>COUNTIFS($A$13:A15, A15,$H$13:H15, H15)</f>
        <v>2</v>
      </c>
      <c r="L15" s="13" t="str">
        <f>Data!E14</f>
        <v>Vehicle1</v>
      </c>
      <c r="M15" s="39" t="b">
        <f t="shared" si="23"/>
        <v>0</v>
      </c>
      <c r="N15" s="39" t="str">
        <f t="shared" si="24"/>
        <v>Vehicle1</v>
      </c>
      <c r="O15" s="13" t="str">
        <f>Data!K14</f>
        <v xml:space="preserve"> Trailer 1,  Trailer 2</v>
      </c>
      <c r="P15" s="39" t="str">
        <f>IF(AND(A14=A15,H14=H15),IF(O14="",O15,IF(AND(ISERROR(FIND(O15,P14)),Data!K14&lt;&gt;""),P14&amp;", "&amp;O15,P14)),IF(Data!K14&lt;&gt;"",O15,""))</f>
        <v>,  Trailer 1,  Trailer 2</v>
      </c>
      <c r="Q15" s="39" t="str">
        <f t="shared" si="25"/>
        <v/>
      </c>
      <c r="R15" s="39" t="str">
        <f t="shared" si="26"/>
        <v>Driver1@abc.com444872</v>
      </c>
      <c r="S15" s="39" t="str">
        <f t="shared" si="8"/>
        <v>Vehicle(s): Vehicle1
Trailer(s): ,  Trailer 1,  Trailer 2</v>
      </c>
      <c r="T15" s="42" t="str">
        <f>Data!B14</f>
        <v>ON</v>
      </c>
      <c r="U15" s="66" t="str">
        <f>IF(Data!D14&lt;&gt;"", Data!D14, "")</f>
        <v/>
      </c>
      <c r="V15" s="39" t="str">
        <f t="shared" si="27"/>
        <v>ON</v>
      </c>
      <c r="W15" s="42">
        <f>Data!C14</f>
        <v>1.1574074074074074E-7</v>
      </c>
      <c r="X15" s="65">
        <f t="shared" si="28"/>
        <v>44487.2419212963</v>
      </c>
      <c r="Y15" s="65">
        <f t="shared" si="29"/>
        <v>44487.241921412038</v>
      </c>
      <c r="Z15" s="65" t="b">
        <f t="shared" si="30"/>
        <v>0</v>
      </c>
      <c r="AA15" s="65">
        <f t="shared" si="31"/>
        <v>44487.2419212963</v>
      </c>
      <c r="AB15" s="65">
        <f t="shared" si="32"/>
        <v>44487.241921412038</v>
      </c>
      <c r="AC15" s="42">
        <f t="shared" si="33"/>
        <v>1.1573865776881576E-7</v>
      </c>
      <c r="AD15" s="65" t="str">
        <f t="shared" si="34"/>
        <v/>
      </c>
      <c r="AE15" s="65" t="str">
        <f t="shared" si="35"/>
        <v/>
      </c>
      <c r="AF15" s="42">
        <f t="shared" si="36"/>
        <v>0</v>
      </c>
      <c r="AG15" s="42">
        <f t="shared" si="37"/>
        <v>1.1573865776881576E-7</v>
      </c>
      <c r="AH15" s="65" t="str">
        <f t="shared" si="38"/>
        <v/>
      </c>
      <c r="AI15" s="65" t="str">
        <f t="shared" si="39"/>
        <v/>
      </c>
      <c r="AJ15" s="42">
        <f t="shared" si="40"/>
        <v>0</v>
      </c>
      <c r="AK15" s="71">
        <f>Data!L14</f>
        <v>1</v>
      </c>
    </row>
    <row r="16" spans="1:37" s="13" customFormat="1" ht="16.5">
      <c r="A16" s="13" t="str">
        <f>CONCATENATE(Data!F15, " ", Data!G15)</f>
        <v xml:space="preserve"> First  1  Last  1</v>
      </c>
      <c r="B16" s="13" t="str">
        <f>Data!H15</f>
        <v>Driver1@abc.com</v>
      </c>
      <c r="C16" s="13">
        <f>Data!I15</f>
        <v>1</v>
      </c>
      <c r="D16" s="65">
        <f>Data!A15</f>
        <v>44487.241921793982</v>
      </c>
      <c r="E16" s="13" t="str">
        <f>Data!J15</f>
        <v>America/New_York</v>
      </c>
      <c r="F16" s="23">
        <f>(VLOOKUP(E16, TimeZone[], 2, FALSE)-$C$9)/24</f>
        <v>0</v>
      </c>
      <c r="G16" s="65">
        <f t="shared" si="20"/>
        <v>44487.2419212963</v>
      </c>
      <c r="H16" s="38">
        <f t="shared" si="21"/>
        <v>44487</v>
      </c>
      <c r="I16" s="41">
        <f t="shared" si="22"/>
        <v>0.24192129629955161</v>
      </c>
      <c r="J16" s="13">
        <f t="shared" si="3"/>
        <v>45</v>
      </c>
      <c r="K16" s="13">
        <f>COUNTIFS($A$13:A16, A16,$H$13:H16, H16)</f>
        <v>3</v>
      </c>
      <c r="L16" s="13" t="str">
        <f>Data!E15</f>
        <v>Vehicle1</v>
      </c>
      <c r="M16" s="39" t="b">
        <f t="shared" si="23"/>
        <v>0</v>
      </c>
      <c r="N16" s="39" t="str">
        <f t="shared" si="24"/>
        <v>Vehicle1</v>
      </c>
      <c r="O16" s="13">
        <f>Data!K15</f>
        <v>0</v>
      </c>
      <c r="P16" s="39" t="str">
        <f>IF(AND(A15=A16,H15=H16),IF(O15="",O16,IF(AND(ISERROR(FIND(O16,P15)),Data!K15&lt;&gt;""),P15&amp;", "&amp;O16,P15)),IF(Data!K15&lt;&gt;"",O16,""))</f>
        <v>,  Trailer 1,  Trailer 2</v>
      </c>
      <c r="Q16" s="39" t="str">
        <f t="shared" si="25"/>
        <v/>
      </c>
      <c r="R16" s="39" t="str">
        <f t="shared" si="26"/>
        <v>Driver1@abc.com444873</v>
      </c>
      <c r="S16" s="39" t="str">
        <f t="shared" si="8"/>
        <v>Vehicle(s): Vehicle1
Trailer(s): ,  Trailer 1,  Trailer 2</v>
      </c>
      <c r="T16" s="42" t="str">
        <f>Data!B15</f>
        <v>YM</v>
      </c>
      <c r="U16" s="66">
        <f>IF(Data!D15&lt;&gt;"", Data!D15, "")</f>
        <v>7.9535514116287231E-2</v>
      </c>
      <c r="V16" s="39" t="str">
        <f t="shared" si="27"/>
        <v>ON</v>
      </c>
      <c r="W16" s="42">
        <f>Data!C15</f>
        <v>5.200740740740741E-3</v>
      </c>
      <c r="X16" s="65" t="str">
        <f t="shared" si="28"/>
        <v/>
      </c>
      <c r="Y16" s="65" t="str">
        <f t="shared" si="29"/>
        <v/>
      </c>
      <c r="Z16" s="65" t="b">
        <f t="shared" si="30"/>
        <v>0</v>
      </c>
      <c r="AA16" s="65">
        <f t="shared" si="31"/>
        <v>44487.2419212963</v>
      </c>
      <c r="AB16" s="65">
        <f t="shared" si="32"/>
        <v>44487.247122037043</v>
      </c>
      <c r="AC16" s="42">
        <f t="shared" si="33"/>
        <v>5.2007407430210151E-3</v>
      </c>
      <c r="AD16" s="65" t="str">
        <f t="shared" si="34"/>
        <v/>
      </c>
      <c r="AE16" s="65" t="str">
        <f t="shared" si="35"/>
        <v/>
      </c>
      <c r="AF16" s="42">
        <f t="shared" si="36"/>
        <v>0</v>
      </c>
      <c r="AG16" s="42">
        <f t="shared" si="37"/>
        <v>5.2007407430210151E-3</v>
      </c>
      <c r="AH16" s="65" t="str">
        <f t="shared" si="38"/>
        <v/>
      </c>
      <c r="AI16" s="65" t="str">
        <f t="shared" si="39"/>
        <v/>
      </c>
      <c r="AJ16" s="42">
        <f t="shared" si="40"/>
        <v>0</v>
      </c>
      <c r="AK16" s="71">
        <f>Data!L15</f>
        <v>1</v>
      </c>
    </row>
    <row r="17" spans="1:37" s="13" customFormat="1" ht="16.5">
      <c r="A17" s="13" t="str">
        <f>CONCATENATE(Data!F16, " ", Data!G16)</f>
        <v xml:space="preserve"> First  1  Last  1</v>
      </c>
      <c r="B17" s="13" t="str">
        <f>Data!H16</f>
        <v>Driver1@abc.com</v>
      </c>
      <c r="C17" s="13">
        <f>Data!I16</f>
        <v>1</v>
      </c>
      <c r="D17" s="65">
        <f>Data!A16</f>
        <v>44487.247122534725</v>
      </c>
      <c r="E17" s="13" t="str">
        <f>Data!J16</f>
        <v>America/New_York</v>
      </c>
      <c r="F17" s="23">
        <f>(VLOOKUP(E17, TimeZone[], 2, FALSE)-$C$9)/24</f>
        <v>0</v>
      </c>
      <c r="G17" s="65">
        <f t="shared" si="20"/>
        <v>44487.247118055559</v>
      </c>
      <c r="H17" s="38">
        <f t="shared" si="21"/>
        <v>44487</v>
      </c>
      <c r="I17" s="41">
        <f t="shared" si="22"/>
        <v>0.24711805555853061</v>
      </c>
      <c r="J17" s="13">
        <f t="shared" si="3"/>
        <v>45</v>
      </c>
      <c r="K17" s="13">
        <f>COUNTIFS($A$13:A17, A17,$H$13:H17, H17)</f>
        <v>4</v>
      </c>
      <c r="L17" s="13" t="str">
        <f>Data!E16</f>
        <v>Vehicle1</v>
      </c>
      <c r="M17" s="39" t="b">
        <f t="shared" si="23"/>
        <v>0</v>
      </c>
      <c r="N17" s="39" t="str">
        <f t="shared" si="24"/>
        <v>Vehicle1</v>
      </c>
      <c r="O17" s="13">
        <f>Data!K16</f>
        <v>0</v>
      </c>
      <c r="P17" s="39" t="str">
        <f>IF(AND(A16=A17,H16=H17),IF(O16="",O17,IF(AND(ISERROR(FIND(O17,P16)),Data!K16&lt;&gt;""),P16&amp;", "&amp;O17,P16)),IF(Data!K16&lt;&gt;"",O17,""))</f>
        <v>,  Trailer 1,  Trailer 2</v>
      </c>
      <c r="Q17" s="39" t="str">
        <f t="shared" si="25"/>
        <v/>
      </c>
      <c r="R17" s="39" t="str">
        <f t="shared" si="26"/>
        <v>Driver1@abc.com444874</v>
      </c>
      <c r="S17" s="39" t="str">
        <f t="shared" si="8"/>
        <v>Vehicle(s): Vehicle1
Trailer(s): ,  Trailer 1,  Trailer 2</v>
      </c>
      <c r="T17" s="42" t="str">
        <f>Data!B16</f>
        <v>ON</v>
      </c>
      <c r="U17" s="66" t="str">
        <f>IF(Data!D16&lt;&gt;"", Data!D16, "")</f>
        <v/>
      </c>
      <c r="V17" s="39" t="str">
        <f t="shared" si="27"/>
        <v>ON</v>
      </c>
      <c r="W17" s="42">
        <f>Data!C16</f>
        <v>3.9076388888888893E-3</v>
      </c>
      <c r="X17" s="65">
        <f t="shared" si="28"/>
        <v>44487.247118055559</v>
      </c>
      <c r="Y17" s="65">
        <f t="shared" si="29"/>
        <v>44487.251025694444</v>
      </c>
      <c r="Z17" s="65" t="b">
        <f t="shared" si="30"/>
        <v>0</v>
      </c>
      <c r="AA17" s="65">
        <f t="shared" si="31"/>
        <v>44487.247118055559</v>
      </c>
      <c r="AB17" s="65">
        <f t="shared" si="32"/>
        <v>44487.251025694444</v>
      </c>
      <c r="AC17" s="42">
        <f t="shared" si="33"/>
        <v>3.9076388857210986E-3</v>
      </c>
      <c r="AD17" s="65" t="str">
        <f t="shared" si="34"/>
        <v/>
      </c>
      <c r="AE17" s="65" t="str">
        <f t="shared" si="35"/>
        <v/>
      </c>
      <c r="AF17" s="42">
        <f t="shared" si="36"/>
        <v>0</v>
      </c>
      <c r="AG17" s="42">
        <f t="shared" si="37"/>
        <v>3.9076388857210986E-3</v>
      </c>
      <c r="AH17" s="65" t="str">
        <f t="shared" si="38"/>
        <v/>
      </c>
      <c r="AI17" s="65" t="str">
        <f t="shared" si="39"/>
        <v/>
      </c>
      <c r="AJ17" s="42">
        <f t="shared" si="40"/>
        <v>0</v>
      </c>
      <c r="AK17" s="71">
        <f>Data!L16</f>
        <v>1</v>
      </c>
    </row>
    <row r="18" spans="1:37" s="13" customFormat="1" ht="16.5">
      <c r="A18" s="13" t="str">
        <f>CONCATENATE(Data!F17, " ", Data!G17)</f>
        <v xml:space="preserve"> First  1  Last  1</v>
      </c>
      <c r="B18" s="13" t="str">
        <f>Data!H17</f>
        <v>Driver1@abc.com</v>
      </c>
      <c r="C18" s="13">
        <f>Data!I17</f>
        <v>1</v>
      </c>
      <c r="D18" s="65">
        <f>Data!A17</f>
        <v>44487.251030173611</v>
      </c>
      <c r="E18" s="13" t="str">
        <f>Data!J17</f>
        <v>America/New_York</v>
      </c>
      <c r="F18" s="23">
        <f>(VLOOKUP(E18, TimeZone[], 2, FALSE)-$C$9)/24</f>
        <v>0</v>
      </c>
      <c r="G18" s="65">
        <f t="shared" si="20"/>
        <v>44487.251030092593</v>
      </c>
      <c r="H18" s="38">
        <f t="shared" si="21"/>
        <v>44487</v>
      </c>
      <c r="I18" s="41">
        <f t="shared" si="22"/>
        <v>0.25103009259328246</v>
      </c>
      <c r="J18" s="13">
        <f t="shared" si="3"/>
        <v>45</v>
      </c>
      <c r="K18" s="13">
        <f>COUNTIFS($A$13:A18, A18,$H$13:H18, H18)</f>
        <v>5</v>
      </c>
      <c r="L18" s="13" t="str">
        <f>Data!E17</f>
        <v>Vehicle1</v>
      </c>
      <c r="M18" s="39" t="b">
        <f t="shared" si="23"/>
        <v>0</v>
      </c>
      <c r="N18" s="39" t="str">
        <f t="shared" si="24"/>
        <v>Vehicle1</v>
      </c>
      <c r="O18" s="13">
        <f>Data!K17</f>
        <v>0</v>
      </c>
      <c r="P18" s="39" t="str">
        <f>IF(AND(A17=A18,H17=H18),IF(O17="",O18,IF(AND(ISERROR(FIND(O18,P17)),Data!K17&lt;&gt;""),P17&amp;", "&amp;O18,P17)),IF(Data!K17&lt;&gt;"",O18,""))</f>
        <v>,  Trailer 1,  Trailer 2</v>
      </c>
      <c r="Q18" s="39" t="str">
        <f t="shared" si="25"/>
        <v/>
      </c>
      <c r="R18" s="39" t="str">
        <f t="shared" si="26"/>
        <v>Driver1@abc.com444875</v>
      </c>
      <c r="S18" s="39" t="str">
        <f t="shared" si="8"/>
        <v>Vehicle(s): Vehicle1
Trailer(s): ,  Trailer 1,  Trailer 2</v>
      </c>
      <c r="T18" s="42" t="str">
        <f>Data!B17</f>
        <v>D</v>
      </c>
      <c r="U18" s="66">
        <f>IF(Data!D17&lt;&gt;"", Data!D17, "")</f>
        <v>51.340175628662109</v>
      </c>
      <c r="V18" s="39" t="str">
        <f t="shared" si="27"/>
        <v>D</v>
      </c>
      <c r="W18" s="42">
        <f>Data!C17</f>
        <v>5.0162268518518516E-2</v>
      </c>
      <c r="X18" s="65">
        <f t="shared" si="28"/>
        <v>44487.251030092593</v>
      </c>
      <c r="Y18" s="65">
        <f t="shared" si="29"/>
        <v>44487.301192361112</v>
      </c>
      <c r="Z18" s="65" t="b">
        <f t="shared" si="30"/>
        <v>0</v>
      </c>
      <c r="AA18" s="65" t="str">
        <f t="shared" si="31"/>
        <v/>
      </c>
      <c r="AB18" s="65" t="str">
        <f t="shared" si="32"/>
        <v/>
      </c>
      <c r="AC18" s="42">
        <f t="shared" si="33"/>
        <v>0</v>
      </c>
      <c r="AD18" s="65">
        <f t="shared" si="34"/>
        <v>44487.251030092593</v>
      </c>
      <c r="AE18" s="65">
        <f t="shared" si="35"/>
        <v>44487.301192361112</v>
      </c>
      <c r="AF18" s="42">
        <f t="shared" si="36"/>
        <v>5.0162268518761266E-2</v>
      </c>
      <c r="AG18" s="42">
        <f t="shared" si="37"/>
        <v>5.0162268518761266E-2</v>
      </c>
      <c r="AH18" s="65" t="str">
        <f t="shared" si="38"/>
        <v/>
      </c>
      <c r="AI18" s="65" t="str">
        <f t="shared" si="39"/>
        <v/>
      </c>
      <c r="AJ18" s="42">
        <f t="shared" si="40"/>
        <v>0</v>
      </c>
      <c r="AK18" s="71">
        <f>Data!L17</f>
        <v>1</v>
      </c>
    </row>
    <row r="19" spans="1:37" s="13" customFormat="1" ht="16.5">
      <c r="A19" s="13" t="str">
        <f>CONCATENATE(Data!F18, " ", Data!G18)</f>
        <v xml:space="preserve"> First  1  Last  1</v>
      </c>
      <c r="B19" s="13" t="str">
        <f>Data!H18</f>
        <v>Driver1@abc.com</v>
      </c>
      <c r="C19" s="13">
        <f>Data!I18</f>
        <v>1</v>
      </c>
      <c r="D19" s="65">
        <f>Data!A18</f>
        <v>44487.292696840275</v>
      </c>
      <c r="E19" s="13" t="str">
        <f>Data!J18</f>
        <v>America/New_York</v>
      </c>
      <c r="F19" s="23">
        <f>(VLOOKUP(E19, TimeZone[], 2, FALSE)-$C$9)/24</f>
        <v>0</v>
      </c>
      <c r="G19" s="65">
        <f t="shared" si="20"/>
        <v>44487.292696759258</v>
      </c>
      <c r="H19" s="38">
        <f t="shared" si="21"/>
        <v>44487</v>
      </c>
      <c r="I19" s="41">
        <f t="shared" si="22"/>
        <v>0.29269675925752381</v>
      </c>
      <c r="J19" s="13">
        <f t="shared" si="3"/>
        <v>45</v>
      </c>
      <c r="K19" s="13">
        <f>COUNTIFS($A$13:A19, A19,$H$13:H19, H19)</f>
        <v>6</v>
      </c>
      <c r="L19" s="13" t="str">
        <f>Data!E18</f>
        <v>Vehicle1</v>
      </c>
      <c r="M19" s="39" t="b">
        <f t="shared" si="23"/>
        <v>0</v>
      </c>
      <c r="N19" s="39" t="str">
        <f t="shared" si="24"/>
        <v>Vehicle1</v>
      </c>
      <c r="O19" s="13">
        <f>Data!K18</f>
        <v>0</v>
      </c>
      <c r="P19" s="39" t="str">
        <f>IF(AND(A18=A19,H18=H19),IF(O18="",O19,IF(AND(ISERROR(FIND(O19,P18)),Data!K18&lt;&gt;""),P18&amp;", "&amp;O19,P18)),IF(Data!K18&lt;&gt;"",O19,""))</f>
        <v>,  Trailer 1,  Trailer 2</v>
      </c>
      <c r="Q19" s="39" t="str">
        <f t="shared" si="25"/>
        <v/>
      </c>
      <c r="R19" s="39" t="str">
        <f t="shared" si="26"/>
        <v>Driver1@abc.com444876</v>
      </c>
      <c r="S19" s="39" t="str">
        <f t="shared" si="8"/>
        <v>Vehicle(s): Vehicle1
Trailer(s): ,  Trailer 1,  Trailer 2</v>
      </c>
      <c r="T19" s="42" t="str">
        <f>Data!B18</f>
        <v>INT_D</v>
      </c>
      <c r="U19" s="66">
        <f>IF(Data!D18&lt;&gt;"", Data!D18, "")</f>
        <v>11.09520435333252</v>
      </c>
      <c r="V19" s="39" t="str">
        <f t="shared" si="27"/>
        <v>D</v>
      </c>
      <c r="W19" s="42">
        <f>Data!C18</f>
        <v>0</v>
      </c>
      <c r="X19" s="65" t="str">
        <f t="shared" si="28"/>
        <v/>
      </c>
      <c r="Y19" s="65" t="str">
        <f t="shared" si="29"/>
        <v/>
      </c>
      <c r="Z19" s="65" t="b">
        <f t="shared" si="30"/>
        <v>0</v>
      </c>
      <c r="AA19" s="65" t="str">
        <f t="shared" si="31"/>
        <v/>
      </c>
      <c r="AB19" s="65" t="str">
        <f t="shared" si="32"/>
        <v/>
      </c>
      <c r="AC19" s="42">
        <f t="shared" si="33"/>
        <v>0</v>
      </c>
      <c r="AD19" s="65">
        <f t="shared" si="34"/>
        <v>44487.292696759258</v>
      </c>
      <c r="AE19" s="65">
        <f t="shared" si="35"/>
        <v>44487.292696759258</v>
      </c>
      <c r="AF19" s="42">
        <f t="shared" si="36"/>
        <v>0</v>
      </c>
      <c r="AG19" s="42">
        <f t="shared" si="37"/>
        <v>0</v>
      </c>
      <c r="AH19" s="65" t="str">
        <f t="shared" si="38"/>
        <v/>
      </c>
      <c r="AI19" s="65" t="str">
        <f t="shared" si="39"/>
        <v/>
      </c>
      <c r="AJ19" s="42">
        <f t="shared" si="40"/>
        <v>0</v>
      </c>
      <c r="AK19" s="71">
        <f>Data!L18</f>
        <v>1</v>
      </c>
    </row>
    <row r="20" spans="1:37" s="13" customFormat="1" ht="16.5">
      <c r="A20" s="13" t="str">
        <f>CONCATENATE(Data!F19, " ", Data!G19)</f>
        <v xml:space="preserve"> First  1  Last  1</v>
      </c>
      <c r="B20" s="13" t="str">
        <f>Data!H19</f>
        <v>Driver1@abc.com</v>
      </c>
      <c r="C20" s="13">
        <f>Data!I19</f>
        <v>1</v>
      </c>
      <c r="D20" s="65">
        <f>Data!A19</f>
        <v>44487.30119244213</v>
      </c>
      <c r="E20" s="13" t="str">
        <f>Data!J19</f>
        <v>America/New_York</v>
      </c>
      <c r="F20" s="23">
        <f>(VLOOKUP(E20, TimeZone[], 2, FALSE)-$C$9)/24</f>
        <v>0</v>
      </c>
      <c r="G20" s="65">
        <f t="shared" si="20"/>
        <v>44487.301192129627</v>
      </c>
      <c r="H20" s="38">
        <f t="shared" si="21"/>
        <v>44487</v>
      </c>
      <c r="I20" s="41">
        <f t="shared" si="22"/>
        <v>0.30119212962745223</v>
      </c>
      <c r="J20" s="13">
        <f t="shared" si="3"/>
        <v>45</v>
      </c>
      <c r="K20" s="13">
        <f>COUNTIFS($A$13:A20, A20,$H$13:H20, H20)</f>
        <v>7</v>
      </c>
      <c r="L20" s="13" t="str">
        <f>Data!E19</f>
        <v>Vehicle1</v>
      </c>
      <c r="M20" s="39" t="b">
        <f t="shared" si="23"/>
        <v>0</v>
      </c>
      <c r="N20" s="39" t="str">
        <f t="shared" si="24"/>
        <v>Vehicle1</v>
      </c>
      <c r="O20" s="13">
        <f>Data!K19</f>
        <v>0</v>
      </c>
      <c r="P20" s="39" t="str">
        <f>IF(AND(A19=A20,H19=H20),IF(O19="",O20,IF(AND(ISERROR(FIND(O20,P19)),Data!K19&lt;&gt;""),P19&amp;", "&amp;O20,P19)),IF(Data!K19&lt;&gt;"",O20,""))</f>
        <v>,  Trailer 1,  Trailer 2</v>
      </c>
      <c r="Q20" s="39" t="str">
        <f t="shared" si="25"/>
        <v/>
      </c>
      <c r="R20" s="39" t="str">
        <f t="shared" si="26"/>
        <v>Driver1@abc.com444877</v>
      </c>
      <c r="S20" s="39" t="str">
        <f t="shared" si="8"/>
        <v>Vehicle(s): Vehicle1
Trailer(s): ,  Trailer 1,  Trailer 2</v>
      </c>
      <c r="T20" s="42" t="str">
        <f>Data!B19</f>
        <v>ON</v>
      </c>
      <c r="U20" s="66" t="str">
        <f>IF(Data!D19&lt;&gt;"", Data!D19, "")</f>
        <v/>
      </c>
      <c r="V20" s="39" t="str">
        <f t="shared" si="27"/>
        <v>ON</v>
      </c>
      <c r="W20" s="42">
        <f>Data!C19</f>
        <v>4.9307060185185183E-3</v>
      </c>
      <c r="X20" s="65">
        <f t="shared" si="28"/>
        <v>44487.301192129627</v>
      </c>
      <c r="Y20" s="65">
        <f t="shared" si="29"/>
        <v>44487.306122835646</v>
      </c>
      <c r="Z20" s="65" t="b">
        <f t="shared" si="30"/>
        <v>0</v>
      </c>
      <c r="AA20" s="65">
        <f t="shared" si="31"/>
        <v>44487.301192129627</v>
      </c>
      <c r="AB20" s="65">
        <f t="shared" si="32"/>
        <v>44487.306122835646</v>
      </c>
      <c r="AC20" s="42">
        <f t="shared" si="33"/>
        <v>4.9307060180581175E-3</v>
      </c>
      <c r="AD20" s="65" t="str">
        <f t="shared" si="34"/>
        <v/>
      </c>
      <c r="AE20" s="65" t="str">
        <f t="shared" si="35"/>
        <v/>
      </c>
      <c r="AF20" s="42">
        <f t="shared" si="36"/>
        <v>0</v>
      </c>
      <c r="AG20" s="42">
        <f t="shared" si="37"/>
        <v>4.9307060180581175E-3</v>
      </c>
      <c r="AH20" s="65" t="str">
        <f t="shared" si="38"/>
        <v/>
      </c>
      <c r="AI20" s="65" t="str">
        <f t="shared" si="39"/>
        <v/>
      </c>
      <c r="AJ20" s="42">
        <f t="shared" si="40"/>
        <v>0</v>
      </c>
      <c r="AK20" s="71">
        <f>Data!L19</f>
        <v>1</v>
      </c>
    </row>
    <row r="21" spans="1:37" s="13" customFormat="1" ht="16.5">
      <c r="A21" s="13" t="str">
        <f>CONCATENATE(Data!F20, " ", Data!G20)</f>
        <v xml:space="preserve"> First  1  Last  1</v>
      </c>
      <c r="B21" s="13" t="str">
        <f>Data!H20</f>
        <v>Driver1@abc.com</v>
      </c>
      <c r="C21" s="13">
        <f>Data!I20</f>
        <v>1</v>
      </c>
      <c r="D21" s="65">
        <f>Data!A20</f>
        <v>44487.306123148148</v>
      </c>
      <c r="E21" s="13" t="str">
        <f>Data!J20</f>
        <v>America/New_York</v>
      </c>
      <c r="F21" s="23">
        <f>(VLOOKUP(E21, TimeZone[], 2, FALSE)-$C$9)/24</f>
        <v>0</v>
      </c>
      <c r="G21" s="65">
        <f t="shared" si="20"/>
        <v>44487.306122685186</v>
      </c>
      <c r="H21" s="38">
        <f t="shared" si="21"/>
        <v>44487</v>
      </c>
      <c r="I21" s="41">
        <f t="shared" si="22"/>
        <v>0.30612268518598285</v>
      </c>
      <c r="J21" s="13">
        <f t="shared" si="3"/>
        <v>45</v>
      </c>
      <c r="K21" s="13">
        <f>COUNTIFS($A$13:A21, A21,$H$13:H21, H21)</f>
        <v>8</v>
      </c>
      <c r="L21" s="13" t="str">
        <f>Data!E20</f>
        <v>Vehicle1</v>
      </c>
      <c r="M21" s="39" t="b">
        <f t="shared" si="23"/>
        <v>0</v>
      </c>
      <c r="N21" s="39" t="str">
        <f t="shared" si="24"/>
        <v>Vehicle1</v>
      </c>
      <c r="O21" s="13">
        <f>Data!K20</f>
        <v>0</v>
      </c>
      <c r="P21" s="39" t="str">
        <f>IF(AND(A20=A21,H20=H21),IF(O20="",O21,IF(AND(ISERROR(FIND(O21,P20)),Data!K20&lt;&gt;""),P20&amp;", "&amp;O21,P20)),IF(Data!K20&lt;&gt;"",O21,""))</f>
        <v>,  Trailer 1,  Trailer 2</v>
      </c>
      <c r="Q21" s="39" t="str">
        <f t="shared" si="25"/>
        <v/>
      </c>
      <c r="R21" s="39" t="str">
        <f t="shared" si="26"/>
        <v>Driver1@abc.com444878</v>
      </c>
      <c r="S21" s="39" t="str">
        <f t="shared" si="8"/>
        <v>Vehicle(s): Vehicle1
Trailer(s): ,  Trailer 1,  Trailer 2</v>
      </c>
      <c r="T21" s="42" t="str">
        <f>Data!B20</f>
        <v>D</v>
      </c>
      <c r="U21" s="66">
        <f>IF(Data!D20&lt;&gt;"", Data!D20, "")</f>
        <v>38.017978668212891</v>
      </c>
      <c r="V21" s="39" t="str">
        <f t="shared" si="27"/>
        <v>D</v>
      </c>
      <c r="W21" s="42">
        <f>Data!C20</f>
        <v>8.59602662037037E-2</v>
      </c>
      <c r="X21" s="65">
        <f t="shared" si="28"/>
        <v>44487.306122685186</v>
      </c>
      <c r="Y21" s="65">
        <f t="shared" si="29"/>
        <v>44487.392082951388</v>
      </c>
      <c r="Z21" s="65" t="b">
        <f t="shared" si="30"/>
        <v>0</v>
      </c>
      <c r="AA21" s="65" t="str">
        <f t="shared" si="31"/>
        <v/>
      </c>
      <c r="AB21" s="65" t="str">
        <f t="shared" si="32"/>
        <v/>
      </c>
      <c r="AC21" s="42">
        <f t="shared" si="33"/>
        <v>0</v>
      </c>
      <c r="AD21" s="65">
        <f t="shared" si="34"/>
        <v>44487.306122685186</v>
      </c>
      <c r="AE21" s="65">
        <f t="shared" si="35"/>
        <v>44487.392082951388</v>
      </c>
      <c r="AF21" s="42">
        <f t="shared" si="36"/>
        <v>8.5960266202164348E-2</v>
      </c>
      <c r="AG21" s="42">
        <f t="shared" si="37"/>
        <v>8.5960266202164348E-2</v>
      </c>
      <c r="AH21" s="65" t="str">
        <f t="shared" si="38"/>
        <v/>
      </c>
      <c r="AI21" s="65" t="str">
        <f t="shared" si="39"/>
        <v/>
      </c>
      <c r="AJ21" s="42">
        <f t="shared" si="40"/>
        <v>0</v>
      </c>
      <c r="AK21" s="71">
        <f>Data!L20</f>
        <v>1</v>
      </c>
    </row>
    <row r="22" spans="1:37" s="13" customFormat="1" ht="16.5">
      <c r="A22" s="13" t="str">
        <f>CONCATENATE(Data!F21, " ", Data!G21)</f>
        <v xml:space="preserve"> First  1  Last  1</v>
      </c>
      <c r="B22" s="13" t="str">
        <f>Data!H21</f>
        <v>Driver1@abc.com</v>
      </c>
      <c r="C22" s="13">
        <f>Data!I21</f>
        <v>1</v>
      </c>
      <c r="D22" s="65">
        <f>Data!A21</f>
        <v>44487.347789814812</v>
      </c>
      <c r="E22" s="13" t="str">
        <f>Data!J21</f>
        <v>America/New_York</v>
      </c>
      <c r="F22" s="23">
        <f>(VLOOKUP(E22, TimeZone[], 2, FALSE)-$C$9)/24</f>
        <v>0</v>
      </c>
      <c r="G22" s="65">
        <f t="shared" si="20"/>
        <v>44487.34778935185</v>
      </c>
      <c r="H22" s="38">
        <f t="shared" si="21"/>
        <v>44487</v>
      </c>
      <c r="I22" s="41">
        <f t="shared" si="22"/>
        <v>0.34778935185022419</v>
      </c>
      <c r="J22" s="13">
        <f t="shared" si="3"/>
        <v>45</v>
      </c>
      <c r="K22" s="13">
        <f>COUNTIFS($A$13:A22, A22,$H$13:H22, H22)</f>
        <v>9</v>
      </c>
      <c r="L22" s="13" t="str">
        <f>Data!E21</f>
        <v>Vehicle1</v>
      </c>
      <c r="M22" s="39" t="b">
        <f t="shared" si="23"/>
        <v>0</v>
      </c>
      <c r="N22" s="39" t="str">
        <f t="shared" si="24"/>
        <v>Vehicle1</v>
      </c>
      <c r="O22" s="13">
        <f>Data!K21</f>
        <v>0</v>
      </c>
      <c r="P22" s="39" t="str">
        <f>IF(AND(A21=A22,H21=H22),IF(O21="",O22,IF(AND(ISERROR(FIND(O22,P21)),Data!K21&lt;&gt;""),P21&amp;", "&amp;O22,P21)),IF(Data!K21&lt;&gt;"",O22,""))</f>
        <v>,  Trailer 1,  Trailer 2</v>
      </c>
      <c r="Q22" s="39" t="str">
        <f t="shared" si="25"/>
        <v/>
      </c>
      <c r="R22" s="39" t="str">
        <f t="shared" si="26"/>
        <v>Driver1@abc.com444879</v>
      </c>
      <c r="S22" s="39" t="str">
        <f t="shared" si="8"/>
        <v>Vehicle(s): Vehicle1
Trailer(s): ,  Trailer 1,  Trailer 2</v>
      </c>
      <c r="T22" s="42" t="str">
        <f>Data!B21</f>
        <v>INT_D</v>
      </c>
      <c r="U22" s="66">
        <f>IF(Data!D21&lt;&gt;"", Data!D21, "")</f>
        <v>23.542512893676758</v>
      </c>
      <c r="V22" s="39" t="str">
        <f t="shared" si="27"/>
        <v>D</v>
      </c>
      <c r="W22" s="42">
        <f>Data!C21</f>
        <v>0</v>
      </c>
      <c r="X22" s="65" t="str">
        <f t="shared" si="28"/>
        <v/>
      </c>
      <c r="Y22" s="65" t="str">
        <f t="shared" si="29"/>
        <v/>
      </c>
      <c r="Z22" s="65" t="b">
        <f t="shared" si="30"/>
        <v>0</v>
      </c>
      <c r="AA22" s="65" t="str">
        <f t="shared" si="31"/>
        <v/>
      </c>
      <c r="AB22" s="65" t="str">
        <f t="shared" si="32"/>
        <v/>
      </c>
      <c r="AC22" s="42">
        <f t="shared" si="33"/>
        <v>0</v>
      </c>
      <c r="AD22" s="65">
        <f t="shared" si="34"/>
        <v>44487.34778935185</v>
      </c>
      <c r="AE22" s="65">
        <f t="shared" si="35"/>
        <v>44487.34778935185</v>
      </c>
      <c r="AF22" s="42">
        <f t="shared" si="36"/>
        <v>0</v>
      </c>
      <c r="AG22" s="42">
        <f t="shared" si="37"/>
        <v>0</v>
      </c>
      <c r="AH22" s="65" t="str">
        <f t="shared" si="38"/>
        <v/>
      </c>
      <c r="AI22" s="65" t="str">
        <f t="shared" si="39"/>
        <v/>
      </c>
      <c r="AJ22" s="42">
        <f t="shared" si="40"/>
        <v>0</v>
      </c>
      <c r="AK22" s="71">
        <f>Data!L21</f>
        <v>1</v>
      </c>
    </row>
    <row r="23" spans="1:37" s="13" customFormat="1" ht="16.5">
      <c r="A23" s="13" t="str">
        <f>CONCATENATE(Data!F22, " ", Data!G22)</f>
        <v xml:space="preserve"> First  1  Last  1</v>
      </c>
      <c r="B23" s="13" t="str">
        <f>Data!H22</f>
        <v>Driver1@abc.com</v>
      </c>
      <c r="C23" s="13">
        <f>Data!I22</f>
        <v>1</v>
      </c>
      <c r="D23" s="65">
        <f>Data!A22</f>
        <v>44487.389456481484</v>
      </c>
      <c r="E23" s="13" t="str">
        <f>Data!J22</f>
        <v>America/New_York</v>
      </c>
      <c r="F23" s="23">
        <f>(VLOOKUP(E23, TimeZone[], 2, FALSE)-$C$9)/24</f>
        <v>0</v>
      </c>
      <c r="G23" s="65">
        <f t="shared" si="20"/>
        <v>44487.389456018522</v>
      </c>
      <c r="H23" s="38">
        <f t="shared" si="21"/>
        <v>44487</v>
      </c>
      <c r="I23" s="41">
        <f t="shared" si="22"/>
        <v>0.3894560185217415</v>
      </c>
      <c r="J23" s="13">
        <f t="shared" si="3"/>
        <v>45</v>
      </c>
      <c r="K23" s="13">
        <f>COUNTIFS($A$13:A23, A23,$H$13:H23, H23)</f>
        <v>10</v>
      </c>
      <c r="L23" s="13" t="str">
        <f>Data!E22</f>
        <v>Vehicle1</v>
      </c>
      <c r="M23" s="39" t="b">
        <f t="shared" si="23"/>
        <v>0</v>
      </c>
      <c r="N23" s="39" t="str">
        <f t="shared" si="24"/>
        <v>Vehicle1</v>
      </c>
      <c r="O23" s="13">
        <f>Data!K22</f>
        <v>0</v>
      </c>
      <c r="P23" s="39" t="str">
        <f>IF(AND(A22=A23,H22=H23),IF(O22="",O23,IF(AND(ISERROR(FIND(O23,P22)),Data!K22&lt;&gt;""),P22&amp;", "&amp;O23,P22)),IF(Data!K22&lt;&gt;"",O23,""))</f>
        <v>,  Trailer 1,  Trailer 2</v>
      </c>
      <c r="Q23" s="39" t="str">
        <f t="shared" si="25"/>
        <v/>
      </c>
      <c r="R23" s="39" t="str">
        <f t="shared" si="26"/>
        <v>Driver1@abc.com4448710</v>
      </c>
      <c r="S23" s="39" t="str">
        <f t="shared" si="8"/>
        <v>Vehicle(s): Vehicle1
Trailer(s): ,  Trailer 1,  Trailer 2</v>
      </c>
      <c r="T23" s="42" t="str">
        <f>Data!B22</f>
        <v>INT_D</v>
      </c>
      <c r="U23" s="66">
        <f>IF(Data!D22&lt;&gt;"", Data!D22, "")</f>
        <v>0.19883878529071808</v>
      </c>
      <c r="V23" s="39" t="str">
        <f t="shared" si="27"/>
        <v>D</v>
      </c>
      <c r="W23" s="42">
        <f>Data!C22</f>
        <v>0</v>
      </c>
      <c r="X23" s="65" t="str">
        <f t="shared" si="28"/>
        <v/>
      </c>
      <c r="Y23" s="65" t="str">
        <f t="shared" si="29"/>
        <v/>
      </c>
      <c r="Z23" s="65" t="b">
        <f t="shared" si="30"/>
        <v>0</v>
      </c>
      <c r="AA23" s="65" t="str">
        <f t="shared" si="31"/>
        <v/>
      </c>
      <c r="AB23" s="65" t="str">
        <f t="shared" si="32"/>
        <v/>
      </c>
      <c r="AC23" s="42">
        <f t="shared" si="33"/>
        <v>0</v>
      </c>
      <c r="AD23" s="65">
        <f t="shared" si="34"/>
        <v>44487.389456018522</v>
      </c>
      <c r="AE23" s="65">
        <f t="shared" si="35"/>
        <v>44487.389456018522</v>
      </c>
      <c r="AF23" s="42">
        <f t="shared" si="36"/>
        <v>0</v>
      </c>
      <c r="AG23" s="42">
        <f t="shared" si="37"/>
        <v>0</v>
      </c>
      <c r="AH23" s="65" t="str">
        <f t="shared" si="38"/>
        <v/>
      </c>
      <c r="AI23" s="65" t="str">
        <f t="shared" si="39"/>
        <v/>
      </c>
      <c r="AJ23" s="42">
        <f t="shared" si="40"/>
        <v>0</v>
      </c>
      <c r="AK23" s="71">
        <f>Data!L22</f>
        <v>1</v>
      </c>
    </row>
    <row r="24" spans="1:37" s="13" customFormat="1" ht="16.5">
      <c r="A24" s="13" t="str">
        <f>CONCATENATE(Data!F23, " ", Data!G23)</f>
        <v xml:space="preserve"> First  1  Last  1</v>
      </c>
      <c r="B24" s="13" t="str">
        <f>Data!H23</f>
        <v>Driver1@abc.com</v>
      </c>
      <c r="C24" s="13">
        <f>Data!I23</f>
        <v>1</v>
      </c>
      <c r="D24" s="65">
        <f>Data!A23</f>
        <v>44487.39208341435</v>
      </c>
      <c r="E24" s="13" t="str">
        <f>Data!J23</f>
        <v>America/New_York</v>
      </c>
      <c r="F24" s="23">
        <f>(VLOOKUP(E24, TimeZone[], 2, FALSE)-$C$9)/24</f>
        <v>0</v>
      </c>
      <c r="G24" s="65">
        <f t="shared" si="20"/>
        <v>44487.392083333332</v>
      </c>
      <c r="H24" s="38">
        <f t="shared" si="21"/>
        <v>44487</v>
      </c>
      <c r="I24" s="41">
        <f t="shared" si="22"/>
        <v>0.39208333333226619</v>
      </c>
      <c r="J24" s="13">
        <f t="shared" si="3"/>
        <v>45</v>
      </c>
      <c r="K24" s="13">
        <f>COUNTIFS($A$13:A24, A24,$H$13:H24, H24)</f>
        <v>11</v>
      </c>
      <c r="L24" s="13" t="str">
        <f>Data!E23</f>
        <v>Vehicle1</v>
      </c>
      <c r="M24" s="39" t="b">
        <f t="shared" si="23"/>
        <v>0</v>
      </c>
      <c r="N24" s="39" t="str">
        <f t="shared" si="24"/>
        <v>Vehicle1</v>
      </c>
      <c r="O24" s="13">
        <f>Data!K23</f>
        <v>0</v>
      </c>
      <c r="P24" s="39" t="str">
        <f>IF(AND(A23=A24,H23=H24),IF(O23="",O24,IF(AND(ISERROR(FIND(O24,P23)),Data!K23&lt;&gt;""),P23&amp;", "&amp;O24,P23)),IF(Data!K23&lt;&gt;"",O24,""))</f>
        <v>,  Trailer 1,  Trailer 2</v>
      </c>
      <c r="Q24" s="39" t="str">
        <f t="shared" si="25"/>
        <v/>
      </c>
      <c r="R24" s="39" t="str">
        <f t="shared" si="26"/>
        <v>Driver1@abc.com4448711</v>
      </c>
      <c r="S24" s="39" t="str">
        <f t="shared" si="8"/>
        <v>Vehicle(s): Vehicle1
Trailer(s): ,  Trailer 1,  Trailer 2</v>
      </c>
      <c r="T24" s="42" t="str">
        <f>Data!B23</f>
        <v>ON</v>
      </c>
      <c r="U24" s="66" t="str">
        <f>IF(Data!D23&lt;&gt;"", Data!D23, "")</f>
        <v/>
      </c>
      <c r="V24" s="39" t="str">
        <f t="shared" si="27"/>
        <v>ON</v>
      </c>
      <c r="W24" s="42">
        <f>Data!C23</f>
        <v>9.5028935185185182E-3</v>
      </c>
      <c r="X24" s="65">
        <f t="shared" si="28"/>
        <v>44487.392083333332</v>
      </c>
      <c r="Y24" s="65">
        <f t="shared" si="29"/>
        <v>44487.40158622685</v>
      </c>
      <c r="Z24" s="65" t="b">
        <f t="shared" si="30"/>
        <v>0</v>
      </c>
      <c r="AA24" s="65">
        <f t="shared" si="31"/>
        <v>44487.392083333332</v>
      </c>
      <c r="AB24" s="65">
        <f t="shared" si="32"/>
        <v>44487.40158622685</v>
      </c>
      <c r="AC24" s="42">
        <f t="shared" si="33"/>
        <v>9.502893517492339E-3</v>
      </c>
      <c r="AD24" s="65" t="str">
        <f t="shared" si="34"/>
        <v/>
      </c>
      <c r="AE24" s="65" t="str">
        <f t="shared" si="35"/>
        <v/>
      </c>
      <c r="AF24" s="42">
        <f t="shared" si="36"/>
        <v>0</v>
      </c>
      <c r="AG24" s="42">
        <f t="shared" si="37"/>
        <v>9.502893517492339E-3</v>
      </c>
      <c r="AH24" s="65" t="str">
        <f t="shared" si="38"/>
        <v/>
      </c>
      <c r="AI24" s="65" t="str">
        <f t="shared" si="39"/>
        <v/>
      </c>
      <c r="AJ24" s="42">
        <f t="shared" si="40"/>
        <v>0</v>
      </c>
      <c r="AK24" s="71">
        <f>Data!L23</f>
        <v>1</v>
      </c>
    </row>
    <row r="25" spans="1:37" s="13" customFormat="1" ht="16.5">
      <c r="A25" s="13" t="str">
        <f>CONCATENATE(Data!F24, " ", Data!G24)</f>
        <v xml:space="preserve"> First  1  Last  1</v>
      </c>
      <c r="B25" s="13" t="str">
        <f>Data!H24</f>
        <v>Driver1@abc.com</v>
      </c>
      <c r="C25" s="13">
        <f>Data!I24</f>
        <v>1</v>
      </c>
      <c r="D25" s="65">
        <f>Data!A24</f>
        <v>44487.401586307868</v>
      </c>
      <c r="E25" s="13" t="str">
        <f>Data!J24</f>
        <v>America/New_York</v>
      </c>
      <c r="F25" s="23">
        <f>(VLOOKUP(E25, TimeZone[], 2, FALSE)-$C$9)/24</f>
        <v>0</v>
      </c>
      <c r="G25" s="65">
        <f t="shared" si="20"/>
        <v>44487.401585648149</v>
      </c>
      <c r="H25" s="38">
        <f t="shared" si="21"/>
        <v>44487</v>
      </c>
      <c r="I25" s="41">
        <f t="shared" si="22"/>
        <v>0.40158564814919373</v>
      </c>
      <c r="J25" s="13">
        <f t="shared" si="3"/>
        <v>45</v>
      </c>
      <c r="K25" s="13">
        <f>COUNTIFS($A$13:A25, A25,$H$13:H25, H25)</f>
        <v>12</v>
      </c>
      <c r="L25" s="13" t="str">
        <f>Data!E24</f>
        <v>Vehicle1</v>
      </c>
      <c r="M25" s="39" t="b">
        <f t="shared" si="23"/>
        <v>0</v>
      </c>
      <c r="N25" s="39" t="str">
        <f t="shared" si="24"/>
        <v>Vehicle1</v>
      </c>
      <c r="O25" s="13">
        <f>Data!K24</f>
        <v>0</v>
      </c>
      <c r="P25" s="39" t="str">
        <f>IF(AND(A24=A25,H24=H25),IF(O24="",O25,IF(AND(ISERROR(FIND(O25,P24)),Data!K24&lt;&gt;""),P24&amp;", "&amp;O25,P24)),IF(Data!K24&lt;&gt;"",O25,""))</f>
        <v>,  Trailer 1,  Trailer 2</v>
      </c>
      <c r="Q25" s="39" t="str">
        <f t="shared" si="25"/>
        <v/>
      </c>
      <c r="R25" s="39" t="str">
        <f t="shared" si="26"/>
        <v>Driver1@abc.com4448712</v>
      </c>
      <c r="S25" s="39" t="str">
        <f t="shared" si="8"/>
        <v>Vehicle(s): Vehicle1
Trailer(s): ,  Trailer 1,  Trailer 2</v>
      </c>
      <c r="T25" s="42" t="str">
        <f>Data!B24</f>
        <v>D</v>
      </c>
      <c r="U25" s="66">
        <f>IF(Data!D24&lt;&gt;"", Data!D24, "")</f>
        <v>11.811023712158203</v>
      </c>
      <c r="V25" s="39" t="str">
        <f t="shared" si="27"/>
        <v>D</v>
      </c>
      <c r="W25" s="42">
        <f>Data!C24</f>
        <v>2.170150462962963E-2</v>
      </c>
      <c r="X25" s="65">
        <f t="shared" si="28"/>
        <v>44487.401585648149</v>
      </c>
      <c r="Y25" s="65">
        <f t="shared" si="29"/>
        <v>44487.423287152778</v>
      </c>
      <c r="Z25" s="65" t="b">
        <f t="shared" si="30"/>
        <v>0</v>
      </c>
      <c r="AA25" s="65" t="str">
        <f t="shared" si="31"/>
        <v/>
      </c>
      <c r="AB25" s="65" t="str">
        <f t="shared" si="32"/>
        <v/>
      </c>
      <c r="AC25" s="42">
        <f t="shared" si="33"/>
        <v>0</v>
      </c>
      <c r="AD25" s="65">
        <f t="shared" si="34"/>
        <v>44487.401585648149</v>
      </c>
      <c r="AE25" s="65">
        <f t="shared" si="35"/>
        <v>44487.423287152778</v>
      </c>
      <c r="AF25" s="42">
        <f t="shared" si="36"/>
        <v>2.1701504629163537E-2</v>
      </c>
      <c r="AG25" s="42">
        <f t="shared" si="37"/>
        <v>2.1701504629163537E-2</v>
      </c>
      <c r="AH25" s="65" t="str">
        <f t="shared" si="38"/>
        <v/>
      </c>
      <c r="AI25" s="65" t="str">
        <f t="shared" si="39"/>
        <v/>
      </c>
      <c r="AJ25" s="42">
        <f t="shared" si="40"/>
        <v>0</v>
      </c>
      <c r="AK25" s="71">
        <f>Data!L24</f>
        <v>1</v>
      </c>
    </row>
    <row r="26" spans="1:37" s="13" customFormat="1" ht="16.5">
      <c r="A26" s="13" t="str">
        <f>CONCATENATE(Data!F25, " ", Data!G25)</f>
        <v xml:space="preserve"> First  1  Last  1</v>
      </c>
      <c r="B26" s="13" t="str">
        <f>Data!H25</f>
        <v>Driver1@abc.com</v>
      </c>
      <c r="C26" s="13">
        <f>Data!I25</f>
        <v>1</v>
      </c>
      <c r="D26" s="65">
        <f>Data!A25</f>
        <v>44487.423287812497</v>
      </c>
      <c r="E26" s="13" t="str">
        <f>Data!J25</f>
        <v>America/New_York</v>
      </c>
      <c r="F26" s="23">
        <f>(VLOOKUP(E26, TimeZone[], 2, FALSE)-$C$9)/24</f>
        <v>0</v>
      </c>
      <c r="G26" s="65">
        <f t="shared" si="20"/>
        <v>44487.42328703704</v>
      </c>
      <c r="H26" s="38">
        <f t="shared" si="21"/>
        <v>44487</v>
      </c>
      <c r="I26" s="41">
        <f t="shared" si="22"/>
        <v>0.4232870370396995</v>
      </c>
      <c r="J26" s="13">
        <f t="shared" si="3"/>
        <v>45</v>
      </c>
      <c r="K26" s="13">
        <f>COUNTIFS($A$13:A26, A26,$H$13:H26, H26)</f>
        <v>13</v>
      </c>
      <c r="L26" s="13" t="str">
        <f>Data!E25</f>
        <v>Vehicle1</v>
      </c>
      <c r="M26" s="39" t="b">
        <f t="shared" si="23"/>
        <v>0</v>
      </c>
      <c r="N26" s="39" t="str">
        <f t="shared" si="24"/>
        <v>Vehicle1</v>
      </c>
      <c r="O26" s="13">
        <f>Data!K25</f>
        <v>0</v>
      </c>
      <c r="P26" s="39" t="str">
        <f>IF(AND(A25=A26,H25=H26),IF(O25="",O26,IF(AND(ISERROR(FIND(O26,P25)),Data!K25&lt;&gt;""),P25&amp;", "&amp;O26,P25)),IF(Data!K25&lt;&gt;"",O26,""))</f>
        <v>,  Trailer 1,  Trailer 2</v>
      </c>
      <c r="Q26" s="39" t="str">
        <f t="shared" si="25"/>
        <v/>
      </c>
      <c r="R26" s="39" t="str">
        <f t="shared" si="26"/>
        <v>Driver1@abc.com4448713</v>
      </c>
      <c r="S26" s="39" t="str">
        <f t="shared" si="8"/>
        <v>Vehicle(s): Vehicle1
Trailer(s): ,  Trailer 1,  Trailer 2</v>
      </c>
      <c r="T26" s="42" t="str">
        <f>Data!B25</f>
        <v>ON</v>
      </c>
      <c r="U26" s="66" t="str">
        <f>IF(Data!D25&lt;&gt;"", Data!D25, "")</f>
        <v/>
      </c>
      <c r="V26" s="39" t="str">
        <f t="shared" si="27"/>
        <v>ON</v>
      </c>
      <c r="W26" s="42">
        <f>Data!C25</f>
        <v>6.2734953703703702E-3</v>
      </c>
      <c r="X26" s="65">
        <f t="shared" si="28"/>
        <v>44487.42328703704</v>
      </c>
      <c r="Y26" s="65">
        <f t="shared" si="29"/>
        <v>44487.429560532408</v>
      </c>
      <c r="Z26" s="65" t="b">
        <f t="shared" si="30"/>
        <v>0</v>
      </c>
      <c r="AA26" s="65">
        <f t="shared" si="31"/>
        <v>44487.42328703704</v>
      </c>
      <c r="AB26" s="65">
        <f t="shared" si="32"/>
        <v>44487.429560532408</v>
      </c>
      <c r="AC26" s="42">
        <f t="shared" si="33"/>
        <v>6.2734953680774197E-3</v>
      </c>
      <c r="AD26" s="65" t="str">
        <f t="shared" si="34"/>
        <v/>
      </c>
      <c r="AE26" s="65" t="str">
        <f t="shared" si="35"/>
        <v/>
      </c>
      <c r="AF26" s="42">
        <f t="shared" si="36"/>
        <v>0</v>
      </c>
      <c r="AG26" s="42">
        <f t="shared" si="37"/>
        <v>6.2734953680774197E-3</v>
      </c>
      <c r="AH26" s="65" t="str">
        <f t="shared" si="38"/>
        <v/>
      </c>
      <c r="AI26" s="65" t="str">
        <f t="shared" si="39"/>
        <v/>
      </c>
      <c r="AJ26" s="42">
        <f t="shared" si="40"/>
        <v>0</v>
      </c>
      <c r="AK26" s="71">
        <f>Data!L25</f>
        <v>1</v>
      </c>
    </row>
    <row r="27" spans="1:37" s="13" customFormat="1" ht="16.5">
      <c r="A27" s="13" t="str">
        <f>CONCATENATE(Data!F26, " ", Data!G26)</f>
        <v xml:space="preserve"> First  1  Last  1</v>
      </c>
      <c r="B27" s="13" t="str">
        <f>Data!H26</f>
        <v>Driver1@abc.com</v>
      </c>
      <c r="C27" s="13">
        <f>Data!I26</f>
        <v>1</v>
      </c>
      <c r="D27" s="65">
        <f>Data!A26</f>
        <v>44487.429561307872</v>
      </c>
      <c r="E27" s="13" t="str">
        <f>Data!J26</f>
        <v>America/New_York</v>
      </c>
      <c r="F27" s="23">
        <f>(VLOOKUP(E27, TimeZone[], 2, FALSE)-$C$9)/24</f>
        <v>0</v>
      </c>
      <c r="G27" s="65">
        <f t="shared" si="20"/>
        <v>44487.429560185185</v>
      </c>
      <c r="H27" s="38">
        <f t="shared" si="21"/>
        <v>44487</v>
      </c>
      <c r="I27" s="41">
        <f t="shared" si="22"/>
        <v>0.42956018518452765</v>
      </c>
      <c r="J27" s="13">
        <f t="shared" si="3"/>
        <v>45</v>
      </c>
      <c r="K27" s="13">
        <f>COUNTIFS($A$13:A27, A27,$H$13:H27, H27)</f>
        <v>14</v>
      </c>
      <c r="L27" s="13" t="str">
        <f>Data!E26</f>
        <v>Vehicle1</v>
      </c>
      <c r="M27" s="39" t="b">
        <f t="shared" si="23"/>
        <v>0</v>
      </c>
      <c r="N27" s="39" t="str">
        <f t="shared" si="24"/>
        <v>Vehicle1</v>
      </c>
      <c r="O27" s="13">
        <f>Data!K26</f>
        <v>0</v>
      </c>
      <c r="P27" s="39" t="str">
        <f>IF(AND(A26=A27,H26=H27),IF(O26="",O27,IF(AND(ISERROR(FIND(O27,P26)),Data!K26&lt;&gt;""),P26&amp;", "&amp;O27,P26)),IF(Data!K26&lt;&gt;"",O27,""))</f>
        <v>,  Trailer 1,  Trailer 2</v>
      </c>
      <c r="Q27" s="39" t="str">
        <f t="shared" si="25"/>
        <v/>
      </c>
      <c r="R27" s="39" t="str">
        <f t="shared" si="26"/>
        <v>Driver1@abc.com4448714</v>
      </c>
      <c r="S27" s="39" t="str">
        <f t="shared" si="8"/>
        <v>Vehicle(s): Vehicle1
Trailer(s): ,  Trailer 1,  Trailer 2</v>
      </c>
      <c r="T27" s="42" t="str">
        <f>Data!B26</f>
        <v>D</v>
      </c>
      <c r="U27" s="66">
        <f>IF(Data!D26&lt;&gt;"", Data!D26, "")</f>
        <v>2.9428141117095947</v>
      </c>
      <c r="V27" s="39" t="str">
        <f t="shared" si="27"/>
        <v>D</v>
      </c>
      <c r="W27" s="42">
        <f>Data!C26</f>
        <v>8.4252662037037039E-3</v>
      </c>
      <c r="X27" s="65">
        <f t="shared" si="28"/>
        <v>44487.429560185185</v>
      </c>
      <c r="Y27" s="65">
        <f t="shared" si="29"/>
        <v>44487.43798545139</v>
      </c>
      <c r="Z27" s="65" t="b">
        <f t="shared" si="30"/>
        <v>0</v>
      </c>
      <c r="AA27" s="65" t="str">
        <f t="shared" si="31"/>
        <v/>
      </c>
      <c r="AB27" s="65" t="str">
        <f t="shared" si="32"/>
        <v/>
      </c>
      <c r="AC27" s="42">
        <f t="shared" si="33"/>
        <v>0</v>
      </c>
      <c r="AD27" s="65">
        <f t="shared" si="34"/>
        <v>44487.429560185185</v>
      </c>
      <c r="AE27" s="65">
        <f t="shared" si="35"/>
        <v>44487.43798545139</v>
      </c>
      <c r="AF27" s="42">
        <f t="shared" si="36"/>
        <v>8.4252662054495886E-3</v>
      </c>
      <c r="AG27" s="42">
        <f t="shared" si="37"/>
        <v>8.4252662054495886E-3</v>
      </c>
      <c r="AH27" s="65" t="str">
        <f t="shared" si="38"/>
        <v/>
      </c>
      <c r="AI27" s="65" t="str">
        <f t="shared" si="39"/>
        <v/>
      </c>
      <c r="AJ27" s="42">
        <f t="shared" si="40"/>
        <v>0</v>
      </c>
      <c r="AK27" s="71">
        <f>Data!L26</f>
        <v>1</v>
      </c>
    </row>
    <row r="28" spans="1:37" s="13" customFormat="1" ht="16.5">
      <c r="A28" s="13" t="str">
        <f>CONCATENATE(Data!F27, " ", Data!G27)</f>
        <v xml:space="preserve"> First  1  Last  1</v>
      </c>
      <c r="B28" s="13" t="str">
        <f>Data!H27</f>
        <v>Driver1@abc.com</v>
      </c>
      <c r="C28" s="13">
        <f>Data!I27</f>
        <v>1</v>
      </c>
      <c r="D28" s="65">
        <f>Data!A27</f>
        <v>44487.437986574078</v>
      </c>
      <c r="E28" s="13" t="str">
        <f>Data!J27</f>
        <v>America/New_York</v>
      </c>
      <c r="F28" s="23">
        <f>(VLOOKUP(E28, TimeZone[], 2, FALSE)-$C$9)/24</f>
        <v>0</v>
      </c>
      <c r="G28" s="65">
        <f t="shared" si="20"/>
        <v>44487.437986111108</v>
      </c>
      <c r="H28" s="38">
        <f t="shared" si="21"/>
        <v>44487</v>
      </c>
      <c r="I28" s="41">
        <f t="shared" si="22"/>
        <v>0.43798611110833008</v>
      </c>
      <c r="J28" s="13">
        <f t="shared" si="3"/>
        <v>45</v>
      </c>
      <c r="K28" s="13">
        <f>COUNTIFS($A$13:A28, A28,$H$13:H28, H28)</f>
        <v>15</v>
      </c>
      <c r="L28" s="13" t="str">
        <f>Data!E27</f>
        <v>Vehicle1</v>
      </c>
      <c r="M28" s="39" t="b">
        <f t="shared" si="23"/>
        <v>0</v>
      </c>
      <c r="N28" s="39" t="str">
        <f t="shared" si="24"/>
        <v>Vehicle1</v>
      </c>
      <c r="O28" s="13">
        <f>Data!K27</f>
        <v>0</v>
      </c>
      <c r="P28" s="39" t="str">
        <f>IF(AND(A27=A28,H27=H28),IF(O27="",O28,IF(AND(ISERROR(FIND(O28,P27)),Data!K27&lt;&gt;""),P27&amp;", "&amp;O28,P27)),IF(Data!K27&lt;&gt;"",O28,""))</f>
        <v>,  Trailer 1,  Trailer 2</v>
      </c>
      <c r="Q28" s="39" t="str">
        <f t="shared" si="25"/>
        <v/>
      </c>
      <c r="R28" s="39" t="str">
        <f t="shared" si="26"/>
        <v>Driver1@abc.com4448715</v>
      </c>
      <c r="S28" s="39" t="str">
        <f t="shared" si="8"/>
        <v>Vehicle(s): Vehicle1
Trailer(s): ,  Trailer 1,  Trailer 2</v>
      </c>
      <c r="T28" s="42" t="str">
        <f>Data!B27</f>
        <v>ON</v>
      </c>
      <c r="U28" s="66" t="str">
        <f>IF(Data!D27&lt;&gt;"", Data!D27, "")</f>
        <v/>
      </c>
      <c r="V28" s="39" t="str">
        <f t="shared" si="27"/>
        <v>ON</v>
      </c>
      <c r="W28" s="42">
        <f>Data!C27</f>
        <v>5.8221064814814811E-3</v>
      </c>
      <c r="X28" s="65">
        <f t="shared" si="28"/>
        <v>44487.437986111108</v>
      </c>
      <c r="Y28" s="65">
        <f t="shared" si="29"/>
        <v>44487.443808217591</v>
      </c>
      <c r="Z28" s="65" t="b">
        <f t="shared" si="30"/>
        <v>0</v>
      </c>
      <c r="AA28" s="65">
        <f t="shared" si="31"/>
        <v>44487.437986111108</v>
      </c>
      <c r="AB28" s="65">
        <f t="shared" si="32"/>
        <v>44487.443808217591</v>
      </c>
      <c r="AC28" s="42">
        <f t="shared" si="33"/>
        <v>5.8221064828103408E-3</v>
      </c>
      <c r="AD28" s="65" t="str">
        <f t="shared" si="34"/>
        <v/>
      </c>
      <c r="AE28" s="65" t="str">
        <f t="shared" si="35"/>
        <v/>
      </c>
      <c r="AF28" s="42">
        <f t="shared" si="36"/>
        <v>0</v>
      </c>
      <c r="AG28" s="42">
        <f t="shared" si="37"/>
        <v>5.8221064828103408E-3</v>
      </c>
      <c r="AH28" s="65" t="str">
        <f t="shared" si="38"/>
        <v/>
      </c>
      <c r="AI28" s="65" t="str">
        <f t="shared" si="39"/>
        <v/>
      </c>
      <c r="AJ28" s="42">
        <f t="shared" si="40"/>
        <v>0</v>
      </c>
      <c r="AK28" s="71">
        <f>Data!L27</f>
        <v>1</v>
      </c>
    </row>
    <row r="29" spans="1:37" s="13" customFormat="1" ht="16.5">
      <c r="A29" s="13" t="str">
        <f>CONCATENATE(Data!F28, " ", Data!G28)</f>
        <v xml:space="preserve"> First  1  Last  1</v>
      </c>
      <c r="B29" s="13" t="str">
        <f>Data!H28</f>
        <v>Driver1@abc.com</v>
      </c>
      <c r="C29" s="13">
        <f>Data!I28</f>
        <v>1</v>
      </c>
      <c r="D29" s="65">
        <f>Data!A28</f>
        <v>44487.443808680553</v>
      </c>
      <c r="E29" s="13" t="str">
        <f>Data!J28</f>
        <v>America/New_York</v>
      </c>
      <c r="F29" s="23">
        <f>(VLOOKUP(E29, TimeZone[], 2, FALSE)-$C$9)/24</f>
        <v>0</v>
      </c>
      <c r="G29" s="65">
        <f t="shared" si="20"/>
        <v>44487.443807870368</v>
      </c>
      <c r="H29" s="38">
        <f t="shared" si="21"/>
        <v>44487</v>
      </c>
      <c r="I29" s="41">
        <f t="shared" si="22"/>
        <v>0.44380787036789116</v>
      </c>
      <c r="J29" s="13">
        <f t="shared" si="3"/>
        <v>45</v>
      </c>
      <c r="K29" s="13">
        <f>COUNTIFS($A$13:A29, A29,$H$13:H29, H29)</f>
        <v>16</v>
      </c>
      <c r="L29" s="13" t="str">
        <f>Data!E28</f>
        <v>Vehicle1</v>
      </c>
      <c r="M29" s="39" t="b">
        <f t="shared" si="23"/>
        <v>0</v>
      </c>
      <c r="N29" s="39" t="str">
        <f t="shared" si="24"/>
        <v>Vehicle1</v>
      </c>
      <c r="O29" s="13">
        <f>Data!K28</f>
        <v>0</v>
      </c>
      <c r="P29" s="39" t="str">
        <f>IF(AND(A28=A29,H28=H29),IF(O28="",O29,IF(AND(ISERROR(FIND(O29,P28)),Data!K28&lt;&gt;""),P28&amp;", "&amp;O29,P28)),IF(Data!K28&lt;&gt;"",O29,""))</f>
        <v>,  Trailer 1,  Trailer 2</v>
      </c>
      <c r="Q29" s="39" t="str">
        <f t="shared" si="25"/>
        <v/>
      </c>
      <c r="R29" s="39" t="str">
        <f t="shared" si="26"/>
        <v>Driver1@abc.com4448716</v>
      </c>
      <c r="S29" s="39" t="str">
        <f t="shared" si="8"/>
        <v>Vehicle(s): Vehicle1
Trailer(s): ,  Trailer 1,  Trailer 2</v>
      </c>
      <c r="T29" s="42" t="str">
        <f>Data!B28</f>
        <v>D</v>
      </c>
      <c r="U29" s="66">
        <f>IF(Data!D28&lt;&gt;"", Data!D28, "")</f>
        <v>3.0223495960235596</v>
      </c>
      <c r="V29" s="39" t="str">
        <f t="shared" si="27"/>
        <v>D</v>
      </c>
      <c r="W29" s="42">
        <f>Data!C28</f>
        <v>7.8467245370370375E-3</v>
      </c>
      <c r="X29" s="65">
        <f t="shared" si="28"/>
        <v>44487.443807870368</v>
      </c>
      <c r="Y29" s="65">
        <f t="shared" si="29"/>
        <v>44487.451654594908</v>
      </c>
      <c r="Z29" s="65" t="b">
        <f t="shared" si="30"/>
        <v>0</v>
      </c>
      <c r="AA29" s="65" t="str">
        <f t="shared" si="31"/>
        <v/>
      </c>
      <c r="AB29" s="65" t="str">
        <f t="shared" si="32"/>
        <v/>
      </c>
      <c r="AC29" s="42">
        <f t="shared" si="33"/>
        <v>0</v>
      </c>
      <c r="AD29" s="65">
        <f t="shared" si="34"/>
        <v>44487.443807870368</v>
      </c>
      <c r="AE29" s="65">
        <f t="shared" si="35"/>
        <v>44487.451654594908</v>
      </c>
      <c r="AF29" s="42">
        <f t="shared" si="36"/>
        <v>7.8467245402862318E-3</v>
      </c>
      <c r="AG29" s="42">
        <f t="shared" si="37"/>
        <v>7.8467245402862318E-3</v>
      </c>
      <c r="AH29" s="65" t="str">
        <f t="shared" si="38"/>
        <v/>
      </c>
      <c r="AI29" s="65" t="str">
        <f t="shared" si="39"/>
        <v/>
      </c>
      <c r="AJ29" s="42">
        <f t="shared" si="40"/>
        <v>0</v>
      </c>
      <c r="AK29" s="71">
        <f>Data!L28</f>
        <v>1</v>
      </c>
    </row>
    <row r="30" spans="1:37" s="13" customFormat="1" ht="16.5">
      <c r="A30" s="13" t="str">
        <f>CONCATENATE(Data!F29, " ", Data!G29)</f>
        <v xml:space="preserve"> First  1  Last  1</v>
      </c>
      <c r="B30" s="13" t="str">
        <f>Data!H29</f>
        <v>Driver1@abc.com</v>
      </c>
      <c r="C30" s="13">
        <f>Data!I29</f>
        <v>1</v>
      </c>
      <c r="D30" s="65">
        <f>Data!A29</f>
        <v>44487.451655405093</v>
      </c>
      <c r="E30" s="13" t="str">
        <f>Data!J29</f>
        <v>America/New_York</v>
      </c>
      <c r="F30" s="23">
        <f>(VLOOKUP(E30, TimeZone[], 2, FALSE)-$C$9)/24</f>
        <v>0</v>
      </c>
      <c r="G30" s="65">
        <f t="shared" si="20"/>
        <v>44487.451655092591</v>
      </c>
      <c r="H30" s="38">
        <f t="shared" si="21"/>
        <v>44487</v>
      </c>
      <c r="I30" s="41">
        <f t="shared" si="22"/>
        <v>0.45165509259095415</v>
      </c>
      <c r="J30" s="13">
        <f t="shared" si="3"/>
        <v>45</v>
      </c>
      <c r="K30" s="13">
        <f>COUNTIFS($A$13:A30, A30,$H$13:H30, H30)</f>
        <v>17</v>
      </c>
      <c r="L30" s="13" t="str">
        <f>Data!E29</f>
        <v>Vehicle1</v>
      </c>
      <c r="M30" s="39" t="b">
        <f t="shared" si="23"/>
        <v>0</v>
      </c>
      <c r="N30" s="39" t="str">
        <f t="shared" si="24"/>
        <v>Vehicle1</v>
      </c>
      <c r="O30" s="13">
        <f>Data!K29</f>
        <v>0</v>
      </c>
      <c r="P30" s="39" t="str">
        <f>IF(AND(A29=A30,H29=H30),IF(O29="",O30,IF(AND(ISERROR(FIND(O30,P29)),Data!K29&lt;&gt;""),P29&amp;", "&amp;O30,P29)),IF(Data!K29&lt;&gt;"",O30,""))</f>
        <v>,  Trailer 1,  Trailer 2</v>
      </c>
      <c r="Q30" s="39" t="str">
        <f t="shared" si="25"/>
        <v/>
      </c>
      <c r="R30" s="39" t="str">
        <f t="shared" si="26"/>
        <v>Driver1@abc.com4448717</v>
      </c>
      <c r="S30" s="39" t="str">
        <f t="shared" si="8"/>
        <v>Vehicle(s): Vehicle1
Trailer(s): ,  Trailer 1,  Trailer 2</v>
      </c>
      <c r="T30" s="42" t="str">
        <f>Data!B29</f>
        <v>ON</v>
      </c>
      <c r="U30" s="66" t="str">
        <f>IF(Data!D29&lt;&gt;"", Data!D29, "")</f>
        <v/>
      </c>
      <c r="V30" s="39" t="str">
        <f t="shared" si="27"/>
        <v>ON</v>
      </c>
      <c r="W30" s="42">
        <f>Data!C29</f>
        <v>1.3947523148148148E-2</v>
      </c>
      <c r="X30" s="65">
        <f t="shared" si="28"/>
        <v>44487.451655092591</v>
      </c>
      <c r="Y30" s="65">
        <f t="shared" si="29"/>
        <v>44487.465602615739</v>
      </c>
      <c r="Z30" s="65" t="b">
        <f t="shared" si="30"/>
        <v>0</v>
      </c>
      <c r="AA30" s="65">
        <f t="shared" si="31"/>
        <v>44487.451655092591</v>
      </c>
      <c r="AB30" s="65">
        <f t="shared" si="32"/>
        <v>44487.465602615739</v>
      </c>
      <c r="AC30" s="42">
        <f t="shared" si="33"/>
        <v>1.3947523148090113E-2</v>
      </c>
      <c r="AD30" s="65" t="str">
        <f t="shared" si="34"/>
        <v/>
      </c>
      <c r="AE30" s="65" t="str">
        <f t="shared" si="35"/>
        <v/>
      </c>
      <c r="AF30" s="42">
        <f t="shared" si="36"/>
        <v>0</v>
      </c>
      <c r="AG30" s="42">
        <f t="shared" si="37"/>
        <v>1.3947523148090113E-2</v>
      </c>
      <c r="AH30" s="65" t="str">
        <f t="shared" si="38"/>
        <v/>
      </c>
      <c r="AI30" s="65" t="str">
        <f t="shared" si="39"/>
        <v/>
      </c>
      <c r="AJ30" s="42">
        <f t="shared" si="40"/>
        <v>0</v>
      </c>
      <c r="AK30" s="71">
        <f>Data!L29</f>
        <v>1</v>
      </c>
    </row>
    <row r="31" spans="1:37" s="13" customFormat="1" ht="16.5">
      <c r="A31" s="13" t="str">
        <f>CONCATENATE(Data!F30, " ", Data!G30)</f>
        <v xml:space="preserve"> First  1  Last  1</v>
      </c>
      <c r="B31" s="13" t="str">
        <f>Data!H30</f>
        <v>Driver1@abc.com</v>
      </c>
      <c r="C31" s="13">
        <f>Data!I30</f>
        <v>1</v>
      </c>
      <c r="D31" s="65">
        <f>Data!A30</f>
        <v>44487.465602928241</v>
      </c>
      <c r="E31" s="13" t="str">
        <f>Data!J30</f>
        <v>America/New_York</v>
      </c>
      <c r="F31" s="23">
        <f>(VLOOKUP(E31, TimeZone[], 2, FALSE)-$C$9)/24</f>
        <v>0</v>
      </c>
      <c r="G31" s="65">
        <f t="shared" si="20"/>
        <v>44487.465601851851</v>
      </c>
      <c r="H31" s="38">
        <f t="shared" si="21"/>
        <v>44487</v>
      </c>
      <c r="I31" s="41">
        <f t="shared" si="22"/>
        <v>0.46560185185080627</v>
      </c>
      <c r="J31" s="13">
        <f t="shared" si="3"/>
        <v>45</v>
      </c>
      <c r="K31" s="13">
        <f>COUNTIFS($A$13:A31, A31,$H$13:H31, H31)</f>
        <v>18</v>
      </c>
      <c r="L31" s="13" t="str">
        <f>Data!E30</f>
        <v>Vehicle1</v>
      </c>
      <c r="M31" s="39" t="b">
        <f t="shared" si="23"/>
        <v>0</v>
      </c>
      <c r="N31" s="39" t="str">
        <f t="shared" si="24"/>
        <v>Vehicle1</v>
      </c>
      <c r="O31" s="13">
        <f>Data!K30</f>
        <v>0</v>
      </c>
      <c r="P31" s="39" t="str">
        <f>IF(AND(A30=A31,H30=H31),IF(O30="",O31,IF(AND(ISERROR(FIND(O31,P30)),Data!K30&lt;&gt;""),P30&amp;", "&amp;O31,P30)),IF(Data!K30&lt;&gt;"",O31,""))</f>
        <v>,  Trailer 1,  Trailer 2</v>
      </c>
      <c r="Q31" s="39" t="str">
        <f t="shared" si="25"/>
        <v/>
      </c>
      <c r="R31" s="39" t="str">
        <f t="shared" si="26"/>
        <v>Driver1@abc.com4448718</v>
      </c>
      <c r="S31" s="39" t="str">
        <f t="shared" si="8"/>
        <v>Vehicle(s): Vehicle1
Trailer(s): ,  Trailer 1,  Trailer 2</v>
      </c>
      <c r="T31" s="42" t="str">
        <f>Data!B30</f>
        <v>D</v>
      </c>
      <c r="U31" s="66">
        <f>IF(Data!D30&lt;&gt;"", Data!D30, "")</f>
        <v>7.9137840270996094</v>
      </c>
      <c r="V31" s="39" t="str">
        <f t="shared" si="27"/>
        <v>D</v>
      </c>
      <c r="W31" s="42">
        <f>Data!C30</f>
        <v>1.3078402777777777E-2</v>
      </c>
      <c r="X31" s="65">
        <f t="shared" si="28"/>
        <v>44487.465601851851</v>
      </c>
      <c r="Y31" s="65">
        <f t="shared" si="29"/>
        <v>44487.47868025463</v>
      </c>
      <c r="Z31" s="65" t="b">
        <f t="shared" si="30"/>
        <v>0</v>
      </c>
      <c r="AA31" s="65" t="str">
        <f t="shared" si="31"/>
        <v/>
      </c>
      <c r="AB31" s="65" t="str">
        <f t="shared" si="32"/>
        <v/>
      </c>
      <c r="AC31" s="42">
        <f t="shared" si="33"/>
        <v>0</v>
      </c>
      <c r="AD31" s="65">
        <f t="shared" si="34"/>
        <v>44487.465601851851</v>
      </c>
      <c r="AE31" s="65">
        <f t="shared" si="35"/>
        <v>44487.47868025463</v>
      </c>
      <c r="AF31" s="42">
        <f t="shared" si="36"/>
        <v>1.3078402778774034E-2</v>
      </c>
      <c r="AG31" s="42">
        <f t="shared" si="37"/>
        <v>1.3078402778774034E-2</v>
      </c>
      <c r="AH31" s="65" t="str">
        <f t="shared" si="38"/>
        <v/>
      </c>
      <c r="AI31" s="65" t="str">
        <f t="shared" si="39"/>
        <v/>
      </c>
      <c r="AJ31" s="42">
        <f t="shared" si="40"/>
        <v>0</v>
      </c>
      <c r="AK31" s="71">
        <f>Data!L30</f>
        <v>1</v>
      </c>
    </row>
    <row r="32" spans="1:37" s="13" customFormat="1" ht="16.5">
      <c r="A32" s="13" t="str">
        <f>CONCATENATE(Data!F31, " ", Data!G31)</f>
        <v xml:space="preserve"> First  1  Last  1</v>
      </c>
      <c r="B32" s="13" t="str">
        <f>Data!H31</f>
        <v>Driver1@abc.com</v>
      </c>
      <c r="C32" s="13">
        <f>Data!I31</f>
        <v>1</v>
      </c>
      <c r="D32" s="65">
        <f>Data!A31</f>
        <v>44487.47868133102</v>
      </c>
      <c r="E32" s="13" t="str">
        <f>Data!J31</f>
        <v>America/New_York</v>
      </c>
      <c r="F32" s="23">
        <f>(VLOOKUP(E32, TimeZone[], 2, FALSE)-$C$9)/24</f>
        <v>0</v>
      </c>
      <c r="G32" s="65">
        <f t="shared" si="20"/>
        <v>44487.478680555556</v>
      </c>
      <c r="H32" s="38">
        <f t="shared" si="21"/>
        <v>44487</v>
      </c>
      <c r="I32" s="41">
        <f t="shared" si="22"/>
        <v>0.47868055555591127</v>
      </c>
      <c r="J32" s="13">
        <f t="shared" si="3"/>
        <v>45</v>
      </c>
      <c r="K32" s="13">
        <f>COUNTIFS($A$13:A32, A32,$H$13:H32, H32)</f>
        <v>19</v>
      </c>
      <c r="L32" s="13" t="str">
        <f>Data!E31</f>
        <v>Vehicle1</v>
      </c>
      <c r="M32" s="39" t="b">
        <f t="shared" si="23"/>
        <v>0</v>
      </c>
      <c r="N32" s="39" t="str">
        <f t="shared" si="24"/>
        <v>Vehicle1</v>
      </c>
      <c r="O32" s="13">
        <f>Data!K31</f>
        <v>0</v>
      </c>
      <c r="P32" s="39" t="str">
        <f>IF(AND(A31=A32,H31=H32),IF(O31="",O32,IF(AND(ISERROR(FIND(O32,P31)),Data!K31&lt;&gt;""),P31&amp;", "&amp;O32,P31)),IF(Data!K31&lt;&gt;"",O32,""))</f>
        <v>,  Trailer 1,  Trailer 2</v>
      </c>
      <c r="Q32" s="39" t="str">
        <f t="shared" si="25"/>
        <v/>
      </c>
      <c r="R32" s="39" t="str">
        <f t="shared" si="26"/>
        <v>Driver1@abc.com4448719</v>
      </c>
      <c r="S32" s="39" t="str">
        <f t="shared" si="8"/>
        <v>Vehicle(s): Vehicle1
Trailer(s): ,  Trailer 1,  Trailer 2</v>
      </c>
      <c r="T32" s="42" t="str">
        <f>Data!B31</f>
        <v>ON</v>
      </c>
      <c r="U32" s="66" t="str">
        <f>IF(Data!D31&lt;&gt;"", Data!D31, "")</f>
        <v/>
      </c>
      <c r="V32" s="39" t="str">
        <f t="shared" si="27"/>
        <v>ON</v>
      </c>
      <c r="W32" s="42">
        <f>Data!C31</f>
        <v>1.0288842592592592E-2</v>
      </c>
      <c r="X32" s="65">
        <f t="shared" si="28"/>
        <v>44487.478680555556</v>
      </c>
      <c r="Y32" s="65">
        <f t="shared" si="29"/>
        <v>44487.488969398146</v>
      </c>
      <c r="Z32" s="65" t="b">
        <f t="shared" si="30"/>
        <v>0</v>
      </c>
      <c r="AA32" s="65">
        <f t="shared" si="31"/>
        <v>44487.478680555556</v>
      </c>
      <c r="AB32" s="65">
        <f t="shared" si="32"/>
        <v>44487.488969398146</v>
      </c>
      <c r="AC32" s="42">
        <f t="shared" si="33"/>
        <v>1.028884258994367E-2</v>
      </c>
      <c r="AD32" s="65" t="str">
        <f t="shared" si="34"/>
        <v/>
      </c>
      <c r="AE32" s="65" t="str">
        <f t="shared" si="35"/>
        <v/>
      </c>
      <c r="AF32" s="42">
        <f t="shared" si="36"/>
        <v>0</v>
      </c>
      <c r="AG32" s="42">
        <f t="shared" si="37"/>
        <v>1.028884258994367E-2</v>
      </c>
      <c r="AH32" s="65" t="str">
        <f t="shared" si="38"/>
        <v/>
      </c>
      <c r="AI32" s="65" t="str">
        <f t="shared" si="39"/>
        <v/>
      </c>
      <c r="AJ32" s="42">
        <f t="shared" si="40"/>
        <v>0</v>
      </c>
      <c r="AK32" s="71">
        <f>Data!L31</f>
        <v>1</v>
      </c>
    </row>
    <row r="33" spans="1:37" s="13" customFormat="1" ht="16.5">
      <c r="A33" s="13" t="str">
        <f>CONCATENATE(Data!F32, " ", Data!G32)</f>
        <v xml:space="preserve"> First  1  Last  1</v>
      </c>
      <c r="B33" s="13" t="str">
        <f>Data!H32</f>
        <v>Driver1@abc.com</v>
      </c>
      <c r="C33" s="13">
        <f>Data!I32</f>
        <v>1</v>
      </c>
      <c r="D33" s="65">
        <f>Data!A32</f>
        <v>44487.48897017361</v>
      </c>
      <c r="E33" s="13" t="str">
        <f>Data!J32</f>
        <v>America/New_York</v>
      </c>
      <c r="F33" s="23">
        <f>(VLOOKUP(E33, TimeZone[], 2, FALSE)-$C$9)/24</f>
        <v>0</v>
      </c>
      <c r="G33" s="65">
        <f t="shared" si="20"/>
        <v>44487.488969907405</v>
      </c>
      <c r="H33" s="38">
        <f t="shared" si="21"/>
        <v>44487</v>
      </c>
      <c r="I33" s="41">
        <f t="shared" si="22"/>
        <v>0.48896990740468027</v>
      </c>
      <c r="J33" s="13">
        <f t="shared" si="3"/>
        <v>45</v>
      </c>
      <c r="K33" s="13">
        <f>COUNTIFS($A$13:A33, A33,$H$13:H33, H33)</f>
        <v>20</v>
      </c>
      <c r="L33" s="13" t="str">
        <f>Data!E32</f>
        <v>Vehicle1</v>
      </c>
      <c r="M33" s="39" t="b">
        <f t="shared" si="23"/>
        <v>0</v>
      </c>
      <c r="N33" s="39" t="str">
        <f t="shared" si="24"/>
        <v>Vehicle1</v>
      </c>
      <c r="O33" s="13">
        <f>Data!K32</f>
        <v>0</v>
      </c>
      <c r="P33" s="39" t="str">
        <f>IF(AND(A32=A33,H32=H33),IF(O32="",O33,IF(AND(ISERROR(FIND(O33,P32)),Data!K32&lt;&gt;""),P32&amp;", "&amp;O33,P32)),IF(Data!K32&lt;&gt;"",O33,""))</f>
        <v>,  Trailer 1,  Trailer 2</v>
      </c>
      <c r="Q33" s="39" t="str">
        <f t="shared" si="25"/>
        <v/>
      </c>
      <c r="R33" s="39" t="str">
        <f t="shared" si="26"/>
        <v>Driver1@abc.com4448720</v>
      </c>
      <c r="S33" s="39" t="str">
        <f t="shared" si="8"/>
        <v>Vehicle(s): Vehicle1
Trailer(s): ,  Trailer 1,  Trailer 2</v>
      </c>
      <c r="T33" s="42" t="str">
        <f>Data!B32</f>
        <v>D</v>
      </c>
      <c r="U33" s="66">
        <f>IF(Data!D32&lt;&gt;"", Data!D32, "")</f>
        <v>8.3512296676635742</v>
      </c>
      <c r="V33" s="39" t="str">
        <f t="shared" si="27"/>
        <v>D</v>
      </c>
      <c r="W33" s="42">
        <f>Data!C32</f>
        <v>2.1354942129629628E-2</v>
      </c>
      <c r="X33" s="65">
        <f t="shared" si="28"/>
        <v>44487.488969907405</v>
      </c>
      <c r="Y33" s="65">
        <f t="shared" si="29"/>
        <v>44487.510324849536</v>
      </c>
      <c r="Z33" s="65" t="b">
        <f t="shared" si="30"/>
        <v>0</v>
      </c>
      <c r="AA33" s="65" t="str">
        <f t="shared" si="31"/>
        <v/>
      </c>
      <c r="AB33" s="65" t="str">
        <f t="shared" si="32"/>
        <v/>
      </c>
      <c r="AC33" s="42">
        <f t="shared" si="33"/>
        <v>0</v>
      </c>
      <c r="AD33" s="65">
        <f t="shared" si="34"/>
        <v>44487.488969907405</v>
      </c>
      <c r="AE33" s="65">
        <f t="shared" si="35"/>
        <v>44487.510324849536</v>
      </c>
      <c r="AF33" s="42">
        <f t="shared" si="36"/>
        <v>2.1354942131438293E-2</v>
      </c>
      <c r="AG33" s="42">
        <f t="shared" si="37"/>
        <v>2.1354942131438293E-2</v>
      </c>
      <c r="AH33" s="65" t="str">
        <f t="shared" si="38"/>
        <v/>
      </c>
      <c r="AI33" s="65" t="str">
        <f t="shared" si="39"/>
        <v/>
      </c>
      <c r="AJ33" s="42">
        <f t="shared" si="40"/>
        <v>0</v>
      </c>
      <c r="AK33" s="71">
        <f>Data!L32</f>
        <v>1</v>
      </c>
    </row>
    <row r="34" spans="1:37" s="13" customFormat="1" ht="16.5">
      <c r="A34" s="13" t="str">
        <f>CONCATENATE(Data!F33, " ", Data!G33)</f>
        <v xml:space="preserve"> First  1  Last  1</v>
      </c>
      <c r="B34" s="13" t="str">
        <f>Data!H33</f>
        <v>Driver1@abc.com</v>
      </c>
      <c r="C34" s="13">
        <f>Data!I33</f>
        <v>1</v>
      </c>
      <c r="D34" s="65">
        <f>Data!A33</f>
        <v>44487.510325115742</v>
      </c>
      <c r="E34" s="13" t="str">
        <f>Data!J33</f>
        <v>America/New_York</v>
      </c>
      <c r="F34" s="23">
        <f>(VLOOKUP(E34, TimeZone[], 2, FALSE)-$C$9)/24</f>
        <v>0</v>
      </c>
      <c r="G34" s="65">
        <f t="shared" si="20"/>
        <v>44487.510324074072</v>
      </c>
      <c r="H34" s="38">
        <f t="shared" si="21"/>
        <v>44487</v>
      </c>
      <c r="I34" s="41">
        <f t="shared" si="22"/>
        <v>0.510324074071832</v>
      </c>
      <c r="J34" s="13">
        <f t="shared" si="3"/>
        <v>45</v>
      </c>
      <c r="K34" s="13">
        <f>COUNTIFS($A$13:A34, A34,$H$13:H34, H34)</f>
        <v>21</v>
      </c>
      <c r="L34" s="13" t="str">
        <f>Data!E33</f>
        <v>Vehicle1</v>
      </c>
      <c r="M34" s="39" t="b">
        <f t="shared" si="23"/>
        <v>0</v>
      </c>
      <c r="N34" s="39" t="str">
        <f t="shared" si="24"/>
        <v>Vehicle1</v>
      </c>
      <c r="O34" s="13">
        <f>Data!K33</f>
        <v>0</v>
      </c>
      <c r="P34" s="39" t="str">
        <f>IF(AND(A33=A34,H33=H34),IF(O33="",O34,IF(AND(ISERROR(FIND(O34,P33)),Data!K33&lt;&gt;""),P33&amp;", "&amp;O34,P33)),IF(Data!K33&lt;&gt;"",O34,""))</f>
        <v>,  Trailer 1,  Trailer 2</v>
      </c>
      <c r="Q34" s="39" t="str">
        <f t="shared" si="25"/>
        <v/>
      </c>
      <c r="R34" s="39" t="str">
        <f t="shared" si="26"/>
        <v>Driver1@abc.com4448721</v>
      </c>
      <c r="S34" s="39" t="str">
        <f t="shared" si="8"/>
        <v>Vehicle(s): Vehicle1
Trailer(s): ,  Trailer 1,  Trailer 2</v>
      </c>
      <c r="T34" s="42" t="str">
        <f>Data!B33</f>
        <v>ON</v>
      </c>
      <c r="U34" s="66" t="str">
        <f>IF(Data!D33&lt;&gt;"", Data!D33, "")</f>
        <v/>
      </c>
      <c r="V34" s="39" t="str">
        <f t="shared" si="27"/>
        <v>ON</v>
      </c>
      <c r="W34" s="42">
        <f>Data!C33</f>
        <v>4.7564814814814813E-3</v>
      </c>
      <c r="X34" s="65">
        <f t="shared" si="28"/>
        <v>44487.510324074072</v>
      </c>
      <c r="Y34" s="65">
        <f t="shared" si="29"/>
        <v>44487.515080555553</v>
      </c>
      <c r="Z34" s="65" t="b">
        <f t="shared" si="30"/>
        <v>0</v>
      </c>
      <c r="AA34" s="65">
        <f t="shared" si="31"/>
        <v>44487.510324074072</v>
      </c>
      <c r="AB34" s="65">
        <f t="shared" si="32"/>
        <v>44487.515080555553</v>
      </c>
      <c r="AC34" s="42">
        <f t="shared" si="33"/>
        <v>4.7564814813085832E-3</v>
      </c>
      <c r="AD34" s="65" t="str">
        <f t="shared" si="34"/>
        <v/>
      </c>
      <c r="AE34" s="65" t="str">
        <f t="shared" si="35"/>
        <v/>
      </c>
      <c r="AF34" s="42">
        <f t="shared" si="36"/>
        <v>0</v>
      </c>
      <c r="AG34" s="42">
        <f t="shared" si="37"/>
        <v>4.7564814813085832E-3</v>
      </c>
      <c r="AH34" s="65" t="str">
        <f t="shared" si="38"/>
        <v/>
      </c>
      <c r="AI34" s="65" t="str">
        <f t="shared" si="39"/>
        <v/>
      </c>
      <c r="AJ34" s="42">
        <f t="shared" si="40"/>
        <v>0</v>
      </c>
      <c r="AK34" s="71">
        <f>Data!L33</f>
        <v>1</v>
      </c>
    </row>
    <row r="35" spans="1:37" s="13" customFormat="1" ht="16.5">
      <c r="A35" s="13" t="str">
        <f>CONCATENATE(Data!F34, " ", Data!G34)</f>
        <v xml:space="preserve"> First  1  Last  1</v>
      </c>
      <c r="B35" s="13" t="str">
        <f>Data!H34</f>
        <v>Driver1@abc.com</v>
      </c>
      <c r="C35" s="13">
        <f>Data!I34</f>
        <v>1</v>
      </c>
      <c r="D35" s="65">
        <f>Data!A34</f>
        <v>44487.515081597223</v>
      </c>
      <c r="E35" s="13" t="str">
        <f>Data!J34</f>
        <v>America/New_York</v>
      </c>
      <c r="F35" s="23">
        <f>(VLOOKUP(E35, TimeZone[], 2, FALSE)-$C$9)/24</f>
        <v>0</v>
      </c>
      <c r="G35" s="65">
        <f t="shared" si="20"/>
        <v>44487.515081018515</v>
      </c>
      <c r="H35" s="38">
        <f t="shared" si="21"/>
        <v>44487</v>
      </c>
      <c r="I35" s="41">
        <f t="shared" si="22"/>
        <v>0.51508101851504762</v>
      </c>
      <c r="J35" s="13">
        <f t="shared" si="3"/>
        <v>45</v>
      </c>
      <c r="K35" s="13">
        <f>COUNTIFS($A$13:A35, A35,$H$13:H35, H35)</f>
        <v>22</v>
      </c>
      <c r="L35" s="13" t="str">
        <f>Data!E34</f>
        <v>Vehicle1</v>
      </c>
      <c r="M35" s="39" t="b">
        <f t="shared" si="23"/>
        <v>0</v>
      </c>
      <c r="N35" s="39" t="str">
        <f t="shared" si="24"/>
        <v>Vehicle1</v>
      </c>
      <c r="O35" s="13">
        <f>Data!K34</f>
        <v>0</v>
      </c>
      <c r="P35" s="39" t="str">
        <f>IF(AND(A34=A35,H34=H35),IF(O34="",O35,IF(AND(ISERROR(FIND(O35,P34)),Data!K34&lt;&gt;""),P34&amp;", "&amp;O35,P34)),IF(Data!K34&lt;&gt;"",O35,""))</f>
        <v>,  Trailer 1,  Trailer 2</v>
      </c>
      <c r="Q35" s="39" t="str">
        <f t="shared" si="25"/>
        <v/>
      </c>
      <c r="R35" s="39" t="str">
        <f t="shared" si="26"/>
        <v>Driver1@abc.com4448722</v>
      </c>
      <c r="S35" s="39" t="str">
        <f t="shared" si="8"/>
        <v>Vehicle(s): Vehicle1
Trailer(s): ,  Trailer 1,  Trailer 2</v>
      </c>
      <c r="T35" s="42" t="str">
        <f>Data!B34</f>
        <v>D</v>
      </c>
      <c r="U35" s="66">
        <f>IF(Data!D34&lt;&gt;"", Data!D34, "")</f>
        <v>35.313770294189453</v>
      </c>
      <c r="V35" s="39" t="str">
        <f t="shared" si="27"/>
        <v>D</v>
      </c>
      <c r="W35" s="42">
        <f>Data!C34</f>
        <v>3.1715937499999999E-2</v>
      </c>
      <c r="X35" s="65">
        <f t="shared" si="28"/>
        <v>44487.515081018515</v>
      </c>
      <c r="Y35" s="65">
        <f t="shared" si="29"/>
        <v>44487.546796956012</v>
      </c>
      <c r="Z35" s="65" t="b">
        <f t="shared" si="30"/>
        <v>0</v>
      </c>
      <c r="AA35" s="65" t="str">
        <f t="shared" si="31"/>
        <v/>
      </c>
      <c r="AB35" s="65" t="str">
        <f t="shared" si="32"/>
        <v/>
      </c>
      <c r="AC35" s="42">
        <f t="shared" si="33"/>
        <v>0</v>
      </c>
      <c r="AD35" s="65">
        <f t="shared" si="34"/>
        <v>44487.515081018515</v>
      </c>
      <c r="AE35" s="65">
        <f t="shared" si="35"/>
        <v>44487.546796956012</v>
      </c>
      <c r="AF35" s="42">
        <f t="shared" si="36"/>
        <v>3.1715937497210689E-2</v>
      </c>
      <c r="AG35" s="42">
        <f t="shared" si="37"/>
        <v>3.1715937497210689E-2</v>
      </c>
      <c r="AH35" s="65" t="str">
        <f t="shared" si="38"/>
        <v/>
      </c>
      <c r="AI35" s="65" t="str">
        <f t="shared" si="39"/>
        <v/>
      </c>
      <c r="AJ35" s="42">
        <f t="shared" si="40"/>
        <v>0</v>
      </c>
      <c r="AK35" s="71">
        <f>Data!L34</f>
        <v>1</v>
      </c>
    </row>
    <row r="36" spans="1:37" s="13" customFormat="1" ht="16.5">
      <c r="A36" s="13" t="str">
        <f>CONCATENATE(Data!F35, " ", Data!G35)</f>
        <v xml:space="preserve"> First  1  Last  1</v>
      </c>
      <c r="B36" s="13" t="str">
        <f>Data!H35</f>
        <v>Driver1@abc.com</v>
      </c>
      <c r="C36" s="13">
        <f>Data!I35</f>
        <v>1</v>
      </c>
      <c r="D36" s="65">
        <f>Data!A35</f>
        <v>44487.54679753472</v>
      </c>
      <c r="E36" s="13" t="str">
        <f>Data!J35</f>
        <v>America/New_York</v>
      </c>
      <c r="F36" s="23">
        <f>(VLOOKUP(E36, TimeZone[], 2, FALSE)-$C$9)/24</f>
        <v>0</v>
      </c>
      <c r="G36" s="65">
        <f t="shared" si="20"/>
        <v>44487.546793981484</v>
      </c>
      <c r="H36" s="38">
        <f t="shared" si="21"/>
        <v>44487</v>
      </c>
      <c r="I36" s="41">
        <f t="shared" si="22"/>
        <v>0.54679398148437031</v>
      </c>
      <c r="J36" s="13">
        <f t="shared" si="3"/>
        <v>45</v>
      </c>
      <c r="K36" s="13">
        <f>COUNTIFS($A$13:A36, A36,$H$13:H36, H36)</f>
        <v>23</v>
      </c>
      <c r="L36" s="13" t="str">
        <f>Data!E35</f>
        <v>Vehicle1</v>
      </c>
      <c r="M36" s="39" t="b">
        <f t="shared" si="23"/>
        <v>0</v>
      </c>
      <c r="N36" s="39" t="str">
        <f t="shared" si="24"/>
        <v>Vehicle1</v>
      </c>
      <c r="O36" s="13">
        <f>Data!K35</f>
        <v>0</v>
      </c>
      <c r="P36" s="39" t="str">
        <f>IF(AND(A35=A36,H35=H36),IF(O35="",O36,IF(AND(ISERROR(FIND(O36,P35)),Data!K35&lt;&gt;""),P35&amp;", "&amp;O36,P35)),IF(Data!K35&lt;&gt;"",O36,""))</f>
        <v>,  Trailer 1,  Trailer 2</v>
      </c>
      <c r="Q36" s="39" t="str">
        <f t="shared" si="25"/>
        <v/>
      </c>
      <c r="R36" s="39" t="str">
        <f t="shared" si="26"/>
        <v>Driver1@abc.com4448723</v>
      </c>
      <c r="S36" s="39" t="str">
        <f t="shared" si="8"/>
        <v>Vehicle(s): Vehicle1
Trailer(s): ,  Trailer 1,  Trailer 2</v>
      </c>
      <c r="T36" s="42" t="str">
        <f>Data!B35</f>
        <v>ON</v>
      </c>
      <c r="U36" s="66" t="str">
        <f>IF(Data!D35&lt;&gt;"", Data!D35, "")</f>
        <v/>
      </c>
      <c r="V36" s="39" t="str">
        <f t="shared" si="27"/>
        <v>ON</v>
      </c>
      <c r="W36" s="42">
        <f>Data!C35</f>
        <v>1.1574074074074074E-7</v>
      </c>
      <c r="X36" s="65">
        <f t="shared" si="28"/>
        <v>44487.546793981484</v>
      </c>
      <c r="Y36" s="65">
        <f t="shared" si="29"/>
        <v>44487.546794097223</v>
      </c>
      <c r="Z36" s="65" t="b">
        <f t="shared" si="30"/>
        <v>0</v>
      </c>
      <c r="AA36" s="65">
        <f t="shared" si="31"/>
        <v>44487.546793981484</v>
      </c>
      <c r="AB36" s="65">
        <f t="shared" si="32"/>
        <v>44487.546794097223</v>
      </c>
      <c r="AC36" s="42">
        <f t="shared" si="33"/>
        <v>1.1573865776881576E-7</v>
      </c>
      <c r="AD36" s="65" t="str">
        <f t="shared" si="34"/>
        <v/>
      </c>
      <c r="AE36" s="65" t="str">
        <f t="shared" si="35"/>
        <v/>
      </c>
      <c r="AF36" s="42">
        <f t="shared" si="36"/>
        <v>0</v>
      </c>
      <c r="AG36" s="42">
        <f t="shared" si="37"/>
        <v>1.1573865776881576E-7</v>
      </c>
      <c r="AH36" s="65" t="str">
        <f t="shared" si="38"/>
        <v/>
      </c>
      <c r="AI36" s="65" t="str">
        <f t="shared" si="39"/>
        <v/>
      </c>
      <c r="AJ36" s="42">
        <f t="shared" si="40"/>
        <v>0</v>
      </c>
      <c r="AK36" s="71">
        <f>Data!L35</f>
        <v>1</v>
      </c>
    </row>
    <row r="37" spans="1:37" s="13" customFormat="1" ht="16.5">
      <c r="A37" s="13" t="str">
        <f>CONCATENATE(Data!F36, " ", Data!G36)</f>
        <v xml:space="preserve"> First  1  Last  1</v>
      </c>
      <c r="B37" s="13" t="str">
        <f>Data!H36</f>
        <v>Driver1@abc.com</v>
      </c>
      <c r="C37" s="13">
        <f>Data!I36</f>
        <v>1</v>
      </c>
      <c r="D37" s="65">
        <f>Data!A36</f>
        <v>44487.546797650466</v>
      </c>
      <c r="E37" s="13" t="str">
        <f>Data!J36</f>
        <v>America/New_York</v>
      </c>
      <c r="F37" s="23">
        <f>(VLOOKUP(E37, TimeZone[], 2, FALSE)-$C$9)/24</f>
        <v>0</v>
      </c>
      <c r="G37" s="65">
        <f t="shared" si="20"/>
        <v>44487.546793981484</v>
      </c>
      <c r="H37" s="38">
        <f t="shared" si="21"/>
        <v>44487</v>
      </c>
      <c r="I37" s="41">
        <f t="shared" si="22"/>
        <v>0.54679398148437031</v>
      </c>
      <c r="J37" s="13">
        <f t="shared" si="3"/>
        <v>45</v>
      </c>
      <c r="K37" s="13">
        <f>COUNTIFS($A$13:A37, A37,$H$13:H37, H37)</f>
        <v>24</v>
      </c>
      <c r="L37" s="13" t="str">
        <f>Data!E36</f>
        <v>Vehicle1</v>
      </c>
      <c r="M37" s="39" t="b">
        <f t="shared" si="23"/>
        <v>0</v>
      </c>
      <c r="N37" s="39" t="str">
        <f t="shared" si="24"/>
        <v>Vehicle1</v>
      </c>
      <c r="O37" s="13">
        <f>Data!K36</f>
        <v>0</v>
      </c>
      <c r="P37" s="39" t="str">
        <f>IF(AND(A36=A37,H36=H37),IF(O36="",O37,IF(AND(ISERROR(FIND(O37,P36)),Data!K36&lt;&gt;""),P36&amp;", "&amp;O37,P36)),IF(Data!K36&lt;&gt;"",O37,""))</f>
        <v>,  Trailer 1,  Trailer 2</v>
      </c>
      <c r="Q37" s="39" t="str">
        <f t="shared" si="25"/>
        <v/>
      </c>
      <c r="R37" s="39" t="str">
        <f t="shared" si="26"/>
        <v>Driver1@abc.com4448724</v>
      </c>
      <c r="S37" s="39" t="str">
        <f t="shared" si="8"/>
        <v>Vehicle(s): Vehicle1
Trailer(s): ,  Trailer 1,  Trailer 2</v>
      </c>
      <c r="T37" s="42" t="str">
        <f>Data!B36</f>
        <v>YM</v>
      </c>
      <c r="U37" s="66">
        <f>IF(Data!D36&lt;&gt;"", Data!D36, "")</f>
        <v>3.9767757058143616E-2</v>
      </c>
      <c r="V37" s="39" t="str">
        <f t="shared" si="27"/>
        <v>ON</v>
      </c>
      <c r="W37" s="42">
        <f>Data!C36</f>
        <v>2.843900462962963E-3</v>
      </c>
      <c r="X37" s="65" t="str">
        <f t="shared" si="28"/>
        <v/>
      </c>
      <c r="Y37" s="65" t="str">
        <f t="shared" si="29"/>
        <v/>
      </c>
      <c r="Z37" s="65" t="b">
        <f t="shared" si="30"/>
        <v>0</v>
      </c>
      <c r="AA37" s="65">
        <f t="shared" si="31"/>
        <v>44487.546793981484</v>
      </c>
      <c r="AB37" s="65">
        <f t="shared" si="32"/>
        <v>44487.549637881944</v>
      </c>
      <c r="AC37" s="42">
        <f t="shared" si="33"/>
        <v>2.843900459993165E-3</v>
      </c>
      <c r="AD37" s="65" t="str">
        <f t="shared" si="34"/>
        <v/>
      </c>
      <c r="AE37" s="65" t="str">
        <f t="shared" si="35"/>
        <v/>
      </c>
      <c r="AF37" s="42">
        <f t="shared" si="36"/>
        <v>0</v>
      </c>
      <c r="AG37" s="42">
        <f t="shared" si="37"/>
        <v>2.843900459993165E-3</v>
      </c>
      <c r="AH37" s="65" t="str">
        <f t="shared" si="38"/>
        <v/>
      </c>
      <c r="AI37" s="65" t="str">
        <f t="shared" si="39"/>
        <v/>
      </c>
      <c r="AJ37" s="42">
        <f t="shared" si="40"/>
        <v>0</v>
      </c>
      <c r="AK37" s="71">
        <f>Data!L36</f>
        <v>1</v>
      </c>
    </row>
    <row r="38" spans="1:37" s="13" customFormat="1" ht="16.5">
      <c r="A38" s="13" t="str">
        <f>CONCATENATE(Data!F37, " ", Data!G37)</f>
        <v xml:space="preserve"> First  1  Last  1</v>
      </c>
      <c r="B38" s="13" t="str">
        <f>Data!H37</f>
        <v>Driver1@abc.com</v>
      </c>
      <c r="C38" s="13">
        <f>Data!I37</f>
        <v>1</v>
      </c>
      <c r="D38" s="65">
        <f>Data!A37</f>
        <v>44487.549641550926</v>
      </c>
      <c r="E38" s="13" t="str">
        <f>Data!J37</f>
        <v>America/New_York</v>
      </c>
      <c r="F38" s="23">
        <f>(VLOOKUP(E38, TimeZone[], 2, FALSE)-$C$9)/24</f>
        <v>0</v>
      </c>
      <c r="G38" s="65">
        <f t="shared" si="20"/>
        <v>44487.549641203703</v>
      </c>
      <c r="H38" s="38">
        <f t="shared" si="21"/>
        <v>44487</v>
      </c>
      <c r="I38" s="41">
        <f t="shared" si="22"/>
        <v>0.54964120370277669</v>
      </c>
      <c r="J38" s="13">
        <f t="shared" si="3"/>
        <v>45</v>
      </c>
      <c r="K38" s="13">
        <f>COUNTIFS($A$13:A38, A38,$H$13:H38, H38)</f>
        <v>25</v>
      </c>
      <c r="L38" s="13" t="str">
        <f>Data!E37</f>
        <v>Vehicle1</v>
      </c>
      <c r="M38" s="39" t="b">
        <f t="shared" si="23"/>
        <v>0</v>
      </c>
      <c r="N38" s="39" t="str">
        <f t="shared" si="24"/>
        <v>Vehicle1</v>
      </c>
      <c r="O38" s="13">
        <f>Data!K37</f>
        <v>0</v>
      </c>
      <c r="P38" s="39" t="str">
        <f>IF(AND(A37=A38,H37=H38),IF(O37="",O38,IF(AND(ISERROR(FIND(O38,P37)),Data!K37&lt;&gt;""),P37&amp;", "&amp;O38,P37)),IF(Data!K37&lt;&gt;"",O38,""))</f>
        <v>,  Trailer 1,  Trailer 2</v>
      </c>
      <c r="Q38" s="39" t="str">
        <f t="shared" si="25"/>
        <v/>
      </c>
      <c r="R38" s="39" t="str">
        <f t="shared" si="26"/>
        <v>Driver1@abc.com4448725</v>
      </c>
      <c r="S38" s="39" t="str">
        <f t="shared" si="8"/>
        <v>Vehicle(s): Vehicle1
Trailer(s): ,  Trailer 1,  Trailer 2</v>
      </c>
      <c r="T38" s="42" t="str">
        <f>Data!B37</f>
        <v>ON</v>
      </c>
      <c r="U38" s="66" t="str">
        <f>IF(Data!D37&lt;&gt;"", Data!D37, "")</f>
        <v/>
      </c>
      <c r="V38" s="39" t="str">
        <f t="shared" si="27"/>
        <v>ON</v>
      </c>
      <c r="W38" s="42">
        <f>Data!C37</f>
        <v>1.3112581018518518E-2</v>
      </c>
      <c r="X38" s="65">
        <f t="shared" si="28"/>
        <v>44487.549641203703</v>
      </c>
      <c r="Y38" s="65">
        <f t="shared" si="29"/>
        <v>44487.562753784725</v>
      </c>
      <c r="Z38" s="65" t="b">
        <f t="shared" si="30"/>
        <v>0</v>
      </c>
      <c r="AA38" s="65">
        <f t="shared" si="31"/>
        <v>44487.549641203703</v>
      </c>
      <c r="AB38" s="65">
        <f t="shared" si="32"/>
        <v>44487.562753784725</v>
      </c>
      <c r="AC38" s="42">
        <f t="shared" si="33"/>
        <v>1.3112581022141967E-2</v>
      </c>
      <c r="AD38" s="65" t="str">
        <f t="shared" si="34"/>
        <v/>
      </c>
      <c r="AE38" s="65" t="str">
        <f t="shared" si="35"/>
        <v/>
      </c>
      <c r="AF38" s="42">
        <f t="shared" si="36"/>
        <v>0</v>
      </c>
      <c r="AG38" s="42">
        <f t="shared" si="37"/>
        <v>1.3112581022141967E-2</v>
      </c>
      <c r="AH38" s="65" t="str">
        <f t="shared" si="38"/>
        <v/>
      </c>
      <c r="AI38" s="65" t="str">
        <f t="shared" si="39"/>
        <v/>
      </c>
      <c r="AJ38" s="42">
        <f t="shared" si="40"/>
        <v>0</v>
      </c>
      <c r="AK38" s="71">
        <f>Data!L37</f>
        <v>1</v>
      </c>
    </row>
    <row r="39" spans="1:37" s="13" customFormat="1" ht="16.5">
      <c r="A39" s="13" t="str">
        <f>CONCATENATE(Data!F38, " ", Data!G38)</f>
        <v xml:space="preserve"> First  1  Last  1</v>
      </c>
      <c r="B39" s="13" t="str">
        <f>Data!H38</f>
        <v>Driver1@abc.com</v>
      </c>
      <c r="C39" s="13">
        <f>Data!I38</f>
        <v>1</v>
      </c>
      <c r="D39" s="65">
        <f>Data!A38</f>
        <v>44487.562754131941</v>
      </c>
      <c r="E39" s="13" t="str">
        <f>Data!J38</f>
        <v>America/New_York</v>
      </c>
      <c r="F39" s="23">
        <f>(VLOOKUP(E39, TimeZone[], 2, FALSE)-$C$9)/24</f>
        <v>0</v>
      </c>
      <c r="G39" s="65">
        <f t="shared" si="20"/>
        <v>44487.562754629631</v>
      </c>
      <c r="H39" s="38">
        <f t="shared" si="21"/>
        <v>44487</v>
      </c>
      <c r="I39" s="41">
        <f t="shared" si="22"/>
        <v>0.56275462963094469</v>
      </c>
      <c r="J39" s="13">
        <f t="shared" si="3"/>
        <v>45</v>
      </c>
      <c r="K39" s="13">
        <f>COUNTIFS($A$13:A39, A39,$H$13:H39, H39)</f>
        <v>26</v>
      </c>
      <c r="L39" s="13" t="str">
        <f>Data!E38</f>
        <v>Vehicle1</v>
      </c>
      <c r="M39" s="39" t="b">
        <f t="shared" si="23"/>
        <v>0</v>
      </c>
      <c r="N39" s="39" t="str">
        <f t="shared" si="24"/>
        <v>Vehicle1</v>
      </c>
      <c r="O39" s="13">
        <f>Data!K38</f>
        <v>0</v>
      </c>
      <c r="P39" s="39" t="str">
        <f>IF(AND(A38=A39,H38=H39),IF(O38="",O39,IF(AND(ISERROR(FIND(O39,P38)),Data!K38&lt;&gt;""),P38&amp;", "&amp;O39,P38)),IF(Data!K38&lt;&gt;"",O39,""))</f>
        <v>,  Trailer 1,  Trailer 2</v>
      </c>
      <c r="Q39" s="39" t="str">
        <f t="shared" si="25"/>
        <v/>
      </c>
      <c r="R39" s="39" t="str">
        <f t="shared" si="26"/>
        <v>Driver1@abc.com4448726</v>
      </c>
      <c r="S39" s="39" t="str">
        <f t="shared" si="8"/>
        <v>Vehicle(s): Vehicle1
Trailer(s): ,  Trailer 1,  Trailer 2</v>
      </c>
      <c r="T39" s="42" t="str">
        <f>Data!B38</f>
        <v>ON</v>
      </c>
      <c r="U39" s="66" t="str">
        <f>IF(Data!D38&lt;&gt;"", Data!D38, "")</f>
        <v/>
      </c>
      <c r="V39" s="39" t="str">
        <f t="shared" si="27"/>
        <v>ON</v>
      </c>
      <c r="W39" s="42">
        <f>Data!C38</f>
        <v>6.6332870370370374E-3</v>
      </c>
      <c r="X39" s="65">
        <f t="shared" si="28"/>
        <v>44487.562754629631</v>
      </c>
      <c r="Y39" s="65">
        <f t="shared" si="29"/>
        <v>44487.569387916665</v>
      </c>
      <c r="Z39" s="65" t="b">
        <f t="shared" si="30"/>
        <v>0</v>
      </c>
      <c r="AA39" s="65">
        <f t="shared" si="31"/>
        <v>44487.562754629631</v>
      </c>
      <c r="AB39" s="65">
        <f t="shared" si="32"/>
        <v>44487.569387916665</v>
      </c>
      <c r="AC39" s="42">
        <f t="shared" si="33"/>
        <v>6.6332870337646455E-3</v>
      </c>
      <c r="AD39" s="65" t="str">
        <f t="shared" si="34"/>
        <v/>
      </c>
      <c r="AE39" s="65" t="str">
        <f t="shared" si="35"/>
        <v/>
      </c>
      <c r="AF39" s="42">
        <f t="shared" si="36"/>
        <v>0</v>
      </c>
      <c r="AG39" s="42">
        <f t="shared" si="37"/>
        <v>6.6332870337646455E-3</v>
      </c>
      <c r="AH39" s="65" t="str">
        <f t="shared" si="38"/>
        <v/>
      </c>
      <c r="AI39" s="65" t="str">
        <f t="shared" si="39"/>
        <v/>
      </c>
      <c r="AJ39" s="42">
        <f t="shared" si="40"/>
        <v>0</v>
      </c>
      <c r="AK39" s="71">
        <f>Data!L38</f>
        <v>1</v>
      </c>
    </row>
    <row r="40" spans="1:37" s="13" customFormat="1" ht="16.5">
      <c r="A40" s="13" t="str">
        <f>CONCATENATE(Data!F39, " ", Data!G39)</f>
        <v xml:space="preserve"> First  1  Last  1</v>
      </c>
      <c r="B40" s="13" t="str">
        <f>Data!H39</f>
        <v>Driver1@abc.com</v>
      </c>
      <c r="C40" s="13">
        <f>Data!I39</f>
        <v>1</v>
      </c>
      <c r="D40" s="65">
        <f>Data!A39</f>
        <v>44487.569387418982</v>
      </c>
      <c r="E40" s="13" t="str">
        <f>Data!J39</f>
        <v>America/New_York</v>
      </c>
      <c r="F40" s="23">
        <f>(VLOOKUP(E40, TimeZone[], 2, FALSE)-$C$9)/24</f>
        <v>0</v>
      </c>
      <c r="G40" s="65">
        <f t="shared" si="20"/>
        <v>44487.569386574076</v>
      </c>
      <c r="H40" s="38">
        <f t="shared" si="21"/>
        <v>44487</v>
      </c>
      <c r="I40" s="41">
        <f t="shared" si="22"/>
        <v>0.56938657407590654</v>
      </c>
      <c r="J40" s="13">
        <f t="shared" si="3"/>
        <v>45</v>
      </c>
      <c r="K40" s="13">
        <f>COUNTIFS($A$13:A40, A40,$H$13:H40, H40)</f>
        <v>27</v>
      </c>
      <c r="L40" s="13" t="str">
        <f>Data!E39</f>
        <v>Vehicle1</v>
      </c>
      <c r="M40" s="39" t="b">
        <f t="shared" si="23"/>
        <v>0</v>
      </c>
      <c r="N40" s="39" t="str">
        <f t="shared" si="24"/>
        <v>Vehicle1</v>
      </c>
      <c r="O40" s="13">
        <f>Data!K39</f>
        <v>0</v>
      </c>
      <c r="P40" s="39" t="str">
        <f>IF(AND(A39=A40,H39=H40),IF(O39="",O40,IF(AND(ISERROR(FIND(O40,P39)),Data!K39&lt;&gt;""),P39&amp;", "&amp;O40,P39)),IF(Data!K39&lt;&gt;"",O40,""))</f>
        <v>,  Trailer 1,  Trailer 2</v>
      </c>
      <c r="Q40" s="39" t="str">
        <f t="shared" si="25"/>
        <v/>
      </c>
      <c r="R40" s="39" t="str">
        <f t="shared" si="26"/>
        <v>Driver1@abc.com4448727</v>
      </c>
      <c r="S40" s="39" t="str">
        <f t="shared" si="8"/>
        <v>Vehicle(s): Vehicle1
Trailer(s): ,  Trailer 1,  Trailer 2</v>
      </c>
      <c r="T40" s="42" t="str">
        <f>Data!B39</f>
        <v>D</v>
      </c>
      <c r="U40" s="66">
        <f>IF(Data!D39&lt;&gt;"", Data!D39, "")</f>
        <v>1.1532649993896484</v>
      </c>
      <c r="V40" s="39" t="str">
        <f t="shared" si="27"/>
        <v>D</v>
      </c>
      <c r="W40" s="42">
        <f>Data!C39</f>
        <v>3.2293981481481483E-3</v>
      </c>
      <c r="X40" s="65">
        <f t="shared" si="28"/>
        <v>44487.569386574076</v>
      </c>
      <c r="Y40" s="65">
        <f t="shared" si="29"/>
        <v>44487.572615972225</v>
      </c>
      <c r="Z40" s="65" t="b">
        <f t="shared" si="30"/>
        <v>0</v>
      </c>
      <c r="AA40" s="65" t="str">
        <f t="shared" si="31"/>
        <v/>
      </c>
      <c r="AB40" s="65" t="str">
        <f t="shared" si="32"/>
        <v/>
      </c>
      <c r="AC40" s="42">
        <f t="shared" si="33"/>
        <v>0</v>
      </c>
      <c r="AD40" s="65">
        <f t="shared" si="34"/>
        <v>44487.569386574076</v>
      </c>
      <c r="AE40" s="65">
        <f t="shared" si="35"/>
        <v>44487.572615972225</v>
      </c>
      <c r="AF40" s="42">
        <f t="shared" si="36"/>
        <v>3.2293981494149193E-3</v>
      </c>
      <c r="AG40" s="42">
        <f t="shared" si="37"/>
        <v>3.2293981494149193E-3</v>
      </c>
      <c r="AH40" s="65" t="str">
        <f t="shared" si="38"/>
        <v/>
      </c>
      <c r="AI40" s="65" t="str">
        <f t="shared" si="39"/>
        <v/>
      </c>
      <c r="AJ40" s="42">
        <f t="shared" si="40"/>
        <v>0</v>
      </c>
      <c r="AK40" s="71">
        <f>Data!L39</f>
        <v>1</v>
      </c>
    </row>
    <row r="41" spans="1:37" s="13" customFormat="1" ht="16.5">
      <c r="A41" s="13" t="str">
        <f>CONCATENATE(Data!F40, " ", Data!G40)</f>
        <v xml:space="preserve"> First  1  Last  1</v>
      </c>
      <c r="B41" s="13" t="str">
        <f>Data!H40</f>
        <v>Driver1@abc.com</v>
      </c>
      <c r="C41" s="13">
        <f>Data!I40</f>
        <v>1</v>
      </c>
      <c r="D41" s="65">
        <f>Data!A40</f>
        <v>44487.572616817131</v>
      </c>
      <c r="E41" s="13" t="str">
        <f>Data!J40</f>
        <v>America/New_York</v>
      </c>
      <c r="F41" s="23">
        <f>(VLOOKUP(E41, TimeZone[], 2, FALSE)-$C$9)/24</f>
        <v>0</v>
      </c>
      <c r="G41" s="65">
        <f t="shared" si="20"/>
        <v>44487.572615740741</v>
      </c>
      <c r="H41" s="38">
        <f t="shared" si="21"/>
        <v>44487</v>
      </c>
      <c r="I41" s="41">
        <f t="shared" si="22"/>
        <v>0.57261574074072996</v>
      </c>
      <c r="J41" s="13">
        <f t="shared" si="3"/>
        <v>45</v>
      </c>
      <c r="K41" s="13">
        <f>COUNTIFS($A$13:A41, A41,$H$13:H41, H41)</f>
        <v>28</v>
      </c>
      <c r="L41" s="13" t="str">
        <f>Data!E40</f>
        <v>Vehicle1</v>
      </c>
      <c r="M41" s="39" t="b">
        <f t="shared" si="23"/>
        <v>0</v>
      </c>
      <c r="N41" s="39" t="str">
        <f t="shared" si="24"/>
        <v>Vehicle1</v>
      </c>
      <c r="O41" s="13">
        <f>Data!K40</f>
        <v>0</v>
      </c>
      <c r="P41" s="39" t="str">
        <f>IF(AND(A40=A41,H40=H41),IF(O40="",O41,IF(AND(ISERROR(FIND(O41,P40)),Data!K40&lt;&gt;""),P40&amp;", "&amp;O41,P40)),IF(Data!K40&lt;&gt;"",O41,""))</f>
        <v>,  Trailer 1,  Trailer 2</v>
      </c>
      <c r="Q41" s="39" t="str">
        <f t="shared" si="25"/>
        <v/>
      </c>
      <c r="R41" s="39" t="str">
        <f t="shared" si="26"/>
        <v>Driver1@abc.com4448728</v>
      </c>
      <c r="S41" s="39" t="str">
        <f t="shared" si="8"/>
        <v>Vehicle(s): Vehicle1
Trailer(s): ,  Trailer 1,  Trailer 2</v>
      </c>
      <c r="T41" s="42" t="str">
        <f>Data!B40</f>
        <v>ON</v>
      </c>
      <c r="U41" s="66" t="str">
        <f>IF(Data!D40&lt;&gt;"", Data!D40, "")</f>
        <v/>
      </c>
      <c r="V41" s="39" t="str">
        <f t="shared" si="27"/>
        <v>ON</v>
      </c>
      <c r="W41" s="42">
        <f>Data!C40</f>
        <v>9.4907407407407406E-3</v>
      </c>
      <c r="X41" s="65">
        <f t="shared" si="28"/>
        <v>44487.572615740741</v>
      </c>
      <c r="Y41" s="65">
        <f t="shared" si="29"/>
        <v>44487.582106481481</v>
      </c>
      <c r="Z41" s="65" t="b">
        <f t="shared" si="30"/>
        <v>0</v>
      </c>
      <c r="AA41" s="65">
        <f t="shared" si="31"/>
        <v>44487.572615740741</v>
      </c>
      <c r="AB41" s="65">
        <f t="shared" si="32"/>
        <v>44487.582106481481</v>
      </c>
      <c r="AC41" s="42">
        <f t="shared" si="33"/>
        <v>9.4907407401478849E-3</v>
      </c>
      <c r="AD41" s="65" t="str">
        <f t="shared" si="34"/>
        <v/>
      </c>
      <c r="AE41" s="65" t="str">
        <f t="shared" si="35"/>
        <v/>
      </c>
      <c r="AF41" s="42">
        <f t="shared" si="36"/>
        <v>0</v>
      </c>
      <c r="AG41" s="42">
        <f t="shared" si="37"/>
        <v>9.4907407401478849E-3</v>
      </c>
      <c r="AH41" s="65" t="str">
        <f t="shared" si="38"/>
        <v/>
      </c>
      <c r="AI41" s="65" t="str">
        <f t="shared" si="39"/>
        <v/>
      </c>
      <c r="AJ41" s="42">
        <f t="shared" si="40"/>
        <v>0</v>
      </c>
      <c r="AK41" s="71">
        <f>Data!L40</f>
        <v>1</v>
      </c>
    </row>
    <row r="42" spans="1:37" s="13" customFormat="1" ht="16.5">
      <c r="A42" s="13" t="str">
        <f>CONCATENATE(Data!F41, " ", Data!G41)</f>
        <v xml:space="preserve"> First  1  Last  1</v>
      </c>
      <c r="B42" s="13" t="str">
        <f>Data!H41</f>
        <v>Driver1@abc.com</v>
      </c>
      <c r="C42" s="13">
        <f>Data!I41</f>
        <v>1</v>
      </c>
      <c r="D42" s="65">
        <f>Data!A41</f>
        <v>44487.582107557871</v>
      </c>
      <c r="E42" s="13" t="str">
        <f>Data!J41</f>
        <v>America/New_York</v>
      </c>
      <c r="F42" s="23">
        <f>(VLOOKUP(E42, TimeZone[], 2, FALSE)-$C$9)/24</f>
        <v>0</v>
      </c>
      <c r="G42" s="65">
        <f t="shared" si="20"/>
        <v>44487.582106481481</v>
      </c>
      <c r="H42" s="38">
        <f t="shared" si="21"/>
        <v>44487</v>
      </c>
      <c r="I42" s="41">
        <f t="shared" si="22"/>
        <v>0.58210648148087785</v>
      </c>
      <c r="J42" s="13">
        <f t="shared" si="3"/>
        <v>45</v>
      </c>
      <c r="K42" s="13">
        <f>COUNTIFS($A$13:A42, A42,$H$13:H42, H42)</f>
        <v>29</v>
      </c>
      <c r="L42" s="13" t="str">
        <f>Data!E41</f>
        <v>Vehicle1</v>
      </c>
      <c r="M42" s="39" t="b">
        <f t="shared" si="23"/>
        <v>0</v>
      </c>
      <c r="N42" s="39" t="str">
        <f t="shared" si="24"/>
        <v>Vehicle1</v>
      </c>
      <c r="O42" s="13">
        <f>Data!K41</f>
        <v>0</v>
      </c>
      <c r="P42" s="39" t="str">
        <f>IF(AND(A41=A42,H41=H42),IF(O41="",O42,IF(AND(ISERROR(FIND(O42,P41)),Data!K41&lt;&gt;""),P41&amp;", "&amp;O42,P41)),IF(Data!K41&lt;&gt;"",O42,""))</f>
        <v>,  Trailer 1,  Trailer 2</v>
      </c>
      <c r="Q42" s="39" t="str">
        <f t="shared" si="25"/>
        <v/>
      </c>
      <c r="R42" s="39" t="str">
        <f t="shared" si="26"/>
        <v>Driver1@abc.com4448729</v>
      </c>
      <c r="S42" s="39" t="str">
        <f t="shared" si="8"/>
        <v>Vehicle(s): Vehicle1
Trailer(s): ,  Trailer 1,  Trailer 2</v>
      </c>
      <c r="T42" s="42" t="str">
        <f>Data!B41</f>
        <v>D</v>
      </c>
      <c r="U42" s="66">
        <f>IF(Data!D41&lt;&gt;"", Data!D41, "")</f>
        <v>0.83512294292449951</v>
      </c>
      <c r="V42" s="39" t="str">
        <f t="shared" si="27"/>
        <v>D</v>
      </c>
      <c r="W42" s="42">
        <f>Data!C41</f>
        <v>3.3440972222222223E-3</v>
      </c>
      <c r="X42" s="65">
        <f t="shared" si="28"/>
        <v>44487.582106481481</v>
      </c>
      <c r="Y42" s="65">
        <f t="shared" si="29"/>
        <v>44487.585450578707</v>
      </c>
      <c r="Z42" s="65" t="b">
        <f t="shared" si="30"/>
        <v>0</v>
      </c>
      <c r="AA42" s="65" t="str">
        <f t="shared" si="31"/>
        <v/>
      </c>
      <c r="AB42" s="65" t="str">
        <f t="shared" si="32"/>
        <v/>
      </c>
      <c r="AC42" s="42">
        <f t="shared" si="33"/>
        <v>0</v>
      </c>
      <c r="AD42" s="65">
        <f t="shared" si="34"/>
        <v>44487.582106481481</v>
      </c>
      <c r="AE42" s="65">
        <f t="shared" si="35"/>
        <v>44487.585450578707</v>
      </c>
      <c r="AF42" s="42">
        <f t="shared" si="36"/>
        <v>3.3440972256357782E-3</v>
      </c>
      <c r="AG42" s="42">
        <f t="shared" si="37"/>
        <v>3.3440972256357782E-3</v>
      </c>
      <c r="AH42" s="65" t="str">
        <f t="shared" si="38"/>
        <v/>
      </c>
      <c r="AI42" s="65" t="str">
        <f t="shared" si="39"/>
        <v/>
      </c>
      <c r="AJ42" s="42">
        <f t="shared" si="40"/>
        <v>0</v>
      </c>
      <c r="AK42" s="71">
        <f>Data!L41</f>
        <v>1</v>
      </c>
    </row>
    <row r="43" spans="1:37" s="13" customFormat="1" ht="16.5">
      <c r="A43" s="13" t="str">
        <f>CONCATENATE(Data!F42, " ", Data!G42)</f>
        <v xml:space="preserve"> First  1  Last  1</v>
      </c>
      <c r="B43" s="13" t="str">
        <f>Data!H42</f>
        <v>Driver1@abc.com</v>
      </c>
      <c r="C43" s="13">
        <f>Data!I42</f>
        <v>1</v>
      </c>
      <c r="D43" s="65">
        <f>Data!A42</f>
        <v>44487.58545165509</v>
      </c>
      <c r="E43" s="13" t="str">
        <f>Data!J42</f>
        <v>America/New_York</v>
      </c>
      <c r="F43" s="23">
        <f>(VLOOKUP(E43, TimeZone[], 2, FALSE)-$C$9)/24</f>
        <v>0</v>
      </c>
      <c r="G43" s="65">
        <f t="shared" si="20"/>
        <v>44487.585451388892</v>
      </c>
      <c r="H43" s="38">
        <f t="shared" si="21"/>
        <v>44487</v>
      </c>
      <c r="I43" s="41">
        <f t="shared" si="22"/>
        <v>0.58545138889166992</v>
      </c>
      <c r="J43" s="13">
        <f t="shared" si="3"/>
        <v>45</v>
      </c>
      <c r="K43" s="13">
        <f>COUNTIFS($A$13:A43, A43,$H$13:H43, H43)</f>
        <v>30</v>
      </c>
      <c r="L43" s="13" t="str">
        <f>Data!E42</f>
        <v>Vehicle1</v>
      </c>
      <c r="M43" s="39" t="b">
        <f t="shared" si="23"/>
        <v>0</v>
      </c>
      <c r="N43" s="39" t="str">
        <f t="shared" si="24"/>
        <v>Vehicle1</v>
      </c>
      <c r="O43" s="13">
        <f>Data!K42</f>
        <v>0</v>
      </c>
      <c r="P43" s="39" t="str">
        <f>IF(AND(A42=A43,H42=H43),IF(O42="",O43,IF(AND(ISERROR(FIND(O43,P42)),Data!K42&lt;&gt;""),P42&amp;", "&amp;O43,P42)),IF(Data!K42&lt;&gt;"",O43,""))</f>
        <v>,  Trailer 1,  Trailer 2</v>
      </c>
      <c r="Q43" s="39" t="str">
        <f t="shared" si="25"/>
        <v/>
      </c>
      <c r="R43" s="39" t="str">
        <f t="shared" si="26"/>
        <v>Driver1@abc.com4448730</v>
      </c>
      <c r="S43" s="39" t="str">
        <f t="shared" si="8"/>
        <v>Vehicle(s): Vehicle1
Trailer(s): ,  Trailer 1,  Trailer 2</v>
      </c>
      <c r="T43" s="42" t="str">
        <f>Data!B42</f>
        <v>ON</v>
      </c>
      <c r="U43" s="66" t="str">
        <f>IF(Data!D42&lt;&gt;"", Data!D42, "")</f>
        <v/>
      </c>
      <c r="V43" s="39" t="str">
        <f t="shared" si="27"/>
        <v>ON</v>
      </c>
      <c r="W43" s="42">
        <f>Data!C42</f>
        <v>8.5189814814814815E-3</v>
      </c>
      <c r="X43" s="65">
        <f t="shared" si="28"/>
        <v>44487.585451388892</v>
      </c>
      <c r="Y43" s="65">
        <f t="shared" si="29"/>
        <v>44487.59397037037</v>
      </c>
      <c r="Z43" s="65" t="b">
        <f t="shared" si="30"/>
        <v>0</v>
      </c>
      <c r="AA43" s="65">
        <f t="shared" si="31"/>
        <v>44487.585451388892</v>
      </c>
      <c r="AB43" s="65">
        <f t="shared" si="32"/>
        <v>44487.59397037037</v>
      </c>
      <c r="AC43" s="42">
        <f t="shared" si="33"/>
        <v>8.5189814781188034E-3</v>
      </c>
      <c r="AD43" s="65" t="str">
        <f t="shared" si="34"/>
        <v/>
      </c>
      <c r="AE43" s="65" t="str">
        <f t="shared" si="35"/>
        <v/>
      </c>
      <c r="AF43" s="42">
        <f t="shared" si="36"/>
        <v>0</v>
      </c>
      <c r="AG43" s="42">
        <f t="shared" si="37"/>
        <v>8.5189814781188034E-3</v>
      </c>
      <c r="AH43" s="65" t="str">
        <f t="shared" si="38"/>
        <v/>
      </c>
      <c r="AI43" s="65" t="str">
        <f t="shared" si="39"/>
        <v/>
      </c>
      <c r="AJ43" s="42">
        <f t="shared" si="40"/>
        <v>0</v>
      </c>
      <c r="AK43" s="71">
        <f>Data!L42</f>
        <v>1</v>
      </c>
    </row>
    <row r="44" spans="1:37" s="13" customFormat="1" ht="16.5">
      <c r="A44" s="13" t="str">
        <f>CONCATENATE(Data!F43, " ", Data!G43)</f>
        <v xml:space="preserve"> First  1  Last  1</v>
      </c>
      <c r="B44" s="13" t="str">
        <f>Data!H43</f>
        <v>Driver1@abc.com</v>
      </c>
      <c r="C44" s="13">
        <f>Data!I43</f>
        <v>1</v>
      </c>
      <c r="D44" s="65">
        <f>Data!A43</f>
        <v>44487.593970636575</v>
      </c>
      <c r="E44" s="13" t="str">
        <f>Data!J43</f>
        <v>America/New_York</v>
      </c>
      <c r="F44" s="23">
        <f>(VLOOKUP(E44, TimeZone[], 2, FALSE)-$C$9)/24</f>
        <v>0</v>
      </c>
      <c r="G44" s="65">
        <f t="shared" si="20"/>
        <v>44487.593969907408</v>
      </c>
      <c r="H44" s="38">
        <f t="shared" si="21"/>
        <v>44487</v>
      </c>
      <c r="I44" s="41">
        <f t="shared" si="22"/>
        <v>0.59396990740788169</v>
      </c>
      <c r="J44" s="13">
        <f t="shared" si="3"/>
        <v>45</v>
      </c>
      <c r="K44" s="13">
        <f>COUNTIFS($A$13:A44, A44,$H$13:H44, H44)</f>
        <v>31</v>
      </c>
      <c r="L44" s="13" t="str">
        <f>Data!E43</f>
        <v>Vehicle1</v>
      </c>
      <c r="M44" s="39" t="b">
        <f t="shared" si="23"/>
        <v>0</v>
      </c>
      <c r="N44" s="39" t="str">
        <f t="shared" si="24"/>
        <v>Vehicle1</v>
      </c>
      <c r="O44" s="13">
        <f>Data!K43</f>
        <v>0</v>
      </c>
      <c r="P44" s="39" t="str">
        <f>IF(AND(A43=A44,H43=H44),IF(O43="",O44,IF(AND(ISERROR(FIND(O44,P43)),Data!K43&lt;&gt;""),P43&amp;", "&amp;O44,P43)),IF(Data!K43&lt;&gt;"",O44,""))</f>
        <v>,  Trailer 1,  Trailer 2</v>
      </c>
      <c r="Q44" s="39" t="str">
        <f t="shared" si="25"/>
        <v/>
      </c>
      <c r="R44" s="39" t="str">
        <f t="shared" si="26"/>
        <v>Driver1@abc.com4448731</v>
      </c>
      <c r="S44" s="39" t="str">
        <f t="shared" si="8"/>
        <v>Vehicle(s): Vehicle1
Trailer(s): ,  Trailer 1,  Trailer 2</v>
      </c>
      <c r="T44" s="42" t="str">
        <f>Data!B43</f>
        <v>D</v>
      </c>
      <c r="U44" s="66">
        <f>IF(Data!D43&lt;&gt;"", Data!D43, "")</f>
        <v>34.876323699951172</v>
      </c>
      <c r="V44" s="39" t="str">
        <f t="shared" si="27"/>
        <v>D</v>
      </c>
      <c r="W44" s="42">
        <f>Data!C43</f>
        <v>3.086755787037037E-2</v>
      </c>
      <c r="X44" s="65">
        <f t="shared" si="28"/>
        <v>44487.593969907408</v>
      </c>
      <c r="Y44" s="65">
        <f t="shared" si="29"/>
        <v>44487.624837465279</v>
      </c>
      <c r="Z44" s="65" t="b">
        <f t="shared" si="30"/>
        <v>0</v>
      </c>
      <c r="AA44" s="65" t="str">
        <f t="shared" si="31"/>
        <v/>
      </c>
      <c r="AB44" s="65" t="str">
        <f t="shared" si="32"/>
        <v/>
      </c>
      <c r="AC44" s="42">
        <f t="shared" si="33"/>
        <v>0</v>
      </c>
      <c r="AD44" s="65">
        <f t="shared" si="34"/>
        <v>44487.593969907408</v>
      </c>
      <c r="AE44" s="65">
        <f t="shared" si="35"/>
        <v>44487.624837465279</v>
      </c>
      <c r="AF44" s="42">
        <f t="shared" si="36"/>
        <v>3.0867557870806195E-2</v>
      </c>
      <c r="AG44" s="42">
        <f t="shared" si="37"/>
        <v>3.0867557870806195E-2</v>
      </c>
      <c r="AH44" s="65" t="str">
        <f t="shared" si="38"/>
        <v/>
      </c>
      <c r="AI44" s="65" t="str">
        <f t="shared" si="39"/>
        <v/>
      </c>
      <c r="AJ44" s="42">
        <f t="shared" si="40"/>
        <v>0</v>
      </c>
      <c r="AK44" s="71">
        <f>Data!L43</f>
        <v>1</v>
      </c>
    </row>
    <row r="45" spans="1:37" s="13" customFormat="1" ht="16.5">
      <c r="A45" s="13" t="str">
        <f>CONCATENATE(Data!F44, " ", Data!G44)</f>
        <v xml:space="preserve"> First  1  Last  1</v>
      </c>
      <c r="B45" s="13" t="str">
        <f>Data!H44</f>
        <v>Driver1@abc.com</v>
      </c>
      <c r="C45" s="13">
        <f>Data!I44</f>
        <v>1</v>
      </c>
      <c r="D45" s="65">
        <f>Data!A44</f>
        <v>44487.624838194446</v>
      </c>
      <c r="E45" s="13" t="str">
        <f>Data!J44</f>
        <v>America/New_York</v>
      </c>
      <c r="F45" s="23">
        <f>(VLOOKUP(E45, TimeZone[], 2, FALSE)-$C$9)/24</f>
        <v>0</v>
      </c>
      <c r="G45" s="65">
        <f t="shared" si="20"/>
        <v>44487.624837962961</v>
      </c>
      <c r="H45" s="38">
        <f t="shared" si="21"/>
        <v>44487</v>
      </c>
      <c r="I45" s="41">
        <f t="shared" si="22"/>
        <v>0.62483796296146465</v>
      </c>
      <c r="J45" s="13">
        <f t="shared" ref="J45:J76" si="41">COUNTIFS(A:A, A45,H:H, H45)</f>
        <v>45</v>
      </c>
      <c r="K45" s="13">
        <f>COUNTIFS($A$13:A45, A45,$H$13:H45, H45)</f>
        <v>32</v>
      </c>
      <c r="L45" s="13" t="str">
        <f>Data!E44</f>
        <v>Vehicle1</v>
      </c>
      <c r="M45" s="39" t="b">
        <f t="shared" si="23"/>
        <v>0</v>
      </c>
      <c r="N45" s="39" t="str">
        <f t="shared" si="24"/>
        <v>Vehicle1</v>
      </c>
      <c r="O45" s="13">
        <f>Data!K44</f>
        <v>0</v>
      </c>
      <c r="P45" s="39" t="str">
        <f>IF(AND(A44=A45,H44=H45),IF(O44="",O45,IF(AND(ISERROR(FIND(O45,P44)),Data!K44&lt;&gt;""),P44&amp;", "&amp;O45,P44)),IF(Data!K44&lt;&gt;"",O45,""))</f>
        <v>,  Trailer 1,  Trailer 2</v>
      </c>
      <c r="Q45" s="39" t="str">
        <f t="shared" si="25"/>
        <v/>
      </c>
      <c r="R45" s="39" t="str">
        <f t="shared" si="26"/>
        <v>Driver1@abc.com4448732</v>
      </c>
      <c r="S45" s="39" t="str">
        <f t="shared" ref="S45:S76" si="42">INDEX(Q:Q, MATCH(CONCATENATE(B45, H45, J45),R:R, 0))</f>
        <v>Vehicle(s): Vehicle1
Trailer(s): ,  Trailer 1,  Trailer 2</v>
      </c>
      <c r="T45" s="42" t="str">
        <f>Data!B44</f>
        <v>ON</v>
      </c>
      <c r="U45" s="66" t="str">
        <f>IF(Data!D44&lt;&gt;"", Data!D44, "")</f>
        <v/>
      </c>
      <c r="V45" s="39" t="str">
        <f t="shared" si="27"/>
        <v>ON</v>
      </c>
      <c r="W45" s="42">
        <f>Data!C44</f>
        <v>4.2826736111111112E-3</v>
      </c>
      <c r="X45" s="65">
        <f t="shared" si="28"/>
        <v>44487.624837962961</v>
      </c>
      <c r="Y45" s="65">
        <f t="shared" si="29"/>
        <v>44487.629120636571</v>
      </c>
      <c r="Z45" s="65" t="b">
        <f t="shared" si="30"/>
        <v>0</v>
      </c>
      <c r="AA45" s="65">
        <f t="shared" si="31"/>
        <v>44487.624837962961</v>
      </c>
      <c r="AB45" s="65">
        <f t="shared" si="32"/>
        <v>44487.629120636571</v>
      </c>
      <c r="AC45" s="42">
        <f t="shared" si="33"/>
        <v>4.2826736098504625E-3</v>
      </c>
      <c r="AD45" s="65" t="str">
        <f t="shared" si="34"/>
        <v/>
      </c>
      <c r="AE45" s="65" t="str">
        <f t="shared" si="35"/>
        <v/>
      </c>
      <c r="AF45" s="42">
        <f t="shared" si="36"/>
        <v>0</v>
      </c>
      <c r="AG45" s="42">
        <f t="shared" si="37"/>
        <v>4.2826736098504625E-3</v>
      </c>
      <c r="AH45" s="65" t="str">
        <f t="shared" si="38"/>
        <v/>
      </c>
      <c r="AI45" s="65" t="str">
        <f t="shared" si="39"/>
        <v/>
      </c>
      <c r="AJ45" s="42">
        <f t="shared" si="40"/>
        <v>0</v>
      </c>
      <c r="AK45" s="71">
        <f>Data!L44</f>
        <v>1</v>
      </c>
    </row>
    <row r="46" spans="1:37" s="13" customFormat="1" ht="16.5">
      <c r="A46" s="13" t="str">
        <f>CONCATENATE(Data!F45, " ", Data!G45)</f>
        <v xml:space="preserve"> First  1  Last  1</v>
      </c>
      <c r="B46" s="13" t="str">
        <f>Data!H45</f>
        <v>Driver1@abc.com</v>
      </c>
      <c r="C46" s="13">
        <f>Data!I45</f>
        <v>1</v>
      </c>
      <c r="D46" s="65">
        <f>Data!A45</f>
        <v>44487.629120868056</v>
      </c>
      <c r="E46" s="13" t="str">
        <f>Data!J45</f>
        <v>America/New_York</v>
      </c>
      <c r="F46" s="23">
        <f>(VLOOKUP(E46, TimeZone[], 2, FALSE)-$C$9)/24</f>
        <v>0</v>
      </c>
      <c r="G46" s="65">
        <f t="shared" si="20"/>
        <v>44487.629120370373</v>
      </c>
      <c r="H46" s="38">
        <f t="shared" si="21"/>
        <v>44487</v>
      </c>
      <c r="I46" s="41">
        <f t="shared" si="22"/>
        <v>0.62912037037312984</v>
      </c>
      <c r="J46" s="13">
        <f t="shared" si="41"/>
        <v>45</v>
      </c>
      <c r="K46" s="13">
        <f>COUNTIFS($A$13:A46, A46,$H$13:H46, H46)</f>
        <v>33</v>
      </c>
      <c r="L46" s="13" t="str">
        <f>Data!E45</f>
        <v>Vehicle1</v>
      </c>
      <c r="M46" s="39" t="b">
        <f t="shared" si="23"/>
        <v>0</v>
      </c>
      <c r="N46" s="39" t="str">
        <f t="shared" si="24"/>
        <v>Vehicle1</v>
      </c>
      <c r="O46" s="13">
        <f>Data!K45</f>
        <v>0</v>
      </c>
      <c r="P46" s="39" t="str">
        <f>IF(AND(A45=A46,H45=H46),IF(O45="",O46,IF(AND(ISERROR(FIND(O46,P45)),Data!K45&lt;&gt;""),P45&amp;", "&amp;O46,P45)),IF(Data!K45&lt;&gt;"",O46,""))</f>
        <v>,  Trailer 1,  Trailer 2</v>
      </c>
      <c r="Q46" s="39" t="str">
        <f t="shared" si="25"/>
        <v/>
      </c>
      <c r="R46" s="39" t="str">
        <f t="shared" si="26"/>
        <v>Driver1@abc.com4448733</v>
      </c>
      <c r="S46" s="39" t="str">
        <f t="shared" si="42"/>
        <v>Vehicle(s): Vehicle1
Trailer(s): ,  Trailer 1,  Trailer 2</v>
      </c>
      <c r="T46" s="42" t="str">
        <f>Data!B45</f>
        <v>D</v>
      </c>
      <c r="U46" s="66">
        <f>IF(Data!D45&lt;&gt;"", Data!D45, "")</f>
        <v>11.572417259216309</v>
      </c>
      <c r="V46" s="39" t="str">
        <f t="shared" si="27"/>
        <v>D</v>
      </c>
      <c r="W46" s="42">
        <f>Data!C45</f>
        <v>1.4166400462962962E-2</v>
      </c>
      <c r="X46" s="65">
        <f t="shared" si="28"/>
        <v>44487.629120370373</v>
      </c>
      <c r="Y46" s="65">
        <f t="shared" si="29"/>
        <v>44487.643286770835</v>
      </c>
      <c r="Z46" s="65" t="b">
        <f t="shared" si="30"/>
        <v>0</v>
      </c>
      <c r="AA46" s="65" t="str">
        <f t="shared" si="31"/>
        <v/>
      </c>
      <c r="AB46" s="65" t="str">
        <f t="shared" si="32"/>
        <v/>
      </c>
      <c r="AC46" s="42">
        <f t="shared" si="33"/>
        <v>0</v>
      </c>
      <c r="AD46" s="65">
        <f t="shared" si="34"/>
        <v>44487.629120370373</v>
      </c>
      <c r="AE46" s="65">
        <f t="shared" si="35"/>
        <v>44487.643286770835</v>
      </c>
      <c r="AF46" s="42">
        <f t="shared" si="36"/>
        <v>1.4166400462272577E-2</v>
      </c>
      <c r="AG46" s="42">
        <f t="shared" si="37"/>
        <v>1.4166400462272577E-2</v>
      </c>
      <c r="AH46" s="65" t="str">
        <f t="shared" si="38"/>
        <v/>
      </c>
      <c r="AI46" s="65" t="str">
        <f t="shared" si="39"/>
        <v/>
      </c>
      <c r="AJ46" s="42">
        <f t="shared" si="40"/>
        <v>0</v>
      </c>
      <c r="AK46" s="71">
        <f>Data!L45</f>
        <v>1</v>
      </c>
    </row>
    <row r="47" spans="1:37" s="13" customFormat="1" ht="16.5">
      <c r="A47" s="13" t="str">
        <f>CONCATENATE(Data!F46, " ", Data!G46)</f>
        <v xml:space="preserve"> First  1  Last  1</v>
      </c>
      <c r="B47" s="13" t="str">
        <f>Data!H46</f>
        <v>Driver1@abc.com</v>
      </c>
      <c r="C47" s="13">
        <f>Data!I46</f>
        <v>1</v>
      </c>
      <c r="D47" s="65">
        <f>Data!A46</f>
        <v>44487.643287268518</v>
      </c>
      <c r="E47" s="13" t="str">
        <f>Data!J46</f>
        <v>America/New_York</v>
      </c>
      <c r="F47" s="23">
        <f>(VLOOKUP(E47, TimeZone[], 2, FALSE)-$C$9)/24</f>
        <v>0</v>
      </c>
      <c r="G47" s="65">
        <f t="shared" si="20"/>
        <v>44487.643287037034</v>
      </c>
      <c r="H47" s="38">
        <f t="shared" si="21"/>
        <v>44487</v>
      </c>
      <c r="I47" s="41">
        <f t="shared" si="22"/>
        <v>0.64328703703358769</v>
      </c>
      <c r="J47" s="13">
        <f t="shared" si="41"/>
        <v>45</v>
      </c>
      <c r="K47" s="13">
        <f>COUNTIFS($A$13:A47, A47,$H$13:H47, H47)</f>
        <v>34</v>
      </c>
      <c r="L47" s="13" t="str">
        <f>Data!E46</f>
        <v>Vehicle1</v>
      </c>
      <c r="M47" s="39" t="b">
        <f t="shared" si="23"/>
        <v>0</v>
      </c>
      <c r="N47" s="39" t="str">
        <f t="shared" si="24"/>
        <v>Vehicle1</v>
      </c>
      <c r="O47" s="13">
        <f>Data!K46</f>
        <v>0</v>
      </c>
      <c r="P47" s="39" t="str">
        <f>IF(AND(A46=A47,H46=H47),IF(O46="",O47,IF(AND(ISERROR(FIND(O47,P46)),Data!K46&lt;&gt;""),P46&amp;", "&amp;O47,P46)),IF(Data!K46&lt;&gt;"",O47,""))</f>
        <v>,  Trailer 1,  Trailer 2</v>
      </c>
      <c r="Q47" s="39" t="str">
        <f t="shared" si="25"/>
        <v/>
      </c>
      <c r="R47" s="39" t="str">
        <f t="shared" si="26"/>
        <v>Driver1@abc.com4448734</v>
      </c>
      <c r="S47" s="39" t="str">
        <f t="shared" si="42"/>
        <v>Vehicle(s): Vehicle1
Trailer(s): ,  Trailer 1,  Trailer 2</v>
      </c>
      <c r="T47" s="42" t="str">
        <f>Data!B46</f>
        <v>ON</v>
      </c>
      <c r="U47" s="66" t="str">
        <f>IF(Data!D46&lt;&gt;"", Data!D46, "")</f>
        <v/>
      </c>
      <c r="V47" s="39" t="str">
        <f t="shared" si="27"/>
        <v>ON</v>
      </c>
      <c r="W47" s="42">
        <f>Data!C46</f>
        <v>1.1355289351851853E-2</v>
      </c>
      <c r="X47" s="65">
        <f t="shared" si="28"/>
        <v>44487.643287037034</v>
      </c>
      <c r="Y47" s="65">
        <f t="shared" si="29"/>
        <v>44487.654642326386</v>
      </c>
      <c r="Z47" s="65" t="b">
        <f t="shared" si="30"/>
        <v>0</v>
      </c>
      <c r="AA47" s="65">
        <f t="shared" si="31"/>
        <v>44487.643287037034</v>
      </c>
      <c r="AB47" s="65">
        <f t="shared" si="32"/>
        <v>44487.654642326386</v>
      </c>
      <c r="AC47" s="42">
        <f t="shared" si="33"/>
        <v>1.1355289352650288E-2</v>
      </c>
      <c r="AD47" s="65" t="str">
        <f t="shared" si="34"/>
        <v/>
      </c>
      <c r="AE47" s="65" t="str">
        <f t="shared" si="35"/>
        <v/>
      </c>
      <c r="AF47" s="42">
        <f t="shared" si="36"/>
        <v>0</v>
      </c>
      <c r="AG47" s="42">
        <f t="shared" si="37"/>
        <v>1.1355289352650288E-2</v>
      </c>
      <c r="AH47" s="65" t="str">
        <f t="shared" si="38"/>
        <v/>
      </c>
      <c r="AI47" s="65" t="str">
        <f t="shared" si="39"/>
        <v/>
      </c>
      <c r="AJ47" s="42">
        <f t="shared" si="40"/>
        <v>0</v>
      </c>
      <c r="AK47" s="71">
        <f>Data!L46</f>
        <v>1</v>
      </c>
    </row>
    <row r="48" spans="1:37" s="13" customFormat="1" ht="16.5">
      <c r="A48" s="13" t="str">
        <f>CONCATENATE(Data!F47, " ", Data!G47)</f>
        <v xml:space="preserve"> First  1  Last  1</v>
      </c>
      <c r="B48" s="13" t="str">
        <f>Data!H47</f>
        <v>Driver1@abc.com</v>
      </c>
      <c r="C48" s="13">
        <f>Data!I47</f>
        <v>1</v>
      </c>
      <c r="D48" s="65">
        <f>Data!A47</f>
        <v>44487.654642557871</v>
      </c>
      <c r="E48" s="13" t="str">
        <f>Data!J47</f>
        <v>America/New_York</v>
      </c>
      <c r="F48" s="23">
        <f>(VLOOKUP(E48, TimeZone[], 2, FALSE)-$C$9)/24</f>
        <v>0</v>
      </c>
      <c r="G48" s="65">
        <f t="shared" si="20"/>
        <v>44487.654641203706</v>
      </c>
      <c r="H48" s="38">
        <f t="shared" si="21"/>
        <v>44487</v>
      </c>
      <c r="I48" s="41">
        <f t="shared" si="22"/>
        <v>0.65464120370597811</v>
      </c>
      <c r="J48" s="13">
        <f t="shared" si="41"/>
        <v>45</v>
      </c>
      <c r="K48" s="13">
        <f>COUNTIFS($A$13:A48, A48,$H$13:H48, H48)</f>
        <v>35</v>
      </c>
      <c r="L48" s="13" t="str">
        <f>Data!E47</f>
        <v>Vehicle1</v>
      </c>
      <c r="M48" s="39" t="b">
        <f t="shared" si="23"/>
        <v>0</v>
      </c>
      <c r="N48" s="39" t="str">
        <f t="shared" si="24"/>
        <v>Vehicle1</v>
      </c>
      <c r="O48" s="13">
        <f>Data!K47</f>
        <v>0</v>
      </c>
      <c r="P48" s="39" t="str">
        <f>IF(AND(A47=A48,H47=H48),IF(O47="",O48,IF(AND(ISERROR(FIND(O48,P47)),Data!K47&lt;&gt;""),P47&amp;", "&amp;O48,P47)),IF(Data!K47&lt;&gt;"",O48,""))</f>
        <v>,  Trailer 1,  Trailer 2</v>
      </c>
      <c r="Q48" s="39" t="str">
        <f t="shared" si="25"/>
        <v/>
      </c>
      <c r="R48" s="39" t="str">
        <f t="shared" si="26"/>
        <v>Driver1@abc.com4448735</v>
      </c>
      <c r="S48" s="39" t="str">
        <f t="shared" si="42"/>
        <v>Vehicle(s): Vehicle1
Trailer(s): ,  Trailer 1,  Trailer 2</v>
      </c>
      <c r="T48" s="42" t="str">
        <f>Data!B47</f>
        <v>D</v>
      </c>
      <c r="U48" s="66">
        <f>IF(Data!D47&lt;&gt;"", Data!D47, "")</f>
        <v>17.537580490112305</v>
      </c>
      <c r="V48" s="39" t="str">
        <f t="shared" si="27"/>
        <v>D</v>
      </c>
      <c r="W48" s="42">
        <f>Data!C47</f>
        <v>1.7545833333333333E-2</v>
      </c>
      <c r="X48" s="65">
        <f t="shared" si="28"/>
        <v>44487.654641203706</v>
      </c>
      <c r="Y48" s="65">
        <f t="shared" si="29"/>
        <v>44487.672187037038</v>
      </c>
      <c r="Z48" s="65" t="b">
        <f t="shared" si="30"/>
        <v>0</v>
      </c>
      <c r="AA48" s="65" t="str">
        <f t="shared" si="31"/>
        <v/>
      </c>
      <c r="AB48" s="65" t="str">
        <f t="shared" si="32"/>
        <v/>
      </c>
      <c r="AC48" s="42">
        <f t="shared" si="33"/>
        <v>0</v>
      </c>
      <c r="AD48" s="65">
        <f t="shared" si="34"/>
        <v>44487.654641203706</v>
      </c>
      <c r="AE48" s="65">
        <f t="shared" si="35"/>
        <v>44487.672187037038</v>
      </c>
      <c r="AF48" s="42">
        <f t="shared" si="36"/>
        <v>1.7545833332405891E-2</v>
      </c>
      <c r="AG48" s="42">
        <f t="shared" si="37"/>
        <v>1.7545833332405891E-2</v>
      </c>
      <c r="AH48" s="65" t="str">
        <f t="shared" si="38"/>
        <v/>
      </c>
      <c r="AI48" s="65" t="str">
        <f t="shared" si="39"/>
        <v/>
      </c>
      <c r="AJ48" s="42">
        <f t="shared" si="40"/>
        <v>0</v>
      </c>
      <c r="AK48" s="71">
        <f>Data!L47</f>
        <v>1</v>
      </c>
    </row>
    <row r="49" spans="1:37" s="13" customFormat="1" ht="16.5">
      <c r="A49" s="13" t="str">
        <f>CONCATENATE(Data!F48, " ", Data!G48)</f>
        <v xml:space="preserve"> First  1  Last  1</v>
      </c>
      <c r="B49" s="13" t="str">
        <f>Data!H48</f>
        <v>Driver1@abc.com</v>
      </c>
      <c r="C49" s="13">
        <f>Data!I48</f>
        <v>1</v>
      </c>
      <c r="D49" s="65">
        <f>Data!A48</f>
        <v>44487.672188391203</v>
      </c>
      <c r="E49" s="13" t="str">
        <f>Data!J48</f>
        <v>America/New_York</v>
      </c>
      <c r="F49" s="23">
        <f>(VLOOKUP(E49, TimeZone[], 2, FALSE)-$C$9)/24</f>
        <v>0</v>
      </c>
      <c r="G49" s="65">
        <f t="shared" si="20"/>
        <v>44487.6721875</v>
      </c>
      <c r="H49" s="38">
        <f t="shared" si="21"/>
        <v>44487</v>
      </c>
      <c r="I49" s="41">
        <f t="shared" si="22"/>
        <v>0.67218750000029104</v>
      </c>
      <c r="J49" s="13">
        <f t="shared" si="41"/>
        <v>45</v>
      </c>
      <c r="K49" s="13">
        <f>COUNTIFS($A$13:A49, A49,$H$13:H49, H49)</f>
        <v>36</v>
      </c>
      <c r="L49" s="13" t="str">
        <f>Data!E48</f>
        <v>Vehicle1</v>
      </c>
      <c r="M49" s="39" t="b">
        <f t="shared" si="23"/>
        <v>0</v>
      </c>
      <c r="N49" s="39" t="str">
        <f t="shared" si="24"/>
        <v>Vehicle1</v>
      </c>
      <c r="O49" s="13">
        <f>Data!K48</f>
        <v>0</v>
      </c>
      <c r="P49" s="39" t="str">
        <f>IF(AND(A48=A49,H48=H49),IF(O48="",O49,IF(AND(ISERROR(FIND(O49,P48)),Data!K48&lt;&gt;""),P48&amp;", "&amp;O49,P48)),IF(Data!K48&lt;&gt;"",O49,""))</f>
        <v>,  Trailer 1,  Trailer 2</v>
      </c>
      <c r="Q49" s="39" t="str">
        <f t="shared" si="25"/>
        <v/>
      </c>
      <c r="R49" s="39" t="str">
        <f t="shared" si="26"/>
        <v>Driver1@abc.com4448736</v>
      </c>
      <c r="S49" s="39" t="str">
        <f t="shared" si="42"/>
        <v>Vehicle(s): Vehicle1
Trailer(s): ,  Trailer 1,  Trailer 2</v>
      </c>
      <c r="T49" s="42" t="str">
        <f>Data!B48</f>
        <v>ON</v>
      </c>
      <c r="U49" s="66" t="str">
        <f>IF(Data!D48&lt;&gt;"", Data!D48, "")</f>
        <v/>
      </c>
      <c r="V49" s="39" t="str">
        <f t="shared" si="27"/>
        <v>ON</v>
      </c>
      <c r="W49" s="42">
        <f>Data!C48</f>
        <v>1.5913726851851853E-2</v>
      </c>
      <c r="X49" s="65">
        <f t="shared" si="28"/>
        <v>44487.6721875</v>
      </c>
      <c r="Y49" s="65">
        <f t="shared" si="29"/>
        <v>44487.68810122685</v>
      </c>
      <c r="Z49" s="65" t="b">
        <f t="shared" si="30"/>
        <v>0</v>
      </c>
      <c r="AA49" s="65">
        <f t="shared" si="31"/>
        <v>44487.6721875</v>
      </c>
      <c r="AB49" s="65">
        <f t="shared" si="32"/>
        <v>44487.68810122685</v>
      </c>
      <c r="AC49" s="42">
        <f t="shared" si="33"/>
        <v>1.5913726849248633E-2</v>
      </c>
      <c r="AD49" s="65" t="str">
        <f t="shared" si="34"/>
        <v/>
      </c>
      <c r="AE49" s="65" t="str">
        <f t="shared" si="35"/>
        <v/>
      </c>
      <c r="AF49" s="42">
        <f t="shared" si="36"/>
        <v>0</v>
      </c>
      <c r="AG49" s="42">
        <f t="shared" si="37"/>
        <v>1.5913726849248633E-2</v>
      </c>
      <c r="AH49" s="65" t="str">
        <f t="shared" si="38"/>
        <v/>
      </c>
      <c r="AI49" s="65" t="str">
        <f t="shared" si="39"/>
        <v/>
      </c>
      <c r="AJ49" s="42">
        <f t="shared" si="40"/>
        <v>0</v>
      </c>
      <c r="AK49" s="71">
        <f>Data!L48</f>
        <v>1</v>
      </c>
    </row>
    <row r="50" spans="1:37" s="13" customFormat="1" ht="16.5">
      <c r="A50" s="13" t="str">
        <f>CONCATENATE(Data!F49, " ", Data!G49)</f>
        <v xml:space="preserve"> First  1  Last  1</v>
      </c>
      <c r="B50" s="13" t="str">
        <f>Data!H49</f>
        <v>Driver1@abc.com</v>
      </c>
      <c r="C50" s="13">
        <f>Data!I49</f>
        <v>1</v>
      </c>
      <c r="D50" s="65">
        <f>Data!A49</f>
        <v>44487.688102118052</v>
      </c>
      <c r="E50" s="13" t="str">
        <f>Data!J49</f>
        <v>America/New_York</v>
      </c>
      <c r="F50" s="23">
        <f>(VLOOKUP(E50, TimeZone[], 2, FALSE)-$C$9)/24</f>
        <v>0</v>
      </c>
      <c r="G50" s="65">
        <f t="shared" si="20"/>
        <v>44487.688101851854</v>
      </c>
      <c r="H50" s="38">
        <f t="shared" si="21"/>
        <v>44487</v>
      </c>
      <c r="I50" s="41">
        <f t="shared" si="22"/>
        <v>0.68810185185429873</v>
      </c>
      <c r="J50" s="13">
        <f t="shared" si="41"/>
        <v>45</v>
      </c>
      <c r="K50" s="13">
        <f>COUNTIFS($A$13:A50, A50,$H$13:H50, H50)</f>
        <v>37</v>
      </c>
      <c r="L50" s="13" t="str">
        <f>Data!E49</f>
        <v>Vehicle1</v>
      </c>
      <c r="M50" s="39" t="b">
        <f t="shared" si="23"/>
        <v>0</v>
      </c>
      <c r="N50" s="39" t="str">
        <f t="shared" si="24"/>
        <v>Vehicle1</v>
      </c>
      <c r="O50" s="13">
        <f>Data!K49</f>
        <v>0</v>
      </c>
      <c r="P50" s="39" t="str">
        <f>IF(AND(A49=A50,H49=H50),IF(O49="",O50,IF(AND(ISERROR(FIND(O50,P49)),Data!K49&lt;&gt;""),P49&amp;", "&amp;O50,P49)),IF(Data!K49&lt;&gt;"",O50,""))</f>
        <v>,  Trailer 1,  Trailer 2</v>
      </c>
      <c r="Q50" s="39" t="str">
        <f t="shared" si="25"/>
        <v/>
      </c>
      <c r="R50" s="39" t="str">
        <f t="shared" si="26"/>
        <v>Driver1@abc.com4448737</v>
      </c>
      <c r="S50" s="39" t="str">
        <f t="shared" si="42"/>
        <v>Vehicle(s): Vehicle1
Trailer(s): ,  Trailer 1,  Trailer 2</v>
      </c>
      <c r="T50" s="42" t="str">
        <f>Data!B49</f>
        <v>D</v>
      </c>
      <c r="U50" s="66">
        <f>IF(Data!D49&lt;&gt;"", Data!D49, "")</f>
        <v>55.316951751708984</v>
      </c>
      <c r="V50" s="39" t="str">
        <f t="shared" si="27"/>
        <v>D</v>
      </c>
      <c r="W50" s="42">
        <f>Data!C49</f>
        <v>4.50696412037037E-2</v>
      </c>
      <c r="X50" s="65">
        <f t="shared" si="28"/>
        <v>44487.688101851854</v>
      </c>
      <c r="Y50" s="65">
        <f t="shared" si="29"/>
        <v>44487.733171493055</v>
      </c>
      <c r="Z50" s="65" t="b">
        <f t="shared" si="30"/>
        <v>0</v>
      </c>
      <c r="AA50" s="65" t="str">
        <f t="shared" si="31"/>
        <v/>
      </c>
      <c r="AB50" s="65" t="str">
        <f t="shared" si="32"/>
        <v/>
      </c>
      <c r="AC50" s="42">
        <f t="shared" si="33"/>
        <v>0</v>
      </c>
      <c r="AD50" s="65">
        <f t="shared" si="34"/>
        <v>44487.688101851854</v>
      </c>
      <c r="AE50" s="65">
        <f t="shared" si="35"/>
        <v>44487.733171493055</v>
      </c>
      <c r="AF50" s="42">
        <f t="shared" si="36"/>
        <v>4.5069641200825572E-2</v>
      </c>
      <c r="AG50" s="42">
        <f t="shared" si="37"/>
        <v>4.5069641200825572E-2</v>
      </c>
      <c r="AH50" s="65" t="str">
        <f t="shared" si="38"/>
        <v/>
      </c>
      <c r="AI50" s="65" t="str">
        <f t="shared" si="39"/>
        <v/>
      </c>
      <c r="AJ50" s="42">
        <f t="shared" si="40"/>
        <v>0</v>
      </c>
      <c r="AK50" s="71">
        <f>Data!L49</f>
        <v>1</v>
      </c>
    </row>
    <row r="51" spans="1:37" s="13" customFormat="1" ht="16.5">
      <c r="A51" s="13" t="str">
        <f>CONCATENATE(Data!F50, " ", Data!G50)</f>
        <v xml:space="preserve"> First  1  Last  1</v>
      </c>
      <c r="B51" s="13" t="str">
        <f>Data!H50</f>
        <v>Driver1@abc.com</v>
      </c>
      <c r="C51" s="13">
        <f>Data!I50</f>
        <v>1</v>
      </c>
      <c r="D51" s="65">
        <f>Data!A50</f>
        <v>44487.729768784724</v>
      </c>
      <c r="E51" s="13" t="str">
        <f>Data!J50</f>
        <v>America/New_York</v>
      </c>
      <c r="F51" s="23">
        <f>(VLOOKUP(E51, TimeZone[], 2, FALSE)-$C$9)/24</f>
        <v>0</v>
      </c>
      <c r="G51" s="65">
        <f t="shared" si="20"/>
        <v>44487.729768518519</v>
      </c>
      <c r="H51" s="38">
        <f t="shared" si="21"/>
        <v>44487</v>
      </c>
      <c r="I51" s="41">
        <f t="shared" si="22"/>
        <v>0.72976851851854008</v>
      </c>
      <c r="J51" s="13">
        <f t="shared" si="41"/>
        <v>45</v>
      </c>
      <c r="K51" s="13">
        <f>COUNTIFS($A$13:A51, A51,$H$13:H51, H51)</f>
        <v>38</v>
      </c>
      <c r="L51" s="13" t="str">
        <f>Data!E50</f>
        <v>Vehicle1</v>
      </c>
      <c r="M51" s="39" t="b">
        <f t="shared" si="23"/>
        <v>0</v>
      </c>
      <c r="N51" s="39" t="str">
        <f t="shared" si="24"/>
        <v>Vehicle1</v>
      </c>
      <c r="O51" s="13">
        <f>Data!K50</f>
        <v>0</v>
      </c>
      <c r="P51" s="39" t="str">
        <f>IF(AND(A50=A51,H50=H51),IF(O50="",O51,IF(AND(ISERROR(FIND(O51,P50)),Data!K50&lt;&gt;""),P50&amp;", "&amp;O51,P50)),IF(Data!K50&lt;&gt;"",O51,""))</f>
        <v>,  Trailer 1,  Trailer 2</v>
      </c>
      <c r="Q51" s="39" t="str">
        <f t="shared" si="25"/>
        <v/>
      </c>
      <c r="R51" s="39" t="str">
        <f t="shared" si="26"/>
        <v>Driver1@abc.com4448738</v>
      </c>
      <c r="S51" s="39" t="str">
        <f t="shared" si="42"/>
        <v>Vehicle(s): Vehicle1
Trailer(s): ,  Trailer 1,  Trailer 2</v>
      </c>
      <c r="T51" s="42" t="str">
        <f>Data!B50</f>
        <v>INT_D</v>
      </c>
      <c r="U51" s="66">
        <f>IF(Data!D50&lt;&gt;"", Data!D50, "")</f>
        <v>0.2783743143081665</v>
      </c>
      <c r="V51" s="39" t="str">
        <f t="shared" si="27"/>
        <v>D</v>
      </c>
      <c r="W51" s="42">
        <f>Data!C50</f>
        <v>0</v>
      </c>
      <c r="X51" s="65" t="str">
        <f t="shared" si="28"/>
        <v/>
      </c>
      <c r="Y51" s="65" t="str">
        <f t="shared" si="29"/>
        <v/>
      </c>
      <c r="Z51" s="65" t="b">
        <f t="shared" si="30"/>
        <v>0</v>
      </c>
      <c r="AA51" s="65" t="str">
        <f t="shared" si="31"/>
        <v/>
      </c>
      <c r="AB51" s="65" t="str">
        <f t="shared" si="32"/>
        <v/>
      </c>
      <c r="AC51" s="42">
        <f t="shared" si="33"/>
        <v>0</v>
      </c>
      <c r="AD51" s="65">
        <f t="shared" si="34"/>
        <v>44487.729768518519</v>
      </c>
      <c r="AE51" s="65">
        <f t="shared" si="35"/>
        <v>44487.729768518519</v>
      </c>
      <c r="AF51" s="42">
        <f t="shared" si="36"/>
        <v>0</v>
      </c>
      <c r="AG51" s="42">
        <f t="shared" si="37"/>
        <v>0</v>
      </c>
      <c r="AH51" s="65" t="str">
        <f t="shared" si="38"/>
        <v/>
      </c>
      <c r="AI51" s="65" t="str">
        <f t="shared" si="39"/>
        <v/>
      </c>
      <c r="AJ51" s="42">
        <f t="shared" si="40"/>
        <v>0</v>
      </c>
      <c r="AK51" s="71">
        <f>Data!L50</f>
        <v>1</v>
      </c>
    </row>
    <row r="52" spans="1:37" s="13" customFormat="1" ht="16.5">
      <c r="A52" s="13" t="str">
        <f>CONCATENATE(Data!F51, " ", Data!G51)</f>
        <v xml:space="preserve"> First  1  Last  1</v>
      </c>
      <c r="B52" s="13" t="str">
        <f>Data!H51</f>
        <v>Driver1@abc.com</v>
      </c>
      <c r="C52" s="13">
        <f>Data!I51</f>
        <v>1</v>
      </c>
      <c r="D52" s="65">
        <f>Data!A51</f>
        <v>44487.733171759261</v>
      </c>
      <c r="E52" s="13" t="str">
        <f>Data!J51</f>
        <v>America/New_York</v>
      </c>
      <c r="F52" s="23">
        <f>(VLOOKUP(E52, TimeZone[], 2, FALSE)-$C$9)/24</f>
        <v>0</v>
      </c>
      <c r="G52" s="65">
        <f t="shared" si="20"/>
        <v>44487.733171296299</v>
      </c>
      <c r="H52" s="38">
        <f t="shared" si="21"/>
        <v>44487</v>
      </c>
      <c r="I52" s="41">
        <f t="shared" si="22"/>
        <v>0.7331712962986785</v>
      </c>
      <c r="J52" s="13">
        <f t="shared" si="41"/>
        <v>45</v>
      </c>
      <c r="K52" s="13">
        <f>COUNTIFS($A$13:A52, A52,$H$13:H52, H52)</f>
        <v>39</v>
      </c>
      <c r="L52" s="13" t="str">
        <f>Data!E51</f>
        <v>Vehicle1</v>
      </c>
      <c r="M52" s="39" t="b">
        <f t="shared" si="23"/>
        <v>0</v>
      </c>
      <c r="N52" s="39" t="str">
        <f t="shared" si="24"/>
        <v>Vehicle1</v>
      </c>
      <c r="O52" s="13">
        <f>Data!K51</f>
        <v>0</v>
      </c>
      <c r="P52" s="39" t="str">
        <f>IF(AND(A51=A52,H51=H52),IF(O51="",O52,IF(AND(ISERROR(FIND(O52,P51)),Data!K51&lt;&gt;""),P51&amp;", "&amp;O52,P51)),IF(Data!K51&lt;&gt;"",O52,""))</f>
        <v>,  Trailer 1,  Trailer 2</v>
      </c>
      <c r="Q52" s="39" t="str">
        <f t="shared" si="25"/>
        <v/>
      </c>
      <c r="R52" s="39" t="str">
        <f t="shared" si="26"/>
        <v>Driver1@abc.com4448739</v>
      </c>
      <c r="S52" s="39" t="str">
        <f t="shared" si="42"/>
        <v>Vehicle(s): Vehicle1
Trailer(s): ,  Trailer 1,  Trailer 2</v>
      </c>
      <c r="T52" s="42" t="str">
        <f>Data!B51</f>
        <v>ON</v>
      </c>
      <c r="U52" s="66" t="str">
        <f>IF(Data!D51&lt;&gt;"", Data!D51, "")</f>
        <v/>
      </c>
      <c r="V52" s="39" t="str">
        <f t="shared" si="27"/>
        <v>ON</v>
      </c>
      <c r="W52" s="42">
        <f>Data!C51</f>
        <v>1.0451469907407408E-2</v>
      </c>
      <c r="X52" s="65">
        <f t="shared" si="28"/>
        <v>44487.733171296299</v>
      </c>
      <c r="Y52" s="65">
        <f t="shared" si="29"/>
        <v>44487.743622766204</v>
      </c>
      <c r="Z52" s="65" t="b">
        <f t="shared" si="30"/>
        <v>0</v>
      </c>
      <c r="AA52" s="65">
        <f t="shared" si="31"/>
        <v>44487.733171296299</v>
      </c>
      <c r="AB52" s="65">
        <f t="shared" si="32"/>
        <v>44487.743622766204</v>
      </c>
      <c r="AC52" s="42">
        <f t="shared" si="33"/>
        <v>1.0451469905092381E-2</v>
      </c>
      <c r="AD52" s="65" t="str">
        <f t="shared" si="34"/>
        <v/>
      </c>
      <c r="AE52" s="65" t="str">
        <f t="shared" si="35"/>
        <v/>
      </c>
      <c r="AF52" s="42">
        <f t="shared" si="36"/>
        <v>0</v>
      </c>
      <c r="AG52" s="42">
        <f t="shared" si="37"/>
        <v>1.0451469905092381E-2</v>
      </c>
      <c r="AH52" s="65" t="str">
        <f t="shared" si="38"/>
        <v/>
      </c>
      <c r="AI52" s="65" t="str">
        <f t="shared" si="39"/>
        <v/>
      </c>
      <c r="AJ52" s="42">
        <f t="shared" si="40"/>
        <v>0</v>
      </c>
      <c r="AK52" s="71">
        <f>Data!L51</f>
        <v>1</v>
      </c>
    </row>
    <row r="53" spans="1:37" s="13" customFormat="1" ht="16.5">
      <c r="A53" s="13" t="str">
        <f>CONCATENATE(Data!F52, " ", Data!G52)</f>
        <v xml:space="preserve"> First  1  Last  1</v>
      </c>
      <c r="B53" s="13" t="str">
        <f>Data!H52</f>
        <v>Driver1@abc.com</v>
      </c>
      <c r="C53" s="13">
        <f>Data!I52</f>
        <v>1</v>
      </c>
      <c r="D53" s="65">
        <f>Data!A52</f>
        <v>44487.743623229166</v>
      </c>
      <c r="E53" s="13" t="str">
        <f>Data!J52</f>
        <v>America/New_York</v>
      </c>
      <c r="F53" s="23">
        <f>(VLOOKUP(E53, TimeZone[], 2, FALSE)-$C$9)/24</f>
        <v>0</v>
      </c>
      <c r="G53" s="65">
        <f t="shared" si="20"/>
        <v>44487.743622685186</v>
      </c>
      <c r="H53" s="38">
        <f t="shared" si="21"/>
        <v>44487</v>
      </c>
      <c r="I53" s="41">
        <f t="shared" si="22"/>
        <v>0.74362268518598285</v>
      </c>
      <c r="J53" s="13">
        <f t="shared" si="41"/>
        <v>45</v>
      </c>
      <c r="K53" s="13">
        <f>COUNTIFS($A$13:A53, A53,$H$13:H53, H53)</f>
        <v>40</v>
      </c>
      <c r="L53" s="13" t="str">
        <f>Data!E52</f>
        <v>Vehicle1</v>
      </c>
      <c r="M53" s="39" t="b">
        <f t="shared" si="23"/>
        <v>0</v>
      </c>
      <c r="N53" s="39" t="str">
        <f t="shared" si="24"/>
        <v>Vehicle1</v>
      </c>
      <c r="O53" s="13">
        <f>Data!K52</f>
        <v>0</v>
      </c>
      <c r="P53" s="39" t="str">
        <f>IF(AND(A52=A53,H52=H53),IF(O52="",O53,IF(AND(ISERROR(FIND(O53,P52)),Data!K52&lt;&gt;""),P52&amp;", "&amp;O53,P52)),IF(Data!K52&lt;&gt;"",O53,""))</f>
        <v>,  Trailer 1,  Trailer 2</v>
      </c>
      <c r="Q53" s="39" t="str">
        <f t="shared" si="25"/>
        <v/>
      </c>
      <c r="R53" s="39" t="str">
        <f t="shared" si="26"/>
        <v>Driver1@abc.com4448740</v>
      </c>
      <c r="S53" s="39" t="str">
        <f t="shared" si="42"/>
        <v>Vehicle(s): Vehicle1
Trailer(s): ,  Trailer 1,  Trailer 2</v>
      </c>
      <c r="T53" s="42" t="str">
        <f>Data!B52</f>
        <v>D</v>
      </c>
      <c r="U53" s="66">
        <f>IF(Data!D52&lt;&gt;"", Data!D52, "")</f>
        <v>44.659191131591797</v>
      </c>
      <c r="V53" s="39" t="str">
        <f t="shared" si="27"/>
        <v>D</v>
      </c>
      <c r="W53" s="42">
        <f>Data!C52</f>
        <v>3.7118055555555557E-2</v>
      </c>
      <c r="X53" s="65">
        <f t="shared" si="28"/>
        <v>44487.743622685186</v>
      </c>
      <c r="Y53" s="65">
        <f t="shared" si="29"/>
        <v>44487.780740740738</v>
      </c>
      <c r="Z53" s="65" t="b">
        <f t="shared" si="30"/>
        <v>0</v>
      </c>
      <c r="AA53" s="65" t="str">
        <f t="shared" si="31"/>
        <v/>
      </c>
      <c r="AB53" s="65" t="str">
        <f t="shared" si="32"/>
        <v/>
      </c>
      <c r="AC53" s="42">
        <f t="shared" si="33"/>
        <v>0</v>
      </c>
      <c r="AD53" s="65">
        <f t="shared" si="34"/>
        <v>44487.743622685186</v>
      </c>
      <c r="AE53" s="65">
        <f t="shared" si="35"/>
        <v>44487.780740740738</v>
      </c>
      <c r="AF53" s="42">
        <f t="shared" si="36"/>
        <v>3.7118055552127771E-2</v>
      </c>
      <c r="AG53" s="42">
        <f t="shared" si="37"/>
        <v>3.7118055552127771E-2</v>
      </c>
      <c r="AH53" s="65" t="str">
        <f t="shared" si="38"/>
        <v/>
      </c>
      <c r="AI53" s="65" t="str">
        <f t="shared" si="39"/>
        <v/>
      </c>
      <c r="AJ53" s="42">
        <f t="shared" si="40"/>
        <v>0</v>
      </c>
      <c r="AK53" s="71">
        <f>Data!L52</f>
        <v>1</v>
      </c>
    </row>
    <row r="54" spans="1:37" s="13" customFormat="1" ht="16.5">
      <c r="A54" s="13" t="str">
        <f>CONCATENATE(Data!F53, " ", Data!G53)</f>
        <v xml:space="preserve"> First  1  Last  1</v>
      </c>
      <c r="B54" s="13" t="str">
        <f>Data!H53</f>
        <v>Driver1@abc.com</v>
      </c>
      <c r="C54" s="13">
        <f>Data!I53</f>
        <v>1</v>
      </c>
      <c r="D54" s="65">
        <f>Data!A53</f>
        <v>44487.780741284725</v>
      </c>
      <c r="E54" s="13" t="str">
        <f>Data!J53</f>
        <v>America/New_York</v>
      </c>
      <c r="F54" s="23">
        <f>(VLOOKUP(E54, TimeZone[], 2, FALSE)-$C$9)/24</f>
        <v>0</v>
      </c>
      <c r="G54" s="65">
        <f t="shared" si="20"/>
        <v>44487.780740740738</v>
      </c>
      <c r="H54" s="38">
        <f t="shared" si="21"/>
        <v>44487</v>
      </c>
      <c r="I54" s="41">
        <f t="shared" si="22"/>
        <v>0.78074074073811062</v>
      </c>
      <c r="J54" s="13">
        <f t="shared" si="41"/>
        <v>45</v>
      </c>
      <c r="K54" s="13">
        <f>COUNTIFS($A$13:A54, A54,$H$13:H54, H54)</f>
        <v>41</v>
      </c>
      <c r="L54" s="13" t="str">
        <f>Data!E53</f>
        <v>Vehicle1</v>
      </c>
      <c r="M54" s="39" t="b">
        <f t="shared" si="23"/>
        <v>0</v>
      </c>
      <c r="N54" s="39" t="str">
        <f t="shared" si="24"/>
        <v>Vehicle1</v>
      </c>
      <c r="O54" s="13">
        <f>Data!K53</f>
        <v>0</v>
      </c>
      <c r="P54" s="39" t="str">
        <f>IF(AND(A53=A54,H53=H54),IF(O53="",O54,IF(AND(ISERROR(FIND(O54,P53)),Data!K53&lt;&gt;""),P53&amp;", "&amp;O54,P53)),IF(Data!K53&lt;&gt;"",O54,""))</f>
        <v>,  Trailer 1,  Trailer 2</v>
      </c>
      <c r="Q54" s="39" t="str">
        <f t="shared" si="25"/>
        <v/>
      </c>
      <c r="R54" s="39" t="str">
        <f t="shared" si="26"/>
        <v>Driver1@abc.com4448741</v>
      </c>
      <c r="S54" s="39" t="str">
        <f t="shared" si="42"/>
        <v>Vehicle(s): Vehicle1
Trailer(s): ,  Trailer 1,  Trailer 2</v>
      </c>
      <c r="T54" s="42" t="str">
        <f>Data!B53</f>
        <v>ON</v>
      </c>
      <c r="U54" s="66" t="str">
        <f>IF(Data!D53&lt;&gt;"", Data!D53, "")</f>
        <v/>
      </c>
      <c r="V54" s="39" t="str">
        <f t="shared" si="27"/>
        <v>ON</v>
      </c>
      <c r="W54" s="42">
        <f>Data!C53</f>
        <v>1.1574074074074074E-7</v>
      </c>
      <c r="X54" s="65">
        <f t="shared" si="28"/>
        <v>44487.780740740738</v>
      </c>
      <c r="Y54" s="65">
        <f t="shared" si="29"/>
        <v>44487.780740856477</v>
      </c>
      <c r="Z54" s="65" t="b">
        <f t="shared" si="30"/>
        <v>0</v>
      </c>
      <c r="AA54" s="65">
        <f t="shared" si="31"/>
        <v>44487.780740740738</v>
      </c>
      <c r="AB54" s="65">
        <f t="shared" si="32"/>
        <v>44487.780740856477</v>
      </c>
      <c r="AC54" s="42">
        <f t="shared" si="33"/>
        <v>1.1573865776881576E-7</v>
      </c>
      <c r="AD54" s="65" t="str">
        <f t="shared" si="34"/>
        <v/>
      </c>
      <c r="AE54" s="65" t="str">
        <f t="shared" si="35"/>
        <v/>
      </c>
      <c r="AF54" s="42">
        <f t="shared" si="36"/>
        <v>0</v>
      </c>
      <c r="AG54" s="42">
        <f t="shared" si="37"/>
        <v>1.1573865776881576E-7</v>
      </c>
      <c r="AH54" s="65" t="str">
        <f t="shared" si="38"/>
        <v/>
      </c>
      <c r="AI54" s="65" t="str">
        <f t="shared" si="39"/>
        <v/>
      </c>
      <c r="AJ54" s="42">
        <f t="shared" si="40"/>
        <v>0</v>
      </c>
      <c r="AK54" s="71">
        <f>Data!L53</f>
        <v>1</v>
      </c>
    </row>
    <row r="55" spans="1:37" s="13" customFormat="1" ht="16.5">
      <c r="A55" s="13" t="str">
        <f>CONCATENATE(Data!F54, " ", Data!G54)</f>
        <v xml:space="preserve"> First  1  Last  1</v>
      </c>
      <c r="B55" s="13" t="str">
        <f>Data!H54</f>
        <v>Driver1@abc.com</v>
      </c>
      <c r="C55" s="13">
        <f>Data!I54</f>
        <v>1</v>
      </c>
      <c r="D55" s="65">
        <f>Data!A54</f>
        <v>44487.780741400464</v>
      </c>
      <c r="E55" s="13" t="str">
        <f>Data!J54</f>
        <v>America/New_York</v>
      </c>
      <c r="F55" s="23">
        <f>(VLOOKUP(E55, TimeZone[], 2, FALSE)-$C$9)/24</f>
        <v>0</v>
      </c>
      <c r="G55" s="65">
        <f t="shared" si="20"/>
        <v>44487.780740740738</v>
      </c>
      <c r="H55" s="38">
        <f t="shared" si="21"/>
        <v>44487</v>
      </c>
      <c r="I55" s="41">
        <f t="shared" si="22"/>
        <v>0.78074074073811062</v>
      </c>
      <c r="J55" s="13">
        <f t="shared" si="41"/>
        <v>45</v>
      </c>
      <c r="K55" s="13">
        <f>COUNTIFS($A$13:A55, A55,$H$13:H55, H55)</f>
        <v>42</v>
      </c>
      <c r="L55" s="13" t="str">
        <f>Data!E54</f>
        <v>Vehicle1</v>
      </c>
      <c r="M55" s="39" t="b">
        <f t="shared" si="23"/>
        <v>0</v>
      </c>
      <c r="N55" s="39" t="str">
        <f t="shared" si="24"/>
        <v>Vehicle1</v>
      </c>
      <c r="O55" s="13">
        <f>Data!K54</f>
        <v>0</v>
      </c>
      <c r="P55" s="39" t="str">
        <f>IF(AND(A54=A55,H54=H55),IF(O54="",O55,IF(AND(ISERROR(FIND(O55,P54)),Data!K54&lt;&gt;""),P54&amp;", "&amp;O55,P54)),IF(Data!K54&lt;&gt;"",O55,""))</f>
        <v>,  Trailer 1,  Trailer 2</v>
      </c>
      <c r="Q55" s="39" t="str">
        <f t="shared" si="25"/>
        <v/>
      </c>
      <c r="R55" s="39" t="str">
        <f t="shared" si="26"/>
        <v>Driver1@abc.com4448742</v>
      </c>
      <c r="S55" s="39" t="str">
        <f t="shared" si="42"/>
        <v>Vehicle(s): Vehicle1
Trailer(s): ,  Trailer 1,  Trailer 2</v>
      </c>
      <c r="T55" s="42" t="str">
        <f>Data!B54</f>
        <v>YM</v>
      </c>
      <c r="U55" s="66">
        <f>IF(Data!D54&lt;&gt;"", Data!D54, "")</f>
        <v>0.51698082685470581</v>
      </c>
      <c r="V55" s="39" t="str">
        <f t="shared" si="27"/>
        <v>ON</v>
      </c>
      <c r="W55" s="42">
        <f>Data!C54</f>
        <v>6.7476041666666665E-3</v>
      </c>
      <c r="X55" s="65" t="str">
        <f t="shared" si="28"/>
        <v/>
      </c>
      <c r="Y55" s="65" t="str">
        <f t="shared" si="29"/>
        <v/>
      </c>
      <c r="Z55" s="65" t="b">
        <f t="shared" si="30"/>
        <v>0</v>
      </c>
      <c r="AA55" s="65">
        <f t="shared" si="31"/>
        <v>44487.780740740738</v>
      </c>
      <c r="AB55" s="65">
        <f t="shared" si="32"/>
        <v>44487.787488344904</v>
      </c>
      <c r="AC55" s="42">
        <f t="shared" si="33"/>
        <v>6.7476041658665054E-3</v>
      </c>
      <c r="AD55" s="65" t="str">
        <f t="shared" si="34"/>
        <v/>
      </c>
      <c r="AE55" s="65" t="str">
        <f t="shared" si="35"/>
        <v/>
      </c>
      <c r="AF55" s="42">
        <f t="shared" si="36"/>
        <v>0</v>
      </c>
      <c r="AG55" s="42">
        <f t="shared" si="37"/>
        <v>6.7476041658665054E-3</v>
      </c>
      <c r="AH55" s="65" t="str">
        <f t="shared" si="38"/>
        <v/>
      </c>
      <c r="AI55" s="65" t="str">
        <f t="shared" si="39"/>
        <v/>
      </c>
      <c r="AJ55" s="42">
        <f t="shared" si="40"/>
        <v>0</v>
      </c>
      <c r="AK55" s="71">
        <f>Data!L54</f>
        <v>1</v>
      </c>
    </row>
    <row r="56" spans="1:37" s="13" customFormat="1" ht="16.5">
      <c r="A56" s="13" t="str">
        <f>CONCATENATE(Data!F55, " ", Data!G55)</f>
        <v xml:space="preserve"> First  1  Last  1</v>
      </c>
      <c r="B56" s="13" t="str">
        <f>Data!H55</f>
        <v>Driver1@abc.com</v>
      </c>
      <c r="C56" s="13">
        <f>Data!I55</f>
        <v>1</v>
      </c>
      <c r="D56" s="65">
        <f>Data!A55</f>
        <v>44487.78748900463</v>
      </c>
      <c r="E56" s="13" t="str">
        <f>Data!J55</f>
        <v>America/New_York</v>
      </c>
      <c r="F56" s="23">
        <f>(VLOOKUP(E56, TimeZone[], 2, FALSE)-$C$9)/24</f>
        <v>0</v>
      </c>
      <c r="G56" s="65">
        <f t="shared" si="20"/>
        <v>44487.787488425929</v>
      </c>
      <c r="H56" s="38">
        <f t="shared" si="21"/>
        <v>44487</v>
      </c>
      <c r="I56" s="41">
        <f t="shared" si="22"/>
        <v>0.78748842592904111</v>
      </c>
      <c r="J56" s="13">
        <f t="shared" si="41"/>
        <v>45</v>
      </c>
      <c r="K56" s="13">
        <f>COUNTIFS($A$13:A56, A56,$H$13:H56, H56)</f>
        <v>43</v>
      </c>
      <c r="L56" s="13" t="str">
        <f>Data!E55</f>
        <v>Vehicle1</v>
      </c>
      <c r="M56" s="39" t="b">
        <f t="shared" si="23"/>
        <v>0</v>
      </c>
      <c r="N56" s="39" t="str">
        <f t="shared" si="24"/>
        <v>Vehicle1</v>
      </c>
      <c r="O56" s="13">
        <f>Data!K55</f>
        <v>0</v>
      </c>
      <c r="P56" s="39" t="str">
        <f>IF(AND(A55=A56,H55=H56),IF(O55="",O56,IF(AND(ISERROR(FIND(O56,P55)),Data!K55&lt;&gt;""),P55&amp;", "&amp;O56,P55)),IF(Data!K55&lt;&gt;"",O56,""))</f>
        <v>,  Trailer 1,  Trailer 2</v>
      </c>
      <c r="Q56" s="39" t="str">
        <f t="shared" si="25"/>
        <v/>
      </c>
      <c r="R56" s="39" t="str">
        <f t="shared" si="26"/>
        <v>Driver1@abc.com4448743</v>
      </c>
      <c r="S56" s="39" t="str">
        <f t="shared" si="42"/>
        <v>Vehicle(s): Vehicle1
Trailer(s): ,  Trailer 1,  Trailer 2</v>
      </c>
      <c r="T56" s="42" t="str">
        <f>Data!B55</f>
        <v>ON</v>
      </c>
      <c r="U56" s="66" t="str">
        <f>IF(Data!D55&lt;&gt;"", Data!D55, "")</f>
        <v/>
      </c>
      <c r="V56" s="39" t="str">
        <f t="shared" si="27"/>
        <v>ON</v>
      </c>
      <c r="W56" s="42">
        <f>Data!C55</f>
        <v>6.8020833333333331E-5</v>
      </c>
      <c r="X56" s="65">
        <f t="shared" si="28"/>
        <v>44487.787488425929</v>
      </c>
      <c r="Y56" s="65">
        <f t="shared" si="29"/>
        <v>44487.787556446761</v>
      </c>
      <c r="Z56" s="65" t="b">
        <f t="shared" si="30"/>
        <v>0</v>
      </c>
      <c r="AA56" s="65">
        <f t="shared" si="31"/>
        <v>44487.787488425929</v>
      </c>
      <c r="AB56" s="65">
        <f t="shared" si="32"/>
        <v>44487.787556446761</v>
      </c>
      <c r="AC56" s="42">
        <f t="shared" si="33"/>
        <v>6.8020832259207964E-5</v>
      </c>
      <c r="AD56" s="65" t="str">
        <f t="shared" si="34"/>
        <v/>
      </c>
      <c r="AE56" s="65" t="str">
        <f t="shared" si="35"/>
        <v/>
      </c>
      <c r="AF56" s="42">
        <f t="shared" si="36"/>
        <v>0</v>
      </c>
      <c r="AG56" s="42">
        <f t="shared" si="37"/>
        <v>6.8020832259207964E-5</v>
      </c>
      <c r="AH56" s="65" t="str">
        <f t="shared" si="38"/>
        <v/>
      </c>
      <c r="AI56" s="65" t="str">
        <f t="shared" si="39"/>
        <v/>
      </c>
      <c r="AJ56" s="42">
        <f t="shared" si="40"/>
        <v>0</v>
      </c>
      <c r="AK56" s="71">
        <f>Data!L55</f>
        <v>1</v>
      </c>
    </row>
    <row r="57" spans="1:37" s="13" customFormat="1" ht="16.5">
      <c r="A57" s="13" t="str">
        <f>CONCATENATE(Data!F56, " ", Data!G56)</f>
        <v xml:space="preserve"> First  1  Last  1</v>
      </c>
      <c r="B57" s="13" t="str">
        <f>Data!H56</f>
        <v>Driver1@abc.com</v>
      </c>
      <c r="C57" s="13">
        <f>Data!I56</f>
        <v>1</v>
      </c>
      <c r="D57" s="65">
        <f>Data!A56</f>
        <v>44487.787557025462</v>
      </c>
      <c r="E57" s="13" t="str">
        <f>Data!J56</f>
        <v>America/New_York</v>
      </c>
      <c r="F57" s="23">
        <f>(VLOOKUP(E57, TimeZone[], 2, FALSE)-$C$9)/24</f>
        <v>0</v>
      </c>
      <c r="G57" s="65">
        <f t="shared" si="20"/>
        <v>44487.787557870368</v>
      </c>
      <c r="H57" s="38">
        <f t="shared" si="21"/>
        <v>44487</v>
      </c>
      <c r="I57" s="41">
        <f t="shared" si="22"/>
        <v>0.78755787036789116</v>
      </c>
      <c r="J57" s="13">
        <f t="shared" si="41"/>
        <v>45</v>
      </c>
      <c r="K57" s="13">
        <f>COUNTIFS($A$13:A57, A57,$H$13:H57, H57)</f>
        <v>44</v>
      </c>
      <c r="L57" s="13" t="str">
        <f>Data!E56</f>
        <v>Vehicle1</v>
      </c>
      <c r="M57" s="39" t="b">
        <f t="shared" si="23"/>
        <v>0</v>
      </c>
      <c r="N57" s="39" t="str">
        <f t="shared" si="24"/>
        <v>Vehicle1</v>
      </c>
      <c r="O57" s="13">
        <f>Data!K56</f>
        <v>0</v>
      </c>
      <c r="P57" s="39" t="str">
        <f>IF(AND(A56=A57,H56=H57),IF(O56="",O57,IF(AND(ISERROR(FIND(O57,P56)),Data!K56&lt;&gt;""),P56&amp;", "&amp;O57,P56)),IF(Data!K56&lt;&gt;"",O57,""))</f>
        <v>,  Trailer 1,  Trailer 2</v>
      </c>
      <c r="Q57" s="39" t="str">
        <f t="shared" si="25"/>
        <v/>
      </c>
      <c r="R57" s="39" t="str">
        <f t="shared" si="26"/>
        <v>Driver1@abc.com4448744</v>
      </c>
      <c r="S57" s="39" t="str">
        <f t="shared" si="42"/>
        <v>Vehicle(s): Vehicle1
Trailer(s): ,  Trailer 1,  Trailer 2</v>
      </c>
      <c r="T57" s="42" t="str">
        <f>Data!B56</f>
        <v>ON</v>
      </c>
      <c r="U57" s="66" t="str">
        <f>IF(Data!D56&lt;&gt;"", Data!D56, "")</f>
        <v/>
      </c>
      <c r="V57" s="39" t="str">
        <f t="shared" si="27"/>
        <v>ON</v>
      </c>
      <c r="W57" s="42">
        <f>Data!C56</f>
        <v>1.4131944444444446E-4</v>
      </c>
      <c r="X57" s="65">
        <f t="shared" si="28"/>
        <v>44487.787557870368</v>
      </c>
      <c r="Y57" s="65">
        <f t="shared" si="29"/>
        <v>44487.787699189816</v>
      </c>
      <c r="Z57" s="65" t="b">
        <f t="shared" si="30"/>
        <v>0</v>
      </c>
      <c r="AA57" s="65">
        <f t="shared" si="31"/>
        <v>44487.787557870368</v>
      </c>
      <c r="AB57" s="65">
        <f t="shared" si="32"/>
        <v>44487.787699189816</v>
      </c>
      <c r="AC57" s="42">
        <f t="shared" si="33"/>
        <v>1.41319447720889E-4</v>
      </c>
      <c r="AD57" s="65" t="str">
        <f t="shared" si="34"/>
        <v/>
      </c>
      <c r="AE57" s="65" t="str">
        <f t="shared" si="35"/>
        <v/>
      </c>
      <c r="AF57" s="42">
        <f t="shared" si="36"/>
        <v>0</v>
      </c>
      <c r="AG57" s="42">
        <f t="shared" si="37"/>
        <v>1.41319447720889E-4</v>
      </c>
      <c r="AH57" s="65" t="str">
        <f t="shared" si="38"/>
        <v/>
      </c>
      <c r="AI57" s="65" t="str">
        <f t="shared" si="39"/>
        <v/>
      </c>
      <c r="AJ57" s="42">
        <f t="shared" si="40"/>
        <v>0</v>
      </c>
      <c r="AK57" s="71">
        <f>Data!L56</f>
        <v>1</v>
      </c>
    </row>
    <row r="58" spans="1:37" s="13" customFormat="1" ht="16.5">
      <c r="A58" s="13" t="str">
        <f>CONCATENATE(Data!F57, " ", Data!G57)</f>
        <v xml:space="preserve"> First  1  Last  1</v>
      </c>
      <c r="B58" s="13" t="str">
        <f>Data!H57</f>
        <v>Driver1@abc.com</v>
      </c>
      <c r="C58" s="13">
        <f>Data!I57</f>
        <v>1</v>
      </c>
      <c r="D58" s="65">
        <f>Data!A57</f>
        <v>44487.78769834491</v>
      </c>
      <c r="E58" s="13" t="str">
        <f>Data!J57</f>
        <v>America/New_York</v>
      </c>
      <c r="F58" s="23">
        <f>(VLOOKUP(E58, TimeZone[], 2, FALSE)-$C$9)/24</f>
        <v>0</v>
      </c>
      <c r="G58" s="65">
        <f t="shared" si="20"/>
        <v>44487.78769675926</v>
      </c>
      <c r="H58" s="38">
        <f t="shared" si="21"/>
        <v>44487</v>
      </c>
      <c r="I58" s="41">
        <f t="shared" si="22"/>
        <v>0.78769675926014315</v>
      </c>
      <c r="J58" s="13">
        <f t="shared" si="41"/>
        <v>45</v>
      </c>
      <c r="K58" s="13">
        <f>COUNTIFS($A$13:A58, A58,$H$13:H58, H58)</f>
        <v>45</v>
      </c>
      <c r="L58" s="13" t="str">
        <f>Data!E57</f>
        <v>Vehicle1</v>
      </c>
      <c r="M58" s="39" t="b">
        <f t="shared" si="23"/>
        <v>1</v>
      </c>
      <c r="N58" s="39" t="str">
        <f t="shared" si="24"/>
        <v>Vehicle1</v>
      </c>
      <c r="O58" s="13">
        <f>Data!K57</f>
        <v>0</v>
      </c>
      <c r="P58" s="39" t="str">
        <f>IF(AND(A57=A58,H57=H58),IF(O57="",O58,IF(AND(ISERROR(FIND(O58,P57)),Data!K57&lt;&gt;""),P57&amp;", "&amp;O58,P57)),IF(Data!K57&lt;&gt;"",O58,""))</f>
        <v>,  Trailer 1,  Trailer 2</v>
      </c>
      <c r="Q58" s="39" t="str">
        <f t="shared" si="25"/>
        <v>Vehicle(s): Vehicle1
Trailer(s): ,  Trailer 1,  Trailer 2</v>
      </c>
      <c r="R58" s="39" t="str">
        <f t="shared" si="26"/>
        <v>Driver1@abc.com4448745</v>
      </c>
      <c r="S58" s="39" t="str">
        <f t="shared" si="42"/>
        <v>Vehicle(s): Vehicle1
Trailer(s): ,  Trailer 1,  Trailer 2</v>
      </c>
      <c r="T58" s="42" t="str">
        <f>Data!B57</f>
        <v>OFF</v>
      </c>
      <c r="U58" s="66" t="str">
        <f>IF(Data!D57&lt;&gt;"", Data!D57, "")</f>
        <v/>
      </c>
      <c r="V58" s="39" t="str">
        <f t="shared" si="27"/>
        <v>OFF</v>
      </c>
      <c r="W58" s="42">
        <f>Data!C57</f>
        <v>0.45909363425925925</v>
      </c>
      <c r="X58" s="65" t="str">
        <f t="shared" si="28"/>
        <v/>
      </c>
      <c r="Y58" s="65" t="str">
        <f t="shared" si="29"/>
        <v/>
      </c>
      <c r="Z58" s="65" t="b">
        <f t="shared" si="30"/>
        <v>1</v>
      </c>
      <c r="AA58" s="65" t="str">
        <f t="shared" si="31"/>
        <v/>
      </c>
      <c r="AB58" s="65" t="str">
        <f t="shared" si="32"/>
        <v/>
      </c>
      <c r="AC58" s="42">
        <f t="shared" si="33"/>
        <v>0</v>
      </c>
      <c r="AD58" s="65" t="str">
        <f t="shared" si="34"/>
        <v/>
      </c>
      <c r="AE58" s="65" t="str">
        <f t="shared" si="35"/>
        <v/>
      </c>
      <c r="AF58" s="42">
        <f t="shared" si="36"/>
        <v>0</v>
      </c>
      <c r="AG58" s="42">
        <f t="shared" si="37"/>
        <v>0</v>
      </c>
      <c r="AH58" s="65">
        <f t="shared" si="38"/>
        <v>44487.78769675926</v>
      </c>
      <c r="AI58" s="65">
        <f t="shared" si="39"/>
        <v>44488</v>
      </c>
      <c r="AJ58" s="42">
        <f t="shared" si="40"/>
        <v>0.21230324073985685</v>
      </c>
      <c r="AK58" s="71">
        <f>Data!L57</f>
        <v>1</v>
      </c>
    </row>
    <row r="59" spans="1:37" s="13" customFormat="1" ht="16.5">
      <c r="A59" s="13" t="str">
        <f>CONCATENATE(Data!F58, " ", Data!G58)</f>
        <v xml:space="preserve"> First  2  Last  2</v>
      </c>
      <c r="B59" s="13" t="str">
        <f>Data!H58</f>
        <v>Driver2@abc.com</v>
      </c>
      <c r="C59" s="13">
        <f>Data!I58</f>
        <v>2</v>
      </c>
      <c r="D59" s="65">
        <f>Data!A58</f>
        <v>44490.352281516207</v>
      </c>
      <c r="E59" s="13" t="str">
        <f>Data!J58</f>
        <v>CST6CDT</v>
      </c>
      <c r="F59" s="23">
        <f>(VLOOKUP(E59, TimeZone[], 2, FALSE)-$C$9)/24</f>
        <v>4.1666666666666664E-2</v>
      </c>
      <c r="G59" s="65">
        <f t="shared" si="20"/>
        <v>44490.310613425929</v>
      </c>
      <c r="H59" s="38">
        <f t="shared" si="21"/>
        <v>44490</v>
      </c>
      <c r="I59" s="41">
        <f t="shared" si="22"/>
        <v>0.31061342592875008</v>
      </c>
      <c r="J59" s="13">
        <f t="shared" si="41"/>
        <v>24</v>
      </c>
      <c r="K59" s="13">
        <f>COUNTIFS($A$13:A59, A59,$H$13:H59, H59)</f>
        <v>1</v>
      </c>
      <c r="L59" s="13" t="str">
        <f>Data!E58</f>
        <v>Vehicle2</v>
      </c>
      <c r="M59" s="39" t="b">
        <f t="shared" si="23"/>
        <v>0</v>
      </c>
      <c r="N59" s="39" t="str">
        <f t="shared" si="24"/>
        <v>Vehicle2</v>
      </c>
      <c r="O59" s="13">
        <f>Data!K58</f>
        <v>0</v>
      </c>
      <c r="P59" s="39" t="str">
        <f>IF(AND(A58=A59,H58=H59),IF(O58="",O59,IF(AND(ISERROR(FIND(O59,P58)),Data!K58&lt;&gt;""),P58&amp;", "&amp;O59,P58)),IF(Data!K58&lt;&gt;"",O59,""))</f>
        <v/>
      </c>
      <c r="Q59" s="39" t="str">
        <f t="shared" si="25"/>
        <v/>
      </c>
      <c r="R59" s="39" t="str">
        <f t="shared" si="26"/>
        <v>Driver2@abc.com444901</v>
      </c>
      <c r="S59" s="39" t="str">
        <f t="shared" si="42"/>
        <v xml:space="preserve">Vehicle(s): Vehicle2
Trailer(s): </v>
      </c>
      <c r="T59" s="42" t="str">
        <f>Data!B58</f>
        <v>ON</v>
      </c>
      <c r="U59" s="66" t="str">
        <f>IF(Data!D58&lt;&gt;"", Data!D58, "")</f>
        <v/>
      </c>
      <c r="V59" s="39" t="str">
        <f t="shared" si="27"/>
        <v>ON</v>
      </c>
      <c r="W59" s="42">
        <f>Data!C58</f>
        <v>2.1336111111111113E-3</v>
      </c>
      <c r="X59" s="65">
        <f t="shared" si="28"/>
        <v>44490.310613425929</v>
      </c>
      <c r="Y59" s="65">
        <f t="shared" si="29"/>
        <v>44490.312747037038</v>
      </c>
      <c r="Z59" s="65" t="b">
        <f t="shared" si="30"/>
        <v>0</v>
      </c>
      <c r="AA59" s="65">
        <f t="shared" si="31"/>
        <v>44490.310613425929</v>
      </c>
      <c r="AB59" s="65">
        <f t="shared" si="32"/>
        <v>44490.312747037038</v>
      </c>
      <c r="AC59" s="42">
        <f t="shared" si="33"/>
        <v>2.1336111094569787E-3</v>
      </c>
      <c r="AD59" s="65">
        <f t="shared" si="34"/>
        <v>44490.310613425929</v>
      </c>
      <c r="AE59" s="65">
        <f t="shared" si="35"/>
        <v>44490.310613425929</v>
      </c>
      <c r="AF59" s="42">
        <f t="shared" si="36"/>
        <v>0</v>
      </c>
      <c r="AG59" s="42">
        <f t="shared" si="37"/>
        <v>2.1336111094569787E-3</v>
      </c>
      <c r="AH59" s="65">
        <f t="shared" si="38"/>
        <v>44490</v>
      </c>
      <c r="AI59" s="65">
        <f t="shared" si="39"/>
        <v>44490.310613425929</v>
      </c>
      <c r="AJ59" s="42">
        <f t="shared" si="40"/>
        <v>0.31061342592875008</v>
      </c>
      <c r="AK59" s="71">
        <f>Data!L58</f>
        <v>2</v>
      </c>
    </row>
    <row r="60" spans="1:37" s="13" customFormat="1" ht="16.5">
      <c r="A60" s="13" t="str">
        <f>CONCATENATE(Data!F59, " ", Data!G59)</f>
        <v xml:space="preserve"> First  2  Last  2</v>
      </c>
      <c r="B60" s="13" t="str">
        <f>Data!H59</f>
        <v>Driver2@abc.com</v>
      </c>
      <c r="C60" s="13">
        <f>Data!I59</f>
        <v>2</v>
      </c>
      <c r="D60" s="65">
        <f>Data!A59</f>
        <v>44490.354415127316</v>
      </c>
      <c r="E60" s="13" t="str">
        <f>Data!J59</f>
        <v>CST6CDT</v>
      </c>
      <c r="F60" s="23">
        <f>(VLOOKUP(E60, TimeZone[], 2, FALSE)-$C$9)/24</f>
        <v>4.1666666666666664E-2</v>
      </c>
      <c r="G60" s="65">
        <f t="shared" si="20"/>
        <v>44490.312743055561</v>
      </c>
      <c r="H60" s="38">
        <f t="shared" si="21"/>
        <v>44490</v>
      </c>
      <c r="I60" s="41">
        <f t="shared" si="22"/>
        <v>0.312743055561441</v>
      </c>
      <c r="J60" s="13">
        <f t="shared" si="41"/>
        <v>24</v>
      </c>
      <c r="K60" s="13">
        <f>COUNTIFS($A$13:A60, A60,$H$13:H60, H60)</f>
        <v>2</v>
      </c>
      <c r="L60" s="13" t="str">
        <f>Data!E59</f>
        <v>Vehicle2</v>
      </c>
      <c r="M60" s="39" t="b">
        <f t="shared" si="23"/>
        <v>0</v>
      </c>
      <c r="N60" s="39" t="str">
        <f t="shared" si="24"/>
        <v>Vehicle2</v>
      </c>
      <c r="O60" s="13">
        <f>Data!K59</f>
        <v>0</v>
      </c>
      <c r="P60" s="39" t="str">
        <f>IF(AND(A59=A60,H59=H60),IF(O59="",O60,IF(AND(ISERROR(FIND(O60,P59)),Data!K59&lt;&gt;""),P59&amp;", "&amp;O60,P59)),IF(Data!K59&lt;&gt;"",O60,""))</f>
        <v/>
      </c>
      <c r="Q60" s="39" t="str">
        <f t="shared" si="25"/>
        <v/>
      </c>
      <c r="R60" s="39" t="str">
        <f t="shared" si="26"/>
        <v>Driver2@abc.com444902</v>
      </c>
      <c r="S60" s="39" t="str">
        <f t="shared" si="42"/>
        <v xml:space="preserve">Vehicle(s): Vehicle2
Trailer(s): </v>
      </c>
      <c r="T60" s="42" t="str">
        <f>Data!B59</f>
        <v>D</v>
      </c>
      <c r="U60" s="66">
        <f>IF(Data!D59&lt;&gt;"", Data!D59, "")</f>
        <v>0</v>
      </c>
      <c r="V60" s="39" t="str">
        <f t="shared" si="27"/>
        <v>D</v>
      </c>
      <c r="W60" s="42">
        <f>Data!C59</f>
        <v>1.1414351851851852E-3</v>
      </c>
      <c r="X60" s="65">
        <f t="shared" si="28"/>
        <v>44490.312743055561</v>
      </c>
      <c r="Y60" s="65">
        <f t="shared" si="29"/>
        <v>44490.313884490744</v>
      </c>
      <c r="Z60" s="65" t="b">
        <f t="shared" si="30"/>
        <v>0</v>
      </c>
      <c r="AA60" s="65" t="str">
        <f t="shared" si="31"/>
        <v/>
      </c>
      <c r="AB60" s="65" t="str">
        <f t="shared" si="32"/>
        <v/>
      </c>
      <c r="AC60" s="42">
        <f t="shared" si="33"/>
        <v>0</v>
      </c>
      <c r="AD60" s="65">
        <f t="shared" si="34"/>
        <v>44490.312743055561</v>
      </c>
      <c r="AE60" s="65">
        <f t="shared" si="35"/>
        <v>44490.313884490744</v>
      </c>
      <c r="AF60" s="42">
        <f t="shared" si="36"/>
        <v>1.1414351829444058E-3</v>
      </c>
      <c r="AG60" s="42">
        <f t="shared" si="37"/>
        <v>1.1414351829444058E-3</v>
      </c>
      <c r="AH60" s="65" t="str">
        <f t="shared" si="38"/>
        <v/>
      </c>
      <c r="AI60" s="65" t="str">
        <f t="shared" si="39"/>
        <v/>
      </c>
      <c r="AJ60" s="42">
        <f t="shared" si="40"/>
        <v>0</v>
      </c>
      <c r="AK60" s="71">
        <f>Data!L59</f>
        <v>2</v>
      </c>
    </row>
    <row r="61" spans="1:37" s="13" customFormat="1" ht="16.5">
      <c r="A61" s="13" t="str">
        <f>CONCATENATE(Data!F60, " ", Data!G60)</f>
        <v xml:space="preserve"> First  2  Last  2</v>
      </c>
      <c r="B61" s="13" t="str">
        <f>Data!H60</f>
        <v>Driver2@abc.com</v>
      </c>
      <c r="C61" s="13">
        <f>Data!I60</f>
        <v>2</v>
      </c>
      <c r="D61" s="65">
        <f>Data!A60</f>
        <v>44490.355556562499</v>
      </c>
      <c r="E61" s="13" t="str">
        <f>Data!J60</f>
        <v>CST6CDT</v>
      </c>
      <c r="F61" s="23">
        <f>(VLOOKUP(E61, TimeZone[], 2, FALSE)-$C$9)/24</f>
        <v>4.1666666666666664E-2</v>
      </c>
      <c r="G61" s="65">
        <f t="shared" si="20"/>
        <v>44490.313888888893</v>
      </c>
      <c r="H61" s="38">
        <f t="shared" si="21"/>
        <v>44490</v>
      </c>
      <c r="I61" s="41">
        <f t="shared" si="22"/>
        <v>0.31388888889341615</v>
      </c>
      <c r="J61" s="13">
        <f t="shared" si="41"/>
        <v>24</v>
      </c>
      <c r="K61" s="13">
        <f>COUNTIFS($A$13:A61, A61,$H$13:H61, H61)</f>
        <v>3</v>
      </c>
      <c r="L61" s="13" t="str">
        <f>Data!E60</f>
        <v>Vehicle2</v>
      </c>
      <c r="M61" s="39" t="b">
        <f t="shared" si="23"/>
        <v>0</v>
      </c>
      <c r="N61" s="39" t="str">
        <f t="shared" si="24"/>
        <v>Vehicle2</v>
      </c>
      <c r="O61" s="13">
        <f>Data!K60</f>
        <v>0</v>
      </c>
      <c r="P61" s="39" t="str">
        <f>IF(AND(A60=A61,H60=H61),IF(O60="",O61,IF(AND(ISERROR(FIND(O61,P60)),Data!K60&lt;&gt;""),P60&amp;", "&amp;O61,P60)),IF(Data!K60&lt;&gt;"",O61,""))</f>
        <v/>
      </c>
      <c r="Q61" s="39" t="str">
        <f t="shared" si="25"/>
        <v/>
      </c>
      <c r="R61" s="39" t="str">
        <f t="shared" si="26"/>
        <v>Driver2@abc.com444903</v>
      </c>
      <c r="S61" s="39" t="str">
        <f t="shared" si="42"/>
        <v xml:space="preserve">Vehicle(s): Vehicle2
Trailer(s): </v>
      </c>
      <c r="T61" s="42" t="str">
        <f>Data!B60</f>
        <v>D</v>
      </c>
      <c r="U61" s="66">
        <f>IF(Data!D60&lt;&gt;"", Data!D60, "")</f>
        <v>17.219438552856445</v>
      </c>
      <c r="V61" s="39" t="str">
        <f t="shared" si="27"/>
        <v>D</v>
      </c>
      <c r="W61" s="42">
        <f>Data!C60</f>
        <v>2.0208101851851852E-2</v>
      </c>
      <c r="X61" s="65">
        <f t="shared" si="28"/>
        <v>44490.313888888893</v>
      </c>
      <c r="Y61" s="65">
        <f t="shared" si="29"/>
        <v>44490.334096990744</v>
      </c>
      <c r="Z61" s="65" t="b">
        <f t="shared" si="30"/>
        <v>0</v>
      </c>
      <c r="AA61" s="65" t="str">
        <f t="shared" si="31"/>
        <v/>
      </c>
      <c r="AB61" s="65" t="str">
        <f t="shared" si="32"/>
        <v/>
      </c>
      <c r="AC61" s="42">
        <f t="shared" si="33"/>
        <v>0</v>
      </c>
      <c r="AD61" s="65">
        <f t="shared" si="34"/>
        <v>44490.313888888893</v>
      </c>
      <c r="AE61" s="65">
        <f t="shared" si="35"/>
        <v>44490.334096990744</v>
      </c>
      <c r="AF61" s="42">
        <f t="shared" si="36"/>
        <v>2.0208101850585081E-2</v>
      </c>
      <c r="AG61" s="42">
        <f t="shared" si="37"/>
        <v>2.0208101850585081E-2</v>
      </c>
      <c r="AH61" s="65" t="str">
        <f t="shared" si="38"/>
        <v/>
      </c>
      <c r="AI61" s="65" t="str">
        <f t="shared" si="39"/>
        <v/>
      </c>
      <c r="AJ61" s="42">
        <f t="shared" si="40"/>
        <v>0</v>
      </c>
      <c r="AK61" s="71">
        <f>Data!L60</f>
        <v>2</v>
      </c>
    </row>
    <row r="62" spans="1:37" s="13" customFormat="1" ht="16.5">
      <c r="A62" s="13" t="str">
        <f>CONCATENATE(Data!F61, " ", Data!G61)</f>
        <v xml:space="preserve"> First  2  Last  2</v>
      </c>
      <c r="B62" s="13" t="str">
        <f>Data!H61</f>
        <v>Driver2@abc.com</v>
      </c>
      <c r="C62" s="13">
        <f>Data!I61</f>
        <v>2</v>
      </c>
      <c r="D62" s="65">
        <f>Data!A61</f>
        <v>44490.37576466435</v>
      </c>
      <c r="E62" s="13" t="str">
        <f>Data!J61</f>
        <v>CST6CDT</v>
      </c>
      <c r="F62" s="23">
        <f>(VLOOKUP(E62, TimeZone[], 2, FALSE)-$C$9)/24</f>
        <v>4.1666666666666664E-2</v>
      </c>
      <c r="G62" s="65">
        <f t="shared" si="20"/>
        <v>44490.334097222221</v>
      </c>
      <c r="H62" s="38">
        <f t="shared" si="21"/>
        <v>44490</v>
      </c>
      <c r="I62" s="41">
        <f t="shared" si="22"/>
        <v>0.33409722222131677</v>
      </c>
      <c r="J62" s="13">
        <f t="shared" si="41"/>
        <v>24</v>
      </c>
      <c r="K62" s="13">
        <f>COUNTIFS($A$13:A62, A62,$H$13:H62, H62)</f>
        <v>4</v>
      </c>
      <c r="L62" s="13" t="str">
        <f>Data!E61</f>
        <v>Vehicle2</v>
      </c>
      <c r="M62" s="39" t="b">
        <f t="shared" si="23"/>
        <v>0</v>
      </c>
      <c r="N62" s="39" t="str">
        <f t="shared" si="24"/>
        <v>Vehicle2</v>
      </c>
      <c r="O62" s="13">
        <f>Data!K61</f>
        <v>0</v>
      </c>
      <c r="P62" s="39" t="str">
        <f>IF(AND(A61=A62,H61=H62),IF(O61="",O62,IF(AND(ISERROR(FIND(O62,P61)),Data!K61&lt;&gt;""),P61&amp;", "&amp;O62,P61)),IF(Data!K61&lt;&gt;"",O62,""))</f>
        <v/>
      </c>
      <c r="Q62" s="39" t="str">
        <f t="shared" si="25"/>
        <v/>
      </c>
      <c r="R62" s="39" t="str">
        <f t="shared" si="26"/>
        <v>Driver2@abc.com444904</v>
      </c>
      <c r="S62" s="39" t="str">
        <f t="shared" si="42"/>
        <v xml:space="preserve">Vehicle(s): Vehicle2
Trailer(s): </v>
      </c>
      <c r="T62" s="42" t="str">
        <f>Data!B61</f>
        <v>ON</v>
      </c>
      <c r="U62" s="66" t="str">
        <f>IF(Data!D61&lt;&gt;"", Data!D61, "")</f>
        <v/>
      </c>
      <c r="V62" s="39" t="str">
        <f t="shared" si="27"/>
        <v>ON</v>
      </c>
      <c r="W62" s="42">
        <f>Data!C61</f>
        <v>1.8182557870370371E-2</v>
      </c>
      <c r="X62" s="65">
        <f t="shared" si="28"/>
        <v>44490.334097222221</v>
      </c>
      <c r="Y62" s="65">
        <f t="shared" si="29"/>
        <v>44490.352279780091</v>
      </c>
      <c r="Z62" s="65" t="b">
        <f t="shared" si="30"/>
        <v>0</v>
      </c>
      <c r="AA62" s="65">
        <f t="shared" si="31"/>
        <v>44490.334097222221</v>
      </c>
      <c r="AB62" s="65">
        <f t="shared" si="32"/>
        <v>44490.352279780091</v>
      </c>
      <c r="AC62" s="42">
        <f t="shared" si="33"/>
        <v>1.8182557869295124E-2</v>
      </c>
      <c r="AD62" s="65" t="str">
        <f t="shared" si="34"/>
        <v/>
      </c>
      <c r="AE62" s="65" t="str">
        <f t="shared" si="35"/>
        <v/>
      </c>
      <c r="AF62" s="42">
        <f t="shared" si="36"/>
        <v>0</v>
      </c>
      <c r="AG62" s="42">
        <f t="shared" si="37"/>
        <v>1.8182557869295124E-2</v>
      </c>
      <c r="AH62" s="65" t="str">
        <f t="shared" si="38"/>
        <v/>
      </c>
      <c r="AI62" s="65" t="str">
        <f t="shared" si="39"/>
        <v/>
      </c>
      <c r="AJ62" s="42">
        <f t="shared" si="40"/>
        <v>0</v>
      </c>
      <c r="AK62" s="71">
        <f>Data!L61</f>
        <v>2</v>
      </c>
    </row>
    <row r="63" spans="1:37" s="13" customFormat="1" ht="16.5">
      <c r="A63" s="13" t="str">
        <f>CONCATENATE(Data!F62, " ", Data!G62)</f>
        <v xml:space="preserve"> First  2  Last  2</v>
      </c>
      <c r="B63" s="13" t="str">
        <f>Data!H62</f>
        <v>Driver2@abc.com</v>
      </c>
      <c r="C63" s="13">
        <f>Data!I62</f>
        <v>2</v>
      </c>
      <c r="D63" s="65">
        <f>Data!A62</f>
        <v>44490.393947222219</v>
      </c>
      <c r="E63" s="13" t="str">
        <f>Data!J62</f>
        <v>CST6CDT</v>
      </c>
      <c r="F63" s="23">
        <f>(VLOOKUP(E63, TimeZone[], 2, FALSE)-$C$9)/24</f>
        <v>4.1666666666666664E-2</v>
      </c>
      <c r="G63" s="65">
        <f t="shared" si="20"/>
        <v>44490.352280092593</v>
      </c>
      <c r="H63" s="38">
        <f t="shared" si="21"/>
        <v>44490</v>
      </c>
      <c r="I63" s="41">
        <f t="shared" si="22"/>
        <v>0.35228009259299142</v>
      </c>
      <c r="J63" s="13">
        <f t="shared" si="41"/>
        <v>24</v>
      </c>
      <c r="K63" s="13">
        <f>COUNTIFS($A$13:A63, A63,$H$13:H63, H63)</f>
        <v>5</v>
      </c>
      <c r="L63" s="13" t="str">
        <f>Data!E62</f>
        <v>Vehicle2</v>
      </c>
      <c r="M63" s="39" t="b">
        <f t="shared" si="23"/>
        <v>0</v>
      </c>
      <c r="N63" s="39" t="str">
        <f t="shared" si="24"/>
        <v>Vehicle2</v>
      </c>
      <c r="O63" s="13">
        <f>Data!K62</f>
        <v>0</v>
      </c>
      <c r="P63" s="39" t="str">
        <f>IF(AND(A62=A63,H62=H63),IF(O62="",O63,IF(AND(ISERROR(FIND(O63,P62)),Data!K62&lt;&gt;""),P62&amp;", "&amp;O63,P62)),IF(Data!K62&lt;&gt;"",O63,""))</f>
        <v/>
      </c>
      <c r="Q63" s="39" t="str">
        <f t="shared" si="25"/>
        <v/>
      </c>
      <c r="R63" s="39" t="str">
        <f t="shared" si="26"/>
        <v>Driver2@abc.com444905</v>
      </c>
      <c r="S63" s="39" t="str">
        <f t="shared" si="42"/>
        <v xml:space="preserve">Vehicle(s): Vehicle2
Trailer(s): </v>
      </c>
      <c r="T63" s="42" t="str">
        <f>Data!B62</f>
        <v>D</v>
      </c>
      <c r="U63" s="66">
        <f>IF(Data!D62&lt;&gt;"", Data!D62, "")</f>
        <v>2.684323787689209</v>
      </c>
      <c r="V63" s="39" t="str">
        <f t="shared" si="27"/>
        <v>D</v>
      </c>
      <c r="W63" s="42">
        <f>Data!C62</f>
        <v>6.6090625000000004E-3</v>
      </c>
      <c r="X63" s="65">
        <f t="shared" si="28"/>
        <v>44490.352280092593</v>
      </c>
      <c r="Y63" s="65">
        <f t="shared" si="29"/>
        <v>44490.35888915509</v>
      </c>
      <c r="Z63" s="65" t="b">
        <f t="shared" si="30"/>
        <v>0</v>
      </c>
      <c r="AA63" s="65" t="str">
        <f t="shared" si="31"/>
        <v/>
      </c>
      <c r="AB63" s="65" t="str">
        <f t="shared" si="32"/>
        <v/>
      </c>
      <c r="AC63" s="42">
        <f t="shared" si="33"/>
        <v>0</v>
      </c>
      <c r="AD63" s="65">
        <f t="shared" si="34"/>
        <v>44490.352280092593</v>
      </c>
      <c r="AE63" s="65">
        <f t="shared" si="35"/>
        <v>44490.35888915509</v>
      </c>
      <c r="AF63" s="42">
        <f t="shared" si="36"/>
        <v>6.6090624968637712E-3</v>
      </c>
      <c r="AG63" s="42">
        <f t="shared" si="37"/>
        <v>6.6090624968637712E-3</v>
      </c>
      <c r="AH63" s="65" t="str">
        <f t="shared" si="38"/>
        <v/>
      </c>
      <c r="AI63" s="65" t="str">
        <f t="shared" si="39"/>
        <v/>
      </c>
      <c r="AJ63" s="42">
        <f t="shared" si="40"/>
        <v>0</v>
      </c>
      <c r="AK63" s="71">
        <f>Data!L62</f>
        <v>2</v>
      </c>
    </row>
    <row r="64" spans="1:37" s="13" customFormat="1" ht="16.5">
      <c r="A64" s="13" t="str">
        <f>CONCATENATE(Data!F63, " ", Data!G63)</f>
        <v xml:space="preserve"> First  2  Last  2</v>
      </c>
      <c r="B64" s="13" t="str">
        <f>Data!H63</f>
        <v>Driver2@abc.com</v>
      </c>
      <c r="C64" s="13">
        <f>Data!I63</f>
        <v>2</v>
      </c>
      <c r="D64" s="65">
        <f>Data!A63</f>
        <v>44490.400556284723</v>
      </c>
      <c r="E64" s="13" t="str">
        <f>Data!J63</f>
        <v>CST6CDT</v>
      </c>
      <c r="F64" s="23">
        <f>(VLOOKUP(E64, TimeZone[], 2, FALSE)-$C$9)/24</f>
        <v>4.1666666666666664E-2</v>
      </c>
      <c r="G64" s="65">
        <f t="shared" si="20"/>
        <v>44490.358888888892</v>
      </c>
      <c r="H64" s="38">
        <f t="shared" si="21"/>
        <v>44490</v>
      </c>
      <c r="I64" s="41">
        <f t="shared" si="22"/>
        <v>0.35888888889166992</v>
      </c>
      <c r="J64" s="13">
        <f t="shared" si="41"/>
        <v>24</v>
      </c>
      <c r="K64" s="13">
        <f>COUNTIFS($A$13:A64, A64,$H$13:H64, H64)</f>
        <v>6</v>
      </c>
      <c r="L64" s="13" t="str">
        <f>Data!E63</f>
        <v>Vehicle2</v>
      </c>
      <c r="M64" s="39" t="b">
        <f t="shared" si="23"/>
        <v>0</v>
      </c>
      <c r="N64" s="39" t="str">
        <f t="shared" si="24"/>
        <v>Vehicle2</v>
      </c>
      <c r="O64" s="13">
        <f>Data!K63</f>
        <v>0</v>
      </c>
      <c r="P64" s="39" t="str">
        <f>IF(AND(A63=A64,H63=H64),IF(O63="",O64,IF(AND(ISERROR(FIND(O64,P63)),Data!K63&lt;&gt;""),P63&amp;", "&amp;O64,P63)),IF(Data!K63&lt;&gt;"",O64,""))</f>
        <v/>
      </c>
      <c r="Q64" s="39" t="str">
        <f t="shared" si="25"/>
        <v/>
      </c>
      <c r="R64" s="39" t="str">
        <f t="shared" si="26"/>
        <v>Driver2@abc.com444906</v>
      </c>
      <c r="S64" s="39" t="str">
        <f t="shared" si="42"/>
        <v xml:space="preserve">Vehicle(s): Vehicle2
Trailer(s): </v>
      </c>
      <c r="T64" s="42" t="str">
        <f>Data!B63</f>
        <v>ON</v>
      </c>
      <c r="U64" s="66" t="str">
        <f>IF(Data!D63&lt;&gt;"", Data!D63, "")</f>
        <v/>
      </c>
      <c r="V64" s="39" t="str">
        <f t="shared" si="27"/>
        <v>ON</v>
      </c>
      <c r="W64" s="42">
        <f>Data!C63</f>
        <v>2.3148148148148147E-5</v>
      </c>
      <c r="X64" s="65">
        <f t="shared" si="28"/>
        <v>44490.358888888892</v>
      </c>
      <c r="Y64" s="65">
        <f t="shared" si="29"/>
        <v>44490.358912037038</v>
      </c>
      <c r="Z64" s="65" t="b">
        <f t="shared" si="30"/>
        <v>0</v>
      </c>
      <c r="AA64" s="65">
        <f t="shared" si="31"/>
        <v>44490.358888888892</v>
      </c>
      <c r="AB64" s="65">
        <f t="shared" si="32"/>
        <v>44490.358912037038</v>
      </c>
      <c r="AC64" s="42">
        <f t="shared" si="33"/>
        <v>2.314814628334716E-5</v>
      </c>
      <c r="AD64" s="65" t="str">
        <f t="shared" si="34"/>
        <v/>
      </c>
      <c r="AE64" s="65" t="str">
        <f t="shared" si="35"/>
        <v/>
      </c>
      <c r="AF64" s="42">
        <f t="shared" si="36"/>
        <v>0</v>
      </c>
      <c r="AG64" s="42">
        <f t="shared" si="37"/>
        <v>2.314814628334716E-5</v>
      </c>
      <c r="AH64" s="65" t="str">
        <f t="shared" si="38"/>
        <v/>
      </c>
      <c r="AI64" s="65" t="str">
        <f t="shared" si="39"/>
        <v/>
      </c>
      <c r="AJ64" s="42">
        <f t="shared" si="40"/>
        <v>0</v>
      </c>
      <c r="AK64" s="71">
        <f>Data!L63</f>
        <v>2</v>
      </c>
    </row>
    <row r="65" spans="1:37" s="13" customFormat="1" ht="16.5">
      <c r="A65" s="13" t="str">
        <f>CONCATENATE(Data!F64, " ", Data!G64)</f>
        <v xml:space="preserve"> First  2  Last  2</v>
      </c>
      <c r="B65" s="13" t="str">
        <f>Data!H64</f>
        <v>Driver2@abc.com</v>
      </c>
      <c r="C65" s="13">
        <f>Data!I64</f>
        <v>2</v>
      </c>
      <c r="D65" s="65">
        <f>Data!A64</f>
        <v>44490.40057943287</v>
      </c>
      <c r="E65" s="13" t="str">
        <f>Data!J64</f>
        <v>CST6CDT</v>
      </c>
      <c r="F65" s="23">
        <f>(VLOOKUP(E65, TimeZone[], 2, FALSE)-$C$9)/24</f>
        <v>4.1666666666666664E-2</v>
      </c>
      <c r="G65" s="65">
        <f t="shared" si="20"/>
        <v>44490.358912037038</v>
      </c>
      <c r="H65" s="38">
        <f t="shared" si="21"/>
        <v>44490</v>
      </c>
      <c r="I65" s="41">
        <f t="shared" si="22"/>
        <v>0.35891203703795327</v>
      </c>
      <c r="J65" s="13">
        <f t="shared" si="41"/>
        <v>24</v>
      </c>
      <c r="K65" s="13">
        <f>COUNTIFS($A$13:A65, A65,$H$13:H65, H65)</f>
        <v>7</v>
      </c>
      <c r="L65" s="13" t="str">
        <f>Data!E64</f>
        <v>Vehicle2</v>
      </c>
      <c r="M65" s="39" t="b">
        <f t="shared" si="23"/>
        <v>0</v>
      </c>
      <c r="N65" s="39" t="str">
        <f t="shared" si="24"/>
        <v>Vehicle2</v>
      </c>
      <c r="O65" s="13">
        <f>Data!K64</f>
        <v>0</v>
      </c>
      <c r="P65" s="39" t="str">
        <f>IF(AND(A64=A65,H64=H65),IF(O64="",O65,IF(AND(ISERROR(FIND(O65,P64)),Data!K64&lt;&gt;""),P64&amp;", "&amp;O65,P64)),IF(Data!K64&lt;&gt;"",O65,""))</f>
        <v/>
      </c>
      <c r="Q65" s="39" t="str">
        <f t="shared" si="25"/>
        <v/>
      </c>
      <c r="R65" s="39" t="str">
        <f t="shared" si="26"/>
        <v>Driver2@abc.com444907</v>
      </c>
      <c r="S65" s="39" t="str">
        <f t="shared" si="42"/>
        <v xml:space="preserve">Vehicle(s): Vehicle2
Trailer(s): </v>
      </c>
      <c r="T65" s="42" t="str">
        <f>Data!B64</f>
        <v>OFF</v>
      </c>
      <c r="U65" s="66" t="str">
        <f>IF(Data!D64&lt;&gt;"", Data!D64, "")</f>
        <v/>
      </c>
      <c r="V65" s="39" t="str">
        <f t="shared" si="27"/>
        <v>OFF</v>
      </c>
      <c r="W65" s="42">
        <f>Data!C64</f>
        <v>5.8517939814814818E-2</v>
      </c>
      <c r="X65" s="65" t="str">
        <f t="shared" si="28"/>
        <v/>
      </c>
      <c r="Y65" s="65" t="str">
        <f t="shared" si="29"/>
        <v/>
      </c>
      <c r="Z65" s="65" t="b">
        <f t="shared" si="30"/>
        <v>0</v>
      </c>
      <c r="AA65" s="65" t="str">
        <f t="shared" si="31"/>
        <v/>
      </c>
      <c r="AB65" s="65" t="str">
        <f t="shared" si="32"/>
        <v/>
      </c>
      <c r="AC65" s="42">
        <f t="shared" si="33"/>
        <v>0</v>
      </c>
      <c r="AD65" s="65" t="str">
        <f t="shared" si="34"/>
        <v/>
      </c>
      <c r="AE65" s="65" t="str">
        <f t="shared" si="35"/>
        <v/>
      </c>
      <c r="AF65" s="42">
        <f t="shared" si="36"/>
        <v>0</v>
      </c>
      <c r="AG65" s="42">
        <f t="shared" si="37"/>
        <v>0</v>
      </c>
      <c r="AH65" s="65">
        <f t="shared" si="38"/>
        <v>44490.358912037038</v>
      </c>
      <c r="AI65" s="65">
        <f t="shared" si="39"/>
        <v>44490.417429976849</v>
      </c>
      <c r="AJ65" s="42">
        <f t="shared" si="40"/>
        <v>5.8517939811281394E-2</v>
      </c>
      <c r="AK65" s="71">
        <f>Data!L64</f>
        <v>2</v>
      </c>
    </row>
    <row r="66" spans="1:37" s="13" customFormat="1" ht="16.5">
      <c r="A66" s="13" t="str">
        <f>CONCATENATE(Data!F65, " ", Data!G65)</f>
        <v xml:space="preserve"> First  2  Last  2</v>
      </c>
      <c r="B66" s="13" t="str">
        <f>Data!H65</f>
        <v>Driver2@abc.com</v>
      </c>
      <c r="C66" s="13">
        <f>Data!I65</f>
        <v>2</v>
      </c>
      <c r="D66" s="65">
        <f>Data!A65</f>
        <v>44490.459097372688</v>
      </c>
      <c r="E66" s="13" t="str">
        <f>Data!J65</f>
        <v>CST6CDT</v>
      </c>
      <c r="F66" s="23">
        <f>(VLOOKUP(E66, TimeZone[], 2, FALSE)-$C$9)/24</f>
        <v>4.1666666666666664E-2</v>
      </c>
      <c r="G66" s="65">
        <f t="shared" si="20"/>
        <v>44490.417430555557</v>
      </c>
      <c r="H66" s="38">
        <f t="shared" si="21"/>
        <v>44490</v>
      </c>
      <c r="I66" s="41">
        <f t="shared" si="22"/>
        <v>0.41743055555707542</v>
      </c>
      <c r="J66" s="13">
        <f t="shared" si="41"/>
        <v>24</v>
      </c>
      <c r="K66" s="13">
        <f>COUNTIFS($A$13:A66, A66,$H$13:H66, H66)</f>
        <v>8</v>
      </c>
      <c r="L66" s="13" t="str">
        <f>Data!E65</f>
        <v>Vehicle2</v>
      </c>
      <c r="M66" s="39" t="b">
        <f t="shared" si="23"/>
        <v>0</v>
      </c>
      <c r="N66" s="39" t="str">
        <f t="shared" si="24"/>
        <v>Vehicle2</v>
      </c>
      <c r="O66" s="13">
        <f>Data!K65</f>
        <v>0</v>
      </c>
      <c r="P66" s="39" t="str">
        <f>IF(AND(A65=A66,H65=H66),IF(O65="",O66,IF(AND(ISERROR(FIND(O66,P65)),Data!K65&lt;&gt;""),P65&amp;", "&amp;O66,P65)),IF(Data!K65&lt;&gt;"",O66,""))</f>
        <v/>
      </c>
      <c r="Q66" s="39" t="str">
        <f t="shared" si="25"/>
        <v/>
      </c>
      <c r="R66" s="39" t="str">
        <f t="shared" si="26"/>
        <v>Driver2@abc.com444908</v>
      </c>
      <c r="S66" s="39" t="str">
        <f t="shared" si="42"/>
        <v xml:space="preserve">Vehicle(s): Vehicle2
Trailer(s): </v>
      </c>
      <c r="T66" s="42" t="str">
        <f>Data!B65</f>
        <v>D</v>
      </c>
      <c r="U66" s="66">
        <f>IF(Data!D65&lt;&gt;"", Data!D65, "")</f>
        <v>13.441502571105957</v>
      </c>
      <c r="V66" s="39" t="str">
        <f t="shared" si="27"/>
        <v>D</v>
      </c>
      <c r="W66" s="42">
        <f>Data!C65</f>
        <v>1.3739050925925925E-2</v>
      </c>
      <c r="X66" s="65">
        <f t="shared" si="28"/>
        <v>44490.417430555557</v>
      </c>
      <c r="Y66" s="65">
        <f t="shared" si="29"/>
        <v>44490.431169606483</v>
      </c>
      <c r="Z66" s="65" t="b">
        <f t="shared" si="30"/>
        <v>0</v>
      </c>
      <c r="AA66" s="65" t="str">
        <f t="shared" si="31"/>
        <v/>
      </c>
      <c r="AB66" s="65" t="str">
        <f t="shared" si="32"/>
        <v/>
      </c>
      <c r="AC66" s="42">
        <f t="shared" si="33"/>
        <v>0</v>
      </c>
      <c r="AD66" s="65">
        <f t="shared" si="34"/>
        <v>44490.417430555557</v>
      </c>
      <c r="AE66" s="65">
        <f t="shared" si="35"/>
        <v>44490.431169606483</v>
      </c>
      <c r="AF66" s="42">
        <f t="shared" si="36"/>
        <v>1.3739050926233176E-2</v>
      </c>
      <c r="AG66" s="42">
        <f t="shared" si="37"/>
        <v>1.3739050926233176E-2</v>
      </c>
      <c r="AH66" s="65" t="str">
        <f t="shared" si="38"/>
        <v/>
      </c>
      <c r="AI66" s="65" t="str">
        <f t="shared" si="39"/>
        <v/>
      </c>
      <c r="AJ66" s="42">
        <f t="shared" si="40"/>
        <v>0</v>
      </c>
      <c r="AK66" s="71">
        <f>Data!L65</f>
        <v>2</v>
      </c>
    </row>
    <row r="67" spans="1:37" s="13" customFormat="1" ht="16.5">
      <c r="A67" s="13" t="str">
        <f>CONCATENATE(Data!F66, " ", Data!G66)</f>
        <v xml:space="preserve"> First  2  Last  2</v>
      </c>
      <c r="B67" s="13" t="str">
        <f>Data!H66</f>
        <v>Driver2@abc.com</v>
      </c>
      <c r="C67" s="13">
        <f>Data!I66</f>
        <v>2</v>
      </c>
      <c r="D67" s="65">
        <f>Data!A66</f>
        <v>44490.472836423614</v>
      </c>
      <c r="E67" s="13" t="str">
        <f>Data!J66</f>
        <v>CST6CDT</v>
      </c>
      <c r="F67" s="23">
        <f>(VLOOKUP(E67, TimeZone[], 2, FALSE)-$C$9)/24</f>
        <v>4.1666666666666664E-2</v>
      </c>
      <c r="G67" s="65">
        <f t="shared" si="20"/>
        <v>44490.431168981486</v>
      </c>
      <c r="H67" s="38">
        <f t="shared" si="21"/>
        <v>44490</v>
      </c>
      <c r="I67" s="41">
        <f t="shared" si="22"/>
        <v>0.4311689814858255</v>
      </c>
      <c r="J67" s="13">
        <f t="shared" si="41"/>
        <v>24</v>
      </c>
      <c r="K67" s="13">
        <f>COUNTIFS($A$13:A67, A67,$H$13:H67, H67)</f>
        <v>9</v>
      </c>
      <c r="L67" s="13" t="str">
        <f>Data!E66</f>
        <v>Vehicle2</v>
      </c>
      <c r="M67" s="39" t="b">
        <f t="shared" si="23"/>
        <v>0</v>
      </c>
      <c r="N67" s="39" t="str">
        <f t="shared" si="24"/>
        <v>Vehicle2</v>
      </c>
      <c r="O67" s="13">
        <f>Data!K66</f>
        <v>0</v>
      </c>
      <c r="P67" s="39" t="str">
        <f>IF(AND(A66=A67,H66=H67),IF(O66="",O67,IF(AND(ISERROR(FIND(O67,P66)),Data!K66&lt;&gt;""),P66&amp;", "&amp;O67,P66)),IF(Data!K66&lt;&gt;"",O67,""))</f>
        <v/>
      </c>
      <c r="Q67" s="39" t="str">
        <f t="shared" si="25"/>
        <v/>
      </c>
      <c r="R67" s="39" t="str">
        <f t="shared" si="26"/>
        <v>Driver2@abc.com444909</v>
      </c>
      <c r="S67" s="39" t="str">
        <f t="shared" si="42"/>
        <v xml:space="preserve">Vehicle(s): Vehicle2
Trailer(s): </v>
      </c>
      <c r="T67" s="42" t="str">
        <f>Data!B66</f>
        <v>ON</v>
      </c>
      <c r="U67" s="66" t="str">
        <f>IF(Data!D66&lt;&gt;"", Data!D66, "")</f>
        <v/>
      </c>
      <c r="V67" s="39" t="str">
        <f t="shared" si="27"/>
        <v>ON</v>
      </c>
      <c r="W67" s="42">
        <f>Data!C66</f>
        <v>5.2545486111111109E-3</v>
      </c>
      <c r="X67" s="65">
        <f t="shared" si="28"/>
        <v>44490.431168981486</v>
      </c>
      <c r="Y67" s="65">
        <f t="shared" si="29"/>
        <v>44490.436423530096</v>
      </c>
      <c r="Z67" s="65" t="b">
        <f t="shared" si="30"/>
        <v>0</v>
      </c>
      <c r="AA67" s="65">
        <f t="shared" si="31"/>
        <v>44490.431168981486</v>
      </c>
      <c r="AB67" s="65">
        <f t="shared" si="32"/>
        <v>44490.436423530096</v>
      </c>
      <c r="AC67" s="42">
        <f t="shared" si="33"/>
        <v>5.2545486105373129E-3</v>
      </c>
      <c r="AD67" s="65" t="str">
        <f t="shared" si="34"/>
        <v/>
      </c>
      <c r="AE67" s="65" t="str">
        <f t="shared" si="35"/>
        <v/>
      </c>
      <c r="AF67" s="42">
        <f t="shared" si="36"/>
        <v>0</v>
      </c>
      <c r="AG67" s="42">
        <f t="shared" si="37"/>
        <v>5.2545486105373129E-3</v>
      </c>
      <c r="AH67" s="65" t="str">
        <f t="shared" si="38"/>
        <v/>
      </c>
      <c r="AI67" s="65" t="str">
        <f t="shared" si="39"/>
        <v/>
      </c>
      <c r="AJ67" s="42">
        <f t="shared" si="40"/>
        <v>0</v>
      </c>
      <c r="AK67" s="71">
        <f>Data!L66</f>
        <v>2</v>
      </c>
    </row>
    <row r="68" spans="1:37" s="13" customFormat="1" ht="16.5">
      <c r="A68" s="13" t="str">
        <f>CONCATENATE(Data!F67, " ", Data!G67)</f>
        <v xml:space="preserve"> First  2  Last  2</v>
      </c>
      <c r="B68" s="13" t="str">
        <f>Data!H67</f>
        <v>Driver2@abc.com</v>
      </c>
      <c r="C68" s="13">
        <f>Data!I67</f>
        <v>2</v>
      </c>
      <c r="D68" s="65">
        <f>Data!A67</f>
        <v>44490.478090972225</v>
      </c>
      <c r="E68" s="13" t="str">
        <f>Data!J67</f>
        <v>CST6CDT</v>
      </c>
      <c r="F68" s="23">
        <f>(VLOOKUP(E68, TimeZone[], 2, FALSE)-$C$9)/24</f>
        <v>4.1666666666666664E-2</v>
      </c>
      <c r="G68" s="65">
        <f t="shared" si="20"/>
        <v>44490.436423611114</v>
      </c>
      <c r="H68" s="38">
        <f t="shared" si="21"/>
        <v>44490</v>
      </c>
      <c r="I68" s="41">
        <f t="shared" si="22"/>
        <v>0.43642361111415084</v>
      </c>
      <c r="J68" s="13">
        <f t="shared" si="41"/>
        <v>24</v>
      </c>
      <c r="K68" s="13">
        <f>COUNTIFS($A$13:A68, A68,$H$13:H68, H68)</f>
        <v>10</v>
      </c>
      <c r="L68" s="13" t="str">
        <f>Data!E67</f>
        <v>Vehicle2</v>
      </c>
      <c r="M68" s="39" t="b">
        <f t="shared" si="23"/>
        <v>0</v>
      </c>
      <c r="N68" s="39" t="str">
        <f t="shared" si="24"/>
        <v>Vehicle2</v>
      </c>
      <c r="O68" s="13">
        <f>Data!K67</f>
        <v>0</v>
      </c>
      <c r="P68" s="39" t="str">
        <f>IF(AND(A67=A68,H67=H68),IF(O67="",O68,IF(AND(ISERROR(FIND(O68,P67)),Data!K67&lt;&gt;""),P67&amp;", "&amp;O68,P67)),IF(Data!K67&lt;&gt;"",O68,""))</f>
        <v/>
      </c>
      <c r="Q68" s="39" t="str">
        <f t="shared" si="25"/>
        <v/>
      </c>
      <c r="R68" s="39" t="str">
        <f t="shared" si="26"/>
        <v>Driver2@abc.com4449010</v>
      </c>
      <c r="S68" s="39" t="str">
        <f t="shared" si="42"/>
        <v xml:space="preserve">Vehicle(s): Vehicle2
Trailer(s): </v>
      </c>
      <c r="T68" s="42" t="str">
        <f>Data!B67</f>
        <v>D</v>
      </c>
      <c r="U68" s="66">
        <f>IF(Data!D67&lt;&gt;"", Data!D67, "")</f>
        <v>3.5989820957183838</v>
      </c>
      <c r="V68" s="39" t="str">
        <f t="shared" si="27"/>
        <v>D</v>
      </c>
      <c r="W68" s="42">
        <f>Data!C67</f>
        <v>6.6785069444444444E-3</v>
      </c>
      <c r="X68" s="65">
        <f t="shared" si="28"/>
        <v>44490.436423611114</v>
      </c>
      <c r="Y68" s="65">
        <f t="shared" si="29"/>
        <v>44490.443102118057</v>
      </c>
      <c r="Z68" s="65" t="b">
        <f t="shared" si="30"/>
        <v>0</v>
      </c>
      <c r="AA68" s="65" t="str">
        <f t="shared" si="31"/>
        <v/>
      </c>
      <c r="AB68" s="65" t="str">
        <f t="shared" si="32"/>
        <v/>
      </c>
      <c r="AC68" s="42">
        <f t="shared" si="33"/>
        <v>0</v>
      </c>
      <c r="AD68" s="65">
        <f t="shared" si="34"/>
        <v>44490.436423611114</v>
      </c>
      <c r="AE68" s="65">
        <f t="shared" si="35"/>
        <v>44490.443102118057</v>
      </c>
      <c r="AF68" s="42">
        <f t="shared" si="36"/>
        <v>6.6785069429897703E-3</v>
      </c>
      <c r="AG68" s="42">
        <f t="shared" si="37"/>
        <v>6.6785069429897703E-3</v>
      </c>
      <c r="AH68" s="65" t="str">
        <f t="shared" si="38"/>
        <v/>
      </c>
      <c r="AI68" s="65" t="str">
        <f t="shared" si="39"/>
        <v/>
      </c>
      <c r="AJ68" s="42">
        <f t="shared" si="40"/>
        <v>0</v>
      </c>
      <c r="AK68" s="71">
        <f>Data!L67</f>
        <v>2</v>
      </c>
    </row>
    <row r="69" spans="1:37" s="13" customFormat="1" ht="16.5">
      <c r="A69" s="13" t="str">
        <f>CONCATENATE(Data!F68, " ", Data!G68)</f>
        <v xml:space="preserve"> First  2  Last  2</v>
      </c>
      <c r="B69" s="13" t="str">
        <f>Data!H68</f>
        <v>Driver2@abc.com</v>
      </c>
      <c r="C69" s="13">
        <f>Data!I68</f>
        <v>2</v>
      </c>
      <c r="D69" s="65">
        <f>Data!A68</f>
        <v>44490.484769479168</v>
      </c>
      <c r="E69" s="13" t="str">
        <f>Data!J68</f>
        <v>CST6CDT</v>
      </c>
      <c r="F69" s="23">
        <f>(VLOOKUP(E69, TimeZone[], 2, FALSE)-$C$9)/24</f>
        <v>4.1666666666666664E-2</v>
      </c>
      <c r="G69" s="65">
        <f t="shared" si="20"/>
        <v>44490.443101851852</v>
      </c>
      <c r="H69" s="38">
        <f t="shared" si="21"/>
        <v>44490</v>
      </c>
      <c r="I69" s="41">
        <f t="shared" si="22"/>
        <v>0.44310185185167938</v>
      </c>
      <c r="J69" s="13">
        <f t="shared" si="41"/>
        <v>24</v>
      </c>
      <c r="K69" s="13">
        <f>COUNTIFS($A$13:A69, A69,$H$13:H69, H69)</f>
        <v>11</v>
      </c>
      <c r="L69" s="13" t="str">
        <f>Data!E68</f>
        <v>Vehicle2</v>
      </c>
      <c r="M69" s="39" t="b">
        <f t="shared" si="23"/>
        <v>0</v>
      </c>
      <c r="N69" s="39" t="str">
        <f t="shared" si="24"/>
        <v>Vehicle2</v>
      </c>
      <c r="O69" s="13">
        <f>Data!K68</f>
        <v>0</v>
      </c>
      <c r="P69" s="39" t="str">
        <f>IF(AND(A68=A69,H68=H69),IF(O68="",O69,IF(AND(ISERROR(FIND(O69,P68)),Data!K68&lt;&gt;""),P68&amp;", "&amp;O69,P68)),IF(Data!K68&lt;&gt;"",O69,""))</f>
        <v/>
      </c>
      <c r="Q69" s="39" t="str">
        <f t="shared" si="25"/>
        <v/>
      </c>
      <c r="R69" s="39" t="str">
        <f t="shared" si="26"/>
        <v>Driver2@abc.com4449011</v>
      </c>
      <c r="S69" s="39" t="str">
        <f t="shared" si="42"/>
        <v xml:space="preserve">Vehicle(s): Vehicle2
Trailer(s): </v>
      </c>
      <c r="T69" s="42" t="str">
        <f>Data!B68</f>
        <v>ON</v>
      </c>
      <c r="U69" s="66" t="str">
        <f>IF(Data!D68&lt;&gt;"", Data!D68, "")</f>
        <v/>
      </c>
      <c r="V69" s="39" t="str">
        <f t="shared" si="27"/>
        <v>ON</v>
      </c>
      <c r="W69" s="42">
        <f>Data!C68</f>
        <v>4.1535879629629632E-4</v>
      </c>
      <c r="X69" s="65">
        <f t="shared" si="28"/>
        <v>44490.443101851852</v>
      </c>
      <c r="Y69" s="65">
        <f t="shared" si="29"/>
        <v>44490.443517210646</v>
      </c>
      <c r="Z69" s="65" t="b">
        <f t="shared" si="30"/>
        <v>0</v>
      </c>
      <c r="AA69" s="65">
        <f t="shared" si="31"/>
        <v>44490.443101851852</v>
      </c>
      <c r="AB69" s="65">
        <f t="shared" si="32"/>
        <v>44490.443517210646</v>
      </c>
      <c r="AC69" s="42">
        <f t="shared" si="33"/>
        <v>4.1535879427101463E-4</v>
      </c>
      <c r="AD69" s="65" t="str">
        <f t="shared" si="34"/>
        <v/>
      </c>
      <c r="AE69" s="65" t="str">
        <f t="shared" si="35"/>
        <v/>
      </c>
      <c r="AF69" s="42">
        <f t="shared" si="36"/>
        <v>0</v>
      </c>
      <c r="AG69" s="42">
        <f t="shared" si="37"/>
        <v>4.1535879427101463E-4</v>
      </c>
      <c r="AH69" s="65" t="str">
        <f t="shared" si="38"/>
        <v/>
      </c>
      <c r="AI69" s="65" t="str">
        <f t="shared" si="39"/>
        <v/>
      </c>
      <c r="AJ69" s="42">
        <f t="shared" si="40"/>
        <v>0</v>
      </c>
      <c r="AK69" s="71">
        <f>Data!L68</f>
        <v>2</v>
      </c>
    </row>
    <row r="70" spans="1:37" s="13" customFormat="1" ht="16.5">
      <c r="A70" s="13" t="str">
        <f>CONCATENATE(Data!F69, " ", Data!G69)</f>
        <v xml:space="preserve"> First  2  Last  2</v>
      </c>
      <c r="B70" s="13" t="str">
        <f>Data!H69</f>
        <v>Driver2@abc.com</v>
      </c>
      <c r="C70" s="13">
        <f>Data!I69</f>
        <v>2</v>
      </c>
      <c r="D70" s="65">
        <f>Data!A69</f>
        <v>44490.485184837962</v>
      </c>
      <c r="E70" s="13" t="str">
        <f>Data!J69</f>
        <v>CST6CDT</v>
      </c>
      <c r="F70" s="23">
        <f>(VLOOKUP(E70, TimeZone[], 2, FALSE)-$C$9)/24</f>
        <v>4.1666666666666664E-2</v>
      </c>
      <c r="G70" s="65">
        <f t="shared" si="20"/>
        <v>44490.443518518521</v>
      </c>
      <c r="H70" s="38">
        <f t="shared" si="21"/>
        <v>44490</v>
      </c>
      <c r="I70" s="41">
        <f t="shared" si="22"/>
        <v>0.44351851852115942</v>
      </c>
      <c r="J70" s="13">
        <f t="shared" si="41"/>
        <v>24</v>
      </c>
      <c r="K70" s="13">
        <f>COUNTIFS($A$13:A70, A70,$H$13:H70, H70)</f>
        <v>12</v>
      </c>
      <c r="L70" s="13" t="str">
        <f>Data!E69</f>
        <v>Vehicle2</v>
      </c>
      <c r="M70" s="39" t="b">
        <f t="shared" si="23"/>
        <v>0</v>
      </c>
      <c r="N70" s="39" t="str">
        <f t="shared" si="24"/>
        <v>Vehicle2</v>
      </c>
      <c r="O70" s="13">
        <f>Data!K69</f>
        <v>0</v>
      </c>
      <c r="P70" s="39" t="str">
        <f>IF(AND(A69=A70,H69=H70),IF(O69="",O70,IF(AND(ISERROR(FIND(O70,P69)),Data!K69&lt;&gt;""),P69&amp;", "&amp;O70,P69)),IF(Data!K69&lt;&gt;"",O70,""))</f>
        <v/>
      </c>
      <c r="Q70" s="39" t="str">
        <f t="shared" si="25"/>
        <v/>
      </c>
      <c r="R70" s="39" t="str">
        <f t="shared" si="26"/>
        <v>Driver2@abc.com4449012</v>
      </c>
      <c r="S70" s="39" t="str">
        <f t="shared" si="42"/>
        <v xml:space="preserve">Vehicle(s): Vehicle2
Trailer(s): </v>
      </c>
      <c r="T70" s="42" t="str">
        <f>Data!B69</f>
        <v>ON</v>
      </c>
      <c r="U70" s="66" t="str">
        <f>IF(Data!D69&lt;&gt;"", Data!D69, "")</f>
        <v/>
      </c>
      <c r="V70" s="39" t="str">
        <f t="shared" si="27"/>
        <v>ON</v>
      </c>
      <c r="W70" s="42">
        <f>Data!C69</f>
        <v>1.921443287037037E-2</v>
      </c>
      <c r="X70" s="65">
        <f t="shared" si="28"/>
        <v>44490.443518518521</v>
      </c>
      <c r="Y70" s="65">
        <f t="shared" si="29"/>
        <v>44490.46273295139</v>
      </c>
      <c r="Z70" s="65" t="b">
        <f t="shared" si="30"/>
        <v>0</v>
      </c>
      <c r="AA70" s="65">
        <f t="shared" si="31"/>
        <v>44490.443518518521</v>
      </c>
      <c r="AB70" s="65">
        <f t="shared" si="32"/>
        <v>44490.46273295139</v>
      </c>
      <c r="AC70" s="42">
        <f t="shared" si="33"/>
        <v>1.9214432868466247E-2</v>
      </c>
      <c r="AD70" s="65" t="str">
        <f t="shared" si="34"/>
        <v/>
      </c>
      <c r="AE70" s="65" t="str">
        <f t="shared" si="35"/>
        <v/>
      </c>
      <c r="AF70" s="42">
        <f t="shared" si="36"/>
        <v>0</v>
      </c>
      <c r="AG70" s="42">
        <f t="shared" si="37"/>
        <v>1.9214432868466247E-2</v>
      </c>
      <c r="AH70" s="65" t="str">
        <f t="shared" si="38"/>
        <v/>
      </c>
      <c r="AI70" s="65" t="str">
        <f t="shared" si="39"/>
        <v/>
      </c>
      <c r="AJ70" s="42">
        <f t="shared" si="40"/>
        <v>0</v>
      </c>
      <c r="AK70" s="71">
        <f>Data!L69</f>
        <v>2</v>
      </c>
    </row>
    <row r="71" spans="1:37" s="13" customFormat="1" ht="16.5">
      <c r="A71" s="13" t="str">
        <f>CONCATENATE(Data!F70, " ", Data!G70)</f>
        <v xml:space="preserve"> First  2  Last  2</v>
      </c>
      <c r="B71" s="13" t="str">
        <f>Data!H70</f>
        <v>Driver2@abc.com</v>
      </c>
      <c r="C71" s="13">
        <f>Data!I70</f>
        <v>2</v>
      </c>
      <c r="D71" s="65">
        <f>Data!A70</f>
        <v>44490.504399270831</v>
      </c>
      <c r="E71" s="13" t="str">
        <f>Data!J70</f>
        <v>CST6CDT</v>
      </c>
      <c r="F71" s="23">
        <f>(VLOOKUP(E71, TimeZone[], 2, FALSE)-$C$9)/24</f>
        <v>4.1666666666666664E-2</v>
      </c>
      <c r="G71" s="65">
        <f t="shared" si="20"/>
        <v>44490.462731481486</v>
      </c>
      <c r="H71" s="38">
        <f t="shared" si="21"/>
        <v>44490</v>
      </c>
      <c r="I71" s="41">
        <f t="shared" si="22"/>
        <v>0.46273148148611654</v>
      </c>
      <c r="J71" s="13">
        <f t="shared" si="41"/>
        <v>24</v>
      </c>
      <c r="K71" s="13">
        <f>COUNTIFS($A$13:A71, A71,$H$13:H71, H71)</f>
        <v>13</v>
      </c>
      <c r="L71" s="13" t="str">
        <f>Data!E70</f>
        <v>Vehicle2</v>
      </c>
      <c r="M71" s="39" t="b">
        <f t="shared" si="23"/>
        <v>0</v>
      </c>
      <c r="N71" s="39" t="str">
        <f t="shared" si="24"/>
        <v>Vehicle2</v>
      </c>
      <c r="O71" s="13">
        <f>Data!K70</f>
        <v>0</v>
      </c>
      <c r="P71" s="39" t="str">
        <f>IF(AND(A70=A71,H70=H71),IF(O70="",O71,IF(AND(ISERROR(FIND(O71,P70)),Data!K70&lt;&gt;""),P70&amp;", "&amp;O71,P70)),IF(Data!K70&lt;&gt;"",O71,""))</f>
        <v/>
      </c>
      <c r="Q71" s="39" t="str">
        <f t="shared" si="25"/>
        <v/>
      </c>
      <c r="R71" s="39" t="str">
        <f t="shared" si="26"/>
        <v>Driver2@abc.com4449013</v>
      </c>
      <c r="S71" s="39" t="str">
        <f t="shared" si="42"/>
        <v xml:space="preserve">Vehicle(s): Vehicle2
Trailer(s): </v>
      </c>
      <c r="T71" s="42" t="str">
        <f>Data!B70</f>
        <v>D</v>
      </c>
      <c r="U71" s="66">
        <f>IF(Data!D70&lt;&gt;"", Data!D70, "")</f>
        <v>0.13918715715408325</v>
      </c>
      <c r="V71" s="39" t="str">
        <f t="shared" si="27"/>
        <v>D</v>
      </c>
      <c r="W71" s="42">
        <f>Data!C70</f>
        <v>1.1563194444444444E-3</v>
      </c>
      <c r="X71" s="65">
        <f t="shared" si="28"/>
        <v>44490.462731481486</v>
      </c>
      <c r="Y71" s="65">
        <f t="shared" si="29"/>
        <v>44490.463887800928</v>
      </c>
      <c r="Z71" s="65" t="b">
        <f t="shared" si="30"/>
        <v>0</v>
      </c>
      <c r="AA71" s="65" t="str">
        <f t="shared" si="31"/>
        <v/>
      </c>
      <c r="AB71" s="65" t="str">
        <f t="shared" si="32"/>
        <v/>
      </c>
      <c r="AC71" s="42">
        <f t="shared" si="33"/>
        <v>0</v>
      </c>
      <c r="AD71" s="65">
        <f t="shared" si="34"/>
        <v>44490.462731481486</v>
      </c>
      <c r="AE71" s="65">
        <f t="shared" si="35"/>
        <v>44490.463887800928</v>
      </c>
      <c r="AF71" s="42">
        <f t="shared" si="36"/>
        <v>1.1563194420887157E-3</v>
      </c>
      <c r="AG71" s="42">
        <f t="shared" si="37"/>
        <v>1.1563194420887157E-3</v>
      </c>
      <c r="AH71" s="65" t="str">
        <f t="shared" si="38"/>
        <v/>
      </c>
      <c r="AI71" s="65" t="str">
        <f t="shared" si="39"/>
        <v/>
      </c>
      <c r="AJ71" s="42">
        <f t="shared" si="40"/>
        <v>0</v>
      </c>
      <c r="AK71" s="71">
        <f>Data!L70</f>
        <v>2</v>
      </c>
    </row>
    <row r="72" spans="1:37" s="13" customFormat="1" ht="16.5">
      <c r="A72" s="13" t="str">
        <f>CONCATENATE(Data!F71, " ", Data!G71)</f>
        <v xml:space="preserve"> First  2  Last  2</v>
      </c>
      <c r="B72" s="13" t="str">
        <f>Data!H71</f>
        <v>Driver2@abc.com</v>
      </c>
      <c r="C72" s="13">
        <f>Data!I71</f>
        <v>2</v>
      </c>
      <c r="D72" s="65">
        <f>Data!A71</f>
        <v>44490.50555559028</v>
      </c>
      <c r="E72" s="13" t="str">
        <f>Data!J71</f>
        <v>CST6CDT</v>
      </c>
      <c r="F72" s="23">
        <f>(VLOOKUP(E72, TimeZone[], 2, FALSE)-$C$9)/24</f>
        <v>4.1666666666666664E-2</v>
      </c>
      <c r="G72" s="65">
        <f t="shared" si="20"/>
        <v>44490.463888888895</v>
      </c>
      <c r="H72" s="38">
        <f t="shared" si="21"/>
        <v>44490</v>
      </c>
      <c r="I72" s="41">
        <f t="shared" si="22"/>
        <v>0.46388888889487134</v>
      </c>
      <c r="J72" s="13">
        <f t="shared" si="41"/>
        <v>24</v>
      </c>
      <c r="K72" s="13">
        <f>COUNTIFS($A$13:A72, A72,$H$13:H72, H72)</f>
        <v>14</v>
      </c>
      <c r="L72" s="13" t="str">
        <f>Data!E71</f>
        <v>Vehicle2</v>
      </c>
      <c r="M72" s="39" t="b">
        <f t="shared" si="23"/>
        <v>0</v>
      </c>
      <c r="N72" s="39" t="str">
        <f t="shared" si="24"/>
        <v>Vehicle2</v>
      </c>
      <c r="O72" s="13">
        <f>Data!K71</f>
        <v>0</v>
      </c>
      <c r="P72" s="39" t="str">
        <f>IF(AND(A71=A72,H71=H72),IF(O71="",O72,IF(AND(ISERROR(FIND(O72,P71)),Data!K71&lt;&gt;""),P71&amp;", "&amp;O72,P71)),IF(Data!K71&lt;&gt;"",O72,""))</f>
        <v/>
      </c>
      <c r="Q72" s="39" t="str">
        <f t="shared" si="25"/>
        <v/>
      </c>
      <c r="R72" s="39" t="str">
        <f t="shared" si="26"/>
        <v>Driver2@abc.com4449014</v>
      </c>
      <c r="S72" s="39" t="str">
        <f t="shared" si="42"/>
        <v xml:space="preserve">Vehicle(s): Vehicle2
Trailer(s): </v>
      </c>
      <c r="T72" s="42" t="str">
        <f>Data!B71</f>
        <v>ON</v>
      </c>
      <c r="U72" s="66" t="str">
        <f>IF(Data!D71&lt;&gt;"", Data!D71, "")</f>
        <v/>
      </c>
      <c r="V72" s="39" t="str">
        <f t="shared" si="27"/>
        <v>ON</v>
      </c>
      <c r="W72" s="42">
        <f>Data!C71</f>
        <v>6.4591435185185186E-3</v>
      </c>
      <c r="X72" s="65">
        <f t="shared" si="28"/>
        <v>44490.463888888895</v>
      </c>
      <c r="Y72" s="65">
        <f t="shared" si="29"/>
        <v>44490.470348032417</v>
      </c>
      <c r="Z72" s="65" t="b">
        <f t="shared" si="30"/>
        <v>0</v>
      </c>
      <c r="AA72" s="65">
        <f t="shared" si="31"/>
        <v>44490.463888888895</v>
      </c>
      <c r="AB72" s="65">
        <f t="shared" si="32"/>
        <v>44490.470348032417</v>
      </c>
      <c r="AC72" s="42">
        <f t="shared" si="33"/>
        <v>6.4591435220791027E-3</v>
      </c>
      <c r="AD72" s="65" t="str">
        <f t="shared" si="34"/>
        <v/>
      </c>
      <c r="AE72" s="65" t="str">
        <f t="shared" si="35"/>
        <v/>
      </c>
      <c r="AF72" s="42">
        <f t="shared" si="36"/>
        <v>0</v>
      </c>
      <c r="AG72" s="42">
        <f t="shared" si="37"/>
        <v>6.4591435220791027E-3</v>
      </c>
      <c r="AH72" s="65" t="str">
        <f t="shared" si="38"/>
        <v/>
      </c>
      <c r="AI72" s="65" t="str">
        <f t="shared" si="39"/>
        <v/>
      </c>
      <c r="AJ72" s="42">
        <f t="shared" si="40"/>
        <v>0</v>
      </c>
      <c r="AK72" s="71">
        <f>Data!L71</f>
        <v>2</v>
      </c>
    </row>
    <row r="73" spans="1:37" s="13" customFormat="1" ht="16.5">
      <c r="A73" s="13" t="str">
        <f>CONCATENATE(Data!F72, " ", Data!G72)</f>
        <v xml:space="preserve"> First  2  Last  2</v>
      </c>
      <c r="B73" s="13" t="str">
        <f>Data!H72</f>
        <v>Driver2@abc.com</v>
      </c>
      <c r="C73" s="13">
        <f>Data!I72</f>
        <v>2</v>
      </c>
      <c r="D73" s="65">
        <f>Data!A72</f>
        <v>44490.512014733795</v>
      </c>
      <c r="E73" s="13" t="str">
        <f>Data!J72</f>
        <v>CST6CDT</v>
      </c>
      <c r="F73" s="23">
        <f>(VLOOKUP(E73, TimeZone[], 2, FALSE)-$C$9)/24</f>
        <v>4.1666666666666664E-2</v>
      </c>
      <c r="G73" s="65">
        <f t="shared" si="20"/>
        <v>44490.470347222225</v>
      </c>
      <c r="H73" s="38">
        <f t="shared" si="21"/>
        <v>44490</v>
      </c>
      <c r="I73" s="41">
        <f t="shared" si="22"/>
        <v>0.47034722222451819</v>
      </c>
      <c r="J73" s="13">
        <f t="shared" si="41"/>
        <v>24</v>
      </c>
      <c r="K73" s="13">
        <f>COUNTIFS($A$13:A73, A73,$H$13:H73, H73)</f>
        <v>15</v>
      </c>
      <c r="L73" s="13" t="str">
        <f>Data!E72</f>
        <v>Vehicle2</v>
      </c>
      <c r="M73" s="39" t="b">
        <f t="shared" si="23"/>
        <v>0</v>
      </c>
      <c r="N73" s="39" t="str">
        <f t="shared" si="24"/>
        <v>Vehicle2</v>
      </c>
      <c r="O73" s="13">
        <f>Data!K72</f>
        <v>0</v>
      </c>
      <c r="P73" s="39" t="str">
        <f>IF(AND(A72=A73,H72=H73),IF(O72="",O73,IF(AND(ISERROR(FIND(O73,P72)),Data!K72&lt;&gt;""),P72&amp;", "&amp;O73,P72)),IF(Data!K72&lt;&gt;"",O73,""))</f>
        <v/>
      </c>
      <c r="Q73" s="39" t="str">
        <f t="shared" si="25"/>
        <v/>
      </c>
      <c r="R73" s="39" t="str">
        <f t="shared" si="26"/>
        <v>Driver2@abc.com4449015</v>
      </c>
      <c r="S73" s="39" t="str">
        <f t="shared" si="42"/>
        <v xml:space="preserve">Vehicle(s): Vehicle2
Trailer(s): </v>
      </c>
      <c r="T73" s="42" t="str">
        <f>Data!B72</f>
        <v>D</v>
      </c>
      <c r="U73" s="66">
        <f>IF(Data!D72&lt;&gt;"", Data!D72, "")</f>
        <v>2.505368709564209</v>
      </c>
      <c r="V73" s="39" t="str">
        <f t="shared" si="27"/>
        <v>D</v>
      </c>
      <c r="W73" s="42">
        <f>Data!C72</f>
        <v>4.9886226851851853E-3</v>
      </c>
      <c r="X73" s="65">
        <f t="shared" si="28"/>
        <v>44490.470347222225</v>
      </c>
      <c r="Y73" s="65">
        <f t="shared" si="29"/>
        <v>44490.475335844909</v>
      </c>
      <c r="Z73" s="65" t="b">
        <f t="shared" si="30"/>
        <v>0</v>
      </c>
      <c r="AA73" s="65" t="str">
        <f t="shared" si="31"/>
        <v/>
      </c>
      <c r="AB73" s="65" t="str">
        <f t="shared" si="32"/>
        <v/>
      </c>
      <c r="AC73" s="42">
        <f t="shared" si="33"/>
        <v>0</v>
      </c>
      <c r="AD73" s="65">
        <f t="shared" si="34"/>
        <v>44490.470347222225</v>
      </c>
      <c r="AE73" s="65">
        <f t="shared" si="35"/>
        <v>44490.475335844909</v>
      </c>
      <c r="AF73" s="42">
        <f t="shared" si="36"/>
        <v>4.9886226843227632E-3</v>
      </c>
      <c r="AG73" s="42">
        <f t="shared" si="37"/>
        <v>4.9886226843227632E-3</v>
      </c>
      <c r="AH73" s="65" t="str">
        <f t="shared" si="38"/>
        <v/>
      </c>
      <c r="AI73" s="65" t="str">
        <f t="shared" si="39"/>
        <v/>
      </c>
      <c r="AJ73" s="42">
        <f t="shared" si="40"/>
        <v>0</v>
      </c>
      <c r="AK73" s="71">
        <f>Data!L72</f>
        <v>2</v>
      </c>
    </row>
    <row r="74" spans="1:37" s="13" customFormat="1" ht="16.5">
      <c r="A74" s="13" t="str">
        <f>CONCATENATE(Data!F73, " ", Data!G73)</f>
        <v xml:space="preserve"> First  2  Last  2</v>
      </c>
      <c r="B74" s="13" t="str">
        <f>Data!H73</f>
        <v>Driver2@abc.com</v>
      </c>
      <c r="C74" s="13">
        <f>Data!I73</f>
        <v>2</v>
      </c>
      <c r="D74" s="65">
        <f>Data!A73</f>
        <v>44490.517003356479</v>
      </c>
      <c r="E74" s="13" t="str">
        <f>Data!J73</f>
        <v>CST6CDT</v>
      </c>
      <c r="F74" s="23">
        <f>(VLOOKUP(E74, TimeZone[], 2, FALSE)-$C$9)/24</f>
        <v>4.1666666666666664E-2</v>
      </c>
      <c r="G74" s="65">
        <f t="shared" si="20"/>
        <v>44490.475335648152</v>
      </c>
      <c r="H74" s="38">
        <f t="shared" si="21"/>
        <v>44490</v>
      </c>
      <c r="I74" s="41">
        <f t="shared" si="22"/>
        <v>0.47533564815239515</v>
      </c>
      <c r="J74" s="13">
        <f t="shared" si="41"/>
        <v>24</v>
      </c>
      <c r="K74" s="13">
        <f>COUNTIFS($A$13:A74, A74,$H$13:H74, H74)</f>
        <v>16</v>
      </c>
      <c r="L74" s="13" t="str">
        <f>Data!E73</f>
        <v>Vehicle2</v>
      </c>
      <c r="M74" s="39" t="b">
        <f t="shared" si="23"/>
        <v>0</v>
      </c>
      <c r="N74" s="39" t="str">
        <f t="shared" si="24"/>
        <v>Vehicle2</v>
      </c>
      <c r="O74" s="13">
        <f>Data!K73</f>
        <v>0</v>
      </c>
      <c r="P74" s="39" t="str">
        <f>IF(AND(A73=A74,H73=H74),IF(O73="",O74,IF(AND(ISERROR(FIND(O74,P73)),Data!K73&lt;&gt;""),P73&amp;", "&amp;O74,P73)),IF(Data!K73&lt;&gt;"",O74,""))</f>
        <v/>
      </c>
      <c r="Q74" s="39" t="str">
        <f t="shared" si="25"/>
        <v/>
      </c>
      <c r="R74" s="39" t="str">
        <f t="shared" si="26"/>
        <v>Driver2@abc.com4449016</v>
      </c>
      <c r="S74" s="39" t="str">
        <f t="shared" si="42"/>
        <v xml:space="preserve">Vehicle(s): Vehicle2
Trailer(s): </v>
      </c>
      <c r="T74" s="42" t="str">
        <f>Data!B73</f>
        <v>ON</v>
      </c>
      <c r="U74" s="66" t="str">
        <f>IF(Data!D73&lt;&gt;"", Data!D73, "")</f>
        <v/>
      </c>
      <c r="V74" s="39" t="str">
        <f t="shared" si="27"/>
        <v>ON</v>
      </c>
      <c r="W74" s="42">
        <f>Data!C73</f>
        <v>7.6853819444444443E-3</v>
      </c>
      <c r="X74" s="65">
        <f t="shared" si="28"/>
        <v>44490.475335648152</v>
      </c>
      <c r="Y74" s="65">
        <f t="shared" si="29"/>
        <v>44490.483021030093</v>
      </c>
      <c r="Z74" s="65" t="b">
        <f t="shared" si="30"/>
        <v>0</v>
      </c>
      <c r="AA74" s="65">
        <f t="shared" si="31"/>
        <v>44490.475335648152</v>
      </c>
      <c r="AB74" s="65">
        <f t="shared" si="32"/>
        <v>44490.483021030093</v>
      </c>
      <c r="AC74" s="42">
        <f t="shared" si="33"/>
        <v>7.6853819409734569E-3</v>
      </c>
      <c r="AD74" s="65" t="str">
        <f t="shared" si="34"/>
        <v/>
      </c>
      <c r="AE74" s="65" t="str">
        <f t="shared" si="35"/>
        <v/>
      </c>
      <c r="AF74" s="42">
        <f t="shared" si="36"/>
        <v>0</v>
      </c>
      <c r="AG74" s="42">
        <f t="shared" si="37"/>
        <v>7.6853819409734569E-3</v>
      </c>
      <c r="AH74" s="65" t="str">
        <f t="shared" si="38"/>
        <v/>
      </c>
      <c r="AI74" s="65" t="str">
        <f t="shared" si="39"/>
        <v/>
      </c>
      <c r="AJ74" s="42">
        <f t="shared" si="40"/>
        <v>0</v>
      </c>
      <c r="AK74" s="71">
        <f>Data!L73</f>
        <v>2</v>
      </c>
    </row>
    <row r="75" spans="1:37" s="13" customFormat="1" ht="16.5">
      <c r="A75" s="13" t="str">
        <f>CONCATENATE(Data!F74, " ", Data!G74)</f>
        <v xml:space="preserve"> First  2  Last  2</v>
      </c>
      <c r="B75" s="13" t="str">
        <f>Data!H74</f>
        <v>Driver2@abc.com</v>
      </c>
      <c r="C75" s="13">
        <f>Data!I74</f>
        <v>2</v>
      </c>
      <c r="D75" s="65">
        <f>Data!A74</f>
        <v>44490.524688738427</v>
      </c>
      <c r="E75" s="13" t="str">
        <f>Data!J74</f>
        <v>CST6CDT</v>
      </c>
      <c r="F75" s="23">
        <f>(VLOOKUP(E75, TimeZone[], 2, FALSE)-$C$9)/24</f>
        <v>4.1666666666666664E-2</v>
      </c>
      <c r="G75" s="65">
        <f t="shared" si="20"/>
        <v>44490.483020833337</v>
      </c>
      <c r="H75" s="38">
        <f t="shared" si="21"/>
        <v>44490</v>
      </c>
      <c r="I75" s="41">
        <f t="shared" si="22"/>
        <v>0.48302083333692281</v>
      </c>
      <c r="J75" s="13">
        <f t="shared" si="41"/>
        <v>24</v>
      </c>
      <c r="K75" s="13">
        <f>COUNTIFS($A$13:A75, A75,$H$13:H75, H75)</f>
        <v>17</v>
      </c>
      <c r="L75" s="13" t="str">
        <f>Data!E74</f>
        <v>Vehicle2</v>
      </c>
      <c r="M75" s="39" t="b">
        <f t="shared" si="23"/>
        <v>0</v>
      </c>
      <c r="N75" s="39" t="str">
        <f t="shared" si="24"/>
        <v>Vehicle2</v>
      </c>
      <c r="O75" s="13">
        <f>Data!K74</f>
        <v>0</v>
      </c>
      <c r="P75" s="39" t="str">
        <f>IF(AND(A74=A75,H74=H75),IF(O74="",O75,IF(AND(ISERROR(FIND(O75,P74)),Data!K74&lt;&gt;""),P74&amp;", "&amp;O75,P74)),IF(Data!K74&lt;&gt;"",O75,""))</f>
        <v/>
      </c>
      <c r="Q75" s="39" t="str">
        <f t="shared" si="25"/>
        <v/>
      </c>
      <c r="R75" s="39" t="str">
        <f t="shared" si="26"/>
        <v>Driver2@abc.com4449017</v>
      </c>
      <c r="S75" s="39" t="str">
        <f t="shared" si="42"/>
        <v xml:space="preserve">Vehicle(s): Vehicle2
Trailer(s): </v>
      </c>
      <c r="T75" s="42" t="str">
        <f>Data!B74</f>
        <v>D</v>
      </c>
      <c r="U75" s="66">
        <f>IF(Data!D74&lt;&gt;"", Data!D74, "")</f>
        <v>3.062117338180542</v>
      </c>
      <c r="V75" s="39" t="str">
        <f t="shared" si="27"/>
        <v>D</v>
      </c>
      <c r="W75" s="42">
        <f>Data!C74</f>
        <v>6.8163888888888892E-3</v>
      </c>
      <c r="X75" s="65">
        <f t="shared" si="28"/>
        <v>44490.483020833337</v>
      </c>
      <c r="Y75" s="65">
        <f t="shared" si="29"/>
        <v>44490.489837222223</v>
      </c>
      <c r="Z75" s="65" t="b">
        <f t="shared" si="30"/>
        <v>0</v>
      </c>
      <c r="AA75" s="65" t="str">
        <f t="shared" si="31"/>
        <v/>
      </c>
      <c r="AB75" s="65" t="str">
        <f t="shared" si="32"/>
        <v/>
      </c>
      <c r="AC75" s="42">
        <f t="shared" si="33"/>
        <v>0</v>
      </c>
      <c r="AD75" s="65">
        <f t="shared" si="34"/>
        <v>44490.483020833337</v>
      </c>
      <c r="AE75" s="65">
        <f t="shared" si="35"/>
        <v>44490.489837222223</v>
      </c>
      <c r="AF75" s="42">
        <f t="shared" si="36"/>
        <v>6.8163888863637112E-3</v>
      </c>
      <c r="AG75" s="42">
        <f t="shared" si="37"/>
        <v>6.8163888863637112E-3</v>
      </c>
      <c r="AH75" s="65" t="str">
        <f t="shared" si="38"/>
        <v/>
      </c>
      <c r="AI75" s="65" t="str">
        <f t="shared" si="39"/>
        <v/>
      </c>
      <c r="AJ75" s="42">
        <f t="shared" si="40"/>
        <v>0</v>
      </c>
      <c r="AK75" s="71">
        <f>Data!L74</f>
        <v>2</v>
      </c>
    </row>
    <row r="76" spans="1:37" s="13" customFormat="1" ht="16.5">
      <c r="A76" s="13" t="str">
        <f>CONCATENATE(Data!F75, " ", Data!G75)</f>
        <v xml:space="preserve"> First  2  Last  2</v>
      </c>
      <c r="B76" s="13" t="str">
        <f>Data!H75</f>
        <v>Driver2@abc.com</v>
      </c>
      <c r="C76" s="13">
        <f>Data!I75</f>
        <v>2</v>
      </c>
      <c r="D76" s="65">
        <f>Data!A75</f>
        <v>44490.531505127314</v>
      </c>
      <c r="E76" s="13" t="str">
        <f>Data!J75</f>
        <v>CST6CDT</v>
      </c>
      <c r="F76" s="23">
        <f>(VLOOKUP(E76, TimeZone[], 2, FALSE)-$C$9)/24</f>
        <v>4.1666666666666664E-2</v>
      </c>
      <c r="G76" s="65">
        <f t="shared" si="20"/>
        <v>44490.489837962967</v>
      </c>
      <c r="H76" s="38">
        <f t="shared" si="21"/>
        <v>44490</v>
      </c>
      <c r="I76" s="41">
        <f t="shared" si="22"/>
        <v>0.48983796296670334</v>
      </c>
      <c r="J76" s="13">
        <f t="shared" si="41"/>
        <v>24</v>
      </c>
      <c r="K76" s="13">
        <f>COUNTIFS($A$13:A76, A76,$H$13:H76, H76)</f>
        <v>18</v>
      </c>
      <c r="L76" s="13" t="str">
        <f>Data!E75</f>
        <v>Vehicle2</v>
      </c>
      <c r="M76" s="39" t="b">
        <f t="shared" si="23"/>
        <v>0</v>
      </c>
      <c r="N76" s="39" t="str">
        <f t="shared" si="24"/>
        <v>Vehicle2</v>
      </c>
      <c r="O76" s="13">
        <f>Data!K75</f>
        <v>0</v>
      </c>
      <c r="P76" s="39" t="str">
        <f>IF(AND(A75=A76,H75=H76),IF(O75="",O76,IF(AND(ISERROR(FIND(O76,P75)),Data!K75&lt;&gt;""),P75&amp;", "&amp;O76,P75)),IF(Data!K75&lt;&gt;"",O76,""))</f>
        <v/>
      </c>
      <c r="Q76" s="39" t="str">
        <f t="shared" si="25"/>
        <v/>
      </c>
      <c r="R76" s="39" t="str">
        <f t="shared" si="26"/>
        <v>Driver2@abc.com4449018</v>
      </c>
      <c r="S76" s="39" t="str">
        <f t="shared" si="42"/>
        <v xml:space="preserve">Vehicle(s): Vehicle2
Trailer(s): </v>
      </c>
      <c r="T76" s="42" t="str">
        <f>Data!B75</f>
        <v>ON</v>
      </c>
      <c r="U76" s="66" t="str">
        <f>IF(Data!D75&lt;&gt;"", Data!D75, "")</f>
        <v/>
      </c>
      <c r="V76" s="39" t="str">
        <f t="shared" si="27"/>
        <v>ON</v>
      </c>
      <c r="W76" s="42">
        <f>Data!C75</f>
        <v>6.111655092592593E-3</v>
      </c>
      <c r="X76" s="65">
        <f t="shared" si="28"/>
        <v>44490.489837962967</v>
      </c>
      <c r="Y76" s="65">
        <f t="shared" si="29"/>
        <v>44490.49594961806</v>
      </c>
      <c r="Z76" s="65" t="b">
        <f t="shared" si="30"/>
        <v>0</v>
      </c>
      <c r="AA76" s="65">
        <f t="shared" si="31"/>
        <v>44490.489837962967</v>
      </c>
      <c r="AB76" s="65">
        <f t="shared" si="32"/>
        <v>44490.49594961806</v>
      </c>
      <c r="AC76" s="42">
        <f t="shared" si="33"/>
        <v>6.1116550932638347E-3</v>
      </c>
      <c r="AD76" s="65" t="str">
        <f t="shared" si="34"/>
        <v/>
      </c>
      <c r="AE76" s="65" t="str">
        <f t="shared" si="35"/>
        <v/>
      </c>
      <c r="AF76" s="42">
        <f t="shared" si="36"/>
        <v>0</v>
      </c>
      <c r="AG76" s="42">
        <f t="shared" si="37"/>
        <v>6.1116550932638347E-3</v>
      </c>
      <c r="AH76" s="65" t="str">
        <f t="shared" si="38"/>
        <v/>
      </c>
      <c r="AI76" s="65" t="str">
        <f t="shared" si="39"/>
        <v/>
      </c>
      <c r="AJ76" s="42">
        <f t="shared" si="40"/>
        <v>0</v>
      </c>
      <c r="AK76" s="71">
        <f>Data!L75</f>
        <v>2</v>
      </c>
    </row>
    <row r="77" spans="1:37" s="13" customFormat="1" ht="16.5">
      <c r="A77" s="13" t="str">
        <f>CONCATENATE(Data!F76, " ", Data!G76)</f>
        <v xml:space="preserve"> First  2  Last  2</v>
      </c>
      <c r="B77" s="13" t="str">
        <f>Data!H76</f>
        <v>Driver2@abc.com</v>
      </c>
      <c r="C77" s="13">
        <f>Data!I76</f>
        <v>2</v>
      </c>
      <c r="D77" s="65">
        <f>Data!A76</f>
        <v>44490.537616782407</v>
      </c>
      <c r="E77" s="13" t="str">
        <f>Data!J76</f>
        <v>CST6CDT</v>
      </c>
      <c r="F77" s="23">
        <f>(VLOOKUP(E77, TimeZone[], 2, FALSE)-$C$9)/24</f>
        <v>4.1666666666666664E-2</v>
      </c>
      <c r="G77" s="65">
        <f t="shared" si="20"/>
        <v>44490.495949074073</v>
      </c>
      <c r="H77" s="38">
        <f t="shared" si="21"/>
        <v>44490</v>
      </c>
      <c r="I77" s="41">
        <f t="shared" si="22"/>
        <v>0.49594907407299615</v>
      </c>
      <c r="J77" s="13">
        <f t="shared" ref="J77:J98" si="43">COUNTIFS(A:A, A77,H:H, H77)</f>
        <v>24</v>
      </c>
      <c r="K77" s="13">
        <f>COUNTIFS($A$13:A77, A77,$H$13:H77, H77)</f>
        <v>19</v>
      </c>
      <c r="L77" s="13" t="str">
        <f>Data!E76</f>
        <v>Vehicle2</v>
      </c>
      <c r="M77" s="39" t="b">
        <f t="shared" si="23"/>
        <v>0</v>
      </c>
      <c r="N77" s="39" t="str">
        <f t="shared" si="24"/>
        <v>Vehicle2</v>
      </c>
      <c r="O77" s="13">
        <f>Data!K76</f>
        <v>0</v>
      </c>
      <c r="P77" s="39" t="str">
        <f>IF(AND(A76=A77,H76=H77),IF(O76="",O77,IF(AND(ISERROR(FIND(O77,P76)),Data!K76&lt;&gt;""),P76&amp;", "&amp;O77,P76)),IF(Data!K76&lt;&gt;"",O77,""))</f>
        <v/>
      </c>
      <c r="Q77" s="39" t="str">
        <f t="shared" si="25"/>
        <v/>
      </c>
      <c r="R77" s="39" t="str">
        <f t="shared" si="26"/>
        <v>Driver2@abc.com4449019</v>
      </c>
      <c r="S77" s="39" t="str">
        <f t="shared" ref="S77:S98" si="44">INDEX(Q:Q, MATCH(CONCATENATE(B77, H77, J77),R:R, 0))</f>
        <v xml:space="preserve">Vehicle(s): Vehicle2
Trailer(s): </v>
      </c>
      <c r="T77" s="42" t="str">
        <f>Data!B76</f>
        <v>D</v>
      </c>
      <c r="U77" s="66">
        <f>IF(Data!D76&lt;&gt;"", Data!D76, "")</f>
        <v>19.068639755249023</v>
      </c>
      <c r="V77" s="39" t="str">
        <f t="shared" si="27"/>
        <v>D</v>
      </c>
      <c r="W77" s="42">
        <f>Data!C76</f>
        <v>3.3691354166666666E-2</v>
      </c>
      <c r="X77" s="65">
        <f t="shared" si="28"/>
        <v>44490.495949074073</v>
      </c>
      <c r="Y77" s="65">
        <f t="shared" si="29"/>
        <v>44490.529640428242</v>
      </c>
      <c r="Z77" s="65" t="b">
        <f t="shared" si="30"/>
        <v>0</v>
      </c>
      <c r="AA77" s="65" t="str">
        <f t="shared" si="31"/>
        <v/>
      </c>
      <c r="AB77" s="65" t="str">
        <f t="shared" si="32"/>
        <v/>
      </c>
      <c r="AC77" s="42">
        <f t="shared" si="33"/>
        <v>0</v>
      </c>
      <c r="AD77" s="65">
        <f t="shared" si="34"/>
        <v>44490.495949074073</v>
      </c>
      <c r="AE77" s="65">
        <f t="shared" si="35"/>
        <v>44490.529640428242</v>
      </c>
      <c r="AF77" s="42">
        <f t="shared" si="36"/>
        <v>3.3691354168695398E-2</v>
      </c>
      <c r="AG77" s="42">
        <f t="shared" si="37"/>
        <v>3.3691354168695398E-2</v>
      </c>
      <c r="AH77" s="65" t="str">
        <f t="shared" si="38"/>
        <v/>
      </c>
      <c r="AI77" s="65" t="str">
        <f t="shared" si="39"/>
        <v/>
      </c>
      <c r="AJ77" s="42">
        <f t="shared" si="40"/>
        <v>0</v>
      </c>
      <c r="AK77" s="71">
        <f>Data!L76</f>
        <v>2</v>
      </c>
    </row>
    <row r="78" spans="1:37" s="13" customFormat="1" ht="16.5">
      <c r="A78" s="13" t="str">
        <f>CONCATENATE(Data!F77, " ", Data!G77)</f>
        <v xml:space="preserve"> First  2  Last  2</v>
      </c>
      <c r="B78" s="13" t="str">
        <f>Data!H77</f>
        <v>Driver2@abc.com</v>
      </c>
      <c r="C78" s="13">
        <f>Data!I77</f>
        <v>2</v>
      </c>
      <c r="D78" s="65">
        <f>Data!A77</f>
        <v>44490.571308136576</v>
      </c>
      <c r="E78" s="13" t="str">
        <f>Data!J77</f>
        <v>CST6CDT</v>
      </c>
      <c r="F78" s="23">
        <f>(VLOOKUP(E78, TimeZone[], 2, FALSE)-$C$9)/24</f>
        <v>4.1666666666666664E-2</v>
      </c>
      <c r="G78" s="65">
        <f t="shared" ref="G78:G98" si="45">(INT(D78)+TIME(HOUR(D78), MINUTE(D78), SECOND(D78)))-F78</f>
        <v>44490.529641203706</v>
      </c>
      <c r="H78" s="38">
        <f t="shared" ref="H78:H98" si="46">INT(G78)</f>
        <v>44490</v>
      </c>
      <c r="I78" s="41">
        <f t="shared" ref="I78:I98" si="47">MOD(G78, 1)</f>
        <v>0.52964120370597811</v>
      </c>
      <c r="J78" s="13">
        <f t="shared" si="43"/>
        <v>24</v>
      </c>
      <c r="K78" s="13">
        <f>COUNTIFS($A$13:A78, A78,$H$13:H78, H78)</f>
        <v>20</v>
      </c>
      <c r="L78" s="13" t="str">
        <f>Data!E77</f>
        <v>Vehicle2</v>
      </c>
      <c r="M78" s="39" t="b">
        <f t="shared" ref="M78:M98" si="48">OR(A78&lt;&gt;A79,H78&lt;&gt;H79)</f>
        <v>0</v>
      </c>
      <c r="N78" s="39" t="str">
        <f t="shared" ref="N78:N98" si="49">IF(AND(A77=A78,H77=H78),IF(ISERROR(FIND(L78,N77)),N77&amp;", "&amp;L78,N77),L78)</f>
        <v>Vehicle2</v>
      </c>
      <c r="O78" s="13">
        <f>Data!K77</f>
        <v>0</v>
      </c>
      <c r="P78" s="39" t="str">
        <f>IF(AND(A77=A78,H77=H78),IF(O77="",O78,IF(AND(ISERROR(FIND(O78,P77)),Data!K77&lt;&gt;""),P77&amp;", "&amp;O78,P77)),IF(Data!K77&lt;&gt;"",O78,""))</f>
        <v/>
      </c>
      <c r="Q78" s="39" t="str">
        <f t="shared" ref="Q78:Q98" si="50">IF(M78,"Vehicle(s): "&amp;N78&amp;CHAR(10)&amp;"Trailer(s): "&amp;P78,"")</f>
        <v/>
      </c>
      <c r="R78" s="39" t="str">
        <f t="shared" ref="R78:R98" si="51">B78&amp;H78&amp;K78</f>
        <v>Driver2@abc.com4449020</v>
      </c>
      <c r="S78" s="39" t="str">
        <f t="shared" si="44"/>
        <v xml:space="preserve">Vehicle(s): Vehicle2
Trailer(s): </v>
      </c>
      <c r="T78" s="42" t="str">
        <f>Data!B77</f>
        <v>ON</v>
      </c>
      <c r="U78" s="66" t="str">
        <f>IF(Data!D77&lt;&gt;"", Data!D77, "")</f>
        <v/>
      </c>
      <c r="V78" s="39" t="str">
        <f t="shared" ref="V78:V98" si="52">IF(OR(ISNUMBER(FIND("OFF",T78)),ISNUMBER(FIND("SB",T78)),ISNUMBER(FIND("PC",T78))),"OFF",IF(OR(ISNUMBER(FIND("ON",T78)),ISNUMBER(FIND("YM",T78))),"ON",IF(ISNUMBER(FIND("D", T78)), "D", "NA")))</f>
        <v>ON</v>
      </c>
      <c r="W78" s="42">
        <f>Data!C77</f>
        <v>9.9311805555555559E-3</v>
      </c>
      <c r="X78" s="65">
        <f t="shared" ref="X78:X98" si="53">IF(OR(T78="ON", T78="D", IF(J78=1, TRUE, Z77)), IF(AND(IF(J78=1, TRUE, Z77), T77&lt;&gt;"OFF"), H78, G78), "")</f>
        <v>44490.529641203706</v>
      </c>
      <c r="Y78" s="65">
        <f t="shared" ref="Y78:Y98" si="54">IF(X78&lt;&gt;"", IF(AND(J78&lt;&gt;1, V78&lt;&gt;"OFF"), IF(Z78, IF(Z77, IF(V78="OFF", G78, H78+1), H78+1), IF(Z77, IF(V78="OFF", G78, G78+W78), X78+W78)),H78), "")</f>
        <v>44490.539572384259</v>
      </c>
      <c r="Z78" s="65" t="b">
        <f t="shared" ref="Z78:Z98" si="55">INT(G78+W78)&lt;&gt;H78</f>
        <v>0</v>
      </c>
      <c r="AA78" s="65">
        <f t="shared" ref="AA78:AA98" si="56">IF(OR(V78="ON", Z77), IF(AND(Z77, V77="ON"), H78, G78), "")</f>
        <v>44490.529641203706</v>
      </c>
      <c r="AB78" s="65">
        <f t="shared" ref="AB78:AB98" si="57">IF(AA78&lt;&gt;"", IF(Z78, IF(Z77, IF(V78&lt;&gt;"ON", G78, H78+1), H78+1), IF(Z77, IF(V78&lt;&gt;"ON", G78, G78+W78), AA78+W78)), "")</f>
        <v>44490.539572384259</v>
      </c>
      <c r="AC78" s="42">
        <f t="shared" ref="AC78:AC98" si="58">IFERROR(AB78-AA78, 0)</f>
        <v>9.9311805533943698E-3</v>
      </c>
      <c r="AD78" s="65" t="str">
        <f t="shared" ref="AD78:AD98" si="59">IF(OR(V78="D", Z77), IF(AND(Z77, V77="D"), H78, G78), "")</f>
        <v/>
      </c>
      <c r="AE78" s="65" t="str">
        <f t="shared" ref="AE78:AE98" si="60">IF(AD78&lt;&gt;"", IF(Z78, IF(Z77, IF(V78&lt;&gt;"D", G78, H78+1), H78+1), IF(Z77, IF(V78&lt;&gt;"D", G78, G78+W78), AD78+W78)), "")</f>
        <v/>
      </c>
      <c r="AF78" s="42">
        <f t="shared" ref="AF78:AF98" si="61">IFERROR(AE78-AD78, 0)</f>
        <v>0</v>
      </c>
      <c r="AG78" s="42">
        <f t="shared" ref="AG78:AG98" si="62">AC78+AF78</f>
        <v>9.9311805533943698E-3</v>
      </c>
      <c r="AH78" s="65" t="str">
        <f t="shared" ref="AH78:AH98" si="63">IF(OR(V78="OFF", Z77), IF(AND(Z77, V77="OFF"), H78, G78), "")</f>
        <v/>
      </c>
      <c r="AI78" s="65" t="str">
        <f t="shared" ref="AI78:AI98" si="64">IF(AH78&lt;&gt;"", IF(Z78, IF(Z77, IF(V78&lt;&gt;"OFF", G78, H78+1), H78+1), IF(Z77, IF(V78&lt;&gt;"OFF", G78, G78+W78), AH78+W78)), "")</f>
        <v/>
      </c>
      <c r="AJ78" s="42">
        <f t="shared" ref="AJ78:AJ98" si="65">IFERROR(AI78-AH78, 0)</f>
        <v>0</v>
      </c>
      <c r="AK78" s="71">
        <f>Data!L77</f>
        <v>2</v>
      </c>
    </row>
    <row r="79" spans="1:37" s="13" customFormat="1" ht="16.5">
      <c r="A79" s="13" t="str">
        <f>CONCATENATE(Data!F78, " ", Data!G78)</f>
        <v xml:space="preserve"> First  2  Last  2</v>
      </c>
      <c r="B79" s="13" t="str">
        <f>Data!H78</f>
        <v>Driver2@abc.com</v>
      </c>
      <c r="C79" s="13">
        <f>Data!I78</f>
        <v>2</v>
      </c>
      <c r="D79" s="65">
        <f>Data!A78</f>
        <v>44490.581239317129</v>
      </c>
      <c r="E79" s="13" t="str">
        <f>Data!J78</f>
        <v>CST6CDT</v>
      </c>
      <c r="F79" s="23">
        <f>(VLOOKUP(E79, TimeZone[], 2, FALSE)-$C$9)/24</f>
        <v>4.1666666666666664E-2</v>
      </c>
      <c r="G79" s="65">
        <f t="shared" si="45"/>
        <v>44490.539571759262</v>
      </c>
      <c r="H79" s="38">
        <f t="shared" si="46"/>
        <v>44490</v>
      </c>
      <c r="I79" s="41">
        <f t="shared" si="47"/>
        <v>0.53957175926188938</v>
      </c>
      <c r="J79" s="13">
        <f t="shared" si="43"/>
        <v>24</v>
      </c>
      <c r="K79" s="13">
        <f>COUNTIFS($A$13:A79, A79,$H$13:H79, H79)</f>
        <v>21</v>
      </c>
      <c r="L79" s="13" t="str">
        <f>Data!E78</f>
        <v>Vehicle2</v>
      </c>
      <c r="M79" s="39" t="b">
        <f t="shared" si="48"/>
        <v>0</v>
      </c>
      <c r="N79" s="39" t="str">
        <f t="shared" si="49"/>
        <v>Vehicle2</v>
      </c>
      <c r="O79" s="13">
        <f>Data!K78</f>
        <v>0</v>
      </c>
      <c r="P79" s="39" t="str">
        <f>IF(AND(A78=A79,H78=H79),IF(O78="",O79,IF(AND(ISERROR(FIND(O79,P78)),Data!K78&lt;&gt;""),P78&amp;", "&amp;O79,P78)),IF(Data!K78&lt;&gt;"",O79,""))</f>
        <v/>
      </c>
      <c r="Q79" s="39" t="str">
        <f t="shared" si="50"/>
        <v/>
      </c>
      <c r="R79" s="39" t="str">
        <f t="shared" si="51"/>
        <v>Driver2@abc.com4449021</v>
      </c>
      <c r="S79" s="39" t="str">
        <f t="shared" si="44"/>
        <v xml:space="preserve">Vehicle(s): Vehicle2
Trailer(s): </v>
      </c>
      <c r="T79" s="42" t="str">
        <f>Data!B78</f>
        <v>D</v>
      </c>
      <c r="U79" s="66">
        <f>IF(Data!D78&lt;&gt;"", Data!D78, "")</f>
        <v>20.878072738647461</v>
      </c>
      <c r="V79" s="39" t="str">
        <f t="shared" si="52"/>
        <v>D</v>
      </c>
      <c r="W79" s="42">
        <f>Data!C78</f>
        <v>3.4826620370370369E-2</v>
      </c>
      <c r="X79" s="65">
        <f t="shared" si="53"/>
        <v>44490.539571759262</v>
      </c>
      <c r="Y79" s="65">
        <f t="shared" si="54"/>
        <v>44490.574398379635</v>
      </c>
      <c r="Z79" s="65" t="b">
        <f t="shared" si="55"/>
        <v>0</v>
      </c>
      <c r="AA79" s="65" t="str">
        <f t="shared" si="56"/>
        <v/>
      </c>
      <c r="AB79" s="65" t="str">
        <f t="shared" si="57"/>
        <v/>
      </c>
      <c r="AC79" s="42">
        <f t="shared" si="58"/>
        <v>0</v>
      </c>
      <c r="AD79" s="65">
        <f t="shared" si="59"/>
        <v>44490.539571759262</v>
      </c>
      <c r="AE79" s="65">
        <f t="shared" si="60"/>
        <v>44490.574398379635</v>
      </c>
      <c r="AF79" s="42">
        <f t="shared" si="61"/>
        <v>3.4826620372768957E-2</v>
      </c>
      <c r="AG79" s="42">
        <f t="shared" si="62"/>
        <v>3.4826620372768957E-2</v>
      </c>
      <c r="AH79" s="65" t="str">
        <f t="shared" si="63"/>
        <v/>
      </c>
      <c r="AI79" s="65" t="str">
        <f t="shared" si="64"/>
        <v/>
      </c>
      <c r="AJ79" s="42">
        <f t="shared" si="65"/>
        <v>0</v>
      </c>
      <c r="AK79" s="71">
        <f>Data!L78</f>
        <v>2</v>
      </c>
    </row>
    <row r="80" spans="1:37" s="13" customFormat="1" ht="16.5">
      <c r="A80" s="13" t="str">
        <f>CONCATENATE(Data!F79, " ", Data!G79)</f>
        <v xml:space="preserve"> First  2  Last  2</v>
      </c>
      <c r="B80" s="13" t="str">
        <f>Data!H79</f>
        <v>Driver2@abc.com</v>
      </c>
      <c r="C80" s="13">
        <f>Data!I79</f>
        <v>2</v>
      </c>
      <c r="D80" s="65">
        <f>Data!A79</f>
        <v>44490.616065937502</v>
      </c>
      <c r="E80" s="13" t="str">
        <f>Data!J79</f>
        <v>CST6CDT</v>
      </c>
      <c r="F80" s="23">
        <f>(VLOOKUP(E80, TimeZone[], 2, FALSE)-$C$9)/24</f>
        <v>4.1666666666666664E-2</v>
      </c>
      <c r="G80" s="65">
        <f t="shared" si="45"/>
        <v>44490.57439814815</v>
      </c>
      <c r="H80" s="38">
        <f t="shared" si="46"/>
        <v>44490</v>
      </c>
      <c r="I80" s="41">
        <f t="shared" si="47"/>
        <v>0.57439814815006685</v>
      </c>
      <c r="J80" s="13">
        <f t="shared" si="43"/>
        <v>24</v>
      </c>
      <c r="K80" s="13">
        <f>COUNTIFS($A$13:A80, A80,$H$13:H80, H80)</f>
        <v>22</v>
      </c>
      <c r="L80" s="13" t="str">
        <f>Data!E79</f>
        <v>Vehicle2</v>
      </c>
      <c r="M80" s="39" t="b">
        <f t="shared" si="48"/>
        <v>0</v>
      </c>
      <c r="N80" s="39" t="str">
        <f t="shared" si="49"/>
        <v>Vehicle2</v>
      </c>
      <c r="O80" s="13">
        <f>Data!K79</f>
        <v>0</v>
      </c>
      <c r="P80" s="39" t="str">
        <f>IF(AND(A79=A80,H79=H80),IF(O79="",O80,IF(AND(ISERROR(FIND(O80,P79)),Data!K79&lt;&gt;""),P79&amp;", "&amp;O80,P79)),IF(Data!K79&lt;&gt;"",O80,""))</f>
        <v/>
      </c>
      <c r="Q80" s="39" t="str">
        <f t="shared" si="50"/>
        <v/>
      </c>
      <c r="R80" s="39" t="str">
        <f t="shared" si="51"/>
        <v>Driver2@abc.com4449022</v>
      </c>
      <c r="S80" s="39" t="str">
        <f t="shared" si="44"/>
        <v xml:space="preserve">Vehicle(s): Vehicle2
Trailer(s): </v>
      </c>
      <c r="T80" s="42" t="str">
        <f>Data!B79</f>
        <v>ON</v>
      </c>
      <c r="U80" s="66" t="str">
        <f>IF(Data!D79&lt;&gt;"", Data!D79, "")</f>
        <v/>
      </c>
      <c r="V80" s="39" t="str">
        <f t="shared" si="52"/>
        <v>ON</v>
      </c>
      <c r="W80" s="42">
        <f>Data!C79</f>
        <v>1.2135416666666666E-3</v>
      </c>
      <c r="X80" s="65">
        <f t="shared" si="53"/>
        <v>44490.57439814815</v>
      </c>
      <c r="Y80" s="65">
        <f t="shared" si="54"/>
        <v>44490.575611689819</v>
      </c>
      <c r="Z80" s="65" t="b">
        <f t="shared" si="55"/>
        <v>0</v>
      </c>
      <c r="AA80" s="65">
        <f t="shared" si="56"/>
        <v>44490.57439814815</v>
      </c>
      <c r="AB80" s="65">
        <f t="shared" si="57"/>
        <v>44490.575611689819</v>
      </c>
      <c r="AC80" s="42">
        <f t="shared" si="58"/>
        <v>1.213541669130791E-3</v>
      </c>
      <c r="AD80" s="65" t="str">
        <f t="shared" si="59"/>
        <v/>
      </c>
      <c r="AE80" s="65" t="str">
        <f t="shared" si="60"/>
        <v/>
      </c>
      <c r="AF80" s="42">
        <f t="shared" si="61"/>
        <v>0</v>
      </c>
      <c r="AG80" s="42">
        <f t="shared" si="62"/>
        <v>1.213541669130791E-3</v>
      </c>
      <c r="AH80" s="65" t="str">
        <f t="shared" si="63"/>
        <v/>
      </c>
      <c r="AI80" s="65" t="str">
        <f t="shared" si="64"/>
        <v/>
      </c>
      <c r="AJ80" s="42">
        <f t="shared" si="65"/>
        <v>0</v>
      </c>
      <c r="AK80" s="71">
        <f>Data!L79</f>
        <v>2</v>
      </c>
    </row>
    <row r="81" spans="1:37" s="13" customFormat="1" ht="16.5">
      <c r="A81" s="13" t="str">
        <f>CONCATENATE(Data!F80, " ", Data!G80)</f>
        <v xml:space="preserve"> First  2  Last  2</v>
      </c>
      <c r="B81" s="13" t="str">
        <f>Data!H80</f>
        <v>Driver2@abc.com</v>
      </c>
      <c r="C81" s="13">
        <f>Data!I80</f>
        <v>2</v>
      </c>
      <c r="D81" s="65">
        <f>Data!A80</f>
        <v>44490.617279479164</v>
      </c>
      <c r="E81" s="13" t="str">
        <f>Data!J80</f>
        <v>CST6CDT</v>
      </c>
      <c r="F81" s="23">
        <f>(VLOOKUP(E81, TimeZone[], 2, FALSE)-$C$9)/24</f>
        <v>4.1666666666666664E-2</v>
      </c>
      <c r="G81" s="65">
        <f t="shared" si="45"/>
        <v>44490.575613425928</v>
      </c>
      <c r="H81" s="38">
        <f t="shared" si="46"/>
        <v>44490</v>
      </c>
      <c r="I81" s="41">
        <f t="shared" si="47"/>
        <v>0.575613425928168</v>
      </c>
      <c r="J81" s="13">
        <f t="shared" si="43"/>
        <v>24</v>
      </c>
      <c r="K81" s="13">
        <f>COUNTIFS($A$13:A81, A81,$H$13:H81, H81)</f>
        <v>23</v>
      </c>
      <c r="L81" s="13" t="str">
        <f>Data!E80</f>
        <v>Vehicle2</v>
      </c>
      <c r="M81" s="39" t="b">
        <f t="shared" si="48"/>
        <v>0</v>
      </c>
      <c r="N81" s="39" t="str">
        <f t="shared" si="49"/>
        <v>Vehicle2</v>
      </c>
      <c r="O81" s="13">
        <f>Data!K80</f>
        <v>0</v>
      </c>
      <c r="P81" s="39" t="str">
        <f>IF(AND(A80=A81,H80=H81),IF(O80="",O81,IF(AND(ISERROR(FIND(O81,P80)),Data!K80&lt;&gt;""),P80&amp;", "&amp;O81,P80)),IF(Data!K80&lt;&gt;"",O81,""))</f>
        <v/>
      </c>
      <c r="Q81" s="39" t="str">
        <f t="shared" si="50"/>
        <v/>
      </c>
      <c r="R81" s="39" t="str">
        <f t="shared" si="51"/>
        <v>Driver2@abc.com4449023</v>
      </c>
      <c r="S81" s="39" t="str">
        <f t="shared" si="44"/>
        <v xml:space="preserve">Vehicle(s): Vehicle2
Trailer(s): </v>
      </c>
      <c r="T81" s="42" t="str">
        <f>Data!B80</f>
        <v>ON</v>
      </c>
      <c r="U81" s="66" t="str">
        <f>IF(Data!D80&lt;&gt;"", Data!D80, "")</f>
        <v/>
      </c>
      <c r="V81" s="39" t="str">
        <f t="shared" si="52"/>
        <v>ON</v>
      </c>
      <c r="W81" s="42">
        <f>Data!C80</f>
        <v>8.1198611111111107E-3</v>
      </c>
      <c r="X81" s="65">
        <f t="shared" si="53"/>
        <v>44490.575613425928</v>
      </c>
      <c r="Y81" s="65">
        <f t="shared" si="54"/>
        <v>44490.583733287036</v>
      </c>
      <c r="Z81" s="65" t="b">
        <f t="shared" si="55"/>
        <v>0</v>
      </c>
      <c r="AA81" s="65">
        <f t="shared" si="56"/>
        <v>44490.575613425928</v>
      </c>
      <c r="AB81" s="65">
        <f t="shared" si="57"/>
        <v>44490.583733287036</v>
      </c>
      <c r="AC81" s="42">
        <f t="shared" si="58"/>
        <v>8.1198611078434624E-3</v>
      </c>
      <c r="AD81" s="65" t="str">
        <f t="shared" si="59"/>
        <v/>
      </c>
      <c r="AE81" s="65" t="str">
        <f t="shared" si="60"/>
        <v/>
      </c>
      <c r="AF81" s="42">
        <f t="shared" si="61"/>
        <v>0</v>
      </c>
      <c r="AG81" s="42">
        <f t="shared" si="62"/>
        <v>8.1198611078434624E-3</v>
      </c>
      <c r="AH81" s="65" t="str">
        <f t="shared" si="63"/>
        <v/>
      </c>
      <c r="AI81" s="65" t="str">
        <f t="shared" si="64"/>
        <v/>
      </c>
      <c r="AJ81" s="42">
        <f t="shared" si="65"/>
        <v>0</v>
      </c>
      <c r="AK81" s="71">
        <f>Data!L80</f>
        <v>2</v>
      </c>
    </row>
    <row r="82" spans="1:37" s="13" customFormat="1" ht="16.5">
      <c r="A82" s="13" t="str">
        <f>CONCATENATE(Data!F81, " ", Data!G81)</f>
        <v xml:space="preserve"> First  2  Last  2</v>
      </c>
      <c r="B82" s="13" t="str">
        <f>Data!H81</f>
        <v>Driver2@abc.com</v>
      </c>
      <c r="C82" s="13">
        <f>Data!I81</f>
        <v>2</v>
      </c>
      <c r="D82" s="65">
        <f>Data!A81</f>
        <v>44490.625399340279</v>
      </c>
      <c r="E82" s="13" t="str">
        <f>Data!J81</f>
        <v>CST6CDT</v>
      </c>
      <c r="F82" s="23">
        <f>(VLOOKUP(E82, TimeZone[], 2, FALSE)-$C$9)/24</f>
        <v>4.1666666666666664E-2</v>
      </c>
      <c r="G82" s="65">
        <f t="shared" si="45"/>
        <v>44490.583738425928</v>
      </c>
      <c r="H82" s="38">
        <f t="shared" si="46"/>
        <v>44490</v>
      </c>
      <c r="I82" s="41">
        <f t="shared" si="47"/>
        <v>0.58373842592845904</v>
      </c>
      <c r="J82" s="13">
        <f t="shared" si="43"/>
        <v>24</v>
      </c>
      <c r="K82" s="13">
        <f>COUNTIFS($A$13:A82, A82,$H$13:H82, H82)</f>
        <v>24</v>
      </c>
      <c r="L82" s="13" t="str">
        <f>Data!E81</f>
        <v>Vehicle2</v>
      </c>
      <c r="M82" s="39" t="b">
        <f t="shared" si="48"/>
        <v>1</v>
      </c>
      <c r="N82" s="39" t="str">
        <f t="shared" si="49"/>
        <v>Vehicle2</v>
      </c>
      <c r="O82" s="13">
        <f>Data!K81</f>
        <v>0</v>
      </c>
      <c r="P82" s="39" t="str">
        <f>IF(AND(A81=A82,H81=H82),IF(O81="",O82,IF(AND(ISERROR(FIND(O82,P81)),Data!K81&lt;&gt;""),P81&amp;", "&amp;O82,P81)),IF(Data!K81&lt;&gt;"",O82,""))</f>
        <v/>
      </c>
      <c r="Q82" s="39" t="str">
        <f t="shared" si="50"/>
        <v xml:space="preserve">Vehicle(s): Vehicle2
Trailer(s): </v>
      </c>
      <c r="R82" s="39" t="str">
        <f t="shared" si="51"/>
        <v>Driver2@abc.com4449024</v>
      </c>
      <c r="S82" s="39" t="str">
        <f t="shared" si="44"/>
        <v xml:space="preserve">Vehicle(s): Vehicle2
Trailer(s): </v>
      </c>
      <c r="T82" s="42" t="str">
        <f>Data!B81</f>
        <v>OFF</v>
      </c>
      <c r="U82" s="66" t="str">
        <f>IF(Data!D81&lt;&gt;"", Data!D81, "")</f>
        <v/>
      </c>
      <c r="V82" s="39" t="str">
        <f t="shared" si="52"/>
        <v>OFF</v>
      </c>
      <c r="W82" s="42">
        <f>Data!C81</f>
        <v>0.71003349537037042</v>
      </c>
      <c r="X82" s="65" t="str">
        <f t="shared" si="53"/>
        <v/>
      </c>
      <c r="Y82" s="65" t="str">
        <f t="shared" si="54"/>
        <v/>
      </c>
      <c r="Z82" s="65" t="b">
        <f t="shared" si="55"/>
        <v>1</v>
      </c>
      <c r="AA82" s="65" t="str">
        <f t="shared" si="56"/>
        <v/>
      </c>
      <c r="AB82" s="65" t="str">
        <f t="shared" si="57"/>
        <v/>
      </c>
      <c r="AC82" s="42">
        <f t="shared" si="58"/>
        <v>0</v>
      </c>
      <c r="AD82" s="65" t="str">
        <f t="shared" si="59"/>
        <v/>
      </c>
      <c r="AE82" s="65" t="str">
        <f t="shared" si="60"/>
        <v/>
      </c>
      <c r="AF82" s="42">
        <f t="shared" si="61"/>
        <v>0</v>
      </c>
      <c r="AG82" s="42">
        <f t="shared" si="62"/>
        <v>0</v>
      </c>
      <c r="AH82" s="65">
        <f t="shared" si="63"/>
        <v>44490.583738425928</v>
      </c>
      <c r="AI82" s="65">
        <f t="shared" si="64"/>
        <v>44491</v>
      </c>
      <c r="AJ82" s="42">
        <f t="shared" si="65"/>
        <v>0.41626157407154096</v>
      </c>
      <c r="AK82" s="71">
        <f>Data!L81</f>
        <v>2</v>
      </c>
    </row>
    <row r="83" spans="1:37" s="13" customFormat="1" ht="16.5">
      <c r="A83" s="13" t="str">
        <f>CONCATENATE(Data!F82, " ", Data!G82)</f>
        <v xml:space="preserve"> First  2  Last  2</v>
      </c>
      <c r="B83" s="13" t="str">
        <f>Data!H82</f>
        <v>Driver2@abc.com</v>
      </c>
      <c r="C83" s="13">
        <f>Data!I82</f>
        <v>2</v>
      </c>
      <c r="D83" s="65">
        <f>Data!A82</f>
        <v>44491.335432835651</v>
      </c>
      <c r="E83" s="13" t="str">
        <f>Data!J82</f>
        <v>CST6CDT</v>
      </c>
      <c r="F83" s="23">
        <f>(VLOOKUP(E83, TimeZone[], 2, FALSE)-$C$9)/24</f>
        <v>4.1666666666666664E-2</v>
      </c>
      <c r="G83" s="65">
        <f t="shared" si="45"/>
        <v>44491.293761574074</v>
      </c>
      <c r="H83" s="38">
        <f t="shared" si="46"/>
        <v>44491</v>
      </c>
      <c r="I83" s="41">
        <f t="shared" si="47"/>
        <v>0.29376157407386927</v>
      </c>
      <c r="J83" s="13">
        <f t="shared" si="43"/>
        <v>16</v>
      </c>
      <c r="K83" s="13">
        <f>COUNTIFS($A$13:A83, A83,$H$13:H83, H83)</f>
        <v>1</v>
      </c>
      <c r="L83" s="13" t="str">
        <f>Data!E82</f>
        <v>Vehicle2</v>
      </c>
      <c r="M83" s="39" t="b">
        <f t="shared" si="48"/>
        <v>0</v>
      </c>
      <c r="N83" s="39" t="str">
        <f t="shared" si="49"/>
        <v>Vehicle2</v>
      </c>
      <c r="O83" s="13">
        <f>Data!K82</f>
        <v>0</v>
      </c>
      <c r="P83" s="39" t="str">
        <f>IF(AND(A82=A83,H82=H83),IF(O82="",O83,IF(AND(ISERROR(FIND(O83,P82)),Data!K82&lt;&gt;""),P82&amp;", "&amp;O83,P82)),IF(Data!K82&lt;&gt;"",O83,""))</f>
        <v/>
      </c>
      <c r="Q83" s="39" t="str">
        <f t="shared" si="50"/>
        <v/>
      </c>
      <c r="R83" s="39" t="str">
        <f t="shared" si="51"/>
        <v>Driver2@abc.com444911</v>
      </c>
      <c r="S83" s="39" t="str">
        <f t="shared" si="44"/>
        <v xml:space="preserve">Vehicle(s): Vehicle2
Trailer(s): </v>
      </c>
      <c r="T83" s="42" t="str">
        <f>Data!B82</f>
        <v>ON</v>
      </c>
      <c r="U83" s="66" t="str">
        <f>IF(Data!D82&lt;&gt;"", Data!D82, "")</f>
        <v/>
      </c>
      <c r="V83" s="39" t="str">
        <f t="shared" si="52"/>
        <v>ON</v>
      </c>
      <c r="W83" s="42">
        <f>Data!C82</f>
        <v>2.3687500000000002E-3</v>
      </c>
      <c r="X83" s="65">
        <f t="shared" si="53"/>
        <v>44491.293761574074</v>
      </c>
      <c r="Y83" s="65">
        <f t="shared" si="54"/>
        <v>44491.296130324074</v>
      </c>
      <c r="Z83" s="65" t="b">
        <f t="shared" si="55"/>
        <v>0</v>
      </c>
      <c r="AA83" s="65">
        <f t="shared" si="56"/>
        <v>44491.293761574074</v>
      </c>
      <c r="AB83" s="65">
        <f t="shared" si="57"/>
        <v>44491.296130324074</v>
      </c>
      <c r="AC83" s="42">
        <f t="shared" si="58"/>
        <v>2.3687499997322448E-3</v>
      </c>
      <c r="AD83" s="65">
        <f t="shared" si="59"/>
        <v>44491.293761574074</v>
      </c>
      <c r="AE83" s="65">
        <f t="shared" si="60"/>
        <v>44491.293761574074</v>
      </c>
      <c r="AF83" s="42">
        <f t="shared" si="61"/>
        <v>0</v>
      </c>
      <c r="AG83" s="42">
        <f t="shared" si="62"/>
        <v>2.3687499997322448E-3</v>
      </c>
      <c r="AH83" s="65">
        <f t="shared" si="63"/>
        <v>44491</v>
      </c>
      <c r="AI83" s="65">
        <f t="shared" si="64"/>
        <v>44491.293761574074</v>
      </c>
      <c r="AJ83" s="42">
        <f t="shared" si="65"/>
        <v>0.29376157407386927</v>
      </c>
      <c r="AK83" s="71">
        <f>Data!L82</f>
        <v>2</v>
      </c>
    </row>
    <row r="84" spans="1:37" s="13" customFormat="1" ht="16.5">
      <c r="A84" s="13" t="str">
        <f>CONCATENATE(Data!F83, " ", Data!G83)</f>
        <v xml:space="preserve"> First  2  Last  2</v>
      </c>
      <c r="B84" s="13" t="str">
        <f>Data!H83</f>
        <v>Driver2@abc.com</v>
      </c>
      <c r="C84" s="13">
        <f>Data!I83</f>
        <v>2</v>
      </c>
      <c r="D84" s="65">
        <f>Data!A83</f>
        <v>44491.337801585651</v>
      </c>
      <c r="E84" s="13" t="str">
        <f>Data!J83</f>
        <v>CST6CDT</v>
      </c>
      <c r="F84" s="23">
        <f>(VLOOKUP(E84, TimeZone[], 2, FALSE)-$C$9)/24</f>
        <v>4.1666666666666664E-2</v>
      </c>
      <c r="G84" s="65">
        <f t="shared" si="45"/>
        <v>44491.296134259261</v>
      </c>
      <c r="H84" s="38">
        <f t="shared" si="46"/>
        <v>44491</v>
      </c>
      <c r="I84" s="41">
        <f t="shared" si="47"/>
        <v>0.29613425926072523</v>
      </c>
      <c r="J84" s="13">
        <f t="shared" si="43"/>
        <v>16</v>
      </c>
      <c r="K84" s="13">
        <f>COUNTIFS($A$13:A84, A84,$H$13:H84, H84)</f>
        <v>2</v>
      </c>
      <c r="L84" s="13" t="str">
        <f>Data!E83</f>
        <v>Vehicle2</v>
      </c>
      <c r="M84" s="39" t="b">
        <f t="shared" si="48"/>
        <v>0</v>
      </c>
      <c r="N84" s="39" t="str">
        <f t="shared" si="49"/>
        <v>Vehicle2</v>
      </c>
      <c r="O84" s="13">
        <f>Data!K83</f>
        <v>0</v>
      </c>
      <c r="P84" s="39" t="str">
        <f>IF(AND(A83=A84,H83=H84),IF(O83="",O84,IF(AND(ISERROR(FIND(O84,P83)),Data!K83&lt;&gt;""),P83&amp;", "&amp;O84,P83)),IF(Data!K83&lt;&gt;"",O84,""))</f>
        <v/>
      </c>
      <c r="Q84" s="39" t="str">
        <f t="shared" si="50"/>
        <v/>
      </c>
      <c r="R84" s="39" t="str">
        <f t="shared" si="51"/>
        <v>Driver2@abc.com444912</v>
      </c>
      <c r="S84" s="39" t="str">
        <f t="shared" si="44"/>
        <v xml:space="preserve">Vehicle(s): Vehicle2
Trailer(s): </v>
      </c>
      <c r="T84" s="42" t="str">
        <f>Data!B83</f>
        <v>D</v>
      </c>
      <c r="U84" s="66">
        <f>IF(Data!D83&lt;&gt;"", Data!D83, "")</f>
        <v>0.25849041342735291</v>
      </c>
      <c r="V84" s="39" t="str">
        <f t="shared" si="52"/>
        <v>D</v>
      </c>
      <c r="W84" s="42">
        <f>Data!C83</f>
        <v>1.5844328703703704E-2</v>
      </c>
      <c r="X84" s="65">
        <f t="shared" si="53"/>
        <v>44491.296134259261</v>
      </c>
      <c r="Y84" s="65">
        <f t="shared" si="54"/>
        <v>44491.311978587968</v>
      </c>
      <c r="Z84" s="65" t="b">
        <f t="shared" si="55"/>
        <v>0</v>
      </c>
      <c r="AA84" s="65" t="str">
        <f t="shared" si="56"/>
        <v/>
      </c>
      <c r="AB84" s="65" t="str">
        <f t="shared" si="57"/>
        <v/>
      </c>
      <c r="AC84" s="42">
        <f t="shared" si="58"/>
        <v>0</v>
      </c>
      <c r="AD84" s="65">
        <f t="shared" si="59"/>
        <v>44491.296134259261</v>
      </c>
      <c r="AE84" s="65">
        <f t="shared" si="60"/>
        <v>44491.311978587968</v>
      </c>
      <c r="AF84" s="42">
        <f t="shared" si="61"/>
        <v>1.584432870731689E-2</v>
      </c>
      <c r="AG84" s="42">
        <f t="shared" si="62"/>
        <v>1.584432870731689E-2</v>
      </c>
      <c r="AH84" s="65" t="str">
        <f t="shared" si="63"/>
        <v/>
      </c>
      <c r="AI84" s="65" t="str">
        <f t="shared" si="64"/>
        <v/>
      </c>
      <c r="AJ84" s="42">
        <f t="shared" si="65"/>
        <v>0</v>
      </c>
      <c r="AK84" s="71">
        <f>Data!L83</f>
        <v>2</v>
      </c>
    </row>
    <row r="85" spans="1:37" s="13" customFormat="1" ht="16.5">
      <c r="A85" s="13" t="str">
        <f>CONCATENATE(Data!F84, " ", Data!G84)</f>
        <v xml:space="preserve"> First  2  Last  2</v>
      </c>
      <c r="B85" s="13" t="str">
        <f>Data!H84</f>
        <v>Driver2@abc.com</v>
      </c>
      <c r="C85" s="13">
        <f>Data!I84</f>
        <v>2</v>
      </c>
      <c r="D85" s="65">
        <f>Data!A84</f>
        <v>44491.353645914351</v>
      </c>
      <c r="E85" s="13" t="str">
        <f>Data!J84</f>
        <v>CST6CDT</v>
      </c>
      <c r="F85" s="23">
        <f>(VLOOKUP(E85, TimeZone[], 2, FALSE)-$C$9)/24</f>
        <v>4.1666666666666664E-2</v>
      </c>
      <c r="G85" s="65">
        <f t="shared" si="45"/>
        <v>44491.311979166669</v>
      </c>
      <c r="H85" s="38">
        <f t="shared" si="46"/>
        <v>44491</v>
      </c>
      <c r="I85" s="41">
        <f t="shared" si="47"/>
        <v>0.31197916666860692</v>
      </c>
      <c r="J85" s="13">
        <f t="shared" si="43"/>
        <v>16</v>
      </c>
      <c r="K85" s="13">
        <f>COUNTIFS($A$13:A85, A85,$H$13:H85, H85)</f>
        <v>3</v>
      </c>
      <c r="L85" s="13" t="str">
        <f>Data!E84</f>
        <v>Vehicle2</v>
      </c>
      <c r="M85" s="39" t="b">
        <f t="shared" si="48"/>
        <v>0</v>
      </c>
      <c r="N85" s="39" t="str">
        <f t="shared" si="49"/>
        <v>Vehicle2</v>
      </c>
      <c r="O85" s="13">
        <f>Data!K84</f>
        <v>0</v>
      </c>
      <c r="P85" s="39" t="str">
        <f>IF(AND(A84=A85,H84=H85),IF(O84="",O85,IF(AND(ISERROR(FIND(O85,P84)),Data!K84&lt;&gt;""),P84&amp;", "&amp;O85,P84)),IF(Data!K84&lt;&gt;"",O85,""))</f>
        <v/>
      </c>
      <c r="Q85" s="39" t="str">
        <f t="shared" si="50"/>
        <v/>
      </c>
      <c r="R85" s="39" t="str">
        <f t="shared" si="51"/>
        <v>Driver2@abc.com444913</v>
      </c>
      <c r="S85" s="39" t="str">
        <f t="shared" si="44"/>
        <v xml:space="preserve">Vehicle(s): Vehicle2
Trailer(s): </v>
      </c>
      <c r="T85" s="42" t="str">
        <f>Data!B84</f>
        <v>ON</v>
      </c>
      <c r="U85" s="66" t="str">
        <f>IF(Data!D84&lt;&gt;"", Data!D84, "")</f>
        <v/>
      </c>
      <c r="V85" s="39" t="str">
        <f t="shared" si="52"/>
        <v>ON</v>
      </c>
      <c r="W85" s="42">
        <f>Data!C84</f>
        <v>1.8814814814814814E-4</v>
      </c>
      <c r="X85" s="65">
        <f t="shared" si="53"/>
        <v>44491.311979166669</v>
      </c>
      <c r="Y85" s="65">
        <f t="shared" si="54"/>
        <v>44491.31216731482</v>
      </c>
      <c r="Z85" s="65" t="b">
        <f t="shared" si="55"/>
        <v>0</v>
      </c>
      <c r="AA85" s="65">
        <f t="shared" si="56"/>
        <v>44491.311979166669</v>
      </c>
      <c r="AB85" s="65">
        <f t="shared" si="57"/>
        <v>44491.31216731482</v>
      </c>
      <c r="AC85" s="42">
        <f t="shared" si="58"/>
        <v>1.8814815121004358E-4</v>
      </c>
      <c r="AD85" s="65" t="str">
        <f t="shared" si="59"/>
        <v/>
      </c>
      <c r="AE85" s="65" t="str">
        <f t="shared" si="60"/>
        <v/>
      </c>
      <c r="AF85" s="42">
        <f t="shared" si="61"/>
        <v>0</v>
      </c>
      <c r="AG85" s="42">
        <f t="shared" si="62"/>
        <v>1.8814815121004358E-4</v>
      </c>
      <c r="AH85" s="65" t="str">
        <f t="shared" si="63"/>
        <v/>
      </c>
      <c r="AI85" s="65" t="str">
        <f t="shared" si="64"/>
        <v/>
      </c>
      <c r="AJ85" s="42">
        <f t="shared" si="65"/>
        <v>0</v>
      </c>
      <c r="AK85" s="71">
        <f>Data!L84</f>
        <v>2</v>
      </c>
    </row>
    <row r="86" spans="1:37" s="13" customFormat="1" ht="16.5">
      <c r="A86" s="13" t="str">
        <f>CONCATENATE(Data!F85, " ", Data!G85)</f>
        <v xml:space="preserve"> First  2  Last  2</v>
      </c>
      <c r="B86" s="13" t="str">
        <f>Data!H85</f>
        <v>Driver2@abc.com</v>
      </c>
      <c r="C86" s="13">
        <f>Data!I85</f>
        <v>2</v>
      </c>
      <c r="D86" s="65">
        <f>Data!A85</f>
        <v>44491.353834062502</v>
      </c>
      <c r="E86" s="13" t="str">
        <f>Data!J85</f>
        <v>CST6CDT</v>
      </c>
      <c r="F86" s="23">
        <f>(VLOOKUP(E86, TimeZone[], 2, FALSE)-$C$9)/24</f>
        <v>4.1666666666666664E-2</v>
      </c>
      <c r="G86" s="65">
        <f t="shared" si="45"/>
        <v>44491.312164351853</v>
      </c>
      <c r="H86" s="38">
        <f t="shared" si="46"/>
        <v>44491</v>
      </c>
      <c r="I86" s="41">
        <f t="shared" si="47"/>
        <v>0.31216435185342561</v>
      </c>
      <c r="J86" s="13">
        <f t="shared" si="43"/>
        <v>16</v>
      </c>
      <c r="K86" s="13">
        <f>COUNTIFS($A$13:A86, A86,$H$13:H86, H86)</f>
        <v>4</v>
      </c>
      <c r="L86" s="13" t="str">
        <f>Data!E85</f>
        <v>Vehicle2</v>
      </c>
      <c r="M86" s="39" t="b">
        <f t="shared" si="48"/>
        <v>0</v>
      </c>
      <c r="N86" s="39" t="str">
        <f t="shared" si="49"/>
        <v>Vehicle2</v>
      </c>
      <c r="O86" s="13">
        <f>Data!K85</f>
        <v>0</v>
      </c>
      <c r="P86" s="39" t="str">
        <f>IF(AND(A85=A86,H85=H86),IF(O85="",O86,IF(AND(ISERROR(FIND(O86,P85)),Data!K85&lt;&gt;""),P85&amp;", "&amp;O86,P85)),IF(Data!K85&lt;&gt;"",O86,""))</f>
        <v/>
      </c>
      <c r="Q86" s="39" t="str">
        <f t="shared" si="50"/>
        <v/>
      </c>
      <c r="R86" s="39" t="str">
        <f t="shared" si="51"/>
        <v>Driver2@abc.com444914</v>
      </c>
      <c r="S86" s="39" t="str">
        <f t="shared" si="44"/>
        <v xml:space="preserve">Vehicle(s): Vehicle2
Trailer(s): </v>
      </c>
      <c r="T86" s="42" t="str">
        <f>Data!B85</f>
        <v>OFF</v>
      </c>
      <c r="U86" s="66" t="str">
        <f>IF(Data!D85&lt;&gt;"", Data!D85, "")</f>
        <v/>
      </c>
      <c r="V86" s="39" t="str">
        <f t="shared" si="52"/>
        <v>OFF</v>
      </c>
      <c r="W86" s="42">
        <f>Data!C85</f>
        <v>6.6271111111111114E-2</v>
      </c>
      <c r="X86" s="65" t="str">
        <f t="shared" si="53"/>
        <v/>
      </c>
      <c r="Y86" s="65" t="str">
        <f t="shared" si="54"/>
        <v/>
      </c>
      <c r="Z86" s="65" t="b">
        <f t="shared" si="55"/>
        <v>0</v>
      </c>
      <c r="AA86" s="65" t="str">
        <f t="shared" si="56"/>
        <v/>
      </c>
      <c r="AB86" s="65" t="str">
        <f t="shared" si="57"/>
        <v/>
      </c>
      <c r="AC86" s="42">
        <f t="shared" si="58"/>
        <v>0</v>
      </c>
      <c r="AD86" s="65" t="str">
        <f t="shared" si="59"/>
        <v/>
      </c>
      <c r="AE86" s="65" t="str">
        <f t="shared" si="60"/>
        <v/>
      </c>
      <c r="AF86" s="42">
        <f t="shared" si="61"/>
        <v>0</v>
      </c>
      <c r="AG86" s="42">
        <f t="shared" si="62"/>
        <v>0</v>
      </c>
      <c r="AH86" s="65">
        <f t="shared" si="63"/>
        <v>44491.312164351853</v>
      </c>
      <c r="AI86" s="65">
        <f t="shared" si="64"/>
        <v>44491.378435462968</v>
      </c>
      <c r="AJ86" s="42">
        <f t="shared" si="65"/>
        <v>6.6271111114474479E-2</v>
      </c>
      <c r="AK86" s="71">
        <f>Data!L85</f>
        <v>2</v>
      </c>
    </row>
    <row r="87" spans="1:37" s="13" customFormat="1" ht="16.5">
      <c r="A87" s="13" t="str">
        <f>CONCATENATE(Data!F86, " ", Data!G86)</f>
        <v xml:space="preserve"> First  2  Last  2</v>
      </c>
      <c r="B87" s="13" t="str">
        <f>Data!H86</f>
        <v>Driver2@abc.com</v>
      </c>
      <c r="C87" s="13">
        <f>Data!I86</f>
        <v>2</v>
      </c>
      <c r="D87" s="65">
        <f>Data!A86</f>
        <v>44491.420105173609</v>
      </c>
      <c r="E87" s="13" t="str">
        <f>Data!J86</f>
        <v>CST6CDT</v>
      </c>
      <c r="F87" s="23">
        <f>(VLOOKUP(E87, TimeZone[], 2, FALSE)-$C$9)/24</f>
        <v>4.1666666666666664E-2</v>
      </c>
      <c r="G87" s="65">
        <f t="shared" si="45"/>
        <v>44491.378437500003</v>
      </c>
      <c r="H87" s="38">
        <f t="shared" si="46"/>
        <v>44491</v>
      </c>
      <c r="I87" s="41">
        <f t="shared" si="47"/>
        <v>0.37843750000320142</v>
      </c>
      <c r="J87" s="13">
        <f t="shared" si="43"/>
        <v>16</v>
      </c>
      <c r="K87" s="13">
        <f>COUNTIFS($A$13:A87, A87,$H$13:H87, H87)</f>
        <v>5</v>
      </c>
      <c r="L87" s="13" t="str">
        <f>Data!E86</f>
        <v>Vehicle2</v>
      </c>
      <c r="M87" s="39" t="b">
        <f t="shared" si="48"/>
        <v>0</v>
      </c>
      <c r="N87" s="39" t="str">
        <f t="shared" si="49"/>
        <v>Vehicle2</v>
      </c>
      <c r="O87" s="13">
        <f>Data!K86</f>
        <v>0</v>
      </c>
      <c r="P87" s="39" t="str">
        <f>IF(AND(A86=A87,H86=H87),IF(O86="",O87,IF(AND(ISERROR(FIND(O87,P86)),Data!K86&lt;&gt;""),P86&amp;", "&amp;O87,P86)),IF(Data!K86&lt;&gt;"",O87,""))</f>
        <v/>
      </c>
      <c r="Q87" s="39" t="str">
        <f t="shared" si="50"/>
        <v/>
      </c>
      <c r="R87" s="39" t="str">
        <f t="shared" si="51"/>
        <v>Driver2@abc.com444915</v>
      </c>
      <c r="S87" s="39" t="str">
        <f t="shared" si="44"/>
        <v xml:space="preserve">Vehicle(s): Vehicle2
Trailer(s): </v>
      </c>
      <c r="T87" s="42" t="str">
        <f>Data!B86</f>
        <v>D</v>
      </c>
      <c r="U87" s="66">
        <f>IF(Data!D86&lt;&gt;"", Data!D86, "")</f>
        <v>31.555715560913086</v>
      </c>
      <c r="V87" s="39" t="str">
        <f t="shared" si="52"/>
        <v>D</v>
      </c>
      <c r="W87" s="42">
        <f>Data!C86</f>
        <v>2.4363263888888889E-2</v>
      </c>
      <c r="X87" s="65">
        <f t="shared" si="53"/>
        <v>44491.378437500003</v>
      </c>
      <c r="Y87" s="65">
        <f t="shared" si="54"/>
        <v>44491.402800763892</v>
      </c>
      <c r="Z87" s="65" t="b">
        <f t="shared" si="55"/>
        <v>0</v>
      </c>
      <c r="AA87" s="65" t="str">
        <f t="shared" si="56"/>
        <v/>
      </c>
      <c r="AB87" s="65" t="str">
        <f t="shared" si="57"/>
        <v/>
      </c>
      <c r="AC87" s="42">
        <f t="shared" si="58"/>
        <v>0</v>
      </c>
      <c r="AD87" s="65">
        <f t="shared" si="59"/>
        <v>44491.378437500003</v>
      </c>
      <c r="AE87" s="65">
        <f t="shared" si="60"/>
        <v>44491.402800763892</v>
      </c>
      <c r="AF87" s="42">
        <f t="shared" si="61"/>
        <v>2.4363263888517395E-2</v>
      </c>
      <c r="AG87" s="42">
        <f t="shared" si="62"/>
        <v>2.4363263888517395E-2</v>
      </c>
      <c r="AH87" s="65" t="str">
        <f t="shared" si="63"/>
        <v/>
      </c>
      <c r="AI87" s="65" t="str">
        <f t="shared" si="64"/>
        <v/>
      </c>
      <c r="AJ87" s="42">
        <f t="shared" si="65"/>
        <v>0</v>
      </c>
      <c r="AK87" s="71">
        <f>Data!L86</f>
        <v>2</v>
      </c>
    </row>
    <row r="88" spans="1:37" s="13" customFormat="1" ht="16.5">
      <c r="A88" s="13" t="str">
        <f>CONCATENATE(Data!F87, " ", Data!G87)</f>
        <v xml:space="preserve"> First  2  Last  2</v>
      </c>
      <c r="B88" s="13" t="str">
        <f>Data!H87</f>
        <v>Driver2@abc.com</v>
      </c>
      <c r="C88" s="13">
        <f>Data!I87</f>
        <v>2</v>
      </c>
      <c r="D88" s="65">
        <f>Data!A87</f>
        <v>44491.444468437498</v>
      </c>
      <c r="E88" s="13" t="str">
        <f>Data!J87</f>
        <v>CST6CDT</v>
      </c>
      <c r="F88" s="23">
        <f>(VLOOKUP(E88, TimeZone[], 2, FALSE)-$C$9)/24</f>
        <v>4.1666666666666664E-2</v>
      </c>
      <c r="G88" s="65">
        <f t="shared" si="45"/>
        <v>44491.402800925927</v>
      </c>
      <c r="H88" s="38">
        <f t="shared" si="46"/>
        <v>44491</v>
      </c>
      <c r="I88" s="41">
        <f t="shared" si="47"/>
        <v>0.40280092592729488</v>
      </c>
      <c r="J88" s="13">
        <f t="shared" si="43"/>
        <v>16</v>
      </c>
      <c r="K88" s="13">
        <f>COUNTIFS($A$13:A88, A88,$H$13:H88, H88)</f>
        <v>6</v>
      </c>
      <c r="L88" s="13" t="str">
        <f>Data!E87</f>
        <v>Vehicle2</v>
      </c>
      <c r="M88" s="39" t="b">
        <f t="shared" si="48"/>
        <v>0</v>
      </c>
      <c r="N88" s="39" t="str">
        <f t="shared" si="49"/>
        <v>Vehicle2</v>
      </c>
      <c r="O88" s="13">
        <f>Data!K87</f>
        <v>0</v>
      </c>
      <c r="P88" s="39" t="str">
        <f>IF(AND(A87=A88,H87=H88),IF(O87="",O88,IF(AND(ISERROR(FIND(O88,P87)),Data!K87&lt;&gt;""),P87&amp;", "&amp;O88,P87)),IF(Data!K87&lt;&gt;"",O88,""))</f>
        <v/>
      </c>
      <c r="Q88" s="39" t="str">
        <f t="shared" si="50"/>
        <v/>
      </c>
      <c r="R88" s="39" t="str">
        <f t="shared" si="51"/>
        <v>Driver2@abc.com444916</v>
      </c>
      <c r="S88" s="39" t="str">
        <f t="shared" si="44"/>
        <v xml:space="preserve">Vehicle(s): Vehicle2
Trailer(s): </v>
      </c>
      <c r="T88" s="42" t="str">
        <f>Data!B87</f>
        <v>ON</v>
      </c>
      <c r="U88" s="66" t="str">
        <f>IF(Data!D87&lt;&gt;"", Data!D87, "")</f>
        <v/>
      </c>
      <c r="V88" s="39" t="str">
        <f t="shared" si="52"/>
        <v>ON</v>
      </c>
      <c r="W88" s="42">
        <f>Data!C87</f>
        <v>4.0612581018518522E-2</v>
      </c>
      <c r="X88" s="65">
        <f t="shared" si="53"/>
        <v>44491.402800925927</v>
      </c>
      <c r="Y88" s="65">
        <f t="shared" si="54"/>
        <v>44491.443413506946</v>
      </c>
      <c r="Z88" s="65" t="b">
        <f t="shared" si="55"/>
        <v>0</v>
      </c>
      <c r="AA88" s="65">
        <f t="shared" si="56"/>
        <v>44491.402800925927</v>
      </c>
      <c r="AB88" s="65">
        <f t="shared" si="57"/>
        <v>44491.443413506946</v>
      </c>
      <c r="AC88" s="42">
        <f t="shared" si="58"/>
        <v>4.0612581018649507E-2</v>
      </c>
      <c r="AD88" s="65" t="str">
        <f t="shared" si="59"/>
        <v/>
      </c>
      <c r="AE88" s="65" t="str">
        <f t="shared" si="60"/>
        <v/>
      </c>
      <c r="AF88" s="42">
        <f t="shared" si="61"/>
        <v>0</v>
      </c>
      <c r="AG88" s="42">
        <f t="shared" si="62"/>
        <v>4.0612581018649507E-2</v>
      </c>
      <c r="AH88" s="65" t="str">
        <f t="shared" si="63"/>
        <v/>
      </c>
      <c r="AI88" s="65" t="str">
        <f t="shared" si="64"/>
        <v/>
      </c>
      <c r="AJ88" s="42">
        <f t="shared" si="65"/>
        <v>0</v>
      </c>
      <c r="AK88" s="71">
        <f>Data!L87</f>
        <v>2</v>
      </c>
    </row>
    <row r="89" spans="1:37" s="13" customFormat="1" ht="16.5">
      <c r="A89" s="13" t="str">
        <f>CONCATENATE(Data!F88, " ", Data!G88)</f>
        <v xml:space="preserve"> First  2  Last  2</v>
      </c>
      <c r="B89" s="13" t="str">
        <f>Data!H88</f>
        <v>Driver2@abc.com</v>
      </c>
      <c r="C89" s="13">
        <f>Data!I88</f>
        <v>2</v>
      </c>
      <c r="D89" s="65">
        <f>Data!A88</f>
        <v>44491.485081018516</v>
      </c>
      <c r="E89" s="13" t="str">
        <f>Data!J88</f>
        <v>CST6CDT</v>
      </c>
      <c r="F89" s="23">
        <f>(VLOOKUP(E89, TimeZone[], 2, FALSE)-$C$9)/24</f>
        <v>4.1666666666666664E-2</v>
      </c>
      <c r="G89" s="65">
        <f t="shared" si="45"/>
        <v>44491.443414351852</v>
      </c>
      <c r="H89" s="38">
        <f t="shared" si="46"/>
        <v>44491</v>
      </c>
      <c r="I89" s="41">
        <f t="shared" si="47"/>
        <v>0.44341435185197042</v>
      </c>
      <c r="J89" s="13">
        <f t="shared" si="43"/>
        <v>16</v>
      </c>
      <c r="K89" s="13">
        <f>COUNTIFS($A$13:A89, A89,$H$13:H89, H89)</f>
        <v>7</v>
      </c>
      <c r="L89" s="13" t="str">
        <f>Data!E88</f>
        <v>Vehicle2</v>
      </c>
      <c r="M89" s="39" t="b">
        <f t="shared" si="48"/>
        <v>0</v>
      </c>
      <c r="N89" s="39" t="str">
        <f t="shared" si="49"/>
        <v>Vehicle2</v>
      </c>
      <c r="O89" s="13">
        <f>Data!K88</f>
        <v>0</v>
      </c>
      <c r="P89" s="39" t="str">
        <f>IF(AND(A88=A89,H88=H89),IF(O88="",O89,IF(AND(ISERROR(FIND(O89,P88)),Data!K88&lt;&gt;""),P88&amp;", "&amp;O89,P88)),IF(Data!K88&lt;&gt;"",O89,""))</f>
        <v/>
      </c>
      <c r="Q89" s="39" t="str">
        <f t="shared" si="50"/>
        <v/>
      </c>
      <c r="R89" s="39" t="str">
        <f t="shared" si="51"/>
        <v>Driver2@abc.com444917</v>
      </c>
      <c r="S89" s="39" t="str">
        <f t="shared" si="44"/>
        <v xml:space="preserve">Vehicle(s): Vehicle2
Trailer(s): </v>
      </c>
      <c r="T89" s="42" t="str">
        <f>Data!B88</f>
        <v>D</v>
      </c>
      <c r="U89" s="66">
        <f>IF(Data!D88&lt;&gt;"", Data!D88, "")</f>
        <v>46.230018615722656</v>
      </c>
      <c r="V89" s="39" t="str">
        <f t="shared" si="52"/>
        <v>D</v>
      </c>
      <c r="W89" s="42">
        <f>Data!C88</f>
        <v>3.7060532407407407E-2</v>
      </c>
      <c r="X89" s="65">
        <f t="shared" si="53"/>
        <v>44491.443414351852</v>
      </c>
      <c r="Y89" s="65">
        <f t="shared" si="54"/>
        <v>44491.480474884258</v>
      </c>
      <c r="Z89" s="65" t="b">
        <f t="shared" si="55"/>
        <v>0</v>
      </c>
      <c r="AA89" s="65" t="str">
        <f t="shared" si="56"/>
        <v/>
      </c>
      <c r="AB89" s="65" t="str">
        <f t="shared" si="57"/>
        <v/>
      </c>
      <c r="AC89" s="42">
        <f t="shared" si="58"/>
        <v>0</v>
      </c>
      <c r="AD89" s="65">
        <f t="shared" si="59"/>
        <v>44491.443414351852</v>
      </c>
      <c r="AE89" s="65">
        <f t="shared" si="60"/>
        <v>44491.480474884258</v>
      </c>
      <c r="AF89" s="42">
        <f t="shared" si="61"/>
        <v>3.7060532406030688E-2</v>
      </c>
      <c r="AG89" s="42">
        <f t="shared" si="62"/>
        <v>3.7060532406030688E-2</v>
      </c>
      <c r="AH89" s="65" t="str">
        <f t="shared" si="63"/>
        <v/>
      </c>
      <c r="AI89" s="65" t="str">
        <f t="shared" si="64"/>
        <v/>
      </c>
      <c r="AJ89" s="42">
        <f t="shared" si="65"/>
        <v>0</v>
      </c>
      <c r="AK89" s="71">
        <f>Data!L88</f>
        <v>2</v>
      </c>
    </row>
    <row r="90" spans="1:37" s="13" customFormat="1" ht="16.5">
      <c r="A90" s="13" t="str">
        <f>CONCATENATE(Data!F89, " ", Data!G89)</f>
        <v xml:space="preserve"> First  2  Last  2</v>
      </c>
      <c r="B90" s="13" t="str">
        <f>Data!H89</f>
        <v>Driver2@abc.com</v>
      </c>
      <c r="C90" s="13">
        <f>Data!I89</f>
        <v>2</v>
      </c>
      <c r="D90" s="65">
        <f>Data!A89</f>
        <v>44491.52214155093</v>
      </c>
      <c r="E90" s="13" t="str">
        <f>Data!J89</f>
        <v>CST6CDT</v>
      </c>
      <c r="F90" s="23">
        <f>(VLOOKUP(E90, TimeZone[], 2, FALSE)-$C$9)/24</f>
        <v>4.1666666666666664E-2</v>
      </c>
      <c r="G90" s="65">
        <f t="shared" si="45"/>
        <v>44491.480474537042</v>
      </c>
      <c r="H90" s="38">
        <f t="shared" si="46"/>
        <v>44491</v>
      </c>
      <c r="I90" s="41">
        <f t="shared" si="47"/>
        <v>0.48047453704202781</v>
      </c>
      <c r="J90" s="13">
        <f t="shared" si="43"/>
        <v>16</v>
      </c>
      <c r="K90" s="13">
        <f>COUNTIFS($A$13:A90, A90,$H$13:H90, H90)</f>
        <v>8</v>
      </c>
      <c r="L90" s="13" t="str">
        <f>Data!E89</f>
        <v>Vehicle2</v>
      </c>
      <c r="M90" s="39" t="b">
        <f t="shared" si="48"/>
        <v>0</v>
      </c>
      <c r="N90" s="39" t="str">
        <f t="shared" si="49"/>
        <v>Vehicle2</v>
      </c>
      <c r="O90" s="13">
        <f>Data!K89</f>
        <v>0</v>
      </c>
      <c r="P90" s="39" t="str">
        <f>IF(AND(A89=A90,H89=H90),IF(O89="",O90,IF(AND(ISERROR(FIND(O90,P89)),Data!K89&lt;&gt;""),P89&amp;", "&amp;O90,P89)),IF(Data!K89&lt;&gt;"",O90,""))</f>
        <v/>
      </c>
      <c r="Q90" s="39" t="str">
        <f t="shared" si="50"/>
        <v/>
      </c>
      <c r="R90" s="39" t="str">
        <f t="shared" si="51"/>
        <v>Driver2@abc.com444918</v>
      </c>
      <c r="S90" s="39" t="str">
        <f t="shared" si="44"/>
        <v xml:space="preserve">Vehicle(s): Vehicle2
Trailer(s): </v>
      </c>
      <c r="T90" s="42" t="str">
        <f>Data!B89</f>
        <v>ON</v>
      </c>
      <c r="U90" s="66" t="str">
        <f>IF(Data!D89&lt;&gt;"", Data!D89, "")</f>
        <v/>
      </c>
      <c r="V90" s="39" t="str">
        <f t="shared" si="52"/>
        <v>ON</v>
      </c>
      <c r="W90" s="42">
        <f>Data!C89</f>
        <v>1.7581909722222223E-2</v>
      </c>
      <c r="X90" s="65">
        <f t="shared" si="53"/>
        <v>44491.480474537042</v>
      </c>
      <c r="Y90" s="65">
        <f t="shared" si="54"/>
        <v>44491.498056446762</v>
      </c>
      <c r="Z90" s="65" t="b">
        <f t="shared" si="55"/>
        <v>0</v>
      </c>
      <c r="AA90" s="65">
        <f t="shared" si="56"/>
        <v>44491.480474537042</v>
      </c>
      <c r="AB90" s="65">
        <f t="shared" si="57"/>
        <v>44491.498056446762</v>
      </c>
      <c r="AC90" s="42">
        <f t="shared" si="58"/>
        <v>1.7581909720320255E-2</v>
      </c>
      <c r="AD90" s="65" t="str">
        <f t="shared" si="59"/>
        <v/>
      </c>
      <c r="AE90" s="65" t="str">
        <f t="shared" si="60"/>
        <v/>
      </c>
      <c r="AF90" s="42">
        <f t="shared" si="61"/>
        <v>0</v>
      </c>
      <c r="AG90" s="42">
        <f t="shared" si="62"/>
        <v>1.7581909720320255E-2</v>
      </c>
      <c r="AH90" s="65" t="str">
        <f t="shared" si="63"/>
        <v/>
      </c>
      <c r="AI90" s="65" t="str">
        <f t="shared" si="64"/>
        <v/>
      </c>
      <c r="AJ90" s="42">
        <f t="shared" si="65"/>
        <v>0</v>
      </c>
      <c r="AK90" s="71">
        <f>Data!L89</f>
        <v>2</v>
      </c>
    </row>
    <row r="91" spans="1:37" s="13" customFormat="1" ht="16.5">
      <c r="A91" s="13" t="str">
        <f>CONCATENATE(Data!F90, " ", Data!G90)</f>
        <v xml:space="preserve"> First  2  Last  2</v>
      </c>
      <c r="B91" s="13" t="str">
        <f>Data!H90</f>
        <v>Driver2@abc.com</v>
      </c>
      <c r="C91" s="13">
        <f>Data!I90</f>
        <v>2</v>
      </c>
      <c r="D91" s="65">
        <f>Data!A90</f>
        <v>44491.53972346065</v>
      </c>
      <c r="E91" s="13" t="str">
        <f>Data!J90</f>
        <v>CST6CDT</v>
      </c>
      <c r="F91" s="23">
        <f>(VLOOKUP(E91, TimeZone[], 2, FALSE)-$C$9)/24</f>
        <v>4.1666666666666664E-2</v>
      </c>
      <c r="G91" s="65">
        <f t="shared" si="45"/>
        <v>44491.498055555559</v>
      </c>
      <c r="H91" s="38">
        <f t="shared" si="46"/>
        <v>44491</v>
      </c>
      <c r="I91" s="41">
        <f t="shared" si="47"/>
        <v>0.49805555555940373</v>
      </c>
      <c r="J91" s="13">
        <f t="shared" si="43"/>
        <v>16</v>
      </c>
      <c r="K91" s="13">
        <f>COUNTIFS($A$13:A91, A91,$H$13:H91, H91)</f>
        <v>9</v>
      </c>
      <c r="L91" s="13" t="str">
        <f>Data!E90</f>
        <v>Vehicle2</v>
      </c>
      <c r="M91" s="39" t="b">
        <f t="shared" si="48"/>
        <v>0</v>
      </c>
      <c r="N91" s="39" t="str">
        <f t="shared" si="49"/>
        <v>Vehicle2</v>
      </c>
      <c r="O91" s="13">
        <f>Data!K90</f>
        <v>0</v>
      </c>
      <c r="P91" s="39" t="str">
        <f>IF(AND(A90=A91,H90=H91),IF(O90="",O91,IF(AND(ISERROR(FIND(O91,P90)),Data!K90&lt;&gt;""),P90&amp;", "&amp;O91,P90)),IF(Data!K90&lt;&gt;"",O91,""))</f>
        <v/>
      </c>
      <c r="Q91" s="39" t="str">
        <f t="shared" si="50"/>
        <v/>
      </c>
      <c r="R91" s="39" t="str">
        <f t="shared" si="51"/>
        <v>Driver2@abc.com444919</v>
      </c>
      <c r="S91" s="39" t="str">
        <f t="shared" si="44"/>
        <v xml:space="preserve">Vehicle(s): Vehicle2
Trailer(s): </v>
      </c>
      <c r="T91" s="42" t="str">
        <f>Data!B90</f>
        <v>D</v>
      </c>
      <c r="U91" s="66">
        <f>IF(Data!D90&lt;&gt;"", Data!D90, "")</f>
        <v>31.197805404663086</v>
      </c>
      <c r="V91" s="39" t="str">
        <f t="shared" si="52"/>
        <v>D</v>
      </c>
      <c r="W91" s="42">
        <f>Data!C90</f>
        <v>3.8344328703703703E-2</v>
      </c>
      <c r="X91" s="65">
        <f t="shared" si="53"/>
        <v>44491.498055555559</v>
      </c>
      <c r="Y91" s="65">
        <f t="shared" si="54"/>
        <v>44491.536399884266</v>
      </c>
      <c r="Z91" s="65" t="b">
        <f t="shared" si="55"/>
        <v>0</v>
      </c>
      <c r="AA91" s="65" t="str">
        <f t="shared" si="56"/>
        <v/>
      </c>
      <c r="AB91" s="65" t="str">
        <f t="shared" si="57"/>
        <v/>
      </c>
      <c r="AC91" s="42">
        <f t="shared" si="58"/>
        <v>0</v>
      </c>
      <c r="AD91" s="65">
        <f t="shared" si="59"/>
        <v>44491.498055555559</v>
      </c>
      <c r="AE91" s="65">
        <f t="shared" si="60"/>
        <v>44491.536399884266</v>
      </c>
      <c r="AF91" s="42">
        <f t="shared" si="61"/>
        <v>3.8344328706443775E-2</v>
      </c>
      <c r="AG91" s="42">
        <f t="shared" si="62"/>
        <v>3.8344328706443775E-2</v>
      </c>
      <c r="AH91" s="65" t="str">
        <f t="shared" si="63"/>
        <v/>
      </c>
      <c r="AI91" s="65" t="str">
        <f t="shared" si="64"/>
        <v/>
      </c>
      <c r="AJ91" s="42">
        <f t="shared" si="65"/>
        <v>0</v>
      </c>
      <c r="AK91" s="71">
        <f>Data!L90</f>
        <v>2</v>
      </c>
    </row>
    <row r="92" spans="1:37" s="13" customFormat="1" ht="16.5">
      <c r="A92" s="13" t="str">
        <f>CONCATENATE(Data!F91, " ", Data!G91)</f>
        <v xml:space="preserve"> First  2  Last  2</v>
      </c>
      <c r="B92" s="13" t="str">
        <f>Data!H91</f>
        <v>Driver2@abc.com</v>
      </c>
      <c r="C92" s="13">
        <f>Data!I91</f>
        <v>2</v>
      </c>
      <c r="D92" s="65">
        <f>Data!A91</f>
        <v>44491.578067789349</v>
      </c>
      <c r="E92" s="13" t="str">
        <f>Data!J91</f>
        <v>CST6CDT</v>
      </c>
      <c r="F92" s="23">
        <f>(VLOOKUP(E92, TimeZone[], 2, FALSE)-$C$9)/24</f>
        <v>4.1666666666666664E-2</v>
      </c>
      <c r="G92" s="65">
        <f t="shared" si="45"/>
        <v>44491.536400462966</v>
      </c>
      <c r="H92" s="38">
        <f t="shared" si="46"/>
        <v>44491</v>
      </c>
      <c r="I92" s="41">
        <f t="shared" si="47"/>
        <v>0.53640046296641231</v>
      </c>
      <c r="J92" s="13">
        <f t="shared" si="43"/>
        <v>16</v>
      </c>
      <c r="K92" s="13">
        <f>COUNTIFS($A$13:A92, A92,$H$13:H92, H92)</f>
        <v>10</v>
      </c>
      <c r="L92" s="13" t="str">
        <f>Data!E91</f>
        <v>Vehicle2</v>
      </c>
      <c r="M92" s="39" t="b">
        <f t="shared" si="48"/>
        <v>0</v>
      </c>
      <c r="N92" s="39" t="str">
        <f t="shared" si="49"/>
        <v>Vehicle2</v>
      </c>
      <c r="O92" s="13">
        <f>Data!K91</f>
        <v>0</v>
      </c>
      <c r="P92" s="39" t="str">
        <f>IF(AND(A91=A92,H91=H92),IF(O91="",O92,IF(AND(ISERROR(FIND(O92,P91)),Data!K91&lt;&gt;""),P91&amp;", "&amp;O92,P91)),IF(Data!K91&lt;&gt;"",O92,""))</f>
        <v/>
      </c>
      <c r="Q92" s="39" t="str">
        <f t="shared" si="50"/>
        <v/>
      </c>
      <c r="R92" s="39" t="str">
        <f t="shared" si="51"/>
        <v>Driver2@abc.com4449110</v>
      </c>
      <c r="S92" s="39" t="str">
        <f t="shared" si="44"/>
        <v xml:space="preserve">Vehicle(s): Vehicle2
Trailer(s): </v>
      </c>
      <c r="T92" s="42" t="str">
        <f>Data!B91</f>
        <v>ON</v>
      </c>
      <c r="U92" s="66" t="str">
        <f>IF(Data!D91&lt;&gt;"", Data!D91, "")</f>
        <v/>
      </c>
      <c r="V92" s="39" t="str">
        <f t="shared" si="52"/>
        <v>ON</v>
      </c>
      <c r="W92" s="42">
        <f>Data!C91</f>
        <v>2.7893171296296298E-2</v>
      </c>
      <c r="X92" s="65">
        <f t="shared" si="53"/>
        <v>44491.536400462966</v>
      </c>
      <c r="Y92" s="65">
        <f t="shared" si="54"/>
        <v>44491.564293634263</v>
      </c>
      <c r="Z92" s="65" t="b">
        <f t="shared" si="55"/>
        <v>0</v>
      </c>
      <c r="AA92" s="65">
        <f t="shared" si="56"/>
        <v>44491.536400462966</v>
      </c>
      <c r="AB92" s="65">
        <f t="shared" si="57"/>
        <v>44491.564293634263</v>
      </c>
      <c r="AC92" s="42">
        <f t="shared" si="58"/>
        <v>2.7893171296454966E-2</v>
      </c>
      <c r="AD92" s="65" t="str">
        <f t="shared" si="59"/>
        <v/>
      </c>
      <c r="AE92" s="65" t="str">
        <f t="shared" si="60"/>
        <v/>
      </c>
      <c r="AF92" s="42">
        <f t="shared" si="61"/>
        <v>0</v>
      </c>
      <c r="AG92" s="42">
        <f t="shared" si="62"/>
        <v>2.7893171296454966E-2</v>
      </c>
      <c r="AH92" s="65" t="str">
        <f t="shared" si="63"/>
        <v/>
      </c>
      <c r="AI92" s="65" t="str">
        <f t="shared" si="64"/>
        <v/>
      </c>
      <c r="AJ92" s="42">
        <f t="shared" si="65"/>
        <v>0</v>
      </c>
      <c r="AK92" s="71">
        <f>Data!L91</f>
        <v>2</v>
      </c>
    </row>
    <row r="93" spans="1:37" s="13" customFormat="1" ht="16.5">
      <c r="A93" s="13" t="str">
        <f>CONCATENATE(Data!F92, " ", Data!G92)</f>
        <v xml:space="preserve"> First  2  Last  2</v>
      </c>
      <c r="B93" s="13" t="str">
        <f>Data!H92</f>
        <v>Driver2@abc.com</v>
      </c>
      <c r="C93" s="13">
        <f>Data!I92</f>
        <v>2</v>
      </c>
      <c r="D93" s="65">
        <f>Data!A92</f>
        <v>44491.605960960645</v>
      </c>
      <c r="E93" s="13" t="str">
        <f>Data!J92</f>
        <v>CST6CDT</v>
      </c>
      <c r="F93" s="23">
        <f>(VLOOKUP(E93, TimeZone[], 2, FALSE)-$C$9)/24</f>
        <v>4.1666666666666664E-2</v>
      </c>
      <c r="G93" s="65">
        <f t="shared" si="45"/>
        <v>44491.564293981486</v>
      </c>
      <c r="H93" s="38">
        <f t="shared" si="46"/>
        <v>44491</v>
      </c>
      <c r="I93" s="41">
        <f t="shared" si="47"/>
        <v>0.56429398148611654</v>
      </c>
      <c r="J93" s="13">
        <f t="shared" si="43"/>
        <v>16</v>
      </c>
      <c r="K93" s="13">
        <f>COUNTIFS($A$13:A93, A93,$H$13:H93, H93)</f>
        <v>11</v>
      </c>
      <c r="L93" s="13" t="str">
        <f>Data!E92</f>
        <v>Vehicle2</v>
      </c>
      <c r="M93" s="39" t="b">
        <f t="shared" si="48"/>
        <v>0</v>
      </c>
      <c r="N93" s="39" t="str">
        <f t="shared" si="49"/>
        <v>Vehicle2</v>
      </c>
      <c r="O93" s="13">
        <f>Data!K92</f>
        <v>0</v>
      </c>
      <c r="P93" s="39" t="str">
        <f>IF(AND(A92=A93,H92=H93),IF(O92="",O93,IF(AND(ISERROR(FIND(O93,P92)),Data!K92&lt;&gt;""),P92&amp;", "&amp;O93,P92)),IF(Data!K92&lt;&gt;"",O93,""))</f>
        <v/>
      </c>
      <c r="Q93" s="39" t="str">
        <f t="shared" si="50"/>
        <v/>
      </c>
      <c r="R93" s="39" t="str">
        <f t="shared" si="51"/>
        <v>Driver2@abc.com4449111</v>
      </c>
      <c r="S93" s="39" t="str">
        <f t="shared" si="44"/>
        <v xml:space="preserve">Vehicle(s): Vehicle2
Trailer(s): </v>
      </c>
      <c r="T93" s="42" t="str">
        <f>Data!B92</f>
        <v>D</v>
      </c>
      <c r="U93" s="66">
        <f>IF(Data!D92&lt;&gt;"", Data!D92, "")</f>
        <v>44.718845367431641</v>
      </c>
      <c r="V93" s="39" t="str">
        <f t="shared" si="52"/>
        <v>D</v>
      </c>
      <c r="W93" s="42">
        <f>Data!C92</f>
        <v>8.4399537037037037E-2</v>
      </c>
      <c r="X93" s="65">
        <f t="shared" si="53"/>
        <v>44491.564293981486</v>
      </c>
      <c r="Y93" s="65">
        <f t="shared" si="54"/>
        <v>44491.648693518524</v>
      </c>
      <c r="Z93" s="65" t="b">
        <f t="shared" si="55"/>
        <v>0</v>
      </c>
      <c r="AA93" s="65" t="str">
        <f t="shared" si="56"/>
        <v/>
      </c>
      <c r="AB93" s="65" t="str">
        <f t="shared" si="57"/>
        <v/>
      </c>
      <c r="AC93" s="42">
        <f t="shared" si="58"/>
        <v>0</v>
      </c>
      <c r="AD93" s="65">
        <f t="shared" si="59"/>
        <v>44491.564293981486</v>
      </c>
      <c r="AE93" s="65">
        <f t="shared" si="60"/>
        <v>44491.648693518524</v>
      </c>
      <c r="AF93" s="42">
        <f t="shared" si="61"/>
        <v>8.4399537037825212E-2</v>
      </c>
      <c r="AG93" s="42">
        <f t="shared" si="62"/>
        <v>8.4399537037825212E-2</v>
      </c>
      <c r="AH93" s="65" t="str">
        <f t="shared" si="63"/>
        <v/>
      </c>
      <c r="AI93" s="65" t="str">
        <f t="shared" si="64"/>
        <v/>
      </c>
      <c r="AJ93" s="42">
        <f t="shared" si="65"/>
        <v>0</v>
      </c>
      <c r="AK93" s="71">
        <f>Data!L92</f>
        <v>2</v>
      </c>
    </row>
    <row r="94" spans="1:37" s="13" customFormat="1" ht="16.5">
      <c r="A94" s="13" t="str">
        <f>CONCATENATE(Data!F93, " ", Data!G93)</f>
        <v xml:space="preserve"> First  2  Last  2</v>
      </c>
      <c r="B94" s="13" t="str">
        <f>Data!H93</f>
        <v>Driver2@abc.com</v>
      </c>
      <c r="C94" s="13">
        <f>Data!I93</f>
        <v>2</v>
      </c>
      <c r="D94" s="65">
        <f>Data!A93</f>
        <v>44491.647627627317</v>
      </c>
      <c r="E94" s="13" t="str">
        <f>Data!J93</f>
        <v>CST6CDT</v>
      </c>
      <c r="F94" s="23">
        <f>(VLOOKUP(E94, TimeZone[], 2, FALSE)-$C$9)/24</f>
        <v>4.1666666666666664E-2</v>
      </c>
      <c r="G94" s="65">
        <f t="shared" si="45"/>
        <v>44491.60596064815</v>
      </c>
      <c r="H94" s="38">
        <f t="shared" si="46"/>
        <v>44491</v>
      </c>
      <c r="I94" s="41">
        <f t="shared" si="47"/>
        <v>0.60596064815035788</v>
      </c>
      <c r="J94" s="13">
        <f t="shared" si="43"/>
        <v>16</v>
      </c>
      <c r="K94" s="13">
        <f>COUNTIFS($A$13:A94, A94,$H$13:H94, H94)</f>
        <v>12</v>
      </c>
      <c r="L94" s="13" t="str">
        <f>Data!E93</f>
        <v>Vehicle2</v>
      </c>
      <c r="M94" s="39" t="b">
        <f t="shared" si="48"/>
        <v>0</v>
      </c>
      <c r="N94" s="39" t="str">
        <f t="shared" si="49"/>
        <v>Vehicle2</v>
      </c>
      <c r="O94" s="13">
        <f>Data!K93</f>
        <v>0</v>
      </c>
      <c r="P94" s="39" t="str">
        <f>IF(AND(A93=A94,H93=H94),IF(O93="",O94,IF(AND(ISERROR(FIND(O94,P93)),Data!K93&lt;&gt;""),P93&amp;", "&amp;O94,P93)),IF(Data!K93&lt;&gt;"",O94,""))</f>
        <v/>
      </c>
      <c r="Q94" s="39" t="str">
        <f t="shared" si="50"/>
        <v/>
      </c>
      <c r="R94" s="39" t="str">
        <f t="shared" si="51"/>
        <v>Driver2@abc.com4449112</v>
      </c>
      <c r="S94" s="39" t="str">
        <f t="shared" si="44"/>
        <v xml:space="preserve">Vehicle(s): Vehicle2
Trailer(s): </v>
      </c>
      <c r="T94" s="42" t="str">
        <f>Data!B93</f>
        <v>INT_D</v>
      </c>
      <c r="U94" s="66">
        <f>IF(Data!D93&lt;&gt;"", Data!D93, "")</f>
        <v>46.528278350830078</v>
      </c>
      <c r="V94" s="39" t="str">
        <f t="shared" si="52"/>
        <v>D</v>
      </c>
      <c r="W94" s="42">
        <f>Data!C93</f>
        <v>0</v>
      </c>
      <c r="X94" s="65" t="str">
        <f t="shared" si="53"/>
        <v/>
      </c>
      <c r="Y94" s="65" t="str">
        <f t="shared" si="54"/>
        <v/>
      </c>
      <c r="Z94" s="65" t="b">
        <f t="shared" si="55"/>
        <v>0</v>
      </c>
      <c r="AA94" s="65" t="str">
        <f t="shared" si="56"/>
        <v/>
      </c>
      <c r="AB94" s="65" t="str">
        <f t="shared" si="57"/>
        <v/>
      </c>
      <c r="AC94" s="42">
        <f t="shared" si="58"/>
        <v>0</v>
      </c>
      <c r="AD94" s="65">
        <f t="shared" si="59"/>
        <v>44491.60596064815</v>
      </c>
      <c r="AE94" s="65">
        <f t="shared" si="60"/>
        <v>44491.60596064815</v>
      </c>
      <c r="AF94" s="42">
        <f t="shared" si="61"/>
        <v>0</v>
      </c>
      <c r="AG94" s="42">
        <f t="shared" si="62"/>
        <v>0</v>
      </c>
      <c r="AH94" s="65" t="str">
        <f t="shared" si="63"/>
        <v/>
      </c>
      <c r="AI94" s="65" t="str">
        <f t="shared" si="64"/>
        <v/>
      </c>
      <c r="AJ94" s="42">
        <f t="shared" si="65"/>
        <v>0</v>
      </c>
      <c r="AK94" s="71">
        <f>Data!L93</f>
        <v>2</v>
      </c>
    </row>
    <row r="95" spans="1:37" s="13" customFormat="1" ht="16.5">
      <c r="A95" s="13" t="str">
        <f>CONCATENATE(Data!F94, " ", Data!G94)</f>
        <v xml:space="preserve"> First  2  Last  2</v>
      </c>
      <c r="B95" s="13" t="str">
        <f>Data!H94</f>
        <v>Driver2@abc.com</v>
      </c>
      <c r="C95" s="13">
        <f>Data!I94</f>
        <v>2</v>
      </c>
      <c r="D95" s="65">
        <f>Data!A94</f>
        <v>44491.689294293981</v>
      </c>
      <c r="E95" s="13" t="str">
        <f>Data!J94</f>
        <v>CST6CDT</v>
      </c>
      <c r="F95" s="23">
        <f>(VLOOKUP(E95, TimeZone[], 2, FALSE)-$C$9)/24</f>
        <v>4.1666666666666664E-2</v>
      </c>
      <c r="G95" s="65">
        <f t="shared" si="45"/>
        <v>44491.647627314815</v>
      </c>
      <c r="H95" s="38">
        <f t="shared" si="46"/>
        <v>44491</v>
      </c>
      <c r="I95" s="41">
        <f t="shared" si="47"/>
        <v>0.64762731481459923</v>
      </c>
      <c r="J95" s="13">
        <f t="shared" si="43"/>
        <v>16</v>
      </c>
      <c r="K95" s="13">
        <f>COUNTIFS($A$13:A95, A95,$H$13:H95, H95)</f>
        <v>13</v>
      </c>
      <c r="L95" s="13" t="str">
        <f>Data!E94</f>
        <v>Vehicle2</v>
      </c>
      <c r="M95" s="39" t="b">
        <f t="shared" si="48"/>
        <v>0</v>
      </c>
      <c r="N95" s="39" t="str">
        <f t="shared" si="49"/>
        <v>Vehicle2</v>
      </c>
      <c r="O95" s="13">
        <f>Data!K94</f>
        <v>0</v>
      </c>
      <c r="P95" s="39" t="str">
        <f>IF(AND(A94=A95,H94=H95),IF(O94="",O95,IF(AND(ISERROR(FIND(O95,P94)),Data!K94&lt;&gt;""),P94&amp;", "&amp;O95,P94)),IF(Data!K94&lt;&gt;"",O95,""))</f>
        <v/>
      </c>
      <c r="Q95" s="39" t="str">
        <f t="shared" si="50"/>
        <v/>
      </c>
      <c r="R95" s="39" t="str">
        <f t="shared" si="51"/>
        <v>Driver2@abc.com4449113</v>
      </c>
      <c r="S95" s="39" t="str">
        <f t="shared" si="44"/>
        <v xml:space="preserve">Vehicle(s): Vehicle2
Trailer(s): </v>
      </c>
      <c r="T95" s="42" t="str">
        <f>Data!B94</f>
        <v>INT_D</v>
      </c>
      <c r="U95" s="66">
        <f>IF(Data!D94&lt;&gt;"", Data!D94, "")</f>
        <v>1.9287363290786743</v>
      </c>
      <c r="V95" s="39" t="str">
        <f t="shared" si="52"/>
        <v>D</v>
      </c>
      <c r="W95" s="42">
        <f>Data!C94</f>
        <v>0</v>
      </c>
      <c r="X95" s="65" t="str">
        <f t="shared" si="53"/>
        <v/>
      </c>
      <c r="Y95" s="65" t="str">
        <f t="shared" si="54"/>
        <v/>
      </c>
      <c r="Z95" s="65" t="b">
        <f t="shared" si="55"/>
        <v>0</v>
      </c>
      <c r="AA95" s="65" t="str">
        <f t="shared" si="56"/>
        <v/>
      </c>
      <c r="AB95" s="65" t="str">
        <f t="shared" si="57"/>
        <v/>
      </c>
      <c r="AC95" s="42">
        <f t="shared" si="58"/>
        <v>0</v>
      </c>
      <c r="AD95" s="65">
        <f t="shared" si="59"/>
        <v>44491.647627314815</v>
      </c>
      <c r="AE95" s="65">
        <f t="shared" si="60"/>
        <v>44491.647627314815</v>
      </c>
      <c r="AF95" s="42">
        <f t="shared" si="61"/>
        <v>0</v>
      </c>
      <c r="AG95" s="42">
        <f t="shared" si="62"/>
        <v>0</v>
      </c>
      <c r="AH95" s="65" t="str">
        <f t="shared" si="63"/>
        <v/>
      </c>
      <c r="AI95" s="65" t="str">
        <f t="shared" si="64"/>
        <v/>
      </c>
      <c r="AJ95" s="42">
        <f t="shared" si="65"/>
        <v>0</v>
      </c>
      <c r="AK95" s="71">
        <f>Data!L94</f>
        <v>2</v>
      </c>
    </row>
    <row r="96" spans="1:37" s="13" customFormat="1" ht="16.5">
      <c r="A96" s="13" t="str">
        <f>CONCATENATE(Data!F95, " ", Data!G95)</f>
        <v xml:space="preserve"> First  2  Last  2</v>
      </c>
      <c r="B96" s="13" t="str">
        <f>Data!H95</f>
        <v>Driver2@abc.com</v>
      </c>
      <c r="C96" s="13">
        <f>Data!I95</f>
        <v>2</v>
      </c>
      <c r="D96" s="65">
        <f>Data!A95</f>
        <v>44491.690360497683</v>
      </c>
      <c r="E96" s="13" t="str">
        <f>Data!J95</f>
        <v>CST6CDT</v>
      </c>
      <c r="F96" s="23">
        <f>(VLOOKUP(E96, TimeZone[], 2, FALSE)-$C$9)/24</f>
        <v>4.1666666666666664E-2</v>
      </c>
      <c r="G96" s="65">
        <f t="shared" si="45"/>
        <v>44491.648692129631</v>
      </c>
      <c r="H96" s="38">
        <f t="shared" si="46"/>
        <v>44491</v>
      </c>
      <c r="I96" s="41">
        <f t="shared" si="47"/>
        <v>0.64869212963094469</v>
      </c>
      <c r="J96" s="13">
        <f t="shared" si="43"/>
        <v>16</v>
      </c>
      <c r="K96" s="13">
        <f>COUNTIFS($A$13:A96, A96,$H$13:H96, H96)</f>
        <v>14</v>
      </c>
      <c r="L96" s="13" t="str">
        <f>Data!E95</f>
        <v>Vehicle2</v>
      </c>
      <c r="M96" s="39" t="b">
        <f t="shared" si="48"/>
        <v>0</v>
      </c>
      <c r="N96" s="39" t="str">
        <f t="shared" si="49"/>
        <v>Vehicle2</v>
      </c>
      <c r="O96" s="13">
        <f>Data!K95</f>
        <v>0</v>
      </c>
      <c r="P96" s="39" t="str">
        <f>IF(AND(A95=A96,H95=H96),IF(O95="",O96,IF(AND(ISERROR(FIND(O96,P95)),Data!K95&lt;&gt;""),P95&amp;", "&amp;O96,P95)),IF(Data!K95&lt;&gt;"",O96,""))</f>
        <v/>
      </c>
      <c r="Q96" s="39" t="str">
        <f t="shared" si="50"/>
        <v/>
      </c>
      <c r="R96" s="39" t="str">
        <f t="shared" si="51"/>
        <v>Driver2@abc.com4449114</v>
      </c>
      <c r="S96" s="39" t="str">
        <f t="shared" si="44"/>
        <v xml:space="preserve">Vehicle(s): Vehicle2
Trailer(s): </v>
      </c>
      <c r="T96" s="42" t="str">
        <f>Data!B95</f>
        <v>ON</v>
      </c>
      <c r="U96" s="66" t="str">
        <f>IF(Data!D95&lt;&gt;"", Data!D95, "")</f>
        <v/>
      </c>
      <c r="V96" s="39" t="str">
        <f t="shared" si="52"/>
        <v>ON</v>
      </c>
      <c r="W96" s="42">
        <f>Data!C95</f>
        <v>1.9084027777777777E-3</v>
      </c>
      <c r="X96" s="65">
        <f t="shared" si="53"/>
        <v>44491.648692129631</v>
      </c>
      <c r="Y96" s="65">
        <f t="shared" si="54"/>
        <v>44491.650600532412</v>
      </c>
      <c r="Z96" s="65" t="b">
        <f t="shared" si="55"/>
        <v>0</v>
      </c>
      <c r="AA96" s="65">
        <f t="shared" si="56"/>
        <v>44491.648692129631</v>
      </c>
      <c r="AB96" s="65">
        <f t="shared" si="57"/>
        <v>44491.650600532412</v>
      </c>
      <c r="AC96" s="42">
        <f t="shared" si="58"/>
        <v>1.9084027808276005E-3</v>
      </c>
      <c r="AD96" s="65" t="str">
        <f t="shared" si="59"/>
        <v/>
      </c>
      <c r="AE96" s="65" t="str">
        <f t="shared" si="60"/>
        <v/>
      </c>
      <c r="AF96" s="42">
        <f t="shared" si="61"/>
        <v>0</v>
      </c>
      <c r="AG96" s="42">
        <f t="shared" si="62"/>
        <v>1.9084027808276005E-3</v>
      </c>
      <c r="AH96" s="65" t="str">
        <f t="shared" si="63"/>
        <v/>
      </c>
      <c r="AI96" s="65" t="str">
        <f t="shared" si="64"/>
        <v/>
      </c>
      <c r="AJ96" s="42">
        <f t="shared" si="65"/>
        <v>0</v>
      </c>
      <c r="AK96" s="71">
        <f>Data!L95</f>
        <v>2</v>
      </c>
    </row>
    <row r="97" spans="1:37" s="13" customFormat="1" ht="16.5">
      <c r="A97" s="13" t="str">
        <f>CONCATENATE(Data!F96, " ", Data!G96)</f>
        <v xml:space="preserve"> First  2  Last  2</v>
      </c>
      <c r="B97" s="13" t="str">
        <f>Data!H96</f>
        <v>Driver2@abc.com</v>
      </c>
      <c r="C97" s="13">
        <f>Data!I96</f>
        <v>2</v>
      </c>
      <c r="D97" s="65">
        <f>Data!A96</f>
        <v>44491.692268900464</v>
      </c>
      <c r="E97" s="13" t="str">
        <f>Data!J96</f>
        <v>CST6CDT</v>
      </c>
      <c r="F97" s="23">
        <f>(VLOOKUP(E97, TimeZone[], 2, FALSE)-$C$9)/24</f>
        <v>4.1666666666666664E-2</v>
      </c>
      <c r="G97" s="65">
        <f t="shared" si="45"/>
        <v>44491.650601851856</v>
      </c>
      <c r="H97" s="38">
        <f t="shared" si="46"/>
        <v>44491</v>
      </c>
      <c r="I97" s="41">
        <f t="shared" si="47"/>
        <v>0.65060185185575392</v>
      </c>
      <c r="J97" s="13">
        <f t="shared" si="43"/>
        <v>16</v>
      </c>
      <c r="K97" s="13">
        <f>COUNTIFS($A$13:A97, A97,$H$13:H97, H97)</f>
        <v>15</v>
      </c>
      <c r="L97" s="13" t="str">
        <f>Data!E96</f>
        <v>Vehicle2</v>
      </c>
      <c r="M97" s="39" t="b">
        <f t="shared" si="48"/>
        <v>0</v>
      </c>
      <c r="N97" s="39" t="str">
        <f t="shared" si="49"/>
        <v>Vehicle2</v>
      </c>
      <c r="O97" s="13">
        <f>Data!K96</f>
        <v>0</v>
      </c>
      <c r="P97" s="39" t="str">
        <f>IF(AND(A96=A97,H96=H97),IF(O96="",O97,IF(AND(ISERROR(FIND(O97,P96)),Data!K96&lt;&gt;""),P96&amp;", "&amp;O97,P96)),IF(Data!K96&lt;&gt;"",O97,""))</f>
        <v/>
      </c>
      <c r="Q97" s="39" t="str">
        <f t="shared" si="50"/>
        <v/>
      </c>
      <c r="R97" s="39" t="str">
        <f t="shared" si="51"/>
        <v>Driver2@abc.com4449115</v>
      </c>
      <c r="S97" s="39" t="str">
        <f t="shared" si="44"/>
        <v xml:space="preserve">Vehicle(s): Vehicle2
Trailer(s): </v>
      </c>
      <c r="T97" s="42" t="str">
        <f>Data!B96</f>
        <v>ON</v>
      </c>
      <c r="U97" s="66" t="str">
        <f>IF(Data!D96&lt;&gt;"", Data!D96, "")</f>
        <v/>
      </c>
      <c r="V97" s="39" t="str">
        <f t="shared" si="52"/>
        <v>ON</v>
      </c>
      <c r="W97" s="42">
        <f>Data!C96</f>
        <v>7.5387384259259262E-3</v>
      </c>
      <c r="X97" s="65">
        <f t="shared" si="53"/>
        <v>44491.650601851856</v>
      </c>
      <c r="Y97" s="65">
        <f t="shared" si="54"/>
        <v>44491.658140590283</v>
      </c>
      <c r="Z97" s="65" t="b">
        <f t="shared" si="55"/>
        <v>0</v>
      </c>
      <c r="AA97" s="65">
        <f t="shared" si="56"/>
        <v>44491.650601851856</v>
      </c>
      <c r="AB97" s="65">
        <f t="shared" si="57"/>
        <v>44491.658140590283</v>
      </c>
      <c r="AC97" s="42">
        <f t="shared" si="58"/>
        <v>7.5387384276837111E-3</v>
      </c>
      <c r="AD97" s="65" t="str">
        <f t="shared" si="59"/>
        <v/>
      </c>
      <c r="AE97" s="65" t="str">
        <f t="shared" si="60"/>
        <v/>
      </c>
      <c r="AF97" s="42">
        <f t="shared" si="61"/>
        <v>0</v>
      </c>
      <c r="AG97" s="42">
        <f t="shared" si="62"/>
        <v>7.5387384276837111E-3</v>
      </c>
      <c r="AH97" s="65" t="str">
        <f t="shared" si="63"/>
        <v/>
      </c>
      <c r="AI97" s="65" t="str">
        <f t="shared" si="64"/>
        <v/>
      </c>
      <c r="AJ97" s="42">
        <f t="shared" si="65"/>
        <v>0</v>
      </c>
      <c r="AK97" s="71">
        <f>Data!L96</f>
        <v>2</v>
      </c>
    </row>
    <row r="98" spans="1:37" s="13" customFormat="1" ht="16.5">
      <c r="A98" s="13" t="str">
        <f>CONCATENATE(Data!F97, " ", Data!G97)</f>
        <v xml:space="preserve"> First  2  Last  2</v>
      </c>
      <c r="B98" s="13" t="str">
        <f>Data!H97</f>
        <v>Driver2@abc.com</v>
      </c>
      <c r="C98" s="13">
        <f>Data!I97</f>
        <v>2</v>
      </c>
      <c r="D98" s="65">
        <f>Data!A97</f>
        <v>44491.699807638892</v>
      </c>
      <c r="E98" s="13" t="str">
        <f>Data!J97</f>
        <v>CST6CDT</v>
      </c>
      <c r="F98" s="23">
        <f>(VLOOKUP(E98, TimeZone[], 2, FALSE)-$C$9)/24</f>
        <v>4.1666666666666664E-2</v>
      </c>
      <c r="G98" s="65">
        <f t="shared" si="45"/>
        <v>44491.658136574079</v>
      </c>
      <c r="H98" s="38">
        <f t="shared" si="46"/>
        <v>44491</v>
      </c>
      <c r="I98" s="41">
        <f t="shared" si="47"/>
        <v>0.65813657407852588</v>
      </c>
      <c r="J98" s="13">
        <f t="shared" si="43"/>
        <v>16</v>
      </c>
      <c r="K98" s="13">
        <f>COUNTIFS($A$13:A98, A98,$H$13:H98, H98)</f>
        <v>16</v>
      </c>
      <c r="L98" s="13" t="str">
        <f>Data!E97</f>
        <v>Vehicle2</v>
      </c>
      <c r="M98" s="39" t="b">
        <f t="shared" si="48"/>
        <v>1</v>
      </c>
      <c r="N98" s="39" t="str">
        <f t="shared" si="49"/>
        <v>Vehicle2</v>
      </c>
      <c r="O98" s="13">
        <f>Data!K97</f>
        <v>0</v>
      </c>
      <c r="P98" s="39" t="str">
        <f>IF(AND(A97=A98,H97=H98),IF(O97="",O98,IF(AND(ISERROR(FIND(O98,P97)),Data!K97&lt;&gt;""),P97&amp;", "&amp;O98,P97)),IF(Data!K97&lt;&gt;"",O98,""))</f>
        <v/>
      </c>
      <c r="Q98" s="39" t="str">
        <f t="shared" si="50"/>
        <v xml:space="preserve">Vehicle(s): Vehicle2
Trailer(s): </v>
      </c>
      <c r="R98" s="39" t="str">
        <f t="shared" si="51"/>
        <v>Driver2@abc.com4449116</v>
      </c>
      <c r="S98" s="39" t="str">
        <f t="shared" si="44"/>
        <v xml:space="preserve">Vehicle(s): Vehicle2
Trailer(s): </v>
      </c>
      <c r="T98" s="42" t="str">
        <f>Data!B97</f>
        <v>OFF</v>
      </c>
      <c r="U98" s="66" t="str">
        <f>IF(Data!D97&lt;&gt;"", Data!D97, "")</f>
        <v/>
      </c>
      <c r="V98" s="39" t="str">
        <f t="shared" si="52"/>
        <v>OFF</v>
      </c>
      <c r="W98" s="42">
        <f>Data!C97</f>
        <v>1.300180787037037</v>
      </c>
      <c r="X98" s="65" t="str">
        <f t="shared" si="53"/>
        <v/>
      </c>
      <c r="Y98" s="65" t="str">
        <f t="shared" si="54"/>
        <v/>
      </c>
      <c r="Z98" s="65" t="b">
        <f t="shared" si="55"/>
        <v>1</v>
      </c>
      <c r="AA98" s="65" t="str">
        <f t="shared" si="56"/>
        <v/>
      </c>
      <c r="AB98" s="65" t="str">
        <f t="shared" si="57"/>
        <v/>
      </c>
      <c r="AC98" s="42">
        <f t="shared" si="58"/>
        <v>0</v>
      </c>
      <c r="AD98" s="65" t="str">
        <f t="shared" si="59"/>
        <v/>
      </c>
      <c r="AE98" s="65" t="str">
        <f t="shared" si="60"/>
        <v/>
      </c>
      <c r="AF98" s="42">
        <f t="shared" si="61"/>
        <v>0</v>
      </c>
      <c r="AG98" s="42">
        <f t="shared" si="62"/>
        <v>0</v>
      </c>
      <c r="AH98" s="65">
        <f t="shared" si="63"/>
        <v>44491.658136574079</v>
      </c>
      <c r="AI98" s="65">
        <f t="shared" si="64"/>
        <v>44492</v>
      </c>
      <c r="AJ98" s="42">
        <f t="shared" si="65"/>
        <v>0.34186342592147412</v>
      </c>
      <c r="AK98" s="71">
        <f>Data!L97</f>
        <v>2</v>
      </c>
    </row>
  </sheetData>
  <autoFilter ref="A12:AK12" xr:uid="{1E2B7D2B-DF15-4C41-AC1A-FCF2ED1BF6D7}"/>
  <mergeCells count="1">
    <mergeCell ref="A4:B4"/>
  </mergeCells>
  <phoneticPr fontId="16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4"/>
  <sheetViews>
    <sheetView showGridLines="0" tabSelected="1" workbookViewId="0">
      <selection activeCell="D11" sqref="D11"/>
    </sheetView>
  </sheetViews>
  <sheetFormatPr defaultColWidth="9.140625" defaultRowHeight="14.25"/>
  <cols>
    <col min="1" max="2" width="25.7109375" style="43" customWidth="1"/>
    <col min="3" max="3" width="15.7109375" style="43" customWidth="1"/>
    <col min="4" max="5" width="25.7109375" style="58" customWidth="1"/>
    <col min="6" max="6" width="25.7109375" style="43" customWidth="1"/>
    <col min="7" max="10" width="20.7109375" style="43" customWidth="1"/>
    <col min="11" max="11" width="23" style="43" customWidth="1"/>
    <col min="12" max="12" width="21" style="43" customWidth="1"/>
    <col min="13" max="13" width="20.5703125" style="43" customWidth="1"/>
    <col min="14" max="16384" width="9.140625" style="43"/>
  </cols>
  <sheetData>
    <row r="1" spans="1:18" s="19" customFormat="1" ht="25.5" customHeight="1">
      <c r="A1" s="16" t="str">
        <f>Report!A1</f>
        <v>**Small Fleet Payroll Report</v>
      </c>
      <c r="B1" s="17"/>
      <c r="D1" s="18">
        <f>Data!B2</f>
        <v>44498.90317622685</v>
      </c>
      <c r="E1" s="40"/>
    </row>
    <row r="2" spans="1:18" s="23" customFormat="1" ht="25.5" customHeight="1">
      <c r="A2" s="20" t="str">
        <f>Data!B1</f>
        <v>Template Company Name</v>
      </c>
      <c r="B2" s="21"/>
      <c r="C2" s="22"/>
      <c r="D2" s="22"/>
      <c r="E2" s="22"/>
    </row>
    <row r="3" spans="1:18" s="46" customFormat="1" ht="16.5" customHeight="1">
      <c r="B3" s="44"/>
      <c r="C3" s="45"/>
      <c r="D3" s="45"/>
      <c r="E3" s="45"/>
    </row>
    <row r="4" spans="1:18" s="46" customFormat="1" ht="16.5" customHeight="1">
      <c r="A4" s="86" t="s">
        <v>45</v>
      </c>
      <c r="B4" s="86"/>
      <c r="C4" s="47"/>
      <c r="D4" s="48"/>
      <c r="E4" s="45"/>
    </row>
    <row r="5" spans="1:18" s="46" customFormat="1" ht="16.5" customHeight="1">
      <c r="A5" s="49" t="s">
        <v>40</v>
      </c>
      <c r="B5" s="50">
        <f>Data!B3</f>
        <v>44486</v>
      </c>
      <c r="C5" s="47"/>
      <c r="D5" s="48"/>
      <c r="E5" s="45"/>
    </row>
    <row r="6" spans="1:18" s="46" customFormat="1" ht="16.5" customHeight="1">
      <c r="A6" s="49" t="s">
        <v>41</v>
      </c>
      <c r="B6" s="50">
        <f>Data!B4</f>
        <v>44492.999988425923</v>
      </c>
      <c r="C6" s="47"/>
      <c r="D6" s="48"/>
      <c r="E6" s="45"/>
    </row>
    <row r="7" spans="1:18" s="46" customFormat="1" ht="16.5" customHeight="1">
      <c r="A7" s="49" t="s">
        <v>433</v>
      </c>
      <c r="B7" s="51">
        <f>B6-B5</f>
        <v>6.9999884259232203</v>
      </c>
      <c r="C7" s="47"/>
      <c r="D7" s="48"/>
      <c r="E7" s="45"/>
    </row>
    <row r="8" spans="1:18" ht="16.5" customHeight="1">
      <c r="A8" s="52"/>
      <c r="B8" s="72"/>
      <c r="C8" s="72"/>
      <c r="D8" s="73"/>
      <c r="E8" s="73"/>
      <c r="F8" s="74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</row>
    <row r="9" spans="1:18" ht="16.5" customHeight="1">
      <c r="A9" s="54" t="s">
        <v>256</v>
      </c>
      <c r="B9" s="55" t="str">
        <f>Data!B5</f>
        <v>America/New_York</v>
      </c>
      <c r="C9" s="56"/>
      <c r="D9" s="57"/>
      <c r="E9" s="73"/>
      <c r="F9" s="74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</row>
    <row r="10" spans="1:18" ht="16.5" customHeight="1"/>
    <row r="11" spans="1:18" ht="16.5" customHeight="1">
      <c r="A11" s="60" t="s">
        <v>434</v>
      </c>
      <c r="B11" s="61"/>
      <c r="C11" s="61"/>
      <c r="D11" s="62"/>
      <c r="E11" s="63"/>
      <c r="F11" s="63"/>
      <c r="G11" s="64">
        <f>SUM(G$13:G$1498)</f>
        <v>0.33719907407407401</v>
      </c>
      <c r="H11" s="64">
        <f>SUM(H$13:H$1498)</f>
        <v>0.72145833333333331</v>
      </c>
      <c r="I11" s="64">
        <f>SUM(I$13:I$1498)</f>
        <v>1.0586574074074075</v>
      </c>
      <c r="J11" s="64">
        <f>SUM(J$13:J$1498)</f>
        <v>2.9413425925925925</v>
      </c>
    </row>
    <row r="12" spans="1:18" ht="16.5" customHeight="1"/>
    <row r="13" spans="1:18" s="59" customFormat="1" ht="16.5" customHeight="1">
      <c r="A13" s="79" t="s">
        <v>29</v>
      </c>
      <c r="B13" s="80" t="s">
        <v>404</v>
      </c>
      <c r="C13" s="80" t="s">
        <v>45</v>
      </c>
      <c r="D13" s="80" t="s">
        <v>415</v>
      </c>
      <c r="E13" s="81" t="s">
        <v>435</v>
      </c>
      <c r="F13" s="81" t="s">
        <v>436</v>
      </c>
      <c r="G13" s="81" t="s">
        <v>437</v>
      </c>
      <c r="H13" s="81" t="s">
        <v>438</v>
      </c>
      <c r="I13" s="81" t="s">
        <v>439</v>
      </c>
      <c r="J13" s="81" t="s">
        <v>440</v>
      </c>
    </row>
    <row r="14" spans="1:18" ht="16.5" customHeight="1">
      <c r="A14" s="81" t="s">
        <v>398</v>
      </c>
      <c r="B14" s="81">
        <v>1</v>
      </c>
      <c r="C14" s="82">
        <v>44486</v>
      </c>
      <c r="D14" s="81" t="s">
        <v>442</v>
      </c>
      <c r="E14" s="83">
        <v>44486</v>
      </c>
      <c r="F14" s="83">
        <v>44486</v>
      </c>
      <c r="G14" s="84">
        <v>0</v>
      </c>
      <c r="H14" s="84">
        <v>0</v>
      </c>
      <c r="I14" s="84">
        <v>0</v>
      </c>
      <c r="J14" s="84">
        <v>1</v>
      </c>
    </row>
    <row r="15" spans="1:18" ht="42.75">
      <c r="A15" s="81"/>
      <c r="B15" s="81"/>
      <c r="C15" s="82">
        <v>44487</v>
      </c>
      <c r="D15" s="81" t="s">
        <v>443</v>
      </c>
      <c r="E15" s="83">
        <v>44487.241747685184</v>
      </c>
      <c r="F15" s="83">
        <v>44487.78769675926</v>
      </c>
      <c r="G15" s="84">
        <v>0.15436342592592592</v>
      </c>
      <c r="H15" s="84">
        <v>0.39158564814814811</v>
      </c>
      <c r="I15" s="84">
        <v>0.54594907407407411</v>
      </c>
      <c r="J15" s="84">
        <v>0.45405092592592589</v>
      </c>
    </row>
    <row r="16" spans="1:18" ht="28.5">
      <c r="A16" s="81" t="s">
        <v>395</v>
      </c>
      <c r="B16" s="81">
        <v>2</v>
      </c>
      <c r="C16" s="82">
        <v>44490</v>
      </c>
      <c r="D16" s="81" t="s">
        <v>444</v>
      </c>
      <c r="E16" s="83">
        <v>44490.310613425929</v>
      </c>
      <c r="F16" s="83">
        <v>44490.583738425928</v>
      </c>
      <c r="G16" s="84">
        <v>8.4745370370370346E-2</v>
      </c>
      <c r="H16" s="84">
        <v>0.12986111111111112</v>
      </c>
      <c r="I16" s="84">
        <v>0.21460648148148145</v>
      </c>
      <c r="J16" s="84">
        <v>0.78539351851851857</v>
      </c>
    </row>
    <row r="17" spans="1:10" ht="28.5">
      <c r="A17" s="81"/>
      <c r="B17" s="81"/>
      <c r="C17" s="82">
        <v>44491</v>
      </c>
      <c r="D17" s="81" t="s">
        <v>444</v>
      </c>
      <c r="E17" s="83">
        <v>44491.293761574074</v>
      </c>
      <c r="F17" s="83">
        <v>44491.658136574071</v>
      </c>
      <c r="G17" s="84">
        <v>9.8090277777777762E-2</v>
      </c>
      <c r="H17" s="84">
        <v>0.20001157407407408</v>
      </c>
      <c r="I17" s="84">
        <v>0.2981018518518519</v>
      </c>
      <c r="J17" s="84">
        <v>0.7018981481481481</v>
      </c>
    </row>
    <row r="18" spans="1:10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0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0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>
      <c r="A21" s="8"/>
      <c r="B21" s="8"/>
      <c r="C21" s="8"/>
      <c r="D21" s="8"/>
    </row>
    <row r="22" spans="1:10">
      <c r="A22" s="8"/>
      <c r="B22" s="8"/>
      <c r="C22" s="8"/>
      <c r="D22" s="8"/>
    </row>
    <row r="23" spans="1:10">
      <c r="A23" s="8"/>
      <c r="B23" s="8"/>
      <c r="C23" s="8"/>
      <c r="D23" s="8"/>
    </row>
    <row r="24" spans="1:10">
      <c r="A24" s="8"/>
      <c r="B24" s="8"/>
      <c r="C24" s="8"/>
      <c r="D24" s="8"/>
    </row>
  </sheetData>
  <mergeCells count="1">
    <mergeCell ref="A4:B4"/>
  </mergeCells>
  <phoneticPr fontId="16" type="noConversion"/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Data</vt:lpstr>
      <vt:lpstr>TimeZone</vt:lpstr>
      <vt:lpstr>Languages</vt:lpstr>
      <vt:lpstr>Report</vt:lpstr>
      <vt:lpstr>Summary</vt:lpstr>
      <vt:lpstr>AllData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Aakash Dubey</cp:lastModifiedBy>
  <dcterms:created xsi:type="dcterms:W3CDTF">2009-05-21T13:20:04Z</dcterms:created>
  <dcterms:modified xsi:type="dcterms:W3CDTF">2023-11-14T13:22:44Z</dcterms:modified>
</cp:coreProperties>
</file>