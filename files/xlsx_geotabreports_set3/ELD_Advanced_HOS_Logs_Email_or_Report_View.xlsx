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codeName="ThisWorkbook" hidePivotFieldList="1"/>
  <mc:AlternateContent xmlns:mc="http://schemas.openxmlformats.org/markup-compatibility/2006">
    <mc:Choice Requires="x15">
      <x15ac:absPath xmlns:x15ac="http://schemas.microsoft.com/office/spreadsheetml/2010/11/ac" url="C:\Users\aakashdubey\Google Drive\HOS Marketplace Reports project\Final for Marketplace\"/>
    </mc:Choice>
  </mc:AlternateContent>
  <xr:revisionPtr revIDLastSave="0" documentId="13_ncr:1_{811DE027-2E35-454D-B38F-FBF29B1FDA84}" xr6:coauthVersionLast="45" xr6:coauthVersionMax="45" xr10:uidLastSave="{00000000-0000-0000-0000-000000000000}"/>
  <bookViews>
    <workbookView xWindow="-120" yWindow="-120" windowWidth="29040" windowHeight="15840" xr2:uid="{00000000-000D-0000-FFFF-FFFF00000000}"/>
  </bookViews>
  <sheets>
    <sheet name="Summary" sheetId="4" r:id="rId1"/>
    <sheet name="Unverified Logs" sheetId="8" r:id="rId2"/>
    <sheet name="Report" sheetId="3" r:id="rId3"/>
    <sheet name="Data" sheetId="1" state="hidden" r:id="rId4"/>
    <sheet name="Languages" sheetId="5" state="hidden" r:id="rId5"/>
  </sheets>
  <definedNames>
    <definedName name="AllData">Report!$A$11:$AA$32</definedName>
  </definedNames>
  <calcPr calcId="191029"/>
  <pivotCaches>
    <pivotCache cacheId="12"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3" l="1"/>
  <c r="K14" i="3"/>
  <c r="K15" i="3"/>
  <c r="K16" i="3"/>
  <c r="K17" i="3"/>
  <c r="K18" i="3"/>
  <c r="K19" i="3"/>
  <c r="K20" i="3"/>
  <c r="K21" i="3"/>
  <c r="K22" i="3"/>
  <c r="K23" i="3"/>
  <c r="K24" i="3"/>
  <c r="K25" i="3"/>
  <c r="K26" i="3"/>
  <c r="K27" i="3"/>
  <c r="K28" i="3"/>
  <c r="K29" i="3"/>
  <c r="K30" i="3"/>
  <c r="K31" i="3"/>
  <c r="K32" i="3"/>
  <c r="K12" i="3"/>
  <c r="B9" i="8" l="1"/>
  <c r="B6" i="8"/>
  <c r="B7" i="8" s="1"/>
  <c r="B5" i="8"/>
  <c r="A2" i="8"/>
  <c r="B9" i="4"/>
  <c r="B7" i="4"/>
  <c r="B6" i="4"/>
  <c r="B5" i="4"/>
  <c r="A2" i="4"/>
  <c r="O13" i="3" l="1"/>
  <c r="O14" i="3"/>
  <c r="O15" i="3"/>
  <c r="O16" i="3"/>
  <c r="O17" i="3"/>
  <c r="O18" i="3"/>
  <c r="O19" i="3"/>
  <c r="O20" i="3"/>
  <c r="O21" i="3"/>
  <c r="O22" i="3"/>
  <c r="O23" i="3"/>
  <c r="O24" i="3"/>
  <c r="O25" i="3"/>
  <c r="O26" i="3"/>
  <c r="O27" i="3"/>
  <c r="O28" i="3"/>
  <c r="O29" i="3"/>
  <c r="O30" i="3"/>
  <c r="O31" i="3"/>
  <c r="O32" i="3"/>
  <c r="O12" i="3"/>
  <c r="N13" i="3"/>
  <c r="N14" i="3"/>
  <c r="N15" i="3"/>
  <c r="N16" i="3"/>
  <c r="N17" i="3"/>
  <c r="N18" i="3"/>
  <c r="N19" i="3"/>
  <c r="N20" i="3"/>
  <c r="N21" i="3"/>
  <c r="N22" i="3"/>
  <c r="N23" i="3"/>
  <c r="N24" i="3"/>
  <c r="N25" i="3"/>
  <c r="N26" i="3"/>
  <c r="N27" i="3"/>
  <c r="N28" i="3"/>
  <c r="N29" i="3"/>
  <c r="N30" i="3"/>
  <c r="N31" i="3"/>
  <c r="N32" i="3"/>
  <c r="N12" i="3"/>
  <c r="J13" i="3" l="1"/>
  <c r="J14" i="3"/>
  <c r="J15" i="3"/>
  <c r="J16" i="3"/>
  <c r="J17" i="3"/>
  <c r="J18" i="3"/>
  <c r="J19" i="3"/>
  <c r="J20" i="3"/>
  <c r="J21" i="3"/>
  <c r="J22" i="3"/>
  <c r="J23" i="3"/>
  <c r="J24" i="3"/>
  <c r="J25" i="3"/>
  <c r="J26" i="3"/>
  <c r="J27" i="3"/>
  <c r="J28" i="3"/>
  <c r="J29" i="3"/>
  <c r="J30" i="3"/>
  <c r="J31" i="3"/>
  <c r="J32" i="3"/>
  <c r="J12" i="3"/>
  <c r="B9" i="3"/>
  <c r="E13" i="3" l="1"/>
  <c r="E14" i="3"/>
  <c r="E15" i="3"/>
  <c r="E16" i="3"/>
  <c r="E17" i="3"/>
  <c r="E18" i="3"/>
  <c r="E19" i="3"/>
  <c r="E20" i="3"/>
  <c r="E21" i="3"/>
  <c r="E22" i="3"/>
  <c r="E23" i="3"/>
  <c r="E24" i="3"/>
  <c r="E25" i="3"/>
  <c r="E26" i="3"/>
  <c r="E27" i="3"/>
  <c r="E28" i="3"/>
  <c r="E29" i="3"/>
  <c r="E30" i="3"/>
  <c r="E31" i="3"/>
  <c r="E32" i="3"/>
  <c r="E12" i="3"/>
  <c r="D13" i="3" l="1"/>
  <c r="D14" i="3"/>
  <c r="D15" i="3"/>
  <c r="D16" i="3"/>
  <c r="D17" i="3"/>
  <c r="D18" i="3"/>
  <c r="D19" i="3"/>
  <c r="D20" i="3"/>
  <c r="D21" i="3"/>
  <c r="D22" i="3"/>
  <c r="D23" i="3"/>
  <c r="D24" i="3"/>
  <c r="D25" i="3"/>
  <c r="D26" i="3"/>
  <c r="D27" i="3"/>
  <c r="D28" i="3"/>
  <c r="D29" i="3"/>
  <c r="D30" i="3"/>
  <c r="D31" i="3"/>
  <c r="D32" i="3"/>
  <c r="D12" i="3"/>
  <c r="A2" i="3"/>
  <c r="I13" i="3"/>
  <c r="I14" i="3"/>
  <c r="I15" i="3"/>
  <c r="I16" i="3"/>
  <c r="I17" i="3"/>
  <c r="I18" i="3"/>
  <c r="I19" i="3"/>
  <c r="I20" i="3"/>
  <c r="I21" i="3"/>
  <c r="I22" i="3"/>
  <c r="I23" i="3"/>
  <c r="I24" i="3"/>
  <c r="I25" i="3"/>
  <c r="I26" i="3"/>
  <c r="I27" i="3"/>
  <c r="I28" i="3"/>
  <c r="I29" i="3"/>
  <c r="I30" i="3"/>
  <c r="I31" i="3"/>
  <c r="I32" i="3"/>
  <c r="I12" i="3"/>
  <c r="F13" i="3"/>
  <c r="F14" i="3"/>
  <c r="F15" i="3"/>
  <c r="F16" i="3"/>
  <c r="F17" i="3"/>
  <c r="F18" i="3"/>
  <c r="F19" i="3"/>
  <c r="F20" i="3"/>
  <c r="F21" i="3"/>
  <c r="F22" i="3"/>
  <c r="F23" i="3"/>
  <c r="F24" i="3"/>
  <c r="F25" i="3"/>
  <c r="F26" i="3"/>
  <c r="F27" i="3"/>
  <c r="F28" i="3"/>
  <c r="F29" i="3"/>
  <c r="F30" i="3"/>
  <c r="F31" i="3"/>
  <c r="F32" i="3"/>
  <c r="F12" i="3"/>
  <c r="AA32" i="3" l="1"/>
  <c r="Y32" i="3"/>
  <c r="Z32" i="3" s="1"/>
  <c r="X32" i="3"/>
  <c r="V32" i="3"/>
  <c r="U32" i="3"/>
  <c r="R32" i="3"/>
  <c r="Q32" i="3"/>
  <c r="P32" i="3"/>
  <c r="M32" i="3"/>
  <c r="L32" i="3"/>
  <c r="H32" i="3"/>
  <c r="G32" i="3"/>
  <c r="C32" i="3"/>
  <c r="B32" i="3"/>
  <c r="A32" i="3"/>
  <c r="AA31" i="3"/>
  <c r="Y31" i="3"/>
  <c r="Z31" i="3" s="1"/>
  <c r="X31" i="3"/>
  <c r="V31" i="3"/>
  <c r="U31" i="3"/>
  <c r="R31" i="3"/>
  <c r="Q31" i="3"/>
  <c r="P31" i="3"/>
  <c r="M31" i="3"/>
  <c r="L31" i="3"/>
  <c r="H31" i="3"/>
  <c r="G31" i="3"/>
  <c r="C31" i="3"/>
  <c r="B31" i="3"/>
  <c r="A31" i="3"/>
  <c r="AA30" i="3"/>
  <c r="Y30" i="3"/>
  <c r="Z30" i="3" s="1"/>
  <c r="X30" i="3"/>
  <c r="V30" i="3"/>
  <c r="U30" i="3"/>
  <c r="R30" i="3"/>
  <c r="Q30" i="3"/>
  <c r="P30" i="3"/>
  <c r="M30" i="3"/>
  <c r="L30" i="3"/>
  <c r="H30" i="3"/>
  <c r="G30" i="3"/>
  <c r="C30" i="3"/>
  <c r="B30" i="3"/>
  <c r="A30" i="3"/>
  <c r="AA29" i="3"/>
  <c r="Y29" i="3"/>
  <c r="Z29" i="3" s="1"/>
  <c r="X29" i="3"/>
  <c r="V29" i="3"/>
  <c r="U29" i="3"/>
  <c r="R29" i="3"/>
  <c r="Q29" i="3"/>
  <c r="P29" i="3"/>
  <c r="M29" i="3"/>
  <c r="L29" i="3"/>
  <c r="H29" i="3"/>
  <c r="G29" i="3"/>
  <c r="C29" i="3"/>
  <c r="B29" i="3"/>
  <c r="A29" i="3"/>
  <c r="AA28" i="3"/>
  <c r="Y28" i="3"/>
  <c r="Z28" i="3" s="1"/>
  <c r="X28" i="3"/>
  <c r="V28" i="3"/>
  <c r="U28" i="3"/>
  <c r="R28" i="3"/>
  <c r="Q28" i="3"/>
  <c r="P28" i="3"/>
  <c r="M28" i="3"/>
  <c r="L28" i="3"/>
  <c r="H28" i="3"/>
  <c r="G28" i="3"/>
  <c r="C28" i="3"/>
  <c r="B28" i="3"/>
  <c r="A28" i="3"/>
  <c r="AA27" i="3"/>
  <c r="Y27" i="3"/>
  <c r="Z27" i="3" s="1"/>
  <c r="X27" i="3"/>
  <c r="V27" i="3"/>
  <c r="U27" i="3"/>
  <c r="R27" i="3"/>
  <c r="Q27" i="3"/>
  <c r="P27" i="3"/>
  <c r="M27" i="3"/>
  <c r="L27" i="3"/>
  <c r="H27" i="3"/>
  <c r="G27" i="3"/>
  <c r="C27" i="3"/>
  <c r="B27" i="3"/>
  <c r="A27" i="3"/>
  <c r="AA26" i="3"/>
  <c r="Y26" i="3"/>
  <c r="Z26" i="3" s="1"/>
  <c r="X26" i="3"/>
  <c r="V26" i="3"/>
  <c r="U26" i="3"/>
  <c r="R26" i="3"/>
  <c r="Q26" i="3"/>
  <c r="P26" i="3"/>
  <c r="M26" i="3"/>
  <c r="L26" i="3"/>
  <c r="H26" i="3"/>
  <c r="G26" i="3"/>
  <c r="C26" i="3"/>
  <c r="B26" i="3"/>
  <c r="A26" i="3"/>
  <c r="AA25" i="3"/>
  <c r="Y25" i="3"/>
  <c r="Z25" i="3" s="1"/>
  <c r="X25" i="3"/>
  <c r="V25" i="3"/>
  <c r="U25" i="3"/>
  <c r="R25" i="3"/>
  <c r="Q25" i="3"/>
  <c r="P25" i="3"/>
  <c r="M25" i="3"/>
  <c r="L25" i="3"/>
  <c r="H25" i="3"/>
  <c r="G25" i="3"/>
  <c r="C25" i="3"/>
  <c r="B25" i="3"/>
  <c r="A25" i="3"/>
  <c r="AA24" i="3"/>
  <c r="Y24" i="3"/>
  <c r="Z24" i="3" s="1"/>
  <c r="X24" i="3"/>
  <c r="V24" i="3"/>
  <c r="U24" i="3"/>
  <c r="R24" i="3"/>
  <c r="Q24" i="3"/>
  <c r="P24" i="3"/>
  <c r="M24" i="3"/>
  <c r="L24" i="3"/>
  <c r="H24" i="3"/>
  <c r="G24" i="3"/>
  <c r="C24" i="3"/>
  <c r="B24" i="3"/>
  <c r="A24" i="3"/>
  <c r="AA23" i="3"/>
  <c r="Y23" i="3"/>
  <c r="Z23" i="3" s="1"/>
  <c r="X23" i="3"/>
  <c r="V23" i="3"/>
  <c r="U23" i="3"/>
  <c r="R23" i="3"/>
  <c r="Q23" i="3"/>
  <c r="P23" i="3"/>
  <c r="M23" i="3"/>
  <c r="L23" i="3"/>
  <c r="H23" i="3"/>
  <c r="G23" i="3"/>
  <c r="C23" i="3"/>
  <c r="B23" i="3"/>
  <c r="A23" i="3"/>
  <c r="AA22" i="3"/>
  <c r="Y22" i="3"/>
  <c r="Z22" i="3" s="1"/>
  <c r="X22" i="3"/>
  <c r="V22" i="3"/>
  <c r="U22" i="3"/>
  <c r="R22" i="3"/>
  <c r="Q22" i="3"/>
  <c r="P22" i="3"/>
  <c r="M22" i="3"/>
  <c r="L22" i="3"/>
  <c r="H22" i="3"/>
  <c r="G22" i="3"/>
  <c r="C22" i="3"/>
  <c r="B22" i="3"/>
  <c r="A22" i="3"/>
  <c r="AA21" i="3"/>
  <c r="Y21" i="3"/>
  <c r="Z21" i="3" s="1"/>
  <c r="X21" i="3"/>
  <c r="V21" i="3"/>
  <c r="U21" i="3"/>
  <c r="R21" i="3"/>
  <c r="Q21" i="3"/>
  <c r="P21" i="3"/>
  <c r="M21" i="3"/>
  <c r="L21" i="3"/>
  <c r="H21" i="3"/>
  <c r="G21" i="3"/>
  <c r="C21" i="3"/>
  <c r="B21" i="3"/>
  <c r="A21" i="3"/>
  <c r="AA20" i="3"/>
  <c r="Y20" i="3"/>
  <c r="Z20" i="3" s="1"/>
  <c r="X20" i="3"/>
  <c r="V20" i="3"/>
  <c r="U20" i="3"/>
  <c r="R20" i="3"/>
  <c r="Q20" i="3"/>
  <c r="P20" i="3"/>
  <c r="M20" i="3"/>
  <c r="L20" i="3"/>
  <c r="H20" i="3"/>
  <c r="G20" i="3"/>
  <c r="C20" i="3"/>
  <c r="B20" i="3"/>
  <c r="A20" i="3"/>
  <c r="AA19" i="3"/>
  <c r="Y19" i="3"/>
  <c r="Z19" i="3" s="1"/>
  <c r="X19" i="3"/>
  <c r="V19" i="3"/>
  <c r="U19" i="3"/>
  <c r="R19" i="3"/>
  <c r="Q19" i="3"/>
  <c r="P19" i="3"/>
  <c r="M19" i="3"/>
  <c r="L19" i="3"/>
  <c r="H19" i="3"/>
  <c r="G19" i="3"/>
  <c r="C19" i="3"/>
  <c r="B19" i="3"/>
  <c r="A19" i="3"/>
  <c r="AA18" i="3"/>
  <c r="Y18" i="3"/>
  <c r="Z18" i="3" s="1"/>
  <c r="X18" i="3"/>
  <c r="V18" i="3"/>
  <c r="U18" i="3"/>
  <c r="R18" i="3"/>
  <c r="Q18" i="3"/>
  <c r="P18" i="3"/>
  <c r="M18" i="3"/>
  <c r="L18" i="3"/>
  <c r="H18" i="3"/>
  <c r="G18" i="3"/>
  <c r="C18" i="3"/>
  <c r="B18" i="3"/>
  <c r="A18" i="3"/>
  <c r="AA17" i="3"/>
  <c r="Y17" i="3"/>
  <c r="Z17" i="3" s="1"/>
  <c r="X17" i="3"/>
  <c r="V17" i="3"/>
  <c r="U17" i="3"/>
  <c r="R17" i="3"/>
  <c r="Q17" i="3"/>
  <c r="P17" i="3"/>
  <c r="M17" i="3"/>
  <c r="L17" i="3"/>
  <c r="H17" i="3"/>
  <c r="G17" i="3"/>
  <c r="C17" i="3"/>
  <c r="B17" i="3"/>
  <c r="A17" i="3"/>
  <c r="AA16" i="3"/>
  <c r="Y16" i="3"/>
  <c r="Z16" i="3" s="1"/>
  <c r="X16" i="3"/>
  <c r="V16" i="3"/>
  <c r="U16" i="3"/>
  <c r="R16" i="3"/>
  <c r="Q16" i="3"/>
  <c r="P16" i="3"/>
  <c r="M16" i="3"/>
  <c r="L16" i="3"/>
  <c r="H16" i="3"/>
  <c r="G16" i="3"/>
  <c r="C16" i="3"/>
  <c r="B16" i="3"/>
  <c r="A16" i="3"/>
  <c r="AA15" i="3"/>
  <c r="Y15" i="3"/>
  <c r="Z15" i="3" s="1"/>
  <c r="X15" i="3"/>
  <c r="V15" i="3"/>
  <c r="U15" i="3"/>
  <c r="R15" i="3"/>
  <c r="Q15" i="3"/>
  <c r="P15" i="3"/>
  <c r="M15" i="3"/>
  <c r="L15" i="3"/>
  <c r="H15" i="3"/>
  <c r="G15" i="3"/>
  <c r="C15" i="3"/>
  <c r="B15" i="3"/>
  <c r="A15" i="3"/>
  <c r="AA14" i="3"/>
  <c r="Y14" i="3"/>
  <c r="Z14" i="3" s="1"/>
  <c r="X14" i="3"/>
  <c r="V14" i="3"/>
  <c r="U14" i="3"/>
  <c r="R14" i="3"/>
  <c r="Q14" i="3"/>
  <c r="P14" i="3"/>
  <c r="M14" i="3"/>
  <c r="L14" i="3"/>
  <c r="H14" i="3"/>
  <c r="G14" i="3"/>
  <c r="C14" i="3"/>
  <c r="B14" i="3"/>
  <c r="A14" i="3"/>
  <c r="AA13" i="3"/>
  <c r="Y13" i="3"/>
  <c r="Z13" i="3" s="1"/>
  <c r="X13" i="3"/>
  <c r="V13" i="3"/>
  <c r="U13" i="3"/>
  <c r="R13" i="3"/>
  <c r="Q13" i="3"/>
  <c r="P13" i="3"/>
  <c r="M13" i="3"/>
  <c r="L13" i="3"/>
  <c r="H13" i="3"/>
  <c r="G13" i="3"/>
  <c r="C13" i="3"/>
  <c r="B13" i="3"/>
  <c r="A13" i="3"/>
  <c r="AA12" i="3"/>
  <c r="Y12" i="3"/>
  <c r="Z12" i="3" s="1"/>
  <c r="X12" i="3"/>
  <c r="V12" i="3"/>
  <c r="U12" i="3"/>
  <c r="R12" i="3"/>
  <c r="Q12" i="3"/>
  <c r="P12" i="3"/>
  <c r="M12" i="3"/>
  <c r="L12" i="3"/>
  <c r="H12" i="3"/>
  <c r="G12" i="3"/>
  <c r="C12" i="3"/>
  <c r="B12" i="3"/>
  <c r="A12" i="3"/>
  <c r="B6" i="3"/>
  <c r="B5" i="3"/>
  <c r="C1" i="3"/>
  <c r="W17" i="3" l="1"/>
  <c r="S17" i="3" s="1"/>
  <c r="W25" i="3"/>
  <c r="W13" i="3"/>
  <c r="S13" i="3" s="1"/>
  <c r="W21" i="3"/>
  <c r="S21" i="3" s="1"/>
  <c r="W29" i="3"/>
  <c r="T29" i="3" s="1"/>
  <c r="T13" i="3"/>
  <c r="T17" i="3"/>
  <c r="T21" i="3"/>
  <c r="T25" i="3"/>
  <c r="S25" i="3"/>
  <c r="S29" i="3"/>
  <c r="S12" i="3"/>
  <c r="S16" i="3"/>
  <c r="S20" i="3"/>
  <c r="S24" i="3"/>
  <c r="T24" i="3"/>
  <c r="T28" i="3"/>
  <c r="T32" i="3"/>
  <c r="S15" i="3"/>
  <c r="T15" i="3"/>
  <c r="T19" i="3"/>
  <c r="T23" i="3"/>
  <c r="S27" i="3"/>
  <c r="S31" i="3"/>
  <c r="S14" i="3"/>
  <c r="S18" i="3"/>
  <c r="W22" i="3"/>
  <c r="T22" i="3"/>
  <c r="S22" i="3"/>
  <c r="T26" i="3"/>
  <c r="T30" i="3"/>
  <c r="W16" i="3"/>
  <c r="T16" i="3" s="1"/>
  <c r="W24" i="3"/>
  <c r="W28" i="3"/>
  <c r="S28" i="3" s="1"/>
  <c r="W32" i="3"/>
  <c r="S32" i="3" s="1"/>
  <c r="W12" i="3"/>
  <c r="T12" i="3" s="1"/>
  <c r="W20" i="3"/>
  <c r="T20" i="3" s="1"/>
  <c r="W15" i="3"/>
  <c r="W19" i="3"/>
  <c r="S19" i="3" s="1"/>
  <c r="W23" i="3"/>
  <c r="S23" i="3" s="1"/>
  <c r="W27" i="3"/>
  <c r="T27" i="3" s="1"/>
  <c r="W31" i="3"/>
  <c r="T31" i="3" s="1"/>
  <c r="W14" i="3"/>
  <c r="T14" i="3" s="1"/>
  <c r="W18" i="3"/>
  <c r="T18" i="3" s="1"/>
  <c r="W26" i="3"/>
  <c r="S26" i="3" s="1"/>
  <c r="W30" i="3"/>
  <c r="S30" i="3" s="1"/>
  <c r="B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A1" authorId="0" shapeId="0" xr:uid="{00000000-0006-0000-0000-000001000000}">
      <text>
        <r>
          <rPr>
            <sz val="10"/>
            <rFont val="Arial"/>
            <family val="2"/>
          </rPr>
          <t>HosLog.20</t>
        </r>
      </text>
    </comment>
  </commentList>
</comments>
</file>

<file path=xl/sharedStrings.xml><?xml version="1.0" encoding="utf-8"?>
<sst xmlns="http://schemas.openxmlformats.org/spreadsheetml/2006/main" count="795" uniqueCount="323">
  <si>
    <t>Grand Total</t>
  </si>
  <si>
    <t>FromDate</t>
  </si>
  <si>
    <t>ToDate</t>
  </si>
  <si>
    <t>RunDate</t>
  </si>
  <si>
    <t>CompanyName</t>
  </si>
  <si>
    <t>DistanceUnit</t>
  </si>
  <si>
    <t>SpeedUnit</t>
  </si>
  <si>
    <t>SendReport</t>
  </si>
  <si>
    <t>LastModifiedUser</t>
  </si>
  <si>
    <t>ON</t>
  </si>
  <si>
    <t>OFF</t>
  </si>
  <si>
    <t>D</t>
  </si>
  <si>
    <t>Status</t>
  </si>
  <si>
    <t>Longitude</t>
  </si>
  <si>
    <t>Latitude</t>
  </si>
  <si>
    <t>Distance</t>
  </si>
  <si>
    <t>DutyStatusDateTime</t>
  </si>
  <si>
    <t>DutyStatusStatus</t>
  </si>
  <si>
    <t>.StatusLog.Device.DeviceName</t>
  </si>
  <si>
    <t>.StatusLog.Device.DeviceId</t>
  </si>
  <si>
    <t>.StatusLog.Device.DeviceComment</t>
  </si>
  <si>
    <t>.StatusLog.Device.DeviceGroup</t>
  </si>
  <si>
    <t>.StatusLog.Driver.UserName</t>
  </si>
  <si>
    <t>DutyStatusCoDrivers</t>
  </si>
  <si>
    <t>DutyStatusDetailOdometer</t>
  </si>
  <si>
    <t>DutyStatusDetailDistance</t>
  </si>
  <si>
    <t>DutyStatusDetailLongitude</t>
  </si>
  <si>
    <t>DutyStatusDetailLatitude</t>
  </si>
  <si>
    <t>DutyStatusLocation</t>
  </si>
  <si>
    <t>DutyStatusVerifyDateTime</t>
  </si>
  <si>
    <t>DutyStatusEditDateTime</t>
  </si>
  <si>
    <t>DutyStatusDetailTrailers</t>
  </si>
  <si>
    <t>DutyStatusDetailHosRuleSet</t>
  </si>
  <si>
    <t>DutyStatusId</t>
  </si>
  <si>
    <t>English</t>
  </si>
  <si>
    <t>French</t>
  </si>
  <si>
    <t>Spanish</t>
  </si>
  <si>
    <t>German</t>
  </si>
  <si>
    <t>Japanese</t>
  </si>
  <si>
    <t>**Driver</t>
  </si>
  <si>
    <t>**Status</t>
  </si>
  <si>
    <t>**Device</t>
  </si>
  <si>
    <t>**Trailers</t>
  </si>
  <si>
    <t>**Longitude</t>
  </si>
  <si>
    <t>**Latitude</t>
  </si>
  <si>
    <t>**Address</t>
  </si>
  <si>
    <t>**Odometer</t>
  </si>
  <si>
    <t>**Distance</t>
  </si>
  <si>
    <t>**Duty Status Logs</t>
  </si>
  <si>
    <t>**Created</t>
  </si>
  <si>
    <t>**From</t>
  </si>
  <si>
    <t>**To</t>
  </si>
  <si>
    <t>**Distance Unit</t>
  </si>
  <si>
    <t>**Summary</t>
  </si>
  <si>
    <t>Date</t>
  </si>
  <si>
    <t>**Date</t>
  </si>
  <si>
    <t>**Verify Date</t>
  </si>
  <si>
    <t>**Edit Date</t>
  </si>
  <si>
    <t>Conducteur</t>
  </si>
  <si>
    <t>Conductor</t>
  </si>
  <si>
    <t>Fahrer</t>
  </si>
  <si>
    <t>ドライバー</t>
  </si>
  <si>
    <t>Fecha</t>
  </si>
  <si>
    <t>Datum</t>
  </si>
  <si>
    <t>データ</t>
  </si>
  <si>
    <t>État</t>
  </si>
  <si>
    <t>Estado</t>
  </si>
  <si>
    <t>ステータス</t>
  </si>
  <si>
    <t>Dispositif</t>
  </si>
  <si>
    <t>Dispositivo</t>
  </si>
  <si>
    <t>Gerät</t>
  </si>
  <si>
    <t>デバイス</t>
  </si>
  <si>
    <t>Co-chauffeurs</t>
  </si>
  <si>
    <t>Copiloto</t>
  </si>
  <si>
    <t>Beifahrer</t>
  </si>
  <si>
    <t>補助ドライバー</t>
  </si>
  <si>
    <t>Gros porteurs</t>
  </si>
  <si>
    <t>Remolques</t>
  </si>
  <si>
    <t>Anhänger</t>
  </si>
  <si>
    <t>トレーラー</t>
  </si>
  <si>
    <t>Longitud</t>
  </si>
  <si>
    <t>Längengrad</t>
  </si>
  <si>
    <t>経度</t>
  </si>
  <si>
    <t>Latitud</t>
  </si>
  <si>
    <t>Breitengrad</t>
  </si>
  <si>
    <t>緯度</t>
  </si>
  <si>
    <t>Adresse</t>
  </si>
  <si>
    <t>Dirección</t>
  </si>
  <si>
    <t>住所</t>
  </si>
  <si>
    <t>Odomètre</t>
  </si>
  <si>
    <t>Odómetro</t>
  </si>
  <si>
    <t>Kilometerstand</t>
  </si>
  <si>
    <t>オドメータ</t>
  </si>
  <si>
    <t>Distancia</t>
  </si>
  <si>
    <t>Entfernung</t>
  </si>
  <si>
    <t>距離</t>
  </si>
  <si>
    <t>Date de vérification</t>
  </si>
  <si>
    <t>Fecha de verificación</t>
  </si>
  <si>
    <t>Verifizierungsdatum</t>
  </si>
  <si>
    <t>確認日</t>
  </si>
  <si>
    <t>Date de modification</t>
  </si>
  <si>
    <t>Fecha de edición</t>
  </si>
  <si>
    <t>Bearbeitungsdatum</t>
  </si>
  <si>
    <t>編集日</t>
  </si>
  <si>
    <t>Registres de l'état des tâches</t>
  </si>
  <si>
    <t>Registros de estado de HOS</t>
  </si>
  <si>
    <t>Lenkzeitprotokoll</t>
  </si>
  <si>
    <t>職務ステータスログ</t>
  </si>
  <si>
    <t>Sommaire</t>
  </si>
  <si>
    <t>Resumen</t>
  </si>
  <si>
    <t>Zusammenfassung</t>
  </si>
  <si>
    <t>走行データ</t>
  </si>
  <si>
    <t>Créé</t>
  </si>
  <si>
    <t>Creado</t>
  </si>
  <si>
    <t>Angelegt</t>
  </si>
  <si>
    <t>作成済</t>
  </si>
  <si>
    <t>À partir de</t>
  </si>
  <si>
    <t>De</t>
  </si>
  <si>
    <t>Von</t>
  </si>
  <si>
    <t>から</t>
  </si>
  <si>
    <t>Pour</t>
  </si>
  <si>
    <t>Para</t>
  </si>
  <si>
    <t>An</t>
  </si>
  <si>
    <t>へ</t>
  </si>
  <si>
    <t>Unité de distance</t>
  </si>
  <si>
    <t>Unidad de distancia</t>
  </si>
  <si>
    <t>Entfernungseinheit</t>
  </si>
  <si>
    <t>距離の単位</t>
  </si>
  <si>
    <t>DutyStatusDetailAnnotations</t>
  </si>
  <si>
    <t>Language</t>
  </si>
  <si>
    <t>en</t>
  </si>
  <si>
    <t>DutyStatusOrigin</t>
  </si>
  <si>
    <t>Manual</t>
  </si>
  <si>
    <t>Automatic</t>
  </si>
  <si>
    <t>**First Name</t>
  </si>
  <si>
    <t>Prénom</t>
  </si>
  <si>
    <t>Nombre</t>
  </si>
  <si>
    <t>Vorname</t>
  </si>
  <si>
    <t>ファーストネー</t>
  </si>
  <si>
    <t>**Last Name</t>
  </si>
  <si>
    <t>Nom de famille</t>
  </si>
  <si>
    <t>Apellido</t>
  </si>
  <si>
    <t>Nachname</t>
  </si>
  <si>
    <t>ラストネーム</t>
  </si>
  <si>
    <t>.StatusLog.Driver.UserFirstName</t>
  </si>
  <si>
    <t>.StatusLog.Driver.UserLastName</t>
  </si>
  <si>
    <t>**Log Origin</t>
  </si>
  <si>
    <t>Origine du Journal</t>
  </si>
  <si>
    <t>Origen del Registro</t>
  </si>
  <si>
    <t>Protokollherkunft</t>
  </si>
  <si>
    <t>ログの起源</t>
  </si>
  <si>
    <t>Polish</t>
  </si>
  <si>
    <t>Kierowca</t>
  </si>
  <si>
    <t>Data</t>
  </si>
  <si>
    <t>Urzadzenie</t>
  </si>
  <si>
    <t>Wspólkierowcy</t>
  </si>
  <si>
    <t>Przyczepy</t>
  </si>
  <si>
    <t>Dlugosc geograficzna</t>
  </si>
  <si>
    <t>Szerokosc geograficzna</t>
  </si>
  <si>
    <t>Adres</t>
  </si>
  <si>
    <t>Licznik kilometrów</t>
  </si>
  <si>
    <t>Odleglosc</t>
  </si>
  <si>
    <t>Data weryfikacji</t>
  </si>
  <si>
    <t>Data edycji</t>
  </si>
  <si>
    <t>Dzienniki statusów dyzurów</t>
  </si>
  <si>
    <t>Podsumowanie</t>
  </si>
  <si>
    <t>Utworzono</t>
  </si>
  <si>
    <t>Od</t>
  </si>
  <si>
    <t>Do</t>
  </si>
  <si>
    <t>Jednostka odleglosci</t>
  </si>
  <si>
    <t>Imie</t>
  </si>
  <si>
    <t>Nazwisko</t>
  </si>
  <si>
    <t>Powstanie dziennika</t>
  </si>
  <si>
    <t>Portuguese-Brazil</t>
  </si>
  <si>
    <t>Motorista</t>
  </si>
  <si>
    <t>Reboques</t>
  </si>
  <si>
    <t>Endereço</t>
  </si>
  <si>
    <t>Velocímetro</t>
  </si>
  <si>
    <t>Distância</t>
  </si>
  <si>
    <t>Registros de status de serviço</t>
  </si>
  <si>
    <t>Resumo</t>
  </si>
  <si>
    <t>Nome</t>
  </si>
  <si>
    <t>Sobrenome</t>
  </si>
  <si>
    <t>Origem do registro</t>
  </si>
  <si>
    <t>Comotoristas</t>
  </si>
  <si>
    <t>Verificar data</t>
  </si>
  <si>
    <t>Editar data</t>
  </si>
  <si>
    <t>Criado em</t>
  </si>
  <si>
    <t>Unidade de distância</t>
  </si>
  <si>
    <t>DutyStatusParentId</t>
  </si>
  <si>
    <t>DutyStatusState</t>
  </si>
  <si>
    <t>DutyStatusVersion</t>
  </si>
  <si>
    <t>Dutch</t>
  </si>
  <si>
    <t>Chauffeur</t>
  </si>
  <si>
    <t>Apparaat</t>
  </si>
  <si>
    <t>Tweede chauffeurs</t>
  </si>
  <si>
    <t>Aanhangers</t>
  </si>
  <si>
    <t>Lengtegraad</t>
  </si>
  <si>
    <t>Breedtegraad</t>
  </si>
  <si>
    <t>Kilometerteller</t>
  </si>
  <si>
    <t>Afstand</t>
  </si>
  <si>
    <t>Datum verifiëren</t>
  </si>
  <si>
    <t>Datum bewerken</t>
  </si>
  <si>
    <t>Logboeken dienststatus</t>
  </si>
  <si>
    <t>Overzicht</t>
  </si>
  <si>
    <t>Aangemaakt</t>
  </si>
  <si>
    <t>Van</t>
  </si>
  <si>
    <t>Aan</t>
  </si>
  <si>
    <t>Afstandseenheid</t>
  </si>
  <si>
    <t>Voornaam</t>
  </si>
  <si>
    <t>Achternaam</t>
  </si>
  <si>
    <t>Oorsprong logboek</t>
  </si>
  <si>
    <t>Italian</t>
  </si>
  <si>
    <t>Conducente</t>
  </si>
  <si>
    <t>Stato</t>
  </si>
  <si>
    <t>Rimorchi</t>
  </si>
  <si>
    <t>Longitudine</t>
  </si>
  <si>
    <t>Latitudine</t>
  </si>
  <si>
    <t>Indirizzo</t>
  </si>
  <si>
    <t>Contachilometri</t>
  </si>
  <si>
    <t>Distanza</t>
  </si>
  <si>
    <t>Registri di stato in servizio</t>
  </si>
  <si>
    <t>Riassunto</t>
  </si>
  <si>
    <t>Da</t>
  </si>
  <si>
    <t>A</t>
  </si>
  <si>
    <t>**Co-drivers</t>
  </si>
  <si>
    <t>DutyStatusSequence</t>
  </si>
  <si>
    <t>Secondi conducenti</t>
  </si>
  <si>
    <t>Verificare data</t>
  </si>
  <si>
    <t>Modificare data</t>
  </si>
  <si>
    <t>Creato</t>
  </si>
  <si>
    <t>Unità di distanza</t>
  </si>
  <si>
    <t>Cognome</t>
  </si>
  <si>
    <t>Origine del registro</t>
  </si>
  <si>
    <t>miles</t>
  </si>
  <si>
    <t>mph</t>
  </si>
  <si>
    <t>b1</t>
  </si>
  <si>
    <t>aiZwnVeo8NkqR1G8uJ2mLLQ</t>
  </si>
  <si>
    <t>OilTransport7DayBig</t>
  </si>
  <si>
    <t>Unassigned</t>
  </si>
  <si>
    <t>Active</t>
  </si>
  <si>
    <t>02B5</t>
  </si>
  <si>
    <t>aKE-Ly-o-30airjvXlI7tpw</t>
  </si>
  <si>
    <t>02B9</t>
  </si>
  <si>
    <t>aHvc1n1rddE2TChhSyRPSew</t>
  </si>
  <si>
    <t>02BA</t>
  </si>
  <si>
    <t>aUniR0XjEtkmhrWhTlyD15A</t>
  </si>
  <si>
    <t>02BB</t>
  </si>
  <si>
    <t>aivdl-UqjCECaS8Ux7BkQhA</t>
  </si>
  <si>
    <t>02BD</t>
  </si>
  <si>
    <t>aeQfGlpJyVEmQ3_WRTiLYnQ</t>
  </si>
  <si>
    <t>02BF</t>
  </si>
  <si>
    <t>aFyDrfOySxUSMLZyRte8BIg</t>
  </si>
  <si>
    <t>02C1</t>
  </si>
  <si>
    <t>aUYKXN0Zq8Ue4hpU5RbVvwQ</t>
  </si>
  <si>
    <t>02C3</t>
  </si>
  <si>
    <t>aBnW6FD9ZREesgOc-mSoyZQ</t>
  </si>
  <si>
    <t>02C5</t>
  </si>
  <si>
    <t>aL8gIzepeKESvSuyJh39WrA</t>
  </si>
  <si>
    <t>02C7</t>
  </si>
  <si>
    <t>a8p35cUCu6UiTrxHPAXDjnA</t>
  </si>
  <si>
    <t>0028</t>
  </si>
  <si>
    <t>aGdlhzbQZfkSx_w2BSUto9g</t>
  </si>
  <si>
    <t>0029</t>
  </si>
  <si>
    <t>am8tMPQe3S0WdrmtOuByd5Q</t>
  </si>
  <si>
    <t>002A</t>
  </si>
  <si>
    <t>aXFu-jhsYnESM6pJECk0nLw</t>
  </si>
  <si>
    <t>0430</t>
  </si>
  <si>
    <t>aU_pW7fo52kqAZjLRIMgD5g</t>
  </si>
  <si>
    <t>0432</t>
  </si>
  <si>
    <t>amJc_F8MS1keTk-C7KYDPxA</t>
  </si>
  <si>
    <t>0433</t>
  </si>
  <si>
    <t>aOwmsUhS-IkqmS8aHMZ1YEQ</t>
  </si>
  <si>
    <t>0436</t>
  </si>
  <si>
    <t>aM_5b7Vv4Jk-3uvk1w0mOeQ</t>
  </si>
  <si>
    <t>0438</t>
  </si>
  <si>
    <t>aWgfgzlPFKk-ehudTRd-ohA</t>
  </si>
  <si>
    <t>043A</t>
  </si>
  <si>
    <t>aFqpw7rw7xUmw6XoY7xuYDg</t>
  </si>
  <si>
    <t>043C</t>
  </si>
  <si>
    <t>a4Yaf7RoU2k2l70wJ751s0g</t>
  </si>
  <si>
    <t>043E</t>
  </si>
  <si>
    <t>Verify Date</t>
  </si>
  <si>
    <t>usa112.geotab.com</t>
  </si>
  <si>
    <t>Driver ID</t>
  </si>
  <si>
    <t>UserId</t>
  </si>
  <si>
    <t>.StatusLog.Driver.UserId</t>
  </si>
  <si>
    <t>StatusLog.UserId</t>
  </si>
  <si>
    <t>b41B4DC05</t>
  </si>
  <si>
    <t>Duty Status ID</t>
  </si>
  <si>
    <t>Vehicle 1</t>
  </si>
  <si>
    <t>FirstName</t>
  </si>
  <si>
    <t>LastName</t>
  </si>
  <si>
    <t>Device ID</t>
  </si>
  <si>
    <t>ABC Company</t>
  </si>
  <si>
    <t>Street Address, City, State Zip, Country</t>
  </si>
  <si>
    <t>DutyStatusDetailShipments</t>
  </si>
  <si>
    <t>.StatusLog.Driver.DriverGroup</t>
  </si>
  <si>
    <t>Entire Organization</t>
  </si>
  <si>
    <t>#100293</t>
  </si>
  <si>
    <t>Tractor #8</t>
  </si>
  <si>
    <t>New Equipment</t>
  </si>
  <si>
    <t>Driver A</t>
  </si>
  <si>
    <t>Driver B</t>
  </si>
  <si>
    <t>Driver A Total</t>
  </si>
  <si>
    <t>Driver B Total</t>
  </si>
  <si>
    <t>Verified</t>
  </si>
  <si>
    <t>FALSE</t>
  </si>
  <si>
    <t>ABC_Company</t>
  </si>
  <si>
    <t>mygproduct@geotab.com</t>
  </si>
  <si>
    <t>**Days</t>
  </si>
  <si>
    <t>**Driver Group</t>
  </si>
  <si>
    <t>**Annotations</t>
  </si>
  <si>
    <t>**Edit Log</t>
  </si>
  <si>
    <t>**Shipments</t>
  </si>
  <si>
    <t>**Duration</t>
  </si>
  <si>
    <t>**Log Distance</t>
  </si>
  <si>
    <t>**Log Duration</t>
  </si>
  <si>
    <t>**Edit Log Hyperlink Information</t>
  </si>
  <si>
    <t>**Server:</t>
  </si>
  <si>
    <t>**Database:</t>
  </si>
  <si>
    <t>**Vehicle</t>
  </si>
  <si>
    <t xml:space="preserve">**This report offers hyperlink functionality, which will take you to the log edit screen for any duty status log. 
To enable this functionality please input your database web address's server information in cell G5 and database name in cell G6 (as seen in example).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</si>
</sst>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409]_(&quot;$&quot;* #,##0_);[$-409]_(&quot;$&quot;* \(#,##0\);[$-409]_(&quot;$&quot;* &quot;-&quot;_);_(@_)"/>
    <numFmt numFmtId="165" formatCode="[$-409]_(* #,##0_);[$-409]_(* \(#,##0\);[$-409]_(* &quot;-&quot;_);_(@_)"/>
    <numFmt numFmtId="166" formatCode="[$-409]_(&quot;$&quot;* #,##0.00_);[$-409]_(&quot;$&quot;* \(#,##0.00\);[$-409]_(&quot;$&quot;* &quot;-&quot;??_);_(@_)"/>
    <numFmt numFmtId="167" formatCode="[$-409]_(* #,##0.00_);[$-409]_(* \(#,##0.00\);[$-409]_(* &quot;-&quot;??_);_(@_)"/>
    <numFmt numFmtId="168" formatCode="[$-409]dd/mm/yyyy\ h:mm:ss\ AM/PM"/>
    <numFmt numFmtId="169" formatCode="[$-409]0;[$-409]\-0;[$-409];@"/>
    <numFmt numFmtId="170" formatCode="[$-409]mmm\ dd\,\ yyyy"/>
    <numFmt numFmtId="171" formatCode="[$-409]mmm\ dd\,\ yyyy\ h:mm:ss\ AM/PM"/>
    <numFmt numFmtId="172" formatCode="[$-409]0.00000_ ;[$-409]\-0.00000\ "/>
    <numFmt numFmtId="173" formatCode="[$-409]0_ ;[$-409]\-0\ "/>
    <numFmt numFmtId="174" formatCode="[$-409]m/d/yy\ h:mm"/>
    <numFmt numFmtId="175" formatCode="[h]:mm:ss;@"/>
  </numFmts>
  <fonts count="32" x14ac:knownFonts="1">
    <font>
      <sz val="10"/>
      <name val="Arial"/>
      <family val="2"/>
    </font>
    <font>
      <sz val="11"/>
      <color theme="1"/>
      <name val="Calibri"/>
      <family val="2"/>
      <scheme val="minor"/>
    </font>
    <font>
      <sz val="11"/>
      <color theme="1"/>
      <name val="Calibri"/>
      <family val="2"/>
      <scheme val="minor"/>
    </font>
    <font>
      <b/>
      <sz val="7"/>
      <color indexed="8"/>
      <name val="Tahoma"/>
      <family val="2"/>
    </font>
    <font>
      <sz val="8"/>
      <color indexed="8"/>
      <name val="Tahoma"/>
      <family val="2"/>
    </font>
    <font>
      <sz val="10"/>
      <name val="Arial"/>
      <family val="2"/>
    </font>
    <font>
      <sz val="11"/>
      <color theme="1"/>
      <name val="Calibri"/>
      <family val="2"/>
      <scheme val="minor"/>
    </font>
    <font>
      <sz val="11"/>
      <color theme="0"/>
      <name val="Calibri"/>
      <family val="2"/>
      <scheme val="minor"/>
    </font>
    <font>
      <b/>
      <sz val="18"/>
      <color theme="1"/>
      <name val="Calibri"/>
      <family val="2"/>
      <scheme val="minor"/>
    </font>
    <font>
      <sz val="11"/>
      <color theme="3"/>
      <name val="Calibri"/>
      <family val="2"/>
      <scheme val="minor"/>
    </font>
    <font>
      <b/>
      <sz val="11"/>
      <color theme="1"/>
      <name val="Calibri"/>
      <family val="2"/>
    </font>
    <font>
      <b/>
      <sz val="11"/>
      <color theme="1"/>
      <name val="Calibri"/>
      <family val="2"/>
      <scheme val="minor"/>
    </font>
    <font>
      <b/>
      <sz val="14"/>
      <color theme="1"/>
      <name val="Calibri"/>
      <family val="2"/>
    </font>
    <font>
      <sz val="12"/>
      <color theme="0" tint="-0.34998626667073579"/>
      <name val="Segoe UI"/>
      <family val="2"/>
    </font>
    <font>
      <b/>
      <sz val="8"/>
      <color theme="1"/>
      <name val="Tahoma"/>
      <family val="2"/>
    </font>
    <font>
      <b/>
      <sz val="10"/>
      <name val="Arial"/>
      <family val="2"/>
    </font>
    <font>
      <u/>
      <sz val="10"/>
      <color theme="10"/>
      <name val="Arial"/>
      <family val="2"/>
    </font>
    <font>
      <b/>
      <sz val="18"/>
      <color theme="1"/>
      <name val="Segoe UI"/>
      <family val="2"/>
    </font>
    <font>
      <sz val="10"/>
      <color theme="1"/>
      <name val="Segoe UI"/>
      <family val="2"/>
    </font>
    <font>
      <sz val="12"/>
      <color theme="1"/>
      <name val="Segoe UI"/>
      <family val="2"/>
    </font>
    <font>
      <sz val="11"/>
      <color theme="1"/>
      <name val="Segoe UI"/>
      <family val="2"/>
    </font>
    <font>
      <b/>
      <sz val="18"/>
      <color theme="3"/>
      <name val="Segoe UI"/>
      <family val="2"/>
    </font>
    <font>
      <sz val="10"/>
      <color theme="3"/>
      <name val="Segoe UI"/>
      <family val="2"/>
    </font>
    <font>
      <b/>
      <sz val="18"/>
      <color theme="0"/>
      <name val="Segoe UI"/>
      <family val="2"/>
    </font>
    <font>
      <sz val="18"/>
      <color theme="0"/>
      <name val="Segoe UI"/>
      <family val="2"/>
    </font>
    <font>
      <sz val="16"/>
      <color theme="3"/>
      <name val="Segoe UI"/>
      <family val="2"/>
    </font>
    <font>
      <sz val="11"/>
      <color theme="0"/>
      <name val="Segoe UI"/>
      <family val="2"/>
    </font>
    <font>
      <sz val="11"/>
      <name val="Segoe UI"/>
      <family val="2"/>
    </font>
    <font>
      <sz val="10"/>
      <name val="Segoe UI"/>
      <family val="2"/>
    </font>
    <font>
      <sz val="12"/>
      <color theme="0"/>
      <name val="Segoe UI"/>
      <family val="2"/>
    </font>
    <font>
      <sz val="12"/>
      <name val="Segoe UI"/>
      <family val="2"/>
    </font>
    <font>
      <sz val="11"/>
      <name val="Segoe UI"/>
    </font>
  </fonts>
  <fills count="1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indexed="22"/>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3"/>
        <bgColor indexed="64"/>
      </patternFill>
    </fill>
    <fill>
      <patternFill patternType="solid">
        <fgColor theme="3" tint="0.79998168889431442"/>
        <bgColor indexed="64"/>
      </patternFill>
    </fill>
  </fills>
  <borders count="6">
    <border>
      <left/>
      <right/>
      <top/>
      <bottom/>
      <diagonal/>
    </border>
    <border>
      <left/>
      <right/>
      <top/>
      <bottom style="medium">
        <color indexed="8"/>
      </bottom>
      <diagonal/>
    </border>
    <border>
      <left style="thin">
        <color theme="3"/>
      </left>
      <right/>
      <top style="thin">
        <color theme="2"/>
      </top>
      <bottom style="thin">
        <color theme="2"/>
      </bottom>
      <diagonal/>
    </border>
    <border>
      <left/>
      <right/>
      <top style="thin">
        <color theme="2"/>
      </top>
      <bottom style="thin">
        <color theme="2"/>
      </bottom>
      <diagonal/>
    </border>
    <border>
      <left style="thin">
        <color indexed="64"/>
      </left>
      <right style="thin">
        <color indexed="64"/>
      </right>
      <top style="thin">
        <color indexed="64"/>
      </top>
      <bottom style="thin">
        <color indexed="64"/>
      </bottom>
      <diagonal/>
    </border>
    <border>
      <left style="thin">
        <color theme="3"/>
      </left>
      <right style="thin">
        <color theme="3"/>
      </right>
      <top style="thin">
        <color theme="3"/>
      </top>
      <bottom style="thin">
        <color theme="3"/>
      </bottom>
      <diagonal/>
    </border>
  </borders>
  <cellStyleXfs count="40">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167" fontId="5"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64" fontId="5" fillId="0" borderId="0" applyFont="0" applyFill="0" applyBorder="0" applyAlignment="0" applyProtection="0"/>
    <xf numFmtId="0" fontId="8" fillId="10" borderId="0" applyNumberFormat="0"/>
    <xf numFmtId="0" fontId="9" fillId="0" borderId="0" applyNumberFormat="0" applyAlignment="0"/>
    <xf numFmtId="0" fontId="10" fillId="10" borderId="0" applyNumberFormat="0"/>
    <xf numFmtId="170" fontId="6" fillId="10" borderId="0"/>
    <xf numFmtId="0" fontId="11" fillId="0" borderId="0" applyNumberFormat="0"/>
    <xf numFmtId="0" fontId="12" fillId="0" borderId="0" applyNumberFormat="0"/>
    <xf numFmtId="0" fontId="13" fillId="0" borderId="0" applyNumberFormat="0" applyFill="0" applyBorder="0" applyAlignment="0" applyProtection="0">
      <alignment horizontal="right"/>
    </xf>
    <xf numFmtId="0" fontId="16" fillId="0" borderId="0" applyNumberForma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170" fontId="2" fillId="10" borderId="0"/>
    <xf numFmtId="0" fontId="11" fillId="0" borderId="0" applyNumberFormat="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170" fontId="1" fillId="1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170" fontId="1" fillId="10" borderId="0"/>
  </cellStyleXfs>
  <cellXfs count="80">
    <xf numFmtId="0" fontId="0" fillId="0" borderId="0" xfId="0"/>
    <xf numFmtId="0" fontId="3" fillId="9" borderId="1" xfId="0" applyFont="1" applyFill="1" applyBorder="1" applyAlignment="1">
      <alignment horizontal="center" wrapText="1"/>
    </xf>
    <xf numFmtId="0" fontId="4" fillId="0" borderId="0" xfId="0" applyFont="1" applyAlignment="1">
      <alignment horizontal="left"/>
    </xf>
    <xf numFmtId="168" fontId="4" fillId="0" borderId="0" xfId="0" applyNumberFormat="1" applyFont="1" applyAlignment="1">
      <alignment horizontal="left"/>
    </xf>
    <xf numFmtId="0" fontId="14" fillId="0" borderId="0" xfId="0" applyFont="1"/>
    <xf numFmtId="174" fontId="0" fillId="0" borderId="0" xfId="0" applyNumberFormat="1"/>
    <xf numFmtId="0" fontId="15" fillId="0" borderId="0" xfId="0" applyFont="1"/>
    <xf numFmtId="0" fontId="0" fillId="0" borderId="0" xfId="0" applyFont="1"/>
    <xf numFmtId="0" fontId="15" fillId="0" borderId="0" xfId="0" applyFont="1" applyAlignment="1">
      <alignment wrapText="1"/>
    </xf>
    <xf numFmtId="0" fontId="0" fillId="0" borderId="0" xfId="0" applyAlignment="1">
      <alignment wrapText="1"/>
    </xf>
    <xf numFmtId="0" fontId="17" fillId="10" borderId="0" xfId="13" applyFont="1"/>
    <xf numFmtId="0" fontId="18" fillId="0" borderId="0" xfId="0" applyFont="1"/>
    <xf numFmtId="0" fontId="19" fillId="0" borderId="0" xfId="19" applyFont="1" applyAlignment="1"/>
    <xf numFmtId="170" fontId="20" fillId="0" borderId="0" xfId="14" applyNumberFormat="1" applyFont="1" applyAlignment="1">
      <alignment horizontal="left"/>
    </xf>
    <xf numFmtId="170" fontId="20" fillId="0" borderId="0" xfId="14" applyNumberFormat="1" applyFont="1" applyAlignment="1"/>
    <xf numFmtId="0" fontId="20" fillId="0" borderId="0" xfId="14" applyFont="1"/>
    <xf numFmtId="171" fontId="20" fillId="0" borderId="0" xfId="14" applyNumberFormat="1" applyFont="1" applyAlignment="1">
      <alignment horizontal="left"/>
    </xf>
    <xf numFmtId="169" fontId="20" fillId="0" borderId="0" xfId="14" applyNumberFormat="1" applyFont="1" applyAlignment="1">
      <alignment horizontal="left"/>
    </xf>
    <xf numFmtId="172" fontId="20" fillId="0" borderId="0" xfId="14" applyNumberFormat="1" applyFont="1" applyAlignment="1">
      <alignment horizontal="left"/>
    </xf>
    <xf numFmtId="173" fontId="20" fillId="0" borderId="0" xfId="14" applyNumberFormat="1" applyFont="1" applyAlignment="1">
      <alignment horizontal="left"/>
    </xf>
    <xf numFmtId="0" fontId="21" fillId="10" borderId="0" xfId="13" applyFont="1"/>
    <xf numFmtId="0" fontId="22" fillId="0" borderId="0" xfId="0" applyFont="1"/>
    <xf numFmtId="168" fontId="22" fillId="0" borderId="0" xfId="0" applyNumberFormat="1" applyFont="1"/>
    <xf numFmtId="0" fontId="23" fillId="11" borderId="0" xfId="13" applyFont="1" applyFill="1"/>
    <xf numFmtId="168" fontId="18" fillId="0" borderId="0" xfId="0" applyNumberFormat="1" applyFont="1"/>
    <xf numFmtId="0" fontId="24" fillId="11" borderId="0" xfId="13" applyFont="1" applyFill="1"/>
    <xf numFmtId="0" fontId="20" fillId="0" borderId="0" xfId="14" applyFont="1" applyAlignment="1">
      <alignment horizontal="left"/>
    </xf>
    <xf numFmtId="168" fontId="18" fillId="0" borderId="0" xfId="0" applyNumberFormat="1" applyFont="1" applyAlignment="1">
      <alignment horizontal="left"/>
    </xf>
    <xf numFmtId="0" fontId="18" fillId="0" borderId="0" xfId="0" applyFont="1" applyAlignment="1">
      <alignment horizontal="left"/>
    </xf>
    <xf numFmtId="0" fontId="17" fillId="10" borderId="0" xfId="13" applyFont="1" applyAlignment="1">
      <alignment horizontal="left"/>
    </xf>
    <xf numFmtId="0" fontId="23" fillId="11" borderId="0" xfId="13" applyFont="1" applyFill="1" applyAlignment="1">
      <alignment horizontal="left"/>
    </xf>
    <xf numFmtId="0" fontId="0" fillId="0" borderId="0" xfId="0"/>
    <xf numFmtId="0" fontId="3" fillId="9" borderId="1" xfId="0" applyFont="1" applyFill="1" applyBorder="1" applyAlignment="1">
      <alignment horizontal="center" wrapText="1"/>
    </xf>
    <xf numFmtId="0" fontId="4" fillId="0" borderId="0" xfId="0" applyFont="1" applyAlignment="1">
      <alignment horizontal="left"/>
    </xf>
    <xf numFmtId="168" fontId="18" fillId="0" borderId="0" xfId="0" applyNumberFormat="1" applyFont="1" applyAlignment="1"/>
    <xf numFmtId="170" fontId="26" fillId="11" borderId="0" xfId="14" applyNumberFormat="1" applyFont="1" applyFill="1" applyAlignment="1">
      <alignment horizontal="center"/>
    </xf>
    <xf numFmtId="0" fontId="27" fillId="0" borderId="0" xfId="27" applyFont="1" applyFill="1" applyBorder="1" applyAlignment="1">
      <alignment horizontal="center" vertical="center"/>
    </xf>
    <xf numFmtId="170" fontId="27" fillId="0" borderId="0" xfId="27" applyNumberFormat="1" applyFont="1" applyFill="1" applyBorder="1" applyAlignment="1">
      <alignment horizontal="center" vertical="center"/>
    </xf>
    <xf numFmtId="0" fontId="28" fillId="0" borderId="0" xfId="0" applyFont="1"/>
    <xf numFmtId="0" fontId="28" fillId="0" borderId="0" xfId="0" applyFont="1" applyAlignment="1">
      <alignment horizontal="left"/>
    </xf>
    <xf numFmtId="0" fontId="23" fillId="11" borderId="0" xfId="13" applyFont="1" applyFill="1" applyAlignment="1">
      <alignment horizontal="center"/>
    </xf>
    <xf numFmtId="0" fontId="28" fillId="0" borderId="0" xfId="0" applyFont="1" applyAlignment="1">
      <alignment horizontal="center"/>
    </xf>
    <xf numFmtId="0" fontId="29" fillId="11" borderId="2" xfId="14" applyFont="1" applyFill="1" applyBorder="1" applyAlignment="1">
      <alignment horizontal="left" vertical="center" wrapText="1"/>
    </xf>
    <xf numFmtId="0" fontId="29" fillId="11" borderId="3" xfId="14" applyFont="1" applyFill="1" applyBorder="1" applyAlignment="1">
      <alignment horizontal="left" vertical="center" wrapText="1"/>
    </xf>
    <xf numFmtId="2" fontId="23" fillId="11" borderId="0" xfId="13" applyNumberFormat="1" applyFont="1" applyFill="1"/>
    <xf numFmtId="2" fontId="17" fillId="10" borderId="0" xfId="13" applyNumberFormat="1" applyFont="1"/>
    <xf numFmtId="2" fontId="18" fillId="0" borderId="0" xfId="0" applyNumberFormat="1" applyFont="1"/>
    <xf numFmtId="2" fontId="20" fillId="0" borderId="0" xfId="14" applyNumberFormat="1" applyFont="1" applyAlignment="1">
      <alignment horizontal="left"/>
    </xf>
    <xf numFmtId="2" fontId="20" fillId="0" borderId="0" xfId="14" applyNumberFormat="1" applyFont="1"/>
    <xf numFmtId="2" fontId="29" fillId="11" borderId="3" xfId="14" applyNumberFormat="1" applyFont="1" applyFill="1" applyBorder="1" applyAlignment="1">
      <alignment horizontal="left" vertical="center" wrapText="1"/>
    </xf>
    <xf numFmtId="0" fontId="25" fillId="10" borderId="0" xfId="13" applyFont="1" applyAlignment="1">
      <alignment vertical="center"/>
    </xf>
    <xf numFmtId="46" fontId="23" fillId="11" borderId="0" xfId="13" applyNumberFormat="1" applyFont="1" applyFill="1"/>
    <xf numFmtId="46" fontId="17" fillId="10" borderId="0" xfId="13" applyNumberFormat="1" applyFont="1"/>
    <xf numFmtId="46" fontId="18" fillId="0" borderId="0" xfId="0" applyNumberFormat="1" applyFont="1"/>
    <xf numFmtId="46" fontId="20" fillId="0" borderId="0" xfId="14" applyNumberFormat="1" applyFont="1" applyAlignment="1">
      <alignment horizontal="left"/>
    </xf>
    <xf numFmtId="46" fontId="20" fillId="0" borderId="0" xfId="14" applyNumberFormat="1" applyFont="1"/>
    <xf numFmtId="46" fontId="29" fillId="11" borderId="3" xfId="14" applyNumberFormat="1" applyFont="1" applyFill="1" applyBorder="1" applyAlignment="1">
      <alignment horizontal="left" vertical="center" wrapText="1"/>
    </xf>
    <xf numFmtId="0" fontId="27" fillId="12" borderId="4" xfId="27" applyFont="1" applyFill="1" applyBorder="1" applyAlignment="1">
      <alignment horizontal="center" vertical="center"/>
    </xf>
    <xf numFmtId="170" fontId="27" fillId="12" borderId="4" xfId="27" applyNumberFormat="1" applyFont="1" applyFill="1" applyBorder="1" applyAlignment="1">
      <alignment horizontal="center" vertical="center"/>
    </xf>
    <xf numFmtId="1" fontId="27" fillId="12" borderId="4" xfId="27" applyNumberFormat="1" applyFont="1" applyFill="1" applyBorder="1" applyAlignment="1">
      <alignment horizontal="center" vertical="center"/>
    </xf>
    <xf numFmtId="0" fontId="26" fillId="14" borderId="4" xfId="27" applyFont="1" applyFill="1" applyBorder="1" applyAlignment="1">
      <alignment horizontal="center" vertical="center"/>
    </xf>
    <xf numFmtId="0" fontId="27" fillId="12" borderId="4" xfId="27" applyFont="1" applyFill="1" applyBorder="1" applyAlignment="1">
      <alignment horizontal="left" vertical="center"/>
    </xf>
    <xf numFmtId="168" fontId="18" fillId="0" borderId="4" xfId="0" applyNumberFormat="1" applyFont="1" applyBorder="1"/>
    <xf numFmtId="0" fontId="27" fillId="13" borderId="4" xfId="27" applyFont="1" applyFill="1" applyBorder="1" applyAlignment="1">
      <alignment horizontal="left" vertical="center"/>
    </xf>
    <xf numFmtId="0" fontId="30" fillId="0" borderId="0" xfId="0" applyFont="1"/>
    <xf numFmtId="0" fontId="26" fillId="14" borderId="4" xfId="27" applyFont="1" applyFill="1" applyBorder="1" applyAlignment="1">
      <alignment horizontal="center" vertical="center"/>
    </xf>
    <xf numFmtId="0" fontId="0" fillId="0" borderId="0" xfId="0" applyAlignment="1">
      <alignment horizontal="center"/>
    </xf>
    <xf numFmtId="0" fontId="31" fillId="0" borderId="0" xfId="0" pivotButton="1" applyFont="1"/>
    <xf numFmtId="0" fontId="31" fillId="0" borderId="0" xfId="0" applyFont="1"/>
    <xf numFmtId="171" fontId="31" fillId="0" borderId="0" xfId="0" applyNumberFormat="1" applyFont="1"/>
    <xf numFmtId="169" fontId="31" fillId="0" borderId="0" xfId="0" applyNumberFormat="1" applyFont="1"/>
    <xf numFmtId="2" fontId="31" fillId="0" borderId="0" xfId="0" applyNumberFormat="1" applyFont="1" applyAlignment="1">
      <alignment horizontal="center"/>
    </xf>
    <xf numFmtId="175" fontId="31" fillId="0" borderId="0" xfId="0" applyNumberFormat="1" applyFont="1" applyAlignment="1">
      <alignment horizontal="center"/>
    </xf>
    <xf numFmtId="0" fontId="31" fillId="0" borderId="0" xfId="0" applyFont="1" applyAlignment="1">
      <alignment horizontal="center"/>
    </xf>
    <xf numFmtId="0" fontId="0" fillId="0" borderId="0" xfId="0" applyAlignment="1">
      <alignment wrapText="1"/>
    </xf>
    <xf numFmtId="169" fontId="16" fillId="0" borderId="0" xfId="20" applyNumberFormat="1" applyAlignment="1">
      <alignment horizontal="left"/>
    </xf>
    <xf numFmtId="0" fontId="0" fillId="0" borderId="0" xfId="0" applyAlignment="1">
      <alignment wrapText="1"/>
    </xf>
    <xf numFmtId="0" fontId="26" fillId="14" borderId="4" xfId="27" applyFont="1" applyFill="1" applyBorder="1" applyAlignment="1">
      <alignment horizontal="center" vertical="center"/>
    </xf>
    <xf numFmtId="0" fontId="26" fillId="14" borderId="4" xfId="27" quotePrefix="1" applyFont="1" applyFill="1" applyBorder="1" applyAlignment="1">
      <alignment horizontal="center" vertical="center"/>
    </xf>
    <xf numFmtId="168" fontId="20" fillId="15" borderId="5" xfId="0" applyNumberFormat="1" applyFont="1" applyFill="1" applyBorder="1" applyAlignment="1">
      <alignment horizontal="left" vertical="top" wrapText="1" indent="5"/>
    </xf>
  </cellXfs>
  <cellStyles count="40">
    <cellStyle name="20% - Accent1" xfId="1" builtinId="30" customBuiltin="1"/>
    <cellStyle name="20% - Accent1 2" xfId="21" xr:uid="{00000000-0005-0000-0000-000001000000}"/>
    <cellStyle name="20% - Accent1 2 2" xfId="34" xr:uid="{5252BCBE-6D37-4B3D-87C9-4496C1D3DA29}"/>
    <cellStyle name="20% - Accent1 3" xfId="28" xr:uid="{B8A6804D-036F-446C-8249-50BBF92953BD}"/>
    <cellStyle name="20% - Accent2" xfId="2" builtinId="34" customBuiltin="1"/>
    <cellStyle name="20% - Accent2 2" xfId="22" xr:uid="{00000000-0005-0000-0000-000003000000}"/>
    <cellStyle name="20% - Accent2 2 2" xfId="35" xr:uid="{4DE96A17-1CDA-4ED1-86F3-74EC1AF7E8B7}"/>
    <cellStyle name="20% - Accent2 3" xfId="29" xr:uid="{6ABFF590-BAE2-41B8-A351-7697EAA4830D}"/>
    <cellStyle name="20% - Accent3" xfId="3" builtinId="38" customBuiltin="1"/>
    <cellStyle name="20% - Accent3 2" xfId="23" xr:uid="{00000000-0005-0000-0000-000005000000}"/>
    <cellStyle name="20% - Accent3 2 2" xfId="36" xr:uid="{CC77E24B-2D66-4422-A295-45215177920C}"/>
    <cellStyle name="20% - Accent3 3" xfId="30" xr:uid="{32091D50-83B8-410C-A68F-F97E7BC5ED23}"/>
    <cellStyle name="20% - Accent4" xfId="4" builtinId="42" customBuiltin="1"/>
    <cellStyle name="20% - Accent4 2" xfId="24" xr:uid="{00000000-0005-0000-0000-000007000000}"/>
    <cellStyle name="20% - Accent4 2 2" xfId="37" xr:uid="{1C60BDBA-BD6F-4A7F-AD1E-F5957CC6F930}"/>
    <cellStyle name="20% - Accent4 3" xfId="31" xr:uid="{D5368213-59E5-47C5-8F2B-ED744A1BFEA9}"/>
    <cellStyle name="40% - Accent3" xfId="5" builtinId="39" customBuiltin="1"/>
    <cellStyle name="40% - Accent3 2" xfId="25" xr:uid="{00000000-0005-0000-0000-000009000000}"/>
    <cellStyle name="40% - Accent3 2 2" xfId="38" xr:uid="{100F57C6-4870-4CB9-A931-95B46EAA0DE1}"/>
    <cellStyle name="40% - Accent3 3" xfId="32" xr:uid="{9A2F434F-A7DD-44FF-AB3D-7B205016358F}"/>
    <cellStyle name="60% - Accent3" xfId="6" builtinId="40" customBuiltin="1"/>
    <cellStyle name="60% - Accent4" xfId="7" builtinId="44" customBuiltin="1"/>
    <cellStyle name="60% - Accent6" xfId="8" builtinId="52" customBuiltin="1"/>
    <cellStyle name="Comma" xfId="9" builtinId="3" customBuiltin="1"/>
    <cellStyle name="Comma [0]" xfId="10" builtinId="6" customBuiltin="1"/>
    <cellStyle name="Currency" xfId="11" builtinId="4" customBuiltin="1"/>
    <cellStyle name="Currency [0]" xfId="12" builtinId="7" customBuiltin="1"/>
    <cellStyle name="Geotab Report Field Name" xfId="27" xr:uid="{00000000-0005-0000-0000-000011000000}"/>
    <cellStyle name="Heading" xfId="13" xr:uid="{00000000-0005-0000-0000-000012000000}"/>
    <cellStyle name="Hyperlink" xfId="20" builtinId="8"/>
    <cellStyle name="Normal" xfId="0" builtinId="0" customBuiltin="1"/>
    <cellStyle name="Report Body" xfId="14" xr:uid="{00000000-0005-0000-0000-000015000000}"/>
    <cellStyle name="Report Column Header" xfId="15" xr:uid="{00000000-0005-0000-0000-000016000000}"/>
    <cellStyle name="Report Creation DateTime" xfId="16" xr:uid="{00000000-0005-0000-0000-000017000000}"/>
    <cellStyle name="Report Creation DateTime 2" xfId="26" xr:uid="{00000000-0005-0000-0000-000018000000}"/>
    <cellStyle name="Report Creation DateTime 2 2" xfId="39" xr:uid="{E3C2F19D-F9E7-446E-B1B0-EBFCEA779D27}"/>
    <cellStyle name="Report Creation DateTime 3" xfId="33" xr:uid="{0BEB3EE2-03F5-4046-BBFA-CBE1C5241B06}"/>
    <cellStyle name="Report Field Name" xfId="17" xr:uid="{00000000-0005-0000-0000-000019000000}"/>
    <cellStyle name="Report Name" xfId="18" xr:uid="{00000000-0005-0000-0000-00001A000000}"/>
    <cellStyle name="StandardReportHeading" xfId="19" xr:uid="{00000000-0005-0000-0000-00001B000000}"/>
  </cellStyles>
  <dxfs count="49">
    <dxf>
      <font>
        <color theme="5" tint="-0.24994659260841701"/>
      </font>
      <fill>
        <patternFill patternType="none">
          <bgColor indexed="65"/>
        </patternFill>
      </fill>
    </dxf>
    <dxf>
      <font>
        <color theme="8" tint="-0.24994659260841701"/>
      </font>
      <fill>
        <patternFill patternType="none">
          <bgColor indexed="65"/>
        </patternFill>
      </fill>
    </dxf>
    <dxf>
      <font>
        <b val="0"/>
        <i val="0"/>
        <u val="none"/>
        <color theme="6" tint="-0.24994659260841701"/>
      </font>
      <numFmt numFmtId="176" formatCode="[$-409]General"/>
    </dxf>
    <dxf>
      <font>
        <color theme="7" tint="-0.24994659260841701"/>
      </font>
    </dxf>
    <dxf>
      <font>
        <color theme="4" tint="-0.24994659260841701"/>
      </font>
    </dxf>
    <dxf>
      <font>
        <color theme="5" tint="-0.24994659260841701"/>
      </font>
    </dxf>
    <dxf>
      <alignment horizontal="center"/>
    </dxf>
    <dxf>
      <alignment horizontal="center"/>
    </dxf>
    <dxf>
      <numFmt numFmtId="2" formatCode="0.00"/>
    </dxf>
    <dxf>
      <numFmt numFmtId="175" formatCode="[h]:mm:ss;@"/>
    </dxf>
    <dxf>
      <font>
        <sz val="11"/>
      </font>
    </dxf>
    <dxf>
      <font>
        <sz val="11"/>
      </font>
    </dxf>
    <dxf>
      <font>
        <sz val="11"/>
      </font>
    </dxf>
    <dxf>
      <alignment horizontal="center"/>
    </dxf>
    <dxf>
      <alignment horizontal="center"/>
    </dxf>
    <dxf>
      <alignment horizontal="center"/>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175" formatCode="[h]:mm:ss;@"/>
    </dxf>
    <dxf>
      <font>
        <sz val="11"/>
      </font>
    </dxf>
    <dxf>
      <font>
        <sz val="11"/>
      </font>
    </dxf>
    <dxf>
      <font>
        <sz val="11"/>
      </font>
    </dxf>
    <dxf>
      <alignment horizontal="center"/>
    </dxf>
    <dxf>
      <alignment horizontal="center"/>
    </dxf>
    <dxf>
      <alignment horizontal="center"/>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color theme="1"/>
      </font>
      <fill>
        <patternFill patternType="solid">
          <fgColor theme="5" tint="0.79995117038483843"/>
          <bgColor theme="0" tint="-4.9989318521683403E-2"/>
        </patternFill>
      </fill>
      <border>
        <bottom style="thin">
          <color theme="4"/>
        </bottom>
      </border>
    </dxf>
    <dxf>
      <font>
        <color theme="1"/>
      </font>
      <fill>
        <patternFill patternType="solid">
          <fgColor theme="0"/>
          <bgColor theme="0" tint="-4.9989318521683403E-2"/>
        </patternFill>
      </fill>
      <border>
        <bottom style="thin">
          <color theme="4"/>
        </bottom>
      </border>
    </dxf>
    <dxf>
      <font>
        <b/>
        <color theme="1"/>
      </font>
    </dxf>
    <dxf>
      <font>
        <b/>
        <color theme="1"/>
      </font>
      <border>
        <bottom style="thin">
          <color theme="5" tint="0.39997558519241921"/>
        </bottom>
      </border>
    </dxf>
    <dxf>
      <font>
        <color theme="1"/>
      </font>
    </dxf>
    <dxf>
      <font>
        <b/>
        <i val="0"/>
        <color theme="1"/>
      </font>
      <fill>
        <patternFill>
          <bgColor theme="0" tint="-0.14996795556505021"/>
        </patternFill>
      </fill>
      <border>
        <top style="thin">
          <color theme="4"/>
        </top>
        <bottom style="thin">
          <color theme="4"/>
        </bottom>
      </border>
    </dxf>
    <dxf>
      <font>
        <color theme="1"/>
      </font>
      <fill>
        <patternFill patternType="solid">
          <fgColor theme="0" tint="-0.14993743705557422"/>
          <bgColor theme="0" tint="-4.9989318521683403E-2"/>
        </patternFill>
      </fill>
    </dxf>
    <dxf>
      <fill>
        <patternFill patternType="solid">
          <fgColor theme="0" tint="-0.14990691854609822"/>
          <bgColor theme="0" tint="-4.9989318521683403E-2"/>
        </patternFill>
      </fill>
      <border>
        <left style="thin">
          <color theme="0" tint="-0.249977111117893"/>
        </left>
        <right style="thin">
          <color theme="0" tint="-0.249977111117893"/>
        </right>
      </border>
    </dxf>
    <dxf>
      <font>
        <color theme="1"/>
      </font>
      <fill>
        <patternFill>
          <fgColor theme="8"/>
          <bgColor theme="2" tint="0.79998168889431442"/>
        </patternFill>
      </fill>
    </dxf>
    <dxf>
      <font>
        <color theme="1"/>
      </font>
      <fill>
        <patternFill>
          <bgColor theme="0" tint="-4.9989318521683403E-2"/>
        </patternFill>
      </fill>
    </dxf>
    <dxf>
      <font>
        <b/>
        <i val="0"/>
        <color theme="1"/>
      </font>
      <fill>
        <patternFill patternType="solid">
          <fgColor theme="5" tint="0.79982909634693444"/>
          <bgColor theme="0" tint="-4.9989318521683403E-2"/>
        </patternFill>
      </fill>
      <border>
        <top style="thin">
          <color theme="2" tint="0.59996337778862885"/>
        </top>
        <bottom style="thin">
          <color theme="2" tint="0.59996337778862885"/>
        </bottom>
      </border>
    </dxf>
    <dxf>
      <font>
        <b/>
        <i val="0"/>
        <color theme="0"/>
      </font>
      <fill>
        <patternFill patternType="solid">
          <fgColor auto="1"/>
          <bgColor theme="2"/>
        </patternFill>
      </fill>
      <border>
        <bottom style="thin">
          <color theme="4"/>
        </bottom>
      </border>
    </dxf>
    <dxf>
      <font>
        <color theme="1"/>
      </font>
    </dxf>
  </dxfs>
  <tableStyles count="1" defaultTableStyle="TableStyleMedium9" defaultPivotStyle="PivotStyleLight16">
    <tableStyle name="PivotStyleLightCustom" table="0" count="13" xr9:uid="{00000000-0011-0000-FFFF-FFFF00000000}">
      <tableStyleElement type="wholeTable" dxfId="48"/>
      <tableStyleElement type="headerRow" dxfId="47"/>
      <tableStyleElement type="totalRow" dxfId="46"/>
      <tableStyleElement type="firstRowStripe" dxfId="45"/>
      <tableStyleElement type="secondRowStripe" dxfId="44"/>
      <tableStyleElement type="firstColumnStripe" dxfId="43"/>
      <tableStyleElement type="firstSubtotalColumn" dxfId="42"/>
      <tableStyleElement type="firstSubtotalRow" dxfId="41"/>
      <tableStyleElement type="secondSubtotalRow" dxfId="40"/>
      <tableStyleElement type="firstRowSubheading" dxfId="39"/>
      <tableStyleElement type="secondRowSubheading" dxfId="38"/>
      <tableStyleElement type="pageFieldLabels" dxfId="37"/>
      <tableStyleElement type="pageFieldValues"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114300</xdr:colOff>
      <xdr:row>3</xdr:row>
      <xdr:rowOff>114300</xdr:rowOff>
    </xdr:from>
    <xdr:to>
      <xdr:col>9</xdr:col>
      <xdr:colOff>447492</xdr:colOff>
      <xdr:row>5</xdr:row>
      <xdr:rowOff>28404</xdr:rowOff>
    </xdr:to>
    <xdr:pic>
      <xdr:nvPicPr>
        <xdr:cNvPr id="5" name="Picture 4">
          <a:extLst>
            <a:ext uri="{FF2B5EF4-FFF2-40B4-BE49-F238E27FC236}">
              <a16:creationId xmlns:a16="http://schemas.microsoft.com/office/drawing/2014/main" id="{6AE01CE3-B4A1-4B9D-A36D-A7D1AD7227C0}"/>
            </a:ext>
          </a:extLst>
        </xdr:cNvPr>
        <xdr:cNvPicPr>
          <a:picLocks noChangeAspect="1"/>
        </xdr:cNvPicPr>
      </xdr:nvPicPr>
      <xdr:blipFill>
        <a:blip xmlns:r="http://schemas.openxmlformats.org/officeDocument/2006/relationships" r:embed="rId1"/>
        <a:stretch>
          <a:fillRect/>
        </a:stretch>
      </xdr:blipFill>
      <xdr:spPr>
        <a:xfrm>
          <a:off x="9544050" y="981075"/>
          <a:ext cx="333192" cy="3522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akash Dubey" refreshedDate="44155.444218518518" createdVersion="4" refreshedVersion="6" recordCount="21" xr:uid="{00000000-000A-0000-FFFF-FFFF0C000000}">
  <cacheSource type="worksheet">
    <worksheetSource name="AllData"/>
  </cacheSource>
  <cacheFields count="28">
    <cacheField name="**Driver" numFmtId="0">
      <sharedItems count="2">
        <s v="Driver A"/>
        <s v="Driver B"/>
      </sharedItems>
    </cacheField>
    <cacheField name="**First Name" numFmtId="0">
      <sharedItems count="1">
        <s v="FirstName"/>
      </sharedItems>
    </cacheField>
    <cacheField name="**Last Name" numFmtId="0">
      <sharedItems count="1">
        <s v="LastName"/>
      </sharedItems>
    </cacheField>
    <cacheField name="Device ID" numFmtId="0">
      <sharedItems/>
    </cacheField>
    <cacheField name="**Driver Group" numFmtId="0">
      <sharedItems count="1">
        <s v="Entire Organization"/>
      </sharedItems>
    </cacheField>
    <cacheField name="Driver ID" numFmtId="168">
      <sharedItems/>
    </cacheField>
    <cacheField name="**Date" numFmtId="171">
      <sharedItems containsSemiMixedTypes="0" containsNonDate="0" containsDate="1" containsString="0" minDate="2017-11-05T20:05:41" maxDate="2017-11-30T18:41:33" count="21">
        <d v="2017-11-05T20:05:41"/>
        <d v="2017-11-05T20:17:53"/>
        <d v="2017-11-06T12:15:59"/>
        <d v="2017-11-06T12:16:27"/>
        <d v="2017-11-06T22:12:49"/>
        <d v="2017-11-06T22:25:57"/>
        <d v="2017-11-07T21:24:39"/>
        <d v="2017-11-07T21:41:34"/>
        <d v="2017-11-08T01:26:26"/>
        <d v="2017-11-08T01:44:20"/>
        <d v="2017-11-14T08:12:46"/>
        <d v="2017-11-14T08:12:53"/>
        <d v="2017-11-14T08:13:12"/>
        <d v="2017-11-30T14:38:41"/>
        <d v="2017-11-30T14:54:32"/>
        <d v="2017-11-30T16:19:20"/>
        <d v="2017-11-30T16:27:20"/>
        <d v="2017-11-30T18:06:59"/>
        <d v="2017-11-30T18:18:49"/>
        <d v="2017-11-30T18:32:13"/>
        <d v="2017-11-30T18:41:33"/>
      </sharedItems>
    </cacheField>
    <cacheField name="**Status" numFmtId="169">
      <sharedItems count="3">
        <s v="D"/>
        <s v="ON"/>
        <s v="OFF"/>
      </sharedItems>
    </cacheField>
    <cacheField name="Duty Status ID" numFmtId="169">
      <sharedItems/>
    </cacheField>
    <cacheField name="**Annotations" numFmtId="169">
      <sharedItems containsSemiMixedTypes="0" containsString="0" containsNumber="1" containsInteger="1" minValue="0" maxValue="0" count="1">
        <n v="0"/>
      </sharedItems>
    </cacheField>
    <cacheField name="**Edit Log" numFmtId="169">
      <sharedItems/>
    </cacheField>
    <cacheField name="**Device" numFmtId="169">
      <sharedItems count="1">
        <s v="Vehicle 1"/>
      </sharedItems>
    </cacheField>
    <cacheField name="**Co-drivers" numFmtId="169">
      <sharedItems containsSemiMixedTypes="0" containsString="0" containsNumber="1" containsInteger="1" minValue="0" maxValue="0"/>
    </cacheField>
    <cacheField name="**Trailers" numFmtId="169">
      <sharedItems/>
    </cacheField>
    <cacheField name="**Shipments" numFmtId="169">
      <sharedItems/>
    </cacheField>
    <cacheField name="**Longitude" numFmtId="172">
      <sharedItems/>
    </cacheField>
    <cacheField name="**Latitude" numFmtId="172">
      <sharedItems/>
    </cacheField>
    <cacheField name="**Address" numFmtId="169">
      <sharedItems count="1">
        <s v="Street Address, City, State Zip, Country"/>
      </sharedItems>
    </cacheField>
    <cacheField name="ON" numFmtId="46">
      <sharedItems containsSemiMixedTypes="0" containsNonDate="0" containsDate="1" containsString="0" minDate="1899-12-30T00:00:00" maxDate="1900-01-05T06:28:26"/>
    </cacheField>
    <cacheField name="D" numFmtId="46">
      <sharedItems containsSemiMixedTypes="0" containsNonDate="0" containsDate="1" containsString="0" minDate="1899-12-30T00:00:00" maxDate="1899-12-30T00:17:54"/>
    </cacheField>
    <cacheField name="**Odometer" numFmtId="173">
      <sharedItems containsSemiMixedTypes="0" containsString="0" containsNumber="1" minValue="0" maxValue="90309.046875"/>
    </cacheField>
    <cacheField name="**Distance" numFmtId="2">
      <sharedItems containsSemiMixedTypes="0" containsString="0" containsNumber="1" minValue="0" maxValue="11.9566535949707"/>
    </cacheField>
    <cacheField name="**Duration" numFmtId="46">
      <sharedItems containsSemiMixedTypes="0" containsNonDate="0" containsDate="1" containsString="0" minDate="1899-12-30T00:00:19" maxDate="1900-01-15T15:47:13"/>
    </cacheField>
    <cacheField name="**Log Origin" numFmtId="171">
      <sharedItems/>
    </cacheField>
    <cacheField name="Verify Date" numFmtId="171">
      <sharedItems containsDate="1" containsMixedTypes="1" minDate="2017-11-06T12:45:22" maxDate="2017-11-06T13:35:40"/>
    </cacheField>
    <cacheField name="Verified" numFmtId="171">
      <sharedItems count="2">
        <b v="0"/>
        <b v="1"/>
      </sharedItems>
    </cacheField>
    <cacheField name="**Edit Date" numFmtId="171">
      <sharedItems containsDate="1" containsMixedTypes="1" minDate="2017-11-06T12:15:22" maxDate="2017-11-06T12:15:22"/>
    </cacheField>
    <cacheField name="Total" numFmtId="0" formula="ON+D"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s v="b1"/>
    <x v="0"/>
    <s v="b41B4DC05"/>
    <x v="0"/>
    <x v="0"/>
    <s v="aiZwnVeo8NkqR1G8uJ2mLLQ"/>
    <x v="0"/>
    <s v="**Edit Log"/>
    <x v="0"/>
    <n v="0"/>
    <s v=""/>
    <s v=""/>
    <s v="Longitude"/>
    <s v="Latitude"/>
    <x v="0"/>
    <d v="1899-12-30T00:00:00"/>
    <d v="1899-12-30T00:12:12"/>
    <n v="89723.03125"/>
    <n v="4.0093283653259304"/>
    <d v="1899-12-30T00:12:12"/>
    <s v="Unassigned"/>
    <s v=""/>
    <x v="0"/>
    <d v="2017-11-06T12:15:22"/>
  </r>
  <r>
    <x v="0"/>
    <x v="0"/>
    <x v="0"/>
    <s v="b1"/>
    <x v="0"/>
    <s v="b41B4DC05"/>
    <x v="1"/>
    <x v="1"/>
    <s v="aKE-Ly-o-30airjvXlI7tpw"/>
    <x v="0"/>
    <s v="**Edit Log"/>
    <x v="0"/>
    <n v="0"/>
    <s v=""/>
    <s v=""/>
    <s v="Longitude"/>
    <s v="Latitude"/>
    <x v="0"/>
    <d v="1899-12-30T15:58:06"/>
    <d v="1899-12-30T00:00:00"/>
    <n v="89727.0390625"/>
    <n v="0"/>
    <d v="1899-12-30T15:58:06"/>
    <s v="Unassigned"/>
    <s v=""/>
    <x v="0"/>
    <d v="2017-11-06T12:15:22"/>
  </r>
  <r>
    <x v="0"/>
    <x v="0"/>
    <x v="0"/>
    <s v="b1"/>
    <x v="0"/>
    <s v="b41B4DC05"/>
    <x v="2"/>
    <x v="0"/>
    <s v="aHvc1n1rddE2TChhSyRPSew"/>
    <x v="0"/>
    <s v="**Edit Log"/>
    <x v="0"/>
    <n v="0"/>
    <s v=""/>
    <s v="#100293"/>
    <s v="Longitude"/>
    <s v="Latitude"/>
    <x v="0"/>
    <d v="1899-12-30T00:00:00"/>
    <d v="1899-12-30T00:00:28"/>
    <n v="89727.0390625"/>
    <n v="0"/>
    <d v="1899-12-30T00:00:28"/>
    <s v="Manual"/>
    <s v=""/>
    <x v="0"/>
    <s v=""/>
  </r>
  <r>
    <x v="0"/>
    <x v="0"/>
    <x v="0"/>
    <s v="b1"/>
    <x v="0"/>
    <s v="b41B4DC05"/>
    <x v="3"/>
    <x v="2"/>
    <s v="aUniR0XjEtkmhrWhTlyD15A"/>
    <x v="0"/>
    <s v="**Edit Log"/>
    <x v="0"/>
    <n v="0"/>
    <s v=""/>
    <s v=""/>
    <s v="Longitude"/>
    <s v="Latitude"/>
    <x v="0"/>
    <d v="1899-12-30T00:00:00"/>
    <d v="1899-12-30T00:00:00"/>
    <n v="89727.0390625"/>
    <n v="0"/>
    <d v="1899-12-30T09:56:22"/>
    <s v="Manual"/>
    <s v=""/>
    <x v="0"/>
    <s v=""/>
  </r>
  <r>
    <x v="0"/>
    <x v="0"/>
    <x v="0"/>
    <s v="b1"/>
    <x v="0"/>
    <s v="b41B4DC05"/>
    <x v="4"/>
    <x v="0"/>
    <s v="aivdl-UqjCECaS8Ux7BkQhA"/>
    <x v="0"/>
    <s v="**Edit Log"/>
    <x v="0"/>
    <n v="0"/>
    <s v=""/>
    <s v=""/>
    <s v="Longitude"/>
    <s v="Latitude"/>
    <x v="0"/>
    <d v="1899-12-30T00:00:00"/>
    <d v="1899-12-30T00:13:08"/>
    <n v="89727.0390625"/>
    <n v="3.9767758846282999"/>
    <d v="1899-12-30T00:13:08"/>
    <s v="Automatic"/>
    <s v=""/>
    <x v="0"/>
    <s v=""/>
  </r>
  <r>
    <x v="0"/>
    <x v="0"/>
    <x v="0"/>
    <s v="b1"/>
    <x v="0"/>
    <s v="b41B4DC05"/>
    <x v="5"/>
    <x v="1"/>
    <s v="aeQfGlpJyVEmQ3_WRTiLYnQ"/>
    <x v="0"/>
    <s v="**Edit Log"/>
    <x v="0"/>
    <n v="0"/>
    <s v=""/>
    <s v=""/>
    <s v="Longitude"/>
    <s v="Latitude"/>
    <x v="0"/>
    <d v="1899-12-30T22:58:42"/>
    <d v="1899-12-30T00:00:00"/>
    <n v="89731.015625"/>
    <n v="3.5811413079500198E-2"/>
    <d v="1899-12-30T22:58:42"/>
    <s v="Automatic"/>
    <s v=""/>
    <x v="0"/>
    <s v=""/>
  </r>
  <r>
    <x v="0"/>
    <x v="0"/>
    <x v="0"/>
    <s v="b1"/>
    <x v="0"/>
    <s v="b41B4DC05"/>
    <x v="6"/>
    <x v="0"/>
    <s v="aFyDrfOySxUSMLZyRte8BIg"/>
    <x v="0"/>
    <s v="**Edit Log"/>
    <x v="0"/>
    <n v="0"/>
    <s v=""/>
    <s v="Tractor #8"/>
    <s v="Longitude"/>
    <s v="Latitude"/>
    <x v="0"/>
    <d v="1899-12-30T00:00:00"/>
    <d v="1899-12-30T00:16:55"/>
    <n v="89731.0546875"/>
    <n v="11.9566535949707"/>
    <d v="1899-12-30T00:16:55"/>
    <s v="Automatic"/>
    <s v=""/>
    <x v="0"/>
    <s v=""/>
  </r>
  <r>
    <x v="0"/>
    <x v="0"/>
    <x v="0"/>
    <s v="b1"/>
    <x v="0"/>
    <s v="b41B4DC05"/>
    <x v="7"/>
    <x v="1"/>
    <s v="aUYKXN0Zq8Ue4hpU5RbVvwQ"/>
    <x v="0"/>
    <s v="**Edit Log"/>
    <x v="0"/>
    <n v="0"/>
    <s v=""/>
    <s v=""/>
    <s v="Longitude"/>
    <s v="Latitude"/>
    <x v="0"/>
    <d v="1899-12-30T03:44:52"/>
    <d v="1899-12-30T00:00:00"/>
    <n v="89743.015625"/>
    <n v="3.2644506543874699E-2"/>
    <d v="1899-12-30T03:44:52"/>
    <s v="Automatic"/>
    <s v=""/>
    <x v="0"/>
    <s v=""/>
  </r>
  <r>
    <x v="0"/>
    <x v="0"/>
    <x v="0"/>
    <s v="b1"/>
    <x v="0"/>
    <s v="b41B4DC05"/>
    <x v="8"/>
    <x v="0"/>
    <s v="aBnW6FD9ZREesgOc-mSoyZQ"/>
    <x v="0"/>
    <s v="**Edit Log"/>
    <x v="0"/>
    <n v="0"/>
    <s v=""/>
    <s v=""/>
    <s v="Longitude"/>
    <s v="Latitude"/>
    <x v="0"/>
    <d v="1899-12-30T00:00:00"/>
    <d v="1899-12-30T00:17:54"/>
    <n v="89743.046875"/>
    <n v="5.9946565628051802"/>
    <d v="1899-12-30T00:17:54"/>
    <s v="Automatic"/>
    <d v="2017-11-06T12:45:22"/>
    <x v="1"/>
    <s v=""/>
  </r>
  <r>
    <x v="0"/>
    <x v="0"/>
    <x v="0"/>
    <s v="b1"/>
    <x v="0"/>
    <s v="b41B4DC05"/>
    <x v="9"/>
    <x v="1"/>
    <s v="aL8gIzepeKESvSuyJh39WrA"/>
    <x v="0"/>
    <s v="**Edit Log"/>
    <x v="0"/>
    <n v="0"/>
    <s v=""/>
    <s v=""/>
    <s v="Longitude"/>
    <s v="Latitude"/>
    <x v="0"/>
    <d v="1900-01-05T06:28:26"/>
    <d v="1899-12-30T00:00:00"/>
    <n v="89749.0390625"/>
    <n v="0"/>
    <d v="1900-01-05T06:28:26"/>
    <s v="Automatic"/>
    <s v=""/>
    <x v="0"/>
    <s v=""/>
  </r>
  <r>
    <x v="0"/>
    <x v="0"/>
    <x v="0"/>
    <s v="b1"/>
    <x v="0"/>
    <s v="b41B4DC05"/>
    <x v="10"/>
    <x v="2"/>
    <s v="a8p35cUCu6UiTrxHPAXDjnA"/>
    <x v="0"/>
    <s v="**Edit Log"/>
    <x v="0"/>
    <n v="0"/>
    <s v=""/>
    <s v=""/>
    <s v="Longitude"/>
    <s v="Latitude"/>
    <x v="0"/>
    <d v="1899-12-30T00:00:00"/>
    <d v="1899-12-30T00:00:00"/>
    <n v="0"/>
    <n v="0"/>
    <d v="1900-01-15T15:47:13"/>
    <s v="Manual"/>
    <s v=""/>
    <x v="0"/>
    <s v=""/>
  </r>
  <r>
    <x v="1"/>
    <x v="0"/>
    <x v="0"/>
    <s v="b1"/>
    <x v="0"/>
    <s v="b41B4DC05"/>
    <x v="11"/>
    <x v="1"/>
    <s v="aGdlhzbQZfkSx_w2BSUto9g"/>
    <x v="0"/>
    <s v="**Edit Log"/>
    <x v="0"/>
    <n v="0"/>
    <s v=""/>
    <s v=""/>
    <s v="Longitude"/>
    <s v="Latitude"/>
    <x v="0"/>
    <d v="1899-12-30T00:00:19"/>
    <d v="1899-12-30T00:00:00"/>
    <n v="0"/>
    <n v="0"/>
    <d v="1899-12-30T00:00:19"/>
    <s v="Manual"/>
    <s v=""/>
    <x v="0"/>
    <s v=""/>
  </r>
  <r>
    <x v="1"/>
    <x v="0"/>
    <x v="0"/>
    <s v="b1"/>
    <x v="0"/>
    <s v="b41B4DC05"/>
    <x v="12"/>
    <x v="2"/>
    <s v="am8tMPQe3S0WdrmtOuByd5Q"/>
    <x v="0"/>
    <s v="**Edit Log"/>
    <x v="0"/>
    <n v="0"/>
    <s v=""/>
    <s v=""/>
    <s v="Longitude"/>
    <s v="Latitude"/>
    <x v="0"/>
    <d v="1899-12-30T00:00:00"/>
    <d v="1899-12-30T00:00:00"/>
    <n v="0"/>
    <n v="0"/>
    <d v="1900-01-15T06:25:29"/>
    <s v="Manual"/>
    <s v=""/>
    <x v="0"/>
    <s v=""/>
  </r>
  <r>
    <x v="1"/>
    <x v="0"/>
    <x v="0"/>
    <s v="b1"/>
    <x v="0"/>
    <s v="b41B4DC05"/>
    <x v="13"/>
    <x v="0"/>
    <s v="aXFu-jhsYnESM6pJECk0nLw"/>
    <x v="0"/>
    <s v="**Edit Log"/>
    <x v="0"/>
    <n v="0"/>
    <s v=""/>
    <s v=""/>
    <s v="Longitude"/>
    <s v="Latitude"/>
    <x v="0"/>
    <d v="1899-12-30T00:00:00"/>
    <d v="1899-12-30T00:15:51"/>
    <n v="90285.0390625"/>
    <n v="7.9467396736145002"/>
    <d v="1899-12-30T00:15:51"/>
    <s v="Automatic"/>
    <s v=""/>
    <x v="0"/>
    <s v=""/>
  </r>
  <r>
    <x v="1"/>
    <x v="0"/>
    <x v="0"/>
    <s v="b1"/>
    <x v="0"/>
    <s v="b41B4DC05"/>
    <x v="14"/>
    <x v="1"/>
    <s v="aU_pW7fo52kqAZjLRIMgD5g"/>
    <x v="0"/>
    <s v="**Edit Log"/>
    <x v="0"/>
    <n v="0"/>
    <s v=""/>
    <s v=""/>
    <s v="Longitude"/>
    <s v="Latitude"/>
    <x v="0"/>
    <d v="1899-12-30T01:24:48"/>
    <d v="1899-12-30T00:00:00"/>
    <n v="90292.984375"/>
    <n v="8.0242054536938702E-3"/>
    <d v="1899-12-30T01:24:48"/>
    <s v="Automatic"/>
    <s v=""/>
    <x v="0"/>
    <s v=""/>
  </r>
  <r>
    <x v="1"/>
    <x v="0"/>
    <x v="0"/>
    <s v="b1"/>
    <x v="0"/>
    <s v="b41B4DC05"/>
    <x v="15"/>
    <x v="0"/>
    <s v="amJc_F8MS1keTk-C7KYDPxA"/>
    <x v="0"/>
    <s v="**Edit Log"/>
    <x v="0"/>
    <n v="0"/>
    <s v=""/>
    <s v=""/>
    <s v="Longitude"/>
    <s v="Latitude"/>
    <x v="0"/>
    <d v="1899-12-30T00:00:00"/>
    <d v="1899-12-30T00:08:00"/>
    <n v="90292.9921875"/>
    <n v="4.0308885574340803"/>
    <d v="1899-12-30T00:08:00"/>
    <s v="Automatic"/>
    <s v=""/>
    <x v="0"/>
    <s v=""/>
  </r>
  <r>
    <x v="1"/>
    <x v="0"/>
    <x v="0"/>
    <s v="b1"/>
    <x v="0"/>
    <s v="b41B4DC05"/>
    <x v="16"/>
    <x v="1"/>
    <s v="aOwmsUhS-IkqmS8aHMZ1YEQ"/>
    <x v="0"/>
    <s v="**Edit Log"/>
    <x v="0"/>
    <n v="0"/>
    <s v=""/>
    <s v=""/>
    <s v="Longitude"/>
    <s v="Latitude"/>
    <x v="0"/>
    <d v="1899-12-30T01:39:39"/>
    <d v="1899-12-30T00:00:00"/>
    <n v="90297.0234375"/>
    <n v="4.2117558419704403E-2"/>
    <d v="1899-12-30T01:39:39"/>
    <s v="Automatic"/>
    <d v="2017-11-06T13:35:29"/>
    <x v="1"/>
    <s v=""/>
  </r>
  <r>
    <x v="1"/>
    <x v="0"/>
    <x v="0"/>
    <s v="b1"/>
    <x v="0"/>
    <s v="b41B4DC05"/>
    <x v="17"/>
    <x v="0"/>
    <s v="aM_5b7Vv4Jk-3uvk1w0mOeQ"/>
    <x v="0"/>
    <s v="**Edit Log"/>
    <x v="0"/>
    <n v="0"/>
    <s v=""/>
    <s v=""/>
    <s v="Longitude"/>
    <s v="Latitude"/>
    <x v="0"/>
    <d v="1899-12-30T00:00:00"/>
    <d v="1899-12-30T00:11:50"/>
    <n v="90297.0703125"/>
    <n v="5.9230461120605504"/>
    <d v="1899-12-30T00:11:50"/>
    <s v="Automatic"/>
    <d v="2017-11-06T13:35:37"/>
    <x v="1"/>
    <s v=""/>
  </r>
  <r>
    <x v="1"/>
    <x v="0"/>
    <x v="0"/>
    <s v="b1"/>
    <x v="0"/>
    <s v="b41B4DC05"/>
    <x v="18"/>
    <x v="1"/>
    <s v="aWgfgzlPFKk-ehudTRd-ohA"/>
    <x v="0"/>
    <s v="**Edit Log"/>
    <x v="0"/>
    <n v="0"/>
    <s v=""/>
    <s v=""/>
    <s v="Longitude"/>
    <s v="Latitude"/>
    <x v="0"/>
    <d v="1899-12-30T00:13:24"/>
    <d v="1899-12-30T00:00:00"/>
    <n v="90302.9921875"/>
    <n v="3.7446539849042899E-2"/>
    <d v="1899-12-30T00:13:24"/>
    <s v="Automatic"/>
    <d v="2017-11-06T13:35:40"/>
    <x v="1"/>
    <s v=""/>
  </r>
  <r>
    <x v="1"/>
    <x v="0"/>
    <x v="0"/>
    <s v="b1"/>
    <x v="0"/>
    <s v="b41B4DC05"/>
    <x v="19"/>
    <x v="0"/>
    <s v="aFqpw7rw7xUmw6XoY7xuYDg"/>
    <x v="0"/>
    <s v="**Edit Log"/>
    <x v="0"/>
    <n v="0"/>
    <s v=""/>
    <s v="New Equipment"/>
    <s v="Longitude"/>
    <s v="Latitude"/>
    <x v="0"/>
    <d v="1899-12-30T00:00:00"/>
    <d v="1899-12-30T00:09:20"/>
    <n v="90303.03125"/>
    <n v="6.0190110206604004"/>
    <d v="1899-12-30T00:09:20"/>
    <s v="Automatic"/>
    <d v="2017-11-06T13:35:40"/>
    <x v="1"/>
    <s v=""/>
  </r>
  <r>
    <x v="1"/>
    <x v="0"/>
    <x v="0"/>
    <s v="b1"/>
    <x v="0"/>
    <s v="b41B4DC05"/>
    <x v="20"/>
    <x v="1"/>
    <s v="a4Yaf7RoU2k2l70wJ751s0g"/>
    <x v="0"/>
    <s v="**Edit Log"/>
    <x v="0"/>
    <n v="0"/>
    <s v=""/>
    <s v=""/>
    <s v="Longitude"/>
    <s v="Latitude"/>
    <x v="0"/>
    <d v="1899-12-30T05:18:26"/>
    <d v="1899-12-30T00:00:00"/>
    <n v="90309.046875"/>
    <n v="0"/>
    <d v="1899-12-30T05:18:26"/>
    <s v="Automatic"/>
    <s v=""/>
    <x v="0"/>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HOS Driver Logs" cacheId="12" applyNumberFormats="0" applyBorderFormats="0" applyFontFormats="0" applyPatternFormats="0" applyAlignmentFormats="0" applyWidthHeightFormats="1" dataCaption="Data" updatedVersion="6" minRefreshableVersion="3" showDrill="0" showMemberPropertyTips="0" itemPrintTitles="1" createdVersion="4" indent="0" compact="0" compactData="0">
  <location ref="A11:K35" firstHeaderRow="0" firstDataRow="1" firstDataCol="9"/>
  <pivotFields count="28">
    <pivotField axis="axisRow" compact="0" outline="0" showAll="0">
      <items count="3">
        <item x="0"/>
        <item x="1"/>
        <item t="default"/>
      </items>
    </pivotField>
    <pivotField axis="axisRow" compact="0" outline="0" showAll="0" defaultSubtotal="0">
      <items count="1">
        <item x="0"/>
      </items>
    </pivotField>
    <pivotField axis="axisRow" compact="0" outline="0" showAll="0" defaultSubtotal="0">
      <items count="1">
        <item x="0"/>
      </items>
    </pivotField>
    <pivotField compact="0" outline="0" subtotalTop="0" showAll="0" defaultSubtotal="0"/>
    <pivotField axis="axisRow" compact="0" outline="0" showAll="0" defaultSubtotal="0">
      <items count="1">
        <item x="0"/>
      </items>
    </pivotField>
    <pivotField compact="0" outline="0" subtotalTop="0" showAll="0" defaultSubtotal="0"/>
    <pivotField axis="axisRow" compact="0" numFmtId="171" outline="0" showAll="0" defaultSubtotal="0">
      <items count="21">
        <item x="0"/>
        <item x="1"/>
        <item x="2"/>
        <item x="3"/>
        <item x="4"/>
        <item x="5"/>
        <item x="6"/>
        <item x="7"/>
        <item x="8"/>
        <item x="9"/>
        <item x="10"/>
        <item x="11"/>
        <item x="12"/>
        <item x="13"/>
        <item x="14"/>
        <item x="15"/>
        <item x="16"/>
        <item x="17"/>
        <item x="18"/>
        <item x="19"/>
        <item x="20"/>
      </items>
    </pivotField>
    <pivotField axis="axisRow" compact="0" outline="0" showAll="0" defaultSubtotal="0">
      <items count="3">
        <item x="0"/>
        <item x="2"/>
        <item x="1"/>
      </items>
    </pivotField>
    <pivotField compact="0" outline="0" subtotalTop="0" showAll="0" defaultSubtotal="0"/>
    <pivotField axis="axisRow" compact="0" numFmtId="169" outline="0" showAll="0" defaultSubtotal="0">
      <items count="1">
        <item x="0"/>
      </items>
    </pivotField>
    <pivotField compact="0" outline="0" showAll="0" defaultSubtotal="0"/>
    <pivotField name="**Vehicle" axis="axisRow" compact="0" outline="0" showAll="0" defaultSubtotal="0">
      <items count="1">
        <item x="0"/>
      </items>
    </pivotField>
    <pivotField compact="0" numFmtId="169"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numFmtId="46" outline="0" showAll="0" defaultSubtotal="0"/>
    <pivotField compact="0" numFmtId="46" outline="0" showAll="0" defaultSubtotal="0"/>
    <pivotField compact="0" numFmtId="173" outline="0" showAll="0" defaultSubtotal="0"/>
    <pivotField dataField="1" compact="0" numFmtId="2" outline="0" showAll="0" defaultSubtotal="0"/>
    <pivotField dataField="1" compact="0" numFmtId="46" outline="0" showAll="0" defaultSubtotal="0"/>
    <pivotField compact="0" outline="0" showAll="0" defaultSubtotal="0"/>
    <pivotField compact="0" numFmtId="171" outline="0" subtotalTop="0" showAll="0" includeNewItemsInFilter="1" defaultSubtotal="0"/>
    <pivotField compact="0" outline="0" showAll="0" defaultSubtotal="0"/>
    <pivotField compact="0" outline="0" showAll="0" defaultSubtotal="0"/>
    <pivotField compact="0" outline="0" dragToRow="0" dragToCol="0" dragToPage="0" showAll="0" defaultSubtotal="0"/>
  </pivotFields>
  <rowFields count="9">
    <field x="0"/>
    <field x="1"/>
    <field x="2"/>
    <field x="4"/>
    <field x="6"/>
    <field x="7"/>
    <field x="9"/>
    <field x="11"/>
    <field x="17"/>
  </rowFields>
  <rowItems count="24">
    <i>
      <x/>
      <x/>
      <x/>
      <x/>
      <x/>
      <x/>
      <x/>
      <x/>
      <x/>
    </i>
    <i r="4">
      <x v="1"/>
      <x v="2"/>
      <x/>
      <x/>
      <x/>
    </i>
    <i r="4">
      <x v="2"/>
      <x/>
      <x/>
      <x/>
      <x/>
    </i>
    <i r="4">
      <x v="3"/>
      <x v="1"/>
      <x/>
      <x/>
      <x/>
    </i>
    <i r="4">
      <x v="4"/>
      <x/>
      <x/>
      <x/>
      <x/>
    </i>
    <i r="4">
      <x v="5"/>
      <x v="2"/>
      <x/>
      <x/>
      <x/>
    </i>
    <i r="4">
      <x v="6"/>
      <x/>
      <x/>
      <x/>
      <x/>
    </i>
    <i r="4">
      <x v="7"/>
      <x v="2"/>
      <x/>
      <x/>
      <x/>
    </i>
    <i r="4">
      <x v="8"/>
      <x/>
      <x/>
      <x/>
      <x/>
    </i>
    <i r="4">
      <x v="9"/>
      <x v="2"/>
      <x/>
      <x/>
      <x/>
    </i>
    <i r="4">
      <x v="10"/>
      <x v="1"/>
      <x/>
      <x/>
      <x/>
    </i>
    <i t="default">
      <x/>
    </i>
    <i>
      <x v="1"/>
      <x/>
      <x/>
      <x/>
      <x v="11"/>
      <x v="2"/>
      <x/>
      <x/>
      <x/>
    </i>
    <i r="4">
      <x v="12"/>
      <x v="1"/>
      <x/>
      <x/>
      <x/>
    </i>
    <i r="4">
      <x v="13"/>
      <x/>
      <x/>
      <x/>
      <x/>
    </i>
    <i r="4">
      <x v="14"/>
      <x v="2"/>
      <x/>
      <x/>
      <x/>
    </i>
    <i r="4">
      <x v="15"/>
      <x/>
      <x/>
      <x/>
      <x/>
    </i>
    <i r="4">
      <x v="16"/>
      <x v="2"/>
      <x/>
      <x/>
      <x/>
    </i>
    <i r="4">
      <x v="17"/>
      <x/>
      <x/>
      <x/>
      <x/>
    </i>
    <i r="4">
      <x v="18"/>
      <x v="2"/>
      <x/>
      <x/>
      <x/>
    </i>
    <i r="4">
      <x v="19"/>
      <x/>
      <x/>
      <x/>
      <x/>
    </i>
    <i r="4">
      <x v="20"/>
      <x v="2"/>
      <x/>
      <x/>
      <x/>
    </i>
    <i t="default">
      <x v="1"/>
    </i>
    <i t="grand">
      <x/>
    </i>
  </rowItems>
  <colFields count="1">
    <field x="-2"/>
  </colFields>
  <colItems count="2">
    <i>
      <x/>
    </i>
    <i i="1">
      <x v="1"/>
    </i>
  </colItems>
  <dataFields count="2">
    <dataField name="**Log Distance" fld="21" baseField="17" baseItem="0" numFmtId="2"/>
    <dataField name="**Log Duration" fld="22" baseField="17" baseItem="0" numFmtId="175"/>
  </dataFields>
  <formats count="14">
    <format dxfId="35">
      <pivotArea type="all" dataOnly="0" outline="0" fieldPosition="0"/>
    </format>
    <format dxfId="34">
      <pivotArea outline="0" collapsedLevelsAreSubtotals="1" fieldPosition="0"/>
    </format>
    <format dxfId="33">
      <pivotArea type="origin" dataOnly="0" labelOnly="1" outline="0" fieldPosition="0"/>
    </format>
    <format dxfId="32">
      <pivotArea type="topRight" dataOnly="0" labelOnly="1" outline="0" fieldPosition="0"/>
    </format>
    <format dxfId="31">
      <pivotArea dataOnly="0" labelOnly="1" grandRow="1" outline="0" fieldPosition="0"/>
    </format>
    <format dxfId="30">
      <pivotArea type="topRight" dataOnly="0" labelOnly="1" outline="0" fieldPosition="0"/>
    </format>
    <format dxfId="29">
      <pivotArea outline="0" collapsedLevelsAreSubtotals="1" fieldPosition="0"/>
    </format>
    <format dxfId="28">
      <pivotArea dataOnly="0" labelOnly="1" outline="0" axis="axisValues"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grandRow="1" outline="0" fieldPosition="0"/>
    </format>
    <format dxfId="23">
      <pivotArea outline="0" fieldPosition="0">
        <references count="1">
          <reference field="4294967294" count="1">
            <x v="1"/>
          </reference>
        </references>
      </pivotArea>
    </format>
    <format dxfId="22">
      <pivotArea outline="0" fieldPosition="0">
        <references count="1">
          <reference field="4294967294" count="1">
            <x v="0"/>
          </reference>
        </references>
      </pivotArea>
    </format>
  </formats>
  <pivotTableStyleInfo name="PivotStyleLightCustom"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HOS Driver Logs" cacheId="12" applyNumberFormats="0" applyBorderFormats="0" applyFontFormats="0" applyPatternFormats="0" applyAlignmentFormats="0" applyWidthHeightFormats="1" dataCaption="Data" updatedVersion="6" minRefreshableVersion="3" showDrill="0" showMemberPropertyTips="0" itemPrintTitles="1" createdVersion="4" indent="0" compact="0" compactData="0">
  <location ref="A12:J31" firstHeaderRow="0" firstDataRow="1" firstDataCol="8" rowPageCount="1" colPageCount="1"/>
  <pivotFields count="28">
    <pivotField axis="axisRow" compact="0" outline="0" showAll="0">
      <items count="3">
        <item x="0"/>
        <item x="1"/>
        <item t="default"/>
      </items>
    </pivotField>
    <pivotField axis="axisRow" compact="0" outline="0" showAll="0" defaultSubtotal="0">
      <items count="1">
        <item x="0"/>
      </items>
    </pivotField>
    <pivotField axis="axisRow" compact="0" outline="0" showAll="0" defaultSubtotal="0">
      <items count="1">
        <item x="0"/>
      </items>
    </pivotField>
    <pivotField compact="0" outline="0" subtotalTop="0" showAll="0" defaultSubtotal="0"/>
    <pivotField axis="axisRow" compact="0" outline="0" showAll="0" defaultSubtotal="0">
      <items count="1">
        <item x="0"/>
      </items>
    </pivotField>
    <pivotField compact="0" outline="0" subtotalTop="0" showAll="0" defaultSubtotal="0"/>
    <pivotField axis="axisRow" compact="0" numFmtId="171" outline="0" showAll="0" defaultSubtotal="0">
      <items count="21">
        <item x="0"/>
        <item x="1"/>
        <item x="2"/>
        <item x="3"/>
        <item x="4"/>
        <item x="5"/>
        <item x="6"/>
        <item x="7"/>
        <item x="8"/>
        <item x="9"/>
        <item x="10"/>
        <item x="11"/>
        <item x="12"/>
        <item x="13"/>
        <item x="14"/>
        <item x="15"/>
        <item x="16"/>
        <item x="17"/>
        <item x="18"/>
        <item x="19"/>
        <item x="20"/>
      </items>
    </pivotField>
    <pivotField axis="axisRow" compact="0" outline="0" showAll="0" defaultSubtotal="0">
      <items count="3">
        <item x="0"/>
        <item x="2"/>
        <item x="1"/>
      </items>
    </pivotField>
    <pivotField compact="0" outline="0" subtotalTop="0" showAll="0" defaultSubtotal="0"/>
    <pivotField axis="axisRow" compact="0" numFmtId="169" outline="0" showAll="0" defaultSubtotal="0">
      <items count="1">
        <item x="0"/>
      </items>
    </pivotField>
    <pivotField compact="0" outline="0" showAll="0" defaultSubtotal="0"/>
    <pivotField name="**Vehicle" axis="axisRow" compact="0" outline="0" showAll="0" defaultSubtotal="0">
      <items count="1">
        <item x="0"/>
      </items>
    </pivotField>
    <pivotField compact="0" numFmtId="169"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6" outline="0" showAll="0" defaultSubtotal="0"/>
    <pivotField compact="0" numFmtId="46" outline="0" showAll="0" defaultSubtotal="0"/>
    <pivotField compact="0" numFmtId="173" outline="0" showAll="0" defaultSubtotal="0"/>
    <pivotField dataField="1" compact="0" numFmtId="2" outline="0" showAll="0" defaultSubtotal="0"/>
    <pivotField dataField="1" compact="0" numFmtId="46" outline="0" showAll="0" defaultSubtotal="0"/>
    <pivotField compact="0" outline="0" showAll="0" defaultSubtotal="0"/>
    <pivotField compact="0" numFmtId="171" outline="0" subtotalTop="0" showAll="0" includeNewItemsInFilter="1" defaultSubtotal="0"/>
    <pivotField axis="axisPage" compact="0" outline="0" multipleItemSelectionAllowed="1" showAll="0" defaultSubtotal="0">
      <items count="2">
        <item x="0"/>
        <item h="1" x="1"/>
      </items>
    </pivotField>
    <pivotField compact="0" outline="0" showAll="0" defaultSubtotal="0"/>
    <pivotField compact="0" outline="0" dragToRow="0" dragToCol="0" dragToPage="0" showAll="0" defaultSubtotal="0"/>
  </pivotFields>
  <rowFields count="8">
    <field x="0"/>
    <field x="1"/>
    <field x="2"/>
    <field x="4"/>
    <field x="6"/>
    <field x="7"/>
    <field x="9"/>
    <field x="11"/>
  </rowFields>
  <rowItems count="19">
    <i>
      <x/>
      <x/>
      <x/>
      <x/>
      <x/>
      <x/>
      <x/>
      <x/>
    </i>
    <i r="4">
      <x v="1"/>
      <x v="2"/>
      <x/>
      <x/>
    </i>
    <i r="4">
      <x v="2"/>
      <x/>
      <x/>
      <x/>
    </i>
    <i r="4">
      <x v="3"/>
      <x v="1"/>
      <x/>
      <x/>
    </i>
    <i r="4">
      <x v="4"/>
      <x/>
      <x/>
      <x/>
    </i>
    <i r="4">
      <x v="5"/>
      <x v="2"/>
      <x/>
      <x/>
    </i>
    <i r="4">
      <x v="6"/>
      <x/>
      <x/>
      <x/>
    </i>
    <i r="4">
      <x v="7"/>
      <x v="2"/>
      <x/>
      <x/>
    </i>
    <i r="4">
      <x v="9"/>
      <x v="2"/>
      <x/>
      <x/>
    </i>
    <i r="4">
      <x v="10"/>
      <x v="1"/>
      <x/>
      <x/>
    </i>
    <i t="default">
      <x/>
    </i>
    <i>
      <x v="1"/>
      <x/>
      <x/>
      <x/>
      <x v="11"/>
      <x v="2"/>
      <x/>
      <x/>
    </i>
    <i r="4">
      <x v="12"/>
      <x v="1"/>
      <x/>
      <x/>
    </i>
    <i r="4">
      <x v="13"/>
      <x/>
      <x/>
      <x/>
    </i>
    <i r="4">
      <x v="14"/>
      <x v="2"/>
      <x/>
      <x/>
    </i>
    <i r="4">
      <x v="15"/>
      <x/>
      <x/>
      <x/>
    </i>
    <i r="4">
      <x v="20"/>
      <x v="2"/>
      <x/>
      <x/>
    </i>
    <i t="default">
      <x v="1"/>
    </i>
    <i t="grand">
      <x/>
    </i>
  </rowItems>
  <colFields count="1">
    <field x="-2"/>
  </colFields>
  <colItems count="2">
    <i>
      <x/>
    </i>
    <i i="1">
      <x v="1"/>
    </i>
  </colItems>
  <pageFields count="1">
    <pageField fld="25" hier="-1"/>
  </pageFields>
  <dataFields count="2">
    <dataField name="**Log Distance" fld="21" baseField="6" baseItem="0" numFmtId="2"/>
    <dataField name="**Log Duration" fld="22" baseField="11" baseItem="0" numFmtId="175"/>
  </dataFields>
  <formats count="16">
    <format dxfId="21">
      <pivotArea type="all" dataOnly="0" outline="0" fieldPosition="0"/>
    </format>
    <format dxfId="20">
      <pivotArea outline="0" collapsedLevelsAreSubtotals="1" fieldPosition="0"/>
    </format>
    <format dxfId="19">
      <pivotArea type="origin" dataOnly="0" labelOnly="1" outline="0" fieldPosition="0"/>
    </format>
    <format dxfId="18">
      <pivotArea type="topRight" dataOnly="0" labelOnly="1" outline="0" fieldPosition="0"/>
    </format>
    <format dxfId="17">
      <pivotArea dataOnly="0" labelOnly="1" grandRow="1" outline="0" fieldPosition="0"/>
    </format>
    <format dxfId="16">
      <pivotArea type="topRight" dataOnly="0" labelOnly="1" outline="0" fieldPosition="0"/>
    </format>
    <format dxfId="15">
      <pivotArea outline="0" collapsedLevelsAreSubtotals="1" fieldPosition="0"/>
    </format>
    <format dxfId="14">
      <pivotArea dataOnly="0" labelOnly="1" outline="0" axis="axisValues"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grandRow="1" outline="0" fieldPosition="0"/>
    </format>
    <format dxfId="9">
      <pivotArea outline="0" fieldPosition="0">
        <references count="1">
          <reference field="4294967294" count="1">
            <x v="1"/>
          </reference>
        </references>
      </pivotArea>
    </format>
    <format dxfId="8">
      <pivotArea outline="0" fieldPosition="0">
        <references count="1">
          <reference field="4294967294" count="1">
            <x v="0"/>
          </reference>
        </references>
      </pivotArea>
    </format>
    <format dxfId="7">
      <pivotArea outline="0" collapsedLevelsAreSubtotals="1" fieldPosition="0"/>
    </format>
    <format dxfId="6">
      <pivotArea dataOnly="0" labelOnly="1" outline="0" fieldPosition="0">
        <references count="1">
          <reference field="4294967294" count="2">
            <x v="0"/>
            <x v="1"/>
          </reference>
        </references>
      </pivotArea>
    </format>
  </formats>
  <pivotTableStyleInfo name="PivotStyleLightCustom"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Geotab Brand Colors">
      <a:dk1>
        <a:sysClr val="windowText" lastClr="000000"/>
      </a:dk1>
      <a:lt1>
        <a:srgbClr val="FFFFFF"/>
      </a:lt1>
      <a:dk2>
        <a:srgbClr val="00AEEF"/>
      </a:dk2>
      <a:lt2>
        <a:srgbClr val="25477B"/>
      </a:lt2>
      <a:accent1>
        <a:srgbClr val="696A6C"/>
      </a:accent1>
      <a:accent2>
        <a:srgbClr val="93C83D"/>
      </a:accent2>
      <a:accent3>
        <a:srgbClr val="FAD201"/>
      </a:accent3>
      <a:accent4>
        <a:srgbClr val="FF9600"/>
      </a:accent4>
      <a:accent5>
        <a:srgbClr val="EA184D"/>
      </a:accent5>
      <a:accent6>
        <a:srgbClr val="B95FFF"/>
      </a:accent6>
      <a:hlink>
        <a:srgbClr val="00AEEF"/>
      </a:hlink>
      <a:folHlink>
        <a:srgbClr val="0082E3"/>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102"/>
  <sheetViews>
    <sheetView showGridLines="0" tabSelected="1" workbookViewId="0">
      <selection activeCell="J11" sqref="J11:K11"/>
    </sheetView>
  </sheetViews>
  <sheetFormatPr defaultColWidth="9.140625" defaultRowHeight="14.25" x14ac:dyDescent="0.25"/>
  <cols>
    <col min="1" max="4" width="25.7109375" style="38" customWidth="1"/>
    <col min="5" max="5" width="25.7109375" style="39" customWidth="1"/>
    <col min="6" max="6" width="10.7109375" style="38" customWidth="1"/>
    <col min="7" max="7" width="25.7109375" style="41" customWidth="1"/>
    <col min="8" max="8" width="20.5703125" style="38" customWidth="1"/>
    <col min="9" max="9" width="20.7109375" style="38" customWidth="1"/>
    <col min="10" max="11" width="18.7109375" style="38" customWidth="1"/>
    <col min="12" max="12" width="8.42578125" style="38" bestFit="1" customWidth="1"/>
    <col min="13" max="13" width="20.5703125" style="38" customWidth="1"/>
    <col min="14" max="16384" width="9.140625" style="38"/>
  </cols>
  <sheetData>
    <row r="1" spans="1:14" s="23" customFormat="1" ht="25.5" customHeight="1" x14ac:dyDescent="0.45">
      <c r="A1" s="25" t="s">
        <v>48</v>
      </c>
      <c r="E1" s="30"/>
      <c r="G1" s="40"/>
    </row>
    <row r="2" spans="1:14" ht="25.5" customHeight="1" x14ac:dyDescent="0.45">
      <c r="A2" s="50" t="str">
        <f>Data!B1</f>
        <v>ABC Company</v>
      </c>
      <c r="B2" s="10"/>
    </row>
    <row r="3" spans="1:14" ht="17.45" customHeight="1" x14ac:dyDescent="0.25">
      <c r="A3" s="11"/>
      <c r="B3" s="11"/>
    </row>
    <row r="4" spans="1:14" ht="17.45" customHeight="1" x14ac:dyDescent="0.3">
      <c r="A4" s="77" t="s">
        <v>55</v>
      </c>
      <c r="B4" s="77"/>
      <c r="C4" s="14"/>
      <c r="D4" s="14"/>
    </row>
    <row r="5" spans="1:14" ht="17.45" customHeight="1" x14ac:dyDescent="0.3">
      <c r="A5" s="57" t="s">
        <v>50</v>
      </c>
      <c r="B5" s="58">
        <f>Data!B3</f>
        <v>43040</v>
      </c>
      <c r="C5" s="14"/>
      <c r="D5" s="14"/>
    </row>
    <row r="6" spans="1:14" ht="17.45" customHeight="1" x14ac:dyDescent="0.3">
      <c r="A6" s="57" t="s">
        <v>51</v>
      </c>
      <c r="B6" s="58">
        <f>Data!B4</f>
        <v>43069.999988425901</v>
      </c>
      <c r="C6" s="14"/>
      <c r="D6" s="14"/>
    </row>
    <row r="7" spans="1:14" ht="17.45" customHeight="1" x14ac:dyDescent="0.3">
      <c r="A7" s="57" t="s">
        <v>310</v>
      </c>
      <c r="B7" s="59">
        <f>B6-B5</f>
        <v>29.999988425901392</v>
      </c>
      <c r="C7" s="14"/>
      <c r="D7" s="14"/>
    </row>
    <row r="8" spans="1:14" ht="17.45" customHeight="1" x14ac:dyDescent="0.3">
      <c r="A8" s="36"/>
      <c r="B8" s="37"/>
      <c r="C8" s="14"/>
      <c r="D8" s="14"/>
    </row>
    <row r="9" spans="1:14" ht="17.45" customHeight="1" x14ac:dyDescent="0.3">
      <c r="A9" s="65" t="s">
        <v>52</v>
      </c>
      <c r="B9" s="57" t="str">
        <f>PROPER(Data!B5)</f>
        <v>Miles</v>
      </c>
      <c r="C9" s="13"/>
      <c r="D9" s="13"/>
    </row>
    <row r="10" spans="1:14" ht="17.45" customHeight="1" x14ac:dyDescent="0.25"/>
    <row r="11" spans="1:14" s="64" customFormat="1" ht="18" customHeight="1" x14ac:dyDescent="0.3">
      <c r="A11" s="67" t="s">
        <v>39</v>
      </c>
      <c r="B11" s="67" t="s">
        <v>134</v>
      </c>
      <c r="C11" s="67" t="s">
        <v>139</v>
      </c>
      <c r="D11" s="67" t="s">
        <v>311</v>
      </c>
      <c r="E11" s="67" t="s">
        <v>55</v>
      </c>
      <c r="F11" s="67" t="s">
        <v>40</v>
      </c>
      <c r="G11" s="67" t="s">
        <v>312</v>
      </c>
      <c r="H11" s="67" t="s">
        <v>321</v>
      </c>
      <c r="I11" s="67" t="s">
        <v>45</v>
      </c>
      <c r="J11" s="68" t="s">
        <v>316</v>
      </c>
      <c r="K11" s="68" t="s">
        <v>317</v>
      </c>
      <c r="L11"/>
      <c r="M11"/>
      <c r="N11"/>
    </row>
    <row r="12" spans="1:14" ht="16.5" x14ac:dyDescent="0.3">
      <c r="A12" s="68" t="s">
        <v>302</v>
      </c>
      <c r="B12" s="68" t="s">
        <v>291</v>
      </c>
      <c r="C12" s="68" t="s">
        <v>292</v>
      </c>
      <c r="D12" s="68" t="s">
        <v>298</v>
      </c>
      <c r="E12" s="69">
        <v>43044.837280092594</v>
      </c>
      <c r="F12" s="68" t="s">
        <v>11</v>
      </c>
      <c r="G12" s="70">
        <v>0</v>
      </c>
      <c r="H12" s="68" t="s">
        <v>290</v>
      </c>
      <c r="I12" s="68" t="s">
        <v>295</v>
      </c>
      <c r="J12" s="71">
        <v>4.0093283653259304</v>
      </c>
      <c r="K12" s="72">
        <v>8.4722222222222213E-3</v>
      </c>
      <c r="L12"/>
      <c r="M12"/>
      <c r="N12"/>
    </row>
    <row r="13" spans="1:14" ht="16.5" x14ac:dyDescent="0.3">
      <c r="A13" s="68"/>
      <c r="B13" s="68"/>
      <c r="C13" s="68"/>
      <c r="D13" s="68"/>
      <c r="E13" s="69">
        <v>43044.845752314817</v>
      </c>
      <c r="F13" s="68" t="s">
        <v>9</v>
      </c>
      <c r="G13" s="70">
        <v>0</v>
      </c>
      <c r="H13" s="68" t="s">
        <v>290</v>
      </c>
      <c r="I13" s="68" t="s">
        <v>295</v>
      </c>
      <c r="J13" s="71">
        <v>0</v>
      </c>
      <c r="K13" s="72">
        <v>0.6653472222222222</v>
      </c>
      <c r="L13"/>
      <c r="M13"/>
      <c r="N13"/>
    </row>
    <row r="14" spans="1:14" ht="16.5" x14ac:dyDescent="0.3">
      <c r="A14" s="68"/>
      <c r="B14" s="68"/>
      <c r="C14" s="68"/>
      <c r="D14" s="68"/>
      <c r="E14" s="69">
        <v>43045.511099537034</v>
      </c>
      <c r="F14" s="68" t="s">
        <v>11</v>
      </c>
      <c r="G14" s="70">
        <v>0</v>
      </c>
      <c r="H14" s="68" t="s">
        <v>290</v>
      </c>
      <c r="I14" s="68" t="s">
        <v>295</v>
      </c>
      <c r="J14" s="71">
        <v>0</v>
      </c>
      <c r="K14" s="72">
        <v>3.2407407407407406E-4</v>
      </c>
      <c r="L14"/>
      <c r="M14"/>
      <c r="N14"/>
    </row>
    <row r="15" spans="1:14" ht="16.5" x14ac:dyDescent="0.3">
      <c r="A15" s="68"/>
      <c r="B15" s="68"/>
      <c r="C15" s="68"/>
      <c r="D15" s="68"/>
      <c r="E15" s="69">
        <v>43045.511423611111</v>
      </c>
      <c r="F15" s="68" t="s">
        <v>10</v>
      </c>
      <c r="G15" s="70">
        <v>0</v>
      </c>
      <c r="H15" s="68" t="s">
        <v>290</v>
      </c>
      <c r="I15" s="68" t="s">
        <v>295</v>
      </c>
      <c r="J15" s="71">
        <v>0</v>
      </c>
      <c r="K15" s="72">
        <v>0.41414351851851849</v>
      </c>
      <c r="L15"/>
      <c r="M15"/>
      <c r="N15"/>
    </row>
    <row r="16" spans="1:14" ht="16.5" x14ac:dyDescent="0.3">
      <c r="A16" s="68"/>
      <c r="B16" s="68"/>
      <c r="C16" s="68"/>
      <c r="D16" s="68"/>
      <c r="E16" s="69">
        <v>43045.925567129627</v>
      </c>
      <c r="F16" s="68" t="s">
        <v>11</v>
      </c>
      <c r="G16" s="70">
        <v>0</v>
      </c>
      <c r="H16" s="68" t="s">
        <v>290</v>
      </c>
      <c r="I16" s="68" t="s">
        <v>295</v>
      </c>
      <c r="J16" s="71">
        <v>3.9767758846282999</v>
      </c>
      <c r="K16" s="72">
        <v>9.1203703703703707E-3</v>
      </c>
      <c r="L16"/>
      <c r="M16"/>
      <c r="N16"/>
    </row>
    <row r="17" spans="1:14" ht="16.5" x14ac:dyDescent="0.3">
      <c r="A17" s="68"/>
      <c r="B17" s="68"/>
      <c r="C17" s="68"/>
      <c r="D17" s="68"/>
      <c r="E17" s="69">
        <v>43045.934687499997</v>
      </c>
      <c r="F17" s="68" t="s">
        <v>9</v>
      </c>
      <c r="G17" s="70">
        <v>0</v>
      </c>
      <c r="H17" s="68" t="s">
        <v>290</v>
      </c>
      <c r="I17" s="68" t="s">
        <v>295</v>
      </c>
      <c r="J17" s="71">
        <v>3.5811413079500198E-2</v>
      </c>
      <c r="K17" s="72">
        <v>0.95743055555555545</v>
      </c>
      <c r="L17"/>
      <c r="M17"/>
      <c r="N17"/>
    </row>
    <row r="18" spans="1:14" ht="16.5" x14ac:dyDescent="0.3">
      <c r="A18" s="68"/>
      <c r="B18" s="68"/>
      <c r="C18" s="68"/>
      <c r="D18" s="68"/>
      <c r="E18" s="69">
        <v>43046.892118055555</v>
      </c>
      <c r="F18" s="68" t="s">
        <v>11</v>
      </c>
      <c r="G18" s="70">
        <v>0</v>
      </c>
      <c r="H18" s="68" t="s">
        <v>290</v>
      </c>
      <c r="I18" s="68" t="s">
        <v>295</v>
      </c>
      <c r="J18" s="71">
        <v>11.9566535949707</v>
      </c>
      <c r="K18" s="72">
        <v>1.1747685185185186E-2</v>
      </c>
      <c r="L18"/>
      <c r="M18"/>
      <c r="N18"/>
    </row>
    <row r="19" spans="1:14" ht="16.5" x14ac:dyDescent="0.3">
      <c r="A19" s="68"/>
      <c r="B19" s="68"/>
      <c r="C19" s="68"/>
      <c r="D19" s="68"/>
      <c r="E19" s="69">
        <v>43046.903865740744</v>
      </c>
      <c r="F19" s="68" t="s">
        <v>9</v>
      </c>
      <c r="G19" s="70">
        <v>0</v>
      </c>
      <c r="H19" s="68" t="s">
        <v>290</v>
      </c>
      <c r="I19" s="68" t="s">
        <v>295</v>
      </c>
      <c r="J19" s="71">
        <v>3.2644506543874699E-2</v>
      </c>
      <c r="K19" s="72">
        <v>0.15615740740740741</v>
      </c>
      <c r="L19"/>
      <c r="M19"/>
      <c r="N19"/>
    </row>
    <row r="20" spans="1:14" ht="16.5" x14ac:dyDescent="0.3">
      <c r="A20" s="68"/>
      <c r="B20" s="68"/>
      <c r="C20" s="68"/>
      <c r="D20" s="68"/>
      <c r="E20" s="69">
        <v>43047.060023148151</v>
      </c>
      <c r="F20" s="68" t="s">
        <v>11</v>
      </c>
      <c r="G20" s="70">
        <v>0</v>
      </c>
      <c r="H20" s="68" t="s">
        <v>290</v>
      </c>
      <c r="I20" s="68" t="s">
        <v>295</v>
      </c>
      <c r="J20" s="71">
        <v>5.9946565628051802</v>
      </c>
      <c r="K20" s="72">
        <v>1.2430555555555554E-2</v>
      </c>
      <c r="L20"/>
      <c r="M20"/>
      <c r="N20"/>
    </row>
    <row r="21" spans="1:14" ht="16.5" x14ac:dyDescent="0.3">
      <c r="A21" s="68"/>
      <c r="B21" s="68"/>
      <c r="C21" s="68"/>
      <c r="D21" s="68"/>
      <c r="E21" s="69">
        <v>43047.072453703702</v>
      </c>
      <c r="F21" s="68" t="s">
        <v>9</v>
      </c>
      <c r="G21" s="70">
        <v>0</v>
      </c>
      <c r="H21" s="68" t="s">
        <v>290</v>
      </c>
      <c r="I21" s="68" t="s">
        <v>295</v>
      </c>
      <c r="J21" s="71">
        <v>0</v>
      </c>
      <c r="K21" s="72">
        <v>6.2697453703703703</v>
      </c>
      <c r="L21"/>
      <c r="M21"/>
      <c r="N21"/>
    </row>
    <row r="22" spans="1:14" ht="16.5" x14ac:dyDescent="0.3">
      <c r="A22" s="68"/>
      <c r="B22" s="68"/>
      <c r="C22" s="68"/>
      <c r="D22" s="68"/>
      <c r="E22" s="69">
        <v>43053.342199074075</v>
      </c>
      <c r="F22" s="68" t="s">
        <v>10</v>
      </c>
      <c r="G22" s="70">
        <v>0</v>
      </c>
      <c r="H22" s="68" t="s">
        <v>290</v>
      </c>
      <c r="I22" s="68" t="s">
        <v>295</v>
      </c>
      <c r="J22" s="71">
        <v>0</v>
      </c>
      <c r="K22" s="72">
        <v>16.657789351851854</v>
      </c>
      <c r="L22"/>
      <c r="M22"/>
      <c r="N22"/>
    </row>
    <row r="23" spans="1:14" ht="16.5" x14ac:dyDescent="0.3">
      <c r="A23" s="68" t="s">
        <v>304</v>
      </c>
      <c r="B23" s="68"/>
      <c r="C23" s="68"/>
      <c r="D23" s="68"/>
      <c r="E23" s="68"/>
      <c r="F23" s="68"/>
      <c r="G23" s="68"/>
      <c r="H23" s="68"/>
      <c r="I23" s="68"/>
      <c r="J23" s="71">
        <v>26.005870327353485</v>
      </c>
      <c r="K23" s="72">
        <v>25.162708333333335</v>
      </c>
      <c r="L23"/>
      <c r="M23"/>
      <c r="N23"/>
    </row>
    <row r="24" spans="1:14" ht="16.5" x14ac:dyDescent="0.3">
      <c r="A24" s="68" t="s">
        <v>303</v>
      </c>
      <c r="B24" s="68" t="s">
        <v>291</v>
      </c>
      <c r="C24" s="68" t="s">
        <v>292</v>
      </c>
      <c r="D24" s="68" t="s">
        <v>298</v>
      </c>
      <c r="E24" s="69">
        <v>43053.342280092591</v>
      </c>
      <c r="F24" s="68" t="s">
        <v>9</v>
      </c>
      <c r="G24" s="70">
        <v>0</v>
      </c>
      <c r="H24" s="68" t="s">
        <v>290</v>
      </c>
      <c r="I24" s="68" t="s">
        <v>295</v>
      </c>
      <c r="J24" s="71">
        <v>0</v>
      </c>
      <c r="K24" s="72">
        <v>2.199074074074074E-4</v>
      </c>
      <c r="L24"/>
      <c r="M24"/>
      <c r="N24"/>
    </row>
    <row r="25" spans="1:14" ht="16.5" x14ac:dyDescent="0.3">
      <c r="A25" s="68"/>
      <c r="B25" s="68"/>
      <c r="C25" s="68"/>
      <c r="D25" s="68"/>
      <c r="E25" s="69">
        <v>43053.342499999999</v>
      </c>
      <c r="F25" s="68" t="s">
        <v>10</v>
      </c>
      <c r="G25" s="70">
        <v>0</v>
      </c>
      <c r="H25" s="68" t="s">
        <v>290</v>
      </c>
      <c r="I25" s="68" t="s">
        <v>295</v>
      </c>
      <c r="J25" s="71">
        <v>0</v>
      </c>
      <c r="K25" s="72">
        <v>16.267696759259259</v>
      </c>
      <c r="L25"/>
      <c r="M25"/>
      <c r="N25"/>
    </row>
    <row r="26" spans="1:14" ht="16.5" x14ac:dyDescent="0.3">
      <c r="A26" s="68"/>
      <c r="B26" s="68"/>
      <c r="C26" s="68"/>
      <c r="D26" s="68"/>
      <c r="E26" s="69">
        <v>43069.610196759262</v>
      </c>
      <c r="F26" s="68" t="s">
        <v>11</v>
      </c>
      <c r="G26" s="70">
        <v>0</v>
      </c>
      <c r="H26" s="68" t="s">
        <v>290</v>
      </c>
      <c r="I26" s="68" t="s">
        <v>295</v>
      </c>
      <c r="J26" s="71">
        <v>7.9467396736145002</v>
      </c>
      <c r="K26" s="72">
        <v>1.1006944444444444E-2</v>
      </c>
      <c r="L26"/>
      <c r="M26"/>
      <c r="N26"/>
    </row>
    <row r="27" spans="1:14" ht="16.5" x14ac:dyDescent="0.3">
      <c r="A27" s="68"/>
      <c r="B27" s="68"/>
      <c r="C27" s="68"/>
      <c r="D27" s="68"/>
      <c r="E27" s="69">
        <v>43069.621203703704</v>
      </c>
      <c r="F27" s="68" t="s">
        <v>9</v>
      </c>
      <c r="G27" s="70">
        <v>0</v>
      </c>
      <c r="H27" s="68" t="s">
        <v>290</v>
      </c>
      <c r="I27" s="68" t="s">
        <v>295</v>
      </c>
      <c r="J27" s="71">
        <v>8.0242054536938702E-3</v>
      </c>
      <c r="K27" s="72">
        <v>5.8888888888888886E-2</v>
      </c>
      <c r="L27"/>
      <c r="M27"/>
      <c r="N27"/>
    </row>
    <row r="28" spans="1:14" ht="16.5" x14ac:dyDescent="0.3">
      <c r="A28" s="68"/>
      <c r="B28" s="68"/>
      <c r="C28" s="68"/>
      <c r="D28" s="68"/>
      <c r="E28" s="69">
        <v>43069.680092592593</v>
      </c>
      <c r="F28" s="68" t="s">
        <v>11</v>
      </c>
      <c r="G28" s="70">
        <v>0</v>
      </c>
      <c r="H28" s="68" t="s">
        <v>290</v>
      </c>
      <c r="I28" s="68" t="s">
        <v>295</v>
      </c>
      <c r="J28" s="71">
        <v>4.0308885574340803</v>
      </c>
      <c r="K28" s="72">
        <v>5.5555555555555558E-3</v>
      </c>
      <c r="L28"/>
      <c r="M28"/>
      <c r="N28"/>
    </row>
    <row r="29" spans="1:14" ht="16.5" x14ac:dyDescent="0.3">
      <c r="A29" s="68"/>
      <c r="B29" s="68"/>
      <c r="C29" s="68"/>
      <c r="D29" s="68"/>
      <c r="E29" s="69">
        <v>43069.685648148145</v>
      </c>
      <c r="F29" s="68" t="s">
        <v>9</v>
      </c>
      <c r="G29" s="70">
        <v>0</v>
      </c>
      <c r="H29" s="68" t="s">
        <v>290</v>
      </c>
      <c r="I29" s="68" t="s">
        <v>295</v>
      </c>
      <c r="J29" s="71">
        <v>4.2117558419704403E-2</v>
      </c>
      <c r="K29" s="72">
        <v>6.9201388888888882E-2</v>
      </c>
      <c r="L29"/>
      <c r="M29"/>
      <c r="N29"/>
    </row>
    <row r="30" spans="1:14" ht="16.5" x14ac:dyDescent="0.3">
      <c r="A30" s="68"/>
      <c r="B30" s="68"/>
      <c r="C30" s="68"/>
      <c r="D30" s="68"/>
      <c r="E30" s="69">
        <v>43069.754849537036</v>
      </c>
      <c r="F30" s="68" t="s">
        <v>11</v>
      </c>
      <c r="G30" s="70">
        <v>0</v>
      </c>
      <c r="H30" s="68" t="s">
        <v>290</v>
      </c>
      <c r="I30" s="68" t="s">
        <v>295</v>
      </c>
      <c r="J30" s="71">
        <v>5.9230461120605504</v>
      </c>
      <c r="K30" s="72">
        <v>8.217592592592594E-3</v>
      </c>
      <c r="L30"/>
      <c r="M30"/>
      <c r="N30"/>
    </row>
    <row r="31" spans="1:14" ht="16.5" x14ac:dyDescent="0.3">
      <c r="A31" s="68"/>
      <c r="B31" s="68"/>
      <c r="C31" s="68"/>
      <c r="D31" s="68"/>
      <c r="E31" s="69">
        <v>43069.763067129628</v>
      </c>
      <c r="F31" s="68" t="s">
        <v>9</v>
      </c>
      <c r="G31" s="70">
        <v>0</v>
      </c>
      <c r="H31" s="68" t="s">
        <v>290</v>
      </c>
      <c r="I31" s="68" t="s">
        <v>295</v>
      </c>
      <c r="J31" s="71">
        <v>3.7446539849042899E-2</v>
      </c>
      <c r="K31" s="72">
        <v>9.3055555555555548E-3</v>
      </c>
      <c r="L31"/>
      <c r="M31"/>
      <c r="N31"/>
    </row>
    <row r="32" spans="1:14" ht="16.5" x14ac:dyDescent="0.3">
      <c r="A32" s="68"/>
      <c r="B32" s="68"/>
      <c r="C32" s="68"/>
      <c r="D32" s="68"/>
      <c r="E32" s="69">
        <v>43069.772372685184</v>
      </c>
      <c r="F32" s="68" t="s">
        <v>11</v>
      </c>
      <c r="G32" s="70">
        <v>0</v>
      </c>
      <c r="H32" s="68" t="s">
        <v>290</v>
      </c>
      <c r="I32" s="68" t="s">
        <v>295</v>
      </c>
      <c r="J32" s="71">
        <v>6.0190110206604004</v>
      </c>
      <c r="K32" s="72">
        <v>6.4814814814814813E-3</v>
      </c>
      <c r="L32"/>
      <c r="M32"/>
      <c r="N32"/>
    </row>
    <row r="33" spans="1:14" ht="16.5" x14ac:dyDescent="0.3">
      <c r="A33" s="68"/>
      <c r="B33" s="68"/>
      <c r="C33" s="68"/>
      <c r="D33" s="68"/>
      <c r="E33" s="69">
        <v>43069.778854166667</v>
      </c>
      <c r="F33" s="68" t="s">
        <v>9</v>
      </c>
      <c r="G33" s="70">
        <v>0</v>
      </c>
      <c r="H33" s="68" t="s">
        <v>290</v>
      </c>
      <c r="I33" s="68" t="s">
        <v>295</v>
      </c>
      <c r="J33" s="71">
        <v>0</v>
      </c>
      <c r="K33" s="72">
        <v>0.22113425925925925</v>
      </c>
      <c r="L33"/>
      <c r="M33"/>
      <c r="N33"/>
    </row>
    <row r="34" spans="1:14" ht="16.5" x14ac:dyDescent="0.3">
      <c r="A34" s="68" t="s">
        <v>305</v>
      </c>
      <c r="B34" s="68"/>
      <c r="C34" s="68"/>
      <c r="D34" s="68"/>
      <c r="E34" s="68"/>
      <c r="F34" s="68"/>
      <c r="G34" s="68"/>
      <c r="H34" s="68"/>
      <c r="I34" s="68"/>
      <c r="J34" s="71">
        <v>24.007273667491972</v>
      </c>
      <c r="K34" s="72">
        <v>16.657708333333336</v>
      </c>
      <c r="L34"/>
      <c r="M34"/>
      <c r="N34"/>
    </row>
    <row r="35" spans="1:14" ht="16.5" x14ac:dyDescent="0.3">
      <c r="A35" s="68" t="s">
        <v>0</v>
      </c>
      <c r="B35" s="68"/>
      <c r="C35" s="68"/>
      <c r="D35" s="68"/>
      <c r="E35" s="68"/>
      <c r="F35" s="68"/>
      <c r="G35" s="68"/>
      <c r="H35" s="68"/>
      <c r="I35" s="68"/>
      <c r="J35" s="71">
        <v>50.013143994845464</v>
      </c>
      <c r="K35" s="72">
        <v>41.820416666666674</v>
      </c>
      <c r="L35"/>
      <c r="M35"/>
      <c r="N35"/>
    </row>
    <row r="36" spans="1:14" x14ac:dyDescent="0.25">
      <c r="A36"/>
      <c r="B36"/>
      <c r="C36"/>
      <c r="D36"/>
      <c r="E36"/>
      <c r="F36"/>
      <c r="G36"/>
      <c r="H36"/>
      <c r="I36"/>
      <c r="J36"/>
      <c r="K36"/>
      <c r="L36"/>
    </row>
    <row r="37" spans="1:14" x14ac:dyDescent="0.25">
      <c r="A37"/>
      <c r="B37"/>
      <c r="C37"/>
      <c r="D37"/>
      <c r="E37"/>
      <c r="F37"/>
      <c r="G37"/>
      <c r="H37"/>
      <c r="I37"/>
      <c r="J37"/>
      <c r="K37"/>
      <c r="L37"/>
    </row>
    <row r="38" spans="1:14" x14ac:dyDescent="0.25">
      <c r="A38"/>
      <c r="B38"/>
      <c r="C38"/>
      <c r="D38"/>
      <c r="E38"/>
      <c r="F38"/>
      <c r="G38"/>
      <c r="H38"/>
      <c r="I38"/>
      <c r="J38"/>
      <c r="K38"/>
      <c r="L38"/>
    </row>
    <row r="39" spans="1:14" x14ac:dyDescent="0.25">
      <c r="A39"/>
      <c r="B39"/>
      <c r="C39"/>
      <c r="D39"/>
      <c r="E39"/>
      <c r="F39"/>
      <c r="G39"/>
      <c r="H39"/>
      <c r="I39"/>
      <c r="J39"/>
      <c r="K39"/>
      <c r="L39"/>
    </row>
    <row r="40" spans="1:14" x14ac:dyDescent="0.25">
      <c r="A40"/>
      <c r="B40"/>
      <c r="C40"/>
      <c r="D40"/>
      <c r="E40"/>
      <c r="F40"/>
      <c r="G40"/>
      <c r="H40"/>
      <c r="I40"/>
      <c r="J40"/>
      <c r="K40"/>
      <c r="L40"/>
    </row>
    <row r="41" spans="1:14" x14ac:dyDescent="0.25">
      <c r="A41"/>
      <c r="B41"/>
      <c r="C41"/>
      <c r="D41"/>
      <c r="E41"/>
      <c r="F41"/>
      <c r="G41"/>
      <c r="H41"/>
      <c r="I41"/>
      <c r="J41"/>
      <c r="K41"/>
      <c r="L41"/>
    </row>
    <row r="42" spans="1:14" x14ac:dyDescent="0.25">
      <c r="A42"/>
      <c r="B42"/>
      <c r="C42"/>
      <c r="D42"/>
      <c r="E42"/>
      <c r="F42"/>
      <c r="G42"/>
      <c r="H42"/>
      <c r="I42"/>
      <c r="J42"/>
      <c r="K42"/>
      <c r="L42"/>
    </row>
    <row r="43" spans="1:14" x14ac:dyDescent="0.25">
      <c r="A43"/>
      <c r="B43"/>
      <c r="C43"/>
      <c r="D43"/>
      <c r="E43"/>
      <c r="F43"/>
      <c r="G43"/>
      <c r="H43"/>
      <c r="I43"/>
      <c r="J43"/>
      <c r="K43"/>
      <c r="L43"/>
    </row>
    <row r="44" spans="1:14" x14ac:dyDescent="0.25">
      <c r="A44"/>
      <c r="B44"/>
      <c r="C44"/>
      <c r="D44"/>
      <c r="E44"/>
      <c r="F44"/>
      <c r="G44"/>
      <c r="H44"/>
      <c r="I44"/>
      <c r="J44"/>
      <c r="K44"/>
      <c r="L44"/>
    </row>
    <row r="45" spans="1:14" x14ac:dyDescent="0.25">
      <c r="A45"/>
      <c r="B45"/>
      <c r="C45"/>
      <c r="D45"/>
      <c r="E45"/>
      <c r="F45"/>
      <c r="G45"/>
      <c r="H45"/>
      <c r="I45"/>
      <c r="J45"/>
      <c r="K45"/>
      <c r="L45"/>
    </row>
    <row r="46" spans="1:14" x14ac:dyDescent="0.25">
      <c r="A46"/>
      <c r="B46"/>
      <c r="C46"/>
      <c r="D46"/>
      <c r="E46"/>
      <c r="F46"/>
      <c r="G46"/>
      <c r="H46"/>
      <c r="I46"/>
      <c r="J46"/>
      <c r="K46"/>
      <c r="L46"/>
    </row>
    <row r="47" spans="1:14" x14ac:dyDescent="0.25">
      <c r="A47"/>
      <c r="B47"/>
      <c r="C47"/>
      <c r="D47"/>
      <c r="E47"/>
      <c r="F47"/>
      <c r="G47"/>
      <c r="H47"/>
      <c r="I47"/>
      <c r="J47"/>
      <c r="K47"/>
      <c r="L47"/>
    </row>
    <row r="48" spans="1:14" x14ac:dyDescent="0.25">
      <c r="A48"/>
      <c r="B48"/>
      <c r="C48"/>
      <c r="D48"/>
      <c r="E48"/>
      <c r="F48"/>
      <c r="G48"/>
      <c r="H48"/>
      <c r="I48"/>
      <c r="J48"/>
      <c r="K48"/>
      <c r="L48"/>
    </row>
    <row r="49" spans="1:12" x14ac:dyDescent="0.25">
      <c r="A49"/>
      <c r="B49"/>
      <c r="C49"/>
      <c r="D49"/>
      <c r="E49"/>
      <c r="F49"/>
      <c r="G49"/>
      <c r="H49"/>
      <c r="I49"/>
      <c r="J49"/>
      <c r="K49"/>
      <c r="L49"/>
    </row>
    <row r="50" spans="1:12" x14ac:dyDescent="0.25">
      <c r="A50"/>
      <c r="B50"/>
      <c r="C50"/>
      <c r="D50"/>
      <c r="E50"/>
      <c r="F50"/>
      <c r="G50"/>
      <c r="H50"/>
      <c r="I50"/>
      <c r="J50"/>
      <c r="K50"/>
      <c r="L50"/>
    </row>
    <row r="51" spans="1:12" x14ac:dyDescent="0.25">
      <c r="A51"/>
      <c r="B51"/>
      <c r="C51"/>
      <c r="D51"/>
      <c r="E51"/>
      <c r="F51"/>
      <c r="G51"/>
      <c r="H51"/>
      <c r="I51"/>
      <c r="J51"/>
      <c r="K51"/>
      <c r="L51"/>
    </row>
    <row r="52" spans="1:12" x14ac:dyDescent="0.25">
      <c r="A52"/>
      <c r="B52"/>
      <c r="C52"/>
      <c r="D52"/>
      <c r="E52"/>
      <c r="F52"/>
      <c r="G52"/>
      <c r="H52"/>
      <c r="I52"/>
      <c r="J52"/>
      <c r="K52"/>
      <c r="L52"/>
    </row>
    <row r="53" spans="1:12" x14ac:dyDescent="0.25">
      <c r="A53"/>
      <c r="B53"/>
      <c r="C53"/>
      <c r="D53"/>
      <c r="E53"/>
      <c r="F53"/>
      <c r="G53"/>
      <c r="H53"/>
      <c r="I53"/>
      <c r="J53"/>
      <c r="K53"/>
      <c r="L53"/>
    </row>
    <row r="54" spans="1:12" x14ac:dyDescent="0.25">
      <c r="A54"/>
      <c r="B54"/>
      <c r="C54"/>
      <c r="D54"/>
      <c r="E54"/>
      <c r="F54"/>
      <c r="G54"/>
      <c r="H54"/>
      <c r="I54"/>
      <c r="J54"/>
      <c r="K54"/>
      <c r="L54"/>
    </row>
    <row r="55" spans="1:12" x14ac:dyDescent="0.25">
      <c r="A55"/>
      <c r="B55"/>
      <c r="C55"/>
      <c r="D55"/>
      <c r="E55"/>
      <c r="F55"/>
      <c r="G55"/>
      <c r="H55"/>
      <c r="I55"/>
      <c r="J55"/>
      <c r="K55"/>
      <c r="L55"/>
    </row>
    <row r="56" spans="1:12" x14ac:dyDescent="0.25">
      <c r="A56"/>
      <c r="B56"/>
      <c r="C56"/>
      <c r="D56"/>
      <c r="E56"/>
      <c r="F56"/>
      <c r="G56"/>
      <c r="H56"/>
      <c r="I56"/>
      <c r="J56"/>
      <c r="K56"/>
      <c r="L56"/>
    </row>
    <row r="57" spans="1:12" x14ac:dyDescent="0.25">
      <c r="A57"/>
      <c r="B57"/>
      <c r="C57"/>
      <c r="D57"/>
      <c r="E57"/>
      <c r="F57"/>
      <c r="G57"/>
      <c r="H57"/>
      <c r="I57"/>
      <c r="J57"/>
      <c r="K57"/>
    </row>
    <row r="58" spans="1:12" x14ac:dyDescent="0.25">
      <c r="A58"/>
      <c r="B58"/>
      <c r="C58"/>
      <c r="D58"/>
      <c r="E58"/>
      <c r="F58"/>
      <c r="G58"/>
      <c r="H58"/>
      <c r="I58"/>
      <c r="J58"/>
      <c r="K58"/>
    </row>
    <row r="59" spans="1:12" x14ac:dyDescent="0.25">
      <c r="A59"/>
      <c r="B59"/>
      <c r="C59"/>
      <c r="D59"/>
      <c r="E59"/>
      <c r="F59"/>
      <c r="G59"/>
      <c r="H59"/>
      <c r="I59"/>
      <c r="J59"/>
      <c r="K59"/>
    </row>
    <row r="60" spans="1:12" x14ac:dyDescent="0.25">
      <c r="A60"/>
      <c r="B60"/>
      <c r="C60"/>
      <c r="D60"/>
      <c r="E60"/>
      <c r="F60"/>
      <c r="G60"/>
      <c r="H60"/>
      <c r="I60"/>
      <c r="J60"/>
      <c r="K60"/>
    </row>
    <row r="61" spans="1:12" x14ac:dyDescent="0.25">
      <c r="A61"/>
      <c r="B61"/>
      <c r="C61"/>
      <c r="D61"/>
      <c r="E61"/>
      <c r="F61"/>
      <c r="G61"/>
      <c r="H61"/>
      <c r="I61"/>
      <c r="J61"/>
      <c r="K61"/>
    </row>
    <row r="62" spans="1:12" x14ac:dyDescent="0.25">
      <c r="A62"/>
      <c r="B62"/>
      <c r="C62"/>
      <c r="D62"/>
      <c r="E62"/>
      <c r="F62"/>
      <c r="G62"/>
      <c r="H62"/>
      <c r="I62"/>
      <c r="J62"/>
      <c r="K62"/>
    </row>
    <row r="63" spans="1:12" x14ac:dyDescent="0.25">
      <c r="A63"/>
      <c r="B63"/>
      <c r="C63"/>
      <c r="D63"/>
      <c r="E63"/>
      <c r="F63"/>
      <c r="G63"/>
      <c r="H63"/>
      <c r="I63"/>
      <c r="J63"/>
      <c r="K63"/>
    </row>
    <row r="64" spans="1:12" x14ac:dyDescent="0.25">
      <c r="A64"/>
      <c r="B64"/>
      <c r="C64"/>
      <c r="D64"/>
      <c r="E64"/>
      <c r="F64"/>
      <c r="G64"/>
      <c r="H64"/>
      <c r="I64"/>
      <c r="J64"/>
      <c r="K64"/>
    </row>
    <row r="65" spans="1:11" x14ac:dyDescent="0.25">
      <c r="A65"/>
      <c r="B65"/>
      <c r="C65"/>
      <c r="D65"/>
      <c r="E65"/>
      <c r="F65"/>
      <c r="G65"/>
      <c r="H65"/>
      <c r="I65"/>
      <c r="J65"/>
      <c r="K65"/>
    </row>
    <row r="66" spans="1:11" x14ac:dyDescent="0.25">
      <c r="A66"/>
      <c r="B66"/>
      <c r="C66"/>
      <c r="D66"/>
      <c r="E66"/>
      <c r="F66"/>
      <c r="G66"/>
      <c r="H66"/>
      <c r="I66"/>
      <c r="J66"/>
      <c r="K66"/>
    </row>
    <row r="67" spans="1:11" x14ac:dyDescent="0.25">
      <c r="A67"/>
      <c r="B67"/>
      <c r="C67"/>
      <c r="D67"/>
      <c r="E67"/>
      <c r="F67"/>
      <c r="G67"/>
      <c r="H67"/>
      <c r="I67"/>
      <c r="J67"/>
      <c r="K67"/>
    </row>
    <row r="68" spans="1:11" x14ac:dyDescent="0.25">
      <c r="A68"/>
      <c r="B68"/>
      <c r="C68"/>
      <c r="D68"/>
      <c r="E68"/>
      <c r="F68"/>
      <c r="G68"/>
      <c r="H68"/>
      <c r="I68"/>
      <c r="J68"/>
      <c r="K68"/>
    </row>
    <row r="69" spans="1:11" x14ac:dyDescent="0.25">
      <c r="A69"/>
      <c r="B69"/>
      <c r="C69"/>
      <c r="D69"/>
      <c r="E69"/>
      <c r="F69"/>
      <c r="G69"/>
      <c r="H69"/>
      <c r="I69"/>
      <c r="J69"/>
      <c r="K69"/>
    </row>
    <row r="70" spans="1:11" x14ac:dyDescent="0.25">
      <c r="A70"/>
      <c r="B70"/>
      <c r="C70"/>
      <c r="D70"/>
      <c r="E70"/>
      <c r="F70"/>
      <c r="G70"/>
      <c r="H70"/>
      <c r="I70"/>
      <c r="J70"/>
      <c r="K70"/>
    </row>
    <row r="71" spans="1:11" x14ac:dyDescent="0.25">
      <c r="A71"/>
      <c r="B71"/>
      <c r="C71"/>
      <c r="D71"/>
      <c r="E71"/>
      <c r="F71"/>
      <c r="G71"/>
      <c r="H71"/>
      <c r="I71"/>
      <c r="J71"/>
      <c r="K71"/>
    </row>
    <row r="72" spans="1:11" x14ac:dyDescent="0.25">
      <c r="A72"/>
      <c r="B72"/>
      <c r="C72"/>
      <c r="D72"/>
      <c r="E72"/>
      <c r="F72"/>
      <c r="G72"/>
      <c r="H72"/>
      <c r="I72"/>
      <c r="J72"/>
      <c r="K72"/>
    </row>
    <row r="73" spans="1:11" x14ac:dyDescent="0.25">
      <c r="A73"/>
      <c r="B73"/>
      <c r="C73"/>
      <c r="D73"/>
      <c r="E73"/>
      <c r="F73"/>
      <c r="G73"/>
      <c r="H73"/>
      <c r="I73"/>
      <c r="J73"/>
      <c r="K73"/>
    </row>
    <row r="74" spans="1:11" x14ac:dyDescent="0.25">
      <c r="A74"/>
      <c r="B74"/>
      <c r="C74"/>
      <c r="D74"/>
      <c r="E74"/>
      <c r="F74"/>
      <c r="G74"/>
      <c r="H74"/>
      <c r="I74"/>
      <c r="J74"/>
      <c r="K74"/>
    </row>
    <row r="75" spans="1:11" x14ac:dyDescent="0.25">
      <c r="A75"/>
      <c r="B75"/>
      <c r="C75"/>
      <c r="D75"/>
      <c r="E75"/>
      <c r="F75"/>
      <c r="G75"/>
      <c r="H75"/>
      <c r="I75"/>
      <c r="J75"/>
      <c r="K75"/>
    </row>
    <row r="76" spans="1:11" x14ac:dyDescent="0.25">
      <c r="A76"/>
      <c r="B76"/>
      <c r="C76"/>
      <c r="D76"/>
      <c r="E76"/>
      <c r="F76"/>
      <c r="G76"/>
      <c r="H76"/>
      <c r="I76"/>
      <c r="J76"/>
      <c r="K76"/>
    </row>
    <row r="77" spans="1:11" x14ac:dyDescent="0.25">
      <c r="A77"/>
      <c r="B77"/>
      <c r="C77"/>
      <c r="D77"/>
      <c r="E77"/>
      <c r="F77"/>
      <c r="G77"/>
      <c r="H77"/>
      <c r="I77"/>
      <c r="J77"/>
      <c r="K77"/>
    </row>
    <row r="78" spans="1:11" x14ac:dyDescent="0.25">
      <c r="A78"/>
      <c r="B78"/>
      <c r="C78"/>
      <c r="D78"/>
      <c r="E78"/>
      <c r="F78"/>
      <c r="G78"/>
      <c r="H78"/>
      <c r="I78"/>
      <c r="J78"/>
      <c r="K78"/>
    </row>
    <row r="79" spans="1:11" x14ac:dyDescent="0.25">
      <c r="A79"/>
      <c r="B79"/>
      <c r="C79"/>
      <c r="D79"/>
      <c r="E79"/>
      <c r="F79"/>
      <c r="G79"/>
      <c r="H79"/>
      <c r="I79"/>
      <c r="J79"/>
      <c r="K79"/>
    </row>
    <row r="80" spans="1:11" x14ac:dyDescent="0.25">
      <c r="A80"/>
      <c r="B80"/>
      <c r="C80"/>
      <c r="D80"/>
      <c r="E80"/>
      <c r="F80"/>
      <c r="G80"/>
      <c r="H80"/>
      <c r="I80"/>
      <c r="J80"/>
      <c r="K80"/>
    </row>
    <row r="81" spans="1:11" x14ac:dyDescent="0.25">
      <c r="A81"/>
      <c r="B81"/>
      <c r="C81"/>
      <c r="D81"/>
      <c r="E81"/>
      <c r="F81"/>
      <c r="G81"/>
      <c r="H81"/>
      <c r="I81"/>
      <c r="J81"/>
      <c r="K81"/>
    </row>
    <row r="82" spans="1:11" x14ac:dyDescent="0.25">
      <c r="A82"/>
      <c r="B82"/>
      <c r="C82"/>
      <c r="D82"/>
      <c r="E82"/>
      <c r="F82"/>
      <c r="G82"/>
      <c r="H82"/>
      <c r="I82"/>
      <c r="J82"/>
      <c r="K82"/>
    </row>
    <row r="83" spans="1:11" x14ac:dyDescent="0.25">
      <c r="A83"/>
      <c r="B83"/>
      <c r="C83"/>
      <c r="D83"/>
      <c r="E83"/>
      <c r="F83"/>
      <c r="G83"/>
      <c r="H83"/>
      <c r="I83"/>
      <c r="J83"/>
      <c r="K83"/>
    </row>
    <row r="84" spans="1:11" x14ac:dyDescent="0.25">
      <c r="A84"/>
      <c r="B84"/>
      <c r="C84"/>
      <c r="D84"/>
      <c r="E84"/>
      <c r="F84"/>
      <c r="G84"/>
      <c r="H84"/>
      <c r="I84"/>
      <c r="J84"/>
      <c r="K84"/>
    </row>
    <row r="85" spans="1:11" x14ac:dyDescent="0.25">
      <c r="A85"/>
      <c r="B85"/>
      <c r="C85"/>
      <c r="D85"/>
      <c r="E85"/>
      <c r="F85"/>
      <c r="G85"/>
      <c r="H85"/>
      <c r="I85"/>
      <c r="J85"/>
      <c r="K85"/>
    </row>
    <row r="86" spans="1:11" x14ac:dyDescent="0.25">
      <c r="A86"/>
      <c r="B86"/>
      <c r="C86"/>
      <c r="D86"/>
      <c r="E86"/>
      <c r="F86"/>
      <c r="G86"/>
      <c r="H86"/>
      <c r="I86"/>
      <c r="J86"/>
      <c r="K86"/>
    </row>
    <row r="87" spans="1:11" x14ac:dyDescent="0.25">
      <c r="A87"/>
      <c r="B87"/>
      <c r="C87"/>
      <c r="D87"/>
      <c r="E87"/>
      <c r="F87"/>
      <c r="G87"/>
      <c r="H87"/>
      <c r="I87"/>
      <c r="J87"/>
      <c r="K87"/>
    </row>
    <row r="88" spans="1:11" x14ac:dyDescent="0.25">
      <c r="A88"/>
      <c r="B88"/>
      <c r="C88"/>
      <c r="D88"/>
      <c r="E88"/>
      <c r="F88"/>
      <c r="G88"/>
      <c r="H88"/>
      <c r="I88"/>
      <c r="J88"/>
      <c r="K88"/>
    </row>
    <row r="89" spans="1:11" x14ac:dyDescent="0.25">
      <c r="A89"/>
      <c r="B89"/>
      <c r="C89"/>
      <c r="D89"/>
      <c r="E89"/>
      <c r="F89"/>
      <c r="G89"/>
      <c r="H89"/>
      <c r="I89"/>
      <c r="J89"/>
      <c r="K89"/>
    </row>
    <row r="90" spans="1:11" x14ac:dyDescent="0.25">
      <c r="A90"/>
      <c r="B90"/>
      <c r="C90"/>
      <c r="D90"/>
      <c r="E90"/>
      <c r="F90"/>
      <c r="G90"/>
      <c r="H90"/>
      <c r="I90"/>
      <c r="J90"/>
      <c r="K90"/>
    </row>
    <row r="91" spans="1:11" x14ac:dyDescent="0.25">
      <c r="A91"/>
      <c r="B91"/>
      <c r="C91"/>
      <c r="D91"/>
      <c r="E91"/>
      <c r="F91"/>
      <c r="G91"/>
      <c r="H91"/>
      <c r="I91"/>
      <c r="J91"/>
      <c r="K91"/>
    </row>
    <row r="92" spans="1:11" x14ac:dyDescent="0.25">
      <c r="A92"/>
      <c r="B92"/>
      <c r="C92"/>
      <c r="D92"/>
      <c r="E92"/>
      <c r="F92"/>
      <c r="G92"/>
      <c r="H92"/>
      <c r="I92"/>
      <c r="J92"/>
      <c r="K92"/>
    </row>
    <row r="93" spans="1:11" x14ac:dyDescent="0.25">
      <c r="A93"/>
      <c r="B93"/>
      <c r="C93"/>
      <c r="D93"/>
      <c r="E93"/>
      <c r="F93"/>
      <c r="G93"/>
      <c r="H93"/>
      <c r="I93"/>
      <c r="J93"/>
      <c r="K93"/>
    </row>
    <row r="94" spans="1:11" x14ac:dyDescent="0.25">
      <c r="A94"/>
      <c r="B94"/>
      <c r="C94"/>
      <c r="D94"/>
      <c r="E94"/>
      <c r="F94"/>
      <c r="G94"/>
      <c r="H94"/>
      <c r="I94"/>
      <c r="J94"/>
      <c r="K94"/>
    </row>
    <row r="95" spans="1:11" x14ac:dyDescent="0.25">
      <c r="A95"/>
      <c r="B95"/>
      <c r="C95"/>
      <c r="D95"/>
      <c r="E95"/>
      <c r="F95"/>
      <c r="G95"/>
      <c r="H95"/>
      <c r="I95"/>
      <c r="J95"/>
      <c r="K95"/>
    </row>
    <row r="96" spans="1:11" x14ac:dyDescent="0.25">
      <c r="A96"/>
      <c r="B96"/>
      <c r="C96"/>
      <c r="D96"/>
      <c r="E96"/>
      <c r="F96"/>
      <c r="G96"/>
      <c r="H96"/>
      <c r="I96"/>
      <c r="J96"/>
      <c r="K96"/>
    </row>
    <row r="97" spans="1:11" x14ac:dyDescent="0.25">
      <c r="A97"/>
      <c r="B97"/>
      <c r="C97"/>
      <c r="D97"/>
      <c r="E97"/>
      <c r="F97"/>
      <c r="G97"/>
      <c r="H97"/>
      <c r="I97"/>
      <c r="J97"/>
      <c r="K97"/>
    </row>
    <row r="98" spans="1:11" x14ac:dyDescent="0.25">
      <c r="A98"/>
      <c r="B98"/>
      <c r="C98"/>
      <c r="D98"/>
      <c r="E98"/>
      <c r="F98"/>
      <c r="G98"/>
      <c r="H98"/>
      <c r="I98"/>
      <c r="J98"/>
      <c r="K98"/>
    </row>
    <row r="99" spans="1:11" x14ac:dyDescent="0.25">
      <c r="A99"/>
      <c r="B99"/>
      <c r="C99"/>
      <c r="D99"/>
      <c r="E99"/>
      <c r="F99"/>
      <c r="G99"/>
      <c r="H99"/>
      <c r="I99"/>
      <c r="J99"/>
      <c r="K99"/>
    </row>
    <row r="100" spans="1:11" x14ac:dyDescent="0.25">
      <c r="A100"/>
      <c r="B100"/>
      <c r="C100"/>
      <c r="D100"/>
      <c r="E100"/>
      <c r="F100"/>
      <c r="G100"/>
      <c r="H100"/>
      <c r="I100"/>
      <c r="J100"/>
      <c r="K100"/>
    </row>
    <row r="101" spans="1:11" x14ac:dyDescent="0.25">
      <c r="A101"/>
      <c r="B101"/>
      <c r="C101"/>
      <c r="D101"/>
      <c r="E101"/>
      <c r="F101"/>
      <c r="G101"/>
      <c r="H101"/>
      <c r="I101"/>
      <c r="J101"/>
      <c r="K101"/>
    </row>
    <row r="102" spans="1:11" x14ac:dyDescent="0.25">
      <c r="A102"/>
      <c r="B102"/>
      <c r="C102"/>
      <c r="D102"/>
      <c r="E102"/>
      <c r="F102"/>
      <c r="G102"/>
      <c r="H102"/>
      <c r="I102"/>
      <c r="J102"/>
      <c r="K102"/>
    </row>
  </sheetData>
  <mergeCells count="1">
    <mergeCell ref="A4:B4"/>
  </mergeCell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9"/>
  <sheetViews>
    <sheetView showGridLines="0" workbookViewId="0">
      <selection activeCell="H13" sqref="H13"/>
    </sheetView>
  </sheetViews>
  <sheetFormatPr defaultColWidth="9.140625" defaultRowHeight="14.25" x14ac:dyDescent="0.25"/>
  <cols>
    <col min="1" max="4" width="25.7109375" style="38" customWidth="1"/>
    <col min="5" max="5" width="28.7109375" style="39" customWidth="1"/>
    <col min="6" max="6" width="8.7109375" style="38" customWidth="1"/>
    <col min="7" max="7" width="25.7109375" style="41" customWidth="1"/>
    <col min="8" max="8" width="20.5703125" style="38" customWidth="1"/>
    <col min="9" max="9" width="20.7109375" style="41" customWidth="1"/>
    <col min="10" max="10" width="16.5703125" style="41" bestFit="1" customWidth="1"/>
    <col min="11" max="11" width="14.85546875" style="38" customWidth="1"/>
    <col min="12" max="12" width="8.42578125" style="38" bestFit="1" customWidth="1"/>
    <col min="13" max="13" width="20.5703125" style="38" customWidth="1"/>
    <col min="14" max="16384" width="9.140625" style="38"/>
  </cols>
  <sheetData>
    <row r="1" spans="1:13" s="23" customFormat="1" ht="25.5" customHeight="1" x14ac:dyDescent="0.45">
      <c r="A1" s="25" t="s">
        <v>48</v>
      </c>
      <c r="E1" s="30"/>
      <c r="G1" s="40"/>
      <c r="I1" s="40"/>
      <c r="J1" s="40"/>
    </row>
    <row r="2" spans="1:13" ht="25.5" customHeight="1" x14ac:dyDescent="0.45">
      <c r="A2" s="50" t="str">
        <f>Data!B1</f>
        <v>ABC Company</v>
      </c>
      <c r="B2" s="10"/>
    </row>
    <row r="3" spans="1:13" ht="17.45" customHeight="1" x14ac:dyDescent="0.25">
      <c r="A3" s="11"/>
      <c r="B3" s="11"/>
    </row>
    <row r="4" spans="1:13" ht="17.45" customHeight="1" x14ac:dyDescent="0.3">
      <c r="A4" s="77" t="s">
        <v>55</v>
      </c>
      <c r="B4" s="77"/>
      <c r="C4" s="14"/>
      <c r="D4" s="14"/>
    </row>
    <row r="5" spans="1:13" ht="17.45" customHeight="1" x14ac:dyDescent="0.3">
      <c r="A5" s="57" t="s">
        <v>50</v>
      </c>
      <c r="B5" s="58">
        <f>Data!B3</f>
        <v>43040</v>
      </c>
      <c r="C5" s="14"/>
      <c r="D5" s="14"/>
    </row>
    <row r="6" spans="1:13" ht="17.45" customHeight="1" x14ac:dyDescent="0.3">
      <c r="A6" s="57" t="s">
        <v>51</v>
      </c>
      <c r="B6" s="58">
        <f>Data!B4</f>
        <v>43069.999988425901</v>
      </c>
      <c r="C6" s="14"/>
      <c r="D6" s="14"/>
    </row>
    <row r="7" spans="1:13" ht="17.45" customHeight="1" x14ac:dyDescent="0.3">
      <c r="A7" s="57" t="s">
        <v>310</v>
      </c>
      <c r="B7" s="59">
        <f>B6-B5</f>
        <v>29.999988425901392</v>
      </c>
      <c r="C7" s="14"/>
      <c r="D7" s="14"/>
    </row>
    <row r="8" spans="1:13" ht="17.45" customHeight="1" x14ac:dyDescent="0.3">
      <c r="A8" s="36"/>
      <c r="B8" s="37"/>
      <c r="C8" s="14"/>
      <c r="D8" s="14"/>
    </row>
    <row r="9" spans="1:13" ht="17.45" customHeight="1" x14ac:dyDescent="0.3">
      <c r="A9" s="65" t="s">
        <v>52</v>
      </c>
      <c r="B9" s="57" t="str">
        <f>PROPER(Data!B5)</f>
        <v>Miles</v>
      </c>
      <c r="C9" s="13"/>
      <c r="D9" s="13"/>
    </row>
    <row r="10" spans="1:13" ht="17.45" hidden="1" customHeight="1" x14ac:dyDescent="0.3">
      <c r="A10" s="67" t="s">
        <v>306</v>
      </c>
      <c r="B10" s="68" t="s">
        <v>307</v>
      </c>
    </row>
    <row r="11" spans="1:13" ht="17.45" customHeight="1" x14ac:dyDescent="0.25"/>
    <row r="12" spans="1:13" s="64" customFormat="1" ht="18" customHeight="1" x14ac:dyDescent="0.3">
      <c r="A12" s="67" t="s">
        <v>39</v>
      </c>
      <c r="B12" s="67" t="s">
        <v>134</v>
      </c>
      <c r="C12" s="67" t="s">
        <v>139</v>
      </c>
      <c r="D12" s="67" t="s">
        <v>311</v>
      </c>
      <c r="E12" s="67" t="s">
        <v>55</v>
      </c>
      <c r="F12" s="67" t="s">
        <v>40</v>
      </c>
      <c r="G12" s="67" t="s">
        <v>312</v>
      </c>
      <c r="H12" s="67" t="s">
        <v>321</v>
      </c>
      <c r="I12" s="73" t="s">
        <v>316</v>
      </c>
      <c r="J12" s="73" t="s">
        <v>317</v>
      </c>
      <c r="K12"/>
      <c r="L12"/>
      <c r="M12"/>
    </row>
    <row r="13" spans="1:13" ht="16.5" x14ac:dyDescent="0.3">
      <c r="A13" s="68" t="s">
        <v>302</v>
      </c>
      <c r="B13" s="68" t="s">
        <v>291</v>
      </c>
      <c r="C13" s="68" t="s">
        <v>292</v>
      </c>
      <c r="D13" s="68" t="s">
        <v>298</v>
      </c>
      <c r="E13" s="69">
        <v>43044.837280092594</v>
      </c>
      <c r="F13" s="68" t="s">
        <v>11</v>
      </c>
      <c r="G13" s="70">
        <v>0</v>
      </c>
      <c r="H13" s="68" t="s">
        <v>290</v>
      </c>
      <c r="I13" s="71">
        <v>4.0093283653259304</v>
      </c>
      <c r="J13" s="72">
        <v>8.4722222222222213E-3</v>
      </c>
      <c r="K13"/>
      <c r="L13"/>
      <c r="M13"/>
    </row>
    <row r="14" spans="1:13" ht="16.5" x14ac:dyDescent="0.3">
      <c r="A14" s="68"/>
      <c r="B14" s="68"/>
      <c r="C14" s="68"/>
      <c r="D14" s="68"/>
      <c r="E14" s="69">
        <v>43044.845752314817</v>
      </c>
      <c r="F14" s="68" t="s">
        <v>9</v>
      </c>
      <c r="G14" s="70">
        <v>0</v>
      </c>
      <c r="H14" s="68" t="s">
        <v>290</v>
      </c>
      <c r="I14" s="71">
        <v>0</v>
      </c>
      <c r="J14" s="72">
        <v>0.6653472222222222</v>
      </c>
      <c r="K14"/>
      <c r="L14"/>
      <c r="M14"/>
    </row>
    <row r="15" spans="1:13" ht="16.5" x14ac:dyDescent="0.3">
      <c r="A15" s="68"/>
      <c r="B15" s="68"/>
      <c r="C15" s="68"/>
      <c r="D15" s="68"/>
      <c r="E15" s="69">
        <v>43045.511099537034</v>
      </c>
      <c r="F15" s="68" t="s">
        <v>11</v>
      </c>
      <c r="G15" s="70">
        <v>0</v>
      </c>
      <c r="H15" s="68" t="s">
        <v>290</v>
      </c>
      <c r="I15" s="71">
        <v>0</v>
      </c>
      <c r="J15" s="72">
        <v>3.2407407407407406E-4</v>
      </c>
      <c r="K15"/>
      <c r="L15"/>
      <c r="M15"/>
    </row>
    <row r="16" spans="1:13" ht="16.5" x14ac:dyDescent="0.3">
      <c r="A16" s="68"/>
      <c r="B16" s="68"/>
      <c r="C16" s="68"/>
      <c r="D16" s="68"/>
      <c r="E16" s="69">
        <v>43045.511423611111</v>
      </c>
      <c r="F16" s="68" t="s">
        <v>10</v>
      </c>
      <c r="G16" s="70">
        <v>0</v>
      </c>
      <c r="H16" s="68" t="s">
        <v>290</v>
      </c>
      <c r="I16" s="71">
        <v>0</v>
      </c>
      <c r="J16" s="72">
        <v>0.41414351851851849</v>
      </c>
      <c r="K16"/>
      <c r="L16"/>
      <c r="M16"/>
    </row>
    <row r="17" spans="1:13" ht="16.5" x14ac:dyDescent="0.3">
      <c r="A17" s="68"/>
      <c r="B17" s="68"/>
      <c r="C17" s="68"/>
      <c r="D17" s="68"/>
      <c r="E17" s="69">
        <v>43045.925567129627</v>
      </c>
      <c r="F17" s="68" t="s">
        <v>11</v>
      </c>
      <c r="G17" s="70">
        <v>0</v>
      </c>
      <c r="H17" s="68" t="s">
        <v>290</v>
      </c>
      <c r="I17" s="71">
        <v>3.9767758846282999</v>
      </c>
      <c r="J17" s="72">
        <v>9.1203703703703707E-3</v>
      </c>
      <c r="K17"/>
      <c r="L17"/>
      <c r="M17"/>
    </row>
    <row r="18" spans="1:13" ht="16.5" x14ac:dyDescent="0.3">
      <c r="A18" s="68"/>
      <c r="B18" s="68"/>
      <c r="C18" s="68"/>
      <c r="D18" s="68"/>
      <c r="E18" s="69">
        <v>43045.934687499997</v>
      </c>
      <c r="F18" s="68" t="s">
        <v>9</v>
      </c>
      <c r="G18" s="70">
        <v>0</v>
      </c>
      <c r="H18" s="68" t="s">
        <v>290</v>
      </c>
      <c r="I18" s="71">
        <v>3.5811413079500198E-2</v>
      </c>
      <c r="J18" s="72">
        <v>0.95743055555555545</v>
      </c>
      <c r="K18"/>
      <c r="L18"/>
      <c r="M18"/>
    </row>
    <row r="19" spans="1:13" ht="16.5" x14ac:dyDescent="0.3">
      <c r="A19" s="68"/>
      <c r="B19" s="68"/>
      <c r="C19" s="68"/>
      <c r="D19" s="68"/>
      <c r="E19" s="69">
        <v>43046.892118055555</v>
      </c>
      <c r="F19" s="68" t="s">
        <v>11</v>
      </c>
      <c r="G19" s="70">
        <v>0</v>
      </c>
      <c r="H19" s="68" t="s">
        <v>290</v>
      </c>
      <c r="I19" s="71">
        <v>11.9566535949707</v>
      </c>
      <c r="J19" s="72">
        <v>1.1747685185185186E-2</v>
      </c>
      <c r="K19"/>
      <c r="L19"/>
      <c r="M19"/>
    </row>
    <row r="20" spans="1:13" ht="16.5" x14ac:dyDescent="0.3">
      <c r="A20" s="68"/>
      <c r="B20" s="68"/>
      <c r="C20" s="68"/>
      <c r="D20" s="68"/>
      <c r="E20" s="69">
        <v>43046.903865740744</v>
      </c>
      <c r="F20" s="68" t="s">
        <v>9</v>
      </c>
      <c r="G20" s="70">
        <v>0</v>
      </c>
      <c r="H20" s="68" t="s">
        <v>290</v>
      </c>
      <c r="I20" s="71">
        <v>3.2644506543874699E-2</v>
      </c>
      <c r="J20" s="72">
        <v>0.15615740740740741</v>
      </c>
      <c r="K20"/>
      <c r="L20"/>
      <c r="M20"/>
    </row>
    <row r="21" spans="1:13" ht="16.5" x14ac:dyDescent="0.3">
      <c r="A21" s="68"/>
      <c r="B21" s="68"/>
      <c r="C21" s="68"/>
      <c r="D21" s="68"/>
      <c r="E21" s="69">
        <v>43047.072453703702</v>
      </c>
      <c r="F21" s="68" t="s">
        <v>9</v>
      </c>
      <c r="G21" s="70">
        <v>0</v>
      </c>
      <c r="H21" s="68" t="s">
        <v>290</v>
      </c>
      <c r="I21" s="71">
        <v>0</v>
      </c>
      <c r="J21" s="72">
        <v>6.2697453703703703</v>
      </c>
      <c r="K21"/>
      <c r="L21"/>
      <c r="M21"/>
    </row>
    <row r="22" spans="1:13" ht="16.5" x14ac:dyDescent="0.3">
      <c r="A22" s="68"/>
      <c r="B22" s="68"/>
      <c r="C22" s="68"/>
      <c r="D22" s="68"/>
      <c r="E22" s="69">
        <v>43053.342199074075</v>
      </c>
      <c r="F22" s="68" t="s">
        <v>10</v>
      </c>
      <c r="G22" s="70">
        <v>0</v>
      </c>
      <c r="H22" s="68" t="s">
        <v>290</v>
      </c>
      <c r="I22" s="71">
        <v>0</v>
      </c>
      <c r="J22" s="72">
        <v>16.657789351851854</v>
      </c>
      <c r="K22"/>
      <c r="L22"/>
      <c r="M22"/>
    </row>
    <row r="23" spans="1:13" ht="16.5" x14ac:dyDescent="0.3">
      <c r="A23" s="68" t="s">
        <v>304</v>
      </c>
      <c r="B23" s="68"/>
      <c r="C23" s="68"/>
      <c r="D23" s="68"/>
      <c r="E23" s="68"/>
      <c r="F23" s="68"/>
      <c r="G23" s="68"/>
      <c r="H23" s="68"/>
      <c r="I23" s="71">
        <v>20.011213764548305</v>
      </c>
      <c r="J23" s="72">
        <v>25.150277777777781</v>
      </c>
      <c r="K23"/>
      <c r="L23"/>
      <c r="M23"/>
    </row>
    <row r="24" spans="1:13" ht="16.5" x14ac:dyDescent="0.3">
      <c r="A24" s="68" t="s">
        <v>303</v>
      </c>
      <c r="B24" s="68" t="s">
        <v>291</v>
      </c>
      <c r="C24" s="68" t="s">
        <v>292</v>
      </c>
      <c r="D24" s="68" t="s">
        <v>298</v>
      </c>
      <c r="E24" s="69">
        <v>43053.342280092591</v>
      </c>
      <c r="F24" s="68" t="s">
        <v>9</v>
      </c>
      <c r="G24" s="70">
        <v>0</v>
      </c>
      <c r="H24" s="68" t="s">
        <v>290</v>
      </c>
      <c r="I24" s="71">
        <v>0</v>
      </c>
      <c r="J24" s="72">
        <v>2.199074074074074E-4</v>
      </c>
      <c r="K24"/>
      <c r="L24"/>
      <c r="M24"/>
    </row>
    <row r="25" spans="1:13" ht="16.5" x14ac:dyDescent="0.3">
      <c r="A25" s="68"/>
      <c r="B25" s="68"/>
      <c r="C25" s="68"/>
      <c r="D25" s="68"/>
      <c r="E25" s="69">
        <v>43053.342499999999</v>
      </c>
      <c r="F25" s="68" t="s">
        <v>10</v>
      </c>
      <c r="G25" s="70">
        <v>0</v>
      </c>
      <c r="H25" s="68" t="s">
        <v>290</v>
      </c>
      <c r="I25" s="71">
        <v>0</v>
      </c>
      <c r="J25" s="72">
        <v>16.267696759259259</v>
      </c>
      <c r="K25"/>
      <c r="L25"/>
      <c r="M25"/>
    </row>
    <row r="26" spans="1:13" ht="16.5" x14ac:dyDescent="0.3">
      <c r="A26" s="68"/>
      <c r="B26" s="68"/>
      <c r="C26" s="68"/>
      <c r="D26" s="68"/>
      <c r="E26" s="69">
        <v>43069.610196759262</v>
      </c>
      <c r="F26" s="68" t="s">
        <v>11</v>
      </c>
      <c r="G26" s="70">
        <v>0</v>
      </c>
      <c r="H26" s="68" t="s">
        <v>290</v>
      </c>
      <c r="I26" s="71">
        <v>7.9467396736145002</v>
      </c>
      <c r="J26" s="72">
        <v>1.1006944444444444E-2</v>
      </c>
      <c r="K26"/>
      <c r="L26"/>
      <c r="M26"/>
    </row>
    <row r="27" spans="1:13" ht="16.5" x14ac:dyDescent="0.3">
      <c r="A27" s="68"/>
      <c r="B27" s="68"/>
      <c r="C27" s="68"/>
      <c r="D27" s="68"/>
      <c r="E27" s="69">
        <v>43069.621203703704</v>
      </c>
      <c r="F27" s="68" t="s">
        <v>9</v>
      </c>
      <c r="G27" s="70">
        <v>0</v>
      </c>
      <c r="H27" s="68" t="s">
        <v>290</v>
      </c>
      <c r="I27" s="71">
        <v>8.0242054536938702E-3</v>
      </c>
      <c r="J27" s="72">
        <v>5.8888888888888886E-2</v>
      </c>
      <c r="K27"/>
      <c r="L27"/>
      <c r="M27"/>
    </row>
    <row r="28" spans="1:13" ht="16.5" x14ac:dyDescent="0.3">
      <c r="A28" s="68"/>
      <c r="B28" s="68"/>
      <c r="C28" s="68"/>
      <c r="D28" s="68"/>
      <c r="E28" s="69">
        <v>43069.680092592593</v>
      </c>
      <c r="F28" s="68" t="s">
        <v>11</v>
      </c>
      <c r="G28" s="70">
        <v>0</v>
      </c>
      <c r="H28" s="68" t="s">
        <v>290</v>
      </c>
      <c r="I28" s="71">
        <v>4.0308885574340803</v>
      </c>
      <c r="J28" s="72">
        <v>5.5555555555555558E-3</v>
      </c>
      <c r="K28"/>
      <c r="L28"/>
      <c r="M28"/>
    </row>
    <row r="29" spans="1:13" ht="16.5" x14ac:dyDescent="0.3">
      <c r="A29" s="68"/>
      <c r="B29" s="68"/>
      <c r="C29" s="68"/>
      <c r="D29" s="68"/>
      <c r="E29" s="69">
        <v>43069.778854166667</v>
      </c>
      <c r="F29" s="68" t="s">
        <v>9</v>
      </c>
      <c r="G29" s="70">
        <v>0</v>
      </c>
      <c r="H29" s="68" t="s">
        <v>290</v>
      </c>
      <c r="I29" s="71">
        <v>0</v>
      </c>
      <c r="J29" s="72">
        <v>0.22113425925925925</v>
      </c>
      <c r="K29"/>
      <c r="L29"/>
      <c r="M29"/>
    </row>
    <row r="30" spans="1:13" ht="16.5" x14ac:dyDescent="0.3">
      <c r="A30" s="68" t="s">
        <v>305</v>
      </c>
      <c r="B30" s="68"/>
      <c r="C30" s="68"/>
      <c r="D30" s="68"/>
      <c r="E30" s="68"/>
      <c r="F30" s="68"/>
      <c r="G30" s="68"/>
      <c r="H30" s="68"/>
      <c r="I30" s="71">
        <v>11.985652436502274</v>
      </c>
      <c r="J30" s="72">
        <v>16.564502314814813</v>
      </c>
      <c r="K30"/>
      <c r="L30"/>
      <c r="M30"/>
    </row>
    <row r="31" spans="1:13" ht="16.5" x14ac:dyDescent="0.3">
      <c r="A31" s="68" t="s">
        <v>0</v>
      </c>
      <c r="B31" s="68"/>
      <c r="C31" s="68"/>
      <c r="D31" s="68"/>
      <c r="E31" s="68"/>
      <c r="F31" s="68"/>
      <c r="G31" s="68"/>
      <c r="H31" s="68"/>
      <c r="I31" s="71">
        <v>31.99686620105058</v>
      </c>
      <c r="J31" s="72">
        <v>41.714780092592598</v>
      </c>
      <c r="K31"/>
      <c r="L31"/>
      <c r="M31"/>
    </row>
    <row r="32" spans="1:13" x14ac:dyDescent="0.25">
      <c r="A32"/>
      <c r="B32"/>
      <c r="C32"/>
      <c r="D32"/>
      <c r="E32"/>
      <c r="F32"/>
      <c r="G32"/>
      <c r="H32"/>
      <c r="I32" s="66"/>
      <c r="J32" s="66"/>
      <c r="K32"/>
      <c r="L32"/>
      <c r="M32"/>
    </row>
    <row r="33" spans="1:13" x14ac:dyDescent="0.25">
      <c r="A33"/>
      <c r="B33"/>
      <c r="C33"/>
      <c r="D33"/>
      <c r="E33"/>
      <c r="F33"/>
      <c r="G33"/>
      <c r="H33"/>
      <c r="I33" s="66"/>
      <c r="J33" s="66"/>
      <c r="K33"/>
      <c r="L33"/>
      <c r="M33"/>
    </row>
    <row r="34" spans="1:13" x14ac:dyDescent="0.25">
      <c r="A34"/>
      <c r="B34"/>
      <c r="C34"/>
      <c r="D34"/>
      <c r="E34"/>
      <c r="F34"/>
      <c r="G34"/>
      <c r="H34"/>
      <c r="I34" s="66"/>
      <c r="J34" s="66"/>
      <c r="K34"/>
      <c r="L34"/>
      <c r="M34"/>
    </row>
    <row r="35" spans="1:13" x14ac:dyDescent="0.25">
      <c r="A35"/>
      <c r="B35"/>
      <c r="C35"/>
      <c r="D35"/>
      <c r="E35"/>
      <c r="F35"/>
      <c r="G35"/>
      <c r="H35"/>
      <c r="I35" s="66"/>
      <c r="J35" s="66"/>
      <c r="K35"/>
      <c r="L35"/>
      <c r="M35"/>
    </row>
    <row r="36" spans="1:13" x14ac:dyDescent="0.25">
      <c r="A36"/>
      <c r="B36"/>
      <c r="C36"/>
      <c r="D36"/>
      <c r="E36"/>
      <c r="F36"/>
      <c r="G36"/>
      <c r="H36"/>
      <c r="I36" s="66"/>
      <c r="J36" s="66"/>
      <c r="K36"/>
      <c r="L36"/>
      <c r="M36"/>
    </row>
    <row r="37" spans="1:13" x14ac:dyDescent="0.25">
      <c r="A37"/>
      <c r="B37"/>
      <c r="C37"/>
      <c r="D37"/>
      <c r="E37"/>
      <c r="F37"/>
      <c r="G37"/>
      <c r="H37"/>
      <c r="I37" s="66"/>
      <c r="J37" s="66"/>
      <c r="K37"/>
      <c r="L37"/>
      <c r="M37"/>
    </row>
    <row r="38" spans="1:13" x14ac:dyDescent="0.25">
      <c r="A38"/>
      <c r="B38"/>
      <c r="C38"/>
      <c r="D38"/>
      <c r="E38"/>
      <c r="F38"/>
      <c r="G38"/>
      <c r="H38"/>
      <c r="I38" s="66"/>
      <c r="J38" s="66"/>
      <c r="K38"/>
      <c r="L38"/>
      <c r="M38"/>
    </row>
    <row r="39" spans="1:13" x14ac:dyDescent="0.25">
      <c r="A39"/>
      <c r="B39"/>
      <c r="C39"/>
      <c r="D39"/>
      <c r="E39"/>
      <c r="F39"/>
      <c r="G39"/>
      <c r="H39"/>
      <c r="I39" s="66"/>
      <c r="J39" s="66"/>
      <c r="K39"/>
      <c r="L39"/>
      <c r="M39"/>
    </row>
    <row r="40" spans="1:13" x14ac:dyDescent="0.25">
      <c r="A40"/>
      <c r="B40"/>
      <c r="C40"/>
      <c r="D40"/>
      <c r="E40"/>
      <c r="F40"/>
      <c r="G40"/>
      <c r="H40"/>
      <c r="I40" s="66"/>
      <c r="J40" s="66"/>
      <c r="K40"/>
      <c r="L40"/>
      <c r="M40"/>
    </row>
    <row r="41" spans="1:13" x14ac:dyDescent="0.25">
      <c r="A41"/>
      <c r="B41"/>
      <c r="C41"/>
      <c r="D41"/>
      <c r="E41"/>
      <c r="F41"/>
      <c r="G41"/>
      <c r="H41"/>
      <c r="I41" s="66"/>
      <c r="J41" s="66"/>
      <c r="K41"/>
      <c r="L41"/>
      <c r="M41"/>
    </row>
    <row r="42" spans="1:13" x14ac:dyDescent="0.25">
      <c r="A42"/>
      <c r="B42"/>
      <c r="C42"/>
      <c r="D42"/>
      <c r="E42"/>
      <c r="F42"/>
      <c r="G42"/>
      <c r="H42"/>
      <c r="I42" s="66"/>
      <c r="J42" s="66"/>
      <c r="K42"/>
      <c r="L42"/>
      <c r="M42"/>
    </row>
    <row r="43" spans="1:13" x14ac:dyDescent="0.25">
      <c r="A43"/>
      <c r="B43"/>
      <c r="C43"/>
      <c r="D43"/>
      <c r="E43"/>
      <c r="F43"/>
      <c r="G43"/>
      <c r="H43"/>
      <c r="I43" s="66"/>
      <c r="J43" s="66"/>
      <c r="K43"/>
      <c r="L43"/>
      <c r="M43"/>
    </row>
    <row r="44" spans="1:13" x14ac:dyDescent="0.25">
      <c r="A44"/>
      <c r="B44"/>
      <c r="C44"/>
      <c r="D44"/>
      <c r="E44"/>
      <c r="F44"/>
      <c r="G44"/>
      <c r="H44"/>
      <c r="I44" s="66"/>
      <c r="J44" s="66"/>
      <c r="K44"/>
      <c r="L44"/>
      <c r="M44"/>
    </row>
    <row r="45" spans="1:13" x14ac:dyDescent="0.25">
      <c r="A45"/>
      <c r="B45"/>
      <c r="C45"/>
      <c r="D45"/>
      <c r="E45"/>
      <c r="F45"/>
      <c r="G45"/>
      <c r="H45"/>
      <c r="I45" s="66"/>
      <c r="J45" s="66"/>
      <c r="K45"/>
      <c r="L45"/>
      <c r="M45"/>
    </row>
    <row r="46" spans="1:13" x14ac:dyDescent="0.25">
      <c r="A46"/>
      <c r="B46"/>
      <c r="C46"/>
      <c r="D46"/>
      <c r="E46"/>
      <c r="F46"/>
      <c r="G46"/>
      <c r="H46"/>
      <c r="I46" s="66"/>
      <c r="J46" s="66"/>
      <c r="K46"/>
      <c r="L46"/>
      <c r="M46"/>
    </row>
    <row r="47" spans="1:13" x14ac:dyDescent="0.25">
      <c r="A47"/>
      <c r="B47"/>
      <c r="C47"/>
      <c r="D47"/>
      <c r="E47"/>
      <c r="F47"/>
      <c r="G47"/>
      <c r="H47"/>
      <c r="I47" s="66"/>
      <c r="J47" s="66"/>
      <c r="K47"/>
      <c r="L47"/>
      <c r="M47"/>
    </row>
    <row r="48" spans="1:13" x14ac:dyDescent="0.25">
      <c r="A48"/>
      <c r="B48"/>
      <c r="C48"/>
      <c r="D48"/>
      <c r="E48"/>
      <c r="F48"/>
      <c r="G48"/>
      <c r="H48"/>
      <c r="I48" s="66"/>
      <c r="J48" s="66"/>
      <c r="K48"/>
      <c r="L48"/>
      <c r="M48"/>
    </row>
    <row r="49" spans="1:13" x14ac:dyDescent="0.25">
      <c r="A49"/>
      <c r="B49"/>
      <c r="C49"/>
      <c r="D49"/>
      <c r="E49"/>
      <c r="F49"/>
      <c r="G49"/>
      <c r="H49"/>
      <c r="I49" s="66"/>
      <c r="J49" s="66"/>
      <c r="K49"/>
      <c r="L49"/>
      <c r="M49"/>
    </row>
    <row r="50" spans="1:13" x14ac:dyDescent="0.25">
      <c r="A50"/>
      <c r="B50"/>
      <c r="C50"/>
      <c r="D50"/>
      <c r="E50"/>
      <c r="F50"/>
      <c r="G50"/>
      <c r="H50"/>
      <c r="I50" s="66"/>
      <c r="J50" s="66"/>
      <c r="K50"/>
      <c r="L50"/>
      <c r="M50"/>
    </row>
    <row r="51" spans="1:13" x14ac:dyDescent="0.25">
      <c r="A51"/>
      <c r="B51"/>
      <c r="C51"/>
      <c r="D51"/>
      <c r="E51"/>
      <c r="F51"/>
      <c r="G51"/>
      <c r="H51"/>
      <c r="I51" s="66"/>
      <c r="J51" s="66"/>
      <c r="K51"/>
      <c r="L51"/>
      <c r="M51"/>
    </row>
    <row r="52" spans="1:13" x14ac:dyDescent="0.25">
      <c r="A52"/>
      <c r="B52"/>
      <c r="C52"/>
      <c r="D52"/>
      <c r="E52"/>
      <c r="F52"/>
      <c r="G52"/>
      <c r="H52"/>
      <c r="I52" s="66"/>
      <c r="J52" s="66"/>
      <c r="K52"/>
      <c r="L52"/>
      <c r="M52"/>
    </row>
    <row r="53" spans="1:13" x14ac:dyDescent="0.25">
      <c r="A53"/>
      <c r="B53"/>
      <c r="C53"/>
      <c r="D53"/>
      <c r="E53"/>
      <c r="F53"/>
      <c r="G53"/>
      <c r="H53"/>
      <c r="I53" s="66"/>
      <c r="J53" s="66"/>
      <c r="K53"/>
      <c r="L53"/>
      <c r="M53"/>
    </row>
    <row r="54" spans="1:13" x14ac:dyDescent="0.25">
      <c r="A54"/>
      <c r="B54"/>
      <c r="C54"/>
      <c r="D54"/>
      <c r="E54"/>
      <c r="F54"/>
      <c r="G54"/>
      <c r="H54"/>
      <c r="I54" s="66"/>
      <c r="J54" s="66"/>
      <c r="K54"/>
      <c r="L54"/>
      <c r="M54"/>
    </row>
    <row r="55" spans="1:13" x14ac:dyDescent="0.25">
      <c r="A55"/>
      <c r="B55"/>
      <c r="C55"/>
      <c r="D55"/>
      <c r="E55"/>
      <c r="F55"/>
      <c r="G55"/>
      <c r="H55"/>
      <c r="I55" s="66"/>
      <c r="J55" s="66"/>
      <c r="K55"/>
      <c r="L55"/>
      <c r="M55"/>
    </row>
    <row r="56" spans="1:13" x14ac:dyDescent="0.25">
      <c r="A56"/>
      <c r="B56"/>
      <c r="C56"/>
      <c r="D56"/>
      <c r="E56"/>
      <c r="F56"/>
      <c r="G56"/>
      <c r="H56"/>
      <c r="I56" s="66"/>
      <c r="J56" s="66"/>
      <c r="K56"/>
      <c r="L56"/>
      <c r="M56"/>
    </row>
    <row r="57" spans="1:13" x14ac:dyDescent="0.25">
      <c r="A57"/>
      <c r="B57"/>
      <c r="C57"/>
      <c r="D57"/>
      <c r="E57"/>
      <c r="F57"/>
      <c r="G57"/>
      <c r="H57"/>
      <c r="I57" s="66"/>
      <c r="J57" s="66"/>
      <c r="K57"/>
      <c r="L57"/>
      <c r="M57"/>
    </row>
    <row r="58" spans="1:13" x14ac:dyDescent="0.25">
      <c r="A58"/>
      <c r="B58"/>
      <c r="C58"/>
      <c r="D58"/>
      <c r="E58"/>
      <c r="F58"/>
      <c r="G58"/>
      <c r="H58"/>
      <c r="I58" s="66"/>
      <c r="J58" s="66"/>
      <c r="K58"/>
      <c r="L58"/>
      <c r="M58"/>
    </row>
    <row r="59" spans="1:13" x14ac:dyDescent="0.25">
      <c r="A59"/>
      <c r="B59"/>
      <c r="C59"/>
      <c r="D59"/>
      <c r="E59"/>
      <c r="F59"/>
      <c r="G59"/>
      <c r="H59"/>
      <c r="I59" s="66"/>
      <c r="J59" s="66"/>
      <c r="K59"/>
      <c r="L59"/>
      <c r="M59"/>
    </row>
    <row r="60" spans="1:13" x14ac:dyDescent="0.25">
      <c r="A60"/>
      <c r="B60"/>
      <c r="C60"/>
      <c r="D60"/>
      <c r="E60"/>
      <c r="F60"/>
      <c r="G60"/>
      <c r="H60"/>
      <c r="I60" s="66"/>
      <c r="J60" s="66"/>
      <c r="K60"/>
      <c r="L60"/>
      <c r="M60"/>
    </row>
    <row r="61" spans="1:13" x14ac:dyDescent="0.25">
      <c r="A61"/>
      <c r="B61"/>
      <c r="C61"/>
      <c r="D61"/>
      <c r="E61"/>
      <c r="F61"/>
      <c r="G61"/>
      <c r="H61"/>
      <c r="I61" s="66"/>
      <c r="J61" s="66"/>
      <c r="K61"/>
      <c r="L61"/>
      <c r="M61"/>
    </row>
    <row r="62" spans="1:13" x14ac:dyDescent="0.25">
      <c r="A62"/>
      <c r="B62"/>
      <c r="C62"/>
      <c r="D62"/>
      <c r="E62"/>
      <c r="F62"/>
      <c r="G62"/>
      <c r="H62"/>
      <c r="I62" s="66"/>
      <c r="J62" s="66"/>
      <c r="K62"/>
      <c r="L62"/>
      <c r="M62"/>
    </row>
    <row r="63" spans="1:13" x14ac:dyDescent="0.25">
      <c r="A63"/>
      <c r="B63"/>
      <c r="C63"/>
      <c r="D63"/>
      <c r="E63"/>
      <c r="F63"/>
      <c r="G63"/>
      <c r="H63"/>
      <c r="I63" s="66"/>
      <c r="J63" s="66"/>
      <c r="K63"/>
      <c r="L63"/>
      <c r="M63"/>
    </row>
    <row r="64" spans="1:13" x14ac:dyDescent="0.25">
      <c r="A64"/>
      <c r="B64"/>
      <c r="C64"/>
      <c r="D64"/>
      <c r="E64"/>
      <c r="F64"/>
      <c r="G64"/>
      <c r="H64"/>
      <c r="I64" s="66"/>
      <c r="J64" s="66"/>
      <c r="K64"/>
      <c r="L64"/>
      <c r="M64"/>
    </row>
    <row r="65" spans="1:13" x14ac:dyDescent="0.25">
      <c r="A65"/>
      <c r="B65"/>
      <c r="C65"/>
      <c r="D65"/>
      <c r="E65"/>
      <c r="F65"/>
      <c r="G65"/>
      <c r="H65"/>
      <c r="I65" s="66"/>
      <c r="J65" s="66"/>
      <c r="K65"/>
      <c r="L65"/>
      <c r="M65"/>
    </row>
    <row r="66" spans="1:13" x14ac:dyDescent="0.25">
      <c r="A66"/>
      <c r="B66"/>
      <c r="C66"/>
      <c r="D66"/>
      <c r="E66"/>
      <c r="F66"/>
      <c r="G66"/>
      <c r="H66"/>
      <c r="I66" s="66"/>
      <c r="J66" s="66"/>
      <c r="K66"/>
      <c r="L66"/>
      <c r="M66"/>
    </row>
    <row r="67" spans="1:13" x14ac:dyDescent="0.25">
      <c r="A67"/>
      <c r="B67"/>
      <c r="C67"/>
      <c r="D67"/>
      <c r="E67"/>
      <c r="F67"/>
      <c r="G67"/>
      <c r="H67"/>
      <c r="I67" s="66"/>
      <c r="J67" s="66"/>
      <c r="K67"/>
      <c r="L67"/>
      <c r="M67"/>
    </row>
    <row r="68" spans="1:13" x14ac:dyDescent="0.25">
      <c r="A68"/>
      <c r="B68"/>
      <c r="C68"/>
      <c r="D68"/>
      <c r="E68"/>
      <c r="F68"/>
      <c r="G68"/>
      <c r="H68"/>
      <c r="I68" s="66"/>
      <c r="J68" s="66"/>
      <c r="K68"/>
      <c r="L68"/>
      <c r="M68"/>
    </row>
    <row r="69" spans="1:13" x14ac:dyDescent="0.25">
      <c r="A69"/>
      <c r="B69"/>
      <c r="C69"/>
      <c r="D69"/>
      <c r="E69"/>
      <c r="F69"/>
      <c r="G69"/>
      <c r="H69"/>
      <c r="I69" s="66"/>
      <c r="J69" s="66"/>
      <c r="K69"/>
      <c r="L69"/>
      <c r="M69"/>
    </row>
    <row r="70" spans="1:13" x14ac:dyDescent="0.25">
      <c r="A70"/>
      <c r="B70"/>
      <c r="C70"/>
      <c r="D70"/>
      <c r="E70"/>
      <c r="F70"/>
      <c r="G70"/>
      <c r="H70"/>
      <c r="I70" s="66"/>
      <c r="J70" s="66"/>
      <c r="K70"/>
      <c r="L70"/>
      <c r="M70"/>
    </row>
    <row r="71" spans="1:13" x14ac:dyDescent="0.25">
      <c r="A71"/>
      <c r="B71"/>
      <c r="C71"/>
      <c r="D71"/>
      <c r="E71"/>
      <c r="F71"/>
      <c r="G71"/>
      <c r="H71"/>
      <c r="I71" s="66"/>
      <c r="J71" s="66"/>
      <c r="K71"/>
      <c r="L71"/>
      <c r="M71"/>
    </row>
    <row r="72" spans="1:13" x14ac:dyDescent="0.25">
      <c r="A72"/>
      <c r="B72"/>
      <c r="C72"/>
      <c r="D72"/>
      <c r="E72"/>
      <c r="F72"/>
      <c r="G72"/>
      <c r="H72"/>
      <c r="I72" s="66"/>
      <c r="J72" s="66"/>
      <c r="K72"/>
      <c r="L72"/>
      <c r="M72"/>
    </row>
    <row r="73" spans="1:13" x14ac:dyDescent="0.25">
      <c r="A73"/>
      <c r="B73"/>
      <c r="C73"/>
      <c r="D73"/>
      <c r="E73"/>
      <c r="F73"/>
      <c r="G73"/>
      <c r="H73"/>
      <c r="I73" s="66"/>
      <c r="J73" s="66"/>
      <c r="K73"/>
      <c r="L73"/>
      <c r="M73"/>
    </row>
    <row r="74" spans="1:13" x14ac:dyDescent="0.25">
      <c r="A74"/>
      <c r="B74"/>
      <c r="C74"/>
      <c r="D74"/>
      <c r="E74"/>
      <c r="F74"/>
      <c r="G74"/>
      <c r="H74"/>
      <c r="I74" s="66"/>
      <c r="J74" s="66"/>
      <c r="K74"/>
      <c r="L74"/>
      <c r="M74"/>
    </row>
    <row r="75" spans="1:13" x14ac:dyDescent="0.25">
      <c r="A75"/>
      <c r="B75"/>
      <c r="C75"/>
      <c r="D75"/>
      <c r="E75"/>
      <c r="F75"/>
      <c r="G75"/>
      <c r="H75"/>
      <c r="I75" s="66"/>
      <c r="J75" s="66"/>
      <c r="K75"/>
      <c r="L75"/>
      <c r="M75"/>
    </row>
    <row r="76" spans="1:13" x14ac:dyDescent="0.25">
      <c r="A76"/>
      <c r="B76"/>
      <c r="C76"/>
      <c r="D76"/>
      <c r="E76"/>
      <c r="F76"/>
      <c r="G76"/>
      <c r="H76"/>
      <c r="I76" s="66"/>
      <c r="J76" s="66"/>
      <c r="K76"/>
      <c r="L76"/>
      <c r="M76"/>
    </row>
    <row r="77" spans="1:13" x14ac:dyDescent="0.25">
      <c r="A77"/>
      <c r="B77"/>
      <c r="C77"/>
      <c r="D77"/>
      <c r="E77"/>
      <c r="F77"/>
      <c r="G77"/>
      <c r="H77"/>
      <c r="I77" s="66"/>
      <c r="J77" s="66"/>
      <c r="K77"/>
      <c r="L77"/>
      <c r="M77"/>
    </row>
    <row r="78" spans="1:13" x14ac:dyDescent="0.25">
      <c r="A78"/>
      <c r="B78"/>
      <c r="C78"/>
      <c r="D78"/>
      <c r="E78"/>
      <c r="F78"/>
      <c r="G78"/>
      <c r="H78"/>
      <c r="I78" s="66"/>
      <c r="J78" s="66"/>
      <c r="K78"/>
      <c r="L78"/>
      <c r="M78"/>
    </row>
    <row r="79" spans="1:13" x14ac:dyDescent="0.25">
      <c r="A79"/>
      <c r="B79"/>
      <c r="C79"/>
      <c r="D79"/>
      <c r="E79"/>
      <c r="F79"/>
      <c r="G79"/>
      <c r="H79"/>
      <c r="I79" s="66"/>
      <c r="J79" s="66"/>
      <c r="K79"/>
      <c r="L79"/>
      <c r="M79"/>
    </row>
    <row r="80" spans="1:13" x14ac:dyDescent="0.25">
      <c r="A80"/>
      <c r="B80"/>
      <c r="C80"/>
      <c r="D80"/>
      <c r="E80"/>
      <c r="F80"/>
      <c r="G80"/>
      <c r="H80"/>
      <c r="I80" s="66"/>
      <c r="J80" s="66"/>
      <c r="K80"/>
      <c r="L80"/>
      <c r="M80"/>
    </row>
    <row r="81" spans="1:13" x14ac:dyDescent="0.25">
      <c r="A81"/>
      <c r="B81"/>
      <c r="C81"/>
      <c r="D81"/>
      <c r="E81"/>
      <c r="F81"/>
      <c r="G81"/>
      <c r="H81"/>
      <c r="I81" s="66"/>
      <c r="J81" s="66"/>
      <c r="K81"/>
      <c r="L81"/>
      <c r="M81"/>
    </row>
    <row r="82" spans="1:13" x14ac:dyDescent="0.25">
      <c r="A82"/>
      <c r="B82"/>
      <c r="C82"/>
      <c r="D82"/>
      <c r="E82"/>
      <c r="F82"/>
      <c r="G82"/>
      <c r="H82"/>
      <c r="I82" s="66"/>
      <c r="J82" s="66"/>
      <c r="K82"/>
      <c r="L82"/>
      <c r="M82"/>
    </row>
    <row r="83" spans="1:13" x14ac:dyDescent="0.25">
      <c r="A83"/>
      <c r="B83"/>
      <c r="C83"/>
      <c r="D83"/>
      <c r="E83"/>
      <c r="F83"/>
      <c r="G83"/>
      <c r="H83"/>
      <c r="I83" s="66"/>
      <c r="J83" s="66"/>
      <c r="K83"/>
      <c r="L83"/>
      <c r="M83"/>
    </row>
    <row r="84" spans="1:13" x14ac:dyDescent="0.25">
      <c r="A84"/>
      <c r="B84"/>
      <c r="C84"/>
      <c r="D84"/>
      <c r="E84"/>
      <c r="F84"/>
      <c r="G84"/>
      <c r="H84"/>
      <c r="I84" s="66"/>
      <c r="J84" s="66"/>
      <c r="K84"/>
      <c r="L84"/>
      <c r="M84"/>
    </row>
    <row r="85" spans="1:13" x14ac:dyDescent="0.25">
      <c r="A85"/>
      <c r="B85"/>
      <c r="C85"/>
      <c r="D85"/>
      <c r="E85"/>
      <c r="F85"/>
      <c r="G85"/>
      <c r="H85"/>
      <c r="I85" s="66"/>
      <c r="J85" s="66"/>
      <c r="K85"/>
      <c r="L85"/>
      <c r="M85"/>
    </row>
    <row r="86" spans="1:13" x14ac:dyDescent="0.25">
      <c r="A86"/>
      <c r="B86"/>
      <c r="C86"/>
      <c r="D86"/>
      <c r="E86"/>
      <c r="F86"/>
      <c r="G86"/>
      <c r="H86"/>
      <c r="I86" s="66"/>
      <c r="J86" s="66"/>
      <c r="K86"/>
      <c r="L86"/>
      <c r="M86"/>
    </row>
    <row r="87" spans="1:13" x14ac:dyDescent="0.25">
      <c r="A87"/>
      <c r="B87"/>
      <c r="C87"/>
      <c r="D87"/>
      <c r="E87"/>
      <c r="F87"/>
      <c r="G87"/>
      <c r="H87"/>
      <c r="I87" s="66"/>
      <c r="J87" s="66"/>
      <c r="K87"/>
      <c r="L87"/>
      <c r="M87"/>
    </row>
    <row r="88" spans="1:13" x14ac:dyDescent="0.25">
      <c r="A88"/>
      <c r="B88"/>
      <c r="C88"/>
      <c r="D88"/>
      <c r="E88"/>
      <c r="F88"/>
      <c r="G88"/>
      <c r="H88"/>
      <c r="I88" s="66"/>
      <c r="J88" s="66"/>
      <c r="K88"/>
      <c r="L88"/>
      <c r="M88"/>
    </row>
    <row r="89" spans="1:13" x14ac:dyDescent="0.25">
      <c r="A89"/>
      <c r="B89"/>
      <c r="C89"/>
      <c r="D89"/>
      <c r="E89"/>
      <c r="F89"/>
      <c r="G89"/>
      <c r="H89"/>
      <c r="I89" s="66"/>
      <c r="J89" s="66"/>
      <c r="K89"/>
      <c r="L89"/>
      <c r="M89"/>
    </row>
    <row r="90" spans="1:13" x14ac:dyDescent="0.25">
      <c r="A90"/>
      <c r="B90"/>
      <c r="C90"/>
      <c r="D90"/>
      <c r="E90"/>
      <c r="F90"/>
      <c r="G90"/>
      <c r="H90"/>
      <c r="I90" s="66"/>
      <c r="J90" s="66"/>
      <c r="K90"/>
      <c r="L90"/>
      <c r="M90"/>
    </row>
    <row r="91" spans="1:13" x14ac:dyDescent="0.25">
      <c r="A91"/>
      <c r="B91"/>
      <c r="C91"/>
      <c r="D91"/>
      <c r="E91"/>
      <c r="F91"/>
      <c r="G91"/>
      <c r="H91"/>
      <c r="I91" s="66"/>
      <c r="J91" s="66"/>
      <c r="K91"/>
      <c r="L91"/>
      <c r="M91"/>
    </row>
    <row r="92" spans="1:13" x14ac:dyDescent="0.25">
      <c r="A92"/>
      <c r="B92"/>
      <c r="C92"/>
      <c r="D92"/>
      <c r="E92"/>
      <c r="F92"/>
      <c r="G92"/>
      <c r="H92"/>
      <c r="I92" s="66"/>
      <c r="J92" s="66"/>
      <c r="K92"/>
      <c r="L92"/>
      <c r="M92"/>
    </row>
    <row r="93" spans="1:13" x14ac:dyDescent="0.25">
      <c r="A93"/>
      <c r="B93"/>
      <c r="C93"/>
      <c r="D93"/>
      <c r="E93"/>
      <c r="F93"/>
      <c r="G93"/>
      <c r="H93"/>
      <c r="I93" s="66"/>
      <c r="J93" s="66"/>
      <c r="K93"/>
      <c r="L93"/>
      <c r="M93"/>
    </row>
    <row r="94" spans="1:13" x14ac:dyDescent="0.25">
      <c r="A94"/>
      <c r="B94"/>
      <c r="C94"/>
      <c r="D94"/>
      <c r="E94"/>
      <c r="F94"/>
      <c r="G94"/>
      <c r="H94"/>
      <c r="I94" s="66"/>
      <c r="J94" s="66"/>
      <c r="K94"/>
      <c r="L94"/>
      <c r="M94"/>
    </row>
    <row r="95" spans="1:13" x14ac:dyDescent="0.25">
      <c r="A95"/>
      <c r="B95"/>
      <c r="C95"/>
      <c r="D95"/>
      <c r="E95"/>
      <c r="F95"/>
      <c r="G95"/>
      <c r="H95"/>
      <c r="I95" s="66"/>
      <c r="J95" s="66"/>
      <c r="K95"/>
      <c r="L95"/>
      <c r="M95"/>
    </row>
    <row r="96" spans="1:13" x14ac:dyDescent="0.25">
      <c r="A96"/>
      <c r="B96"/>
      <c r="C96"/>
      <c r="D96"/>
      <c r="E96"/>
      <c r="F96"/>
      <c r="G96"/>
      <c r="H96"/>
      <c r="I96" s="66"/>
      <c r="J96" s="66"/>
      <c r="K96"/>
      <c r="L96"/>
      <c r="M96"/>
    </row>
    <row r="97" spans="1:13" x14ac:dyDescent="0.25">
      <c r="A97"/>
      <c r="B97"/>
      <c r="C97"/>
      <c r="D97"/>
      <c r="E97"/>
      <c r="F97"/>
      <c r="G97"/>
      <c r="H97"/>
      <c r="I97" s="66"/>
      <c r="J97" s="66"/>
      <c r="K97"/>
      <c r="L97"/>
      <c r="M97"/>
    </row>
    <row r="98" spans="1:13" x14ac:dyDescent="0.25">
      <c r="A98"/>
      <c r="B98"/>
      <c r="C98"/>
      <c r="D98"/>
      <c r="E98"/>
      <c r="F98"/>
      <c r="G98"/>
      <c r="H98"/>
      <c r="I98" s="66"/>
      <c r="J98" s="66"/>
      <c r="K98"/>
      <c r="L98"/>
      <c r="M98"/>
    </row>
    <row r="99" spans="1:13" x14ac:dyDescent="0.25">
      <c r="A99"/>
      <c r="B99"/>
      <c r="C99"/>
      <c r="D99"/>
      <c r="E99"/>
      <c r="F99"/>
      <c r="G99"/>
      <c r="H99"/>
      <c r="I99" s="66"/>
      <c r="J99" s="66"/>
      <c r="K99"/>
      <c r="L99"/>
      <c r="M99"/>
    </row>
    <row r="100" spans="1:13" x14ac:dyDescent="0.25">
      <c r="A100"/>
      <c r="B100"/>
      <c r="C100"/>
      <c r="D100"/>
      <c r="E100"/>
      <c r="F100"/>
      <c r="G100"/>
      <c r="H100"/>
      <c r="I100" s="66"/>
      <c r="J100" s="66"/>
      <c r="K100"/>
      <c r="L100"/>
      <c r="M100"/>
    </row>
    <row r="101" spans="1:13" x14ac:dyDescent="0.25">
      <c r="A101"/>
      <c r="B101"/>
      <c r="C101"/>
      <c r="D101"/>
      <c r="E101"/>
      <c r="F101"/>
      <c r="G101"/>
      <c r="H101"/>
      <c r="I101" s="66"/>
      <c r="J101" s="66"/>
      <c r="K101"/>
      <c r="L101"/>
      <c r="M101"/>
    </row>
    <row r="102" spans="1:13" x14ac:dyDescent="0.25">
      <c r="A102"/>
      <c r="B102"/>
      <c r="C102"/>
      <c r="D102"/>
      <c r="E102"/>
      <c r="F102"/>
      <c r="G102"/>
      <c r="H102"/>
      <c r="I102" s="66"/>
      <c r="J102" s="66"/>
      <c r="K102"/>
      <c r="L102"/>
      <c r="M102"/>
    </row>
    <row r="103" spans="1:13" x14ac:dyDescent="0.25">
      <c r="A103"/>
      <c r="B103"/>
      <c r="C103"/>
      <c r="D103"/>
      <c r="E103"/>
      <c r="F103"/>
      <c r="G103"/>
      <c r="H103"/>
      <c r="I103" s="66"/>
      <c r="J103" s="66"/>
      <c r="K103"/>
      <c r="L103"/>
      <c r="M103"/>
    </row>
    <row r="104" spans="1:13" x14ac:dyDescent="0.25">
      <c r="A104"/>
      <c r="B104"/>
      <c r="C104"/>
      <c r="D104"/>
      <c r="E104"/>
      <c r="F104"/>
      <c r="G104"/>
      <c r="H104"/>
      <c r="I104" s="66"/>
      <c r="J104" s="66"/>
      <c r="K104"/>
      <c r="L104"/>
      <c r="M104"/>
    </row>
    <row r="105" spans="1:13" x14ac:dyDescent="0.25">
      <c r="A105"/>
      <c r="B105"/>
      <c r="C105"/>
      <c r="D105"/>
      <c r="E105"/>
      <c r="F105"/>
      <c r="G105"/>
      <c r="H105"/>
      <c r="I105" s="66"/>
      <c r="J105" s="66"/>
      <c r="K105"/>
      <c r="L105"/>
      <c r="M105"/>
    </row>
    <row r="106" spans="1:13" x14ac:dyDescent="0.25">
      <c r="A106"/>
      <c r="B106"/>
      <c r="C106"/>
      <c r="D106"/>
      <c r="E106"/>
      <c r="F106"/>
      <c r="G106"/>
      <c r="H106"/>
      <c r="I106" s="66"/>
      <c r="J106" s="66"/>
      <c r="K106"/>
      <c r="L106"/>
      <c r="M106"/>
    </row>
    <row r="107" spans="1:13" x14ac:dyDescent="0.25">
      <c r="A107"/>
      <c r="B107"/>
      <c r="C107"/>
      <c r="D107"/>
      <c r="E107"/>
      <c r="F107"/>
      <c r="G107"/>
      <c r="H107"/>
      <c r="I107" s="66"/>
      <c r="J107" s="66"/>
      <c r="K107"/>
      <c r="L107"/>
      <c r="M107"/>
    </row>
    <row r="108" spans="1:13" x14ac:dyDescent="0.25">
      <c r="A108"/>
      <c r="B108"/>
      <c r="C108"/>
      <c r="D108"/>
      <c r="E108"/>
      <c r="F108"/>
      <c r="G108"/>
      <c r="H108"/>
      <c r="I108" s="66"/>
      <c r="J108" s="66"/>
      <c r="K108"/>
      <c r="L108"/>
      <c r="M108"/>
    </row>
    <row r="109" spans="1:13" x14ac:dyDescent="0.25">
      <c r="A109"/>
      <c r="B109"/>
      <c r="C109"/>
      <c r="D109"/>
      <c r="E109"/>
      <c r="F109"/>
      <c r="G109"/>
      <c r="H109"/>
      <c r="I109" s="66"/>
      <c r="J109" s="66"/>
      <c r="K109"/>
      <c r="L109"/>
      <c r="M109"/>
    </row>
    <row r="110" spans="1:13" x14ac:dyDescent="0.25">
      <c r="A110"/>
      <c r="B110"/>
      <c r="C110"/>
      <c r="D110"/>
      <c r="E110"/>
      <c r="F110"/>
      <c r="G110"/>
      <c r="H110"/>
      <c r="I110" s="66"/>
      <c r="J110" s="66"/>
      <c r="K110"/>
      <c r="L110"/>
      <c r="M110"/>
    </row>
    <row r="111" spans="1:13" x14ac:dyDescent="0.25">
      <c r="A111"/>
      <c r="B111"/>
      <c r="C111"/>
      <c r="D111"/>
      <c r="E111"/>
      <c r="F111"/>
      <c r="G111"/>
      <c r="H111"/>
      <c r="I111" s="66"/>
      <c r="J111" s="66"/>
      <c r="K111"/>
      <c r="L111"/>
      <c r="M111"/>
    </row>
    <row r="112" spans="1:13" x14ac:dyDescent="0.25">
      <c r="A112"/>
      <c r="B112"/>
      <c r="C112"/>
      <c r="D112"/>
      <c r="E112"/>
      <c r="F112"/>
      <c r="G112"/>
      <c r="H112"/>
      <c r="I112" s="66"/>
      <c r="J112" s="66"/>
      <c r="K112"/>
      <c r="L112"/>
      <c r="M112"/>
    </row>
    <row r="113" spans="1:13" x14ac:dyDescent="0.25">
      <c r="A113"/>
      <c r="B113"/>
      <c r="C113"/>
      <c r="D113"/>
      <c r="E113"/>
      <c r="F113"/>
      <c r="G113"/>
      <c r="H113"/>
      <c r="I113" s="66"/>
      <c r="J113" s="66"/>
      <c r="K113"/>
      <c r="L113"/>
      <c r="M113"/>
    </row>
    <row r="114" spans="1:13" x14ac:dyDescent="0.25">
      <c r="A114"/>
      <c r="B114"/>
      <c r="C114"/>
      <c r="D114"/>
      <c r="E114"/>
      <c r="F114"/>
      <c r="G114"/>
      <c r="H114"/>
      <c r="I114" s="66"/>
      <c r="J114" s="66"/>
      <c r="K114"/>
      <c r="L114"/>
      <c r="M114"/>
    </row>
    <row r="115" spans="1:13" x14ac:dyDescent="0.25">
      <c r="A115"/>
      <c r="B115"/>
      <c r="C115"/>
      <c r="D115"/>
      <c r="E115"/>
      <c r="F115"/>
      <c r="G115"/>
      <c r="H115"/>
      <c r="I115" s="66"/>
      <c r="J115" s="66"/>
      <c r="K115"/>
      <c r="L115"/>
      <c r="M115"/>
    </row>
    <row r="116" spans="1:13" x14ac:dyDescent="0.25">
      <c r="A116"/>
      <c r="B116"/>
      <c r="C116"/>
      <c r="D116"/>
      <c r="E116"/>
      <c r="F116"/>
      <c r="G116"/>
      <c r="H116"/>
      <c r="I116" s="66"/>
      <c r="J116" s="66"/>
      <c r="K116"/>
      <c r="L116"/>
      <c r="M116"/>
    </row>
    <row r="117" spans="1:13" x14ac:dyDescent="0.25">
      <c r="A117"/>
      <c r="B117"/>
      <c r="C117"/>
      <c r="D117"/>
      <c r="E117"/>
      <c r="F117"/>
      <c r="G117"/>
      <c r="H117"/>
      <c r="I117" s="66"/>
      <c r="J117" s="66"/>
      <c r="K117"/>
      <c r="L117"/>
      <c r="M117"/>
    </row>
    <row r="118" spans="1:13" x14ac:dyDescent="0.25">
      <c r="A118"/>
      <c r="B118"/>
      <c r="C118"/>
      <c r="D118"/>
      <c r="E118"/>
      <c r="F118"/>
      <c r="G118"/>
      <c r="H118"/>
      <c r="I118" s="66"/>
      <c r="J118" s="66"/>
      <c r="K118"/>
      <c r="L118"/>
      <c r="M118"/>
    </row>
    <row r="119" spans="1:13" x14ac:dyDescent="0.25">
      <c r="A119"/>
      <c r="B119"/>
      <c r="C119"/>
      <c r="D119"/>
      <c r="E119"/>
      <c r="F119"/>
      <c r="G119"/>
      <c r="H119"/>
      <c r="I119" s="66"/>
      <c r="J119" s="66"/>
      <c r="K119"/>
      <c r="L119"/>
      <c r="M119"/>
    </row>
    <row r="120" spans="1:13" x14ac:dyDescent="0.25">
      <c r="A120"/>
      <c r="B120"/>
      <c r="C120"/>
      <c r="D120"/>
      <c r="E120"/>
      <c r="F120"/>
      <c r="G120"/>
      <c r="H120"/>
      <c r="I120" s="66"/>
      <c r="J120" s="66"/>
      <c r="K120"/>
      <c r="L120"/>
      <c r="M120"/>
    </row>
    <row r="121" spans="1:13" x14ac:dyDescent="0.25">
      <c r="A121"/>
      <c r="B121"/>
      <c r="C121"/>
      <c r="D121"/>
      <c r="E121"/>
      <c r="F121"/>
      <c r="G121"/>
      <c r="H121"/>
      <c r="I121" s="66"/>
      <c r="J121" s="66"/>
      <c r="K121"/>
      <c r="L121"/>
      <c r="M121"/>
    </row>
    <row r="122" spans="1:13" x14ac:dyDescent="0.25">
      <c r="A122"/>
      <c r="B122"/>
      <c r="C122"/>
      <c r="D122"/>
      <c r="E122"/>
      <c r="F122"/>
      <c r="G122"/>
      <c r="H122"/>
      <c r="I122" s="66"/>
      <c r="J122" s="66"/>
      <c r="K122"/>
      <c r="L122"/>
      <c r="M122"/>
    </row>
    <row r="123" spans="1:13" x14ac:dyDescent="0.25">
      <c r="A123"/>
      <c r="B123"/>
      <c r="C123"/>
      <c r="D123"/>
      <c r="E123"/>
      <c r="F123"/>
      <c r="G123"/>
      <c r="H123"/>
      <c r="I123" s="66"/>
      <c r="J123" s="66"/>
      <c r="K123"/>
      <c r="L123"/>
      <c r="M123"/>
    </row>
    <row r="124" spans="1:13" x14ac:dyDescent="0.25">
      <c r="A124"/>
      <c r="B124"/>
      <c r="C124"/>
      <c r="D124"/>
      <c r="E124"/>
      <c r="F124"/>
      <c r="G124"/>
      <c r="H124"/>
      <c r="I124" s="66"/>
      <c r="J124" s="66"/>
      <c r="K124"/>
      <c r="L124"/>
      <c r="M124"/>
    </row>
    <row r="125" spans="1:13" x14ac:dyDescent="0.25">
      <c r="A125"/>
      <c r="B125"/>
      <c r="C125"/>
      <c r="D125"/>
      <c r="E125"/>
      <c r="F125"/>
      <c r="G125"/>
      <c r="H125"/>
      <c r="I125" s="66"/>
      <c r="J125" s="66"/>
      <c r="K125"/>
      <c r="L125"/>
      <c r="M125"/>
    </row>
    <row r="126" spans="1:13" x14ac:dyDescent="0.25">
      <c r="A126"/>
      <c r="B126"/>
      <c r="C126"/>
      <c r="D126"/>
      <c r="E126"/>
      <c r="F126"/>
      <c r="G126"/>
      <c r="H126"/>
      <c r="I126" s="66"/>
      <c r="J126" s="66"/>
      <c r="K126"/>
      <c r="L126"/>
      <c r="M126"/>
    </row>
    <row r="127" spans="1:13" x14ac:dyDescent="0.25">
      <c r="A127"/>
      <c r="B127"/>
      <c r="C127"/>
      <c r="D127"/>
      <c r="E127"/>
      <c r="F127"/>
      <c r="G127"/>
      <c r="H127"/>
      <c r="I127" s="66"/>
      <c r="J127" s="66"/>
      <c r="K127"/>
      <c r="L127"/>
      <c r="M127"/>
    </row>
    <row r="128" spans="1:13" x14ac:dyDescent="0.25">
      <c r="A128"/>
      <c r="B128"/>
      <c r="C128"/>
      <c r="D128"/>
      <c r="E128"/>
      <c r="F128"/>
      <c r="G128"/>
      <c r="H128"/>
      <c r="I128" s="66"/>
      <c r="J128" s="66"/>
      <c r="K128"/>
      <c r="L128"/>
      <c r="M128"/>
    </row>
    <row r="129" spans="1:13" x14ac:dyDescent="0.25">
      <c r="A129"/>
      <c r="B129"/>
      <c r="C129"/>
      <c r="D129"/>
      <c r="E129"/>
      <c r="F129"/>
      <c r="G129"/>
      <c r="H129"/>
      <c r="I129" s="66"/>
      <c r="J129" s="66"/>
      <c r="K129"/>
      <c r="L129"/>
      <c r="M129"/>
    </row>
    <row r="130" spans="1:13" x14ac:dyDescent="0.25">
      <c r="A130"/>
      <c r="B130"/>
      <c r="C130"/>
      <c r="D130"/>
      <c r="E130"/>
      <c r="F130"/>
      <c r="G130"/>
      <c r="H130"/>
      <c r="I130" s="66"/>
      <c r="J130" s="66"/>
      <c r="K130"/>
      <c r="L130"/>
      <c r="M130"/>
    </row>
    <row r="131" spans="1:13" x14ac:dyDescent="0.25">
      <c r="A131"/>
      <c r="B131"/>
      <c r="C131"/>
      <c r="D131"/>
      <c r="E131"/>
      <c r="F131"/>
      <c r="G131"/>
      <c r="H131"/>
      <c r="I131" s="66"/>
      <c r="J131" s="66"/>
      <c r="K131"/>
      <c r="L131"/>
      <c r="M131"/>
    </row>
    <row r="132" spans="1:13" x14ac:dyDescent="0.25">
      <c r="A132"/>
      <c r="B132"/>
      <c r="C132"/>
      <c r="D132"/>
      <c r="E132"/>
      <c r="F132"/>
      <c r="G132"/>
      <c r="H132"/>
      <c r="I132" s="66"/>
      <c r="J132" s="66"/>
      <c r="K132"/>
      <c r="L132"/>
      <c r="M132"/>
    </row>
    <row r="133" spans="1:13" x14ac:dyDescent="0.25">
      <c r="A133"/>
      <c r="B133"/>
      <c r="C133"/>
      <c r="D133"/>
      <c r="E133"/>
      <c r="F133"/>
      <c r="G133"/>
      <c r="H133"/>
      <c r="I133" s="66"/>
      <c r="J133" s="66"/>
      <c r="K133"/>
      <c r="L133"/>
      <c r="M133"/>
    </row>
    <row r="134" spans="1:13" x14ac:dyDescent="0.25">
      <c r="A134"/>
      <c r="B134"/>
      <c r="C134"/>
      <c r="D134"/>
      <c r="E134"/>
      <c r="F134"/>
      <c r="G134"/>
      <c r="H134"/>
      <c r="I134" s="66"/>
      <c r="J134" s="66"/>
      <c r="K134"/>
      <c r="L134"/>
      <c r="M134"/>
    </row>
    <row r="135" spans="1:13" x14ac:dyDescent="0.25">
      <c r="A135"/>
      <c r="B135"/>
      <c r="C135"/>
      <c r="D135"/>
      <c r="E135"/>
      <c r="F135"/>
      <c r="G135"/>
      <c r="H135"/>
      <c r="I135" s="66"/>
      <c r="J135" s="66"/>
      <c r="K135"/>
      <c r="L135"/>
      <c r="M135"/>
    </row>
    <row r="136" spans="1:13" x14ac:dyDescent="0.25">
      <c r="A136"/>
      <c r="B136"/>
      <c r="C136"/>
      <c r="D136"/>
      <c r="E136"/>
      <c r="F136"/>
      <c r="G136"/>
      <c r="H136"/>
      <c r="I136" s="66"/>
      <c r="J136" s="66"/>
      <c r="K136"/>
      <c r="L136"/>
      <c r="M136"/>
    </row>
    <row r="137" spans="1:13" x14ac:dyDescent="0.25">
      <c r="A137"/>
      <c r="B137"/>
      <c r="C137"/>
      <c r="D137"/>
      <c r="E137"/>
      <c r="F137"/>
      <c r="G137"/>
      <c r="H137"/>
      <c r="I137" s="66"/>
      <c r="J137" s="66"/>
      <c r="K137"/>
      <c r="L137"/>
      <c r="M137"/>
    </row>
    <row r="138" spans="1:13" x14ac:dyDescent="0.25">
      <c r="A138"/>
      <c r="B138"/>
      <c r="C138"/>
      <c r="D138"/>
      <c r="E138"/>
      <c r="F138"/>
      <c r="G138"/>
      <c r="H138"/>
      <c r="I138" s="66"/>
      <c r="J138" s="66"/>
      <c r="K138"/>
      <c r="L138"/>
      <c r="M138"/>
    </row>
    <row r="139" spans="1:13" x14ac:dyDescent="0.25">
      <c r="A139"/>
      <c r="B139"/>
      <c r="C139"/>
      <c r="D139"/>
      <c r="E139"/>
      <c r="F139"/>
      <c r="G139"/>
      <c r="H139"/>
      <c r="I139" s="66"/>
      <c r="J139" s="66"/>
      <c r="K139"/>
      <c r="L139"/>
      <c r="M139"/>
    </row>
    <row r="140" spans="1:13" x14ac:dyDescent="0.25">
      <c r="A140"/>
      <c r="B140"/>
      <c r="C140"/>
      <c r="D140"/>
      <c r="E140"/>
      <c r="F140"/>
      <c r="G140"/>
      <c r="H140"/>
      <c r="I140" s="66"/>
      <c r="J140" s="66"/>
      <c r="K140"/>
      <c r="L140"/>
      <c r="M140"/>
    </row>
    <row r="141" spans="1:13" x14ac:dyDescent="0.25">
      <c r="A141"/>
      <c r="B141"/>
      <c r="C141"/>
      <c r="D141"/>
      <c r="E141"/>
      <c r="F141"/>
      <c r="G141"/>
      <c r="H141"/>
      <c r="I141" s="66"/>
      <c r="J141" s="66"/>
      <c r="K141"/>
      <c r="L141"/>
      <c r="M141"/>
    </row>
    <row r="142" spans="1:13" x14ac:dyDescent="0.25">
      <c r="A142"/>
      <c r="B142"/>
      <c r="C142"/>
      <c r="D142"/>
      <c r="E142"/>
      <c r="F142"/>
      <c r="G142"/>
      <c r="H142"/>
      <c r="I142" s="66"/>
      <c r="J142" s="66"/>
      <c r="K142"/>
      <c r="L142"/>
      <c r="M142"/>
    </row>
    <row r="143" spans="1:13" x14ac:dyDescent="0.25">
      <c r="A143"/>
      <c r="B143"/>
      <c r="C143"/>
      <c r="D143"/>
      <c r="E143"/>
      <c r="F143"/>
      <c r="G143"/>
      <c r="H143"/>
      <c r="I143" s="66"/>
      <c r="J143" s="66"/>
      <c r="K143"/>
      <c r="L143"/>
      <c r="M143"/>
    </row>
    <row r="144" spans="1:13" x14ac:dyDescent="0.25">
      <c r="A144"/>
      <c r="B144"/>
      <c r="C144"/>
      <c r="D144"/>
      <c r="E144"/>
      <c r="F144"/>
      <c r="G144"/>
      <c r="H144"/>
      <c r="I144" s="66"/>
      <c r="J144" s="66"/>
      <c r="K144"/>
      <c r="L144"/>
      <c r="M144"/>
    </row>
    <row r="145" spans="1:13" x14ac:dyDescent="0.25">
      <c r="A145"/>
      <c r="B145"/>
      <c r="C145"/>
      <c r="D145"/>
      <c r="E145"/>
      <c r="F145"/>
      <c r="G145"/>
      <c r="H145"/>
      <c r="I145" s="66"/>
      <c r="J145" s="66"/>
      <c r="K145"/>
      <c r="L145"/>
      <c r="M145"/>
    </row>
    <row r="146" spans="1:13" x14ac:dyDescent="0.25">
      <c r="A146"/>
      <c r="B146"/>
      <c r="C146"/>
      <c r="D146"/>
      <c r="E146"/>
      <c r="F146"/>
      <c r="G146"/>
      <c r="H146"/>
      <c r="I146" s="66"/>
      <c r="J146" s="66"/>
      <c r="K146"/>
      <c r="L146"/>
      <c r="M146"/>
    </row>
    <row r="147" spans="1:13" x14ac:dyDescent="0.25">
      <c r="A147"/>
      <c r="B147"/>
      <c r="C147"/>
      <c r="D147"/>
      <c r="E147"/>
      <c r="F147"/>
      <c r="G147"/>
      <c r="H147"/>
      <c r="I147" s="66"/>
      <c r="J147" s="66"/>
      <c r="K147"/>
      <c r="L147"/>
      <c r="M147"/>
    </row>
    <row r="148" spans="1:13" x14ac:dyDescent="0.25">
      <c r="A148"/>
      <c r="B148"/>
      <c r="C148"/>
      <c r="D148"/>
      <c r="E148"/>
      <c r="F148"/>
      <c r="G148"/>
      <c r="H148"/>
      <c r="I148" s="66"/>
      <c r="J148" s="66"/>
      <c r="K148"/>
      <c r="L148"/>
      <c r="M148"/>
    </row>
    <row r="149" spans="1:13" x14ac:dyDescent="0.25">
      <c r="A149"/>
      <c r="B149"/>
      <c r="C149"/>
      <c r="D149"/>
      <c r="E149"/>
      <c r="F149"/>
      <c r="G149"/>
      <c r="H149"/>
      <c r="I149" s="66"/>
      <c r="J149" s="66"/>
      <c r="K149"/>
      <c r="L149"/>
      <c r="M149"/>
    </row>
  </sheetData>
  <mergeCells count="1">
    <mergeCell ref="A4:B4"/>
  </mergeCell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A32"/>
  <sheetViews>
    <sheetView showGridLines="0" workbookViewId="0">
      <pane ySplit="11" topLeftCell="A12" activePane="bottomLeft" state="frozen"/>
      <selection pane="bottomLeft" activeCell="A11" sqref="A11"/>
    </sheetView>
  </sheetViews>
  <sheetFormatPr defaultColWidth="9.140625" defaultRowHeight="14.25" x14ac:dyDescent="0.25"/>
  <cols>
    <col min="1" max="1" width="25.7109375" style="11" customWidth="1"/>
    <col min="2" max="2" width="25.7109375" style="24" customWidth="1"/>
    <col min="3" max="3" width="25.5703125" style="24" customWidth="1"/>
    <col min="4" max="4" width="10.5703125" style="11" hidden="1" customWidth="1"/>
    <col min="5" max="5" width="22.7109375" style="27" customWidth="1"/>
    <col min="6" max="6" width="25.5703125" style="24" hidden="1" customWidth="1"/>
    <col min="7" max="7" width="30.7109375" style="24" customWidth="1"/>
    <col min="8" max="8" width="11" style="24" customWidth="1"/>
    <col min="9" max="9" width="29.42578125" style="24" hidden="1" customWidth="1"/>
    <col min="10" max="10" width="45" style="24" customWidth="1"/>
    <col min="11" max="11" width="12.28515625" style="22" customWidth="1"/>
    <col min="12" max="12" width="24.7109375" style="24" customWidth="1"/>
    <col min="13" max="13" width="35.7109375" style="24" customWidth="1"/>
    <col min="14" max="14" width="25.7109375" style="24" customWidth="1"/>
    <col min="15" max="15" width="44.7109375" style="24" customWidth="1"/>
    <col min="16" max="16" width="18.42578125" style="24" customWidth="1"/>
    <col min="17" max="17" width="19.5703125" style="24" customWidth="1"/>
    <col min="18" max="18" width="46.42578125" style="24" customWidth="1"/>
    <col min="19" max="20" width="13.7109375" style="53" hidden="1" customWidth="1"/>
    <col min="21" max="21" width="19" style="24" customWidth="1"/>
    <col min="22" max="22" width="18.5703125" style="46" customWidth="1"/>
    <col min="23" max="23" width="18.5703125" style="53" customWidth="1"/>
    <col min="24" max="24" width="18.5703125" style="24" customWidth="1"/>
    <col min="25" max="25" width="24" style="24" hidden="1" customWidth="1"/>
    <col min="26" max="26" width="8.28515625" style="24" hidden="1" customWidth="1"/>
    <col min="27" max="27" width="27.5703125" style="11" customWidth="1"/>
    <col min="28" max="28" width="13.42578125" style="11" customWidth="1"/>
    <col min="29" max="29" width="13.140625" style="11" bestFit="1" customWidth="1"/>
    <col min="30" max="30" width="13.42578125" style="11" bestFit="1" customWidth="1"/>
    <col min="31" max="31" width="13.140625" style="11" bestFit="1" customWidth="1"/>
    <col min="32" max="32" width="13.42578125" style="11" bestFit="1" customWidth="1"/>
    <col min="33" max="33" width="13.140625" style="11" bestFit="1" customWidth="1"/>
    <col min="34" max="34" width="13.42578125" style="11" bestFit="1" customWidth="1"/>
    <col min="35" max="35" width="13.140625" style="11" bestFit="1" customWidth="1"/>
    <col min="36" max="36" width="13.42578125" style="11" bestFit="1" customWidth="1"/>
    <col min="37" max="37" width="13.140625" style="11" bestFit="1" customWidth="1"/>
    <col min="38" max="16384" width="9.140625" style="11"/>
  </cols>
  <sheetData>
    <row r="1" spans="1:27" s="23" customFormat="1" ht="25.5" customHeight="1" x14ac:dyDescent="0.45">
      <c r="A1" s="25" t="s">
        <v>48</v>
      </c>
      <c r="C1" s="35">
        <f>Data!B2</f>
        <v>43097.576505949102</v>
      </c>
      <c r="E1" s="30"/>
      <c r="S1" s="51"/>
      <c r="T1" s="51"/>
      <c r="V1" s="44"/>
      <c r="W1" s="51"/>
    </row>
    <row r="2" spans="1:27" s="10" customFormat="1" ht="25.5" customHeight="1" x14ac:dyDescent="0.45">
      <c r="A2" s="50" t="str">
        <f>Data!B1</f>
        <v>ABC Company</v>
      </c>
      <c r="D2" s="20"/>
      <c r="E2" s="29"/>
      <c r="K2" s="20"/>
      <c r="S2" s="52"/>
      <c r="T2" s="52"/>
      <c r="V2" s="45"/>
      <c r="W2" s="52"/>
    </row>
    <row r="3" spans="1:27" ht="17.45" customHeight="1" x14ac:dyDescent="0.25">
      <c r="B3" s="11"/>
      <c r="C3" s="11"/>
      <c r="E3" s="28"/>
      <c r="F3" s="11"/>
      <c r="G3" s="11"/>
      <c r="H3" s="11"/>
      <c r="I3" s="11"/>
      <c r="J3" s="11"/>
      <c r="K3" s="21"/>
      <c r="L3" s="11"/>
      <c r="M3" s="11"/>
      <c r="N3" s="11"/>
      <c r="O3" s="11"/>
      <c r="P3" s="11"/>
      <c r="Q3" s="11"/>
      <c r="R3" s="11"/>
      <c r="U3" s="11"/>
      <c r="X3" s="11"/>
      <c r="Y3" s="11"/>
      <c r="Z3" s="11"/>
    </row>
    <row r="4" spans="1:27" ht="17.45" customHeight="1" x14ac:dyDescent="0.3">
      <c r="A4" s="77" t="s">
        <v>55</v>
      </c>
      <c r="B4" s="77"/>
      <c r="D4" s="12"/>
      <c r="E4" s="78" t="s">
        <v>318</v>
      </c>
      <c r="F4" s="77"/>
      <c r="G4" s="77"/>
      <c r="J4" s="79" t="s">
        <v>322</v>
      </c>
      <c r="K4" s="79"/>
      <c r="L4" s="79"/>
      <c r="M4" s="11"/>
      <c r="N4" s="11"/>
      <c r="O4" s="11"/>
      <c r="P4" s="11"/>
      <c r="Q4" s="11"/>
      <c r="R4" s="11"/>
      <c r="U4" s="11"/>
      <c r="X4" s="11"/>
      <c r="Y4" s="11"/>
      <c r="Z4" s="11"/>
    </row>
    <row r="5" spans="1:27" ht="17.45" customHeight="1" x14ac:dyDescent="0.3">
      <c r="A5" s="57" t="s">
        <v>50</v>
      </c>
      <c r="B5" s="58">
        <f>Data!B3</f>
        <v>43040</v>
      </c>
      <c r="D5" s="12"/>
      <c r="E5" s="61" t="s">
        <v>319</v>
      </c>
      <c r="F5" s="62"/>
      <c r="G5" s="63" t="s">
        <v>283</v>
      </c>
      <c r="J5" s="79"/>
      <c r="K5" s="79"/>
      <c r="L5" s="79"/>
      <c r="M5" s="13"/>
      <c r="N5" s="13"/>
      <c r="O5" s="13"/>
      <c r="P5" s="13"/>
      <c r="Q5" s="13"/>
      <c r="R5" s="13"/>
      <c r="S5" s="54"/>
      <c r="T5" s="54"/>
      <c r="U5" s="13"/>
      <c r="V5" s="47"/>
      <c r="W5" s="54"/>
      <c r="X5" s="13"/>
      <c r="Y5" s="13"/>
      <c r="Z5" s="13"/>
    </row>
    <row r="6" spans="1:27" ht="17.45" customHeight="1" x14ac:dyDescent="0.3">
      <c r="A6" s="57" t="s">
        <v>51</v>
      </c>
      <c r="B6" s="58">
        <f>Data!B4</f>
        <v>43069.999988425901</v>
      </c>
      <c r="C6" s="14"/>
      <c r="D6" s="12"/>
      <c r="E6" s="61" t="s">
        <v>320</v>
      </c>
      <c r="F6" s="62"/>
      <c r="G6" s="63" t="s">
        <v>308</v>
      </c>
      <c r="H6" s="15"/>
      <c r="I6" s="15"/>
      <c r="J6" s="79"/>
      <c r="K6" s="79"/>
      <c r="L6" s="79"/>
      <c r="M6" s="15"/>
      <c r="N6" s="15"/>
      <c r="O6" s="15"/>
      <c r="P6" s="15"/>
      <c r="Q6" s="15"/>
      <c r="R6" s="15"/>
      <c r="S6" s="55"/>
      <c r="T6" s="55"/>
      <c r="U6" s="15"/>
      <c r="V6" s="48"/>
      <c r="W6" s="55"/>
      <c r="X6" s="15"/>
      <c r="Y6" s="15"/>
      <c r="Z6" s="15"/>
    </row>
    <row r="7" spans="1:27" ht="17.45" customHeight="1" x14ac:dyDescent="0.3">
      <c r="A7" s="57" t="s">
        <v>310</v>
      </c>
      <c r="B7" s="59">
        <f>B6-B5</f>
        <v>29.999988425901392</v>
      </c>
      <c r="C7" s="14"/>
      <c r="D7" s="12"/>
      <c r="E7" s="13"/>
      <c r="F7" s="14"/>
      <c r="G7" s="14"/>
      <c r="H7" s="15"/>
      <c r="I7" s="15"/>
      <c r="J7" s="79"/>
      <c r="K7" s="79"/>
      <c r="L7" s="79"/>
      <c r="M7" s="15"/>
      <c r="N7" s="15"/>
      <c r="O7" s="15"/>
      <c r="P7" s="15"/>
      <c r="Q7" s="15"/>
      <c r="R7" s="15"/>
      <c r="S7" s="55"/>
      <c r="T7" s="55"/>
      <c r="U7" s="15"/>
      <c r="V7" s="48"/>
      <c r="W7" s="55"/>
      <c r="X7" s="15"/>
      <c r="Y7" s="15"/>
      <c r="Z7" s="15"/>
    </row>
    <row r="8" spans="1:27" ht="17.45" customHeight="1" x14ac:dyDescent="0.3">
      <c r="A8" s="36"/>
      <c r="B8" s="37"/>
      <c r="C8" s="14"/>
      <c r="D8" s="12"/>
      <c r="E8" s="13"/>
      <c r="F8" s="14"/>
      <c r="G8" s="14"/>
      <c r="H8" s="15"/>
      <c r="I8" s="15"/>
      <c r="J8" s="79"/>
      <c r="K8" s="79"/>
      <c r="L8" s="79"/>
      <c r="M8" s="15"/>
      <c r="N8" s="15"/>
      <c r="O8" s="15"/>
      <c r="P8" s="15"/>
      <c r="Q8" s="15"/>
      <c r="R8" s="15"/>
      <c r="S8" s="55"/>
      <c r="T8" s="55"/>
      <c r="U8" s="15"/>
      <c r="V8" s="48"/>
      <c r="W8" s="55"/>
      <c r="X8" s="15"/>
      <c r="Y8" s="15"/>
      <c r="Z8" s="15"/>
    </row>
    <row r="9" spans="1:27" ht="17.45" customHeight="1" x14ac:dyDescent="0.3">
      <c r="A9" s="60" t="s">
        <v>52</v>
      </c>
      <c r="B9" s="57" t="str">
        <f>PROPER(Data!B5)</f>
        <v>Miles</v>
      </c>
      <c r="C9" s="14"/>
      <c r="D9" s="12"/>
      <c r="E9" s="13"/>
      <c r="F9" s="14"/>
      <c r="G9" s="14"/>
      <c r="H9" s="15"/>
      <c r="I9" s="15"/>
      <c r="J9" s="79"/>
      <c r="K9" s="79"/>
      <c r="L9" s="79"/>
      <c r="M9" s="15"/>
      <c r="N9" s="15"/>
      <c r="O9" s="15"/>
      <c r="P9" s="15"/>
      <c r="Q9" s="15"/>
      <c r="R9" s="15"/>
      <c r="S9" s="55"/>
      <c r="T9" s="55"/>
      <c r="U9" s="15"/>
      <c r="V9" s="48"/>
      <c r="W9" s="55"/>
      <c r="X9" s="15"/>
      <c r="Y9" s="15"/>
      <c r="Z9" s="15"/>
    </row>
    <row r="10" spans="1:27" ht="17.45" customHeight="1" x14ac:dyDescent="0.25">
      <c r="B10" s="34"/>
      <c r="C10" s="34"/>
      <c r="E10" s="34"/>
      <c r="F10" s="34"/>
      <c r="G10" s="34"/>
    </row>
    <row r="11" spans="1:27" s="43" customFormat="1" ht="18" customHeight="1" x14ac:dyDescent="0.2">
      <c r="A11" s="42" t="s">
        <v>39</v>
      </c>
      <c r="B11" s="43" t="s">
        <v>134</v>
      </c>
      <c r="C11" s="43" t="s">
        <v>139</v>
      </c>
      <c r="D11" s="43" t="s">
        <v>293</v>
      </c>
      <c r="E11" s="43" t="s">
        <v>311</v>
      </c>
      <c r="F11" s="43" t="s">
        <v>284</v>
      </c>
      <c r="G11" s="43" t="s">
        <v>55</v>
      </c>
      <c r="H11" s="43" t="s">
        <v>40</v>
      </c>
      <c r="I11" s="43" t="s">
        <v>289</v>
      </c>
      <c r="J11" s="43" t="s">
        <v>312</v>
      </c>
      <c r="K11" s="43" t="s">
        <v>313</v>
      </c>
      <c r="L11" s="43" t="s">
        <v>41</v>
      </c>
      <c r="M11" s="43" t="s">
        <v>225</v>
      </c>
      <c r="N11" s="43" t="s">
        <v>42</v>
      </c>
      <c r="O11" s="43" t="s">
        <v>314</v>
      </c>
      <c r="P11" s="43" t="s">
        <v>43</v>
      </c>
      <c r="Q11" s="43" t="s">
        <v>44</v>
      </c>
      <c r="R11" s="43" t="s">
        <v>45</v>
      </c>
      <c r="S11" s="56" t="s">
        <v>9</v>
      </c>
      <c r="T11" s="56" t="s">
        <v>11</v>
      </c>
      <c r="U11" s="43" t="s">
        <v>46</v>
      </c>
      <c r="V11" s="49" t="s">
        <v>47</v>
      </c>
      <c r="W11" s="56" t="s">
        <v>315</v>
      </c>
      <c r="X11" s="43" t="s">
        <v>146</v>
      </c>
      <c r="Y11" s="43" t="s">
        <v>282</v>
      </c>
      <c r="Z11" s="43" t="s">
        <v>306</v>
      </c>
      <c r="AA11" s="43" t="s">
        <v>57</v>
      </c>
    </row>
    <row r="12" spans="1:27" ht="16.5" x14ac:dyDescent="0.3">
      <c r="A12" s="15" t="str">
        <f>Data!I11</f>
        <v>Driver A</v>
      </c>
      <c r="B12" s="15" t="str">
        <f>Data!G11</f>
        <v>FirstName</v>
      </c>
      <c r="C12" s="15" t="str">
        <f>Data!H11</f>
        <v>LastName</v>
      </c>
      <c r="D12" s="15" t="str">
        <f>Data!D11</f>
        <v>b1</v>
      </c>
      <c r="E12" s="26" t="str">
        <f>IF(ISBLANK(Data!J11),"",Data!J11)</f>
        <v>Entire Organization</v>
      </c>
      <c r="F12" s="24" t="str">
        <f>Data!K11</f>
        <v>b41B4DC05</v>
      </c>
      <c r="G12" s="16">
        <f>Data!A11</f>
        <v>43044.837280092601</v>
      </c>
      <c r="H12" s="17" t="str">
        <f>Data!B11</f>
        <v>D</v>
      </c>
      <c r="I12" s="17" t="str">
        <f>Data!N11</f>
        <v>aiZwnVeo8NkqR1G8uJ2mLLQ</v>
      </c>
      <c r="J12" s="17">
        <f>Data!X11</f>
        <v>0</v>
      </c>
      <c r="K12" s="75" t="str">
        <f>HYPERLINK("https://"&amp;$G$5&amp;"/"&amp;$G$6&amp;IF(ISNUMBER(SEARCH("/",$G$5)),"","/")&amp;"#hosLog,driver:"&amp;F12&amp;",id:"&amp;I12, $K$11)</f>
        <v>**Edit Log</v>
      </c>
      <c r="L12" s="17" t="str">
        <f>Data!C11</f>
        <v>Vehicle 1</v>
      </c>
      <c r="M12" s="17">
        <f>Data!O11</f>
        <v>0</v>
      </c>
      <c r="N12" s="17" t="str">
        <f>IF(Data!P11=0,"",Data!P11)</f>
        <v/>
      </c>
      <c r="O12" s="17" t="str">
        <f>IF(Data!Q11=0,"",Data!Q11)</f>
        <v/>
      </c>
      <c r="P12" s="18" t="str">
        <f>Data!T11</f>
        <v>Longitude</v>
      </c>
      <c r="Q12" s="18" t="str">
        <f>Data!U11</f>
        <v>Latitude</v>
      </c>
      <c r="R12" s="17" t="str">
        <f>Data!W11</f>
        <v>Street Address, City, State Zip, Country</v>
      </c>
      <c r="S12" s="54">
        <f>IF(ISNUMBER(SEARCH("ON",H12)),W12,0)</f>
        <v>0</v>
      </c>
      <c r="T12" s="54">
        <f>IF(ISNUMBER(SEARCH("D",H12)),W12,0)</f>
        <v>8.4722222018172033E-3</v>
      </c>
      <c r="U12" s="19">
        <f>Data!R11</f>
        <v>89723.03125</v>
      </c>
      <c r="V12" s="47">
        <f>Data!S11</f>
        <v>4.0093283653259304</v>
      </c>
      <c r="W12" s="54">
        <f>IF(A12=A13,G13-G12,IF(Data!$B$4&gt;Data!$B$2,Data!$B$2-G12,Data!$B$4-G12))</f>
        <v>8.4722222018172033E-3</v>
      </c>
      <c r="X12" s="16" t="str">
        <f>IF(Data!Y11=0,"",Data!Y11)</f>
        <v>Unassigned</v>
      </c>
      <c r="Y12" s="16" t="str">
        <f>IF(Data!Z11=0,"",Data!Z11)</f>
        <v/>
      </c>
      <c r="Z12" s="16" t="b">
        <f>IF(Y12="",FALSE,TRUE)</f>
        <v>0</v>
      </c>
      <c r="AA12" s="16">
        <f>IF(Data!AA11=0,"",Data!AA11)</f>
        <v>43045.510665937501</v>
      </c>
    </row>
    <row r="13" spans="1:27" ht="16.5" x14ac:dyDescent="0.3">
      <c r="A13" s="15" t="str">
        <f>Data!I12</f>
        <v>Driver A</v>
      </c>
      <c r="B13" s="15" t="str">
        <f>Data!G12</f>
        <v>FirstName</v>
      </c>
      <c r="C13" s="15" t="str">
        <f>Data!H12</f>
        <v>LastName</v>
      </c>
      <c r="D13" s="15" t="str">
        <f>Data!D12</f>
        <v>b1</v>
      </c>
      <c r="E13" s="26" t="str">
        <f>IF(ISBLANK(Data!J12),"",Data!J12)</f>
        <v>Entire Organization</v>
      </c>
      <c r="F13" s="24" t="str">
        <f>Data!K12</f>
        <v>b41B4DC05</v>
      </c>
      <c r="G13" s="16">
        <f>Data!A12</f>
        <v>43044.845752314803</v>
      </c>
      <c r="H13" s="17" t="str">
        <f>Data!B12</f>
        <v>ON</v>
      </c>
      <c r="I13" s="17" t="str">
        <f>Data!N12</f>
        <v>aKE-Ly-o-30airjvXlI7tpw</v>
      </c>
      <c r="J13" s="17">
        <f>Data!X12</f>
        <v>0</v>
      </c>
      <c r="K13" s="75" t="str">
        <f t="shared" ref="K13:K32" si="0">HYPERLINK("https://"&amp;$G$5&amp;"/"&amp;$G$6&amp;IF(ISNUMBER(SEARCH("/",$G$5)),"","/")&amp;"#hosLog,driver:"&amp;F13&amp;",id:"&amp;I13, $K$11)</f>
        <v>**Edit Log</v>
      </c>
      <c r="L13" s="17" t="str">
        <f>Data!C12</f>
        <v>Vehicle 1</v>
      </c>
      <c r="M13" s="17">
        <f>Data!O12</f>
        <v>0</v>
      </c>
      <c r="N13" s="17" t="str">
        <f>IF(Data!P12=0,"",Data!P12)</f>
        <v/>
      </c>
      <c r="O13" s="17" t="str">
        <f>IF(Data!Q12=0,"",Data!Q12)</f>
        <v/>
      </c>
      <c r="P13" s="18" t="str">
        <f>Data!T12</f>
        <v>Longitude</v>
      </c>
      <c r="Q13" s="18" t="str">
        <f>Data!U12</f>
        <v>Latitude</v>
      </c>
      <c r="R13" s="17" t="str">
        <f>Data!W12</f>
        <v>Street Address, City, State Zip, Country</v>
      </c>
      <c r="S13" s="54">
        <f t="shared" ref="S13:S32" si="1">IF(ISNUMBER(SEARCH("ON",H13)),W13,0)</f>
        <v>0.6653471065001213</v>
      </c>
      <c r="T13" s="54">
        <f t="shared" ref="T13:T32" si="2">IF(ISNUMBER(SEARCH("D",H13)),W13,0)</f>
        <v>0</v>
      </c>
      <c r="U13" s="19">
        <f>Data!R12</f>
        <v>89727.0390625</v>
      </c>
      <c r="V13" s="47">
        <f>Data!S12</f>
        <v>0</v>
      </c>
      <c r="W13" s="54">
        <f>IF(A13=A14,G14-G13,IF(Data!$B$4&gt;Data!$B$2,Data!$B$2-G13,Data!$B$4-G13))</f>
        <v>0.6653471065001213</v>
      </c>
      <c r="X13" s="16" t="str">
        <f>IF(Data!Y12=0,"",Data!Y12)</f>
        <v>Unassigned</v>
      </c>
      <c r="Y13" s="16" t="str">
        <f>IF(Data!Z12=0,"",Data!Z12)</f>
        <v/>
      </c>
      <c r="Z13" s="16" t="b">
        <f t="shared" ref="Z13:Z32" si="3">IF(Y13="",FALSE,TRUE)</f>
        <v>0</v>
      </c>
      <c r="AA13" s="16">
        <f>IF(Data!AA12=0,"",Data!AA12)</f>
        <v>43045.510665937501</v>
      </c>
    </row>
    <row r="14" spans="1:27" ht="16.5" x14ac:dyDescent="0.3">
      <c r="A14" s="15" t="str">
        <f>Data!I13</f>
        <v>Driver A</v>
      </c>
      <c r="B14" s="15" t="str">
        <f>Data!G13</f>
        <v>FirstName</v>
      </c>
      <c r="C14" s="15" t="str">
        <f>Data!H13</f>
        <v>LastName</v>
      </c>
      <c r="D14" s="15" t="str">
        <f>Data!D13</f>
        <v>b1</v>
      </c>
      <c r="E14" s="26" t="str">
        <f>IF(ISBLANK(Data!J13),"",Data!J13)</f>
        <v>Entire Organization</v>
      </c>
      <c r="F14" s="24" t="str">
        <f>Data!K13</f>
        <v>b41B4DC05</v>
      </c>
      <c r="G14" s="16">
        <f>Data!A13</f>
        <v>43045.511099421303</v>
      </c>
      <c r="H14" s="17" t="str">
        <f>Data!B13</f>
        <v>D</v>
      </c>
      <c r="I14" s="17" t="str">
        <f>Data!N13</f>
        <v>aHvc1n1rddE2TChhSyRPSew</v>
      </c>
      <c r="J14" s="17">
        <f>Data!X13</f>
        <v>0</v>
      </c>
      <c r="K14" s="75" t="str">
        <f t="shared" si="0"/>
        <v>**Edit Log</v>
      </c>
      <c r="L14" s="17" t="str">
        <f>Data!C13</f>
        <v>Vehicle 1</v>
      </c>
      <c r="M14" s="17">
        <f>Data!O13</f>
        <v>0</v>
      </c>
      <c r="N14" s="17" t="str">
        <f>IF(Data!P13=0,"",Data!P13)</f>
        <v/>
      </c>
      <c r="O14" s="17" t="str">
        <f>IF(Data!Q13=0,"",Data!Q13)</f>
        <v>#100293</v>
      </c>
      <c r="P14" s="18" t="str">
        <f>Data!T13</f>
        <v>Longitude</v>
      </c>
      <c r="Q14" s="18" t="str">
        <f>Data!U13</f>
        <v>Latitude</v>
      </c>
      <c r="R14" s="17" t="str">
        <f>Data!W13</f>
        <v>Street Address, City, State Zip, Country</v>
      </c>
      <c r="S14" s="54">
        <f t="shared" si="1"/>
        <v>0</v>
      </c>
      <c r="T14" s="54">
        <f t="shared" si="2"/>
        <v>3.2754629501141608E-4</v>
      </c>
      <c r="U14" s="19">
        <f>Data!R13</f>
        <v>89727.0390625</v>
      </c>
      <c r="V14" s="47">
        <f>Data!S13</f>
        <v>0</v>
      </c>
      <c r="W14" s="54">
        <f>IF(A14=A15,G15-G14,IF(Data!$B$4&gt;Data!$B$2,Data!$B$2-G14,Data!$B$4-G14))</f>
        <v>3.2754629501141608E-4</v>
      </c>
      <c r="X14" s="16" t="str">
        <f>IF(Data!Y13=0,"",Data!Y13)</f>
        <v>Manual</v>
      </c>
      <c r="Y14" s="16" t="str">
        <f>IF(Data!Z13=0,"",Data!Z13)</f>
        <v/>
      </c>
      <c r="Z14" s="16" t="b">
        <f t="shared" si="3"/>
        <v>0</v>
      </c>
      <c r="AA14" s="16" t="str">
        <f>IF(Data!AA13=0,"",Data!AA13)</f>
        <v/>
      </c>
    </row>
    <row r="15" spans="1:27" ht="16.5" x14ac:dyDescent="0.3">
      <c r="A15" s="15" t="str">
        <f>Data!I14</f>
        <v>Driver A</v>
      </c>
      <c r="B15" s="15" t="str">
        <f>Data!G14</f>
        <v>FirstName</v>
      </c>
      <c r="C15" s="15" t="str">
        <f>Data!H14</f>
        <v>LastName</v>
      </c>
      <c r="D15" s="15" t="str">
        <f>Data!D14</f>
        <v>b1</v>
      </c>
      <c r="E15" s="26" t="str">
        <f>IF(ISBLANK(Data!J14),"",Data!J14)</f>
        <v>Entire Organization</v>
      </c>
      <c r="F15" s="24" t="str">
        <f>Data!K14</f>
        <v>b41B4DC05</v>
      </c>
      <c r="G15" s="16">
        <f>Data!A14</f>
        <v>43045.511426967598</v>
      </c>
      <c r="H15" s="17" t="str">
        <f>Data!B14</f>
        <v>OFF</v>
      </c>
      <c r="I15" s="17" t="str">
        <f>Data!N14</f>
        <v>aUniR0XjEtkmhrWhTlyD15A</v>
      </c>
      <c r="J15" s="17">
        <f>Data!X14</f>
        <v>0</v>
      </c>
      <c r="K15" s="75" t="str">
        <f t="shared" si="0"/>
        <v>**Edit Log</v>
      </c>
      <c r="L15" s="17" t="str">
        <f>Data!C14</f>
        <v>Vehicle 1</v>
      </c>
      <c r="M15" s="17">
        <f>Data!O14</f>
        <v>0</v>
      </c>
      <c r="N15" s="17" t="str">
        <f>IF(Data!P14=0,"",Data!P14)</f>
        <v/>
      </c>
      <c r="O15" s="17" t="str">
        <f>IF(Data!Q14=0,"",Data!Q14)</f>
        <v/>
      </c>
      <c r="P15" s="18" t="str">
        <f>Data!T14</f>
        <v>Longitude</v>
      </c>
      <c r="Q15" s="18" t="str">
        <f>Data!U14</f>
        <v>Latitude</v>
      </c>
      <c r="R15" s="17" t="str">
        <f>Data!W14</f>
        <v>Street Address, City, State Zip, Country</v>
      </c>
      <c r="S15" s="54">
        <f t="shared" si="1"/>
        <v>0</v>
      </c>
      <c r="T15" s="54">
        <f t="shared" si="2"/>
        <v>0</v>
      </c>
      <c r="U15" s="19">
        <f>Data!R14</f>
        <v>89727.0390625</v>
      </c>
      <c r="V15" s="47">
        <f>Data!S14</f>
        <v>0</v>
      </c>
      <c r="W15" s="54">
        <f>IF(A15=A16,G16-G15,IF(Data!$B$4&gt;Data!$B$2,Data!$B$2-G15,Data!$B$4-G15))</f>
        <v>0.41414016199996695</v>
      </c>
      <c r="X15" s="16" t="str">
        <f>IF(Data!Y14=0,"",Data!Y14)</f>
        <v>Manual</v>
      </c>
      <c r="Y15" s="16" t="str">
        <f>IF(Data!Z14=0,"",Data!Z14)</f>
        <v/>
      </c>
      <c r="Z15" s="16" t="b">
        <f t="shared" si="3"/>
        <v>0</v>
      </c>
      <c r="AA15" s="16" t="str">
        <f>IF(Data!AA14=0,"",Data!AA14)</f>
        <v/>
      </c>
    </row>
    <row r="16" spans="1:27" ht="16.5" x14ac:dyDescent="0.3">
      <c r="A16" s="15" t="str">
        <f>Data!I15</f>
        <v>Driver A</v>
      </c>
      <c r="B16" s="15" t="str">
        <f>Data!G15</f>
        <v>FirstName</v>
      </c>
      <c r="C16" s="15" t="str">
        <f>Data!H15</f>
        <v>LastName</v>
      </c>
      <c r="D16" s="15" t="str">
        <f>Data!D15</f>
        <v>b1</v>
      </c>
      <c r="E16" s="26" t="str">
        <f>IF(ISBLANK(Data!J15),"",Data!J15)</f>
        <v>Entire Organization</v>
      </c>
      <c r="F16" s="24" t="str">
        <f>Data!K15</f>
        <v>b41B4DC05</v>
      </c>
      <c r="G16" s="16">
        <f>Data!A15</f>
        <v>43045.925567129598</v>
      </c>
      <c r="H16" s="17" t="str">
        <f>Data!B15</f>
        <v>D</v>
      </c>
      <c r="I16" s="17" t="str">
        <f>Data!N15</f>
        <v>aivdl-UqjCECaS8Ux7BkQhA</v>
      </c>
      <c r="J16" s="17">
        <f>Data!X15</f>
        <v>0</v>
      </c>
      <c r="K16" s="75" t="str">
        <f t="shared" si="0"/>
        <v>**Edit Log</v>
      </c>
      <c r="L16" s="17" t="str">
        <f>Data!C15</f>
        <v>Vehicle 1</v>
      </c>
      <c r="M16" s="17">
        <f>Data!O15</f>
        <v>0</v>
      </c>
      <c r="N16" s="17" t="str">
        <f>IF(Data!P15=0,"",Data!P15)</f>
        <v/>
      </c>
      <c r="O16" s="17" t="str">
        <f>IF(Data!Q15=0,"",Data!Q15)</f>
        <v/>
      </c>
      <c r="P16" s="18" t="str">
        <f>Data!T15</f>
        <v>Longitude</v>
      </c>
      <c r="Q16" s="18" t="str">
        <f>Data!U15</f>
        <v>Latitude</v>
      </c>
      <c r="R16" s="17" t="str">
        <f>Data!W15</f>
        <v>Street Address, City, State Zip, Country</v>
      </c>
      <c r="S16" s="54">
        <f t="shared" si="1"/>
        <v>0</v>
      </c>
      <c r="T16" s="54">
        <f t="shared" si="2"/>
        <v>9.1203703996143304E-3</v>
      </c>
      <c r="U16" s="19">
        <f>Data!R15</f>
        <v>89727.0390625</v>
      </c>
      <c r="V16" s="47">
        <f>Data!S15</f>
        <v>3.9767758846282999</v>
      </c>
      <c r="W16" s="54">
        <f>IF(A16=A17,G17-G16,IF(Data!$B$4&gt;Data!$B$2,Data!$B$2-G16,Data!$B$4-G16))</f>
        <v>9.1203703996143304E-3</v>
      </c>
      <c r="X16" s="16" t="str">
        <f>IF(Data!Y15=0,"",Data!Y15)</f>
        <v>Automatic</v>
      </c>
      <c r="Y16" s="16" t="str">
        <f>IF(Data!Z15=0,"",Data!Z15)</f>
        <v/>
      </c>
      <c r="Z16" s="16" t="b">
        <f t="shared" si="3"/>
        <v>0</v>
      </c>
      <c r="AA16" s="16" t="str">
        <f>IF(Data!AA15=0,"",Data!AA15)</f>
        <v/>
      </c>
    </row>
    <row r="17" spans="1:27" ht="16.5" x14ac:dyDescent="0.3">
      <c r="A17" s="15" t="str">
        <f>Data!I16</f>
        <v>Driver A</v>
      </c>
      <c r="B17" s="15" t="str">
        <f>Data!G16</f>
        <v>FirstName</v>
      </c>
      <c r="C17" s="15" t="str">
        <f>Data!H16</f>
        <v>LastName</v>
      </c>
      <c r="D17" s="15" t="str">
        <f>Data!D16</f>
        <v>b1</v>
      </c>
      <c r="E17" s="26" t="str">
        <f>IF(ISBLANK(Data!J16),"",Data!J16)</f>
        <v>Entire Organization</v>
      </c>
      <c r="F17" s="24" t="str">
        <f>Data!K16</f>
        <v>b41B4DC05</v>
      </c>
      <c r="G17" s="16">
        <f>Data!A16</f>
        <v>43045.934687499997</v>
      </c>
      <c r="H17" s="17" t="str">
        <f>Data!B16</f>
        <v>ON</v>
      </c>
      <c r="I17" s="17" t="str">
        <f>Data!N16</f>
        <v>aeQfGlpJyVEmQ3_WRTiLYnQ</v>
      </c>
      <c r="J17" s="17">
        <f>Data!X16</f>
        <v>0</v>
      </c>
      <c r="K17" s="75" t="str">
        <f t="shared" si="0"/>
        <v>**Edit Log</v>
      </c>
      <c r="L17" s="17" t="str">
        <f>Data!C16</f>
        <v>Vehicle 1</v>
      </c>
      <c r="M17" s="17">
        <f>Data!O16</f>
        <v>0</v>
      </c>
      <c r="N17" s="17" t="str">
        <f>IF(Data!P16=0,"",Data!P16)</f>
        <v/>
      </c>
      <c r="O17" s="17" t="str">
        <f>IF(Data!Q16=0,"",Data!Q16)</f>
        <v/>
      </c>
      <c r="P17" s="18" t="str">
        <f>Data!T16</f>
        <v>Longitude</v>
      </c>
      <c r="Q17" s="18" t="str">
        <f>Data!U16</f>
        <v>Latitude</v>
      </c>
      <c r="R17" s="17" t="str">
        <f>Data!W16</f>
        <v>Street Address, City, State Zip, Country</v>
      </c>
      <c r="S17" s="54">
        <f t="shared" si="1"/>
        <v>0.95743055560160428</v>
      </c>
      <c r="T17" s="54">
        <f t="shared" si="2"/>
        <v>0</v>
      </c>
      <c r="U17" s="19">
        <f>Data!R16</f>
        <v>89731.015625</v>
      </c>
      <c r="V17" s="47">
        <f>Data!S16</f>
        <v>3.5811413079500198E-2</v>
      </c>
      <c r="W17" s="54">
        <f>IF(A17=A18,G18-G17,IF(Data!$B$4&gt;Data!$B$2,Data!$B$2-G17,Data!$B$4-G17))</f>
        <v>0.95743055560160428</v>
      </c>
      <c r="X17" s="16" t="str">
        <f>IF(Data!Y16=0,"",Data!Y16)</f>
        <v>Automatic</v>
      </c>
      <c r="Y17" s="16" t="str">
        <f>IF(Data!Z16=0,"",Data!Z16)</f>
        <v/>
      </c>
      <c r="Z17" s="16" t="b">
        <f t="shared" si="3"/>
        <v>0</v>
      </c>
      <c r="AA17" s="16" t="str">
        <f>IF(Data!AA16=0,"",Data!AA16)</f>
        <v/>
      </c>
    </row>
    <row r="18" spans="1:27" ht="16.5" x14ac:dyDescent="0.3">
      <c r="A18" s="15" t="str">
        <f>Data!I17</f>
        <v>Driver A</v>
      </c>
      <c r="B18" s="15" t="str">
        <f>Data!G17</f>
        <v>FirstName</v>
      </c>
      <c r="C18" s="15" t="str">
        <f>Data!H17</f>
        <v>LastName</v>
      </c>
      <c r="D18" s="15" t="str">
        <f>Data!D17</f>
        <v>b1</v>
      </c>
      <c r="E18" s="26" t="str">
        <f>IF(ISBLANK(Data!J17),"",Data!J17)</f>
        <v>Entire Organization</v>
      </c>
      <c r="F18" s="24" t="str">
        <f>Data!K17</f>
        <v>b41B4DC05</v>
      </c>
      <c r="G18" s="16">
        <f>Data!A17</f>
        <v>43046.892118055599</v>
      </c>
      <c r="H18" s="17" t="str">
        <f>Data!B17</f>
        <v>D</v>
      </c>
      <c r="I18" s="17" t="str">
        <f>Data!N17</f>
        <v>aFyDrfOySxUSMLZyRte8BIg</v>
      </c>
      <c r="J18" s="17">
        <f>Data!X17</f>
        <v>0</v>
      </c>
      <c r="K18" s="75" t="str">
        <f t="shared" si="0"/>
        <v>**Edit Log</v>
      </c>
      <c r="L18" s="17" t="str">
        <f>Data!C17</f>
        <v>Vehicle 1</v>
      </c>
      <c r="M18" s="17">
        <f>Data!O17</f>
        <v>0</v>
      </c>
      <c r="N18" s="17" t="str">
        <f>IF(Data!P17=0,"",Data!P17)</f>
        <v/>
      </c>
      <c r="O18" s="17" t="str">
        <f>IF(Data!Q17=0,"",Data!Q17)</f>
        <v>Tractor #8</v>
      </c>
      <c r="P18" s="18" t="str">
        <f>Data!T17</f>
        <v>Longitude</v>
      </c>
      <c r="Q18" s="18" t="str">
        <f>Data!U17</f>
        <v>Latitude</v>
      </c>
      <c r="R18" s="17" t="str">
        <f>Data!W17</f>
        <v>Street Address, City, State Zip, Country</v>
      </c>
      <c r="S18" s="54">
        <f t="shared" si="1"/>
        <v>0</v>
      </c>
      <c r="T18" s="54">
        <f t="shared" si="2"/>
        <v>1.1747685100999661E-2</v>
      </c>
      <c r="U18" s="19">
        <f>Data!R17</f>
        <v>89731.0546875</v>
      </c>
      <c r="V18" s="47">
        <f>Data!S17</f>
        <v>11.9566535949707</v>
      </c>
      <c r="W18" s="54">
        <f>IF(A18=A19,G19-G18,IF(Data!$B$4&gt;Data!$B$2,Data!$B$2-G18,Data!$B$4-G18))</f>
        <v>1.1747685100999661E-2</v>
      </c>
      <c r="X18" s="16" t="str">
        <f>IF(Data!Y17=0,"",Data!Y17)</f>
        <v>Automatic</v>
      </c>
      <c r="Y18" s="16" t="str">
        <f>IF(Data!Z17=0,"",Data!Z17)</f>
        <v/>
      </c>
      <c r="Z18" s="16" t="b">
        <f t="shared" si="3"/>
        <v>0</v>
      </c>
      <c r="AA18" s="16" t="str">
        <f>IF(Data!AA17=0,"",Data!AA17)</f>
        <v/>
      </c>
    </row>
    <row r="19" spans="1:27" ht="16.5" x14ac:dyDescent="0.3">
      <c r="A19" s="15" t="str">
        <f>Data!I18</f>
        <v>Driver A</v>
      </c>
      <c r="B19" s="15" t="str">
        <f>Data!G18</f>
        <v>FirstName</v>
      </c>
      <c r="C19" s="15" t="str">
        <f>Data!H18</f>
        <v>LastName</v>
      </c>
      <c r="D19" s="15" t="str">
        <f>Data!D18</f>
        <v>b1</v>
      </c>
      <c r="E19" s="26" t="str">
        <f>IF(ISBLANK(Data!J18),"",Data!J18)</f>
        <v>Entire Organization</v>
      </c>
      <c r="F19" s="24" t="str">
        <f>Data!K18</f>
        <v>b41B4DC05</v>
      </c>
      <c r="G19" s="16">
        <f>Data!A18</f>
        <v>43046.9038657407</v>
      </c>
      <c r="H19" s="17" t="str">
        <f>Data!B18</f>
        <v>ON</v>
      </c>
      <c r="I19" s="17" t="str">
        <f>Data!N18</f>
        <v>aUYKXN0Zq8Ue4hpU5RbVvwQ</v>
      </c>
      <c r="J19" s="17">
        <f>Data!X18</f>
        <v>0</v>
      </c>
      <c r="K19" s="75" t="str">
        <f t="shared" si="0"/>
        <v>**Edit Log</v>
      </c>
      <c r="L19" s="17" t="str">
        <f>Data!C18</f>
        <v>Vehicle 1</v>
      </c>
      <c r="M19" s="17">
        <f>Data!O18</f>
        <v>0</v>
      </c>
      <c r="N19" s="17" t="str">
        <f>IF(Data!P18=0,"",Data!P18)</f>
        <v/>
      </c>
      <c r="O19" s="17" t="str">
        <f>IF(Data!Q18=0,"",Data!Q18)</f>
        <v/>
      </c>
      <c r="P19" s="18" t="str">
        <f>Data!T18</f>
        <v>Longitude</v>
      </c>
      <c r="Q19" s="18" t="str">
        <f>Data!U18</f>
        <v>Latitude</v>
      </c>
      <c r="R19" s="17" t="str">
        <f>Data!W18</f>
        <v>Street Address, City, State Zip, Country</v>
      </c>
      <c r="S19" s="54">
        <f t="shared" si="1"/>
        <v>0.1561574075021781</v>
      </c>
      <c r="T19" s="54">
        <f t="shared" si="2"/>
        <v>0</v>
      </c>
      <c r="U19" s="19">
        <f>Data!R18</f>
        <v>89743.015625</v>
      </c>
      <c r="V19" s="47">
        <f>Data!S18</f>
        <v>3.2644506543874699E-2</v>
      </c>
      <c r="W19" s="54">
        <f>IF(A19=A20,G20-G19,IF(Data!$B$4&gt;Data!$B$2,Data!$B$2-G19,Data!$B$4-G19))</f>
        <v>0.1561574075021781</v>
      </c>
      <c r="X19" s="16" t="str">
        <f>IF(Data!Y18=0,"",Data!Y18)</f>
        <v>Automatic</v>
      </c>
      <c r="Y19" s="16" t="str">
        <f>IF(Data!Z18=0,"",Data!Z18)</f>
        <v/>
      </c>
      <c r="Z19" s="16" t="b">
        <f t="shared" si="3"/>
        <v>0</v>
      </c>
      <c r="AA19" s="16" t="str">
        <f>IF(Data!AA18=0,"",Data!AA18)</f>
        <v/>
      </c>
    </row>
    <row r="20" spans="1:27" ht="16.5" x14ac:dyDescent="0.3">
      <c r="A20" s="15" t="str">
        <f>Data!I19</f>
        <v>Driver A</v>
      </c>
      <c r="B20" s="15" t="str">
        <f>Data!G19</f>
        <v>FirstName</v>
      </c>
      <c r="C20" s="15" t="str">
        <f>Data!H19</f>
        <v>LastName</v>
      </c>
      <c r="D20" s="15" t="str">
        <f>Data!D19</f>
        <v>b1</v>
      </c>
      <c r="E20" s="26" t="str">
        <f>IF(ISBLANK(Data!J19),"",Data!J19)</f>
        <v>Entire Organization</v>
      </c>
      <c r="F20" s="24" t="str">
        <f>Data!K19</f>
        <v>b41B4DC05</v>
      </c>
      <c r="G20" s="16">
        <f>Data!A19</f>
        <v>43047.060023148202</v>
      </c>
      <c r="H20" s="17" t="str">
        <f>Data!B19</f>
        <v>D</v>
      </c>
      <c r="I20" s="17" t="str">
        <f>Data!N19</f>
        <v>aBnW6FD9ZREesgOc-mSoyZQ</v>
      </c>
      <c r="J20" s="17">
        <f>Data!X19</f>
        <v>0</v>
      </c>
      <c r="K20" s="75" t="str">
        <f t="shared" si="0"/>
        <v>**Edit Log</v>
      </c>
      <c r="L20" s="17" t="str">
        <f>Data!C19</f>
        <v>Vehicle 1</v>
      </c>
      <c r="M20" s="17">
        <f>Data!O19</f>
        <v>0</v>
      </c>
      <c r="N20" s="17" t="str">
        <f>IF(Data!P19=0,"",Data!P19)</f>
        <v/>
      </c>
      <c r="O20" s="17" t="str">
        <f>IF(Data!Q19=0,"",Data!Q19)</f>
        <v/>
      </c>
      <c r="P20" s="18" t="str">
        <f>Data!T19</f>
        <v>Longitude</v>
      </c>
      <c r="Q20" s="18" t="str">
        <f>Data!U19</f>
        <v>Latitude</v>
      </c>
      <c r="R20" s="17" t="str">
        <f>Data!W19</f>
        <v>Street Address, City, State Zip, Country</v>
      </c>
      <c r="S20" s="54">
        <f t="shared" si="1"/>
        <v>0</v>
      </c>
      <c r="T20" s="54">
        <f t="shared" si="2"/>
        <v>1.2430555500031915E-2</v>
      </c>
      <c r="U20" s="19">
        <f>Data!R19</f>
        <v>89743.046875</v>
      </c>
      <c r="V20" s="47">
        <f>Data!S19</f>
        <v>5.9946565628051802</v>
      </c>
      <c r="W20" s="54">
        <f>IF(A20=A21,G21-G20,IF(Data!$B$4&gt;Data!$B$2,Data!$B$2-G20,Data!$B$4-G20))</f>
        <v>1.2430555500031915E-2</v>
      </c>
      <c r="X20" s="16" t="str">
        <f>IF(Data!Y19=0,"",Data!Y19)</f>
        <v>Automatic</v>
      </c>
      <c r="Y20" s="16">
        <f>IF(Data!Z19=0,"",Data!Z19)</f>
        <v>43045.531504629631</v>
      </c>
      <c r="Z20" s="16" t="b">
        <f t="shared" si="3"/>
        <v>1</v>
      </c>
      <c r="AA20" s="16" t="str">
        <f>IF(Data!AA19=0,"",Data!AA19)</f>
        <v/>
      </c>
    </row>
    <row r="21" spans="1:27" ht="16.5" x14ac:dyDescent="0.3">
      <c r="A21" s="15" t="str">
        <f>Data!I20</f>
        <v>Driver A</v>
      </c>
      <c r="B21" s="15" t="str">
        <f>Data!G20</f>
        <v>FirstName</v>
      </c>
      <c r="C21" s="15" t="str">
        <f>Data!H20</f>
        <v>LastName</v>
      </c>
      <c r="D21" s="15" t="str">
        <f>Data!D20</f>
        <v>b1</v>
      </c>
      <c r="E21" s="26" t="str">
        <f>IF(ISBLANK(Data!J20),"",Data!J20)</f>
        <v>Entire Organization</v>
      </c>
      <c r="F21" s="24" t="str">
        <f>Data!K20</f>
        <v>b41B4DC05</v>
      </c>
      <c r="G21" s="16">
        <f>Data!A20</f>
        <v>43047.072453703702</v>
      </c>
      <c r="H21" s="17" t="str">
        <f>Data!B20</f>
        <v>ON</v>
      </c>
      <c r="I21" s="17" t="str">
        <f>Data!N20</f>
        <v>aL8gIzepeKESvSuyJh39WrA</v>
      </c>
      <c r="J21" s="17">
        <f>Data!X20</f>
        <v>0</v>
      </c>
      <c r="K21" s="75" t="str">
        <f t="shared" si="0"/>
        <v>**Edit Log</v>
      </c>
      <c r="L21" s="17" t="str">
        <f>Data!C20</f>
        <v>Vehicle 1</v>
      </c>
      <c r="M21" s="17">
        <f>Data!O20</f>
        <v>0</v>
      </c>
      <c r="N21" s="17" t="str">
        <f>IF(Data!P20=0,"",Data!P20)</f>
        <v/>
      </c>
      <c r="O21" s="17" t="str">
        <f>IF(Data!Q20=0,"",Data!Q20)</f>
        <v/>
      </c>
      <c r="P21" s="18" t="str">
        <f>Data!T20</f>
        <v>Longitude</v>
      </c>
      <c r="Q21" s="18" t="str">
        <f>Data!U20</f>
        <v>Latitude</v>
      </c>
      <c r="R21" s="17" t="str">
        <f>Data!W20</f>
        <v>Street Address, City, State Zip, Country</v>
      </c>
      <c r="S21" s="54">
        <f t="shared" si="1"/>
        <v>6.2697466434983653</v>
      </c>
      <c r="T21" s="54">
        <f t="shared" si="2"/>
        <v>0</v>
      </c>
      <c r="U21" s="19">
        <f>Data!R20</f>
        <v>89749.0390625</v>
      </c>
      <c r="V21" s="47">
        <f>Data!S20</f>
        <v>0</v>
      </c>
      <c r="W21" s="54">
        <f>IF(A21=A22,G22-G21,IF(Data!$B$4&gt;Data!$B$2,Data!$B$2-G21,Data!$B$4-G21))</f>
        <v>6.2697466434983653</v>
      </c>
      <c r="X21" s="16" t="str">
        <f>IF(Data!Y20=0,"",Data!Y20)</f>
        <v>Automatic</v>
      </c>
      <c r="Y21" s="16" t="str">
        <f>IF(Data!Z20=0,"",Data!Z20)</f>
        <v/>
      </c>
      <c r="Z21" s="16" t="b">
        <f t="shared" si="3"/>
        <v>0</v>
      </c>
      <c r="AA21" s="16" t="str">
        <f>IF(Data!AA20=0,"",Data!AA20)</f>
        <v/>
      </c>
    </row>
    <row r="22" spans="1:27" ht="16.5" x14ac:dyDescent="0.3">
      <c r="A22" s="15" t="str">
        <f>Data!I21</f>
        <v>Driver A</v>
      </c>
      <c r="B22" s="15" t="str">
        <f>Data!G21</f>
        <v>FirstName</v>
      </c>
      <c r="C22" s="15" t="str">
        <f>Data!H21</f>
        <v>LastName</v>
      </c>
      <c r="D22" s="15" t="str">
        <f>Data!D21</f>
        <v>b1</v>
      </c>
      <c r="E22" s="26" t="str">
        <f>IF(ISBLANK(Data!J21),"",Data!J21)</f>
        <v>Entire Organization</v>
      </c>
      <c r="F22" s="24" t="str">
        <f>Data!K21</f>
        <v>b41B4DC05</v>
      </c>
      <c r="G22" s="16">
        <f>Data!A21</f>
        <v>43053.342200347201</v>
      </c>
      <c r="H22" s="17" t="str">
        <f>Data!B21</f>
        <v>OFF</v>
      </c>
      <c r="I22" s="17" t="str">
        <f>Data!N21</f>
        <v>a8p35cUCu6UiTrxHPAXDjnA</v>
      </c>
      <c r="J22" s="17">
        <f>Data!X21</f>
        <v>0</v>
      </c>
      <c r="K22" s="75" t="str">
        <f t="shared" si="0"/>
        <v>**Edit Log</v>
      </c>
      <c r="L22" s="17" t="str">
        <f>Data!C21</f>
        <v>Vehicle 1</v>
      </c>
      <c r="M22" s="17">
        <f>Data!O21</f>
        <v>0</v>
      </c>
      <c r="N22" s="17" t="str">
        <f>IF(Data!P21=0,"",Data!P21)</f>
        <v/>
      </c>
      <c r="O22" s="17" t="str">
        <f>IF(Data!Q21=0,"",Data!Q21)</f>
        <v/>
      </c>
      <c r="P22" s="18" t="str">
        <f>Data!T21</f>
        <v>Longitude</v>
      </c>
      <c r="Q22" s="18" t="str">
        <f>Data!U21</f>
        <v>Latitude</v>
      </c>
      <c r="R22" s="17" t="str">
        <f>Data!W21</f>
        <v>Street Address, City, State Zip, Country</v>
      </c>
      <c r="S22" s="54">
        <f t="shared" si="1"/>
        <v>0</v>
      </c>
      <c r="T22" s="54">
        <f t="shared" si="2"/>
        <v>0</v>
      </c>
      <c r="U22" s="19">
        <f>Data!R21</f>
        <v>0</v>
      </c>
      <c r="V22" s="47">
        <f>Data!S21</f>
        <v>0</v>
      </c>
      <c r="W22" s="54">
        <f>IF(A22=A23,G23-G22,IF(Data!$B$4&gt;Data!$B$2,Data!$B$2-G22,Data!$B$4-G22))</f>
        <v>16.657788078700833</v>
      </c>
      <c r="X22" s="16" t="str">
        <f>IF(Data!Y21=0,"",Data!Y21)</f>
        <v>Manual</v>
      </c>
      <c r="Y22" s="16" t="str">
        <f>IF(Data!Z21=0,"",Data!Z21)</f>
        <v/>
      </c>
      <c r="Z22" s="16" t="b">
        <f t="shared" si="3"/>
        <v>0</v>
      </c>
      <c r="AA22" s="16" t="str">
        <f>IF(Data!AA21=0,"",Data!AA21)</f>
        <v/>
      </c>
    </row>
    <row r="23" spans="1:27" ht="16.5" x14ac:dyDescent="0.3">
      <c r="A23" s="15" t="str">
        <f>Data!I22</f>
        <v>Driver B</v>
      </c>
      <c r="B23" s="15" t="str">
        <f>Data!G22</f>
        <v>FirstName</v>
      </c>
      <c r="C23" s="15" t="str">
        <f>Data!H22</f>
        <v>LastName</v>
      </c>
      <c r="D23" s="15" t="str">
        <f>Data!D22</f>
        <v>b1</v>
      </c>
      <c r="E23" s="26" t="str">
        <f>IF(ISBLANK(Data!J22),"",Data!J22)</f>
        <v>Entire Organization</v>
      </c>
      <c r="F23" s="24" t="str">
        <f>Data!K22</f>
        <v>b41B4DC05</v>
      </c>
      <c r="G23" s="16">
        <f>Data!A22</f>
        <v>43053.342283796301</v>
      </c>
      <c r="H23" s="17" t="str">
        <f>Data!B22</f>
        <v>ON</v>
      </c>
      <c r="I23" s="17" t="str">
        <f>Data!N22</f>
        <v>aGdlhzbQZfkSx_w2BSUto9g</v>
      </c>
      <c r="J23" s="17">
        <f>Data!X22</f>
        <v>0</v>
      </c>
      <c r="K23" s="75" t="str">
        <f t="shared" si="0"/>
        <v>**Edit Log</v>
      </c>
      <c r="L23" s="17" t="str">
        <f>Data!C22</f>
        <v>Vehicle 1</v>
      </c>
      <c r="M23" s="17">
        <f>Data!O22</f>
        <v>0</v>
      </c>
      <c r="N23" s="17" t="str">
        <f>IF(Data!P22=0,"",Data!P22)</f>
        <v/>
      </c>
      <c r="O23" s="17" t="str">
        <f>IF(Data!Q22=0,"",Data!Q22)</f>
        <v/>
      </c>
      <c r="P23" s="18" t="str">
        <f>Data!T22</f>
        <v>Longitude</v>
      </c>
      <c r="Q23" s="18" t="str">
        <f>Data!U22</f>
        <v>Latitude</v>
      </c>
      <c r="R23" s="17" t="str">
        <f>Data!W22</f>
        <v>Street Address, City, State Zip, Country</v>
      </c>
      <c r="S23" s="54">
        <f t="shared" si="1"/>
        <v>2.1640049817506224E-4</v>
      </c>
      <c r="T23" s="54">
        <f t="shared" si="2"/>
        <v>0</v>
      </c>
      <c r="U23" s="19">
        <f>Data!R22</f>
        <v>0</v>
      </c>
      <c r="V23" s="47">
        <f>Data!S22</f>
        <v>0</v>
      </c>
      <c r="W23" s="54">
        <f>IF(A23=A24,G24-G23,IF(Data!$B$4&gt;Data!$B$2,Data!$B$2-G23,Data!$B$4-G23))</f>
        <v>2.1640049817506224E-4</v>
      </c>
      <c r="X23" s="16" t="str">
        <f>IF(Data!Y22=0,"",Data!Y22)</f>
        <v>Manual</v>
      </c>
      <c r="Y23" s="16" t="str">
        <f>IF(Data!Z22=0,"",Data!Z22)</f>
        <v/>
      </c>
      <c r="Z23" s="16" t="b">
        <f t="shared" si="3"/>
        <v>0</v>
      </c>
      <c r="AA23" s="16" t="str">
        <f>IF(Data!AA22=0,"",Data!AA22)</f>
        <v/>
      </c>
    </row>
    <row r="24" spans="1:27" ht="16.5" x14ac:dyDescent="0.3">
      <c r="A24" s="15" t="str">
        <f>Data!I23</f>
        <v>Driver B</v>
      </c>
      <c r="B24" s="15" t="str">
        <f>Data!G23</f>
        <v>FirstName</v>
      </c>
      <c r="C24" s="15" t="str">
        <f>Data!H23</f>
        <v>LastName</v>
      </c>
      <c r="D24" s="15" t="str">
        <f>Data!D23</f>
        <v>b1</v>
      </c>
      <c r="E24" s="26" t="str">
        <f>IF(ISBLANK(Data!J23),"",Data!J23)</f>
        <v>Entire Organization</v>
      </c>
      <c r="F24" s="24" t="str">
        <f>Data!K23</f>
        <v>b41B4DC05</v>
      </c>
      <c r="G24" s="16">
        <f>Data!A23</f>
        <v>43053.342500196799</v>
      </c>
      <c r="H24" s="17" t="str">
        <f>Data!B23</f>
        <v>OFF</v>
      </c>
      <c r="I24" s="17" t="str">
        <f>Data!N23</f>
        <v>am8tMPQe3S0WdrmtOuByd5Q</v>
      </c>
      <c r="J24" s="17">
        <f>Data!X23</f>
        <v>0</v>
      </c>
      <c r="K24" s="75" t="str">
        <f t="shared" si="0"/>
        <v>**Edit Log</v>
      </c>
      <c r="L24" s="17" t="str">
        <f>Data!C23</f>
        <v>Vehicle 1</v>
      </c>
      <c r="M24" s="17">
        <f>Data!O23</f>
        <v>0</v>
      </c>
      <c r="N24" s="17" t="str">
        <f>IF(Data!P23=0,"",Data!P23)</f>
        <v/>
      </c>
      <c r="O24" s="17" t="str">
        <f>IF(Data!Q23=0,"",Data!Q23)</f>
        <v/>
      </c>
      <c r="P24" s="18" t="str">
        <f>Data!T23</f>
        <v>Longitude</v>
      </c>
      <c r="Q24" s="18" t="str">
        <f>Data!U23</f>
        <v>Latitude</v>
      </c>
      <c r="R24" s="17" t="str">
        <f>Data!W23</f>
        <v>Street Address, City, State Zip, Country</v>
      </c>
      <c r="S24" s="54">
        <f t="shared" si="1"/>
        <v>0</v>
      </c>
      <c r="T24" s="54">
        <f t="shared" si="2"/>
        <v>0</v>
      </c>
      <c r="U24" s="19">
        <f>Data!R23</f>
        <v>0</v>
      </c>
      <c r="V24" s="47">
        <f>Data!S23</f>
        <v>0</v>
      </c>
      <c r="W24" s="54">
        <f>IF(A24=A25,G25-G24,IF(Data!$B$4&gt;Data!$B$2,Data!$B$2-G24,Data!$B$4-G24))</f>
        <v>16.267696562499623</v>
      </c>
      <c r="X24" s="16" t="str">
        <f>IF(Data!Y23=0,"",Data!Y23)</f>
        <v>Manual</v>
      </c>
      <c r="Y24" s="16" t="str">
        <f>IF(Data!Z23=0,"",Data!Z23)</f>
        <v/>
      </c>
      <c r="Z24" s="16" t="b">
        <f t="shared" si="3"/>
        <v>0</v>
      </c>
      <c r="AA24" s="16" t="str">
        <f>IF(Data!AA23=0,"",Data!AA23)</f>
        <v/>
      </c>
    </row>
    <row r="25" spans="1:27" ht="16.5" x14ac:dyDescent="0.3">
      <c r="A25" s="15" t="str">
        <f>Data!I24</f>
        <v>Driver B</v>
      </c>
      <c r="B25" s="15" t="str">
        <f>Data!G24</f>
        <v>FirstName</v>
      </c>
      <c r="C25" s="15" t="str">
        <f>Data!H24</f>
        <v>LastName</v>
      </c>
      <c r="D25" s="15" t="str">
        <f>Data!D24</f>
        <v>b1</v>
      </c>
      <c r="E25" s="26" t="str">
        <f>IF(ISBLANK(Data!J24),"",Data!J24)</f>
        <v>Entire Organization</v>
      </c>
      <c r="F25" s="24" t="str">
        <f>Data!K24</f>
        <v>b41B4DC05</v>
      </c>
      <c r="G25" s="16">
        <f>Data!A24</f>
        <v>43069.610196759299</v>
      </c>
      <c r="H25" s="17" t="str">
        <f>Data!B24</f>
        <v>D</v>
      </c>
      <c r="I25" s="17" t="str">
        <f>Data!N24</f>
        <v>aXFu-jhsYnESM6pJECk0nLw</v>
      </c>
      <c r="J25" s="17">
        <f>Data!X24</f>
        <v>0</v>
      </c>
      <c r="K25" s="75" t="str">
        <f t="shared" si="0"/>
        <v>**Edit Log</v>
      </c>
      <c r="L25" s="17" t="str">
        <f>Data!C24</f>
        <v>Vehicle 1</v>
      </c>
      <c r="M25" s="17">
        <f>Data!O24</f>
        <v>0</v>
      </c>
      <c r="N25" s="17" t="str">
        <f>IF(Data!P24=0,"",Data!P24)</f>
        <v/>
      </c>
      <c r="O25" s="17" t="str">
        <f>IF(Data!Q24=0,"",Data!Q24)</f>
        <v/>
      </c>
      <c r="P25" s="18" t="str">
        <f>Data!T24</f>
        <v>Longitude</v>
      </c>
      <c r="Q25" s="18" t="str">
        <f>Data!U24</f>
        <v>Latitude</v>
      </c>
      <c r="R25" s="17" t="str">
        <f>Data!W24</f>
        <v>Street Address, City, State Zip, Country</v>
      </c>
      <c r="S25" s="54">
        <f t="shared" si="1"/>
        <v>0</v>
      </c>
      <c r="T25" s="54">
        <f t="shared" si="2"/>
        <v>1.1006944398104679E-2</v>
      </c>
      <c r="U25" s="19">
        <f>Data!R24</f>
        <v>90285.0390625</v>
      </c>
      <c r="V25" s="47">
        <f>Data!S24</f>
        <v>7.9467396736145002</v>
      </c>
      <c r="W25" s="54">
        <f>IF(A25=A26,G26-G25,IF(Data!$B$4&gt;Data!$B$2,Data!$B$2-G25,Data!$B$4-G25))</f>
        <v>1.1006944398104679E-2</v>
      </c>
      <c r="X25" s="16" t="str">
        <f>IF(Data!Y24=0,"",Data!Y24)</f>
        <v>Automatic</v>
      </c>
      <c r="Y25" s="16" t="str">
        <f>IF(Data!Z24=0,"",Data!Z24)</f>
        <v/>
      </c>
      <c r="Z25" s="16" t="b">
        <f t="shared" si="3"/>
        <v>0</v>
      </c>
      <c r="AA25" s="16" t="str">
        <f>IF(Data!AA24=0,"",Data!AA24)</f>
        <v/>
      </c>
    </row>
    <row r="26" spans="1:27" ht="16.5" x14ac:dyDescent="0.3">
      <c r="A26" s="15" t="str">
        <f>Data!I25</f>
        <v>Driver B</v>
      </c>
      <c r="B26" s="15" t="str">
        <f>Data!G25</f>
        <v>FirstName</v>
      </c>
      <c r="C26" s="15" t="str">
        <f>Data!H25</f>
        <v>LastName</v>
      </c>
      <c r="D26" s="15" t="str">
        <f>Data!D25</f>
        <v>b1</v>
      </c>
      <c r="E26" s="26" t="str">
        <f>IF(ISBLANK(Data!J25),"",Data!J25)</f>
        <v>Entire Organization</v>
      </c>
      <c r="F26" s="24" t="str">
        <f>Data!K25</f>
        <v>b41B4DC05</v>
      </c>
      <c r="G26" s="16">
        <f>Data!A25</f>
        <v>43069.621203703697</v>
      </c>
      <c r="H26" s="17" t="str">
        <f>Data!B25</f>
        <v>ON</v>
      </c>
      <c r="I26" s="17" t="str">
        <f>Data!N25</f>
        <v>aU_pW7fo52kqAZjLRIMgD5g</v>
      </c>
      <c r="J26" s="17">
        <f>Data!X25</f>
        <v>0</v>
      </c>
      <c r="K26" s="75" t="str">
        <f t="shared" si="0"/>
        <v>**Edit Log</v>
      </c>
      <c r="L26" s="17" t="str">
        <f>Data!C25</f>
        <v>Vehicle 1</v>
      </c>
      <c r="M26" s="17">
        <f>Data!O25</f>
        <v>0</v>
      </c>
      <c r="N26" s="17" t="str">
        <f>IF(Data!P25=0,"",Data!P25)</f>
        <v/>
      </c>
      <c r="O26" s="17" t="str">
        <f>IF(Data!Q25=0,"",Data!Q25)</f>
        <v/>
      </c>
      <c r="P26" s="18" t="str">
        <f>Data!T25</f>
        <v>Longitude</v>
      </c>
      <c r="Q26" s="18" t="str">
        <f>Data!U25</f>
        <v>Latitude</v>
      </c>
      <c r="R26" s="17" t="str">
        <f>Data!W25</f>
        <v>Street Address, City, State Zip, Country</v>
      </c>
      <c r="S26" s="54">
        <f t="shared" si="1"/>
        <v>5.8888888903311454E-2</v>
      </c>
      <c r="T26" s="54">
        <f t="shared" si="2"/>
        <v>0</v>
      </c>
      <c r="U26" s="19">
        <f>Data!R25</f>
        <v>90292.984375</v>
      </c>
      <c r="V26" s="47">
        <f>Data!S25</f>
        <v>8.0242054536938702E-3</v>
      </c>
      <c r="W26" s="54">
        <f>IF(A26=A27,G27-G26,IF(Data!$B$4&gt;Data!$B$2,Data!$B$2-G26,Data!$B$4-G26))</f>
        <v>5.8888888903311454E-2</v>
      </c>
      <c r="X26" s="16" t="str">
        <f>IF(Data!Y25=0,"",Data!Y25)</f>
        <v>Automatic</v>
      </c>
      <c r="Y26" s="16" t="str">
        <f>IF(Data!Z25=0,"",Data!Z25)</f>
        <v/>
      </c>
      <c r="Z26" s="16" t="b">
        <f t="shared" si="3"/>
        <v>0</v>
      </c>
      <c r="AA26" s="16" t="str">
        <f>IF(Data!AA25=0,"",Data!AA25)</f>
        <v/>
      </c>
    </row>
    <row r="27" spans="1:27" ht="16.5" x14ac:dyDescent="0.3">
      <c r="A27" s="15" t="str">
        <f>Data!I26</f>
        <v>Driver B</v>
      </c>
      <c r="B27" s="15" t="str">
        <f>Data!G26</f>
        <v>FirstName</v>
      </c>
      <c r="C27" s="15" t="str">
        <f>Data!H26</f>
        <v>LastName</v>
      </c>
      <c r="D27" s="15" t="str">
        <f>Data!D26</f>
        <v>b1</v>
      </c>
      <c r="E27" s="26" t="str">
        <f>IF(ISBLANK(Data!J26),"",Data!J26)</f>
        <v>Entire Organization</v>
      </c>
      <c r="F27" s="24" t="str">
        <f>Data!K26</f>
        <v>b41B4DC05</v>
      </c>
      <c r="G27" s="16">
        <f>Data!A26</f>
        <v>43069.6800925926</v>
      </c>
      <c r="H27" s="17" t="str">
        <f>Data!B26</f>
        <v>D</v>
      </c>
      <c r="I27" s="17" t="str">
        <f>Data!N26</f>
        <v>amJc_F8MS1keTk-C7KYDPxA</v>
      </c>
      <c r="J27" s="17">
        <f>Data!X26</f>
        <v>0</v>
      </c>
      <c r="K27" s="75" t="str">
        <f t="shared" si="0"/>
        <v>**Edit Log</v>
      </c>
      <c r="L27" s="17" t="str">
        <f>Data!C26</f>
        <v>Vehicle 1</v>
      </c>
      <c r="M27" s="17">
        <f>Data!O26</f>
        <v>0</v>
      </c>
      <c r="N27" s="17" t="str">
        <f>IF(Data!P26=0,"",Data!P26)</f>
        <v/>
      </c>
      <c r="O27" s="17" t="str">
        <f>IF(Data!Q26=0,"",Data!Q26)</f>
        <v/>
      </c>
      <c r="P27" s="18" t="str">
        <f>Data!T26</f>
        <v>Longitude</v>
      </c>
      <c r="Q27" s="18" t="str">
        <f>Data!U26</f>
        <v>Latitude</v>
      </c>
      <c r="R27" s="17" t="str">
        <f>Data!W26</f>
        <v>Street Address, City, State Zip, Country</v>
      </c>
      <c r="S27" s="54">
        <f t="shared" si="1"/>
        <v>0</v>
      </c>
      <c r="T27" s="54">
        <f t="shared" si="2"/>
        <v>5.5555555009050295E-3</v>
      </c>
      <c r="U27" s="19">
        <f>Data!R26</f>
        <v>90292.9921875</v>
      </c>
      <c r="V27" s="47">
        <f>Data!S26</f>
        <v>4.0308885574340803</v>
      </c>
      <c r="W27" s="54">
        <f>IF(A27=A28,G28-G27,IF(Data!$B$4&gt;Data!$B$2,Data!$B$2-G27,Data!$B$4-G27))</f>
        <v>5.5555555009050295E-3</v>
      </c>
      <c r="X27" s="16" t="str">
        <f>IF(Data!Y26=0,"",Data!Y26)</f>
        <v>Automatic</v>
      </c>
      <c r="Y27" s="16" t="str">
        <f>IF(Data!Z26=0,"",Data!Z26)</f>
        <v/>
      </c>
      <c r="Z27" s="16" t="b">
        <f t="shared" si="3"/>
        <v>0</v>
      </c>
      <c r="AA27" s="16" t="str">
        <f>IF(Data!AA26=0,"",Data!AA26)</f>
        <v/>
      </c>
    </row>
    <row r="28" spans="1:27" ht="16.5" x14ac:dyDescent="0.3">
      <c r="A28" s="15" t="str">
        <f>Data!I27</f>
        <v>Driver B</v>
      </c>
      <c r="B28" s="15" t="str">
        <f>Data!G27</f>
        <v>FirstName</v>
      </c>
      <c r="C28" s="15" t="str">
        <f>Data!H27</f>
        <v>LastName</v>
      </c>
      <c r="D28" s="15" t="str">
        <f>Data!D27</f>
        <v>b1</v>
      </c>
      <c r="E28" s="26" t="str">
        <f>IF(ISBLANK(Data!J27),"",Data!J27)</f>
        <v>Entire Organization</v>
      </c>
      <c r="F28" s="24" t="str">
        <f>Data!K27</f>
        <v>b41B4DC05</v>
      </c>
      <c r="G28" s="16">
        <f>Data!A27</f>
        <v>43069.685648148101</v>
      </c>
      <c r="H28" s="17" t="str">
        <f>Data!B27</f>
        <v>ON</v>
      </c>
      <c r="I28" s="17" t="str">
        <f>Data!N27</f>
        <v>aOwmsUhS-IkqmS8aHMZ1YEQ</v>
      </c>
      <c r="J28" s="17">
        <f>Data!X27</f>
        <v>0</v>
      </c>
      <c r="K28" s="75" t="str">
        <f t="shared" si="0"/>
        <v>**Edit Log</v>
      </c>
      <c r="L28" s="17" t="str">
        <f>Data!C27</f>
        <v>Vehicle 1</v>
      </c>
      <c r="M28" s="17">
        <f>Data!O27</f>
        <v>0</v>
      </c>
      <c r="N28" s="17" t="str">
        <f>IF(Data!P27=0,"",Data!P27)</f>
        <v/>
      </c>
      <c r="O28" s="17" t="str">
        <f>IF(Data!Q27=0,"",Data!Q27)</f>
        <v/>
      </c>
      <c r="P28" s="18" t="str">
        <f>Data!T27</f>
        <v>Longitude</v>
      </c>
      <c r="Q28" s="18" t="str">
        <f>Data!U27</f>
        <v>Latitude</v>
      </c>
      <c r="R28" s="17" t="str">
        <f>Data!W27</f>
        <v>Street Address, City, State Zip, Country</v>
      </c>
      <c r="S28" s="54">
        <f t="shared" si="1"/>
        <v>6.9201388898363803E-2</v>
      </c>
      <c r="T28" s="54">
        <f t="shared" si="2"/>
        <v>0</v>
      </c>
      <c r="U28" s="19">
        <f>Data!R27</f>
        <v>90297.0234375</v>
      </c>
      <c r="V28" s="47">
        <f>Data!S27</f>
        <v>4.2117558419704403E-2</v>
      </c>
      <c r="W28" s="54">
        <f>IF(A28=A29,G29-G28,IF(Data!$B$4&gt;Data!$B$2,Data!$B$2-G28,Data!$B$4-G28))</f>
        <v>6.9201388898363803E-2</v>
      </c>
      <c r="X28" s="16" t="str">
        <f>IF(Data!Y27=0,"",Data!Y27)</f>
        <v>Automatic</v>
      </c>
      <c r="Y28" s="16">
        <f>IF(Data!Z27=0,"",Data!Z27)</f>
        <v>43045.566307870373</v>
      </c>
      <c r="Z28" s="16" t="b">
        <f t="shared" si="3"/>
        <v>1</v>
      </c>
      <c r="AA28" s="16" t="str">
        <f>IF(Data!AA27=0,"",Data!AA27)</f>
        <v/>
      </c>
    </row>
    <row r="29" spans="1:27" ht="16.5" x14ac:dyDescent="0.3">
      <c r="A29" s="15" t="str">
        <f>Data!I28</f>
        <v>Driver B</v>
      </c>
      <c r="B29" s="15" t="str">
        <f>Data!G28</f>
        <v>FirstName</v>
      </c>
      <c r="C29" s="15" t="str">
        <f>Data!H28</f>
        <v>LastName</v>
      </c>
      <c r="D29" s="15" t="str">
        <f>Data!D28</f>
        <v>b1</v>
      </c>
      <c r="E29" s="26" t="str">
        <f>IF(ISBLANK(Data!J28),"",Data!J28)</f>
        <v>Entire Organization</v>
      </c>
      <c r="F29" s="24" t="str">
        <f>Data!K28</f>
        <v>b41B4DC05</v>
      </c>
      <c r="G29" s="16">
        <f>Data!A28</f>
        <v>43069.754849536999</v>
      </c>
      <c r="H29" s="17" t="str">
        <f>Data!B28</f>
        <v>D</v>
      </c>
      <c r="I29" s="17" t="str">
        <f>Data!N28</f>
        <v>aM_5b7Vv4Jk-3uvk1w0mOeQ</v>
      </c>
      <c r="J29" s="17">
        <f>Data!X28</f>
        <v>0</v>
      </c>
      <c r="K29" s="75" t="str">
        <f t="shared" si="0"/>
        <v>**Edit Log</v>
      </c>
      <c r="L29" s="17" t="str">
        <f>Data!C28</f>
        <v>Vehicle 1</v>
      </c>
      <c r="M29" s="17">
        <f>Data!O28</f>
        <v>0</v>
      </c>
      <c r="N29" s="17" t="str">
        <f>IF(Data!P28=0,"",Data!P28)</f>
        <v/>
      </c>
      <c r="O29" s="17" t="str">
        <f>IF(Data!Q28=0,"",Data!Q28)</f>
        <v/>
      </c>
      <c r="P29" s="18" t="str">
        <f>Data!T28</f>
        <v>Longitude</v>
      </c>
      <c r="Q29" s="18" t="str">
        <f>Data!U28</f>
        <v>Latitude</v>
      </c>
      <c r="R29" s="17" t="str">
        <f>Data!W28</f>
        <v>Street Address, City, State Zip, Country</v>
      </c>
      <c r="S29" s="54">
        <f t="shared" si="1"/>
        <v>0</v>
      </c>
      <c r="T29" s="54">
        <f t="shared" si="2"/>
        <v>8.2175925999763422E-3</v>
      </c>
      <c r="U29" s="19">
        <f>Data!R28</f>
        <v>90297.0703125</v>
      </c>
      <c r="V29" s="47">
        <f>Data!S28</f>
        <v>5.9230461120605504</v>
      </c>
      <c r="W29" s="54">
        <f>IF(A29=A30,G30-G29,IF(Data!$B$4&gt;Data!$B$2,Data!$B$2-G29,Data!$B$4-G29))</f>
        <v>8.2175925999763422E-3</v>
      </c>
      <c r="X29" s="16" t="str">
        <f>IF(Data!Y28=0,"",Data!Y28)</f>
        <v>Automatic</v>
      </c>
      <c r="Y29" s="16">
        <f>IF(Data!Z28=0,"",Data!Z28)</f>
        <v>43045.566400462965</v>
      </c>
      <c r="Z29" s="16" t="b">
        <f t="shared" si="3"/>
        <v>1</v>
      </c>
      <c r="AA29" s="16" t="str">
        <f>IF(Data!AA28=0,"",Data!AA28)</f>
        <v/>
      </c>
    </row>
    <row r="30" spans="1:27" ht="16.5" x14ac:dyDescent="0.3">
      <c r="A30" s="15" t="str">
        <f>Data!I29</f>
        <v>Driver B</v>
      </c>
      <c r="B30" s="15" t="str">
        <f>Data!G29</f>
        <v>FirstName</v>
      </c>
      <c r="C30" s="15" t="str">
        <f>Data!H29</f>
        <v>LastName</v>
      </c>
      <c r="D30" s="15" t="str">
        <f>Data!D29</f>
        <v>b1</v>
      </c>
      <c r="E30" s="26" t="str">
        <f>IF(ISBLANK(Data!J29),"",Data!J29)</f>
        <v>Entire Organization</v>
      </c>
      <c r="F30" s="24" t="str">
        <f>Data!K29</f>
        <v>b41B4DC05</v>
      </c>
      <c r="G30" s="16">
        <f>Data!A29</f>
        <v>43069.763067129599</v>
      </c>
      <c r="H30" s="17" t="str">
        <f>Data!B29</f>
        <v>ON</v>
      </c>
      <c r="I30" s="17" t="str">
        <f>Data!N29</f>
        <v>aWgfgzlPFKk-ehudTRd-ohA</v>
      </c>
      <c r="J30" s="17">
        <f>Data!X29</f>
        <v>0</v>
      </c>
      <c r="K30" s="75" t="str">
        <f t="shared" si="0"/>
        <v>**Edit Log</v>
      </c>
      <c r="L30" s="17" t="str">
        <f>Data!C29</f>
        <v>Vehicle 1</v>
      </c>
      <c r="M30" s="17">
        <f>Data!O29</f>
        <v>0</v>
      </c>
      <c r="N30" s="17" t="str">
        <f>IF(Data!P29=0,"",Data!P29)</f>
        <v/>
      </c>
      <c r="O30" s="17" t="str">
        <f>IF(Data!Q29=0,"",Data!Q29)</f>
        <v/>
      </c>
      <c r="P30" s="18" t="str">
        <f>Data!T29</f>
        <v>Longitude</v>
      </c>
      <c r="Q30" s="18" t="str">
        <f>Data!U29</f>
        <v>Latitude</v>
      </c>
      <c r="R30" s="17" t="str">
        <f>Data!W29</f>
        <v>Street Address, City, State Zip, Country</v>
      </c>
      <c r="S30" s="54">
        <f t="shared" si="1"/>
        <v>9.3055555989849381E-3</v>
      </c>
      <c r="T30" s="54">
        <f t="shared" si="2"/>
        <v>0</v>
      </c>
      <c r="U30" s="19">
        <f>Data!R29</f>
        <v>90302.9921875</v>
      </c>
      <c r="V30" s="47">
        <f>Data!S29</f>
        <v>3.7446539849042899E-2</v>
      </c>
      <c r="W30" s="54">
        <f>IF(A30=A31,G31-G30,IF(Data!$B$4&gt;Data!$B$2,Data!$B$2-G30,Data!$B$4-G30))</f>
        <v>9.3055555989849381E-3</v>
      </c>
      <c r="X30" s="16" t="str">
        <f>IF(Data!Y29=0,"",Data!Y29)</f>
        <v>Automatic</v>
      </c>
      <c r="Y30" s="16">
        <f>IF(Data!Z29=0,"",Data!Z29)</f>
        <v>43045.566435185188</v>
      </c>
      <c r="Z30" s="16" t="b">
        <f t="shared" si="3"/>
        <v>1</v>
      </c>
      <c r="AA30" s="16" t="str">
        <f>IF(Data!AA29=0,"",Data!AA29)</f>
        <v/>
      </c>
    </row>
    <row r="31" spans="1:27" ht="16.5" x14ac:dyDescent="0.3">
      <c r="A31" s="15" t="str">
        <f>Data!I30</f>
        <v>Driver B</v>
      </c>
      <c r="B31" s="15" t="str">
        <f>Data!G30</f>
        <v>FirstName</v>
      </c>
      <c r="C31" s="15" t="str">
        <f>Data!H30</f>
        <v>LastName</v>
      </c>
      <c r="D31" s="15" t="str">
        <f>Data!D30</f>
        <v>b1</v>
      </c>
      <c r="E31" s="26" t="str">
        <f>IF(ISBLANK(Data!J30),"",Data!J30)</f>
        <v>Entire Organization</v>
      </c>
      <c r="F31" s="24" t="str">
        <f>Data!K30</f>
        <v>b41B4DC05</v>
      </c>
      <c r="G31" s="16">
        <f>Data!A30</f>
        <v>43069.772372685198</v>
      </c>
      <c r="H31" s="17" t="str">
        <f>Data!B30</f>
        <v>D</v>
      </c>
      <c r="I31" s="17" t="str">
        <f>Data!N30</f>
        <v>aFqpw7rw7xUmw6XoY7xuYDg</v>
      </c>
      <c r="J31" s="17">
        <f>Data!X30</f>
        <v>0</v>
      </c>
      <c r="K31" s="75" t="str">
        <f t="shared" si="0"/>
        <v>**Edit Log</v>
      </c>
      <c r="L31" s="17" t="str">
        <f>Data!C30</f>
        <v>Vehicle 1</v>
      </c>
      <c r="M31" s="17">
        <f>Data!O30</f>
        <v>0</v>
      </c>
      <c r="N31" s="17" t="str">
        <f>IF(Data!P30=0,"",Data!P30)</f>
        <v/>
      </c>
      <c r="O31" s="17" t="str">
        <f>IF(Data!Q30=0,"",Data!Q30)</f>
        <v>New Equipment</v>
      </c>
      <c r="P31" s="18" t="str">
        <f>Data!T30</f>
        <v>Longitude</v>
      </c>
      <c r="Q31" s="18" t="str">
        <f>Data!U30</f>
        <v>Latitude</v>
      </c>
      <c r="R31" s="17" t="str">
        <f>Data!W30</f>
        <v>Street Address, City, State Zip, Country</v>
      </c>
      <c r="S31" s="54">
        <f t="shared" si="1"/>
        <v>0</v>
      </c>
      <c r="T31" s="54">
        <f t="shared" si="2"/>
        <v>6.4814815050340258E-3</v>
      </c>
      <c r="U31" s="19">
        <f>Data!R30</f>
        <v>90303.03125</v>
      </c>
      <c r="V31" s="47">
        <f>Data!S30</f>
        <v>6.0190110206604004</v>
      </c>
      <c r="W31" s="54">
        <f>IF(A31=A32,G32-G31,IF(Data!$B$4&gt;Data!$B$2,Data!$B$2-G31,Data!$B$4-G31))</f>
        <v>6.4814815050340258E-3</v>
      </c>
      <c r="X31" s="16" t="str">
        <f>IF(Data!Y30=0,"",Data!Y30)</f>
        <v>Automatic</v>
      </c>
      <c r="Y31" s="16">
        <f>IF(Data!Z30=0,"",Data!Z30)</f>
        <v>43045.566435185188</v>
      </c>
      <c r="Z31" s="16" t="b">
        <f t="shared" si="3"/>
        <v>1</v>
      </c>
      <c r="AA31" s="16" t="str">
        <f>IF(Data!AA30=0,"",Data!AA30)</f>
        <v/>
      </c>
    </row>
    <row r="32" spans="1:27" ht="16.5" x14ac:dyDescent="0.3">
      <c r="A32" s="15" t="str">
        <f>Data!I31</f>
        <v>Driver B</v>
      </c>
      <c r="B32" s="15" t="str">
        <f>Data!G31</f>
        <v>FirstName</v>
      </c>
      <c r="C32" s="15" t="str">
        <f>Data!H31</f>
        <v>LastName</v>
      </c>
      <c r="D32" s="15" t="str">
        <f>Data!D31</f>
        <v>b1</v>
      </c>
      <c r="E32" s="26" t="str">
        <f>IF(ISBLANK(Data!J31),"",Data!J31)</f>
        <v>Entire Organization</v>
      </c>
      <c r="F32" s="24" t="str">
        <f>Data!K31</f>
        <v>b41B4DC05</v>
      </c>
      <c r="G32" s="16">
        <f>Data!A31</f>
        <v>43069.778854166703</v>
      </c>
      <c r="H32" s="17" t="str">
        <f>Data!B31</f>
        <v>ON</v>
      </c>
      <c r="I32" s="17" t="str">
        <f>Data!N31</f>
        <v>a4Yaf7RoU2k2l70wJ751s0g</v>
      </c>
      <c r="J32" s="17">
        <f>Data!X31</f>
        <v>0</v>
      </c>
      <c r="K32" s="75" t="str">
        <f t="shared" si="0"/>
        <v>**Edit Log</v>
      </c>
      <c r="L32" s="17" t="str">
        <f>Data!C31</f>
        <v>Vehicle 1</v>
      </c>
      <c r="M32" s="17">
        <f>Data!O31</f>
        <v>0</v>
      </c>
      <c r="N32" s="17" t="str">
        <f>IF(Data!P31=0,"",Data!P31)</f>
        <v/>
      </c>
      <c r="O32" s="17" t="str">
        <f>IF(Data!Q31=0,"",Data!Q31)</f>
        <v/>
      </c>
      <c r="P32" s="18" t="str">
        <f>Data!T31</f>
        <v>Longitude</v>
      </c>
      <c r="Q32" s="18" t="str">
        <f>Data!U31</f>
        <v>Latitude</v>
      </c>
      <c r="R32" s="17" t="str">
        <f>Data!W31</f>
        <v>Street Address, City, State Zip, Country</v>
      </c>
      <c r="S32" s="54">
        <f t="shared" si="1"/>
        <v>0.22113425919815199</v>
      </c>
      <c r="T32" s="54">
        <f t="shared" si="2"/>
        <v>0</v>
      </c>
      <c r="U32" s="19">
        <f>Data!R31</f>
        <v>90309.046875</v>
      </c>
      <c r="V32" s="47">
        <f>Data!S31</f>
        <v>0</v>
      </c>
      <c r="W32" s="54">
        <f>IF(A32=A33,G33-G32,IF(Data!$B$4&gt;Data!$B$2,Data!$B$2-G32,Data!$B$4-G32))</f>
        <v>0.22113425919815199</v>
      </c>
      <c r="X32" s="16" t="str">
        <f>IF(Data!Y31=0,"",Data!Y31)</f>
        <v>Automatic</v>
      </c>
      <c r="Y32" s="16" t="str">
        <f>IF(Data!Z31=0,"",Data!Z31)</f>
        <v/>
      </c>
      <c r="Z32" s="16" t="b">
        <f t="shared" si="3"/>
        <v>0</v>
      </c>
      <c r="AA32" s="16" t="str">
        <f>IF(Data!AA31=0,"",Data!AA31)</f>
        <v/>
      </c>
    </row>
  </sheetData>
  <mergeCells count="3">
    <mergeCell ref="A4:B4"/>
    <mergeCell ref="E4:G4"/>
    <mergeCell ref="J4:L9"/>
  </mergeCells>
  <conditionalFormatting sqref="C11:E11">
    <cfRule type="cellIs" dxfId="5" priority="2" operator="equal">
      <formula>"OK (Stationary)"</formula>
    </cfRule>
    <cfRule type="cellIs" dxfId="4" priority="3" stopIfTrue="1" operator="equal">
      <formula>$B$16</formula>
    </cfRule>
    <cfRule type="cellIs" dxfId="3" priority="4" stopIfTrue="1" operator="equal">
      <formula>$B$14</formula>
    </cfRule>
    <cfRule type="cellIs" dxfId="2" priority="5" stopIfTrue="1" operator="equal">
      <formula>$B$13</formula>
    </cfRule>
    <cfRule type="cellIs" dxfId="1" priority="6" stopIfTrue="1" operator="equal">
      <formula>$B$15</formula>
    </cfRule>
    <cfRule type="cellIs" dxfId="0" priority="7" stopIfTrue="1" operator="equal">
      <formula>$B$12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E31"/>
  <sheetViews>
    <sheetView workbookViewId="0"/>
  </sheetViews>
  <sheetFormatPr defaultRowHeight="12.75" x14ac:dyDescent="0.2"/>
  <cols>
    <col min="1" max="2" width="22.140625" customWidth="1"/>
    <col min="3" max="3" width="17.85546875" customWidth="1"/>
    <col min="4" max="4" width="15.140625" customWidth="1"/>
    <col min="5" max="5" width="18.140625" customWidth="1"/>
    <col min="6" max="8" width="18.5703125" customWidth="1"/>
    <col min="9" max="9" width="23" customWidth="1"/>
    <col min="10" max="10" width="23" style="31" customWidth="1"/>
    <col min="11" max="13" width="23" customWidth="1"/>
    <col min="14" max="14" width="22.140625" customWidth="1"/>
    <col min="15" max="15" width="41.140625" customWidth="1"/>
    <col min="16" max="17" width="39.5703125" customWidth="1"/>
    <col min="18" max="18" width="16" customWidth="1"/>
    <col min="19" max="19" width="18.140625" customWidth="1"/>
    <col min="20" max="20" width="16.5703125" customWidth="1"/>
    <col min="21" max="21" width="15.5703125" customWidth="1"/>
    <col min="22" max="22" width="22.140625" customWidth="1"/>
    <col min="23" max="23" width="31.5703125" customWidth="1"/>
    <col min="24" max="24" width="43.140625" customWidth="1"/>
    <col min="25" max="25" width="22.140625" customWidth="1"/>
    <col min="26" max="27" width="21.42578125" customWidth="1"/>
    <col min="28" max="28" width="16.5703125" customWidth="1"/>
    <col min="29" max="29" width="14.28515625" customWidth="1"/>
    <col min="30" max="30" width="15.42578125" customWidth="1"/>
    <col min="31" max="31" width="16.42578125" bestFit="1" customWidth="1"/>
  </cols>
  <sheetData>
    <row r="1" spans="1:31" x14ac:dyDescent="0.2">
      <c r="A1" s="4" t="s">
        <v>4</v>
      </c>
      <c r="B1" s="3" t="s">
        <v>294</v>
      </c>
      <c r="F1" s="5"/>
      <c r="G1" s="5"/>
      <c r="H1" s="5"/>
      <c r="N1" s="3"/>
      <c r="V1" s="3"/>
    </row>
    <row r="2" spans="1:31" x14ac:dyDescent="0.2">
      <c r="A2" s="4" t="s">
        <v>3</v>
      </c>
      <c r="B2" s="3">
        <v>43097.576505949102</v>
      </c>
      <c r="N2" s="3"/>
      <c r="V2" s="3"/>
    </row>
    <row r="3" spans="1:31" x14ac:dyDescent="0.2">
      <c r="A3" s="4" t="s">
        <v>1</v>
      </c>
      <c r="B3" s="3">
        <v>43040</v>
      </c>
      <c r="N3" s="3"/>
      <c r="V3" s="3"/>
    </row>
    <row r="4" spans="1:31" x14ac:dyDescent="0.2">
      <c r="A4" s="4" t="s">
        <v>2</v>
      </c>
      <c r="B4" s="3">
        <v>43069.999988425901</v>
      </c>
      <c r="N4" s="3"/>
      <c r="V4" s="3"/>
    </row>
    <row r="5" spans="1:31" x14ac:dyDescent="0.2">
      <c r="A5" s="4" t="s">
        <v>5</v>
      </c>
      <c r="B5" s="3" t="s">
        <v>234</v>
      </c>
      <c r="N5" s="3"/>
      <c r="V5" s="3"/>
    </row>
    <row r="6" spans="1:31" x14ac:dyDescent="0.2">
      <c r="A6" s="4" t="s">
        <v>6</v>
      </c>
      <c r="B6" s="3" t="s">
        <v>235</v>
      </c>
      <c r="N6" s="3"/>
      <c r="V6" s="3"/>
    </row>
    <row r="7" spans="1:31" x14ac:dyDescent="0.2">
      <c r="A7" s="4" t="s">
        <v>7</v>
      </c>
      <c r="B7" s="3" t="b">
        <v>1</v>
      </c>
      <c r="N7" s="3"/>
      <c r="V7" s="3"/>
    </row>
    <row r="8" spans="1:31" x14ac:dyDescent="0.2">
      <c r="A8" s="4" t="s">
        <v>8</v>
      </c>
      <c r="B8" s="3" t="s">
        <v>309</v>
      </c>
      <c r="N8" s="3"/>
      <c r="V8" s="3"/>
    </row>
    <row r="9" spans="1:31" x14ac:dyDescent="0.2">
      <c r="A9" s="4" t="s">
        <v>129</v>
      </c>
      <c r="B9" s="3" t="s">
        <v>130</v>
      </c>
      <c r="N9" s="3"/>
      <c r="V9" s="3"/>
    </row>
    <row r="10" spans="1:31" ht="26.25" customHeight="1" thickBot="1" x14ac:dyDescent="0.25">
      <c r="A10" s="1" t="s">
        <v>16</v>
      </c>
      <c r="B10" s="1" t="s">
        <v>17</v>
      </c>
      <c r="C10" s="1" t="s">
        <v>18</v>
      </c>
      <c r="D10" s="1" t="s">
        <v>19</v>
      </c>
      <c r="E10" s="1" t="s">
        <v>20</v>
      </c>
      <c r="F10" s="1" t="s">
        <v>21</v>
      </c>
      <c r="G10" s="1" t="s">
        <v>144</v>
      </c>
      <c r="H10" s="1" t="s">
        <v>145</v>
      </c>
      <c r="I10" s="1" t="s">
        <v>22</v>
      </c>
      <c r="J10" s="32" t="s">
        <v>297</v>
      </c>
      <c r="K10" s="1" t="s">
        <v>286</v>
      </c>
      <c r="L10" s="1" t="s">
        <v>287</v>
      </c>
      <c r="M10" s="1" t="s">
        <v>285</v>
      </c>
      <c r="N10" s="1" t="s">
        <v>33</v>
      </c>
      <c r="O10" s="1" t="s">
        <v>23</v>
      </c>
      <c r="P10" s="1" t="s">
        <v>31</v>
      </c>
      <c r="Q10" s="32" t="s">
        <v>296</v>
      </c>
      <c r="R10" s="1" t="s">
        <v>24</v>
      </c>
      <c r="S10" s="1" t="s">
        <v>25</v>
      </c>
      <c r="T10" s="1" t="s">
        <v>26</v>
      </c>
      <c r="U10" s="1" t="s">
        <v>27</v>
      </c>
      <c r="V10" s="1" t="s">
        <v>32</v>
      </c>
      <c r="W10" s="1" t="s">
        <v>28</v>
      </c>
      <c r="X10" s="1" t="s">
        <v>128</v>
      </c>
      <c r="Y10" s="1" t="s">
        <v>131</v>
      </c>
      <c r="Z10" s="1" t="s">
        <v>29</v>
      </c>
      <c r="AA10" s="1" t="s">
        <v>30</v>
      </c>
      <c r="AB10" s="1" t="s">
        <v>189</v>
      </c>
      <c r="AC10" s="1" t="s">
        <v>190</v>
      </c>
      <c r="AD10" s="1" t="s">
        <v>191</v>
      </c>
      <c r="AE10" s="1" t="s">
        <v>226</v>
      </c>
    </row>
    <row r="11" spans="1:31" x14ac:dyDescent="0.2">
      <c r="A11" s="3">
        <v>43044.837280092601</v>
      </c>
      <c r="B11" s="3" t="s">
        <v>11</v>
      </c>
      <c r="C11" s="2" t="s">
        <v>290</v>
      </c>
      <c r="D11" s="2" t="s">
        <v>236</v>
      </c>
      <c r="E11" s="2"/>
      <c r="F11" s="2"/>
      <c r="G11" s="2" t="s">
        <v>291</v>
      </c>
      <c r="H11" s="2" t="s">
        <v>292</v>
      </c>
      <c r="I11" s="2" t="s">
        <v>302</v>
      </c>
      <c r="J11" s="33" t="s">
        <v>298</v>
      </c>
      <c r="K11" s="2" t="s">
        <v>288</v>
      </c>
      <c r="N11" s="3" t="s">
        <v>237</v>
      </c>
      <c r="P11" s="2"/>
      <c r="Q11" s="2"/>
      <c r="R11" s="2">
        <v>89723.03125</v>
      </c>
      <c r="S11" s="2">
        <v>4.0093283653259304</v>
      </c>
      <c r="T11" s="2" t="s">
        <v>13</v>
      </c>
      <c r="U11" s="2" t="s">
        <v>14</v>
      </c>
      <c r="V11" s="3" t="s">
        <v>238</v>
      </c>
      <c r="W11" s="2" t="s">
        <v>295</v>
      </c>
      <c r="Y11" s="2" t="s">
        <v>239</v>
      </c>
      <c r="AA11" s="3">
        <v>43045.510665937501</v>
      </c>
      <c r="AC11" t="s">
        <v>240</v>
      </c>
      <c r="AD11">
        <v>361386</v>
      </c>
      <c r="AE11" t="s">
        <v>241</v>
      </c>
    </row>
    <row r="12" spans="1:31" x14ac:dyDescent="0.2">
      <c r="A12" s="3">
        <v>43044.845752314803</v>
      </c>
      <c r="B12" s="3" t="s">
        <v>9</v>
      </c>
      <c r="C12" s="2" t="s">
        <v>290</v>
      </c>
      <c r="D12" s="2" t="s">
        <v>236</v>
      </c>
      <c r="E12" s="2"/>
      <c r="F12" s="2"/>
      <c r="G12" s="2" t="s">
        <v>291</v>
      </c>
      <c r="H12" s="2" t="s">
        <v>292</v>
      </c>
      <c r="I12" s="33" t="s">
        <v>302</v>
      </c>
      <c r="J12" s="33" t="s">
        <v>298</v>
      </c>
      <c r="K12" s="2" t="s">
        <v>288</v>
      </c>
      <c r="N12" s="3" t="s">
        <v>242</v>
      </c>
      <c r="P12" s="2"/>
      <c r="Q12" s="2"/>
      <c r="R12" s="2">
        <v>89727.0390625</v>
      </c>
      <c r="S12" s="2">
        <v>0</v>
      </c>
      <c r="T12" s="33" t="s">
        <v>13</v>
      </c>
      <c r="U12" s="33" t="s">
        <v>14</v>
      </c>
      <c r="V12" s="3" t="s">
        <v>238</v>
      </c>
      <c r="W12" s="2" t="s">
        <v>295</v>
      </c>
      <c r="Y12" s="2" t="s">
        <v>239</v>
      </c>
      <c r="AA12" s="3">
        <v>43045.510665937501</v>
      </c>
      <c r="AC12" t="s">
        <v>240</v>
      </c>
      <c r="AD12">
        <v>361390</v>
      </c>
      <c r="AE12" t="s">
        <v>243</v>
      </c>
    </row>
    <row r="13" spans="1:31" x14ac:dyDescent="0.2">
      <c r="A13" s="3">
        <v>43045.511099421303</v>
      </c>
      <c r="B13" s="3" t="s">
        <v>11</v>
      </c>
      <c r="C13" s="2" t="s">
        <v>290</v>
      </c>
      <c r="D13" s="2" t="s">
        <v>236</v>
      </c>
      <c r="E13" s="2"/>
      <c r="F13" s="2"/>
      <c r="G13" s="2" t="s">
        <v>291</v>
      </c>
      <c r="H13" s="2" t="s">
        <v>292</v>
      </c>
      <c r="I13" s="33" t="s">
        <v>302</v>
      </c>
      <c r="J13" s="33" t="s">
        <v>298</v>
      </c>
      <c r="K13" s="2" t="s">
        <v>288</v>
      </c>
      <c r="N13" s="3" t="s">
        <v>244</v>
      </c>
      <c r="P13" s="2"/>
      <c r="Q13" s="2" t="s">
        <v>299</v>
      </c>
      <c r="R13" s="2">
        <v>89727.0390625</v>
      </c>
      <c r="S13" s="2">
        <v>0</v>
      </c>
      <c r="T13" s="33" t="s">
        <v>13</v>
      </c>
      <c r="U13" s="33" t="s">
        <v>14</v>
      </c>
      <c r="V13" s="3" t="s">
        <v>238</v>
      </c>
      <c r="W13" s="2" t="s">
        <v>295</v>
      </c>
      <c r="Y13" s="2" t="s">
        <v>132</v>
      </c>
      <c r="AC13" t="s">
        <v>240</v>
      </c>
      <c r="AD13">
        <v>361391</v>
      </c>
      <c r="AE13" t="s">
        <v>245</v>
      </c>
    </row>
    <row r="14" spans="1:31" x14ac:dyDescent="0.2">
      <c r="A14" s="3">
        <v>43045.511426967598</v>
      </c>
      <c r="B14" s="3" t="s">
        <v>10</v>
      </c>
      <c r="C14" s="2" t="s">
        <v>290</v>
      </c>
      <c r="D14" s="2" t="s">
        <v>236</v>
      </c>
      <c r="E14" s="2"/>
      <c r="F14" s="2"/>
      <c r="G14" s="2" t="s">
        <v>291</v>
      </c>
      <c r="H14" s="2" t="s">
        <v>292</v>
      </c>
      <c r="I14" s="33" t="s">
        <v>302</v>
      </c>
      <c r="J14" s="33" t="s">
        <v>298</v>
      </c>
      <c r="K14" s="2" t="s">
        <v>288</v>
      </c>
      <c r="N14" s="3" t="s">
        <v>246</v>
      </c>
      <c r="P14" s="2"/>
      <c r="Q14" s="2"/>
      <c r="R14" s="2">
        <v>89727.0390625</v>
      </c>
      <c r="S14" s="2">
        <v>0</v>
      </c>
      <c r="T14" s="33" t="s">
        <v>13</v>
      </c>
      <c r="U14" s="33" t="s">
        <v>14</v>
      </c>
      <c r="V14" s="3" t="s">
        <v>238</v>
      </c>
      <c r="W14" s="2" t="s">
        <v>295</v>
      </c>
      <c r="Y14" s="2" t="s">
        <v>132</v>
      </c>
      <c r="AC14" t="s">
        <v>240</v>
      </c>
      <c r="AD14">
        <v>361392</v>
      </c>
      <c r="AE14" t="s">
        <v>247</v>
      </c>
    </row>
    <row r="15" spans="1:31" x14ac:dyDescent="0.2">
      <c r="A15" s="3">
        <v>43045.925567129598</v>
      </c>
      <c r="B15" s="3" t="s">
        <v>11</v>
      </c>
      <c r="C15" s="2" t="s">
        <v>290</v>
      </c>
      <c r="D15" s="2" t="s">
        <v>236</v>
      </c>
      <c r="E15" s="2"/>
      <c r="F15" s="2"/>
      <c r="G15" s="2" t="s">
        <v>291</v>
      </c>
      <c r="H15" s="2" t="s">
        <v>292</v>
      </c>
      <c r="I15" s="33" t="s">
        <v>302</v>
      </c>
      <c r="J15" s="33" t="s">
        <v>298</v>
      </c>
      <c r="K15" s="2" t="s">
        <v>288</v>
      </c>
      <c r="N15" s="3" t="s">
        <v>248</v>
      </c>
      <c r="P15" s="2"/>
      <c r="Q15" s="2"/>
      <c r="R15" s="2">
        <v>89727.0390625</v>
      </c>
      <c r="S15" s="2">
        <v>3.9767758846282999</v>
      </c>
      <c r="T15" s="33" t="s">
        <v>13</v>
      </c>
      <c r="U15" s="33" t="s">
        <v>14</v>
      </c>
      <c r="V15" s="3" t="s">
        <v>238</v>
      </c>
      <c r="W15" s="2" t="s">
        <v>295</v>
      </c>
      <c r="Y15" s="2" t="s">
        <v>133</v>
      </c>
      <c r="AC15" t="s">
        <v>240</v>
      </c>
      <c r="AD15">
        <v>361399</v>
      </c>
      <c r="AE15" t="s">
        <v>249</v>
      </c>
    </row>
    <row r="16" spans="1:31" x14ac:dyDescent="0.2">
      <c r="A16" s="3">
        <v>43045.934687499997</v>
      </c>
      <c r="B16" s="3" t="s">
        <v>9</v>
      </c>
      <c r="C16" s="2" t="s">
        <v>290</v>
      </c>
      <c r="D16" s="2" t="s">
        <v>236</v>
      </c>
      <c r="E16" s="2"/>
      <c r="F16" s="2"/>
      <c r="G16" s="2" t="s">
        <v>291</v>
      </c>
      <c r="H16" s="2" t="s">
        <v>292</v>
      </c>
      <c r="I16" s="33" t="s">
        <v>302</v>
      </c>
      <c r="J16" s="33" t="s">
        <v>298</v>
      </c>
      <c r="K16" s="2" t="s">
        <v>288</v>
      </c>
      <c r="N16" s="3" t="s">
        <v>250</v>
      </c>
      <c r="P16" s="2"/>
      <c r="Q16" s="2"/>
      <c r="R16" s="2">
        <v>89731.015625</v>
      </c>
      <c r="S16" s="2">
        <v>3.5811413079500198E-2</v>
      </c>
      <c r="T16" s="33" t="s">
        <v>13</v>
      </c>
      <c r="U16" s="33" t="s">
        <v>14</v>
      </c>
      <c r="V16" s="3" t="s">
        <v>238</v>
      </c>
      <c r="W16" s="2" t="s">
        <v>295</v>
      </c>
      <c r="Y16" s="2" t="s">
        <v>133</v>
      </c>
      <c r="AC16" t="s">
        <v>240</v>
      </c>
      <c r="AD16">
        <v>361401</v>
      </c>
      <c r="AE16" t="s">
        <v>251</v>
      </c>
    </row>
    <row r="17" spans="1:31" x14ac:dyDescent="0.2">
      <c r="A17" s="3">
        <v>43046.892118055599</v>
      </c>
      <c r="B17" s="3" t="s">
        <v>11</v>
      </c>
      <c r="C17" s="2" t="s">
        <v>290</v>
      </c>
      <c r="D17" s="2" t="s">
        <v>236</v>
      </c>
      <c r="E17" s="2"/>
      <c r="F17" s="2"/>
      <c r="G17" s="2" t="s">
        <v>291</v>
      </c>
      <c r="H17" s="2" t="s">
        <v>292</v>
      </c>
      <c r="I17" s="33" t="s">
        <v>302</v>
      </c>
      <c r="J17" s="33" t="s">
        <v>298</v>
      </c>
      <c r="K17" s="2" t="s">
        <v>288</v>
      </c>
      <c r="N17" s="3" t="s">
        <v>252</v>
      </c>
      <c r="P17" s="2"/>
      <c r="Q17" s="2" t="s">
        <v>300</v>
      </c>
      <c r="R17" s="2">
        <v>89731.0546875</v>
      </c>
      <c r="S17" s="2">
        <v>11.9566535949707</v>
      </c>
      <c r="T17" s="33" t="s">
        <v>13</v>
      </c>
      <c r="U17" s="33" t="s">
        <v>14</v>
      </c>
      <c r="V17" s="3" t="s">
        <v>238</v>
      </c>
      <c r="W17" s="2" t="s">
        <v>295</v>
      </c>
      <c r="Y17" s="2" t="s">
        <v>133</v>
      </c>
      <c r="AC17" t="s">
        <v>240</v>
      </c>
      <c r="AD17">
        <v>361433</v>
      </c>
      <c r="AE17" t="s">
        <v>253</v>
      </c>
    </row>
    <row r="18" spans="1:31" x14ac:dyDescent="0.2">
      <c r="A18" s="3">
        <v>43046.9038657407</v>
      </c>
      <c r="B18" s="3" t="s">
        <v>9</v>
      </c>
      <c r="C18" s="2" t="s">
        <v>290</v>
      </c>
      <c r="D18" s="2" t="s">
        <v>236</v>
      </c>
      <c r="E18" s="2"/>
      <c r="F18" s="2"/>
      <c r="G18" s="2" t="s">
        <v>291</v>
      </c>
      <c r="H18" s="2" t="s">
        <v>292</v>
      </c>
      <c r="I18" s="33" t="s">
        <v>302</v>
      </c>
      <c r="J18" s="33" t="s">
        <v>298</v>
      </c>
      <c r="K18" s="2" t="s">
        <v>288</v>
      </c>
      <c r="N18" s="3" t="s">
        <v>254</v>
      </c>
      <c r="P18" s="2"/>
      <c r="Q18" s="2"/>
      <c r="R18" s="2">
        <v>89743.015625</v>
      </c>
      <c r="S18" s="2">
        <v>3.2644506543874699E-2</v>
      </c>
      <c r="T18" s="33" t="s">
        <v>13</v>
      </c>
      <c r="U18" s="33" t="s">
        <v>14</v>
      </c>
      <c r="V18" s="3" t="s">
        <v>238</v>
      </c>
      <c r="W18" s="2" t="s">
        <v>295</v>
      </c>
      <c r="Y18" s="2" t="s">
        <v>133</v>
      </c>
      <c r="AC18" t="s">
        <v>240</v>
      </c>
      <c r="AD18">
        <v>361435</v>
      </c>
      <c r="AE18" t="s">
        <v>255</v>
      </c>
    </row>
    <row r="19" spans="1:31" x14ac:dyDescent="0.2">
      <c r="A19" s="3">
        <v>43047.060023148202</v>
      </c>
      <c r="B19" s="3" t="s">
        <v>11</v>
      </c>
      <c r="C19" s="2" t="s">
        <v>290</v>
      </c>
      <c r="D19" s="2" t="s">
        <v>236</v>
      </c>
      <c r="E19" s="2"/>
      <c r="F19" s="2"/>
      <c r="G19" s="2" t="s">
        <v>291</v>
      </c>
      <c r="H19" s="2" t="s">
        <v>292</v>
      </c>
      <c r="I19" s="33" t="s">
        <v>302</v>
      </c>
      <c r="J19" s="33" t="s">
        <v>298</v>
      </c>
      <c r="K19" s="2" t="s">
        <v>288</v>
      </c>
      <c r="N19" s="3" t="s">
        <v>256</v>
      </c>
      <c r="P19" s="2"/>
      <c r="Q19" s="2"/>
      <c r="R19" s="2">
        <v>89743.046875</v>
      </c>
      <c r="S19" s="2">
        <v>5.9946565628051802</v>
      </c>
      <c r="T19" s="33" t="s">
        <v>13</v>
      </c>
      <c r="U19" s="33" t="s">
        <v>14</v>
      </c>
      <c r="V19" s="3" t="s">
        <v>238</v>
      </c>
      <c r="W19" s="2" t="s">
        <v>295</v>
      </c>
      <c r="Y19" s="2" t="s">
        <v>133</v>
      </c>
      <c r="Z19" s="3">
        <v>43045.531504629631</v>
      </c>
      <c r="AC19" t="s">
        <v>240</v>
      </c>
      <c r="AD19">
        <v>361437</v>
      </c>
      <c r="AE19" t="s">
        <v>257</v>
      </c>
    </row>
    <row r="20" spans="1:31" x14ac:dyDescent="0.2">
      <c r="A20" s="3">
        <v>43047.072453703702</v>
      </c>
      <c r="B20" s="3" t="s">
        <v>9</v>
      </c>
      <c r="C20" s="2" t="s">
        <v>290</v>
      </c>
      <c r="D20" s="2" t="s">
        <v>236</v>
      </c>
      <c r="E20" s="2"/>
      <c r="F20" s="2"/>
      <c r="G20" s="2" t="s">
        <v>291</v>
      </c>
      <c r="H20" s="2" t="s">
        <v>292</v>
      </c>
      <c r="I20" s="33" t="s">
        <v>302</v>
      </c>
      <c r="J20" s="33" t="s">
        <v>298</v>
      </c>
      <c r="K20" s="2" t="s">
        <v>288</v>
      </c>
      <c r="N20" s="3" t="s">
        <v>258</v>
      </c>
      <c r="P20" s="2"/>
      <c r="Q20" s="2"/>
      <c r="R20" s="2">
        <v>89749.0390625</v>
      </c>
      <c r="T20" s="33" t="s">
        <v>13</v>
      </c>
      <c r="U20" s="33" t="s">
        <v>14</v>
      </c>
      <c r="V20" s="3" t="s">
        <v>238</v>
      </c>
      <c r="W20" s="2" t="s">
        <v>295</v>
      </c>
      <c r="Y20" s="2" t="s">
        <v>133</v>
      </c>
      <c r="AC20" t="s">
        <v>240</v>
      </c>
      <c r="AD20">
        <v>361439</v>
      </c>
      <c r="AE20" t="s">
        <v>259</v>
      </c>
    </row>
    <row r="21" spans="1:31" x14ac:dyDescent="0.2">
      <c r="A21" s="3">
        <v>43053.342200347201</v>
      </c>
      <c r="B21" s="3" t="s">
        <v>10</v>
      </c>
      <c r="C21" s="2" t="s">
        <v>290</v>
      </c>
      <c r="D21" s="2" t="s">
        <v>236</v>
      </c>
      <c r="G21" s="2" t="s">
        <v>291</v>
      </c>
      <c r="H21" s="2" t="s">
        <v>292</v>
      </c>
      <c r="I21" s="33" t="s">
        <v>302</v>
      </c>
      <c r="J21" s="33" t="s">
        <v>298</v>
      </c>
      <c r="K21" s="2" t="s">
        <v>288</v>
      </c>
      <c r="N21" s="3" t="s">
        <v>260</v>
      </c>
      <c r="P21" s="2"/>
      <c r="Q21" s="2"/>
      <c r="R21" s="2">
        <v>0</v>
      </c>
      <c r="S21" s="2">
        <v>0</v>
      </c>
      <c r="T21" s="33" t="s">
        <v>13</v>
      </c>
      <c r="U21" s="33" t="s">
        <v>14</v>
      </c>
      <c r="V21" s="3" t="s">
        <v>238</v>
      </c>
      <c r="W21" s="2" t="s">
        <v>295</v>
      </c>
      <c r="Y21" s="2" t="s">
        <v>132</v>
      </c>
      <c r="AC21" t="s">
        <v>240</v>
      </c>
      <c r="AD21">
        <v>361645</v>
      </c>
      <c r="AE21" t="s">
        <v>261</v>
      </c>
    </row>
    <row r="22" spans="1:31" x14ac:dyDescent="0.2">
      <c r="A22" s="3">
        <v>43053.342283796301</v>
      </c>
      <c r="B22" s="3" t="s">
        <v>9</v>
      </c>
      <c r="C22" s="2" t="s">
        <v>290</v>
      </c>
      <c r="D22" s="2" t="s">
        <v>236</v>
      </c>
      <c r="G22" s="2" t="s">
        <v>291</v>
      </c>
      <c r="H22" s="2" t="s">
        <v>292</v>
      </c>
      <c r="I22" s="2" t="s">
        <v>303</v>
      </c>
      <c r="J22" s="33" t="s">
        <v>298</v>
      </c>
      <c r="K22" s="2" t="s">
        <v>288</v>
      </c>
      <c r="N22" s="3" t="s">
        <v>262</v>
      </c>
      <c r="P22" s="2"/>
      <c r="Q22" s="2"/>
      <c r="R22" s="2">
        <v>0</v>
      </c>
      <c r="S22" s="2">
        <v>0</v>
      </c>
      <c r="T22" s="33" t="s">
        <v>13</v>
      </c>
      <c r="U22" s="33" t="s">
        <v>14</v>
      </c>
      <c r="V22" s="3" t="s">
        <v>238</v>
      </c>
      <c r="W22" s="2" t="s">
        <v>295</v>
      </c>
      <c r="Y22" s="2" t="s">
        <v>132</v>
      </c>
      <c r="AC22" t="s">
        <v>240</v>
      </c>
      <c r="AD22">
        <v>361646</v>
      </c>
      <c r="AE22" t="s">
        <v>263</v>
      </c>
    </row>
    <row r="23" spans="1:31" x14ac:dyDescent="0.2">
      <c r="A23" s="3">
        <v>43053.342500196799</v>
      </c>
      <c r="B23" s="3" t="s">
        <v>10</v>
      </c>
      <c r="C23" s="2" t="s">
        <v>290</v>
      </c>
      <c r="D23" s="2" t="s">
        <v>236</v>
      </c>
      <c r="G23" s="2" t="s">
        <v>291</v>
      </c>
      <c r="H23" s="2" t="s">
        <v>292</v>
      </c>
      <c r="I23" s="33" t="s">
        <v>303</v>
      </c>
      <c r="J23" s="33" t="s">
        <v>298</v>
      </c>
      <c r="K23" s="2" t="s">
        <v>288</v>
      </c>
      <c r="N23" s="3" t="s">
        <v>264</v>
      </c>
      <c r="P23" s="2"/>
      <c r="Q23" s="2"/>
      <c r="R23" s="2">
        <v>0</v>
      </c>
      <c r="T23" s="33" t="s">
        <v>13</v>
      </c>
      <c r="U23" s="33" t="s">
        <v>14</v>
      </c>
      <c r="V23" s="3" t="s">
        <v>238</v>
      </c>
      <c r="W23" s="2" t="s">
        <v>295</v>
      </c>
      <c r="Y23" s="2" t="s">
        <v>132</v>
      </c>
      <c r="AC23" t="s">
        <v>240</v>
      </c>
      <c r="AD23">
        <v>361647</v>
      </c>
      <c r="AE23" t="s">
        <v>265</v>
      </c>
    </row>
    <row r="24" spans="1:31" x14ac:dyDescent="0.2">
      <c r="A24" s="3">
        <v>43069.610196759299</v>
      </c>
      <c r="B24" s="3" t="s">
        <v>11</v>
      </c>
      <c r="C24" s="2" t="s">
        <v>290</v>
      </c>
      <c r="D24" s="2" t="s">
        <v>236</v>
      </c>
      <c r="E24" s="2"/>
      <c r="F24" s="2"/>
      <c r="G24" s="2" t="s">
        <v>291</v>
      </c>
      <c r="H24" s="2" t="s">
        <v>292</v>
      </c>
      <c r="I24" s="33" t="s">
        <v>303</v>
      </c>
      <c r="J24" s="33" t="s">
        <v>298</v>
      </c>
      <c r="K24" s="2" t="s">
        <v>288</v>
      </c>
      <c r="N24" s="3" t="s">
        <v>266</v>
      </c>
      <c r="P24" s="2"/>
      <c r="Q24" s="2"/>
      <c r="R24" s="2">
        <v>90285.0390625</v>
      </c>
      <c r="S24" s="2">
        <v>7.9467396736145002</v>
      </c>
      <c r="T24" s="33" t="s">
        <v>13</v>
      </c>
      <c r="U24" s="33" t="s">
        <v>14</v>
      </c>
      <c r="V24" s="3" t="s">
        <v>238</v>
      </c>
      <c r="W24" s="2" t="s">
        <v>295</v>
      </c>
      <c r="Y24" s="2" t="s">
        <v>133</v>
      </c>
      <c r="AC24" t="s">
        <v>240</v>
      </c>
      <c r="AD24">
        <v>362268</v>
      </c>
      <c r="AE24" t="s">
        <v>267</v>
      </c>
    </row>
    <row r="25" spans="1:31" x14ac:dyDescent="0.2">
      <c r="A25" s="3">
        <v>43069.621203703697</v>
      </c>
      <c r="B25" s="3" t="s">
        <v>9</v>
      </c>
      <c r="C25" s="2" t="s">
        <v>290</v>
      </c>
      <c r="D25" s="2" t="s">
        <v>236</v>
      </c>
      <c r="E25" s="2"/>
      <c r="F25" s="2"/>
      <c r="G25" s="2" t="s">
        <v>291</v>
      </c>
      <c r="H25" s="2" t="s">
        <v>292</v>
      </c>
      <c r="I25" s="33" t="s">
        <v>303</v>
      </c>
      <c r="J25" s="33" t="s">
        <v>298</v>
      </c>
      <c r="K25" s="2" t="s">
        <v>288</v>
      </c>
      <c r="N25" s="3" t="s">
        <v>268</v>
      </c>
      <c r="P25" s="2"/>
      <c r="Q25" s="2"/>
      <c r="R25" s="2">
        <v>90292.984375</v>
      </c>
      <c r="S25" s="2">
        <v>8.0242054536938702E-3</v>
      </c>
      <c r="T25" s="33" t="s">
        <v>13</v>
      </c>
      <c r="U25" s="33" t="s">
        <v>14</v>
      </c>
      <c r="V25" s="3" t="s">
        <v>238</v>
      </c>
      <c r="W25" s="2" t="s">
        <v>295</v>
      </c>
      <c r="Y25" s="2" t="s">
        <v>133</v>
      </c>
      <c r="AC25" t="s">
        <v>240</v>
      </c>
      <c r="AD25">
        <v>362270</v>
      </c>
      <c r="AE25" t="s">
        <v>269</v>
      </c>
    </row>
    <row r="26" spans="1:31" x14ac:dyDescent="0.2">
      <c r="A26" s="3">
        <v>43069.6800925926</v>
      </c>
      <c r="B26" s="3" t="s">
        <v>11</v>
      </c>
      <c r="C26" s="2" t="s">
        <v>290</v>
      </c>
      <c r="D26" s="2" t="s">
        <v>236</v>
      </c>
      <c r="E26" s="2"/>
      <c r="F26" s="2"/>
      <c r="G26" s="2" t="s">
        <v>291</v>
      </c>
      <c r="H26" s="2" t="s">
        <v>292</v>
      </c>
      <c r="I26" s="33" t="s">
        <v>303</v>
      </c>
      <c r="J26" s="33" t="s">
        <v>298</v>
      </c>
      <c r="K26" s="2" t="s">
        <v>288</v>
      </c>
      <c r="N26" s="3" t="s">
        <v>270</v>
      </c>
      <c r="P26" s="2"/>
      <c r="Q26" s="2"/>
      <c r="R26" s="2">
        <v>90292.9921875</v>
      </c>
      <c r="S26" s="2">
        <v>4.0308885574340803</v>
      </c>
      <c r="T26" s="33" t="s">
        <v>13</v>
      </c>
      <c r="U26" s="33" t="s">
        <v>14</v>
      </c>
      <c r="V26" s="3" t="s">
        <v>238</v>
      </c>
      <c r="W26" s="2" t="s">
        <v>295</v>
      </c>
      <c r="Y26" s="2" t="s">
        <v>133</v>
      </c>
      <c r="AC26" t="s">
        <v>240</v>
      </c>
      <c r="AD26">
        <v>362271</v>
      </c>
      <c r="AE26" t="s">
        <v>271</v>
      </c>
    </row>
    <row r="27" spans="1:31" x14ac:dyDescent="0.2">
      <c r="A27" s="3">
        <v>43069.685648148101</v>
      </c>
      <c r="B27" s="3" t="s">
        <v>9</v>
      </c>
      <c r="C27" s="2" t="s">
        <v>290</v>
      </c>
      <c r="D27" s="2" t="s">
        <v>236</v>
      </c>
      <c r="E27" s="2"/>
      <c r="F27" s="2"/>
      <c r="G27" s="2" t="s">
        <v>291</v>
      </c>
      <c r="H27" s="2" t="s">
        <v>292</v>
      </c>
      <c r="I27" s="33" t="s">
        <v>303</v>
      </c>
      <c r="J27" s="33" t="s">
        <v>298</v>
      </c>
      <c r="K27" s="2" t="s">
        <v>288</v>
      </c>
      <c r="N27" s="3" t="s">
        <v>272</v>
      </c>
      <c r="P27" s="2"/>
      <c r="Q27" s="2"/>
      <c r="R27" s="2">
        <v>90297.0234375</v>
      </c>
      <c r="S27" s="2">
        <v>4.2117558419704403E-2</v>
      </c>
      <c r="T27" s="33" t="s">
        <v>13</v>
      </c>
      <c r="U27" s="33" t="s">
        <v>14</v>
      </c>
      <c r="V27" s="3" t="s">
        <v>238</v>
      </c>
      <c r="W27" s="2" t="s">
        <v>295</v>
      </c>
      <c r="Y27" s="2" t="s">
        <v>133</v>
      </c>
      <c r="Z27" s="3">
        <v>43045.566307870373</v>
      </c>
      <c r="AC27" t="s">
        <v>240</v>
      </c>
      <c r="AD27">
        <v>362274</v>
      </c>
      <c r="AE27" t="s">
        <v>273</v>
      </c>
    </row>
    <row r="28" spans="1:31" x14ac:dyDescent="0.2">
      <c r="A28" s="3">
        <v>43069.754849536999</v>
      </c>
      <c r="B28" s="3" t="s">
        <v>11</v>
      </c>
      <c r="C28" s="2" t="s">
        <v>290</v>
      </c>
      <c r="D28" s="2" t="s">
        <v>236</v>
      </c>
      <c r="E28" s="2"/>
      <c r="F28" s="2"/>
      <c r="G28" s="2" t="s">
        <v>291</v>
      </c>
      <c r="H28" s="2" t="s">
        <v>292</v>
      </c>
      <c r="I28" s="33" t="s">
        <v>303</v>
      </c>
      <c r="J28" s="33" t="s">
        <v>298</v>
      </c>
      <c r="K28" s="2" t="s">
        <v>288</v>
      </c>
      <c r="N28" s="3" t="s">
        <v>274</v>
      </c>
      <c r="P28" s="2"/>
      <c r="Q28" s="2"/>
      <c r="R28" s="2">
        <v>90297.0703125</v>
      </c>
      <c r="S28" s="2">
        <v>5.9230461120605504</v>
      </c>
      <c r="T28" s="33" t="s">
        <v>13</v>
      </c>
      <c r="U28" s="33" t="s">
        <v>14</v>
      </c>
      <c r="V28" s="3" t="s">
        <v>238</v>
      </c>
      <c r="W28" s="2" t="s">
        <v>295</v>
      </c>
      <c r="Y28" s="2" t="s">
        <v>133</v>
      </c>
      <c r="Z28" s="3">
        <v>43045.566400462965</v>
      </c>
      <c r="AC28" t="s">
        <v>240</v>
      </c>
      <c r="AD28">
        <v>362282</v>
      </c>
      <c r="AE28" t="s">
        <v>275</v>
      </c>
    </row>
    <row r="29" spans="1:31" x14ac:dyDescent="0.2">
      <c r="A29" s="3">
        <v>43069.763067129599</v>
      </c>
      <c r="B29" s="3" t="s">
        <v>9</v>
      </c>
      <c r="C29" s="2" t="s">
        <v>290</v>
      </c>
      <c r="D29" s="2" t="s">
        <v>236</v>
      </c>
      <c r="E29" s="2"/>
      <c r="F29" s="2"/>
      <c r="G29" s="2" t="s">
        <v>291</v>
      </c>
      <c r="H29" s="2" t="s">
        <v>292</v>
      </c>
      <c r="I29" s="33" t="s">
        <v>303</v>
      </c>
      <c r="J29" s="33" t="s">
        <v>298</v>
      </c>
      <c r="K29" s="2" t="s">
        <v>288</v>
      </c>
      <c r="N29" s="3" t="s">
        <v>276</v>
      </c>
      <c r="P29" s="2"/>
      <c r="Q29" s="2"/>
      <c r="R29" s="2">
        <v>90302.9921875</v>
      </c>
      <c r="S29" s="2">
        <v>3.7446539849042899E-2</v>
      </c>
      <c r="T29" s="33" t="s">
        <v>13</v>
      </c>
      <c r="U29" s="33" t="s">
        <v>14</v>
      </c>
      <c r="V29" s="3" t="s">
        <v>238</v>
      </c>
      <c r="W29" s="2" t="s">
        <v>295</v>
      </c>
      <c r="Y29" s="2" t="s">
        <v>133</v>
      </c>
      <c r="Z29" s="3">
        <v>43045.566435185188</v>
      </c>
      <c r="AC29" t="s">
        <v>240</v>
      </c>
      <c r="AD29">
        <v>362284</v>
      </c>
      <c r="AE29" t="s">
        <v>277</v>
      </c>
    </row>
    <row r="30" spans="1:31" x14ac:dyDescent="0.2">
      <c r="A30" s="3">
        <v>43069.772372685198</v>
      </c>
      <c r="B30" s="3" t="s">
        <v>11</v>
      </c>
      <c r="C30" s="2" t="s">
        <v>290</v>
      </c>
      <c r="D30" s="2" t="s">
        <v>236</v>
      </c>
      <c r="E30" s="2"/>
      <c r="F30" s="2"/>
      <c r="G30" s="2" t="s">
        <v>291</v>
      </c>
      <c r="H30" s="2" t="s">
        <v>292</v>
      </c>
      <c r="I30" s="33" t="s">
        <v>303</v>
      </c>
      <c r="J30" s="33" t="s">
        <v>298</v>
      </c>
      <c r="K30" s="2" t="s">
        <v>288</v>
      </c>
      <c r="N30" s="3" t="s">
        <v>278</v>
      </c>
      <c r="P30" s="2"/>
      <c r="Q30" s="2" t="s">
        <v>301</v>
      </c>
      <c r="R30" s="2">
        <v>90303.03125</v>
      </c>
      <c r="S30" s="2">
        <v>6.0190110206604004</v>
      </c>
      <c r="T30" s="33" t="s">
        <v>13</v>
      </c>
      <c r="U30" s="33" t="s">
        <v>14</v>
      </c>
      <c r="V30" s="3" t="s">
        <v>238</v>
      </c>
      <c r="W30" s="2" t="s">
        <v>295</v>
      </c>
      <c r="Y30" s="2" t="s">
        <v>133</v>
      </c>
      <c r="Z30" s="3">
        <v>43045.566435185188</v>
      </c>
      <c r="AC30" t="s">
        <v>240</v>
      </c>
      <c r="AD30">
        <v>362286</v>
      </c>
      <c r="AE30" t="s">
        <v>279</v>
      </c>
    </row>
    <row r="31" spans="1:31" x14ac:dyDescent="0.2">
      <c r="A31" s="3">
        <v>43069.778854166703</v>
      </c>
      <c r="B31" s="3" t="s">
        <v>9</v>
      </c>
      <c r="C31" s="2" t="s">
        <v>290</v>
      </c>
      <c r="D31" s="2" t="s">
        <v>236</v>
      </c>
      <c r="E31" s="2"/>
      <c r="F31" s="2"/>
      <c r="G31" s="2" t="s">
        <v>291</v>
      </c>
      <c r="H31" s="2" t="s">
        <v>292</v>
      </c>
      <c r="I31" s="33" t="s">
        <v>303</v>
      </c>
      <c r="J31" s="33" t="s">
        <v>298</v>
      </c>
      <c r="K31" s="2" t="s">
        <v>288</v>
      </c>
      <c r="N31" s="3" t="s">
        <v>280</v>
      </c>
      <c r="P31" s="2"/>
      <c r="Q31" s="2"/>
      <c r="R31" s="2">
        <v>90309.046875</v>
      </c>
      <c r="T31" s="33" t="s">
        <v>13</v>
      </c>
      <c r="U31" s="33" t="s">
        <v>14</v>
      </c>
      <c r="V31" s="3" t="s">
        <v>238</v>
      </c>
      <c r="W31" s="2" t="s">
        <v>295</v>
      </c>
      <c r="Y31" s="2" t="s">
        <v>133</v>
      </c>
      <c r="AC31" t="s">
        <v>240</v>
      </c>
      <c r="AD31">
        <v>362288</v>
      </c>
      <c r="AE31" t="s">
        <v>281</v>
      </c>
    </row>
  </sheetData>
  <pageMargins left="0.7" right="0.7" top="0.75" bottom="0.75" header="0.3" footer="0.3"/>
  <pageSetup fitToHeight="100"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I36"/>
  <sheetViews>
    <sheetView topLeftCell="A17" workbookViewId="0">
      <selection activeCell="A37" sqref="A37"/>
    </sheetView>
  </sheetViews>
  <sheetFormatPr defaultRowHeight="12.75" x14ac:dyDescent="0.2"/>
  <cols>
    <col min="1" max="7" width="30" customWidth="1"/>
    <col min="8" max="8" width="21" bestFit="1" customWidth="1"/>
    <col min="9" max="9" width="30" style="9" customWidth="1"/>
  </cols>
  <sheetData>
    <row r="1" spans="1:9" s="6" customFormat="1" x14ac:dyDescent="0.2">
      <c r="A1" s="6" t="s">
        <v>34</v>
      </c>
      <c r="B1" s="6" t="s">
        <v>35</v>
      </c>
      <c r="C1" s="6" t="s">
        <v>36</v>
      </c>
      <c r="D1" s="6" t="s">
        <v>37</v>
      </c>
      <c r="E1" s="6" t="s">
        <v>38</v>
      </c>
      <c r="F1" s="6" t="s">
        <v>151</v>
      </c>
      <c r="G1" s="6" t="s">
        <v>173</v>
      </c>
      <c r="H1" s="6" t="s">
        <v>192</v>
      </c>
      <c r="I1" s="8" t="s">
        <v>212</v>
      </c>
    </row>
    <row r="2" spans="1:9" x14ac:dyDescent="0.2">
      <c r="A2" t="s">
        <v>39</v>
      </c>
      <c r="B2" t="s">
        <v>58</v>
      </c>
      <c r="C2" t="s">
        <v>59</v>
      </c>
      <c r="D2" t="s">
        <v>60</v>
      </c>
      <c r="E2" t="s">
        <v>61</v>
      </c>
      <c r="F2" t="s">
        <v>152</v>
      </c>
      <c r="G2" t="s">
        <v>174</v>
      </c>
      <c r="H2" t="s">
        <v>193</v>
      </c>
      <c r="I2" s="9" t="s">
        <v>213</v>
      </c>
    </row>
    <row r="3" spans="1:9" x14ac:dyDescent="0.2">
      <c r="A3" t="s">
        <v>55</v>
      </c>
      <c r="B3" t="s">
        <v>54</v>
      </c>
      <c r="C3" t="s">
        <v>62</v>
      </c>
      <c r="D3" t="s">
        <v>63</v>
      </c>
      <c r="E3" t="s">
        <v>64</v>
      </c>
      <c r="F3" t="s">
        <v>153</v>
      </c>
      <c r="G3" t="s">
        <v>153</v>
      </c>
      <c r="H3" t="s">
        <v>63</v>
      </c>
      <c r="I3" s="9" t="s">
        <v>153</v>
      </c>
    </row>
    <row r="4" spans="1:9" x14ac:dyDescent="0.2">
      <c r="A4" t="s">
        <v>40</v>
      </c>
      <c r="B4" t="s">
        <v>65</v>
      </c>
      <c r="C4" t="s">
        <v>66</v>
      </c>
      <c r="D4" t="s">
        <v>12</v>
      </c>
      <c r="E4" t="s">
        <v>67</v>
      </c>
      <c r="F4" t="s">
        <v>12</v>
      </c>
      <c r="G4" t="s">
        <v>12</v>
      </c>
      <c r="H4" t="s">
        <v>12</v>
      </c>
      <c r="I4" s="9" t="s">
        <v>214</v>
      </c>
    </row>
    <row r="5" spans="1:9" x14ac:dyDescent="0.2">
      <c r="A5" t="s">
        <v>41</v>
      </c>
      <c r="B5" t="s">
        <v>68</v>
      </c>
      <c r="C5" t="s">
        <v>69</v>
      </c>
      <c r="D5" t="s">
        <v>70</v>
      </c>
      <c r="E5" t="s">
        <v>71</v>
      </c>
      <c r="F5" t="s">
        <v>154</v>
      </c>
      <c r="G5" t="s">
        <v>69</v>
      </c>
      <c r="H5" t="s">
        <v>194</v>
      </c>
      <c r="I5" s="9" t="s">
        <v>69</v>
      </c>
    </row>
    <row r="6" spans="1:9" x14ac:dyDescent="0.2">
      <c r="A6" t="s">
        <v>225</v>
      </c>
      <c r="B6" t="s">
        <v>72</v>
      </c>
      <c r="C6" t="s">
        <v>73</v>
      </c>
      <c r="D6" t="s">
        <v>74</v>
      </c>
      <c r="E6" t="s">
        <v>75</v>
      </c>
      <c r="F6" t="s">
        <v>155</v>
      </c>
      <c r="G6" t="s">
        <v>184</v>
      </c>
      <c r="H6" t="s">
        <v>195</v>
      </c>
      <c r="I6" s="9" t="s">
        <v>227</v>
      </c>
    </row>
    <row r="7" spans="1:9" x14ac:dyDescent="0.2">
      <c r="A7" t="s">
        <v>42</v>
      </c>
      <c r="B7" t="s">
        <v>76</v>
      </c>
      <c r="C7" t="s">
        <v>77</v>
      </c>
      <c r="D7" t="s">
        <v>78</v>
      </c>
      <c r="E7" t="s">
        <v>79</v>
      </c>
      <c r="F7" t="s">
        <v>156</v>
      </c>
      <c r="G7" t="s">
        <v>175</v>
      </c>
      <c r="H7" t="s">
        <v>196</v>
      </c>
      <c r="I7" s="9" t="s">
        <v>215</v>
      </c>
    </row>
    <row r="8" spans="1:9" x14ac:dyDescent="0.2">
      <c r="A8" t="s">
        <v>43</v>
      </c>
      <c r="B8" t="s">
        <v>13</v>
      </c>
      <c r="C8" t="s">
        <v>80</v>
      </c>
      <c r="D8" t="s">
        <v>81</v>
      </c>
      <c r="E8" t="s">
        <v>82</v>
      </c>
      <c r="F8" t="s">
        <v>157</v>
      </c>
      <c r="G8" t="s">
        <v>13</v>
      </c>
      <c r="H8" t="s">
        <v>197</v>
      </c>
      <c r="I8" s="9" t="s">
        <v>216</v>
      </c>
    </row>
    <row r="9" spans="1:9" x14ac:dyDescent="0.2">
      <c r="A9" t="s">
        <v>44</v>
      </c>
      <c r="B9" t="s">
        <v>14</v>
      </c>
      <c r="C9" t="s">
        <v>83</v>
      </c>
      <c r="D9" t="s">
        <v>84</v>
      </c>
      <c r="E9" t="s">
        <v>85</v>
      </c>
      <c r="F9" t="s">
        <v>158</v>
      </c>
      <c r="G9" t="s">
        <v>14</v>
      </c>
      <c r="H9" t="s">
        <v>198</v>
      </c>
      <c r="I9" s="9" t="s">
        <v>217</v>
      </c>
    </row>
    <row r="10" spans="1:9" x14ac:dyDescent="0.2">
      <c r="A10" t="s">
        <v>45</v>
      </c>
      <c r="B10" t="s">
        <v>86</v>
      </c>
      <c r="C10" t="s">
        <v>87</v>
      </c>
      <c r="D10" t="s">
        <v>86</v>
      </c>
      <c r="E10" t="s">
        <v>88</v>
      </c>
      <c r="F10" t="s">
        <v>159</v>
      </c>
      <c r="G10" t="s">
        <v>176</v>
      </c>
      <c r="H10" t="s">
        <v>159</v>
      </c>
      <c r="I10" s="9" t="s">
        <v>218</v>
      </c>
    </row>
    <row r="11" spans="1:9" x14ac:dyDescent="0.2">
      <c r="A11" t="s">
        <v>46</v>
      </c>
      <c r="B11" t="s">
        <v>89</v>
      </c>
      <c r="C11" t="s">
        <v>90</v>
      </c>
      <c r="D11" t="s">
        <v>91</v>
      </c>
      <c r="E11" t="s">
        <v>92</v>
      </c>
      <c r="F11" t="s">
        <v>160</v>
      </c>
      <c r="G11" t="s">
        <v>177</v>
      </c>
      <c r="H11" t="s">
        <v>199</v>
      </c>
      <c r="I11" s="9" t="s">
        <v>219</v>
      </c>
    </row>
    <row r="12" spans="1:9" x14ac:dyDescent="0.2">
      <c r="A12" t="s">
        <v>47</v>
      </c>
      <c r="B12" t="s">
        <v>15</v>
      </c>
      <c r="C12" t="s">
        <v>93</v>
      </c>
      <c r="D12" t="s">
        <v>94</v>
      </c>
      <c r="E12" t="s">
        <v>95</v>
      </c>
      <c r="F12" t="s">
        <v>161</v>
      </c>
      <c r="G12" t="s">
        <v>178</v>
      </c>
      <c r="H12" t="s">
        <v>200</v>
      </c>
      <c r="I12" s="9" t="s">
        <v>220</v>
      </c>
    </row>
    <row r="13" spans="1:9" x14ac:dyDescent="0.2">
      <c r="A13" t="s">
        <v>56</v>
      </c>
      <c r="B13" t="s">
        <v>96</v>
      </c>
      <c r="C13" t="s">
        <v>97</v>
      </c>
      <c r="D13" t="s">
        <v>98</v>
      </c>
      <c r="E13" t="s">
        <v>99</v>
      </c>
      <c r="F13" t="s">
        <v>162</v>
      </c>
      <c r="G13" t="s">
        <v>185</v>
      </c>
      <c r="H13" t="s">
        <v>201</v>
      </c>
      <c r="I13" s="9" t="s">
        <v>228</v>
      </c>
    </row>
    <row r="14" spans="1:9" x14ac:dyDescent="0.2">
      <c r="A14" t="s">
        <v>57</v>
      </c>
      <c r="B14" t="s">
        <v>100</v>
      </c>
      <c r="C14" t="s">
        <v>101</v>
      </c>
      <c r="D14" t="s">
        <v>102</v>
      </c>
      <c r="E14" t="s">
        <v>103</v>
      </c>
      <c r="F14" t="s">
        <v>163</v>
      </c>
      <c r="G14" t="s">
        <v>186</v>
      </c>
      <c r="H14" t="s">
        <v>202</v>
      </c>
      <c r="I14" s="9" t="s">
        <v>229</v>
      </c>
    </row>
    <row r="15" spans="1:9" x14ac:dyDescent="0.2">
      <c r="A15" t="s">
        <v>48</v>
      </c>
      <c r="B15" t="s">
        <v>104</v>
      </c>
      <c r="C15" t="s">
        <v>105</v>
      </c>
      <c r="D15" t="s">
        <v>106</v>
      </c>
      <c r="E15" t="s">
        <v>107</v>
      </c>
      <c r="F15" t="s">
        <v>164</v>
      </c>
      <c r="G15" t="s">
        <v>179</v>
      </c>
      <c r="H15" t="s">
        <v>203</v>
      </c>
      <c r="I15" s="9" t="s">
        <v>221</v>
      </c>
    </row>
    <row r="16" spans="1:9" x14ac:dyDescent="0.2">
      <c r="A16" t="s">
        <v>53</v>
      </c>
      <c r="B16" t="s">
        <v>108</v>
      </c>
      <c r="C16" t="s">
        <v>109</v>
      </c>
      <c r="D16" t="s">
        <v>110</v>
      </c>
      <c r="E16" t="s">
        <v>111</v>
      </c>
      <c r="F16" t="s">
        <v>165</v>
      </c>
      <c r="G16" t="s">
        <v>180</v>
      </c>
      <c r="H16" t="s">
        <v>204</v>
      </c>
      <c r="I16" s="9" t="s">
        <v>222</v>
      </c>
    </row>
    <row r="17" spans="1:9" x14ac:dyDescent="0.2">
      <c r="A17" t="s">
        <v>49</v>
      </c>
      <c r="B17" t="s">
        <v>112</v>
      </c>
      <c r="C17" t="s">
        <v>113</v>
      </c>
      <c r="D17" t="s">
        <v>114</v>
      </c>
      <c r="E17" t="s">
        <v>115</v>
      </c>
      <c r="F17" t="s">
        <v>166</v>
      </c>
      <c r="G17" t="s">
        <v>187</v>
      </c>
      <c r="H17" t="s">
        <v>205</v>
      </c>
      <c r="I17" s="9" t="s">
        <v>230</v>
      </c>
    </row>
    <row r="18" spans="1:9" x14ac:dyDescent="0.2">
      <c r="A18" t="s">
        <v>50</v>
      </c>
      <c r="B18" t="s">
        <v>116</v>
      </c>
      <c r="C18" t="s">
        <v>117</v>
      </c>
      <c r="D18" t="s">
        <v>118</v>
      </c>
      <c r="E18" t="s">
        <v>119</v>
      </c>
      <c r="F18" t="s">
        <v>167</v>
      </c>
      <c r="G18" t="s">
        <v>117</v>
      </c>
      <c r="H18" t="s">
        <v>206</v>
      </c>
      <c r="I18" s="9" t="s">
        <v>223</v>
      </c>
    </row>
    <row r="19" spans="1:9" x14ac:dyDescent="0.2">
      <c r="A19" t="s">
        <v>51</v>
      </c>
      <c r="B19" t="s">
        <v>120</v>
      </c>
      <c r="C19" t="s">
        <v>121</v>
      </c>
      <c r="D19" t="s">
        <v>122</v>
      </c>
      <c r="E19" t="s">
        <v>123</v>
      </c>
      <c r="F19" t="s">
        <v>168</v>
      </c>
      <c r="G19" t="s">
        <v>121</v>
      </c>
      <c r="H19" t="s">
        <v>207</v>
      </c>
      <c r="I19" s="9" t="s">
        <v>224</v>
      </c>
    </row>
    <row r="20" spans="1:9" x14ac:dyDescent="0.2">
      <c r="A20" t="s">
        <v>52</v>
      </c>
      <c r="B20" t="s">
        <v>124</v>
      </c>
      <c r="C20" t="s">
        <v>125</v>
      </c>
      <c r="D20" t="s">
        <v>126</v>
      </c>
      <c r="E20" t="s">
        <v>127</v>
      </c>
      <c r="F20" t="s">
        <v>169</v>
      </c>
      <c r="G20" t="s">
        <v>188</v>
      </c>
      <c r="H20" t="s">
        <v>208</v>
      </c>
      <c r="I20" s="9" t="s">
        <v>231</v>
      </c>
    </row>
    <row r="21" spans="1:9" x14ac:dyDescent="0.2">
      <c r="A21" s="7" t="s">
        <v>134</v>
      </c>
      <c r="B21" s="7" t="s">
        <v>135</v>
      </c>
      <c r="C21" s="7" t="s">
        <v>136</v>
      </c>
      <c r="D21" s="7" t="s">
        <v>137</v>
      </c>
      <c r="E21" s="7" t="s">
        <v>138</v>
      </c>
      <c r="F21" t="s">
        <v>170</v>
      </c>
      <c r="G21" t="s">
        <v>181</v>
      </c>
      <c r="H21" t="s">
        <v>209</v>
      </c>
      <c r="I21" s="9" t="s">
        <v>181</v>
      </c>
    </row>
    <row r="22" spans="1:9" x14ac:dyDescent="0.2">
      <c r="A22" s="7" t="s">
        <v>139</v>
      </c>
      <c r="B22" s="7" t="s">
        <v>140</v>
      </c>
      <c r="C22" s="7" t="s">
        <v>141</v>
      </c>
      <c r="D22" s="7" t="s">
        <v>142</v>
      </c>
      <c r="E22" s="7" t="s">
        <v>143</v>
      </c>
      <c r="F22" t="s">
        <v>171</v>
      </c>
      <c r="G22" t="s">
        <v>182</v>
      </c>
      <c r="H22" t="s">
        <v>210</v>
      </c>
      <c r="I22" s="9" t="s">
        <v>232</v>
      </c>
    </row>
    <row r="23" spans="1:9" x14ac:dyDescent="0.2">
      <c r="A23" t="s">
        <v>146</v>
      </c>
      <c r="B23" t="s">
        <v>147</v>
      </c>
      <c r="C23" t="s">
        <v>148</v>
      </c>
      <c r="D23" t="s">
        <v>149</v>
      </c>
      <c r="E23" t="s">
        <v>150</v>
      </c>
      <c r="F23" t="s">
        <v>172</v>
      </c>
      <c r="G23" t="s">
        <v>183</v>
      </c>
      <c r="H23" t="s">
        <v>211</v>
      </c>
      <c r="I23" s="9" t="s">
        <v>233</v>
      </c>
    </row>
    <row r="24" spans="1:9" x14ac:dyDescent="0.2">
      <c r="A24" t="s">
        <v>321</v>
      </c>
    </row>
    <row r="25" spans="1:9" ht="140.25" x14ac:dyDescent="0.2">
      <c r="A25" s="9" t="s">
        <v>322</v>
      </c>
    </row>
    <row r="26" spans="1:9" x14ac:dyDescent="0.2">
      <c r="A26" s="9" t="s">
        <v>55</v>
      </c>
      <c r="B26" s="9"/>
    </row>
    <row r="27" spans="1:9" x14ac:dyDescent="0.2">
      <c r="A27" s="9" t="s">
        <v>310</v>
      </c>
    </row>
    <row r="28" spans="1:9" x14ac:dyDescent="0.2">
      <c r="A28" s="9" t="s">
        <v>52</v>
      </c>
    </row>
    <row r="29" spans="1:9" x14ac:dyDescent="0.2">
      <c r="A29" s="9" t="s">
        <v>318</v>
      </c>
      <c r="B29" s="9"/>
      <c r="C29" s="9"/>
    </row>
    <row r="30" spans="1:9" x14ac:dyDescent="0.2">
      <c r="A30" s="9" t="s">
        <v>319</v>
      </c>
      <c r="B30" s="9"/>
      <c r="C30" s="9"/>
    </row>
    <row r="31" spans="1:9" x14ac:dyDescent="0.2">
      <c r="A31" s="9" t="s">
        <v>320</v>
      </c>
    </row>
    <row r="32" spans="1:9" x14ac:dyDescent="0.2">
      <c r="A32" s="9" t="s">
        <v>316</v>
      </c>
    </row>
    <row r="33" spans="1:1" x14ac:dyDescent="0.2">
      <c r="A33" s="9" t="s">
        <v>317</v>
      </c>
    </row>
    <row r="34" spans="1:1" x14ac:dyDescent="0.2">
      <c r="A34" s="74" t="s">
        <v>311</v>
      </c>
    </row>
    <row r="35" spans="1:1" x14ac:dyDescent="0.2">
      <c r="A35" s="76" t="s">
        <v>312</v>
      </c>
    </row>
    <row r="36" spans="1:1" x14ac:dyDescent="0.2">
      <c r="A36" s="76" t="s">
        <v>313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Summary</vt:lpstr>
      <vt:lpstr>Unverified Logs</vt:lpstr>
      <vt:lpstr>Report</vt:lpstr>
      <vt:lpstr>Data</vt:lpstr>
      <vt:lpstr>Languages</vt:lpstr>
      <vt:lpstr>AllData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dc:creator>
  <cp:lastModifiedBy>Aakash Dubey</cp:lastModifiedBy>
  <dcterms:created xsi:type="dcterms:W3CDTF">2009-05-21T13:20:04Z</dcterms:created>
  <dcterms:modified xsi:type="dcterms:W3CDTF">2020-11-20T15:39:45Z</dcterms:modified>
</cp:coreProperties>
</file>