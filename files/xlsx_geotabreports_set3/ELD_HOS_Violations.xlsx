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kashdubey\Google Drive\HOS Marketplace Reports project\Final for Marketplace\"/>
    </mc:Choice>
  </mc:AlternateContent>
  <xr:revisionPtr revIDLastSave="0" documentId="13_ncr:1_{71480221-1608-4016-888B-FB4736A5FEB2}" xr6:coauthVersionLast="46" xr6:coauthVersionMax="46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Report" sheetId="3" state="hidden" r:id="rId1"/>
    <sheet name="Total Violations" sheetId="14" r:id="rId2"/>
    <sheet name="Summary" sheetId="11" r:id="rId3"/>
    <sheet name="Details" sheetId="9" r:id="rId4"/>
    <sheet name="Graph" sheetId="10" state="hidden" r:id="rId5"/>
    <sheet name="Graph 2" sheetId="16" state="hidden" r:id="rId6"/>
    <sheet name="Languages" sheetId="13" state="hidden" r:id="rId7"/>
    <sheet name="Data" sheetId="1" state="hidden" r:id="rId8"/>
  </sheets>
  <definedNames>
    <definedName name="_xlnm._FilterDatabase" localSheetId="0" hidden="1">Report!$A$9:$H$9</definedName>
    <definedName name="AllData">Report!$A$9:$H$96</definedName>
  </definedNames>
  <calcPr calcId="191029"/>
  <pivotCaches>
    <pivotCache cacheId="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" i="3" l="1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10" i="3"/>
  <c r="H11" i="3"/>
  <c r="G11" i="3" s="1"/>
  <c r="H12" i="3"/>
  <c r="G12" i="3" s="1"/>
  <c r="H13" i="3"/>
  <c r="G13" i="3" s="1"/>
  <c r="H14" i="3"/>
  <c r="G14" i="3" s="1"/>
  <c r="H15" i="3"/>
  <c r="G15" i="3" s="1"/>
  <c r="H16" i="3"/>
  <c r="G16" i="3" s="1"/>
  <c r="H17" i="3"/>
  <c r="H18" i="3"/>
  <c r="H19" i="3"/>
  <c r="G19" i="3" s="1"/>
  <c r="H20" i="3"/>
  <c r="G20" i="3" s="1"/>
  <c r="H21" i="3"/>
  <c r="G21" i="3" s="1"/>
  <c r="H22" i="3"/>
  <c r="G22" i="3" s="1"/>
  <c r="H23" i="3"/>
  <c r="G23" i="3" s="1"/>
  <c r="H24" i="3"/>
  <c r="G24" i="3" s="1"/>
  <c r="H25" i="3"/>
  <c r="G25" i="3" s="1"/>
  <c r="H26" i="3"/>
  <c r="G26" i="3" s="1"/>
  <c r="H27" i="3"/>
  <c r="G27" i="3" s="1"/>
  <c r="H28" i="3"/>
  <c r="G28" i="3" s="1"/>
  <c r="H29" i="3"/>
  <c r="G29" i="3" s="1"/>
  <c r="H30" i="3"/>
  <c r="G30" i="3" s="1"/>
  <c r="H31" i="3"/>
  <c r="G31" i="3" s="1"/>
  <c r="H32" i="3"/>
  <c r="G32" i="3" s="1"/>
  <c r="H33" i="3"/>
  <c r="G33" i="3" s="1"/>
  <c r="H34" i="3"/>
  <c r="G34" i="3" s="1"/>
  <c r="H35" i="3"/>
  <c r="G35" i="3" s="1"/>
  <c r="H36" i="3"/>
  <c r="H37" i="3"/>
  <c r="G37" i="3" s="1"/>
  <c r="H38" i="3"/>
  <c r="G38" i="3" s="1"/>
  <c r="H39" i="3"/>
  <c r="G39" i="3" s="1"/>
  <c r="H40" i="3"/>
  <c r="G40" i="3" s="1"/>
  <c r="H41" i="3"/>
  <c r="G41" i="3" s="1"/>
  <c r="H42" i="3"/>
  <c r="G42" i="3" s="1"/>
  <c r="H43" i="3"/>
  <c r="G43" i="3" s="1"/>
  <c r="H44" i="3"/>
  <c r="G44" i="3" s="1"/>
  <c r="H45" i="3"/>
  <c r="G45" i="3" s="1"/>
  <c r="H46" i="3"/>
  <c r="G46" i="3" s="1"/>
  <c r="H47" i="3"/>
  <c r="G47" i="3" s="1"/>
  <c r="H48" i="3"/>
  <c r="G48" i="3" s="1"/>
  <c r="H49" i="3"/>
  <c r="G49" i="3" s="1"/>
  <c r="H50" i="3"/>
  <c r="G50" i="3" s="1"/>
  <c r="H51" i="3"/>
  <c r="G51" i="3" s="1"/>
  <c r="H52" i="3"/>
  <c r="G52" i="3" s="1"/>
  <c r="H53" i="3"/>
  <c r="G53" i="3" s="1"/>
  <c r="H54" i="3"/>
  <c r="G54" i="3" s="1"/>
  <c r="H55" i="3"/>
  <c r="G55" i="3" s="1"/>
  <c r="H56" i="3"/>
  <c r="G56" i="3" s="1"/>
  <c r="H57" i="3"/>
  <c r="G57" i="3" s="1"/>
  <c r="H58" i="3"/>
  <c r="G58" i="3" s="1"/>
  <c r="H59" i="3"/>
  <c r="G59" i="3" s="1"/>
  <c r="H60" i="3"/>
  <c r="G60" i="3" s="1"/>
  <c r="H61" i="3"/>
  <c r="G61" i="3" s="1"/>
  <c r="H62" i="3"/>
  <c r="G62" i="3" s="1"/>
  <c r="H63" i="3"/>
  <c r="G63" i="3" s="1"/>
  <c r="H64" i="3"/>
  <c r="G64" i="3" s="1"/>
  <c r="H65" i="3"/>
  <c r="G65" i="3" s="1"/>
  <c r="H66" i="3"/>
  <c r="G66" i="3" s="1"/>
  <c r="H67" i="3"/>
  <c r="G67" i="3" s="1"/>
  <c r="H68" i="3"/>
  <c r="G68" i="3" s="1"/>
  <c r="H69" i="3"/>
  <c r="G69" i="3" s="1"/>
  <c r="H70" i="3"/>
  <c r="G70" i="3" s="1"/>
  <c r="H71" i="3"/>
  <c r="G71" i="3" s="1"/>
  <c r="H72" i="3"/>
  <c r="G72" i="3" s="1"/>
  <c r="H73" i="3"/>
  <c r="G73" i="3" s="1"/>
  <c r="H74" i="3"/>
  <c r="G74" i="3" s="1"/>
  <c r="H75" i="3"/>
  <c r="G75" i="3" s="1"/>
  <c r="H76" i="3"/>
  <c r="G76" i="3" s="1"/>
  <c r="H77" i="3"/>
  <c r="G77" i="3" s="1"/>
  <c r="H78" i="3"/>
  <c r="G78" i="3" s="1"/>
  <c r="H79" i="3"/>
  <c r="G79" i="3" s="1"/>
  <c r="H80" i="3"/>
  <c r="G80" i="3" s="1"/>
  <c r="H81" i="3"/>
  <c r="G81" i="3" s="1"/>
  <c r="H82" i="3"/>
  <c r="G82" i="3" s="1"/>
  <c r="H83" i="3"/>
  <c r="G83" i="3" s="1"/>
  <c r="H84" i="3"/>
  <c r="G84" i="3" s="1"/>
  <c r="H85" i="3"/>
  <c r="G85" i="3" s="1"/>
  <c r="H86" i="3"/>
  <c r="G86" i="3" s="1"/>
  <c r="H87" i="3"/>
  <c r="G87" i="3" s="1"/>
  <c r="H88" i="3"/>
  <c r="G88" i="3" s="1"/>
  <c r="H89" i="3"/>
  <c r="G89" i="3" s="1"/>
  <c r="H90" i="3"/>
  <c r="G90" i="3" s="1"/>
  <c r="H91" i="3"/>
  <c r="G91" i="3" s="1"/>
  <c r="H92" i="3"/>
  <c r="G92" i="3" s="1"/>
  <c r="H93" i="3"/>
  <c r="G93" i="3" s="1"/>
  <c r="H94" i="3"/>
  <c r="G94" i="3" s="1"/>
  <c r="H95" i="3"/>
  <c r="G95" i="3" s="1"/>
  <c r="H96" i="3"/>
  <c r="G96" i="3" s="1"/>
  <c r="G17" i="3"/>
  <c r="G18" i="3"/>
  <c r="G36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B6" i="3" l="1"/>
  <c r="B5" i="3"/>
  <c r="A2" i="3"/>
  <c r="B6" i="9"/>
  <c r="B5" i="9"/>
  <c r="A2" i="9"/>
  <c r="B6" i="11"/>
  <c r="B5" i="11"/>
  <c r="A2" i="11"/>
  <c r="B7" i="11" l="1"/>
  <c r="B7" i="9"/>
  <c r="B7" i="3"/>
  <c r="B6" i="16"/>
  <c r="B5" i="16"/>
  <c r="A2" i="16"/>
  <c r="B6" i="10"/>
  <c r="B5" i="10"/>
  <c r="A2" i="10"/>
  <c r="C1" i="9"/>
  <c r="C1" i="11"/>
  <c r="B6" i="14"/>
  <c r="B5" i="14"/>
  <c r="A2" i="14"/>
  <c r="C1" i="14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H10" i="3"/>
  <c r="G10" i="3" s="1"/>
  <c r="E4" i="3" s="1"/>
  <c r="C14" i="14" s="1"/>
  <c r="F10" i="3"/>
  <c r="E10" i="3"/>
  <c r="C10" i="3"/>
  <c r="B10" i="3"/>
  <c r="A10" i="3"/>
  <c r="D1" i="3"/>
  <c r="B7" i="14" l="1"/>
  <c r="B7" i="10"/>
  <c r="B7" i="16"/>
  <c r="B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700-000001000000}">
      <text>
        <r>
          <rPr>
            <sz val="10"/>
            <rFont val="Arial"/>
            <family val="2"/>
          </rPr>
          <t>HosViolation.22</t>
        </r>
      </text>
    </comment>
  </commentList>
</comments>
</file>

<file path=xl/sharedStrings.xml><?xml version="1.0" encoding="utf-8"?>
<sst xmlns="http://schemas.openxmlformats.org/spreadsheetml/2006/main" count="1240" uniqueCount="277">
  <si>
    <t>Grand Total</t>
  </si>
  <si>
    <t>FromDate</t>
  </si>
  <si>
    <t>ToDate</t>
  </si>
  <si>
    <t>RunDate</t>
  </si>
  <si>
    <t>CompanyName</t>
  </si>
  <si>
    <t>DistanceUnit</t>
  </si>
  <si>
    <t>SpeedUnit</t>
  </si>
  <si>
    <t>SendReport</t>
  </si>
  <si>
    <t>LastModifiedUser</t>
  </si>
  <si>
    <t>.Driver.UserName</t>
  </si>
  <si>
    <t>.Driver.UserId</t>
  </si>
  <si>
    <t>HosViolationStartDateTime</t>
  </si>
  <si>
    <t>HosViolationEndDateTime</t>
  </si>
  <si>
    <t>HosViolationDrivingDuration</t>
  </si>
  <si>
    <t>HosViolationType</t>
  </si>
  <si>
    <t>HosViolationReason</t>
  </si>
  <si>
    <t>Driving</t>
  </si>
  <si>
    <t>Type</t>
  </si>
  <si>
    <t>Rest</t>
  </si>
  <si>
    <t>Workday</t>
  </si>
  <si>
    <t>Cycle</t>
  </si>
  <si>
    <t>Duty</t>
  </si>
  <si>
    <t>Ongoing</t>
  </si>
  <si>
    <t>.Driver.DriverGroup</t>
  </si>
  <si>
    <t>Entire Organization</t>
  </si>
  <si>
    <t>English</t>
  </si>
  <si>
    <t>French</t>
  </si>
  <si>
    <t>Spanish</t>
  </si>
  <si>
    <t>German</t>
  </si>
  <si>
    <t>Japanese</t>
  </si>
  <si>
    <t>Polish</t>
  </si>
  <si>
    <t>Portuguese-Brazil</t>
  </si>
  <si>
    <t>Dutch</t>
  </si>
  <si>
    <t>Italian</t>
  </si>
  <si>
    <t>Simplified Chinese</t>
  </si>
  <si>
    <t>**Driver</t>
  </si>
  <si>
    <t>Conducteur</t>
  </si>
  <si>
    <t>Conductor</t>
  </si>
  <si>
    <t>Fahrer</t>
  </si>
  <si>
    <t>ドライバー</t>
  </si>
  <si>
    <t>Kierowca</t>
  </si>
  <si>
    <t>Motorista</t>
  </si>
  <si>
    <t>Chauffeur</t>
  </si>
  <si>
    <t>Conducente</t>
  </si>
  <si>
    <t>驾驶员</t>
  </si>
  <si>
    <t>**Date</t>
  </si>
  <si>
    <t>**Summary</t>
  </si>
  <si>
    <t>Sommaire</t>
  </si>
  <si>
    <t>Resumen</t>
  </si>
  <si>
    <t>Zusammenfassung</t>
  </si>
  <si>
    <t>走行データ</t>
  </si>
  <si>
    <t>Podsumowanie</t>
  </si>
  <si>
    <t>Resumo</t>
  </si>
  <si>
    <t>Overzicht</t>
  </si>
  <si>
    <t>Riassunto</t>
  </si>
  <si>
    <t>汇总</t>
  </si>
  <si>
    <t>**Created</t>
  </si>
  <si>
    <t>Créé</t>
  </si>
  <si>
    <t>Creado</t>
  </si>
  <si>
    <t>Angelegt</t>
  </si>
  <si>
    <t>作成済</t>
  </si>
  <si>
    <t>Utworzono</t>
  </si>
  <si>
    <t>Criado em</t>
  </si>
  <si>
    <t>Aangemaakt</t>
  </si>
  <si>
    <t>Creato</t>
  </si>
  <si>
    <t>创建日期</t>
  </si>
  <si>
    <t>**From</t>
  </si>
  <si>
    <t>À partir de</t>
  </si>
  <si>
    <t>De</t>
  </si>
  <si>
    <t>Von</t>
  </si>
  <si>
    <t>から</t>
  </si>
  <si>
    <t>Od</t>
  </si>
  <si>
    <t>Van</t>
  </si>
  <si>
    <t>Da</t>
  </si>
  <si>
    <t>自</t>
  </si>
  <si>
    <t>**To</t>
  </si>
  <si>
    <t>Pour</t>
  </si>
  <si>
    <t>Para</t>
  </si>
  <si>
    <t>An</t>
  </si>
  <si>
    <t>へ</t>
  </si>
  <si>
    <t>Do</t>
  </si>
  <si>
    <t>Aan</t>
  </si>
  <si>
    <t>A</t>
  </si>
  <si>
    <t>至</t>
  </si>
  <si>
    <t>**First Name</t>
  </si>
  <si>
    <t>Prénom</t>
  </si>
  <si>
    <t>Nombre</t>
  </si>
  <si>
    <t>Vorname</t>
  </si>
  <si>
    <t>ファーストネー</t>
  </si>
  <si>
    <t>Imie</t>
  </si>
  <si>
    <t>Nome</t>
  </si>
  <si>
    <t>Voornaam</t>
  </si>
  <si>
    <t>名字</t>
  </si>
  <si>
    <t>**Last Name</t>
  </si>
  <si>
    <t>Nom de famille</t>
  </si>
  <si>
    <t>Apellido</t>
  </si>
  <si>
    <t>Nachname</t>
  </si>
  <si>
    <t>ラストネーム</t>
  </si>
  <si>
    <t>Nazwisko</t>
  </si>
  <si>
    <t>Sobrenome</t>
  </si>
  <si>
    <t>Achternaam</t>
  </si>
  <si>
    <t>Cognome</t>
  </si>
  <si>
    <t>姓氏</t>
  </si>
  <si>
    <t>**Time Zone</t>
  </si>
  <si>
    <t>Fuseau horaire</t>
  </si>
  <si>
    <t>Huso horario</t>
  </si>
  <si>
    <t>Zeitzone</t>
  </si>
  <si>
    <t>タイムゾーン</t>
  </si>
  <si>
    <t>Strefa czasowa</t>
  </si>
  <si>
    <t>Zona horária</t>
  </si>
  <si>
    <t>Tijdzone</t>
  </si>
  <si>
    <t>Fuso orario</t>
  </si>
  <si>
    <t>时区</t>
  </si>
  <si>
    <t>**Days</t>
  </si>
  <si>
    <t>**Reason</t>
  </si>
  <si>
    <t>**Count</t>
  </si>
  <si>
    <t>**Type</t>
  </si>
  <si>
    <t>**Start Date</t>
  </si>
  <si>
    <t>Date de début</t>
  </si>
  <si>
    <t>Fecha de inicio</t>
  </si>
  <si>
    <t>Startdatum</t>
  </si>
  <si>
    <t>開始日</t>
  </si>
  <si>
    <t>Data rozpoczecia</t>
  </si>
  <si>
    <t>Data de início</t>
  </si>
  <si>
    <t>Data iniziale</t>
  </si>
  <si>
    <t>开始日期</t>
  </si>
  <si>
    <t>**End Date</t>
  </si>
  <si>
    <t>Date de fin</t>
  </si>
  <si>
    <t>Fecha de finalización</t>
  </si>
  <si>
    <t>Enddatum</t>
  </si>
  <si>
    <t>終了日</t>
  </si>
  <si>
    <t>Data zakonczenia</t>
  </si>
  <si>
    <t>Data final</t>
  </si>
  <si>
    <t>Einddatum</t>
  </si>
  <si>
    <t>Data di fine</t>
  </si>
  <si>
    <t>结束日期</t>
  </si>
  <si>
    <t>**Driving Duration</t>
  </si>
  <si>
    <t>Durée de conduite</t>
  </si>
  <si>
    <t>Duración de conducción</t>
  </si>
  <si>
    <t>Fahrtendauer</t>
  </si>
  <si>
    <t>運転期間</t>
  </si>
  <si>
    <t>Czas trwania jazdy</t>
  </si>
  <si>
    <t>Duração da condução</t>
  </si>
  <si>
    <t>Rijduur</t>
  </si>
  <si>
    <t>Durata di guida</t>
  </si>
  <si>
    <t>驾驶时长</t>
  </si>
  <si>
    <t>Tipo</t>
  </si>
  <si>
    <t>Typ</t>
  </si>
  <si>
    <t>種類</t>
  </si>
  <si>
    <t>类型</t>
  </si>
  <si>
    <t>Raison</t>
  </si>
  <si>
    <t>Motivo</t>
  </si>
  <si>
    <t>Grund</t>
  </si>
  <si>
    <t>理由</t>
  </si>
  <si>
    <t>Powód</t>
  </si>
  <si>
    <t>Razão</t>
  </si>
  <si>
    <t>Reden</t>
  </si>
  <si>
    <t>Ragione</t>
  </si>
  <si>
    <t>原因</t>
  </si>
  <si>
    <t>**HOS Driver Logs</t>
  </si>
  <si>
    <t>Registre HDS du chauffeur</t>
  </si>
  <si>
    <t>Registros de horas de servicio del conductor</t>
  </si>
  <si>
    <t>Fahrerlenkzeit (HOS) Protokolle</t>
  </si>
  <si>
    <t>HOS ドライバーログ</t>
  </si>
  <si>
    <t>Dzienniki czasu pracy kierowców</t>
  </si>
  <si>
    <t>Registros do motorista de HOS</t>
  </si>
  <si>
    <t>DU-chauffeurslogboeken</t>
  </si>
  <si>
    <t>Registri dei conducenti HOS</t>
  </si>
  <si>
    <t>HOS 驾驶员日志</t>
  </si>
  <si>
    <t>**Driver Group</t>
  </si>
  <si>
    <t>**HOS Violations</t>
  </si>
  <si>
    <t>**Total HOS Violations</t>
  </si>
  <si>
    <t>**HOS Violations by Reason</t>
  </si>
  <si>
    <t>**Total Violations</t>
  </si>
  <si>
    <t>HOS Violations</t>
  </si>
  <si>
    <t>Date</t>
  </si>
  <si>
    <t>From</t>
  </si>
  <si>
    <t>To</t>
  </si>
  <si>
    <t>Days</t>
  </si>
  <si>
    <t>miles</t>
  </si>
  <si>
    <t>mph</t>
  </si>
  <si>
    <t>b41B4DC10</t>
  </si>
  <si>
    <t>Driving after more than 8-hour rest limit violation</t>
  </si>
  <si>
    <t>Maximum 11-hour driving limit violation</t>
  </si>
  <si>
    <t>Maximum 14-hour workday limit violation</t>
  </si>
  <si>
    <t>Maximum 60 hour(s) on duty in 7 days violation</t>
  </si>
  <si>
    <t>b41B4DC88</t>
  </si>
  <si>
    <t>b41B4DD86</t>
  </si>
  <si>
    <t>Maximum 70 hour(s) on duty in 8 days violation</t>
  </si>
  <si>
    <t>b41B4DDC8</t>
  </si>
  <si>
    <t>Maximum 20-hour on-duty limit violation</t>
  </si>
  <si>
    <t>Maximum 15-hour driving limit violation</t>
  </si>
  <si>
    <t>Maximum 70 hour(s) on duty in 7 days violation</t>
  </si>
  <si>
    <t>b41B4DDBC</t>
  </si>
  <si>
    <t>Maximum 12-hour workday limit violation</t>
  </si>
  <si>
    <t>DailyOff</t>
  </si>
  <si>
    <t>Minimum 10-hour off-duty per day violation</t>
  </si>
  <si>
    <t>Maximum 16-hour workday limit violation</t>
  </si>
  <si>
    <t>Maximum 14-hour on-duty limit violation</t>
  </si>
  <si>
    <t>CycleRest</t>
  </si>
  <si>
    <t>Driving without 24-hour consecutive off-duty in the preceding 14 days</t>
  </si>
  <si>
    <t>DailyDuty</t>
  </si>
  <si>
    <t>Maximum 14 hour(s) on-duty per day violation</t>
  </si>
  <si>
    <t>DailyRest</t>
  </si>
  <si>
    <t>Minimum 2-hour rest per day violation</t>
  </si>
  <si>
    <t>b41B4DD8A</t>
  </si>
  <si>
    <t>b41B4DD45</t>
  </si>
  <si>
    <t>Maximum 16-hour on-duty limit violation</t>
  </si>
  <si>
    <t>Driving after more than 5-hour rest limit violation</t>
  </si>
  <si>
    <t>Maximum 112 hour(s) on duty in 8 days violation</t>
  </si>
  <si>
    <t>Maximum 12-hour driving limit violation</t>
  </si>
  <si>
    <t>Maximum 11 hour driving limit violation</t>
  </si>
  <si>
    <t>Maximum 13 hour driving limit violation</t>
  </si>
  <si>
    <t>mygproduct@geotab.com</t>
  </si>
  <si>
    <t>ABC Company</t>
  </si>
  <si>
    <t>Driver A</t>
  </si>
  <si>
    <t>Driver B</t>
  </si>
  <si>
    <t>Driver C</t>
  </si>
  <si>
    <t>Driver D</t>
  </si>
  <si>
    <t>Driver E</t>
  </si>
  <si>
    <t>Driver F</t>
  </si>
  <si>
    <t>Driver G</t>
  </si>
  <si>
    <t>Driver A Total</t>
  </si>
  <si>
    <t>Driver B Total</t>
  </si>
  <si>
    <t>Driver C Total</t>
  </si>
  <si>
    <t>Driver D Total</t>
  </si>
  <si>
    <t>Driver E Total</t>
  </si>
  <si>
    <t>Driver F Total</t>
  </si>
  <si>
    <t>Driver G Total</t>
  </si>
  <si>
    <t>**Total Driving Duration</t>
  </si>
  <si>
    <t>**Highest HOS Violations</t>
  </si>
  <si>
    <t>Jun 08, 2020 8:22:27 AM</t>
  </si>
  <si>
    <t>Jun 04, 2020 8:32:44 AM</t>
  </si>
  <si>
    <t>Jun 12, 2020 12:26:44 AM</t>
  </si>
  <si>
    <t>Jun 02, 2020 6:30:00 PM</t>
  </si>
  <si>
    <t>Jun 18, 2020 8:00:00 PM</t>
  </si>
  <si>
    <t>Jun 18, 2020 9:46:15 AM</t>
  </si>
  <si>
    <t>Jun 19, 2020 8:51:34 PM</t>
  </si>
  <si>
    <t>Jun 09, 2020 1:36:07 PM</t>
  </si>
  <si>
    <t>Jun 13, 2020 8:32:01 PM</t>
  </si>
  <si>
    <t>Jun 15, 2020 9:53:44 AM</t>
  </si>
  <si>
    <t>Jun 20, 2020 12:41:04 AM</t>
  </si>
  <si>
    <t>Jun 22, 2020 10:22:39 PM</t>
  </si>
  <si>
    <t>Jun 24, 2020 9:52:59 PM</t>
  </si>
  <si>
    <t>Jun 03, 2020 9:12:23 AM</t>
  </si>
  <si>
    <t>Jun 04, 2020 2:21:21 PM</t>
  </si>
  <si>
    <t>Jun 05, 2020 8:42:01 AM</t>
  </si>
  <si>
    <t>Jun 06, 2020 12:27:23 PM</t>
  </si>
  <si>
    <t>Jun 07, 2020 8:19:57 AM</t>
  </si>
  <si>
    <t>Jun 09, 2020 10:12:10 AM</t>
  </si>
  <si>
    <t>Jun 11, 2020 11:30:20 AM</t>
  </si>
  <si>
    <t>Jun 12, 2020 1:29:39 PM</t>
  </si>
  <si>
    <t>Jun 13, 2020 5:02:48 PM</t>
  </si>
  <si>
    <t>Jun 16, 2020 7:37:41 AM</t>
  </si>
  <si>
    <t>Jun 13, 2020 11:59:59 PM</t>
  </si>
  <si>
    <t>Jun 14, 2020 11:59:59 PM</t>
  </si>
  <si>
    <t>Jun 19, 2020 11:59:59 PM</t>
  </si>
  <si>
    <t>Jun 22, 2020 11:59:59 PM</t>
  </si>
  <si>
    <t>Jun 24, 2020 11:59:59 PM</t>
  </si>
  <si>
    <t>Jun 25, 2020 11:59:59 PM</t>
  </si>
  <si>
    <t>Jun 26, 2020 11:59:59 PM</t>
  </si>
  <si>
    <t>Jun 27, 2020 11:59:59 PM</t>
  </si>
  <si>
    <t>Jun 28, 2020 11:59:59 PM</t>
  </si>
  <si>
    <t>Jun 29, 2020 11:59:59 PM</t>
  </si>
  <si>
    <t>Jun 30, 2020 11:59:59 PM</t>
  </si>
  <si>
    <t>Jun 14, 2020 11:58:15 PM</t>
  </si>
  <si>
    <t>Jun 26, 2020 4:18:19 PM</t>
  </si>
  <si>
    <t>Jun 27, 2020 4:57:35 PM</t>
  </si>
  <si>
    <t>Jun 29, 2020 6:50:42 PM</t>
  </si>
  <si>
    <t>Jun 13, 2020 12:00:00 AM</t>
  </si>
  <si>
    <t>Jun 09, 2020 12:00:00 AM</t>
  </si>
  <si>
    <t>Jun 11, 2020 9:04:09 AM</t>
  </si>
  <si>
    <t>Jun 23, 2020 6:58:21 AM</t>
  </si>
  <si>
    <t>Jun 23, 2020 9:17:14 AM</t>
  </si>
  <si>
    <t>Jun 23, 2020 1:06:03 PM</t>
  </si>
  <si>
    <t>Jun 22, 2020 4:11:00 PM</t>
  </si>
  <si>
    <t>Jun 19, 2020 12:19:27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</si>
</sst>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[$-409]dd/mm/yyyy\ h:mm:ss\ AM/PM"/>
    <numFmt numFmtId="165" formatCode="[$-409]0;[$-409]\-0;[$-409];@"/>
    <numFmt numFmtId="166" formatCode="[$-409]mmm\,\ dd\,\ yyyy"/>
    <numFmt numFmtId="167" formatCode="[$-409]mmm\ dd\,\ yyyy"/>
    <numFmt numFmtId="168" formatCode="[$-409]mmm\ dd\,\ yyyy\ h:mm:ss\ AM/PM"/>
    <numFmt numFmtId="169" formatCode="[$-409][h]:mm"/>
    <numFmt numFmtId="170" formatCode="[$-409]m/d/yy\ h:mm"/>
    <numFmt numFmtId="171" formatCode="[h]:mm:ss;@"/>
  </numFmts>
  <fonts count="32" x14ac:knownFonts="1">
    <font>
      <sz val="10"/>
      <name val="Arial"/>
      <family val="2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3"/>
      <name val="Calibri"/>
      <family val="2"/>
      <scheme val="major"/>
    </font>
    <font>
      <b/>
      <sz val="8"/>
      <color theme="1"/>
      <name val="Tahoma"/>
      <family val="2"/>
    </font>
    <font>
      <sz val="11"/>
      <color theme="3"/>
      <name val="Segoe UI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  <font>
      <b/>
      <sz val="18"/>
      <color theme="0"/>
      <name val="Calibri"/>
      <family val="2"/>
      <scheme val="minor"/>
    </font>
    <font>
      <sz val="18"/>
      <color theme="0"/>
      <name val="Segoe UI"/>
      <family val="2"/>
    </font>
    <font>
      <b/>
      <sz val="18"/>
      <color theme="0"/>
      <name val="Segoe UI"/>
      <family val="2"/>
    </font>
    <font>
      <b/>
      <sz val="14"/>
      <color theme="5" tint="-0.249977111117893"/>
      <name val="Calibri"/>
      <family val="2"/>
    </font>
    <font>
      <sz val="16"/>
      <color theme="3"/>
      <name val="Segoe UI"/>
      <family val="2"/>
    </font>
    <font>
      <sz val="11"/>
      <name val="Segoe UI"/>
      <family val="2"/>
    </font>
    <font>
      <b/>
      <sz val="11"/>
      <color indexed="8"/>
      <name val="Segoe UI"/>
      <family val="2"/>
    </font>
    <font>
      <sz val="10"/>
      <name val="Segoe UI"/>
      <family val="2"/>
    </font>
    <font>
      <sz val="12"/>
      <color theme="0"/>
      <name val="Segoe UI"/>
      <family val="2"/>
    </font>
    <font>
      <u/>
      <sz val="10"/>
      <color theme="10"/>
      <name val="Arial"/>
      <family val="2"/>
    </font>
    <font>
      <b/>
      <sz val="11"/>
      <name val="Segoe UI"/>
      <family val="2"/>
    </font>
    <font>
      <sz val="12"/>
      <name val="Segoe UI"/>
      <family val="2"/>
    </font>
    <font>
      <b/>
      <sz val="10"/>
      <name val="Arial"/>
      <family val="2"/>
    </font>
    <font>
      <sz val="36"/>
      <name val="Segoe UI"/>
      <family val="2"/>
    </font>
    <font>
      <sz val="12"/>
      <name val="Arial"/>
      <family val="2"/>
    </font>
    <font>
      <sz val="11"/>
      <name val="Segoe UI"/>
    </font>
    <font>
      <sz val="12"/>
      <name val="Segoe UI"/>
    </font>
  </fonts>
  <fills count="1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5" fillId="10" borderId="0" applyNumberFormat="0"/>
    <xf numFmtId="0" fontId="6" fillId="0" borderId="0" applyNumberFormat="0" applyAlignment="0"/>
    <xf numFmtId="0" fontId="7" fillId="10" borderId="0" applyNumberFormat="0"/>
    <xf numFmtId="167" fontId="3" fillId="10" borderId="0"/>
    <xf numFmtId="0" fontId="8" fillId="0" borderId="0" applyNumberFormat="0"/>
    <xf numFmtId="0" fontId="9" fillId="0" borderId="0" applyNumberFormat="0"/>
    <xf numFmtId="0" fontId="10" fillId="0" borderId="0" applyNumberFormat="0" applyFill="0" applyBorder="0" applyAlignment="0" applyProtection="0"/>
    <xf numFmtId="0" fontId="15" fillId="11" borderId="0" applyNumberFormat="0"/>
    <xf numFmtId="167" fontId="4" fillId="11" borderId="0"/>
    <xf numFmtId="0" fontId="18" fillId="0" borderId="0" applyNumberFormat="0"/>
    <xf numFmtId="0" fontId="8" fillId="0" borderId="0" applyNumberFormat="0"/>
    <xf numFmtId="0" fontId="24" fillId="0" borderId="0" applyNumberFormat="0" applyFill="0" applyBorder="0" applyAlignment="0" applyProtection="0"/>
  </cellStyleXfs>
  <cellXfs count="64">
    <xf numFmtId="0" fontId="0" fillId="0" borderId="0" xfId="0"/>
    <xf numFmtId="0" fontId="1" fillId="9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1" fillId="0" borderId="0" xfId="0" applyFont="1"/>
    <xf numFmtId="170" fontId="0" fillId="0" borderId="0" xfId="0" applyNumberFormat="1"/>
    <xf numFmtId="0" fontId="12" fillId="0" borderId="0" xfId="10" applyFont="1"/>
    <xf numFmtId="164" fontId="12" fillId="0" borderId="0" xfId="10" applyNumberFormat="1" applyFont="1"/>
    <xf numFmtId="0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0" fontId="17" fillId="12" borderId="0" xfId="16" applyFont="1" applyFill="1" applyAlignment="1">
      <alignment horizontal="center"/>
    </xf>
    <xf numFmtId="0" fontId="17" fillId="12" borderId="0" xfId="16" applyFont="1" applyFill="1"/>
    <xf numFmtId="167" fontId="14" fillId="12" borderId="0" xfId="17" applyFont="1" applyFill="1" applyAlignment="1">
      <alignment horizontal="center"/>
    </xf>
    <xf numFmtId="0" fontId="19" fillId="0" borderId="0" xfId="18" applyFont="1" applyAlignment="1">
      <alignment horizontal="left"/>
    </xf>
    <xf numFmtId="0" fontId="13" fillId="10" borderId="0" xfId="9" applyFont="1" applyAlignment="1">
      <alignment horizontal="center"/>
    </xf>
    <xf numFmtId="0" fontId="13" fillId="10" borderId="0" xfId="9" applyFont="1"/>
    <xf numFmtId="0" fontId="20" fillId="0" borderId="0" xfId="0" applyFont="1"/>
    <xf numFmtId="0" fontId="13" fillId="0" borderId="0" xfId="13" applyFont="1"/>
    <xf numFmtId="0" fontId="21" fillId="0" borderId="0" xfId="0" applyFont="1"/>
    <xf numFmtId="0" fontId="22" fillId="0" borderId="0" xfId="0" applyFont="1" applyAlignment="1">
      <alignment wrapText="1"/>
    </xf>
    <xf numFmtId="0" fontId="22" fillId="0" borderId="0" xfId="0" applyFont="1"/>
    <xf numFmtId="167" fontId="12" fillId="0" borderId="0" xfId="10" applyNumberFormat="1" applyFont="1" applyAlignment="1">
      <alignment horizontal="left" wrapText="1"/>
    </xf>
    <xf numFmtId="166" fontId="12" fillId="0" borderId="0" xfId="10" applyNumberFormat="1" applyFont="1" applyAlignment="1">
      <alignment horizontal="left"/>
    </xf>
    <xf numFmtId="0" fontId="20" fillId="0" borderId="0" xfId="10" applyFont="1"/>
    <xf numFmtId="168" fontId="20" fillId="0" borderId="0" xfId="10" applyNumberFormat="1" applyFont="1" applyAlignment="1">
      <alignment horizontal="left"/>
    </xf>
    <xf numFmtId="169" fontId="20" fillId="0" borderId="0" xfId="10" applyNumberFormat="1" applyFont="1" applyAlignment="1">
      <alignment horizontal="left"/>
    </xf>
    <xf numFmtId="165" fontId="20" fillId="0" borderId="0" xfId="10" applyNumberFormat="1" applyFont="1" applyAlignment="1">
      <alignment horizontal="left"/>
    </xf>
    <xf numFmtId="0" fontId="25" fillId="0" borderId="0" xfId="0" applyFont="1"/>
    <xf numFmtId="0" fontId="26" fillId="0" borderId="0" xfId="0" applyFont="1"/>
    <xf numFmtId="0" fontId="16" fillId="12" borderId="0" xfId="16" applyFont="1" applyFill="1" applyAlignment="1">
      <alignment vertical="top"/>
    </xf>
    <xf numFmtId="164" fontId="24" fillId="0" borderId="0" xfId="20" applyNumberFormat="1" applyAlignment="1">
      <alignment horizontal="left"/>
    </xf>
    <xf numFmtId="0" fontId="20" fillId="13" borderId="2" xfId="19" applyFont="1" applyFill="1" applyBorder="1" applyAlignment="1">
      <alignment horizontal="center" vertical="center"/>
    </xf>
    <xf numFmtId="167" fontId="20" fillId="13" borderId="2" xfId="19" applyNumberFormat="1" applyFont="1" applyFill="1" applyBorder="1" applyAlignment="1">
      <alignment horizontal="center"/>
    </xf>
    <xf numFmtId="1" fontId="20" fillId="13" borderId="2" xfId="19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3" fillId="0" borderId="0" xfId="13" applyFont="1" applyFill="1"/>
    <xf numFmtId="0" fontId="0" fillId="0" borderId="0" xfId="0" applyAlignment="1">
      <alignment wrapText="1"/>
    </xf>
    <xf numFmtId="0" fontId="27" fillId="0" borderId="0" xfId="0" applyFont="1"/>
    <xf numFmtId="0" fontId="27" fillId="0" borderId="0" xfId="0" applyFont="1" applyAlignment="1">
      <alignment wrapText="1"/>
    </xf>
    <xf numFmtId="0" fontId="28" fillId="0" borderId="0" xfId="0" applyFont="1" applyAlignment="1">
      <alignment vertical="center" wrapText="1"/>
    </xf>
    <xf numFmtId="0" fontId="14" fillId="14" borderId="3" xfId="19" applyFont="1" applyFill="1" applyBorder="1" applyAlignment="1">
      <alignment horizontal="center" vertical="center"/>
    </xf>
    <xf numFmtId="0" fontId="23" fillId="0" borderId="0" xfId="19" applyFont="1" applyFill="1" applyBorder="1" applyAlignment="1">
      <alignment vertical="center"/>
    </xf>
    <xf numFmtId="1" fontId="20" fillId="0" borderId="0" xfId="19" applyNumberFormat="1" applyFont="1" applyFill="1" applyBorder="1" applyAlignment="1">
      <alignment vertical="center"/>
    </xf>
    <xf numFmtId="167" fontId="23" fillId="12" borderId="0" xfId="17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9" fillId="0" borderId="0" xfId="0" applyFont="1"/>
    <xf numFmtId="0" fontId="23" fillId="12" borderId="0" xfId="10" applyFont="1" applyFill="1" applyAlignment="1">
      <alignment horizontal="left"/>
    </xf>
    <xf numFmtId="0" fontId="30" fillId="0" borderId="0" xfId="0" pivotButton="1" applyFont="1"/>
    <xf numFmtId="0" fontId="30" fillId="0" borderId="0" xfId="0" applyFont="1"/>
    <xf numFmtId="0" fontId="30" fillId="0" borderId="0" xfId="0" applyFont="1" applyAlignment="1">
      <alignment wrapText="1"/>
    </xf>
    <xf numFmtId="0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pivotButton="1" applyFont="1"/>
    <xf numFmtId="171" fontId="30" fillId="0" borderId="0" xfId="0" applyNumberFormat="1" applyFont="1" applyAlignment="1">
      <alignment horizontal="center"/>
    </xf>
    <xf numFmtId="168" fontId="30" fillId="0" borderId="0" xfId="0" applyNumberFormat="1" applyFont="1" applyAlignment="1">
      <alignment horizontal="left"/>
    </xf>
    <xf numFmtId="0" fontId="30" fillId="0" borderId="0" xfId="0" applyFont="1" applyAlignment="1">
      <alignment horizontal="left"/>
    </xf>
    <xf numFmtId="0" fontId="14" fillId="14" borderId="3" xfId="19" applyFont="1" applyFill="1" applyBorder="1" applyAlignment="1">
      <alignment horizontal="center" vertical="center"/>
    </xf>
    <xf numFmtId="0" fontId="14" fillId="14" borderId="4" xfId="19" applyFont="1" applyFill="1" applyBorder="1" applyAlignment="1">
      <alignment horizontal="center" vertical="center"/>
    </xf>
    <xf numFmtId="0" fontId="23" fillId="14" borderId="2" xfId="19" applyFont="1" applyFill="1" applyBorder="1" applyAlignment="1">
      <alignment horizontal="center" vertical="center"/>
    </xf>
    <xf numFmtId="1" fontId="20" fillId="13" borderId="2" xfId="19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</cellXfs>
  <cellStyles count="2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Geotab Heading" xfId="16" xr:uid="{00000000-0005-0000-0000-000008000000}"/>
    <cellStyle name="Geotab Report Creation DateTime" xfId="17" xr:uid="{00000000-0005-0000-0000-000009000000}"/>
    <cellStyle name="Geotab Report Field Name" xfId="19" xr:uid="{00000000-0005-0000-0000-00000A000000}"/>
    <cellStyle name="Geotab Report Name" xfId="18" xr:uid="{00000000-0005-0000-0000-00000B000000}"/>
    <cellStyle name="Heading" xfId="9" xr:uid="{00000000-0005-0000-0000-00000C000000}"/>
    <cellStyle name="Hyperlink" xfId="20" builtinId="8"/>
    <cellStyle name="Normal" xfId="0" builtinId="0" customBuiltin="1"/>
    <cellStyle name="Report Body" xfId="10" xr:uid="{00000000-0005-0000-0000-00000F000000}"/>
    <cellStyle name="Report Column Header" xfId="11" xr:uid="{00000000-0005-0000-0000-000010000000}"/>
    <cellStyle name="Report Creation DateTime" xfId="12" xr:uid="{00000000-0005-0000-0000-000011000000}"/>
    <cellStyle name="Report Field Name" xfId="13" xr:uid="{00000000-0005-0000-0000-000012000000}"/>
    <cellStyle name="Report Name" xfId="14" xr:uid="{00000000-0005-0000-0000-000013000000}"/>
    <cellStyle name="Title" xfId="15" builtinId="15" customBuiltin="1"/>
  </cellStyles>
  <dxfs count="63">
    <dxf>
      <alignment horizontal="center"/>
    </dxf>
    <dxf>
      <alignment horizontal="center"/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wrapText="1" readingOrder="0"/>
    </dxf>
    <dxf>
      <alignment horizontal="center"/>
    </dxf>
    <dxf>
      <alignment horizontal="center"/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wrapText="1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71" formatCode="[h]:mm:ss;@"/>
    </dxf>
    <dxf>
      <alignment horizontal="center"/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wrapText="1" readingOrder="0"/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wrapText="1" readingOrder="0"/>
    </dxf>
    <dxf>
      <font>
        <b/>
        <i val="0"/>
      </font>
      <fill>
        <patternFill>
          <bgColor theme="0" tint="-0.14996795556505021"/>
        </patternFill>
      </fill>
      <border>
        <top style="thin">
          <color theme="4"/>
        </top>
        <bottom style="thin">
          <color theme="4"/>
        </bottom>
      </border>
    </dxf>
    <dxf>
      <fill>
        <patternFill>
          <bgColor theme="2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2" tint="0.39994506668294322"/>
        </top>
        <bottom style="thin">
          <color theme="2" tint="0.39994506668294322"/>
        </bottom>
      </border>
    </dxf>
    <dxf>
      <font>
        <b/>
        <i val="0"/>
        <color theme="0"/>
      </font>
      <fill>
        <patternFill>
          <bgColor theme="2"/>
        </patternFill>
      </fill>
    </dxf>
  </dxfs>
  <tableStyles count="1" defaultTableStyle="TableStyleMedium9" defaultPivotStyle="PivotStyleLight16">
    <tableStyle name="PivotStyleLightCustom" table="0" count="5" xr9:uid="{00000000-0011-0000-FFFF-FFFF00000000}">
      <tableStyleElement type="headerRow" dxfId="62"/>
      <tableStyleElement type="totalRow" dxfId="61"/>
      <tableStyleElement type="firstRowStripe" dxfId="60"/>
      <tableStyleElement type="secondRowStripe" dxfId="59"/>
      <tableStyleElement type="firstSubtotalRow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ELD HOS Violations.xlsx]Graph!HOS Driver Logs</c:name>
    <c:fmtId val="44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1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1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1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1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2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2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2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2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2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2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2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3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3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3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3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3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3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3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3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3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4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4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4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4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4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4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4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4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4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5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5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5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5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5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5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5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5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5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6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6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6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6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6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6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6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6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6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7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7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7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7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7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7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7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7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7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8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8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8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8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8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8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8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8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8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9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9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9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9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9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9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9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9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9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0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10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10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10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10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10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10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10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109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1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111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112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accent4">
                <a:lumMod val="75000"/>
              </a:schemeClr>
            </a:solidFill>
          </a:ln>
        </c:spPr>
      </c:pivotFmt>
      <c:pivotFmt>
        <c:idx val="11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accent5">
                <a:lumMod val="75000"/>
              </a:schemeClr>
            </a:solidFill>
          </a:ln>
        </c:spPr>
      </c:pivotFmt>
      <c:pivotFmt>
        <c:idx val="11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</c:spPr>
      </c:pivotFmt>
      <c:pivotFmt>
        <c:idx val="115"/>
        <c:spPr>
          <a:solidFill>
            <a:schemeClr val="bg1">
              <a:lumMod val="75000"/>
            </a:schemeClr>
          </a:solidFill>
          <a:ln w="19050">
            <a:solidFill>
              <a:schemeClr val="bg1">
                <a:lumMod val="65000"/>
              </a:schemeClr>
            </a:solidFill>
          </a:ln>
        </c:spPr>
      </c:pivotFmt>
      <c:pivotFmt>
        <c:idx val="116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</c:spPr>
      </c:pivotFmt>
      <c:pivotFmt>
        <c:idx val="117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tx2">
                <a:lumMod val="75000"/>
              </a:schemeClr>
            </a:solidFill>
          </a:ln>
        </c:spPr>
      </c:pivotFmt>
      <c:pivotFmt>
        <c:idx val="118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3">
                <a:lumMod val="75000"/>
              </a:schemeClr>
            </a:solidFill>
          </a:ln>
        </c:spPr>
      </c:pivotFmt>
      <c:pivotFmt>
        <c:idx val="119"/>
        <c:spPr>
          <a:solidFill>
            <a:schemeClr val="bg2">
              <a:lumMod val="60000"/>
              <a:lumOff val="40000"/>
            </a:schemeClr>
          </a:solidFill>
          <a:ln w="19050">
            <a:solidFill>
              <a:schemeClr val="bg2">
                <a:lumMod val="50000"/>
              </a:schemeClr>
            </a:solidFill>
          </a:ln>
        </c:spPr>
      </c:pivotFmt>
      <c:pivotFmt>
        <c:idx val="120"/>
        <c:spPr>
          <a:solidFill>
            <a:schemeClr val="accent6"/>
          </a:solidFill>
          <a:ln w="19050">
            <a:solidFill>
              <a:schemeClr val="accent6">
                <a:lumMod val="50000"/>
              </a:schemeClr>
            </a:solidFill>
          </a:ln>
        </c:spPr>
      </c:pivotFmt>
      <c:pivotFmt>
        <c:idx val="121"/>
        <c:spPr>
          <a:solidFill>
            <a:schemeClr val="bg1"/>
          </a:solidFill>
          <a:ln w="19050">
            <a:solidFill>
              <a:schemeClr val="bg1">
                <a:lumMod val="50000"/>
              </a:schemeClr>
            </a:solidFill>
          </a:ln>
        </c:spPr>
      </c:pivotFmt>
      <c:pivotFmt>
        <c:idx val="122"/>
        <c:spPr>
          <a:solidFill>
            <a:schemeClr val="accent2"/>
          </a:solidFill>
          <a:ln w="19050">
            <a:solidFill>
              <a:schemeClr val="accent2">
                <a:lumMod val="50000"/>
              </a:schemeClr>
            </a:solidFill>
          </a:ln>
        </c:spPr>
      </c:pivotFmt>
      <c:pivotFmt>
        <c:idx val="123"/>
        <c:spPr>
          <a:solidFill>
            <a:schemeClr val="accent3"/>
          </a:solidFill>
          <a:ln w="19050">
            <a:solidFill>
              <a:schemeClr val="accent3">
                <a:lumMod val="50000"/>
              </a:schemeClr>
            </a:solidFill>
          </a:ln>
        </c:spPr>
      </c:pivotFmt>
      <c:pivotFmt>
        <c:idx val="12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12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127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128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129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130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131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32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133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13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accent4">
                <a:lumMod val="75000"/>
              </a:schemeClr>
            </a:solidFill>
          </a:ln>
        </c:spPr>
      </c:pivotFmt>
      <c:pivotFmt>
        <c:idx val="135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accent5">
                <a:lumMod val="75000"/>
              </a:schemeClr>
            </a:solidFill>
          </a:ln>
        </c:spPr>
      </c:pivotFmt>
      <c:pivotFmt>
        <c:idx val="13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</c:spPr>
      </c:pivotFmt>
      <c:pivotFmt>
        <c:idx val="137"/>
        <c:spPr>
          <a:solidFill>
            <a:schemeClr val="bg1">
              <a:lumMod val="75000"/>
            </a:schemeClr>
          </a:solidFill>
          <a:ln w="19050">
            <a:solidFill>
              <a:schemeClr val="bg1">
                <a:lumMod val="65000"/>
              </a:schemeClr>
            </a:solidFill>
          </a:ln>
        </c:spPr>
      </c:pivotFmt>
      <c:pivotFmt>
        <c:idx val="138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</c:spPr>
      </c:pivotFmt>
      <c:pivotFmt>
        <c:idx val="139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3">
                <a:lumMod val="75000"/>
              </a:schemeClr>
            </a:solidFill>
          </a:ln>
        </c:spPr>
      </c:pivotFmt>
      <c:pivotFmt>
        <c:idx val="140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tx2">
                <a:lumMod val="75000"/>
              </a:schemeClr>
            </a:solidFill>
          </a:ln>
        </c:spPr>
      </c:pivotFmt>
      <c:pivotFmt>
        <c:idx val="141"/>
        <c:spPr>
          <a:solidFill>
            <a:schemeClr val="bg2">
              <a:lumMod val="60000"/>
              <a:lumOff val="40000"/>
            </a:schemeClr>
          </a:solidFill>
          <a:ln w="19050">
            <a:solidFill>
              <a:schemeClr val="bg2">
                <a:lumMod val="50000"/>
              </a:schemeClr>
            </a:solidFill>
          </a:ln>
        </c:spPr>
      </c:pivotFmt>
      <c:pivotFmt>
        <c:idx val="142"/>
        <c:spPr>
          <a:solidFill>
            <a:schemeClr val="accent6"/>
          </a:solidFill>
          <a:ln w="19050">
            <a:solidFill>
              <a:schemeClr val="accent6">
                <a:lumMod val="50000"/>
              </a:schemeClr>
            </a:solidFill>
          </a:ln>
        </c:spPr>
      </c:pivotFmt>
      <c:pivotFmt>
        <c:idx val="143"/>
        <c:spPr>
          <a:solidFill>
            <a:schemeClr val="bg1"/>
          </a:solidFill>
          <a:ln w="19050">
            <a:solidFill>
              <a:schemeClr val="bg1">
                <a:lumMod val="50000"/>
              </a:schemeClr>
            </a:solidFill>
          </a:ln>
        </c:spPr>
      </c:pivotFmt>
      <c:pivotFmt>
        <c:idx val="144"/>
        <c:spPr>
          <a:solidFill>
            <a:schemeClr val="accent2"/>
          </a:solidFill>
          <a:ln w="19050">
            <a:solidFill>
              <a:schemeClr val="accent2">
                <a:lumMod val="50000"/>
              </a:schemeClr>
            </a:solidFill>
          </a:ln>
        </c:spPr>
      </c:pivotFmt>
      <c:pivotFmt>
        <c:idx val="145"/>
        <c:spPr>
          <a:solidFill>
            <a:schemeClr val="accent3"/>
          </a:solidFill>
          <a:ln w="19050">
            <a:solidFill>
              <a:schemeClr val="accent3">
                <a:lumMod val="50000"/>
              </a:schemeClr>
            </a:solidFill>
          </a:ln>
        </c:spPr>
      </c:pivotFmt>
      <c:pivotFmt>
        <c:idx val="14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148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149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150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151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15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153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54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155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15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accent4">
                <a:lumMod val="75000"/>
              </a:schemeClr>
            </a:solidFill>
          </a:ln>
        </c:spPr>
      </c:pivotFmt>
      <c:pivotFmt>
        <c:idx val="157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accent5">
                <a:lumMod val="75000"/>
              </a:schemeClr>
            </a:solidFill>
          </a:ln>
        </c:spPr>
      </c:pivotFmt>
      <c:pivotFmt>
        <c:idx val="15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</c:spPr>
      </c:pivotFmt>
      <c:pivotFmt>
        <c:idx val="159"/>
        <c:spPr>
          <a:solidFill>
            <a:schemeClr val="bg1">
              <a:lumMod val="75000"/>
            </a:schemeClr>
          </a:solidFill>
          <a:ln w="19050">
            <a:solidFill>
              <a:schemeClr val="bg1">
                <a:lumMod val="65000"/>
              </a:schemeClr>
            </a:solidFill>
          </a:ln>
        </c:spPr>
      </c:pivotFmt>
      <c:pivotFmt>
        <c:idx val="160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</c:spPr>
      </c:pivotFmt>
      <c:pivotFmt>
        <c:idx val="161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3">
                <a:lumMod val="75000"/>
              </a:schemeClr>
            </a:solidFill>
          </a:ln>
        </c:spPr>
      </c:pivotFmt>
      <c:pivotFmt>
        <c:idx val="16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tx2">
                <a:lumMod val="75000"/>
              </a:schemeClr>
            </a:solidFill>
          </a:ln>
        </c:spPr>
      </c:pivotFmt>
      <c:pivotFmt>
        <c:idx val="163"/>
        <c:spPr>
          <a:solidFill>
            <a:schemeClr val="bg2">
              <a:lumMod val="60000"/>
              <a:lumOff val="40000"/>
            </a:schemeClr>
          </a:solidFill>
          <a:ln w="19050">
            <a:solidFill>
              <a:schemeClr val="bg2">
                <a:lumMod val="50000"/>
              </a:schemeClr>
            </a:solidFill>
          </a:ln>
        </c:spPr>
      </c:pivotFmt>
      <c:pivotFmt>
        <c:idx val="164"/>
        <c:spPr>
          <a:solidFill>
            <a:schemeClr val="accent6"/>
          </a:solidFill>
          <a:ln w="19050">
            <a:solidFill>
              <a:schemeClr val="accent6">
                <a:lumMod val="50000"/>
              </a:schemeClr>
            </a:solidFill>
          </a:ln>
        </c:spPr>
      </c:pivotFmt>
      <c:pivotFmt>
        <c:idx val="165"/>
        <c:spPr>
          <a:solidFill>
            <a:schemeClr val="bg1"/>
          </a:solidFill>
          <a:ln w="19050">
            <a:solidFill>
              <a:schemeClr val="bg1">
                <a:lumMod val="50000"/>
              </a:schemeClr>
            </a:solidFill>
          </a:ln>
        </c:spPr>
      </c:pivotFmt>
      <c:pivotFmt>
        <c:idx val="166"/>
        <c:spPr>
          <a:solidFill>
            <a:schemeClr val="accent2"/>
          </a:solidFill>
          <a:ln w="19050">
            <a:solidFill>
              <a:schemeClr val="accent2">
                <a:lumMod val="50000"/>
              </a:schemeClr>
            </a:solidFill>
          </a:ln>
        </c:spPr>
      </c:pivotFmt>
      <c:pivotFmt>
        <c:idx val="167"/>
        <c:spPr>
          <a:solidFill>
            <a:schemeClr val="accent3"/>
          </a:solidFill>
          <a:ln w="19050">
            <a:solidFill>
              <a:schemeClr val="accent3">
                <a:lumMod val="50000"/>
              </a:schemeClr>
            </a:solidFill>
          </a:ln>
        </c:spPr>
      </c:pivotFmt>
      <c:pivotFmt>
        <c:idx val="16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17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171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accent3"/>
            </a:solidFill>
          </a:ln>
          <a:effectLst/>
        </c:spPr>
      </c:pivotFmt>
      <c:pivotFmt>
        <c:idx val="172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4"/>
            </a:solidFill>
          </a:ln>
          <a:effectLst/>
        </c:spPr>
      </c:pivotFmt>
      <c:pivotFmt>
        <c:idx val="17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/>
            </a:solidFill>
          </a:ln>
          <a:effectLst/>
        </c:spPr>
      </c:pivotFmt>
      <c:pivotFmt>
        <c:idx val="17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accent6"/>
            </a:solidFill>
          </a:ln>
          <a:effectLst/>
        </c:spPr>
      </c:pivotFmt>
      <c:pivotFmt>
        <c:idx val="175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76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177"/>
        <c:spPr>
          <a:solidFill>
            <a:schemeClr val="bg2">
              <a:lumMod val="40000"/>
              <a:lumOff val="60000"/>
            </a:schemeClr>
          </a:solidFill>
          <a:ln w="19050">
            <a:solidFill>
              <a:schemeClr val="bg2"/>
            </a:solidFill>
          </a:ln>
          <a:effectLst/>
        </c:spPr>
      </c:pivotFmt>
      <c:pivotFmt>
        <c:idx val="178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accent4">
                <a:lumMod val="75000"/>
              </a:schemeClr>
            </a:solidFill>
          </a:ln>
        </c:spPr>
      </c:pivotFmt>
      <c:pivotFmt>
        <c:idx val="179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accent5">
                <a:lumMod val="75000"/>
              </a:schemeClr>
            </a:solidFill>
          </a:ln>
        </c:spPr>
      </c:pivotFmt>
      <c:pivotFmt>
        <c:idx val="180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</c:spPr>
      </c:pivotFmt>
      <c:pivotFmt>
        <c:idx val="181"/>
        <c:spPr>
          <a:solidFill>
            <a:schemeClr val="bg1">
              <a:lumMod val="75000"/>
            </a:schemeClr>
          </a:solidFill>
          <a:ln w="19050">
            <a:solidFill>
              <a:schemeClr val="bg1">
                <a:lumMod val="65000"/>
              </a:schemeClr>
            </a:solidFill>
          </a:ln>
        </c:spPr>
      </c:pivotFmt>
      <c:pivotFmt>
        <c:idx val="182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</c:spPr>
      </c:pivotFmt>
      <c:pivotFmt>
        <c:idx val="183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3">
                <a:lumMod val="75000"/>
              </a:schemeClr>
            </a:solidFill>
          </a:ln>
        </c:spPr>
      </c:pivotFmt>
      <c:pivotFmt>
        <c:idx val="184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tx2">
                <a:lumMod val="75000"/>
              </a:schemeClr>
            </a:solidFill>
          </a:ln>
        </c:spPr>
      </c:pivotFmt>
      <c:pivotFmt>
        <c:idx val="185"/>
        <c:spPr>
          <a:solidFill>
            <a:schemeClr val="bg2">
              <a:lumMod val="60000"/>
              <a:lumOff val="40000"/>
            </a:schemeClr>
          </a:solidFill>
          <a:ln w="19050">
            <a:solidFill>
              <a:schemeClr val="bg2">
                <a:lumMod val="50000"/>
              </a:schemeClr>
            </a:solidFill>
          </a:ln>
        </c:spPr>
      </c:pivotFmt>
      <c:pivotFmt>
        <c:idx val="186"/>
        <c:spPr>
          <a:solidFill>
            <a:schemeClr val="accent6"/>
          </a:solidFill>
          <a:ln w="19050">
            <a:solidFill>
              <a:schemeClr val="accent6">
                <a:lumMod val="50000"/>
              </a:schemeClr>
            </a:solidFill>
          </a:ln>
        </c:spPr>
      </c:pivotFmt>
      <c:pivotFmt>
        <c:idx val="187"/>
        <c:spPr>
          <a:solidFill>
            <a:schemeClr val="bg1"/>
          </a:solidFill>
          <a:ln w="19050">
            <a:solidFill>
              <a:schemeClr val="bg1">
                <a:lumMod val="50000"/>
              </a:schemeClr>
            </a:solidFill>
          </a:ln>
        </c:spPr>
      </c:pivotFmt>
      <c:pivotFmt>
        <c:idx val="188"/>
        <c:spPr>
          <a:solidFill>
            <a:schemeClr val="accent2"/>
          </a:solidFill>
          <a:ln w="19050">
            <a:solidFill>
              <a:schemeClr val="accent2">
                <a:lumMod val="50000"/>
              </a:schemeClr>
            </a:solidFill>
          </a:ln>
        </c:spPr>
      </c:pivotFmt>
      <c:pivotFmt>
        <c:idx val="189"/>
        <c:spPr>
          <a:solidFill>
            <a:schemeClr val="accent3"/>
          </a:solidFill>
          <a:ln w="19050">
            <a:solidFill>
              <a:schemeClr val="accent3">
                <a:lumMod val="50000"/>
              </a:schemeClr>
            </a:solidFill>
          </a:ln>
        </c:spPr>
      </c:pivotFmt>
      <c:pivotFmt>
        <c:idx val="190"/>
        <c:spPr>
          <a:ln w="19050">
            <a:solidFill>
              <a:schemeClr val="accent4">
                <a:lumMod val="50000"/>
              </a:schemeClr>
            </a:solidFill>
          </a:ln>
        </c:spPr>
      </c:pivotFmt>
    </c:pivotFmts>
    <c:plotArea>
      <c:layout>
        <c:manualLayout>
          <c:layoutTarget val="inner"/>
          <c:xMode val="edge"/>
          <c:yMode val="edge"/>
          <c:x val="6.7608814523184596E-2"/>
          <c:y val="5.3240740740740741E-2"/>
          <c:w val="0.44675925925925924"/>
          <c:h val="0.89351851851851849"/>
        </c:manualLayout>
      </c:layout>
      <c:doughnutChart>
        <c:varyColors val="1"/>
        <c:ser>
          <c:idx val="0"/>
          <c:order val="0"/>
          <c:tx>
            <c:strRef>
              <c:f>Graph!$B$9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DEA-400D-A1D1-FE1BB00CA9CE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DEA-400D-A1D1-FE1BB00CA9CE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DEA-400D-A1D1-FE1BB00CA9CE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DEA-400D-A1D1-FE1BB00CA9CE}"/>
              </c:ext>
            </c:extLst>
          </c:dPt>
          <c:dPt>
            <c:idx val="4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DEA-400D-A1D1-FE1BB00CA9CE}"/>
              </c:ext>
            </c:extLst>
          </c:dPt>
          <c:dPt>
            <c:idx val="5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DEA-400D-A1D1-FE1BB00CA9CE}"/>
              </c:ext>
            </c:extLst>
          </c:dPt>
          <c:dPt>
            <c:idx val="6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DEA-400D-A1D1-FE1BB00CA9CE}"/>
              </c:ext>
            </c:extLst>
          </c:dPt>
          <c:dPt>
            <c:idx val="7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DEA-400D-A1D1-FE1BB00CA9CE}"/>
              </c:ext>
            </c:extLst>
          </c:dPt>
          <c:dPt>
            <c:idx val="8"/>
            <c:bubble3D val="0"/>
            <c:spPr>
              <a:solidFill>
                <a:schemeClr val="bg2">
                  <a:lumMod val="40000"/>
                  <a:lumOff val="60000"/>
                </a:schemeClr>
              </a:solidFill>
              <a:ln w="19050"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DEA-400D-A1D1-FE1BB00CA9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1DEA-400D-A1D1-FE1BB00CA9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1DEA-400D-A1D1-FE1BB00CA9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1DEA-400D-A1D1-FE1BB00CA9CE}"/>
              </c:ext>
            </c:extLst>
          </c:dPt>
          <c:dPt>
            <c:idx val="1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1DEA-400D-A1D1-FE1BB00CA9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1DEA-400D-A1D1-FE1BB00CA9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1DEA-400D-A1D1-FE1BB00CA9CE}"/>
              </c:ext>
            </c:extLst>
          </c:dPt>
          <c:dPt>
            <c:idx val="15"/>
            <c:bubble3D val="0"/>
            <c:spPr>
              <a:ln w="19050">
                <a:solidFill>
                  <a:schemeClr val="accent4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1DEA-400D-A1D1-FE1BB00CA9CE}"/>
              </c:ext>
            </c:extLst>
          </c:dPt>
          <c:dPt>
            <c:idx val="16"/>
            <c:bubble3D val="0"/>
            <c:spPr>
              <a:solidFill>
                <a:schemeClr val="bg2">
                  <a:lumMod val="60000"/>
                  <a:lumOff val="40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1DEA-400D-A1D1-FE1BB00CA9CE}"/>
              </c:ext>
            </c:extLst>
          </c:dPt>
          <c:dPt>
            <c:idx val="17"/>
            <c:bubble3D val="0"/>
            <c:spPr>
              <a:solidFill>
                <a:schemeClr val="accent6"/>
              </a:solidFill>
              <a:ln w="19050">
                <a:solidFill>
                  <a:schemeClr val="accent6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1DEA-400D-A1D1-FE1BB00CA9CE}"/>
              </c:ext>
            </c:extLst>
          </c:dPt>
          <c:dPt>
            <c:idx val="18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1DEA-400D-A1D1-FE1BB00CA9CE}"/>
              </c:ext>
            </c:extLst>
          </c:dPt>
          <c:dPt>
            <c:idx val="19"/>
            <c:bubble3D val="0"/>
            <c:spPr>
              <a:solidFill>
                <a:schemeClr val="accent2"/>
              </a:solidFill>
              <a:ln w="19050">
                <a:solidFill>
                  <a:schemeClr val="accent2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1DEA-400D-A1D1-FE1BB00CA9CE}"/>
              </c:ext>
            </c:extLst>
          </c:dPt>
          <c:dPt>
            <c:idx val="20"/>
            <c:bubble3D val="0"/>
            <c:spPr>
              <a:solidFill>
                <a:schemeClr val="accent3"/>
              </a:solidFill>
              <a:ln w="19050">
                <a:solidFill>
                  <a:schemeClr val="accent3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1DEA-400D-A1D1-FE1BB00CA9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Graph!$A$10:$A$31</c:f>
              <c:strCache>
                <c:ptCount val="21"/>
                <c:pt idx="0">
                  <c:v>Driving after more than 8-hour rest limit violation</c:v>
                </c:pt>
                <c:pt idx="1">
                  <c:v>Minimum 10-hour off-duty per day violation</c:v>
                </c:pt>
                <c:pt idx="2">
                  <c:v>Maximum 14-hour workday limit violation</c:v>
                </c:pt>
                <c:pt idx="3">
                  <c:v>Minimum 2-hour rest per day violation</c:v>
                </c:pt>
                <c:pt idx="4">
                  <c:v>Maximum 16-hour workday limit violation</c:v>
                </c:pt>
                <c:pt idx="5">
                  <c:v>Maximum 14-hour on-duty limit violation</c:v>
                </c:pt>
                <c:pt idx="6">
                  <c:v>Maximum 14 hour(s) on-duty per day violation</c:v>
                </c:pt>
                <c:pt idx="7">
                  <c:v>Maximum 70 hour(s) on duty in 7 days violation</c:v>
                </c:pt>
                <c:pt idx="8">
                  <c:v>Maximum 70 hour(s) on duty in 8 days violation</c:v>
                </c:pt>
                <c:pt idx="9">
                  <c:v>Driving after more than 5-hour rest limit violation</c:v>
                </c:pt>
                <c:pt idx="10">
                  <c:v>Maximum 11-hour driving limit violation</c:v>
                </c:pt>
                <c:pt idx="11">
                  <c:v>Maximum 60 hour(s) on duty in 7 days violation</c:v>
                </c:pt>
                <c:pt idx="12">
                  <c:v>Driving without 24-hour consecutive off-duty in the preceding 14 days</c:v>
                </c:pt>
                <c:pt idx="13">
                  <c:v>Maximum 112 hour(s) on duty in 8 days violation</c:v>
                </c:pt>
                <c:pt idx="14">
                  <c:v>Maximum 16-hour on-duty limit violation</c:v>
                </c:pt>
                <c:pt idx="15">
                  <c:v>Maximum 13 hour driving limit violation</c:v>
                </c:pt>
                <c:pt idx="16">
                  <c:v>Maximum 12-hour driving limit violation</c:v>
                </c:pt>
                <c:pt idx="17">
                  <c:v>Maximum 12-hour workday limit violation</c:v>
                </c:pt>
                <c:pt idx="18">
                  <c:v>Maximum 20-hour on-duty limit violation</c:v>
                </c:pt>
                <c:pt idx="19">
                  <c:v>Maximum 11 hour driving limit violation</c:v>
                </c:pt>
                <c:pt idx="20">
                  <c:v>Maximum 15-hour driving limit violation</c:v>
                </c:pt>
              </c:strCache>
            </c:strRef>
          </c:cat>
          <c:val>
            <c:numRef>
              <c:f>Graph!$B$10:$B$31</c:f>
              <c:numCache>
                <c:formatCode>General</c:formatCode>
                <c:ptCount val="21"/>
                <c:pt idx="0">
                  <c:v>16</c:v>
                </c:pt>
                <c:pt idx="1">
                  <c:v>11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DEA-400D-A1D1-FE1BB00CA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effectLst/>
      </c:spPr>
    </c:plotArea>
    <c:legend>
      <c:legendPos val="r"/>
      <c:layout>
        <c:manualLayout>
          <c:xMode val="edge"/>
          <c:yMode val="edge"/>
          <c:x val="0.55882892242636328"/>
          <c:y val="6.1252187226596679E-2"/>
          <c:w val="0.42728218868474777"/>
          <c:h val="0.8774956255468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ELD HOS Violations.xlsx]Graph 2!HOS Driver Logs</c:name>
    <c:fmtId val="48"/>
  </c:pivotSource>
  <c:chart>
    <c:title>
      <c:tx>
        <c:strRef>
          <c:f>'Graph 2'!$A$9:$B$9</c:f>
          <c:strCache>
            <c:ptCount val="2"/>
            <c:pt idx="0">
              <c:v>**Highest HOS Violations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normalizeH="0" baseline="0">
              <a:solidFill>
                <a:sysClr val="windowText" lastClr="000000"/>
              </a:solidFill>
              <a:latin typeface="Segoe UI" panose="020B0502040204020203" pitchFamily="34" charset="0"/>
              <a:ea typeface="+mj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15875">
              <a:solidFill>
                <a:schemeClr val="accent4">
                  <a:lumMod val="75000"/>
                </a:schemeClr>
              </a:solidFill>
              <a:round/>
            </a:ln>
            <a:effectLst/>
          </c:spPr>
        </c:marke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15875">
              <a:solidFill>
                <a:schemeClr val="accent4">
                  <a:lumMod val="75000"/>
                </a:schemeClr>
              </a:solidFill>
              <a:round/>
            </a:ln>
            <a:effectLst/>
          </c:spPr>
        </c:marke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15875">
              <a:solidFill>
                <a:schemeClr val="accent4">
                  <a:lumMod val="75000"/>
                </a:schemeClr>
              </a:solidFill>
              <a:round/>
            </a:ln>
            <a:effectLst/>
          </c:spPr>
        </c:marke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14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</c:f>
              <c:strCache>
                <c:ptCount val="7"/>
                <c:pt idx="0">
                  <c:v>Driver E</c:v>
                </c:pt>
                <c:pt idx="1">
                  <c:v>Driver C</c:v>
                </c:pt>
                <c:pt idx="2">
                  <c:v>Driver F</c:v>
                </c:pt>
                <c:pt idx="3">
                  <c:v>Driver G</c:v>
                </c:pt>
                <c:pt idx="4">
                  <c:v>Driver A</c:v>
                </c:pt>
                <c:pt idx="5">
                  <c:v>Driver D</c:v>
                </c:pt>
                <c:pt idx="6">
                  <c:v>Driver B</c:v>
                </c:pt>
              </c:strCache>
            </c:strRef>
          </c:cat>
          <c:val>
            <c:numRef>
              <c:f>Summary!$A$1</c:f>
              <c:numCache>
                <c:formatCode>General</c:formatCode>
                <c:ptCount val="7"/>
                <c:pt idx="0">
                  <c:v>60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F-4093-BD4D-F4AF740E18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1722812352"/>
        <c:axId val="1722809632"/>
      </c:barChart>
      <c:catAx>
        <c:axId val="172281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alpha val="30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22809632"/>
        <c:crosses val="autoZero"/>
        <c:auto val="1"/>
        <c:lblAlgn val="ctr"/>
        <c:lblOffset val="100"/>
        <c:noMultiLvlLbl val="0"/>
      </c:catAx>
      <c:valAx>
        <c:axId val="1722809632"/>
        <c:scaling>
          <c:orientation val="minMax"/>
          <c:min val="0"/>
        </c:scaling>
        <c:delete val="0"/>
        <c:axPos val="l"/>
        <c:title>
          <c:tx>
            <c:strRef>
              <c:f>Summary!$A$1</c:f>
              <c:strCache>
                <c:ptCount val="1"/>
                <c:pt idx="0">
                  <c:v>**HOS Violations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22812352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123825</xdr:colOff>
      <xdr:row>9</xdr:row>
      <xdr:rowOff>19050</xdr:rowOff>
    </xdr:from>
    <xdr:to>
      <xdr:col>6</xdr:col>
      <xdr:colOff>400050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41248-5A51-4255-9412-BC0444BAE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180975</xdr:colOff>
      <xdr:row>9</xdr:row>
      <xdr:rowOff>0</xdr:rowOff>
    </xdr:from>
    <xdr:to>
      <xdr:col>9</xdr:col>
      <xdr:colOff>142875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330AF-73E2-4158-AE6B-4183AC64F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4302.573443518515" missingItemsLimit="0" createdVersion="4" refreshedVersion="7" minRefreshableVersion="3" recordCount="87" xr:uid="{00000000-000A-0000-FFFF-FFFF98000000}">
  <cacheSource type="worksheet">
    <worksheetSource name="AllData"/>
  </cacheSource>
  <cacheFields count="8">
    <cacheField name="**Driver" numFmtId="0">
      <sharedItems count="7">
        <s v="Driver A"/>
        <s v="Driver B"/>
        <s v="Driver C"/>
        <s v="Driver D"/>
        <s v="Driver E"/>
        <s v="Driver F"/>
        <s v="Driver G"/>
      </sharedItems>
    </cacheField>
    <cacheField name="**Driver Group" numFmtId="0">
      <sharedItems count="1">
        <s v="Entire Organization"/>
      </sharedItems>
    </cacheField>
    <cacheField name="**Start Date" numFmtId="168">
      <sharedItems containsSemiMixedTypes="0" containsNonDate="0" containsDate="1" containsString="0" minDate="2018-01-03T20:15:24" maxDate="2020-07-01T00:00:00" count="58">
        <d v="2018-01-03T20:15:24"/>
        <d v="2018-01-03T23:15:24"/>
        <d v="2018-01-04T02:15:24"/>
        <d v="2020-06-27T10:00:00"/>
        <d v="2020-06-06T16:09:41"/>
        <d v="2020-05-17T15:46:21"/>
        <d v="2020-05-29T12:41:17"/>
        <d v="2020-06-11T18:25:26"/>
        <d v="2020-06-18T16:18:08"/>
        <d v="2020-06-03T13:51:48"/>
        <d v="2020-06-04T04:51:48"/>
        <d v="2020-06-05T22:00:00"/>
        <d v="2020-05-17T06:31:59"/>
        <d v="2020-05-19T16:51:02"/>
        <d v="2020-05-21T19:45:45"/>
        <d v="2020-05-28T06:39:11"/>
        <d v="2020-05-30T14:59:17"/>
        <d v="2020-06-04T05:46:37"/>
        <d v="2020-06-05T05:39:16"/>
        <d v="2020-06-06T06:25:58"/>
        <d v="2020-06-07T06:36:36"/>
        <d v="2020-06-08T05:53:13"/>
        <d v="2020-06-10T08:02:44"/>
        <d v="2020-06-11T06:57:41"/>
        <d v="2020-06-12T05:29:24"/>
        <d v="2020-06-13T00:00:00"/>
        <d v="2020-06-13T05:49:28"/>
        <d v="2020-06-13T15:09:09"/>
        <d v="2020-06-13T18:54:02"/>
        <d v="2020-06-14T00:00:00"/>
        <d v="2020-06-14T23:44:44"/>
        <d v="2020-06-15T18:45:58"/>
        <d v="2020-06-19T00:00:00"/>
        <d v="2020-06-20T00:18:49"/>
        <d v="2020-06-22T00:00:00"/>
        <d v="2020-06-22T19:11:39"/>
        <d v="2020-06-24T00:00:00"/>
        <d v="2020-06-24T06:02:50"/>
        <d v="2020-06-24T17:02:57"/>
        <d v="2020-06-25T00:00:00"/>
        <d v="2020-06-26T00:00:00"/>
        <d v="2020-06-26T12:27:30"/>
        <d v="2020-06-26T15:51:23"/>
        <d v="2020-06-27T00:00:00"/>
        <d v="2020-06-27T14:00:00"/>
        <d v="2020-06-28T00:00:00"/>
        <d v="2020-06-28T15:58:05"/>
        <d v="2020-06-29T00:00:00"/>
        <d v="2020-06-30T00:00:00"/>
        <d v="2020-06-04T18:31:52"/>
        <d v="2020-06-10T17:26:48"/>
        <d v="2020-06-20T08:54:06"/>
        <d v="2020-06-02T11:31:53"/>
        <d v="2020-06-03T16:16:09"/>
        <d v="2020-06-09T17:54:15"/>
        <d v="2020-06-18T07:49:07"/>
        <d v="2020-06-20T12:42:19"/>
        <d v="2020-06-23T12:36:11"/>
      </sharedItems>
    </cacheField>
    <cacheField name="**End Date" numFmtId="168">
      <sharedItems count="47">
        <s v="Ongoing"/>
        <s v="Jun 08, 2020 8:22:27 AM"/>
        <s v="Jun 04, 2020 8:32:44 AM"/>
        <s v="Jun 02, 2020 6:30:00 PM"/>
        <s v="Jun 12, 2020 12:26:44 AM"/>
        <s v="Jun 09, 2020 1:36:07 PM"/>
        <s v="Jun 19, 2020 8:51:34 PM"/>
        <s v="Jun 18, 2020 8:00:00 PM"/>
        <s v="Jun 03, 2020 9:12:23 AM"/>
        <s v="Jun 04, 2020 2:21:21 PM"/>
        <s v="Jun 05, 2020 8:42:01 AM"/>
        <s v="Jun 06, 2020 12:27:23 PM"/>
        <s v="Jun 07, 2020 8:19:57 AM"/>
        <s v="Jun 09, 2020 10:12:10 AM"/>
        <s v="Jun 16, 2020 7:37:41 AM"/>
        <s v="Jun 11, 2020 11:30:20 AM"/>
        <s v="Jun 12, 2020 1:29:39 PM"/>
        <s v="Jun 13, 2020 11:59:59 PM"/>
        <s v="Jun 13, 2020 5:02:48 PM"/>
        <s v="Jun 13, 2020 8:32:01 PM"/>
        <s v="Jun 18, 2020 9:46:15 AM"/>
        <s v="Jun 14, 2020 11:59:59 PM"/>
        <s v="Jun 14, 2020 11:58:15 PM"/>
        <s v="Jun 15, 2020 9:53:44 AM"/>
        <s v="Jun 19, 2020 11:59:59 PM"/>
        <s v="Jun 20, 2020 12:41:04 AM"/>
        <s v="Jun 22, 2020 11:59:59 PM"/>
        <s v="Jun 22, 2020 10:22:39 PM"/>
        <s v="Jun 24, 2020 11:59:59 PM"/>
        <s v="Jun 24, 2020 9:52:59 PM"/>
        <s v="Jun 25, 2020 11:59:59 PM"/>
        <s v="Jun 26, 2020 11:59:59 PM"/>
        <s v="Jun 26, 2020 4:18:19 PM"/>
        <s v="Jun 27, 2020 11:59:59 PM"/>
        <s v="Jun 27, 2020 4:57:35 PM"/>
        <s v="Jun 28, 2020 11:59:59 PM"/>
        <s v="Jun 29, 2020 6:50:42 PM"/>
        <s v="Jun 29, 2020 11:59:59 PM"/>
        <s v="Jun 30, 2020 11:59:59 PM"/>
        <s v="Jun 09, 2020 12:00:00 AM"/>
        <s v="Jun 13, 2020 12:00:00 AM"/>
        <s v="Jun 11, 2020 9:04:09 AM"/>
        <s v="Jun 23, 2020 6:58:21 AM"/>
        <s v="Jun 23, 2020 9:17:14 AM"/>
        <s v="Jun 22, 2020 4:11:00 PM"/>
        <s v="Jun 19, 2020 12:19:27 PM"/>
        <s v="Jun 23, 2020 1:06:03 PM"/>
      </sharedItems>
    </cacheField>
    <cacheField name="**Driving Duration" numFmtId="169">
      <sharedItems containsSemiMixedTypes="0" containsNonDate="0" containsDate="1" containsString="0" minDate="1899-12-30T00:00:00" maxDate="1902-06-27T14:05:30"/>
    </cacheField>
    <cacheField name="**Type" numFmtId="165">
      <sharedItems count="9">
        <s v="Rest"/>
        <s v="Driving"/>
        <s v="Workday"/>
        <s v="Cycle"/>
        <s v="Duty"/>
        <s v="DailyOff"/>
        <s v="CycleRest"/>
        <s v="DailyDuty"/>
        <s v="DailyRest"/>
      </sharedItems>
    </cacheField>
    <cacheField name="**Count" numFmtId="165">
      <sharedItems containsSemiMixedTypes="0" containsString="0" containsNumber="1" containsInteger="1" minValue="1" maxValue="1"/>
    </cacheField>
    <cacheField name="**Reason" numFmtId="0">
      <sharedItems count="21">
        <s v="Driving after more than 8-hour rest limit violation"/>
        <s v="Maximum 11-hour driving limit violation"/>
        <s v="Maximum 14-hour workday limit violation"/>
        <s v="Maximum 11 hour driving limit violation"/>
        <s v="Maximum 70 hour(s) on duty in 8 days violation"/>
        <s v="Maximum 20-hour on-duty limit violation"/>
        <s v="Maximum 15-hour driving limit violation"/>
        <s v="Maximum 70 hour(s) on duty in 7 days violation"/>
        <s v="Maximum 12-hour workday limit violation"/>
        <s v="Maximum 13 hour driving limit violation"/>
        <s v="Maximum 60 hour(s) on duty in 7 days violation"/>
        <s v="Minimum 10-hour off-duty per day violation"/>
        <s v="Maximum 16-hour workday limit violation"/>
        <s v="Maximum 14-hour on-duty limit violation"/>
        <s v="Driving without 24-hour consecutive off-duty in the preceding 14 days"/>
        <s v="Maximum 14 hour(s) on-duty per day violation"/>
        <s v="Minimum 2-hour rest per day violation"/>
        <s v="Maximum 16-hour on-duty limit violation"/>
        <s v="Driving after more than 5-hour rest limit violation"/>
        <s v="Maximum 112 hour(s) on duty in 8 days violation"/>
        <s v="Maximum 12-hour driving limit viol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  <x v="0"/>
    <d v="1902-06-27T14:05:30"/>
    <x v="0"/>
    <n v="1"/>
    <x v="0"/>
  </r>
  <r>
    <x v="0"/>
    <x v="0"/>
    <x v="1"/>
    <x v="0"/>
    <d v="1902-06-27T11:05:30"/>
    <x v="1"/>
    <n v="1"/>
    <x v="1"/>
  </r>
  <r>
    <x v="0"/>
    <x v="0"/>
    <x v="2"/>
    <x v="0"/>
    <d v="1902-06-27T08:05:30"/>
    <x v="2"/>
    <n v="1"/>
    <x v="2"/>
  </r>
  <r>
    <x v="0"/>
    <x v="0"/>
    <x v="3"/>
    <x v="0"/>
    <d v="1900-01-22T11:41:59"/>
    <x v="1"/>
    <n v="1"/>
    <x v="3"/>
  </r>
  <r>
    <x v="1"/>
    <x v="0"/>
    <x v="4"/>
    <x v="1"/>
    <d v="1899-12-30T00:59:09"/>
    <x v="0"/>
    <n v="1"/>
    <x v="0"/>
  </r>
  <r>
    <x v="2"/>
    <x v="0"/>
    <x v="5"/>
    <x v="2"/>
    <d v="1899-12-30T01:11:54"/>
    <x v="3"/>
    <n v="1"/>
    <x v="4"/>
  </r>
  <r>
    <x v="2"/>
    <x v="0"/>
    <x v="6"/>
    <x v="3"/>
    <d v="1899-12-30T00:34:50"/>
    <x v="2"/>
    <n v="1"/>
    <x v="2"/>
  </r>
  <r>
    <x v="2"/>
    <x v="0"/>
    <x v="6"/>
    <x v="3"/>
    <d v="1899-12-30T00:34:50"/>
    <x v="0"/>
    <n v="1"/>
    <x v="0"/>
  </r>
  <r>
    <x v="2"/>
    <x v="0"/>
    <x v="7"/>
    <x v="4"/>
    <d v="1899-12-30T00:01:56"/>
    <x v="3"/>
    <n v="1"/>
    <x v="4"/>
  </r>
  <r>
    <x v="2"/>
    <x v="0"/>
    <x v="8"/>
    <x v="0"/>
    <d v="1899-12-30T01:23:17"/>
    <x v="3"/>
    <n v="1"/>
    <x v="4"/>
  </r>
  <r>
    <x v="2"/>
    <x v="0"/>
    <x v="8"/>
    <x v="0"/>
    <d v="1899-12-30T01:23:17"/>
    <x v="2"/>
    <n v="1"/>
    <x v="2"/>
  </r>
  <r>
    <x v="2"/>
    <x v="0"/>
    <x v="8"/>
    <x v="0"/>
    <d v="1899-12-30T01:23:17"/>
    <x v="0"/>
    <n v="1"/>
    <x v="0"/>
  </r>
  <r>
    <x v="3"/>
    <x v="0"/>
    <x v="9"/>
    <x v="0"/>
    <d v="1900-01-05T10:14:28"/>
    <x v="4"/>
    <n v="1"/>
    <x v="5"/>
  </r>
  <r>
    <x v="3"/>
    <x v="0"/>
    <x v="10"/>
    <x v="0"/>
    <d v="1900-01-04T19:14:28"/>
    <x v="1"/>
    <n v="1"/>
    <x v="6"/>
  </r>
  <r>
    <x v="3"/>
    <x v="0"/>
    <x v="11"/>
    <x v="0"/>
    <d v="1900-01-03T02:06:16"/>
    <x v="3"/>
    <n v="1"/>
    <x v="7"/>
  </r>
  <r>
    <x v="4"/>
    <x v="0"/>
    <x v="12"/>
    <x v="5"/>
    <d v="1899-12-30T15:33:44"/>
    <x v="2"/>
    <n v="1"/>
    <x v="2"/>
  </r>
  <r>
    <x v="4"/>
    <x v="0"/>
    <x v="13"/>
    <x v="6"/>
    <d v="1899-12-30T14:39:12"/>
    <x v="3"/>
    <n v="1"/>
    <x v="4"/>
  </r>
  <r>
    <x v="4"/>
    <x v="0"/>
    <x v="14"/>
    <x v="5"/>
    <d v="1899-12-30T03:44:40"/>
    <x v="2"/>
    <n v="1"/>
    <x v="8"/>
  </r>
  <r>
    <x v="4"/>
    <x v="0"/>
    <x v="14"/>
    <x v="7"/>
    <d v="1899-12-30T00:35:41"/>
    <x v="1"/>
    <n v="1"/>
    <x v="9"/>
  </r>
  <r>
    <x v="4"/>
    <x v="0"/>
    <x v="15"/>
    <x v="8"/>
    <d v="1899-12-30T06:20:31"/>
    <x v="0"/>
    <n v="1"/>
    <x v="0"/>
  </r>
  <r>
    <x v="4"/>
    <x v="0"/>
    <x v="16"/>
    <x v="5"/>
    <d v="1899-12-30T10:11:47"/>
    <x v="1"/>
    <n v="1"/>
    <x v="1"/>
  </r>
  <r>
    <x v="4"/>
    <x v="0"/>
    <x v="17"/>
    <x v="9"/>
    <d v="1899-12-30T00:43:10"/>
    <x v="0"/>
    <n v="1"/>
    <x v="0"/>
  </r>
  <r>
    <x v="4"/>
    <x v="0"/>
    <x v="18"/>
    <x v="10"/>
    <d v="1899-12-30T00:48:36"/>
    <x v="0"/>
    <n v="1"/>
    <x v="0"/>
  </r>
  <r>
    <x v="4"/>
    <x v="0"/>
    <x v="19"/>
    <x v="11"/>
    <d v="1899-12-30T00:03:42"/>
    <x v="0"/>
    <n v="1"/>
    <x v="0"/>
  </r>
  <r>
    <x v="4"/>
    <x v="0"/>
    <x v="20"/>
    <x v="12"/>
    <d v="1899-12-30T00:08:07"/>
    <x v="0"/>
    <n v="1"/>
    <x v="0"/>
  </r>
  <r>
    <x v="4"/>
    <x v="0"/>
    <x v="21"/>
    <x v="13"/>
    <d v="1899-12-30T01:28:38"/>
    <x v="0"/>
    <n v="1"/>
    <x v="0"/>
  </r>
  <r>
    <x v="4"/>
    <x v="0"/>
    <x v="22"/>
    <x v="7"/>
    <d v="1899-12-30T04:40:38"/>
    <x v="3"/>
    <n v="1"/>
    <x v="10"/>
  </r>
  <r>
    <x v="4"/>
    <x v="0"/>
    <x v="23"/>
    <x v="14"/>
    <d v="1899-12-30T03:48:21"/>
    <x v="2"/>
    <n v="1"/>
    <x v="2"/>
  </r>
  <r>
    <x v="4"/>
    <x v="0"/>
    <x v="23"/>
    <x v="15"/>
    <d v="1899-12-30T00:21:23"/>
    <x v="0"/>
    <n v="1"/>
    <x v="0"/>
  </r>
  <r>
    <x v="4"/>
    <x v="0"/>
    <x v="24"/>
    <x v="16"/>
    <d v="1899-12-30T00:48:28"/>
    <x v="0"/>
    <n v="1"/>
    <x v="0"/>
  </r>
  <r>
    <x v="4"/>
    <x v="0"/>
    <x v="25"/>
    <x v="17"/>
    <d v="1899-12-30T00:00:00"/>
    <x v="5"/>
    <n v="1"/>
    <x v="11"/>
  </r>
  <r>
    <x v="4"/>
    <x v="0"/>
    <x v="26"/>
    <x v="18"/>
    <d v="1899-12-30T01:47:34"/>
    <x v="0"/>
    <n v="1"/>
    <x v="0"/>
  </r>
  <r>
    <x v="4"/>
    <x v="0"/>
    <x v="27"/>
    <x v="19"/>
    <d v="1899-12-30T01:28:57"/>
    <x v="2"/>
    <n v="1"/>
    <x v="12"/>
  </r>
  <r>
    <x v="4"/>
    <x v="0"/>
    <x v="27"/>
    <x v="19"/>
    <d v="1899-12-30T01:28:57"/>
    <x v="4"/>
    <n v="1"/>
    <x v="13"/>
  </r>
  <r>
    <x v="4"/>
    <x v="0"/>
    <x v="27"/>
    <x v="14"/>
    <d v="1899-12-30T01:28:57"/>
    <x v="6"/>
    <n v="1"/>
    <x v="14"/>
  </r>
  <r>
    <x v="4"/>
    <x v="0"/>
    <x v="27"/>
    <x v="20"/>
    <d v="1899-12-30T01:28:57"/>
    <x v="3"/>
    <n v="1"/>
    <x v="7"/>
  </r>
  <r>
    <x v="4"/>
    <x v="0"/>
    <x v="28"/>
    <x v="19"/>
    <d v="1899-12-30T00:52:33"/>
    <x v="2"/>
    <n v="1"/>
    <x v="12"/>
  </r>
  <r>
    <x v="4"/>
    <x v="0"/>
    <x v="28"/>
    <x v="19"/>
    <d v="1899-12-30T00:52:33"/>
    <x v="7"/>
    <n v="1"/>
    <x v="15"/>
  </r>
  <r>
    <x v="4"/>
    <x v="0"/>
    <x v="28"/>
    <x v="14"/>
    <d v="1899-12-30T03:36:13"/>
    <x v="6"/>
    <n v="1"/>
    <x v="14"/>
  </r>
  <r>
    <x v="4"/>
    <x v="0"/>
    <x v="28"/>
    <x v="7"/>
    <d v="1899-12-30T05:34:31"/>
    <x v="3"/>
    <n v="1"/>
    <x v="7"/>
  </r>
  <r>
    <x v="4"/>
    <x v="0"/>
    <x v="28"/>
    <x v="19"/>
    <d v="1899-12-30T00:52:33"/>
    <x v="4"/>
    <n v="1"/>
    <x v="13"/>
  </r>
  <r>
    <x v="4"/>
    <x v="0"/>
    <x v="29"/>
    <x v="21"/>
    <d v="1899-12-30T00:00:00"/>
    <x v="5"/>
    <n v="1"/>
    <x v="11"/>
  </r>
  <r>
    <x v="4"/>
    <x v="0"/>
    <x v="30"/>
    <x v="22"/>
    <d v="1899-12-30T00:13:31"/>
    <x v="7"/>
    <n v="1"/>
    <x v="15"/>
  </r>
  <r>
    <x v="4"/>
    <x v="0"/>
    <x v="30"/>
    <x v="23"/>
    <d v="1899-12-30T00:50:14"/>
    <x v="2"/>
    <n v="1"/>
    <x v="12"/>
  </r>
  <r>
    <x v="4"/>
    <x v="0"/>
    <x v="30"/>
    <x v="23"/>
    <d v="1899-12-30T00:50:14"/>
    <x v="4"/>
    <n v="1"/>
    <x v="13"/>
  </r>
  <r>
    <x v="4"/>
    <x v="0"/>
    <x v="31"/>
    <x v="14"/>
    <d v="1899-12-30T00:09:55"/>
    <x v="2"/>
    <n v="1"/>
    <x v="2"/>
  </r>
  <r>
    <x v="4"/>
    <x v="0"/>
    <x v="32"/>
    <x v="24"/>
    <d v="1899-12-30T00:00:00"/>
    <x v="5"/>
    <n v="1"/>
    <x v="11"/>
  </r>
  <r>
    <x v="4"/>
    <x v="0"/>
    <x v="33"/>
    <x v="25"/>
    <d v="1899-12-30T00:22:13"/>
    <x v="2"/>
    <n v="1"/>
    <x v="12"/>
  </r>
  <r>
    <x v="4"/>
    <x v="0"/>
    <x v="33"/>
    <x v="25"/>
    <d v="1899-12-30T00:22:13"/>
    <x v="4"/>
    <n v="1"/>
    <x v="13"/>
  </r>
  <r>
    <x v="4"/>
    <x v="0"/>
    <x v="34"/>
    <x v="26"/>
    <d v="1899-12-30T00:00:00"/>
    <x v="5"/>
    <n v="1"/>
    <x v="11"/>
  </r>
  <r>
    <x v="4"/>
    <x v="0"/>
    <x v="35"/>
    <x v="27"/>
    <d v="1899-12-30T01:16:38"/>
    <x v="4"/>
    <n v="1"/>
    <x v="13"/>
  </r>
  <r>
    <x v="4"/>
    <x v="0"/>
    <x v="35"/>
    <x v="27"/>
    <d v="1899-12-30T01:16:38"/>
    <x v="2"/>
    <n v="1"/>
    <x v="12"/>
  </r>
  <r>
    <x v="4"/>
    <x v="0"/>
    <x v="36"/>
    <x v="28"/>
    <d v="1899-12-30T00:00:00"/>
    <x v="8"/>
    <n v="1"/>
    <x v="16"/>
  </r>
  <r>
    <x v="4"/>
    <x v="0"/>
    <x v="36"/>
    <x v="28"/>
    <d v="1899-12-30T00:00:00"/>
    <x v="5"/>
    <n v="1"/>
    <x v="11"/>
  </r>
  <r>
    <x v="4"/>
    <x v="0"/>
    <x v="37"/>
    <x v="29"/>
    <d v="1899-12-30T01:44:12"/>
    <x v="2"/>
    <n v="1"/>
    <x v="12"/>
  </r>
  <r>
    <x v="4"/>
    <x v="0"/>
    <x v="37"/>
    <x v="29"/>
    <d v="1899-12-30T01:44:12"/>
    <x v="4"/>
    <n v="1"/>
    <x v="13"/>
  </r>
  <r>
    <x v="4"/>
    <x v="0"/>
    <x v="38"/>
    <x v="29"/>
    <d v="1899-12-30T01:32:00"/>
    <x v="7"/>
    <n v="1"/>
    <x v="15"/>
  </r>
  <r>
    <x v="4"/>
    <x v="0"/>
    <x v="39"/>
    <x v="30"/>
    <d v="1899-12-30T00:00:00"/>
    <x v="5"/>
    <n v="1"/>
    <x v="11"/>
  </r>
  <r>
    <x v="4"/>
    <x v="0"/>
    <x v="39"/>
    <x v="30"/>
    <d v="1899-12-30T00:00:00"/>
    <x v="8"/>
    <n v="1"/>
    <x v="16"/>
  </r>
  <r>
    <x v="4"/>
    <x v="0"/>
    <x v="40"/>
    <x v="31"/>
    <d v="1899-12-30T00:00:00"/>
    <x v="5"/>
    <n v="1"/>
    <x v="11"/>
  </r>
  <r>
    <x v="4"/>
    <x v="0"/>
    <x v="40"/>
    <x v="31"/>
    <d v="1899-12-30T00:00:00"/>
    <x v="8"/>
    <n v="1"/>
    <x v="16"/>
  </r>
  <r>
    <x v="4"/>
    <x v="0"/>
    <x v="41"/>
    <x v="0"/>
    <d v="1899-12-30T06:29:07"/>
    <x v="3"/>
    <n v="1"/>
    <x v="7"/>
  </r>
  <r>
    <x v="4"/>
    <x v="0"/>
    <x v="41"/>
    <x v="0"/>
    <d v="1899-12-30T06:29:07"/>
    <x v="4"/>
    <n v="1"/>
    <x v="13"/>
  </r>
  <r>
    <x v="4"/>
    <x v="0"/>
    <x v="41"/>
    <x v="0"/>
    <d v="1899-12-30T06:29:07"/>
    <x v="2"/>
    <n v="1"/>
    <x v="12"/>
  </r>
  <r>
    <x v="4"/>
    <x v="0"/>
    <x v="42"/>
    <x v="32"/>
    <d v="1899-12-30T00:26:56"/>
    <x v="7"/>
    <n v="1"/>
    <x v="15"/>
  </r>
  <r>
    <x v="4"/>
    <x v="0"/>
    <x v="43"/>
    <x v="33"/>
    <d v="1899-12-30T00:00:00"/>
    <x v="5"/>
    <n v="1"/>
    <x v="11"/>
  </r>
  <r>
    <x v="4"/>
    <x v="0"/>
    <x v="43"/>
    <x v="33"/>
    <d v="1899-12-30T00:00:00"/>
    <x v="8"/>
    <n v="1"/>
    <x v="16"/>
  </r>
  <r>
    <x v="4"/>
    <x v="0"/>
    <x v="44"/>
    <x v="34"/>
    <d v="1899-12-30T01:36:52"/>
    <x v="7"/>
    <n v="1"/>
    <x v="15"/>
  </r>
  <r>
    <x v="4"/>
    <x v="0"/>
    <x v="45"/>
    <x v="35"/>
    <d v="1899-12-30T00:00:00"/>
    <x v="5"/>
    <n v="1"/>
    <x v="11"/>
  </r>
  <r>
    <x v="4"/>
    <x v="0"/>
    <x v="45"/>
    <x v="35"/>
    <d v="1899-12-30T00:00:00"/>
    <x v="8"/>
    <n v="1"/>
    <x v="16"/>
  </r>
  <r>
    <x v="4"/>
    <x v="0"/>
    <x v="46"/>
    <x v="36"/>
    <d v="1899-12-30T01:37:52"/>
    <x v="7"/>
    <n v="1"/>
    <x v="15"/>
  </r>
  <r>
    <x v="4"/>
    <x v="0"/>
    <x v="47"/>
    <x v="37"/>
    <d v="1899-12-30T00:00:00"/>
    <x v="5"/>
    <n v="1"/>
    <x v="11"/>
  </r>
  <r>
    <x v="4"/>
    <x v="0"/>
    <x v="47"/>
    <x v="37"/>
    <d v="1899-12-30T00:00:00"/>
    <x v="8"/>
    <n v="1"/>
    <x v="16"/>
  </r>
  <r>
    <x v="4"/>
    <x v="0"/>
    <x v="48"/>
    <x v="38"/>
    <d v="1899-12-30T00:00:00"/>
    <x v="5"/>
    <n v="1"/>
    <x v="11"/>
  </r>
  <r>
    <x v="4"/>
    <x v="0"/>
    <x v="48"/>
    <x v="38"/>
    <d v="1899-12-30T00:00:00"/>
    <x v="8"/>
    <n v="1"/>
    <x v="16"/>
  </r>
  <r>
    <x v="5"/>
    <x v="0"/>
    <x v="49"/>
    <x v="39"/>
    <d v="1899-12-30T00:10:53"/>
    <x v="2"/>
    <n v="1"/>
    <x v="2"/>
  </r>
  <r>
    <x v="5"/>
    <x v="0"/>
    <x v="49"/>
    <x v="39"/>
    <d v="1899-12-30T00:10:53"/>
    <x v="0"/>
    <n v="1"/>
    <x v="0"/>
  </r>
  <r>
    <x v="5"/>
    <x v="0"/>
    <x v="49"/>
    <x v="40"/>
    <d v="1899-12-30T03:15:39"/>
    <x v="3"/>
    <n v="1"/>
    <x v="10"/>
  </r>
  <r>
    <x v="5"/>
    <x v="0"/>
    <x v="50"/>
    <x v="41"/>
    <d v="1899-12-30T00:09:02"/>
    <x v="0"/>
    <n v="1"/>
    <x v="0"/>
  </r>
  <r>
    <x v="5"/>
    <x v="0"/>
    <x v="51"/>
    <x v="42"/>
    <d v="1899-12-30T00:30:04"/>
    <x v="0"/>
    <n v="1"/>
    <x v="0"/>
  </r>
  <r>
    <x v="5"/>
    <x v="0"/>
    <x v="51"/>
    <x v="43"/>
    <d v="1899-12-30T00:30:04"/>
    <x v="2"/>
    <n v="1"/>
    <x v="2"/>
  </r>
  <r>
    <x v="6"/>
    <x v="0"/>
    <x v="52"/>
    <x v="44"/>
    <d v="1899-12-30T14:39:52"/>
    <x v="4"/>
    <n v="1"/>
    <x v="17"/>
  </r>
  <r>
    <x v="6"/>
    <x v="0"/>
    <x v="53"/>
    <x v="45"/>
    <d v="1899-12-30T13:40:08"/>
    <x v="0"/>
    <n v="1"/>
    <x v="18"/>
  </r>
  <r>
    <x v="6"/>
    <x v="0"/>
    <x v="54"/>
    <x v="46"/>
    <d v="1899-12-30T17:06:01"/>
    <x v="3"/>
    <n v="1"/>
    <x v="19"/>
  </r>
  <r>
    <x v="6"/>
    <x v="0"/>
    <x v="55"/>
    <x v="44"/>
    <d v="1899-12-30T03:15:56"/>
    <x v="1"/>
    <n v="1"/>
    <x v="20"/>
  </r>
  <r>
    <x v="6"/>
    <x v="0"/>
    <x v="56"/>
    <x v="44"/>
    <d v="1899-12-30T00:33:58"/>
    <x v="0"/>
    <n v="1"/>
    <x v="18"/>
  </r>
  <r>
    <x v="6"/>
    <x v="0"/>
    <x v="57"/>
    <x v="46"/>
    <d v="1899-12-30T00:29:52"/>
    <x v="0"/>
    <n v="1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HOS Driver Logs" cacheId="8" applyNumberFormats="0" applyBorderFormats="0" applyFontFormats="0" applyPatternFormats="0" applyAlignmentFormats="0" applyWidthHeightFormats="1" dataCaption="Data" updatedVersion="7" minRefreshableVersion="3" showDrill="0" showMemberPropertyTips="0" itemPrintTitles="1" createdVersion="5" indent="0" compact="0" compactData="0" chartFormat="39">
  <location ref="A9:D42" firstHeaderRow="1" firstDataRow="1" firstDataCol="3"/>
  <pivotFields count="8">
    <pivotField axis="axisRow" compact="0" outline="0" subtotalTop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/>
    <pivotField compact="0" numFmtId="168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9">
        <item x="3"/>
        <item x="6"/>
        <item x="7"/>
        <item x="5"/>
        <item x="8"/>
        <item x="1"/>
        <item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 defaultSubtotal="0"/>
    <pivotField axis="axisRow" compact="0" outline="0" subtotalTop="0" showAll="0" defaultSubtotal="0">
      <items count="21">
        <item x="18"/>
        <item x="0"/>
        <item x="14"/>
        <item x="3"/>
        <item x="19"/>
        <item x="1"/>
        <item x="20"/>
        <item x="8"/>
        <item x="15"/>
        <item x="13"/>
        <item x="2"/>
        <item x="6"/>
        <item x="17"/>
        <item x="12"/>
        <item x="5"/>
        <item x="10"/>
        <item x="7"/>
        <item x="4"/>
        <item x="11"/>
        <item x="16"/>
        <item x="9"/>
      </items>
    </pivotField>
  </pivotFields>
  <rowFields count="3">
    <field x="0"/>
    <field x="5"/>
    <field x="7"/>
  </rowFields>
  <rowItems count="33">
    <i>
      <x/>
      <x v="5"/>
      <x v="3"/>
    </i>
    <i r="2">
      <x v="5"/>
    </i>
    <i r="1">
      <x v="7"/>
      <x v="1"/>
    </i>
    <i r="1">
      <x v="8"/>
      <x v="10"/>
    </i>
    <i>
      <x v="1"/>
      <x v="7"/>
      <x v="1"/>
    </i>
    <i>
      <x v="2"/>
      <x/>
      <x v="17"/>
    </i>
    <i r="1">
      <x v="7"/>
      <x v="1"/>
    </i>
    <i r="1">
      <x v="8"/>
      <x v="10"/>
    </i>
    <i>
      <x v="3"/>
      <x/>
      <x v="16"/>
    </i>
    <i r="1">
      <x v="5"/>
      <x v="11"/>
    </i>
    <i r="1">
      <x v="6"/>
      <x v="14"/>
    </i>
    <i>
      <x v="4"/>
      <x/>
      <x v="15"/>
    </i>
    <i r="2">
      <x v="16"/>
    </i>
    <i r="2">
      <x v="17"/>
    </i>
    <i r="1">
      <x v="1"/>
      <x v="2"/>
    </i>
    <i r="1">
      <x v="2"/>
      <x v="8"/>
    </i>
    <i r="1">
      <x v="3"/>
      <x v="18"/>
    </i>
    <i r="1">
      <x v="4"/>
      <x v="19"/>
    </i>
    <i r="1">
      <x v="5"/>
      <x v="5"/>
    </i>
    <i r="2">
      <x v="20"/>
    </i>
    <i r="1">
      <x v="6"/>
      <x v="9"/>
    </i>
    <i r="1">
      <x v="7"/>
      <x v="1"/>
    </i>
    <i r="1">
      <x v="8"/>
      <x v="7"/>
    </i>
    <i r="2">
      <x v="10"/>
    </i>
    <i r="2">
      <x v="13"/>
    </i>
    <i>
      <x v="5"/>
      <x/>
      <x v="15"/>
    </i>
    <i r="1">
      <x v="7"/>
      <x v="1"/>
    </i>
    <i r="1">
      <x v="8"/>
      <x v="10"/>
    </i>
    <i>
      <x v="6"/>
      <x/>
      <x v="4"/>
    </i>
    <i r="1">
      <x v="5"/>
      <x v="6"/>
    </i>
    <i r="1">
      <x v="6"/>
      <x v="12"/>
    </i>
    <i r="1">
      <x v="7"/>
      <x/>
    </i>
    <i t="grand">
      <x/>
    </i>
  </rowItems>
  <colItems count="1">
    <i/>
  </colItems>
  <dataFields count="1">
    <dataField name="**Total HOS Violations" fld="6" baseField="0" baseItem="0"/>
  </dataFields>
  <formats count="14">
    <format dxfId="57">
      <pivotArea dataOnly="0" labelOnly="1" grandRow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field="0" type="button" dataOnly="0" labelOnly="1" outline="0" axis="axisRow" fieldPosition="0"/>
    </format>
    <format dxfId="45">
      <pivotArea field="7" type="button" dataOnly="0" labelOnly="1" outline="0" axis="axisRow" fieldPosition="2"/>
    </format>
    <format dxfId="44">
      <pivotArea dataOnly="0" labelOnly="1" outline="0" axis="axisValues" fieldPosition="0"/>
    </format>
  </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HOS Driver Logs" cacheId="8" applyNumberFormats="0" applyBorderFormats="0" applyFontFormats="0" applyPatternFormats="0" applyAlignmentFormats="0" applyWidthHeightFormats="1" dataCaption="Data" updatedVersion="7" minRefreshableVersion="3" showDrill="0" showMemberPropertyTips="0" rowGrandTotals="0" colGrandTotals="0" itemPrintTitles="1" createdVersion="5" indent="0" compact="0" compactData="0" chartFormat="39">
  <location ref="A9:H103" firstHeaderRow="0" firstDataRow="1" firstDataCol="6"/>
  <pivotFields count="8">
    <pivotField axis="axisRow" compact="0" outline="0" subtotalTop="0" showAll="0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8" outline="0" subtotalTop="0" showAll="0" defaultSubtotal="0">
      <items count="58">
        <item x="0"/>
        <item x="1"/>
        <item x="2"/>
        <item x="12"/>
        <item x="5"/>
        <item x="13"/>
        <item x="14"/>
        <item x="15"/>
        <item x="6"/>
        <item x="16"/>
        <item x="52"/>
        <item x="9"/>
        <item x="53"/>
        <item x="10"/>
        <item x="17"/>
        <item x="49"/>
        <item x="18"/>
        <item x="11"/>
        <item x="19"/>
        <item x="4"/>
        <item x="20"/>
        <item x="21"/>
        <item x="54"/>
        <item x="22"/>
        <item x="50"/>
        <item x="23"/>
        <item x="7"/>
        <item x="24"/>
        <item x="25"/>
        <item x="26"/>
        <item x="27"/>
        <item x="28"/>
        <item x="29"/>
        <item x="30"/>
        <item x="31"/>
        <item x="55"/>
        <item x="8"/>
        <item x="32"/>
        <item x="33"/>
        <item x="51"/>
        <item x="56"/>
        <item x="34"/>
        <item x="35"/>
        <item x="57"/>
        <item x="36"/>
        <item x="37"/>
        <item x="38"/>
        <item x="39"/>
        <item x="40"/>
        <item x="41"/>
        <item x="42"/>
        <item x="43"/>
        <item x="3"/>
        <item x="44"/>
        <item x="45"/>
        <item x="46"/>
        <item x="47"/>
        <item x="48"/>
      </items>
    </pivotField>
    <pivotField axis="axisRow" compact="0" outline="0" subtotalTop="0" showAll="0" defaultSubtota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dataField="1" compact="0" outline="0" subtotalTop="0" showAll="0"/>
    <pivotField axis="axisRow" compact="0" outline="0" subtotalTop="0" showAll="0" defaultSubtotal="0">
      <items count="9">
        <item x="3"/>
        <item x="6"/>
        <item x="7"/>
        <item x="5"/>
        <item x="8"/>
        <item x="1"/>
        <item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/>
    <pivotField axis="axisRow" compact="0" outline="0" subtotalTop="0" showAll="0" defaultSubtotal="0">
      <items count="21">
        <item x="18"/>
        <item x="0"/>
        <item x="14"/>
        <item x="3"/>
        <item x="19"/>
        <item x="1"/>
        <item x="20"/>
        <item x="8"/>
        <item x="15"/>
        <item x="13"/>
        <item x="2"/>
        <item x="6"/>
        <item x="17"/>
        <item x="12"/>
        <item x="5"/>
        <item x="10"/>
        <item x="7"/>
        <item x="4"/>
        <item x="11"/>
        <item x="16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5"/>
    <field x="7"/>
    <field x="2"/>
    <field x="3"/>
  </rowFields>
  <rowItems count="94">
    <i>
      <x/>
      <x/>
      <x v="5"/>
      <x v="3"/>
      <x v="52"/>
      <x/>
    </i>
    <i r="3">
      <x v="5"/>
      <x v="1"/>
      <x/>
    </i>
    <i r="2">
      <x v="7"/>
      <x v="1"/>
      <x/>
      <x/>
    </i>
    <i r="2">
      <x v="8"/>
      <x v="10"/>
      <x v="2"/>
      <x/>
    </i>
    <i t="default">
      <x/>
    </i>
    <i>
      <x v="1"/>
      <x/>
      <x v="7"/>
      <x v="1"/>
      <x v="19"/>
      <x v="1"/>
    </i>
    <i t="default">
      <x v="1"/>
    </i>
    <i>
      <x v="2"/>
      <x/>
      <x/>
      <x v="17"/>
      <x v="4"/>
      <x v="2"/>
    </i>
    <i r="4">
      <x v="26"/>
      <x v="4"/>
    </i>
    <i r="4">
      <x v="36"/>
      <x/>
    </i>
    <i r="2">
      <x v="7"/>
      <x v="1"/>
      <x v="8"/>
      <x v="3"/>
    </i>
    <i r="4">
      <x v="36"/>
      <x/>
    </i>
    <i r="2">
      <x v="8"/>
      <x v="10"/>
      <x v="8"/>
      <x v="3"/>
    </i>
    <i r="4">
      <x v="36"/>
      <x/>
    </i>
    <i t="default">
      <x v="2"/>
    </i>
    <i>
      <x v="3"/>
      <x/>
      <x/>
      <x v="16"/>
      <x v="17"/>
      <x/>
    </i>
    <i r="2">
      <x v="5"/>
      <x v="11"/>
      <x v="13"/>
      <x/>
    </i>
    <i r="2">
      <x v="6"/>
      <x v="14"/>
      <x v="11"/>
      <x/>
    </i>
    <i t="default">
      <x v="3"/>
    </i>
    <i>
      <x v="4"/>
      <x/>
      <x/>
      <x v="15"/>
      <x v="23"/>
      <x v="7"/>
    </i>
    <i r="3">
      <x v="16"/>
      <x v="30"/>
      <x v="20"/>
    </i>
    <i r="4">
      <x v="31"/>
      <x v="7"/>
    </i>
    <i r="4">
      <x v="49"/>
      <x/>
    </i>
    <i r="3">
      <x v="17"/>
      <x v="5"/>
      <x v="6"/>
    </i>
    <i r="2">
      <x v="1"/>
      <x v="2"/>
      <x v="30"/>
      <x v="14"/>
    </i>
    <i r="4">
      <x v="31"/>
      <x v="14"/>
    </i>
    <i r="2">
      <x v="2"/>
      <x v="8"/>
      <x v="31"/>
      <x v="19"/>
    </i>
    <i r="4">
      <x v="33"/>
      <x v="22"/>
    </i>
    <i r="4">
      <x v="46"/>
      <x v="29"/>
    </i>
    <i r="4">
      <x v="50"/>
      <x v="32"/>
    </i>
    <i r="4">
      <x v="53"/>
      <x v="34"/>
    </i>
    <i r="4">
      <x v="55"/>
      <x v="36"/>
    </i>
    <i r="2">
      <x v="3"/>
      <x v="18"/>
      <x v="28"/>
      <x v="17"/>
    </i>
    <i r="4">
      <x v="32"/>
      <x v="21"/>
    </i>
    <i r="4">
      <x v="37"/>
      <x v="24"/>
    </i>
    <i r="4">
      <x v="41"/>
      <x v="26"/>
    </i>
    <i r="4">
      <x v="44"/>
      <x v="28"/>
    </i>
    <i r="4">
      <x v="47"/>
      <x v="30"/>
    </i>
    <i r="4">
      <x v="48"/>
      <x v="31"/>
    </i>
    <i r="4">
      <x v="51"/>
      <x v="33"/>
    </i>
    <i r="4">
      <x v="54"/>
      <x v="35"/>
    </i>
    <i r="4">
      <x v="56"/>
      <x v="37"/>
    </i>
    <i r="4">
      <x v="57"/>
      <x v="38"/>
    </i>
    <i r="2">
      <x v="4"/>
      <x v="19"/>
      <x v="44"/>
      <x v="28"/>
    </i>
    <i r="4">
      <x v="47"/>
      <x v="30"/>
    </i>
    <i r="4">
      <x v="48"/>
      <x v="31"/>
    </i>
    <i r="4">
      <x v="51"/>
      <x v="33"/>
    </i>
    <i r="4">
      <x v="54"/>
      <x v="35"/>
    </i>
    <i r="4">
      <x v="56"/>
      <x v="37"/>
    </i>
    <i r="4">
      <x v="57"/>
      <x v="38"/>
    </i>
    <i r="2">
      <x v="5"/>
      <x v="5"/>
      <x v="9"/>
      <x v="5"/>
    </i>
    <i r="3">
      <x v="20"/>
      <x v="6"/>
      <x v="7"/>
    </i>
    <i r="2">
      <x v="6"/>
      <x v="9"/>
      <x v="30"/>
      <x v="19"/>
    </i>
    <i r="4">
      <x v="31"/>
      <x v="19"/>
    </i>
    <i r="4">
      <x v="33"/>
      <x v="23"/>
    </i>
    <i r="4">
      <x v="38"/>
      <x v="25"/>
    </i>
    <i r="4">
      <x v="42"/>
      <x v="27"/>
    </i>
    <i r="4">
      <x v="45"/>
      <x v="29"/>
    </i>
    <i r="4">
      <x v="49"/>
      <x/>
    </i>
    <i r="2">
      <x v="7"/>
      <x v="1"/>
      <x v="7"/>
      <x v="8"/>
    </i>
    <i r="4">
      <x v="14"/>
      <x v="9"/>
    </i>
    <i r="4">
      <x v="16"/>
      <x v="10"/>
    </i>
    <i r="4">
      <x v="18"/>
      <x v="11"/>
    </i>
    <i r="4">
      <x v="20"/>
      <x v="12"/>
    </i>
    <i r="4">
      <x v="21"/>
      <x v="13"/>
    </i>
    <i r="4">
      <x v="25"/>
      <x v="15"/>
    </i>
    <i r="4">
      <x v="27"/>
      <x v="16"/>
    </i>
    <i r="4">
      <x v="29"/>
      <x v="18"/>
    </i>
    <i r="2">
      <x v="8"/>
      <x v="7"/>
      <x v="6"/>
      <x v="5"/>
    </i>
    <i r="3">
      <x v="10"/>
      <x v="3"/>
      <x v="5"/>
    </i>
    <i r="4">
      <x v="25"/>
      <x v="14"/>
    </i>
    <i r="4">
      <x v="34"/>
      <x v="14"/>
    </i>
    <i r="3">
      <x v="13"/>
      <x v="30"/>
      <x v="19"/>
    </i>
    <i r="4">
      <x v="31"/>
      <x v="19"/>
    </i>
    <i r="4">
      <x v="33"/>
      <x v="23"/>
    </i>
    <i r="4">
      <x v="38"/>
      <x v="25"/>
    </i>
    <i r="4">
      <x v="42"/>
      <x v="27"/>
    </i>
    <i r="4">
      <x v="45"/>
      <x v="29"/>
    </i>
    <i r="4">
      <x v="49"/>
      <x/>
    </i>
    <i t="default">
      <x v="4"/>
    </i>
    <i>
      <x v="5"/>
      <x/>
      <x/>
      <x v="15"/>
      <x v="15"/>
      <x v="40"/>
    </i>
    <i r="2">
      <x v="7"/>
      <x v="1"/>
      <x v="15"/>
      <x v="39"/>
    </i>
    <i r="4">
      <x v="24"/>
      <x v="41"/>
    </i>
    <i r="4">
      <x v="39"/>
      <x v="42"/>
    </i>
    <i r="2">
      <x v="8"/>
      <x v="10"/>
      <x v="15"/>
      <x v="39"/>
    </i>
    <i r="4">
      <x v="39"/>
      <x v="43"/>
    </i>
    <i t="default">
      <x v="5"/>
    </i>
    <i>
      <x v="6"/>
      <x/>
      <x/>
      <x v="4"/>
      <x v="22"/>
      <x v="46"/>
    </i>
    <i r="2">
      <x v="5"/>
      <x v="6"/>
      <x v="35"/>
      <x v="44"/>
    </i>
    <i r="2">
      <x v="6"/>
      <x v="12"/>
      <x v="10"/>
      <x v="44"/>
    </i>
    <i r="2">
      <x v="7"/>
      <x/>
      <x v="12"/>
      <x v="45"/>
    </i>
    <i r="4">
      <x v="40"/>
      <x v="44"/>
    </i>
    <i r="4">
      <x v="43"/>
      <x v="46"/>
    </i>
    <i t="default">
      <x v="6"/>
    </i>
  </rowItems>
  <colFields count="1">
    <field x="-2"/>
  </colFields>
  <colItems count="2">
    <i>
      <x/>
    </i>
    <i i="1">
      <x v="1"/>
    </i>
  </colItems>
  <dataFields count="2">
    <dataField name="**Total Driving Duration" fld="4" baseField="3" baseItem="0" numFmtId="171"/>
    <dataField name="**Total HOS Violations" fld="6" baseField="0" baseItem="0"/>
  </dataFields>
  <formats count="22">
    <format dxfId="43">
      <pivotArea dataOnly="0" labelOnly="1" grandRow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dataOnly="0" labelOnly="1" outline="0" axis="axisValues" fieldPosition="0"/>
    </format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outline="0" collapsedLevelsAreSubtotals="1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dataOnly="0" labelOnly="1" outline="0" fieldPosition="0">
        <references count="1">
          <reference field="2" count="0"/>
        </references>
      </pivotArea>
    </format>
    <format dxfId="29">
      <pivotArea dataOnly="0" labelOnly="1" outline="0" fieldPosition="0">
        <references count="1">
          <reference field="3" count="0"/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field="0" type="button" dataOnly="0" labelOnly="1" outline="0" axis="axisRow" fieldPosition="0"/>
    </format>
    <format dxfId="26">
      <pivotArea field="1" type="button" dataOnly="0" labelOnly="1" outline="0" axis="axisRow" fieldPosition="1"/>
    </format>
    <format dxfId="25">
      <pivotArea field="7" type="button" dataOnly="0" labelOnly="1" outline="0" axis="axisRow" fieldPosition="3"/>
    </format>
    <format dxfId="24">
      <pivotArea field="2" type="button" dataOnly="0" labelOnly="1" outline="0" axis="axisRow" fieldPosition="4"/>
    </format>
    <format dxfId="23">
      <pivotArea field="3" type="button" dataOnly="0" labelOnly="1" outline="0" axis="axisRow" fieldPosition="5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HOS Driver Logs" cacheId="8" applyNumberFormats="0" applyBorderFormats="0" applyFontFormats="0" applyPatternFormats="0" applyAlignmentFormats="0" applyWidthHeightFormats="1" dataCaption="Data" updatedVersion="7" minRefreshableVersion="3" showDrill="0" showMemberPropertyTips="0" itemPrintTitles="1" createdVersion="5" indent="0" compact="0" compactData="0" chartFormat="45">
  <location ref="A9:B31" firstHeaderRow="1" firstDataRow="1" firstDataCol="1"/>
  <pivotFields count="8">
    <pivotField compact="0" outline="0" subtotalTop="0" showAll="0"/>
    <pivotField compact="0" outline="0" subtotalTop="0" showAll="0"/>
    <pivotField compact="0" numFmtId="168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numFmtId="165" outline="0" subtotalTop="0" showAll="0"/>
    <pivotField axis="axisRow" compact="0" outline="0" subtotalTop="0" showAll="0" sortType="descending">
      <items count="22">
        <item x="18"/>
        <item x="0"/>
        <item x="14"/>
        <item x="3"/>
        <item x="19"/>
        <item x="1"/>
        <item x="20"/>
        <item x="8"/>
        <item x="15"/>
        <item x="13"/>
        <item x="2"/>
        <item x="6"/>
        <item x="17"/>
        <item x="12"/>
        <item x="5"/>
        <item x="10"/>
        <item x="7"/>
        <item x="4"/>
        <item x="11"/>
        <item x="1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22">
    <i>
      <x v="1"/>
    </i>
    <i>
      <x v="18"/>
    </i>
    <i>
      <x v="10"/>
    </i>
    <i>
      <x v="19"/>
    </i>
    <i>
      <x v="13"/>
    </i>
    <i>
      <x v="9"/>
    </i>
    <i>
      <x v="8"/>
    </i>
    <i>
      <x v="16"/>
    </i>
    <i>
      <x v="17"/>
    </i>
    <i>
      <x/>
    </i>
    <i>
      <x v="5"/>
    </i>
    <i>
      <x v="15"/>
    </i>
    <i>
      <x v="2"/>
    </i>
    <i>
      <x v="4"/>
    </i>
    <i>
      <x v="12"/>
    </i>
    <i>
      <x v="20"/>
    </i>
    <i>
      <x v="6"/>
    </i>
    <i>
      <x v="7"/>
    </i>
    <i>
      <x v="14"/>
    </i>
    <i>
      <x v="3"/>
    </i>
    <i>
      <x v="11"/>
    </i>
    <i t="grand">
      <x/>
    </i>
  </rowItems>
  <colItems count="1">
    <i/>
  </colItems>
  <dataFields count="1">
    <dataField name="**Total HOS Violations" fld="6" baseField="0" baseItem="0"/>
  </dataFields>
  <formats count="11">
    <format dxfId="21">
      <pivotArea dataOnly="0" labelOnly="1" grandRow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22">
    <chartFormat chart="44" format="1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6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4" format="170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44" format="17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44" format="172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44" format="173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44" format="174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44" format="175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44" format="176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44" format="177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44" format="17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4" format="17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4" format="180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44" format="18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4" format="18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4" format="183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44" format="185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4" format="186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4" format="187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44" format="18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4" format="189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44" format="190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</chart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HOS Driver Logs" cacheId="8" applyNumberFormats="0" applyBorderFormats="0" applyFontFormats="0" applyPatternFormats="0" applyAlignmentFormats="0" applyWidthHeightFormats="1" dataCaption="Data" updatedVersion="7" minRefreshableVersion="3" showDrill="0" showMemberPropertyTips="0" itemPrintTitles="1" createdVersion="5" indent="0" compact="0" compactData="0" chartFormat="49">
  <location ref="A10:B18" firstHeaderRow="1" firstDataRow="1" firstDataCol="1"/>
  <pivotFields count="8">
    <pivotField axis="axisRow" compact="0" outline="0" subtotalTop="0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compact="0" numFmtId="168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numFmtId="165" outline="0" subtotalTop="0" showAll="0"/>
    <pivotField compact="0" outline="0" subtotalTop="0" showAll="0"/>
  </pivotFields>
  <rowFields count="1">
    <field x="0"/>
  </rowFields>
  <rowItems count="8">
    <i>
      <x v="4"/>
    </i>
    <i>
      <x v="2"/>
    </i>
    <i>
      <x v="5"/>
    </i>
    <i>
      <x v="6"/>
    </i>
    <i>
      <x/>
    </i>
    <i>
      <x v="3"/>
    </i>
    <i>
      <x v="1"/>
    </i>
    <i t="grand">
      <x/>
    </i>
  </rowItems>
  <colItems count="1">
    <i/>
  </colItems>
  <dataFields count="1">
    <dataField name="**Total HOS Violations" fld="6" baseField="0" baseItem="0"/>
  </dataFields>
  <formats count="11"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48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hemeA">
  <a:themeElements>
    <a:clrScheme name="Geotab Brand Colors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showGridLines="0" workbookViewId="0">
      <pane ySplit="9" topLeftCell="A10" activePane="bottomLeft" state="frozen"/>
      <selection pane="bottomLeft" activeCell="F9" sqref="F9"/>
    </sheetView>
  </sheetViews>
  <sheetFormatPr defaultColWidth="8.85546875" defaultRowHeight="16.5" x14ac:dyDescent="0.3"/>
  <cols>
    <col min="1" max="2" width="25.7109375" style="6" customWidth="1"/>
    <col min="3" max="3" width="25.7109375" style="7" customWidth="1"/>
    <col min="4" max="4" width="25" style="7" bestFit="1" customWidth="1"/>
    <col min="5" max="5" width="22.42578125" style="7" bestFit="1" customWidth="1"/>
    <col min="6" max="6" width="11.28515625" style="7" customWidth="1"/>
    <col min="7" max="7" width="11.5703125" style="7" hidden="1" customWidth="1"/>
    <col min="8" max="8" width="69.140625" style="6" bestFit="1" customWidth="1"/>
    <col min="9" max="9" width="13.28515625" style="6" customWidth="1"/>
    <col min="10" max="10" width="13.140625" style="6" customWidth="1"/>
    <col min="11" max="11" width="13.28515625" style="6" customWidth="1"/>
    <col min="12" max="12" width="13.140625" style="6" customWidth="1"/>
    <col min="13" max="13" width="13.28515625" style="6" customWidth="1"/>
    <col min="14" max="14" width="13.140625" style="6" customWidth="1"/>
    <col min="15" max="15" width="13.28515625" style="6" customWidth="1"/>
    <col min="16" max="16" width="13.140625" style="6" customWidth="1"/>
    <col min="17" max="17" width="13.28515625" style="6" customWidth="1"/>
    <col min="18" max="18" width="13.140625" style="6" customWidth="1"/>
    <col min="19" max="16384" width="8.85546875" style="6"/>
  </cols>
  <sheetData>
    <row r="1" spans="1:8" s="11" customFormat="1" ht="25.5" customHeight="1" x14ac:dyDescent="0.45">
      <c r="A1" s="29" t="s">
        <v>170</v>
      </c>
      <c r="B1" s="10"/>
      <c r="C1" s="10"/>
      <c r="D1" s="12">
        <f>Data!B2</f>
        <v>44013.472850081016</v>
      </c>
    </row>
    <row r="2" spans="1:8" s="15" customFormat="1" ht="25.5" customHeight="1" x14ac:dyDescent="0.5">
      <c r="A2" s="13" t="str">
        <f>Data!B1</f>
        <v>ABC Company</v>
      </c>
      <c r="B2" s="14"/>
      <c r="C2" s="14"/>
    </row>
    <row r="3" spans="1:8" s="20" customFormat="1" ht="17.45" customHeight="1" x14ac:dyDescent="0.3">
      <c r="A3" s="18"/>
      <c r="B3" s="19"/>
      <c r="C3" s="19"/>
    </row>
    <row r="4" spans="1:8" s="16" customFormat="1" ht="17.45" customHeight="1" x14ac:dyDescent="0.3">
      <c r="A4" s="58" t="s">
        <v>45</v>
      </c>
      <c r="B4" s="59"/>
      <c r="D4" s="60" t="s">
        <v>173</v>
      </c>
      <c r="E4" s="61">
        <f>COUNTIF(G:G,1)</f>
        <v>87</v>
      </c>
    </row>
    <row r="5" spans="1:8" s="16" customFormat="1" ht="17.45" customHeight="1" x14ac:dyDescent="0.3">
      <c r="A5" s="31" t="s">
        <v>66</v>
      </c>
      <c r="B5" s="32">
        <f>Data!B3</f>
        <v>43983.472843807867</v>
      </c>
      <c r="D5" s="60"/>
      <c r="E5" s="61"/>
    </row>
    <row r="6" spans="1:8" s="16" customFormat="1" ht="17.45" customHeight="1" x14ac:dyDescent="0.3">
      <c r="A6" s="31" t="s">
        <v>75</v>
      </c>
      <c r="B6" s="32">
        <f>Data!B4</f>
        <v>44013.472843807867</v>
      </c>
    </row>
    <row r="7" spans="1:8" s="16" customFormat="1" ht="17.45" customHeight="1" x14ac:dyDescent="0.3">
      <c r="A7" s="31" t="s">
        <v>113</v>
      </c>
      <c r="B7" s="33">
        <f>B6-B5</f>
        <v>30</v>
      </c>
    </row>
    <row r="8" spans="1:8" s="20" customFormat="1" ht="17.45" customHeight="1" x14ac:dyDescent="0.3">
      <c r="A8" s="17"/>
      <c r="B8" s="36"/>
      <c r="C8" s="21"/>
      <c r="D8" s="17"/>
      <c r="E8" s="22"/>
    </row>
    <row r="9" spans="1:8" s="48" customFormat="1" ht="18" customHeight="1" x14ac:dyDescent="0.3">
      <c r="A9" s="48" t="s">
        <v>35</v>
      </c>
      <c r="B9" s="48" t="s">
        <v>169</v>
      </c>
      <c r="C9" s="48" t="s">
        <v>117</v>
      </c>
      <c r="D9" s="48" t="s">
        <v>126</v>
      </c>
      <c r="E9" s="48" t="s">
        <v>136</v>
      </c>
      <c r="F9" s="48" t="s">
        <v>116</v>
      </c>
      <c r="G9" s="48" t="s">
        <v>115</v>
      </c>
      <c r="H9" s="48" t="s">
        <v>114</v>
      </c>
    </row>
    <row r="10" spans="1:8" x14ac:dyDescent="0.3">
      <c r="A10" s="23" t="str">
        <f>Data!A10</f>
        <v>Driver A</v>
      </c>
      <c r="B10" s="23" t="str">
        <f>Data!C10</f>
        <v>Entire Organization</v>
      </c>
      <c r="C10" s="24">
        <f>Data!D10</f>
        <v>43103.844027777777</v>
      </c>
      <c r="D10" s="24" t="str">
        <f>IF(ISBLANK(Data!E10),"Ongoing",TEXT(Data!E10,"mmm DD, yyyy h:mm:ss AM/PM"))</f>
        <v>Ongoing</v>
      </c>
      <c r="E10" s="25">
        <f>Data!F10</f>
        <v>909.58714936342597</v>
      </c>
      <c r="F10" s="26" t="str">
        <f>Data!G10</f>
        <v>Rest</v>
      </c>
      <c r="G10" s="26">
        <f t="shared" ref="G10:G73" si="0">IF(NOT(ISBLANK(H10)),1,0)</f>
        <v>1</v>
      </c>
      <c r="H10" s="23" t="str">
        <f>Data!H10</f>
        <v>Driving after more than 8-hour rest limit violation</v>
      </c>
    </row>
    <row r="11" spans="1:8" x14ac:dyDescent="0.3">
      <c r="A11" s="23" t="str">
        <f>Data!A11</f>
        <v>Driver A</v>
      </c>
      <c r="B11" s="23" t="str">
        <f>Data!C11</f>
        <v>Entire Organization</v>
      </c>
      <c r="C11" s="24">
        <f>Data!D11</f>
        <v>43103.969027777777</v>
      </c>
      <c r="D11" s="24" t="str">
        <f>IF(ISBLANK(Data!E11),"Ongoing",TEXT(Data!E11,"mmm DD, yyyy h:mm:ss AM/PM"))</f>
        <v>Ongoing</v>
      </c>
      <c r="E11" s="25">
        <f>Data!F11</f>
        <v>909.46214936342597</v>
      </c>
      <c r="F11" s="26" t="str">
        <f>Data!G11</f>
        <v>Driving</v>
      </c>
      <c r="G11" s="26">
        <f t="shared" si="0"/>
        <v>1</v>
      </c>
      <c r="H11" s="23" t="str">
        <f>Data!H11</f>
        <v>Maximum 11-hour driving limit violation</v>
      </c>
    </row>
    <row r="12" spans="1:8" x14ac:dyDescent="0.3">
      <c r="A12" s="23" t="str">
        <f>Data!A12</f>
        <v>Driver A</v>
      </c>
      <c r="B12" s="23" t="str">
        <f>Data!C12</f>
        <v>Entire Organization</v>
      </c>
      <c r="C12" s="24">
        <f>Data!D12</f>
        <v>43104.094027777777</v>
      </c>
      <c r="D12" s="24" t="str">
        <f>IF(ISBLANK(Data!E12),"Ongoing",TEXT(Data!E12,"mmm DD, yyyy h:mm:ss AM/PM"))</f>
        <v>Ongoing</v>
      </c>
      <c r="E12" s="25">
        <f>Data!F12</f>
        <v>909.33714936342597</v>
      </c>
      <c r="F12" s="26" t="str">
        <f>Data!G12</f>
        <v>Workday</v>
      </c>
      <c r="G12" s="26">
        <f t="shared" si="0"/>
        <v>1</v>
      </c>
      <c r="H12" s="23" t="str">
        <f>Data!H12</f>
        <v>Maximum 14-hour workday limit violation</v>
      </c>
    </row>
    <row r="13" spans="1:8" x14ac:dyDescent="0.3">
      <c r="A13" s="23" t="str">
        <f>Data!A13</f>
        <v>Driver A</v>
      </c>
      <c r="B13" s="23" t="str">
        <f>Data!C13</f>
        <v>Entire Organization</v>
      </c>
      <c r="C13" s="24">
        <f>Data!D13</f>
        <v>44009.416666666664</v>
      </c>
      <c r="D13" s="24" t="str">
        <f>IF(ISBLANK(Data!E13),"Ongoing",TEXT(Data!E13,"mmm DD, yyyy h:mm:ss AM/PM"))</f>
        <v>Ongoing</v>
      </c>
      <c r="E13" s="25">
        <f>Data!F13</f>
        <v>23.487493263888901</v>
      </c>
      <c r="F13" s="26" t="str">
        <f>Data!G13</f>
        <v>Driving</v>
      </c>
      <c r="G13" s="26">
        <f t="shared" si="0"/>
        <v>1</v>
      </c>
      <c r="H13" s="23" t="str">
        <f>Data!H13</f>
        <v>Maximum 11 hour driving limit violation</v>
      </c>
    </row>
    <row r="14" spans="1:8" x14ac:dyDescent="0.3">
      <c r="A14" s="23" t="str">
        <f>Data!A14</f>
        <v>Driver B</v>
      </c>
      <c r="B14" s="23" t="str">
        <f>Data!C14</f>
        <v>Entire Organization</v>
      </c>
      <c r="C14" s="24">
        <f>Data!D14</f>
        <v>43988.673386145834</v>
      </c>
      <c r="D14" s="24" t="str">
        <f>IF(ISBLANK(Data!E14),"Ongoing",TEXT(Data!E14,"mmm DD, yyyy h:mm:ss AM/PM"))</f>
        <v>Jun 08, 2020 8:22:27 AM</v>
      </c>
      <c r="E14" s="25">
        <f>Data!F14</f>
        <v>4.1075081018518519E-2</v>
      </c>
      <c r="F14" s="26" t="str">
        <f>Data!G14</f>
        <v>Rest</v>
      </c>
      <c r="G14" s="26">
        <f t="shared" si="0"/>
        <v>1</v>
      </c>
      <c r="H14" s="23" t="str">
        <f>Data!H14</f>
        <v>Driving after more than 8-hour rest limit violation</v>
      </c>
    </row>
    <row r="15" spans="1:8" x14ac:dyDescent="0.3">
      <c r="A15" s="23" t="str">
        <f>Data!A15</f>
        <v>Driver C</v>
      </c>
      <c r="B15" s="23" t="str">
        <f>Data!C15</f>
        <v>Entire Organization</v>
      </c>
      <c r="C15" s="24">
        <f>Data!D15</f>
        <v>43968.657188229168</v>
      </c>
      <c r="D15" s="24" t="str">
        <f>IF(ISBLANK(Data!E15),"Ongoing",TEXT(Data!E15,"mmm DD, yyyy h:mm:ss AM/PM"))</f>
        <v>Jun 04, 2020 8:32:44 AM</v>
      </c>
      <c r="E15" s="25">
        <f>Data!F15</f>
        <v>4.9925555555555556E-2</v>
      </c>
      <c r="F15" s="26" t="str">
        <f>Data!G15</f>
        <v>Cycle</v>
      </c>
      <c r="G15" s="26">
        <f t="shared" si="0"/>
        <v>1</v>
      </c>
      <c r="H15" s="23" t="str">
        <f>Data!H15</f>
        <v>Maximum 70 hour(s) on duty in 8 days violation</v>
      </c>
    </row>
    <row r="16" spans="1:8" x14ac:dyDescent="0.3">
      <c r="A16" s="23" t="str">
        <f>Data!A16</f>
        <v>Driver C</v>
      </c>
      <c r="B16" s="23" t="str">
        <f>Data!C16</f>
        <v>Entire Organization</v>
      </c>
      <c r="C16" s="24">
        <f>Data!D16</f>
        <v>43980.528671296299</v>
      </c>
      <c r="D16" s="24" t="str">
        <f>IF(ISBLANK(Data!E16),"Ongoing",TEXT(Data!E16,"mmm DD, yyyy h:mm:ss AM/PM"))</f>
        <v>Jun 02, 2020 6:30:00 PM</v>
      </c>
      <c r="E16" s="25">
        <f>Data!F16</f>
        <v>2.4191516203703703E-2</v>
      </c>
      <c r="F16" s="26" t="str">
        <f>Data!G16</f>
        <v>Workday</v>
      </c>
      <c r="G16" s="26">
        <f t="shared" si="0"/>
        <v>1</v>
      </c>
      <c r="H16" s="23" t="str">
        <f>Data!H16</f>
        <v>Maximum 14-hour workday limit violation</v>
      </c>
    </row>
    <row r="17" spans="1:8" x14ac:dyDescent="0.3">
      <c r="A17" s="23" t="str">
        <f>Data!A17</f>
        <v>Driver C</v>
      </c>
      <c r="B17" s="23" t="str">
        <f>Data!C17</f>
        <v>Entire Organization</v>
      </c>
      <c r="C17" s="24">
        <f>Data!D17</f>
        <v>43980.528671296299</v>
      </c>
      <c r="D17" s="24" t="str">
        <f>IF(ISBLANK(Data!E17),"Ongoing",TEXT(Data!E17,"mmm DD, yyyy h:mm:ss AM/PM"))</f>
        <v>Jun 02, 2020 6:30:00 PM</v>
      </c>
      <c r="E17" s="25">
        <f>Data!F17</f>
        <v>2.4191516203703703E-2</v>
      </c>
      <c r="F17" s="26" t="str">
        <f>Data!G17</f>
        <v>Rest</v>
      </c>
      <c r="G17" s="26">
        <f t="shared" si="0"/>
        <v>1</v>
      </c>
      <c r="H17" s="23" t="str">
        <f>Data!H17</f>
        <v>Driving after more than 8-hour rest limit violation</v>
      </c>
    </row>
    <row r="18" spans="1:8" x14ac:dyDescent="0.3">
      <c r="A18" s="23" t="str">
        <f>Data!A18</f>
        <v>Driver C</v>
      </c>
      <c r="B18" s="23" t="str">
        <f>Data!C18</f>
        <v>Entire Organization</v>
      </c>
      <c r="C18" s="24">
        <f>Data!D18</f>
        <v>43993.7676627662</v>
      </c>
      <c r="D18" s="24" t="str">
        <f>IF(ISBLANK(Data!E18),"Ongoing",TEXT(Data!E18,"mmm DD, yyyy h:mm:ss AM/PM"))</f>
        <v>Jun 12, 2020 12:26:44 AM</v>
      </c>
      <c r="E18" s="25">
        <f>Data!F18</f>
        <v>1.3443750000000001E-3</v>
      </c>
      <c r="F18" s="26" t="str">
        <f>Data!G18</f>
        <v>Cycle</v>
      </c>
      <c r="G18" s="26">
        <f t="shared" si="0"/>
        <v>1</v>
      </c>
      <c r="H18" s="23" t="str">
        <f>Data!H18</f>
        <v>Maximum 70 hour(s) on duty in 8 days violation</v>
      </c>
    </row>
    <row r="19" spans="1:8" x14ac:dyDescent="0.3">
      <c r="A19" s="23" t="str">
        <f>Data!A19</f>
        <v>Driver C</v>
      </c>
      <c r="B19" s="23" t="str">
        <f>Data!C19</f>
        <v>Entire Organization</v>
      </c>
      <c r="C19" s="24">
        <f>Data!D19</f>
        <v>44000.679259988428</v>
      </c>
      <c r="D19" s="24" t="str">
        <f>IF(ISBLANK(Data!E19),"Ongoing",TEXT(Data!E19,"mmm DD, yyyy h:mm:ss AM/PM"))</f>
        <v>Ongoing</v>
      </c>
      <c r="E19" s="25">
        <f>Data!F19</f>
        <v>5.7834444444444445E-2</v>
      </c>
      <c r="F19" s="26" t="str">
        <f>Data!G19</f>
        <v>Cycle</v>
      </c>
      <c r="G19" s="26">
        <f t="shared" si="0"/>
        <v>1</v>
      </c>
      <c r="H19" s="23" t="str">
        <f>Data!H19</f>
        <v>Maximum 70 hour(s) on duty in 8 days violation</v>
      </c>
    </row>
    <row r="20" spans="1:8" x14ac:dyDescent="0.3">
      <c r="A20" s="23" t="str">
        <f>Data!A20</f>
        <v>Driver C</v>
      </c>
      <c r="B20" s="23" t="str">
        <f>Data!C20</f>
        <v>Entire Organization</v>
      </c>
      <c r="C20" s="24">
        <f>Data!D20</f>
        <v>44000.679259988428</v>
      </c>
      <c r="D20" s="24" t="str">
        <f>IF(ISBLANK(Data!E20),"Ongoing",TEXT(Data!E20,"mmm DD, yyyy h:mm:ss AM/PM"))</f>
        <v>Ongoing</v>
      </c>
      <c r="E20" s="25">
        <f>Data!F20</f>
        <v>5.7834444444444445E-2</v>
      </c>
      <c r="F20" s="26" t="str">
        <f>Data!G20</f>
        <v>Workday</v>
      </c>
      <c r="G20" s="26">
        <f t="shared" si="0"/>
        <v>1</v>
      </c>
      <c r="H20" s="23" t="str">
        <f>Data!H20</f>
        <v>Maximum 14-hour workday limit violation</v>
      </c>
    </row>
    <row r="21" spans="1:8" x14ac:dyDescent="0.3">
      <c r="A21" s="23" t="str">
        <f>Data!A21</f>
        <v>Driver C</v>
      </c>
      <c r="B21" s="23" t="str">
        <f>Data!C21</f>
        <v>Entire Organization</v>
      </c>
      <c r="C21" s="24">
        <f>Data!D21</f>
        <v>44000.679259988428</v>
      </c>
      <c r="D21" s="24" t="str">
        <f>IF(ISBLANK(Data!E21),"Ongoing",TEXT(Data!E21,"mmm DD, yyyy h:mm:ss AM/PM"))</f>
        <v>Ongoing</v>
      </c>
      <c r="E21" s="25">
        <f>Data!F21</f>
        <v>5.7834444444444445E-2</v>
      </c>
      <c r="F21" s="26" t="str">
        <f>Data!G21</f>
        <v>Rest</v>
      </c>
      <c r="G21" s="26">
        <f t="shared" si="0"/>
        <v>1</v>
      </c>
      <c r="H21" s="23" t="str">
        <f>Data!H21</f>
        <v>Driving after more than 8-hour rest limit violation</v>
      </c>
    </row>
    <row r="22" spans="1:8" x14ac:dyDescent="0.3">
      <c r="A22" s="23" t="str">
        <f>Data!A22</f>
        <v>Driver D</v>
      </c>
      <c r="B22" s="23" t="str">
        <f>Data!C22</f>
        <v>Entire Organization</v>
      </c>
      <c r="C22" s="24">
        <f>Data!D22</f>
        <v>43985.577641932869</v>
      </c>
      <c r="D22" s="24" t="str">
        <f>IF(ISBLANK(Data!E22),"Ongoing",TEXT(Data!E22,"mmm DD, yyyy h:mm:ss AM/PM"))</f>
        <v>Ongoing</v>
      </c>
      <c r="E22" s="25">
        <f>Data!F22</f>
        <v>6.4267093518518514</v>
      </c>
      <c r="F22" s="26" t="str">
        <f>Data!G22</f>
        <v>Duty</v>
      </c>
      <c r="G22" s="26">
        <f t="shared" si="0"/>
        <v>1</v>
      </c>
      <c r="H22" s="23" t="str">
        <f>Data!H22</f>
        <v>Maximum 20-hour on-duty limit violation</v>
      </c>
    </row>
    <row r="23" spans="1:8" x14ac:dyDescent="0.3">
      <c r="A23" s="23" t="str">
        <f>Data!A23</f>
        <v>Driver D</v>
      </c>
      <c r="B23" s="23" t="str">
        <f>Data!C23</f>
        <v>Entire Organization</v>
      </c>
      <c r="C23" s="24">
        <f>Data!D23</f>
        <v>43986.202641932869</v>
      </c>
      <c r="D23" s="24" t="str">
        <f>IF(ISBLANK(Data!E23),"Ongoing",TEXT(Data!E23,"mmm DD, yyyy h:mm:ss AM/PM"))</f>
        <v>Ongoing</v>
      </c>
      <c r="E23" s="25">
        <f>Data!F23</f>
        <v>5.8017093518518514</v>
      </c>
      <c r="F23" s="26" t="str">
        <f>Data!G23</f>
        <v>Driving</v>
      </c>
      <c r="G23" s="26">
        <f t="shared" si="0"/>
        <v>1</v>
      </c>
      <c r="H23" s="23" t="str">
        <f>Data!H23</f>
        <v>Maximum 15-hour driving limit violation</v>
      </c>
    </row>
    <row r="24" spans="1:8" x14ac:dyDescent="0.3">
      <c r="A24" s="23" t="str">
        <f>Data!A24</f>
        <v>Driver D</v>
      </c>
      <c r="B24" s="23" t="str">
        <f>Data!C24</f>
        <v>Entire Organization</v>
      </c>
      <c r="C24" s="24">
        <f>Data!D24</f>
        <v>43987.916666666664</v>
      </c>
      <c r="D24" s="24" t="str">
        <f>IF(ISBLANK(Data!E24),"Ongoing",TEXT(Data!E24,"mmm DD, yyyy h:mm:ss AM/PM"))</f>
        <v>Ongoing</v>
      </c>
      <c r="E24" s="25">
        <f>Data!F24</f>
        <v>4.0876846180555555</v>
      </c>
      <c r="F24" s="26" t="str">
        <f>Data!G24</f>
        <v>Cycle</v>
      </c>
      <c r="G24" s="26">
        <f t="shared" si="0"/>
        <v>1</v>
      </c>
      <c r="H24" s="23" t="str">
        <f>Data!H24</f>
        <v>Maximum 70 hour(s) on duty in 7 days violation</v>
      </c>
    </row>
    <row r="25" spans="1:8" x14ac:dyDescent="0.3">
      <c r="A25" s="23" t="str">
        <f>Data!A25</f>
        <v>Driver E</v>
      </c>
      <c r="B25" s="23" t="str">
        <f>Data!C25</f>
        <v>Entire Organization</v>
      </c>
      <c r="C25" s="24">
        <f>Data!D25</f>
        <v>43968.272205821762</v>
      </c>
      <c r="D25" s="24" t="str">
        <f>IF(ISBLANK(Data!E25),"Ongoing",TEXT(Data!E25,"mmm DD, yyyy h:mm:ss AM/PM"))</f>
        <v>Jun 09, 2020 1:36:07 PM</v>
      </c>
      <c r="E25" s="25">
        <f>Data!F25</f>
        <v>0.64842271990740741</v>
      </c>
      <c r="F25" s="26" t="str">
        <f>Data!G25</f>
        <v>Workday</v>
      </c>
      <c r="G25" s="26">
        <f t="shared" si="0"/>
        <v>1</v>
      </c>
      <c r="H25" s="23" t="str">
        <f>Data!H25</f>
        <v>Maximum 14-hour workday limit violation</v>
      </c>
    </row>
    <row r="26" spans="1:8" x14ac:dyDescent="0.3">
      <c r="A26" s="23" t="str">
        <f>Data!A26</f>
        <v>Driver E</v>
      </c>
      <c r="B26" s="23" t="str">
        <f>Data!C26</f>
        <v>Entire Organization</v>
      </c>
      <c r="C26" s="24">
        <f>Data!D26</f>
        <v>43970.702110266204</v>
      </c>
      <c r="D26" s="24" t="str">
        <f>IF(ISBLANK(Data!E26),"Ongoing",TEXT(Data!E26,"mmm DD, yyyy h:mm:ss AM/PM"))</f>
        <v>Jun 19, 2020 8:51:34 PM</v>
      </c>
      <c r="E26" s="25">
        <f>Data!F26</f>
        <v>0.61055916666666665</v>
      </c>
      <c r="F26" s="26" t="str">
        <f>Data!G26</f>
        <v>Cycle</v>
      </c>
      <c r="G26" s="26">
        <f t="shared" si="0"/>
        <v>1</v>
      </c>
      <c r="H26" s="23" t="str">
        <f>Data!H26</f>
        <v>Maximum 70 hour(s) on duty in 8 days violation</v>
      </c>
    </row>
    <row r="27" spans="1:8" x14ac:dyDescent="0.3">
      <c r="A27" s="23" t="str">
        <f>Data!A27</f>
        <v>Driver E</v>
      </c>
      <c r="B27" s="23" t="str">
        <f>Data!C27</f>
        <v>Entire Organization</v>
      </c>
      <c r="C27" s="24">
        <f>Data!D27</f>
        <v>43972.823434027778</v>
      </c>
      <c r="D27" s="24" t="str">
        <f>IF(ISBLANK(Data!E27),"Ongoing",TEXT(Data!E27,"mmm DD, yyyy h:mm:ss AM/PM"))</f>
        <v>Jun 09, 2020 1:36:07 PM</v>
      </c>
      <c r="E27" s="25">
        <f>Data!F27</f>
        <v>0.15602123842592591</v>
      </c>
      <c r="F27" s="26" t="str">
        <f>Data!G27</f>
        <v>Workday</v>
      </c>
      <c r="G27" s="26">
        <f t="shared" si="0"/>
        <v>1</v>
      </c>
      <c r="H27" s="23" t="str">
        <f>Data!H27</f>
        <v>Maximum 12-hour workday limit violation</v>
      </c>
    </row>
    <row r="28" spans="1:8" x14ac:dyDescent="0.3">
      <c r="A28" s="23" t="str">
        <f>Data!A28</f>
        <v>Driver E</v>
      </c>
      <c r="B28" s="23" t="str">
        <f>Data!C28</f>
        <v>Entire Organization</v>
      </c>
      <c r="C28" s="24">
        <f>Data!D28</f>
        <v>43972.823434027778</v>
      </c>
      <c r="D28" s="24" t="str">
        <f>IF(ISBLANK(Data!E28),"Ongoing",TEXT(Data!E28,"mmm DD, yyyy h:mm:ss AM/PM"))</f>
        <v>Jun 18, 2020 8:00:00 PM</v>
      </c>
      <c r="E28" s="25">
        <f>Data!F28</f>
        <v>2.4784131944444399E-2</v>
      </c>
      <c r="F28" s="26" t="str">
        <f>Data!G28</f>
        <v>Driving</v>
      </c>
      <c r="G28" s="26">
        <f t="shared" si="0"/>
        <v>1</v>
      </c>
      <c r="H28" s="23" t="str">
        <f>Data!H28</f>
        <v>Maximum 13 hour driving limit violation</v>
      </c>
    </row>
    <row r="29" spans="1:8" x14ac:dyDescent="0.3">
      <c r="A29" s="23" t="str">
        <f>Data!A29</f>
        <v>Driver E</v>
      </c>
      <c r="B29" s="23" t="str">
        <f>Data!C29</f>
        <v>Entire Organization</v>
      </c>
      <c r="C29" s="24">
        <f>Data!D29</f>
        <v>43979.277216203707</v>
      </c>
      <c r="D29" s="24" t="str">
        <f>IF(ISBLANK(Data!E29),"Ongoing",TEXT(Data!E29,"mmm DD, yyyy h:mm:ss AM/PM"))</f>
        <v>Jun 03, 2020 9:12:23 AM</v>
      </c>
      <c r="E29" s="25">
        <f>Data!F29</f>
        <v>0.26425274305555557</v>
      </c>
      <c r="F29" s="26" t="str">
        <f>Data!G29</f>
        <v>Rest</v>
      </c>
      <c r="G29" s="26">
        <f t="shared" si="0"/>
        <v>1</v>
      </c>
      <c r="H29" s="23" t="str">
        <f>Data!H29</f>
        <v>Driving after more than 8-hour rest limit violation</v>
      </c>
    </row>
    <row r="30" spans="1:8" x14ac:dyDescent="0.3">
      <c r="A30" s="23" t="str">
        <f>Data!A30</f>
        <v>Driver E</v>
      </c>
      <c r="B30" s="23" t="str">
        <f>Data!C30</f>
        <v>Entire Organization</v>
      </c>
      <c r="C30" s="24">
        <f>Data!D30</f>
        <v>43981.624506631946</v>
      </c>
      <c r="D30" s="24" t="str">
        <f>IF(ISBLANK(Data!E30),"Ongoing",TEXT(Data!E30,"mmm DD, yyyy h:mm:ss AM/PM"))</f>
        <v>Jun 09, 2020 1:36:07 PM</v>
      </c>
      <c r="E30" s="25">
        <f>Data!F30</f>
        <v>0.42485240740740743</v>
      </c>
      <c r="F30" s="26" t="str">
        <f>Data!G30</f>
        <v>Driving</v>
      </c>
      <c r="G30" s="26">
        <f t="shared" si="0"/>
        <v>1</v>
      </c>
      <c r="H30" s="23" t="str">
        <f>Data!H30</f>
        <v>Maximum 11-hour driving limit violation</v>
      </c>
    </row>
    <row r="31" spans="1:8" x14ac:dyDescent="0.3">
      <c r="A31" s="23" t="str">
        <f>Data!A31</f>
        <v>Driver E</v>
      </c>
      <c r="B31" s="23" t="str">
        <f>Data!C31</f>
        <v>Entire Organization</v>
      </c>
      <c r="C31" s="24">
        <f>Data!D31</f>
        <v>43986.240710682869</v>
      </c>
      <c r="D31" s="24" t="str">
        <f>IF(ISBLANK(Data!E31),"Ongoing",TEXT(Data!E31,"mmm DD, yyyy h:mm:ss AM/PM"))</f>
        <v>Jun 04, 2020 2:21:21 PM</v>
      </c>
      <c r="E31" s="25">
        <f>Data!F31</f>
        <v>2.9982569444444444E-2</v>
      </c>
      <c r="F31" s="26" t="str">
        <f>Data!G31</f>
        <v>Rest</v>
      </c>
      <c r="G31" s="26">
        <f t="shared" si="0"/>
        <v>1</v>
      </c>
      <c r="H31" s="23" t="str">
        <f>Data!H31</f>
        <v>Driving after more than 8-hour rest limit violation</v>
      </c>
    </row>
    <row r="32" spans="1:8" x14ac:dyDescent="0.3">
      <c r="A32" s="23" t="str">
        <f>Data!A32</f>
        <v>Driver E</v>
      </c>
      <c r="B32" s="23" t="str">
        <f>Data!C32</f>
        <v>Entire Organization</v>
      </c>
      <c r="C32" s="24">
        <f>Data!D32</f>
        <v>43987.235603553243</v>
      </c>
      <c r="D32" s="24" t="str">
        <f>IF(ISBLANK(Data!E32),"Ongoing",TEXT(Data!E32,"mmm DD, yyyy h:mm:ss AM/PM"))</f>
        <v>Jun 05, 2020 8:42:01 AM</v>
      </c>
      <c r="E32" s="25">
        <f>Data!F32</f>
        <v>3.3745324074074073E-2</v>
      </c>
      <c r="F32" s="26" t="str">
        <f>Data!G32</f>
        <v>Rest</v>
      </c>
      <c r="G32" s="26">
        <f t="shared" si="0"/>
        <v>1</v>
      </c>
      <c r="H32" s="23" t="str">
        <f>Data!H32</f>
        <v>Driving after more than 8-hour rest limit violation</v>
      </c>
    </row>
    <row r="33" spans="1:8" x14ac:dyDescent="0.3">
      <c r="A33" s="23" t="str">
        <f>Data!A33</f>
        <v>Driver E</v>
      </c>
      <c r="B33" s="23" t="str">
        <f>Data!C33</f>
        <v>Entire Organization</v>
      </c>
      <c r="C33" s="24">
        <f>Data!D33</f>
        <v>43988.268035532405</v>
      </c>
      <c r="D33" s="24" t="str">
        <f>IF(ISBLANK(Data!E33),"Ongoing",TEXT(Data!E33,"mmm DD, yyyy h:mm:ss AM/PM"))</f>
        <v>Jun 06, 2020 12:27:23 PM</v>
      </c>
      <c r="E33" s="25">
        <f>Data!F33</f>
        <v>2.5740393518518517E-3</v>
      </c>
      <c r="F33" s="26" t="str">
        <f>Data!G33</f>
        <v>Rest</v>
      </c>
      <c r="G33" s="26">
        <f t="shared" si="0"/>
        <v>1</v>
      </c>
      <c r="H33" s="23" t="str">
        <f>Data!H33</f>
        <v>Driving after more than 8-hour rest limit violation</v>
      </c>
    </row>
    <row r="34" spans="1:8" x14ac:dyDescent="0.3">
      <c r="A34" s="23" t="str">
        <f>Data!A34</f>
        <v>Driver E</v>
      </c>
      <c r="B34" s="23" t="str">
        <f>Data!C34</f>
        <v>Entire Organization</v>
      </c>
      <c r="C34" s="24">
        <f>Data!D34</f>
        <v>43989.275412118055</v>
      </c>
      <c r="D34" s="24" t="str">
        <f>IF(ISBLANK(Data!E34),"Ongoing",TEXT(Data!E34,"mmm DD, yyyy h:mm:ss AM/PM"))</f>
        <v>Jun 07, 2020 8:19:57 AM</v>
      </c>
      <c r="E34" s="25">
        <f>Data!F34</f>
        <v>5.6353009259259255E-3</v>
      </c>
      <c r="F34" s="26" t="str">
        <f>Data!G34</f>
        <v>Rest</v>
      </c>
      <c r="G34" s="26">
        <f t="shared" si="0"/>
        <v>1</v>
      </c>
      <c r="H34" s="23" t="str">
        <f>Data!H34</f>
        <v>Driving after more than 8-hour rest limit violation</v>
      </c>
    </row>
    <row r="35" spans="1:8" x14ac:dyDescent="0.3">
      <c r="A35" s="23" t="str">
        <f>Data!A35</f>
        <v>Driver E</v>
      </c>
      <c r="B35" s="23" t="str">
        <f>Data!C35</f>
        <v>Entire Organization</v>
      </c>
      <c r="C35" s="24">
        <f>Data!D35</f>
        <v>43990.245291747684</v>
      </c>
      <c r="D35" s="24" t="str">
        <f>IF(ISBLANK(Data!E35),"Ongoing",TEXT(Data!E35,"mmm DD, yyyy h:mm:ss AM/PM"))</f>
        <v>Jun 09, 2020 10:12:10 AM</v>
      </c>
      <c r="E35" s="25">
        <f>Data!F35</f>
        <v>6.1551006944444445E-2</v>
      </c>
      <c r="F35" s="26" t="str">
        <f>Data!G35</f>
        <v>Rest</v>
      </c>
      <c r="G35" s="26">
        <f t="shared" si="0"/>
        <v>1</v>
      </c>
      <c r="H35" s="23" t="str">
        <f>Data!H35</f>
        <v>Driving after more than 8-hour rest limit violation</v>
      </c>
    </row>
    <row r="36" spans="1:8" x14ac:dyDescent="0.3">
      <c r="A36" s="23" t="str">
        <f>Data!A36</f>
        <v>Driver E</v>
      </c>
      <c r="B36" s="23" t="str">
        <f>Data!C36</f>
        <v>Entire Organization</v>
      </c>
      <c r="C36" s="24">
        <f>Data!D36</f>
        <v>43992.335231747682</v>
      </c>
      <c r="D36" s="24" t="str">
        <f>IF(ISBLANK(Data!E36),"Ongoing",TEXT(Data!E36,"mmm DD, yyyy h:mm:ss AM/PM"))</f>
        <v>Jun 18, 2020 8:00:00 PM</v>
      </c>
      <c r="E36" s="25">
        <f>Data!F36</f>
        <v>0.19488093749999999</v>
      </c>
      <c r="F36" s="26" t="str">
        <f>Data!G36</f>
        <v>Cycle</v>
      </c>
      <c r="G36" s="26">
        <f t="shared" si="0"/>
        <v>1</v>
      </c>
      <c r="H36" s="23" t="str">
        <f>Data!H36</f>
        <v>Maximum 60 hour(s) on duty in 7 days violation</v>
      </c>
    </row>
    <row r="37" spans="1:8" x14ac:dyDescent="0.3">
      <c r="A37" s="23" t="str">
        <f>Data!A37</f>
        <v>Driver E</v>
      </c>
      <c r="B37" s="23" t="str">
        <f>Data!C37</f>
        <v>Entire Organization</v>
      </c>
      <c r="C37" s="24">
        <f>Data!D37</f>
        <v>43993.290058877312</v>
      </c>
      <c r="D37" s="24" t="str">
        <f>IF(ISBLANK(Data!E37),"Ongoing",TEXT(Data!E37,"mmm DD, yyyy h:mm:ss AM/PM"))</f>
        <v>Jun 16, 2020 7:37:41 AM</v>
      </c>
      <c r="E37" s="25">
        <f>Data!F37</f>
        <v>0.15857248842592592</v>
      </c>
      <c r="F37" s="26" t="str">
        <f>Data!G37</f>
        <v>Workday</v>
      </c>
      <c r="G37" s="26">
        <f t="shared" si="0"/>
        <v>1</v>
      </c>
      <c r="H37" s="23" t="str">
        <f>Data!H37</f>
        <v>Maximum 14-hour workday limit violation</v>
      </c>
    </row>
    <row r="38" spans="1:8" x14ac:dyDescent="0.3">
      <c r="A38" s="23" t="str">
        <f>Data!A38</f>
        <v>Driver E</v>
      </c>
      <c r="B38" s="23" t="str">
        <f>Data!C38</f>
        <v>Entire Organization</v>
      </c>
      <c r="C38" s="24">
        <f>Data!D38</f>
        <v>43993.290058877312</v>
      </c>
      <c r="D38" s="24" t="str">
        <f>IF(ISBLANK(Data!E38),"Ongoing",TEXT(Data!E38,"mmm DD, yyyy h:mm:ss AM/PM"))</f>
        <v>Jun 11, 2020 11:30:20 AM</v>
      </c>
      <c r="E38" s="25">
        <f>Data!F38</f>
        <v>1.4845833333333334E-2</v>
      </c>
      <c r="F38" s="26" t="str">
        <f>Data!G38</f>
        <v>Rest</v>
      </c>
      <c r="G38" s="26">
        <f t="shared" si="0"/>
        <v>1</v>
      </c>
      <c r="H38" s="23" t="str">
        <f>Data!H38</f>
        <v>Driving after more than 8-hour rest limit violation</v>
      </c>
    </row>
    <row r="39" spans="1:8" x14ac:dyDescent="0.3">
      <c r="A39" s="23" t="str">
        <f>Data!A39</f>
        <v>Driver E</v>
      </c>
      <c r="B39" s="23" t="str">
        <f>Data!C39</f>
        <v>Entire Organization</v>
      </c>
      <c r="C39" s="24">
        <f>Data!D39</f>
        <v>43994.228747372683</v>
      </c>
      <c r="D39" s="24" t="str">
        <f>IF(ISBLANK(Data!E39),"Ongoing",TEXT(Data!E39,"mmm DD, yyyy h:mm:ss AM/PM"))</f>
        <v>Jun 12, 2020 1:29:39 PM</v>
      </c>
      <c r="E39" s="25">
        <f>Data!F39</f>
        <v>3.3653587962962965E-2</v>
      </c>
      <c r="F39" s="26" t="str">
        <f>Data!G39</f>
        <v>Rest</v>
      </c>
      <c r="G39" s="26">
        <f t="shared" si="0"/>
        <v>1</v>
      </c>
      <c r="H39" s="23" t="str">
        <f>Data!H39</f>
        <v>Driving after more than 8-hour rest limit violation</v>
      </c>
    </row>
    <row r="40" spans="1:8" x14ac:dyDescent="0.3">
      <c r="A40" s="23" t="str">
        <f>Data!A40</f>
        <v>Driver E</v>
      </c>
      <c r="B40" s="23" t="str">
        <f>Data!C40</f>
        <v>Entire Organization</v>
      </c>
      <c r="C40" s="24">
        <f>Data!D40</f>
        <v>43995</v>
      </c>
      <c r="D40" s="24" t="str">
        <f>IF(ISBLANK(Data!E40),"Ongoing",TEXT(Data!E40,"mmm DD, yyyy h:mm:ss AM/PM"))</f>
        <v>Jun 13, 2020 11:59:59 PM</v>
      </c>
      <c r="E40" s="25">
        <f>Data!F40</f>
        <v>0</v>
      </c>
      <c r="F40" s="26" t="str">
        <f>Data!G40</f>
        <v>DailyOff</v>
      </c>
      <c r="G40" s="26">
        <f t="shared" si="0"/>
        <v>1</v>
      </c>
      <c r="H40" s="23" t="str">
        <f>Data!H40</f>
        <v>Minimum 10-hour off-duty per day violation</v>
      </c>
    </row>
    <row r="41" spans="1:8" x14ac:dyDescent="0.3">
      <c r="A41" s="23" t="str">
        <f>Data!A41</f>
        <v>Driver E</v>
      </c>
      <c r="B41" s="23" t="str">
        <f>Data!C41</f>
        <v>Entire Organization</v>
      </c>
      <c r="C41" s="24">
        <f>Data!D41</f>
        <v>43995.242687731479</v>
      </c>
      <c r="D41" s="24" t="str">
        <f>IF(ISBLANK(Data!E41),"Ongoing",TEXT(Data!E41,"mmm DD, yyyy h:mm:ss AM/PM"))</f>
        <v>Jun 13, 2020 5:02:48 PM</v>
      </c>
      <c r="E41" s="25">
        <f>Data!F41</f>
        <v>7.4693634259259262E-2</v>
      </c>
      <c r="F41" s="26" t="str">
        <f>Data!G41</f>
        <v>Rest</v>
      </c>
      <c r="G41" s="26">
        <f t="shared" si="0"/>
        <v>1</v>
      </c>
      <c r="H41" s="23" t="str">
        <f>Data!H41</f>
        <v>Driving after more than 8-hour rest limit violation</v>
      </c>
    </row>
    <row r="42" spans="1:8" x14ac:dyDescent="0.3">
      <c r="A42" s="23" t="str">
        <f>Data!A42</f>
        <v>Driver E</v>
      </c>
      <c r="B42" s="23" t="str">
        <f>Data!C42</f>
        <v>Entire Organization</v>
      </c>
      <c r="C42" s="24">
        <f>Data!D42</f>
        <v>43995.631350381947</v>
      </c>
      <c r="D42" s="24" t="str">
        <f>IF(ISBLANK(Data!E42),"Ongoing",TEXT(Data!E42,"mmm DD, yyyy h:mm:ss AM/PM"))</f>
        <v>Jun 13, 2020 8:32:01 PM</v>
      </c>
      <c r="E42" s="25">
        <f>Data!F42</f>
        <v>6.1769375000000001E-2</v>
      </c>
      <c r="F42" s="26" t="str">
        <f>Data!G42</f>
        <v>Workday</v>
      </c>
      <c r="G42" s="26">
        <f t="shared" si="0"/>
        <v>1</v>
      </c>
      <c r="H42" s="23" t="str">
        <f>Data!H42</f>
        <v>Maximum 16-hour workday limit violation</v>
      </c>
    </row>
    <row r="43" spans="1:8" x14ac:dyDescent="0.3">
      <c r="A43" s="23" t="str">
        <f>Data!A43</f>
        <v>Driver E</v>
      </c>
      <c r="B43" s="23" t="str">
        <f>Data!C43</f>
        <v>Entire Organization</v>
      </c>
      <c r="C43" s="24">
        <f>Data!D43</f>
        <v>43995.631350381947</v>
      </c>
      <c r="D43" s="24" t="str">
        <f>IF(ISBLANK(Data!E43),"Ongoing",TEXT(Data!E43,"mmm DD, yyyy h:mm:ss AM/PM"))</f>
        <v>Jun 13, 2020 8:32:01 PM</v>
      </c>
      <c r="E43" s="25">
        <f>Data!F43</f>
        <v>6.1769375000000001E-2</v>
      </c>
      <c r="F43" s="26" t="str">
        <f>Data!G43</f>
        <v>Duty</v>
      </c>
      <c r="G43" s="26">
        <f t="shared" si="0"/>
        <v>1</v>
      </c>
      <c r="H43" s="23" t="str">
        <f>Data!H43</f>
        <v>Maximum 14-hour on-duty limit violation</v>
      </c>
    </row>
    <row r="44" spans="1:8" x14ac:dyDescent="0.3">
      <c r="A44" s="23" t="str">
        <f>Data!A44</f>
        <v>Driver E</v>
      </c>
      <c r="B44" s="23" t="str">
        <f>Data!C44</f>
        <v>Entire Organization</v>
      </c>
      <c r="C44" s="24">
        <f>Data!D44</f>
        <v>43995.631350381947</v>
      </c>
      <c r="D44" s="24" t="str">
        <f>IF(ISBLANK(Data!E44),"Ongoing",TEXT(Data!E44,"mmm DD, yyyy h:mm:ss AM/PM"))</f>
        <v>Jun 16, 2020 7:37:41 AM</v>
      </c>
      <c r="E44" s="25">
        <f>Data!F44</f>
        <v>6.1769375000000001E-2</v>
      </c>
      <c r="F44" s="26" t="str">
        <f>Data!G44</f>
        <v>CycleRest</v>
      </c>
      <c r="G44" s="26">
        <f t="shared" si="0"/>
        <v>1</v>
      </c>
      <c r="H44" s="23" t="str">
        <f>Data!H44</f>
        <v>Driving without 24-hour consecutive off-duty in the preceding 14 days</v>
      </c>
    </row>
    <row r="45" spans="1:8" x14ac:dyDescent="0.3">
      <c r="A45" s="23" t="str">
        <f>Data!A45</f>
        <v>Driver E</v>
      </c>
      <c r="B45" s="23" t="str">
        <f>Data!C45</f>
        <v>Entire Organization</v>
      </c>
      <c r="C45" s="24">
        <f>Data!D45</f>
        <v>43995.631350381947</v>
      </c>
      <c r="D45" s="24" t="str">
        <f>IF(ISBLANK(Data!E45),"Ongoing",TEXT(Data!E45,"mmm DD, yyyy h:mm:ss AM/PM"))</f>
        <v>Jun 18, 2020 9:46:15 AM</v>
      </c>
      <c r="E45" s="25">
        <f>Data!F45</f>
        <v>6.1769375000000001E-2</v>
      </c>
      <c r="F45" s="26" t="str">
        <f>Data!G45</f>
        <v>Cycle</v>
      </c>
      <c r="G45" s="26">
        <f t="shared" si="0"/>
        <v>1</v>
      </c>
      <c r="H45" s="23" t="str">
        <f>Data!H45</f>
        <v>Maximum 70 hour(s) on duty in 7 days violation</v>
      </c>
    </row>
    <row r="46" spans="1:8" x14ac:dyDescent="0.3">
      <c r="A46" s="23" t="str">
        <f>Data!A46</f>
        <v>Driver E</v>
      </c>
      <c r="B46" s="23" t="str">
        <f>Data!C46</f>
        <v>Entire Organization</v>
      </c>
      <c r="C46" s="24">
        <f>Data!D46</f>
        <v>43995.787526192129</v>
      </c>
      <c r="D46" s="24" t="str">
        <f>IF(ISBLANK(Data!E46),"Ongoing",TEXT(Data!E46,"mmm DD, yyyy h:mm:ss AM/PM"))</f>
        <v>Jun 13, 2020 8:32:01 PM</v>
      </c>
      <c r="E46" s="25">
        <f>Data!F46</f>
        <v>3.6491134259259261E-2</v>
      </c>
      <c r="F46" s="26" t="str">
        <f>Data!G46</f>
        <v>Workday</v>
      </c>
      <c r="G46" s="26">
        <f t="shared" si="0"/>
        <v>1</v>
      </c>
      <c r="H46" s="23" t="str">
        <f>Data!H46</f>
        <v>Maximum 16-hour workday limit violation</v>
      </c>
    </row>
    <row r="47" spans="1:8" x14ac:dyDescent="0.3">
      <c r="A47" s="23" t="str">
        <f>Data!A47</f>
        <v>Driver E</v>
      </c>
      <c r="B47" s="23" t="str">
        <f>Data!C47</f>
        <v>Entire Organization</v>
      </c>
      <c r="C47" s="24">
        <f>Data!D47</f>
        <v>43995.787526192129</v>
      </c>
      <c r="D47" s="24" t="str">
        <f>IF(ISBLANK(Data!E47),"Ongoing",TEXT(Data!E47,"mmm DD, yyyy h:mm:ss AM/PM"))</f>
        <v>Jun 13, 2020 8:32:01 PM</v>
      </c>
      <c r="E47" s="25">
        <f>Data!F47</f>
        <v>3.6491134259259261E-2</v>
      </c>
      <c r="F47" s="26" t="str">
        <f>Data!G47</f>
        <v>DailyDuty</v>
      </c>
      <c r="G47" s="26">
        <f t="shared" si="0"/>
        <v>1</v>
      </c>
      <c r="H47" s="23" t="str">
        <f>Data!H47</f>
        <v>Maximum 14 hour(s) on-duty per day violation</v>
      </c>
    </row>
    <row r="48" spans="1:8" x14ac:dyDescent="0.3">
      <c r="A48" s="23" t="str">
        <f>Data!A48</f>
        <v>Driver E</v>
      </c>
      <c r="B48" s="23" t="str">
        <f>Data!C48</f>
        <v>Entire Organization</v>
      </c>
      <c r="C48" s="24">
        <f>Data!D48</f>
        <v>43995.787526192129</v>
      </c>
      <c r="D48" s="24" t="str">
        <f>IF(ISBLANK(Data!E48),"Ongoing",TEXT(Data!E48,"mmm DD, yyyy h:mm:ss AM/PM"))</f>
        <v>Jun 16, 2020 7:37:41 AM</v>
      </c>
      <c r="E48" s="25">
        <f>Data!F48</f>
        <v>0.15015090277777779</v>
      </c>
      <c r="F48" s="26" t="str">
        <f>Data!G48</f>
        <v>CycleRest</v>
      </c>
      <c r="G48" s="26">
        <f t="shared" si="0"/>
        <v>1</v>
      </c>
      <c r="H48" s="23" t="str">
        <f>Data!H48</f>
        <v>Driving without 24-hour consecutive off-duty in the preceding 14 days</v>
      </c>
    </row>
    <row r="49" spans="1:8" x14ac:dyDescent="0.3">
      <c r="A49" s="23" t="str">
        <f>Data!A49</f>
        <v>Driver E</v>
      </c>
      <c r="B49" s="23" t="str">
        <f>Data!C49</f>
        <v>Entire Organization</v>
      </c>
      <c r="C49" s="24">
        <f>Data!D49</f>
        <v>43995.787526192129</v>
      </c>
      <c r="D49" s="24" t="str">
        <f>IF(ISBLANK(Data!E49),"Ongoing",TEXT(Data!E49,"mmm DD, yyyy h:mm:ss AM/PM"))</f>
        <v>Jun 18, 2020 8:00:00 PM</v>
      </c>
      <c r="E49" s="25">
        <f>Data!F49</f>
        <v>0.23229820601851853</v>
      </c>
      <c r="F49" s="26" t="str">
        <f>Data!G49</f>
        <v>Cycle</v>
      </c>
      <c r="G49" s="26">
        <f t="shared" si="0"/>
        <v>1</v>
      </c>
      <c r="H49" s="23" t="str">
        <f>Data!H49</f>
        <v>Maximum 70 hour(s) on duty in 7 days violation</v>
      </c>
    </row>
    <row r="50" spans="1:8" x14ac:dyDescent="0.3">
      <c r="A50" s="23" t="str">
        <f>Data!A50</f>
        <v>Driver E</v>
      </c>
      <c r="B50" s="23" t="str">
        <f>Data!C50</f>
        <v>Entire Organization</v>
      </c>
      <c r="C50" s="24">
        <f>Data!D50</f>
        <v>43995.787526192129</v>
      </c>
      <c r="D50" s="24" t="str">
        <f>IF(ISBLANK(Data!E50),"Ongoing",TEXT(Data!E50,"mmm DD, yyyy h:mm:ss AM/PM"))</f>
        <v>Jun 13, 2020 8:32:01 PM</v>
      </c>
      <c r="E50" s="25">
        <f>Data!F50</f>
        <v>3.6491134259259261E-2</v>
      </c>
      <c r="F50" s="26" t="str">
        <f>Data!G50</f>
        <v>Duty</v>
      </c>
      <c r="G50" s="26">
        <f t="shared" si="0"/>
        <v>1</v>
      </c>
      <c r="H50" s="23" t="str">
        <f>Data!H50</f>
        <v>Maximum 14-hour on-duty limit violation</v>
      </c>
    </row>
    <row r="51" spans="1:8" x14ac:dyDescent="0.3">
      <c r="A51" s="23" t="str">
        <f>Data!A51</f>
        <v>Driver E</v>
      </c>
      <c r="B51" s="23" t="str">
        <f>Data!C51</f>
        <v>Entire Organization</v>
      </c>
      <c r="C51" s="24">
        <f>Data!D51</f>
        <v>43996</v>
      </c>
      <c r="D51" s="24" t="str">
        <f>IF(ISBLANK(Data!E51),"Ongoing",TEXT(Data!E51,"mmm DD, yyyy h:mm:ss AM/PM"))</f>
        <v>Jun 14, 2020 11:59:59 PM</v>
      </c>
      <c r="E51" s="25">
        <f>Data!F51</f>
        <v>0</v>
      </c>
      <c r="F51" s="26" t="str">
        <f>Data!G51</f>
        <v>DailyOff</v>
      </c>
      <c r="G51" s="26">
        <f t="shared" si="0"/>
        <v>1</v>
      </c>
      <c r="H51" s="23" t="str">
        <f>Data!H51</f>
        <v>Minimum 10-hour off-duty per day violation</v>
      </c>
    </row>
    <row r="52" spans="1:8" x14ac:dyDescent="0.3">
      <c r="A52" s="23" t="str">
        <f>Data!A52</f>
        <v>Driver E</v>
      </c>
      <c r="B52" s="23" t="str">
        <f>Data!C52</f>
        <v>Entire Organization</v>
      </c>
      <c r="C52" s="24">
        <f>Data!D52</f>
        <v>43996.989402858795</v>
      </c>
      <c r="D52" s="24" t="str">
        <f>IF(ISBLANK(Data!E52),"Ongoing",TEXT(Data!E52,"mmm DD, yyyy h:mm:ss AM/PM"))</f>
        <v>Jun 14, 2020 11:58:15 PM</v>
      </c>
      <c r="E52" s="25">
        <f>Data!F52</f>
        <v>9.3832175925925923E-3</v>
      </c>
      <c r="F52" s="26" t="str">
        <f>Data!G52</f>
        <v>DailyDuty</v>
      </c>
      <c r="G52" s="26">
        <f t="shared" si="0"/>
        <v>1</v>
      </c>
      <c r="H52" s="23" t="str">
        <f>Data!H52</f>
        <v>Maximum 14 hour(s) on-duty per day violation</v>
      </c>
    </row>
    <row r="53" spans="1:8" x14ac:dyDescent="0.3">
      <c r="A53" s="23" t="str">
        <f>Data!A53</f>
        <v>Driver E</v>
      </c>
      <c r="B53" s="23" t="str">
        <f>Data!C53</f>
        <v>Entire Organization</v>
      </c>
      <c r="C53" s="24">
        <f>Data!D53</f>
        <v>43996.989402858795</v>
      </c>
      <c r="D53" s="24" t="str">
        <f>IF(ISBLANK(Data!E53),"Ongoing",TEXT(Data!E53,"mmm DD, yyyy h:mm:ss AM/PM"))</f>
        <v>Jun 15, 2020 9:53:44 AM</v>
      </c>
      <c r="E53" s="25">
        <f>Data!F53</f>
        <v>3.4889201388888888E-2</v>
      </c>
      <c r="F53" s="26" t="str">
        <f>Data!G53</f>
        <v>Workday</v>
      </c>
      <c r="G53" s="26">
        <f t="shared" si="0"/>
        <v>1</v>
      </c>
      <c r="H53" s="23" t="str">
        <f>Data!H53</f>
        <v>Maximum 16-hour workday limit violation</v>
      </c>
    </row>
    <row r="54" spans="1:8" x14ac:dyDescent="0.3">
      <c r="A54" s="23" t="str">
        <f>Data!A54</f>
        <v>Driver E</v>
      </c>
      <c r="B54" s="23" t="str">
        <f>Data!C54</f>
        <v>Entire Organization</v>
      </c>
      <c r="C54" s="24">
        <f>Data!D54</f>
        <v>43996.989402858795</v>
      </c>
      <c r="D54" s="24" t="str">
        <f>IF(ISBLANK(Data!E54),"Ongoing",TEXT(Data!E54,"mmm DD, yyyy h:mm:ss AM/PM"))</f>
        <v>Jun 15, 2020 9:53:44 AM</v>
      </c>
      <c r="E54" s="25">
        <f>Data!F54</f>
        <v>3.4889201388888888E-2</v>
      </c>
      <c r="F54" s="26" t="str">
        <f>Data!G54</f>
        <v>Duty</v>
      </c>
      <c r="G54" s="26">
        <f t="shared" si="0"/>
        <v>1</v>
      </c>
      <c r="H54" s="23" t="str">
        <f>Data!H54</f>
        <v>Maximum 14-hour on-duty limit violation</v>
      </c>
    </row>
    <row r="55" spans="1:8" x14ac:dyDescent="0.3">
      <c r="A55" s="23" t="str">
        <f>Data!A55</f>
        <v>Driver E</v>
      </c>
      <c r="B55" s="23" t="str">
        <f>Data!C55</f>
        <v>Entire Organization</v>
      </c>
      <c r="C55" s="24">
        <f>Data!D55</f>
        <v>43997.781917361113</v>
      </c>
      <c r="D55" s="24" t="str">
        <f>IF(ISBLANK(Data!E55),"Ongoing",TEXT(Data!E55,"mmm DD, yyyy h:mm:ss AM/PM"))</f>
        <v>Jun 16, 2020 7:37:41 AM</v>
      </c>
      <c r="E55" s="25">
        <f>Data!F55</f>
        <v>6.8885763888888885E-3</v>
      </c>
      <c r="F55" s="26" t="str">
        <f>Data!G55</f>
        <v>Workday</v>
      </c>
      <c r="G55" s="26">
        <f t="shared" si="0"/>
        <v>1</v>
      </c>
      <c r="H55" s="23" t="str">
        <f>Data!H55</f>
        <v>Maximum 14-hour workday limit violation</v>
      </c>
    </row>
    <row r="56" spans="1:8" x14ac:dyDescent="0.3">
      <c r="A56" s="23" t="str">
        <f>Data!A56</f>
        <v>Driver E</v>
      </c>
      <c r="B56" s="23" t="str">
        <f>Data!C56</f>
        <v>Entire Organization</v>
      </c>
      <c r="C56" s="24">
        <f>Data!D56</f>
        <v>44001</v>
      </c>
      <c r="D56" s="24" t="str">
        <f>IF(ISBLANK(Data!E56),"Ongoing",TEXT(Data!E56,"mmm DD, yyyy h:mm:ss AM/PM"))</f>
        <v>Jun 19, 2020 11:59:59 PM</v>
      </c>
      <c r="E56" s="25">
        <f>Data!F56</f>
        <v>0</v>
      </c>
      <c r="F56" s="26" t="str">
        <f>Data!G56</f>
        <v>DailyOff</v>
      </c>
      <c r="G56" s="26">
        <f t="shared" si="0"/>
        <v>1</v>
      </c>
      <c r="H56" s="23" t="str">
        <f>Data!H56</f>
        <v>Minimum 10-hour off-duty per day violation</v>
      </c>
    </row>
    <row r="57" spans="1:8" x14ac:dyDescent="0.3">
      <c r="A57" s="23" t="str">
        <f>Data!A57</f>
        <v>Driver E</v>
      </c>
      <c r="B57" s="23" t="str">
        <f>Data!C57</f>
        <v>Entire Organization</v>
      </c>
      <c r="C57" s="24">
        <f>Data!D57</f>
        <v>44002.013067557869</v>
      </c>
      <c r="D57" s="24" t="str">
        <f>IF(ISBLANK(Data!E57),"Ongoing",TEXT(Data!E57,"mmm DD, yyyy h:mm:ss AM/PM"))</f>
        <v>Jun 20, 2020 12:41:04 AM</v>
      </c>
      <c r="E57" s="25">
        <f>Data!F57</f>
        <v>1.5423726851851852E-2</v>
      </c>
      <c r="F57" s="26" t="str">
        <f>Data!G57</f>
        <v>Workday</v>
      </c>
      <c r="G57" s="26">
        <f t="shared" si="0"/>
        <v>1</v>
      </c>
      <c r="H57" s="23" t="str">
        <f>Data!H57</f>
        <v>Maximum 16-hour workday limit violation</v>
      </c>
    </row>
    <row r="58" spans="1:8" x14ac:dyDescent="0.3">
      <c r="A58" s="23" t="str">
        <f>Data!A58</f>
        <v>Driver E</v>
      </c>
      <c r="B58" s="23" t="str">
        <f>Data!C58</f>
        <v>Entire Organization</v>
      </c>
      <c r="C58" s="24">
        <f>Data!D58</f>
        <v>44002.013067557869</v>
      </c>
      <c r="D58" s="24" t="str">
        <f>IF(ISBLANK(Data!E58),"Ongoing",TEXT(Data!E58,"mmm DD, yyyy h:mm:ss AM/PM"))</f>
        <v>Jun 20, 2020 12:41:04 AM</v>
      </c>
      <c r="E58" s="25">
        <f>Data!F58</f>
        <v>1.5423726851851852E-2</v>
      </c>
      <c r="F58" s="26" t="str">
        <f>Data!G58</f>
        <v>Duty</v>
      </c>
      <c r="G58" s="26">
        <f t="shared" si="0"/>
        <v>1</v>
      </c>
      <c r="H58" s="23" t="str">
        <f>Data!H58</f>
        <v>Maximum 14-hour on-duty limit violation</v>
      </c>
    </row>
    <row r="59" spans="1:8" x14ac:dyDescent="0.3">
      <c r="A59" s="23" t="str">
        <f>Data!A59</f>
        <v>Driver E</v>
      </c>
      <c r="B59" s="23" t="str">
        <f>Data!C59</f>
        <v>Entire Organization</v>
      </c>
      <c r="C59" s="24">
        <f>Data!D59</f>
        <v>44004</v>
      </c>
      <c r="D59" s="24" t="str">
        <f>IF(ISBLANK(Data!E59),"Ongoing",TEXT(Data!E59,"mmm DD, yyyy h:mm:ss AM/PM"))</f>
        <v>Jun 22, 2020 11:59:59 PM</v>
      </c>
      <c r="E59" s="25">
        <f>Data!F59</f>
        <v>0</v>
      </c>
      <c r="F59" s="26" t="str">
        <f>Data!G59</f>
        <v>DailyOff</v>
      </c>
      <c r="G59" s="26">
        <f t="shared" si="0"/>
        <v>1</v>
      </c>
      <c r="H59" s="23" t="str">
        <f>Data!H59</f>
        <v>Minimum 10-hour off-duty per day violation</v>
      </c>
    </row>
    <row r="60" spans="1:8" x14ac:dyDescent="0.3">
      <c r="A60" s="23" t="str">
        <f>Data!A60</f>
        <v>Driver E</v>
      </c>
      <c r="B60" s="23" t="str">
        <f>Data!C60</f>
        <v>Entire Organization</v>
      </c>
      <c r="C60" s="24">
        <f>Data!D60</f>
        <v>44004.799752465275</v>
      </c>
      <c r="D60" s="24" t="str">
        <f>IF(ISBLANK(Data!E60),"Ongoing",TEXT(Data!E60,"mmm DD, yyyy h:mm:ss AM/PM"))</f>
        <v>Jun 22, 2020 10:22:39 PM</v>
      </c>
      <c r="E60" s="25">
        <f>Data!F60</f>
        <v>5.3213518518518521E-2</v>
      </c>
      <c r="F60" s="26" t="str">
        <f>Data!G60</f>
        <v>Duty</v>
      </c>
      <c r="G60" s="26">
        <f t="shared" si="0"/>
        <v>1</v>
      </c>
      <c r="H60" s="23" t="str">
        <f>Data!H60</f>
        <v>Maximum 14-hour on-duty limit violation</v>
      </c>
    </row>
    <row r="61" spans="1:8" x14ac:dyDescent="0.3">
      <c r="A61" s="23" t="str">
        <f>Data!A61</f>
        <v>Driver E</v>
      </c>
      <c r="B61" s="23" t="str">
        <f>Data!C61</f>
        <v>Entire Organization</v>
      </c>
      <c r="C61" s="24">
        <f>Data!D61</f>
        <v>44004.799752465275</v>
      </c>
      <c r="D61" s="24" t="str">
        <f>IF(ISBLANK(Data!E61),"Ongoing",TEXT(Data!E61,"mmm DD, yyyy h:mm:ss AM/PM"))</f>
        <v>Jun 22, 2020 10:22:39 PM</v>
      </c>
      <c r="E61" s="25">
        <f>Data!F61</f>
        <v>5.3213518518518521E-2</v>
      </c>
      <c r="F61" s="26" t="str">
        <f>Data!G61</f>
        <v>Workday</v>
      </c>
      <c r="G61" s="26">
        <f t="shared" si="0"/>
        <v>1</v>
      </c>
      <c r="H61" s="23" t="str">
        <f>Data!H61</f>
        <v>Maximum 16-hour workday limit violation</v>
      </c>
    </row>
    <row r="62" spans="1:8" x14ac:dyDescent="0.3">
      <c r="A62" s="23" t="str">
        <f>Data!A62</f>
        <v>Driver E</v>
      </c>
      <c r="B62" s="23" t="str">
        <f>Data!C62</f>
        <v>Entire Organization</v>
      </c>
      <c r="C62" s="24">
        <f>Data!D62</f>
        <v>44006</v>
      </c>
      <c r="D62" s="24" t="str">
        <f>IF(ISBLANK(Data!E62),"Ongoing",TEXT(Data!E62,"mmm DD, yyyy h:mm:ss AM/PM"))</f>
        <v>Jun 24, 2020 11:59:59 PM</v>
      </c>
      <c r="E62" s="25">
        <f>Data!F62</f>
        <v>0</v>
      </c>
      <c r="F62" s="26" t="str">
        <f>Data!G62</f>
        <v>DailyRest</v>
      </c>
      <c r="G62" s="26">
        <f t="shared" si="0"/>
        <v>1</v>
      </c>
      <c r="H62" s="23" t="str">
        <f>Data!H62</f>
        <v>Minimum 2-hour rest per day violation</v>
      </c>
    </row>
    <row r="63" spans="1:8" x14ac:dyDescent="0.3">
      <c r="A63" s="23" t="str">
        <f>Data!A63</f>
        <v>Driver E</v>
      </c>
      <c r="B63" s="23" t="str">
        <f>Data!C63</f>
        <v>Entire Organization</v>
      </c>
      <c r="C63" s="24">
        <f>Data!D63</f>
        <v>44006</v>
      </c>
      <c r="D63" s="24" t="str">
        <f>IF(ISBLANK(Data!E63),"Ongoing",TEXT(Data!E63,"mmm DD, yyyy h:mm:ss AM/PM"))</f>
        <v>Jun 24, 2020 11:59:59 PM</v>
      </c>
      <c r="E63" s="25">
        <f>Data!F63</f>
        <v>0</v>
      </c>
      <c r="F63" s="26" t="str">
        <f>Data!G63</f>
        <v>DailyOff</v>
      </c>
      <c r="G63" s="26">
        <f t="shared" si="0"/>
        <v>1</v>
      </c>
      <c r="H63" s="23" t="str">
        <f>Data!H63</f>
        <v>Minimum 10-hour off-duty per day violation</v>
      </c>
    </row>
    <row r="64" spans="1:8" x14ac:dyDescent="0.3">
      <c r="A64" s="23" t="str">
        <f>Data!A64</f>
        <v>Driver E</v>
      </c>
      <c r="B64" s="23" t="str">
        <f>Data!C64</f>
        <v>Entire Organization</v>
      </c>
      <c r="C64" s="24">
        <f>Data!D64</f>
        <v>44006.251971759259</v>
      </c>
      <c r="D64" s="24" t="str">
        <f>IF(ISBLANK(Data!E64),"Ongoing",TEXT(Data!E64,"mmm DD, yyyy h:mm:ss AM/PM"))</f>
        <v>Jun 24, 2020 9:52:59 PM</v>
      </c>
      <c r="E64" s="25">
        <f>Data!F64</f>
        <v>7.2366041666666672E-2</v>
      </c>
      <c r="F64" s="26" t="str">
        <f>Data!G64</f>
        <v>Workday</v>
      </c>
      <c r="G64" s="26">
        <f t="shared" si="0"/>
        <v>1</v>
      </c>
      <c r="H64" s="23" t="str">
        <f>Data!H64</f>
        <v>Maximum 16-hour workday limit violation</v>
      </c>
    </row>
    <row r="65" spans="1:8" x14ac:dyDescent="0.3">
      <c r="A65" s="23" t="str">
        <f>Data!A65</f>
        <v>Driver E</v>
      </c>
      <c r="B65" s="23" t="str">
        <f>Data!C65</f>
        <v>Entire Organization</v>
      </c>
      <c r="C65" s="24">
        <f>Data!D65</f>
        <v>44006.251971759259</v>
      </c>
      <c r="D65" s="24" t="str">
        <f>IF(ISBLANK(Data!E65),"Ongoing",TEXT(Data!E65,"mmm DD, yyyy h:mm:ss AM/PM"))</f>
        <v>Jun 24, 2020 9:52:59 PM</v>
      </c>
      <c r="E65" s="25">
        <f>Data!F65</f>
        <v>7.2366041666666672E-2</v>
      </c>
      <c r="F65" s="26" t="str">
        <f>Data!G65</f>
        <v>Duty</v>
      </c>
      <c r="G65" s="26">
        <f t="shared" si="0"/>
        <v>1</v>
      </c>
      <c r="H65" s="23" t="str">
        <f>Data!H65</f>
        <v>Maximum 14-hour on-duty limit violation</v>
      </c>
    </row>
    <row r="66" spans="1:8" x14ac:dyDescent="0.3">
      <c r="A66" s="23" t="str">
        <f>Data!A66</f>
        <v>Driver E</v>
      </c>
      <c r="B66" s="23" t="str">
        <f>Data!C66</f>
        <v>Entire Organization</v>
      </c>
      <c r="C66" s="24">
        <f>Data!D66</f>
        <v>44006.710384525461</v>
      </c>
      <c r="D66" s="24" t="str">
        <f>IF(ISBLANK(Data!E66),"Ongoing",TEXT(Data!E66,"mmm DD, yyyy h:mm:ss AM/PM"))</f>
        <v>Jun 24, 2020 9:52:59 PM</v>
      </c>
      <c r="E66" s="25">
        <f>Data!F66</f>
        <v>6.3884641203703699E-2</v>
      </c>
      <c r="F66" s="26" t="str">
        <f>Data!G66</f>
        <v>DailyDuty</v>
      </c>
      <c r="G66" s="26">
        <f t="shared" si="0"/>
        <v>1</v>
      </c>
      <c r="H66" s="23" t="str">
        <f>Data!H66</f>
        <v>Maximum 14 hour(s) on-duty per day violation</v>
      </c>
    </row>
    <row r="67" spans="1:8" x14ac:dyDescent="0.3">
      <c r="A67" s="23" t="str">
        <f>Data!A67</f>
        <v>Driver E</v>
      </c>
      <c r="B67" s="23" t="str">
        <f>Data!C67</f>
        <v>Entire Organization</v>
      </c>
      <c r="C67" s="24">
        <f>Data!D67</f>
        <v>44007</v>
      </c>
      <c r="D67" s="24" t="str">
        <f>IF(ISBLANK(Data!E67),"Ongoing",TEXT(Data!E67,"mmm DD, yyyy h:mm:ss AM/PM"))</f>
        <v>Jun 25, 2020 11:59:59 PM</v>
      </c>
      <c r="E67" s="25">
        <f>Data!F67</f>
        <v>0</v>
      </c>
      <c r="F67" s="26" t="str">
        <f>Data!G67</f>
        <v>DailyOff</v>
      </c>
      <c r="G67" s="26">
        <f t="shared" si="0"/>
        <v>1</v>
      </c>
      <c r="H67" s="23" t="str">
        <f>Data!H67</f>
        <v>Minimum 10-hour off-duty per day violation</v>
      </c>
    </row>
    <row r="68" spans="1:8" x14ac:dyDescent="0.3">
      <c r="A68" s="23" t="str">
        <f>Data!A68</f>
        <v>Driver E</v>
      </c>
      <c r="B68" s="23" t="str">
        <f>Data!C68</f>
        <v>Entire Organization</v>
      </c>
      <c r="C68" s="24">
        <f>Data!D68</f>
        <v>44007</v>
      </c>
      <c r="D68" s="24" t="str">
        <f>IF(ISBLANK(Data!E68),"Ongoing",TEXT(Data!E68,"mmm DD, yyyy h:mm:ss AM/PM"))</f>
        <v>Jun 25, 2020 11:59:59 PM</v>
      </c>
      <c r="E68" s="25">
        <f>Data!F68</f>
        <v>0</v>
      </c>
      <c r="F68" s="26" t="str">
        <f>Data!G68</f>
        <v>DailyRest</v>
      </c>
      <c r="G68" s="26">
        <f t="shared" si="0"/>
        <v>1</v>
      </c>
      <c r="H68" s="23" t="str">
        <f>Data!H68</f>
        <v>Minimum 2-hour rest per day violation</v>
      </c>
    </row>
    <row r="69" spans="1:8" x14ac:dyDescent="0.3">
      <c r="A69" s="23" t="str">
        <f>Data!A69</f>
        <v>Driver E</v>
      </c>
      <c r="B69" s="23" t="str">
        <f>Data!C69</f>
        <v>Entire Organization</v>
      </c>
      <c r="C69" s="24">
        <f>Data!D69</f>
        <v>44008</v>
      </c>
      <c r="D69" s="24" t="str">
        <f>IF(ISBLANK(Data!E69),"Ongoing",TEXT(Data!E69,"mmm DD, yyyy h:mm:ss AM/PM"))</f>
        <v>Jun 26, 2020 11:59:59 PM</v>
      </c>
      <c r="E69" s="25">
        <f>Data!F69</f>
        <v>0</v>
      </c>
      <c r="F69" s="26" t="str">
        <f>Data!G69</f>
        <v>DailyOff</v>
      </c>
      <c r="G69" s="26">
        <f t="shared" si="0"/>
        <v>1</v>
      </c>
      <c r="H69" s="23" t="str">
        <f>Data!H69</f>
        <v>Minimum 10-hour off-duty per day violation</v>
      </c>
    </row>
    <row r="70" spans="1:8" x14ac:dyDescent="0.3">
      <c r="A70" s="23" t="str">
        <f>Data!A70</f>
        <v>Driver E</v>
      </c>
      <c r="B70" s="23" t="str">
        <f>Data!C70</f>
        <v>Entire Organization</v>
      </c>
      <c r="C70" s="24">
        <f>Data!D70</f>
        <v>44008</v>
      </c>
      <c r="D70" s="24" t="str">
        <f>IF(ISBLANK(Data!E70),"Ongoing",TEXT(Data!E70,"mmm DD, yyyy h:mm:ss AM/PM"))</f>
        <v>Jun 26, 2020 11:59:59 PM</v>
      </c>
      <c r="E70" s="25">
        <f>Data!F70</f>
        <v>0</v>
      </c>
      <c r="F70" s="26" t="str">
        <f>Data!G70</f>
        <v>DailyRest</v>
      </c>
      <c r="G70" s="26">
        <f t="shared" si="0"/>
        <v>1</v>
      </c>
      <c r="H70" s="23" t="str">
        <f>Data!H70</f>
        <v>Minimum 2-hour rest per day violation</v>
      </c>
    </row>
    <row r="71" spans="1:8" x14ac:dyDescent="0.3">
      <c r="A71" s="23" t="str">
        <f>Data!A71</f>
        <v>Driver E</v>
      </c>
      <c r="B71" s="23" t="str">
        <f>Data!C71</f>
        <v>Entire Organization</v>
      </c>
      <c r="C71" s="24">
        <f>Data!D71</f>
        <v>44008.51909332176</v>
      </c>
      <c r="D71" s="24" t="str">
        <f>IF(ISBLANK(Data!E71),"Ongoing",TEXT(Data!E71,"mmm DD, yyyy h:mm:ss AM/PM"))</f>
        <v>Ongoing</v>
      </c>
      <c r="E71" s="25">
        <f>Data!F71</f>
        <v>0.27022417824074074</v>
      </c>
      <c r="F71" s="26" t="str">
        <f>Data!G71</f>
        <v>Cycle</v>
      </c>
      <c r="G71" s="26">
        <f t="shared" si="0"/>
        <v>1</v>
      </c>
      <c r="H71" s="23" t="str">
        <f>Data!H71</f>
        <v>Maximum 70 hour(s) on duty in 7 days violation</v>
      </c>
    </row>
    <row r="72" spans="1:8" x14ac:dyDescent="0.3">
      <c r="A72" s="23" t="str">
        <f>Data!A72</f>
        <v>Driver E</v>
      </c>
      <c r="B72" s="23" t="str">
        <f>Data!C72</f>
        <v>Entire Organization</v>
      </c>
      <c r="C72" s="24">
        <f>Data!D72</f>
        <v>44008.51909332176</v>
      </c>
      <c r="D72" s="24" t="str">
        <f>IF(ISBLANK(Data!E72),"Ongoing",TEXT(Data!E72,"mmm DD, yyyy h:mm:ss AM/PM"))</f>
        <v>Ongoing</v>
      </c>
      <c r="E72" s="25">
        <f>Data!F72</f>
        <v>0.27022417824074074</v>
      </c>
      <c r="F72" s="26" t="str">
        <f>Data!G72</f>
        <v>Duty</v>
      </c>
      <c r="G72" s="26">
        <f t="shared" si="0"/>
        <v>1</v>
      </c>
      <c r="H72" s="23" t="str">
        <f>Data!H72</f>
        <v>Maximum 14-hour on-duty limit violation</v>
      </c>
    </row>
    <row r="73" spans="1:8" x14ac:dyDescent="0.3">
      <c r="A73" s="23" t="str">
        <f>Data!A73</f>
        <v>Driver E</v>
      </c>
      <c r="B73" s="23" t="str">
        <f>Data!C73</f>
        <v>Entire Organization</v>
      </c>
      <c r="C73" s="24">
        <f>Data!D73</f>
        <v>44008.51909332176</v>
      </c>
      <c r="D73" s="24" t="str">
        <f>IF(ISBLANK(Data!E73),"Ongoing",TEXT(Data!E73,"mmm DD, yyyy h:mm:ss AM/PM"))</f>
        <v>Ongoing</v>
      </c>
      <c r="E73" s="25">
        <f>Data!F73</f>
        <v>0.27022417824074074</v>
      </c>
      <c r="F73" s="26" t="str">
        <f>Data!G73</f>
        <v>Workday</v>
      </c>
      <c r="G73" s="26">
        <f t="shared" si="0"/>
        <v>1</v>
      </c>
      <c r="H73" s="23" t="str">
        <f>Data!H73</f>
        <v>Maximum 16-hour workday limit violation</v>
      </c>
    </row>
    <row r="74" spans="1:8" x14ac:dyDescent="0.3">
      <c r="A74" s="23" t="str">
        <f>Data!A74</f>
        <v>Driver E</v>
      </c>
      <c r="B74" s="23" t="str">
        <f>Data!C74</f>
        <v>Entire Organization</v>
      </c>
      <c r="C74" s="24">
        <f>Data!D74</f>
        <v>44008.660683298614</v>
      </c>
      <c r="D74" s="24" t="str">
        <f>IF(ISBLANK(Data!E74),"Ongoing",TEXT(Data!E74,"mmm DD, yyyy h:mm:ss AM/PM"))</f>
        <v>Jun 26, 2020 4:18:19 PM</v>
      </c>
      <c r="E74" s="25">
        <f>Data!F74</f>
        <v>1.8699571759259258E-2</v>
      </c>
      <c r="F74" s="26" t="str">
        <f>Data!G74</f>
        <v>DailyDuty</v>
      </c>
      <c r="G74" s="26">
        <f t="shared" ref="G74:G96" si="1">IF(NOT(ISBLANK(H74)),1,0)</f>
        <v>1</v>
      </c>
      <c r="H74" s="23" t="str">
        <f>Data!H74</f>
        <v>Maximum 14 hour(s) on-duty per day violation</v>
      </c>
    </row>
    <row r="75" spans="1:8" x14ac:dyDescent="0.3">
      <c r="A75" s="23" t="str">
        <f>Data!A75</f>
        <v>Driver E</v>
      </c>
      <c r="B75" s="23" t="str">
        <f>Data!C75</f>
        <v>Entire Organization</v>
      </c>
      <c r="C75" s="24">
        <f>Data!D75</f>
        <v>44009</v>
      </c>
      <c r="D75" s="24" t="str">
        <f>IF(ISBLANK(Data!E75),"Ongoing",TEXT(Data!E75,"mmm DD, yyyy h:mm:ss AM/PM"))</f>
        <v>Jun 27, 2020 11:59:59 PM</v>
      </c>
      <c r="E75" s="25">
        <f>Data!F75</f>
        <v>0</v>
      </c>
      <c r="F75" s="26" t="str">
        <f>Data!G75</f>
        <v>DailyOff</v>
      </c>
      <c r="G75" s="26">
        <f t="shared" si="1"/>
        <v>1</v>
      </c>
      <c r="H75" s="23" t="str">
        <f>Data!H75</f>
        <v>Minimum 10-hour off-duty per day violation</v>
      </c>
    </row>
    <row r="76" spans="1:8" x14ac:dyDescent="0.3">
      <c r="A76" s="23" t="str">
        <f>Data!A76</f>
        <v>Driver E</v>
      </c>
      <c r="B76" s="23" t="str">
        <f>Data!C76</f>
        <v>Entire Organization</v>
      </c>
      <c r="C76" s="24">
        <f>Data!D76</f>
        <v>44009</v>
      </c>
      <c r="D76" s="24" t="str">
        <f>IF(ISBLANK(Data!E76),"Ongoing",TEXT(Data!E76,"mmm DD, yyyy h:mm:ss AM/PM"))</f>
        <v>Jun 27, 2020 11:59:59 PM</v>
      </c>
      <c r="E76" s="25">
        <f>Data!F76</f>
        <v>0</v>
      </c>
      <c r="F76" s="26" t="str">
        <f>Data!G76</f>
        <v>DailyRest</v>
      </c>
      <c r="G76" s="26">
        <f t="shared" si="1"/>
        <v>1</v>
      </c>
      <c r="H76" s="23" t="str">
        <f>Data!H76</f>
        <v>Minimum 2-hour rest per day violation</v>
      </c>
    </row>
    <row r="77" spans="1:8" x14ac:dyDescent="0.3">
      <c r="A77" s="23" t="str">
        <f>Data!A77</f>
        <v>Driver E</v>
      </c>
      <c r="B77" s="23" t="str">
        <f>Data!C77</f>
        <v>Entire Organization</v>
      </c>
      <c r="C77" s="24">
        <f>Data!D77</f>
        <v>44009.583333333336</v>
      </c>
      <c r="D77" s="24" t="str">
        <f>IF(ISBLANK(Data!E77),"Ongoing",TEXT(Data!E77,"mmm DD, yyyy h:mm:ss AM/PM"))</f>
        <v>Jun 27, 2020 4:57:35 PM</v>
      </c>
      <c r="E77" s="25">
        <f>Data!F77</f>
        <v>6.7267233796296302E-2</v>
      </c>
      <c r="F77" s="26" t="str">
        <f>Data!G77</f>
        <v>DailyDuty</v>
      </c>
      <c r="G77" s="26">
        <f t="shared" si="1"/>
        <v>1</v>
      </c>
      <c r="H77" s="23" t="str">
        <f>Data!H77</f>
        <v>Maximum 14 hour(s) on-duty per day violation</v>
      </c>
    </row>
    <row r="78" spans="1:8" x14ac:dyDescent="0.3">
      <c r="A78" s="23" t="str">
        <f>Data!A78</f>
        <v>Driver E</v>
      </c>
      <c r="B78" s="23" t="str">
        <f>Data!C78</f>
        <v>Entire Organization</v>
      </c>
      <c r="C78" s="24">
        <f>Data!D78</f>
        <v>44010</v>
      </c>
      <c r="D78" s="24" t="str">
        <f>IF(ISBLANK(Data!E78),"Ongoing",TEXT(Data!E78,"mmm DD, yyyy h:mm:ss AM/PM"))</f>
        <v>Jun 28, 2020 11:59:59 PM</v>
      </c>
      <c r="E78" s="25">
        <f>Data!F78</f>
        <v>0</v>
      </c>
      <c r="F78" s="26" t="str">
        <f>Data!G78</f>
        <v>DailyOff</v>
      </c>
      <c r="G78" s="26">
        <f t="shared" si="1"/>
        <v>1</v>
      </c>
      <c r="H78" s="23" t="str">
        <f>Data!H78</f>
        <v>Minimum 10-hour off-duty per day violation</v>
      </c>
    </row>
    <row r="79" spans="1:8" x14ac:dyDescent="0.3">
      <c r="A79" s="23" t="str">
        <f>Data!A79</f>
        <v>Driver E</v>
      </c>
      <c r="B79" s="23" t="str">
        <f>Data!C79</f>
        <v>Entire Organization</v>
      </c>
      <c r="C79" s="24">
        <f>Data!D79</f>
        <v>44010</v>
      </c>
      <c r="D79" s="24" t="str">
        <f>IF(ISBLANK(Data!E79),"Ongoing",TEXT(Data!E79,"mmm DD, yyyy h:mm:ss AM/PM"))</f>
        <v>Jun 28, 2020 11:59:59 PM</v>
      </c>
      <c r="E79" s="25">
        <f>Data!F79</f>
        <v>0</v>
      </c>
      <c r="F79" s="26" t="str">
        <f>Data!G79</f>
        <v>DailyRest</v>
      </c>
      <c r="G79" s="26">
        <f t="shared" si="1"/>
        <v>1</v>
      </c>
      <c r="H79" s="23" t="str">
        <f>Data!H79</f>
        <v>Minimum 2-hour rest per day violation</v>
      </c>
    </row>
    <row r="80" spans="1:8" x14ac:dyDescent="0.3">
      <c r="A80" s="23" t="str">
        <f>Data!A80</f>
        <v>Driver E</v>
      </c>
      <c r="B80" s="23" t="str">
        <f>Data!C80</f>
        <v>Entire Organization</v>
      </c>
      <c r="C80" s="24">
        <f>Data!D80</f>
        <v>44010.665331562501</v>
      </c>
      <c r="D80" s="24" t="str">
        <f>IF(ISBLANK(Data!E80),"Ongoing",TEXT(Data!E80,"mmm DD, yyyy h:mm:ss AM/PM"))</f>
        <v>Jun 29, 2020 6:50:42 PM</v>
      </c>
      <c r="E80" s="25">
        <f>Data!F80</f>
        <v>6.7960254629629624E-2</v>
      </c>
      <c r="F80" s="26" t="str">
        <f>Data!G80</f>
        <v>DailyDuty</v>
      </c>
      <c r="G80" s="26">
        <f t="shared" si="1"/>
        <v>1</v>
      </c>
      <c r="H80" s="23" t="str">
        <f>Data!H80</f>
        <v>Maximum 14 hour(s) on-duty per day violation</v>
      </c>
    </row>
    <row r="81" spans="1:8" x14ac:dyDescent="0.3">
      <c r="A81" s="23" t="str">
        <f>Data!A81</f>
        <v>Driver E</v>
      </c>
      <c r="B81" s="23" t="str">
        <f>Data!C81</f>
        <v>Entire Organization</v>
      </c>
      <c r="C81" s="24">
        <f>Data!D81</f>
        <v>44011</v>
      </c>
      <c r="D81" s="24" t="str">
        <f>IF(ISBLANK(Data!E81),"Ongoing",TEXT(Data!E81,"mmm DD, yyyy h:mm:ss AM/PM"))</f>
        <v>Jun 29, 2020 11:59:59 PM</v>
      </c>
      <c r="E81" s="25">
        <f>Data!F81</f>
        <v>0</v>
      </c>
      <c r="F81" s="26" t="str">
        <f>Data!G81</f>
        <v>DailyOff</v>
      </c>
      <c r="G81" s="26">
        <f t="shared" si="1"/>
        <v>1</v>
      </c>
      <c r="H81" s="23" t="str">
        <f>Data!H81</f>
        <v>Minimum 10-hour off-duty per day violation</v>
      </c>
    </row>
    <row r="82" spans="1:8" x14ac:dyDescent="0.3">
      <c r="A82" s="23" t="str">
        <f>Data!A82</f>
        <v>Driver E</v>
      </c>
      <c r="B82" s="23" t="str">
        <f>Data!C82</f>
        <v>Entire Organization</v>
      </c>
      <c r="C82" s="24">
        <f>Data!D82</f>
        <v>44011</v>
      </c>
      <c r="D82" s="24" t="str">
        <f>IF(ISBLANK(Data!E82),"Ongoing",TEXT(Data!E82,"mmm DD, yyyy h:mm:ss AM/PM"))</f>
        <v>Jun 29, 2020 11:59:59 PM</v>
      </c>
      <c r="E82" s="25">
        <f>Data!F82</f>
        <v>0</v>
      </c>
      <c r="F82" s="26" t="str">
        <f>Data!G82</f>
        <v>DailyRest</v>
      </c>
      <c r="G82" s="26">
        <f t="shared" si="1"/>
        <v>1</v>
      </c>
      <c r="H82" s="23" t="str">
        <f>Data!H82</f>
        <v>Minimum 2-hour rest per day violation</v>
      </c>
    </row>
    <row r="83" spans="1:8" x14ac:dyDescent="0.3">
      <c r="A83" s="23" t="str">
        <f>Data!A83</f>
        <v>Driver E</v>
      </c>
      <c r="B83" s="23" t="str">
        <f>Data!C83</f>
        <v>Entire Organization</v>
      </c>
      <c r="C83" s="24">
        <f>Data!D83</f>
        <v>44012</v>
      </c>
      <c r="D83" s="24" t="str">
        <f>IF(ISBLANK(Data!E83),"Ongoing",TEXT(Data!E83,"mmm DD, yyyy h:mm:ss AM/PM"))</f>
        <v>Jun 30, 2020 11:59:59 PM</v>
      </c>
      <c r="E83" s="25">
        <f>Data!F83</f>
        <v>0</v>
      </c>
      <c r="F83" s="26" t="str">
        <f>Data!G83</f>
        <v>DailyOff</v>
      </c>
      <c r="G83" s="26">
        <f t="shared" si="1"/>
        <v>1</v>
      </c>
      <c r="H83" s="23" t="str">
        <f>Data!H83</f>
        <v>Minimum 10-hour off-duty per day violation</v>
      </c>
    </row>
    <row r="84" spans="1:8" x14ac:dyDescent="0.3">
      <c r="A84" s="23" t="str">
        <f>Data!A84</f>
        <v>Driver E</v>
      </c>
      <c r="B84" s="23" t="str">
        <f>Data!C84</f>
        <v>Entire Organization</v>
      </c>
      <c r="C84" s="24">
        <f>Data!D84</f>
        <v>44012</v>
      </c>
      <c r="D84" s="24" t="str">
        <f>IF(ISBLANK(Data!E84),"Ongoing",TEXT(Data!E84,"mmm DD, yyyy h:mm:ss AM/PM"))</f>
        <v>Jun 30, 2020 11:59:59 PM</v>
      </c>
      <c r="E84" s="25">
        <f>Data!F84</f>
        <v>0</v>
      </c>
      <c r="F84" s="26" t="str">
        <f>Data!G84</f>
        <v>DailyRest</v>
      </c>
      <c r="G84" s="26">
        <f t="shared" si="1"/>
        <v>1</v>
      </c>
      <c r="H84" s="23" t="str">
        <f>Data!H84</f>
        <v>Minimum 2-hour rest per day violation</v>
      </c>
    </row>
    <row r="85" spans="1:8" x14ac:dyDescent="0.3">
      <c r="A85" s="23" t="str">
        <f>Data!A85</f>
        <v>Driver F</v>
      </c>
      <c r="B85" s="23" t="str">
        <f>Data!C85</f>
        <v>Entire Organization</v>
      </c>
      <c r="C85" s="24">
        <f>Data!D85</f>
        <v>43986.772125613425</v>
      </c>
      <c r="D85" s="24" t="str">
        <f>IF(ISBLANK(Data!E85),"Ongoing",TEXT(Data!E85,"mmm DD, yyyy h:mm:ss AM/PM"))</f>
        <v>Jun 09, 2020 12:00:00 AM</v>
      </c>
      <c r="E85" s="25">
        <f>Data!F85</f>
        <v>7.5566782407407405E-3</v>
      </c>
      <c r="F85" s="26" t="str">
        <f>Data!G85</f>
        <v>Workday</v>
      </c>
      <c r="G85" s="26">
        <f t="shared" si="1"/>
        <v>1</v>
      </c>
      <c r="H85" s="23" t="str">
        <f>Data!H85</f>
        <v>Maximum 14-hour workday limit violation</v>
      </c>
    </row>
    <row r="86" spans="1:8" x14ac:dyDescent="0.3">
      <c r="A86" s="23" t="str">
        <f>Data!A86</f>
        <v>Driver F</v>
      </c>
      <c r="B86" s="23" t="str">
        <f>Data!C86</f>
        <v>Entire Organization</v>
      </c>
      <c r="C86" s="24">
        <f>Data!D86</f>
        <v>43986.772125613425</v>
      </c>
      <c r="D86" s="24" t="str">
        <f>IF(ISBLANK(Data!E86),"Ongoing",TEXT(Data!E86,"mmm DD, yyyy h:mm:ss AM/PM"))</f>
        <v>Jun 09, 2020 12:00:00 AM</v>
      </c>
      <c r="E86" s="25">
        <f>Data!F86</f>
        <v>7.5566782407407405E-3</v>
      </c>
      <c r="F86" s="26" t="str">
        <f>Data!G86</f>
        <v>Rest</v>
      </c>
      <c r="G86" s="26">
        <f t="shared" si="1"/>
        <v>1</v>
      </c>
      <c r="H86" s="23" t="str">
        <f>Data!H86</f>
        <v>Driving after more than 8-hour rest limit violation</v>
      </c>
    </row>
    <row r="87" spans="1:8" x14ac:dyDescent="0.3">
      <c r="A87" s="23" t="str">
        <f>Data!A87</f>
        <v>Driver F</v>
      </c>
      <c r="B87" s="23" t="str">
        <f>Data!C87</f>
        <v>Entire Organization</v>
      </c>
      <c r="C87" s="24">
        <f>Data!D87</f>
        <v>43986.772125613425</v>
      </c>
      <c r="D87" s="24" t="str">
        <f>IF(ISBLANK(Data!E87),"Ongoing",TEXT(Data!E87,"mmm DD, yyyy h:mm:ss AM/PM"))</f>
        <v>Jun 13, 2020 12:00:00 AM</v>
      </c>
      <c r="E87" s="25">
        <f>Data!F87</f>
        <v>0.13587207175925925</v>
      </c>
      <c r="F87" s="26" t="str">
        <f>Data!G87</f>
        <v>Cycle</v>
      </c>
      <c r="G87" s="26">
        <f t="shared" si="1"/>
        <v>1</v>
      </c>
      <c r="H87" s="23" t="str">
        <f>Data!H87</f>
        <v>Maximum 60 hour(s) on duty in 7 days violation</v>
      </c>
    </row>
    <row r="88" spans="1:8" x14ac:dyDescent="0.3">
      <c r="A88" s="23" t="str">
        <f>Data!A88</f>
        <v>Driver F</v>
      </c>
      <c r="B88" s="23" t="str">
        <f>Data!C88</f>
        <v>Entire Organization</v>
      </c>
      <c r="C88" s="24">
        <f>Data!D88</f>
        <v>43992.726938888889</v>
      </c>
      <c r="D88" s="24" t="str">
        <f>IF(ISBLANK(Data!E88),"Ongoing",TEXT(Data!E88,"mmm DD, yyyy h:mm:ss AM/PM"))</f>
        <v>Jun 11, 2020 9:04:09 AM</v>
      </c>
      <c r="E88" s="25">
        <f>Data!F88</f>
        <v>6.2746874999999999E-3</v>
      </c>
      <c r="F88" s="26" t="str">
        <f>Data!G88</f>
        <v>Rest</v>
      </c>
      <c r="G88" s="26">
        <f t="shared" si="1"/>
        <v>1</v>
      </c>
      <c r="H88" s="23" t="str">
        <f>Data!H88</f>
        <v>Driving after more than 8-hour rest limit violation</v>
      </c>
    </row>
    <row r="89" spans="1:8" x14ac:dyDescent="0.3">
      <c r="A89" s="23" t="str">
        <f>Data!A89</f>
        <v>Driver F</v>
      </c>
      <c r="B89" s="23" t="str">
        <f>Data!C89</f>
        <v>Entire Organization</v>
      </c>
      <c r="C89" s="24">
        <f>Data!D89</f>
        <v>44002.37089953704</v>
      </c>
      <c r="D89" s="24" t="str">
        <f>IF(ISBLANK(Data!E89),"Ongoing",TEXT(Data!E89,"mmm DD, yyyy h:mm:ss AM/PM"))</f>
        <v>Jun 23, 2020 6:58:21 AM</v>
      </c>
      <c r="E89" s="25">
        <f>Data!F89</f>
        <v>2.087962962962963E-2</v>
      </c>
      <c r="F89" s="26" t="str">
        <f>Data!G89</f>
        <v>Rest</v>
      </c>
      <c r="G89" s="26">
        <f t="shared" si="1"/>
        <v>1</v>
      </c>
      <c r="H89" s="23" t="str">
        <f>Data!H89</f>
        <v>Driving after more than 8-hour rest limit violation</v>
      </c>
    </row>
    <row r="90" spans="1:8" x14ac:dyDescent="0.3">
      <c r="A90" s="23" t="str">
        <f>Data!A90</f>
        <v>Driver F</v>
      </c>
      <c r="B90" s="23" t="str">
        <f>Data!C90</f>
        <v>Entire Organization</v>
      </c>
      <c r="C90" s="24">
        <f>Data!D90</f>
        <v>44002.37089953704</v>
      </c>
      <c r="D90" s="24" t="str">
        <f>IF(ISBLANK(Data!E90),"Ongoing",TEXT(Data!E90,"mmm DD, yyyy h:mm:ss AM/PM"))</f>
        <v>Jun 23, 2020 9:17:14 AM</v>
      </c>
      <c r="E90" s="25">
        <f>Data!F90</f>
        <v>2.087962962962963E-2</v>
      </c>
      <c r="F90" s="26" t="str">
        <f>Data!G90</f>
        <v>Workday</v>
      </c>
      <c r="G90" s="26">
        <f t="shared" si="1"/>
        <v>1</v>
      </c>
      <c r="H90" s="23" t="str">
        <f>Data!H90</f>
        <v>Maximum 14-hour workday limit violation</v>
      </c>
    </row>
    <row r="91" spans="1:8" x14ac:dyDescent="0.3">
      <c r="A91" s="23" t="str">
        <f>Data!A91</f>
        <v>Driver G</v>
      </c>
      <c r="B91" s="23" t="str">
        <f>Data!C91</f>
        <v>Entire Organization</v>
      </c>
      <c r="C91" s="24">
        <f>Data!D91</f>
        <v>43984.48047141204</v>
      </c>
      <c r="D91" s="24" t="str">
        <f>IF(ISBLANK(Data!E91),"Ongoing",TEXT(Data!E91,"mmm DD, yyyy h:mm:ss AM/PM"))</f>
        <v>Jun 22, 2020 4:11:00 PM</v>
      </c>
      <c r="E91" s="25">
        <f>Data!F91</f>
        <v>0.61101518518518516</v>
      </c>
      <c r="F91" s="26" t="str">
        <f>Data!G91</f>
        <v>Duty</v>
      </c>
      <c r="G91" s="26">
        <f t="shared" si="1"/>
        <v>1</v>
      </c>
      <c r="H91" s="23" t="str">
        <f>Data!H91</f>
        <v>Maximum 16-hour on-duty limit violation</v>
      </c>
    </row>
    <row r="92" spans="1:8" x14ac:dyDescent="0.3">
      <c r="A92" s="23" t="str">
        <f>Data!A92</f>
        <v>Driver G</v>
      </c>
      <c r="B92" s="23" t="str">
        <f>Data!C92</f>
        <v>Entire Organization</v>
      </c>
      <c r="C92" s="24">
        <f>Data!D92</f>
        <v>43985.677884108794</v>
      </c>
      <c r="D92" s="24" t="str">
        <f>IF(ISBLANK(Data!E92),"Ongoing",TEXT(Data!E92,"mmm DD, yyyy h:mm:ss AM/PM"))</f>
        <v>Jun 19, 2020 12:19:27 PM</v>
      </c>
      <c r="E92" s="25">
        <f>Data!F92</f>
        <v>0.56953260416666662</v>
      </c>
      <c r="F92" s="26" t="str">
        <f>Data!G92</f>
        <v>Rest</v>
      </c>
      <c r="G92" s="26">
        <f t="shared" si="1"/>
        <v>1</v>
      </c>
      <c r="H92" s="23" t="str">
        <f>Data!H92</f>
        <v>Driving after more than 5-hour rest limit violation</v>
      </c>
    </row>
    <row r="93" spans="1:8" x14ac:dyDescent="0.3">
      <c r="A93" s="23" t="str">
        <f>Data!A93</f>
        <v>Driver G</v>
      </c>
      <c r="B93" s="23" t="str">
        <f>Data!C93</f>
        <v>Entire Organization</v>
      </c>
      <c r="C93" s="24">
        <f>Data!D93</f>
        <v>43991.746006944442</v>
      </c>
      <c r="D93" s="24" t="str">
        <f>IF(ISBLANK(Data!E93),"Ongoing",TEXT(Data!E93,"mmm DD, yyyy h:mm:ss AM/PM"))</f>
        <v>Jun 23, 2020 1:06:03 PM</v>
      </c>
      <c r="E93" s="25">
        <f>Data!F93</f>
        <v>0.7125079861111111</v>
      </c>
      <c r="F93" s="26" t="str">
        <f>Data!G93</f>
        <v>Cycle</v>
      </c>
      <c r="G93" s="26">
        <f t="shared" si="1"/>
        <v>1</v>
      </c>
      <c r="H93" s="23" t="str">
        <f>Data!H93</f>
        <v>Maximum 112 hour(s) on duty in 8 days violation</v>
      </c>
    </row>
    <row r="94" spans="1:8" x14ac:dyDescent="0.3">
      <c r="A94" s="23" t="str">
        <f>Data!A94</f>
        <v>Driver G</v>
      </c>
      <c r="B94" s="23" t="str">
        <f>Data!C94</f>
        <v>Entire Organization</v>
      </c>
      <c r="C94" s="24">
        <f>Data!D94</f>
        <v>44000.325770358795</v>
      </c>
      <c r="D94" s="24" t="str">
        <f>IF(ISBLANK(Data!E94),"Ongoing",TEXT(Data!E94,"mmm DD, yyyy h:mm:ss AM/PM"))</f>
        <v>Jun 22, 2020 4:11:00 PM</v>
      </c>
      <c r="E94" s="25">
        <f>Data!F94</f>
        <v>0.13607042824074075</v>
      </c>
      <c r="F94" s="26" t="str">
        <f>Data!G94</f>
        <v>Driving</v>
      </c>
      <c r="G94" s="26">
        <f t="shared" si="1"/>
        <v>1</v>
      </c>
      <c r="H94" s="23" t="str">
        <f>Data!H94</f>
        <v>Maximum 12-hour driving limit violation</v>
      </c>
    </row>
    <row r="95" spans="1:8" x14ac:dyDescent="0.3">
      <c r="A95" s="23" t="str">
        <f>Data!A95</f>
        <v>Driver G</v>
      </c>
      <c r="B95" s="23" t="str">
        <f>Data!C95</f>
        <v>Entire Organization</v>
      </c>
      <c r="C95" s="24">
        <f>Data!D95</f>
        <v>44002.529391053242</v>
      </c>
      <c r="D95" s="24" t="str">
        <f>IF(ISBLANK(Data!E95),"Ongoing",TEXT(Data!E95,"mmm DD, yyyy h:mm:ss AM/PM"))</f>
        <v>Jun 22, 2020 4:11:00 PM</v>
      </c>
      <c r="E95" s="25">
        <f>Data!F95</f>
        <v>2.3583750000000001E-2</v>
      </c>
      <c r="F95" s="26" t="str">
        <f>Data!G95</f>
        <v>Rest</v>
      </c>
      <c r="G95" s="26">
        <f t="shared" si="1"/>
        <v>1</v>
      </c>
      <c r="H95" s="23" t="str">
        <f>Data!H95</f>
        <v>Driving after more than 5-hour rest limit violation</v>
      </c>
    </row>
    <row r="96" spans="1:8" x14ac:dyDescent="0.3">
      <c r="A96" s="23" t="str">
        <f>Data!A96</f>
        <v>Driver G</v>
      </c>
      <c r="B96" s="23" t="str">
        <f>Data!C96</f>
        <v>Entire Organization</v>
      </c>
      <c r="C96" s="24">
        <f>Data!D96</f>
        <v>44005.525129016205</v>
      </c>
      <c r="D96" s="24" t="str">
        <f>IF(ISBLANK(Data!E96),"Ongoing",TEXT(Data!E96,"mmm DD, yyyy h:mm:ss AM/PM"))</f>
        <v>Jun 23, 2020 1:06:03 PM</v>
      </c>
      <c r="E96" s="25">
        <f>Data!F96</f>
        <v>2.0742627314814816E-2</v>
      </c>
      <c r="F96" s="26" t="str">
        <f>Data!G96</f>
        <v>Rest</v>
      </c>
      <c r="G96" s="26">
        <f t="shared" si="1"/>
        <v>1</v>
      </c>
      <c r="H96" s="23" t="str">
        <f>Data!H96</f>
        <v>Driving after more than 5-hour rest limit violation</v>
      </c>
    </row>
  </sheetData>
  <autoFilter ref="A9:H9" xr:uid="{00000000-0009-0000-0000-000000000000}"/>
  <mergeCells count="3">
    <mergeCell ref="A4:B4"/>
    <mergeCell ref="D4:D5"/>
    <mergeCell ref="E4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tabSelected="1" workbookViewId="0"/>
  </sheetViews>
  <sheetFormatPr defaultRowHeight="12.75" x14ac:dyDescent="0.2"/>
  <cols>
    <col min="1" max="2" width="25.7109375" customWidth="1"/>
    <col min="3" max="3" width="50.7109375" customWidth="1"/>
  </cols>
  <sheetData>
    <row r="1" spans="1:4" s="11" customFormat="1" ht="25.5" customHeight="1" x14ac:dyDescent="0.45">
      <c r="A1" s="29" t="s">
        <v>170</v>
      </c>
      <c r="B1" s="10"/>
      <c r="C1" s="44">
        <f>Data!B2</f>
        <v>44013.472850081016</v>
      </c>
    </row>
    <row r="2" spans="1:4" s="15" customFormat="1" ht="25.5" customHeight="1" x14ac:dyDescent="0.5">
      <c r="A2" s="13" t="str">
        <f>Data!B1</f>
        <v>ABC Company</v>
      </c>
      <c r="B2" s="14"/>
    </row>
    <row r="3" spans="1:4" s="20" customFormat="1" ht="17.45" customHeight="1" x14ac:dyDescent="0.3">
      <c r="A3" s="18"/>
      <c r="B3" s="19"/>
    </row>
    <row r="4" spans="1:4" s="16" customFormat="1" ht="17.45" customHeight="1" x14ac:dyDescent="0.3">
      <c r="A4" s="58" t="s">
        <v>45</v>
      </c>
      <c r="B4" s="59"/>
    </row>
    <row r="5" spans="1:4" s="16" customFormat="1" ht="17.45" customHeight="1" x14ac:dyDescent="0.3">
      <c r="A5" s="31" t="s">
        <v>66</v>
      </c>
      <c r="B5" s="32">
        <f>Data!B3</f>
        <v>43983.472843807867</v>
      </c>
    </row>
    <row r="6" spans="1:4" s="16" customFormat="1" ht="17.45" customHeight="1" x14ac:dyDescent="0.3">
      <c r="A6" s="31" t="s">
        <v>75</v>
      </c>
      <c r="B6" s="32">
        <f>Data!B4</f>
        <v>44013.472843807867</v>
      </c>
    </row>
    <row r="7" spans="1:4" s="16" customFormat="1" ht="17.45" customHeight="1" x14ac:dyDescent="0.3">
      <c r="A7" s="31" t="s">
        <v>113</v>
      </c>
      <c r="B7" s="33">
        <f>B6-B5</f>
        <v>30</v>
      </c>
    </row>
    <row r="8" spans="1:4" ht="17.45" customHeight="1" x14ac:dyDescent="0.2"/>
    <row r="9" spans="1:4" ht="17.45" customHeight="1" x14ac:dyDescent="0.3">
      <c r="A9" s="41" t="s">
        <v>173</v>
      </c>
      <c r="B9" s="33">
        <f>Report!E4</f>
        <v>87</v>
      </c>
    </row>
    <row r="14" spans="1:4" ht="12.75" customHeight="1" x14ac:dyDescent="0.2">
      <c r="C14" s="62">
        <f>Report!E4</f>
        <v>87</v>
      </c>
      <c r="D14" s="40"/>
    </row>
    <row r="15" spans="1:4" ht="12.75" customHeight="1" x14ac:dyDescent="0.2">
      <c r="C15" s="62"/>
      <c r="D15" s="40"/>
    </row>
    <row r="16" spans="1:4" ht="12.75" customHeight="1" x14ac:dyDescent="0.2">
      <c r="C16" s="62"/>
      <c r="D16" s="40"/>
    </row>
    <row r="17" spans="3:4" ht="12.75" customHeight="1" x14ac:dyDescent="0.2">
      <c r="C17" s="62"/>
      <c r="D17" s="40"/>
    </row>
    <row r="18" spans="3:4" ht="12.75" customHeight="1" x14ac:dyDescent="0.2">
      <c r="C18" s="62"/>
      <c r="D18" s="40"/>
    </row>
    <row r="19" spans="3:4" ht="12.75" customHeight="1" x14ac:dyDescent="0.2">
      <c r="C19" s="62"/>
      <c r="D19" s="40"/>
    </row>
    <row r="20" spans="3:4" ht="12.75" customHeight="1" x14ac:dyDescent="0.2">
      <c r="C20" s="62"/>
      <c r="D20" s="40"/>
    </row>
    <row r="21" spans="3:4" ht="12.75" customHeight="1" x14ac:dyDescent="0.2">
      <c r="C21" s="62"/>
      <c r="D21" s="40"/>
    </row>
    <row r="22" spans="3:4" ht="12.75" customHeight="1" x14ac:dyDescent="0.2">
      <c r="C22" s="62"/>
      <c r="D22" s="40"/>
    </row>
  </sheetData>
  <mergeCells count="2">
    <mergeCell ref="A4:B4"/>
    <mergeCell ref="C14:C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3"/>
  <sheetViews>
    <sheetView showGridLines="0" workbookViewId="0">
      <pane ySplit="9" topLeftCell="A10" activePane="bottomLeft" state="frozen"/>
      <selection pane="bottomLeft"/>
    </sheetView>
  </sheetViews>
  <sheetFormatPr defaultRowHeight="14.25" x14ac:dyDescent="0.25"/>
  <cols>
    <col min="1" max="1" width="25.7109375" style="20" customWidth="1"/>
    <col min="2" max="2" width="25.7109375" style="19" customWidth="1"/>
    <col min="3" max="3" width="50.7109375" style="20" customWidth="1"/>
    <col min="4" max="4" width="24.140625" style="20" bestFit="1" customWidth="1"/>
    <col min="5" max="5" width="10.7109375" style="34" customWidth="1"/>
    <col min="6" max="7" width="20.7109375" style="20" customWidth="1"/>
    <col min="8" max="8" width="12.7109375" style="20" customWidth="1"/>
    <col min="9" max="9" width="18" style="20" customWidth="1"/>
    <col min="10" max="10" width="15.28515625" style="20" customWidth="1"/>
    <col min="11" max="11" width="23" style="20" customWidth="1"/>
    <col min="12" max="12" width="21" style="20" customWidth="1"/>
    <col min="13" max="13" width="20.5703125" style="20" customWidth="1"/>
    <col min="14" max="16384" width="9.140625" style="20"/>
  </cols>
  <sheetData>
    <row r="1" spans="1:8" s="11" customFormat="1" ht="25.5" customHeight="1" x14ac:dyDescent="0.45">
      <c r="A1" s="29" t="s">
        <v>170</v>
      </c>
      <c r="B1" s="10"/>
      <c r="C1" s="44">
        <f>Data!B2</f>
        <v>44013.472850081016</v>
      </c>
      <c r="E1" s="10"/>
    </row>
    <row r="2" spans="1:8" s="15" customFormat="1" ht="25.5" customHeight="1" x14ac:dyDescent="0.5">
      <c r="A2" s="13" t="str">
        <f>Data!B1</f>
        <v>ABC Company</v>
      </c>
      <c r="B2" s="14"/>
      <c r="E2" s="14"/>
    </row>
    <row r="3" spans="1:8" ht="17.45" customHeight="1" x14ac:dyDescent="0.3">
      <c r="A3" s="18"/>
    </row>
    <row r="4" spans="1:8" s="16" customFormat="1" ht="17.45" customHeight="1" x14ac:dyDescent="0.3">
      <c r="A4" s="58" t="s">
        <v>45</v>
      </c>
      <c r="B4" s="59"/>
      <c r="D4" s="42"/>
      <c r="E4" s="43"/>
    </row>
    <row r="5" spans="1:8" s="16" customFormat="1" ht="17.45" customHeight="1" x14ac:dyDescent="0.3">
      <c r="A5" s="31" t="s">
        <v>66</v>
      </c>
      <c r="B5" s="32">
        <f>Data!B3</f>
        <v>43983.472843807867</v>
      </c>
      <c r="D5" s="42"/>
      <c r="E5" s="43"/>
    </row>
    <row r="6" spans="1:8" s="16" customFormat="1" ht="17.45" customHeight="1" x14ac:dyDescent="0.3">
      <c r="A6" s="31" t="s">
        <v>75</v>
      </c>
      <c r="B6" s="32">
        <f>Data!B4</f>
        <v>44013.472843807867</v>
      </c>
      <c r="E6" s="35"/>
    </row>
    <row r="7" spans="1:8" s="16" customFormat="1" ht="17.45" customHeight="1" x14ac:dyDescent="0.3">
      <c r="A7" s="31" t="s">
        <v>113</v>
      </c>
      <c r="B7" s="33">
        <f>B6-B5</f>
        <v>30</v>
      </c>
      <c r="E7" s="35"/>
    </row>
    <row r="8" spans="1:8" ht="17.45" customHeight="1" x14ac:dyDescent="0.3">
      <c r="A8" s="17"/>
      <c r="B8" s="21"/>
      <c r="C8" s="17"/>
      <c r="D8" s="22"/>
    </row>
    <row r="9" spans="1:8" s="28" customFormat="1" ht="17.25" x14ac:dyDescent="0.3">
      <c r="A9" s="54" t="s">
        <v>35</v>
      </c>
      <c r="B9" s="49" t="s">
        <v>116</v>
      </c>
      <c r="C9" s="54" t="s">
        <v>114</v>
      </c>
      <c r="D9" s="53" t="s">
        <v>171</v>
      </c>
      <c r="E9" s="47"/>
      <c r="F9" s="47"/>
      <c r="G9" s="47"/>
    </row>
    <row r="10" spans="1:8" s="16" customFormat="1" ht="16.5" x14ac:dyDescent="0.3">
      <c r="A10" s="50" t="s">
        <v>215</v>
      </c>
      <c r="B10" s="50" t="s">
        <v>16</v>
      </c>
      <c r="C10" s="50" t="s">
        <v>211</v>
      </c>
      <c r="D10" s="52">
        <v>1</v>
      </c>
      <c r="E10"/>
      <c r="F10"/>
      <c r="G10"/>
      <c r="H10" s="27"/>
    </row>
    <row r="11" spans="1:8" s="16" customFormat="1" ht="16.5" x14ac:dyDescent="0.3">
      <c r="A11" s="50" t="s">
        <v>215</v>
      </c>
      <c r="B11" s="50" t="s">
        <v>16</v>
      </c>
      <c r="C11" s="50" t="s">
        <v>183</v>
      </c>
      <c r="D11" s="52">
        <v>1</v>
      </c>
      <c r="E11"/>
      <c r="F11"/>
      <c r="G11"/>
    </row>
    <row r="12" spans="1:8" s="16" customFormat="1" ht="16.5" x14ac:dyDescent="0.3">
      <c r="A12" s="50" t="s">
        <v>215</v>
      </c>
      <c r="B12" s="50" t="s">
        <v>18</v>
      </c>
      <c r="C12" s="50" t="s">
        <v>182</v>
      </c>
      <c r="D12" s="52">
        <v>1</v>
      </c>
      <c r="E12"/>
      <c r="F12"/>
      <c r="G12"/>
    </row>
    <row r="13" spans="1:8" s="16" customFormat="1" ht="16.5" x14ac:dyDescent="0.3">
      <c r="A13" s="50" t="s">
        <v>215</v>
      </c>
      <c r="B13" s="50" t="s">
        <v>19</v>
      </c>
      <c r="C13" s="50" t="s">
        <v>184</v>
      </c>
      <c r="D13" s="52">
        <v>1</v>
      </c>
      <c r="E13"/>
      <c r="F13"/>
      <c r="G13"/>
    </row>
    <row r="14" spans="1:8" s="16" customFormat="1" ht="16.5" x14ac:dyDescent="0.3">
      <c r="A14" s="50" t="s">
        <v>216</v>
      </c>
      <c r="B14" s="50" t="s">
        <v>18</v>
      </c>
      <c r="C14" s="50" t="s">
        <v>182</v>
      </c>
      <c r="D14" s="52">
        <v>1</v>
      </c>
      <c r="E14"/>
      <c r="F14"/>
      <c r="G14"/>
    </row>
    <row r="15" spans="1:8" s="16" customFormat="1" ht="16.5" x14ac:dyDescent="0.3">
      <c r="A15" s="50" t="s">
        <v>217</v>
      </c>
      <c r="B15" s="50" t="s">
        <v>20</v>
      </c>
      <c r="C15" s="50" t="s">
        <v>188</v>
      </c>
      <c r="D15" s="52">
        <v>3</v>
      </c>
      <c r="E15"/>
      <c r="F15"/>
      <c r="G15"/>
    </row>
    <row r="16" spans="1:8" s="16" customFormat="1" ht="16.5" x14ac:dyDescent="0.3">
      <c r="A16" s="50" t="s">
        <v>217</v>
      </c>
      <c r="B16" s="50" t="s">
        <v>18</v>
      </c>
      <c r="C16" s="50" t="s">
        <v>182</v>
      </c>
      <c r="D16" s="52">
        <v>2</v>
      </c>
      <c r="E16"/>
      <c r="F16"/>
      <c r="G16"/>
    </row>
    <row r="17" spans="1:7" s="16" customFormat="1" ht="16.5" x14ac:dyDescent="0.3">
      <c r="A17" s="50" t="s">
        <v>217</v>
      </c>
      <c r="B17" s="50" t="s">
        <v>19</v>
      </c>
      <c r="C17" s="50" t="s">
        <v>184</v>
      </c>
      <c r="D17" s="52">
        <v>2</v>
      </c>
      <c r="E17"/>
      <c r="F17"/>
      <c r="G17"/>
    </row>
    <row r="18" spans="1:7" s="16" customFormat="1" ht="16.5" x14ac:dyDescent="0.3">
      <c r="A18" s="50" t="s">
        <v>218</v>
      </c>
      <c r="B18" s="50" t="s">
        <v>20</v>
      </c>
      <c r="C18" s="50" t="s">
        <v>192</v>
      </c>
      <c r="D18" s="52">
        <v>1</v>
      </c>
      <c r="E18"/>
      <c r="F18"/>
      <c r="G18"/>
    </row>
    <row r="19" spans="1:7" s="16" customFormat="1" ht="16.5" x14ac:dyDescent="0.3">
      <c r="A19" s="50" t="s">
        <v>218</v>
      </c>
      <c r="B19" s="50" t="s">
        <v>16</v>
      </c>
      <c r="C19" s="50" t="s">
        <v>191</v>
      </c>
      <c r="D19" s="52">
        <v>1</v>
      </c>
      <c r="E19"/>
      <c r="F19"/>
      <c r="G19"/>
    </row>
    <row r="20" spans="1:7" ht="16.5" x14ac:dyDescent="0.3">
      <c r="A20" s="50" t="s">
        <v>218</v>
      </c>
      <c r="B20" s="50" t="s">
        <v>21</v>
      </c>
      <c r="C20" s="50" t="s">
        <v>190</v>
      </c>
      <c r="D20" s="52">
        <v>1</v>
      </c>
      <c r="E20"/>
      <c r="F20"/>
      <c r="G20"/>
    </row>
    <row r="21" spans="1:7" ht="16.5" x14ac:dyDescent="0.3">
      <c r="A21" s="50" t="s">
        <v>219</v>
      </c>
      <c r="B21" s="50" t="s">
        <v>20</v>
      </c>
      <c r="C21" s="50" t="s">
        <v>185</v>
      </c>
      <c r="D21" s="52">
        <v>1</v>
      </c>
      <c r="E21"/>
      <c r="F21"/>
      <c r="G21"/>
    </row>
    <row r="22" spans="1:7" ht="16.5" x14ac:dyDescent="0.3">
      <c r="A22" s="50" t="s">
        <v>219</v>
      </c>
      <c r="B22" s="50" t="s">
        <v>20</v>
      </c>
      <c r="C22" s="50" t="s">
        <v>192</v>
      </c>
      <c r="D22" s="52">
        <v>3</v>
      </c>
      <c r="E22"/>
      <c r="F22"/>
      <c r="G22"/>
    </row>
    <row r="23" spans="1:7" ht="16.5" x14ac:dyDescent="0.3">
      <c r="A23" s="50" t="s">
        <v>219</v>
      </c>
      <c r="B23" s="50" t="s">
        <v>20</v>
      </c>
      <c r="C23" s="50" t="s">
        <v>188</v>
      </c>
      <c r="D23" s="52">
        <v>1</v>
      </c>
      <c r="E23"/>
      <c r="F23"/>
      <c r="G23"/>
    </row>
    <row r="24" spans="1:7" ht="16.5" x14ac:dyDescent="0.3">
      <c r="A24" s="50" t="s">
        <v>219</v>
      </c>
      <c r="B24" s="50" t="s">
        <v>199</v>
      </c>
      <c r="C24" s="50" t="s">
        <v>200</v>
      </c>
      <c r="D24" s="52">
        <v>2</v>
      </c>
      <c r="E24"/>
      <c r="F24"/>
      <c r="G24"/>
    </row>
    <row r="25" spans="1:7" ht="16.5" x14ac:dyDescent="0.3">
      <c r="A25" s="50" t="s">
        <v>219</v>
      </c>
      <c r="B25" s="50" t="s">
        <v>201</v>
      </c>
      <c r="C25" s="50" t="s">
        <v>202</v>
      </c>
      <c r="D25" s="52">
        <v>6</v>
      </c>
      <c r="E25"/>
      <c r="F25"/>
      <c r="G25"/>
    </row>
    <row r="26" spans="1:7" ht="16.5" x14ac:dyDescent="0.3">
      <c r="A26" s="50" t="s">
        <v>219</v>
      </c>
      <c r="B26" s="50" t="s">
        <v>195</v>
      </c>
      <c r="C26" s="50" t="s">
        <v>196</v>
      </c>
      <c r="D26" s="52">
        <v>11</v>
      </c>
      <c r="E26"/>
      <c r="F26"/>
      <c r="G26"/>
    </row>
    <row r="27" spans="1:7" ht="16.5" x14ac:dyDescent="0.3">
      <c r="A27" s="50" t="s">
        <v>219</v>
      </c>
      <c r="B27" s="50" t="s">
        <v>203</v>
      </c>
      <c r="C27" s="50" t="s">
        <v>204</v>
      </c>
      <c r="D27" s="52">
        <v>7</v>
      </c>
      <c r="E27"/>
      <c r="F27"/>
      <c r="G27"/>
    </row>
    <row r="28" spans="1:7" ht="16.5" x14ac:dyDescent="0.3">
      <c r="A28" s="50" t="s">
        <v>219</v>
      </c>
      <c r="B28" s="50" t="s">
        <v>16</v>
      </c>
      <c r="C28" s="50" t="s">
        <v>183</v>
      </c>
      <c r="D28" s="52">
        <v>1</v>
      </c>
      <c r="E28"/>
      <c r="F28"/>
      <c r="G28"/>
    </row>
    <row r="29" spans="1:7" ht="16.5" x14ac:dyDescent="0.3">
      <c r="A29" s="50" t="s">
        <v>219</v>
      </c>
      <c r="B29" s="50" t="s">
        <v>16</v>
      </c>
      <c r="C29" s="50" t="s">
        <v>212</v>
      </c>
      <c r="D29" s="52">
        <v>1</v>
      </c>
      <c r="E29"/>
      <c r="F29"/>
      <c r="G29"/>
    </row>
    <row r="30" spans="1:7" ht="16.5" x14ac:dyDescent="0.3">
      <c r="A30" s="50" t="s">
        <v>219</v>
      </c>
      <c r="B30" s="50" t="s">
        <v>21</v>
      </c>
      <c r="C30" s="50" t="s">
        <v>198</v>
      </c>
      <c r="D30" s="52">
        <v>7</v>
      </c>
      <c r="E30"/>
      <c r="F30"/>
      <c r="G30"/>
    </row>
    <row r="31" spans="1:7" ht="16.5" x14ac:dyDescent="0.3">
      <c r="A31" s="50" t="s">
        <v>219</v>
      </c>
      <c r="B31" s="50" t="s">
        <v>18</v>
      </c>
      <c r="C31" s="50" t="s">
        <v>182</v>
      </c>
      <c r="D31" s="52">
        <v>9</v>
      </c>
      <c r="E31"/>
      <c r="F31"/>
      <c r="G31"/>
    </row>
    <row r="32" spans="1:7" ht="16.5" x14ac:dyDescent="0.3">
      <c r="A32" s="50" t="s">
        <v>219</v>
      </c>
      <c r="B32" s="50" t="s">
        <v>19</v>
      </c>
      <c r="C32" s="50" t="s">
        <v>194</v>
      </c>
      <c r="D32" s="52">
        <v>1</v>
      </c>
      <c r="E32"/>
      <c r="F32"/>
      <c r="G32"/>
    </row>
    <row r="33" spans="1:7" ht="16.5" x14ac:dyDescent="0.3">
      <c r="A33" s="50" t="s">
        <v>219</v>
      </c>
      <c r="B33" s="50" t="s">
        <v>19</v>
      </c>
      <c r="C33" s="50" t="s">
        <v>184</v>
      </c>
      <c r="D33" s="52">
        <v>3</v>
      </c>
      <c r="E33"/>
      <c r="F33"/>
      <c r="G33"/>
    </row>
    <row r="34" spans="1:7" ht="16.5" x14ac:dyDescent="0.3">
      <c r="A34" s="50" t="s">
        <v>219</v>
      </c>
      <c r="B34" s="50" t="s">
        <v>19</v>
      </c>
      <c r="C34" s="50" t="s">
        <v>197</v>
      </c>
      <c r="D34" s="52">
        <v>7</v>
      </c>
      <c r="E34"/>
      <c r="F34"/>
      <c r="G34"/>
    </row>
    <row r="35" spans="1:7" ht="16.5" x14ac:dyDescent="0.3">
      <c r="A35" s="50" t="s">
        <v>220</v>
      </c>
      <c r="B35" s="50" t="s">
        <v>20</v>
      </c>
      <c r="C35" s="50" t="s">
        <v>185</v>
      </c>
      <c r="D35" s="52">
        <v>1</v>
      </c>
      <c r="E35"/>
      <c r="F35"/>
      <c r="G35"/>
    </row>
    <row r="36" spans="1:7" ht="16.5" x14ac:dyDescent="0.3">
      <c r="A36" s="50" t="s">
        <v>220</v>
      </c>
      <c r="B36" s="50" t="s">
        <v>18</v>
      </c>
      <c r="C36" s="50" t="s">
        <v>182</v>
      </c>
      <c r="D36" s="52">
        <v>3</v>
      </c>
      <c r="E36"/>
      <c r="F36"/>
      <c r="G36"/>
    </row>
    <row r="37" spans="1:7" ht="16.5" x14ac:dyDescent="0.3">
      <c r="A37" s="50" t="s">
        <v>220</v>
      </c>
      <c r="B37" s="50" t="s">
        <v>19</v>
      </c>
      <c r="C37" s="50" t="s">
        <v>184</v>
      </c>
      <c r="D37" s="52">
        <v>2</v>
      </c>
      <c r="E37"/>
      <c r="F37"/>
      <c r="G37"/>
    </row>
    <row r="38" spans="1:7" ht="16.5" x14ac:dyDescent="0.3">
      <c r="A38" s="50" t="s">
        <v>221</v>
      </c>
      <c r="B38" s="50" t="s">
        <v>20</v>
      </c>
      <c r="C38" s="50" t="s">
        <v>209</v>
      </c>
      <c r="D38" s="52">
        <v>1</v>
      </c>
      <c r="E38"/>
      <c r="F38"/>
      <c r="G38"/>
    </row>
    <row r="39" spans="1:7" ht="16.5" x14ac:dyDescent="0.3">
      <c r="A39" s="50" t="s">
        <v>221</v>
      </c>
      <c r="B39" s="50" t="s">
        <v>16</v>
      </c>
      <c r="C39" s="50" t="s">
        <v>210</v>
      </c>
      <c r="D39" s="52">
        <v>1</v>
      </c>
      <c r="E39"/>
      <c r="F39"/>
      <c r="G39"/>
    </row>
    <row r="40" spans="1:7" ht="16.5" x14ac:dyDescent="0.3">
      <c r="A40" s="50" t="s">
        <v>221</v>
      </c>
      <c r="B40" s="50" t="s">
        <v>21</v>
      </c>
      <c r="C40" s="50" t="s">
        <v>207</v>
      </c>
      <c r="D40" s="52">
        <v>1</v>
      </c>
      <c r="E40"/>
      <c r="F40"/>
      <c r="G40"/>
    </row>
    <row r="41" spans="1:7" ht="16.5" x14ac:dyDescent="0.3">
      <c r="A41" s="50" t="s">
        <v>221</v>
      </c>
      <c r="B41" s="50" t="s">
        <v>18</v>
      </c>
      <c r="C41" s="50" t="s">
        <v>208</v>
      </c>
      <c r="D41" s="52">
        <v>3</v>
      </c>
      <c r="E41"/>
      <c r="F41"/>
      <c r="G41"/>
    </row>
    <row r="42" spans="1:7" ht="16.5" x14ac:dyDescent="0.3">
      <c r="A42" s="51" t="s">
        <v>0</v>
      </c>
      <c r="B42" s="51"/>
      <c r="C42" s="51"/>
      <c r="D42" s="52">
        <v>87</v>
      </c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</sheetData>
  <mergeCells count="1">
    <mergeCell ref="A4:B4"/>
  </mergeCell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4"/>
  <sheetViews>
    <sheetView showGridLines="0" workbookViewId="0">
      <pane ySplit="9" topLeftCell="A10" activePane="bottomLeft" state="frozen"/>
      <selection pane="bottomLeft"/>
    </sheetView>
  </sheetViews>
  <sheetFormatPr defaultRowHeight="14.25" x14ac:dyDescent="0.25"/>
  <cols>
    <col min="1" max="1" width="25.7109375" style="20" customWidth="1"/>
    <col min="2" max="2" width="25.7109375" style="19" customWidth="1"/>
    <col min="3" max="3" width="18.7109375" style="20" customWidth="1"/>
    <col min="4" max="4" width="50.7109375" style="20" customWidth="1"/>
    <col min="5" max="5" width="32.7109375" style="34" customWidth="1"/>
    <col min="6" max="6" width="30.7109375" style="20" customWidth="1"/>
    <col min="7" max="8" width="25.7109375" style="34" customWidth="1"/>
    <col min="9" max="9" width="18" style="20" customWidth="1"/>
    <col min="10" max="10" width="15.28515625" style="20" customWidth="1"/>
    <col min="11" max="11" width="23" style="20" customWidth="1"/>
    <col min="12" max="12" width="21" style="20" customWidth="1"/>
    <col min="13" max="13" width="20.5703125" style="20" customWidth="1"/>
    <col min="14" max="16384" width="9.140625" style="20"/>
  </cols>
  <sheetData>
    <row r="1" spans="1:8" s="11" customFormat="1" ht="25.5" customHeight="1" x14ac:dyDescent="0.45">
      <c r="A1" s="29" t="s">
        <v>170</v>
      </c>
      <c r="B1" s="10"/>
      <c r="C1" s="44">
        <f>Data!B2</f>
        <v>44013.472850081016</v>
      </c>
      <c r="E1" s="10"/>
      <c r="G1" s="10"/>
      <c r="H1" s="10"/>
    </row>
    <row r="2" spans="1:8" s="15" customFormat="1" ht="25.5" customHeight="1" x14ac:dyDescent="0.5">
      <c r="A2" s="13" t="str">
        <f>Data!B1</f>
        <v>ABC Company</v>
      </c>
      <c r="B2" s="14"/>
      <c r="E2" s="14"/>
      <c r="G2" s="14"/>
      <c r="H2" s="14"/>
    </row>
    <row r="3" spans="1:8" ht="17.45" customHeight="1" x14ac:dyDescent="0.3">
      <c r="A3" s="18"/>
    </row>
    <row r="4" spans="1:8" s="16" customFormat="1" ht="17.45" customHeight="1" x14ac:dyDescent="0.3">
      <c r="A4" s="58" t="s">
        <v>45</v>
      </c>
      <c r="B4" s="59"/>
      <c r="D4" s="42"/>
      <c r="E4" s="43"/>
      <c r="G4" s="35"/>
      <c r="H4" s="35"/>
    </row>
    <row r="5" spans="1:8" s="16" customFormat="1" ht="17.45" customHeight="1" x14ac:dyDescent="0.3">
      <c r="A5" s="31" t="s">
        <v>66</v>
      </c>
      <c r="B5" s="32">
        <f>Data!B3</f>
        <v>43983.472843807867</v>
      </c>
      <c r="D5" s="42"/>
      <c r="E5" s="43"/>
      <c r="G5" s="35"/>
      <c r="H5" s="35"/>
    </row>
    <row r="6" spans="1:8" s="16" customFormat="1" ht="17.45" customHeight="1" x14ac:dyDescent="0.3">
      <c r="A6" s="31" t="s">
        <v>75</v>
      </c>
      <c r="B6" s="32">
        <f>Data!B4</f>
        <v>44013.472843807867</v>
      </c>
      <c r="E6" s="35"/>
      <c r="G6" s="35"/>
      <c r="H6" s="35"/>
    </row>
    <row r="7" spans="1:8" s="16" customFormat="1" ht="17.45" customHeight="1" x14ac:dyDescent="0.3">
      <c r="A7" s="31" t="s">
        <v>113</v>
      </c>
      <c r="B7" s="33">
        <f>B6-B5</f>
        <v>30</v>
      </c>
      <c r="E7" s="35"/>
      <c r="G7" s="35"/>
      <c r="H7" s="35"/>
    </row>
    <row r="8" spans="1:8" ht="17.45" customHeight="1" x14ac:dyDescent="0.3">
      <c r="A8" s="17"/>
      <c r="B8" s="21"/>
      <c r="C8" s="17"/>
      <c r="D8" s="22"/>
    </row>
    <row r="9" spans="1:8" s="28" customFormat="1" ht="18" customHeight="1" x14ac:dyDescent="0.3">
      <c r="A9" s="54" t="s">
        <v>35</v>
      </c>
      <c r="B9" s="54" t="s">
        <v>169</v>
      </c>
      <c r="C9" s="49" t="s">
        <v>116</v>
      </c>
      <c r="D9" s="54" t="s">
        <v>114</v>
      </c>
      <c r="E9" s="54" t="s">
        <v>117</v>
      </c>
      <c r="F9" s="54" t="s">
        <v>126</v>
      </c>
      <c r="G9" s="53" t="s">
        <v>229</v>
      </c>
      <c r="H9" s="53" t="s">
        <v>171</v>
      </c>
    </row>
    <row r="10" spans="1:8" s="16" customFormat="1" ht="16.5" x14ac:dyDescent="0.3">
      <c r="A10" s="50" t="s">
        <v>215</v>
      </c>
      <c r="B10" s="50" t="s">
        <v>24</v>
      </c>
      <c r="C10" s="50" t="s">
        <v>16</v>
      </c>
      <c r="D10" s="50" t="s">
        <v>211</v>
      </c>
      <c r="E10" s="56">
        <v>44009.416666666664</v>
      </c>
      <c r="F10" s="57" t="s">
        <v>22</v>
      </c>
      <c r="G10" s="55">
        <v>23.487488425925925</v>
      </c>
      <c r="H10" s="52">
        <v>1</v>
      </c>
    </row>
    <row r="11" spans="1:8" s="16" customFormat="1" ht="16.5" x14ac:dyDescent="0.3">
      <c r="A11" s="50" t="s">
        <v>215</v>
      </c>
      <c r="B11" s="50" t="s">
        <v>24</v>
      </c>
      <c r="C11" s="50" t="s">
        <v>16</v>
      </c>
      <c r="D11" s="50" t="s">
        <v>183</v>
      </c>
      <c r="E11" s="56">
        <v>43103.969027777777</v>
      </c>
      <c r="F11" s="57" t="s">
        <v>22</v>
      </c>
      <c r="G11" s="55">
        <v>909.46215277777776</v>
      </c>
      <c r="H11" s="52">
        <v>1</v>
      </c>
    </row>
    <row r="12" spans="1:8" s="16" customFormat="1" ht="16.5" x14ac:dyDescent="0.3">
      <c r="A12" s="50" t="s">
        <v>215</v>
      </c>
      <c r="B12" s="50" t="s">
        <v>24</v>
      </c>
      <c r="C12" s="50" t="s">
        <v>18</v>
      </c>
      <c r="D12" s="50" t="s">
        <v>182</v>
      </c>
      <c r="E12" s="56">
        <v>43103.844027777777</v>
      </c>
      <c r="F12" s="57" t="s">
        <v>22</v>
      </c>
      <c r="G12" s="55">
        <v>909.58715277777776</v>
      </c>
      <c r="H12" s="52">
        <v>1</v>
      </c>
    </row>
    <row r="13" spans="1:8" s="16" customFormat="1" ht="16.5" x14ac:dyDescent="0.3">
      <c r="A13" s="50" t="s">
        <v>215</v>
      </c>
      <c r="B13" s="50" t="s">
        <v>24</v>
      </c>
      <c r="C13" s="50" t="s">
        <v>19</v>
      </c>
      <c r="D13" s="50" t="s">
        <v>184</v>
      </c>
      <c r="E13" s="56">
        <v>43104.094027777777</v>
      </c>
      <c r="F13" s="57" t="s">
        <v>22</v>
      </c>
      <c r="G13" s="55">
        <v>909.33715277777776</v>
      </c>
      <c r="H13" s="52">
        <v>1</v>
      </c>
    </row>
    <row r="14" spans="1:8" s="16" customFormat="1" ht="16.5" x14ac:dyDescent="0.3">
      <c r="A14" s="50" t="s">
        <v>222</v>
      </c>
      <c r="B14" s="50"/>
      <c r="C14" s="50"/>
      <c r="D14" s="50"/>
      <c r="E14" s="50"/>
      <c r="F14" s="50"/>
      <c r="G14" s="55">
        <v>2751.8739467592591</v>
      </c>
      <c r="H14" s="52">
        <v>4</v>
      </c>
    </row>
    <row r="15" spans="1:8" s="16" customFormat="1" ht="16.5" x14ac:dyDescent="0.3">
      <c r="A15" s="50" t="s">
        <v>216</v>
      </c>
      <c r="B15" s="50" t="s">
        <v>24</v>
      </c>
      <c r="C15" s="50" t="s">
        <v>18</v>
      </c>
      <c r="D15" s="50" t="s">
        <v>182</v>
      </c>
      <c r="E15" s="56">
        <v>43988.673391203702</v>
      </c>
      <c r="F15" s="57" t="s">
        <v>231</v>
      </c>
      <c r="G15" s="55">
        <v>4.1076388888888891E-2</v>
      </c>
      <c r="H15" s="52">
        <v>1</v>
      </c>
    </row>
    <row r="16" spans="1:8" s="16" customFormat="1" ht="16.5" x14ac:dyDescent="0.3">
      <c r="A16" s="50" t="s">
        <v>223</v>
      </c>
      <c r="B16" s="50"/>
      <c r="C16" s="50"/>
      <c r="D16" s="50"/>
      <c r="E16" s="50"/>
      <c r="F16" s="50"/>
      <c r="G16" s="55">
        <v>4.1076388888888891E-2</v>
      </c>
      <c r="H16" s="52">
        <v>1</v>
      </c>
    </row>
    <row r="17" spans="1:8" s="16" customFormat="1" ht="16.5" x14ac:dyDescent="0.3">
      <c r="A17" s="50" t="s">
        <v>217</v>
      </c>
      <c r="B17" s="50" t="s">
        <v>24</v>
      </c>
      <c r="C17" s="50" t="s">
        <v>20</v>
      </c>
      <c r="D17" s="50" t="s">
        <v>188</v>
      </c>
      <c r="E17" s="56">
        <v>43968.657187500001</v>
      </c>
      <c r="F17" s="57" t="s">
        <v>232</v>
      </c>
      <c r="G17" s="55">
        <v>4.9930555555555554E-2</v>
      </c>
      <c r="H17" s="52">
        <v>1</v>
      </c>
    </row>
    <row r="18" spans="1:8" s="16" customFormat="1" ht="16.5" x14ac:dyDescent="0.3">
      <c r="A18" s="50" t="s">
        <v>217</v>
      </c>
      <c r="B18" s="50" t="s">
        <v>24</v>
      </c>
      <c r="C18" s="50" t="s">
        <v>20</v>
      </c>
      <c r="D18" s="50" t="s">
        <v>188</v>
      </c>
      <c r="E18" s="56">
        <v>43993.76766203704</v>
      </c>
      <c r="F18" s="57" t="s">
        <v>233</v>
      </c>
      <c r="G18" s="55">
        <v>1.3425925925925925E-3</v>
      </c>
      <c r="H18" s="52">
        <v>1</v>
      </c>
    </row>
    <row r="19" spans="1:8" s="16" customFormat="1" ht="16.5" x14ac:dyDescent="0.3">
      <c r="A19" s="50" t="s">
        <v>217</v>
      </c>
      <c r="B19" s="50" t="s">
        <v>24</v>
      </c>
      <c r="C19" s="50" t="s">
        <v>20</v>
      </c>
      <c r="D19" s="50" t="s">
        <v>188</v>
      </c>
      <c r="E19" s="56">
        <v>44000.679259259261</v>
      </c>
      <c r="F19" s="57" t="s">
        <v>22</v>
      </c>
      <c r="G19" s="55">
        <v>5.783564814814815E-2</v>
      </c>
      <c r="H19" s="52">
        <v>1</v>
      </c>
    </row>
    <row r="20" spans="1:8" ht="16.5" x14ac:dyDescent="0.3">
      <c r="A20" s="50" t="s">
        <v>217</v>
      </c>
      <c r="B20" s="50" t="s">
        <v>24</v>
      </c>
      <c r="C20" s="50" t="s">
        <v>18</v>
      </c>
      <c r="D20" s="50" t="s">
        <v>182</v>
      </c>
      <c r="E20" s="56">
        <v>43980.528668981482</v>
      </c>
      <c r="F20" s="57" t="s">
        <v>234</v>
      </c>
      <c r="G20" s="55">
        <v>2.4189814814814817E-2</v>
      </c>
      <c r="H20" s="52">
        <v>1</v>
      </c>
    </row>
    <row r="21" spans="1:8" ht="16.5" x14ac:dyDescent="0.3">
      <c r="A21" s="50" t="s">
        <v>217</v>
      </c>
      <c r="B21" s="50" t="s">
        <v>24</v>
      </c>
      <c r="C21" s="50" t="s">
        <v>18</v>
      </c>
      <c r="D21" s="50" t="s">
        <v>182</v>
      </c>
      <c r="E21" s="56">
        <v>44000.679259259261</v>
      </c>
      <c r="F21" s="57" t="s">
        <v>22</v>
      </c>
      <c r="G21" s="55">
        <v>5.783564814814815E-2</v>
      </c>
      <c r="H21" s="52">
        <v>1</v>
      </c>
    </row>
    <row r="22" spans="1:8" ht="16.5" x14ac:dyDescent="0.3">
      <c r="A22" s="50" t="s">
        <v>217</v>
      </c>
      <c r="B22" s="50" t="s">
        <v>24</v>
      </c>
      <c r="C22" s="50" t="s">
        <v>19</v>
      </c>
      <c r="D22" s="50" t="s">
        <v>184</v>
      </c>
      <c r="E22" s="56">
        <v>43980.528668981482</v>
      </c>
      <c r="F22" s="57" t="s">
        <v>234</v>
      </c>
      <c r="G22" s="55">
        <v>2.4189814814814817E-2</v>
      </c>
      <c r="H22" s="52">
        <v>1</v>
      </c>
    </row>
    <row r="23" spans="1:8" ht="16.5" x14ac:dyDescent="0.3">
      <c r="A23" s="50" t="s">
        <v>217</v>
      </c>
      <c r="B23" s="50" t="s">
        <v>24</v>
      </c>
      <c r="C23" s="50" t="s">
        <v>19</v>
      </c>
      <c r="D23" s="50" t="s">
        <v>184</v>
      </c>
      <c r="E23" s="56">
        <v>44000.679259259261</v>
      </c>
      <c r="F23" s="57" t="s">
        <v>22</v>
      </c>
      <c r="G23" s="55">
        <v>5.783564814814815E-2</v>
      </c>
      <c r="H23" s="52">
        <v>1</v>
      </c>
    </row>
    <row r="24" spans="1:8" ht="16.5" x14ac:dyDescent="0.3">
      <c r="A24" s="50" t="s">
        <v>224</v>
      </c>
      <c r="B24" s="50"/>
      <c r="C24" s="50"/>
      <c r="D24" s="50"/>
      <c r="E24" s="50"/>
      <c r="F24" s="50"/>
      <c r="G24" s="55">
        <v>0.27315972222222229</v>
      </c>
      <c r="H24" s="52">
        <v>7</v>
      </c>
    </row>
    <row r="25" spans="1:8" ht="16.5" x14ac:dyDescent="0.3">
      <c r="A25" s="50" t="s">
        <v>218</v>
      </c>
      <c r="B25" s="50" t="s">
        <v>24</v>
      </c>
      <c r="C25" s="50" t="s">
        <v>20</v>
      </c>
      <c r="D25" s="50" t="s">
        <v>192</v>
      </c>
      <c r="E25" s="56">
        <v>43987.916666666664</v>
      </c>
      <c r="F25" s="57" t="s">
        <v>22</v>
      </c>
      <c r="G25" s="55">
        <v>4.087685185185185</v>
      </c>
      <c r="H25" s="52">
        <v>1</v>
      </c>
    </row>
    <row r="26" spans="1:8" ht="16.5" x14ac:dyDescent="0.3">
      <c r="A26" s="50" t="s">
        <v>218</v>
      </c>
      <c r="B26" s="50" t="s">
        <v>24</v>
      </c>
      <c r="C26" s="50" t="s">
        <v>16</v>
      </c>
      <c r="D26" s="50" t="s">
        <v>191</v>
      </c>
      <c r="E26" s="56">
        <v>43986.202638888892</v>
      </c>
      <c r="F26" s="57" t="s">
        <v>22</v>
      </c>
      <c r="G26" s="55">
        <v>5.8017129629629629</v>
      </c>
      <c r="H26" s="52">
        <v>1</v>
      </c>
    </row>
    <row r="27" spans="1:8" ht="16.5" x14ac:dyDescent="0.3">
      <c r="A27" s="50" t="s">
        <v>218</v>
      </c>
      <c r="B27" s="50" t="s">
        <v>24</v>
      </c>
      <c r="C27" s="50" t="s">
        <v>21</v>
      </c>
      <c r="D27" s="50" t="s">
        <v>190</v>
      </c>
      <c r="E27" s="56">
        <v>43985.577638888892</v>
      </c>
      <c r="F27" s="57" t="s">
        <v>22</v>
      </c>
      <c r="G27" s="55">
        <v>6.4267129629629629</v>
      </c>
      <c r="H27" s="52">
        <v>1</v>
      </c>
    </row>
    <row r="28" spans="1:8" ht="16.5" x14ac:dyDescent="0.3">
      <c r="A28" s="50" t="s">
        <v>225</v>
      </c>
      <c r="B28" s="50"/>
      <c r="C28" s="50"/>
      <c r="D28" s="50"/>
      <c r="E28" s="50"/>
      <c r="F28" s="50"/>
      <c r="G28" s="55">
        <v>16.316111111111113</v>
      </c>
      <c r="H28" s="52">
        <v>3</v>
      </c>
    </row>
    <row r="29" spans="1:8" ht="16.5" x14ac:dyDescent="0.3">
      <c r="A29" s="50" t="s">
        <v>219</v>
      </c>
      <c r="B29" s="50" t="s">
        <v>24</v>
      </c>
      <c r="C29" s="50" t="s">
        <v>20</v>
      </c>
      <c r="D29" s="50" t="s">
        <v>185</v>
      </c>
      <c r="E29" s="56">
        <v>43992.335231481484</v>
      </c>
      <c r="F29" s="57" t="s">
        <v>235</v>
      </c>
      <c r="G29" s="55">
        <v>0.19488425925925926</v>
      </c>
      <c r="H29" s="52">
        <v>1</v>
      </c>
    </row>
    <row r="30" spans="1:8" ht="16.5" x14ac:dyDescent="0.3">
      <c r="A30" s="50" t="s">
        <v>219</v>
      </c>
      <c r="B30" s="50" t="s">
        <v>24</v>
      </c>
      <c r="C30" s="50" t="s">
        <v>20</v>
      </c>
      <c r="D30" s="50" t="s">
        <v>192</v>
      </c>
      <c r="E30" s="56">
        <v>43995.631354166668</v>
      </c>
      <c r="F30" s="57" t="s">
        <v>236</v>
      </c>
      <c r="G30" s="55">
        <v>6.177083333333333E-2</v>
      </c>
      <c r="H30" s="52">
        <v>1</v>
      </c>
    </row>
    <row r="31" spans="1:8" ht="16.5" x14ac:dyDescent="0.3">
      <c r="A31" s="50" t="s">
        <v>219</v>
      </c>
      <c r="B31" s="50" t="s">
        <v>24</v>
      </c>
      <c r="C31" s="50" t="s">
        <v>20</v>
      </c>
      <c r="D31" s="50" t="s">
        <v>192</v>
      </c>
      <c r="E31" s="56">
        <v>43995.787523148145</v>
      </c>
      <c r="F31" s="57" t="s">
        <v>235</v>
      </c>
      <c r="G31" s="55">
        <v>0.23230324074074074</v>
      </c>
      <c r="H31" s="52">
        <v>1</v>
      </c>
    </row>
    <row r="32" spans="1:8" ht="16.5" x14ac:dyDescent="0.3">
      <c r="A32" s="50" t="s">
        <v>219</v>
      </c>
      <c r="B32" s="50" t="s">
        <v>24</v>
      </c>
      <c r="C32" s="50" t="s">
        <v>20</v>
      </c>
      <c r="D32" s="50" t="s">
        <v>192</v>
      </c>
      <c r="E32" s="56">
        <v>44008.519097222219</v>
      </c>
      <c r="F32" s="57" t="s">
        <v>22</v>
      </c>
      <c r="G32" s="55">
        <v>0.27021990740740742</v>
      </c>
      <c r="H32" s="52">
        <v>1</v>
      </c>
    </row>
    <row r="33" spans="1:8" ht="16.5" x14ac:dyDescent="0.3">
      <c r="A33" s="50" t="s">
        <v>219</v>
      </c>
      <c r="B33" s="50" t="s">
        <v>24</v>
      </c>
      <c r="C33" s="50" t="s">
        <v>20</v>
      </c>
      <c r="D33" s="50" t="s">
        <v>188</v>
      </c>
      <c r="E33" s="56">
        <v>43970.702106481483</v>
      </c>
      <c r="F33" s="57" t="s">
        <v>237</v>
      </c>
      <c r="G33" s="55">
        <v>0.61055555555555563</v>
      </c>
      <c r="H33" s="52">
        <v>1</v>
      </c>
    </row>
    <row r="34" spans="1:8" ht="16.5" x14ac:dyDescent="0.3">
      <c r="A34" s="50" t="s">
        <v>219</v>
      </c>
      <c r="B34" s="50" t="s">
        <v>24</v>
      </c>
      <c r="C34" s="50" t="s">
        <v>199</v>
      </c>
      <c r="D34" s="50" t="s">
        <v>200</v>
      </c>
      <c r="E34" s="56">
        <v>43995.631354166668</v>
      </c>
      <c r="F34" s="57" t="s">
        <v>253</v>
      </c>
      <c r="G34" s="55">
        <v>6.177083333333333E-2</v>
      </c>
      <c r="H34" s="52">
        <v>1</v>
      </c>
    </row>
    <row r="35" spans="1:8" ht="16.5" x14ac:dyDescent="0.3">
      <c r="A35" s="50" t="s">
        <v>219</v>
      </c>
      <c r="B35" s="50" t="s">
        <v>24</v>
      </c>
      <c r="C35" s="50" t="s">
        <v>199</v>
      </c>
      <c r="D35" s="50" t="s">
        <v>200</v>
      </c>
      <c r="E35" s="56">
        <v>43995.787523148145</v>
      </c>
      <c r="F35" s="57" t="s">
        <v>253</v>
      </c>
      <c r="G35" s="55">
        <v>0.15015046296296297</v>
      </c>
      <c r="H35" s="52">
        <v>1</v>
      </c>
    </row>
    <row r="36" spans="1:8" ht="16.5" x14ac:dyDescent="0.3">
      <c r="A36" s="50" t="s">
        <v>219</v>
      </c>
      <c r="B36" s="50" t="s">
        <v>24</v>
      </c>
      <c r="C36" s="50" t="s">
        <v>201</v>
      </c>
      <c r="D36" s="50" t="s">
        <v>202</v>
      </c>
      <c r="E36" s="56">
        <v>43995.787523148145</v>
      </c>
      <c r="F36" s="57" t="s">
        <v>239</v>
      </c>
      <c r="G36" s="55">
        <v>3.6493055555555549E-2</v>
      </c>
      <c r="H36" s="52">
        <v>1</v>
      </c>
    </row>
    <row r="37" spans="1:8" ht="16.5" x14ac:dyDescent="0.3">
      <c r="A37" s="50" t="s">
        <v>219</v>
      </c>
      <c r="B37" s="50" t="s">
        <v>24</v>
      </c>
      <c r="C37" s="50" t="s">
        <v>201</v>
      </c>
      <c r="D37" s="50" t="s">
        <v>202</v>
      </c>
      <c r="E37" s="56">
        <v>43996.989398148151</v>
      </c>
      <c r="F37" s="57" t="s">
        <v>265</v>
      </c>
      <c r="G37" s="55">
        <v>9.386574074074075E-3</v>
      </c>
      <c r="H37" s="52">
        <v>1</v>
      </c>
    </row>
    <row r="38" spans="1:8" ht="16.5" x14ac:dyDescent="0.3">
      <c r="A38" s="50" t="s">
        <v>219</v>
      </c>
      <c r="B38" s="50" t="s">
        <v>24</v>
      </c>
      <c r="C38" s="50" t="s">
        <v>201</v>
      </c>
      <c r="D38" s="50" t="s">
        <v>202</v>
      </c>
      <c r="E38" s="56">
        <v>44006.710381944446</v>
      </c>
      <c r="F38" s="57" t="s">
        <v>243</v>
      </c>
      <c r="G38" s="55">
        <v>6.3888888888888884E-2</v>
      </c>
      <c r="H38" s="52">
        <v>1</v>
      </c>
    </row>
    <row r="39" spans="1:8" ht="16.5" x14ac:dyDescent="0.3">
      <c r="A39" s="50" t="s">
        <v>219</v>
      </c>
      <c r="B39" s="50" t="s">
        <v>24</v>
      </c>
      <c r="C39" s="50" t="s">
        <v>201</v>
      </c>
      <c r="D39" s="50" t="s">
        <v>202</v>
      </c>
      <c r="E39" s="56">
        <v>44008.660682870373</v>
      </c>
      <c r="F39" s="57" t="s">
        <v>266</v>
      </c>
      <c r="G39" s="55">
        <v>1.8703703703703705E-2</v>
      </c>
      <c r="H39" s="52">
        <v>1</v>
      </c>
    </row>
    <row r="40" spans="1:8" ht="16.5" x14ac:dyDescent="0.3">
      <c r="A40" s="50" t="s">
        <v>219</v>
      </c>
      <c r="B40" s="50" t="s">
        <v>24</v>
      </c>
      <c r="C40" s="50" t="s">
        <v>201</v>
      </c>
      <c r="D40" s="50" t="s">
        <v>202</v>
      </c>
      <c r="E40" s="56">
        <v>44009.583333333336</v>
      </c>
      <c r="F40" s="57" t="s">
        <v>267</v>
      </c>
      <c r="G40" s="55">
        <v>6.7268518518518519E-2</v>
      </c>
      <c r="H40" s="52">
        <v>1</v>
      </c>
    </row>
    <row r="41" spans="1:8" ht="16.5" x14ac:dyDescent="0.3">
      <c r="A41" s="50" t="s">
        <v>219</v>
      </c>
      <c r="B41" s="50" t="s">
        <v>24</v>
      </c>
      <c r="C41" s="50" t="s">
        <v>201</v>
      </c>
      <c r="D41" s="50" t="s">
        <v>202</v>
      </c>
      <c r="E41" s="56">
        <v>44010.665335648147</v>
      </c>
      <c r="F41" s="57" t="s">
        <v>268</v>
      </c>
      <c r="G41" s="55">
        <v>6.7962962962962961E-2</v>
      </c>
      <c r="H41" s="52">
        <v>1</v>
      </c>
    </row>
    <row r="42" spans="1:8" ht="16.5" x14ac:dyDescent="0.3">
      <c r="A42" s="50" t="s">
        <v>219</v>
      </c>
      <c r="B42" s="50" t="s">
        <v>24</v>
      </c>
      <c r="C42" s="50" t="s">
        <v>195</v>
      </c>
      <c r="D42" s="50" t="s">
        <v>196</v>
      </c>
      <c r="E42" s="56">
        <v>43995</v>
      </c>
      <c r="F42" s="57" t="s">
        <v>254</v>
      </c>
      <c r="G42" s="55">
        <v>0</v>
      </c>
      <c r="H42" s="52">
        <v>1</v>
      </c>
    </row>
    <row r="43" spans="1:8" ht="16.5" x14ac:dyDescent="0.3">
      <c r="A43" s="50" t="s">
        <v>219</v>
      </c>
      <c r="B43" s="50" t="s">
        <v>24</v>
      </c>
      <c r="C43" s="50" t="s">
        <v>195</v>
      </c>
      <c r="D43" s="50" t="s">
        <v>196</v>
      </c>
      <c r="E43" s="56">
        <v>43996</v>
      </c>
      <c r="F43" s="57" t="s">
        <v>255</v>
      </c>
      <c r="G43" s="55">
        <v>0</v>
      </c>
      <c r="H43" s="52">
        <v>1</v>
      </c>
    </row>
    <row r="44" spans="1:8" ht="16.5" x14ac:dyDescent="0.3">
      <c r="A44" s="50" t="s">
        <v>219</v>
      </c>
      <c r="B44" s="50" t="s">
        <v>24</v>
      </c>
      <c r="C44" s="50" t="s">
        <v>195</v>
      </c>
      <c r="D44" s="50" t="s">
        <v>196</v>
      </c>
      <c r="E44" s="56">
        <v>44001</v>
      </c>
      <c r="F44" s="57" t="s">
        <v>256</v>
      </c>
      <c r="G44" s="55">
        <v>0</v>
      </c>
      <c r="H44" s="52">
        <v>1</v>
      </c>
    </row>
    <row r="45" spans="1:8" ht="16.5" x14ac:dyDescent="0.3">
      <c r="A45" s="50" t="s">
        <v>219</v>
      </c>
      <c r="B45" s="50" t="s">
        <v>24</v>
      </c>
      <c r="C45" s="50" t="s">
        <v>195</v>
      </c>
      <c r="D45" s="50" t="s">
        <v>196</v>
      </c>
      <c r="E45" s="56">
        <v>44004</v>
      </c>
      <c r="F45" s="57" t="s">
        <v>257</v>
      </c>
      <c r="G45" s="55">
        <v>0</v>
      </c>
      <c r="H45" s="52">
        <v>1</v>
      </c>
    </row>
    <row r="46" spans="1:8" ht="16.5" x14ac:dyDescent="0.3">
      <c r="A46" s="50" t="s">
        <v>219</v>
      </c>
      <c r="B46" s="50" t="s">
        <v>24</v>
      </c>
      <c r="C46" s="50" t="s">
        <v>195</v>
      </c>
      <c r="D46" s="50" t="s">
        <v>196</v>
      </c>
      <c r="E46" s="56">
        <v>44006</v>
      </c>
      <c r="F46" s="57" t="s">
        <v>258</v>
      </c>
      <c r="G46" s="55">
        <v>0</v>
      </c>
      <c r="H46" s="52">
        <v>1</v>
      </c>
    </row>
    <row r="47" spans="1:8" ht="16.5" x14ac:dyDescent="0.3">
      <c r="A47" s="50" t="s">
        <v>219</v>
      </c>
      <c r="B47" s="50" t="s">
        <v>24</v>
      </c>
      <c r="C47" s="50" t="s">
        <v>195</v>
      </c>
      <c r="D47" s="50" t="s">
        <v>196</v>
      </c>
      <c r="E47" s="56">
        <v>44007</v>
      </c>
      <c r="F47" s="57" t="s">
        <v>259</v>
      </c>
      <c r="G47" s="55">
        <v>0</v>
      </c>
      <c r="H47" s="52">
        <v>1</v>
      </c>
    </row>
    <row r="48" spans="1:8" ht="16.5" x14ac:dyDescent="0.3">
      <c r="A48" s="50" t="s">
        <v>219</v>
      </c>
      <c r="B48" s="50" t="s">
        <v>24</v>
      </c>
      <c r="C48" s="50" t="s">
        <v>195</v>
      </c>
      <c r="D48" s="50" t="s">
        <v>196</v>
      </c>
      <c r="E48" s="56">
        <v>44008</v>
      </c>
      <c r="F48" s="57" t="s">
        <v>260</v>
      </c>
      <c r="G48" s="55">
        <v>0</v>
      </c>
      <c r="H48" s="52">
        <v>1</v>
      </c>
    </row>
    <row r="49" spans="1:8" ht="16.5" x14ac:dyDescent="0.3">
      <c r="A49" s="50" t="s">
        <v>219</v>
      </c>
      <c r="B49" s="50" t="s">
        <v>24</v>
      </c>
      <c r="C49" s="50" t="s">
        <v>195</v>
      </c>
      <c r="D49" s="50" t="s">
        <v>196</v>
      </c>
      <c r="E49" s="56">
        <v>44009</v>
      </c>
      <c r="F49" s="57" t="s">
        <v>261</v>
      </c>
      <c r="G49" s="55">
        <v>0</v>
      </c>
      <c r="H49" s="52">
        <v>1</v>
      </c>
    </row>
    <row r="50" spans="1:8" ht="16.5" x14ac:dyDescent="0.3">
      <c r="A50" s="50" t="s">
        <v>219</v>
      </c>
      <c r="B50" s="50" t="s">
        <v>24</v>
      </c>
      <c r="C50" s="50" t="s">
        <v>195</v>
      </c>
      <c r="D50" s="50" t="s">
        <v>196</v>
      </c>
      <c r="E50" s="56">
        <v>44010</v>
      </c>
      <c r="F50" s="57" t="s">
        <v>262</v>
      </c>
      <c r="G50" s="55">
        <v>0</v>
      </c>
      <c r="H50" s="52">
        <v>1</v>
      </c>
    </row>
    <row r="51" spans="1:8" ht="16.5" x14ac:dyDescent="0.3">
      <c r="A51" s="50" t="s">
        <v>219</v>
      </c>
      <c r="B51" s="50" t="s">
        <v>24</v>
      </c>
      <c r="C51" s="50" t="s">
        <v>195</v>
      </c>
      <c r="D51" s="50" t="s">
        <v>196</v>
      </c>
      <c r="E51" s="56">
        <v>44011</v>
      </c>
      <c r="F51" s="57" t="s">
        <v>263</v>
      </c>
      <c r="G51" s="55">
        <v>0</v>
      </c>
      <c r="H51" s="52">
        <v>1</v>
      </c>
    </row>
    <row r="52" spans="1:8" ht="16.5" x14ac:dyDescent="0.3">
      <c r="A52" s="50" t="s">
        <v>219</v>
      </c>
      <c r="B52" s="50" t="s">
        <v>24</v>
      </c>
      <c r="C52" s="50" t="s">
        <v>195</v>
      </c>
      <c r="D52" s="50" t="s">
        <v>196</v>
      </c>
      <c r="E52" s="56">
        <v>44012</v>
      </c>
      <c r="F52" s="57" t="s">
        <v>264</v>
      </c>
      <c r="G52" s="55">
        <v>0</v>
      </c>
      <c r="H52" s="52">
        <v>1</v>
      </c>
    </row>
    <row r="53" spans="1:8" ht="16.5" x14ac:dyDescent="0.3">
      <c r="A53" s="50" t="s">
        <v>219</v>
      </c>
      <c r="B53" s="50" t="s">
        <v>24</v>
      </c>
      <c r="C53" s="50" t="s">
        <v>203</v>
      </c>
      <c r="D53" s="50" t="s">
        <v>204</v>
      </c>
      <c r="E53" s="56">
        <v>44006</v>
      </c>
      <c r="F53" s="57" t="s">
        <v>258</v>
      </c>
      <c r="G53" s="55">
        <v>0</v>
      </c>
      <c r="H53" s="52">
        <v>1</v>
      </c>
    </row>
    <row r="54" spans="1:8" ht="16.5" x14ac:dyDescent="0.3">
      <c r="A54" s="50" t="s">
        <v>219</v>
      </c>
      <c r="B54" s="50" t="s">
        <v>24</v>
      </c>
      <c r="C54" s="50" t="s">
        <v>203</v>
      </c>
      <c r="D54" s="50" t="s">
        <v>204</v>
      </c>
      <c r="E54" s="56">
        <v>44007</v>
      </c>
      <c r="F54" s="57" t="s">
        <v>259</v>
      </c>
      <c r="G54" s="55">
        <v>0</v>
      </c>
      <c r="H54" s="52">
        <v>1</v>
      </c>
    </row>
    <row r="55" spans="1:8" ht="16.5" x14ac:dyDescent="0.3">
      <c r="A55" s="50" t="s">
        <v>219</v>
      </c>
      <c r="B55" s="50" t="s">
        <v>24</v>
      </c>
      <c r="C55" s="50" t="s">
        <v>203</v>
      </c>
      <c r="D55" s="50" t="s">
        <v>204</v>
      </c>
      <c r="E55" s="56">
        <v>44008</v>
      </c>
      <c r="F55" s="57" t="s">
        <v>260</v>
      </c>
      <c r="G55" s="55">
        <v>0</v>
      </c>
      <c r="H55" s="52">
        <v>1</v>
      </c>
    </row>
    <row r="56" spans="1:8" ht="16.5" x14ac:dyDescent="0.3">
      <c r="A56" s="50" t="s">
        <v>219</v>
      </c>
      <c r="B56" s="50" t="s">
        <v>24</v>
      </c>
      <c r="C56" s="50" t="s">
        <v>203</v>
      </c>
      <c r="D56" s="50" t="s">
        <v>204</v>
      </c>
      <c r="E56" s="56">
        <v>44009</v>
      </c>
      <c r="F56" s="57" t="s">
        <v>261</v>
      </c>
      <c r="G56" s="55">
        <v>0</v>
      </c>
      <c r="H56" s="52">
        <v>1</v>
      </c>
    </row>
    <row r="57" spans="1:8" ht="16.5" x14ac:dyDescent="0.3">
      <c r="A57" s="50" t="s">
        <v>219</v>
      </c>
      <c r="B57" s="50" t="s">
        <v>24</v>
      </c>
      <c r="C57" s="50" t="s">
        <v>203</v>
      </c>
      <c r="D57" s="50" t="s">
        <v>204</v>
      </c>
      <c r="E57" s="56">
        <v>44010</v>
      </c>
      <c r="F57" s="57" t="s">
        <v>262</v>
      </c>
      <c r="G57" s="55">
        <v>0</v>
      </c>
      <c r="H57" s="52">
        <v>1</v>
      </c>
    </row>
    <row r="58" spans="1:8" ht="16.5" x14ac:dyDescent="0.3">
      <c r="A58" s="50" t="s">
        <v>219</v>
      </c>
      <c r="B58" s="50" t="s">
        <v>24</v>
      </c>
      <c r="C58" s="50" t="s">
        <v>203</v>
      </c>
      <c r="D58" s="50" t="s">
        <v>204</v>
      </c>
      <c r="E58" s="56">
        <v>44011</v>
      </c>
      <c r="F58" s="57" t="s">
        <v>263</v>
      </c>
      <c r="G58" s="55">
        <v>0</v>
      </c>
      <c r="H58" s="52">
        <v>1</v>
      </c>
    </row>
    <row r="59" spans="1:8" ht="16.5" x14ac:dyDescent="0.3">
      <c r="A59" s="50" t="s">
        <v>219</v>
      </c>
      <c r="B59" s="50" t="s">
        <v>24</v>
      </c>
      <c r="C59" s="50" t="s">
        <v>203</v>
      </c>
      <c r="D59" s="50" t="s">
        <v>204</v>
      </c>
      <c r="E59" s="56">
        <v>44012</v>
      </c>
      <c r="F59" s="57" t="s">
        <v>264</v>
      </c>
      <c r="G59" s="55">
        <v>0</v>
      </c>
      <c r="H59" s="52">
        <v>1</v>
      </c>
    </row>
    <row r="60" spans="1:8" ht="16.5" x14ac:dyDescent="0.3">
      <c r="A60" s="50" t="s">
        <v>219</v>
      </c>
      <c r="B60" s="50" t="s">
        <v>24</v>
      </c>
      <c r="C60" s="50" t="s">
        <v>16</v>
      </c>
      <c r="D60" s="50" t="s">
        <v>183</v>
      </c>
      <c r="E60" s="56">
        <v>43981.624502314815</v>
      </c>
      <c r="F60" s="57" t="s">
        <v>238</v>
      </c>
      <c r="G60" s="55">
        <v>0.42484953703703704</v>
      </c>
      <c r="H60" s="52">
        <v>1</v>
      </c>
    </row>
    <row r="61" spans="1:8" ht="16.5" x14ac:dyDescent="0.3">
      <c r="A61" s="50" t="s">
        <v>219</v>
      </c>
      <c r="B61" s="50" t="s">
        <v>24</v>
      </c>
      <c r="C61" s="50" t="s">
        <v>16</v>
      </c>
      <c r="D61" s="50" t="s">
        <v>212</v>
      </c>
      <c r="E61" s="56">
        <v>43972.823437500003</v>
      </c>
      <c r="F61" s="57" t="s">
        <v>235</v>
      </c>
      <c r="G61" s="55">
        <v>2.478009259259259E-2</v>
      </c>
      <c r="H61" s="52">
        <v>1</v>
      </c>
    </row>
    <row r="62" spans="1:8" ht="16.5" x14ac:dyDescent="0.3">
      <c r="A62" s="50" t="s">
        <v>219</v>
      </c>
      <c r="B62" s="50" t="s">
        <v>24</v>
      </c>
      <c r="C62" s="50" t="s">
        <v>21</v>
      </c>
      <c r="D62" s="50" t="s">
        <v>198</v>
      </c>
      <c r="E62" s="56">
        <v>43995.631354166668</v>
      </c>
      <c r="F62" s="57" t="s">
        <v>239</v>
      </c>
      <c r="G62" s="55">
        <v>6.177083333333333E-2</v>
      </c>
      <c r="H62" s="52">
        <v>1</v>
      </c>
    </row>
    <row r="63" spans="1:8" ht="16.5" x14ac:dyDescent="0.3">
      <c r="A63" s="50" t="s">
        <v>219</v>
      </c>
      <c r="B63" s="50" t="s">
        <v>24</v>
      </c>
      <c r="C63" s="50" t="s">
        <v>21</v>
      </c>
      <c r="D63" s="50" t="s">
        <v>198</v>
      </c>
      <c r="E63" s="56">
        <v>43995.787523148145</v>
      </c>
      <c r="F63" s="57" t="s">
        <v>239</v>
      </c>
      <c r="G63" s="55">
        <v>3.6493055555555549E-2</v>
      </c>
      <c r="H63" s="52">
        <v>1</v>
      </c>
    </row>
    <row r="64" spans="1:8" ht="16.5" x14ac:dyDescent="0.3">
      <c r="A64" s="50" t="s">
        <v>219</v>
      </c>
      <c r="B64" s="50" t="s">
        <v>24</v>
      </c>
      <c r="C64" s="50" t="s">
        <v>21</v>
      </c>
      <c r="D64" s="50" t="s">
        <v>198</v>
      </c>
      <c r="E64" s="56">
        <v>43996.989398148151</v>
      </c>
      <c r="F64" s="57" t="s">
        <v>240</v>
      </c>
      <c r="G64" s="55">
        <v>3.4884259259259261E-2</v>
      </c>
      <c r="H64" s="52">
        <v>1</v>
      </c>
    </row>
    <row r="65" spans="1:8" ht="16.5" x14ac:dyDescent="0.3">
      <c r="A65" s="50" t="s">
        <v>219</v>
      </c>
      <c r="B65" s="50" t="s">
        <v>24</v>
      </c>
      <c r="C65" s="50" t="s">
        <v>21</v>
      </c>
      <c r="D65" s="50" t="s">
        <v>198</v>
      </c>
      <c r="E65" s="56">
        <v>44002.013067129628</v>
      </c>
      <c r="F65" s="57" t="s">
        <v>241</v>
      </c>
      <c r="G65" s="55">
        <v>1.5428240740740741E-2</v>
      </c>
      <c r="H65" s="52">
        <v>1</v>
      </c>
    </row>
    <row r="66" spans="1:8" ht="16.5" x14ac:dyDescent="0.3">
      <c r="A66" s="50" t="s">
        <v>219</v>
      </c>
      <c r="B66" s="50" t="s">
        <v>24</v>
      </c>
      <c r="C66" s="50" t="s">
        <v>21</v>
      </c>
      <c r="D66" s="50" t="s">
        <v>198</v>
      </c>
      <c r="E66" s="56">
        <v>44004.799756944441</v>
      </c>
      <c r="F66" s="57" t="s">
        <v>242</v>
      </c>
      <c r="G66" s="55">
        <v>5.3217592592592594E-2</v>
      </c>
      <c r="H66" s="52">
        <v>1</v>
      </c>
    </row>
    <row r="67" spans="1:8" ht="16.5" x14ac:dyDescent="0.3">
      <c r="A67" s="50" t="s">
        <v>219</v>
      </c>
      <c r="B67" s="50" t="s">
        <v>24</v>
      </c>
      <c r="C67" s="50" t="s">
        <v>21</v>
      </c>
      <c r="D67" s="50" t="s">
        <v>198</v>
      </c>
      <c r="E67" s="56">
        <v>44006.251967592594</v>
      </c>
      <c r="F67" s="57" t="s">
        <v>243</v>
      </c>
      <c r="G67" s="55">
        <v>7.2361111111111112E-2</v>
      </c>
      <c r="H67" s="52">
        <v>1</v>
      </c>
    </row>
    <row r="68" spans="1:8" ht="16.5" x14ac:dyDescent="0.3">
      <c r="A68" s="50" t="s">
        <v>219</v>
      </c>
      <c r="B68" s="50" t="s">
        <v>24</v>
      </c>
      <c r="C68" s="50" t="s">
        <v>21</v>
      </c>
      <c r="D68" s="50" t="s">
        <v>198</v>
      </c>
      <c r="E68" s="56">
        <v>44008.519097222219</v>
      </c>
      <c r="F68" s="57" t="s">
        <v>22</v>
      </c>
      <c r="G68" s="55">
        <v>0.27021990740740742</v>
      </c>
      <c r="H68" s="52">
        <v>1</v>
      </c>
    </row>
    <row r="69" spans="1:8" ht="16.5" x14ac:dyDescent="0.3">
      <c r="A69" s="50" t="s">
        <v>219</v>
      </c>
      <c r="B69" s="50" t="s">
        <v>24</v>
      </c>
      <c r="C69" s="50" t="s">
        <v>18</v>
      </c>
      <c r="D69" s="50" t="s">
        <v>182</v>
      </c>
      <c r="E69" s="56">
        <v>43979.27721064815</v>
      </c>
      <c r="F69" s="57" t="s">
        <v>244</v>
      </c>
      <c r="G69" s="55">
        <v>0.26424768518518521</v>
      </c>
      <c r="H69" s="52">
        <v>1</v>
      </c>
    </row>
    <row r="70" spans="1:8" ht="16.5" x14ac:dyDescent="0.3">
      <c r="A70" s="50" t="s">
        <v>219</v>
      </c>
      <c r="B70" s="50" t="s">
        <v>24</v>
      </c>
      <c r="C70" s="50" t="s">
        <v>18</v>
      </c>
      <c r="D70" s="50" t="s">
        <v>182</v>
      </c>
      <c r="E70" s="56">
        <v>43986.240706018521</v>
      </c>
      <c r="F70" s="57" t="s">
        <v>245</v>
      </c>
      <c r="G70" s="55">
        <v>2.9976851851851852E-2</v>
      </c>
      <c r="H70" s="52">
        <v>1</v>
      </c>
    </row>
    <row r="71" spans="1:8" ht="16.5" x14ac:dyDescent="0.3">
      <c r="A71" s="50" t="s">
        <v>219</v>
      </c>
      <c r="B71" s="50" t="s">
        <v>24</v>
      </c>
      <c r="C71" s="50" t="s">
        <v>18</v>
      </c>
      <c r="D71" s="50" t="s">
        <v>182</v>
      </c>
      <c r="E71" s="56">
        <v>43987.235601851855</v>
      </c>
      <c r="F71" s="57" t="s">
        <v>246</v>
      </c>
      <c r="G71" s="55">
        <v>3.3750000000000002E-2</v>
      </c>
      <c r="H71" s="52">
        <v>1</v>
      </c>
    </row>
    <row r="72" spans="1:8" ht="16.5" x14ac:dyDescent="0.3">
      <c r="A72" s="50" t="s">
        <v>219</v>
      </c>
      <c r="B72" s="50" t="s">
        <v>24</v>
      </c>
      <c r="C72" s="50" t="s">
        <v>18</v>
      </c>
      <c r="D72" s="50" t="s">
        <v>182</v>
      </c>
      <c r="E72" s="56">
        <v>43988.26803240741</v>
      </c>
      <c r="F72" s="57" t="s">
        <v>247</v>
      </c>
      <c r="G72" s="55">
        <v>2.5694444444444445E-3</v>
      </c>
      <c r="H72" s="52">
        <v>1</v>
      </c>
    </row>
    <row r="73" spans="1:8" ht="16.5" x14ac:dyDescent="0.3">
      <c r="A73" s="50" t="s">
        <v>219</v>
      </c>
      <c r="B73" s="50" t="s">
        <v>24</v>
      </c>
      <c r="C73" s="50" t="s">
        <v>18</v>
      </c>
      <c r="D73" s="50" t="s">
        <v>182</v>
      </c>
      <c r="E73" s="56">
        <v>43989.275416666664</v>
      </c>
      <c r="F73" s="57" t="s">
        <v>248</v>
      </c>
      <c r="G73" s="55">
        <v>5.6365740740740742E-3</v>
      </c>
      <c r="H73" s="52">
        <v>1</v>
      </c>
    </row>
    <row r="74" spans="1:8" ht="16.5" x14ac:dyDescent="0.3">
      <c r="A74" s="50" t="s">
        <v>219</v>
      </c>
      <c r="B74" s="50" t="s">
        <v>24</v>
      </c>
      <c r="C74" s="50" t="s">
        <v>18</v>
      </c>
      <c r="D74" s="50" t="s">
        <v>182</v>
      </c>
      <c r="E74" s="56">
        <v>43990.245289351849</v>
      </c>
      <c r="F74" s="57" t="s">
        <v>249</v>
      </c>
      <c r="G74" s="55">
        <v>6.1550925925925926E-2</v>
      </c>
      <c r="H74" s="52">
        <v>1</v>
      </c>
    </row>
    <row r="75" spans="1:8" ht="16.5" x14ac:dyDescent="0.3">
      <c r="A75" s="50" t="s">
        <v>219</v>
      </c>
      <c r="B75" s="50" t="s">
        <v>24</v>
      </c>
      <c r="C75" s="50" t="s">
        <v>18</v>
      </c>
      <c r="D75" s="50" t="s">
        <v>182</v>
      </c>
      <c r="E75" s="56">
        <v>43993.29005787037</v>
      </c>
      <c r="F75" s="57" t="s">
        <v>250</v>
      </c>
      <c r="G75" s="55">
        <v>1.4849537037037036E-2</v>
      </c>
      <c r="H75" s="52">
        <v>1</v>
      </c>
    </row>
    <row r="76" spans="1:8" ht="16.5" x14ac:dyDescent="0.3">
      <c r="A76" s="50" t="s">
        <v>219</v>
      </c>
      <c r="B76" s="50" t="s">
        <v>24</v>
      </c>
      <c r="C76" s="50" t="s">
        <v>18</v>
      </c>
      <c r="D76" s="50" t="s">
        <v>182</v>
      </c>
      <c r="E76" s="56">
        <v>43994.228750000002</v>
      </c>
      <c r="F76" s="57" t="s">
        <v>251</v>
      </c>
      <c r="G76" s="55">
        <v>3.3657407407407407E-2</v>
      </c>
      <c r="H76" s="52">
        <v>1</v>
      </c>
    </row>
    <row r="77" spans="1:8" ht="16.5" x14ac:dyDescent="0.3">
      <c r="A77" s="50" t="s">
        <v>219</v>
      </c>
      <c r="B77" s="50" t="s">
        <v>24</v>
      </c>
      <c r="C77" s="50" t="s">
        <v>18</v>
      </c>
      <c r="D77" s="50" t="s">
        <v>182</v>
      </c>
      <c r="E77" s="56">
        <v>43995.242685185185</v>
      </c>
      <c r="F77" s="57" t="s">
        <v>252</v>
      </c>
      <c r="G77" s="55">
        <v>7.4699074074074071E-2</v>
      </c>
      <c r="H77" s="52">
        <v>1</v>
      </c>
    </row>
    <row r="78" spans="1:8" ht="16.5" x14ac:dyDescent="0.3">
      <c r="A78" s="50" t="s">
        <v>219</v>
      </c>
      <c r="B78" s="50" t="s">
        <v>24</v>
      </c>
      <c r="C78" s="50" t="s">
        <v>19</v>
      </c>
      <c r="D78" s="50" t="s">
        <v>194</v>
      </c>
      <c r="E78" s="56">
        <v>43972.823437500003</v>
      </c>
      <c r="F78" s="57" t="s">
        <v>238</v>
      </c>
      <c r="G78" s="55">
        <v>0.15601851851851853</v>
      </c>
      <c r="H78" s="52">
        <v>1</v>
      </c>
    </row>
    <row r="79" spans="1:8" ht="16.5" x14ac:dyDescent="0.3">
      <c r="A79" s="50" t="s">
        <v>219</v>
      </c>
      <c r="B79" s="50" t="s">
        <v>24</v>
      </c>
      <c r="C79" s="50" t="s">
        <v>19</v>
      </c>
      <c r="D79" s="50" t="s">
        <v>184</v>
      </c>
      <c r="E79" s="56">
        <v>43968.272210648145</v>
      </c>
      <c r="F79" s="57" t="s">
        <v>238</v>
      </c>
      <c r="G79" s="55">
        <v>0.64842592592592596</v>
      </c>
      <c r="H79" s="52">
        <v>1</v>
      </c>
    </row>
    <row r="80" spans="1:8" ht="16.5" x14ac:dyDescent="0.3">
      <c r="A80" s="50" t="s">
        <v>219</v>
      </c>
      <c r="B80" s="50" t="s">
        <v>24</v>
      </c>
      <c r="C80" s="50" t="s">
        <v>19</v>
      </c>
      <c r="D80" s="50" t="s">
        <v>184</v>
      </c>
      <c r="E80" s="56">
        <v>43993.29005787037</v>
      </c>
      <c r="F80" s="57" t="s">
        <v>253</v>
      </c>
      <c r="G80" s="55">
        <v>0.15857638888888889</v>
      </c>
      <c r="H80" s="52">
        <v>1</v>
      </c>
    </row>
    <row r="81" spans="1:8" ht="16.5" x14ac:dyDescent="0.3">
      <c r="A81" s="50" t="s">
        <v>219</v>
      </c>
      <c r="B81" s="50" t="s">
        <v>24</v>
      </c>
      <c r="C81" s="50" t="s">
        <v>19</v>
      </c>
      <c r="D81" s="50" t="s">
        <v>184</v>
      </c>
      <c r="E81" s="56">
        <v>43997.781921296293</v>
      </c>
      <c r="F81" s="57" t="s">
        <v>253</v>
      </c>
      <c r="G81" s="55">
        <v>6.8865740740740736E-3</v>
      </c>
      <c r="H81" s="52">
        <v>1</v>
      </c>
    </row>
    <row r="82" spans="1:8" ht="16.5" x14ac:dyDescent="0.3">
      <c r="A82" s="50" t="s">
        <v>219</v>
      </c>
      <c r="B82" s="50" t="s">
        <v>24</v>
      </c>
      <c r="C82" s="50" t="s">
        <v>19</v>
      </c>
      <c r="D82" s="50" t="s">
        <v>197</v>
      </c>
      <c r="E82" s="56">
        <v>43995.631354166668</v>
      </c>
      <c r="F82" s="57" t="s">
        <v>239</v>
      </c>
      <c r="G82" s="55">
        <v>6.177083333333333E-2</v>
      </c>
      <c r="H82" s="52">
        <v>1</v>
      </c>
    </row>
    <row r="83" spans="1:8" ht="16.5" x14ac:dyDescent="0.3">
      <c r="A83" s="50" t="s">
        <v>219</v>
      </c>
      <c r="B83" s="50" t="s">
        <v>24</v>
      </c>
      <c r="C83" s="50" t="s">
        <v>19</v>
      </c>
      <c r="D83" s="50" t="s">
        <v>197</v>
      </c>
      <c r="E83" s="56">
        <v>43995.787523148145</v>
      </c>
      <c r="F83" s="57" t="s">
        <v>239</v>
      </c>
      <c r="G83" s="55">
        <v>3.6493055555555549E-2</v>
      </c>
      <c r="H83" s="52">
        <v>1</v>
      </c>
    </row>
    <row r="84" spans="1:8" ht="16.5" x14ac:dyDescent="0.3">
      <c r="A84" s="50" t="s">
        <v>219</v>
      </c>
      <c r="B84" s="50" t="s">
        <v>24</v>
      </c>
      <c r="C84" s="50" t="s">
        <v>19</v>
      </c>
      <c r="D84" s="50" t="s">
        <v>197</v>
      </c>
      <c r="E84" s="56">
        <v>43996.989398148151</v>
      </c>
      <c r="F84" s="57" t="s">
        <v>240</v>
      </c>
      <c r="G84" s="55">
        <v>3.4884259259259261E-2</v>
      </c>
      <c r="H84" s="52">
        <v>1</v>
      </c>
    </row>
    <row r="85" spans="1:8" ht="16.5" x14ac:dyDescent="0.3">
      <c r="A85" s="50" t="s">
        <v>219</v>
      </c>
      <c r="B85" s="50" t="s">
        <v>24</v>
      </c>
      <c r="C85" s="50" t="s">
        <v>19</v>
      </c>
      <c r="D85" s="50" t="s">
        <v>197</v>
      </c>
      <c r="E85" s="56">
        <v>44002.013067129628</v>
      </c>
      <c r="F85" s="57" t="s">
        <v>241</v>
      </c>
      <c r="G85" s="55">
        <v>1.5428240740740741E-2</v>
      </c>
      <c r="H85" s="52">
        <v>1</v>
      </c>
    </row>
    <row r="86" spans="1:8" ht="16.5" x14ac:dyDescent="0.3">
      <c r="A86" s="50" t="s">
        <v>219</v>
      </c>
      <c r="B86" s="50" t="s">
        <v>24</v>
      </c>
      <c r="C86" s="50" t="s">
        <v>19</v>
      </c>
      <c r="D86" s="50" t="s">
        <v>197</v>
      </c>
      <c r="E86" s="56">
        <v>44004.799756944441</v>
      </c>
      <c r="F86" s="57" t="s">
        <v>242</v>
      </c>
      <c r="G86" s="55">
        <v>5.3217592592592594E-2</v>
      </c>
      <c r="H86" s="52">
        <v>1</v>
      </c>
    </row>
    <row r="87" spans="1:8" ht="16.5" x14ac:dyDescent="0.3">
      <c r="A87" s="50" t="s">
        <v>219</v>
      </c>
      <c r="B87" s="50" t="s">
        <v>24</v>
      </c>
      <c r="C87" s="50" t="s">
        <v>19</v>
      </c>
      <c r="D87" s="50" t="s">
        <v>197</v>
      </c>
      <c r="E87" s="56">
        <v>44006.251967592594</v>
      </c>
      <c r="F87" s="57" t="s">
        <v>243</v>
      </c>
      <c r="G87" s="55">
        <v>7.2361111111111112E-2</v>
      </c>
      <c r="H87" s="52">
        <v>1</v>
      </c>
    </row>
    <row r="88" spans="1:8" ht="16.5" x14ac:dyDescent="0.3">
      <c r="A88" s="50" t="s">
        <v>219</v>
      </c>
      <c r="B88" s="50" t="s">
        <v>24</v>
      </c>
      <c r="C88" s="50" t="s">
        <v>19</v>
      </c>
      <c r="D88" s="50" t="s">
        <v>197</v>
      </c>
      <c r="E88" s="56">
        <v>44008.519097222219</v>
      </c>
      <c r="F88" s="57" t="s">
        <v>22</v>
      </c>
      <c r="G88" s="55">
        <v>0.27021990740740742</v>
      </c>
      <c r="H88" s="52">
        <v>1</v>
      </c>
    </row>
    <row r="89" spans="1:8" ht="16.5" x14ac:dyDescent="0.3">
      <c r="A89" s="50" t="s">
        <v>226</v>
      </c>
      <c r="B89" s="50"/>
      <c r="C89" s="50"/>
      <c r="D89" s="50"/>
      <c r="E89" s="50"/>
      <c r="F89" s="50"/>
      <c r="G89" s="55">
        <v>4.8745833333333355</v>
      </c>
      <c r="H89" s="52">
        <v>60</v>
      </c>
    </row>
    <row r="90" spans="1:8" ht="16.5" x14ac:dyDescent="0.3">
      <c r="A90" s="50" t="s">
        <v>220</v>
      </c>
      <c r="B90" s="50" t="s">
        <v>24</v>
      </c>
      <c r="C90" s="50" t="s">
        <v>20</v>
      </c>
      <c r="D90" s="50" t="s">
        <v>185</v>
      </c>
      <c r="E90" s="56">
        <v>43986.772129629629</v>
      </c>
      <c r="F90" s="57" t="s">
        <v>269</v>
      </c>
      <c r="G90" s="55">
        <v>0.13586805555555556</v>
      </c>
      <c r="H90" s="52">
        <v>1</v>
      </c>
    </row>
    <row r="91" spans="1:8" ht="16.5" x14ac:dyDescent="0.3">
      <c r="A91" s="50" t="s">
        <v>220</v>
      </c>
      <c r="B91" s="50" t="s">
        <v>24</v>
      </c>
      <c r="C91" s="50" t="s">
        <v>18</v>
      </c>
      <c r="D91" s="50" t="s">
        <v>182</v>
      </c>
      <c r="E91" s="56">
        <v>43986.772129629629</v>
      </c>
      <c r="F91" s="57" t="s">
        <v>270</v>
      </c>
      <c r="G91" s="55">
        <v>7.5578703703703702E-3</v>
      </c>
      <c r="H91" s="52">
        <v>1</v>
      </c>
    </row>
    <row r="92" spans="1:8" ht="16.5" x14ac:dyDescent="0.3">
      <c r="A92" s="50" t="s">
        <v>220</v>
      </c>
      <c r="B92" s="50" t="s">
        <v>24</v>
      </c>
      <c r="C92" s="50" t="s">
        <v>18</v>
      </c>
      <c r="D92" s="50" t="s">
        <v>182</v>
      </c>
      <c r="E92" s="56">
        <v>43992.726944444446</v>
      </c>
      <c r="F92" s="57" t="s">
        <v>271</v>
      </c>
      <c r="G92" s="55">
        <v>6.2731481481481484E-3</v>
      </c>
      <c r="H92" s="52">
        <v>1</v>
      </c>
    </row>
    <row r="93" spans="1:8" ht="16.5" x14ac:dyDescent="0.3">
      <c r="A93" s="50" t="s">
        <v>220</v>
      </c>
      <c r="B93" s="50" t="s">
        <v>24</v>
      </c>
      <c r="C93" s="50" t="s">
        <v>18</v>
      </c>
      <c r="D93" s="50" t="s">
        <v>182</v>
      </c>
      <c r="E93" s="56">
        <v>44002.37090277778</v>
      </c>
      <c r="F93" s="57" t="s">
        <v>272</v>
      </c>
      <c r="G93" s="55">
        <v>2.0879629629629626E-2</v>
      </c>
      <c r="H93" s="52">
        <v>1</v>
      </c>
    </row>
    <row r="94" spans="1:8" ht="16.5" x14ac:dyDescent="0.3">
      <c r="A94" s="50" t="s">
        <v>220</v>
      </c>
      <c r="B94" s="50" t="s">
        <v>24</v>
      </c>
      <c r="C94" s="50" t="s">
        <v>19</v>
      </c>
      <c r="D94" s="50" t="s">
        <v>184</v>
      </c>
      <c r="E94" s="56">
        <v>43986.772129629629</v>
      </c>
      <c r="F94" s="57" t="s">
        <v>270</v>
      </c>
      <c r="G94" s="55">
        <v>7.5578703703703702E-3</v>
      </c>
      <c r="H94" s="52">
        <v>1</v>
      </c>
    </row>
    <row r="95" spans="1:8" ht="16.5" x14ac:dyDescent="0.3">
      <c r="A95" s="50" t="s">
        <v>220</v>
      </c>
      <c r="B95" s="50" t="s">
        <v>24</v>
      </c>
      <c r="C95" s="50" t="s">
        <v>19</v>
      </c>
      <c r="D95" s="50" t="s">
        <v>184</v>
      </c>
      <c r="E95" s="56">
        <v>44002.37090277778</v>
      </c>
      <c r="F95" s="57" t="s">
        <v>273</v>
      </c>
      <c r="G95" s="55">
        <v>2.0879629629629626E-2</v>
      </c>
      <c r="H95" s="52">
        <v>1</v>
      </c>
    </row>
    <row r="96" spans="1:8" ht="16.5" x14ac:dyDescent="0.3">
      <c r="A96" s="50" t="s">
        <v>227</v>
      </c>
      <c r="B96" s="50"/>
      <c r="C96" s="50"/>
      <c r="D96" s="50"/>
      <c r="E96" s="50"/>
      <c r="F96" s="50"/>
      <c r="G96" s="55">
        <v>0.19901620370370371</v>
      </c>
      <c r="H96" s="52">
        <v>6</v>
      </c>
    </row>
    <row r="97" spans="1:8" ht="16.5" x14ac:dyDescent="0.3">
      <c r="A97" s="50" t="s">
        <v>221</v>
      </c>
      <c r="B97" s="50" t="s">
        <v>24</v>
      </c>
      <c r="C97" s="50" t="s">
        <v>20</v>
      </c>
      <c r="D97" s="50" t="s">
        <v>209</v>
      </c>
      <c r="E97" s="56">
        <v>43991.746006944442</v>
      </c>
      <c r="F97" s="57" t="s">
        <v>274</v>
      </c>
      <c r="G97" s="55">
        <v>0.71251157407407406</v>
      </c>
      <c r="H97" s="52">
        <v>1</v>
      </c>
    </row>
    <row r="98" spans="1:8" ht="16.5" x14ac:dyDescent="0.3">
      <c r="A98" s="50" t="s">
        <v>221</v>
      </c>
      <c r="B98" s="50" t="s">
        <v>24</v>
      </c>
      <c r="C98" s="50" t="s">
        <v>16</v>
      </c>
      <c r="D98" s="50" t="s">
        <v>210</v>
      </c>
      <c r="E98" s="56">
        <v>44000.325775462959</v>
      </c>
      <c r="F98" s="57" t="s">
        <v>275</v>
      </c>
      <c r="G98" s="55">
        <v>0.13606481481481481</v>
      </c>
      <c r="H98" s="52">
        <v>1</v>
      </c>
    </row>
    <row r="99" spans="1:8" ht="16.5" x14ac:dyDescent="0.3">
      <c r="A99" s="50" t="s">
        <v>221</v>
      </c>
      <c r="B99" s="50" t="s">
        <v>24</v>
      </c>
      <c r="C99" s="50" t="s">
        <v>21</v>
      </c>
      <c r="D99" s="50" t="s">
        <v>207</v>
      </c>
      <c r="E99" s="56">
        <v>43984.480474537035</v>
      </c>
      <c r="F99" s="57" t="s">
        <v>275</v>
      </c>
      <c r="G99" s="55">
        <v>0.61101851851851852</v>
      </c>
      <c r="H99" s="52">
        <v>1</v>
      </c>
    </row>
    <row r="100" spans="1:8" ht="16.5" x14ac:dyDescent="0.3">
      <c r="A100" s="50" t="s">
        <v>221</v>
      </c>
      <c r="B100" s="50" t="s">
        <v>24</v>
      </c>
      <c r="C100" s="50" t="s">
        <v>18</v>
      </c>
      <c r="D100" s="50" t="s">
        <v>208</v>
      </c>
      <c r="E100" s="56">
        <v>43985.677881944444</v>
      </c>
      <c r="F100" s="57" t="s">
        <v>276</v>
      </c>
      <c r="G100" s="55">
        <v>0.56953703703703706</v>
      </c>
      <c r="H100" s="52">
        <v>1</v>
      </c>
    </row>
    <row r="101" spans="1:8" ht="16.5" x14ac:dyDescent="0.3">
      <c r="A101" s="50" t="s">
        <v>221</v>
      </c>
      <c r="B101" s="50" t="s">
        <v>24</v>
      </c>
      <c r="C101" s="50" t="s">
        <v>18</v>
      </c>
      <c r="D101" s="50" t="s">
        <v>208</v>
      </c>
      <c r="E101" s="56">
        <v>44002.529386574075</v>
      </c>
      <c r="F101" s="57" t="s">
        <v>275</v>
      </c>
      <c r="G101" s="55">
        <v>2.3587962962962963E-2</v>
      </c>
      <c r="H101" s="52">
        <v>1</v>
      </c>
    </row>
    <row r="102" spans="1:8" ht="16.5" x14ac:dyDescent="0.3">
      <c r="A102" s="50" t="s">
        <v>221</v>
      </c>
      <c r="B102" s="50" t="s">
        <v>24</v>
      </c>
      <c r="C102" s="50" t="s">
        <v>18</v>
      </c>
      <c r="D102" s="50" t="s">
        <v>208</v>
      </c>
      <c r="E102" s="56">
        <v>44005.525127314817</v>
      </c>
      <c r="F102" s="57" t="s">
        <v>274</v>
      </c>
      <c r="G102" s="55">
        <v>2.074074074074074E-2</v>
      </c>
      <c r="H102" s="52">
        <v>1</v>
      </c>
    </row>
    <row r="103" spans="1:8" ht="16.5" x14ac:dyDescent="0.3">
      <c r="A103" s="50" t="s">
        <v>228</v>
      </c>
      <c r="B103" s="50"/>
      <c r="C103" s="50"/>
      <c r="D103" s="50"/>
      <c r="E103" s="50"/>
      <c r="F103" s="50"/>
      <c r="G103" s="55">
        <v>2.0734606481481483</v>
      </c>
      <c r="H103" s="52">
        <v>6</v>
      </c>
    </row>
    <row r="104" spans="1:8" x14ac:dyDescent="0.25">
      <c r="A104"/>
      <c r="B104"/>
      <c r="C104"/>
      <c r="D104"/>
      <c r="E104"/>
      <c r="F104"/>
      <c r="G104"/>
      <c r="H104"/>
    </row>
    <row r="105" spans="1:8" x14ac:dyDescent="0.25">
      <c r="A105"/>
      <c r="B105"/>
      <c r="C105"/>
      <c r="D105"/>
      <c r="E105"/>
      <c r="F105"/>
      <c r="G105"/>
      <c r="H105"/>
    </row>
    <row r="106" spans="1:8" x14ac:dyDescent="0.25">
      <c r="A106"/>
      <c r="B106"/>
      <c r="C106"/>
      <c r="D106"/>
      <c r="E106"/>
      <c r="F106"/>
      <c r="G106"/>
      <c r="H106"/>
    </row>
    <row r="107" spans="1:8" x14ac:dyDescent="0.25">
      <c r="A107"/>
      <c r="B107"/>
      <c r="C107"/>
      <c r="D107"/>
      <c r="E107"/>
      <c r="F107"/>
      <c r="G107"/>
      <c r="H107"/>
    </row>
    <row r="108" spans="1:8" x14ac:dyDescent="0.25">
      <c r="A108"/>
      <c r="B108"/>
      <c r="C108"/>
      <c r="D108"/>
      <c r="E108"/>
      <c r="F108"/>
      <c r="G108"/>
      <c r="H108"/>
    </row>
    <row r="109" spans="1:8" x14ac:dyDescent="0.25">
      <c r="A109"/>
      <c r="B109"/>
      <c r="C109"/>
      <c r="D109"/>
      <c r="E109"/>
      <c r="F109"/>
      <c r="G109"/>
      <c r="H109"/>
    </row>
    <row r="110" spans="1:8" x14ac:dyDescent="0.25">
      <c r="A110"/>
      <c r="B110"/>
      <c r="C110"/>
      <c r="D110"/>
      <c r="E110"/>
      <c r="F110"/>
      <c r="G110"/>
      <c r="H110"/>
    </row>
    <row r="111" spans="1:8" x14ac:dyDescent="0.25">
      <c r="A111"/>
      <c r="B111"/>
      <c r="C111"/>
      <c r="D111"/>
      <c r="E111"/>
      <c r="F111"/>
      <c r="G111"/>
      <c r="H111"/>
    </row>
    <row r="112" spans="1:8" x14ac:dyDescent="0.25">
      <c r="A112"/>
      <c r="B112"/>
      <c r="C112"/>
      <c r="D112"/>
      <c r="E112"/>
      <c r="F112"/>
      <c r="G112"/>
      <c r="H112"/>
    </row>
    <row r="113" spans="1:8" x14ac:dyDescent="0.25">
      <c r="A113"/>
      <c r="B113"/>
      <c r="C113"/>
      <c r="D113"/>
      <c r="E113"/>
      <c r="F113"/>
      <c r="G113"/>
      <c r="H113"/>
    </row>
    <row r="114" spans="1:8" x14ac:dyDescent="0.25">
      <c r="A114"/>
      <c r="B114"/>
      <c r="C114"/>
      <c r="D114"/>
      <c r="E114"/>
      <c r="F114"/>
      <c r="G114"/>
      <c r="H114"/>
    </row>
    <row r="115" spans="1:8" x14ac:dyDescent="0.25">
      <c r="A115"/>
      <c r="B115"/>
      <c r="C115"/>
      <c r="D115"/>
      <c r="E115"/>
      <c r="F115"/>
      <c r="G115"/>
      <c r="H115"/>
    </row>
    <row r="116" spans="1:8" x14ac:dyDescent="0.25">
      <c r="A116"/>
      <c r="B116"/>
      <c r="C116"/>
      <c r="D116"/>
      <c r="E116"/>
      <c r="F116"/>
      <c r="G116"/>
      <c r="H116"/>
    </row>
    <row r="117" spans="1:8" x14ac:dyDescent="0.25">
      <c r="A117"/>
      <c r="B117"/>
      <c r="C117"/>
      <c r="D117"/>
      <c r="E117"/>
      <c r="F117"/>
      <c r="G117"/>
      <c r="H117"/>
    </row>
    <row r="118" spans="1:8" x14ac:dyDescent="0.25">
      <c r="A118"/>
      <c r="B118"/>
      <c r="C118"/>
      <c r="D118"/>
      <c r="E118"/>
      <c r="F118"/>
      <c r="G118"/>
      <c r="H118"/>
    </row>
    <row r="119" spans="1:8" x14ac:dyDescent="0.25">
      <c r="A119"/>
      <c r="B119"/>
      <c r="C119"/>
      <c r="D119"/>
      <c r="E119"/>
      <c r="F119"/>
      <c r="G119"/>
      <c r="H119"/>
    </row>
    <row r="120" spans="1:8" x14ac:dyDescent="0.25">
      <c r="A120"/>
      <c r="B120"/>
      <c r="C120"/>
      <c r="D120"/>
      <c r="E120"/>
      <c r="F120"/>
      <c r="G120"/>
      <c r="H120"/>
    </row>
    <row r="121" spans="1:8" x14ac:dyDescent="0.25">
      <c r="A121"/>
      <c r="B121"/>
      <c r="C121"/>
      <c r="D121"/>
      <c r="E121"/>
      <c r="F121"/>
      <c r="G121"/>
      <c r="H121"/>
    </row>
    <row r="122" spans="1:8" x14ac:dyDescent="0.25">
      <c r="A122"/>
      <c r="B122"/>
      <c r="C122"/>
      <c r="D122"/>
      <c r="E122"/>
      <c r="F122"/>
      <c r="G122"/>
      <c r="H122"/>
    </row>
    <row r="123" spans="1:8" x14ac:dyDescent="0.25">
      <c r="A123"/>
      <c r="B123"/>
      <c r="C123"/>
      <c r="D123"/>
      <c r="E123"/>
      <c r="F123"/>
      <c r="G123"/>
      <c r="H123"/>
    </row>
    <row r="124" spans="1:8" x14ac:dyDescent="0.25">
      <c r="A124"/>
      <c r="B124"/>
      <c r="C124"/>
      <c r="D124"/>
      <c r="E124"/>
      <c r="F124"/>
      <c r="G124"/>
      <c r="H124"/>
    </row>
    <row r="125" spans="1:8" x14ac:dyDescent="0.25">
      <c r="A125"/>
      <c r="B125"/>
      <c r="C125"/>
      <c r="D125"/>
      <c r="E125"/>
      <c r="F125"/>
      <c r="G125"/>
      <c r="H125"/>
    </row>
    <row r="126" spans="1:8" x14ac:dyDescent="0.25">
      <c r="A126"/>
      <c r="B126"/>
      <c r="C126"/>
      <c r="D126"/>
      <c r="E126"/>
      <c r="F126"/>
      <c r="G126"/>
      <c r="H126"/>
    </row>
    <row r="127" spans="1:8" x14ac:dyDescent="0.25">
      <c r="A127"/>
      <c r="B127"/>
      <c r="C127"/>
      <c r="D127"/>
      <c r="E127"/>
      <c r="F127"/>
      <c r="G127"/>
      <c r="H127"/>
    </row>
    <row r="128" spans="1:8" x14ac:dyDescent="0.25">
      <c r="A128"/>
      <c r="B128"/>
      <c r="C128"/>
      <c r="D128"/>
      <c r="E128"/>
      <c r="F128"/>
      <c r="G128"/>
      <c r="H128"/>
    </row>
    <row r="129" spans="1:8" x14ac:dyDescent="0.25">
      <c r="A129"/>
      <c r="B129"/>
      <c r="C129"/>
      <c r="D129"/>
      <c r="E129"/>
      <c r="F129"/>
      <c r="G129"/>
      <c r="H129"/>
    </row>
    <row r="130" spans="1:8" x14ac:dyDescent="0.25">
      <c r="A130"/>
      <c r="B130"/>
      <c r="C130"/>
      <c r="D130"/>
      <c r="E130"/>
      <c r="F130"/>
      <c r="G130"/>
      <c r="H130"/>
    </row>
    <row r="131" spans="1:8" x14ac:dyDescent="0.25">
      <c r="A131"/>
      <c r="B131"/>
      <c r="C131"/>
      <c r="D131"/>
      <c r="E131"/>
      <c r="F131"/>
      <c r="G131"/>
      <c r="H131"/>
    </row>
    <row r="132" spans="1:8" x14ac:dyDescent="0.25">
      <c r="A132"/>
      <c r="B132"/>
      <c r="C132"/>
      <c r="D132"/>
      <c r="E132"/>
      <c r="F132"/>
      <c r="G132"/>
      <c r="H132"/>
    </row>
    <row r="133" spans="1:8" x14ac:dyDescent="0.25">
      <c r="A133"/>
      <c r="B133"/>
      <c r="C133"/>
      <c r="D133"/>
      <c r="E133"/>
      <c r="F133"/>
      <c r="G133"/>
      <c r="H133"/>
    </row>
    <row r="134" spans="1:8" x14ac:dyDescent="0.25">
      <c r="A134"/>
      <c r="B134"/>
      <c r="C134"/>
      <c r="D134"/>
      <c r="E134"/>
      <c r="F134"/>
      <c r="G134"/>
      <c r="H134"/>
    </row>
    <row r="135" spans="1:8" x14ac:dyDescent="0.25">
      <c r="A135"/>
      <c r="B135"/>
      <c r="C135"/>
      <c r="D135"/>
      <c r="E135"/>
      <c r="F135"/>
      <c r="G135"/>
      <c r="H135"/>
    </row>
    <row r="136" spans="1:8" x14ac:dyDescent="0.25">
      <c r="A136"/>
      <c r="B136"/>
      <c r="C136"/>
      <c r="D136"/>
      <c r="E136"/>
      <c r="F136"/>
      <c r="G136" s="46"/>
      <c r="H136" s="46"/>
    </row>
    <row r="137" spans="1:8" x14ac:dyDescent="0.25">
      <c r="A137"/>
      <c r="B137"/>
      <c r="C137"/>
      <c r="D137"/>
      <c r="E137"/>
      <c r="F137"/>
      <c r="G137" s="46"/>
      <c r="H137" s="46"/>
    </row>
    <row r="138" spans="1:8" x14ac:dyDescent="0.25">
      <c r="A138"/>
      <c r="B138"/>
      <c r="C138"/>
      <c r="D138"/>
      <c r="E138"/>
      <c r="F138"/>
      <c r="G138" s="46"/>
      <c r="H138" s="46"/>
    </row>
    <row r="139" spans="1:8" x14ac:dyDescent="0.25">
      <c r="A139"/>
      <c r="B139"/>
      <c r="C139"/>
      <c r="D139"/>
      <c r="E139"/>
      <c r="F139"/>
      <c r="G139" s="46"/>
      <c r="H139" s="46"/>
    </row>
    <row r="140" spans="1:8" x14ac:dyDescent="0.25">
      <c r="A140"/>
      <c r="B140"/>
      <c r="C140"/>
      <c r="D140"/>
      <c r="E140"/>
      <c r="F140"/>
      <c r="G140" s="46"/>
      <c r="H140" s="46"/>
    </row>
    <row r="141" spans="1:8" x14ac:dyDescent="0.25">
      <c r="A141"/>
      <c r="B141"/>
      <c r="C141"/>
      <c r="D141"/>
      <c r="E141"/>
      <c r="F141"/>
      <c r="G141" s="46"/>
      <c r="H141" s="46"/>
    </row>
    <row r="142" spans="1:8" x14ac:dyDescent="0.25">
      <c r="A142"/>
      <c r="B142"/>
      <c r="C142"/>
      <c r="D142"/>
      <c r="E142"/>
      <c r="F142"/>
      <c r="G142" s="46"/>
      <c r="H142" s="46"/>
    </row>
    <row r="143" spans="1:8" x14ac:dyDescent="0.25">
      <c r="A143"/>
      <c r="B143"/>
      <c r="C143"/>
      <c r="D143"/>
      <c r="E143"/>
      <c r="F143"/>
      <c r="G143" s="46"/>
      <c r="H143" s="46"/>
    </row>
    <row r="144" spans="1:8" x14ac:dyDescent="0.25">
      <c r="A144"/>
      <c r="B144"/>
      <c r="C144"/>
      <c r="D144"/>
      <c r="E144"/>
      <c r="F144"/>
      <c r="G144" s="46"/>
      <c r="H144" s="46"/>
    </row>
    <row r="145" spans="1:8" x14ac:dyDescent="0.25">
      <c r="A145"/>
      <c r="B145"/>
      <c r="C145"/>
      <c r="D145"/>
      <c r="E145"/>
      <c r="F145"/>
      <c r="G145" s="46"/>
      <c r="H145" s="46"/>
    </row>
    <row r="146" spans="1:8" x14ac:dyDescent="0.25">
      <c r="A146"/>
      <c r="B146"/>
      <c r="C146"/>
      <c r="D146"/>
      <c r="E146"/>
      <c r="F146"/>
      <c r="G146" s="46"/>
      <c r="H146" s="46"/>
    </row>
    <row r="147" spans="1:8" x14ac:dyDescent="0.25">
      <c r="A147"/>
      <c r="B147"/>
      <c r="C147"/>
      <c r="D147"/>
      <c r="E147"/>
      <c r="F147"/>
      <c r="G147" s="46"/>
      <c r="H147" s="46"/>
    </row>
    <row r="148" spans="1:8" x14ac:dyDescent="0.25">
      <c r="A148"/>
      <c r="B148"/>
      <c r="C148"/>
      <c r="D148"/>
      <c r="E148"/>
      <c r="F148"/>
      <c r="G148" s="46"/>
      <c r="H148" s="46"/>
    </row>
    <row r="149" spans="1:8" x14ac:dyDescent="0.25">
      <c r="A149"/>
      <c r="B149"/>
      <c r="C149"/>
      <c r="D149"/>
      <c r="E149"/>
      <c r="F149"/>
      <c r="G149" s="46"/>
      <c r="H149" s="46"/>
    </row>
    <row r="150" spans="1:8" x14ac:dyDescent="0.25">
      <c r="A150"/>
      <c r="B150"/>
      <c r="C150"/>
      <c r="D150"/>
      <c r="E150"/>
      <c r="F150"/>
      <c r="G150" s="46"/>
      <c r="H150" s="46"/>
    </row>
    <row r="151" spans="1:8" x14ac:dyDescent="0.25">
      <c r="A151"/>
      <c r="B151"/>
      <c r="C151"/>
      <c r="D151"/>
      <c r="E151"/>
      <c r="F151"/>
      <c r="G151" s="46"/>
      <c r="H151" s="46"/>
    </row>
    <row r="152" spans="1:8" x14ac:dyDescent="0.25">
      <c r="A152"/>
      <c r="B152"/>
      <c r="C152"/>
      <c r="D152"/>
      <c r="E152"/>
      <c r="F152"/>
      <c r="G152" s="46"/>
      <c r="H152" s="46"/>
    </row>
    <row r="153" spans="1:8" x14ac:dyDescent="0.25">
      <c r="A153"/>
      <c r="B153"/>
      <c r="C153"/>
      <c r="D153"/>
      <c r="E153"/>
      <c r="F153"/>
      <c r="G153" s="46"/>
      <c r="H153" s="46"/>
    </row>
    <row r="154" spans="1:8" x14ac:dyDescent="0.25">
      <c r="A154"/>
      <c r="B154"/>
      <c r="C154"/>
      <c r="D154"/>
      <c r="E154"/>
      <c r="F154"/>
      <c r="G154" s="46"/>
      <c r="H154" s="46"/>
    </row>
    <row r="155" spans="1:8" x14ac:dyDescent="0.25">
      <c r="A155"/>
      <c r="B155"/>
      <c r="C155"/>
      <c r="D155"/>
      <c r="E155"/>
      <c r="F155"/>
      <c r="G155" s="46"/>
      <c r="H155" s="46"/>
    </row>
    <row r="156" spans="1:8" x14ac:dyDescent="0.25">
      <c r="A156"/>
      <c r="B156"/>
      <c r="C156"/>
      <c r="D156"/>
      <c r="E156"/>
      <c r="F156"/>
      <c r="G156" s="46"/>
      <c r="H156" s="46"/>
    </row>
    <row r="157" spans="1:8" x14ac:dyDescent="0.25">
      <c r="A157"/>
      <c r="B157"/>
      <c r="C157"/>
      <c r="D157"/>
      <c r="E157"/>
      <c r="F157"/>
      <c r="G157" s="46"/>
      <c r="H157" s="46"/>
    </row>
    <row r="158" spans="1:8" x14ac:dyDescent="0.25">
      <c r="A158"/>
      <c r="B158"/>
      <c r="C158"/>
      <c r="D158"/>
      <c r="E158"/>
      <c r="F158"/>
      <c r="G158" s="46"/>
      <c r="H158" s="46"/>
    </row>
    <row r="159" spans="1:8" x14ac:dyDescent="0.25">
      <c r="A159"/>
      <c r="B159"/>
      <c r="C159"/>
      <c r="D159"/>
      <c r="E159"/>
      <c r="F159"/>
      <c r="G159" s="46"/>
      <c r="H159" s="46"/>
    </row>
    <row r="160" spans="1:8" x14ac:dyDescent="0.25">
      <c r="A160"/>
      <c r="B160"/>
      <c r="C160"/>
      <c r="D160"/>
      <c r="E160"/>
      <c r="F160"/>
      <c r="G160" s="46"/>
      <c r="H160" s="46"/>
    </row>
    <row r="161" spans="1:8" x14ac:dyDescent="0.25">
      <c r="A161"/>
      <c r="B161"/>
      <c r="C161"/>
      <c r="D161"/>
      <c r="E161"/>
      <c r="F161"/>
      <c r="G161" s="46"/>
      <c r="H161" s="46"/>
    </row>
    <row r="162" spans="1:8" x14ac:dyDescent="0.25">
      <c r="A162"/>
      <c r="B162"/>
      <c r="C162"/>
      <c r="D162"/>
      <c r="E162"/>
      <c r="F162"/>
      <c r="G162" s="46"/>
      <c r="H162" s="46"/>
    </row>
    <row r="163" spans="1:8" x14ac:dyDescent="0.25">
      <c r="A163"/>
      <c r="B163"/>
      <c r="C163"/>
      <c r="D163"/>
      <c r="E163"/>
      <c r="F163"/>
      <c r="G163" s="46"/>
      <c r="H163" s="46"/>
    </row>
    <row r="164" spans="1:8" x14ac:dyDescent="0.25">
      <c r="A164"/>
      <c r="B164"/>
      <c r="C164"/>
      <c r="D164"/>
      <c r="E164"/>
      <c r="F164"/>
      <c r="G164" s="46"/>
      <c r="H164" s="46"/>
    </row>
    <row r="165" spans="1:8" x14ac:dyDescent="0.25">
      <c r="A165"/>
      <c r="B165"/>
      <c r="C165"/>
      <c r="D165"/>
      <c r="E165"/>
      <c r="F165"/>
      <c r="G165" s="46"/>
      <c r="H165" s="46"/>
    </row>
    <row r="166" spans="1:8" x14ac:dyDescent="0.25">
      <c r="A166"/>
      <c r="B166"/>
      <c r="C166"/>
      <c r="D166"/>
      <c r="E166"/>
      <c r="F166"/>
      <c r="G166" s="46"/>
      <c r="H166" s="46"/>
    </row>
    <row r="167" spans="1:8" x14ac:dyDescent="0.25">
      <c r="A167"/>
      <c r="B167"/>
      <c r="C167"/>
      <c r="D167"/>
      <c r="E167"/>
      <c r="F167"/>
      <c r="G167" s="46"/>
      <c r="H167" s="46"/>
    </row>
    <row r="168" spans="1:8" x14ac:dyDescent="0.25">
      <c r="A168"/>
      <c r="B168"/>
      <c r="C168"/>
      <c r="D168"/>
      <c r="E168"/>
      <c r="F168"/>
      <c r="G168" s="46"/>
      <c r="H168" s="46"/>
    </row>
    <row r="169" spans="1:8" x14ac:dyDescent="0.25">
      <c r="A169"/>
      <c r="B169"/>
      <c r="C169"/>
      <c r="D169"/>
      <c r="E169"/>
      <c r="F169"/>
      <c r="G169" s="46"/>
      <c r="H169" s="46"/>
    </row>
    <row r="170" spans="1:8" x14ac:dyDescent="0.25">
      <c r="A170"/>
      <c r="B170"/>
      <c r="C170"/>
      <c r="D170"/>
      <c r="E170"/>
      <c r="F170"/>
      <c r="G170" s="46"/>
      <c r="H170" s="46"/>
    </row>
    <row r="171" spans="1:8" x14ac:dyDescent="0.25">
      <c r="A171"/>
      <c r="B171"/>
      <c r="C171"/>
      <c r="D171"/>
      <c r="E171"/>
      <c r="F171"/>
      <c r="G171" s="46"/>
      <c r="H171" s="46"/>
    </row>
    <row r="172" spans="1:8" x14ac:dyDescent="0.25">
      <c r="A172"/>
      <c r="B172"/>
      <c r="C172"/>
      <c r="D172"/>
      <c r="E172"/>
      <c r="F172"/>
      <c r="G172" s="46"/>
      <c r="H172" s="46"/>
    </row>
    <row r="173" spans="1:8" x14ac:dyDescent="0.25">
      <c r="A173"/>
      <c r="B173"/>
      <c r="C173"/>
      <c r="D173"/>
      <c r="E173"/>
      <c r="F173"/>
      <c r="G173" s="46"/>
      <c r="H173" s="46"/>
    </row>
    <row r="174" spans="1:8" x14ac:dyDescent="0.25">
      <c r="A174"/>
      <c r="B174"/>
      <c r="C174"/>
      <c r="D174"/>
      <c r="E174"/>
      <c r="F174"/>
      <c r="G174" s="46"/>
      <c r="H174" s="46"/>
    </row>
    <row r="175" spans="1:8" x14ac:dyDescent="0.25">
      <c r="A175"/>
      <c r="B175"/>
      <c r="C175"/>
      <c r="D175"/>
      <c r="E175"/>
      <c r="F175"/>
      <c r="G175" s="46"/>
      <c r="H175" s="46"/>
    </row>
    <row r="176" spans="1:8" x14ac:dyDescent="0.25">
      <c r="A176"/>
      <c r="B176"/>
      <c r="C176"/>
      <c r="D176"/>
      <c r="E176"/>
      <c r="F176"/>
      <c r="G176" s="46"/>
      <c r="H176" s="46"/>
    </row>
    <row r="177" spans="1:8" x14ac:dyDescent="0.25">
      <c r="A177"/>
      <c r="B177"/>
      <c r="C177"/>
      <c r="D177"/>
      <c r="E177"/>
      <c r="F177"/>
      <c r="G177" s="46"/>
      <c r="H177" s="46"/>
    </row>
    <row r="178" spans="1:8" x14ac:dyDescent="0.25">
      <c r="A178"/>
      <c r="B178"/>
      <c r="C178"/>
      <c r="D178"/>
      <c r="E178"/>
      <c r="F178"/>
      <c r="G178" s="46"/>
      <c r="H178" s="46"/>
    </row>
    <row r="179" spans="1:8" x14ac:dyDescent="0.25">
      <c r="A179"/>
      <c r="B179"/>
      <c r="C179"/>
      <c r="D179"/>
      <c r="E179"/>
      <c r="F179"/>
      <c r="G179" s="46"/>
      <c r="H179" s="46"/>
    </row>
    <row r="180" spans="1:8" x14ac:dyDescent="0.25">
      <c r="A180"/>
      <c r="B180"/>
      <c r="C180"/>
      <c r="D180"/>
      <c r="E180"/>
      <c r="F180"/>
      <c r="G180" s="46"/>
      <c r="H180" s="46"/>
    </row>
    <row r="181" spans="1:8" x14ac:dyDescent="0.25">
      <c r="A181"/>
      <c r="B181"/>
      <c r="C181"/>
      <c r="D181"/>
      <c r="E181"/>
      <c r="F181"/>
      <c r="G181" s="46"/>
      <c r="H181" s="46"/>
    </row>
    <row r="182" spans="1:8" x14ac:dyDescent="0.25">
      <c r="A182"/>
      <c r="B182"/>
      <c r="C182"/>
      <c r="D182"/>
      <c r="E182"/>
      <c r="F182"/>
      <c r="G182" s="46"/>
      <c r="H182" s="46"/>
    </row>
    <row r="183" spans="1:8" x14ac:dyDescent="0.25">
      <c r="A183"/>
      <c r="B183"/>
      <c r="C183"/>
      <c r="D183"/>
      <c r="E183"/>
      <c r="F183"/>
      <c r="G183" s="46"/>
      <c r="H183" s="46"/>
    </row>
    <row r="184" spans="1:8" x14ac:dyDescent="0.25">
      <c r="A184"/>
      <c r="B184"/>
      <c r="C184"/>
      <c r="D184"/>
      <c r="E184"/>
      <c r="F184"/>
      <c r="G184" s="46"/>
      <c r="H184" s="46"/>
    </row>
    <row r="185" spans="1:8" x14ac:dyDescent="0.25">
      <c r="A185"/>
      <c r="B185"/>
      <c r="C185"/>
      <c r="D185"/>
      <c r="E185"/>
      <c r="F185"/>
      <c r="G185" s="46"/>
      <c r="H185" s="46"/>
    </row>
    <row r="186" spans="1:8" x14ac:dyDescent="0.25">
      <c r="A186"/>
      <c r="B186"/>
      <c r="C186"/>
      <c r="D186"/>
      <c r="E186"/>
      <c r="F186"/>
      <c r="G186" s="46"/>
      <c r="H186" s="46"/>
    </row>
    <row r="187" spans="1:8" x14ac:dyDescent="0.25">
      <c r="A187"/>
      <c r="B187"/>
      <c r="C187"/>
      <c r="D187"/>
      <c r="E187"/>
      <c r="F187"/>
      <c r="G187" s="46"/>
      <c r="H187" s="46"/>
    </row>
    <row r="188" spans="1:8" x14ac:dyDescent="0.25">
      <c r="A188"/>
      <c r="B188"/>
      <c r="C188"/>
      <c r="D188"/>
      <c r="E188"/>
      <c r="F188"/>
      <c r="G188" s="46"/>
      <c r="H188" s="46"/>
    </row>
    <row r="189" spans="1:8" x14ac:dyDescent="0.25">
      <c r="A189"/>
      <c r="B189"/>
      <c r="C189"/>
      <c r="D189"/>
      <c r="E189"/>
      <c r="F189"/>
      <c r="G189" s="46"/>
      <c r="H189" s="46"/>
    </row>
    <row r="190" spans="1:8" x14ac:dyDescent="0.25">
      <c r="A190"/>
      <c r="B190"/>
      <c r="C190"/>
      <c r="D190"/>
      <c r="E190"/>
      <c r="F190"/>
      <c r="G190" s="46"/>
      <c r="H190" s="46"/>
    </row>
    <row r="191" spans="1:8" x14ac:dyDescent="0.25">
      <c r="A191"/>
      <c r="B191"/>
      <c r="C191"/>
      <c r="D191"/>
      <c r="E191"/>
      <c r="F191"/>
      <c r="G191" s="46"/>
      <c r="H191" s="46"/>
    </row>
    <row r="192" spans="1:8" x14ac:dyDescent="0.25">
      <c r="A192"/>
      <c r="B192"/>
      <c r="C192"/>
      <c r="D192"/>
      <c r="E192"/>
      <c r="F192"/>
      <c r="G192" s="46"/>
      <c r="H192" s="46"/>
    </row>
    <row r="193" spans="1:8" x14ac:dyDescent="0.25">
      <c r="A193"/>
      <c r="B193"/>
      <c r="C193"/>
      <c r="D193"/>
      <c r="E193"/>
      <c r="F193"/>
      <c r="G193" s="46"/>
      <c r="H193" s="46"/>
    </row>
    <row r="194" spans="1:8" x14ac:dyDescent="0.25">
      <c r="A194"/>
      <c r="B194"/>
      <c r="C194"/>
      <c r="D194"/>
      <c r="E194"/>
      <c r="F194"/>
      <c r="G194" s="46"/>
      <c r="H194" s="46"/>
    </row>
    <row r="195" spans="1:8" x14ac:dyDescent="0.25">
      <c r="A195"/>
      <c r="B195"/>
      <c r="C195"/>
      <c r="D195"/>
      <c r="E195"/>
      <c r="F195"/>
      <c r="G195" s="46"/>
      <c r="H195" s="46"/>
    </row>
    <row r="196" spans="1:8" x14ac:dyDescent="0.25">
      <c r="A196"/>
      <c r="B196"/>
      <c r="C196"/>
      <c r="D196"/>
      <c r="E196"/>
      <c r="F196"/>
      <c r="G196" s="46"/>
      <c r="H196" s="46"/>
    </row>
    <row r="197" spans="1:8" x14ac:dyDescent="0.25">
      <c r="A197"/>
      <c r="B197"/>
      <c r="C197"/>
      <c r="D197"/>
      <c r="E197"/>
      <c r="F197"/>
      <c r="G197" s="46"/>
      <c r="H197" s="46"/>
    </row>
    <row r="198" spans="1:8" x14ac:dyDescent="0.25">
      <c r="A198"/>
      <c r="B198"/>
      <c r="C198"/>
      <c r="D198"/>
      <c r="E198"/>
      <c r="F198"/>
      <c r="G198" s="46"/>
      <c r="H198" s="46"/>
    </row>
    <row r="199" spans="1:8" x14ac:dyDescent="0.25">
      <c r="A199"/>
      <c r="B199"/>
      <c r="C199"/>
      <c r="D199"/>
      <c r="E199"/>
      <c r="F199"/>
      <c r="G199" s="46"/>
      <c r="H199" s="46"/>
    </row>
    <row r="200" spans="1:8" x14ac:dyDescent="0.25">
      <c r="A200"/>
      <c r="B200"/>
      <c r="C200"/>
      <c r="D200"/>
      <c r="E200"/>
      <c r="F200"/>
      <c r="G200" s="46"/>
      <c r="H200" s="46"/>
    </row>
    <row r="201" spans="1:8" x14ac:dyDescent="0.25">
      <c r="A201"/>
      <c r="B201"/>
      <c r="C201"/>
      <c r="D201"/>
      <c r="E201"/>
      <c r="F201"/>
      <c r="G201" s="46"/>
      <c r="H201" s="46"/>
    </row>
    <row r="202" spans="1:8" x14ac:dyDescent="0.25">
      <c r="A202"/>
      <c r="B202"/>
      <c r="C202"/>
      <c r="D202"/>
      <c r="E202"/>
      <c r="F202"/>
      <c r="G202" s="46"/>
      <c r="H202" s="46"/>
    </row>
    <row r="203" spans="1:8" x14ac:dyDescent="0.25">
      <c r="A203"/>
      <c r="B203"/>
      <c r="C203"/>
      <c r="D203"/>
      <c r="E203"/>
      <c r="F203"/>
      <c r="G203" s="46"/>
      <c r="H203" s="46"/>
    </row>
    <row r="204" spans="1:8" x14ac:dyDescent="0.25">
      <c r="A204"/>
      <c r="B204"/>
      <c r="C204"/>
      <c r="D204"/>
      <c r="E204"/>
      <c r="F204"/>
      <c r="G204" s="46"/>
      <c r="H204" s="46"/>
    </row>
    <row r="205" spans="1:8" x14ac:dyDescent="0.25">
      <c r="A205"/>
      <c r="B205"/>
      <c r="C205"/>
      <c r="D205"/>
      <c r="E205"/>
      <c r="F205"/>
      <c r="G205" s="46"/>
      <c r="H205" s="46"/>
    </row>
    <row r="206" spans="1:8" x14ac:dyDescent="0.25">
      <c r="A206"/>
      <c r="B206"/>
      <c r="C206"/>
      <c r="D206"/>
      <c r="E206"/>
      <c r="F206"/>
      <c r="G206" s="46"/>
      <c r="H206" s="46"/>
    </row>
    <row r="207" spans="1:8" x14ac:dyDescent="0.25">
      <c r="A207"/>
      <c r="B207"/>
      <c r="C207"/>
      <c r="D207"/>
      <c r="E207"/>
      <c r="F207"/>
      <c r="G207" s="46"/>
      <c r="H207" s="46"/>
    </row>
    <row r="208" spans="1:8" x14ac:dyDescent="0.25">
      <c r="A208"/>
      <c r="B208"/>
      <c r="C208"/>
      <c r="D208"/>
      <c r="E208"/>
      <c r="F208"/>
      <c r="G208" s="46"/>
      <c r="H208" s="46"/>
    </row>
    <row r="209" spans="1:8" x14ac:dyDescent="0.25">
      <c r="A209"/>
      <c r="B209"/>
      <c r="C209"/>
      <c r="D209"/>
      <c r="E209"/>
      <c r="F209"/>
      <c r="G209" s="46"/>
      <c r="H209" s="46"/>
    </row>
    <row r="210" spans="1:8" x14ac:dyDescent="0.25">
      <c r="A210"/>
      <c r="B210"/>
      <c r="C210"/>
      <c r="D210"/>
      <c r="E210"/>
      <c r="F210"/>
      <c r="G210" s="46"/>
      <c r="H210" s="46"/>
    </row>
    <row r="211" spans="1:8" x14ac:dyDescent="0.25">
      <c r="A211"/>
      <c r="B211"/>
      <c r="C211"/>
      <c r="D211"/>
      <c r="E211"/>
      <c r="F211"/>
      <c r="G211" s="46"/>
      <c r="H211" s="46"/>
    </row>
    <row r="212" spans="1:8" x14ac:dyDescent="0.25">
      <c r="A212"/>
      <c r="B212"/>
      <c r="C212"/>
      <c r="D212"/>
      <c r="E212"/>
      <c r="F212"/>
      <c r="G212" s="46"/>
      <c r="H212" s="46"/>
    </row>
    <row r="213" spans="1:8" x14ac:dyDescent="0.25">
      <c r="A213"/>
      <c r="B213"/>
      <c r="C213"/>
      <c r="D213"/>
      <c r="E213"/>
      <c r="F213"/>
      <c r="G213" s="46"/>
      <c r="H213" s="46"/>
    </row>
    <row r="214" spans="1:8" x14ac:dyDescent="0.25">
      <c r="A214"/>
      <c r="B214"/>
      <c r="C214"/>
      <c r="D214"/>
      <c r="E214"/>
      <c r="F214"/>
      <c r="G214" s="46"/>
      <c r="H214" s="46"/>
    </row>
    <row r="215" spans="1:8" x14ac:dyDescent="0.25">
      <c r="A215"/>
      <c r="B215"/>
      <c r="C215"/>
      <c r="D215"/>
      <c r="E215"/>
      <c r="F215"/>
      <c r="G215" s="46"/>
      <c r="H215" s="46"/>
    </row>
    <row r="216" spans="1:8" x14ac:dyDescent="0.25">
      <c r="A216"/>
      <c r="B216"/>
      <c r="C216"/>
      <c r="D216"/>
      <c r="E216"/>
      <c r="F216"/>
      <c r="G216" s="46"/>
      <c r="H216" s="46"/>
    </row>
    <row r="217" spans="1:8" x14ac:dyDescent="0.25">
      <c r="A217"/>
      <c r="B217"/>
      <c r="C217"/>
      <c r="D217"/>
      <c r="E217"/>
      <c r="F217"/>
      <c r="G217" s="46"/>
      <c r="H217" s="46"/>
    </row>
    <row r="218" spans="1:8" x14ac:dyDescent="0.25">
      <c r="A218"/>
      <c r="B218"/>
      <c r="C218"/>
      <c r="D218"/>
      <c r="E218"/>
      <c r="F218"/>
      <c r="G218" s="46"/>
      <c r="H218" s="46"/>
    </row>
    <row r="219" spans="1:8" x14ac:dyDescent="0.25">
      <c r="A219"/>
      <c r="B219"/>
      <c r="C219"/>
      <c r="D219"/>
      <c r="E219"/>
      <c r="F219"/>
      <c r="G219" s="46"/>
      <c r="H219" s="46"/>
    </row>
    <row r="220" spans="1:8" x14ac:dyDescent="0.25">
      <c r="A220"/>
      <c r="B220"/>
      <c r="C220"/>
      <c r="D220"/>
      <c r="E220"/>
      <c r="F220"/>
      <c r="G220" s="46"/>
      <c r="H220" s="46"/>
    </row>
    <row r="221" spans="1:8" x14ac:dyDescent="0.25">
      <c r="A221"/>
      <c r="B221"/>
      <c r="C221"/>
      <c r="D221"/>
      <c r="E221"/>
      <c r="F221"/>
      <c r="G221" s="46"/>
      <c r="H221" s="46"/>
    </row>
    <row r="222" spans="1:8" x14ac:dyDescent="0.25">
      <c r="A222"/>
      <c r="B222"/>
      <c r="C222"/>
      <c r="D222"/>
      <c r="E222"/>
      <c r="F222"/>
      <c r="G222" s="46"/>
      <c r="H222" s="46"/>
    </row>
    <row r="223" spans="1:8" x14ac:dyDescent="0.25">
      <c r="A223"/>
      <c r="B223"/>
      <c r="C223"/>
      <c r="D223"/>
      <c r="E223"/>
      <c r="F223"/>
      <c r="G223" s="46"/>
      <c r="H223" s="46"/>
    </row>
    <row r="224" spans="1:8" x14ac:dyDescent="0.25">
      <c r="A224"/>
      <c r="B224"/>
      <c r="C224"/>
      <c r="D224"/>
      <c r="E224"/>
      <c r="F224"/>
      <c r="G224" s="46"/>
      <c r="H224" s="46"/>
    </row>
    <row r="225" spans="1:8" x14ac:dyDescent="0.25">
      <c r="A225"/>
      <c r="B225"/>
      <c r="C225"/>
      <c r="D225"/>
      <c r="E225"/>
      <c r="F225"/>
      <c r="G225" s="46"/>
      <c r="H225" s="46"/>
    </row>
    <row r="226" spans="1:8" x14ac:dyDescent="0.25">
      <c r="A226"/>
      <c r="B226"/>
      <c r="C226"/>
      <c r="D226"/>
      <c r="E226"/>
      <c r="F226"/>
      <c r="G226" s="46"/>
      <c r="H226" s="46"/>
    </row>
    <row r="227" spans="1:8" x14ac:dyDescent="0.25">
      <c r="A227"/>
      <c r="B227"/>
      <c r="C227"/>
      <c r="D227"/>
      <c r="E227"/>
      <c r="F227"/>
      <c r="G227" s="46"/>
      <c r="H227" s="46"/>
    </row>
    <row r="228" spans="1:8" x14ac:dyDescent="0.25">
      <c r="A228"/>
      <c r="B228"/>
      <c r="C228"/>
      <c r="D228"/>
      <c r="E228"/>
      <c r="F228"/>
      <c r="G228" s="46"/>
      <c r="H228" s="46"/>
    </row>
    <row r="229" spans="1:8" x14ac:dyDescent="0.25">
      <c r="A229"/>
      <c r="B229"/>
      <c r="C229"/>
      <c r="D229"/>
      <c r="E229"/>
      <c r="F229"/>
      <c r="G229" s="46"/>
      <c r="H229" s="46"/>
    </row>
    <row r="230" spans="1:8" x14ac:dyDescent="0.25">
      <c r="A230"/>
      <c r="B230"/>
      <c r="C230"/>
      <c r="D230"/>
      <c r="E230"/>
      <c r="F230"/>
      <c r="G230" s="46"/>
      <c r="H230" s="46"/>
    </row>
    <row r="231" spans="1:8" x14ac:dyDescent="0.25">
      <c r="A231"/>
      <c r="B231"/>
      <c r="C231"/>
      <c r="D231"/>
      <c r="E231"/>
      <c r="F231"/>
      <c r="G231" s="46"/>
      <c r="H231" s="46"/>
    </row>
    <row r="232" spans="1:8" x14ac:dyDescent="0.25">
      <c r="A232"/>
      <c r="B232"/>
      <c r="C232"/>
      <c r="D232"/>
      <c r="E232"/>
      <c r="F232"/>
      <c r="G232" s="46"/>
      <c r="H232" s="46"/>
    </row>
    <row r="233" spans="1:8" x14ac:dyDescent="0.25">
      <c r="A233"/>
      <c r="B233"/>
      <c r="C233"/>
      <c r="D233"/>
      <c r="E233"/>
      <c r="F233"/>
      <c r="G233" s="46"/>
      <c r="H233" s="46"/>
    </row>
    <row r="234" spans="1:8" x14ac:dyDescent="0.25">
      <c r="A234"/>
      <c r="B234"/>
      <c r="C234"/>
      <c r="D234"/>
      <c r="E234"/>
      <c r="F234"/>
      <c r="G234" s="46"/>
      <c r="H234" s="46"/>
    </row>
    <row r="235" spans="1:8" x14ac:dyDescent="0.25">
      <c r="A235"/>
      <c r="B235"/>
      <c r="C235"/>
      <c r="D235"/>
      <c r="E235"/>
      <c r="F235"/>
      <c r="G235" s="46"/>
      <c r="H235" s="46"/>
    </row>
    <row r="236" spans="1:8" x14ac:dyDescent="0.25">
      <c r="A236"/>
      <c r="B236"/>
      <c r="C236"/>
      <c r="D236"/>
      <c r="E236"/>
      <c r="F236"/>
      <c r="G236" s="46"/>
      <c r="H236" s="46"/>
    </row>
    <row r="237" spans="1:8" x14ac:dyDescent="0.25">
      <c r="A237"/>
      <c r="B237"/>
      <c r="C237"/>
      <c r="D237"/>
      <c r="E237"/>
      <c r="F237"/>
      <c r="G237" s="46"/>
      <c r="H237" s="46"/>
    </row>
    <row r="238" spans="1:8" x14ac:dyDescent="0.25">
      <c r="A238"/>
      <c r="B238"/>
      <c r="C238"/>
      <c r="D238"/>
      <c r="E238"/>
      <c r="F238"/>
      <c r="G238" s="46"/>
      <c r="H238" s="46"/>
    </row>
    <row r="239" spans="1:8" x14ac:dyDescent="0.25">
      <c r="A239"/>
      <c r="B239"/>
      <c r="C239"/>
      <c r="D239"/>
      <c r="E239"/>
      <c r="F239"/>
      <c r="G239" s="46"/>
      <c r="H239" s="46"/>
    </row>
    <row r="240" spans="1:8" x14ac:dyDescent="0.25">
      <c r="A240"/>
      <c r="B240"/>
      <c r="C240"/>
      <c r="D240"/>
      <c r="E240"/>
      <c r="F240"/>
      <c r="G240" s="46"/>
      <c r="H240" s="46"/>
    </row>
    <row r="241" spans="1:8" x14ac:dyDescent="0.25">
      <c r="A241"/>
      <c r="B241"/>
      <c r="C241"/>
      <c r="D241"/>
      <c r="E241"/>
      <c r="F241"/>
      <c r="G241" s="46"/>
      <c r="H241" s="46"/>
    </row>
    <row r="242" spans="1:8" x14ac:dyDescent="0.25">
      <c r="A242"/>
      <c r="B242"/>
      <c r="C242"/>
      <c r="D242"/>
      <c r="E242"/>
      <c r="F242"/>
      <c r="G242" s="46"/>
      <c r="H242" s="46"/>
    </row>
    <row r="243" spans="1:8" x14ac:dyDescent="0.25">
      <c r="A243"/>
      <c r="B243"/>
      <c r="C243"/>
      <c r="D243"/>
      <c r="E243"/>
      <c r="F243"/>
      <c r="G243" s="46"/>
      <c r="H243" s="46"/>
    </row>
    <row r="244" spans="1:8" x14ac:dyDescent="0.25">
      <c r="A244"/>
      <c r="B244"/>
      <c r="C244"/>
      <c r="D244"/>
      <c r="E244"/>
      <c r="F244"/>
      <c r="G244" s="46"/>
      <c r="H244" s="46"/>
    </row>
    <row r="245" spans="1:8" x14ac:dyDescent="0.25">
      <c r="A245"/>
      <c r="B245"/>
      <c r="C245"/>
      <c r="D245"/>
      <c r="E245"/>
      <c r="F245"/>
      <c r="G245" s="46"/>
      <c r="H245" s="46"/>
    </row>
    <row r="246" spans="1:8" x14ac:dyDescent="0.25">
      <c r="A246"/>
      <c r="B246"/>
      <c r="C246"/>
      <c r="D246"/>
      <c r="E246"/>
      <c r="F246"/>
      <c r="G246" s="46"/>
      <c r="H246" s="46"/>
    </row>
    <row r="247" spans="1:8" x14ac:dyDescent="0.25">
      <c r="A247"/>
      <c r="B247"/>
      <c r="C247"/>
      <c r="D247"/>
      <c r="E247"/>
      <c r="F247"/>
      <c r="G247" s="46"/>
      <c r="H247" s="46"/>
    </row>
    <row r="248" spans="1:8" x14ac:dyDescent="0.25">
      <c r="A248"/>
      <c r="B248"/>
      <c r="C248"/>
      <c r="D248"/>
      <c r="E248"/>
      <c r="F248"/>
      <c r="G248" s="46"/>
      <c r="H248" s="46"/>
    </row>
    <row r="249" spans="1:8" x14ac:dyDescent="0.25">
      <c r="A249"/>
      <c r="B249"/>
      <c r="C249"/>
      <c r="D249"/>
      <c r="E249"/>
      <c r="F249"/>
      <c r="G249" s="46"/>
      <c r="H249" s="46"/>
    </row>
    <row r="250" spans="1:8" x14ac:dyDescent="0.25">
      <c r="A250"/>
      <c r="B250"/>
      <c r="C250"/>
      <c r="D250"/>
      <c r="E250"/>
      <c r="F250"/>
      <c r="G250" s="46"/>
      <c r="H250" s="46"/>
    </row>
    <row r="251" spans="1:8" x14ac:dyDescent="0.25">
      <c r="A251"/>
      <c r="B251"/>
      <c r="C251"/>
      <c r="D251"/>
      <c r="E251"/>
      <c r="F251"/>
      <c r="G251" s="46"/>
      <c r="H251" s="46"/>
    </row>
    <row r="252" spans="1:8" x14ac:dyDescent="0.25">
      <c r="A252"/>
      <c r="B252"/>
      <c r="C252"/>
      <c r="D252"/>
      <c r="E252"/>
      <c r="F252"/>
      <c r="G252" s="46"/>
      <c r="H252" s="46"/>
    </row>
    <row r="253" spans="1:8" x14ac:dyDescent="0.25">
      <c r="A253"/>
      <c r="B253"/>
      <c r="C253"/>
      <c r="D253"/>
      <c r="E253"/>
      <c r="F253"/>
      <c r="G253" s="46"/>
      <c r="H253" s="46"/>
    </row>
    <row r="254" spans="1:8" x14ac:dyDescent="0.25">
      <c r="A254"/>
      <c r="B254"/>
      <c r="C254"/>
      <c r="D254"/>
      <c r="E254"/>
      <c r="F254"/>
      <c r="G254" s="46"/>
      <c r="H254" s="46"/>
    </row>
    <row r="255" spans="1:8" x14ac:dyDescent="0.25">
      <c r="A255"/>
      <c r="B255"/>
      <c r="C255"/>
      <c r="D255"/>
      <c r="E255"/>
      <c r="F255"/>
      <c r="G255" s="46"/>
      <c r="H255" s="46"/>
    </row>
    <row r="256" spans="1:8" x14ac:dyDescent="0.25">
      <c r="A256"/>
      <c r="B256"/>
      <c r="C256"/>
      <c r="D256"/>
      <c r="E256"/>
      <c r="F256"/>
      <c r="G256" s="46"/>
      <c r="H256" s="46"/>
    </row>
    <row r="257" spans="1:8" x14ac:dyDescent="0.25">
      <c r="A257"/>
      <c r="B257"/>
      <c r="C257"/>
      <c r="D257"/>
      <c r="E257"/>
      <c r="F257"/>
      <c r="G257" s="46"/>
      <c r="H257" s="46"/>
    </row>
    <row r="258" spans="1:8" x14ac:dyDescent="0.25">
      <c r="A258"/>
      <c r="B258"/>
      <c r="C258"/>
      <c r="D258"/>
      <c r="E258"/>
      <c r="F258"/>
      <c r="G258" s="46"/>
      <c r="H258" s="46"/>
    </row>
    <row r="259" spans="1:8" x14ac:dyDescent="0.25">
      <c r="A259"/>
      <c r="B259"/>
      <c r="C259"/>
      <c r="D259"/>
      <c r="E259"/>
      <c r="F259"/>
      <c r="G259" s="46"/>
      <c r="H259" s="46"/>
    </row>
    <row r="260" spans="1:8" x14ac:dyDescent="0.25">
      <c r="A260"/>
      <c r="B260"/>
      <c r="C260"/>
      <c r="D260"/>
      <c r="E260"/>
      <c r="F260"/>
      <c r="G260" s="46"/>
      <c r="H260" s="46"/>
    </row>
    <row r="261" spans="1:8" x14ac:dyDescent="0.25">
      <c r="A261"/>
      <c r="B261"/>
      <c r="C261"/>
      <c r="D261"/>
      <c r="E261"/>
      <c r="F261"/>
      <c r="G261" s="46"/>
      <c r="H261" s="46"/>
    </row>
    <row r="262" spans="1:8" x14ac:dyDescent="0.25">
      <c r="A262"/>
      <c r="B262"/>
      <c r="C262"/>
      <c r="D262"/>
      <c r="E262"/>
      <c r="F262"/>
      <c r="G262" s="46"/>
      <c r="H262" s="46"/>
    </row>
    <row r="263" spans="1:8" x14ac:dyDescent="0.25">
      <c r="A263"/>
      <c r="B263"/>
      <c r="C263"/>
      <c r="D263"/>
      <c r="E263"/>
      <c r="F263"/>
      <c r="G263" s="46"/>
      <c r="H263" s="46"/>
    </row>
    <row r="264" spans="1:8" x14ac:dyDescent="0.25">
      <c r="A264"/>
      <c r="B264"/>
      <c r="C264"/>
      <c r="D264"/>
      <c r="E264"/>
      <c r="F264"/>
      <c r="G264" s="46"/>
      <c r="H264" s="46"/>
    </row>
    <row r="265" spans="1:8" x14ac:dyDescent="0.25">
      <c r="A265"/>
      <c r="B265"/>
      <c r="C265"/>
      <c r="D265"/>
      <c r="E265"/>
      <c r="F265"/>
      <c r="G265" s="46"/>
      <c r="H265" s="46"/>
    </row>
    <row r="266" spans="1:8" x14ac:dyDescent="0.25">
      <c r="A266"/>
      <c r="B266"/>
      <c r="C266"/>
      <c r="D266"/>
      <c r="E266"/>
      <c r="F266"/>
      <c r="G266" s="46"/>
      <c r="H266" s="46"/>
    </row>
    <row r="267" spans="1:8" x14ac:dyDescent="0.25">
      <c r="A267"/>
      <c r="B267"/>
      <c r="C267"/>
      <c r="D267"/>
      <c r="E267"/>
      <c r="F267"/>
      <c r="G267" s="46"/>
      <c r="H267" s="46"/>
    </row>
    <row r="268" spans="1:8" x14ac:dyDescent="0.25">
      <c r="A268"/>
      <c r="B268"/>
      <c r="C268"/>
      <c r="D268"/>
      <c r="E268"/>
      <c r="F268"/>
      <c r="G268" s="46"/>
      <c r="H268" s="46"/>
    </row>
    <row r="269" spans="1:8" x14ac:dyDescent="0.25">
      <c r="A269"/>
      <c r="B269"/>
      <c r="C269"/>
      <c r="D269"/>
      <c r="E269"/>
      <c r="F269"/>
      <c r="G269" s="46"/>
      <c r="H269" s="46"/>
    </row>
    <row r="270" spans="1:8" x14ac:dyDescent="0.25">
      <c r="A270"/>
      <c r="B270"/>
      <c r="C270"/>
      <c r="D270"/>
      <c r="E270"/>
      <c r="F270"/>
      <c r="G270" s="46"/>
      <c r="H270" s="46"/>
    </row>
    <row r="271" spans="1:8" x14ac:dyDescent="0.25">
      <c r="A271"/>
      <c r="B271"/>
      <c r="C271"/>
      <c r="D271"/>
      <c r="E271"/>
      <c r="F271"/>
      <c r="G271" s="46"/>
      <c r="H271" s="46"/>
    </row>
    <row r="272" spans="1:8" x14ac:dyDescent="0.25">
      <c r="A272"/>
      <c r="B272"/>
      <c r="C272"/>
      <c r="D272"/>
      <c r="E272"/>
      <c r="F272"/>
      <c r="G272" s="46"/>
      <c r="H272" s="46"/>
    </row>
    <row r="273" spans="1:8" x14ac:dyDescent="0.25">
      <c r="A273"/>
      <c r="B273"/>
      <c r="C273"/>
      <c r="D273"/>
      <c r="E273"/>
      <c r="F273"/>
      <c r="G273" s="46"/>
      <c r="H273" s="46"/>
    </row>
    <row r="274" spans="1:8" x14ac:dyDescent="0.25">
      <c r="A274"/>
      <c r="B274"/>
      <c r="C274"/>
      <c r="D274"/>
      <c r="E274"/>
      <c r="F274"/>
      <c r="G274" s="46"/>
      <c r="H274" s="46"/>
    </row>
    <row r="275" spans="1:8" x14ac:dyDescent="0.25">
      <c r="A275"/>
      <c r="B275"/>
      <c r="C275"/>
      <c r="D275"/>
      <c r="E275"/>
      <c r="F275"/>
      <c r="G275" s="46"/>
      <c r="H275" s="46"/>
    </row>
    <row r="276" spans="1:8" x14ac:dyDescent="0.25">
      <c r="A276"/>
      <c r="B276"/>
      <c r="C276"/>
      <c r="D276"/>
      <c r="E276"/>
      <c r="F276"/>
      <c r="G276" s="46"/>
      <c r="H276" s="46"/>
    </row>
    <row r="277" spans="1:8" x14ac:dyDescent="0.25">
      <c r="A277"/>
      <c r="B277"/>
      <c r="C277"/>
      <c r="D277"/>
      <c r="E277"/>
      <c r="F277"/>
      <c r="G277" s="46"/>
      <c r="H277" s="46"/>
    </row>
    <row r="278" spans="1:8" x14ac:dyDescent="0.25">
      <c r="A278"/>
      <c r="B278"/>
      <c r="C278"/>
      <c r="D278"/>
      <c r="E278"/>
      <c r="F278"/>
      <c r="G278" s="46"/>
      <c r="H278" s="46"/>
    </row>
    <row r="279" spans="1:8" x14ac:dyDescent="0.25">
      <c r="A279"/>
      <c r="B279"/>
      <c r="C279"/>
      <c r="D279"/>
      <c r="E279"/>
      <c r="F279"/>
      <c r="G279" s="46"/>
      <c r="H279" s="46"/>
    </row>
    <row r="280" spans="1:8" x14ac:dyDescent="0.25">
      <c r="A280"/>
      <c r="B280"/>
      <c r="C280"/>
      <c r="D280"/>
      <c r="E280"/>
      <c r="F280"/>
      <c r="G280" s="46"/>
      <c r="H280" s="46"/>
    </row>
    <row r="281" spans="1:8" x14ac:dyDescent="0.25">
      <c r="A281"/>
      <c r="B281"/>
      <c r="C281"/>
      <c r="D281"/>
      <c r="E281"/>
      <c r="F281"/>
      <c r="G281" s="46"/>
      <c r="H281" s="46"/>
    </row>
    <row r="282" spans="1:8" x14ac:dyDescent="0.25">
      <c r="A282"/>
      <c r="B282"/>
      <c r="C282"/>
      <c r="D282"/>
      <c r="E282"/>
      <c r="F282"/>
      <c r="G282" s="46"/>
      <c r="H282" s="46"/>
    </row>
    <row r="283" spans="1:8" x14ac:dyDescent="0.25">
      <c r="A283"/>
      <c r="B283"/>
      <c r="C283"/>
      <c r="D283"/>
      <c r="E283"/>
      <c r="F283"/>
      <c r="G283" s="46"/>
      <c r="H283" s="46"/>
    </row>
    <row r="284" spans="1:8" x14ac:dyDescent="0.25">
      <c r="A284"/>
      <c r="B284"/>
      <c r="C284"/>
      <c r="D284"/>
      <c r="E284"/>
      <c r="F284"/>
      <c r="G284" s="46"/>
      <c r="H284" s="46"/>
    </row>
  </sheetData>
  <mergeCells count="1">
    <mergeCell ref="A4:B4"/>
  </mergeCell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3"/>
  <sheetViews>
    <sheetView showGridLines="0" workbookViewId="0">
      <selection activeCell="A10" sqref="A10"/>
    </sheetView>
  </sheetViews>
  <sheetFormatPr defaultRowHeight="14.25" x14ac:dyDescent="0.25"/>
  <cols>
    <col min="1" max="1" width="45.85546875" style="20" customWidth="1"/>
    <col min="2" max="2" width="25.7109375" style="19" customWidth="1"/>
    <col min="3" max="11" width="9.140625" style="20" customWidth="1"/>
    <col min="12" max="16384" width="9.140625" style="20"/>
  </cols>
  <sheetData>
    <row r="1" spans="1:6" s="11" customFormat="1" ht="25.5" customHeight="1" x14ac:dyDescent="0.45">
      <c r="A1" s="29" t="s">
        <v>174</v>
      </c>
      <c r="B1" s="10"/>
    </row>
    <row r="2" spans="1:6" s="15" customFormat="1" ht="25.5" customHeight="1" x14ac:dyDescent="0.5">
      <c r="A2" s="13" t="str">
        <f>Data!B1</f>
        <v>ABC Company</v>
      </c>
      <c r="B2" s="14"/>
    </row>
    <row r="3" spans="1:6" ht="17.45" customHeight="1" x14ac:dyDescent="0.3">
      <c r="A3" s="18"/>
    </row>
    <row r="4" spans="1:6" s="16" customFormat="1" ht="17.45" customHeight="1" x14ac:dyDescent="0.3">
      <c r="A4" s="58" t="s">
        <v>175</v>
      </c>
      <c r="B4" s="59"/>
    </row>
    <row r="5" spans="1:6" s="16" customFormat="1" ht="17.45" customHeight="1" x14ac:dyDescent="0.3">
      <c r="A5" s="31" t="s">
        <v>176</v>
      </c>
      <c r="B5" s="32">
        <f>Data!B3</f>
        <v>43983.472843807867</v>
      </c>
    </row>
    <row r="6" spans="1:6" s="16" customFormat="1" ht="17.45" customHeight="1" x14ac:dyDescent="0.3">
      <c r="A6" s="31" t="s">
        <v>177</v>
      </c>
      <c r="B6" s="32">
        <f>Data!B4</f>
        <v>44013.472843807867</v>
      </c>
    </row>
    <row r="7" spans="1:6" s="16" customFormat="1" ht="17.45" customHeight="1" x14ac:dyDescent="0.3">
      <c r="A7" s="31" t="s">
        <v>178</v>
      </c>
      <c r="B7" s="33">
        <f>B6-B5</f>
        <v>30</v>
      </c>
    </row>
    <row r="8" spans="1:6" s="16" customFormat="1" ht="17.45" customHeight="1" x14ac:dyDescent="0.3"/>
    <row r="9" spans="1:6" s="28" customFormat="1" ht="18" customHeight="1" x14ac:dyDescent="0.3">
      <c r="A9" s="49" t="s">
        <v>114</v>
      </c>
      <c r="B9" s="53" t="s">
        <v>171</v>
      </c>
      <c r="C9"/>
      <c r="D9"/>
      <c r="E9"/>
    </row>
    <row r="10" spans="1:6" s="16" customFormat="1" ht="16.5" x14ac:dyDescent="0.3">
      <c r="A10" s="50" t="s">
        <v>182</v>
      </c>
      <c r="B10" s="52">
        <v>16</v>
      </c>
      <c r="C10"/>
      <c r="D10"/>
      <c r="E10"/>
      <c r="F10" s="27"/>
    </row>
    <row r="11" spans="1:6" s="16" customFormat="1" ht="16.5" x14ac:dyDescent="0.3">
      <c r="A11" s="50" t="s">
        <v>196</v>
      </c>
      <c r="B11" s="52">
        <v>11</v>
      </c>
      <c r="C11"/>
      <c r="D11"/>
      <c r="E11"/>
    </row>
    <row r="12" spans="1:6" s="16" customFormat="1" ht="16.5" x14ac:dyDescent="0.3">
      <c r="A12" s="50" t="s">
        <v>184</v>
      </c>
      <c r="B12" s="52">
        <v>8</v>
      </c>
      <c r="C12"/>
      <c r="D12"/>
      <c r="E12"/>
    </row>
    <row r="13" spans="1:6" s="16" customFormat="1" ht="16.5" x14ac:dyDescent="0.3">
      <c r="A13" s="50" t="s">
        <v>204</v>
      </c>
      <c r="B13" s="52">
        <v>7</v>
      </c>
      <c r="C13"/>
      <c r="D13"/>
      <c r="E13"/>
    </row>
    <row r="14" spans="1:6" s="16" customFormat="1" ht="16.5" x14ac:dyDescent="0.3">
      <c r="A14" s="50" t="s">
        <v>197</v>
      </c>
      <c r="B14" s="52">
        <v>7</v>
      </c>
      <c r="C14"/>
      <c r="D14"/>
      <c r="E14"/>
    </row>
    <row r="15" spans="1:6" s="16" customFormat="1" ht="16.5" x14ac:dyDescent="0.3">
      <c r="A15" s="50" t="s">
        <v>198</v>
      </c>
      <c r="B15" s="52">
        <v>7</v>
      </c>
      <c r="C15"/>
      <c r="D15"/>
      <c r="E15"/>
    </row>
    <row r="16" spans="1:6" s="16" customFormat="1" ht="16.5" x14ac:dyDescent="0.3">
      <c r="A16" s="50" t="s">
        <v>202</v>
      </c>
      <c r="B16" s="52">
        <v>6</v>
      </c>
      <c r="C16"/>
      <c r="D16"/>
      <c r="E16"/>
    </row>
    <row r="17" spans="1:5" s="16" customFormat="1" ht="16.5" x14ac:dyDescent="0.3">
      <c r="A17" s="50" t="s">
        <v>192</v>
      </c>
      <c r="B17" s="52">
        <v>4</v>
      </c>
      <c r="C17"/>
      <c r="D17"/>
      <c r="E17"/>
    </row>
    <row r="18" spans="1:5" s="16" customFormat="1" ht="16.5" x14ac:dyDescent="0.3">
      <c r="A18" s="50" t="s">
        <v>188</v>
      </c>
      <c r="B18" s="52">
        <v>4</v>
      </c>
      <c r="C18"/>
      <c r="D18"/>
      <c r="E18"/>
    </row>
    <row r="19" spans="1:5" s="16" customFormat="1" ht="16.5" x14ac:dyDescent="0.3">
      <c r="A19" s="50" t="s">
        <v>208</v>
      </c>
      <c r="B19" s="52">
        <v>3</v>
      </c>
      <c r="C19"/>
      <c r="D19"/>
      <c r="E19"/>
    </row>
    <row r="20" spans="1:5" ht="16.5" x14ac:dyDescent="0.3">
      <c r="A20" s="50" t="s">
        <v>183</v>
      </c>
      <c r="B20" s="52">
        <v>2</v>
      </c>
      <c r="C20"/>
      <c r="D20"/>
      <c r="E20"/>
    </row>
    <row r="21" spans="1:5" ht="16.5" x14ac:dyDescent="0.3">
      <c r="A21" s="50" t="s">
        <v>185</v>
      </c>
      <c r="B21" s="52">
        <v>2</v>
      </c>
      <c r="C21"/>
      <c r="D21"/>
      <c r="E21"/>
    </row>
    <row r="22" spans="1:5" ht="16.5" x14ac:dyDescent="0.3">
      <c r="A22" s="50" t="s">
        <v>200</v>
      </c>
      <c r="B22" s="52">
        <v>2</v>
      </c>
      <c r="C22"/>
      <c r="D22"/>
      <c r="E22"/>
    </row>
    <row r="23" spans="1:5" ht="16.5" x14ac:dyDescent="0.3">
      <c r="A23" s="50" t="s">
        <v>209</v>
      </c>
      <c r="B23" s="52">
        <v>1</v>
      </c>
      <c r="C23"/>
      <c r="D23"/>
      <c r="E23"/>
    </row>
    <row r="24" spans="1:5" ht="16.5" x14ac:dyDescent="0.3">
      <c r="A24" s="50" t="s">
        <v>207</v>
      </c>
      <c r="B24" s="52">
        <v>1</v>
      </c>
      <c r="C24"/>
      <c r="D24"/>
      <c r="E24"/>
    </row>
    <row r="25" spans="1:5" ht="16.5" x14ac:dyDescent="0.3">
      <c r="A25" s="50" t="s">
        <v>212</v>
      </c>
      <c r="B25" s="52">
        <v>1</v>
      </c>
      <c r="C25"/>
      <c r="D25"/>
      <c r="E25"/>
    </row>
    <row r="26" spans="1:5" ht="16.5" x14ac:dyDescent="0.3">
      <c r="A26" s="50" t="s">
        <v>210</v>
      </c>
      <c r="B26" s="52">
        <v>1</v>
      </c>
      <c r="C26"/>
      <c r="D26"/>
      <c r="E26"/>
    </row>
    <row r="27" spans="1:5" ht="16.5" x14ac:dyDescent="0.3">
      <c r="A27" s="50" t="s">
        <v>194</v>
      </c>
      <c r="B27" s="52">
        <v>1</v>
      </c>
      <c r="C27"/>
      <c r="D27"/>
      <c r="E27"/>
    </row>
    <row r="28" spans="1:5" ht="16.5" x14ac:dyDescent="0.3">
      <c r="A28" s="50" t="s">
        <v>190</v>
      </c>
      <c r="B28" s="52">
        <v>1</v>
      </c>
      <c r="C28"/>
      <c r="D28"/>
      <c r="E28"/>
    </row>
    <row r="29" spans="1:5" ht="16.5" x14ac:dyDescent="0.3">
      <c r="A29" s="50" t="s">
        <v>211</v>
      </c>
      <c r="B29" s="52">
        <v>1</v>
      </c>
      <c r="C29"/>
      <c r="D29"/>
      <c r="E29"/>
    </row>
    <row r="30" spans="1:5" ht="16.5" x14ac:dyDescent="0.3">
      <c r="A30" s="50" t="s">
        <v>191</v>
      </c>
      <c r="B30" s="52">
        <v>1</v>
      </c>
      <c r="C30"/>
      <c r="D30"/>
      <c r="E30"/>
    </row>
    <row r="31" spans="1:5" ht="16.5" x14ac:dyDescent="0.3">
      <c r="A31" s="51" t="s">
        <v>0</v>
      </c>
      <c r="B31" s="52">
        <v>87</v>
      </c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x14ac:dyDescent="0.25">
      <c r="A53"/>
      <c r="B53"/>
      <c r="C53"/>
      <c r="D53"/>
      <c r="E53"/>
    </row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x14ac:dyDescent="0.25">
      <c r="A59"/>
      <c r="B59"/>
      <c r="C59"/>
      <c r="D59"/>
      <c r="E59"/>
    </row>
    <row r="60" spans="1:5" x14ac:dyDescent="0.25">
      <c r="A60"/>
      <c r="B60"/>
      <c r="C60"/>
      <c r="D60"/>
      <c r="E60"/>
    </row>
    <row r="61" spans="1:5" x14ac:dyDescent="0.25">
      <c r="A61"/>
      <c r="B61"/>
      <c r="C61"/>
      <c r="D61"/>
      <c r="E61"/>
    </row>
    <row r="62" spans="1:5" x14ac:dyDescent="0.25">
      <c r="A62"/>
      <c r="B62"/>
      <c r="C62"/>
      <c r="D62"/>
      <c r="E62"/>
    </row>
    <row r="63" spans="1:5" x14ac:dyDescent="0.25">
      <c r="A63"/>
      <c r="B63"/>
      <c r="C63"/>
      <c r="D63"/>
      <c r="E63"/>
    </row>
    <row r="64" spans="1: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/>
      <c r="C66"/>
      <c r="D66"/>
      <c r="E66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/>
      <c r="B71"/>
      <c r="C71"/>
      <c r="D71"/>
      <c r="E71"/>
    </row>
    <row r="72" spans="1:5" x14ac:dyDescent="0.25">
      <c r="A72"/>
      <c r="B72"/>
      <c r="C72"/>
      <c r="D72"/>
      <c r="E72"/>
    </row>
    <row r="73" spans="1:5" x14ac:dyDescent="0.25">
      <c r="A73"/>
      <c r="B73"/>
      <c r="C73"/>
      <c r="D73"/>
      <c r="E73"/>
    </row>
    <row r="74" spans="1:5" x14ac:dyDescent="0.25">
      <c r="A74"/>
      <c r="B74"/>
      <c r="C74"/>
      <c r="D74"/>
      <c r="E74"/>
    </row>
    <row r="75" spans="1:5" x14ac:dyDescent="0.25">
      <c r="A75"/>
      <c r="B75"/>
      <c r="C75"/>
      <c r="D75"/>
      <c r="E75"/>
    </row>
    <row r="76" spans="1:5" x14ac:dyDescent="0.25">
      <c r="A76"/>
      <c r="B76"/>
      <c r="C76"/>
      <c r="D76"/>
      <c r="E76"/>
    </row>
    <row r="77" spans="1:5" x14ac:dyDescent="0.25">
      <c r="A77"/>
      <c r="B77"/>
      <c r="C77"/>
      <c r="D77"/>
      <c r="E77"/>
    </row>
    <row r="78" spans="1:5" x14ac:dyDescent="0.25">
      <c r="A78"/>
      <c r="B78"/>
      <c r="C78"/>
      <c r="D78"/>
      <c r="E78"/>
    </row>
    <row r="79" spans="1:5" x14ac:dyDescent="0.25">
      <c r="A79"/>
      <c r="B79"/>
      <c r="C79"/>
      <c r="D79"/>
      <c r="E79"/>
    </row>
    <row r="80" spans="1:5" x14ac:dyDescent="0.25">
      <c r="A80"/>
      <c r="B80"/>
      <c r="C80"/>
      <c r="D80"/>
      <c r="E80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A84"/>
      <c r="B84"/>
      <c r="C84"/>
      <c r="D84"/>
      <c r="E84"/>
    </row>
    <row r="85" spans="1:5" x14ac:dyDescent="0.25">
      <c r="A85"/>
      <c r="B85"/>
      <c r="C85"/>
      <c r="D85"/>
      <c r="E85"/>
    </row>
    <row r="86" spans="1:5" x14ac:dyDescent="0.25">
      <c r="A86"/>
      <c r="B86"/>
      <c r="C86"/>
      <c r="D86"/>
      <c r="E86"/>
    </row>
    <row r="87" spans="1:5" x14ac:dyDescent="0.25">
      <c r="A87"/>
      <c r="B87"/>
      <c r="C87"/>
      <c r="D87"/>
      <c r="E87"/>
    </row>
    <row r="88" spans="1:5" x14ac:dyDescent="0.25">
      <c r="A88"/>
      <c r="B88"/>
      <c r="C88"/>
      <c r="D88"/>
      <c r="E88"/>
    </row>
    <row r="89" spans="1:5" x14ac:dyDescent="0.25">
      <c r="A89"/>
      <c r="B89"/>
      <c r="C89"/>
      <c r="D89"/>
      <c r="E89"/>
    </row>
    <row r="90" spans="1:5" x14ac:dyDescent="0.25">
      <c r="A90"/>
      <c r="B90"/>
      <c r="C90"/>
      <c r="D90"/>
      <c r="E90"/>
    </row>
    <row r="91" spans="1:5" x14ac:dyDescent="0.25">
      <c r="A91"/>
      <c r="B91"/>
      <c r="C91"/>
      <c r="D91"/>
      <c r="E91"/>
    </row>
    <row r="92" spans="1:5" x14ac:dyDescent="0.25">
      <c r="A92"/>
      <c r="B92"/>
      <c r="C92"/>
      <c r="D92"/>
      <c r="E92"/>
    </row>
    <row r="93" spans="1:5" x14ac:dyDescent="0.25">
      <c r="A93"/>
      <c r="B93"/>
      <c r="C93"/>
      <c r="D93"/>
      <c r="E93"/>
    </row>
    <row r="94" spans="1:5" x14ac:dyDescent="0.25">
      <c r="A94"/>
      <c r="B94"/>
      <c r="C94"/>
      <c r="D94"/>
      <c r="E94"/>
    </row>
    <row r="95" spans="1:5" x14ac:dyDescent="0.25">
      <c r="A95"/>
      <c r="B95"/>
      <c r="C95"/>
      <c r="D95"/>
      <c r="E95"/>
    </row>
    <row r="96" spans="1:5" x14ac:dyDescent="0.25">
      <c r="A96"/>
      <c r="B96"/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  <row r="105" spans="1:5" x14ac:dyDescent="0.25">
      <c r="A105"/>
      <c r="B105"/>
      <c r="C105"/>
      <c r="D105"/>
      <c r="E105"/>
    </row>
    <row r="106" spans="1:5" x14ac:dyDescent="0.25">
      <c r="A106"/>
      <c r="B106"/>
      <c r="C106"/>
      <c r="D106"/>
      <c r="E106"/>
    </row>
    <row r="107" spans="1:5" x14ac:dyDescent="0.25">
      <c r="A107"/>
      <c r="B107"/>
      <c r="C107"/>
      <c r="D107"/>
      <c r="E107"/>
    </row>
    <row r="108" spans="1:5" x14ac:dyDescent="0.25">
      <c r="A108"/>
      <c r="B108"/>
      <c r="C108"/>
      <c r="D108"/>
      <c r="E108"/>
    </row>
    <row r="109" spans="1:5" x14ac:dyDescent="0.25">
      <c r="A109"/>
      <c r="B109"/>
      <c r="C109"/>
      <c r="D109"/>
      <c r="E109"/>
    </row>
    <row r="110" spans="1:5" x14ac:dyDescent="0.25">
      <c r="A110"/>
      <c r="B110"/>
      <c r="C110"/>
      <c r="D110"/>
      <c r="E110"/>
    </row>
    <row r="111" spans="1:5" x14ac:dyDescent="0.25">
      <c r="A111"/>
      <c r="B111"/>
      <c r="C111"/>
      <c r="D111"/>
      <c r="E111"/>
    </row>
    <row r="112" spans="1:5" x14ac:dyDescent="0.25">
      <c r="A112"/>
      <c r="B112"/>
      <c r="C112"/>
      <c r="D112"/>
      <c r="E112"/>
    </row>
    <row r="113" spans="1:5" x14ac:dyDescent="0.25">
      <c r="A113"/>
      <c r="B113"/>
      <c r="C113"/>
      <c r="D113"/>
      <c r="E113"/>
    </row>
    <row r="114" spans="1:5" x14ac:dyDescent="0.25">
      <c r="A114"/>
      <c r="B114"/>
      <c r="C114"/>
      <c r="D114"/>
      <c r="E114"/>
    </row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  <row r="126" spans="1:5" x14ac:dyDescent="0.25">
      <c r="A126"/>
      <c r="B126"/>
      <c r="C126"/>
      <c r="D126"/>
      <c r="E126"/>
    </row>
    <row r="127" spans="1:5" x14ac:dyDescent="0.25">
      <c r="A127"/>
      <c r="B127"/>
      <c r="C127"/>
      <c r="D127"/>
      <c r="E127"/>
    </row>
    <row r="128" spans="1:5" x14ac:dyDescent="0.25">
      <c r="A128"/>
      <c r="B128"/>
      <c r="C128"/>
      <c r="D128"/>
      <c r="E128"/>
    </row>
    <row r="129" spans="1:5" x14ac:dyDescent="0.25">
      <c r="A129"/>
      <c r="B129"/>
      <c r="C129"/>
      <c r="D129"/>
      <c r="E129"/>
    </row>
    <row r="130" spans="1:5" x14ac:dyDescent="0.25">
      <c r="A130"/>
      <c r="B130"/>
      <c r="C130"/>
      <c r="D130"/>
      <c r="E130"/>
    </row>
    <row r="131" spans="1:5" x14ac:dyDescent="0.25">
      <c r="A131"/>
      <c r="B131"/>
      <c r="C131"/>
      <c r="D131"/>
      <c r="E131"/>
    </row>
    <row r="132" spans="1:5" x14ac:dyDescent="0.25">
      <c r="A132"/>
      <c r="B132"/>
      <c r="C132"/>
      <c r="D132"/>
      <c r="E132"/>
    </row>
    <row r="133" spans="1:5" x14ac:dyDescent="0.25">
      <c r="A133"/>
      <c r="B133"/>
      <c r="C133"/>
      <c r="D133"/>
      <c r="E133"/>
    </row>
    <row r="134" spans="1:5" x14ac:dyDescent="0.25">
      <c r="A134"/>
      <c r="B134"/>
      <c r="C134"/>
      <c r="D134"/>
      <c r="E134"/>
    </row>
    <row r="135" spans="1:5" x14ac:dyDescent="0.25">
      <c r="A135"/>
      <c r="B135"/>
      <c r="C135"/>
      <c r="D135"/>
      <c r="E135"/>
    </row>
    <row r="136" spans="1:5" x14ac:dyDescent="0.25">
      <c r="A136"/>
      <c r="B136"/>
      <c r="C136"/>
      <c r="D136"/>
      <c r="E136"/>
    </row>
    <row r="137" spans="1:5" x14ac:dyDescent="0.25">
      <c r="A137"/>
      <c r="B137"/>
      <c r="C137"/>
      <c r="D137"/>
      <c r="E137"/>
    </row>
    <row r="138" spans="1:5" x14ac:dyDescent="0.25">
      <c r="A138"/>
      <c r="B138"/>
      <c r="C138"/>
      <c r="D138"/>
      <c r="E138"/>
    </row>
    <row r="139" spans="1:5" x14ac:dyDescent="0.25">
      <c r="A139"/>
      <c r="B139"/>
      <c r="C139"/>
      <c r="D139"/>
      <c r="E139"/>
    </row>
    <row r="140" spans="1:5" x14ac:dyDescent="0.25">
      <c r="A140"/>
      <c r="B140"/>
      <c r="C140"/>
      <c r="D140"/>
      <c r="E140"/>
    </row>
    <row r="141" spans="1:5" x14ac:dyDescent="0.25">
      <c r="A141"/>
      <c r="B141"/>
      <c r="C141"/>
      <c r="D141"/>
      <c r="E141"/>
    </row>
    <row r="142" spans="1:5" x14ac:dyDescent="0.25">
      <c r="A142"/>
      <c r="B142"/>
      <c r="C142"/>
      <c r="D142"/>
      <c r="E142"/>
    </row>
    <row r="143" spans="1:5" x14ac:dyDescent="0.25">
      <c r="A143"/>
      <c r="B143"/>
      <c r="C143"/>
      <c r="D143"/>
      <c r="E143"/>
    </row>
    <row r="144" spans="1:5" x14ac:dyDescent="0.25">
      <c r="A144"/>
      <c r="B144"/>
      <c r="C144"/>
      <c r="D144"/>
      <c r="E144"/>
    </row>
    <row r="145" spans="1:5" x14ac:dyDescent="0.25">
      <c r="A145"/>
      <c r="B145"/>
      <c r="C145"/>
      <c r="D145"/>
      <c r="E145"/>
    </row>
    <row r="146" spans="1:5" x14ac:dyDescent="0.25">
      <c r="A146"/>
      <c r="B146"/>
      <c r="C146"/>
      <c r="D146"/>
      <c r="E146"/>
    </row>
    <row r="147" spans="1:5" x14ac:dyDescent="0.25">
      <c r="A147"/>
      <c r="B147"/>
      <c r="C147"/>
      <c r="D147"/>
      <c r="E147"/>
    </row>
    <row r="148" spans="1:5" x14ac:dyDescent="0.25">
      <c r="A148"/>
      <c r="B148"/>
      <c r="C148"/>
      <c r="D148"/>
      <c r="E148"/>
    </row>
    <row r="149" spans="1:5" x14ac:dyDescent="0.25">
      <c r="A149"/>
      <c r="B149"/>
      <c r="C149"/>
      <c r="D149"/>
      <c r="E149"/>
    </row>
    <row r="150" spans="1:5" x14ac:dyDescent="0.25">
      <c r="A150"/>
      <c r="B150"/>
      <c r="C150"/>
      <c r="D150"/>
      <c r="E150"/>
    </row>
    <row r="151" spans="1:5" x14ac:dyDescent="0.25">
      <c r="A151"/>
      <c r="B151"/>
      <c r="C151"/>
      <c r="D151"/>
      <c r="E151"/>
    </row>
    <row r="152" spans="1:5" x14ac:dyDescent="0.25">
      <c r="A152"/>
      <c r="B152"/>
      <c r="C152"/>
      <c r="D152"/>
      <c r="E152"/>
    </row>
    <row r="153" spans="1:5" x14ac:dyDescent="0.25">
      <c r="A153"/>
      <c r="B153"/>
      <c r="C153"/>
      <c r="D153"/>
      <c r="E153"/>
    </row>
    <row r="154" spans="1:5" x14ac:dyDescent="0.25">
      <c r="A154"/>
      <c r="B154"/>
      <c r="C154"/>
      <c r="D154"/>
      <c r="E154"/>
    </row>
    <row r="155" spans="1:5" x14ac:dyDescent="0.25">
      <c r="A155"/>
      <c r="B155"/>
      <c r="C155"/>
      <c r="D155"/>
      <c r="E155"/>
    </row>
    <row r="156" spans="1:5" x14ac:dyDescent="0.25">
      <c r="A156"/>
      <c r="B156"/>
      <c r="C156"/>
      <c r="D156"/>
      <c r="E156"/>
    </row>
    <row r="157" spans="1:5" x14ac:dyDescent="0.25">
      <c r="A157"/>
      <c r="B157"/>
      <c r="C157"/>
      <c r="D157"/>
      <c r="E157"/>
    </row>
    <row r="158" spans="1:5" x14ac:dyDescent="0.25">
      <c r="A158"/>
      <c r="B158"/>
      <c r="C158"/>
      <c r="D158"/>
      <c r="E158"/>
    </row>
    <row r="159" spans="1:5" x14ac:dyDescent="0.25">
      <c r="A159"/>
      <c r="B159"/>
      <c r="C159"/>
      <c r="D159"/>
      <c r="E159"/>
    </row>
    <row r="160" spans="1:5" x14ac:dyDescent="0.25">
      <c r="A160"/>
      <c r="B160"/>
      <c r="C160"/>
      <c r="D160"/>
      <c r="E160"/>
    </row>
    <row r="161" spans="1:5" x14ac:dyDescent="0.25">
      <c r="A161"/>
      <c r="B161"/>
      <c r="C161"/>
      <c r="D161"/>
      <c r="E161"/>
    </row>
    <row r="162" spans="1:5" x14ac:dyDescent="0.25">
      <c r="A162"/>
      <c r="B162"/>
      <c r="C162"/>
      <c r="D162"/>
      <c r="E162"/>
    </row>
    <row r="163" spans="1:5" x14ac:dyDescent="0.25">
      <c r="A163"/>
      <c r="B163"/>
      <c r="C163"/>
      <c r="D163"/>
      <c r="E163"/>
    </row>
    <row r="164" spans="1:5" x14ac:dyDescent="0.25">
      <c r="A164"/>
      <c r="B164"/>
      <c r="C164"/>
      <c r="D164"/>
      <c r="E164"/>
    </row>
    <row r="165" spans="1:5" x14ac:dyDescent="0.25">
      <c r="A165"/>
      <c r="B165"/>
      <c r="C165"/>
      <c r="D165"/>
      <c r="E165"/>
    </row>
    <row r="166" spans="1:5" x14ac:dyDescent="0.25">
      <c r="A166"/>
      <c r="B166"/>
      <c r="C166"/>
      <c r="D166"/>
      <c r="E166"/>
    </row>
    <row r="167" spans="1:5" x14ac:dyDescent="0.25">
      <c r="A167"/>
      <c r="B167"/>
      <c r="C167"/>
      <c r="D167"/>
      <c r="E167"/>
    </row>
    <row r="168" spans="1:5" x14ac:dyDescent="0.25">
      <c r="A168"/>
      <c r="B168"/>
      <c r="C168"/>
      <c r="D168"/>
      <c r="E168"/>
    </row>
    <row r="169" spans="1:5" x14ac:dyDescent="0.25">
      <c r="A169"/>
      <c r="B169"/>
      <c r="C169"/>
      <c r="D169"/>
      <c r="E169"/>
    </row>
    <row r="170" spans="1:5" x14ac:dyDescent="0.25">
      <c r="A170"/>
      <c r="B170"/>
      <c r="C170"/>
      <c r="D170"/>
      <c r="E170"/>
    </row>
    <row r="171" spans="1:5" x14ac:dyDescent="0.25">
      <c r="A171"/>
      <c r="B171"/>
      <c r="C171"/>
      <c r="D171"/>
      <c r="E171"/>
    </row>
    <row r="172" spans="1:5" x14ac:dyDescent="0.25">
      <c r="A172"/>
      <c r="B172"/>
      <c r="C172"/>
      <c r="D172"/>
      <c r="E172"/>
    </row>
    <row r="173" spans="1:5" x14ac:dyDescent="0.25">
      <c r="A173"/>
      <c r="B173"/>
      <c r="C173"/>
      <c r="D173"/>
      <c r="E173"/>
    </row>
  </sheetData>
  <mergeCells count="1">
    <mergeCell ref="A4:B4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4"/>
  <sheetViews>
    <sheetView showGridLines="0" workbookViewId="0">
      <selection activeCell="B10" sqref="B10"/>
    </sheetView>
  </sheetViews>
  <sheetFormatPr defaultRowHeight="14.25" x14ac:dyDescent="0.25"/>
  <cols>
    <col min="1" max="1" width="25.7109375" style="20" customWidth="1"/>
    <col min="2" max="2" width="25.7109375" style="19" customWidth="1"/>
    <col min="3" max="11" width="9.140625" style="20" customWidth="1"/>
    <col min="12" max="16384" width="9.140625" style="20"/>
  </cols>
  <sheetData>
    <row r="1" spans="1:6" s="11" customFormat="1" ht="25.5" customHeight="1" x14ac:dyDescent="0.45">
      <c r="A1" s="29" t="s">
        <v>174</v>
      </c>
      <c r="B1" s="10"/>
    </row>
    <row r="2" spans="1:6" s="15" customFormat="1" ht="25.5" customHeight="1" x14ac:dyDescent="0.5">
      <c r="A2" s="13" t="str">
        <f>Data!B1</f>
        <v>ABC Company</v>
      </c>
      <c r="B2" s="14"/>
    </row>
    <row r="3" spans="1:6" ht="17.45" customHeight="1" x14ac:dyDescent="0.3">
      <c r="A3" s="18"/>
    </row>
    <row r="4" spans="1:6" s="16" customFormat="1" ht="17.45" customHeight="1" x14ac:dyDescent="0.3">
      <c r="A4" s="58" t="s">
        <v>175</v>
      </c>
      <c r="B4" s="59"/>
    </row>
    <row r="5" spans="1:6" s="16" customFormat="1" ht="17.45" customHeight="1" x14ac:dyDescent="0.3">
      <c r="A5" s="31" t="s">
        <v>176</v>
      </c>
      <c r="B5" s="32">
        <f>Data!B3</f>
        <v>43983.472843807867</v>
      </c>
    </row>
    <row r="6" spans="1:6" s="16" customFormat="1" ht="17.45" customHeight="1" x14ac:dyDescent="0.3">
      <c r="A6" s="31" t="s">
        <v>177</v>
      </c>
      <c r="B6" s="32">
        <f>Data!B4</f>
        <v>44013.472843807867</v>
      </c>
    </row>
    <row r="7" spans="1:6" s="16" customFormat="1" ht="17.45" customHeight="1" x14ac:dyDescent="0.3">
      <c r="A7" s="31" t="s">
        <v>178</v>
      </c>
      <c r="B7" s="33">
        <f>B6-B5</f>
        <v>30</v>
      </c>
    </row>
    <row r="8" spans="1:6" s="16" customFormat="1" ht="17.45" customHeight="1" x14ac:dyDescent="0.3"/>
    <row r="9" spans="1:6" s="16" customFormat="1" ht="17.45" customHeight="1" x14ac:dyDescent="0.3">
      <c r="A9" s="63" t="s">
        <v>230</v>
      </c>
      <c r="B9" s="63"/>
    </row>
    <row r="10" spans="1:6" s="28" customFormat="1" ht="17.25" x14ac:dyDescent="0.3">
      <c r="A10" s="49" t="s">
        <v>35</v>
      </c>
      <c r="B10" s="53" t="s">
        <v>171</v>
      </c>
      <c r="C10"/>
      <c r="D10"/>
      <c r="E10"/>
    </row>
    <row r="11" spans="1:6" s="16" customFormat="1" ht="16.5" x14ac:dyDescent="0.3">
      <c r="A11" s="50" t="s">
        <v>219</v>
      </c>
      <c r="B11" s="52">
        <v>60</v>
      </c>
      <c r="C11"/>
      <c r="D11"/>
      <c r="E11"/>
      <c r="F11" s="27"/>
    </row>
    <row r="12" spans="1:6" s="16" customFormat="1" ht="16.5" x14ac:dyDescent="0.3">
      <c r="A12" s="50" t="s">
        <v>217</v>
      </c>
      <c r="B12" s="52">
        <v>7</v>
      </c>
      <c r="C12"/>
      <c r="D12"/>
      <c r="E12"/>
    </row>
    <row r="13" spans="1:6" s="16" customFormat="1" ht="16.5" x14ac:dyDescent="0.3">
      <c r="A13" s="50" t="s">
        <v>220</v>
      </c>
      <c r="B13" s="52">
        <v>6</v>
      </c>
      <c r="C13"/>
      <c r="D13"/>
      <c r="E13"/>
    </row>
    <row r="14" spans="1:6" s="16" customFormat="1" ht="16.5" x14ac:dyDescent="0.3">
      <c r="A14" s="50" t="s">
        <v>221</v>
      </c>
      <c r="B14" s="52">
        <v>6</v>
      </c>
      <c r="C14"/>
      <c r="D14"/>
      <c r="E14"/>
    </row>
    <row r="15" spans="1:6" s="16" customFormat="1" ht="16.5" x14ac:dyDescent="0.3">
      <c r="A15" s="50" t="s">
        <v>215</v>
      </c>
      <c r="B15" s="52">
        <v>4</v>
      </c>
      <c r="C15"/>
      <c r="D15"/>
      <c r="E15"/>
    </row>
    <row r="16" spans="1:6" s="16" customFormat="1" ht="16.5" x14ac:dyDescent="0.3">
      <c r="A16" s="50" t="s">
        <v>218</v>
      </c>
      <c r="B16" s="52">
        <v>3</v>
      </c>
      <c r="C16"/>
      <c r="D16"/>
      <c r="E16"/>
    </row>
    <row r="17" spans="1:5" s="16" customFormat="1" ht="16.5" x14ac:dyDescent="0.3">
      <c r="A17" s="50" t="s">
        <v>216</v>
      </c>
      <c r="B17" s="52">
        <v>1</v>
      </c>
      <c r="C17"/>
      <c r="D17"/>
      <c r="E17"/>
    </row>
    <row r="18" spans="1:5" s="16" customFormat="1" ht="16.5" x14ac:dyDescent="0.3">
      <c r="A18" s="51" t="s">
        <v>0</v>
      </c>
      <c r="B18" s="52">
        <v>87</v>
      </c>
      <c r="C18"/>
      <c r="D18"/>
      <c r="E18"/>
    </row>
    <row r="19" spans="1:5" s="16" customFormat="1" ht="16.5" x14ac:dyDescent="0.3">
      <c r="A19"/>
      <c r="B19"/>
      <c r="C19"/>
      <c r="D19"/>
      <c r="E19"/>
    </row>
    <row r="20" spans="1:5" s="16" customFormat="1" ht="16.5" x14ac:dyDescent="0.3">
      <c r="A20"/>
      <c r="B20"/>
      <c r="C20"/>
      <c r="D20"/>
      <c r="E20"/>
    </row>
    <row r="21" spans="1:5" x14ac:dyDescent="0.25">
      <c r="A21"/>
      <c r="B21"/>
      <c r="C21"/>
      <c r="D21"/>
      <c r="E21"/>
    </row>
    <row r="22" spans="1:5" x14ac:dyDescent="0.25">
      <c r="A22"/>
      <c r="B22"/>
      <c r="C22"/>
      <c r="D22"/>
      <c r="E22"/>
    </row>
    <row r="23" spans="1:5" x14ac:dyDescent="0.25">
      <c r="A23"/>
      <c r="B23"/>
      <c r="C23"/>
      <c r="D23"/>
      <c r="E23"/>
    </row>
    <row r="24" spans="1:5" x14ac:dyDescent="0.25">
      <c r="A24"/>
      <c r="B24"/>
      <c r="C24"/>
      <c r="D24"/>
      <c r="E24"/>
    </row>
    <row r="25" spans="1:5" x14ac:dyDescent="0.25">
      <c r="A25"/>
      <c r="B25"/>
      <c r="C25"/>
      <c r="D25"/>
      <c r="E25"/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x14ac:dyDescent="0.25">
      <c r="A53"/>
      <c r="B53"/>
      <c r="C53"/>
      <c r="D53"/>
      <c r="E53"/>
    </row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x14ac:dyDescent="0.25">
      <c r="A59"/>
      <c r="B59"/>
      <c r="C59"/>
      <c r="D59"/>
      <c r="E59"/>
    </row>
    <row r="60" spans="1:5" x14ac:dyDescent="0.25">
      <c r="A60"/>
      <c r="B60"/>
      <c r="C60"/>
      <c r="D60"/>
      <c r="E60"/>
    </row>
    <row r="61" spans="1:5" x14ac:dyDescent="0.25">
      <c r="A61"/>
      <c r="B61"/>
      <c r="C61"/>
      <c r="D61"/>
      <c r="E61"/>
    </row>
    <row r="62" spans="1:5" x14ac:dyDescent="0.25">
      <c r="A62"/>
      <c r="B62"/>
      <c r="C62"/>
      <c r="D62"/>
      <c r="E62"/>
    </row>
    <row r="63" spans="1:5" x14ac:dyDescent="0.25">
      <c r="A63"/>
      <c r="B63"/>
      <c r="C63"/>
      <c r="D63"/>
      <c r="E63"/>
    </row>
    <row r="64" spans="1: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/>
      <c r="C66"/>
      <c r="D66"/>
      <c r="E66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/>
      <c r="B71"/>
      <c r="C71"/>
      <c r="D71"/>
      <c r="E71"/>
    </row>
    <row r="72" spans="1:5" x14ac:dyDescent="0.25">
      <c r="A72"/>
      <c r="B72"/>
      <c r="C72"/>
      <c r="D72"/>
      <c r="E72"/>
    </row>
    <row r="73" spans="1:5" x14ac:dyDescent="0.25">
      <c r="A73"/>
      <c r="B73"/>
      <c r="C73"/>
      <c r="D73"/>
      <c r="E73"/>
    </row>
    <row r="74" spans="1:5" x14ac:dyDescent="0.25">
      <c r="A74"/>
      <c r="B74"/>
      <c r="C74"/>
      <c r="D74"/>
      <c r="E74"/>
    </row>
    <row r="75" spans="1:5" x14ac:dyDescent="0.25">
      <c r="A75"/>
      <c r="B75"/>
      <c r="C75"/>
      <c r="D75"/>
      <c r="E75"/>
    </row>
    <row r="76" spans="1:5" x14ac:dyDescent="0.25">
      <c r="A76"/>
      <c r="B76"/>
      <c r="C76"/>
      <c r="D76"/>
      <c r="E76"/>
    </row>
    <row r="77" spans="1:5" x14ac:dyDescent="0.25">
      <c r="A77"/>
      <c r="B77"/>
      <c r="C77"/>
      <c r="D77"/>
      <c r="E77"/>
    </row>
    <row r="78" spans="1:5" x14ac:dyDescent="0.25">
      <c r="A78"/>
      <c r="B78"/>
      <c r="C78"/>
      <c r="D78"/>
      <c r="E78"/>
    </row>
    <row r="79" spans="1:5" x14ac:dyDescent="0.25">
      <c r="A79"/>
      <c r="B79"/>
      <c r="C79"/>
      <c r="D79"/>
      <c r="E79"/>
    </row>
    <row r="80" spans="1:5" x14ac:dyDescent="0.25">
      <c r="A80"/>
      <c r="B80"/>
      <c r="C80"/>
      <c r="D80"/>
      <c r="E80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A84"/>
      <c r="B84"/>
      <c r="C84"/>
      <c r="D84"/>
      <c r="E84"/>
    </row>
    <row r="85" spans="1:5" x14ac:dyDescent="0.25">
      <c r="A85"/>
      <c r="B85"/>
      <c r="C85"/>
      <c r="D85"/>
      <c r="E85"/>
    </row>
    <row r="86" spans="1:5" x14ac:dyDescent="0.25">
      <c r="A86"/>
      <c r="B86"/>
      <c r="C86"/>
      <c r="D86"/>
      <c r="E86"/>
    </row>
    <row r="87" spans="1:5" x14ac:dyDescent="0.25">
      <c r="A87"/>
      <c r="B87"/>
      <c r="C87"/>
      <c r="D87"/>
      <c r="E87"/>
    </row>
    <row r="88" spans="1:5" x14ac:dyDescent="0.25">
      <c r="A88"/>
      <c r="B88"/>
      <c r="C88"/>
      <c r="D88"/>
      <c r="E88"/>
    </row>
    <row r="89" spans="1:5" x14ac:dyDescent="0.25">
      <c r="A89"/>
      <c r="B89"/>
      <c r="C89"/>
      <c r="D89"/>
      <c r="E89"/>
    </row>
    <row r="90" spans="1:5" x14ac:dyDescent="0.25">
      <c r="A90"/>
      <c r="B90"/>
      <c r="C90"/>
      <c r="D90"/>
      <c r="E90"/>
    </row>
    <row r="91" spans="1:5" x14ac:dyDescent="0.25">
      <c r="A91"/>
      <c r="B91"/>
      <c r="C91"/>
      <c r="D91"/>
      <c r="E91"/>
    </row>
    <row r="92" spans="1:5" x14ac:dyDescent="0.25">
      <c r="A92"/>
      <c r="B92"/>
      <c r="C92"/>
      <c r="D92"/>
      <c r="E92"/>
    </row>
    <row r="93" spans="1:5" x14ac:dyDescent="0.25">
      <c r="A93"/>
      <c r="B93"/>
      <c r="C93"/>
      <c r="D93"/>
      <c r="E93"/>
    </row>
    <row r="94" spans="1:5" x14ac:dyDescent="0.25">
      <c r="A94"/>
      <c r="B94"/>
      <c r="C94"/>
      <c r="D94"/>
      <c r="E94"/>
    </row>
    <row r="95" spans="1:5" x14ac:dyDescent="0.25">
      <c r="A95"/>
      <c r="B95"/>
      <c r="C95"/>
      <c r="D95"/>
      <c r="E95"/>
    </row>
    <row r="96" spans="1:5" x14ac:dyDescent="0.25">
      <c r="A96"/>
      <c r="B96"/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  <row r="105" spans="1:5" x14ac:dyDescent="0.25">
      <c r="A105"/>
      <c r="B105"/>
      <c r="C105"/>
      <c r="D105"/>
      <c r="E105"/>
    </row>
    <row r="106" spans="1:5" x14ac:dyDescent="0.25">
      <c r="A106"/>
      <c r="B106"/>
      <c r="C106"/>
      <c r="D106"/>
      <c r="E106"/>
    </row>
    <row r="107" spans="1:5" x14ac:dyDescent="0.25">
      <c r="A107"/>
      <c r="B107"/>
      <c r="C107"/>
      <c r="D107"/>
      <c r="E107"/>
    </row>
    <row r="108" spans="1:5" x14ac:dyDescent="0.25">
      <c r="A108"/>
      <c r="B108"/>
      <c r="C108"/>
      <c r="D108"/>
      <c r="E108"/>
    </row>
    <row r="109" spans="1:5" x14ac:dyDescent="0.25">
      <c r="A109"/>
      <c r="B109"/>
      <c r="C109"/>
      <c r="D109"/>
      <c r="E109"/>
    </row>
    <row r="110" spans="1:5" x14ac:dyDescent="0.25">
      <c r="A110"/>
      <c r="B110"/>
      <c r="C110"/>
      <c r="D110"/>
      <c r="E110"/>
    </row>
    <row r="111" spans="1:5" x14ac:dyDescent="0.25">
      <c r="A111"/>
      <c r="B111"/>
      <c r="C111"/>
      <c r="D111"/>
      <c r="E111"/>
    </row>
    <row r="112" spans="1:5" x14ac:dyDescent="0.25">
      <c r="A112"/>
      <c r="B112"/>
      <c r="C112"/>
      <c r="D112"/>
      <c r="E112"/>
    </row>
    <row r="113" spans="1:5" x14ac:dyDescent="0.25">
      <c r="A113"/>
      <c r="B113"/>
      <c r="C113"/>
      <c r="D113"/>
      <c r="E113"/>
    </row>
    <row r="114" spans="1:5" x14ac:dyDescent="0.25">
      <c r="A114"/>
      <c r="B114"/>
      <c r="C114"/>
      <c r="D114"/>
      <c r="E114"/>
    </row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  <row r="126" spans="1:5" x14ac:dyDescent="0.25">
      <c r="A126"/>
      <c r="B126"/>
      <c r="C126"/>
      <c r="D126"/>
      <c r="E126"/>
    </row>
    <row r="127" spans="1:5" x14ac:dyDescent="0.25">
      <c r="A127"/>
      <c r="B127"/>
      <c r="C127"/>
      <c r="D127"/>
      <c r="E127"/>
    </row>
    <row r="128" spans="1:5" x14ac:dyDescent="0.25">
      <c r="A128"/>
      <c r="B128"/>
      <c r="C128"/>
      <c r="D128"/>
      <c r="E128"/>
    </row>
    <row r="129" spans="1:5" x14ac:dyDescent="0.25">
      <c r="A129"/>
      <c r="B129"/>
      <c r="C129"/>
      <c r="D129"/>
      <c r="E129"/>
    </row>
    <row r="130" spans="1:5" x14ac:dyDescent="0.25">
      <c r="A130"/>
      <c r="B130"/>
      <c r="C130"/>
      <c r="D130"/>
      <c r="E130"/>
    </row>
    <row r="131" spans="1:5" x14ac:dyDescent="0.25">
      <c r="A131"/>
      <c r="B131"/>
      <c r="C131"/>
      <c r="D131"/>
      <c r="E131"/>
    </row>
    <row r="132" spans="1:5" x14ac:dyDescent="0.25">
      <c r="A132"/>
      <c r="B132"/>
      <c r="C132"/>
      <c r="D132"/>
      <c r="E132"/>
    </row>
    <row r="133" spans="1:5" x14ac:dyDescent="0.25">
      <c r="A133"/>
      <c r="B133"/>
      <c r="C133"/>
      <c r="D133"/>
      <c r="E133"/>
    </row>
    <row r="134" spans="1:5" x14ac:dyDescent="0.25">
      <c r="A134"/>
      <c r="B134"/>
      <c r="C134"/>
      <c r="D134"/>
      <c r="E134"/>
    </row>
    <row r="135" spans="1:5" x14ac:dyDescent="0.25">
      <c r="A135"/>
      <c r="B135"/>
      <c r="C135"/>
      <c r="D135"/>
      <c r="E135"/>
    </row>
    <row r="136" spans="1:5" x14ac:dyDescent="0.25">
      <c r="A136"/>
      <c r="B136"/>
      <c r="C136"/>
      <c r="D136"/>
      <c r="E136"/>
    </row>
    <row r="137" spans="1:5" x14ac:dyDescent="0.25">
      <c r="A137"/>
      <c r="B137"/>
      <c r="C137"/>
      <c r="D137"/>
      <c r="E137"/>
    </row>
    <row r="138" spans="1:5" x14ac:dyDescent="0.25">
      <c r="A138"/>
      <c r="B138"/>
      <c r="C138"/>
      <c r="D138"/>
      <c r="E138"/>
    </row>
    <row r="139" spans="1:5" x14ac:dyDescent="0.25">
      <c r="A139"/>
      <c r="B139"/>
      <c r="C139"/>
      <c r="D139"/>
      <c r="E139"/>
    </row>
    <row r="140" spans="1:5" x14ac:dyDescent="0.25">
      <c r="A140"/>
      <c r="B140"/>
      <c r="C140"/>
      <c r="D140"/>
      <c r="E140"/>
    </row>
    <row r="141" spans="1:5" x14ac:dyDescent="0.25">
      <c r="A141"/>
      <c r="B141"/>
      <c r="C141"/>
      <c r="D141"/>
      <c r="E141"/>
    </row>
    <row r="142" spans="1:5" x14ac:dyDescent="0.25">
      <c r="A142"/>
      <c r="B142"/>
      <c r="C142"/>
      <c r="D142"/>
      <c r="E142"/>
    </row>
    <row r="143" spans="1:5" x14ac:dyDescent="0.25">
      <c r="A143"/>
      <c r="B143"/>
      <c r="C143"/>
      <c r="D143"/>
      <c r="E143"/>
    </row>
    <row r="144" spans="1:5" x14ac:dyDescent="0.25">
      <c r="A144"/>
      <c r="B144"/>
      <c r="C144"/>
      <c r="D144"/>
      <c r="E144"/>
    </row>
    <row r="145" spans="1:5" x14ac:dyDescent="0.25">
      <c r="A145"/>
      <c r="B145"/>
      <c r="C145"/>
      <c r="D145"/>
      <c r="E145"/>
    </row>
    <row r="146" spans="1:5" x14ac:dyDescent="0.25">
      <c r="A146"/>
      <c r="B146"/>
      <c r="C146"/>
      <c r="D146"/>
      <c r="E146"/>
    </row>
    <row r="147" spans="1:5" x14ac:dyDescent="0.25">
      <c r="A147"/>
      <c r="B147"/>
      <c r="C147"/>
      <c r="D147"/>
      <c r="E147"/>
    </row>
    <row r="148" spans="1:5" x14ac:dyDescent="0.25">
      <c r="A148"/>
      <c r="B148"/>
      <c r="C148"/>
      <c r="D148"/>
      <c r="E148"/>
    </row>
    <row r="149" spans="1:5" x14ac:dyDescent="0.25">
      <c r="A149"/>
      <c r="B149"/>
      <c r="C149"/>
      <c r="D149"/>
      <c r="E149"/>
    </row>
    <row r="150" spans="1:5" x14ac:dyDescent="0.25">
      <c r="A150"/>
      <c r="B150"/>
      <c r="C150"/>
      <c r="D150"/>
      <c r="E150"/>
    </row>
    <row r="151" spans="1:5" x14ac:dyDescent="0.25">
      <c r="A151"/>
      <c r="B151"/>
      <c r="C151"/>
      <c r="D151"/>
      <c r="E151"/>
    </row>
    <row r="152" spans="1:5" x14ac:dyDescent="0.25">
      <c r="A152"/>
      <c r="B152"/>
      <c r="C152"/>
      <c r="D152"/>
      <c r="E152"/>
    </row>
    <row r="153" spans="1:5" x14ac:dyDescent="0.25">
      <c r="A153"/>
      <c r="B153"/>
      <c r="C153"/>
      <c r="D153"/>
      <c r="E153"/>
    </row>
    <row r="154" spans="1:5" x14ac:dyDescent="0.25">
      <c r="A154"/>
      <c r="B154"/>
      <c r="C154"/>
      <c r="D154"/>
      <c r="E154"/>
    </row>
    <row r="155" spans="1:5" x14ac:dyDescent="0.25">
      <c r="A155"/>
      <c r="B155"/>
      <c r="C155"/>
      <c r="D155"/>
      <c r="E155"/>
    </row>
    <row r="156" spans="1:5" x14ac:dyDescent="0.25">
      <c r="A156"/>
      <c r="B156"/>
      <c r="C156"/>
      <c r="D156"/>
      <c r="E156"/>
    </row>
    <row r="157" spans="1:5" x14ac:dyDescent="0.25">
      <c r="A157"/>
      <c r="B157"/>
      <c r="C157"/>
      <c r="D157"/>
      <c r="E157"/>
    </row>
    <row r="158" spans="1:5" x14ac:dyDescent="0.25">
      <c r="A158"/>
      <c r="B158"/>
      <c r="C158"/>
      <c r="D158"/>
      <c r="E158"/>
    </row>
    <row r="159" spans="1:5" x14ac:dyDescent="0.25">
      <c r="A159"/>
      <c r="B159"/>
      <c r="C159"/>
      <c r="D159"/>
      <c r="E159"/>
    </row>
    <row r="160" spans="1:5" x14ac:dyDescent="0.25">
      <c r="A160"/>
      <c r="B160"/>
      <c r="C160"/>
      <c r="D160"/>
      <c r="E160"/>
    </row>
    <row r="161" spans="1:5" x14ac:dyDescent="0.25">
      <c r="A161"/>
      <c r="B161"/>
      <c r="C161"/>
      <c r="D161"/>
      <c r="E161"/>
    </row>
    <row r="162" spans="1:5" x14ac:dyDescent="0.25">
      <c r="A162"/>
      <c r="B162"/>
      <c r="C162"/>
      <c r="D162"/>
      <c r="E162"/>
    </row>
    <row r="163" spans="1:5" x14ac:dyDescent="0.25">
      <c r="A163"/>
      <c r="B163"/>
      <c r="C163"/>
      <c r="D163"/>
      <c r="E163"/>
    </row>
    <row r="164" spans="1:5" x14ac:dyDescent="0.25">
      <c r="A164"/>
      <c r="B164"/>
      <c r="C164"/>
      <c r="D164"/>
      <c r="E164"/>
    </row>
    <row r="165" spans="1:5" x14ac:dyDescent="0.25">
      <c r="A165"/>
      <c r="B165"/>
      <c r="C165"/>
      <c r="D165"/>
      <c r="E165"/>
    </row>
    <row r="166" spans="1:5" x14ac:dyDescent="0.25">
      <c r="A166"/>
      <c r="B166"/>
      <c r="C166"/>
      <c r="D166"/>
      <c r="E166"/>
    </row>
    <row r="167" spans="1:5" x14ac:dyDescent="0.25">
      <c r="A167"/>
      <c r="B167"/>
      <c r="C167"/>
      <c r="D167"/>
      <c r="E167"/>
    </row>
    <row r="168" spans="1:5" x14ac:dyDescent="0.25">
      <c r="A168"/>
      <c r="B168"/>
      <c r="C168"/>
      <c r="D168"/>
      <c r="E168"/>
    </row>
    <row r="169" spans="1:5" x14ac:dyDescent="0.25">
      <c r="A169"/>
      <c r="B169"/>
      <c r="C169"/>
      <c r="D169"/>
      <c r="E169"/>
    </row>
    <row r="170" spans="1:5" x14ac:dyDescent="0.25">
      <c r="A170"/>
      <c r="B170"/>
      <c r="C170"/>
      <c r="D170"/>
      <c r="E170"/>
    </row>
    <row r="171" spans="1:5" x14ac:dyDescent="0.25">
      <c r="A171"/>
      <c r="B171"/>
      <c r="C171"/>
      <c r="D171"/>
      <c r="E171"/>
    </row>
    <row r="172" spans="1:5" x14ac:dyDescent="0.25">
      <c r="A172"/>
      <c r="B172"/>
      <c r="C172"/>
      <c r="D172"/>
      <c r="E172"/>
    </row>
    <row r="173" spans="1:5" x14ac:dyDescent="0.25">
      <c r="A173"/>
      <c r="B173"/>
      <c r="C173"/>
      <c r="D173"/>
      <c r="E173"/>
    </row>
    <row r="174" spans="1:5" x14ac:dyDescent="0.25">
      <c r="A174"/>
      <c r="B174"/>
      <c r="C174"/>
      <c r="D174"/>
      <c r="E174"/>
    </row>
  </sheetData>
  <mergeCells count="2">
    <mergeCell ref="A4:B4"/>
    <mergeCell ref="A9:B9"/>
  </mergeCell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>
      <selection activeCell="A23" sqref="A23"/>
    </sheetView>
  </sheetViews>
  <sheetFormatPr defaultRowHeight="12.75" x14ac:dyDescent="0.2"/>
  <cols>
    <col min="1" max="7" width="30" customWidth="1"/>
    <col min="8" max="10" width="30" style="37" customWidth="1"/>
  </cols>
  <sheetData>
    <row r="1" spans="1:10" s="38" customFormat="1" x14ac:dyDescent="0.2">
      <c r="A1" s="38" t="s">
        <v>25</v>
      </c>
      <c r="B1" s="38" t="s">
        <v>26</v>
      </c>
      <c r="C1" s="38" t="s">
        <v>27</v>
      </c>
      <c r="D1" s="38" t="s">
        <v>28</v>
      </c>
      <c r="E1" s="38" t="s">
        <v>29</v>
      </c>
      <c r="F1" s="38" t="s">
        <v>30</v>
      </c>
      <c r="G1" s="38" t="s">
        <v>31</v>
      </c>
      <c r="H1" s="39" t="s">
        <v>32</v>
      </c>
      <c r="I1" s="39" t="s">
        <v>33</v>
      </c>
      <c r="J1" s="39" t="s">
        <v>34</v>
      </c>
    </row>
    <row r="2" spans="1:10" x14ac:dyDescent="0.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s="37" t="s">
        <v>42</v>
      </c>
      <c r="I2" s="37" t="s">
        <v>43</v>
      </c>
      <c r="J2" s="37" t="s">
        <v>44</v>
      </c>
    </row>
    <row r="3" spans="1:10" x14ac:dyDescent="0.2">
      <c r="A3" t="s">
        <v>117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s="37" t="s">
        <v>120</v>
      </c>
      <c r="I3" s="37" t="s">
        <v>124</v>
      </c>
      <c r="J3" s="37" t="s">
        <v>125</v>
      </c>
    </row>
    <row r="4" spans="1:10" x14ac:dyDescent="0.2">
      <c r="A4" t="s">
        <v>126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132</v>
      </c>
      <c r="H4" s="37" t="s">
        <v>133</v>
      </c>
      <c r="I4" s="37" t="s">
        <v>134</v>
      </c>
      <c r="J4" s="37" t="s">
        <v>135</v>
      </c>
    </row>
    <row r="5" spans="1:10" x14ac:dyDescent="0.2">
      <c r="A5" t="s">
        <v>136</v>
      </c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  <c r="H5" s="37" t="s">
        <v>143</v>
      </c>
      <c r="I5" s="37" t="s">
        <v>144</v>
      </c>
      <c r="J5" s="37" t="s">
        <v>145</v>
      </c>
    </row>
    <row r="6" spans="1:10" x14ac:dyDescent="0.2">
      <c r="A6" t="s">
        <v>116</v>
      </c>
      <c r="B6" t="s">
        <v>17</v>
      </c>
      <c r="C6" t="s">
        <v>146</v>
      </c>
      <c r="D6" t="s">
        <v>147</v>
      </c>
      <c r="E6" t="s">
        <v>148</v>
      </c>
      <c r="F6" t="s">
        <v>147</v>
      </c>
      <c r="G6" t="s">
        <v>146</v>
      </c>
      <c r="H6" s="37" t="s">
        <v>17</v>
      </c>
      <c r="I6" s="37" t="s">
        <v>146</v>
      </c>
      <c r="J6" s="37" t="s">
        <v>149</v>
      </c>
    </row>
    <row r="7" spans="1:10" x14ac:dyDescent="0.2">
      <c r="A7" t="s">
        <v>114</v>
      </c>
      <c r="B7" t="s">
        <v>150</v>
      </c>
      <c r="C7" t="s">
        <v>151</v>
      </c>
      <c r="D7" t="s">
        <v>152</v>
      </c>
      <c r="E7" t="s">
        <v>153</v>
      </c>
      <c r="F7" t="s">
        <v>154</v>
      </c>
      <c r="G7" t="s">
        <v>155</v>
      </c>
      <c r="H7" s="37" t="s">
        <v>156</v>
      </c>
      <c r="I7" s="37" t="s">
        <v>157</v>
      </c>
      <c r="J7" s="37" t="s">
        <v>158</v>
      </c>
    </row>
    <row r="8" spans="1:10" x14ac:dyDescent="0.2">
      <c r="A8" t="s">
        <v>159</v>
      </c>
      <c r="B8" t="s">
        <v>160</v>
      </c>
      <c r="C8" t="s">
        <v>161</v>
      </c>
      <c r="D8" t="s">
        <v>162</v>
      </c>
      <c r="E8" t="s">
        <v>163</v>
      </c>
      <c r="F8" t="s">
        <v>164</v>
      </c>
      <c r="G8" t="s">
        <v>165</v>
      </c>
      <c r="H8" s="37" t="s">
        <v>166</v>
      </c>
      <c r="I8" s="37" t="s">
        <v>167</v>
      </c>
      <c r="J8" s="37" t="s">
        <v>168</v>
      </c>
    </row>
    <row r="9" spans="1:10" x14ac:dyDescent="0.2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s="37" t="s">
        <v>53</v>
      </c>
      <c r="I9" s="37" t="s">
        <v>54</v>
      </c>
      <c r="J9" s="37" t="s">
        <v>55</v>
      </c>
    </row>
    <row r="10" spans="1:10" x14ac:dyDescent="0.2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s="37" t="s">
        <v>63</v>
      </c>
      <c r="I10" s="37" t="s">
        <v>64</v>
      </c>
      <c r="J10" s="37" t="s">
        <v>65</v>
      </c>
    </row>
    <row r="11" spans="1:10" x14ac:dyDescent="0.2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68</v>
      </c>
      <c r="H11" s="37" t="s">
        <v>72</v>
      </c>
      <c r="I11" s="37" t="s">
        <v>73</v>
      </c>
      <c r="J11" s="37" t="s">
        <v>74</v>
      </c>
    </row>
    <row r="12" spans="1:10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77</v>
      </c>
      <c r="H12" s="37" t="s">
        <v>81</v>
      </c>
      <c r="I12" s="37" t="s">
        <v>82</v>
      </c>
      <c r="J12" s="37" t="s">
        <v>83</v>
      </c>
    </row>
    <row r="13" spans="1:10" x14ac:dyDescent="0.2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s="37" t="s">
        <v>91</v>
      </c>
      <c r="I13" s="37" t="s">
        <v>90</v>
      </c>
      <c r="J13" s="37" t="s">
        <v>92</v>
      </c>
    </row>
    <row r="14" spans="1:10" x14ac:dyDescent="0.2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s="37" t="s">
        <v>100</v>
      </c>
      <c r="I14" s="37" t="s">
        <v>101</v>
      </c>
      <c r="J14" s="37" t="s">
        <v>102</v>
      </c>
    </row>
    <row r="15" spans="1:10" x14ac:dyDescent="0.2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s="37" t="s">
        <v>111</v>
      </c>
      <c r="J15" s="37" t="s">
        <v>112</v>
      </c>
    </row>
    <row r="16" spans="1:10" x14ac:dyDescent="0.2">
      <c r="A16" t="s">
        <v>115</v>
      </c>
    </row>
    <row r="17" spans="1:1" x14ac:dyDescent="0.2">
      <c r="A17" t="s">
        <v>169</v>
      </c>
    </row>
    <row r="18" spans="1:1" x14ac:dyDescent="0.2">
      <c r="A18" t="s">
        <v>170</v>
      </c>
    </row>
    <row r="19" spans="1:1" x14ac:dyDescent="0.2">
      <c r="A19" t="s">
        <v>45</v>
      </c>
    </row>
    <row r="20" spans="1:1" x14ac:dyDescent="0.2">
      <c r="A20" t="s">
        <v>113</v>
      </c>
    </row>
    <row r="21" spans="1:1" x14ac:dyDescent="0.2">
      <c r="A21" t="s">
        <v>171</v>
      </c>
    </row>
    <row r="22" spans="1:1" x14ac:dyDescent="0.2">
      <c r="A22" t="s">
        <v>230</v>
      </c>
    </row>
    <row r="23" spans="1:1" x14ac:dyDescent="0.2">
      <c r="A23" t="s">
        <v>172</v>
      </c>
    </row>
    <row r="24" spans="1:1" x14ac:dyDescent="0.2">
      <c r="A24" t="s">
        <v>229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96"/>
  <sheetViews>
    <sheetView workbookViewId="0"/>
  </sheetViews>
  <sheetFormatPr defaultRowHeight="12.75" x14ac:dyDescent="0.2"/>
  <cols>
    <col min="1" max="3" width="22.140625" customWidth="1"/>
    <col min="4" max="4" width="18.5703125" customWidth="1"/>
    <col min="5" max="5" width="18.7109375" style="3" customWidth="1"/>
    <col min="6" max="6" width="18.140625" customWidth="1"/>
    <col min="7" max="7" width="18.7109375" customWidth="1"/>
    <col min="8" max="8" width="42.140625" customWidth="1"/>
  </cols>
  <sheetData>
    <row r="1" spans="1:8" x14ac:dyDescent="0.2">
      <c r="A1" s="4" t="s">
        <v>4</v>
      </c>
      <c r="B1" s="3" t="s">
        <v>214</v>
      </c>
      <c r="C1" s="3"/>
      <c r="G1" s="5"/>
    </row>
    <row r="2" spans="1:8" x14ac:dyDescent="0.2">
      <c r="A2" s="4" t="s">
        <v>3</v>
      </c>
      <c r="B2" s="3">
        <v>44013.472850081016</v>
      </c>
      <c r="C2" s="3"/>
    </row>
    <row r="3" spans="1:8" x14ac:dyDescent="0.2">
      <c r="A3" s="4" t="s">
        <v>1</v>
      </c>
      <c r="B3" s="3">
        <v>43983.472843807867</v>
      </c>
      <c r="C3" s="3"/>
    </row>
    <row r="4" spans="1:8" x14ac:dyDescent="0.2">
      <c r="A4" s="4" t="s">
        <v>2</v>
      </c>
      <c r="B4" s="3">
        <v>44013.472843807867</v>
      </c>
      <c r="C4" s="3"/>
    </row>
    <row r="5" spans="1:8" x14ac:dyDescent="0.2">
      <c r="A5" s="4" t="s">
        <v>5</v>
      </c>
      <c r="B5" s="3" t="s">
        <v>179</v>
      </c>
      <c r="C5" s="3"/>
    </row>
    <row r="6" spans="1:8" x14ac:dyDescent="0.2">
      <c r="A6" s="4" t="s">
        <v>6</v>
      </c>
      <c r="B6" s="3" t="s">
        <v>180</v>
      </c>
      <c r="C6" s="3"/>
    </row>
    <row r="7" spans="1:8" x14ac:dyDescent="0.2">
      <c r="A7" s="4" t="s">
        <v>7</v>
      </c>
      <c r="B7" s="3" t="b">
        <v>1</v>
      </c>
      <c r="C7" s="3"/>
    </row>
    <row r="8" spans="1:8" x14ac:dyDescent="0.2">
      <c r="A8" s="4" t="s">
        <v>8</v>
      </c>
      <c r="B8" s="30" t="s">
        <v>213</v>
      </c>
      <c r="C8" s="30"/>
    </row>
    <row r="9" spans="1:8" ht="26.25" customHeight="1" thickBot="1" x14ac:dyDescent="0.25">
      <c r="A9" s="1" t="s">
        <v>9</v>
      </c>
      <c r="B9" s="1" t="s">
        <v>10</v>
      </c>
      <c r="C9" s="1" t="s">
        <v>23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</row>
    <row r="10" spans="1:8" x14ac:dyDescent="0.2">
      <c r="A10" s="2" t="s">
        <v>215</v>
      </c>
      <c r="B10" s="8" t="s">
        <v>181</v>
      </c>
      <c r="C10" s="8" t="s">
        <v>24</v>
      </c>
      <c r="D10" s="3">
        <v>43103.844027777777</v>
      </c>
      <c r="F10" s="9">
        <v>909.58714936342597</v>
      </c>
      <c r="G10" s="2" t="s">
        <v>18</v>
      </c>
      <c r="H10" s="2" t="s">
        <v>182</v>
      </c>
    </row>
    <row r="11" spans="1:8" x14ac:dyDescent="0.2">
      <c r="A11" s="2" t="s">
        <v>215</v>
      </c>
      <c r="B11" s="8" t="s">
        <v>181</v>
      </c>
      <c r="C11" s="8" t="s">
        <v>24</v>
      </c>
      <c r="D11" s="3">
        <v>43103.969027777777</v>
      </c>
      <c r="F11" s="9">
        <v>909.46214936342597</v>
      </c>
      <c r="G11" s="2" t="s">
        <v>16</v>
      </c>
      <c r="H11" s="2" t="s">
        <v>183</v>
      </c>
    </row>
    <row r="12" spans="1:8" x14ac:dyDescent="0.2">
      <c r="A12" s="2" t="s">
        <v>215</v>
      </c>
      <c r="B12" s="8" t="s">
        <v>181</v>
      </c>
      <c r="C12" s="8" t="s">
        <v>24</v>
      </c>
      <c r="D12" s="3">
        <v>43104.094027777777</v>
      </c>
      <c r="F12" s="9">
        <v>909.33714936342597</v>
      </c>
      <c r="G12" s="2" t="s">
        <v>19</v>
      </c>
      <c r="H12" s="2" t="s">
        <v>184</v>
      </c>
    </row>
    <row r="13" spans="1:8" x14ac:dyDescent="0.2">
      <c r="A13" s="2" t="s">
        <v>215</v>
      </c>
      <c r="B13" s="8" t="s">
        <v>181</v>
      </c>
      <c r="C13" s="8" t="s">
        <v>24</v>
      </c>
      <c r="D13" s="3">
        <v>44009.416666666664</v>
      </c>
      <c r="F13" s="9">
        <v>23.487493263888901</v>
      </c>
      <c r="G13" s="2" t="s">
        <v>16</v>
      </c>
      <c r="H13" s="2" t="s">
        <v>211</v>
      </c>
    </row>
    <row r="14" spans="1:8" x14ac:dyDescent="0.2">
      <c r="A14" s="2" t="s">
        <v>216</v>
      </c>
      <c r="B14" s="8" t="s">
        <v>186</v>
      </c>
      <c r="C14" s="8" t="s">
        <v>24</v>
      </c>
      <c r="D14" s="3">
        <v>43988.673386145834</v>
      </c>
      <c r="E14" s="45">
        <v>43990.348926238425</v>
      </c>
      <c r="F14" s="9">
        <v>4.1075081018518519E-2</v>
      </c>
      <c r="G14" s="2" t="s">
        <v>18</v>
      </c>
      <c r="H14" s="2" t="s">
        <v>182</v>
      </c>
    </row>
    <row r="15" spans="1:8" x14ac:dyDescent="0.2">
      <c r="A15" s="2" t="s">
        <v>217</v>
      </c>
      <c r="B15" s="8" t="s">
        <v>187</v>
      </c>
      <c r="C15" s="8" t="s">
        <v>24</v>
      </c>
      <c r="D15" s="3">
        <v>43968.657188229168</v>
      </c>
      <c r="E15" s="45">
        <v>43986.356069479167</v>
      </c>
      <c r="F15" s="9">
        <v>4.9925555555555556E-2</v>
      </c>
      <c r="G15" s="2" t="s">
        <v>20</v>
      </c>
      <c r="H15" s="2" t="s">
        <v>188</v>
      </c>
    </row>
    <row r="16" spans="1:8" x14ac:dyDescent="0.2">
      <c r="A16" s="2" t="s">
        <v>217</v>
      </c>
      <c r="B16" s="8" t="s">
        <v>187</v>
      </c>
      <c r="C16" s="8" t="s">
        <v>24</v>
      </c>
      <c r="D16" s="3">
        <v>43980.528671296299</v>
      </c>
      <c r="E16" s="45">
        <v>43984.770833333336</v>
      </c>
      <c r="F16" s="9">
        <v>2.4191516203703703E-2</v>
      </c>
      <c r="G16" s="2" t="s">
        <v>19</v>
      </c>
      <c r="H16" s="2" t="s">
        <v>184</v>
      </c>
    </row>
    <row r="17" spans="1:8" x14ac:dyDescent="0.2">
      <c r="A17" s="2" t="s">
        <v>217</v>
      </c>
      <c r="B17" s="8" t="s">
        <v>187</v>
      </c>
      <c r="C17" s="8" t="s">
        <v>24</v>
      </c>
      <c r="D17" s="3">
        <v>43980.528671296299</v>
      </c>
      <c r="E17" s="45">
        <v>43984.770833333336</v>
      </c>
      <c r="F17" s="9">
        <v>2.4191516203703703E-2</v>
      </c>
      <c r="G17" s="2" t="s">
        <v>18</v>
      </c>
      <c r="H17" s="2" t="s">
        <v>182</v>
      </c>
    </row>
    <row r="18" spans="1:8" x14ac:dyDescent="0.2">
      <c r="A18" s="2" t="s">
        <v>217</v>
      </c>
      <c r="B18" s="8" t="s">
        <v>187</v>
      </c>
      <c r="C18" s="8" t="s">
        <v>24</v>
      </c>
      <c r="D18" s="3">
        <v>43993.7676627662</v>
      </c>
      <c r="E18" s="45">
        <v>43994.018567210645</v>
      </c>
      <c r="F18" s="9">
        <v>1.3443750000000001E-3</v>
      </c>
      <c r="G18" s="2" t="s">
        <v>20</v>
      </c>
      <c r="H18" s="2" t="s">
        <v>188</v>
      </c>
    </row>
    <row r="19" spans="1:8" x14ac:dyDescent="0.2">
      <c r="A19" s="2" t="s">
        <v>217</v>
      </c>
      <c r="B19" s="8" t="s">
        <v>187</v>
      </c>
      <c r="C19" s="8" t="s">
        <v>24</v>
      </c>
      <c r="D19" s="3">
        <v>44000.679259988428</v>
      </c>
      <c r="F19" s="9">
        <v>5.7834444444444445E-2</v>
      </c>
      <c r="G19" s="2" t="s">
        <v>20</v>
      </c>
      <c r="H19" s="2" t="s">
        <v>188</v>
      </c>
    </row>
    <row r="20" spans="1:8" x14ac:dyDescent="0.2">
      <c r="A20" s="2" t="s">
        <v>217</v>
      </c>
      <c r="B20" s="8" t="s">
        <v>187</v>
      </c>
      <c r="C20" s="8" t="s">
        <v>24</v>
      </c>
      <c r="D20" s="3">
        <v>44000.679259988428</v>
      </c>
      <c r="F20" s="9">
        <v>5.7834444444444445E-2</v>
      </c>
      <c r="G20" s="2" t="s">
        <v>19</v>
      </c>
      <c r="H20" s="2" t="s">
        <v>184</v>
      </c>
    </row>
    <row r="21" spans="1:8" x14ac:dyDescent="0.2">
      <c r="A21" s="2" t="s">
        <v>217</v>
      </c>
      <c r="B21" s="8" t="s">
        <v>187</v>
      </c>
      <c r="C21" s="8" t="s">
        <v>24</v>
      </c>
      <c r="D21" s="3">
        <v>44000.679259988428</v>
      </c>
      <c r="F21" s="9">
        <v>5.7834444444444445E-2</v>
      </c>
      <c r="G21" s="2" t="s">
        <v>18</v>
      </c>
      <c r="H21" s="2" t="s">
        <v>182</v>
      </c>
    </row>
    <row r="22" spans="1:8" x14ac:dyDescent="0.2">
      <c r="A22" s="2" t="s">
        <v>218</v>
      </c>
      <c r="B22" s="8" t="s">
        <v>189</v>
      </c>
      <c r="C22" s="8" t="s">
        <v>24</v>
      </c>
      <c r="D22" s="3">
        <v>43985.577641932869</v>
      </c>
      <c r="F22" s="9">
        <v>6.4267093518518514</v>
      </c>
      <c r="G22" s="2" t="s">
        <v>21</v>
      </c>
      <c r="H22" s="2" t="s">
        <v>190</v>
      </c>
    </row>
    <row r="23" spans="1:8" x14ac:dyDescent="0.2">
      <c r="A23" s="2" t="s">
        <v>218</v>
      </c>
      <c r="B23" s="8" t="s">
        <v>189</v>
      </c>
      <c r="C23" s="8" t="s">
        <v>24</v>
      </c>
      <c r="D23" s="3">
        <v>43986.202641932869</v>
      </c>
      <c r="F23" s="9">
        <v>5.8017093518518514</v>
      </c>
      <c r="G23" s="2" t="s">
        <v>16</v>
      </c>
      <c r="H23" s="2" t="s">
        <v>191</v>
      </c>
    </row>
    <row r="24" spans="1:8" x14ac:dyDescent="0.2">
      <c r="A24" s="2" t="s">
        <v>218</v>
      </c>
      <c r="B24" s="8" t="s">
        <v>189</v>
      </c>
      <c r="C24" s="8" t="s">
        <v>24</v>
      </c>
      <c r="D24" s="3">
        <v>43987.916666666664</v>
      </c>
      <c r="F24" s="9">
        <v>4.0876846180555555</v>
      </c>
      <c r="G24" s="2" t="s">
        <v>20</v>
      </c>
      <c r="H24" s="2" t="s">
        <v>192</v>
      </c>
    </row>
    <row r="25" spans="1:8" x14ac:dyDescent="0.2">
      <c r="A25" s="2" t="s">
        <v>219</v>
      </c>
      <c r="B25" s="8" t="s">
        <v>193</v>
      </c>
      <c r="C25" s="8" t="s">
        <v>24</v>
      </c>
      <c r="D25" s="3">
        <v>43968.272205821762</v>
      </c>
      <c r="E25" s="45">
        <v>43991.566752280094</v>
      </c>
      <c r="F25" s="9">
        <v>0.64842271990740741</v>
      </c>
      <c r="G25" s="2" t="s">
        <v>19</v>
      </c>
      <c r="H25" s="2" t="s">
        <v>184</v>
      </c>
    </row>
    <row r="26" spans="1:8" x14ac:dyDescent="0.2">
      <c r="A26" s="2" t="s">
        <v>219</v>
      </c>
      <c r="B26" s="8" t="s">
        <v>193</v>
      </c>
      <c r="C26" s="8" t="s">
        <v>24</v>
      </c>
      <c r="D26" s="3">
        <v>43970.702110266204</v>
      </c>
      <c r="E26" s="45">
        <v>44001.869140046299</v>
      </c>
      <c r="F26" s="9">
        <v>0.61055916666666665</v>
      </c>
      <c r="G26" s="2" t="s">
        <v>20</v>
      </c>
      <c r="H26" s="2" t="s">
        <v>188</v>
      </c>
    </row>
    <row r="27" spans="1:8" x14ac:dyDescent="0.2">
      <c r="A27" s="2" t="s">
        <v>219</v>
      </c>
      <c r="B27" s="8" t="s">
        <v>193</v>
      </c>
      <c r="C27" s="8" t="s">
        <v>24</v>
      </c>
      <c r="D27" s="3">
        <v>43972.823434027778</v>
      </c>
      <c r="E27" s="45">
        <v>43991.566752280094</v>
      </c>
      <c r="F27" s="9">
        <v>0.15602123842592591</v>
      </c>
      <c r="G27" s="2" t="s">
        <v>19</v>
      </c>
      <c r="H27" s="2" t="s">
        <v>194</v>
      </c>
    </row>
    <row r="28" spans="1:8" x14ac:dyDescent="0.2">
      <c r="A28" s="2" t="s">
        <v>219</v>
      </c>
      <c r="B28" s="8" t="s">
        <v>193</v>
      </c>
      <c r="C28" s="8" t="s">
        <v>24</v>
      </c>
      <c r="D28" s="3">
        <v>43972.823434027778</v>
      </c>
      <c r="E28" s="45">
        <v>44000.833333333336</v>
      </c>
      <c r="F28" s="9">
        <v>2.4784131944444399E-2</v>
      </c>
      <c r="G28" s="2" t="s">
        <v>16</v>
      </c>
      <c r="H28" s="2" t="s">
        <v>212</v>
      </c>
    </row>
    <row r="29" spans="1:8" x14ac:dyDescent="0.2">
      <c r="A29" s="2" t="s">
        <v>219</v>
      </c>
      <c r="B29" s="8" t="s">
        <v>193</v>
      </c>
      <c r="C29" s="8" t="s">
        <v>24</v>
      </c>
      <c r="D29" s="3">
        <v>43979.277216203707</v>
      </c>
      <c r="E29" s="45">
        <v>43985.383597256943</v>
      </c>
      <c r="F29" s="9">
        <v>0.26425274305555557</v>
      </c>
      <c r="G29" s="2" t="s">
        <v>18</v>
      </c>
      <c r="H29" s="2" t="s">
        <v>182</v>
      </c>
    </row>
    <row r="30" spans="1:8" x14ac:dyDescent="0.2">
      <c r="A30" s="2" t="s">
        <v>219</v>
      </c>
      <c r="B30" s="8" t="s">
        <v>193</v>
      </c>
      <c r="C30" s="8" t="s">
        <v>24</v>
      </c>
      <c r="D30" s="3">
        <v>43981.624506631946</v>
      </c>
      <c r="E30" s="45">
        <v>43991.566752280094</v>
      </c>
      <c r="F30" s="9">
        <v>0.42485240740740743</v>
      </c>
      <c r="G30" s="2" t="s">
        <v>16</v>
      </c>
      <c r="H30" s="2" t="s">
        <v>183</v>
      </c>
    </row>
    <row r="31" spans="1:8" x14ac:dyDescent="0.2">
      <c r="A31" s="2" t="s">
        <v>219</v>
      </c>
      <c r="B31" s="8" t="s">
        <v>193</v>
      </c>
      <c r="C31" s="8" t="s">
        <v>24</v>
      </c>
      <c r="D31" s="3">
        <v>43986.240710682869</v>
      </c>
      <c r="E31" s="45">
        <v>43986.598160567133</v>
      </c>
      <c r="F31" s="9">
        <v>2.9982569444444444E-2</v>
      </c>
      <c r="G31" s="2" t="s">
        <v>18</v>
      </c>
      <c r="H31" s="2" t="s">
        <v>182</v>
      </c>
    </row>
    <row r="32" spans="1:8" x14ac:dyDescent="0.2">
      <c r="A32" s="2" t="s">
        <v>219</v>
      </c>
      <c r="B32" s="8" t="s">
        <v>193</v>
      </c>
      <c r="C32" s="8" t="s">
        <v>24</v>
      </c>
      <c r="D32" s="3">
        <v>43987.235603553243</v>
      </c>
      <c r="E32" s="45">
        <v>43987.362506053243</v>
      </c>
      <c r="F32" s="9">
        <v>3.3745324074074073E-2</v>
      </c>
      <c r="G32" s="2" t="s">
        <v>18</v>
      </c>
      <c r="H32" s="2" t="s">
        <v>182</v>
      </c>
    </row>
    <row r="33" spans="1:8" x14ac:dyDescent="0.2">
      <c r="A33" s="2" t="s">
        <v>219</v>
      </c>
      <c r="B33" s="8" t="s">
        <v>193</v>
      </c>
      <c r="C33" s="8" t="s">
        <v>24</v>
      </c>
      <c r="D33" s="3">
        <v>43988.268035532405</v>
      </c>
      <c r="E33" s="45">
        <v>43988.519021874999</v>
      </c>
      <c r="F33" s="9">
        <v>2.5740393518518517E-3</v>
      </c>
      <c r="G33" s="2" t="s">
        <v>18</v>
      </c>
      <c r="H33" s="2" t="s">
        <v>182</v>
      </c>
    </row>
    <row r="34" spans="1:8" x14ac:dyDescent="0.2">
      <c r="A34" s="2" t="s">
        <v>219</v>
      </c>
      <c r="B34" s="8" t="s">
        <v>193</v>
      </c>
      <c r="C34" s="8" t="s">
        <v>24</v>
      </c>
      <c r="D34" s="3">
        <v>43989.275412118055</v>
      </c>
      <c r="E34" s="45">
        <v>43989.347185150466</v>
      </c>
      <c r="F34" s="9">
        <v>5.6353009259259255E-3</v>
      </c>
      <c r="G34" s="2" t="s">
        <v>18</v>
      </c>
      <c r="H34" s="2" t="s">
        <v>182</v>
      </c>
    </row>
    <row r="35" spans="1:8" x14ac:dyDescent="0.2">
      <c r="A35" s="2" t="s">
        <v>219</v>
      </c>
      <c r="B35" s="8" t="s">
        <v>193</v>
      </c>
      <c r="C35" s="8" t="s">
        <v>24</v>
      </c>
      <c r="D35" s="3">
        <v>43990.245291747684</v>
      </c>
      <c r="E35" s="45">
        <v>43991.425110034725</v>
      </c>
      <c r="F35" s="9">
        <v>6.1551006944444445E-2</v>
      </c>
      <c r="G35" s="2" t="s">
        <v>18</v>
      </c>
      <c r="H35" s="2" t="s">
        <v>182</v>
      </c>
    </row>
    <row r="36" spans="1:8" x14ac:dyDescent="0.2">
      <c r="A36" s="2" t="s">
        <v>219</v>
      </c>
      <c r="B36" s="8" t="s">
        <v>193</v>
      </c>
      <c r="C36" s="8" t="s">
        <v>24</v>
      </c>
      <c r="D36" s="3">
        <v>43992.335231747682</v>
      </c>
      <c r="E36" s="45">
        <v>44000.833333333336</v>
      </c>
      <c r="F36" s="9">
        <v>0.19488093749999999</v>
      </c>
      <c r="G36" s="2" t="s">
        <v>20</v>
      </c>
      <c r="H36" s="2" t="s">
        <v>185</v>
      </c>
    </row>
    <row r="37" spans="1:8" x14ac:dyDescent="0.2">
      <c r="A37" s="2" t="s">
        <v>219</v>
      </c>
      <c r="B37" s="8" t="s">
        <v>193</v>
      </c>
      <c r="C37" s="8" t="s">
        <v>24</v>
      </c>
      <c r="D37" s="3">
        <v>43993.290058877312</v>
      </c>
      <c r="E37" s="45">
        <v>43998.317833252317</v>
      </c>
      <c r="F37" s="9">
        <v>0.15857248842592592</v>
      </c>
      <c r="G37" s="2" t="s">
        <v>19</v>
      </c>
      <c r="H37" s="2" t="s">
        <v>184</v>
      </c>
    </row>
    <row r="38" spans="1:8" x14ac:dyDescent="0.2">
      <c r="A38" s="2" t="s">
        <v>219</v>
      </c>
      <c r="B38" s="8" t="s">
        <v>193</v>
      </c>
      <c r="C38" s="8" t="s">
        <v>24</v>
      </c>
      <c r="D38" s="3">
        <v>43993.290058877312</v>
      </c>
      <c r="E38" s="45">
        <v>43993.479398923613</v>
      </c>
      <c r="F38" s="9">
        <v>1.4845833333333334E-2</v>
      </c>
      <c r="G38" s="2" t="s">
        <v>18</v>
      </c>
      <c r="H38" s="2" t="s">
        <v>182</v>
      </c>
    </row>
    <row r="39" spans="1:8" x14ac:dyDescent="0.2">
      <c r="A39" s="2" t="s">
        <v>219</v>
      </c>
      <c r="B39" s="8" t="s">
        <v>193</v>
      </c>
      <c r="C39" s="8" t="s">
        <v>24</v>
      </c>
      <c r="D39" s="3">
        <v>43994.228747372683</v>
      </c>
      <c r="E39" s="45">
        <v>43994.562252280091</v>
      </c>
      <c r="F39" s="9">
        <v>3.3653587962962965E-2</v>
      </c>
      <c r="G39" s="2" t="s">
        <v>18</v>
      </c>
      <c r="H39" s="2" t="s">
        <v>182</v>
      </c>
    </row>
    <row r="40" spans="1:8" x14ac:dyDescent="0.2">
      <c r="A40" s="2" t="s">
        <v>219</v>
      </c>
      <c r="B40" s="8" t="s">
        <v>193</v>
      </c>
      <c r="C40" s="8" t="s">
        <v>24</v>
      </c>
      <c r="D40" s="3">
        <v>43995</v>
      </c>
      <c r="E40" s="45">
        <v>43995.999988425923</v>
      </c>
      <c r="F40" s="9">
        <v>0</v>
      </c>
      <c r="G40" s="2" t="s">
        <v>195</v>
      </c>
      <c r="H40" s="2" t="s">
        <v>196</v>
      </c>
    </row>
    <row r="41" spans="1:8" x14ac:dyDescent="0.2">
      <c r="A41" s="2" t="s">
        <v>219</v>
      </c>
      <c r="B41" s="8" t="s">
        <v>193</v>
      </c>
      <c r="C41" s="8" t="s">
        <v>24</v>
      </c>
      <c r="D41" s="3">
        <v>43995.242687731479</v>
      </c>
      <c r="E41" s="45">
        <v>43995.710276585647</v>
      </c>
      <c r="F41" s="9">
        <v>7.4693634259259262E-2</v>
      </c>
      <c r="G41" s="2" t="s">
        <v>18</v>
      </c>
      <c r="H41" s="2" t="s">
        <v>182</v>
      </c>
    </row>
    <row r="42" spans="1:8" x14ac:dyDescent="0.2">
      <c r="A42" s="2" t="s">
        <v>219</v>
      </c>
      <c r="B42" s="8" t="s">
        <v>193</v>
      </c>
      <c r="C42" s="8" t="s">
        <v>24</v>
      </c>
      <c r="D42" s="3">
        <v>43995.631350381947</v>
      </c>
      <c r="E42" s="45">
        <v>43995.855571261571</v>
      </c>
      <c r="F42" s="9">
        <v>6.1769375000000001E-2</v>
      </c>
      <c r="G42" s="2" t="s">
        <v>19</v>
      </c>
      <c r="H42" s="2" t="s">
        <v>197</v>
      </c>
    </row>
    <row r="43" spans="1:8" x14ac:dyDescent="0.2">
      <c r="A43" s="2" t="s">
        <v>219</v>
      </c>
      <c r="B43" s="8" t="s">
        <v>193</v>
      </c>
      <c r="C43" s="8" t="s">
        <v>24</v>
      </c>
      <c r="D43" s="3">
        <v>43995.631350381947</v>
      </c>
      <c r="E43" s="45">
        <v>43995.855571261571</v>
      </c>
      <c r="F43" s="9">
        <v>6.1769375000000001E-2</v>
      </c>
      <c r="G43" s="2" t="s">
        <v>21</v>
      </c>
      <c r="H43" s="2" t="s">
        <v>198</v>
      </c>
    </row>
    <row r="44" spans="1:8" x14ac:dyDescent="0.2">
      <c r="A44" s="2" t="s">
        <v>219</v>
      </c>
      <c r="B44" s="8" t="s">
        <v>193</v>
      </c>
      <c r="C44" s="8" t="s">
        <v>24</v>
      </c>
      <c r="D44" s="3">
        <v>43995.631350381947</v>
      </c>
      <c r="E44" s="45">
        <v>43998.317833252317</v>
      </c>
      <c r="F44" s="9">
        <v>6.1769375000000001E-2</v>
      </c>
      <c r="G44" s="2" t="s">
        <v>199</v>
      </c>
      <c r="H44" s="2" t="s">
        <v>200</v>
      </c>
    </row>
    <row r="45" spans="1:8" x14ac:dyDescent="0.2">
      <c r="A45" s="2" t="s">
        <v>219</v>
      </c>
      <c r="B45" s="8" t="s">
        <v>193</v>
      </c>
      <c r="C45" s="8" t="s">
        <v>24</v>
      </c>
      <c r="D45" s="3">
        <v>43995.631350381947</v>
      </c>
      <c r="E45" s="45">
        <v>44000.407117326387</v>
      </c>
      <c r="F45" s="9">
        <v>6.1769375000000001E-2</v>
      </c>
      <c r="G45" s="2" t="s">
        <v>20</v>
      </c>
      <c r="H45" s="2" t="s">
        <v>192</v>
      </c>
    </row>
    <row r="46" spans="1:8" x14ac:dyDescent="0.2">
      <c r="A46" s="2" t="s">
        <v>219</v>
      </c>
      <c r="B46" s="8" t="s">
        <v>193</v>
      </c>
      <c r="C46" s="8" t="s">
        <v>24</v>
      </c>
      <c r="D46" s="3">
        <v>43995.787526192129</v>
      </c>
      <c r="E46" s="45">
        <v>43995.855571261571</v>
      </c>
      <c r="F46" s="9">
        <v>3.6491134259259261E-2</v>
      </c>
      <c r="G46" s="2" t="s">
        <v>19</v>
      </c>
      <c r="H46" s="2" t="s">
        <v>197</v>
      </c>
    </row>
    <row r="47" spans="1:8" x14ac:dyDescent="0.2">
      <c r="A47" s="2" t="s">
        <v>219</v>
      </c>
      <c r="B47" s="8" t="s">
        <v>193</v>
      </c>
      <c r="C47" s="8" t="s">
        <v>24</v>
      </c>
      <c r="D47" s="3">
        <v>43995.787526192129</v>
      </c>
      <c r="E47" s="45">
        <v>43995.855571261571</v>
      </c>
      <c r="F47" s="9">
        <v>3.6491134259259261E-2</v>
      </c>
      <c r="G47" s="2" t="s">
        <v>201</v>
      </c>
      <c r="H47" s="2" t="s">
        <v>202</v>
      </c>
    </row>
    <row r="48" spans="1:8" x14ac:dyDescent="0.2">
      <c r="A48" s="2" t="s">
        <v>219</v>
      </c>
      <c r="B48" s="8" t="s">
        <v>193</v>
      </c>
      <c r="C48" s="8" t="s">
        <v>24</v>
      </c>
      <c r="D48" s="3">
        <v>43995.787526192129</v>
      </c>
      <c r="E48" s="45">
        <v>43998.317833252317</v>
      </c>
      <c r="F48" s="9">
        <v>0.15015090277777779</v>
      </c>
      <c r="G48" s="2" t="s">
        <v>199</v>
      </c>
      <c r="H48" s="2" t="s">
        <v>200</v>
      </c>
    </row>
    <row r="49" spans="1:8" x14ac:dyDescent="0.2">
      <c r="A49" s="2" t="s">
        <v>219</v>
      </c>
      <c r="B49" s="8" t="s">
        <v>193</v>
      </c>
      <c r="C49" s="8" t="s">
        <v>24</v>
      </c>
      <c r="D49" s="3">
        <v>43995.787526192129</v>
      </c>
      <c r="E49" s="45">
        <v>44000.833333333336</v>
      </c>
      <c r="F49" s="9">
        <v>0.23229820601851853</v>
      </c>
      <c r="G49" s="2" t="s">
        <v>20</v>
      </c>
      <c r="H49" s="2" t="s">
        <v>192</v>
      </c>
    </row>
    <row r="50" spans="1:8" x14ac:dyDescent="0.2">
      <c r="A50" s="2" t="s">
        <v>219</v>
      </c>
      <c r="B50" s="8" t="s">
        <v>193</v>
      </c>
      <c r="C50" s="8" t="s">
        <v>24</v>
      </c>
      <c r="D50" s="3">
        <v>43995.787526192129</v>
      </c>
      <c r="E50" s="45">
        <v>43995.855571261571</v>
      </c>
      <c r="F50" s="9">
        <v>3.6491134259259261E-2</v>
      </c>
      <c r="G50" s="2" t="s">
        <v>21</v>
      </c>
      <c r="H50" s="2" t="s">
        <v>198</v>
      </c>
    </row>
    <row r="51" spans="1:8" x14ac:dyDescent="0.2">
      <c r="A51" s="2" t="s">
        <v>219</v>
      </c>
      <c r="B51" s="8" t="s">
        <v>193</v>
      </c>
      <c r="C51" s="8" t="s">
        <v>24</v>
      </c>
      <c r="D51" s="3">
        <v>43996</v>
      </c>
      <c r="E51" s="45">
        <v>43996.999988425923</v>
      </c>
      <c r="F51" s="9">
        <v>0</v>
      </c>
      <c r="G51" s="2" t="s">
        <v>195</v>
      </c>
      <c r="H51" s="2" t="s">
        <v>196</v>
      </c>
    </row>
    <row r="52" spans="1:8" x14ac:dyDescent="0.2">
      <c r="A52" s="2" t="s">
        <v>219</v>
      </c>
      <c r="B52" s="8" t="s">
        <v>193</v>
      </c>
      <c r="C52" s="8" t="s">
        <v>24</v>
      </c>
      <c r="D52" s="3">
        <v>43996.989402858795</v>
      </c>
      <c r="E52" s="45">
        <v>43996.998786076387</v>
      </c>
      <c r="F52" s="9">
        <v>9.3832175925925923E-3</v>
      </c>
      <c r="G52" s="2" t="s">
        <v>201</v>
      </c>
      <c r="H52" s="2" t="s">
        <v>202</v>
      </c>
    </row>
    <row r="53" spans="1:8" x14ac:dyDescent="0.2">
      <c r="A53" s="2" t="s">
        <v>219</v>
      </c>
      <c r="B53" s="8" t="s">
        <v>193</v>
      </c>
      <c r="C53" s="8" t="s">
        <v>24</v>
      </c>
      <c r="D53" s="3">
        <v>43996.989402858795</v>
      </c>
      <c r="E53" s="45">
        <v>43997.412317708331</v>
      </c>
      <c r="F53" s="9">
        <v>3.4889201388888888E-2</v>
      </c>
      <c r="G53" s="2" t="s">
        <v>19</v>
      </c>
      <c r="H53" s="2" t="s">
        <v>197</v>
      </c>
    </row>
    <row r="54" spans="1:8" x14ac:dyDescent="0.2">
      <c r="A54" s="2" t="s">
        <v>219</v>
      </c>
      <c r="B54" s="8" t="s">
        <v>193</v>
      </c>
      <c r="C54" s="8" t="s">
        <v>24</v>
      </c>
      <c r="D54" s="3">
        <v>43996.989402858795</v>
      </c>
      <c r="E54" s="45">
        <v>43997.412317708331</v>
      </c>
      <c r="F54" s="9">
        <v>3.4889201388888888E-2</v>
      </c>
      <c r="G54" s="2" t="s">
        <v>21</v>
      </c>
      <c r="H54" s="2" t="s">
        <v>198</v>
      </c>
    </row>
    <row r="55" spans="1:8" x14ac:dyDescent="0.2">
      <c r="A55" s="2" t="s">
        <v>219</v>
      </c>
      <c r="B55" s="8" t="s">
        <v>193</v>
      </c>
      <c r="C55" s="8" t="s">
        <v>24</v>
      </c>
      <c r="D55" s="3">
        <v>43997.781917361113</v>
      </c>
      <c r="E55" s="45">
        <v>43998.317833252317</v>
      </c>
      <c r="F55" s="9">
        <v>6.8885763888888885E-3</v>
      </c>
      <c r="G55" s="2" t="s">
        <v>19</v>
      </c>
      <c r="H55" s="2" t="s">
        <v>184</v>
      </c>
    </row>
    <row r="56" spans="1:8" x14ac:dyDescent="0.2">
      <c r="A56" s="2" t="s">
        <v>219</v>
      </c>
      <c r="B56" s="8" t="s">
        <v>193</v>
      </c>
      <c r="C56" s="8" t="s">
        <v>24</v>
      </c>
      <c r="D56" s="3">
        <v>44001</v>
      </c>
      <c r="E56" s="45">
        <v>44001.999988425923</v>
      </c>
      <c r="F56" s="9">
        <v>0</v>
      </c>
      <c r="G56" s="2" t="s">
        <v>195</v>
      </c>
      <c r="H56" s="2" t="s">
        <v>196</v>
      </c>
    </row>
    <row r="57" spans="1:8" x14ac:dyDescent="0.2">
      <c r="A57" s="2" t="s">
        <v>219</v>
      </c>
      <c r="B57" s="8" t="s">
        <v>193</v>
      </c>
      <c r="C57" s="8" t="s">
        <v>24</v>
      </c>
      <c r="D57" s="3">
        <v>44002.013067557869</v>
      </c>
      <c r="E57" s="45">
        <v>44002.028514432874</v>
      </c>
      <c r="F57" s="9">
        <v>1.5423726851851852E-2</v>
      </c>
      <c r="G57" s="2" t="s">
        <v>19</v>
      </c>
      <c r="H57" s="2" t="s">
        <v>197</v>
      </c>
    </row>
    <row r="58" spans="1:8" x14ac:dyDescent="0.2">
      <c r="A58" s="2" t="s">
        <v>219</v>
      </c>
      <c r="B58" s="8" t="s">
        <v>193</v>
      </c>
      <c r="C58" s="8" t="s">
        <v>24</v>
      </c>
      <c r="D58" s="3">
        <v>44002.013067557869</v>
      </c>
      <c r="E58" s="45">
        <v>44002.028514432874</v>
      </c>
      <c r="F58" s="9">
        <v>1.5423726851851852E-2</v>
      </c>
      <c r="G58" s="2" t="s">
        <v>21</v>
      </c>
      <c r="H58" s="2" t="s">
        <v>198</v>
      </c>
    </row>
    <row r="59" spans="1:8" x14ac:dyDescent="0.2">
      <c r="A59" s="2" t="s">
        <v>219</v>
      </c>
      <c r="B59" s="8" t="s">
        <v>193</v>
      </c>
      <c r="C59" s="8" t="s">
        <v>24</v>
      </c>
      <c r="D59" s="3">
        <v>44004</v>
      </c>
      <c r="E59" s="45">
        <v>44004.999988425923</v>
      </c>
      <c r="F59" s="9">
        <v>0</v>
      </c>
      <c r="G59" s="2" t="s">
        <v>195</v>
      </c>
      <c r="H59" s="2" t="s">
        <v>196</v>
      </c>
    </row>
    <row r="60" spans="1:8" x14ac:dyDescent="0.2">
      <c r="A60" s="2" t="s">
        <v>219</v>
      </c>
      <c r="B60" s="8" t="s">
        <v>193</v>
      </c>
      <c r="C60" s="8" t="s">
        <v>24</v>
      </c>
      <c r="D60" s="3">
        <v>44004.799752465275</v>
      </c>
      <c r="E60" s="45">
        <v>44004.932398773148</v>
      </c>
      <c r="F60" s="9">
        <v>5.3213518518518521E-2</v>
      </c>
      <c r="G60" s="2" t="s">
        <v>21</v>
      </c>
      <c r="H60" s="2" t="s">
        <v>198</v>
      </c>
    </row>
    <row r="61" spans="1:8" x14ac:dyDescent="0.2">
      <c r="A61" s="2" t="s">
        <v>219</v>
      </c>
      <c r="B61" s="8" t="s">
        <v>193</v>
      </c>
      <c r="C61" s="8" t="s">
        <v>24</v>
      </c>
      <c r="D61" s="3">
        <v>44004.799752465275</v>
      </c>
      <c r="E61" s="45">
        <v>44004.932398773148</v>
      </c>
      <c r="F61" s="9">
        <v>5.3213518518518521E-2</v>
      </c>
      <c r="G61" s="2" t="s">
        <v>19</v>
      </c>
      <c r="H61" s="2" t="s">
        <v>197</v>
      </c>
    </row>
    <row r="62" spans="1:8" x14ac:dyDescent="0.2">
      <c r="A62" s="2" t="s">
        <v>219</v>
      </c>
      <c r="B62" s="8" t="s">
        <v>193</v>
      </c>
      <c r="C62" s="8" t="s">
        <v>24</v>
      </c>
      <c r="D62" s="3">
        <v>44006</v>
      </c>
      <c r="E62" s="45">
        <v>44006.999988425923</v>
      </c>
      <c r="F62" s="9">
        <v>0</v>
      </c>
      <c r="G62" s="2" t="s">
        <v>203</v>
      </c>
      <c r="H62" s="2" t="s">
        <v>204</v>
      </c>
    </row>
    <row r="63" spans="1:8" x14ac:dyDescent="0.2">
      <c r="A63" s="2" t="s">
        <v>219</v>
      </c>
      <c r="B63" s="8" t="s">
        <v>193</v>
      </c>
      <c r="C63" s="8" t="s">
        <v>24</v>
      </c>
      <c r="D63" s="3">
        <v>44006</v>
      </c>
      <c r="E63" s="45">
        <v>44006.999988425923</v>
      </c>
      <c r="F63" s="9">
        <v>0</v>
      </c>
      <c r="G63" s="2" t="s">
        <v>195</v>
      </c>
      <c r="H63" s="2" t="s">
        <v>196</v>
      </c>
    </row>
    <row r="64" spans="1:8" x14ac:dyDescent="0.2">
      <c r="A64" s="2" t="s">
        <v>219</v>
      </c>
      <c r="B64" s="8" t="s">
        <v>193</v>
      </c>
      <c r="C64" s="8" t="s">
        <v>24</v>
      </c>
      <c r="D64" s="3">
        <v>44006.251971759259</v>
      </c>
      <c r="E64" s="45">
        <v>44006.911795879627</v>
      </c>
      <c r="F64" s="9">
        <v>7.2366041666666672E-2</v>
      </c>
      <c r="G64" s="2" t="s">
        <v>19</v>
      </c>
      <c r="H64" s="2" t="s">
        <v>197</v>
      </c>
    </row>
    <row r="65" spans="1:8" x14ac:dyDescent="0.2">
      <c r="A65" s="2" t="s">
        <v>219</v>
      </c>
      <c r="B65" s="8" t="s">
        <v>193</v>
      </c>
      <c r="C65" s="8" t="s">
        <v>24</v>
      </c>
      <c r="D65" s="3">
        <v>44006.251971759259</v>
      </c>
      <c r="E65" s="45">
        <v>44006.911795879627</v>
      </c>
      <c r="F65" s="9">
        <v>7.2366041666666672E-2</v>
      </c>
      <c r="G65" s="2" t="s">
        <v>21</v>
      </c>
      <c r="H65" s="2" t="s">
        <v>198</v>
      </c>
    </row>
    <row r="66" spans="1:8" x14ac:dyDescent="0.2">
      <c r="A66" s="2" t="s">
        <v>219</v>
      </c>
      <c r="B66" s="8" t="s">
        <v>193</v>
      </c>
      <c r="C66" s="8" t="s">
        <v>24</v>
      </c>
      <c r="D66" s="3">
        <v>44006.710384525461</v>
      </c>
      <c r="E66" s="45">
        <v>44006.911795879627</v>
      </c>
      <c r="F66" s="9">
        <v>6.3884641203703699E-2</v>
      </c>
      <c r="G66" s="2" t="s">
        <v>201</v>
      </c>
      <c r="H66" s="2" t="s">
        <v>202</v>
      </c>
    </row>
    <row r="67" spans="1:8" x14ac:dyDescent="0.2">
      <c r="A67" s="2" t="s">
        <v>219</v>
      </c>
      <c r="B67" s="8" t="s">
        <v>193</v>
      </c>
      <c r="C67" s="8" t="s">
        <v>24</v>
      </c>
      <c r="D67" s="3">
        <v>44007</v>
      </c>
      <c r="E67" s="45">
        <v>44007.999988425923</v>
      </c>
      <c r="F67" s="9">
        <v>0</v>
      </c>
      <c r="G67" s="2" t="s">
        <v>195</v>
      </c>
      <c r="H67" s="2" t="s">
        <v>196</v>
      </c>
    </row>
    <row r="68" spans="1:8" x14ac:dyDescent="0.2">
      <c r="A68" s="2" t="s">
        <v>219</v>
      </c>
      <c r="B68" s="8" t="s">
        <v>193</v>
      </c>
      <c r="C68" s="8" t="s">
        <v>24</v>
      </c>
      <c r="D68" s="3">
        <v>44007</v>
      </c>
      <c r="E68" s="45">
        <v>44007.999988425923</v>
      </c>
      <c r="F68" s="9">
        <v>0</v>
      </c>
      <c r="G68" s="2" t="s">
        <v>203</v>
      </c>
      <c r="H68" s="2" t="s">
        <v>204</v>
      </c>
    </row>
    <row r="69" spans="1:8" x14ac:dyDescent="0.2">
      <c r="A69" s="2" t="s">
        <v>219</v>
      </c>
      <c r="B69" s="8" t="s">
        <v>193</v>
      </c>
      <c r="C69" s="8" t="s">
        <v>24</v>
      </c>
      <c r="D69" s="3">
        <v>44008</v>
      </c>
      <c r="E69" s="45">
        <v>44008.999988425923</v>
      </c>
      <c r="F69" s="9">
        <v>0</v>
      </c>
      <c r="G69" s="2" t="s">
        <v>195</v>
      </c>
      <c r="H69" s="2" t="s">
        <v>196</v>
      </c>
    </row>
    <row r="70" spans="1:8" x14ac:dyDescent="0.2">
      <c r="A70" s="2" t="s">
        <v>219</v>
      </c>
      <c r="B70" s="8" t="s">
        <v>193</v>
      </c>
      <c r="C70" s="8" t="s">
        <v>24</v>
      </c>
      <c r="D70" s="3">
        <v>44008</v>
      </c>
      <c r="E70" s="45">
        <v>44008.999988425923</v>
      </c>
      <c r="F70" s="9">
        <v>0</v>
      </c>
      <c r="G70" s="2" t="s">
        <v>203</v>
      </c>
      <c r="H70" s="2" t="s">
        <v>204</v>
      </c>
    </row>
    <row r="71" spans="1:8" x14ac:dyDescent="0.2">
      <c r="A71" s="2" t="s">
        <v>219</v>
      </c>
      <c r="B71" s="8" t="s">
        <v>193</v>
      </c>
      <c r="C71" s="8" t="s">
        <v>24</v>
      </c>
      <c r="D71" s="3">
        <v>44008.51909332176</v>
      </c>
      <c r="F71" s="9">
        <v>0.27022417824074074</v>
      </c>
      <c r="G71" s="2" t="s">
        <v>20</v>
      </c>
      <c r="H71" s="2" t="s">
        <v>192</v>
      </c>
    </row>
    <row r="72" spans="1:8" x14ac:dyDescent="0.2">
      <c r="A72" s="2" t="s">
        <v>219</v>
      </c>
      <c r="B72" s="8" t="s">
        <v>193</v>
      </c>
      <c r="C72" s="8" t="s">
        <v>24</v>
      </c>
      <c r="D72" s="3">
        <v>44008.51909332176</v>
      </c>
      <c r="F72" s="9">
        <v>0.27022417824074074</v>
      </c>
      <c r="G72" s="2" t="s">
        <v>21</v>
      </c>
      <c r="H72" s="2" t="s">
        <v>198</v>
      </c>
    </row>
    <row r="73" spans="1:8" x14ac:dyDescent="0.2">
      <c r="A73" s="2" t="s">
        <v>219</v>
      </c>
      <c r="B73" s="8" t="s">
        <v>193</v>
      </c>
      <c r="C73" s="8" t="s">
        <v>24</v>
      </c>
      <c r="D73" s="3">
        <v>44008.51909332176</v>
      </c>
      <c r="F73" s="9">
        <v>0.27022417824074074</v>
      </c>
      <c r="G73" s="2" t="s">
        <v>19</v>
      </c>
      <c r="H73" s="2" t="s">
        <v>197</v>
      </c>
    </row>
    <row r="74" spans="1:8" x14ac:dyDescent="0.2">
      <c r="A74" s="2" t="s">
        <v>219</v>
      </c>
      <c r="B74" s="8" t="s">
        <v>193</v>
      </c>
      <c r="C74" s="8" t="s">
        <v>24</v>
      </c>
      <c r="D74" s="3">
        <v>44008.660683298614</v>
      </c>
      <c r="E74" s="45">
        <v>44008.679382870374</v>
      </c>
      <c r="F74" s="9">
        <v>1.8699571759259258E-2</v>
      </c>
      <c r="G74" s="2" t="s">
        <v>201</v>
      </c>
      <c r="H74" s="2" t="s">
        <v>202</v>
      </c>
    </row>
    <row r="75" spans="1:8" x14ac:dyDescent="0.2">
      <c r="A75" s="2" t="s">
        <v>219</v>
      </c>
      <c r="B75" s="8" t="s">
        <v>193</v>
      </c>
      <c r="C75" s="8" t="s">
        <v>24</v>
      </c>
      <c r="D75" s="3">
        <v>44009</v>
      </c>
      <c r="E75" s="45">
        <v>44009.999988425923</v>
      </c>
      <c r="F75" s="9">
        <v>0</v>
      </c>
      <c r="G75" s="2" t="s">
        <v>195</v>
      </c>
      <c r="H75" s="2" t="s">
        <v>196</v>
      </c>
    </row>
    <row r="76" spans="1:8" x14ac:dyDescent="0.2">
      <c r="A76" s="2" t="s">
        <v>219</v>
      </c>
      <c r="B76" s="8" t="s">
        <v>193</v>
      </c>
      <c r="C76" s="8" t="s">
        <v>24</v>
      </c>
      <c r="D76" s="3">
        <v>44009</v>
      </c>
      <c r="E76" s="45">
        <v>44009.999988425923</v>
      </c>
      <c r="F76" s="9">
        <v>0</v>
      </c>
      <c r="G76" s="2" t="s">
        <v>203</v>
      </c>
      <c r="H76" s="2" t="s">
        <v>204</v>
      </c>
    </row>
    <row r="77" spans="1:8" x14ac:dyDescent="0.2">
      <c r="A77" s="2" t="s">
        <v>219</v>
      </c>
      <c r="B77" s="8" t="s">
        <v>193</v>
      </c>
      <c r="C77" s="8" t="s">
        <v>24</v>
      </c>
      <c r="D77" s="3">
        <v>44009.583333333336</v>
      </c>
      <c r="E77" s="45">
        <v>44009.706656134258</v>
      </c>
      <c r="F77" s="9">
        <v>6.7267233796296302E-2</v>
      </c>
      <c r="G77" s="2" t="s">
        <v>201</v>
      </c>
      <c r="H77" s="2" t="s">
        <v>202</v>
      </c>
    </row>
    <row r="78" spans="1:8" x14ac:dyDescent="0.2">
      <c r="A78" s="2" t="s">
        <v>219</v>
      </c>
      <c r="B78" s="8" t="s">
        <v>193</v>
      </c>
      <c r="C78" s="8" t="s">
        <v>24</v>
      </c>
      <c r="D78" s="3">
        <v>44010</v>
      </c>
      <c r="E78" s="45">
        <v>44010.999988425923</v>
      </c>
      <c r="F78" s="9">
        <v>0</v>
      </c>
      <c r="G78" s="2" t="s">
        <v>195</v>
      </c>
      <c r="H78" s="2" t="s">
        <v>196</v>
      </c>
    </row>
    <row r="79" spans="1:8" x14ac:dyDescent="0.2">
      <c r="A79" s="2" t="s">
        <v>219</v>
      </c>
      <c r="B79" s="8" t="s">
        <v>193</v>
      </c>
      <c r="C79" s="8" t="s">
        <v>24</v>
      </c>
      <c r="D79" s="3">
        <v>44010</v>
      </c>
      <c r="E79" s="45">
        <v>44010.999988425923</v>
      </c>
      <c r="F79" s="9">
        <v>0</v>
      </c>
      <c r="G79" s="2" t="s">
        <v>203</v>
      </c>
      <c r="H79" s="2" t="s">
        <v>204</v>
      </c>
    </row>
    <row r="80" spans="1:8" x14ac:dyDescent="0.2">
      <c r="A80" s="2" t="s">
        <v>219</v>
      </c>
      <c r="B80" s="8" t="s">
        <v>193</v>
      </c>
      <c r="C80" s="8" t="s">
        <v>24</v>
      </c>
      <c r="D80" s="3">
        <v>44010.665331562501</v>
      </c>
      <c r="E80" s="45">
        <v>44011.785205671295</v>
      </c>
      <c r="F80" s="9">
        <v>6.7960254629629624E-2</v>
      </c>
      <c r="G80" s="2" t="s">
        <v>201</v>
      </c>
      <c r="H80" s="2" t="s">
        <v>202</v>
      </c>
    </row>
    <row r="81" spans="1:8" x14ac:dyDescent="0.2">
      <c r="A81" s="2" t="s">
        <v>219</v>
      </c>
      <c r="B81" s="8" t="s">
        <v>193</v>
      </c>
      <c r="C81" s="8" t="s">
        <v>24</v>
      </c>
      <c r="D81" s="3">
        <v>44011</v>
      </c>
      <c r="E81" s="45">
        <v>44011.999988425923</v>
      </c>
      <c r="F81" s="9">
        <v>0</v>
      </c>
      <c r="G81" s="2" t="s">
        <v>195</v>
      </c>
      <c r="H81" s="2" t="s">
        <v>196</v>
      </c>
    </row>
    <row r="82" spans="1:8" x14ac:dyDescent="0.2">
      <c r="A82" s="2" t="s">
        <v>219</v>
      </c>
      <c r="B82" s="8" t="s">
        <v>193</v>
      </c>
      <c r="C82" s="8" t="s">
        <v>24</v>
      </c>
      <c r="D82" s="3">
        <v>44011</v>
      </c>
      <c r="E82" s="45">
        <v>44011.999988425923</v>
      </c>
      <c r="F82" s="9">
        <v>0</v>
      </c>
      <c r="G82" s="2" t="s">
        <v>203</v>
      </c>
      <c r="H82" s="2" t="s">
        <v>204</v>
      </c>
    </row>
    <row r="83" spans="1:8" x14ac:dyDescent="0.2">
      <c r="A83" s="2" t="s">
        <v>219</v>
      </c>
      <c r="B83" s="8" t="s">
        <v>193</v>
      </c>
      <c r="C83" s="8" t="s">
        <v>24</v>
      </c>
      <c r="D83" s="3">
        <v>44012</v>
      </c>
      <c r="E83" s="45">
        <v>44012.999988425923</v>
      </c>
      <c r="F83" s="9">
        <v>0</v>
      </c>
      <c r="G83" s="2" t="s">
        <v>195</v>
      </c>
      <c r="H83" s="2" t="s">
        <v>196</v>
      </c>
    </row>
    <row r="84" spans="1:8" x14ac:dyDescent="0.2">
      <c r="A84" s="2" t="s">
        <v>219</v>
      </c>
      <c r="B84" s="8" t="s">
        <v>193</v>
      </c>
      <c r="C84" s="8" t="s">
        <v>24</v>
      </c>
      <c r="D84" s="3">
        <v>44012</v>
      </c>
      <c r="E84" s="45">
        <v>44012.999988425923</v>
      </c>
      <c r="F84" s="9">
        <v>0</v>
      </c>
      <c r="G84" s="2" t="s">
        <v>203</v>
      </c>
      <c r="H84" s="2" t="s">
        <v>204</v>
      </c>
    </row>
    <row r="85" spans="1:8" x14ac:dyDescent="0.2">
      <c r="A85" s="2" t="s">
        <v>220</v>
      </c>
      <c r="B85" s="8" t="s">
        <v>205</v>
      </c>
      <c r="C85" s="8" t="s">
        <v>24</v>
      </c>
      <c r="D85" s="3">
        <v>43986.772125613425</v>
      </c>
      <c r="E85" s="45">
        <v>43991</v>
      </c>
      <c r="F85" s="9">
        <v>7.5566782407407405E-3</v>
      </c>
      <c r="G85" s="2" t="s">
        <v>19</v>
      </c>
      <c r="H85" s="2" t="s">
        <v>184</v>
      </c>
    </row>
    <row r="86" spans="1:8" x14ac:dyDescent="0.2">
      <c r="A86" s="2" t="s">
        <v>220</v>
      </c>
      <c r="B86" s="8" t="s">
        <v>205</v>
      </c>
      <c r="C86" s="8" t="s">
        <v>24</v>
      </c>
      <c r="D86" s="3">
        <v>43986.772125613425</v>
      </c>
      <c r="E86" s="45">
        <v>43991</v>
      </c>
      <c r="F86" s="9">
        <v>7.5566782407407405E-3</v>
      </c>
      <c r="G86" s="2" t="s">
        <v>18</v>
      </c>
      <c r="H86" s="2" t="s">
        <v>182</v>
      </c>
    </row>
    <row r="87" spans="1:8" x14ac:dyDescent="0.2">
      <c r="A87" s="2" t="s">
        <v>220</v>
      </c>
      <c r="B87" s="8" t="s">
        <v>205</v>
      </c>
      <c r="C87" s="8" t="s">
        <v>24</v>
      </c>
      <c r="D87" s="3">
        <v>43986.772125613425</v>
      </c>
      <c r="E87" s="45">
        <v>43995</v>
      </c>
      <c r="F87" s="9">
        <v>0.13587207175925925</v>
      </c>
      <c r="G87" s="2" t="s">
        <v>20</v>
      </c>
      <c r="H87" s="2" t="s">
        <v>185</v>
      </c>
    </row>
    <row r="88" spans="1:8" x14ac:dyDescent="0.2">
      <c r="A88" s="2" t="s">
        <v>220</v>
      </c>
      <c r="B88" s="8" t="s">
        <v>205</v>
      </c>
      <c r="C88" s="8" t="s">
        <v>24</v>
      </c>
      <c r="D88" s="3">
        <v>43992.726938888889</v>
      </c>
      <c r="E88" s="45">
        <v>43993.377882210647</v>
      </c>
      <c r="F88" s="9">
        <v>6.2746874999999999E-3</v>
      </c>
      <c r="G88" s="2" t="s">
        <v>18</v>
      </c>
      <c r="H88" s="2" t="s">
        <v>182</v>
      </c>
    </row>
    <row r="89" spans="1:8" x14ac:dyDescent="0.2">
      <c r="A89" s="2" t="s">
        <v>220</v>
      </c>
      <c r="B89" s="8" t="s">
        <v>205</v>
      </c>
      <c r="C89" s="8" t="s">
        <v>24</v>
      </c>
      <c r="D89" s="3">
        <v>44002.37089953704</v>
      </c>
      <c r="E89" s="45">
        <v>44005.290518634261</v>
      </c>
      <c r="F89" s="9">
        <v>2.087962962962963E-2</v>
      </c>
      <c r="G89" s="2" t="s">
        <v>18</v>
      </c>
      <c r="H89" s="2" t="s">
        <v>182</v>
      </c>
    </row>
    <row r="90" spans="1:8" x14ac:dyDescent="0.2">
      <c r="A90" s="2" t="s">
        <v>220</v>
      </c>
      <c r="B90" s="8" t="s">
        <v>205</v>
      </c>
      <c r="C90" s="8" t="s">
        <v>24</v>
      </c>
      <c r="D90" s="3">
        <v>44002.37089953704</v>
      </c>
      <c r="E90" s="45">
        <v>44005.386972488428</v>
      </c>
      <c r="F90" s="9">
        <v>2.087962962962963E-2</v>
      </c>
      <c r="G90" s="2" t="s">
        <v>19</v>
      </c>
      <c r="H90" s="2" t="s">
        <v>184</v>
      </c>
    </row>
    <row r="91" spans="1:8" x14ac:dyDescent="0.2">
      <c r="A91" s="2" t="s">
        <v>221</v>
      </c>
      <c r="B91" s="8" t="s">
        <v>206</v>
      </c>
      <c r="C91" s="8" t="s">
        <v>24</v>
      </c>
      <c r="D91" s="3">
        <v>43984.48047141204</v>
      </c>
      <c r="E91" s="45">
        <v>44004.674305555556</v>
      </c>
      <c r="F91" s="9">
        <v>0.61101518518518516</v>
      </c>
      <c r="G91" s="2" t="s">
        <v>21</v>
      </c>
      <c r="H91" s="2" t="s">
        <v>207</v>
      </c>
    </row>
    <row r="92" spans="1:8" x14ac:dyDescent="0.2">
      <c r="A92" s="2" t="s">
        <v>221</v>
      </c>
      <c r="B92" s="8" t="s">
        <v>206</v>
      </c>
      <c r="C92" s="8" t="s">
        <v>24</v>
      </c>
      <c r="D92" s="3">
        <v>43985.677884108794</v>
      </c>
      <c r="E92" s="45">
        <v>44001.513504479168</v>
      </c>
      <c r="F92" s="9">
        <v>0.56953260416666662</v>
      </c>
      <c r="G92" s="2" t="s">
        <v>18</v>
      </c>
      <c r="H92" s="2" t="s">
        <v>208</v>
      </c>
    </row>
    <row r="93" spans="1:8" x14ac:dyDescent="0.2">
      <c r="A93" s="2" t="s">
        <v>221</v>
      </c>
      <c r="B93" s="8" t="s">
        <v>206</v>
      </c>
      <c r="C93" s="8" t="s">
        <v>24</v>
      </c>
      <c r="D93" s="3">
        <v>43991.746006944442</v>
      </c>
      <c r="E93" s="45">
        <v>44005.545871643517</v>
      </c>
      <c r="F93" s="9">
        <v>0.7125079861111111</v>
      </c>
      <c r="G93" s="2" t="s">
        <v>20</v>
      </c>
      <c r="H93" s="2" t="s">
        <v>209</v>
      </c>
    </row>
    <row r="94" spans="1:8" x14ac:dyDescent="0.2">
      <c r="A94" s="2" t="s">
        <v>221</v>
      </c>
      <c r="B94" s="8" t="s">
        <v>206</v>
      </c>
      <c r="C94" s="8" t="s">
        <v>24</v>
      </c>
      <c r="D94" s="3">
        <v>44000.325770358795</v>
      </c>
      <c r="E94" s="45">
        <v>44004.674305555556</v>
      </c>
      <c r="F94" s="9">
        <v>0.13607042824074075</v>
      </c>
      <c r="G94" s="2" t="s">
        <v>16</v>
      </c>
      <c r="H94" s="2" t="s">
        <v>210</v>
      </c>
    </row>
    <row r="95" spans="1:8" x14ac:dyDescent="0.2">
      <c r="A95" s="2" t="s">
        <v>221</v>
      </c>
      <c r="B95" s="8" t="s">
        <v>206</v>
      </c>
      <c r="C95" s="8" t="s">
        <v>24</v>
      </c>
      <c r="D95" s="3">
        <v>44002.529391053242</v>
      </c>
      <c r="E95" s="45">
        <v>44004.674305555556</v>
      </c>
      <c r="F95" s="9">
        <v>2.3583750000000001E-2</v>
      </c>
      <c r="G95" s="2" t="s">
        <v>18</v>
      </c>
      <c r="H95" s="2" t="s">
        <v>208</v>
      </c>
    </row>
    <row r="96" spans="1:8" x14ac:dyDescent="0.2">
      <c r="A96" s="2" t="s">
        <v>221</v>
      </c>
      <c r="B96" s="8" t="s">
        <v>206</v>
      </c>
      <c r="C96" s="8" t="s">
        <v>24</v>
      </c>
      <c r="D96" s="3">
        <v>44005.525129016205</v>
      </c>
      <c r="E96" s="45">
        <v>44005.545871643517</v>
      </c>
      <c r="F96" s="9">
        <v>2.0742627314814816E-2</v>
      </c>
      <c r="G96" s="2" t="s">
        <v>18</v>
      </c>
      <c r="H96" s="2" t="s">
        <v>208</v>
      </c>
    </row>
  </sheetData>
  <pageMargins left="0.7" right="0.7" top="0.75" bottom="0.75" header="0.3" footer="0.3"/>
  <pageSetup fitToHeight="10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Report</vt:lpstr>
      <vt:lpstr>Total Violations</vt:lpstr>
      <vt:lpstr>Summary</vt:lpstr>
      <vt:lpstr>Details</vt:lpstr>
      <vt:lpstr>Graph</vt:lpstr>
      <vt:lpstr>Graph 2</vt:lpstr>
      <vt:lpstr>Languages</vt:lpstr>
      <vt:lpstr>Data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Aakash Dubey</cp:lastModifiedBy>
  <dcterms:created xsi:type="dcterms:W3CDTF">2009-05-21T13:20:04Z</dcterms:created>
  <dcterms:modified xsi:type="dcterms:W3CDTF">2021-04-16T17:46:07Z</dcterms:modified>
</cp:coreProperties>
</file>