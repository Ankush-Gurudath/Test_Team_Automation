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C:\Users\aakashdubey\Google Drive\HOS Marketplace Reports project\current reports\10. ELD Driver Violation Alerts\"/>
    </mc:Choice>
  </mc:AlternateContent>
  <xr:revisionPtr revIDLastSave="0" documentId="13_ncr:1_{71D99DF3-B533-4AD2-BF24-D6DF0842904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ummary" sheetId="2" r:id="rId1"/>
    <sheet name="Report" sheetId="3" r:id="rId2"/>
    <sheet name="Data" sheetId="1" state="hidden" r:id="rId3"/>
    <sheet name="Setup" sheetId="4" r:id="rId4"/>
    <sheet name="Languages" sheetId="5" state="hidden" r:id="rId5"/>
  </sheets>
  <definedNames>
    <definedName name="AllData">Report!$A$9:$I$44</definedName>
  </definedName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9" roundtripDataSignature="AMtx7mgvQle4zfpWp7onsfvtLKdyL/MIiw=="/>
    </ext>
  </extLst>
</workbook>
</file>

<file path=xl/calcChain.xml><?xml version="1.0" encoding="utf-8"?>
<calcChain xmlns="http://schemas.openxmlformats.org/spreadsheetml/2006/main">
  <c r="B6" i="2" l="1"/>
  <c r="B5" i="2"/>
  <c r="A2" i="2"/>
  <c r="E1" i="2"/>
  <c r="B7" i="2" l="1"/>
  <c r="B6" i="3"/>
  <c r="B5" i="3"/>
  <c r="A2" i="3"/>
  <c r="C1" i="3"/>
  <c r="B7" i="3" l="1"/>
  <c r="I44" i="3" l="1"/>
  <c r="G44" i="3"/>
  <c r="F44" i="3"/>
  <c r="E44" i="3"/>
  <c r="D44" i="3"/>
  <c r="H44" i="3" s="1"/>
  <c r="C44" i="3"/>
  <c r="B44" i="3"/>
  <c r="A44" i="3"/>
  <c r="I43" i="3"/>
  <c r="G43" i="3"/>
  <c r="F43" i="3"/>
  <c r="E43" i="3"/>
  <c r="D43" i="3"/>
  <c r="H43" i="3" s="1"/>
  <c r="C43" i="3"/>
  <c r="B43" i="3"/>
  <c r="A43" i="3"/>
  <c r="I42" i="3"/>
  <c r="G42" i="3"/>
  <c r="F42" i="3"/>
  <c r="E42" i="3"/>
  <c r="D42" i="3"/>
  <c r="H42" i="3" s="1"/>
  <c r="C42" i="3"/>
  <c r="B42" i="3"/>
  <c r="A42" i="3"/>
  <c r="I41" i="3"/>
  <c r="G41" i="3"/>
  <c r="F41" i="3"/>
  <c r="E41" i="3"/>
  <c r="D41" i="3"/>
  <c r="H41" i="3" s="1"/>
  <c r="C41" i="3"/>
  <c r="B41" i="3"/>
  <c r="A41" i="3"/>
  <c r="I40" i="3"/>
  <c r="G40" i="3"/>
  <c r="F40" i="3"/>
  <c r="E40" i="3"/>
  <c r="D40" i="3"/>
  <c r="H40" i="3" s="1"/>
  <c r="C40" i="3"/>
  <c r="B40" i="3"/>
  <c r="A40" i="3"/>
  <c r="I39" i="3"/>
  <c r="G39" i="3"/>
  <c r="F39" i="3"/>
  <c r="E39" i="3"/>
  <c r="D39" i="3"/>
  <c r="H39" i="3" s="1"/>
  <c r="C39" i="3"/>
  <c r="B39" i="3"/>
  <c r="A39" i="3"/>
  <c r="I38" i="3"/>
  <c r="G38" i="3"/>
  <c r="F38" i="3"/>
  <c r="E38" i="3"/>
  <c r="D38" i="3"/>
  <c r="H38" i="3" s="1"/>
  <c r="C38" i="3"/>
  <c r="B38" i="3"/>
  <c r="A38" i="3"/>
  <c r="I37" i="3"/>
  <c r="G37" i="3"/>
  <c r="F37" i="3"/>
  <c r="E37" i="3"/>
  <c r="D37" i="3"/>
  <c r="H37" i="3" s="1"/>
  <c r="C37" i="3"/>
  <c r="B37" i="3"/>
  <c r="A37" i="3"/>
  <c r="I36" i="3"/>
  <c r="G36" i="3"/>
  <c r="F36" i="3"/>
  <c r="E36" i="3"/>
  <c r="D36" i="3"/>
  <c r="H36" i="3" s="1"/>
  <c r="C36" i="3"/>
  <c r="B36" i="3"/>
  <c r="A36" i="3"/>
  <c r="I35" i="3"/>
  <c r="G35" i="3"/>
  <c r="F35" i="3"/>
  <c r="E35" i="3"/>
  <c r="D35" i="3"/>
  <c r="H35" i="3" s="1"/>
  <c r="C35" i="3"/>
  <c r="B35" i="3"/>
  <c r="A35" i="3"/>
  <c r="I34" i="3"/>
  <c r="G34" i="3"/>
  <c r="F34" i="3"/>
  <c r="E34" i="3"/>
  <c r="D34" i="3"/>
  <c r="H34" i="3" s="1"/>
  <c r="C34" i="3"/>
  <c r="B34" i="3"/>
  <c r="A34" i="3"/>
  <c r="I33" i="3"/>
  <c r="G33" i="3"/>
  <c r="F33" i="3"/>
  <c r="E33" i="3"/>
  <c r="D33" i="3"/>
  <c r="H33" i="3" s="1"/>
  <c r="C33" i="3"/>
  <c r="B33" i="3"/>
  <c r="A33" i="3"/>
  <c r="I32" i="3"/>
  <c r="G32" i="3"/>
  <c r="F32" i="3"/>
  <c r="E32" i="3"/>
  <c r="D32" i="3"/>
  <c r="H32" i="3" s="1"/>
  <c r="C32" i="3"/>
  <c r="B32" i="3"/>
  <c r="A32" i="3"/>
  <c r="I31" i="3"/>
  <c r="G31" i="3"/>
  <c r="F31" i="3"/>
  <c r="E31" i="3"/>
  <c r="D31" i="3"/>
  <c r="H31" i="3" s="1"/>
  <c r="C31" i="3"/>
  <c r="B31" i="3"/>
  <c r="A31" i="3"/>
  <c r="I30" i="3"/>
  <c r="G30" i="3"/>
  <c r="F30" i="3"/>
  <c r="E30" i="3"/>
  <c r="D30" i="3"/>
  <c r="H30" i="3" s="1"/>
  <c r="C30" i="3"/>
  <c r="B30" i="3"/>
  <c r="A30" i="3"/>
  <c r="I29" i="3"/>
  <c r="G29" i="3"/>
  <c r="F29" i="3"/>
  <c r="E29" i="3"/>
  <c r="D29" i="3"/>
  <c r="H29" i="3" s="1"/>
  <c r="C29" i="3"/>
  <c r="B29" i="3"/>
  <c r="A29" i="3"/>
  <c r="I28" i="3"/>
  <c r="G28" i="3"/>
  <c r="F28" i="3"/>
  <c r="E28" i="3"/>
  <c r="D28" i="3"/>
  <c r="H28" i="3" s="1"/>
  <c r="C28" i="3"/>
  <c r="B28" i="3"/>
  <c r="A28" i="3"/>
  <c r="I27" i="3"/>
  <c r="G27" i="3"/>
  <c r="F27" i="3"/>
  <c r="E27" i="3"/>
  <c r="D27" i="3"/>
  <c r="H27" i="3" s="1"/>
  <c r="C27" i="3"/>
  <c r="B27" i="3"/>
  <c r="A27" i="3"/>
  <c r="I26" i="3"/>
  <c r="G26" i="3"/>
  <c r="F26" i="3"/>
  <c r="E26" i="3"/>
  <c r="D26" i="3"/>
  <c r="H26" i="3" s="1"/>
  <c r="C26" i="3"/>
  <c r="B26" i="3"/>
  <c r="A26" i="3"/>
  <c r="I25" i="3"/>
  <c r="G25" i="3"/>
  <c r="F25" i="3"/>
  <c r="E25" i="3"/>
  <c r="D25" i="3"/>
  <c r="H25" i="3" s="1"/>
  <c r="C25" i="3"/>
  <c r="B25" i="3"/>
  <c r="A25" i="3"/>
  <c r="I24" i="3"/>
  <c r="G24" i="3"/>
  <c r="F24" i="3"/>
  <c r="E24" i="3"/>
  <c r="D24" i="3"/>
  <c r="H24" i="3" s="1"/>
  <c r="C24" i="3"/>
  <c r="B24" i="3"/>
  <c r="A24" i="3"/>
  <c r="I23" i="3"/>
  <c r="G23" i="3"/>
  <c r="F23" i="3"/>
  <c r="E23" i="3"/>
  <c r="D23" i="3"/>
  <c r="H23" i="3" s="1"/>
  <c r="C23" i="3"/>
  <c r="B23" i="3"/>
  <c r="A23" i="3"/>
  <c r="I22" i="3"/>
  <c r="G22" i="3"/>
  <c r="F22" i="3"/>
  <c r="E22" i="3"/>
  <c r="D22" i="3"/>
  <c r="H22" i="3" s="1"/>
  <c r="C22" i="3"/>
  <c r="B22" i="3"/>
  <c r="A22" i="3"/>
  <c r="I21" i="3"/>
  <c r="G21" i="3"/>
  <c r="F21" i="3"/>
  <c r="E21" i="3"/>
  <c r="D21" i="3"/>
  <c r="H21" i="3" s="1"/>
  <c r="C21" i="3"/>
  <c r="B21" i="3"/>
  <c r="A21" i="3"/>
  <c r="I20" i="3"/>
  <c r="G20" i="3"/>
  <c r="F20" i="3"/>
  <c r="E20" i="3"/>
  <c r="D20" i="3"/>
  <c r="H20" i="3" s="1"/>
  <c r="C20" i="3"/>
  <c r="B20" i="3"/>
  <c r="A20" i="3"/>
  <c r="I19" i="3"/>
  <c r="G19" i="3"/>
  <c r="F19" i="3"/>
  <c r="E19" i="3"/>
  <c r="D19" i="3"/>
  <c r="H19" i="3" s="1"/>
  <c r="C19" i="3"/>
  <c r="B19" i="3"/>
  <c r="A19" i="3"/>
  <c r="I18" i="3"/>
  <c r="G18" i="3"/>
  <c r="F18" i="3"/>
  <c r="E18" i="3"/>
  <c r="D18" i="3"/>
  <c r="H18" i="3" s="1"/>
  <c r="C18" i="3"/>
  <c r="B18" i="3"/>
  <c r="A18" i="3"/>
  <c r="I17" i="3"/>
  <c r="G17" i="3"/>
  <c r="F17" i="3"/>
  <c r="E17" i="3"/>
  <c r="D17" i="3"/>
  <c r="H17" i="3" s="1"/>
  <c r="C17" i="3"/>
  <c r="B17" i="3"/>
  <c r="A17" i="3"/>
  <c r="I16" i="3"/>
  <c r="G16" i="3"/>
  <c r="F16" i="3"/>
  <c r="E16" i="3"/>
  <c r="D16" i="3"/>
  <c r="H16" i="3" s="1"/>
  <c r="C16" i="3"/>
  <c r="B16" i="3"/>
  <c r="A16" i="3"/>
  <c r="I15" i="3"/>
  <c r="G15" i="3"/>
  <c r="F15" i="3"/>
  <c r="E15" i="3"/>
  <c r="D15" i="3"/>
  <c r="H15" i="3" s="1"/>
  <c r="C15" i="3"/>
  <c r="B15" i="3"/>
  <c r="A15" i="3"/>
  <c r="I14" i="3"/>
  <c r="G14" i="3"/>
  <c r="F14" i="3"/>
  <c r="E14" i="3"/>
  <c r="D14" i="3"/>
  <c r="H14" i="3" s="1"/>
  <c r="C14" i="3"/>
  <c r="B14" i="3"/>
  <c r="A14" i="3"/>
  <c r="I13" i="3"/>
  <c r="G13" i="3"/>
  <c r="F13" i="3"/>
  <c r="E13" i="3"/>
  <c r="D13" i="3"/>
  <c r="H13" i="3" s="1"/>
  <c r="C13" i="3"/>
  <c r="B13" i="3"/>
  <c r="A13" i="3"/>
  <c r="I12" i="3"/>
  <c r="G12" i="3"/>
  <c r="F12" i="3"/>
  <c r="E12" i="3"/>
  <c r="D12" i="3"/>
  <c r="H12" i="3" s="1"/>
  <c r="C12" i="3"/>
  <c r="B12" i="3"/>
  <c r="A12" i="3"/>
  <c r="I11" i="3"/>
  <c r="G11" i="3"/>
  <c r="F11" i="3"/>
  <c r="E11" i="3"/>
  <c r="D11" i="3"/>
  <c r="H11" i="3" s="1"/>
  <c r="C11" i="3"/>
  <c r="B11" i="3"/>
  <c r="A11" i="3"/>
  <c r="I10" i="3"/>
  <c r="G10" i="3"/>
  <c r="F10" i="3"/>
  <c r="E10" i="3"/>
  <c r="D10" i="3"/>
  <c r="H10" i="3" s="1"/>
  <c r="C10" i="3"/>
  <c r="B10" i="3"/>
  <c r="A10" i="3"/>
  <c r="B7" i="1" l="1"/>
  <c r="G4" i="3"/>
  <c r="F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</rPr>
          <t>HosViolation.20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3vzrlgrJAfqHzr8cpOd9JpAriww=="/>
    </ext>
  </extLst>
</comments>
</file>

<file path=xl/sharedStrings.xml><?xml version="1.0" encoding="utf-8"?>
<sst xmlns="http://schemas.openxmlformats.org/spreadsheetml/2006/main" count="309" uniqueCount="220">
  <si>
    <t>CompanyName</t>
  </si>
  <si>
    <t>Fleet Name</t>
  </si>
  <si>
    <t>RunDate</t>
  </si>
  <si>
    <t>FromDate</t>
  </si>
  <si>
    <t>ToDate</t>
  </si>
  <si>
    <t>DistanceUnit</t>
  </si>
  <si>
    <t>km</t>
  </si>
  <si>
    <t>SpeedUnit</t>
  </si>
  <si>
    <t>km/h</t>
  </si>
  <si>
    <t>SendReport</t>
  </si>
  <si>
    <t>LastModifiedUser</t>
  </si>
  <si>
    <t>Language</t>
  </si>
  <si>
    <t>en</t>
  </si>
  <si>
    <t>.Driver.UserName</t>
  </si>
  <si>
    <t>.Driver.UserFirstName</t>
  </si>
  <si>
    <t>.Driver.UserLastName</t>
  </si>
  <si>
    <t>HosViolationStartDateTime</t>
  </si>
  <si>
    <t>HosViolationEndDateTime</t>
  </si>
  <si>
    <t>HosViolationDrivingDuration</t>
  </si>
  <si>
    <t>HosViolationType</t>
  </si>
  <si>
    <t>HosViolationReason</t>
  </si>
  <si>
    <t>Type</t>
  </si>
  <si>
    <t>Driving</t>
  </si>
  <si>
    <t>Maximum 11 hour driving limit violation</t>
  </si>
  <si>
    <t>Rest</t>
  </si>
  <si>
    <t>Driving after more than 8 hour rest limit</t>
  </si>
  <si>
    <t>Workday</t>
  </si>
  <si>
    <t>Maximum 14 hour work day limit violation</t>
  </si>
  <si>
    <t>Cycle</t>
  </si>
  <si>
    <t>Maximum 60hr on duty in 7 days</t>
  </si>
  <si>
    <t>Duty</t>
  </si>
  <si>
    <t>Maximum 14 hour on-duty limit violation</t>
  </si>
  <si>
    <t>Maximum 16 hour work day limit violation</t>
  </si>
  <si>
    <t>Maximum 70hr on duty in 7 days</t>
  </si>
  <si>
    <t>Maximum 70hr on duty in 8 days</t>
  </si>
  <si>
    <t>English</t>
  </si>
  <si>
    <t>French</t>
  </si>
  <si>
    <t>Spanish</t>
  </si>
  <si>
    <t>German</t>
  </si>
  <si>
    <t>Japanese</t>
  </si>
  <si>
    <t>**Driver</t>
  </si>
  <si>
    <t>Conducteur</t>
  </si>
  <si>
    <t>Conductor</t>
  </si>
  <si>
    <t>Fahrer</t>
  </si>
  <si>
    <t>ドライバー</t>
  </si>
  <si>
    <t>**Start Date</t>
  </si>
  <si>
    <t>Date de début</t>
  </si>
  <si>
    <t>Fecha de inicio</t>
  </si>
  <si>
    <t>Startdatum</t>
  </si>
  <si>
    <t>開始日</t>
  </si>
  <si>
    <t>**End Date</t>
  </si>
  <si>
    <t>Date de fin</t>
  </si>
  <si>
    <t>Fecha de finalización</t>
  </si>
  <si>
    <t>Enddatum</t>
  </si>
  <si>
    <t>終了日</t>
  </si>
  <si>
    <t>**Driving Duration</t>
  </si>
  <si>
    <t>Durée de conduite</t>
  </si>
  <si>
    <t>Duración de conducción</t>
  </si>
  <si>
    <t>Fahrtendauer</t>
  </si>
  <si>
    <t>運転期間</t>
  </si>
  <si>
    <t>**Type</t>
  </si>
  <si>
    <t>Tipo</t>
  </si>
  <si>
    <t>Typ</t>
  </si>
  <si>
    <t>種類</t>
  </si>
  <si>
    <t>**Reason</t>
  </si>
  <si>
    <t>Raison</t>
  </si>
  <si>
    <t>Motivo</t>
  </si>
  <si>
    <t>Grund</t>
  </si>
  <si>
    <t>理由</t>
  </si>
  <si>
    <t>**HOS Driver Logs</t>
  </si>
  <si>
    <t>Registre HDS du chauffeur</t>
  </si>
  <si>
    <t>Registros de horas de servicio del conductor</t>
  </si>
  <si>
    <t>Fahrerlenkzeit (HOS) Protokolle</t>
  </si>
  <si>
    <t>HOS ドライバーログ</t>
  </si>
  <si>
    <t>**Summary</t>
  </si>
  <si>
    <t>Sommaire</t>
  </si>
  <si>
    <t>Resumen</t>
  </si>
  <si>
    <t>Zusammenfassung</t>
  </si>
  <si>
    <t>走行データ</t>
  </si>
  <si>
    <t>**Created</t>
  </si>
  <si>
    <t>Créé</t>
  </si>
  <si>
    <t>Creado</t>
  </si>
  <si>
    <t>Angelegt</t>
  </si>
  <si>
    <t>作成済</t>
  </si>
  <si>
    <t>**From</t>
  </si>
  <si>
    <t>À partir de</t>
  </si>
  <si>
    <t>De</t>
  </si>
  <si>
    <t>Von</t>
  </si>
  <si>
    <t>から</t>
  </si>
  <si>
    <t>**To</t>
  </si>
  <si>
    <t>Pour</t>
  </si>
  <si>
    <t>Para</t>
  </si>
  <si>
    <t>An</t>
  </si>
  <si>
    <t>へ</t>
  </si>
  <si>
    <t>**First Name</t>
  </si>
  <si>
    <t>Prénom</t>
  </si>
  <si>
    <t>Nombre</t>
  </si>
  <si>
    <t>Vorname</t>
  </si>
  <si>
    <t>ファーストネー</t>
  </si>
  <si>
    <t>**Last Name</t>
  </si>
  <si>
    <t>Nom de famille</t>
  </si>
  <si>
    <t>Apellido</t>
  </si>
  <si>
    <t>Nachname</t>
  </si>
  <si>
    <t>ラストネーム</t>
  </si>
  <si>
    <t>first1</t>
  </si>
  <si>
    <t>last1</t>
  </si>
  <si>
    <t>first2</t>
  </si>
  <si>
    <t>last2</t>
  </si>
  <si>
    <t>last3</t>
  </si>
  <si>
    <t>first5</t>
  </si>
  <si>
    <t>last5</t>
  </si>
  <si>
    <t>first6</t>
  </si>
  <si>
    <t>last6</t>
  </si>
  <si>
    <t>first7</t>
  </si>
  <si>
    <t>last7</t>
  </si>
  <si>
    <t>first8</t>
  </si>
  <si>
    <t>last8</t>
  </si>
  <si>
    <t>first9</t>
  </si>
  <si>
    <t>last9</t>
  </si>
  <si>
    <t>first10</t>
  </si>
  <si>
    <t>last10</t>
  </si>
  <si>
    <t>first11</t>
  </si>
  <si>
    <t>last11</t>
  </si>
  <si>
    <t>**Date</t>
  </si>
  <si>
    <t>**&lt;no user&gt;</t>
  </si>
  <si>
    <t>driver1</t>
  </si>
  <si>
    <t>driver2</t>
  </si>
  <si>
    <t>driver3</t>
  </si>
  <si>
    <t>driver4</t>
  </si>
  <si>
    <t>driver5</t>
  </si>
  <si>
    <t>driver6</t>
  </si>
  <si>
    <t>driver7</t>
  </si>
  <si>
    <t>driver8</t>
  </si>
  <si>
    <t>driver9</t>
  </si>
  <si>
    <t>driver10</t>
  </si>
  <si>
    <t>driver11</t>
  </si>
  <si>
    <t>driver12</t>
  </si>
  <si>
    <t>driver13</t>
  </si>
  <si>
    <t>driver14</t>
  </si>
  <si>
    <t>driver15</t>
  </si>
  <si>
    <t>driver16</t>
  </si>
  <si>
    <t>driver17</t>
  </si>
  <si>
    <t>driver18</t>
  </si>
  <si>
    <t>driver19</t>
  </si>
  <si>
    <t>driver20</t>
  </si>
  <si>
    <t>driver21</t>
  </si>
  <si>
    <t>driver22</t>
  </si>
  <si>
    <t>driver23</t>
  </si>
  <si>
    <t>driver24</t>
  </si>
  <si>
    <t>driver25</t>
  </si>
  <si>
    <t>driver26</t>
  </si>
  <si>
    <t>driver27</t>
  </si>
  <si>
    <t>driver28</t>
  </si>
  <si>
    <t>driver29</t>
  </si>
  <si>
    <t>driver30</t>
  </si>
  <si>
    <t>driver31</t>
  </si>
  <si>
    <t>driver32</t>
  </si>
  <si>
    <t>driver33</t>
  </si>
  <si>
    <t>driver34</t>
  </si>
  <si>
    <t>driver35</t>
  </si>
  <si>
    <t>first3</t>
  </si>
  <si>
    <t>first4</t>
  </si>
  <si>
    <t>last4</t>
  </si>
  <si>
    <t>first12</t>
  </si>
  <si>
    <t>last12</t>
  </si>
  <si>
    <t>first13</t>
  </si>
  <si>
    <t>last13</t>
  </si>
  <si>
    <t>first14</t>
  </si>
  <si>
    <t>last14</t>
  </si>
  <si>
    <t>first15</t>
  </si>
  <si>
    <t>last15</t>
  </si>
  <si>
    <t>first16</t>
  </si>
  <si>
    <t>last16</t>
  </si>
  <si>
    <t>first17</t>
  </si>
  <si>
    <t>last17</t>
  </si>
  <si>
    <t>first18</t>
  </si>
  <si>
    <t>last18</t>
  </si>
  <si>
    <t>first19</t>
  </si>
  <si>
    <t>last19</t>
  </si>
  <si>
    <t>first20</t>
  </si>
  <si>
    <t>last20</t>
  </si>
  <si>
    <t>first21</t>
  </si>
  <si>
    <t>last21</t>
  </si>
  <si>
    <t>first22</t>
  </si>
  <si>
    <t>last22</t>
  </si>
  <si>
    <t>first23</t>
  </si>
  <si>
    <t>last23</t>
  </si>
  <si>
    <t>first24</t>
  </si>
  <si>
    <t>last24</t>
  </si>
  <si>
    <t>first25</t>
  </si>
  <si>
    <t>last25</t>
  </si>
  <si>
    <t>first26</t>
  </si>
  <si>
    <t>last26</t>
  </si>
  <si>
    <t>first27</t>
  </si>
  <si>
    <t>last27</t>
  </si>
  <si>
    <t>first28</t>
  </si>
  <si>
    <t>last28</t>
  </si>
  <si>
    <t>first29</t>
  </si>
  <si>
    <t>last29</t>
  </si>
  <si>
    <t>first30</t>
  </si>
  <si>
    <t>last30</t>
  </si>
  <si>
    <t>first31</t>
  </si>
  <si>
    <t>last31</t>
  </si>
  <si>
    <t>first32</t>
  </si>
  <si>
    <t>last32</t>
  </si>
  <si>
    <t>first33</t>
  </si>
  <si>
    <t>last33</t>
  </si>
  <si>
    <t>first34</t>
  </si>
  <si>
    <t>last34</t>
  </si>
  <si>
    <t>first35</t>
  </si>
  <si>
    <t>last35</t>
  </si>
  <si>
    <t>**Check</t>
  </si>
  <si>
    <t>**Send Email?</t>
  </si>
  <si>
    <t>**Time and Date</t>
  </si>
  <si>
    <t>**ELD Driver Violations Alert</t>
  </si>
  <si>
    <t>**Drivers in Violation</t>
  </si>
  <si>
    <t>**Hours</t>
  </si>
  <si>
    <t>**Violation</t>
  </si>
  <si>
    <r>
      <rPr>
        <b/>
        <sz val="10"/>
        <rFont val="Segoe UI"/>
        <family val="2"/>
      </rPr>
      <t>**Report Description</t>
    </r>
    <r>
      <rPr>
        <sz val="10"/>
        <rFont val="Segoe UI"/>
        <family val="2"/>
      </rPr>
      <t xml:space="preserve">
This e-mailed report send an alert (in 30 minutes or less) every time a Driver drives in violation of their Hours of Service limits.</t>
    </r>
  </si>
  <si>
    <t>**Report Description
This e-mailed report send an alert (in 30 minutes or less) every time a Driver drives in violation of their Hours of Service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</si>
</sst>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164" formatCode="[$-409]dd/mm/yyyy\ h:mm:ss\ AM/PM"/>
    <numFmt numFmtId="165" formatCode="[$-409]mmm\ dd\,\ yyyy\ h:mm:ss\ AM/PM;[$-409];[$-409]"/>
    <numFmt numFmtId="166" formatCode="[$-409]m/d/yyyy\ h:mm:ss"/>
    <numFmt numFmtId="167" formatCode="[$-409]mmm\ dd\,\ yyyy"/>
    <numFmt numFmtId="168" formatCode="[$-409][h]:mm"/>
    <numFmt numFmtId="169" formatCode="[$-409]mmm\ dd\,\ yyyy\ h:mm:ss\ AM/PM"/>
    <numFmt numFmtId="170" formatCode="[$-409]0;[$-409]\-0;[$-409]"/>
    <numFmt numFmtId="171" formatCode="[$-409]0.00000_ ;[$-409]\-0.00000\ "/>
    <numFmt numFmtId="172" formatCode="[$-409]dddd\,\ mmm\ dd\,\ yyyy\,\ h:mm:ss\ AM/PM"/>
    <numFmt numFmtId="173" formatCode="[$-409][h]&quot;h&quot;\ mm&quot;m&quot;"/>
  </numFmts>
  <fonts count="26" x14ac:knownFonts="1">
    <font>
      <sz val="10"/>
      <color rgb="FF000000"/>
      <name val="Arial"/>
    </font>
    <font>
      <b/>
      <sz val="8"/>
      <color rgb="FF000000"/>
      <name val="Tahoma"/>
    </font>
    <font>
      <sz val="8"/>
      <color rgb="FF000000"/>
      <name val="Tahoma"/>
    </font>
    <font>
      <sz val="12"/>
      <color rgb="FF000000"/>
      <name val="Calibri"/>
    </font>
    <font>
      <sz val="10"/>
      <color rgb="FF000000"/>
      <name val="Arial"/>
    </font>
    <font>
      <b/>
      <sz val="7"/>
      <color rgb="FF000000"/>
      <name val="Tahoma"/>
    </font>
    <font>
      <b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0"/>
      <name val="Segoe UI"/>
      <family val="2"/>
    </font>
    <font>
      <b/>
      <sz val="18"/>
      <color theme="0"/>
      <name val="Segoe UI"/>
      <family val="2"/>
    </font>
    <font>
      <sz val="11"/>
      <color theme="3"/>
      <name val="Calibri"/>
      <family val="2"/>
      <scheme val="minor"/>
    </font>
    <font>
      <sz val="12"/>
      <color theme="0"/>
      <name val="Segoe UI"/>
      <family val="2"/>
    </font>
    <font>
      <sz val="18"/>
      <color theme="3"/>
      <name val="Segoe UI"/>
      <family val="2"/>
    </font>
    <font>
      <sz val="10"/>
      <name val="Segoe UI"/>
      <family val="2"/>
    </font>
    <font>
      <sz val="11"/>
      <color theme="0"/>
      <name val="Segoe UI"/>
      <family val="2"/>
    </font>
    <font>
      <sz val="11"/>
      <name val="Segoe UI"/>
      <family val="2"/>
    </font>
    <font>
      <sz val="14"/>
      <name val="Segoe UI"/>
      <family val="2"/>
    </font>
    <font>
      <sz val="8"/>
      <name val="Arial"/>
    </font>
    <font>
      <sz val="12"/>
      <color theme="0" tint="-0.34998626667073579"/>
      <name val="Segoe UI"/>
      <family val="2"/>
    </font>
    <font>
      <b/>
      <sz val="11"/>
      <color theme="1"/>
      <name val="Calibri"/>
      <family val="2"/>
    </font>
    <font>
      <b/>
      <sz val="11"/>
      <color theme="0"/>
      <name val="Segoe UI"/>
      <family val="2"/>
    </font>
    <font>
      <sz val="10"/>
      <color rgb="FF3F3F3F"/>
      <name val="Segoe UI"/>
      <family val="2"/>
    </font>
    <font>
      <sz val="10"/>
      <color rgb="FF000000"/>
      <name val="Segoe UI"/>
      <family val="2"/>
    </font>
    <font>
      <sz val="12"/>
      <color rgb="FF000000"/>
      <name val="Segoe UI"/>
      <family val="2"/>
    </font>
    <font>
      <b/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56A1D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6">
    <xf numFmtId="0" fontId="0" fillId="0" borderId="0"/>
    <xf numFmtId="0" fontId="8" fillId="3" borderId="1" applyNumberFormat="0"/>
    <xf numFmtId="0" fontId="11" fillId="0" borderId="1" applyNumberFormat="0" applyAlignment="0"/>
    <xf numFmtId="0" fontId="7" fillId="0" borderId="1" applyNumberFormat="0"/>
    <xf numFmtId="0" fontId="19" fillId="0" borderId="1" applyNumberFormat="0" applyFill="0" applyBorder="0" applyAlignment="0" applyProtection="0">
      <alignment horizontal="right"/>
    </xf>
    <xf numFmtId="0" fontId="20" fillId="3" borderId="1" applyNumberFormat="0"/>
  </cellStyleXfs>
  <cellXfs count="67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left"/>
    </xf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0" fontId="5" fillId="2" borderId="2" xfId="0" applyFont="1" applyFill="1" applyBorder="1" applyAlignment="1">
      <alignment horizontal="center" wrapText="1"/>
    </xf>
    <xf numFmtId="0" fontId="3" fillId="0" borderId="0" xfId="0" applyFont="1"/>
    <xf numFmtId="164" fontId="4" fillId="0" borderId="0" xfId="0" applyNumberFormat="1" applyFon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left"/>
    </xf>
    <xf numFmtId="0" fontId="6" fillId="0" borderId="0" xfId="0" applyFont="1"/>
    <xf numFmtId="22" fontId="0" fillId="0" borderId="0" xfId="0" applyNumberFormat="1"/>
    <xf numFmtId="0" fontId="9" fillId="4" borderId="1" xfId="1" applyFont="1" applyFill="1" applyAlignment="1">
      <alignment vertical="center"/>
    </xf>
    <xf numFmtId="0" fontId="10" fillId="4" borderId="1" xfId="1" applyFont="1" applyFill="1" applyAlignment="1">
      <alignment vertical="center"/>
    </xf>
    <xf numFmtId="172" fontId="12" fillId="4" borderId="1" xfId="2" applyNumberFormat="1" applyFont="1" applyFill="1" applyAlignment="1">
      <alignment horizontal="center" vertical="center"/>
    </xf>
    <xf numFmtId="0" fontId="10" fillId="4" borderId="1" xfId="1" applyFont="1" applyFill="1" applyAlignment="1">
      <alignment horizontal="center" vertical="center"/>
    </xf>
    <xf numFmtId="2" fontId="10" fillId="4" borderId="1" xfId="1" applyNumberFormat="1" applyFont="1" applyFill="1" applyAlignment="1">
      <alignment horizontal="center" vertical="center"/>
    </xf>
    <xf numFmtId="0" fontId="13" fillId="0" borderId="1" xfId="1" applyFont="1" applyFill="1" applyAlignment="1">
      <alignment vertical="center"/>
    </xf>
    <xf numFmtId="0" fontId="10" fillId="0" borderId="1" xfId="1" applyFont="1" applyFill="1"/>
    <xf numFmtId="0" fontId="10" fillId="0" borderId="1" xfId="1" applyFont="1" applyFill="1" applyAlignment="1">
      <alignment horizontal="center"/>
    </xf>
    <xf numFmtId="2" fontId="10" fillId="0" borderId="1" xfId="1" applyNumberFormat="1" applyFont="1" applyFill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2" fontId="14" fillId="0" borderId="0" xfId="0" applyNumberFormat="1" applyFont="1" applyAlignment="1">
      <alignment horizontal="center"/>
    </xf>
    <xf numFmtId="167" fontId="16" fillId="0" borderId="1" xfId="2" applyNumberFormat="1" applyFont="1" applyAlignment="1"/>
    <xf numFmtId="0" fontId="16" fillId="6" borderId="6" xfId="3" applyFont="1" applyFill="1" applyBorder="1" applyAlignment="1">
      <alignment horizontal="center" vertical="center"/>
    </xf>
    <xf numFmtId="164" fontId="14" fillId="0" borderId="0" xfId="0" applyNumberFormat="1" applyFont="1"/>
    <xf numFmtId="2" fontId="16" fillId="0" borderId="1" xfId="2" applyNumberFormat="1" applyFont="1" applyAlignment="1">
      <alignment horizontal="center"/>
    </xf>
    <xf numFmtId="167" fontId="16" fillId="0" borderId="1" xfId="2" applyNumberFormat="1" applyFont="1" applyAlignment="1">
      <alignment horizontal="left"/>
    </xf>
    <xf numFmtId="0" fontId="16" fillId="0" borderId="1" xfId="2" applyFont="1"/>
    <xf numFmtId="0" fontId="0" fillId="0" borderId="0" xfId="0" applyNumberFormat="1"/>
    <xf numFmtId="169" fontId="16" fillId="6" borderId="6" xfId="3" applyNumberFormat="1" applyFont="1" applyFill="1" applyBorder="1" applyAlignment="1">
      <alignment horizontal="center" vertical="center"/>
    </xf>
    <xf numFmtId="0" fontId="15" fillId="4" borderId="1" xfId="4" applyFont="1" applyFill="1" applyAlignment="1">
      <alignment horizontal="left" vertical="center"/>
    </xf>
    <xf numFmtId="2" fontId="15" fillId="4" borderId="1" xfId="4" applyNumberFormat="1" applyFont="1" applyFill="1" applyAlignment="1">
      <alignment horizontal="center" vertical="center"/>
    </xf>
    <xf numFmtId="0" fontId="15" fillId="4" borderId="1" xfId="4" applyFont="1" applyFill="1" applyAlignment="1">
      <alignment vertical="center"/>
    </xf>
    <xf numFmtId="0" fontId="21" fillId="4" borderId="1" xfId="5" applyFont="1" applyFill="1"/>
    <xf numFmtId="169" fontId="22" fillId="0" borderId="0" xfId="0" applyNumberFormat="1" applyFont="1" applyAlignment="1">
      <alignment horizontal="left"/>
    </xf>
    <xf numFmtId="165" fontId="22" fillId="0" borderId="0" xfId="0" applyNumberFormat="1" applyFont="1" applyAlignment="1">
      <alignment horizontal="left"/>
    </xf>
    <xf numFmtId="170" fontId="22" fillId="0" borderId="0" xfId="0" applyNumberFormat="1" applyFont="1" applyAlignment="1">
      <alignment horizontal="left"/>
    </xf>
    <xf numFmtId="171" fontId="22" fillId="0" borderId="0" xfId="0" applyNumberFormat="1" applyFont="1" applyAlignment="1">
      <alignment horizontal="left"/>
    </xf>
    <xf numFmtId="0" fontId="22" fillId="0" borderId="0" xfId="0" applyNumberFormat="1" applyFont="1" applyAlignment="1">
      <alignment horizontal="left"/>
    </xf>
    <xf numFmtId="173" fontId="16" fillId="6" borderId="6" xfId="3" applyNumberFormat="1" applyFont="1" applyFill="1" applyBorder="1" applyAlignment="1">
      <alignment horizontal="center" vertical="center"/>
    </xf>
    <xf numFmtId="173" fontId="10" fillId="4" borderId="1" xfId="1" applyNumberFormat="1" applyFont="1" applyFill="1" applyAlignment="1">
      <alignment horizontal="center" vertical="center"/>
    </xf>
    <xf numFmtId="173" fontId="10" fillId="0" borderId="1" xfId="1" applyNumberFormat="1" applyFont="1" applyFill="1" applyAlignment="1">
      <alignment horizontal="center"/>
    </xf>
    <xf numFmtId="173" fontId="14" fillId="0" borderId="0" xfId="0" applyNumberFormat="1" applyFont="1" applyAlignment="1">
      <alignment horizontal="center"/>
    </xf>
    <xf numFmtId="173" fontId="16" fillId="0" borderId="1" xfId="2" applyNumberFormat="1" applyFont="1" applyAlignment="1">
      <alignment horizontal="center"/>
    </xf>
    <xf numFmtId="173" fontId="4" fillId="0" borderId="0" xfId="0" applyNumberFormat="1" applyFont="1"/>
    <xf numFmtId="173" fontId="15" fillId="4" borderId="1" xfId="4" applyNumberFormat="1" applyFont="1" applyFill="1" applyAlignment="1">
      <alignment horizontal="center" vertical="center"/>
    </xf>
    <xf numFmtId="173" fontId="22" fillId="0" borderId="0" xfId="0" applyNumberFormat="1" applyFont="1" applyAlignment="1">
      <alignment horizontal="left"/>
    </xf>
    <xf numFmtId="173" fontId="0" fillId="0" borderId="0" xfId="0" applyNumberFormat="1"/>
    <xf numFmtId="172" fontId="12" fillId="4" borderId="1" xfId="2" applyNumberFormat="1" applyFont="1" applyFill="1" applyAlignment="1">
      <alignment horizontal="center" vertical="center"/>
    </xf>
    <xf numFmtId="0" fontId="23" fillId="0" borderId="0" xfId="0" applyFont="1"/>
    <xf numFmtId="165" fontId="23" fillId="0" borderId="0" xfId="0" applyNumberFormat="1" applyFont="1"/>
    <xf numFmtId="166" fontId="23" fillId="0" borderId="0" xfId="0" applyNumberFormat="1" applyFont="1"/>
    <xf numFmtId="0" fontId="24" fillId="0" borderId="0" xfId="0" pivotButton="1" applyFont="1"/>
    <xf numFmtId="0" fontId="24" fillId="0" borderId="0" xfId="0" applyFont="1"/>
    <xf numFmtId="0" fontId="12" fillId="5" borderId="5" xfId="3" applyFont="1" applyFill="1" applyBorder="1" applyAlignment="1">
      <alignment horizontal="center" vertical="center"/>
    </xf>
    <xf numFmtId="0" fontId="12" fillId="5" borderId="7" xfId="3" applyFont="1" applyFill="1" applyBorder="1" applyAlignment="1">
      <alignment horizontal="center" vertical="center"/>
    </xf>
    <xf numFmtId="172" fontId="12" fillId="4" borderId="1" xfId="2" applyNumberFormat="1" applyFont="1" applyFill="1" applyAlignment="1">
      <alignment horizontal="center" vertical="center"/>
    </xf>
    <xf numFmtId="0" fontId="15" fillId="5" borderId="3" xfId="3" applyFont="1" applyFill="1" applyBorder="1" applyAlignment="1">
      <alignment horizontal="center" vertical="center"/>
    </xf>
    <xf numFmtId="0" fontId="15" fillId="5" borderId="4" xfId="3" applyFont="1" applyFill="1" applyBorder="1" applyAlignment="1">
      <alignment horizontal="center" vertical="center"/>
    </xf>
    <xf numFmtId="0" fontId="17" fillId="6" borderId="5" xfId="2" applyFont="1" applyFill="1" applyBorder="1" applyAlignment="1">
      <alignment horizontal="center" vertical="center"/>
    </xf>
    <xf numFmtId="0" fontId="17" fillId="6" borderId="7" xfId="2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left" vertical="center" wrapText="1"/>
    </xf>
    <xf numFmtId="173" fontId="12" fillId="5" borderId="5" xfId="3" applyNumberFormat="1" applyFont="1" applyFill="1" applyBorder="1" applyAlignment="1">
      <alignment horizontal="center" vertical="center"/>
    </xf>
    <xf numFmtId="173" fontId="12" fillId="5" borderId="7" xfId="3" applyNumberFormat="1" applyFont="1" applyFill="1" applyBorder="1" applyAlignment="1">
      <alignment horizontal="center" vertical="center"/>
    </xf>
  </cellXfs>
  <cellStyles count="6">
    <cellStyle name="Geotab Report Field Name" xfId="3" xr:uid="{41E1330C-872C-442D-AD62-9D61AAD1AB4B}"/>
    <cellStyle name="Heading" xfId="1" xr:uid="{FD6CDD4F-320E-417B-874F-548AE6971B28}"/>
    <cellStyle name="Normal" xfId="0" builtinId="0"/>
    <cellStyle name="Report Body" xfId="2" xr:uid="{2AFB41DD-C124-4620-9739-7BCEC3A52A8A}"/>
    <cellStyle name="Report Column Header" xfId="5" xr:uid="{14888996-548E-4323-B9A6-9C256A50D7E8}"/>
    <cellStyle name="StandardReportHeading" xfId="4" xr:uid="{166E76E4-4EB3-4160-A0DA-B3912CCDD45F}"/>
  </cellStyles>
  <dxfs count="61"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border>
        <top style="thin">
          <color theme="1"/>
        </top>
        <bottom style="thin">
          <color theme="1"/>
        </bottom>
      </border>
    </dxf>
    <dxf>
      <border>
        <top style="thin">
          <color theme="1"/>
        </top>
        <bottom style="thin">
          <color theme="1"/>
        </bottom>
      </border>
    </dxf>
    <dxf>
      <font>
        <b/>
        <color theme="1" tint="0.499984740745262"/>
      </font>
    </dxf>
    <dxf>
      <font>
        <b/>
        <color theme="1"/>
      </font>
      <border>
        <bottom style="thin">
          <color theme="0" tint="-0.249977111117893"/>
        </bottom>
      </border>
    </dxf>
    <dxf>
      <font>
        <color theme="1"/>
      </font>
      <fill>
        <patternFill patternType="solid">
          <fgColor theme="0" tint="-0.249977111117893"/>
          <bgColor theme="0" tint="-0.249977111117893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</border>
    </dxf>
    <dxf>
      <fill>
        <patternFill patternType="solid">
          <fgColor auto="1"/>
          <bgColor theme="0" tint="-0.149967955565050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249977111117893"/>
        </top>
        <bottom style="thin">
          <color theme="0" tint="-0.249977111117893"/>
        </bottom>
      </border>
    </dxf>
    <dxf>
      <font>
        <color theme="0"/>
      </font>
      <fill>
        <patternFill patternType="solid">
          <fgColor theme="1"/>
          <bgColor theme="1"/>
        </patternFill>
      </fill>
      <border>
        <left/>
        <right/>
        <vertical/>
      </border>
    </dxf>
    <dxf>
      <font>
        <b/>
        <i val="0"/>
        <color theme="0"/>
      </font>
      <fill>
        <patternFill patternType="solid">
          <fgColor auto="1"/>
          <bgColor theme="2"/>
        </patternFill>
      </fill>
      <border>
        <left/>
        <right/>
        <vertical/>
      </border>
    </dxf>
    <dxf>
      <fill>
        <patternFill patternType="solid">
          <fgColor theme="0" tint="-4.9989318521683403E-2"/>
          <bgColor theme="0" tint="-4.9989318521683403E-2"/>
        </patternFill>
      </fill>
      <border>
        <left style="thin">
          <color theme="0" tint="-0.14999847407452621"/>
        </left>
        <right style="thin">
          <color theme="0" tint="-0.14999847407452621"/>
        </right>
        <vertical style="thin">
          <color theme="0" tint="-0.14999847407452621"/>
        </vertical>
      </border>
    </dxf>
  </dxfs>
  <tableStyles count="1" defaultTableStyle="TableStyleMedium2" defaultPivotStyle="PivotStyleLight16">
    <tableStyle name="PivotStyleMedium15 2" table="0" count="10" xr9:uid="{E68B9996-B35E-43A0-B706-74B95B0453CD}">
      <tableStyleElement type="wholeTable" dxfId="60"/>
      <tableStyleElement type="headerRow" dxfId="59"/>
      <tableStyleElement type="totalRow" dxfId="58"/>
      <tableStyleElement type="firstRowStripe" dxfId="57"/>
      <tableStyleElement type="firstColumnStripe" dxfId="56"/>
      <tableStyleElement type="firstSubtotalColumn" dxfId="55"/>
      <tableStyleElement type="firstSubtotalRow" dxfId="54"/>
      <tableStyleElement type="secondSubtotalRow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95249</xdr:colOff>
      <xdr:row>0</xdr:row>
      <xdr:rowOff>85725</xdr:rowOff>
    </xdr:from>
    <xdr:to>
      <xdr:col>12</xdr:col>
      <xdr:colOff>396202</xdr:colOff>
      <xdr:row>27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DF1ECA-AF21-4B17-9FC4-6A28109F9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49" y="85725"/>
          <a:ext cx="7616153" cy="4362450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akash Dubey" refreshedDate="44039.504340162035" createdVersion="6" refreshedVersion="6" minRefreshableVersion="3" recordCount="35" xr:uid="{620E2A43-C189-4E3D-A1DD-690FD35A91A1}">
  <cacheSource type="worksheet">
    <worksheetSource name="alldata"/>
  </cacheSource>
  <cacheFields count="9">
    <cacheField name="**Driver" numFmtId="169">
      <sharedItems count="35">
        <s v="driver1"/>
        <s v="driver2"/>
        <s v="driver3"/>
        <s v="driver4"/>
        <s v="driver5"/>
        <s v="driver6"/>
        <s v="driver7"/>
        <s v="driver8"/>
        <s v="driver9"/>
        <s v="driver10"/>
        <s v="driver11"/>
        <s v="driver12"/>
        <s v="driver13"/>
        <s v="driver14"/>
        <s v="driver15"/>
        <s v="driver16"/>
        <s v="driver17"/>
        <s v="driver18"/>
        <s v="driver19"/>
        <s v="driver20"/>
        <s v="driver21"/>
        <s v="driver22"/>
        <s v="driver23"/>
        <s v="driver24"/>
        <s v="driver25"/>
        <s v="driver26"/>
        <s v="driver27"/>
        <s v="driver28"/>
        <s v="driver29"/>
        <s v="driver30"/>
        <s v="driver31"/>
        <s v="driver32"/>
        <s v="driver33"/>
        <s v="driver34"/>
        <s v="driver35"/>
      </sharedItems>
    </cacheField>
    <cacheField name="**First Name" numFmtId="169">
      <sharedItems/>
    </cacheField>
    <cacheField name="**Last Name" numFmtId="169">
      <sharedItems/>
    </cacheField>
    <cacheField name="**Time and Date" numFmtId="165">
      <sharedItems containsSemiMixedTypes="0" containsNonDate="0" containsDate="1" containsString="0" minDate="2016-08-25T00:00:00" maxDate="2020-06-16T18:21:27" count="21">
        <d v="2016-12-17T04:10:27"/>
        <d v="2020-06-16T13:10:27"/>
        <d v="2020-06-16T18:21:27"/>
        <d v="2017-01-11T10:11:15"/>
        <d v="2017-01-02T11:35:34"/>
        <d v="2017-01-02T13:25:32"/>
        <d v="2017-01-02T13:54:31"/>
        <d v="2020-04-07T18:21:27"/>
        <d v="2016-12-27T12:13:29"/>
        <d v="2017-01-01T20:10:33"/>
        <d v="2016-12-26T10:23:38"/>
        <d v="2016-12-26T11:00:51"/>
        <d v="2016-12-28T08:09:05"/>
        <d v="2016-12-26T02:10:27"/>
        <d v="2016-12-26T13:28:27"/>
        <d v="2016-12-30T02:45:31"/>
        <d v="2016-08-25T03:00:00"/>
        <d v="2016-08-25T00:00:00"/>
        <d v="2016-09-10T09:12:30"/>
        <d v="2016-11-13T16:34:59"/>
        <d v="2020-04-27T13:10:27" u="1"/>
      </sharedItems>
    </cacheField>
    <cacheField name="**End Date" numFmtId="165">
      <sharedItems/>
    </cacheField>
    <cacheField name="**Driving Duration" numFmtId="173">
      <sharedItems containsSemiMixedTypes="0" containsNonDate="0" containsDate="1" containsString="0" minDate="1899-12-30T00:00:00" maxDate="1900-05-18T11:11:15"/>
    </cacheField>
    <cacheField name="**Type" numFmtId="170">
      <sharedItems count="5">
        <s v="Driving"/>
        <s v="Rest"/>
        <s v="Workday"/>
        <s v="Cycle"/>
        <s v="Duty"/>
      </sharedItems>
    </cacheField>
    <cacheField name="**Check" numFmtId="0">
      <sharedItems containsSemiMixedTypes="0" containsString="0" containsNumber="1" containsInteger="1" minValue="0" maxValue="1" count="2">
        <n v="0"/>
        <n v="1"/>
      </sharedItems>
    </cacheField>
    <cacheField name="**Reason" numFmtId="171">
      <sharedItems count="8">
        <s v="Maximum 11 hour driving limit violation"/>
        <s v="Driving after more than 8 hour rest limit"/>
        <s v="Maximum 14 hour work day limit violation"/>
        <s v="Maximum 60hr on duty in 7 days"/>
        <s v="Maximum 14 hour on-duty limit violation"/>
        <s v="Maximum 16 hour work day limit violation"/>
        <s v="Maximum 70hr on duty in 7 days"/>
        <s v="Maximum 70hr on duty in 8 day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s v="first1"/>
    <s v="last1"/>
    <x v="0"/>
    <s v="Ongoing"/>
    <d v="1900-01-24T06:00:48"/>
    <x v="0"/>
    <x v="0"/>
    <x v="0"/>
  </r>
  <r>
    <x v="1"/>
    <s v="first2"/>
    <s v="last2"/>
    <x v="1"/>
    <s v="Ongoing"/>
    <d v="1900-01-24T09:00:48"/>
    <x v="1"/>
    <x v="1"/>
    <x v="1"/>
  </r>
  <r>
    <x v="2"/>
    <s v="first3"/>
    <s v="last3"/>
    <x v="2"/>
    <s v="Ongoing"/>
    <d v="1900-01-24T01:00:48"/>
    <x v="2"/>
    <x v="1"/>
    <x v="2"/>
  </r>
  <r>
    <x v="3"/>
    <s v="first4"/>
    <s v="last4"/>
    <x v="3"/>
    <s v="Ongoing"/>
    <d v="1899-12-30T00:00:00"/>
    <x v="3"/>
    <x v="0"/>
    <x v="3"/>
  </r>
  <r>
    <x v="4"/>
    <s v="first5"/>
    <s v="last5"/>
    <x v="4"/>
    <s v="Ongoing"/>
    <d v="1899-12-30T03:28:41"/>
    <x v="1"/>
    <x v="0"/>
    <x v="1"/>
  </r>
  <r>
    <x v="5"/>
    <s v="first6"/>
    <s v="last6"/>
    <x v="5"/>
    <s v="Ongoing"/>
    <d v="1899-12-30T03:26:34"/>
    <x v="2"/>
    <x v="0"/>
    <x v="2"/>
  </r>
  <r>
    <x v="6"/>
    <s v="first7"/>
    <s v="last7"/>
    <x v="6"/>
    <s v="Ongoing"/>
    <d v="1899-12-30T00:19:35"/>
    <x v="1"/>
    <x v="0"/>
    <x v="1"/>
  </r>
  <r>
    <x v="7"/>
    <s v="first8"/>
    <s v="last8"/>
    <x v="6"/>
    <s v="Ongoing"/>
    <d v="1899-12-30T00:19:35"/>
    <x v="2"/>
    <x v="0"/>
    <x v="2"/>
  </r>
  <r>
    <x v="8"/>
    <s v="first9"/>
    <s v="last9"/>
    <x v="7"/>
    <s v="Ongoing"/>
    <d v="1899-12-30T00:19:35"/>
    <x v="3"/>
    <x v="0"/>
    <x v="3"/>
  </r>
  <r>
    <x v="9"/>
    <s v="first10"/>
    <s v="last10"/>
    <x v="7"/>
    <s v="Ongoing"/>
    <d v="1899-12-30T11:04:47"/>
    <x v="1"/>
    <x v="0"/>
    <x v="1"/>
  </r>
  <r>
    <x v="10"/>
    <s v="first11"/>
    <s v="last11"/>
    <x v="7"/>
    <s v="Ongoing"/>
    <d v="1899-12-30T11:04:47"/>
    <x v="2"/>
    <x v="0"/>
    <x v="2"/>
  </r>
  <r>
    <x v="11"/>
    <s v="first12"/>
    <s v="last12"/>
    <x v="8"/>
    <s v="Ongoing"/>
    <d v="1899-12-30T09:44:27"/>
    <x v="3"/>
    <x v="0"/>
    <x v="3"/>
  </r>
  <r>
    <x v="12"/>
    <s v="first13"/>
    <s v="last13"/>
    <x v="9"/>
    <s v="Ongoing"/>
    <d v="1899-12-30T00:04:47"/>
    <x v="0"/>
    <x v="0"/>
    <x v="0"/>
  </r>
  <r>
    <x v="13"/>
    <s v="first14"/>
    <s v="last14"/>
    <x v="10"/>
    <s v="Ongoing"/>
    <d v="1899-12-30T09:15:38"/>
    <x v="1"/>
    <x v="0"/>
    <x v="1"/>
  </r>
  <r>
    <x v="14"/>
    <s v="first15"/>
    <s v="last15"/>
    <x v="11"/>
    <s v="Ongoing"/>
    <d v="1899-12-30T09:04:44"/>
    <x v="2"/>
    <x v="0"/>
    <x v="2"/>
  </r>
  <r>
    <x v="15"/>
    <s v="first16"/>
    <s v="last16"/>
    <x v="12"/>
    <s v="Ongoing"/>
    <d v="1899-12-30T07:31:52"/>
    <x v="3"/>
    <x v="0"/>
    <x v="3"/>
  </r>
  <r>
    <x v="16"/>
    <s v="first17"/>
    <s v="last17"/>
    <x v="13"/>
    <s v="Ongoing"/>
    <d v="1899-12-30T11:06:36"/>
    <x v="4"/>
    <x v="0"/>
    <x v="4"/>
  </r>
  <r>
    <x v="17"/>
    <s v="first18"/>
    <s v="last18"/>
    <x v="14"/>
    <s v="Ongoing"/>
    <d v="1899-12-30T11:06:36"/>
    <x v="2"/>
    <x v="0"/>
    <x v="5"/>
  </r>
  <r>
    <x v="18"/>
    <s v="first19"/>
    <s v="last19"/>
    <x v="7"/>
    <s v="Ongoing"/>
    <d v="1899-12-30T09:10:20"/>
    <x v="3"/>
    <x v="0"/>
    <x v="6"/>
  </r>
  <r>
    <x v="19"/>
    <s v="first20"/>
    <s v="last20"/>
    <x v="7"/>
    <s v="Ongoing"/>
    <d v="1900-01-11T09:20:15"/>
    <x v="0"/>
    <x v="0"/>
    <x v="0"/>
  </r>
  <r>
    <x v="20"/>
    <s v="first21"/>
    <s v="last21"/>
    <x v="7"/>
    <s v="Ongoing"/>
    <d v="1900-01-11T15:25:44"/>
    <x v="1"/>
    <x v="0"/>
    <x v="1"/>
  </r>
  <r>
    <x v="21"/>
    <s v="first22"/>
    <s v="last22"/>
    <x v="15"/>
    <s v="Ongoing"/>
    <d v="1900-01-11T07:25:44"/>
    <x v="2"/>
    <x v="0"/>
    <x v="2"/>
  </r>
  <r>
    <x v="22"/>
    <s v="first23"/>
    <s v="last23"/>
    <x v="3"/>
    <s v="Ongoing"/>
    <d v="1899-12-30T00:00:00"/>
    <x v="3"/>
    <x v="0"/>
    <x v="3"/>
  </r>
  <r>
    <x v="23"/>
    <s v="first24"/>
    <s v="last24"/>
    <x v="16"/>
    <s v="Ongoing"/>
    <d v="1900-05-18T08:11:15"/>
    <x v="0"/>
    <x v="0"/>
    <x v="0"/>
  </r>
  <r>
    <x v="24"/>
    <s v="first25"/>
    <s v="last25"/>
    <x v="17"/>
    <s v="Ongoing"/>
    <d v="1900-05-18T11:11:15"/>
    <x v="1"/>
    <x v="0"/>
    <x v="1"/>
  </r>
  <r>
    <x v="25"/>
    <s v="first26"/>
    <s v="last26"/>
    <x v="7"/>
    <s v="Ongoing"/>
    <d v="1900-05-18T03:11:15"/>
    <x v="2"/>
    <x v="0"/>
    <x v="2"/>
  </r>
  <r>
    <x v="26"/>
    <s v="first27"/>
    <s v="last27"/>
    <x v="7"/>
    <s v="Ongoing"/>
    <d v="1899-12-30T00:00:00"/>
    <x v="3"/>
    <x v="0"/>
    <x v="3"/>
  </r>
  <r>
    <x v="27"/>
    <s v="first28"/>
    <s v="last28"/>
    <x v="7"/>
    <s v="Ongoing"/>
    <d v="1900-05-02T06:58:44"/>
    <x v="0"/>
    <x v="0"/>
    <x v="0"/>
  </r>
  <r>
    <x v="28"/>
    <s v="first29"/>
    <s v="last29"/>
    <x v="7"/>
    <s v="Ongoing"/>
    <d v="1900-05-02T09:58:44"/>
    <x v="1"/>
    <x v="0"/>
    <x v="1"/>
  </r>
  <r>
    <x v="29"/>
    <s v="first30"/>
    <s v="last30"/>
    <x v="18"/>
    <s v="Ongoing"/>
    <d v="1900-05-02T01:58:44"/>
    <x v="2"/>
    <x v="0"/>
    <x v="2"/>
  </r>
  <r>
    <x v="30"/>
    <s v="first31"/>
    <s v="last31"/>
    <x v="3"/>
    <s v="Ongoing"/>
    <d v="1899-12-30T00:00:00"/>
    <x v="3"/>
    <x v="0"/>
    <x v="3"/>
  </r>
  <r>
    <x v="31"/>
    <s v="first32"/>
    <s v="last32"/>
    <x v="19"/>
    <s v="Ongoing"/>
    <d v="1900-02-26T17:36:16"/>
    <x v="0"/>
    <x v="0"/>
    <x v="0"/>
  </r>
  <r>
    <x v="32"/>
    <s v="first33"/>
    <s v="last33"/>
    <x v="19"/>
    <s v="Ongoing"/>
    <d v="1900-02-26T17:36:16"/>
    <x v="1"/>
    <x v="0"/>
    <x v="1"/>
  </r>
  <r>
    <x v="33"/>
    <s v="first34"/>
    <s v="last34"/>
    <x v="7"/>
    <s v="Ongoing"/>
    <d v="1900-02-26T17:36:16"/>
    <x v="2"/>
    <x v="0"/>
    <x v="2"/>
  </r>
  <r>
    <x v="34"/>
    <s v="first35"/>
    <s v="last35"/>
    <x v="7"/>
    <s v="Ongoing"/>
    <d v="1899-12-30T00:00:00"/>
    <x v="3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83CB13-C808-4559-BF3A-5BA68383B8DB}" name="PivotTable1" cacheId="7" applyNumberFormats="0" applyBorderFormats="0" applyFontFormats="0" applyPatternFormats="0" applyAlignmentFormats="0" applyWidthHeightFormats="1" dataCaption="Values" updatedVersion="6" minRefreshableVersion="3" showDrill="0" rowGrandTotals="0" colGrandTotals="0" itemPrintTitles="1" createdVersion="6" indent="0" compact="0" compactData="0" multipleFieldFilters="0">
  <location ref="A9:E11" firstHeaderRow="1" firstDataRow="1" firstDataCol="5"/>
  <pivotFields count="9">
    <pivotField axis="axisRow" compact="0" outline="0" subtotalTop="0" showAll="0" defaultSubtotal="0">
      <items count="35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"/>
        <item x="4"/>
        <item x="5"/>
        <item x="6"/>
        <item x="7"/>
        <item x="8"/>
      </items>
    </pivotField>
    <pivotField compact="0" outline="0" subtotalTop="0" showAll="0" defaultSubtotal="0"/>
    <pivotField compact="0" outline="0" subtotalTop="0" showAll="0" defaultSubtotal="0"/>
    <pivotField axis="axisRow" compact="0" numFmtId="165" outline="0" subtotalTop="0" showAll="0" defaultSubtotal="0">
      <items count="21">
        <item x="17"/>
        <item x="16"/>
        <item x="18"/>
        <item x="19"/>
        <item x="0"/>
        <item x="13"/>
        <item x="10"/>
        <item x="11"/>
        <item x="14"/>
        <item x="8"/>
        <item x="12"/>
        <item x="15"/>
        <item x="9"/>
        <item x="4"/>
        <item x="5"/>
        <item x="6"/>
        <item x="3"/>
        <item x="7"/>
        <item m="1" x="20"/>
        <item x="1"/>
        <item x="2"/>
      </items>
    </pivotField>
    <pivotField compact="0" outline="0" subtotalTop="0" showAll="0" defaultSubtotal="0"/>
    <pivotField compact="0" numFmtId="168" outline="0" subtotalTop="0" showAll="0" defaultSubtotal="0"/>
    <pivotField axis="axisRow" compact="0" outline="0" subtotalTop="0" showAll="0" defaultSubtotal="0">
      <items count="5">
        <item x="3"/>
        <item x="0"/>
        <item x="4"/>
        <item x="1"/>
        <item x="2"/>
      </items>
    </pivotField>
    <pivotField axis="axisRow" compact="0" outline="0" subtotalTop="0" showAll="0" defaultSubtotal="0">
      <items count="2">
        <item x="0"/>
        <item x="1"/>
      </items>
    </pivotField>
    <pivotField axis="axisRow" compact="0" outline="0" subtotalTop="0" showAll="0" defaultSubtotal="0">
      <items count="8">
        <item x="1"/>
        <item x="0"/>
        <item x="4"/>
        <item x="2"/>
        <item x="5"/>
        <item x="3"/>
        <item x="6"/>
        <item x="7"/>
      </items>
    </pivotField>
  </pivotFields>
  <rowFields count="5">
    <field x="0"/>
    <field x="3"/>
    <field x="7"/>
    <field x="6"/>
    <field x="8"/>
  </rowFields>
  <rowItems count="2">
    <i>
      <x v="11"/>
      <x v="19"/>
      <x v="1"/>
      <x v="3"/>
      <x/>
    </i>
    <i>
      <x v="22"/>
      <x v="20"/>
      <x v="1"/>
      <x v="4"/>
      <x v="3"/>
    </i>
  </rowItems>
  <colItems count="1">
    <i/>
  </colItems>
  <formats count="24">
    <format dxfId="50">
      <pivotArea type="all" dataOnly="0" outline="0" fieldPosition="0"/>
    </format>
    <format dxfId="49">
      <pivotArea field="0" type="button" dataOnly="0" labelOnly="1" outline="0" axis="axisRow" fieldPosition="0"/>
    </format>
    <format dxfId="48">
      <pivotArea field="3" type="button" dataOnly="0" labelOnly="1" outline="0" axis="axisRow" fieldPosition="1"/>
    </format>
    <format dxfId="47">
      <pivotArea field="7" type="button" dataOnly="0" labelOnly="1" outline="0" axis="axisRow" fieldPosition="2"/>
    </format>
    <format dxfId="46">
      <pivotArea field="6" type="button" dataOnly="0" labelOnly="1" outline="0" axis="axisRow" fieldPosition="3"/>
    </format>
    <format dxfId="45">
      <pivotArea field="8" type="button" dataOnly="0" labelOnly="1" outline="0" axis="axisRow" fieldPosition="4"/>
    </format>
    <format dxfId="44">
      <pivotArea dataOnly="0" labelOnly="1" outline="0" fieldPosition="0">
        <references count="1">
          <reference field="0" count="2">
            <x v="11"/>
            <x v="22"/>
          </reference>
        </references>
      </pivotArea>
    </format>
    <format dxfId="43">
      <pivotArea dataOnly="0" labelOnly="1" outline="0" fieldPosition="0">
        <references count="2">
          <reference field="0" count="1" selected="0">
            <x v="11"/>
          </reference>
          <reference field="3" count="1">
            <x v="19"/>
          </reference>
        </references>
      </pivotArea>
    </format>
    <format dxfId="42">
      <pivotArea dataOnly="0" labelOnly="1" outline="0" fieldPosition="0">
        <references count="2">
          <reference field="0" count="1" selected="0">
            <x v="22"/>
          </reference>
          <reference field="3" count="1">
            <x v="20"/>
          </reference>
        </references>
      </pivotArea>
    </format>
    <format dxfId="41">
      <pivotArea dataOnly="0" labelOnly="1" outline="0" fieldPosition="0">
        <references count="3">
          <reference field="0" count="1" selected="0">
            <x v="11"/>
          </reference>
          <reference field="3" count="1" selected="0">
            <x v="19"/>
          </reference>
          <reference field="7" count="1">
            <x v="1"/>
          </reference>
        </references>
      </pivotArea>
    </format>
    <format dxfId="40">
      <pivotArea dataOnly="0" labelOnly="1" outline="0" fieldPosition="0">
        <references count="4">
          <reference field="0" count="1" selected="0">
            <x v="11"/>
          </reference>
          <reference field="3" count="1" selected="0">
            <x v="19"/>
          </reference>
          <reference field="6" count="1">
            <x v="3"/>
          </reference>
          <reference field="7" count="1" selected="0">
            <x v="1"/>
          </reference>
        </references>
      </pivotArea>
    </format>
    <format dxfId="39">
      <pivotArea dataOnly="0" labelOnly="1" outline="0" fieldPosition="0">
        <references count="4">
          <reference field="0" count="1" selected="0">
            <x v="22"/>
          </reference>
          <reference field="3" count="1" selected="0">
            <x v="20"/>
          </reference>
          <reference field="6" count="1">
            <x v="4"/>
          </reference>
          <reference field="7" count="1" selected="0">
            <x v="1"/>
          </reference>
        </references>
      </pivotArea>
    </format>
    <format dxfId="38">
      <pivotArea dataOnly="0" labelOnly="1" outline="0" fieldPosition="0">
        <references count="5">
          <reference field="0" count="1" selected="0">
            <x v="11"/>
          </reference>
          <reference field="3" count="1" selected="0">
            <x v="19"/>
          </reference>
          <reference field="6" count="1" selected="0">
            <x v="3"/>
          </reference>
          <reference field="7" count="1" selected="0">
            <x v="1"/>
          </reference>
          <reference field="8" count="1">
            <x v="0"/>
          </reference>
        </references>
      </pivotArea>
    </format>
    <format dxfId="37">
      <pivotArea dataOnly="0" labelOnly="1" outline="0" fieldPosition="0">
        <references count="5">
          <reference field="0" count="1" selected="0">
            <x v="22"/>
          </reference>
          <reference field="3" count="1" selected="0">
            <x v="20"/>
          </reference>
          <reference field="6" count="1" selected="0">
            <x v="4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36">
      <pivotArea field="0" type="button" dataOnly="0" labelOnly="1" outline="0" axis="axisRow" fieldPosition="0"/>
    </format>
    <format dxfId="35">
      <pivotArea field="3" type="button" dataOnly="0" labelOnly="1" outline="0" axis="axisRow" fieldPosition="1"/>
    </format>
    <format dxfId="34">
      <pivotArea field="7" type="button" dataOnly="0" labelOnly="1" outline="0" axis="axisRow" fieldPosition="2"/>
    </format>
    <format dxfId="33">
      <pivotArea field="6" type="button" dataOnly="0" labelOnly="1" outline="0" axis="axisRow" fieldPosition="3"/>
    </format>
    <format dxfId="32">
      <pivotArea field="8" type="button" dataOnly="0" labelOnly="1" outline="0" axis="axisRow" fieldPosition="4"/>
    </format>
    <format dxfId="31">
      <pivotArea field="0" type="button" dataOnly="0" labelOnly="1" outline="0" axis="axisRow" fieldPosition="0"/>
    </format>
    <format dxfId="30">
      <pivotArea field="3" type="button" dataOnly="0" labelOnly="1" outline="0" axis="axisRow" fieldPosition="1"/>
    </format>
    <format dxfId="29">
      <pivotArea field="7" type="button" dataOnly="0" labelOnly="1" outline="0" axis="axisRow" fieldPosition="2"/>
    </format>
    <format dxfId="28">
      <pivotArea field="6" type="button" dataOnly="0" labelOnly="1" outline="0" axis="axisRow" fieldPosition="3"/>
    </format>
    <format dxfId="27">
      <pivotArea field="8" type="button" dataOnly="0" labelOnly="1" outline="0" axis="axisRow" fieldPosition="4"/>
    </format>
  </formats>
  <pivotTableStyleInfo name="PivotStyleMedium15 2" showRowHeaders="1" showColHeaders="1" showRowStripes="0" showColStripes="0" showLastColumn="1"/>
  <filters count="1">
    <filter fld="7" type="captionEqual" evalOrder="-1" id="1" stringValue1="1">
      <autoFilter ref="A1">
        <filterColumn colId="0">
          <customFilters>
            <customFilter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Geotab sample Theme">
  <a:themeElements>
    <a:clrScheme name="Geotab Brand Colors">
      <a:dk1>
        <a:sysClr val="windowText" lastClr="000000"/>
      </a:dk1>
      <a:lt1>
        <a:srgbClr val="FFFFFF"/>
      </a:lt1>
      <a:dk2>
        <a:srgbClr val="00AEEF"/>
      </a:dk2>
      <a:lt2>
        <a:srgbClr val="25477B"/>
      </a:lt2>
      <a:accent1>
        <a:srgbClr val="696A6C"/>
      </a:accent1>
      <a:accent2>
        <a:srgbClr val="93C83D"/>
      </a:accent2>
      <a:accent3>
        <a:srgbClr val="FAD201"/>
      </a:accent3>
      <a:accent4>
        <a:srgbClr val="FF9600"/>
      </a:accent4>
      <a:accent5>
        <a:srgbClr val="EA184D"/>
      </a:accent5>
      <a:accent6>
        <a:srgbClr val="B95FFF"/>
      </a:accent6>
      <a:hlink>
        <a:srgbClr val="00AEEF"/>
      </a:hlink>
      <a:folHlink>
        <a:srgbClr val="0082E3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psleyjones@abcco.com" TargetMode="External"/><Relationship Id="rId2" Type="http://schemas.openxmlformats.org/officeDocument/2006/relationships/hyperlink" Target="mailto:aakashdubey@geotab.com" TargetMode="External"/><Relationship Id="rId1" Type="http://schemas.openxmlformats.org/officeDocument/2006/relationships/hyperlink" Target="mailto:apsleyjones@abcco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showGridLines="0" tabSelected="1" workbookViewId="0">
      <pane ySplit="9" topLeftCell="A10" activePane="bottomLeft" state="frozen"/>
      <selection pane="bottomLeft"/>
    </sheetView>
  </sheetViews>
  <sheetFormatPr defaultColWidth="14.42578125" defaultRowHeight="14.25" x14ac:dyDescent="0.25"/>
  <cols>
    <col min="1" max="2" width="25.7109375" style="52" customWidth="1"/>
    <col min="3" max="3" width="25.7109375" style="52" hidden="1" customWidth="1"/>
    <col min="4" max="4" width="25.7109375" style="52" customWidth="1"/>
    <col min="5" max="5" width="40.7109375" style="52" customWidth="1"/>
    <col min="6" max="6" width="11.7109375" style="52" customWidth="1"/>
    <col min="7" max="8" width="9.140625" style="52" customWidth="1"/>
    <col min="9" max="24" width="8.7109375" style="52" customWidth="1"/>
    <col min="25" max="16384" width="14.42578125" style="52"/>
  </cols>
  <sheetData>
    <row r="1" spans="1:14" s="14" customFormat="1" ht="25.5" customHeight="1" x14ac:dyDescent="0.2">
      <c r="A1" s="13" t="s">
        <v>214</v>
      </c>
      <c r="E1" s="59">
        <f>Data!B2</f>
        <v>43998.333333333336</v>
      </c>
      <c r="F1" s="59"/>
      <c r="G1" s="51"/>
      <c r="H1" s="16"/>
      <c r="I1" s="17"/>
      <c r="J1" s="17"/>
    </row>
    <row r="2" spans="1:14" s="19" customFormat="1" ht="25.5" customHeight="1" x14ac:dyDescent="0.45">
      <c r="A2" s="18" t="str">
        <f>Data!B1</f>
        <v>Fleet Name</v>
      </c>
      <c r="H2" s="20"/>
      <c r="I2" s="21"/>
      <c r="J2" s="21"/>
    </row>
    <row r="3" spans="1:14" s="22" customFormat="1" ht="17.25" customHeight="1" x14ac:dyDescent="0.25">
      <c r="H3" s="23"/>
      <c r="I3" s="24"/>
      <c r="J3" s="24"/>
    </row>
    <row r="4" spans="1:14" s="22" customFormat="1" ht="17.25" customHeight="1" x14ac:dyDescent="0.3">
      <c r="A4" s="60" t="s">
        <v>123</v>
      </c>
      <c r="B4" s="61"/>
      <c r="C4" s="25"/>
      <c r="D4" s="25"/>
      <c r="E4" s="57" t="s">
        <v>215</v>
      </c>
      <c r="F4" s="62">
        <f>Report!G4</f>
        <v>2</v>
      </c>
      <c r="H4" s="64" t="s">
        <v>218</v>
      </c>
      <c r="I4" s="64"/>
      <c r="J4" s="64"/>
      <c r="K4" s="64"/>
      <c r="L4" s="64"/>
      <c r="M4" s="64"/>
      <c r="N4" s="64"/>
    </row>
    <row r="5" spans="1:14" s="22" customFormat="1" ht="17.25" customHeight="1" x14ac:dyDescent="0.3">
      <c r="A5" s="26" t="s">
        <v>84</v>
      </c>
      <c r="B5" s="32">
        <f>Data!B3</f>
        <v>42746</v>
      </c>
      <c r="C5" s="25"/>
      <c r="D5" s="25"/>
      <c r="E5" s="58"/>
      <c r="F5" s="63"/>
      <c r="H5" s="64"/>
      <c r="I5" s="64"/>
      <c r="J5" s="64"/>
      <c r="K5" s="64"/>
      <c r="L5" s="64"/>
      <c r="M5" s="64"/>
      <c r="N5" s="64"/>
    </row>
    <row r="6" spans="1:14" s="22" customFormat="1" ht="17.25" customHeight="1" x14ac:dyDescent="0.3">
      <c r="A6" s="26" t="s">
        <v>89</v>
      </c>
      <c r="B6" s="32">
        <f>Data!B4</f>
        <v>42746.999988425901</v>
      </c>
      <c r="C6" s="25"/>
      <c r="D6" s="25"/>
      <c r="E6" s="25"/>
      <c r="H6" s="64"/>
      <c r="I6" s="64"/>
      <c r="J6" s="64"/>
      <c r="K6" s="64"/>
      <c r="L6" s="64"/>
      <c r="M6" s="64"/>
      <c r="N6" s="64"/>
    </row>
    <row r="7" spans="1:14" s="22" customFormat="1" ht="17.25" customHeight="1" x14ac:dyDescent="0.3">
      <c r="A7" s="26" t="s">
        <v>216</v>
      </c>
      <c r="B7" s="42">
        <f>B6-B5</f>
        <v>0.99998842590139247</v>
      </c>
      <c r="C7" s="25"/>
      <c r="D7" s="25"/>
      <c r="E7" s="25"/>
      <c r="H7" s="64"/>
      <c r="I7" s="64"/>
      <c r="J7" s="64"/>
      <c r="K7" s="64"/>
      <c r="L7" s="64"/>
      <c r="M7" s="64"/>
      <c r="N7" s="64"/>
    </row>
    <row r="8" spans="1:14" ht="17.25" customHeight="1" x14ac:dyDescent="0.25"/>
    <row r="9" spans="1:14" s="56" customFormat="1" ht="17.25" x14ac:dyDescent="0.3">
      <c r="A9" s="55" t="s">
        <v>40</v>
      </c>
      <c r="B9" s="55" t="s">
        <v>213</v>
      </c>
      <c r="C9" s="55" t="s">
        <v>211</v>
      </c>
      <c r="D9" s="55" t="s">
        <v>60</v>
      </c>
      <c r="E9" s="55" t="s">
        <v>64</v>
      </c>
    </row>
    <row r="10" spans="1:14" ht="12.75" customHeight="1" x14ac:dyDescent="0.25">
      <c r="A10" s="52" t="s">
        <v>126</v>
      </c>
      <c r="B10" s="53">
        <v>43998.54892361111</v>
      </c>
      <c r="C10" s="52">
        <v>1</v>
      </c>
      <c r="D10" s="52" t="s">
        <v>24</v>
      </c>
      <c r="E10" s="52" t="s">
        <v>25</v>
      </c>
    </row>
    <row r="11" spans="1:14" ht="12.75" customHeight="1" x14ac:dyDescent="0.25">
      <c r="A11" s="52" t="s">
        <v>127</v>
      </c>
      <c r="B11" s="53">
        <v>43998.76489583333</v>
      </c>
      <c r="C11" s="52">
        <v>1</v>
      </c>
      <c r="D11" s="52" t="s">
        <v>26</v>
      </c>
      <c r="E11" s="52" t="s">
        <v>27</v>
      </c>
    </row>
    <row r="12" spans="1:14" ht="12.75" customHeight="1" x14ac:dyDescent="0.25"/>
    <row r="13" spans="1:14" ht="12.75" customHeight="1" x14ac:dyDescent="0.25"/>
    <row r="14" spans="1:14" ht="12.75" customHeight="1" x14ac:dyDescent="0.25"/>
    <row r="15" spans="1:14" ht="12.75" customHeight="1" x14ac:dyDescent="0.25"/>
    <row r="16" spans="1:14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spans="5:5" ht="12.75" customHeight="1" x14ac:dyDescent="0.25"/>
    <row r="34" spans="5:5" ht="12.75" customHeight="1" x14ac:dyDescent="0.25"/>
    <row r="35" spans="5:5" ht="12.75" customHeight="1" x14ac:dyDescent="0.25"/>
    <row r="36" spans="5:5" ht="12.75" customHeight="1" x14ac:dyDescent="0.25"/>
    <row r="37" spans="5:5" ht="12.75" customHeight="1" x14ac:dyDescent="0.25"/>
    <row r="38" spans="5:5" ht="12.75" customHeight="1" x14ac:dyDescent="0.25"/>
    <row r="39" spans="5:5" ht="12.75" customHeight="1" x14ac:dyDescent="0.25"/>
    <row r="40" spans="5:5" ht="12.75" customHeight="1" x14ac:dyDescent="0.25"/>
    <row r="41" spans="5:5" ht="12.75" customHeight="1" x14ac:dyDescent="0.25"/>
    <row r="42" spans="5:5" ht="12.75" customHeight="1" x14ac:dyDescent="0.25"/>
    <row r="43" spans="5:5" ht="12.75" customHeight="1" x14ac:dyDescent="0.25"/>
    <row r="44" spans="5:5" ht="12.75" customHeight="1" x14ac:dyDescent="0.25"/>
    <row r="45" spans="5:5" ht="12.75" customHeight="1" x14ac:dyDescent="0.25"/>
    <row r="46" spans="5:5" ht="12.75" customHeight="1" x14ac:dyDescent="0.25">
      <c r="E46" s="54"/>
    </row>
    <row r="47" spans="5:5" ht="12.75" customHeight="1" x14ac:dyDescent="0.25">
      <c r="E47" s="54"/>
    </row>
    <row r="48" spans="5:5" ht="12.75" customHeight="1" x14ac:dyDescent="0.25">
      <c r="E48" s="54"/>
    </row>
    <row r="49" spans="5:5" ht="12.75" customHeight="1" x14ac:dyDescent="0.25">
      <c r="E49" s="54"/>
    </row>
    <row r="50" spans="5:5" ht="12.75" customHeight="1" x14ac:dyDescent="0.25">
      <c r="E50" s="54"/>
    </row>
    <row r="51" spans="5:5" ht="12.75" customHeight="1" x14ac:dyDescent="0.25">
      <c r="E51" s="54"/>
    </row>
    <row r="52" spans="5:5" ht="12.75" customHeight="1" x14ac:dyDescent="0.25">
      <c r="E52" s="54"/>
    </row>
    <row r="53" spans="5:5" ht="12.75" customHeight="1" x14ac:dyDescent="0.25">
      <c r="E53" s="54"/>
    </row>
    <row r="54" spans="5:5" ht="12.75" customHeight="1" x14ac:dyDescent="0.25">
      <c r="E54" s="54"/>
    </row>
    <row r="55" spans="5:5" ht="12.75" customHeight="1" x14ac:dyDescent="0.25">
      <c r="E55" s="54"/>
    </row>
    <row r="56" spans="5:5" ht="12.75" customHeight="1" x14ac:dyDescent="0.25">
      <c r="E56" s="54"/>
    </row>
    <row r="57" spans="5:5" ht="12.75" customHeight="1" x14ac:dyDescent="0.25">
      <c r="E57" s="54"/>
    </row>
    <row r="58" spans="5:5" ht="12.75" customHeight="1" x14ac:dyDescent="0.25">
      <c r="E58" s="54"/>
    </row>
    <row r="59" spans="5:5" ht="12.75" customHeight="1" x14ac:dyDescent="0.25">
      <c r="E59" s="54"/>
    </row>
    <row r="60" spans="5:5" ht="12.75" customHeight="1" x14ac:dyDescent="0.25">
      <c r="E60" s="54"/>
    </row>
    <row r="61" spans="5:5" ht="12.75" customHeight="1" x14ac:dyDescent="0.25">
      <c r="E61" s="54"/>
    </row>
    <row r="62" spans="5:5" ht="12.75" customHeight="1" x14ac:dyDescent="0.25">
      <c r="E62" s="54"/>
    </row>
    <row r="63" spans="5:5" ht="12.75" customHeight="1" x14ac:dyDescent="0.25">
      <c r="E63" s="54"/>
    </row>
    <row r="64" spans="5:5" ht="12.75" customHeight="1" x14ac:dyDescent="0.25">
      <c r="E64" s="54"/>
    </row>
    <row r="65" spans="5:5" ht="12.75" customHeight="1" x14ac:dyDescent="0.25">
      <c r="E65" s="54"/>
    </row>
    <row r="66" spans="5:5" ht="12.75" customHeight="1" x14ac:dyDescent="0.25">
      <c r="E66" s="54"/>
    </row>
    <row r="67" spans="5:5" ht="12.75" customHeight="1" x14ac:dyDescent="0.25">
      <c r="E67" s="54"/>
    </row>
    <row r="68" spans="5:5" ht="12.75" customHeight="1" x14ac:dyDescent="0.25">
      <c r="E68" s="54"/>
    </row>
    <row r="69" spans="5:5" ht="12.75" customHeight="1" x14ac:dyDescent="0.25">
      <c r="E69" s="54"/>
    </row>
    <row r="70" spans="5:5" ht="12.75" customHeight="1" x14ac:dyDescent="0.25">
      <c r="E70" s="54"/>
    </row>
    <row r="71" spans="5:5" ht="12.75" customHeight="1" x14ac:dyDescent="0.25">
      <c r="E71" s="54"/>
    </row>
    <row r="72" spans="5:5" ht="12.75" customHeight="1" x14ac:dyDescent="0.25">
      <c r="E72" s="54"/>
    </row>
    <row r="73" spans="5:5" ht="12.75" customHeight="1" x14ac:dyDescent="0.25">
      <c r="E73" s="54"/>
    </row>
    <row r="74" spans="5:5" ht="12.75" customHeight="1" x14ac:dyDescent="0.25">
      <c r="E74" s="54"/>
    </row>
    <row r="75" spans="5:5" ht="12.75" customHeight="1" x14ac:dyDescent="0.25">
      <c r="E75" s="54"/>
    </row>
    <row r="76" spans="5:5" ht="12.75" customHeight="1" x14ac:dyDescent="0.25">
      <c r="E76" s="54"/>
    </row>
    <row r="77" spans="5:5" ht="12.75" customHeight="1" x14ac:dyDescent="0.25">
      <c r="E77" s="54"/>
    </row>
    <row r="78" spans="5:5" ht="12.75" customHeight="1" x14ac:dyDescent="0.25">
      <c r="E78" s="54"/>
    </row>
    <row r="79" spans="5:5" ht="12.75" customHeight="1" x14ac:dyDescent="0.25">
      <c r="E79" s="54"/>
    </row>
    <row r="80" spans="5:5" ht="12.75" customHeight="1" x14ac:dyDescent="0.25">
      <c r="E80" s="54"/>
    </row>
    <row r="81" spans="5:5" ht="12.75" customHeight="1" x14ac:dyDescent="0.25">
      <c r="E81" s="54"/>
    </row>
    <row r="82" spans="5:5" ht="12.75" customHeight="1" x14ac:dyDescent="0.25">
      <c r="E82" s="54"/>
    </row>
    <row r="83" spans="5:5" ht="12.75" customHeight="1" x14ac:dyDescent="0.25">
      <c r="E83" s="54"/>
    </row>
    <row r="84" spans="5:5" ht="12.75" customHeight="1" x14ac:dyDescent="0.25">
      <c r="E84" s="54"/>
    </row>
    <row r="85" spans="5:5" ht="12.75" customHeight="1" x14ac:dyDescent="0.25">
      <c r="E85" s="54"/>
    </row>
    <row r="86" spans="5:5" ht="12.75" customHeight="1" x14ac:dyDescent="0.25">
      <c r="E86" s="54"/>
    </row>
    <row r="87" spans="5:5" ht="12.75" customHeight="1" x14ac:dyDescent="0.25">
      <c r="E87" s="54"/>
    </row>
    <row r="88" spans="5:5" ht="12.75" customHeight="1" x14ac:dyDescent="0.25">
      <c r="E88" s="54"/>
    </row>
    <row r="89" spans="5:5" ht="12.75" customHeight="1" x14ac:dyDescent="0.25">
      <c r="E89" s="54"/>
    </row>
    <row r="90" spans="5:5" ht="12.75" customHeight="1" x14ac:dyDescent="0.25">
      <c r="E90" s="54"/>
    </row>
    <row r="91" spans="5:5" ht="12.75" customHeight="1" x14ac:dyDescent="0.25">
      <c r="E91" s="54"/>
    </row>
    <row r="92" spans="5:5" ht="12.75" customHeight="1" x14ac:dyDescent="0.25">
      <c r="E92" s="54"/>
    </row>
    <row r="93" spans="5:5" ht="12.75" customHeight="1" x14ac:dyDescent="0.25">
      <c r="E93" s="54"/>
    </row>
    <row r="94" spans="5:5" ht="12.75" customHeight="1" x14ac:dyDescent="0.25">
      <c r="E94" s="54"/>
    </row>
    <row r="95" spans="5:5" ht="12.75" customHeight="1" x14ac:dyDescent="0.25">
      <c r="E95" s="54"/>
    </row>
    <row r="96" spans="5:5" ht="12.75" customHeight="1" x14ac:dyDescent="0.25">
      <c r="E96" s="54"/>
    </row>
    <row r="97" spans="5:5" ht="12.75" customHeight="1" x14ac:dyDescent="0.25">
      <c r="E97" s="54"/>
    </row>
    <row r="98" spans="5:5" ht="12.75" customHeight="1" x14ac:dyDescent="0.25">
      <c r="E98" s="54"/>
    </row>
    <row r="99" spans="5:5" ht="12.75" customHeight="1" x14ac:dyDescent="0.25">
      <c r="E99" s="54"/>
    </row>
    <row r="100" spans="5:5" ht="12.75" customHeight="1" x14ac:dyDescent="0.25">
      <c r="E100" s="54"/>
    </row>
    <row r="101" spans="5:5" ht="12.75" customHeight="1" x14ac:dyDescent="0.25">
      <c r="E101" s="54"/>
    </row>
    <row r="102" spans="5:5" ht="12.75" customHeight="1" x14ac:dyDescent="0.25">
      <c r="E102" s="54"/>
    </row>
    <row r="103" spans="5:5" ht="12.75" customHeight="1" x14ac:dyDescent="0.25">
      <c r="E103" s="54"/>
    </row>
    <row r="104" spans="5:5" ht="12.75" customHeight="1" x14ac:dyDescent="0.25">
      <c r="E104" s="54"/>
    </row>
    <row r="105" spans="5:5" ht="12.75" customHeight="1" x14ac:dyDescent="0.25">
      <c r="E105" s="54"/>
    </row>
    <row r="106" spans="5:5" ht="12.75" customHeight="1" x14ac:dyDescent="0.25">
      <c r="E106" s="54"/>
    </row>
    <row r="107" spans="5:5" ht="12.75" customHeight="1" x14ac:dyDescent="0.25">
      <c r="E107" s="54"/>
    </row>
    <row r="108" spans="5:5" ht="12.75" customHeight="1" x14ac:dyDescent="0.25">
      <c r="E108" s="54"/>
    </row>
    <row r="109" spans="5:5" ht="12.75" customHeight="1" x14ac:dyDescent="0.25">
      <c r="E109" s="54"/>
    </row>
    <row r="110" spans="5:5" ht="12.75" customHeight="1" x14ac:dyDescent="0.25">
      <c r="E110" s="54"/>
    </row>
    <row r="111" spans="5:5" ht="12.75" customHeight="1" x14ac:dyDescent="0.25">
      <c r="E111" s="54"/>
    </row>
    <row r="112" spans="5:5" ht="12.75" customHeight="1" x14ac:dyDescent="0.25">
      <c r="E112" s="54"/>
    </row>
    <row r="113" spans="5:5" ht="12.75" customHeight="1" x14ac:dyDescent="0.25">
      <c r="E113" s="54"/>
    </row>
    <row r="114" spans="5:5" ht="12.75" customHeight="1" x14ac:dyDescent="0.25">
      <c r="E114" s="54"/>
    </row>
    <row r="115" spans="5:5" ht="12.75" customHeight="1" x14ac:dyDescent="0.25">
      <c r="E115" s="54"/>
    </row>
    <row r="116" spans="5:5" ht="12.75" customHeight="1" x14ac:dyDescent="0.25">
      <c r="E116" s="54"/>
    </row>
    <row r="117" spans="5:5" ht="12.75" customHeight="1" x14ac:dyDescent="0.25">
      <c r="E117" s="54"/>
    </row>
    <row r="118" spans="5:5" ht="12.75" customHeight="1" x14ac:dyDescent="0.25">
      <c r="E118" s="54"/>
    </row>
    <row r="119" spans="5:5" ht="12.75" customHeight="1" x14ac:dyDescent="0.25">
      <c r="E119" s="54"/>
    </row>
    <row r="120" spans="5:5" ht="12.75" customHeight="1" x14ac:dyDescent="0.25">
      <c r="E120" s="54"/>
    </row>
    <row r="121" spans="5:5" ht="12.75" customHeight="1" x14ac:dyDescent="0.25">
      <c r="E121" s="54"/>
    </row>
    <row r="122" spans="5:5" ht="12.75" customHeight="1" x14ac:dyDescent="0.25">
      <c r="E122" s="54"/>
    </row>
    <row r="123" spans="5:5" ht="12.75" customHeight="1" x14ac:dyDescent="0.25">
      <c r="E123" s="54"/>
    </row>
    <row r="124" spans="5:5" ht="12.75" customHeight="1" x14ac:dyDescent="0.25">
      <c r="E124" s="54"/>
    </row>
    <row r="125" spans="5:5" ht="12.75" customHeight="1" x14ac:dyDescent="0.25">
      <c r="E125" s="54"/>
    </row>
    <row r="126" spans="5:5" ht="12.75" customHeight="1" x14ac:dyDescent="0.25">
      <c r="E126" s="54"/>
    </row>
    <row r="127" spans="5:5" ht="12.75" customHeight="1" x14ac:dyDescent="0.25">
      <c r="E127" s="54"/>
    </row>
    <row r="128" spans="5:5" ht="12.75" customHeight="1" x14ac:dyDescent="0.25">
      <c r="E128" s="54"/>
    </row>
    <row r="129" spans="5:5" ht="12.75" customHeight="1" x14ac:dyDescent="0.25">
      <c r="E129" s="54"/>
    </row>
    <row r="130" spans="5:5" ht="12.75" customHeight="1" x14ac:dyDescent="0.25">
      <c r="E130" s="54"/>
    </row>
    <row r="131" spans="5:5" ht="12.75" customHeight="1" x14ac:dyDescent="0.25">
      <c r="E131" s="54"/>
    </row>
    <row r="132" spans="5:5" ht="12.75" customHeight="1" x14ac:dyDescent="0.25">
      <c r="E132" s="54"/>
    </row>
    <row r="133" spans="5:5" ht="12.75" customHeight="1" x14ac:dyDescent="0.25">
      <c r="E133" s="54"/>
    </row>
    <row r="134" spans="5:5" ht="12.75" customHeight="1" x14ac:dyDescent="0.25">
      <c r="E134" s="54"/>
    </row>
    <row r="135" spans="5:5" ht="12.75" customHeight="1" x14ac:dyDescent="0.25">
      <c r="E135" s="54"/>
    </row>
    <row r="136" spans="5:5" ht="12.75" customHeight="1" x14ac:dyDescent="0.25">
      <c r="E136" s="54"/>
    </row>
    <row r="137" spans="5:5" ht="12.75" customHeight="1" x14ac:dyDescent="0.25">
      <c r="E137" s="54"/>
    </row>
    <row r="138" spans="5:5" ht="12.75" customHeight="1" x14ac:dyDescent="0.25">
      <c r="E138" s="54"/>
    </row>
    <row r="139" spans="5:5" ht="12.75" customHeight="1" x14ac:dyDescent="0.25">
      <c r="E139" s="54"/>
    </row>
    <row r="140" spans="5:5" ht="12.75" customHeight="1" x14ac:dyDescent="0.25">
      <c r="E140" s="54"/>
    </row>
    <row r="141" spans="5:5" ht="12.75" customHeight="1" x14ac:dyDescent="0.25">
      <c r="E141" s="54"/>
    </row>
    <row r="142" spans="5:5" ht="12.75" customHeight="1" x14ac:dyDescent="0.25">
      <c r="E142" s="54"/>
    </row>
    <row r="143" spans="5:5" ht="12.75" customHeight="1" x14ac:dyDescent="0.25">
      <c r="E143" s="54"/>
    </row>
    <row r="144" spans="5:5" ht="12.75" customHeight="1" x14ac:dyDescent="0.25">
      <c r="E144" s="54"/>
    </row>
    <row r="145" spans="5:5" ht="12.75" customHeight="1" x14ac:dyDescent="0.25">
      <c r="E145" s="54"/>
    </row>
    <row r="146" spans="5:5" ht="12.75" customHeight="1" x14ac:dyDescent="0.25">
      <c r="E146" s="54"/>
    </row>
    <row r="147" spans="5:5" ht="12.75" customHeight="1" x14ac:dyDescent="0.25">
      <c r="E147" s="54"/>
    </row>
    <row r="148" spans="5:5" ht="12.75" customHeight="1" x14ac:dyDescent="0.25">
      <c r="E148" s="54"/>
    </row>
    <row r="149" spans="5:5" ht="12.75" customHeight="1" x14ac:dyDescent="0.25">
      <c r="E149" s="54"/>
    </row>
    <row r="150" spans="5:5" ht="12.75" customHeight="1" x14ac:dyDescent="0.25">
      <c r="E150" s="54"/>
    </row>
    <row r="151" spans="5:5" ht="12.75" customHeight="1" x14ac:dyDescent="0.25">
      <c r="E151" s="54"/>
    </row>
    <row r="152" spans="5:5" ht="12.75" customHeight="1" x14ac:dyDescent="0.25">
      <c r="E152" s="54"/>
    </row>
    <row r="153" spans="5:5" ht="12.75" customHeight="1" x14ac:dyDescent="0.25">
      <c r="E153" s="54"/>
    </row>
    <row r="154" spans="5:5" ht="12.75" customHeight="1" x14ac:dyDescent="0.25">
      <c r="E154" s="54"/>
    </row>
    <row r="155" spans="5:5" ht="12.75" customHeight="1" x14ac:dyDescent="0.25">
      <c r="E155" s="54"/>
    </row>
    <row r="156" spans="5:5" ht="12.75" customHeight="1" x14ac:dyDescent="0.25">
      <c r="E156" s="54"/>
    </row>
    <row r="157" spans="5:5" ht="12.75" customHeight="1" x14ac:dyDescent="0.25">
      <c r="E157" s="54"/>
    </row>
    <row r="158" spans="5:5" ht="12.75" customHeight="1" x14ac:dyDescent="0.25">
      <c r="E158" s="54"/>
    </row>
    <row r="159" spans="5:5" ht="12.75" customHeight="1" x14ac:dyDescent="0.25">
      <c r="E159" s="54"/>
    </row>
    <row r="160" spans="5:5" ht="12.75" customHeight="1" x14ac:dyDescent="0.25">
      <c r="E160" s="54"/>
    </row>
    <row r="161" spans="5:5" ht="12.75" customHeight="1" x14ac:dyDescent="0.25">
      <c r="E161" s="54"/>
    </row>
    <row r="162" spans="5:5" ht="12.75" customHeight="1" x14ac:dyDescent="0.25">
      <c r="E162" s="54"/>
    </row>
    <row r="163" spans="5:5" ht="12.75" customHeight="1" x14ac:dyDescent="0.25">
      <c r="E163" s="54"/>
    </row>
    <row r="164" spans="5:5" ht="12.75" customHeight="1" x14ac:dyDescent="0.25">
      <c r="E164" s="54"/>
    </row>
    <row r="165" spans="5:5" ht="12.75" customHeight="1" x14ac:dyDescent="0.25">
      <c r="E165" s="54"/>
    </row>
    <row r="166" spans="5:5" ht="12.75" customHeight="1" x14ac:dyDescent="0.25">
      <c r="E166" s="54"/>
    </row>
    <row r="167" spans="5:5" ht="12.75" customHeight="1" x14ac:dyDescent="0.25">
      <c r="E167" s="54"/>
    </row>
    <row r="168" spans="5:5" ht="12.75" customHeight="1" x14ac:dyDescent="0.25">
      <c r="E168" s="54"/>
    </row>
    <row r="169" spans="5:5" ht="12.75" customHeight="1" x14ac:dyDescent="0.25">
      <c r="E169" s="54"/>
    </row>
    <row r="170" spans="5:5" ht="12.75" customHeight="1" x14ac:dyDescent="0.25">
      <c r="E170" s="54"/>
    </row>
    <row r="171" spans="5:5" ht="12.75" customHeight="1" x14ac:dyDescent="0.25">
      <c r="E171" s="54"/>
    </row>
    <row r="172" spans="5:5" ht="12.75" customHeight="1" x14ac:dyDescent="0.25">
      <c r="E172" s="54"/>
    </row>
    <row r="173" spans="5:5" ht="12.75" customHeight="1" x14ac:dyDescent="0.25">
      <c r="E173" s="54"/>
    </row>
    <row r="174" spans="5:5" ht="12.75" customHeight="1" x14ac:dyDescent="0.25">
      <c r="E174" s="54"/>
    </row>
    <row r="175" spans="5:5" ht="12.75" customHeight="1" x14ac:dyDescent="0.25">
      <c r="E175" s="54"/>
    </row>
    <row r="176" spans="5:5" ht="12.75" customHeight="1" x14ac:dyDescent="0.25">
      <c r="E176" s="54"/>
    </row>
    <row r="177" spans="5:5" ht="12.75" customHeight="1" x14ac:dyDescent="0.25">
      <c r="E177" s="54"/>
    </row>
    <row r="178" spans="5:5" ht="12.75" customHeight="1" x14ac:dyDescent="0.25">
      <c r="E178" s="54"/>
    </row>
    <row r="179" spans="5:5" ht="12.75" customHeight="1" x14ac:dyDescent="0.25">
      <c r="E179" s="54"/>
    </row>
    <row r="180" spans="5:5" ht="12.75" customHeight="1" x14ac:dyDescent="0.25">
      <c r="E180" s="54"/>
    </row>
    <row r="181" spans="5:5" ht="12.75" customHeight="1" x14ac:dyDescent="0.25">
      <c r="E181" s="54"/>
    </row>
    <row r="182" spans="5:5" ht="12.75" customHeight="1" x14ac:dyDescent="0.25">
      <c r="E182" s="54"/>
    </row>
    <row r="183" spans="5:5" ht="12.75" customHeight="1" x14ac:dyDescent="0.25">
      <c r="E183" s="54"/>
    </row>
    <row r="184" spans="5:5" ht="12.75" customHeight="1" x14ac:dyDescent="0.25">
      <c r="E184" s="54"/>
    </row>
    <row r="185" spans="5:5" ht="12.75" customHeight="1" x14ac:dyDescent="0.25">
      <c r="E185" s="54"/>
    </row>
    <row r="186" spans="5:5" ht="12.75" customHeight="1" x14ac:dyDescent="0.25">
      <c r="E186" s="54"/>
    </row>
    <row r="187" spans="5:5" ht="12.75" customHeight="1" x14ac:dyDescent="0.25">
      <c r="E187" s="54"/>
    </row>
    <row r="188" spans="5:5" ht="12.75" customHeight="1" x14ac:dyDescent="0.25">
      <c r="E188" s="54"/>
    </row>
    <row r="189" spans="5:5" ht="12.75" customHeight="1" x14ac:dyDescent="0.25">
      <c r="E189" s="54"/>
    </row>
    <row r="190" spans="5:5" ht="12.75" customHeight="1" x14ac:dyDescent="0.25">
      <c r="E190" s="54"/>
    </row>
    <row r="191" spans="5:5" ht="12.75" customHeight="1" x14ac:dyDescent="0.25">
      <c r="E191" s="54"/>
    </row>
    <row r="192" spans="5:5" ht="12.75" customHeight="1" x14ac:dyDescent="0.25">
      <c r="E192" s="54"/>
    </row>
    <row r="193" spans="5:5" ht="12.75" customHeight="1" x14ac:dyDescent="0.25">
      <c r="E193" s="54"/>
    </row>
    <row r="194" spans="5:5" ht="12.75" customHeight="1" x14ac:dyDescent="0.25">
      <c r="E194" s="54"/>
    </row>
    <row r="195" spans="5:5" ht="12.75" customHeight="1" x14ac:dyDescent="0.25">
      <c r="E195" s="54"/>
    </row>
    <row r="196" spans="5:5" ht="12.75" customHeight="1" x14ac:dyDescent="0.25">
      <c r="E196" s="54"/>
    </row>
    <row r="197" spans="5:5" ht="12.75" customHeight="1" x14ac:dyDescent="0.25">
      <c r="E197" s="54"/>
    </row>
    <row r="198" spans="5:5" ht="12.75" customHeight="1" x14ac:dyDescent="0.25">
      <c r="E198" s="54"/>
    </row>
    <row r="199" spans="5:5" ht="12.75" customHeight="1" x14ac:dyDescent="0.25">
      <c r="E199" s="54"/>
    </row>
    <row r="200" spans="5:5" ht="12.75" customHeight="1" x14ac:dyDescent="0.25">
      <c r="E200" s="54"/>
    </row>
    <row r="201" spans="5:5" ht="12.75" customHeight="1" x14ac:dyDescent="0.25">
      <c r="E201" s="54"/>
    </row>
    <row r="202" spans="5:5" ht="12.75" customHeight="1" x14ac:dyDescent="0.25">
      <c r="E202" s="54"/>
    </row>
    <row r="203" spans="5:5" ht="12.75" customHeight="1" x14ac:dyDescent="0.25">
      <c r="E203" s="54"/>
    </row>
    <row r="204" spans="5:5" ht="12.75" customHeight="1" x14ac:dyDescent="0.25">
      <c r="E204" s="54"/>
    </row>
    <row r="205" spans="5:5" ht="12.75" customHeight="1" x14ac:dyDescent="0.25">
      <c r="E205" s="54"/>
    </row>
    <row r="206" spans="5:5" ht="12.75" customHeight="1" x14ac:dyDescent="0.25">
      <c r="E206" s="54"/>
    </row>
    <row r="207" spans="5:5" ht="12.75" customHeight="1" x14ac:dyDescent="0.25">
      <c r="E207" s="54"/>
    </row>
    <row r="208" spans="5:5" ht="12.75" customHeight="1" x14ac:dyDescent="0.25">
      <c r="E208" s="54"/>
    </row>
    <row r="209" spans="5:5" ht="12.75" customHeight="1" x14ac:dyDescent="0.25">
      <c r="E209" s="54"/>
    </row>
    <row r="210" spans="5:5" ht="12.75" customHeight="1" x14ac:dyDescent="0.25">
      <c r="E210" s="54"/>
    </row>
    <row r="211" spans="5:5" ht="12.75" customHeight="1" x14ac:dyDescent="0.25">
      <c r="E211" s="54"/>
    </row>
    <row r="212" spans="5:5" ht="12.75" customHeight="1" x14ac:dyDescent="0.25">
      <c r="E212" s="54"/>
    </row>
    <row r="213" spans="5:5" ht="12.75" customHeight="1" x14ac:dyDescent="0.25">
      <c r="E213" s="54"/>
    </row>
    <row r="214" spans="5:5" ht="12.75" customHeight="1" x14ac:dyDescent="0.25">
      <c r="E214" s="54"/>
    </row>
    <row r="215" spans="5:5" ht="12.75" customHeight="1" x14ac:dyDescent="0.25">
      <c r="E215" s="54"/>
    </row>
    <row r="216" spans="5:5" ht="12.75" customHeight="1" x14ac:dyDescent="0.25">
      <c r="E216" s="54"/>
    </row>
    <row r="217" spans="5:5" ht="12.75" customHeight="1" x14ac:dyDescent="0.25">
      <c r="E217" s="54"/>
    </row>
    <row r="218" spans="5:5" ht="12.75" customHeight="1" x14ac:dyDescent="0.25">
      <c r="E218" s="54"/>
    </row>
    <row r="219" spans="5:5" ht="12.75" customHeight="1" x14ac:dyDescent="0.25">
      <c r="E219" s="54"/>
    </row>
    <row r="220" spans="5:5" ht="12.75" customHeight="1" x14ac:dyDescent="0.25">
      <c r="E220" s="54"/>
    </row>
    <row r="221" spans="5:5" ht="15.75" customHeight="1" x14ac:dyDescent="0.25"/>
    <row r="222" spans="5:5" ht="15.75" customHeight="1" x14ac:dyDescent="0.25"/>
    <row r="223" spans="5:5" ht="15.75" customHeight="1" x14ac:dyDescent="0.25"/>
    <row r="224" spans="5: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E4:E5"/>
    <mergeCell ref="E1:F1"/>
    <mergeCell ref="A4:B4"/>
    <mergeCell ref="F4:F5"/>
    <mergeCell ref="H4:N7"/>
  </mergeCells>
  <pageMargins left="0.7" right="0.7" top="0.75" bottom="0.75" header="0" footer="0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showGridLines="0" workbookViewId="0">
      <pane ySplit="9" topLeftCell="A10" activePane="bottomLeft" state="frozen"/>
      <selection pane="bottomLeft"/>
    </sheetView>
  </sheetViews>
  <sheetFormatPr defaultColWidth="14.42578125" defaultRowHeight="12.75" x14ac:dyDescent="0.2"/>
  <cols>
    <col min="1" max="5" width="25.7109375" customWidth="1"/>
    <col min="6" max="6" width="26" style="50" customWidth="1"/>
    <col min="7" max="7" width="15.5703125" customWidth="1"/>
    <col min="8" max="8" width="9.42578125" style="31" hidden="1" customWidth="1"/>
    <col min="9" max="9" width="42.7109375" customWidth="1"/>
    <col min="10" max="24" width="8.7109375" customWidth="1"/>
  </cols>
  <sheetData>
    <row r="1" spans="1:10" s="14" customFormat="1" ht="25.5" customHeight="1" x14ac:dyDescent="0.2">
      <c r="A1" s="13" t="s">
        <v>214</v>
      </c>
      <c r="C1" s="59">
        <f>Data!B2</f>
        <v>43998.333333333336</v>
      </c>
      <c r="D1" s="59"/>
      <c r="E1" s="15"/>
      <c r="F1" s="43"/>
      <c r="G1" s="17"/>
      <c r="I1" s="17"/>
    </row>
    <row r="2" spans="1:10" s="19" customFormat="1" ht="25.5" customHeight="1" x14ac:dyDescent="0.45">
      <c r="A2" s="18" t="str">
        <f>Data!B1</f>
        <v>Fleet Name</v>
      </c>
      <c r="F2" s="44"/>
      <c r="G2" s="21"/>
      <c r="I2" s="21"/>
    </row>
    <row r="3" spans="1:10" s="22" customFormat="1" ht="17.25" customHeight="1" x14ac:dyDescent="0.25">
      <c r="F3" s="45"/>
      <c r="G3" s="24"/>
      <c r="I3" s="24"/>
    </row>
    <row r="4" spans="1:10" s="22" customFormat="1" ht="17.25" customHeight="1" x14ac:dyDescent="0.3">
      <c r="A4" s="60" t="s">
        <v>123</v>
      </c>
      <c r="B4" s="61"/>
      <c r="C4" s="25"/>
      <c r="F4" s="65" t="s">
        <v>215</v>
      </c>
      <c r="G4" s="62">
        <f>COUNTIF(H:H, 1)</f>
        <v>2</v>
      </c>
    </row>
    <row r="5" spans="1:10" s="22" customFormat="1" ht="17.25" customHeight="1" x14ac:dyDescent="0.3">
      <c r="A5" s="26" t="s">
        <v>84</v>
      </c>
      <c r="B5" s="32">
        <f>Data!B3</f>
        <v>42746</v>
      </c>
      <c r="C5" s="25"/>
      <c r="F5" s="66"/>
      <c r="G5" s="63"/>
      <c r="I5" s="27"/>
      <c r="J5" s="29"/>
    </row>
    <row r="6" spans="1:10" s="22" customFormat="1" ht="17.25" customHeight="1" x14ac:dyDescent="0.3">
      <c r="A6" s="26" t="s">
        <v>89</v>
      </c>
      <c r="B6" s="32">
        <f>Data!B4</f>
        <v>42746.999988425901</v>
      </c>
      <c r="C6" s="25"/>
      <c r="D6" s="30"/>
      <c r="E6" s="27"/>
      <c r="F6" s="45"/>
      <c r="G6" s="28"/>
      <c r="H6" s="30"/>
      <c r="I6" s="28"/>
      <c r="J6" s="27"/>
    </row>
    <row r="7" spans="1:10" s="22" customFormat="1" ht="17.25" customHeight="1" x14ac:dyDescent="0.3">
      <c r="A7" s="26" t="s">
        <v>216</v>
      </c>
      <c r="B7" s="42">
        <f>B6-B5</f>
        <v>0.99998842590139247</v>
      </c>
      <c r="C7" s="25"/>
      <c r="D7" s="30"/>
      <c r="E7" s="25"/>
      <c r="F7" s="46"/>
      <c r="G7" s="28"/>
      <c r="H7" s="30"/>
      <c r="I7" s="28"/>
      <c r="J7" s="27"/>
    </row>
    <row r="8" spans="1:10" ht="12.75" customHeight="1" x14ac:dyDescent="0.2">
      <c r="B8" s="8"/>
      <c r="C8" s="8"/>
      <c r="D8" s="8"/>
      <c r="E8" s="5"/>
      <c r="F8" s="47"/>
      <c r="G8" s="8"/>
      <c r="H8" t="s">
        <v>217</v>
      </c>
      <c r="I8" s="8"/>
    </row>
    <row r="9" spans="1:10" s="36" customFormat="1" ht="17.25" customHeight="1" x14ac:dyDescent="0.3">
      <c r="A9" s="33" t="s">
        <v>40</v>
      </c>
      <c r="B9" s="33" t="s">
        <v>94</v>
      </c>
      <c r="C9" s="33" t="s">
        <v>99</v>
      </c>
      <c r="D9" s="33" t="s">
        <v>213</v>
      </c>
      <c r="E9" s="33" t="s">
        <v>50</v>
      </c>
      <c r="F9" s="48" t="s">
        <v>55</v>
      </c>
      <c r="G9" s="34" t="s">
        <v>60</v>
      </c>
      <c r="H9" s="35" t="s">
        <v>211</v>
      </c>
      <c r="I9" s="34" t="s">
        <v>64</v>
      </c>
      <c r="J9" s="35"/>
    </row>
    <row r="10" spans="1:10" ht="12.75" customHeight="1" x14ac:dyDescent="0.25">
      <c r="A10" s="37" t="str">
        <f>Data!A11</f>
        <v>driver1</v>
      </c>
      <c r="B10" s="37" t="str">
        <f>Data!B11</f>
        <v>first1</v>
      </c>
      <c r="C10" s="37" t="str">
        <f>IF(Data!C11&lt;&gt;0,Data!C11,"")</f>
        <v>last1</v>
      </c>
      <c r="D10" s="38">
        <f>Data!D11</f>
        <v>42721.173925080999</v>
      </c>
      <c r="E10" s="38" t="str">
        <f>IF(Data!E11=0, "Ongoing",Data!E11)</f>
        <v>Ongoing</v>
      </c>
      <c r="F10" s="49">
        <f>Data!F11</f>
        <v>25.250550798611101</v>
      </c>
      <c r="G10" s="39" t="str">
        <f>Data!G11</f>
        <v>Driving</v>
      </c>
      <c r="H10" s="41">
        <f>IF(Data!$B$2-D10&lt;0.02083, 1, 0)</f>
        <v>0</v>
      </c>
      <c r="I10" s="40" t="str">
        <f>Data!H11</f>
        <v>Maximum 11 hour driving limit violation</v>
      </c>
    </row>
    <row r="11" spans="1:10" ht="12.75" customHeight="1" x14ac:dyDescent="0.25">
      <c r="A11" s="37" t="str">
        <f>Data!A12</f>
        <v>driver2</v>
      </c>
      <c r="B11" s="37" t="str">
        <f>Data!B12</f>
        <v>first2</v>
      </c>
      <c r="C11" s="37" t="str">
        <f>IF(Data!C12&lt;&gt;0,Data!C12,"")</f>
        <v>last2</v>
      </c>
      <c r="D11" s="38">
        <f>Data!D12</f>
        <v>43998.54892361111</v>
      </c>
      <c r="E11" s="38" t="str">
        <f>IF(Data!E12=0, "Ongoing",Data!E12)</f>
        <v>Ongoing</v>
      </c>
      <c r="F11" s="49">
        <f>Data!F12</f>
        <v>25.375550798611101</v>
      </c>
      <c r="G11" s="39" t="str">
        <f>Data!G12</f>
        <v>Rest</v>
      </c>
      <c r="H11" s="41">
        <f>IF(Data!$B$2-D11&lt;0.02083, 1, 0)</f>
        <v>1</v>
      </c>
      <c r="I11" s="40" t="str">
        <f>Data!H12</f>
        <v>Driving after more than 8 hour rest limit</v>
      </c>
    </row>
    <row r="12" spans="1:10" ht="12.75" customHeight="1" x14ac:dyDescent="0.25">
      <c r="A12" s="37" t="str">
        <f>Data!A13</f>
        <v>driver3</v>
      </c>
      <c r="B12" s="37" t="str">
        <f>Data!B13</f>
        <v>first3</v>
      </c>
      <c r="C12" s="37" t="str">
        <f>IF(Data!C13&lt;&gt;0,Data!C13,"")</f>
        <v>last3</v>
      </c>
      <c r="D12" s="38">
        <f>Data!D13</f>
        <v>43998.76489583333</v>
      </c>
      <c r="E12" s="38" t="str">
        <f>IF(Data!E13=0, "Ongoing",Data!E13)</f>
        <v>Ongoing</v>
      </c>
      <c r="F12" s="49">
        <f>Data!F13</f>
        <v>25.042217465277801</v>
      </c>
      <c r="G12" s="39" t="str">
        <f>Data!G13</f>
        <v>Workday</v>
      </c>
      <c r="H12" s="41">
        <f>IF(Data!$B$2-D12&lt;0.02083, 1, 0)</f>
        <v>1</v>
      </c>
      <c r="I12" s="40" t="str">
        <f>Data!H13</f>
        <v>Maximum 14 hour work day limit violation</v>
      </c>
    </row>
    <row r="13" spans="1:10" ht="12.75" customHeight="1" x14ac:dyDescent="0.25">
      <c r="A13" s="37" t="str">
        <f>Data!A14</f>
        <v>driver4</v>
      </c>
      <c r="B13" s="37" t="str">
        <f>Data!B14</f>
        <v>first4</v>
      </c>
      <c r="C13" s="37" t="str">
        <f>IF(Data!C14&lt;&gt;0,Data!C14,"")</f>
        <v>last4</v>
      </c>
      <c r="D13" s="38">
        <f>Data!D14</f>
        <v>42746.424475879598</v>
      </c>
      <c r="E13" s="38" t="str">
        <f>IF(Data!E14=0, "Ongoing",Data!E14)</f>
        <v>Ongoing</v>
      </c>
      <c r="F13" s="49">
        <f>Data!F14</f>
        <v>0</v>
      </c>
      <c r="G13" s="39" t="str">
        <f>Data!G14</f>
        <v>Cycle</v>
      </c>
      <c r="H13" s="41">
        <f>IF(Data!$B$2-D13&lt;0.02083, 1, 0)</f>
        <v>0</v>
      </c>
      <c r="I13" s="40" t="str">
        <f>Data!H14</f>
        <v>Maximum 60hr on duty in 7 days</v>
      </c>
    </row>
    <row r="14" spans="1:10" ht="12.75" customHeight="1" x14ac:dyDescent="0.25">
      <c r="A14" s="37" t="str">
        <f>Data!A15</f>
        <v>driver5</v>
      </c>
      <c r="B14" s="37" t="str">
        <f>Data!B15</f>
        <v>first5</v>
      </c>
      <c r="C14" s="37" t="str">
        <f>IF(Data!C15&lt;&gt;0,Data!C15,"")</f>
        <v>last5</v>
      </c>
      <c r="D14" s="38">
        <f>Data!D15</f>
        <v>42737.483033877303</v>
      </c>
      <c r="E14" s="38" t="str">
        <f>IF(Data!E15=0, "Ongoing",Data!E15)</f>
        <v>Ongoing</v>
      </c>
      <c r="F14" s="49">
        <f>Data!F15</f>
        <v>0.14492271990740699</v>
      </c>
      <c r="G14" s="39" t="str">
        <f>Data!G15</f>
        <v>Rest</v>
      </c>
      <c r="H14" s="41">
        <f>IF(Data!$B$2-D14&lt;0.02083, 1, 0)</f>
        <v>0</v>
      </c>
      <c r="I14" s="40" t="str">
        <f>Data!H15</f>
        <v>Driving after more than 8 hour rest limit</v>
      </c>
    </row>
    <row r="15" spans="1:10" ht="12.75" customHeight="1" x14ac:dyDescent="0.25">
      <c r="A15" s="37" t="str">
        <f>Data!A16</f>
        <v>driver6</v>
      </c>
      <c r="B15" s="37" t="str">
        <f>Data!B16</f>
        <v>first6</v>
      </c>
      <c r="C15" s="37" t="str">
        <f>IF(Data!C16&lt;&gt;0,Data!C16,"")</f>
        <v>last6</v>
      </c>
      <c r="D15" s="38">
        <f>Data!D16</f>
        <v>42737.559398877303</v>
      </c>
      <c r="E15" s="38" t="str">
        <f>IF(Data!E16=0, "Ongoing",Data!E16)</f>
        <v>Ongoing</v>
      </c>
      <c r="F15" s="49">
        <f>Data!F16</f>
        <v>0.14345428240740701</v>
      </c>
      <c r="G15" s="39" t="str">
        <f>Data!G16</f>
        <v>Workday</v>
      </c>
      <c r="H15" s="41">
        <f>IF(Data!$B$2-D15&lt;0.02083, 1, 0)</f>
        <v>0</v>
      </c>
      <c r="I15" s="40" t="str">
        <f>Data!H16</f>
        <v>Maximum 14 hour work day limit violation</v>
      </c>
    </row>
    <row r="16" spans="1:10" ht="12.75" customHeight="1" x14ac:dyDescent="0.25">
      <c r="A16" s="37" t="str">
        <f>Data!A17</f>
        <v>driver7</v>
      </c>
      <c r="B16" s="37" t="str">
        <f>Data!B17</f>
        <v>first7</v>
      </c>
      <c r="C16" s="37" t="str">
        <f>IF(Data!C17&lt;&gt;0,Data!C17,"")</f>
        <v>last7</v>
      </c>
      <c r="D16" s="38">
        <f>Data!D17</f>
        <v>42737.579526192101</v>
      </c>
      <c r="E16" s="38" t="str">
        <f>IF(Data!E17=0, "Ongoing",Data!E17)</f>
        <v>Ongoing</v>
      </c>
      <c r="F16" s="49">
        <f>Data!F17</f>
        <v>1.3596608796296299E-2</v>
      </c>
      <c r="G16" s="39" t="str">
        <f>Data!G17</f>
        <v>Rest</v>
      </c>
      <c r="H16" s="41">
        <f>IF(Data!$B$2-D16&lt;0.02083, 1, 0)</f>
        <v>0</v>
      </c>
      <c r="I16" s="40" t="str">
        <f>Data!H17</f>
        <v>Driving after more than 8 hour rest limit</v>
      </c>
    </row>
    <row r="17" spans="1:9" ht="12.75" customHeight="1" x14ac:dyDescent="0.25">
      <c r="A17" s="37" t="str">
        <f>Data!A18</f>
        <v>driver8</v>
      </c>
      <c r="B17" s="37" t="str">
        <f>Data!B18</f>
        <v>first8</v>
      </c>
      <c r="C17" s="37" t="str">
        <f>IF(Data!C18&lt;&gt;0,Data!C18,"")</f>
        <v>last8</v>
      </c>
      <c r="D17" s="38">
        <f>Data!D18</f>
        <v>42737.579526192101</v>
      </c>
      <c r="E17" s="38" t="str">
        <f>IF(Data!E18=0, "Ongoing",Data!E18)</f>
        <v>Ongoing</v>
      </c>
      <c r="F17" s="49">
        <f>Data!F18</f>
        <v>1.3596608796296299E-2</v>
      </c>
      <c r="G17" s="39" t="str">
        <f>Data!G18</f>
        <v>Workday</v>
      </c>
      <c r="H17" s="41">
        <f>IF(Data!$B$2-D17&lt;0.02083, 1, 0)</f>
        <v>0</v>
      </c>
      <c r="I17" s="40" t="str">
        <f>Data!H18</f>
        <v>Maximum 14 hour work day limit violation</v>
      </c>
    </row>
    <row r="18" spans="1:9" ht="12.75" customHeight="1" x14ac:dyDescent="0.25">
      <c r="A18" s="37" t="str">
        <f>Data!A19</f>
        <v>driver9</v>
      </c>
      <c r="B18" s="37" t="str">
        <f>Data!B19</f>
        <v>first9</v>
      </c>
      <c r="C18" s="37" t="str">
        <f>IF(Data!C19&lt;&gt;0,Data!C19,"")</f>
        <v>last9</v>
      </c>
      <c r="D18" s="38">
        <f>Data!D19</f>
        <v>43928.764891203704</v>
      </c>
      <c r="E18" s="38" t="str">
        <f>IF(Data!E19=0, "Ongoing",Data!E19)</f>
        <v>Ongoing</v>
      </c>
      <c r="F18" s="49">
        <f>Data!F19</f>
        <v>1.3596608796296299E-2</v>
      </c>
      <c r="G18" s="39" t="str">
        <f>Data!G19</f>
        <v>Cycle</v>
      </c>
      <c r="H18" s="41">
        <f>IF(Data!$B$2-D18&lt;0.02083, 1, 0)</f>
        <v>0</v>
      </c>
      <c r="I18" s="40" t="str">
        <f>Data!H19</f>
        <v>Maximum 60hr on duty in 7 days</v>
      </c>
    </row>
    <row r="19" spans="1:9" ht="12.75" customHeight="1" x14ac:dyDescent="0.25">
      <c r="A19" s="37" t="str">
        <f>Data!A20</f>
        <v>driver10</v>
      </c>
      <c r="B19" s="37" t="str">
        <f>Data!B20</f>
        <v>first10</v>
      </c>
      <c r="C19" s="37" t="str">
        <f>IF(Data!C20&lt;&gt;0,Data!C20,"")</f>
        <v>last10</v>
      </c>
      <c r="D19" s="38">
        <f>Data!D20</f>
        <v>43928.764891203704</v>
      </c>
      <c r="E19" s="38" t="str">
        <f>IF(Data!E20=0, "Ongoing",Data!E20)</f>
        <v>Ongoing</v>
      </c>
      <c r="F19" s="49">
        <f>Data!F20</f>
        <v>0.46166057870370403</v>
      </c>
      <c r="G19" s="39" t="str">
        <f>Data!G20</f>
        <v>Rest</v>
      </c>
      <c r="H19" s="41">
        <f>IF(Data!$B$2-D19&lt;0.02083, 1, 0)</f>
        <v>0</v>
      </c>
      <c r="I19" s="40" t="str">
        <f>Data!H20</f>
        <v>Driving after more than 8 hour rest limit</v>
      </c>
    </row>
    <row r="20" spans="1:9" ht="12.75" customHeight="1" x14ac:dyDescent="0.25">
      <c r="A20" s="37" t="str">
        <f>Data!A21</f>
        <v>driver11</v>
      </c>
      <c r="B20" s="37" t="str">
        <f>Data!B21</f>
        <v>first11</v>
      </c>
      <c r="C20" s="37" t="str">
        <f>IF(Data!C21&lt;&gt;0,Data!C21,"")</f>
        <v>last11</v>
      </c>
      <c r="D20" s="38">
        <f>Data!D21</f>
        <v>43928.764891203704</v>
      </c>
      <c r="E20" s="38" t="str">
        <f>IF(Data!E21=0, "Ongoing",Data!E21)</f>
        <v>Ongoing</v>
      </c>
      <c r="F20" s="49">
        <f>Data!F21</f>
        <v>0.46166057870370403</v>
      </c>
      <c r="G20" s="39" t="str">
        <f>Data!G21</f>
        <v>Workday</v>
      </c>
      <c r="H20" s="41">
        <f>IF(Data!$B$2-D20&lt;0.02083, 1, 0)</f>
        <v>0</v>
      </c>
      <c r="I20" s="40" t="str">
        <f>Data!H21</f>
        <v>Maximum 14 hour work day limit violation</v>
      </c>
    </row>
    <row r="21" spans="1:9" ht="12.75" customHeight="1" x14ac:dyDescent="0.25">
      <c r="A21" s="37" t="str">
        <f>Data!A22</f>
        <v>driver12</v>
      </c>
      <c r="B21" s="37" t="str">
        <f>Data!B22</f>
        <v>first12</v>
      </c>
      <c r="C21" s="37" t="str">
        <f>IF(Data!C22&lt;&gt;0,Data!C22,"")</f>
        <v>last12</v>
      </c>
      <c r="D21" s="38">
        <f>Data!D22</f>
        <v>42731.509364155099</v>
      </c>
      <c r="E21" s="38" t="str">
        <f>IF(Data!E22=0, "Ongoing",Data!E22)</f>
        <v>Ongoing</v>
      </c>
      <c r="F21" s="49">
        <f>Data!F22</f>
        <v>0.40586562500000001</v>
      </c>
      <c r="G21" s="39" t="str">
        <f>Data!G22</f>
        <v>Cycle</v>
      </c>
      <c r="H21" s="41">
        <f>IF(Data!$B$2-D21&lt;0.02083, 1, 0)</f>
        <v>0</v>
      </c>
      <c r="I21" s="40" t="str">
        <f>Data!H22</f>
        <v>Maximum 60hr on duty in 7 days</v>
      </c>
    </row>
    <row r="22" spans="1:9" ht="12.75" customHeight="1" x14ac:dyDescent="0.25">
      <c r="A22" s="37" t="str">
        <f>Data!A23</f>
        <v>driver13</v>
      </c>
      <c r="B22" s="37" t="str">
        <f>Data!B23</f>
        <v>first13</v>
      </c>
      <c r="C22" s="37" t="str">
        <f>IF(Data!C23&lt;&gt;0,Data!C23,"")</f>
        <v>last13</v>
      </c>
      <c r="D22" s="38">
        <f>Data!D23</f>
        <v>42736.840654236097</v>
      </c>
      <c r="E22" s="38" t="str">
        <f>IF(Data!E23=0, "Ongoing",Data!E23)</f>
        <v>Ongoing</v>
      </c>
      <c r="F22" s="49">
        <f>Data!F23</f>
        <v>3.3272453703703702E-3</v>
      </c>
      <c r="G22" s="39" t="str">
        <f>Data!G23</f>
        <v>Driving</v>
      </c>
      <c r="H22" s="41">
        <f>IF(Data!$B$2-D22&lt;0.02083, 1, 0)</f>
        <v>0</v>
      </c>
      <c r="I22" s="40" t="str">
        <f>Data!H23</f>
        <v>Maximum 11 hour driving limit violation</v>
      </c>
    </row>
    <row r="23" spans="1:9" ht="12.75" customHeight="1" x14ac:dyDescent="0.25">
      <c r="A23" s="37" t="str">
        <f>Data!A24</f>
        <v>driver14</v>
      </c>
      <c r="B23" s="37" t="str">
        <f>Data!B24</f>
        <v>first14</v>
      </c>
      <c r="C23" s="37" t="str">
        <f>IF(Data!C24&lt;&gt;0,Data!C24,"")</f>
        <v>last14</v>
      </c>
      <c r="D23" s="38">
        <f>Data!D24</f>
        <v>42730.4330794329</v>
      </c>
      <c r="E23" s="38" t="str">
        <f>IF(Data!E24=0, "Ongoing",Data!E24)</f>
        <v>Ongoing</v>
      </c>
      <c r="F23" s="49">
        <f>Data!F24</f>
        <v>0.38586057870370399</v>
      </c>
      <c r="G23" s="39" t="str">
        <f>Data!G24</f>
        <v>Rest</v>
      </c>
      <c r="H23" s="41">
        <f>IF(Data!$B$2-D23&lt;0.02083, 1, 0)</f>
        <v>0</v>
      </c>
      <c r="I23" s="40" t="str">
        <f>Data!H24</f>
        <v>Driving after more than 8 hour rest limit</v>
      </c>
    </row>
    <row r="24" spans="1:9" ht="12.75" customHeight="1" x14ac:dyDescent="0.25">
      <c r="A24" s="37" t="str">
        <f>Data!A25</f>
        <v>driver15</v>
      </c>
      <c r="B24" s="37" t="str">
        <f>Data!B25</f>
        <v>first15</v>
      </c>
      <c r="C24" s="37" t="str">
        <f>IF(Data!C25&lt;&gt;0,Data!C25,"")</f>
        <v>last15</v>
      </c>
      <c r="D24" s="38">
        <f>Data!D25</f>
        <v>42730.458924340302</v>
      </c>
      <c r="E24" s="38" t="str">
        <f>IF(Data!E25=0, "Ongoing",Data!E25)</f>
        <v>Ongoing</v>
      </c>
      <c r="F24" s="49">
        <f>Data!F25</f>
        <v>0.37829186342592602</v>
      </c>
      <c r="G24" s="39" t="str">
        <f>Data!G25</f>
        <v>Workday</v>
      </c>
      <c r="H24" s="41">
        <f>IF(Data!$B$2-D24&lt;0.02083, 1, 0)</f>
        <v>0</v>
      </c>
      <c r="I24" s="40" t="str">
        <f>Data!H25</f>
        <v>Maximum 14 hour work day limit violation</v>
      </c>
    </row>
    <row r="25" spans="1:9" ht="12.75" customHeight="1" x14ac:dyDescent="0.25">
      <c r="A25" s="37" t="str">
        <f>Data!A26</f>
        <v>driver16</v>
      </c>
      <c r="B25" s="37" t="str">
        <f>Data!B26</f>
        <v>first16</v>
      </c>
      <c r="C25" s="37" t="str">
        <f>IF(Data!C26&lt;&gt;0,Data!C26,"")</f>
        <v>last16</v>
      </c>
      <c r="D25" s="38">
        <f>Data!D26</f>
        <v>42732.3396419329</v>
      </c>
      <c r="E25" s="38" t="str">
        <f>IF(Data!E26=0, "Ongoing",Data!E26)</f>
        <v>Ongoing</v>
      </c>
      <c r="F25" s="49">
        <f>Data!F26</f>
        <v>0.31379829861111103</v>
      </c>
      <c r="G25" s="39" t="str">
        <f>Data!G26</f>
        <v>Cycle</v>
      </c>
      <c r="H25" s="41">
        <f>IF(Data!$B$2-D25&lt;0.02083, 1, 0)</f>
        <v>0</v>
      </c>
      <c r="I25" s="40" t="str">
        <f>Data!H26</f>
        <v>Maximum 60hr on duty in 7 days</v>
      </c>
    </row>
    <row r="26" spans="1:9" ht="12.75" customHeight="1" x14ac:dyDescent="0.25">
      <c r="A26" s="37" t="str">
        <f>Data!A27</f>
        <v>driver17</v>
      </c>
      <c r="B26" s="37" t="str">
        <f>Data!B27</f>
        <v>first17</v>
      </c>
      <c r="C26" s="37" t="str">
        <f>IF(Data!C27&lt;&gt;0,Data!C27,"")</f>
        <v>last17</v>
      </c>
      <c r="D26" s="38">
        <f>Data!D27</f>
        <v>42730.090591006898</v>
      </c>
      <c r="E26" s="38" t="str">
        <f>IF(Data!E27=0, "Ongoing",Data!E27)</f>
        <v>Ongoing</v>
      </c>
      <c r="F26" s="49">
        <f>Data!F27</f>
        <v>0.46291335648148102</v>
      </c>
      <c r="G26" s="39" t="str">
        <f>Data!G27</f>
        <v>Duty</v>
      </c>
      <c r="H26" s="41">
        <f>IF(Data!$B$2-D26&lt;0.02083, 1, 0)</f>
        <v>0</v>
      </c>
      <c r="I26" s="40" t="str">
        <f>Data!H27</f>
        <v>Maximum 14 hour on-duty limit violation</v>
      </c>
    </row>
    <row r="27" spans="1:9" ht="12.75" customHeight="1" x14ac:dyDescent="0.25">
      <c r="A27" s="37" t="str">
        <f>Data!A28</f>
        <v>driver18</v>
      </c>
      <c r="B27" s="37" t="str">
        <f>Data!B28</f>
        <v>first18</v>
      </c>
      <c r="C27" s="37" t="str">
        <f>IF(Data!C28&lt;&gt;0,Data!C28,"")</f>
        <v>last18</v>
      </c>
      <c r="D27" s="38">
        <f>Data!D28</f>
        <v>42730.561424340303</v>
      </c>
      <c r="E27" s="38" t="str">
        <f>IF(Data!E28=0, "Ongoing",Data!E28)</f>
        <v>Ongoing</v>
      </c>
      <c r="F27" s="49">
        <f>Data!F28</f>
        <v>0.46291335648148102</v>
      </c>
      <c r="G27" s="39" t="str">
        <f>Data!G28</f>
        <v>Workday</v>
      </c>
      <c r="H27" s="41">
        <f>IF(Data!$B$2-D27&lt;0.02083, 1, 0)</f>
        <v>0</v>
      </c>
      <c r="I27" s="40" t="str">
        <f>Data!H28</f>
        <v>Maximum 16 hour work day limit violation</v>
      </c>
    </row>
    <row r="28" spans="1:9" ht="12.75" customHeight="1" x14ac:dyDescent="0.25">
      <c r="A28" s="37" t="str">
        <f>Data!A29</f>
        <v>driver19</v>
      </c>
      <c r="B28" s="37" t="str">
        <f>Data!B29</f>
        <v>first19</v>
      </c>
      <c r="C28" s="37" t="str">
        <f>IF(Data!C29&lt;&gt;0,Data!C29,"")</f>
        <v>last19</v>
      </c>
      <c r="D28" s="38">
        <f>Data!D29</f>
        <v>43928.764891203704</v>
      </c>
      <c r="E28" s="38" t="str">
        <f>IF(Data!E29=0, "Ongoing",Data!E29)</f>
        <v>Ongoing</v>
      </c>
      <c r="F28" s="49">
        <f>Data!F29</f>
        <v>0.38217181712963</v>
      </c>
      <c r="G28" s="39" t="str">
        <f>Data!G29</f>
        <v>Cycle</v>
      </c>
      <c r="H28" s="41">
        <f>IF(Data!$B$2-D28&lt;0.02083, 1, 0)</f>
        <v>0</v>
      </c>
      <c r="I28" s="40" t="str">
        <f>Data!H29</f>
        <v>Maximum 70hr on duty in 7 days</v>
      </c>
    </row>
    <row r="29" spans="1:9" ht="12.75" customHeight="1" x14ac:dyDescent="0.25">
      <c r="A29" s="37" t="str">
        <f>Data!A30</f>
        <v>driver20</v>
      </c>
      <c r="B29" s="37" t="str">
        <f>Data!B30</f>
        <v>first20</v>
      </c>
      <c r="C29" s="37" t="str">
        <f>IF(Data!C30&lt;&gt;0,Data!C30,"")</f>
        <v>last20</v>
      </c>
      <c r="D29" s="38">
        <f>Data!D30</f>
        <v>43928.764891203704</v>
      </c>
      <c r="E29" s="38" t="str">
        <f>IF(Data!E30=0, "Ongoing",Data!E30)</f>
        <v>Ongoing</v>
      </c>
      <c r="F29" s="49">
        <f>Data!F30</f>
        <v>12.389057025463</v>
      </c>
      <c r="G29" s="39" t="str">
        <f>Data!G30</f>
        <v>Driving</v>
      </c>
      <c r="H29" s="41">
        <f>IF(Data!$B$2-D29&lt;0.02083, 1, 0)</f>
        <v>0</v>
      </c>
      <c r="I29" s="40" t="str">
        <f>Data!H30</f>
        <v>Maximum 11 hour driving limit violation</v>
      </c>
    </row>
    <row r="30" spans="1:9" ht="12.75" customHeight="1" x14ac:dyDescent="0.25">
      <c r="A30" s="37" t="str">
        <f>Data!A31</f>
        <v>driver21</v>
      </c>
      <c r="B30" s="37" t="str">
        <f>Data!B31</f>
        <v>first21</v>
      </c>
      <c r="C30" s="37" t="str">
        <f>IF(Data!C31&lt;&gt;0,Data!C31,"")</f>
        <v>last21</v>
      </c>
      <c r="D30" s="38">
        <f>Data!D31</f>
        <v>43928.764891203704</v>
      </c>
      <c r="E30" s="38" t="str">
        <f>IF(Data!E31=0, "Ongoing",Data!E31)</f>
        <v>Ongoing</v>
      </c>
      <c r="F30" s="49">
        <f>Data!F31</f>
        <v>12.6428670833333</v>
      </c>
      <c r="G30" s="39" t="str">
        <f>Data!G31</f>
        <v>Rest</v>
      </c>
      <c r="H30" s="41">
        <f>IF(Data!$B$2-D30&lt;0.02083, 1, 0)</f>
        <v>0</v>
      </c>
      <c r="I30" s="40" t="str">
        <f>Data!H31</f>
        <v>Driving after more than 8 hour rest limit</v>
      </c>
    </row>
    <row r="31" spans="1:9" ht="12.75" customHeight="1" x14ac:dyDescent="0.25">
      <c r="A31" s="37" t="str">
        <f>Data!A32</f>
        <v>driver22</v>
      </c>
      <c r="B31" s="37" t="str">
        <f>Data!B32</f>
        <v>first22</v>
      </c>
      <c r="C31" s="37" t="str">
        <f>IF(Data!C32&lt;&gt;0,Data!C32,"")</f>
        <v>last22</v>
      </c>
      <c r="D31" s="38">
        <f>Data!D32</f>
        <v>42734.1149421296</v>
      </c>
      <c r="E31" s="38" t="str">
        <f>IF(Data!E32=0, "Ongoing",Data!E32)</f>
        <v>Ongoing</v>
      </c>
      <c r="F31" s="49">
        <f>Data!F32</f>
        <v>12.30953375</v>
      </c>
      <c r="G31" s="39" t="str">
        <f>Data!G32</f>
        <v>Workday</v>
      </c>
      <c r="H31" s="41">
        <f>IF(Data!$B$2-D31&lt;0.02083, 1, 0)</f>
        <v>0</v>
      </c>
      <c r="I31" s="40" t="str">
        <f>Data!H32</f>
        <v>Maximum 14 hour work day limit violation</v>
      </c>
    </row>
    <row r="32" spans="1:9" ht="12.75" customHeight="1" x14ac:dyDescent="0.25">
      <c r="A32" s="37" t="str">
        <f>Data!A33</f>
        <v>driver23</v>
      </c>
      <c r="B32" s="37" t="str">
        <f>Data!B33</f>
        <v>first23</v>
      </c>
      <c r="C32" s="37" t="str">
        <f>IF(Data!C33&lt;&gt;0,Data!C33,"")</f>
        <v>last23</v>
      </c>
      <c r="D32" s="38">
        <f>Data!D33</f>
        <v>42746.424475879598</v>
      </c>
      <c r="E32" s="38" t="str">
        <f>IF(Data!E33=0, "Ongoing",Data!E33)</f>
        <v>Ongoing</v>
      </c>
      <c r="F32" s="49">
        <f>Data!F33</f>
        <v>0</v>
      </c>
      <c r="G32" s="39" t="str">
        <f>Data!G33</f>
        <v>Cycle</v>
      </c>
      <c r="H32" s="41">
        <f>IF(Data!$B$2-D32&lt;0.02083, 1, 0)</f>
        <v>0</v>
      </c>
      <c r="I32" s="40" t="str">
        <f>Data!H33</f>
        <v>Maximum 60hr on duty in 7 days</v>
      </c>
    </row>
    <row r="33" spans="1:9" ht="12.75" customHeight="1" x14ac:dyDescent="0.25">
      <c r="A33" s="37" t="str">
        <f>Data!A34</f>
        <v>driver24</v>
      </c>
      <c r="B33" s="37" t="str">
        <f>Data!B34</f>
        <v>first24</v>
      </c>
      <c r="C33" s="37" t="str">
        <f>IF(Data!C34&lt;&gt;0,Data!C34,"")</f>
        <v>last24</v>
      </c>
      <c r="D33" s="38">
        <f>Data!D34</f>
        <v>42607.125</v>
      </c>
      <c r="E33" s="38" t="str">
        <f>IF(Data!E34=0, "Ongoing",Data!E34)</f>
        <v>Ongoing</v>
      </c>
      <c r="F33" s="49">
        <f>Data!F34</f>
        <v>139.341142546296</v>
      </c>
      <c r="G33" s="39" t="str">
        <f>Data!G34</f>
        <v>Driving</v>
      </c>
      <c r="H33" s="41">
        <f>IF(Data!$B$2-D33&lt;0.02083, 1, 0)</f>
        <v>0</v>
      </c>
      <c r="I33" s="40" t="str">
        <f>Data!H34</f>
        <v>Maximum 11 hour driving limit violation</v>
      </c>
    </row>
    <row r="34" spans="1:9" ht="12.75" customHeight="1" x14ac:dyDescent="0.25">
      <c r="A34" s="37" t="str">
        <f>Data!A35</f>
        <v>driver25</v>
      </c>
      <c r="B34" s="37" t="str">
        <f>Data!B35</f>
        <v>first25</v>
      </c>
      <c r="C34" s="37" t="str">
        <f>IF(Data!C35&lt;&gt;0,Data!C35,"")</f>
        <v>last25</v>
      </c>
      <c r="D34" s="38">
        <f>Data!D35</f>
        <v>42607</v>
      </c>
      <c r="E34" s="38" t="str">
        <f>IF(Data!E35=0, "Ongoing",Data!E35)</f>
        <v>Ongoing</v>
      </c>
      <c r="F34" s="49">
        <f>Data!F35</f>
        <v>139.466142546296</v>
      </c>
      <c r="G34" s="39" t="str">
        <f>Data!G35</f>
        <v>Rest</v>
      </c>
      <c r="H34" s="41">
        <f>IF(Data!$B$2-D34&lt;0.02083, 1, 0)</f>
        <v>0</v>
      </c>
      <c r="I34" s="40" t="str">
        <f>Data!H35</f>
        <v>Driving after more than 8 hour rest limit</v>
      </c>
    </row>
    <row r="35" spans="1:9" ht="12.75" customHeight="1" x14ac:dyDescent="0.25">
      <c r="A35" s="37" t="str">
        <f>Data!A36</f>
        <v>driver26</v>
      </c>
      <c r="B35" s="37" t="str">
        <f>Data!B36</f>
        <v>first26</v>
      </c>
      <c r="C35" s="37" t="str">
        <f>IF(Data!C36&lt;&gt;0,Data!C36,"")</f>
        <v>last26</v>
      </c>
      <c r="D35" s="38">
        <f>Data!D36</f>
        <v>43928.764891203704</v>
      </c>
      <c r="E35" s="38" t="str">
        <f>IF(Data!E36=0, "Ongoing",Data!E36)</f>
        <v>Ongoing</v>
      </c>
      <c r="F35" s="49">
        <f>Data!F36</f>
        <v>139.132809212963</v>
      </c>
      <c r="G35" s="39" t="str">
        <f>Data!G36</f>
        <v>Workday</v>
      </c>
      <c r="H35" s="41">
        <f>IF(Data!$B$2-D35&lt;0.02083, 1, 0)</f>
        <v>0</v>
      </c>
      <c r="I35" s="40" t="str">
        <f>Data!H36</f>
        <v>Maximum 14 hour work day limit violation</v>
      </c>
    </row>
    <row r="36" spans="1:9" ht="12.75" customHeight="1" x14ac:dyDescent="0.25">
      <c r="A36" s="37" t="str">
        <f>Data!A37</f>
        <v>driver27</v>
      </c>
      <c r="B36" s="37" t="str">
        <f>Data!B37</f>
        <v>first27</v>
      </c>
      <c r="C36" s="37" t="str">
        <f>IF(Data!C37&lt;&gt;0,Data!C37,"")</f>
        <v>last27</v>
      </c>
      <c r="D36" s="38">
        <f>Data!D37</f>
        <v>43928.764891203704</v>
      </c>
      <c r="E36" s="38" t="str">
        <f>IF(Data!E37=0, "Ongoing",Data!E37)</f>
        <v>Ongoing</v>
      </c>
      <c r="F36" s="49">
        <f>Data!F37</f>
        <v>0</v>
      </c>
      <c r="G36" s="39" t="str">
        <f>Data!G37</f>
        <v>Cycle</v>
      </c>
      <c r="H36" s="41">
        <f>IF(Data!$B$2-D36&lt;0.02083, 1, 0)</f>
        <v>0</v>
      </c>
      <c r="I36" s="40" t="str">
        <f>Data!H37</f>
        <v>Maximum 60hr on duty in 7 days</v>
      </c>
    </row>
    <row r="37" spans="1:9" ht="12.75" customHeight="1" x14ac:dyDescent="0.25">
      <c r="A37" s="37" t="str">
        <f>Data!A38</f>
        <v>driver28</v>
      </c>
      <c r="B37" s="37" t="str">
        <f>Data!B38</f>
        <v>first28</v>
      </c>
      <c r="C37" s="37" t="str">
        <f>IF(Data!C38&lt;&gt;0,Data!C38,"")</f>
        <v>last28</v>
      </c>
      <c r="D37" s="38">
        <f>Data!D38</f>
        <v>43928.764891203704</v>
      </c>
      <c r="E37" s="38" t="str">
        <f>IF(Data!E38=0, "Ongoing",Data!E38)</f>
        <v>Ongoing</v>
      </c>
      <c r="F37" s="49">
        <f>Data!F38</f>
        <v>123.290792465278</v>
      </c>
      <c r="G37" s="39" t="str">
        <f>Data!G38</f>
        <v>Driving</v>
      </c>
      <c r="H37" s="41">
        <f>IF(Data!$B$2-D37&lt;0.02083, 1, 0)</f>
        <v>0</v>
      </c>
      <c r="I37" s="40" t="str">
        <f>Data!H38</f>
        <v>Maximum 11 hour driving limit violation</v>
      </c>
    </row>
    <row r="38" spans="1:9" ht="12.75" customHeight="1" x14ac:dyDescent="0.25">
      <c r="A38" s="37" t="str">
        <f>Data!A39</f>
        <v>driver29</v>
      </c>
      <c r="B38" s="37" t="str">
        <f>Data!B39</f>
        <v>first29</v>
      </c>
      <c r="C38" s="37" t="str">
        <f>IF(Data!C39&lt;&gt;0,Data!C39,"")</f>
        <v>last29</v>
      </c>
      <c r="D38" s="38">
        <f>Data!D39</f>
        <v>43928.764891203704</v>
      </c>
      <c r="E38" s="38" t="str">
        <f>IF(Data!E39=0, "Ongoing",Data!E39)</f>
        <v>Ongoing</v>
      </c>
      <c r="F38" s="49">
        <f>Data!F39</f>
        <v>123.415792465278</v>
      </c>
      <c r="G38" s="39" t="str">
        <f>Data!G39</f>
        <v>Rest</v>
      </c>
      <c r="H38" s="41">
        <f>IF(Data!$B$2-D38&lt;0.02083, 1, 0)</f>
        <v>0</v>
      </c>
      <c r="I38" s="40" t="str">
        <f>Data!H39</f>
        <v>Driving after more than 8 hour rest limit</v>
      </c>
    </row>
    <row r="39" spans="1:9" ht="12.75" customHeight="1" x14ac:dyDescent="0.25">
      <c r="A39" s="37" t="str">
        <f>Data!A40</f>
        <v>driver30</v>
      </c>
      <c r="B39" s="37" t="str">
        <f>Data!B40</f>
        <v>first30</v>
      </c>
      <c r="C39" s="37" t="str">
        <f>IF(Data!C40&lt;&gt;0,Data!C40,"")</f>
        <v>last30</v>
      </c>
      <c r="D39" s="38">
        <f>Data!D40</f>
        <v>42623.383683414402</v>
      </c>
      <c r="E39" s="38" t="str">
        <f>IF(Data!E40=0, "Ongoing",Data!E40)</f>
        <v>Ongoing</v>
      </c>
      <c r="F39" s="49">
        <f>Data!F40</f>
        <v>123.08245913194401</v>
      </c>
      <c r="G39" s="39" t="str">
        <f>Data!G40</f>
        <v>Workday</v>
      </c>
      <c r="H39" s="41">
        <f>IF(Data!$B$2-D39&lt;0.02083, 1, 0)</f>
        <v>0</v>
      </c>
      <c r="I39" s="40" t="str">
        <f>Data!H40</f>
        <v>Maximum 14 hour work day limit violation</v>
      </c>
    </row>
    <row r="40" spans="1:9" ht="12.75" customHeight="1" x14ac:dyDescent="0.25">
      <c r="A40" s="37" t="str">
        <f>Data!A41</f>
        <v>driver31</v>
      </c>
      <c r="B40" s="37" t="str">
        <f>Data!B41</f>
        <v>first31</v>
      </c>
      <c r="C40" s="37" t="str">
        <f>IF(Data!C41&lt;&gt;0,Data!C41,"")</f>
        <v>last31</v>
      </c>
      <c r="D40" s="38">
        <f>Data!D41</f>
        <v>42746.424475879598</v>
      </c>
      <c r="E40" s="38" t="str">
        <f>IF(Data!E41=0, "Ongoing",Data!E41)</f>
        <v>Ongoing</v>
      </c>
      <c r="F40" s="49">
        <f>Data!F41</f>
        <v>0</v>
      </c>
      <c r="G40" s="39" t="str">
        <f>Data!G41</f>
        <v>Cycle</v>
      </c>
      <c r="H40" s="41">
        <f>IF(Data!$B$2-D40&lt;0.02083, 1, 0)</f>
        <v>0</v>
      </c>
      <c r="I40" s="40" t="str">
        <f>Data!H41</f>
        <v>Maximum 60hr on duty in 7 days</v>
      </c>
    </row>
    <row r="41" spans="1:9" ht="12.75" customHeight="1" x14ac:dyDescent="0.25">
      <c r="A41" s="37" t="str">
        <f>Data!A42</f>
        <v>driver32</v>
      </c>
      <c r="B41" s="37" t="str">
        <f>Data!B42</f>
        <v>first32</v>
      </c>
      <c r="C41" s="37" t="str">
        <f>IF(Data!C42&lt;&gt;0,Data!C42,"")</f>
        <v>last32</v>
      </c>
      <c r="D41" s="38">
        <f>Data!D42</f>
        <v>42687.690960034699</v>
      </c>
      <c r="E41" s="38" t="str">
        <f>IF(Data!E42=0, "Ongoing",Data!E42)</f>
        <v>Ongoing</v>
      </c>
      <c r="F41" s="49">
        <f>Data!F42</f>
        <v>58.733515844907402</v>
      </c>
      <c r="G41" s="39" t="str">
        <f>Data!G42</f>
        <v>Driving</v>
      </c>
      <c r="H41" s="41">
        <f>IF(Data!$B$2-D41&lt;0.02083, 1, 0)</f>
        <v>0</v>
      </c>
      <c r="I41" s="40" t="str">
        <f>Data!H42</f>
        <v>Maximum 11 hour driving limit violation</v>
      </c>
    </row>
    <row r="42" spans="1:9" ht="12.75" customHeight="1" x14ac:dyDescent="0.25">
      <c r="A42" s="37" t="str">
        <f>Data!A43</f>
        <v>driver33</v>
      </c>
      <c r="B42" s="37" t="str">
        <f>Data!B43</f>
        <v>first33</v>
      </c>
      <c r="C42" s="37" t="str">
        <f>IF(Data!C43&lt;&gt;0,Data!C43,"")</f>
        <v>last33</v>
      </c>
      <c r="D42" s="38">
        <f>Data!D43</f>
        <v>42687.690960034699</v>
      </c>
      <c r="E42" s="38" t="str">
        <f>IF(Data!E43=0, "Ongoing",Data!E43)</f>
        <v>Ongoing</v>
      </c>
      <c r="F42" s="49">
        <f>Data!F43</f>
        <v>58.733515844907402</v>
      </c>
      <c r="G42" s="39" t="str">
        <f>Data!G43</f>
        <v>Rest</v>
      </c>
      <c r="H42" s="41">
        <f>IF(Data!$B$2-D42&lt;0.02083, 1, 0)</f>
        <v>0</v>
      </c>
      <c r="I42" s="40" t="str">
        <f>Data!H43</f>
        <v>Driving after more than 8 hour rest limit</v>
      </c>
    </row>
    <row r="43" spans="1:9" ht="12.75" customHeight="1" x14ac:dyDescent="0.25">
      <c r="A43" s="37" t="str">
        <f>Data!A44</f>
        <v>driver34</v>
      </c>
      <c r="B43" s="37" t="str">
        <f>Data!B44</f>
        <v>first34</v>
      </c>
      <c r="C43" s="37" t="str">
        <f>IF(Data!C44&lt;&gt;0,Data!C44,"")</f>
        <v>last34</v>
      </c>
      <c r="D43" s="38">
        <f>Data!D44</f>
        <v>43928.764891203704</v>
      </c>
      <c r="E43" s="38" t="str">
        <f>IF(Data!E44=0, "Ongoing",Data!E44)</f>
        <v>Ongoing</v>
      </c>
      <c r="F43" s="49">
        <f>Data!F44</f>
        <v>58.733515844907402</v>
      </c>
      <c r="G43" s="39" t="str">
        <f>Data!G44</f>
        <v>Workday</v>
      </c>
      <c r="H43" s="41">
        <f>IF(Data!$B$2-D43&lt;0.02083, 1, 0)</f>
        <v>0</v>
      </c>
      <c r="I43" s="40" t="str">
        <f>Data!H44</f>
        <v>Maximum 14 hour work day limit violation</v>
      </c>
    </row>
    <row r="44" spans="1:9" ht="12.75" customHeight="1" x14ac:dyDescent="0.25">
      <c r="A44" s="37" t="str">
        <f>Data!A45</f>
        <v>driver35</v>
      </c>
      <c r="B44" s="37" t="str">
        <f>Data!B45</f>
        <v>first35</v>
      </c>
      <c r="C44" s="37" t="str">
        <f>IF(Data!C45&lt;&gt;0,Data!C45,"")</f>
        <v>last35</v>
      </c>
      <c r="D44" s="38">
        <f>Data!D45</f>
        <v>43928.764891203704</v>
      </c>
      <c r="E44" s="38" t="str">
        <f>IF(Data!E45=0, "Ongoing",Data!E45)</f>
        <v>Ongoing</v>
      </c>
      <c r="F44" s="49">
        <f>Data!F45</f>
        <v>0</v>
      </c>
      <c r="G44" s="39" t="str">
        <f>Data!G45</f>
        <v>Cycle</v>
      </c>
      <c r="H44" s="41">
        <f>IF(Data!$B$2-D44&lt;0.02083, 1, 0)</f>
        <v>0</v>
      </c>
      <c r="I44" s="40" t="str">
        <f>Data!H45</f>
        <v>Maximum 70hr on duty in 8 days</v>
      </c>
    </row>
  </sheetData>
  <mergeCells count="4">
    <mergeCell ref="G4:G5"/>
    <mergeCell ref="C1:D1"/>
    <mergeCell ref="A4:B4"/>
    <mergeCell ref="F4:F5"/>
  </mergeCells>
  <conditionalFormatting sqref="A9:E9">
    <cfRule type="expression" dxfId="26" priority="3">
      <formula>$F9=TRUE</formula>
    </cfRule>
  </conditionalFormatting>
  <conditionalFormatting sqref="F9">
    <cfRule type="expression" dxfId="25" priority="2">
      <formula>$F9=TRUE</formula>
    </cfRule>
  </conditionalFormatting>
  <conditionalFormatting sqref="D9">
    <cfRule type="expression" dxfId="24" priority="1">
      <formula>$F9=TRUE</formula>
    </cfRule>
  </conditionalFormatting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B3" sqref="B3"/>
    </sheetView>
  </sheetViews>
  <sheetFormatPr defaultColWidth="9.140625" defaultRowHeight="12.75" x14ac:dyDescent="0.2"/>
  <cols>
    <col min="1" max="4" width="22.28515625" customWidth="1"/>
    <col min="5" max="5" width="20.7109375" customWidth="1"/>
    <col min="6" max="6" width="18.5703125" customWidth="1"/>
    <col min="7" max="7" width="18.28515625" customWidth="1"/>
    <col min="8" max="8" width="29.42578125" bestFit="1" customWidth="1"/>
  </cols>
  <sheetData>
    <row r="1" spans="1:8" ht="12.75" customHeight="1" x14ac:dyDescent="0.2">
      <c r="A1" s="1" t="s">
        <v>0</v>
      </c>
      <c r="B1" s="2" t="s">
        <v>1</v>
      </c>
      <c r="C1" s="2"/>
      <c r="D1" s="2"/>
    </row>
    <row r="2" spans="1:8" ht="12.75" customHeight="1" x14ac:dyDescent="0.2">
      <c r="A2" s="1" t="s">
        <v>2</v>
      </c>
      <c r="B2" s="2">
        <v>43998.333333333336</v>
      </c>
      <c r="C2" s="2"/>
      <c r="D2" s="2"/>
    </row>
    <row r="3" spans="1:8" ht="12.75" customHeight="1" x14ac:dyDescent="0.2">
      <c r="A3" s="1" t="s">
        <v>3</v>
      </c>
      <c r="B3" s="2">
        <v>42746</v>
      </c>
      <c r="C3" s="2"/>
      <c r="D3" s="2"/>
    </row>
    <row r="4" spans="1:8" ht="12.75" customHeight="1" x14ac:dyDescent="0.2">
      <c r="A4" s="1" t="s">
        <v>4</v>
      </c>
      <c r="B4" s="2">
        <v>42746.999988425901</v>
      </c>
      <c r="C4" s="2"/>
      <c r="D4" s="2"/>
    </row>
    <row r="5" spans="1:8" ht="12.75" customHeight="1" x14ac:dyDescent="0.25">
      <c r="A5" s="1" t="s">
        <v>5</v>
      </c>
      <c r="B5" s="2" t="s">
        <v>6</v>
      </c>
      <c r="C5" s="2"/>
      <c r="D5" s="2"/>
      <c r="E5" s="3"/>
    </row>
    <row r="6" spans="1:8" ht="12.75" customHeight="1" x14ac:dyDescent="0.2">
      <c r="A6" s="1" t="s">
        <v>7</v>
      </c>
      <c r="B6" s="2" t="s">
        <v>8</v>
      </c>
      <c r="C6" s="2"/>
      <c r="D6" s="2"/>
    </row>
    <row r="7" spans="1:8" ht="12.75" customHeight="1" x14ac:dyDescent="0.2">
      <c r="A7" s="1" t="s">
        <v>9</v>
      </c>
      <c r="B7" s="2" t="b">
        <f>IF(COUNTIFS(Report!H:H,1)&gt;0,TRUE,FALSE)</f>
        <v>1</v>
      </c>
      <c r="C7" s="2"/>
      <c r="D7" s="2"/>
    </row>
    <row r="8" spans="1:8" ht="12.75" customHeight="1" x14ac:dyDescent="0.2">
      <c r="A8" s="1" t="s">
        <v>10</v>
      </c>
      <c r="B8" s="2" t="s">
        <v>124</v>
      </c>
      <c r="C8" s="2"/>
      <c r="D8" s="2"/>
      <c r="E8" s="12"/>
    </row>
    <row r="9" spans="1:8" ht="12.75" customHeight="1" x14ac:dyDescent="0.2">
      <c r="A9" s="1" t="s">
        <v>11</v>
      </c>
      <c r="B9" s="2" t="s">
        <v>12</v>
      </c>
      <c r="C9" s="2"/>
      <c r="D9" s="2"/>
    </row>
    <row r="10" spans="1:8" ht="26.25" customHeight="1" thickBot="1" x14ac:dyDescent="0.25">
      <c r="A10" s="6" t="s">
        <v>13</v>
      </c>
      <c r="B10" s="6" t="s">
        <v>14</v>
      </c>
      <c r="C10" s="6" t="s">
        <v>15</v>
      </c>
      <c r="D10" s="6" t="s">
        <v>16</v>
      </c>
      <c r="E10" s="6" t="s">
        <v>17</v>
      </c>
      <c r="F10" s="6" t="s">
        <v>18</v>
      </c>
      <c r="G10" s="6" t="s">
        <v>19</v>
      </c>
      <c r="H10" s="6" t="s">
        <v>20</v>
      </c>
    </row>
    <row r="11" spans="1:8" ht="12.75" customHeight="1" x14ac:dyDescent="0.2">
      <c r="A11" s="9" t="s">
        <v>125</v>
      </c>
      <c r="B11" s="9" t="s">
        <v>104</v>
      </c>
      <c r="C11" s="9" t="s">
        <v>105</v>
      </c>
      <c r="D11" s="2">
        <v>42721.173925080999</v>
      </c>
      <c r="F11" s="10">
        <v>25.250550798611101</v>
      </c>
      <c r="G11" s="9" t="s">
        <v>22</v>
      </c>
      <c r="H11" s="9" t="s">
        <v>23</v>
      </c>
    </row>
    <row r="12" spans="1:8" ht="12.75" customHeight="1" x14ac:dyDescent="0.2">
      <c r="A12" s="9" t="s">
        <v>126</v>
      </c>
      <c r="B12" s="9" t="s">
        <v>106</v>
      </c>
      <c r="C12" s="9" t="s">
        <v>107</v>
      </c>
      <c r="D12" s="2">
        <v>43998.54892361111</v>
      </c>
      <c r="F12" s="10">
        <v>25.375550798611101</v>
      </c>
      <c r="G12" s="9" t="s">
        <v>24</v>
      </c>
      <c r="H12" s="9" t="s">
        <v>25</v>
      </c>
    </row>
    <row r="13" spans="1:8" ht="12.75" customHeight="1" x14ac:dyDescent="0.2">
      <c r="A13" s="9" t="s">
        <v>127</v>
      </c>
      <c r="B13" s="9" t="s">
        <v>160</v>
      </c>
      <c r="C13" s="9" t="s">
        <v>108</v>
      </c>
      <c r="D13" s="2">
        <v>43998.76489583333</v>
      </c>
      <c r="F13" s="10">
        <v>25.042217465277801</v>
      </c>
      <c r="G13" s="9" t="s">
        <v>26</v>
      </c>
      <c r="H13" s="9" t="s">
        <v>27</v>
      </c>
    </row>
    <row r="14" spans="1:8" ht="12.75" customHeight="1" x14ac:dyDescent="0.2">
      <c r="A14" s="9" t="s">
        <v>128</v>
      </c>
      <c r="B14" s="9" t="s">
        <v>161</v>
      </c>
      <c r="C14" s="9" t="s">
        <v>162</v>
      </c>
      <c r="D14" s="2">
        <v>42746.424475879598</v>
      </c>
      <c r="F14" s="10">
        <v>0</v>
      </c>
      <c r="G14" s="9" t="s">
        <v>28</v>
      </c>
      <c r="H14" s="9" t="s">
        <v>29</v>
      </c>
    </row>
    <row r="15" spans="1:8" ht="12.75" customHeight="1" x14ac:dyDescent="0.2">
      <c r="A15" s="9" t="s">
        <v>129</v>
      </c>
      <c r="B15" s="9" t="s">
        <v>109</v>
      </c>
      <c r="C15" s="9" t="s">
        <v>110</v>
      </c>
      <c r="D15" s="2">
        <v>42737.483033877303</v>
      </c>
      <c r="F15" s="10">
        <v>0.14492271990740699</v>
      </c>
      <c r="G15" s="9" t="s">
        <v>24</v>
      </c>
      <c r="H15" s="9" t="s">
        <v>25</v>
      </c>
    </row>
    <row r="16" spans="1:8" ht="12.75" customHeight="1" x14ac:dyDescent="0.2">
      <c r="A16" s="9" t="s">
        <v>130</v>
      </c>
      <c r="B16" s="9" t="s">
        <v>111</v>
      </c>
      <c r="C16" s="9" t="s">
        <v>112</v>
      </c>
      <c r="D16" s="2">
        <v>42737.559398877303</v>
      </c>
      <c r="F16" s="10">
        <v>0.14345428240740701</v>
      </c>
      <c r="G16" s="9" t="s">
        <v>26</v>
      </c>
      <c r="H16" s="9" t="s">
        <v>27</v>
      </c>
    </row>
    <row r="17" spans="1:8" ht="12.75" customHeight="1" x14ac:dyDescent="0.2">
      <c r="A17" s="9" t="s">
        <v>131</v>
      </c>
      <c r="B17" s="9" t="s">
        <v>113</v>
      </c>
      <c r="C17" s="9" t="s">
        <v>114</v>
      </c>
      <c r="D17" s="2">
        <v>42737.579526192101</v>
      </c>
      <c r="F17" s="10">
        <v>1.3596608796296299E-2</v>
      </c>
      <c r="G17" s="9" t="s">
        <v>24</v>
      </c>
      <c r="H17" s="9" t="s">
        <v>25</v>
      </c>
    </row>
    <row r="18" spans="1:8" ht="12.75" customHeight="1" x14ac:dyDescent="0.2">
      <c r="A18" s="9" t="s">
        <v>132</v>
      </c>
      <c r="B18" s="9" t="s">
        <v>115</v>
      </c>
      <c r="C18" s="9" t="s">
        <v>116</v>
      </c>
      <c r="D18" s="2">
        <v>42737.579526192101</v>
      </c>
      <c r="F18" s="10">
        <v>1.3596608796296299E-2</v>
      </c>
      <c r="G18" s="9" t="s">
        <v>26</v>
      </c>
      <c r="H18" s="9" t="s">
        <v>27</v>
      </c>
    </row>
    <row r="19" spans="1:8" ht="12.75" customHeight="1" x14ac:dyDescent="0.2">
      <c r="A19" s="9" t="s">
        <v>133</v>
      </c>
      <c r="B19" s="9" t="s">
        <v>117</v>
      </c>
      <c r="C19" s="9" t="s">
        <v>118</v>
      </c>
      <c r="D19" s="2">
        <v>43928.764891203704</v>
      </c>
      <c r="F19" s="10">
        <v>1.3596608796296299E-2</v>
      </c>
      <c r="G19" s="9" t="s">
        <v>28</v>
      </c>
      <c r="H19" s="9" t="s">
        <v>29</v>
      </c>
    </row>
    <row r="20" spans="1:8" ht="12.75" customHeight="1" x14ac:dyDescent="0.2">
      <c r="A20" s="9" t="s">
        <v>134</v>
      </c>
      <c r="B20" s="9" t="s">
        <v>119</v>
      </c>
      <c r="C20" s="9" t="s">
        <v>120</v>
      </c>
      <c r="D20" s="2">
        <v>43928.764891203704</v>
      </c>
      <c r="F20" s="10">
        <v>0.46166057870370403</v>
      </c>
      <c r="G20" s="9" t="s">
        <v>24</v>
      </c>
      <c r="H20" s="9" t="s">
        <v>25</v>
      </c>
    </row>
    <row r="21" spans="1:8" ht="12.75" customHeight="1" x14ac:dyDescent="0.2">
      <c r="A21" s="9" t="s">
        <v>135</v>
      </c>
      <c r="B21" s="9" t="s">
        <v>121</v>
      </c>
      <c r="C21" s="9" t="s">
        <v>122</v>
      </c>
      <c r="D21" s="2">
        <v>43928.764891203704</v>
      </c>
      <c r="F21" s="10">
        <v>0.46166057870370403</v>
      </c>
      <c r="G21" s="9" t="s">
        <v>26</v>
      </c>
      <c r="H21" s="9" t="s">
        <v>27</v>
      </c>
    </row>
    <row r="22" spans="1:8" ht="12.75" customHeight="1" x14ac:dyDescent="0.2">
      <c r="A22" s="9" t="s">
        <v>136</v>
      </c>
      <c r="B22" s="9" t="s">
        <v>163</v>
      </c>
      <c r="C22" s="9" t="s">
        <v>164</v>
      </c>
      <c r="D22" s="2">
        <v>42731.509364155099</v>
      </c>
      <c r="F22" s="10">
        <v>0.40586562500000001</v>
      </c>
      <c r="G22" s="9" t="s">
        <v>28</v>
      </c>
      <c r="H22" s="9" t="s">
        <v>29</v>
      </c>
    </row>
    <row r="23" spans="1:8" ht="12.75" customHeight="1" x14ac:dyDescent="0.2">
      <c r="A23" s="9" t="s">
        <v>137</v>
      </c>
      <c r="B23" s="9" t="s">
        <v>165</v>
      </c>
      <c r="C23" s="9" t="s">
        <v>166</v>
      </c>
      <c r="D23" s="2">
        <v>42736.840654236097</v>
      </c>
      <c r="F23" s="10">
        <v>3.3272453703703702E-3</v>
      </c>
      <c r="G23" s="9" t="s">
        <v>22</v>
      </c>
      <c r="H23" s="9" t="s">
        <v>23</v>
      </c>
    </row>
    <row r="24" spans="1:8" ht="12.75" customHeight="1" x14ac:dyDescent="0.2">
      <c r="A24" s="9" t="s">
        <v>138</v>
      </c>
      <c r="B24" s="9" t="s">
        <v>167</v>
      </c>
      <c r="C24" s="9" t="s">
        <v>168</v>
      </c>
      <c r="D24" s="2">
        <v>42730.4330794329</v>
      </c>
      <c r="F24" s="10">
        <v>0.38586057870370399</v>
      </c>
      <c r="G24" s="9" t="s">
        <v>24</v>
      </c>
      <c r="H24" s="9" t="s">
        <v>25</v>
      </c>
    </row>
    <row r="25" spans="1:8" ht="12.75" customHeight="1" x14ac:dyDescent="0.2">
      <c r="A25" s="9" t="s">
        <v>139</v>
      </c>
      <c r="B25" s="9" t="s">
        <v>169</v>
      </c>
      <c r="C25" s="9" t="s">
        <v>170</v>
      </c>
      <c r="D25" s="2">
        <v>42730.458924340302</v>
      </c>
      <c r="F25" s="10">
        <v>0.37829186342592602</v>
      </c>
      <c r="G25" s="9" t="s">
        <v>26</v>
      </c>
      <c r="H25" s="9" t="s">
        <v>27</v>
      </c>
    </row>
    <row r="26" spans="1:8" ht="12.75" customHeight="1" x14ac:dyDescent="0.2">
      <c r="A26" s="9" t="s">
        <v>140</v>
      </c>
      <c r="B26" s="9" t="s">
        <v>171</v>
      </c>
      <c r="C26" s="9" t="s">
        <v>172</v>
      </c>
      <c r="D26" s="2">
        <v>42732.3396419329</v>
      </c>
      <c r="F26" s="10">
        <v>0.31379829861111103</v>
      </c>
      <c r="G26" s="9" t="s">
        <v>28</v>
      </c>
      <c r="H26" s="9" t="s">
        <v>29</v>
      </c>
    </row>
    <row r="27" spans="1:8" ht="12.75" customHeight="1" x14ac:dyDescent="0.2">
      <c r="A27" s="9" t="s">
        <v>141</v>
      </c>
      <c r="B27" s="9" t="s">
        <v>173</v>
      </c>
      <c r="C27" s="9" t="s">
        <v>174</v>
      </c>
      <c r="D27" s="2">
        <v>42730.090591006898</v>
      </c>
      <c r="F27" s="10">
        <v>0.46291335648148102</v>
      </c>
      <c r="G27" s="9" t="s">
        <v>30</v>
      </c>
      <c r="H27" s="9" t="s">
        <v>31</v>
      </c>
    </row>
    <row r="28" spans="1:8" ht="12.75" customHeight="1" x14ac:dyDescent="0.2">
      <c r="A28" s="9" t="s">
        <v>142</v>
      </c>
      <c r="B28" s="9" t="s">
        <v>175</v>
      </c>
      <c r="C28" s="9" t="s">
        <v>176</v>
      </c>
      <c r="D28" s="2">
        <v>42730.561424340303</v>
      </c>
      <c r="F28" s="10">
        <v>0.46291335648148102</v>
      </c>
      <c r="G28" s="9" t="s">
        <v>26</v>
      </c>
      <c r="H28" s="9" t="s">
        <v>32</v>
      </c>
    </row>
    <row r="29" spans="1:8" ht="12.75" customHeight="1" x14ac:dyDescent="0.2">
      <c r="A29" s="9" t="s">
        <v>143</v>
      </c>
      <c r="B29" s="9" t="s">
        <v>177</v>
      </c>
      <c r="C29" s="9" t="s">
        <v>178</v>
      </c>
      <c r="D29" s="2">
        <v>43928.764891203704</v>
      </c>
      <c r="F29" s="10">
        <v>0.38217181712963</v>
      </c>
      <c r="G29" s="9" t="s">
        <v>28</v>
      </c>
      <c r="H29" s="9" t="s">
        <v>33</v>
      </c>
    </row>
    <row r="30" spans="1:8" ht="12.75" customHeight="1" x14ac:dyDescent="0.2">
      <c r="A30" s="9" t="s">
        <v>144</v>
      </c>
      <c r="B30" s="9" t="s">
        <v>179</v>
      </c>
      <c r="C30" s="9" t="s">
        <v>180</v>
      </c>
      <c r="D30" s="2">
        <v>43928.764891203704</v>
      </c>
      <c r="F30" s="10">
        <v>12.389057025463</v>
      </c>
      <c r="G30" s="9" t="s">
        <v>22</v>
      </c>
      <c r="H30" s="9" t="s">
        <v>23</v>
      </c>
    </row>
    <row r="31" spans="1:8" ht="12.75" customHeight="1" x14ac:dyDescent="0.2">
      <c r="A31" s="9" t="s">
        <v>145</v>
      </c>
      <c r="B31" s="9" t="s">
        <v>181</v>
      </c>
      <c r="C31" s="9" t="s">
        <v>182</v>
      </c>
      <c r="D31" s="2">
        <v>43928.764891203704</v>
      </c>
      <c r="F31" s="10">
        <v>12.6428670833333</v>
      </c>
      <c r="G31" s="9" t="s">
        <v>24</v>
      </c>
      <c r="H31" s="9" t="s">
        <v>25</v>
      </c>
    </row>
    <row r="32" spans="1:8" ht="12.75" customHeight="1" x14ac:dyDescent="0.2">
      <c r="A32" s="9" t="s">
        <v>146</v>
      </c>
      <c r="B32" s="9" t="s">
        <v>183</v>
      </c>
      <c r="C32" s="9" t="s">
        <v>184</v>
      </c>
      <c r="D32" s="2">
        <v>42734.1149421296</v>
      </c>
      <c r="F32" s="10">
        <v>12.30953375</v>
      </c>
      <c r="G32" s="9" t="s">
        <v>26</v>
      </c>
      <c r="H32" s="9" t="s">
        <v>27</v>
      </c>
    </row>
    <row r="33" spans="1:8" ht="12.75" customHeight="1" x14ac:dyDescent="0.2">
      <c r="A33" s="9" t="s">
        <v>147</v>
      </c>
      <c r="B33" s="9" t="s">
        <v>185</v>
      </c>
      <c r="C33" s="9" t="s">
        <v>186</v>
      </c>
      <c r="D33" s="2">
        <v>42746.424475879598</v>
      </c>
      <c r="F33" s="10">
        <v>0</v>
      </c>
      <c r="G33" s="9" t="s">
        <v>28</v>
      </c>
      <c r="H33" s="9" t="s">
        <v>29</v>
      </c>
    </row>
    <row r="34" spans="1:8" ht="12.75" customHeight="1" x14ac:dyDescent="0.2">
      <c r="A34" s="9" t="s">
        <v>148</v>
      </c>
      <c r="B34" s="9" t="s">
        <v>187</v>
      </c>
      <c r="C34" s="9" t="s">
        <v>188</v>
      </c>
      <c r="D34" s="2">
        <v>42607.125</v>
      </c>
      <c r="F34" s="10">
        <v>139.341142546296</v>
      </c>
      <c r="G34" s="9" t="s">
        <v>22</v>
      </c>
      <c r="H34" s="9" t="s">
        <v>23</v>
      </c>
    </row>
    <row r="35" spans="1:8" ht="12.75" customHeight="1" x14ac:dyDescent="0.2">
      <c r="A35" s="9" t="s">
        <v>149</v>
      </c>
      <c r="B35" s="9" t="s">
        <v>189</v>
      </c>
      <c r="C35" s="9" t="s">
        <v>190</v>
      </c>
      <c r="D35" s="2">
        <v>42607</v>
      </c>
      <c r="F35" s="10">
        <v>139.466142546296</v>
      </c>
      <c r="G35" s="9" t="s">
        <v>24</v>
      </c>
      <c r="H35" s="9" t="s">
        <v>25</v>
      </c>
    </row>
    <row r="36" spans="1:8" ht="12.75" customHeight="1" x14ac:dyDescent="0.2">
      <c r="A36" s="9" t="s">
        <v>150</v>
      </c>
      <c r="B36" s="9" t="s">
        <v>191</v>
      </c>
      <c r="C36" s="9" t="s">
        <v>192</v>
      </c>
      <c r="D36" s="2">
        <v>43928.764891203704</v>
      </c>
      <c r="F36" s="10">
        <v>139.132809212963</v>
      </c>
      <c r="G36" s="9" t="s">
        <v>26</v>
      </c>
      <c r="H36" s="9" t="s">
        <v>27</v>
      </c>
    </row>
    <row r="37" spans="1:8" ht="12.75" customHeight="1" x14ac:dyDescent="0.2">
      <c r="A37" s="9" t="s">
        <v>151</v>
      </c>
      <c r="B37" s="9" t="s">
        <v>193</v>
      </c>
      <c r="C37" s="9" t="s">
        <v>194</v>
      </c>
      <c r="D37" s="2">
        <v>43928.764891203704</v>
      </c>
      <c r="F37" s="10">
        <v>0</v>
      </c>
      <c r="G37" s="9" t="s">
        <v>28</v>
      </c>
      <c r="H37" s="9" t="s">
        <v>29</v>
      </c>
    </row>
    <row r="38" spans="1:8" ht="12.75" customHeight="1" x14ac:dyDescent="0.2">
      <c r="A38" s="9" t="s">
        <v>152</v>
      </c>
      <c r="B38" s="9" t="s">
        <v>195</v>
      </c>
      <c r="C38" s="9" t="s">
        <v>196</v>
      </c>
      <c r="D38" s="2">
        <v>43928.764891203704</v>
      </c>
      <c r="F38" s="10">
        <v>123.290792465278</v>
      </c>
      <c r="G38" s="9" t="s">
        <v>22</v>
      </c>
      <c r="H38" s="9" t="s">
        <v>23</v>
      </c>
    </row>
    <row r="39" spans="1:8" ht="12.75" customHeight="1" x14ac:dyDescent="0.2">
      <c r="A39" s="9" t="s">
        <v>153</v>
      </c>
      <c r="B39" s="9" t="s">
        <v>197</v>
      </c>
      <c r="C39" s="9" t="s">
        <v>198</v>
      </c>
      <c r="D39" s="2">
        <v>43928.764891203704</v>
      </c>
      <c r="F39" s="10">
        <v>123.415792465278</v>
      </c>
      <c r="G39" s="9" t="s">
        <v>24</v>
      </c>
      <c r="H39" s="9" t="s">
        <v>25</v>
      </c>
    </row>
    <row r="40" spans="1:8" ht="12.75" customHeight="1" x14ac:dyDescent="0.2">
      <c r="A40" s="9" t="s">
        <v>154</v>
      </c>
      <c r="B40" s="9" t="s">
        <v>199</v>
      </c>
      <c r="C40" s="9" t="s">
        <v>200</v>
      </c>
      <c r="D40" s="2">
        <v>42623.383683414402</v>
      </c>
      <c r="F40" s="10">
        <v>123.08245913194401</v>
      </c>
      <c r="G40" s="9" t="s">
        <v>26</v>
      </c>
      <c r="H40" s="9" t="s">
        <v>27</v>
      </c>
    </row>
    <row r="41" spans="1:8" ht="12.75" customHeight="1" x14ac:dyDescent="0.2">
      <c r="A41" s="9" t="s">
        <v>155</v>
      </c>
      <c r="B41" s="9" t="s">
        <v>201</v>
      </c>
      <c r="C41" s="9" t="s">
        <v>202</v>
      </c>
      <c r="D41" s="2">
        <v>42746.424475879598</v>
      </c>
      <c r="F41" s="10">
        <v>0</v>
      </c>
      <c r="G41" s="9" t="s">
        <v>28</v>
      </c>
      <c r="H41" s="9" t="s">
        <v>29</v>
      </c>
    </row>
    <row r="42" spans="1:8" ht="12.75" customHeight="1" x14ac:dyDescent="0.2">
      <c r="A42" s="9" t="s">
        <v>156</v>
      </c>
      <c r="B42" s="9" t="s">
        <v>203</v>
      </c>
      <c r="C42" s="9" t="s">
        <v>204</v>
      </c>
      <c r="D42" s="2">
        <v>42687.690960034699</v>
      </c>
      <c r="F42" s="10">
        <v>58.733515844907402</v>
      </c>
      <c r="G42" s="9" t="s">
        <v>22</v>
      </c>
      <c r="H42" s="9" t="s">
        <v>23</v>
      </c>
    </row>
    <row r="43" spans="1:8" ht="12.75" customHeight="1" x14ac:dyDescent="0.2">
      <c r="A43" s="9" t="s">
        <v>157</v>
      </c>
      <c r="B43" s="9" t="s">
        <v>205</v>
      </c>
      <c r="C43" s="9" t="s">
        <v>206</v>
      </c>
      <c r="D43" s="2">
        <v>42687.690960034699</v>
      </c>
      <c r="F43" s="10">
        <v>58.733515844907402</v>
      </c>
      <c r="G43" s="9" t="s">
        <v>24</v>
      </c>
      <c r="H43" s="9" t="s">
        <v>25</v>
      </c>
    </row>
    <row r="44" spans="1:8" ht="12.75" customHeight="1" x14ac:dyDescent="0.2">
      <c r="A44" s="9" t="s">
        <v>158</v>
      </c>
      <c r="B44" s="9" t="s">
        <v>207</v>
      </c>
      <c r="C44" s="9" t="s">
        <v>208</v>
      </c>
      <c r="D44" s="2">
        <v>43928.764891203704</v>
      </c>
      <c r="F44" s="10">
        <v>58.733515844907402</v>
      </c>
      <c r="G44" s="9" t="s">
        <v>26</v>
      </c>
      <c r="H44" s="9" t="s">
        <v>27</v>
      </c>
    </row>
    <row r="45" spans="1:8" ht="12.75" customHeight="1" x14ac:dyDescent="0.2">
      <c r="A45" s="9" t="s">
        <v>159</v>
      </c>
      <c r="B45" s="9" t="s">
        <v>209</v>
      </c>
      <c r="C45" s="9" t="s">
        <v>210</v>
      </c>
      <c r="D45" s="2">
        <v>43928.764891203704</v>
      </c>
      <c r="F45" s="10">
        <v>0</v>
      </c>
      <c r="G45" s="9" t="s">
        <v>28</v>
      </c>
      <c r="H45" s="9" t="s">
        <v>34</v>
      </c>
    </row>
    <row r="46" spans="1:8" ht="12.75" customHeight="1" x14ac:dyDescent="0.2"/>
    <row r="47" spans="1:8" ht="12.75" customHeight="1" x14ac:dyDescent="0.2"/>
    <row r="48" spans="1: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honeticPr fontId="18" type="noConversion"/>
  <hyperlinks>
    <hyperlink ref="A11" r:id="rId1" display="apsleyjones@abcco.com" xr:uid="{978B8B00-A46A-42E5-A54C-985637019F12}"/>
    <hyperlink ref="B8" r:id="rId2" display="aakashdubey@geotab.com" xr:uid="{F3AD3972-0857-42D0-BD43-F155F744E687}"/>
    <hyperlink ref="A12:A45" r:id="rId3" display="apsleyjones@abcco.com" xr:uid="{0F4D6746-CA81-478A-AF3A-460BED488D6D}"/>
  </hyperlinks>
  <pageMargins left="0.7" right="0.7" top="0.75" bottom="0.75" header="0" footer="0"/>
  <pageSetup orientation="portrait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.140625" defaultRowHeight="12.75" x14ac:dyDescent="0.2"/>
  <sheetData/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999"/>
  <sheetViews>
    <sheetView workbookViewId="0">
      <selection activeCell="A22" sqref="A22"/>
    </sheetView>
  </sheetViews>
  <sheetFormatPr defaultColWidth="14.42578125" defaultRowHeight="12.75" x14ac:dyDescent="0.2"/>
  <cols>
    <col min="1" max="5" width="30" customWidth="1"/>
    <col min="6" max="25" width="8.7109375" customWidth="1"/>
  </cols>
  <sheetData>
    <row r="1" spans="1:25" ht="12.75" customHeight="1" x14ac:dyDescent="0.2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ht="12.75" customHeight="1" x14ac:dyDescent="0.25">
      <c r="A2" s="4" t="s">
        <v>40</v>
      </c>
      <c r="B2" s="7" t="s">
        <v>41</v>
      </c>
      <c r="C2" s="7" t="s">
        <v>42</v>
      </c>
      <c r="D2" s="7" t="s">
        <v>43</v>
      </c>
      <c r="E2" s="7" t="s">
        <v>44</v>
      </c>
    </row>
    <row r="3" spans="1:25" ht="12.75" customHeight="1" x14ac:dyDescent="0.25">
      <c r="A3" s="4" t="s">
        <v>45</v>
      </c>
      <c r="B3" s="7" t="s">
        <v>46</v>
      </c>
      <c r="C3" s="7" t="s">
        <v>47</v>
      </c>
      <c r="D3" s="7" t="s">
        <v>48</v>
      </c>
      <c r="E3" s="7" t="s">
        <v>49</v>
      </c>
    </row>
    <row r="4" spans="1:25" ht="12.75" customHeight="1" x14ac:dyDescent="0.25">
      <c r="A4" s="4" t="s">
        <v>50</v>
      </c>
      <c r="B4" s="7" t="s">
        <v>51</v>
      </c>
      <c r="C4" s="7" t="s">
        <v>52</v>
      </c>
      <c r="D4" s="7" t="s">
        <v>53</v>
      </c>
      <c r="E4" s="7" t="s">
        <v>54</v>
      </c>
    </row>
    <row r="5" spans="1:25" ht="12.75" customHeight="1" x14ac:dyDescent="0.25">
      <c r="A5" s="4" t="s">
        <v>55</v>
      </c>
      <c r="B5" s="7" t="s">
        <v>56</v>
      </c>
      <c r="C5" s="7" t="s">
        <v>57</v>
      </c>
      <c r="D5" s="7" t="s">
        <v>58</v>
      </c>
      <c r="E5" s="7" t="s">
        <v>59</v>
      </c>
    </row>
    <row r="6" spans="1:25" ht="12.75" customHeight="1" x14ac:dyDescent="0.25">
      <c r="A6" s="4" t="s">
        <v>60</v>
      </c>
      <c r="B6" s="7" t="s">
        <v>21</v>
      </c>
      <c r="C6" s="7" t="s">
        <v>61</v>
      </c>
      <c r="D6" s="7" t="s">
        <v>62</v>
      </c>
      <c r="E6" s="7" t="s">
        <v>63</v>
      </c>
    </row>
    <row r="7" spans="1:25" ht="12.75" customHeight="1" x14ac:dyDescent="0.25">
      <c r="A7" s="4" t="s">
        <v>64</v>
      </c>
      <c r="B7" s="7" t="s">
        <v>65</v>
      </c>
      <c r="C7" s="7" t="s">
        <v>66</v>
      </c>
      <c r="D7" s="7" t="s">
        <v>67</v>
      </c>
      <c r="E7" s="7" t="s">
        <v>68</v>
      </c>
    </row>
    <row r="8" spans="1:25" ht="12.75" customHeight="1" x14ac:dyDescent="0.25">
      <c r="A8" s="4" t="s">
        <v>69</v>
      </c>
      <c r="B8" s="7" t="s">
        <v>70</v>
      </c>
      <c r="C8" s="7" t="s">
        <v>71</v>
      </c>
      <c r="D8" s="7" t="s">
        <v>72</v>
      </c>
      <c r="E8" s="7" t="s">
        <v>73</v>
      </c>
    </row>
    <row r="9" spans="1:25" ht="12.75" customHeight="1" x14ac:dyDescent="0.25">
      <c r="A9" s="4" t="s">
        <v>74</v>
      </c>
      <c r="B9" s="7" t="s">
        <v>75</v>
      </c>
      <c r="C9" s="7" t="s">
        <v>76</v>
      </c>
      <c r="D9" s="7" t="s">
        <v>77</v>
      </c>
      <c r="E9" s="7" t="s">
        <v>78</v>
      </c>
    </row>
    <row r="10" spans="1:25" ht="12.75" customHeight="1" x14ac:dyDescent="0.25">
      <c r="A10" s="4" t="s">
        <v>79</v>
      </c>
      <c r="B10" s="7" t="s">
        <v>80</v>
      </c>
      <c r="C10" s="7" t="s">
        <v>81</v>
      </c>
      <c r="D10" s="7" t="s">
        <v>82</v>
      </c>
      <c r="E10" s="7" t="s">
        <v>83</v>
      </c>
    </row>
    <row r="11" spans="1:25" ht="12.75" customHeight="1" x14ac:dyDescent="0.25">
      <c r="A11" s="4" t="s">
        <v>84</v>
      </c>
      <c r="B11" s="7" t="s">
        <v>85</v>
      </c>
      <c r="C11" s="7" t="s">
        <v>86</v>
      </c>
      <c r="D11" s="7" t="s">
        <v>87</v>
      </c>
      <c r="E11" s="7" t="s">
        <v>88</v>
      </c>
    </row>
    <row r="12" spans="1:25" ht="12.75" customHeight="1" x14ac:dyDescent="0.25">
      <c r="A12" s="4" t="s">
        <v>89</v>
      </c>
      <c r="B12" s="7" t="s">
        <v>90</v>
      </c>
      <c r="C12" s="7" t="s">
        <v>91</v>
      </c>
      <c r="D12" s="7" t="s">
        <v>92</v>
      </c>
      <c r="E12" s="7" t="s">
        <v>93</v>
      </c>
    </row>
    <row r="13" spans="1:25" ht="12.75" customHeight="1" x14ac:dyDescent="0.2">
      <c r="A13" s="4" t="s">
        <v>94</v>
      </c>
      <c r="B13" s="4" t="s">
        <v>95</v>
      </c>
      <c r="C13" s="4" t="s">
        <v>96</v>
      </c>
      <c r="D13" s="4" t="s">
        <v>97</v>
      </c>
      <c r="E13" s="4" t="s">
        <v>98</v>
      </c>
    </row>
    <row r="14" spans="1:25" ht="12.75" customHeight="1" x14ac:dyDescent="0.2">
      <c r="A14" s="4" t="s">
        <v>99</v>
      </c>
      <c r="B14" s="4" t="s">
        <v>100</v>
      </c>
      <c r="C14" s="4" t="s">
        <v>101</v>
      </c>
      <c r="D14" s="4" t="s">
        <v>102</v>
      </c>
      <c r="E14" s="4" t="s">
        <v>103</v>
      </c>
    </row>
    <row r="15" spans="1:25" ht="12.75" customHeight="1" x14ac:dyDescent="0.2">
      <c r="A15" s="4" t="s">
        <v>211</v>
      </c>
    </row>
    <row r="16" spans="1:25" ht="12.75" customHeight="1" x14ac:dyDescent="0.2">
      <c r="A16" s="4" t="s">
        <v>212</v>
      </c>
    </row>
    <row r="17" spans="1:1" ht="12.75" customHeight="1" x14ac:dyDescent="0.2">
      <c r="A17" s="4" t="s">
        <v>123</v>
      </c>
    </row>
    <row r="18" spans="1:1" ht="12.75" customHeight="1" x14ac:dyDescent="0.2">
      <c r="A18" s="4" t="s">
        <v>213</v>
      </c>
    </row>
    <row r="19" spans="1:1" ht="12.75" customHeight="1" x14ac:dyDescent="0.2">
      <c r="A19" s="4" t="s">
        <v>214</v>
      </c>
    </row>
    <row r="20" spans="1:1" ht="12.75" customHeight="1" x14ac:dyDescent="0.2">
      <c r="A20" s="4" t="s">
        <v>215</v>
      </c>
    </row>
    <row r="21" spans="1:1" ht="12.75" customHeight="1" x14ac:dyDescent="0.2">
      <c r="A21" s="4" t="s">
        <v>216</v>
      </c>
    </row>
    <row r="22" spans="1:1" ht="12.75" customHeight="1" x14ac:dyDescent="0.2">
      <c r="A22" s="4" t="s">
        <v>219</v>
      </c>
    </row>
    <row r="23" spans="1:1" ht="12.75" customHeight="1" x14ac:dyDescent="0.2"/>
    <row r="24" spans="1:1" ht="12.75" customHeight="1" x14ac:dyDescent="0.2"/>
    <row r="25" spans="1:1" ht="12.75" customHeight="1" x14ac:dyDescent="0.2"/>
    <row r="26" spans="1:1" ht="12.75" customHeight="1" x14ac:dyDescent="0.2"/>
    <row r="27" spans="1:1" ht="12.75" customHeight="1" x14ac:dyDescent="0.2"/>
    <row r="28" spans="1:1" ht="12.75" customHeight="1" x14ac:dyDescent="0.2"/>
    <row r="29" spans="1:1" ht="12.75" customHeight="1" x14ac:dyDescent="0.2"/>
    <row r="30" spans="1:1" ht="12.75" customHeight="1" x14ac:dyDescent="0.2"/>
    <row r="31" spans="1:1" ht="12.75" customHeight="1" x14ac:dyDescent="0.2"/>
    <row r="32" spans="1:1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Report</vt:lpstr>
      <vt:lpstr>Data</vt:lpstr>
      <vt:lpstr>Setup</vt:lpstr>
      <vt:lpstr>Languages</vt:lpstr>
      <vt:lpstr>AllData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Aakash Dubey</cp:lastModifiedBy>
  <dcterms:modified xsi:type="dcterms:W3CDTF">2020-07-27T17:46:40Z</dcterms:modified>
</cp:coreProperties>
</file>