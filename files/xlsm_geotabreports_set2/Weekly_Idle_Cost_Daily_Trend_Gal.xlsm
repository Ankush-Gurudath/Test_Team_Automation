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giemilne\Google Drive\MARKETPLACE\Custom Reports\Weekly-Idling-Gallons\Download File\"/>
    </mc:Choice>
  </mc:AlternateContent>
  <bookViews>
    <workbookView xWindow="0" yWindow="0" windowWidth="23040" windowHeight="9030" firstSheet="1" activeTab="1"/>
  </bookViews>
  <sheets>
    <sheet name="Data" sheetId="1" state="hidden" r:id="rId1"/>
    <sheet name="Summary" sheetId="4" r:id="rId2"/>
    <sheet name="Report" sheetId="2" r:id="rId3"/>
  </sheets>
  <definedNames>
    <definedName name="AllData">Report!$A$8:$E$15</definedName>
  </definedNames>
  <calcPr calcId="171027"/>
  <pivotCaches>
    <pivotCache cacheId="6" r:id="rId4"/>
  </pivotCaches>
</workbook>
</file>

<file path=xl/calcChain.xml><?xml version="1.0" encoding="utf-8"?>
<calcChain xmlns="http://schemas.openxmlformats.org/spreadsheetml/2006/main">
  <c r="E13" i="2" l="1"/>
  <c r="A1" i="2"/>
  <c r="E1" i="2"/>
  <c r="B4" i="2"/>
  <c r="B5" i="2"/>
  <c r="A9" i="2"/>
  <c r="B9" i="2"/>
  <c r="C9" i="2"/>
  <c r="D9" i="2"/>
  <c r="E9" i="2" s="1"/>
  <c r="A10" i="2"/>
  <c r="B10" i="2"/>
  <c r="C10" i="2"/>
  <c r="D10" i="2"/>
  <c r="E10" i="2" s="1"/>
  <c r="A11" i="2"/>
  <c r="B11" i="2"/>
  <c r="C11" i="2"/>
  <c r="D11" i="2"/>
  <c r="E11" i="2" s="1"/>
  <c r="A12" i="2"/>
  <c r="B12" i="2"/>
  <c r="C12" i="2"/>
  <c r="D12" i="2"/>
  <c r="E12" i="2" s="1"/>
  <c r="A13" i="2"/>
  <c r="B13" i="2"/>
  <c r="C13" i="2"/>
  <c r="D13" i="2"/>
  <c r="A14" i="2"/>
  <c r="B14" i="2"/>
  <c r="C14" i="2"/>
  <c r="D14" i="2"/>
  <c r="E14" i="2" s="1"/>
  <c r="A15" i="2"/>
  <c r="B15" i="2"/>
  <c r="C15" i="2"/>
  <c r="D15" i="2"/>
  <c r="E15" i="2" s="1"/>
  <c r="A1" i="4"/>
  <c r="H1" i="4"/>
  <c r="B4" i="4"/>
  <c r="B5" i="4"/>
</calcChain>
</file>

<file path=xl/comments1.xml><?xml version="1.0" encoding="utf-8"?>
<comments xmlns="http://schemas.openxmlformats.org/spreadsheetml/2006/main">
  <authors>
    <author>Thomas</author>
  </authors>
  <commentList>
    <comment ref="A1" authorId="0" shapeId="0">
      <text>
        <r>
          <rPr>
            <sz val="11"/>
            <color theme="1"/>
            <rFont val="Calibri"/>
            <family val="2"/>
            <scheme val="minor"/>
          </rPr>
          <t>TripsSummary.5</t>
        </r>
      </text>
    </comment>
  </commentList>
</comments>
</file>

<file path=xl/comments2.xml><?xml version="1.0" encoding="utf-8"?>
<comments xmlns="http://schemas.openxmlformats.org/spreadsheetml/2006/main">
  <authors>
    <author>Angie Milne</author>
  </authors>
  <commentList>
    <comment ref="H3" authorId="0" shapeId="0">
      <text>
        <r>
          <rPr>
            <sz val="9"/>
            <color indexed="81"/>
            <rFont val="Tahoma"/>
            <family val="2"/>
          </rPr>
          <t>Insert current average fuel cost</t>
        </r>
      </text>
    </comment>
  </commentList>
</comments>
</file>

<file path=xl/sharedStrings.xml><?xml version="1.0" encoding="utf-8"?>
<sst xmlns="http://schemas.openxmlformats.org/spreadsheetml/2006/main" count="47" uniqueCount="41">
  <si>
    <t>Grand Total</t>
  </si>
  <si>
    <t>Name</t>
  </si>
  <si>
    <t>GroupName</t>
  </si>
  <si>
    <t>IdlingDuration</t>
  </si>
  <si>
    <t>TripSummaryName</t>
  </si>
  <si>
    <t>TripSummaryGroupName</t>
  </si>
  <si>
    <t>TripSummaryIdlingDuration</t>
  </si>
  <si>
    <t>RunDate</t>
  </si>
  <si>
    <t>FromDate</t>
  </si>
  <si>
    <t>ToDate</t>
  </si>
  <si>
    <t>From</t>
  </si>
  <si>
    <t>To</t>
  </si>
  <si>
    <t>DeviceComment</t>
  </si>
  <si>
    <t>CompanyName</t>
  </si>
  <si>
    <t>DistanceUnit</t>
  </si>
  <si>
    <t>km</t>
  </si>
  <si>
    <t>SendReport</t>
  </si>
  <si>
    <t>TripSummaryPeriodNumber</t>
  </si>
  <si>
    <t>TripSummaryPeriodEndDate</t>
  </si>
  <si>
    <t>Period Start Date</t>
  </si>
  <si>
    <t>TripSummaryPeriodStartDate</t>
  </si>
  <si>
    <t>LastModifiedUser</t>
  </si>
  <si>
    <t>GEOTAB INC</t>
  </si>
  <si>
    <t>**&lt;No User&gt;</t>
  </si>
  <si>
    <t>Weekly Idle Cost - Daily Trend</t>
  </si>
  <si>
    <t>Total</t>
  </si>
  <si>
    <t>IdlingCost</t>
  </si>
  <si>
    <t>Idle Cost</t>
  </si>
  <si>
    <t>Weekday</t>
  </si>
  <si>
    <t>Vehicle 1</t>
  </si>
  <si>
    <t>Vehicle 2</t>
  </si>
  <si>
    <t>Vehicle 3</t>
  </si>
  <si>
    <t>Vehicle 4</t>
  </si>
  <si>
    <t>Vehicle 5</t>
  </si>
  <si>
    <t>Vehicle 6</t>
  </si>
  <si>
    <t>Vehicle 7</t>
  </si>
  <si>
    <t>Group 1</t>
  </si>
  <si>
    <t>Group 3</t>
  </si>
  <si>
    <t>Group 4</t>
  </si>
  <si>
    <t>Group 2</t>
  </si>
  <si>
    <t>Current Fuel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</si>
</sst>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&quot;$&quot;* #,##0_-;\-&quot;$&quot;* #,##0_-;_-&quot;$&quot;* &quot;-&quot;_-;_-@_-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[h]:mm"/>
    <numFmt numFmtId="169" formatCode="dd/mm/yyyy\ h:mm:ss\ AM/PM"/>
    <numFmt numFmtId="170" formatCode="mmm\ dd\,\ yyyy"/>
    <numFmt numFmtId="171" formatCode="dddd"/>
    <numFmt numFmtId="172" formatCode="&quot;$&quot;#,##0.00"/>
  </numFmts>
  <fonts count="16" x14ac:knownFonts="1">
    <font>
      <sz val="11"/>
      <color theme="1"/>
      <name val="Calibri"/>
      <family val="2"/>
      <scheme val="minor"/>
    </font>
    <font>
      <b/>
      <sz val="7"/>
      <color indexed="8"/>
      <name val="Tahoma"/>
      <family val="2"/>
    </font>
    <font>
      <sz val="8"/>
      <color indexed="8"/>
      <name val="Tahoma"/>
      <family val="2"/>
    </font>
    <font>
      <sz val="11"/>
      <color indexed="8"/>
      <name val="Calibri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5" tint="-0.249977111117893"/>
      <name val="Calibri"/>
      <family val="2"/>
    </font>
    <font>
      <b/>
      <sz val="8"/>
      <color theme="1"/>
      <name val="Tahoma"/>
      <family val="2"/>
    </font>
    <font>
      <sz val="11"/>
      <name val="Calibri"/>
      <family val="2"/>
      <scheme val="minor"/>
    </font>
    <font>
      <sz val="14"/>
      <color theme="1" tint="0.499984740745262"/>
      <name val="Calibri"/>
      <family val="2"/>
      <scheme val="minor"/>
    </font>
    <font>
      <b/>
      <sz val="14"/>
      <color theme="7"/>
      <name val="Calibri"/>
      <family val="2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8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1">
    <xf numFmtId="0" fontId="0" fillId="0" borderId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6" fillId="3" borderId="0" applyNumberFormat="0"/>
    <xf numFmtId="0" fontId="7" fillId="0" borderId="0" applyNumberFormat="0" applyAlignment="0"/>
    <xf numFmtId="0" fontId="8" fillId="4" borderId="0" applyNumberFormat="0"/>
    <xf numFmtId="170" fontId="5" fillId="3" borderId="0"/>
    <xf numFmtId="0" fontId="9" fillId="0" borderId="0" applyNumberFormat="0"/>
    <xf numFmtId="0" fontId="10" fillId="0" borderId="0" applyNumberFormat="0"/>
  </cellStyleXfs>
  <cellXfs count="34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left"/>
    </xf>
    <xf numFmtId="0" fontId="11" fillId="0" borderId="0" xfId="0" applyFont="1"/>
    <xf numFmtId="169" fontId="2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12" fillId="0" borderId="0" xfId="0" applyFont="1"/>
    <xf numFmtId="170" fontId="12" fillId="0" borderId="0" xfId="0" applyNumberFormat="1" applyFont="1" applyAlignment="1">
      <alignment horizontal="left"/>
    </xf>
    <xf numFmtId="0" fontId="6" fillId="3" borderId="0" xfId="5"/>
    <xf numFmtId="170" fontId="5" fillId="3" borderId="0" xfId="8"/>
    <xf numFmtId="0" fontId="10" fillId="0" borderId="0" xfId="10"/>
    <xf numFmtId="0" fontId="9" fillId="0" borderId="0" xfId="9"/>
    <xf numFmtId="170" fontId="7" fillId="0" borderId="0" xfId="6" applyNumberFormat="1" applyAlignment="1">
      <alignment horizontal="left"/>
    </xf>
    <xf numFmtId="0" fontId="13" fillId="0" borderId="2" xfId="0" applyFont="1" applyBorder="1" applyAlignment="1">
      <alignment horizontal="right" vertical="center"/>
    </xf>
    <xf numFmtId="172" fontId="14" fillId="0" borderId="3" xfId="3" applyNumberFormat="1" applyFont="1" applyBorder="1" applyAlignment="1">
      <alignment horizontal="center" vertical="center"/>
    </xf>
    <xf numFmtId="0" fontId="6" fillId="3" borderId="0" xfId="5" applyAlignment="1">
      <alignment horizontal="left"/>
    </xf>
    <xf numFmtId="168" fontId="6" fillId="3" borderId="0" xfId="5" applyNumberFormat="1" applyAlignment="1">
      <alignment horizontal="left"/>
    </xf>
    <xf numFmtId="0" fontId="10" fillId="0" borderId="0" xfId="10" applyAlignment="1">
      <alignment horizontal="left"/>
    </xf>
    <xf numFmtId="0" fontId="12" fillId="0" borderId="0" xfId="0" applyFont="1" applyAlignment="1">
      <alignment horizontal="left"/>
    </xf>
    <xf numFmtId="0" fontId="9" fillId="0" borderId="0" xfId="9" applyAlignment="1">
      <alignment horizontal="left"/>
    </xf>
    <xf numFmtId="168" fontId="12" fillId="0" borderId="0" xfId="0" applyNumberFormat="1" applyFont="1" applyAlignment="1">
      <alignment horizontal="left"/>
    </xf>
    <xf numFmtId="0" fontId="8" fillId="4" borderId="0" xfId="7" applyAlignment="1">
      <alignment horizontal="left"/>
    </xf>
    <xf numFmtId="168" fontId="8" fillId="4" borderId="0" xfId="7" applyNumberFormat="1" applyAlignment="1">
      <alignment horizontal="left"/>
    </xf>
    <xf numFmtId="0" fontId="7" fillId="0" borderId="0" xfId="6" applyAlignment="1">
      <alignment horizontal="left"/>
    </xf>
    <xf numFmtId="46" fontId="7" fillId="0" borderId="0" xfId="6" applyNumberFormat="1" applyAlignment="1">
      <alignment horizontal="left"/>
    </xf>
    <xf numFmtId="172" fontId="7" fillId="0" borderId="0" xfId="6" applyNumberFormat="1" applyAlignment="1">
      <alignment horizontal="left"/>
    </xf>
    <xf numFmtId="0" fontId="0" fillId="0" borderId="0" xfId="0" applyAlignment="1">
      <alignment horizontal="left"/>
    </xf>
    <xf numFmtId="168" fontId="0" fillId="0" borderId="0" xfId="0" applyNumberFormat="1" applyAlignment="1">
      <alignment horizontal="left"/>
    </xf>
    <xf numFmtId="170" fontId="5" fillId="3" borderId="0" xfId="8" applyAlignment="1">
      <alignment horizontal="right"/>
    </xf>
    <xf numFmtId="0" fontId="15" fillId="0" borderId="0" xfId="0" pivotButton="1" applyFont="1"/>
    <xf numFmtId="0" fontId="15" fillId="0" borderId="0" xfId="0" applyFont="1"/>
    <xf numFmtId="171" fontId="15" fillId="0" borderId="0" xfId="0" applyNumberFormat="1" applyFont="1"/>
    <xf numFmtId="172" fontId="15" fillId="0" borderId="0" xfId="0" applyNumberFormat="1" applyFont="1"/>
  </cellXfs>
  <cellStyles count="11"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Geotab Heading" xfId="5"/>
    <cellStyle name="Geotab Report Body" xfId="6"/>
    <cellStyle name="Geotab Report Column Header" xfId="7"/>
    <cellStyle name="Geotab Report Creation DateTime" xfId="8"/>
    <cellStyle name="Geotab Report Field Name" xfId="9"/>
    <cellStyle name="Geotab Report Name" xfId="10"/>
    <cellStyle name="Normal" xfId="0" builtinId="0" customBuiltin="1"/>
  </cellStyles>
  <dxfs count="21">
    <dxf>
      <font>
        <name val="Calibri"/>
        <scheme val="minor"/>
      </font>
    </dxf>
    <dxf>
      <font>
        <sz val="11"/>
      </font>
    </dxf>
    <dxf>
      <numFmt numFmtId="172" formatCode="&quot;$&quot;#,##0.00"/>
    </dxf>
    <dxf>
      <font>
        <name val="Calibri"/>
        <scheme val="minor"/>
      </font>
    </dxf>
    <dxf>
      <font>
        <sz val="11"/>
      </font>
    </dxf>
    <dxf>
      <numFmt numFmtId="172" formatCode="&quot;$&quot;#,##0.00"/>
    </dxf>
    <dxf>
      <numFmt numFmtId="172" formatCode="&quot;$&quot;#,##0.00"/>
    </dxf>
    <dxf>
      <font>
        <sz val="11"/>
      </font>
    </dxf>
    <dxf>
      <font>
        <name val="Calibri"/>
        <scheme val="minor"/>
      </font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5117038483843"/>
          <bgColor theme="4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95117038483843"/>
          <bgColor theme="5" tint="0.59996337778862885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1" defaultTableStyle="TableStyleMedium9" defaultPivotStyle="PivotStyleLight16">
    <tableStyle name="PivotStyleLightCheckmate" table="0" count="12">
      <tableStyleElement type="wholeTable" dxfId="20"/>
      <tableStyleElement type="headerRow" dxfId="19"/>
      <tableStyleElement type="totalRow" dxfId="18"/>
      <tableStyleElement type="secondRowStripe" dxfId="17"/>
      <tableStyleElement type="firstColumnStripe" dxfId="16"/>
      <tableStyleElement type="firstSubtotalColumn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[Weekly Idle Cost - Daily Trend (Gal).xlsm]Summary!TripsSummary</c:name>
    <c:fmtId val="0"/>
  </c:pivotSource>
  <c:chart>
    <c:autoTitleDeleted val="1"/>
    <c:pivotFmts>
      <c:pivotFmt>
        <c:idx val="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6"/>
          <c:spPr>
            <a:solidFill>
              <a:srgbClr val="9BBB59"/>
            </a:solidFill>
            <a:ln w="9525">
              <a:noFill/>
            </a:ln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Summary!$B$8:$B$9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9BBB59"/>
              </a:solidFill>
              <a:ln w="9525">
                <a:noFill/>
              </a:ln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Summary!$A$10:$A$17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Summary!$B$10:$B$17</c:f>
              <c:numCache>
                <c:formatCode>"$"#,##0.00</c:formatCode>
                <c:ptCount val="7"/>
                <c:pt idx="0">
                  <c:v>0.48958333333333381</c:v>
                </c:pt>
                <c:pt idx="1">
                  <c:v>3.1291666666666691</c:v>
                </c:pt>
                <c:pt idx="2">
                  <c:v>7.7777777777777835E-2</c:v>
                </c:pt>
                <c:pt idx="3">
                  <c:v>0.28055555555555578</c:v>
                </c:pt>
                <c:pt idx="4">
                  <c:v>1.58263888888889</c:v>
                </c:pt>
                <c:pt idx="5">
                  <c:v>0.20833333333333345</c:v>
                </c:pt>
                <c:pt idx="6">
                  <c:v>1.0659722222222232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18-46BA-A56B-A26798072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268128"/>
        <c:axId val="518270480"/>
      </c:lineChart>
      <c:catAx>
        <c:axId val="51826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rPr>
                  <a:t>Day of Week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70480"/>
        <c:crosses val="autoZero"/>
        <c:auto val="0"/>
        <c:lblAlgn val="ctr"/>
        <c:lblOffset val="100"/>
        <c:noMultiLvlLbl val="0"/>
      </c:catAx>
      <c:valAx>
        <c:axId val="51827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chemeClr val="tx1">
                        <a:lumMod val="50000"/>
                        <a:lumOff val="50000"/>
                      </a:schemeClr>
                    </a:solidFill>
                  </a:defRPr>
                </a:pPr>
                <a:r>
                  <a:rPr lang="en-US" b="0">
                    <a:solidFill>
                      <a:schemeClr val="tx1">
                        <a:lumMod val="50000"/>
                        <a:lumOff val="50000"/>
                      </a:schemeClr>
                    </a:solidFill>
                  </a:rPr>
                  <a:t>Idle Cost</a:t>
                </a:r>
              </a:p>
            </c:rich>
          </c:tx>
          <c:overlay val="0"/>
        </c:title>
        <c:numFmt formatCode="&quot;$&quot;#,##0.0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681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266700</xdr:colOff>
      <xdr:row>6</xdr:row>
      <xdr:rowOff>19050</xdr:rowOff>
    </xdr:from>
    <xdr:to>
      <xdr:col>9</xdr:col>
      <xdr:colOff>381000</xdr:colOff>
      <xdr:row>21</xdr:row>
      <xdr:rowOff>95250</xdr:rowOff>
    </xdr:to>
    <xdr:graphicFrame macro="">
      <xdr:nvGraphicFramePr>
        <xdr:cNvPr id="2067" name="Chart 1">
          <a:extLst>
            <a:ext uri="{FF2B5EF4-FFF2-40B4-BE49-F238E27FC236}">
              <a16:creationId xmlns:a16="http://schemas.microsoft.com/office/drawing/2014/main" id="{00000000-0008-0000-0200-00001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971550</xdr:colOff>
      <xdr:row>2</xdr:row>
      <xdr:rowOff>66675</xdr:rowOff>
    </xdr:from>
    <xdr:to>
      <xdr:col>14</xdr:col>
      <xdr:colOff>180975</xdr:colOff>
      <xdr:row>21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0344150" y="600075"/>
          <a:ext cx="4305300" cy="3476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0" u="none" strike="noStrike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Report Description</a:t>
          </a:r>
        </a:p>
        <a:p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This report shows the entire fleet’s idle cost on a weekly basis for each day, which makes it easy for fleet managers to know how much idling is costing their company.</a:t>
          </a:r>
        </a:p>
        <a:p>
          <a:endParaRPr lang="en-US" sz="1200" b="0" i="0" u="none" strike="noStrike">
            <a:solidFill>
              <a:schemeClr val="tx1">
                <a:lumMod val="50000"/>
                <a:lumOff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The report includes a graph with a trend of the week’s information shown daily. The trendline indicates whether or not your fleet is reducing their weekly idle total.</a:t>
          </a:r>
        </a:p>
        <a:p>
          <a:endParaRPr lang="en-US" sz="1200" b="0" i="0" u="none" strike="noStrike">
            <a:solidFill>
              <a:schemeClr val="tx1">
                <a:lumMod val="50000"/>
                <a:lumOff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pPr marL="0" indent="0"/>
          <a:r>
            <a:rPr lang="en-US" sz="1400" b="1" i="0" u="none" strike="noStrike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Instructions</a:t>
          </a:r>
        </a:p>
        <a:p>
          <a:r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Enter in the current average fuel cost in cell H3.</a:t>
          </a:r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ngie Milne" refreshedDate="42718.419888888886" createdVersion="4" refreshedVersion="6" minRefreshableVersion="3" recordCount="7">
  <cacheSource type="worksheet">
    <worksheetSource name="AllData"/>
  </cacheSource>
  <cacheFields count="5">
    <cacheField name="Name" numFmtId="0">
      <sharedItems/>
    </cacheField>
    <cacheField name="GroupName" numFmtId="0">
      <sharedItems/>
    </cacheField>
    <cacheField name="Period Start Date" numFmtId="170">
      <sharedItems containsSemiMixedTypes="0" containsNonDate="0" containsDate="1" containsString="0" minDate="2009-10-14T00:00:00" maxDate="2014-02-02T00:00:00" count="8">
        <d v="2014-01-26T00:00:00"/>
        <d v="2014-01-27T00:00:00"/>
        <d v="2014-01-28T00:00:00"/>
        <d v="2014-01-29T00:00:00"/>
        <d v="2014-01-30T00:00:00"/>
        <d v="2014-01-31T00:00:00"/>
        <d v="2014-02-01T00:00:00"/>
        <d v="2009-10-14T00:00:00" u="1"/>
      </sharedItems>
    </cacheField>
    <cacheField name="IdlingDuration" numFmtId="46">
      <sharedItems containsSemiMixedTypes="0" containsNonDate="0" containsDate="1" containsString="0" minDate="1899-12-30T00:01:52" maxDate="1899-12-30T01:15:06"/>
    </cacheField>
    <cacheField name="IdlingCost" numFmtId="172">
      <sharedItems containsSemiMixedTypes="0" containsString="0" containsNumber="1" minValue="7.7777777777777835E-2" maxValue="3.12916666666666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s v="Vehicle 1"/>
    <s v="Group 1"/>
    <x v="0"/>
    <d v="1899-12-30T00:11:45"/>
    <n v="0.48958333333333381"/>
  </r>
  <r>
    <s v="Vehicle 2"/>
    <s v="Group 1"/>
    <x v="1"/>
    <d v="1899-12-30T01:15:06"/>
    <n v="3.1291666666666691"/>
  </r>
  <r>
    <s v="Vehicle 3"/>
    <s v="Group 3"/>
    <x v="2"/>
    <d v="1899-12-30T00:01:52"/>
    <n v="7.7777777777777835E-2"/>
  </r>
  <r>
    <s v="Vehicle 4"/>
    <s v="Group 4"/>
    <x v="3"/>
    <d v="1899-12-30T00:06:44"/>
    <n v="0.28055555555555578"/>
  </r>
  <r>
    <s v="Vehicle 5"/>
    <s v="Group 2"/>
    <x v="4"/>
    <d v="1899-12-30T00:37:59"/>
    <n v="1.58263888888889"/>
  </r>
  <r>
    <s v="Vehicle 6"/>
    <s v="Group 2"/>
    <x v="5"/>
    <d v="1899-12-30T00:05:00"/>
    <n v="0.20833333333333345"/>
  </r>
  <r>
    <s v="Vehicle 7"/>
    <s v="Group 4"/>
    <x v="6"/>
    <d v="1899-12-30T00:25:35"/>
    <n v="1.06597222222222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ripsSummary" cacheId="6" applyNumberFormats="0" applyBorderFormats="0" applyFontFormats="0" applyPatternFormats="0" applyAlignmentFormats="0" applyWidthHeightFormats="1" dataCaption="Data" updatedVersion="6" minRefreshableVersion="3" showDrill="0" showMemberPropertyTips="0" itemPrintTitles="1" createdVersion="5" indent="0" compact="0" compactData="0" gridDropZones="1" chartFormat="1">
  <location ref="A8:B17" firstHeaderRow="2" firstDataRow="2" firstDataCol="1"/>
  <pivotFields count="5">
    <pivotField compact="0" outline="0" subtotalTop="0" showAll="0" includeNewItemsInFilter="1"/>
    <pivotField compact="0" outline="0" subtotalTop="0" showAll="0" includeNewItemsInFilter="1" defaultSubtotal="0"/>
    <pivotField name="Weekday" axis="axisRow" compact="0" numFmtId="171" outline="0" subtotalTop="0" showAll="0" includeNewItemsInFilter="1" defaultSubtotal="0">
      <items count="8">
        <item m="1" x="7"/>
        <item x="0"/>
        <item x="1"/>
        <item x="2"/>
        <item x="3"/>
        <item x="4"/>
        <item x="5"/>
        <item x="6"/>
      </items>
    </pivotField>
    <pivotField compact="0" numFmtId="168" outline="0" subtotalTop="0" showAll="0" includeNewItemsInFilter="1" defaultSubtotal="0"/>
    <pivotField dataField="1" compact="0" numFmtId="172" outline="0" showAll="0" defaultSubtotal="0"/>
  </pivotFields>
  <rowFields count="1">
    <field x="2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Idle Cost" fld="4" baseField="2" baseItem="1" numFmtId="172"/>
  </dataFields>
  <formats count="3">
    <format dxfId="8">
      <pivotArea type="all" dataOnly="0" outline="0" collapsedLevelsAreSubtotals="1" fieldPosition="0"/>
    </format>
    <format dxfId="7">
      <pivotArea type="all" dataOnly="0" outline="0" collapsedLevelsAreSubtotals="1" fieldPosition="0"/>
    </format>
    <format dxfId="6">
      <pivotArea outline="0" collapsedLevelsAreSubtotals="1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Checkmate" showRowHeaders="0" showColHeaders="1" showRowStripes="1" showColStripes="0" showLastColumn="1"/>
</pivotTableDefinition>
</file>

<file path=xl/theme/theme1.xml><?xml version="1.0" encoding="utf-8"?>
<a:theme xmlns:a="http://schemas.openxmlformats.org/drawingml/2006/main" name="CheckmateReportTheme">
  <a:themeElements>
    <a:clrScheme name="Custom 1">
      <a:dk1>
        <a:sysClr val="windowText" lastClr="000000"/>
      </a:dk1>
      <a:lt1>
        <a:sysClr val="window" lastClr="FFFFFF"/>
      </a:lt1>
      <a:dk2>
        <a:srgbClr val="3F3F3F"/>
      </a:dk2>
      <a:lt2>
        <a:srgbClr val="EEECE1"/>
      </a:lt2>
      <a:accent1>
        <a:srgbClr val="25477B"/>
      </a:accent1>
      <a:accent2>
        <a:srgbClr val="5C9CCC"/>
      </a:accent2>
      <a:accent3>
        <a:srgbClr val="9BBB59"/>
      </a:accent3>
      <a:accent4>
        <a:srgbClr val="F7941E"/>
      </a:accent4>
      <a:accent5>
        <a:srgbClr val="F3F8FB"/>
      </a:accent5>
      <a:accent6>
        <a:srgbClr val="EEECE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G15"/>
  <sheetViews>
    <sheetView workbookViewId="0">
      <pane ySplit="8" topLeftCell="A9" activePane="bottomLeft" state="frozen"/>
      <selection pane="bottomLeft" activeCell="D4" sqref="D4"/>
    </sheetView>
  </sheetViews>
  <sheetFormatPr defaultRowHeight="15" x14ac:dyDescent="0.25"/>
  <cols>
    <col min="1" max="1" width="15.5703125" customWidth="1"/>
    <col min="2" max="2" width="18.5703125" customWidth="1"/>
    <col min="3" max="4" width="15.140625" customWidth="1"/>
    <col min="5" max="5" width="18.5703125" customWidth="1"/>
    <col min="6" max="6" width="18.42578125" customWidth="1"/>
    <col min="7" max="7" width="12.42578125" customWidth="1"/>
  </cols>
  <sheetData>
    <row r="1" spans="1:7" x14ac:dyDescent="0.25">
      <c r="A1" s="4" t="s">
        <v>13</v>
      </c>
      <c r="B1" s="5" t="s">
        <v>22</v>
      </c>
      <c r="C1" s="5"/>
      <c r="D1" s="5"/>
      <c r="E1" s="5"/>
      <c r="F1" s="5"/>
    </row>
    <row r="2" spans="1:7" x14ac:dyDescent="0.25">
      <c r="A2" s="4" t="s">
        <v>7</v>
      </c>
      <c r="B2" s="5">
        <v>41675.4022305787</v>
      </c>
      <c r="C2" s="5"/>
      <c r="D2" s="5"/>
      <c r="E2" s="5"/>
      <c r="F2" s="5"/>
    </row>
    <row r="3" spans="1:7" x14ac:dyDescent="0.25">
      <c r="A3" s="4" t="s">
        <v>8</v>
      </c>
      <c r="B3" s="5">
        <v>41665</v>
      </c>
      <c r="C3" s="5"/>
      <c r="D3" s="5"/>
      <c r="E3" s="5"/>
      <c r="F3" s="5"/>
    </row>
    <row r="4" spans="1:7" x14ac:dyDescent="0.25">
      <c r="A4" s="4" t="s">
        <v>9</v>
      </c>
      <c r="B4" s="5">
        <v>41671.999988425923</v>
      </c>
      <c r="C4" s="5"/>
      <c r="D4" s="5"/>
      <c r="E4" s="5"/>
      <c r="F4" s="5"/>
    </row>
    <row r="5" spans="1:7" x14ac:dyDescent="0.25">
      <c r="A5" s="4" t="s">
        <v>14</v>
      </c>
      <c r="B5" s="5" t="s">
        <v>15</v>
      </c>
      <c r="C5" s="5"/>
      <c r="D5" s="5"/>
      <c r="E5" s="5"/>
      <c r="F5" s="5"/>
    </row>
    <row r="6" spans="1:7" x14ac:dyDescent="0.25">
      <c r="A6" s="4" t="s">
        <v>16</v>
      </c>
      <c r="B6" s="5" t="b">
        <v>1</v>
      </c>
      <c r="C6" s="5"/>
      <c r="D6" s="5"/>
      <c r="E6" s="5"/>
      <c r="F6" s="5"/>
    </row>
    <row r="7" spans="1:7" x14ac:dyDescent="0.25">
      <c r="A7" s="4" t="s">
        <v>21</v>
      </c>
      <c r="B7" s="5" t="s">
        <v>23</v>
      </c>
    </row>
    <row r="8" spans="1:7" ht="24.75" customHeight="1" thickBot="1" x14ac:dyDescent="0.3">
      <c r="A8" s="1" t="s">
        <v>4</v>
      </c>
      <c r="B8" s="1" t="s">
        <v>5</v>
      </c>
      <c r="C8" s="1" t="s">
        <v>12</v>
      </c>
      <c r="D8" s="1" t="s">
        <v>17</v>
      </c>
      <c r="E8" s="1" t="s">
        <v>20</v>
      </c>
      <c r="F8" s="1" t="s">
        <v>18</v>
      </c>
      <c r="G8" s="1" t="s">
        <v>6</v>
      </c>
    </row>
    <row r="9" spans="1:7" x14ac:dyDescent="0.25">
      <c r="A9" s="2" t="s">
        <v>29</v>
      </c>
      <c r="B9" s="2" t="s">
        <v>36</v>
      </c>
      <c r="D9" s="6">
        <v>1</v>
      </c>
      <c r="E9" s="5">
        <v>41665</v>
      </c>
      <c r="F9" s="5">
        <v>41665.999988425923</v>
      </c>
      <c r="G9" s="3">
        <v>8.1597222222222227E-3</v>
      </c>
    </row>
    <row r="10" spans="1:7" x14ac:dyDescent="0.25">
      <c r="A10" s="2" t="s">
        <v>30</v>
      </c>
      <c r="B10" s="2" t="s">
        <v>36</v>
      </c>
      <c r="C10" s="2"/>
      <c r="D10" s="6">
        <v>2</v>
      </c>
      <c r="E10" s="5">
        <v>41666</v>
      </c>
      <c r="F10" s="5">
        <v>41666.999988425923</v>
      </c>
      <c r="G10" s="3">
        <v>5.2152777777777777E-2</v>
      </c>
    </row>
    <row r="11" spans="1:7" x14ac:dyDescent="0.25">
      <c r="A11" s="2" t="s">
        <v>31</v>
      </c>
      <c r="B11" s="2" t="s">
        <v>37</v>
      </c>
      <c r="D11" s="6">
        <v>3</v>
      </c>
      <c r="E11" s="5">
        <v>41667</v>
      </c>
      <c r="F11" s="5">
        <v>41667.999988425923</v>
      </c>
      <c r="G11" s="3">
        <v>1.2962962962962963E-3</v>
      </c>
    </row>
    <row r="12" spans="1:7" x14ac:dyDescent="0.25">
      <c r="A12" s="2" t="s">
        <v>32</v>
      </c>
      <c r="B12" s="2" t="s">
        <v>38</v>
      </c>
      <c r="C12" s="2"/>
      <c r="D12" s="6">
        <v>4</v>
      </c>
      <c r="E12" s="5">
        <v>41668</v>
      </c>
      <c r="F12" s="5">
        <v>41668.999988425923</v>
      </c>
      <c r="G12" s="3">
        <v>4.6759259259259263E-3</v>
      </c>
    </row>
    <row r="13" spans="1:7" x14ac:dyDescent="0.25">
      <c r="A13" s="2" t="s">
        <v>33</v>
      </c>
      <c r="B13" s="2" t="s">
        <v>39</v>
      </c>
      <c r="C13" s="2"/>
      <c r="D13" s="6">
        <v>5</v>
      </c>
      <c r="E13" s="5">
        <v>41669</v>
      </c>
      <c r="F13" s="5">
        <v>41669.999988425923</v>
      </c>
      <c r="G13" s="3">
        <v>2.6377314814814815E-2</v>
      </c>
    </row>
    <row r="14" spans="1:7" x14ac:dyDescent="0.25">
      <c r="A14" s="2" t="s">
        <v>34</v>
      </c>
      <c r="B14" s="2" t="s">
        <v>39</v>
      </c>
      <c r="C14" s="2"/>
      <c r="D14" s="6">
        <v>6</v>
      </c>
      <c r="E14" s="5">
        <v>41670</v>
      </c>
      <c r="F14" s="5">
        <v>41670.999988425923</v>
      </c>
      <c r="G14" s="3">
        <v>3.472222222222222E-3</v>
      </c>
    </row>
    <row r="15" spans="1:7" x14ac:dyDescent="0.25">
      <c r="A15" s="2" t="s">
        <v>35</v>
      </c>
      <c r="B15" s="2" t="s">
        <v>38</v>
      </c>
      <c r="C15" s="2"/>
      <c r="D15" s="6">
        <v>7</v>
      </c>
      <c r="E15" s="5">
        <v>41671</v>
      </c>
      <c r="F15" s="5">
        <v>41671.999988425923</v>
      </c>
      <c r="G15" s="3">
        <v>1.7766203703703704E-2</v>
      </c>
    </row>
  </sheetData>
  <pageMargins left="0.75" right="0.75" top="1" bottom="1" header="0.5" footer="0.5"/>
  <pageSetup fitToHeight="100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17"/>
  <sheetViews>
    <sheetView showGridLines="0" tabSelected="1" workbookViewId="0">
      <selection activeCell="H25" sqref="H25"/>
    </sheetView>
  </sheetViews>
  <sheetFormatPr defaultRowHeight="15" x14ac:dyDescent="0.25"/>
  <cols>
    <col min="1" max="1" width="17.5703125" customWidth="1"/>
    <col min="2" max="2" width="15.28515625" customWidth="1"/>
    <col min="3" max="4" width="6.5703125" customWidth="1"/>
    <col min="5" max="5" width="16.7109375" customWidth="1"/>
    <col min="6" max="6" width="17.85546875" customWidth="1"/>
    <col min="7" max="7" width="20.7109375" bestFit="1" customWidth="1"/>
    <col min="8" max="8" width="21.140625" customWidth="1"/>
    <col min="9" max="9" width="20.85546875" customWidth="1"/>
    <col min="10" max="10" width="20" customWidth="1"/>
    <col min="11" max="11" width="19.7109375" customWidth="1"/>
    <col min="12" max="12" width="14.7109375" customWidth="1"/>
    <col min="13" max="13" width="10.7109375" customWidth="1"/>
    <col min="14" max="14" width="11.28515625" customWidth="1"/>
    <col min="15" max="18" width="15.28515625" customWidth="1"/>
    <col min="19" max="19" width="15.85546875" bestFit="1" customWidth="1"/>
  </cols>
  <sheetData>
    <row r="1" spans="1:8" s="9" customFormat="1" ht="23.25" x14ac:dyDescent="0.35">
      <c r="A1" s="9" t="str">
        <f>Data!B1</f>
        <v>GEOTAB INC</v>
      </c>
      <c r="H1" s="10">
        <f>Data!B2</f>
        <v>41675.4022305787</v>
      </c>
    </row>
    <row r="2" spans="1:8" s="7" customFormat="1" ht="18.75" x14ac:dyDescent="0.3">
      <c r="A2" s="11" t="s">
        <v>24</v>
      </c>
    </row>
    <row r="3" spans="1:8" s="7" customFormat="1" ht="26.25" customHeight="1" x14ac:dyDescent="0.25">
      <c r="G3" s="14" t="s">
        <v>40</v>
      </c>
      <c r="H3" s="15">
        <v>2.5</v>
      </c>
    </row>
    <row r="4" spans="1:8" s="7" customFormat="1" x14ac:dyDescent="0.25">
      <c r="A4" s="12" t="s">
        <v>10</v>
      </c>
      <c r="B4" s="13">
        <f>Data!B3</f>
        <v>41665</v>
      </c>
    </row>
    <row r="5" spans="1:8" s="7" customFormat="1" x14ac:dyDescent="0.25">
      <c r="A5" s="12" t="s">
        <v>11</v>
      </c>
      <c r="B5" s="13">
        <f>Data!B4</f>
        <v>41671.999988425923</v>
      </c>
    </row>
    <row r="6" spans="1:8" s="7" customFormat="1" x14ac:dyDescent="0.25">
      <c r="A6" s="12"/>
      <c r="B6" s="13"/>
    </row>
    <row r="7" spans="1:8" s="7" customFormat="1" x14ac:dyDescent="0.25"/>
    <row r="8" spans="1:8" hidden="1" x14ac:dyDescent="0.25">
      <c r="A8" s="30" t="s">
        <v>27</v>
      </c>
      <c r="B8" s="31"/>
    </row>
    <row r="9" spans="1:8" x14ac:dyDescent="0.25">
      <c r="A9" s="30" t="s">
        <v>28</v>
      </c>
      <c r="B9" s="31" t="s">
        <v>25</v>
      </c>
    </row>
    <row r="10" spans="1:8" x14ac:dyDescent="0.25">
      <c r="A10" s="32">
        <v>41665</v>
      </c>
      <c r="B10" s="33">
        <v>0.48958333333333381</v>
      </c>
    </row>
    <row r="11" spans="1:8" x14ac:dyDescent="0.25">
      <c r="A11" s="32">
        <v>41666</v>
      </c>
      <c r="B11" s="33">
        <v>3.1291666666666691</v>
      </c>
    </row>
    <row r="12" spans="1:8" x14ac:dyDescent="0.25">
      <c r="A12" s="32">
        <v>41667</v>
      </c>
      <c r="B12" s="33">
        <v>7.7777777777777835E-2</v>
      </c>
    </row>
    <row r="13" spans="1:8" x14ac:dyDescent="0.25">
      <c r="A13" s="32">
        <v>41668</v>
      </c>
      <c r="B13" s="33">
        <v>0.28055555555555578</v>
      </c>
    </row>
    <row r="14" spans="1:8" x14ac:dyDescent="0.25">
      <c r="A14" s="32">
        <v>41669</v>
      </c>
      <c r="B14" s="33">
        <v>1.58263888888889</v>
      </c>
    </row>
    <row r="15" spans="1:8" x14ac:dyDescent="0.25">
      <c r="A15" s="32">
        <v>41670</v>
      </c>
      <c r="B15" s="33">
        <v>0.20833333333333345</v>
      </c>
    </row>
    <row r="16" spans="1:8" x14ac:dyDescent="0.25">
      <c r="A16" s="32">
        <v>41671</v>
      </c>
      <c r="B16" s="33">
        <v>1.0659722222222232</v>
      </c>
    </row>
    <row r="17" spans="1:2" x14ac:dyDescent="0.25">
      <c r="A17" s="32" t="s">
        <v>0</v>
      </c>
      <c r="B17" s="33">
        <v>6.8340277777777834</v>
      </c>
    </row>
  </sheetData>
  <pageMargins left="0.7" right="0.7" top="0.75" bottom="0.75" header="0.3" footer="0.3"/>
  <pageSetup orientation="portrait" r:id="rId2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showGridLines="0" workbookViewId="0">
      <pane ySplit="8" topLeftCell="A9" activePane="bottomLeft" state="frozen"/>
      <selection pane="bottomLeft" activeCell="I25" sqref="I25"/>
    </sheetView>
  </sheetViews>
  <sheetFormatPr defaultRowHeight="15" x14ac:dyDescent="0.25"/>
  <cols>
    <col min="1" max="1" width="19.140625" style="27" customWidth="1"/>
    <col min="2" max="2" width="21.7109375" style="27" customWidth="1"/>
    <col min="3" max="3" width="19" style="27" customWidth="1"/>
    <col min="4" max="4" width="17.7109375" style="28" customWidth="1"/>
    <col min="5" max="5" width="17.42578125" style="27" customWidth="1"/>
    <col min="6" max="16384" width="9.140625" style="27"/>
  </cols>
  <sheetData>
    <row r="1" spans="1:5" s="16" customFormat="1" ht="23.25" x14ac:dyDescent="0.35">
      <c r="A1" s="16" t="str">
        <f>Data!B1</f>
        <v>GEOTAB INC</v>
      </c>
      <c r="D1" s="17"/>
      <c r="E1" s="29">
        <f>Data!B2</f>
        <v>41675.4022305787</v>
      </c>
    </row>
    <row r="2" spans="1:5" s="19" customFormat="1" ht="18.75" x14ac:dyDescent="0.3">
      <c r="A2" s="18" t="s">
        <v>24</v>
      </c>
    </row>
    <row r="3" spans="1:5" s="19" customFormat="1" x14ac:dyDescent="0.25"/>
    <row r="4" spans="1:5" s="19" customFormat="1" x14ac:dyDescent="0.25">
      <c r="A4" s="20" t="s">
        <v>10</v>
      </c>
      <c r="B4" s="13">
        <f>Data!B3</f>
        <v>41665</v>
      </c>
      <c r="C4" s="8"/>
    </row>
    <row r="5" spans="1:5" s="19" customFormat="1" x14ac:dyDescent="0.25">
      <c r="A5" s="20" t="s">
        <v>11</v>
      </c>
      <c r="B5" s="13">
        <f>Data!B4</f>
        <v>41671.999988425923</v>
      </c>
      <c r="C5" s="8"/>
    </row>
    <row r="6" spans="1:5" s="19" customFormat="1" x14ac:dyDescent="0.25">
      <c r="A6" s="20"/>
      <c r="B6" s="13"/>
      <c r="C6" s="8"/>
      <c r="D6" s="21"/>
    </row>
    <row r="7" spans="1:5" s="19" customFormat="1" x14ac:dyDescent="0.25">
      <c r="D7" s="21"/>
    </row>
    <row r="8" spans="1:5" s="22" customFormat="1" x14ac:dyDescent="0.25">
      <c r="A8" s="22" t="s">
        <v>1</v>
      </c>
      <c r="B8" s="22" t="s">
        <v>2</v>
      </c>
      <c r="C8" s="22" t="s">
        <v>19</v>
      </c>
      <c r="D8" s="23" t="s">
        <v>3</v>
      </c>
      <c r="E8" s="22" t="s">
        <v>26</v>
      </c>
    </row>
    <row r="9" spans="1:5" x14ac:dyDescent="0.25">
      <c r="A9" s="24" t="str">
        <f>Data!A9</f>
        <v>Vehicle 1</v>
      </c>
      <c r="B9" s="24" t="str">
        <f>Data!B9</f>
        <v>Group 1</v>
      </c>
      <c r="C9" s="13">
        <f>Data!E9</f>
        <v>41665</v>
      </c>
      <c r="D9" s="25">
        <f>Data!G9</f>
        <v>8.1597222222222227E-3</v>
      </c>
      <c r="E9" s="26">
        <f>D9*0.000277777777777778*86400*Summary!$H$3</f>
        <v>0.48958333333333381</v>
      </c>
    </row>
    <row r="10" spans="1:5" x14ac:dyDescent="0.25">
      <c r="A10" s="24" t="str">
        <f>Data!A10</f>
        <v>Vehicle 2</v>
      </c>
      <c r="B10" s="24" t="str">
        <f>Data!B10</f>
        <v>Group 1</v>
      </c>
      <c r="C10" s="13">
        <f>Data!E10</f>
        <v>41666</v>
      </c>
      <c r="D10" s="25">
        <f>Data!G10</f>
        <v>5.2152777777777777E-2</v>
      </c>
      <c r="E10" s="26">
        <f>D10*0.000277777777777778*86400*Summary!$H$3</f>
        <v>3.1291666666666691</v>
      </c>
    </row>
    <row r="11" spans="1:5" x14ac:dyDescent="0.25">
      <c r="A11" s="24" t="str">
        <f>Data!A11</f>
        <v>Vehicle 3</v>
      </c>
      <c r="B11" s="24" t="str">
        <f>Data!B11</f>
        <v>Group 3</v>
      </c>
      <c r="C11" s="13">
        <f>Data!E11</f>
        <v>41667</v>
      </c>
      <c r="D11" s="25">
        <f>Data!G11</f>
        <v>1.2962962962962963E-3</v>
      </c>
      <c r="E11" s="26">
        <f>D11*0.000277777777777778*86400*Summary!$H$3</f>
        <v>7.7777777777777835E-2</v>
      </c>
    </row>
    <row r="12" spans="1:5" x14ac:dyDescent="0.25">
      <c r="A12" s="24" t="str">
        <f>Data!A12</f>
        <v>Vehicle 4</v>
      </c>
      <c r="B12" s="24" t="str">
        <f>Data!B12</f>
        <v>Group 4</v>
      </c>
      <c r="C12" s="13">
        <f>Data!E12</f>
        <v>41668</v>
      </c>
      <c r="D12" s="25">
        <f>Data!G12</f>
        <v>4.6759259259259263E-3</v>
      </c>
      <c r="E12" s="26">
        <f>D12*0.000277777777777778*86400*Summary!$H$3</f>
        <v>0.28055555555555578</v>
      </c>
    </row>
    <row r="13" spans="1:5" x14ac:dyDescent="0.25">
      <c r="A13" s="24" t="str">
        <f>Data!A13</f>
        <v>Vehicle 5</v>
      </c>
      <c r="B13" s="24" t="str">
        <f>Data!B13</f>
        <v>Group 2</v>
      </c>
      <c r="C13" s="13">
        <f>Data!E13</f>
        <v>41669</v>
      </c>
      <c r="D13" s="25">
        <f>Data!G13</f>
        <v>2.6377314814814815E-2</v>
      </c>
      <c r="E13" s="26">
        <f>D13*0.000277777777777778*86400*Summary!$H$3</f>
        <v>1.58263888888889</v>
      </c>
    </row>
    <row r="14" spans="1:5" x14ac:dyDescent="0.25">
      <c r="A14" s="24" t="str">
        <f>Data!A14</f>
        <v>Vehicle 6</v>
      </c>
      <c r="B14" s="24" t="str">
        <f>Data!B14</f>
        <v>Group 2</v>
      </c>
      <c r="C14" s="13">
        <f>Data!E14</f>
        <v>41670</v>
      </c>
      <c r="D14" s="25">
        <f>Data!G14</f>
        <v>3.472222222222222E-3</v>
      </c>
      <c r="E14" s="26">
        <f>D14*0.000277777777777778*86400*Summary!$H$3</f>
        <v>0.20833333333333345</v>
      </c>
    </row>
    <row r="15" spans="1:5" x14ac:dyDescent="0.25">
      <c r="A15" s="24" t="str">
        <f>Data!A15</f>
        <v>Vehicle 7</v>
      </c>
      <c r="B15" s="24" t="str">
        <f>Data!B15</f>
        <v>Group 4</v>
      </c>
      <c r="C15" s="13">
        <f>Data!E15</f>
        <v>41671</v>
      </c>
      <c r="D15" s="25">
        <f>Data!G15</f>
        <v>1.7766203703703704E-2</v>
      </c>
      <c r="E15" s="26">
        <f>D15*0.000277777777777778*86400*Summary!$H$3</f>
        <v>1.0659722222222232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Summary</vt:lpstr>
      <vt:lpstr>Report</vt:lpstr>
      <vt:lpstr>AllData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Angie Milne</cp:lastModifiedBy>
  <dcterms:created xsi:type="dcterms:W3CDTF">2009-07-09T13:26:47Z</dcterms:created>
  <dcterms:modified xsi:type="dcterms:W3CDTF">2016-12-14T15:04:44Z</dcterms:modified>
</cp:coreProperties>
</file>